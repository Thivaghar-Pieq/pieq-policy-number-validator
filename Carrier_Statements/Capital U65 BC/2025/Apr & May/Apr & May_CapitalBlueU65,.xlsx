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U65 BC\2025\Apr &amp; May\"/>
    </mc:Choice>
  </mc:AlternateContent>
  <xr:revisionPtr revIDLastSave="0" documentId="13_ncr:1_{E1656F76-6F57-4363-BFE5-D9DAD0EEEEC8}" xr6:coauthVersionLast="47" xr6:coauthVersionMax="47" xr10:uidLastSave="{00000000-0000-0000-0000-000000000000}"/>
  <bookViews>
    <workbookView xWindow="28680" yWindow="-120" windowWidth="29040" windowHeight="16440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" i="3"/>
  <c r="D4" i="2"/>
  <c r="D3" i="2"/>
  <c r="D5" i="2"/>
  <c r="D6" i="2"/>
  <c r="D8" i="2"/>
  <c r="D9" i="2"/>
  <c r="D10" i="2"/>
  <c r="D11" i="2"/>
  <c r="D13" i="2"/>
  <c r="D7" i="2"/>
  <c r="D12" i="2"/>
  <c r="D14" i="2"/>
  <c r="D36" i="2"/>
  <c r="D38" i="2"/>
  <c r="D32" i="2"/>
  <c r="D18" i="2"/>
  <c r="D30" i="2"/>
  <c r="D26" i="2"/>
  <c r="D20" i="2"/>
  <c r="D15" i="2"/>
  <c r="D34" i="2"/>
  <c r="D22" i="2"/>
  <c r="D24" i="2"/>
  <c r="D40" i="2"/>
  <c r="D16" i="2"/>
  <c r="D28" i="2"/>
  <c r="D48" i="2"/>
  <c r="D55" i="2"/>
  <c r="D59" i="2"/>
  <c r="D63" i="2"/>
  <c r="D46" i="2"/>
  <c r="D42" i="2"/>
  <c r="D57" i="2"/>
  <c r="D53" i="2"/>
  <c r="D61" i="2"/>
  <c r="D44" i="2"/>
  <c r="D50" i="2"/>
  <c r="D51" i="2"/>
  <c r="D19" i="2"/>
  <c r="D37" i="2"/>
  <c r="D39" i="2"/>
  <c r="D27" i="2"/>
  <c r="D21" i="2"/>
  <c r="D33" i="2"/>
  <c r="D23" i="2"/>
  <c r="D35" i="2"/>
  <c r="D41" i="2"/>
  <c r="D29" i="2"/>
  <c r="D31" i="2"/>
  <c r="D25" i="2"/>
  <c r="D17" i="2"/>
  <c r="D56" i="2"/>
  <c r="D64" i="2"/>
  <c r="D60" i="2"/>
  <c r="D58" i="2"/>
  <c r="D47" i="2"/>
  <c r="D43" i="2"/>
  <c r="D54" i="2"/>
  <c r="D49" i="2"/>
  <c r="D62" i="2"/>
  <c r="D52" i="2"/>
  <c r="D45" i="2"/>
  <c r="D65" i="2"/>
  <c r="D66" i="2"/>
  <c r="D68" i="2"/>
  <c r="D73" i="2"/>
  <c r="D74" i="2"/>
  <c r="D76" i="2"/>
  <c r="D70" i="2"/>
  <c r="D71" i="2"/>
  <c r="D78" i="2"/>
  <c r="D80" i="2"/>
  <c r="D81" i="2"/>
  <c r="D82" i="2"/>
  <c r="D86" i="2"/>
  <c r="D84" i="2"/>
  <c r="D88" i="2"/>
  <c r="D90" i="2"/>
  <c r="D91" i="2"/>
  <c r="D93" i="2"/>
  <c r="D94" i="2"/>
  <c r="D67" i="2"/>
  <c r="D75" i="2"/>
  <c r="D77" i="2"/>
  <c r="D69" i="2"/>
  <c r="D72" i="2"/>
  <c r="D79" i="2"/>
  <c r="D83" i="2"/>
  <c r="D87" i="2"/>
  <c r="D85" i="2"/>
  <c r="D89" i="2"/>
  <c r="D92" i="2"/>
  <c r="D95" i="2"/>
  <c r="D98" i="2"/>
  <c r="D96" i="2"/>
  <c r="D100" i="2"/>
  <c r="D103" i="2"/>
  <c r="D99" i="2"/>
  <c r="D97" i="2"/>
  <c r="D101" i="2"/>
  <c r="D102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41" i="2"/>
  <c r="D143" i="2"/>
  <c r="D139" i="2"/>
  <c r="D145" i="2"/>
  <c r="D142" i="2"/>
  <c r="D140" i="2"/>
  <c r="D144" i="2"/>
  <c r="D146" i="2"/>
  <c r="D147" i="2"/>
  <c r="D2" i="2"/>
  <c r="B149" i="1"/>
</calcChain>
</file>

<file path=xl/sharedStrings.xml><?xml version="1.0" encoding="utf-8"?>
<sst xmlns="http://schemas.openxmlformats.org/spreadsheetml/2006/main" count="2301" uniqueCount="267">
  <si>
    <t>Agency</t>
  </si>
  <si>
    <t>Comm Amt</t>
  </si>
  <si>
    <t>Commission Type</t>
  </si>
  <si>
    <t>Statement Date</t>
  </si>
  <si>
    <t>MemberId</t>
  </si>
  <si>
    <t>Member Name</t>
  </si>
  <si>
    <t>PlanId</t>
  </si>
  <si>
    <t>Product</t>
  </si>
  <si>
    <t>Original Eff Date</t>
  </si>
  <si>
    <t>Eff Date</t>
  </si>
  <si>
    <t>PremPeriod</t>
  </si>
  <si>
    <t>Writing Agent ID</t>
  </si>
  <si>
    <t>WritingAgent Name</t>
  </si>
  <si>
    <t>Earned Broker Name</t>
  </si>
  <si>
    <t>Payee</t>
  </si>
  <si>
    <t>Paid Vendor</t>
  </si>
  <si>
    <t>BillPeriod</t>
  </si>
  <si>
    <t>CycleYear</t>
  </si>
  <si>
    <t>New/Renewal</t>
  </si>
  <si>
    <t>DatePaid</t>
  </si>
  <si>
    <t>AdjDesc</t>
  </si>
  <si>
    <t>brokerhistoryNo</t>
  </si>
  <si>
    <t>Financial Protection Services</t>
  </si>
  <si>
    <t>Commission</t>
  </si>
  <si>
    <t>Brian Brennan</t>
  </si>
  <si>
    <t>PPOIJB44</t>
  </si>
  <si>
    <t>PPI000GQ</t>
  </si>
  <si>
    <t>Aguglia, Scott</t>
  </si>
  <si>
    <t>Financial Protection Services Corp</t>
  </si>
  <si>
    <t>Innovative Financial Group</t>
  </si>
  <si>
    <t>Renewal</t>
  </si>
  <si>
    <t>Robert Glass</t>
  </si>
  <si>
    <t>Bonnie Orwan</t>
  </si>
  <si>
    <t>Foley, Carol</t>
  </si>
  <si>
    <t>Jamie Orris</t>
  </si>
  <si>
    <t>PPOIJB92</t>
  </si>
  <si>
    <t>PPI000HY</t>
  </si>
  <si>
    <t>Carl Mertz</t>
  </si>
  <si>
    <t>New</t>
  </si>
  <si>
    <t>Jonathan Medina</t>
  </si>
  <si>
    <t>PPOIJC24</t>
  </si>
  <si>
    <t>PPI000IU</t>
  </si>
  <si>
    <t>Susan Ruby</t>
  </si>
  <si>
    <t>PPOIJB41</t>
  </si>
  <si>
    <t>PPI000J6</t>
  </si>
  <si>
    <t>Kucan, Thomas</t>
  </si>
  <si>
    <t>Suzanne Nafus</t>
  </si>
  <si>
    <t>Long, Patricia M</t>
  </si>
  <si>
    <t>Tiffany Ritter</t>
  </si>
  <si>
    <t>PPOIJB24</t>
  </si>
  <si>
    <t>PPI000GB</t>
  </si>
  <si>
    <t>Rita L Smith</t>
  </si>
  <si>
    <t>Derek Jackson</t>
  </si>
  <si>
    <t>Marybeth Riter</t>
  </si>
  <si>
    <t>Kayden S Walschburger</t>
  </si>
  <si>
    <t>PPOIJB28</t>
  </si>
  <si>
    <t>PPI000GF</t>
  </si>
  <si>
    <t>Donna J Steffy</t>
  </si>
  <si>
    <t>Carol J Tegyi</t>
  </si>
  <si>
    <t>PPOIJB32</t>
  </si>
  <si>
    <t>PPI000GJ</t>
  </si>
  <si>
    <t>Rosella G Moll</t>
  </si>
  <si>
    <t>Evelyn J Moehring</t>
  </si>
  <si>
    <t>Jaclyn N Bristel</t>
  </si>
  <si>
    <t>PPOIJB40</t>
  </si>
  <si>
    <t>PPI000J5</t>
  </si>
  <si>
    <t>Valerie Soto</t>
  </si>
  <si>
    <t>Dalvinder K Matharu</t>
  </si>
  <si>
    <t>Leila N Ojeil</t>
  </si>
  <si>
    <t>James J Heckenberger</t>
  </si>
  <si>
    <t>Karen L Ritter</t>
  </si>
  <si>
    <t>Ryan C Hertzog</t>
  </si>
  <si>
    <t>William D Baughman</t>
  </si>
  <si>
    <t>Jamal S Rafraf</t>
  </si>
  <si>
    <t>Brian Walschburger</t>
  </si>
  <si>
    <t>Karl Sheaffer</t>
  </si>
  <si>
    <t>Jeffrey J Parise</t>
  </si>
  <si>
    <t>Stacie A Bloomfield</t>
  </si>
  <si>
    <t>PPOIJC12</t>
  </si>
  <si>
    <t>PPI000IH</t>
  </si>
  <si>
    <t>Forrest H Graver</t>
  </si>
  <si>
    <t>PPQIJB75</t>
  </si>
  <si>
    <t>PPI000HH</t>
  </si>
  <si>
    <t>Janssen O Seidel</t>
  </si>
  <si>
    <t>Crystal Wierbowski</t>
  </si>
  <si>
    <t>BCDI0127</t>
  </si>
  <si>
    <t>BCD002B6</t>
  </si>
  <si>
    <t>Luse, Alison P</t>
  </si>
  <si>
    <t>Jeffrey Sensenig</t>
  </si>
  <si>
    <t>John Gajewski</t>
  </si>
  <si>
    <t>Lorraine A Port</t>
  </si>
  <si>
    <t>Jody Minium</t>
  </si>
  <si>
    <t>Randy Corbin</t>
  </si>
  <si>
    <t>Gary Hartley</t>
  </si>
  <si>
    <t>Bradley Lyon</t>
  </si>
  <si>
    <t>Zachary Minium</t>
  </si>
  <si>
    <t>Kevin Conklin</t>
  </si>
  <si>
    <t>Tyler J Penland</t>
  </si>
  <si>
    <t>Jody Rudewicz</t>
  </si>
  <si>
    <t>Richter, Adam J</t>
  </si>
  <si>
    <t>Donna Ganzermiller</t>
  </si>
  <si>
    <t>Dennis E Berkebile</t>
  </si>
  <si>
    <t>Brian Antkowiak</t>
  </si>
  <si>
    <t>Rebecca Imhof</t>
  </si>
  <si>
    <t>PPOIJA28</t>
  </si>
  <si>
    <t>PPI000CS</t>
  </si>
  <si>
    <t>Richter, Peter L</t>
  </si>
  <si>
    <t>PPOIJB52</t>
  </si>
  <si>
    <t>PPI000GU</t>
  </si>
  <si>
    <t>Emily Johnson</t>
  </si>
  <si>
    <t>PPOIJA00</t>
  </si>
  <si>
    <t>PPI000BU</t>
  </si>
  <si>
    <t>Taylor D Horn</t>
  </si>
  <si>
    <t>PPOIJB68</t>
  </si>
  <si>
    <t>PPI000HA</t>
  </si>
  <si>
    <t>PPOIJA44</t>
  </si>
  <si>
    <t>PPI000F9</t>
  </si>
  <si>
    <t>Kimberly Ney</t>
  </si>
  <si>
    <t>Teipel, Gregory</t>
  </si>
  <si>
    <t>Timothy Lesher</t>
  </si>
  <si>
    <t>PPOIJA12</t>
  </si>
  <si>
    <t>PPI000EM</t>
  </si>
  <si>
    <t>Julie L Ressler</t>
  </si>
  <si>
    <t>Dean Brown</t>
  </si>
  <si>
    <t>Trudy Brown</t>
  </si>
  <si>
    <t>Commissions</t>
  </si>
  <si>
    <t>Hon C Au</t>
  </si>
  <si>
    <t>Zimmerman, Diana</t>
  </si>
  <si>
    <t>Informed Insurance Advisors LLC</t>
  </si>
  <si>
    <t> </t>
  </si>
  <si>
    <t>Vladimir Pena</t>
  </si>
  <si>
    <t>17425766old</t>
  </si>
  <si>
    <t>[PMPM=2]</t>
  </si>
  <si>
    <t>[PMPM=3]</t>
  </si>
  <si>
    <t>[PMPM=4]</t>
  </si>
  <si>
    <t>[PMPM=5]</t>
  </si>
  <si>
    <t>Capital Blue Cross Dental</t>
  </si>
  <si>
    <t>Capital Blue Cross ACA</t>
  </si>
  <si>
    <t>Crystal</t>
  </si>
  <si>
    <t>Wierbowski</t>
  </si>
  <si>
    <t>Brian</t>
  </si>
  <si>
    <t>Brennan</t>
  </si>
  <si>
    <t>Bonnie</t>
  </si>
  <si>
    <t>Orwan</t>
  </si>
  <si>
    <t>Jamie</t>
  </si>
  <si>
    <t>Orris</t>
  </si>
  <si>
    <t>Susan</t>
  </si>
  <si>
    <t>Ruby</t>
  </si>
  <si>
    <t>Suzanne</t>
  </si>
  <si>
    <t>Nafus</t>
  </si>
  <si>
    <t>Tiffany</t>
  </si>
  <si>
    <t>Ritter</t>
  </si>
  <si>
    <t>Rita</t>
  </si>
  <si>
    <t>Smith</t>
  </si>
  <si>
    <t>Derek</t>
  </si>
  <si>
    <t>Jackson</t>
  </si>
  <si>
    <t>Marybeth</t>
  </si>
  <si>
    <t>Riter</t>
  </si>
  <si>
    <t>Kayden</t>
  </si>
  <si>
    <t>Walschburger</t>
  </si>
  <si>
    <t>Donna</t>
  </si>
  <si>
    <t>Steffy</t>
  </si>
  <si>
    <t>Carol</t>
  </si>
  <si>
    <t>Tegyi</t>
  </si>
  <si>
    <t>Rosella</t>
  </si>
  <si>
    <t>Moll</t>
  </si>
  <si>
    <t>Evelyn</t>
  </si>
  <si>
    <t>Moehring</t>
  </si>
  <si>
    <t>Jaclyn</t>
  </si>
  <si>
    <t>Bristel</t>
  </si>
  <si>
    <t>Valerie</t>
  </si>
  <si>
    <t>Soto</t>
  </si>
  <si>
    <t>Dalvinder</t>
  </si>
  <si>
    <t>Matharu</t>
  </si>
  <si>
    <t>Leila</t>
  </si>
  <si>
    <t>Ojeil</t>
  </si>
  <si>
    <t>Jeffrey</t>
  </si>
  <si>
    <t>Sensenig</t>
  </si>
  <si>
    <t>John</t>
  </si>
  <si>
    <t>Gajewski</t>
  </si>
  <si>
    <t>Lorraine</t>
  </si>
  <si>
    <t>Port</t>
  </si>
  <si>
    <t>Jody</t>
  </si>
  <si>
    <t>Minium</t>
  </si>
  <si>
    <t>Randy</t>
  </si>
  <si>
    <t>Corbin</t>
  </si>
  <si>
    <t>Rudewicz</t>
  </si>
  <si>
    <t>Ganzermiller</t>
  </si>
  <si>
    <t>Rebecca</t>
  </si>
  <si>
    <t>Imhof</t>
  </si>
  <si>
    <t>Kimberly</t>
  </si>
  <si>
    <t>Ney</t>
  </si>
  <si>
    <t>Timothy</t>
  </si>
  <si>
    <t>Lesher</t>
  </si>
  <si>
    <t>Julie</t>
  </si>
  <si>
    <t>Ressler</t>
  </si>
  <si>
    <t>Robert</t>
  </si>
  <si>
    <t>Glass</t>
  </si>
  <si>
    <t>Carl</t>
  </si>
  <si>
    <t>Mertz</t>
  </si>
  <si>
    <t>Jonathan</t>
  </si>
  <si>
    <t>Medina</t>
  </si>
  <si>
    <t>James</t>
  </si>
  <si>
    <t>Heckenberger</t>
  </si>
  <si>
    <t>Karen</t>
  </si>
  <si>
    <t>Ryan</t>
  </si>
  <si>
    <t>Hertzog</t>
  </si>
  <si>
    <t>William</t>
  </si>
  <si>
    <t>Baughman</t>
  </si>
  <si>
    <t>Jamal</t>
  </si>
  <si>
    <t>Rafraf</t>
  </si>
  <si>
    <t>Karl</t>
  </si>
  <si>
    <t>Sheaffer</t>
  </si>
  <si>
    <t>Parise</t>
  </si>
  <si>
    <t>Stacie</t>
  </si>
  <si>
    <t>Bloomfield</t>
  </si>
  <si>
    <t>Forrest</t>
  </si>
  <si>
    <t>Graver</t>
  </si>
  <si>
    <t>Janssen</t>
  </si>
  <si>
    <t>Seidel</t>
  </si>
  <si>
    <t>Gary</t>
  </si>
  <si>
    <t>Hartley</t>
  </si>
  <si>
    <t>Bradley</t>
  </si>
  <si>
    <t>Lyon</t>
  </si>
  <si>
    <t>Emily</t>
  </si>
  <si>
    <t>Johnson</t>
  </si>
  <si>
    <t>Trudy</t>
  </si>
  <si>
    <t>Brown</t>
  </si>
  <si>
    <t>Zachary</t>
  </si>
  <si>
    <t>Dennis</t>
  </si>
  <si>
    <t>Berkebile</t>
  </si>
  <si>
    <t>Taylor</t>
  </si>
  <si>
    <t>Horn</t>
  </si>
  <si>
    <t>Dean</t>
  </si>
  <si>
    <t>Hon</t>
  </si>
  <si>
    <t>Au</t>
  </si>
  <si>
    <t>Kevin</t>
  </si>
  <si>
    <t>Conklin</t>
  </si>
  <si>
    <t>Tyler</t>
  </si>
  <si>
    <t>Penland</t>
  </si>
  <si>
    <t>Vladimir</t>
  </si>
  <si>
    <t>Pena</t>
  </si>
  <si>
    <t>Antkowiak</t>
  </si>
  <si>
    <t>Rita Smith</t>
  </si>
  <si>
    <t>Kayden Walschburger</t>
  </si>
  <si>
    <t>Donna Steffy</t>
  </si>
  <si>
    <t>Carol Tegyi</t>
  </si>
  <si>
    <t>Rosella Moll</t>
  </si>
  <si>
    <t>Evelyn Moehring</t>
  </si>
  <si>
    <t>Jaclyn Bristel</t>
  </si>
  <si>
    <t>Dalvinder Matharu</t>
  </si>
  <si>
    <t>Leila Ojeil</t>
  </si>
  <si>
    <t>Lorraine Port</t>
  </si>
  <si>
    <t>Julie Ressler</t>
  </si>
  <si>
    <t>James Heckenberger</t>
  </si>
  <si>
    <t>Karen Ritter</t>
  </si>
  <si>
    <t>Ryan Hertzog</t>
  </si>
  <si>
    <t>William Baughman</t>
  </si>
  <si>
    <t>Jamal Rafraf</t>
  </si>
  <si>
    <t>Jeffrey Parise</t>
  </si>
  <si>
    <t>Stacie Bloomfield</t>
  </si>
  <si>
    <t>Forrest Graver</t>
  </si>
  <si>
    <t>Janssen Seidel</t>
  </si>
  <si>
    <t>Dennis Berkebile</t>
  </si>
  <si>
    <t>Taylor Horn</t>
  </si>
  <si>
    <t>Hon Au</t>
  </si>
  <si>
    <t>Tyler Penland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</si>
</sst>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0" xfId="0" applyFont="1"/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right"/>
    </xf>
    <xf numFmtId="1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2" xfId="0" applyFont="1" applyFill="1" applyBorder="1"/>
    <xf numFmtId="164" fontId="2" fillId="3" borderId="2" xfId="0" applyNumberFormat="1" applyFont="1" applyFill="1" applyBorder="1" applyAlignment="1">
      <alignment horizontal="right"/>
    </xf>
    <xf numFmtId="14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2" xfId="0" applyFont="1" applyBorder="1" applyAlignment="1">
      <alignment wrapText="1"/>
    </xf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/>
    <xf numFmtId="0" fontId="3" fillId="5" borderId="0" xfId="0" applyFont="1" applyFill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0" fontId="2" fillId="5" borderId="0" xfId="0" applyFont="1" applyFill="1"/>
    <xf numFmtId="0" fontId="0" fillId="5" borderId="0" xfId="0" applyFill="1"/>
    <xf numFmtId="0" fontId="1" fillId="2" borderId="0" xfId="0" applyFont="1" applyFill="1" applyBorder="1"/>
    <xf numFmtId="0" fontId="2" fillId="3" borderId="0" xfId="0" applyFont="1" applyFill="1" applyBorder="1"/>
    <xf numFmtId="1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09"/>
  <sheetViews>
    <sheetView workbookViewId="0">
      <selection activeCell="A6" sqref="A6:XFD6"/>
    </sheetView>
  </sheetViews>
  <sheetFormatPr defaultColWidth="12.5703125" defaultRowHeight="15.75" customHeight="1" x14ac:dyDescent="0.2"/>
  <sheetData>
    <row r="1" spans="1:26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/>
      <c r="X1" s="3"/>
      <c r="Y1" s="3"/>
      <c r="Z1" s="3"/>
    </row>
    <row r="2" spans="1:26" ht="15.75" customHeight="1" x14ac:dyDescent="0.25">
      <c r="A2" s="4" t="s">
        <v>22</v>
      </c>
      <c r="B2" s="5">
        <v>18</v>
      </c>
      <c r="C2" s="4" t="s">
        <v>23</v>
      </c>
      <c r="D2" s="6">
        <v>45755</v>
      </c>
      <c r="E2" s="7">
        <v>802422752</v>
      </c>
      <c r="F2" s="4" t="s">
        <v>24</v>
      </c>
      <c r="G2" s="4" t="s">
        <v>25</v>
      </c>
      <c r="H2" s="4" t="s">
        <v>26</v>
      </c>
      <c r="I2" s="7">
        <v>20200101</v>
      </c>
      <c r="J2" s="7">
        <v>20250101</v>
      </c>
      <c r="K2" s="7">
        <v>202503</v>
      </c>
      <c r="L2" s="7">
        <v>8971826</v>
      </c>
      <c r="M2" s="4" t="s">
        <v>27</v>
      </c>
      <c r="N2" s="4" t="s">
        <v>28</v>
      </c>
      <c r="O2" s="7">
        <v>18973608</v>
      </c>
      <c r="P2" s="4" t="s">
        <v>29</v>
      </c>
      <c r="Q2" s="7">
        <v>202504</v>
      </c>
      <c r="R2" s="7">
        <v>0</v>
      </c>
      <c r="S2" s="4" t="s">
        <v>30</v>
      </c>
      <c r="T2" s="7">
        <v>20250408</v>
      </c>
      <c r="U2" s="4"/>
      <c r="V2" s="7">
        <v>1.74414935598E+16</v>
      </c>
      <c r="W2" s="3"/>
      <c r="X2" s="3"/>
      <c r="Y2" s="3"/>
      <c r="Z2" s="3"/>
    </row>
    <row r="3" spans="1:26" ht="15.75" customHeight="1" x14ac:dyDescent="0.25">
      <c r="A3" s="4" t="s">
        <v>22</v>
      </c>
      <c r="B3" s="5">
        <v>36</v>
      </c>
      <c r="C3" s="4" t="s">
        <v>23</v>
      </c>
      <c r="D3" s="6">
        <v>45755</v>
      </c>
      <c r="E3" s="7">
        <v>801981035</v>
      </c>
      <c r="F3" s="4" t="s">
        <v>31</v>
      </c>
      <c r="G3" s="4" t="s">
        <v>25</v>
      </c>
      <c r="H3" s="4" t="s">
        <v>26</v>
      </c>
      <c r="I3" s="7">
        <v>20170101</v>
      </c>
      <c r="J3" s="7">
        <v>20250101</v>
      </c>
      <c r="K3" s="7">
        <v>202504</v>
      </c>
      <c r="L3" s="7">
        <v>8971826</v>
      </c>
      <c r="M3" s="4" t="s">
        <v>27</v>
      </c>
      <c r="N3" s="4" t="s">
        <v>28</v>
      </c>
      <c r="O3" s="7">
        <v>18973608</v>
      </c>
      <c r="P3" s="4" t="s">
        <v>29</v>
      </c>
      <c r="Q3" s="7">
        <v>202504</v>
      </c>
      <c r="R3" s="7">
        <v>0</v>
      </c>
      <c r="S3" s="4" t="s">
        <v>30</v>
      </c>
      <c r="T3" s="7">
        <v>20250408</v>
      </c>
      <c r="U3" s="4"/>
      <c r="V3" s="7">
        <v>1.744149354343E+16</v>
      </c>
      <c r="W3" s="3"/>
      <c r="X3" s="3"/>
      <c r="Y3" s="3"/>
      <c r="Z3" s="3"/>
    </row>
    <row r="4" spans="1:26" ht="15.75" customHeight="1" x14ac:dyDescent="0.25">
      <c r="A4" s="4" t="s">
        <v>22</v>
      </c>
      <c r="B4" s="5">
        <v>18</v>
      </c>
      <c r="C4" s="4" t="s">
        <v>23</v>
      </c>
      <c r="D4" s="6">
        <v>45783</v>
      </c>
      <c r="E4" s="7">
        <v>802422752</v>
      </c>
      <c r="F4" s="4" t="s">
        <v>24</v>
      </c>
      <c r="G4" s="4" t="s">
        <v>25</v>
      </c>
      <c r="H4" s="4" t="s">
        <v>26</v>
      </c>
      <c r="I4" s="7">
        <v>20200101</v>
      </c>
      <c r="J4" s="7">
        <v>20250101</v>
      </c>
      <c r="K4" s="7">
        <v>202504</v>
      </c>
      <c r="L4" s="7">
        <v>8971826</v>
      </c>
      <c r="M4" s="4" t="s">
        <v>27</v>
      </c>
      <c r="N4" s="4" t="s">
        <v>28</v>
      </c>
      <c r="O4" s="7">
        <v>18973608</v>
      </c>
      <c r="P4" s="4" t="s">
        <v>29</v>
      </c>
      <c r="Q4" s="7">
        <v>202505</v>
      </c>
      <c r="R4" s="7">
        <v>0</v>
      </c>
      <c r="S4" s="4" t="s">
        <v>30</v>
      </c>
      <c r="T4" s="7">
        <v>20250506</v>
      </c>
      <c r="U4" s="4"/>
      <c r="V4" s="7">
        <v>1.746571391646E+16</v>
      </c>
      <c r="W4" s="3"/>
      <c r="X4" s="3"/>
      <c r="Y4" s="3"/>
      <c r="Z4" s="3"/>
    </row>
    <row r="5" spans="1:26" ht="15.75" customHeight="1" x14ac:dyDescent="0.25">
      <c r="A5" s="4" t="s">
        <v>22</v>
      </c>
      <c r="B5" s="5">
        <v>36</v>
      </c>
      <c r="C5" s="4" t="s">
        <v>23</v>
      </c>
      <c r="D5" s="6">
        <v>45783</v>
      </c>
      <c r="E5" s="7">
        <v>801981035</v>
      </c>
      <c r="F5" s="4" t="s">
        <v>31</v>
      </c>
      <c r="G5" s="4" t="s">
        <v>25</v>
      </c>
      <c r="H5" s="4" t="s">
        <v>26</v>
      </c>
      <c r="I5" s="7">
        <v>20170101</v>
      </c>
      <c r="J5" s="7">
        <v>20250101</v>
      </c>
      <c r="K5" s="7">
        <v>202505</v>
      </c>
      <c r="L5" s="7">
        <v>8971826</v>
      </c>
      <c r="M5" s="4" t="s">
        <v>27</v>
      </c>
      <c r="N5" s="4" t="s">
        <v>28</v>
      </c>
      <c r="O5" s="7">
        <v>18973608</v>
      </c>
      <c r="P5" s="4" t="s">
        <v>29</v>
      </c>
      <c r="Q5" s="7">
        <v>202505</v>
      </c>
      <c r="R5" s="7">
        <v>0</v>
      </c>
      <c r="S5" s="4" t="s">
        <v>30</v>
      </c>
      <c r="T5" s="7">
        <v>20250506</v>
      </c>
      <c r="U5" s="4"/>
      <c r="V5" s="7">
        <v>1.746571389933E+16</v>
      </c>
      <c r="W5" s="3"/>
      <c r="X5" s="3"/>
      <c r="Y5" s="3"/>
      <c r="Z5" s="3"/>
    </row>
    <row r="6" spans="1:26" ht="15.75" customHeight="1" x14ac:dyDescent="0.25">
      <c r="A6" s="4" t="s">
        <v>22</v>
      </c>
      <c r="B6" s="5">
        <v>18</v>
      </c>
      <c r="C6" s="4" t="s">
        <v>23</v>
      </c>
      <c r="D6" s="6">
        <v>45755</v>
      </c>
      <c r="E6" s="7">
        <v>802766120</v>
      </c>
      <c r="F6" s="4" t="s">
        <v>32</v>
      </c>
      <c r="G6" s="4" t="s">
        <v>25</v>
      </c>
      <c r="H6" s="4" t="s">
        <v>26</v>
      </c>
      <c r="I6" s="7">
        <v>20230101</v>
      </c>
      <c r="J6" s="7">
        <v>20250101</v>
      </c>
      <c r="K6" s="7">
        <v>202504</v>
      </c>
      <c r="L6" s="7">
        <v>17425766</v>
      </c>
      <c r="M6" s="4" t="s">
        <v>33</v>
      </c>
      <c r="N6" s="4" t="s">
        <v>33</v>
      </c>
      <c r="O6" s="7">
        <v>18973608</v>
      </c>
      <c r="P6" s="4" t="s">
        <v>29</v>
      </c>
      <c r="Q6" s="7">
        <v>202504</v>
      </c>
      <c r="R6" s="7">
        <v>0</v>
      </c>
      <c r="S6" s="4" t="s">
        <v>30</v>
      </c>
      <c r="T6" s="7">
        <v>20250408</v>
      </c>
      <c r="U6" s="4"/>
      <c r="V6" s="7">
        <v>1.744149116972E+16</v>
      </c>
      <c r="W6" s="3"/>
      <c r="X6" s="3"/>
      <c r="Y6" s="3"/>
      <c r="Z6" s="3"/>
    </row>
    <row r="7" spans="1:26" ht="15.75" customHeight="1" x14ac:dyDescent="0.25">
      <c r="A7" s="4" t="s">
        <v>22</v>
      </c>
      <c r="B7" s="5">
        <v>18</v>
      </c>
      <c r="C7" s="4" t="s">
        <v>23</v>
      </c>
      <c r="D7" s="6">
        <v>45755</v>
      </c>
      <c r="E7" s="7">
        <v>802764281</v>
      </c>
      <c r="F7" s="4" t="s">
        <v>34</v>
      </c>
      <c r="G7" s="4" t="s">
        <v>35</v>
      </c>
      <c r="H7" s="4" t="s">
        <v>36</v>
      </c>
      <c r="I7" s="7">
        <v>20230101</v>
      </c>
      <c r="J7" s="7">
        <v>20250101</v>
      </c>
      <c r="K7" s="7">
        <v>202504</v>
      </c>
      <c r="L7" s="7">
        <v>17425766</v>
      </c>
      <c r="M7" s="4" t="s">
        <v>33</v>
      </c>
      <c r="N7" s="4" t="s">
        <v>33</v>
      </c>
      <c r="O7" s="7">
        <v>18973608</v>
      </c>
      <c r="P7" s="4" t="s">
        <v>29</v>
      </c>
      <c r="Q7" s="7">
        <v>202504</v>
      </c>
      <c r="R7" s="7">
        <v>0</v>
      </c>
      <c r="S7" s="4" t="s">
        <v>30</v>
      </c>
      <c r="T7" s="7">
        <v>20250408</v>
      </c>
      <c r="U7" s="4"/>
      <c r="V7" s="7">
        <v>1.744149397734E+16</v>
      </c>
      <c r="W7" s="3"/>
      <c r="X7" s="3"/>
      <c r="Y7" s="3"/>
      <c r="Z7" s="3"/>
    </row>
    <row r="8" spans="1:26" ht="15.75" customHeight="1" x14ac:dyDescent="0.25">
      <c r="A8" s="4" t="s">
        <v>22</v>
      </c>
      <c r="B8" s="5">
        <v>18</v>
      </c>
      <c r="C8" s="4" t="s">
        <v>23</v>
      </c>
      <c r="D8" s="6">
        <v>45755</v>
      </c>
      <c r="E8" s="7">
        <v>802764281</v>
      </c>
      <c r="F8" s="4" t="s">
        <v>34</v>
      </c>
      <c r="G8" s="4" t="s">
        <v>35</v>
      </c>
      <c r="H8" s="4" t="s">
        <v>36</v>
      </c>
      <c r="I8" s="7">
        <v>20230101</v>
      </c>
      <c r="J8" s="7">
        <v>20250101</v>
      </c>
      <c r="K8" s="7">
        <v>202503</v>
      </c>
      <c r="L8" s="7">
        <v>17425766</v>
      </c>
      <c r="M8" s="4" t="s">
        <v>33</v>
      </c>
      <c r="N8" s="4" t="s">
        <v>33</v>
      </c>
      <c r="O8" s="7">
        <v>18973608</v>
      </c>
      <c r="P8" s="4" t="s">
        <v>29</v>
      </c>
      <c r="Q8" s="7">
        <v>202504</v>
      </c>
      <c r="R8" s="7">
        <v>0</v>
      </c>
      <c r="S8" s="4" t="s">
        <v>30</v>
      </c>
      <c r="T8" s="7">
        <v>20250408</v>
      </c>
      <c r="U8" s="4"/>
      <c r="V8" s="7">
        <v>1.744149397712E+16</v>
      </c>
      <c r="W8" s="3"/>
      <c r="X8" s="3"/>
      <c r="Y8" s="3"/>
      <c r="Z8" s="3"/>
    </row>
    <row r="9" spans="1:26" ht="15.75" customHeight="1" x14ac:dyDescent="0.25">
      <c r="A9" s="4" t="s">
        <v>22</v>
      </c>
      <c r="B9" s="5">
        <v>18</v>
      </c>
      <c r="C9" s="4" t="s">
        <v>23</v>
      </c>
      <c r="D9" s="6">
        <v>45755</v>
      </c>
      <c r="E9" s="7">
        <v>802764281</v>
      </c>
      <c r="F9" s="4" t="s">
        <v>34</v>
      </c>
      <c r="G9" s="4" t="s">
        <v>35</v>
      </c>
      <c r="H9" s="4" t="s">
        <v>36</v>
      </c>
      <c r="I9" s="7">
        <v>20230101</v>
      </c>
      <c r="J9" s="7">
        <v>20250101</v>
      </c>
      <c r="K9" s="7">
        <v>202502</v>
      </c>
      <c r="L9" s="7">
        <v>17425766</v>
      </c>
      <c r="M9" s="4" t="s">
        <v>33</v>
      </c>
      <c r="N9" s="4" t="s">
        <v>33</v>
      </c>
      <c r="O9" s="7">
        <v>18973608</v>
      </c>
      <c r="P9" s="4" t="s">
        <v>29</v>
      </c>
      <c r="Q9" s="7">
        <v>202504</v>
      </c>
      <c r="R9" s="7">
        <v>0</v>
      </c>
      <c r="S9" s="4" t="s">
        <v>30</v>
      </c>
      <c r="T9" s="7">
        <v>20250408</v>
      </c>
      <c r="U9" s="4"/>
      <c r="V9" s="7">
        <v>1.74414939769E+16</v>
      </c>
      <c r="W9" s="3"/>
      <c r="X9" s="3"/>
      <c r="Y9" s="3"/>
      <c r="Z9" s="3"/>
    </row>
    <row r="10" spans="1:26" ht="15.75" customHeight="1" x14ac:dyDescent="0.25">
      <c r="A10" s="4" t="s">
        <v>22</v>
      </c>
      <c r="B10" s="5">
        <v>36</v>
      </c>
      <c r="C10" s="4" t="s">
        <v>23</v>
      </c>
      <c r="D10" s="6">
        <v>45755</v>
      </c>
      <c r="E10" s="7">
        <v>802964248</v>
      </c>
      <c r="F10" s="4" t="s">
        <v>37</v>
      </c>
      <c r="G10" s="4" t="s">
        <v>25</v>
      </c>
      <c r="H10" s="4" t="s">
        <v>26</v>
      </c>
      <c r="I10" s="7">
        <v>20241101</v>
      </c>
      <c r="J10" s="7">
        <v>20250101</v>
      </c>
      <c r="K10" s="7">
        <v>202503</v>
      </c>
      <c r="L10" s="7">
        <v>17425766</v>
      </c>
      <c r="M10" s="4" t="s">
        <v>33</v>
      </c>
      <c r="N10" s="4" t="s">
        <v>33</v>
      </c>
      <c r="O10" s="7">
        <v>18973608</v>
      </c>
      <c r="P10" s="4" t="s">
        <v>29</v>
      </c>
      <c r="Q10" s="7">
        <v>202504</v>
      </c>
      <c r="R10" s="7">
        <v>0</v>
      </c>
      <c r="S10" s="4" t="s">
        <v>38</v>
      </c>
      <c r="T10" s="7">
        <v>20250408</v>
      </c>
      <c r="U10" s="4"/>
      <c r="V10" s="7">
        <v>1.744149194455E+16</v>
      </c>
      <c r="W10" s="3"/>
      <c r="X10" s="3"/>
      <c r="Y10" s="3"/>
      <c r="Z10" s="3"/>
    </row>
    <row r="11" spans="1:26" ht="15.75" customHeight="1" x14ac:dyDescent="0.25">
      <c r="A11" s="4" t="s">
        <v>22</v>
      </c>
      <c r="B11" s="5">
        <v>36</v>
      </c>
      <c r="C11" s="4" t="s">
        <v>23</v>
      </c>
      <c r="D11" s="6">
        <v>45755</v>
      </c>
      <c r="E11" s="7">
        <v>802944983</v>
      </c>
      <c r="F11" s="4" t="s">
        <v>39</v>
      </c>
      <c r="G11" s="4" t="s">
        <v>40</v>
      </c>
      <c r="H11" s="4" t="s">
        <v>41</v>
      </c>
      <c r="I11" s="7">
        <v>20240801</v>
      </c>
      <c r="J11" s="7">
        <v>20250101</v>
      </c>
      <c r="K11" s="7">
        <v>202503</v>
      </c>
      <c r="L11" s="7">
        <v>17425766</v>
      </c>
      <c r="M11" s="4" t="s">
        <v>33</v>
      </c>
      <c r="N11" s="4" t="s">
        <v>33</v>
      </c>
      <c r="O11" s="7">
        <v>18973608</v>
      </c>
      <c r="P11" s="4" t="s">
        <v>29</v>
      </c>
      <c r="Q11" s="7">
        <v>202504</v>
      </c>
      <c r="R11" s="7">
        <v>0</v>
      </c>
      <c r="S11" s="4" t="s">
        <v>38</v>
      </c>
      <c r="T11" s="7">
        <v>20250408</v>
      </c>
      <c r="U11" s="4"/>
      <c r="V11" s="7">
        <v>1.744149155694E+16</v>
      </c>
      <c r="W11" s="3"/>
      <c r="X11" s="3"/>
      <c r="Y11" s="3"/>
      <c r="Z11" s="3"/>
    </row>
    <row r="12" spans="1:26" ht="15.75" customHeight="1" x14ac:dyDescent="0.25">
      <c r="A12" s="4" t="s">
        <v>22</v>
      </c>
      <c r="B12" s="5">
        <v>18</v>
      </c>
      <c r="C12" s="4" t="s">
        <v>23</v>
      </c>
      <c r="D12" s="6">
        <v>45783</v>
      </c>
      <c r="E12" s="7">
        <v>802766120</v>
      </c>
      <c r="F12" s="4" t="s">
        <v>32</v>
      </c>
      <c r="G12" s="4" t="s">
        <v>25</v>
      </c>
      <c r="H12" s="4" t="s">
        <v>26</v>
      </c>
      <c r="I12" s="7">
        <v>20230101</v>
      </c>
      <c r="J12" s="7">
        <v>20250101</v>
      </c>
      <c r="K12" s="7">
        <v>202505</v>
      </c>
      <c r="L12" s="7">
        <v>17425766</v>
      </c>
      <c r="M12" s="4" t="s">
        <v>33</v>
      </c>
      <c r="N12" s="4" t="s">
        <v>33</v>
      </c>
      <c r="O12" s="7">
        <v>18973608</v>
      </c>
      <c r="P12" s="4" t="s">
        <v>29</v>
      </c>
      <c r="Q12" s="7">
        <v>202505</v>
      </c>
      <c r="R12" s="7">
        <v>0</v>
      </c>
      <c r="S12" s="4" t="s">
        <v>30</v>
      </c>
      <c r="T12" s="7">
        <v>20250506</v>
      </c>
      <c r="U12" s="4"/>
      <c r="V12" s="7">
        <v>1.746571433295E+16</v>
      </c>
      <c r="W12" s="3"/>
      <c r="X12" s="3"/>
      <c r="Y12" s="3"/>
      <c r="Z12" s="3"/>
    </row>
    <row r="13" spans="1:26" ht="15.75" customHeight="1" x14ac:dyDescent="0.25">
      <c r="A13" s="4" t="s">
        <v>22</v>
      </c>
      <c r="B13" s="5">
        <v>36</v>
      </c>
      <c r="C13" s="4" t="s">
        <v>23</v>
      </c>
      <c r="D13" s="6">
        <v>45783</v>
      </c>
      <c r="E13" s="7">
        <v>802964248</v>
      </c>
      <c r="F13" s="4" t="s">
        <v>37</v>
      </c>
      <c r="G13" s="4" t="s">
        <v>25</v>
      </c>
      <c r="H13" s="4" t="s">
        <v>26</v>
      </c>
      <c r="I13" s="7">
        <v>20241101</v>
      </c>
      <c r="J13" s="7">
        <v>20250101</v>
      </c>
      <c r="K13" s="7">
        <v>202504</v>
      </c>
      <c r="L13" s="7">
        <v>17425766</v>
      </c>
      <c r="M13" s="4" t="s">
        <v>33</v>
      </c>
      <c r="N13" s="4" t="s">
        <v>33</v>
      </c>
      <c r="O13" s="7">
        <v>18973608</v>
      </c>
      <c r="P13" s="4" t="s">
        <v>29</v>
      </c>
      <c r="Q13" s="7">
        <v>202505</v>
      </c>
      <c r="R13" s="7">
        <v>0</v>
      </c>
      <c r="S13" s="4" t="s">
        <v>38</v>
      </c>
      <c r="T13" s="7">
        <v>20250506</v>
      </c>
      <c r="U13" s="4"/>
      <c r="V13" s="7">
        <v>1.74657118197E+16</v>
      </c>
      <c r="W13" s="3"/>
      <c r="X13" s="3"/>
      <c r="Y13" s="3"/>
      <c r="Z13" s="3"/>
    </row>
    <row r="14" spans="1:26" ht="15.75" customHeight="1" x14ac:dyDescent="0.25">
      <c r="A14" s="4" t="s">
        <v>22</v>
      </c>
      <c r="B14" s="5">
        <v>18</v>
      </c>
      <c r="C14" s="4" t="s">
        <v>23</v>
      </c>
      <c r="D14" s="6">
        <v>45755</v>
      </c>
      <c r="E14" s="7">
        <v>802952729</v>
      </c>
      <c r="F14" s="4" t="s">
        <v>42</v>
      </c>
      <c r="G14" s="4" t="s">
        <v>43</v>
      </c>
      <c r="H14" s="4" t="s">
        <v>44</v>
      </c>
      <c r="I14" s="7">
        <v>20240901</v>
      </c>
      <c r="J14" s="7">
        <v>20250101</v>
      </c>
      <c r="K14" s="7">
        <v>202504</v>
      </c>
      <c r="L14" s="7">
        <v>16202925</v>
      </c>
      <c r="M14" s="4" t="s">
        <v>45</v>
      </c>
      <c r="N14" s="4" t="s">
        <v>28</v>
      </c>
      <c r="O14" s="7">
        <v>18973608</v>
      </c>
      <c r="P14" s="4" t="s">
        <v>29</v>
      </c>
      <c r="Q14" s="7">
        <v>202504</v>
      </c>
      <c r="R14" s="7">
        <v>0</v>
      </c>
      <c r="S14" s="4" t="s">
        <v>38</v>
      </c>
      <c r="T14" s="7">
        <v>20250408</v>
      </c>
      <c r="U14" s="4"/>
      <c r="V14" s="7">
        <v>1.744149172699E+16</v>
      </c>
      <c r="W14" s="3"/>
      <c r="X14" s="3"/>
      <c r="Y14" s="3"/>
      <c r="Z14" s="3"/>
    </row>
    <row r="15" spans="1:26" ht="15.75" customHeight="1" x14ac:dyDescent="0.25">
      <c r="A15" s="4" t="s">
        <v>22</v>
      </c>
      <c r="B15" s="5">
        <v>18</v>
      </c>
      <c r="C15" s="4" t="s">
        <v>23</v>
      </c>
      <c r="D15" s="6">
        <v>45755</v>
      </c>
      <c r="E15" s="7">
        <v>802777578</v>
      </c>
      <c r="F15" s="4" t="s">
        <v>46</v>
      </c>
      <c r="G15" s="4" t="s">
        <v>25</v>
      </c>
      <c r="H15" s="4" t="s">
        <v>26</v>
      </c>
      <c r="I15" s="7">
        <v>20230201</v>
      </c>
      <c r="J15" s="7">
        <v>20250101</v>
      </c>
      <c r="K15" s="7">
        <v>202504</v>
      </c>
      <c r="L15" s="7">
        <v>18794740</v>
      </c>
      <c r="M15" s="4" t="s">
        <v>47</v>
      </c>
      <c r="N15" s="4" t="s">
        <v>28</v>
      </c>
      <c r="O15" s="7">
        <v>18973608</v>
      </c>
      <c r="P15" s="4" t="s">
        <v>29</v>
      </c>
      <c r="Q15" s="7">
        <v>202504</v>
      </c>
      <c r="R15" s="7">
        <v>0</v>
      </c>
      <c r="S15" s="4" t="s">
        <v>30</v>
      </c>
      <c r="T15" s="7">
        <v>20250408</v>
      </c>
      <c r="U15" s="4"/>
      <c r="V15" s="7">
        <v>1.74414913508E+16</v>
      </c>
      <c r="W15" s="3"/>
      <c r="X15" s="3"/>
      <c r="Y15" s="3"/>
      <c r="Z15" s="3"/>
    </row>
    <row r="16" spans="1:26" ht="15.75" customHeight="1" x14ac:dyDescent="0.25">
      <c r="A16" s="4" t="s">
        <v>22</v>
      </c>
      <c r="B16" s="5">
        <v>18</v>
      </c>
      <c r="C16" s="4" t="s">
        <v>23</v>
      </c>
      <c r="D16" s="6">
        <v>45755</v>
      </c>
      <c r="E16" s="7">
        <v>802765299</v>
      </c>
      <c r="F16" s="4" t="s">
        <v>48</v>
      </c>
      <c r="G16" s="4" t="s">
        <v>49</v>
      </c>
      <c r="H16" s="4" t="s">
        <v>50</v>
      </c>
      <c r="I16" s="7">
        <v>20230101</v>
      </c>
      <c r="J16" s="7">
        <v>20250101</v>
      </c>
      <c r="K16" s="7">
        <v>202504</v>
      </c>
      <c r="L16" s="7">
        <v>18794740</v>
      </c>
      <c r="M16" s="4" t="s">
        <v>47</v>
      </c>
      <c r="N16" s="4" t="s">
        <v>28</v>
      </c>
      <c r="O16" s="7">
        <v>18973608</v>
      </c>
      <c r="P16" s="4" t="s">
        <v>29</v>
      </c>
      <c r="Q16" s="7">
        <v>202504</v>
      </c>
      <c r="R16" s="7">
        <v>0</v>
      </c>
      <c r="S16" s="4" t="s">
        <v>30</v>
      </c>
      <c r="T16" s="7">
        <v>20250408</v>
      </c>
      <c r="U16" s="4"/>
      <c r="V16" s="7">
        <v>1.744149112807E+16</v>
      </c>
      <c r="W16" s="3"/>
      <c r="X16" s="3"/>
      <c r="Y16" s="3"/>
      <c r="Z16" s="3"/>
    </row>
    <row r="17" spans="1:26" ht="15.75" customHeight="1" x14ac:dyDescent="0.25">
      <c r="A17" s="4" t="s">
        <v>22</v>
      </c>
      <c r="B17" s="5">
        <v>18</v>
      </c>
      <c r="C17" s="4" t="s">
        <v>23</v>
      </c>
      <c r="D17" s="6">
        <v>45755</v>
      </c>
      <c r="E17" s="7">
        <v>802552042</v>
      </c>
      <c r="F17" s="4" t="s">
        <v>51</v>
      </c>
      <c r="G17" s="4" t="s">
        <v>25</v>
      </c>
      <c r="H17" s="4" t="s">
        <v>26</v>
      </c>
      <c r="I17" s="7">
        <v>20210301</v>
      </c>
      <c r="J17" s="7">
        <v>20250101</v>
      </c>
      <c r="K17" s="7">
        <v>202504</v>
      </c>
      <c r="L17" s="7">
        <v>18794740</v>
      </c>
      <c r="M17" s="4" t="s">
        <v>47</v>
      </c>
      <c r="N17" s="4" t="s">
        <v>28</v>
      </c>
      <c r="O17" s="7">
        <v>18973608</v>
      </c>
      <c r="P17" s="4" t="s">
        <v>29</v>
      </c>
      <c r="Q17" s="7">
        <v>202504</v>
      </c>
      <c r="R17" s="7">
        <v>0</v>
      </c>
      <c r="S17" s="4" t="s">
        <v>30</v>
      </c>
      <c r="T17" s="7">
        <v>20250408</v>
      </c>
      <c r="U17" s="4"/>
      <c r="V17" s="7">
        <v>1.744149200263E+16</v>
      </c>
      <c r="W17" s="3"/>
      <c r="X17" s="3"/>
      <c r="Y17" s="3"/>
      <c r="Z17" s="3"/>
    </row>
    <row r="18" spans="1:26" ht="15.75" customHeight="1" x14ac:dyDescent="0.25">
      <c r="A18" s="4" t="s">
        <v>22</v>
      </c>
      <c r="B18" s="5">
        <v>18</v>
      </c>
      <c r="C18" s="4" t="s">
        <v>23</v>
      </c>
      <c r="D18" s="6">
        <v>45755</v>
      </c>
      <c r="E18" s="7">
        <v>802794400</v>
      </c>
      <c r="F18" s="4" t="s">
        <v>52</v>
      </c>
      <c r="G18" s="4" t="s">
        <v>25</v>
      </c>
      <c r="H18" s="4" t="s">
        <v>26</v>
      </c>
      <c r="I18" s="7">
        <v>20230401</v>
      </c>
      <c r="J18" s="7">
        <v>20250101</v>
      </c>
      <c r="K18" s="7">
        <v>202504</v>
      </c>
      <c r="L18" s="7">
        <v>18794740</v>
      </c>
      <c r="M18" s="4" t="s">
        <v>47</v>
      </c>
      <c r="N18" s="4" t="s">
        <v>28</v>
      </c>
      <c r="O18" s="7">
        <v>18973608</v>
      </c>
      <c r="P18" s="4" t="s">
        <v>29</v>
      </c>
      <c r="Q18" s="7">
        <v>202504</v>
      </c>
      <c r="R18" s="7">
        <v>0</v>
      </c>
      <c r="S18" s="4" t="s">
        <v>30</v>
      </c>
      <c r="T18" s="7">
        <v>20250408</v>
      </c>
      <c r="U18" s="4"/>
      <c r="V18" s="7">
        <v>1.744149155885E+16</v>
      </c>
      <c r="W18" s="3"/>
      <c r="X18" s="3"/>
      <c r="Y18" s="3"/>
      <c r="Z18" s="3"/>
    </row>
    <row r="19" spans="1:26" ht="15.75" customHeight="1" x14ac:dyDescent="0.25">
      <c r="A19" s="4" t="s">
        <v>22</v>
      </c>
      <c r="B19" s="5">
        <v>18</v>
      </c>
      <c r="C19" s="4" t="s">
        <v>23</v>
      </c>
      <c r="D19" s="6">
        <v>45755</v>
      </c>
      <c r="E19" s="7">
        <v>802902756</v>
      </c>
      <c r="F19" s="4" t="s">
        <v>53</v>
      </c>
      <c r="G19" s="4" t="s">
        <v>25</v>
      </c>
      <c r="H19" s="4" t="s">
        <v>26</v>
      </c>
      <c r="I19" s="7">
        <v>20240301</v>
      </c>
      <c r="J19" s="7">
        <v>20250101</v>
      </c>
      <c r="K19" s="7">
        <v>202504</v>
      </c>
      <c r="L19" s="7">
        <v>18794740</v>
      </c>
      <c r="M19" s="4" t="s">
        <v>47</v>
      </c>
      <c r="N19" s="4" t="s">
        <v>28</v>
      </c>
      <c r="O19" s="7">
        <v>18973608</v>
      </c>
      <c r="P19" s="4" t="s">
        <v>29</v>
      </c>
      <c r="Q19" s="7">
        <v>202504</v>
      </c>
      <c r="R19" s="7">
        <v>0</v>
      </c>
      <c r="S19" s="4" t="s">
        <v>30</v>
      </c>
      <c r="T19" s="7">
        <v>20250408</v>
      </c>
      <c r="U19" s="4"/>
      <c r="V19" s="7">
        <v>1.744149333319E+16</v>
      </c>
      <c r="W19" s="3"/>
      <c r="X19" s="3"/>
      <c r="Y19" s="3"/>
      <c r="Z19" s="3"/>
    </row>
    <row r="20" spans="1:26" ht="15.75" customHeight="1" x14ac:dyDescent="0.25">
      <c r="A20" s="4" t="s">
        <v>22</v>
      </c>
      <c r="B20" s="5">
        <v>18</v>
      </c>
      <c r="C20" s="4" t="s">
        <v>23</v>
      </c>
      <c r="D20" s="6">
        <v>45755</v>
      </c>
      <c r="E20" s="7">
        <v>802629066</v>
      </c>
      <c r="F20" s="4" t="s">
        <v>54</v>
      </c>
      <c r="G20" s="4" t="s">
        <v>55</v>
      </c>
      <c r="H20" s="4" t="s">
        <v>56</v>
      </c>
      <c r="I20" s="7">
        <v>20220101</v>
      </c>
      <c r="J20" s="7">
        <v>20250101</v>
      </c>
      <c r="K20" s="7">
        <v>202503</v>
      </c>
      <c r="L20" s="7">
        <v>18794740</v>
      </c>
      <c r="M20" s="4" t="s">
        <v>47</v>
      </c>
      <c r="N20" s="4" t="s">
        <v>28</v>
      </c>
      <c r="O20" s="7">
        <v>18973608</v>
      </c>
      <c r="P20" s="4" t="s">
        <v>29</v>
      </c>
      <c r="Q20" s="7">
        <v>202504</v>
      </c>
      <c r="R20" s="7">
        <v>0</v>
      </c>
      <c r="S20" s="4" t="s">
        <v>30</v>
      </c>
      <c r="T20" s="7">
        <v>20250408</v>
      </c>
      <c r="U20" s="4"/>
      <c r="V20" s="7">
        <v>1.744149269559E+16</v>
      </c>
      <c r="W20" s="3"/>
      <c r="X20" s="3"/>
      <c r="Y20" s="3"/>
      <c r="Z20" s="3"/>
    </row>
    <row r="21" spans="1:26" ht="15.75" customHeight="1" x14ac:dyDescent="0.25">
      <c r="A21" s="4" t="s">
        <v>22</v>
      </c>
      <c r="B21" s="5">
        <v>18</v>
      </c>
      <c r="C21" s="4" t="s">
        <v>23</v>
      </c>
      <c r="D21" s="6">
        <v>45755</v>
      </c>
      <c r="E21" s="7">
        <v>802629573</v>
      </c>
      <c r="F21" s="4" t="s">
        <v>57</v>
      </c>
      <c r="G21" s="4" t="s">
        <v>25</v>
      </c>
      <c r="H21" s="4" t="s">
        <v>26</v>
      </c>
      <c r="I21" s="7">
        <v>20220101</v>
      </c>
      <c r="J21" s="7">
        <v>20250101</v>
      </c>
      <c r="K21" s="7">
        <v>202504</v>
      </c>
      <c r="L21" s="7">
        <v>18794740</v>
      </c>
      <c r="M21" s="4" t="s">
        <v>47</v>
      </c>
      <c r="N21" s="4" t="s">
        <v>28</v>
      </c>
      <c r="O21" s="7">
        <v>18973608</v>
      </c>
      <c r="P21" s="4" t="s">
        <v>29</v>
      </c>
      <c r="Q21" s="7">
        <v>202504</v>
      </c>
      <c r="R21" s="7">
        <v>0</v>
      </c>
      <c r="S21" s="4" t="s">
        <v>30</v>
      </c>
      <c r="T21" s="7">
        <v>20250408</v>
      </c>
      <c r="U21" s="4"/>
      <c r="V21" s="7">
        <v>1.744149270021E+16</v>
      </c>
      <c r="W21" s="3"/>
      <c r="X21" s="3"/>
      <c r="Y21" s="3"/>
      <c r="Z21" s="3"/>
    </row>
    <row r="22" spans="1:26" ht="15.75" customHeight="1" x14ac:dyDescent="0.25">
      <c r="A22" s="4" t="s">
        <v>22</v>
      </c>
      <c r="B22" s="5">
        <v>18</v>
      </c>
      <c r="C22" s="4" t="s">
        <v>23</v>
      </c>
      <c r="D22" s="6">
        <v>45755</v>
      </c>
      <c r="E22" s="7">
        <v>802833363</v>
      </c>
      <c r="F22" s="4" t="s">
        <v>58</v>
      </c>
      <c r="G22" s="4" t="s">
        <v>59</v>
      </c>
      <c r="H22" s="4" t="s">
        <v>60</v>
      </c>
      <c r="I22" s="7">
        <v>20231001</v>
      </c>
      <c r="J22" s="7">
        <v>20250101</v>
      </c>
      <c r="K22" s="7">
        <v>202504</v>
      </c>
      <c r="L22" s="7">
        <v>18794740</v>
      </c>
      <c r="M22" s="4" t="s">
        <v>47</v>
      </c>
      <c r="N22" s="4" t="s">
        <v>28</v>
      </c>
      <c r="O22" s="7">
        <v>18973608</v>
      </c>
      <c r="P22" s="4" t="s">
        <v>29</v>
      </c>
      <c r="Q22" s="7">
        <v>202504</v>
      </c>
      <c r="R22" s="7">
        <v>0</v>
      </c>
      <c r="S22" s="4" t="s">
        <v>30</v>
      </c>
      <c r="T22" s="7">
        <v>20250408</v>
      </c>
      <c r="U22" s="4"/>
      <c r="V22" s="7">
        <v>1.74414920653E+16</v>
      </c>
      <c r="W22" s="3"/>
      <c r="X22" s="3"/>
      <c r="Y22" s="3"/>
      <c r="Z22" s="3"/>
    </row>
    <row r="23" spans="1:26" ht="15.75" customHeight="1" x14ac:dyDescent="0.25">
      <c r="A23" s="4" t="s">
        <v>22</v>
      </c>
      <c r="B23" s="5">
        <v>18</v>
      </c>
      <c r="C23" s="4" t="s">
        <v>23</v>
      </c>
      <c r="D23" s="6">
        <v>45755</v>
      </c>
      <c r="E23" s="7">
        <v>802401885</v>
      </c>
      <c r="F23" s="4" t="s">
        <v>61</v>
      </c>
      <c r="G23" s="4" t="s">
        <v>40</v>
      </c>
      <c r="H23" s="4" t="s">
        <v>41</v>
      </c>
      <c r="I23" s="7">
        <v>20200101</v>
      </c>
      <c r="J23" s="7">
        <v>20250101</v>
      </c>
      <c r="K23" s="7">
        <v>202504</v>
      </c>
      <c r="L23" s="7">
        <v>18794740</v>
      </c>
      <c r="M23" s="4" t="s">
        <v>47</v>
      </c>
      <c r="N23" s="4" t="s">
        <v>28</v>
      </c>
      <c r="O23" s="7">
        <v>18973608</v>
      </c>
      <c r="P23" s="4" t="s">
        <v>29</v>
      </c>
      <c r="Q23" s="7">
        <v>202504</v>
      </c>
      <c r="R23" s="7">
        <v>0</v>
      </c>
      <c r="S23" s="4" t="s">
        <v>30</v>
      </c>
      <c r="T23" s="7">
        <v>20250408</v>
      </c>
      <c r="U23" s="4"/>
      <c r="V23" s="7">
        <v>1.744149138441E+16</v>
      </c>
      <c r="W23" s="3"/>
      <c r="X23" s="3"/>
      <c r="Y23" s="3"/>
      <c r="Z23" s="3"/>
    </row>
    <row r="24" spans="1:26" ht="15.75" customHeight="1" x14ac:dyDescent="0.25">
      <c r="A24" s="4" t="s">
        <v>22</v>
      </c>
      <c r="B24" s="5">
        <v>18</v>
      </c>
      <c r="C24" s="4" t="s">
        <v>23</v>
      </c>
      <c r="D24" s="6">
        <v>45755</v>
      </c>
      <c r="E24" s="7">
        <v>802944968</v>
      </c>
      <c r="F24" s="4" t="s">
        <v>62</v>
      </c>
      <c r="G24" s="4" t="s">
        <v>59</v>
      </c>
      <c r="H24" s="4" t="s">
        <v>60</v>
      </c>
      <c r="I24" s="7">
        <v>20240801</v>
      </c>
      <c r="J24" s="7">
        <v>20250101</v>
      </c>
      <c r="K24" s="7">
        <v>202503</v>
      </c>
      <c r="L24" s="7">
        <v>18794740</v>
      </c>
      <c r="M24" s="4" t="s">
        <v>47</v>
      </c>
      <c r="N24" s="4" t="s">
        <v>28</v>
      </c>
      <c r="O24" s="7">
        <v>18973608</v>
      </c>
      <c r="P24" s="4" t="s">
        <v>29</v>
      </c>
      <c r="Q24" s="7">
        <v>202504</v>
      </c>
      <c r="R24" s="7">
        <v>0</v>
      </c>
      <c r="S24" s="4" t="s">
        <v>38</v>
      </c>
      <c r="T24" s="7">
        <v>20250408</v>
      </c>
      <c r="U24" s="4"/>
      <c r="V24" s="7">
        <v>1.744149155616E+16</v>
      </c>
      <c r="W24" s="3"/>
      <c r="X24" s="3"/>
      <c r="Y24" s="3"/>
      <c r="Z24" s="3"/>
    </row>
    <row r="25" spans="1:26" ht="15.75" customHeight="1" x14ac:dyDescent="0.25">
      <c r="A25" s="4" t="s">
        <v>22</v>
      </c>
      <c r="B25" s="5">
        <v>18</v>
      </c>
      <c r="C25" s="4" t="s">
        <v>23</v>
      </c>
      <c r="D25" s="6">
        <v>45755</v>
      </c>
      <c r="E25" s="7">
        <v>802504907</v>
      </c>
      <c r="F25" s="4" t="s">
        <v>63</v>
      </c>
      <c r="G25" s="4" t="s">
        <v>64</v>
      </c>
      <c r="H25" s="4" t="s">
        <v>65</v>
      </c>
      <c r="I25" s="7">
        <v>20210101</v>
      </c>
      <c r="J25" s="7">
        <v>20250101</v>
      </c>
      <c r="K25" s="7">
        <v>202504</v>
      </c>
      <c r="L25" s="7">
        <v>18794740</v>
      </c>
      <c r="M25" s="4" t="s">
        <v>47</v>
      </c>
      <c r="N25" s="4" t="s">
        <v>28</v>
      </c>
      <c r="O25" s="7">
        <v>18973608</v>
      </c>
      <c r="P25" s="4" t="s">
        <v>29</v>
      </c>
      <c r="Q25" s="7">
        <v>202504</v>
      </c>
      <c r="R25" s="7">
        <v>0</v>
      </c>
      <c r="S25" s="4" t="s">
        <v>30</v>
      </c>
      <c r="T25" s="7">
        <v>20250408</v>
      </c>
      <c r="U25" s="4"/>
      <c r="V25" s="7">
        <v>1.744149187215E+16</v>
      </c>
      <c r="W25" s="3"/>
      <c r="X25" s="3"/>
      <c r="Y25" s="3"/>
      <c r="Z25" s="3"/>
    </row>
    <row r="26" spans="1:26" ht="15.75" customHeight="1" x14ac:dyDescent="0.25">
      <c r="A26" s="4" t="s">
        <v>22</v>
      </c>
      <c r="B26" s="5">
        <v>18</v>
      </c>
      <c r="C26" s="4" t="s">
        <v>23</v>
      </c>
      <c r="D26" s="6">
        <v>45755</v>
      </c>
      <c r="E26" s="7">
        <v>802000786</v>
      </c>
      <c r="F26" s="4" t="s">
        <v>66</v>
      </c>
      <c r="G26" s="4" t="s">
        <v>25</v>
      </c>
      <c r="H26" s="4" t="s">
        <v>26</v>
      </c>
      <c r="I26" s="7">
        <v>20170101</v>
      </c>
      <c r="J26" s="7">
        <v>20250101</v>
      </c>
      <c r="K26" s="7">
        <v>202504</v>
      </c>
      <c r="L26" s="7">
        <v>18794740</v>
      </c>
      <c r="M26" s="4" t="s">
        <v>47</v>
      </c>
      <c r="N26" s="4" t="s">
        <v>28</v>
      </c>
      <c r="O26" s="7">
        <v>18973608</v>
      </c>
      <c r="P26" s="4" t="s">
        <v>29</v>
      </c>
      <c r="Q26" s="7">
        <v>202504</v>
      </c>
      <c r="R26" s="7">
        <v>0</v>
      </c>
      <c r="S26" s="4" t="s">
        <v>30</v>
      </c>
      <c r="T26" s="7">
        <v>20250408</v>
      </c>
      <c r="U26" s="4"/>
      <c r="V26" s="7">
        <v>1.744149225033E+16</v>
      </c>
      <c r="W26" s="3"/>
      <c r="X26" s="3"/>
      <c r="Y26" s="3"/>
      <c r="Z26" s="3"/>
    </row>
    <row r="27" spans="1:26" ht="15.75" customHeight="1" x14ac:dyDescent="0.25">
      <c r="A27" s="4" t="s">
        <v>22</v>
      </c>
      <c r="B27" s="5">
        <v>18</v>
      </c>
      <c r="C27" s="4" t="s">
        <v>23</v>
      </c>
      <c r="D27" s="6">
        <v>45755</v>
      </c>
      <c r="E27" s="7">
        <v>802515557</v>
      </c>
      <c r="F27" s="4" t="s">
        <v>67</v>
      </c>
      <c r="G27" s="4" t="s">
        <v>25</v>
      </c>
      <c r="H27" s="4" t="s">
        <v>26</v>
      </c>
      <c r="I27" s="7">
        <v>20210101</v>
      </c>
      <c r="J27" s="7">
        <v>20250101</v>
      </c>
      <c r="K27" s="7">
        <v>202504</v>
      </c>
      <c r="L27" s="7">
        <v>18794740</v>
      </c>
      <c r="M27" s="4" t="s">
        <v>47</v>
      </c>
      <c r="N27" s="4" t="s">
        <v>28</v>
      </c>
      <c r="O27" s="7">
        <v>18973608</v>
      </c>
      <c r="P27" s="4" t="s">
        <v>29</v>
      </c>
      <c r="Q27" s="7">
        <v>202504</v>
      </c>
      <c r="R27" s="7">
        <v>0</v>
      </c>
      <c r="S27" s="4" t="s">
        <v>30</v>
      </c>
      <c r="T27" s="7">
        <v>20250408</v>
      </c>
      <c r="U27" s="4"/>
      <c r="V27" s="7">
        <v>1.744149202509E+16</v>
      </c>
      <c r="W27" s="3"/>
      <c r="X27" s="3"/>
      <c r="Y27" s="3"/>
      <c r="Z27" s="3"/>
    </row>
    <row r="28" spans="1:26" ht="15.75" customHeight="1" x14ac:dyDescent="0.25">
      <c r="A28" s="4" t="s">
        <v>22</v>
      </c>
      <c r="B28" s="5">
        <v>18</v>
      </c>
      <c r="C28" s="4" t="s">
        <v>23</v>
      </c>
      <c r="D28" s="6">
        <v>45755</v>
      </c>
      <c r="E28" s="7">
        <v>802917167</v>
      </c>
      <c r="F28" s="4" t="s">
        <v>68</v>
      </c>
      <c r="G28" s="4" t="s">
        <v>49</v>
      </c>
      <c r="H28" s="4" t="s">
        <v>50</v>
      </c>
      <c r="I28" s="7">
        <v>20240501</v>
      </c>
      <c r="J28" s="7">
        <v>20250101</v>
      </c>
      <c r="K28" s="7">
        <v>202503</v>
      </c>
      <c r="L28" s="7">
        <v>18794740</v>
      </c>
      <c r="M28" s="4" t="s">
        <v>47</v>
      </c>
      <c r="N28" s="4" t="s">
        <v>28</v>
      </c>
      <c r="O28" s="7">
        <v>18973608</v>
      </c>
      <c r="P28" s="4" t="s">
        <v>29</v>
      </c>
      <c r="Q28" s="7">
        <v>202504</v>
      </c>
      <c r="R28" s="7">
        <v>0</v>
      </c>
      <c r="S28" s="4" t="s">
        <v>38</v>
      </c>
      <c r="T28" s="7">
        <v>20250408</v>
      </c>
      <c r="U28" s="4"/>
      <c r="V28" s="7">
        <v>1.744149370095E+16</v>
      </c>
      <c r="W28" s="3"/>
      <c r="X28" s="3"/>
      <c r="Y28" s="3"/>
      <c r="Z28" s="3"/>
    </row>
    <row r="29" spans="1:26" ht="15.75" customHeight="1" x14ac:dyDescent="0.25">
      <c r="A29" s="4" t="s">
        <v>22</v>
      </c>
      <c r="B29" s="5">
        <v>36</v>
      </c>
      <c r="C29" s="4" t="s">
        <v>23</v>
      </c>
      <c r="D29" s="6">
        <v>45755</v>
      </c>
      <c r="E29" s="7">
        <v>802807514</v>
      </c>
      <c r="F29" s="4" t="s">
        <v>69</v>
      </c>
      <c r="G29" s="4" t="s">
        <v>25</v>
      </c>
      <c r="H29" s="4" t="s">
        <v>26</v>
      </c>
      <c r="I29" s="7">
        <v>20230701</v>
      </c>
      <c r="J29" s="7">
        <v>20250101</v>
      </c>
      <c r="K29" s="7">
        <v>202504</v>
      </c>
      <c r="L29" s="7">
        <v>18794740</v>
      </c>
      <c r="M29" s="4" t="s">
        <v>47</v>
      </c>
      <c r="N29" s="4" t="s">
        <v>28</v>
      </c>
      <c r="O29" s="7">
        <v>18973608</v>
      </c>
      <c r="P29" s="4" t="s">
        <v>29</v>
      </c>
      <c r="Q29" s="7">
        <v>202504</v>
      </c>
      <c r="R29" s="7">
        <v>0</v>
      </c>
      <c r="S29" s="4" t="s">
        <v>30</v>
      </c>
      <c r="T29" s="7">
        <v>20250408</v>
      </c>
      <c r="U29" s="4"/>
      <c r="V29" s="7">
        <v>1.744149173144E+16</v>
      </c>
      <c r="W29" s="3"/>
      <c r="X29" s="3"/>
      <c r="Y29" s="3"/>
      <c r="Z29" s="3"/>
    </row>
    <row r="30" spans="1:26" ht="15.75" customHeight="1" x14ac:dyDescent="0.25">
      <c r="A30" s="4" t="s">
        <v>22</v>
      </c>
      <c r="B30" s="5">
        <v>36</v>
      </c>
      <c r="C30" s="4" t="s">
        <v>23</v>
      </c>
      <c r="D30" s="6">
        <v>45755</v>
      </c>
      <c r="E30" s="7">
        <v>802016040</v>
      </c>
      <c r="F30" s="4" t="s">
        <v>70</v>
      </c>
      <c r="G30" s="4" t="s">
        <v>25</v>
      </c>
      <c r="H30" s="4" t="s">
        <v>26</v>
      </c>
      <c r="I30" s="7">
        <v>20170101</v>
      </c>
      <c r="J30" s="7">
        <v>20250101</v>
      </c>
      <c r="K30" s="7">
        <v>202504</v>
      </c>
      <c r="L30" s="7">
        <v>18794740</v>
      </c>
      <c r="M30" s="4" t="s">
        <v>47</v>
      </c>
      <c r="N30" s="4" t="s">
        <v>28</v>
      </c>
      <c r="O30" s="7">
        <v>18973608</v>
      </c>
      <c r="P30" s="4" t="s">
        <v>29</v>
      </c>
      <c r="Q30" s="7">
        <v>202504</v>
      </c>
      <c r="R30" s="7">
        <v>0</v>
      </c>
      <c r="S30" s="4" t="s">
        <v>30</v>
      </c>
      <c r="T30" s="7">
        <v>20250408</v>
      </c>
      <c r="U30" s="4"/>
      <c r="V30" s="7">
        <v>1.744149264068E+16</v>
      </c>
      <c r="W30" s="3"/>
      <c r="X30" s="3"/>
      <c r="Y30" s="3"/>
      <c r="Z30" s="3"/>
    </row>
    <row r="31" spans="1:26" ht="15.75" customHeight="1" x14ac:dyDescent="0.25">
      <c r="A31" s="4" t="s">
        <v>22</v>
      </c>
      <c r="B31" s="5">
        <v>36</v>
      </c>
      <c r="C31" s="4" t="s">
        <v>23</v>
      </c>
      <c r="D31" s="6">
        <v>45755</v>
      </c>
      <c r="E31" s="7">
        <v>802651099</v>
      </c>
      <c r="F31" s="4" t="s">
        <v>71</v>
      </c>
      <c r="G31" s="4" t="s">
        <v>49</v>
      </c>
      <c r="H31" s="4" t="s">
        <v>50</v>
      </c>
      <c r="I31" s="7">
        <v>20220101</v>
      </c>
      <c r="J31" s="7">
        <v>20250201</v>
      </c>
      <c r="K31" s="7">
        <v>202503</v>
      </c>
      <c r="L31" s="7">
        <v>18794740</v>
      </c>
      <c r="M31" s="4" t="s">
        <v>47</v>
      </c>
      <c r="N31" s="4" t="s">
        <v>28</v>
      </c>
      <c r="O31" s="7">
        <v>18973608</v>
      </c>
      <c r="P31" s="4" t="s">
        <v>29</v>
      </c>
      <c r="Q31" s="7">
        <v>202504</v>
      </c>
      <c r="R31" s="7">
        <v>0</v>
      </c>
      <c r="S31" s="4" t="s">
        <v>30</v>
      </c>
      <c r="T31" s="7">
        <v>20250408</v>
      </c>
      <c r="U31" s="4"/>
      <c r="V31" s="7">
        <v>1.744149290202E+16</v>
      </c>
      <c r="W31" s="3"/>
      <c r="X31" s="3"/>
      <c r="Y31" s="3"/>
      <c r="Z31" s="3"/>
    </row>
    <row r="32" spans="1:26" ht="15.75" customHeight="1" x14ac:dyDescent="0.25">
      <c r="A32" s="4" t="s">
        <v>22</v>
      </c>
      <c r="B32" s="5">
        <v>36</v>
      </c>
      <c r="C32" s="4" t="s">
        <v>23</v>
      </c>
      <c r="D32" s="6">
        <v>45755</v>
      </c>
      <c r="E32" s="7">
        <v>801963708</v>
      </c>
      <c r="F32" s="4" t="s">
        <v>72</v>
      </c>
      <c r="G32" s="4" t="s">
        <v>25</v>
      </c>
      <c r="H32" s="4" t="s">
        <v>26</v>
      </c>
      <c r="I32" s="7">
        <v>20170101</v>
      </c>
      <c r="J32" s="7">
        <v>20250101</v>
      </c>
      <c r="K32" s="7">
        <v>202504</v>
      </c>
      <c r="L32" s="7">
        <v>18794740</v>
      </c>
      <c r="M32" s="4" t="s">
        <v>47</v>
      </c>
      <c r="N32" s="4" t="s">
        <v>28</v>
      </c>
      <c r="O32" s="7">
        <v>18973608</v>
      </c>
      <c r="P32" s="4" t="s">
        <v>29</v>
      </c>
      <c r="Q32" s="7">
        <v>202504</v>
      </c>
      <c r="R32" s="7">
        <v>0</v>
      </c>
      <c r="S32" s="4" t="s">
        <v>30</v>
      </c>
      <c r="T32" s="7">
        <v>20250408</v>
      </c>
      <c r="U32" s="4"/>
      <c r="V32" s="7">
        <v>1.744149309692E+16</v>
      </c>
      <c r="W32" s="3"/>
      <c r="X32" s="3"/>
      <c r="Y32" s="3"/>
      <c r="Z32" s="3"/>
    </row>
    <row r="33" spans="1:26" ht="15.75" customHeight="1" x14ac:dyDescent="0.25">
      <c r="A33" s="4" t="s">
        <v>22</v>
      </c>
      <c r="B33" s="5">
        <v>36</v>
      </c>
      <c r="C33" s="4" t="s">
        <v>23</v>
      </c>
      <c r="D33" s="6">
        <v>45755</v>
      </c>
      <c r="E33" s="7">
        <v>802341284</v>
      </c>
      <c r="F33" s="4" t="s">
        <v>73</v>
      </c>
      <c r="G33" s="4" t="s">
        <v>25</v>
      </c>
      <c r="H33" s="4" t="s">
        <v>26</v>
      </c>
      <c r="I33" s="7">
        <v>20190401</v>
      </c>
      <c r="J33" s="7">
        <v>20250101</v>
      </c>
      <c r="K33" s="7">
        <v>202503</v>
      </c>
      <c r="L33" s="7">
        <v>18794740</v>
      </c>
      <c r="M33" s="4" t="s">
        <v>47</v>
      </c>
      <c r="N33" s="4" t="s">
        <v>28</v>
      </c>
      <c r="O33" s="7">
        <v>18973608</v>
      </c>
      <c r="P33" s="4" t="s">
        <v>29</v>
      </c>
      <c r="Q33" s="7">
        <v>202504</v>
      </c>
      <c r="R33" s="7">
        <v>0</v>
      </c>
      <c r="S33" s="4" t="s">
        <v>30</v>
      </c>
      <c r="T33" s="7">
        <v>20250408</v>
      </c>
      <c r="U33" s="4"/>
      <c r="V33" s="7">
        <v>1.744149133041E+16</v>
      </c>
      <c r="W33" s="3"/>
      <c r="X33" s="3"/>
      <c r="Y33" s="3"/>
      <c r="Z33" s="3"/>
    </row>
    <row r="34" spans="1:26" ht="15.75" customHeight="1" x14ac:dyDescent="0.25">
      <c r="A34" s="4" t="s">
        <v>22</v>
      </c>
      <c r="B34" s="5">
        <v>36</v>
      </c>
      <c r="C34" s="4" t="s">
        <v>23</v>
      </c>
      <c r="D34" s="6">
        <v>45755</v>
      </c>
      <c r="E34" s="7">
        <v>802629089</v>
      </c>
      <c r="F34" s="4" t="s">
        <v>74</v>
      </c>
      <c r="G34" s="4" t="s">
        <v>55</v>
      </c>
      <c r="H34" s="4" t="s">
        <v>56</v>
      </c>
      <c r="I34" s="7">
        <v>20220101</v>
      </c>
      <c r="J34" s="7">
        <v>20250101</v>
      </c>
      <c r="K34" s="7">
        <v>202503</v>
      </c>
      <c r="L34" s="7">
        <v>18794740</v>
      </c>
      <c r="M34" s="4" t="s">
        <v>47</v>
      </c>
      <c r="N34" s="4" t="s">
        <v>28</v>
      </c>
      <c r="O34" s="7">
        <v>18973608</v>
      </c>
      <c r="P34" s="4" t="s">
        <v>29</v>
      </c>
      <c r="Q34" s="7">
        <v>202504</v>
      </c>
      <c r="R34" s="7">
        <v>0</v>
      </c>
      <c r="S34" s="4" t="s">
        <v>30</v>
      </c>
      <c r="T34" s="7">
        <v>20250408</v>
      </c>
      <c r="U34" s="4"/>
      <c r="V34" s="7">
        <v>1.744149269651E+16</v>
      </c>
      <c r="W34" s="3"/>
      <c r="X34" s="3"/>
      <c r="Y34" s="3"/>
      <c r="Z34" s="3"/>
    </row>
    <row r="35" spans="1:26" ht="15.75" customHeight="1" x14ac:dyDescent="0.25">
      <c r="A35" s="4" t="s">
        <v>22</v>
      </c>
      <c r="B35" s="5">
        <v>36</v>
      </c>
      <c r="C35" s="4" t="s">
        <v>23</v>
      </c>
      <c r="D35" s="6">
        <v>45755</v>
      </c>
      <c r="E35" s="7">
        <v>801942897</v>
      </c>
      <c r="F35" s="4" t="s">
        <v>75</v>
      </c>
      <c r="G35" s="4" t="s">
        <v>25</v>
      </c>
      <c r="H35" s="4" t="s">
        <v>26</v>
      </c>
      <c r="I35" s="7">
        <v>20170101</v>
      </c>
      <c r="J35" s="7">
        <v>20250101</v>
      </c>
      <c r="K35" s="7">
        <v>202504</v>
      </c>
      <c r="L35" s="7">
        <v>18794740</v>
      </c>
      <c r="M35" s="4" t="s">
        <v>47</v>
      </c>
      <c r="N35" s="4" t="s">
        <v>28</v>
      </c>
      <c r="O35" s="7">
        <v>18973608</v>
      </c>
      <c r="P35" s="4" t="s">
        <v>29</v>
      </c>
      <c r="Q35" s="7">
        <v>202504</v>
      </c>
      <c r="R35" s="7">
        <v>0</v>
      </c>
      <c r="S35" s="4" t="s">
        <v>30</v>
      </c>
      <c r="T35" s="7">
        <v>20250408</v>
      </c>
      <c r="U35" s="4"/>
      <c r="V35" s="7">
        <v>1.744149273068E+16</v>
      </c>
      <c r="W35" s="3"/>
      <c r="X35" s="3"/>
      <c r="Y35" s="3"/>
      <c r="Z35" s="3"/>
    </row>
    <row r="36" spans="1:26" ht="15.75" customHeight="1" x14ac:dyDescent="0.25">
      <c r="A36" s="4" t="s">
        <v>22</v>
      </c>
      <c r="B36" s="5">
        <v>36</v>
      </c>
      <c r="C36" s="4" t="s">
        <v>23</v>
      </c>
      <c r="D36" s="6">
        <v>45755</v>
      </c>
      <c r="E36" s="7">
        <v>802407693</v>
      </c>
      <c r="F36" s="4" t="s">
        <v>76</v>
      </c>
      <c r="G36" s="4" t="s">
        <v>25</v>
      </c>
      <c r="H36" s="4" t="s">
        <v>26</v>
      </c>
      <c r="I36" s="7">
        <v>20200101</v>
      </c>
      <c r="J36" s="7">
        <v>20250101</v>
      </c>
      <c r="K36" s="7">
        <v>202504</v>
      </c>
      <c r="L36" s="7">
        <v>18794740</v>
      </c>
      <c r="M36" s="4" t="s">
        <v>47</v>
      </c>
      <c r="N36" s="4" t="s">
        <v>28</v>
      </c>
      <c r="O36" s="7">
        <v>18973608</v>
      </c>
      <c r="P36" s="4" t="s">
        <v>29</v>
      </c>
      <c r="Q36" s="7">
        <v>202504</v>
      </c>
      <c r="R36" s="7">
        <v>0</v>
      </c>
      <c r="S36" s="4" t="s">
        <v>30</v>
      </c>
      <c r="T36" s="7">
        <v>20250408</v>
      </c>
      <c r="U36" s="4"/>
      <c r="V36" s="7">
        <v>1.74414914236E+16</v>
      </c>
      <c r="W36" s="3"/>
      <c r="X36" s="3"/>
      <c r="Y36" s="3"/>
      <c r="Z36" s="3"/>
    </row>
    <row r="37" spans="1:26" ht="15.75" customHeight="1" x14ac:dyDescent="0.25">
      <c r="A37" s="4" t="s">
        <v>22</v>
      </c>
      <c r="B37" s="5">
        <v>36</v>
      </c>
      <c r="C37" s="4" t="s">
        <v>23</v>
      </c>
      <c r="D37" s="6">
        <v>45755</v>
      </c>
      <c r="E37" s="7">
        <v>802501295</v>
      </c>
      <c r="F37" s="4" t="s">
        <v>77</v>
      </c>
      <c r="G37" s="4" t="s">
        <v>78</v>
      </c>
      <c r="H37" s="4" t="s">
        <v>79</v>
      </c>
      <c r="I37" s="7">
        <v>20210101</v>
      </c>
      <c r="J37" s="7">
        <v>20250101</v>
      </c>
      <c r="K37" s="7">
        <v>202503</v>
      </c>
      <c r="L37" s="7">
        <v>18794740</v>
      </c>
      <c r="M37" s="4" t="s">
        <v>47</v>
      </c>
      <c r="N37" s="4" t="s">
        <v>28</v>
      </c>
      <c r="O37" s="7">
        <v>18973608</v>
      </c>
      <c r="P37" s="4" t="s">
        <v>29</v>
      </c>
      <c r="Q37" s="7">
        <v>202504</v>
      </c>
      <c r="R37" s="7">
        <v>0</v>
      </c>
      <c r="S37" s="4" t="s">
        <v>30</v>
      </c>
      <c r="T37" s="7">
        <v>20250408</v>
      </c>
      <c r="U37" s="4"/>
      <c r="V37" s="7">
        <v>1.744149186059E+16</v>
      </c>
      <c r="W37" s="3"/>
      <c r="X37" s="3"/>
      <c r="Y37" s="3"/>
      <c r="Z37" s="3"/>
    </row>
    <row r="38" spans="1:26" ht="15.75" customHeight="1" x14ac:dyDescent="0.25">
      <c r="A38" s="4" t="s">
        <v>22</v>
      </c>
      <c r="B38" s="5">
        <v>36</v>
      </c>
      <c r="C38" s="4" t="s">
        <v>23</v>
      </c>
      <c r="D38" s="6">
        <v>45755</v>
      </c>
      <c r="E38" s="7">
        <v>802879845</v>
      </c>
      <c r="F38" s="4" t="s">
        <v>80</v>
      </c>
      <c r="G38" s="4" t="s">
        <v>81</v>
      </c>
      <c r="H38" s="4" t="s">
        <v>82</v>
      </c>
      <c r="I38" s="7">
        <v>20240201</v>
      </c>
      <c r="J38" s="7">
        <v>20250101</v>
      </c>
      <c r="K38" s="7">
        <v>202504</v>
      </c>
      <c r="L38" s="7">
        <v>18794740</v>
      </c>
      <c r="M38" s="4" t="s">
        <v>47</v>
      </c>
      <c r="N38" s="4" t="s">
        <v>28</v>
      </c>
      <c r="O38" s="7">
        <v>18973608</v>
      </c>
      <c r="P38" s="4" t="s">
        <v>29</v>
      </c>
      <c r="Q38" s="7">
        <v>202504</v>
      </c>
      <c r="R38" s="7">
        <v>0</v>
      </c>
      <c r="S38" s="4" t="s">
        <v>30</v>
      </c>
      <c r="T38" s="7">
        <v>20250408</v>
      </c>
      <c r="U38" s="4"/>
      <c r="V38" s="7">
        <v>1.744149287397E+16</v>
      </c>
      <c r="W38" s="3"/>
      <c r="X38" s="3"/>
      <c r="Y38" s="3"/>
      <c r="Z38" s="3"/>
    </row>
    <row r="39" spans="1:26" ht="15.75" customHeight="1" x14ac:dyDescent="0.25">
      <c r="A39" s="4" t="s">
        <v>22</v>
      </c>
      <c r="B39" s="5">
        <v>36</v>
      </c>
      <c r="C39" s="4" t="s">
        <v>23</v>
      </c>
      <c r="D39" s="6">
        <v>45755</v>
      </c>
      <c r="E39" s="7">
        <v>802893616</v>
      </c>
      <c r="F39" s="4" t="s">
        <v>83</v>
      </c>
      <c r="G39" s="4" t="s">
        <v>25</v>
      </c>
      <c r="H39" s="4" t="s">
        <v>26</v>
      </c>
      <c r="I39" s="7">
        <v>20240201</v>
      </c>
      <c r="J39" s="7">
        <v>20250101</v>
      </c>
      <c r="K39" s="7">
        <v>202503</v>
      </c>
      <c r="L39" s="7">
        <v>18794740</v>
      </c>
      <c r="M39" s="4" t="s">
        <v>47</v>
      </c>
      <c r="N39" s="4" t="s">
        <v>28</v>
      </c>
      <c r="O39" s="7">
        <v>18973608</v>
      </c>
      <c r="P39" s="4" t="s">
        <v>29</v>
      </c>
      <c r="Q39" s="7">
        <v>202504</v>
      </c>
      <c r="R39" s="7">
        <v>0</v>
      </c>
      <c r="S39" s="4" t="s">
        <v>30</v>
      </c>
      <c r="T39" s="7">
        <v>20250408</v>
      </c>
      <c r="U39" s="4"/>
      <c r="V39" s="7">
        <v>1.744149315177E+16</v>
      </c>
      <c r="W39" s="3"/>
      <c r="X39" s="3"/>
      <c r="Y39" s="3"/>
      <c r="Z39" s="3"/>
    </row>
    <row r="40" spans="1:26" ht="15" x14ac:dyDescent="0.25">
      <c r="A40" s="4" t="s">
        <v>22</v>
      </c>
      <c r="B40" s="5">
        <v>36</v>
      </c>
      <c r="C40" s="4" t="s">
        <v>23</v>
      </c>
      <c r="D40" s="6">
        <v>45755</v>
      </c>
      <c r="E40" s="7">
        <v>802893616</v>
      </c>
      <c r="F40" s="4" t="s">
        <v>83</v>
      </c>
      <c r="G40" s="4" t="s">
        <v>25</v>
      </c>
      <c r="H40" s="4" t="s">
        <v>26</v>
      </c>
      <c r="I40" s="7">
        <v>20240201</v>
      </c>
      <c r="J40" s="7">
        <v>20250101</v>
      </c>
      <c r="K40" s="7">
        <v>202504</v>
      </c>
      <c r="L40" s="7">
        <v>18794740</v>
      </c>
      <c r="M40" s="4" t="s">
        <v>47</v>
      </c>
      <c r="N40" s="4" t="s">
        <v>28</v>
      </c>
      <c r="O40" s="7">
        <v>18973608</v>
      </c>
      <c r="P40" s="4" t="s">
        <v>29</v>
      </c>
      <c r="Q40" s="7">
        <v>202504</v>
      </c>
      <c r="R40" s="7">
        <v>0</v>
      </c>
      <c r="S40" s="4" t="s">
        <v>30</v>
      </c>
      <c r="T40" s="7">
        <v>20250408</v>
      </c>
      <c r="U40" s="4"/>
      <c r="V40" s="7">
        <v>1.74414931521E+16</v>
      </c>
      <c r="W40" s="3"/>
      <c r="X40" s="3"/>
      <c r="Y40" s="3"/>
      <c r="Z40" s="3"/>
    </row>
    <row r="41" spans="1:26" ht="15" x14ac:dyDescent="0.25">
      <c r="A41" s="4" t="s">
        <v>22</v>
      </c>
      <c r="B41" s="5">
        <v>18</v>
      </c>
      <c r="C41" s="4" t="s">
        <v>23</v>
      </c>
      <c r="D41" s="6">
        <v>45783</v>
      </c>
      <c r="E41" s="7">
        <v>802794400</v>
      </c>
      <c r="F41" s="4" t="s">
        <v>52</v>
      </c>
      <c r="G41" s="4" t="s">
        <v>25</v>
      </c>
      <c r="H41" s="4" t="s">
        <v>26</v>
      </c>
      <c r="I41" s="7">
        <v>20230401</v>
      </c>
      <c r="J41" s="7">
        <v>20250101</v>
      </c>
      <c r="K41" s="7">
        <v>202505</v>
      </c>
      <c r="L41" s="7">
        <v>18794740</v>
      </c>
      <c r="M41" s="4" t="s">
        <v>47</v>
      </c>
      <c r="N41" s="4" t="s">
        <v>28</v>
      </c>
      <c r="O41" s="7">
        <v>18973608</v>
      </c>
      <c r="P41" s="4" t="s">
        <v>29</v>
      </c>
      <c r="Q41" s="7">
        <v>202505</v>
      </c>
      <c r="R41" s="7">
        <v>0</v>
      </c>
      <c r="S41" s="4" t="s">
        <v>30</v>
      </c>
      <c r="T41" s="7">
        <v>20250506</v>
      </c>
      <c r="U41" s="4"/>
      <c r="V41" s="7">
        <v>1.746571170868E+16</v>
      </c>
      <c r="W41" s="3"/>
      <c r="X41" s="3"/>
      <c r="Y41" s="3"/>
      <c r="Z41" s="3"/>
    </row>
    <row r="42" spans="1:26" ht="15" x14ac:dyDescent="0.25">
      <c r="A42" s="4" t="s">
        <v>22</v>
      </c>
      <c r="B42" s="5">
        <v>18</v>
      </c>
      <c r="C42" s="4" t="s">
        <v>23</v>
      </c>
      <c r="D42" s="6">
        <v>45783</v>
      </c>
      <c r="E42" s="7">
        <v>802777578</v>
      </c>
      <c r="F42" s="4" t="s">
        <v>46</v>
      </c>
      <c r="G42" s="4" t="s">
        <v>25</v>
      </c>
      <c r="H42" s="4" t="s">
        <v>26</v>
      </c>
      <c r="I42" s="7">
        <v>20230201</v>
      </c>
      <c r="J42" s="7">
        <v>20250101</v>
      </c>
      <c r="K42" s="7">
        <v>202505</v>
      </c>
      <c r="L42" s="7">
        <v>18794740</v>
      </c>
      <c r="M42" s="4" t="s">
        <v>47</v>
      </c>
      <c r="N42" s="4" t="s">
        <v>28</v>
      </c>
      <c r="O42" s="7">
        <v>18973608</v>
      </c>
      <c r="P42" s="4" t="s">
        <v>29</v>
      </c>
      <c r="Q42" s="7">
        <v>202505</v>
      </c>
      <c r="R42" s="7">
        <v>0</v>
      </c>
      <c r="S42" s="4" t="s">
        <v>30</v>
      </c>
      <c r="T42" s="7">
        <v>20250506</v>
      </c>
      <c r="U42" s="4"/>
      <c r="V42" s="7">
        <v>1.746571152647E+16</v>
      </c>
      <c r="W42" s="3"/>
      <c r="X42" s="3"/>
      <c r="Y42" s="3"/>
      <c r="Z42" s="3"/>
    </row>
    <row r="43" spans="1:26" ht="15" x14ac:dyDescent="0.25">
      <c r="A43" s="4" t="s">
        <v>22</v>
      </c>
      <c r="B43" s="5">
        <v>18</v>
      </c>
      <c r="C43" s="4" t="s">
        <v>23</v>
      </c>
      <c r="D43" s="6">
        <v>45783</v>
      </c>
      <c r="E43" s="7">
        <v>802765299</v>
      </c>
      <c r="F43" s="4" t="s">
        <v>48</v>
      </c>
      <c r="G43" s="4" t="s">
        <v>49</v>
      </c>
      <c r="H43" s="4" t="s">
        <v>50</v>
      </c>
      <c r="I43" s="7">
        <v>20230101</v>
      </c>
      <c r="J43" s="7">
        <v>20250101</v>
      </c>
      <c r="K43" s="7">
        <v>202505</v>
      </c>
      <c r="L43" s="7">
        <v>18794740</v>
      </c>
      <c r="M43" s="4" t="s">
        <v>47</v>
      </c>
      <c r="N43" s="4" t="s">
        <v>28</v>
      </c>
      <c r="O43" s="7">
        <v>18973608</v>
      </c>
      <c r="P43" s="4" t="s">
        <v>29</v>
      </c>
      <c r="Q43" s="7">
        <v>202505</v>
      </c>
      <c r="R43" s="7">
        <v>0</v>
      </c>
      <c r="S43" s="4" t="s">
        <v>30</v>
      </c>
      <c r="T43" s="7">
        <v>20250506</v>
      </c>
      <c r="U43" s="4"/>
      <c r="V43" s="7">
        <v>1.746571431105E+16</v>
      </c>
      <c r="W43" s="3"/>
      <c r="X43" s="3"/>
      <c r="Y43" s="3"/>
      <c r="Z43" s="3"/>
    </row>
    <row r="44" spans="1:26" ht="15" x14ac:dyDescent="0.25">
      <c r="A44" s="4" t="s">
        <v>22</v>
      </c>
      <c r="B44" s="5">
        <v>18</v>
      </c>
      <c r="C44" s="4" t="s">
        <v>23</v>
      </c>
      <c r="D44" s="6">
        <v>45783</v>
      </c>
      <c r="E44" s="7">
        <v>802629066</v>
      </c>
      <c r="F44" s="4" t="s">
        <v>54</v>
      </c>
      <c r="G44" s="4" t="s">
        <v>55</v>
      </c>
      <c r="H44" s="4" t="s">
        <v>56</v>
      </c>
      <c r="I44" s="7">
        <v>20220101</v>
      </c>
      <c r="J44" s="7">
        <v>20250101</v>
      </c>
      <c r="K44" s="7">
        <v>202504</v>
      </c>
      <c r="L44" s="7">
        <v>18794740</v>
      </c>
      <c r="M44" s="4" t="s">
        <v>47</v>
      </c>
      <c r="N44" s="4" t="s">
        <v>28</v>
      </c>
      <c r="O44" s="7">
        <v>18973608</v>
      </c>
      <c r="P44" s="4" t="s">
        <v>29</v>
      </c>
      <c r="Q44" s="7">
        <v>202505</v>
      </c>
      <c r="R44" s="7">
        <v>0</v>
      </c>
      <c r="S44" s="4" t="s">
        <v>30</v>
      </c>
      <c r="T44" s="7">
        <v>20250506</v>
      </c>
      <c r="U44" s="4"/>
      <c r="V44" s="7">
        <v>1.74657131229E+16</v>
      </c>
      <c r="W44" s="3"/>
      <c r="X44" s="3"/>
      <c r="Y44" s="3"/>
      <c r="Z44" s="3"/>
    </row>
    <row r="45" spans="1:26" ht="15" x14ac:dyDescent="0.25">
      <c r="A45" s="4" t="s">
        <v>22</v>
      </c>
      <c r="B45" s="5">
        <v>18</v>
      </c>
      <c r="C45" s="4" t="s">
        <v>23</v>
      </c>
      <c r="D45" s="6">
        <v>45783</v>
      </c>
      <c r="E45" s="7">
        <v>802629573</v>
      </c>
      <c r="F45" s="4" t="s">
        <v>57</v>
      </c>
      <c r="G45" s="4" t="s">
        <v>25</v>
      </c>
      <c r="H45" s="4" t="s">
        <v>26</v>
      </c>
      <c r="I45" s="7">
        <v>20220101</v>
      </c>
      <c r="J45" s="7">
        <v>20250101</v>
      </c>
      <c r="K45" s="7">
        <v>202505</v>
      </c>
      <c r="L45" s="7">
        <v>18794740</v>
      </c>
      <c r="M45" s="4" t="s">
        <v>47</v>
      </c>
      <c r="N45" s="4" t="s">
        <v>28</v>
      </c>
      <c r="O45" s="7">
        <v>18973608</v>
      </c>
      <c r="P45" s="4" t="s">
        <v>29</v>
      </c>
      <c r="Q45" s="7">
        <v>202505</v>
      </c>
      <c r="R45" s="7">
        <v>0</v>
      </c>
      <c r="S45" s="4" t="s">
        <v>30</v>
      </c>
      <c r="T45" s="7">
        <v>20250506</v>
      </c>
      <c r="U45" s="4"/>
      <c r="V45" s="7">
        <v>1.746571312846E+16</v>
      </c>
      <c r="W45" s="3"/>
      <c r="X45" s="3"/>
      <c r="Y45" s="3"/>
      <c r="Z45" s="3"/>
    </row>
    <row r="46" spans="1:26" ht="15" x14ac:dyDescent="0.25">
      <c r="A46" s="4" t="s">
        <v>22</v>
      </c>
      <c r="B46" s="5">
        <v>18</v>
      </c>
      <c r="C46" s="4" t="s">
        <v>23</v>
      </c>
      <c r="D46" s="6">
        <v>45783</v>
      </c>
      <c r="E46" s="7">
        <v>802552042</v>
      </c>
      <c r="F46" s="4" t="s">
        <v>51</v>
      </c>
      <c r="G46" s="4" t="s">
        <v>25</v>
      </c>
      <c r="H46" s="4" t="s">
        <v>26</v>
      </c>
      <c r="I46" s="7">
        <v>20210301</v>
      </c>
      <c r="J46" s="7">
        <v>20250101</v>
      </c>
      <c r="K46" s="7">
        <v>202505</v>
      </c>
      <c r="L46" s="7">
        <v>18794740</v>
      </c>
      <c r="M46" s="4" t="s">
        <v>47</v>
      </c>
      <c r="N46" s="4" t="s">
        <v>28</v>
      </c>
      <c r="O46" s="7">
        <v>18973608</v>
      </c>
      <c r="P46" s="4" t="s">
        <v>29</v>
      </c>
      <c r="Q46" s="7">
        <v>202505</v>
      </c>
      <c r="R46" s="7">
        <v>0</v>
      </c>
      <c r="S46" s="4" t="s">
        <v>30</v>
      </c>
      <c r="T46" s="7">
        <v>20250506</v>
      </c>
      <c r="U46" s="4"/>
      <c r="V46" s="7">
        <v>1.746571207636E+16</v>
      </c>
      <c r="W46" s="3"/>
      <c r="X46" s="3"/>
      <c r="Y46" s="3"/>
      <c r="Z46" s="3"/>
    </row>
    <row r="47" spans="1:26" ht="15" x14ac:dyDescent="0.25">
      <c r="A47" s="4" t="s">
        <v>22</v>
      </c>
      <c r="B47" s="5">
        <v>18</v>
      </c>
      <c r="C47" s="4" t="s">
        <v>23</v>
      </c>
      <c r="D47" s="6">
        <v>45783</v>
      </c>
      <c r="E47" s="7">
        <v>802944968</v>
      </c>
      <c r="F47" s="4" t="s">
        <v>62</v>
      </c>
      <c r="G47" s="4" t="s">
        <v>59</v>
      </c>
      <c r="H47" s="4" t="s">
        <v>60</v>
      </c>
      <c r="I47" s="7">
        <v>20240801</v>
      </c>
      <c r="J47" s="7">
        <v>20250101</v>
      </c>
      <c r="K47" s="7">
        <v>202504</v>
      </c>
      <c r="L47" s="7">
        <v>18794740</v>
      </c>
      <c r="M47" s="4" t="s">
        <v>47</v>
      </c>
      <c r="N47" s="4" t="s">
        <v>28</v>
      </c>
      <c r="O47" s="7">
        <v>18973608</v>
      </c>
      <c r="P47" s="4" t="s">
        <v>29</v>
      </c>
      <c r="Q47" s="7">
        <v>202505</v>
      </c>
      <c r="R47" s="7">
        <v>0</v>
      </c>
      <c r="S47" s="4" t="s">
        <v>38</v>
      </c>
      <c r="T47" s="7">
        <v>20250506</v>
      </c>
      <c r="U47" s="4"/>
      <c r="V47" s="7">
        <v>1.746571149041E+16</v>
      </c>
      <c r="W47" s="3"/>
      <c r="X47" s="3"/>
      <c r="Y47" s="3"/>
      <c r="Z47" s="3"/>
    </row>
    <row r="48" spans="1:26" ht="15" x14ac:dyDescent="0.25">
      <c r="A48" s="4" t="s">
        <v>22</v>
      </c>
      <c r="B48" s="5">
        <v>18</v>
      </c>
      <c r="C48" s="4" t="s">
        <v>23</v>
      </c>
      <c r="D48" s="6">
        <v>45783</v>
      </c>
      <c r="E48" s="7">
        <v>802401885</v>
      </c>
      <c r="F48" s="4" t="s">
        <v>61</v>
      </c>
      <c r="G48" s="4" t="s">
        <v>40</v>
      </c>
      <c r="H48" s="4" t="s">
        <v>41</v>
      </c>
      <c r="I48" s="7">
        <v>20200101</v>
      </c>
      <c r="J48" s="7">
        <v>20250101</v>
      </c>
      <c r="K48" s="7">
        <v>202505</v>
      </c>
      <c r="L48" s="7">
        <v>18794740</v>
      </c>
      <c r="M48" s="4" t="s">
        <v>47</v>
      </c>
      <c r="N48" s="4" t="s">
        <v>28</v>
      </c>
      <c r="O48" s="7">
        <v>18973608</v>
      </c>
      <c r="P48" s="4" t="s">
        <v>29</v>
      </c>
      <c r="Q48" s="7">
        <v>202505</v>
      </c>
      <c r="R48" s="7">
        <v>0</v>
      </c>
      <c r="S48" s="4" t="s">
        <v>30</v>
      </c>
      <c r="T48" s="7">
        <v>20250506</v>
      </c>
      <c r="U48" s="4"/>
      <c r="V48" s="7">
        <v>1.746571180477E+16</v>
      </c>
      <c r="W48" s="3"/>
      <c r="X48" s="3"/>
      <c r="Y48" s="3"/>
      <c r="Z48" s="3"/>
    </row>
    <row r="49" spans="1:26" ht="15" x14ac:dyDescent="0.25">
      <c r="A49" s="4" t="s">
        <v>22</v>
      </c>
      <c r="B49" s="5">
        <v>18</v>
      </c>
      <c r="C49" s="4" t="s">
        <v>23</v>
      </c>
      <c r="D49" s="6">
        <v>45783</v>
      </c>
      <c r="E49" s="7">
        <v>802000786</v>
      </c>
      <c r="F49" s="4" t="s">
        <v>66</v>
      </c>
      <c r="G49" s="4" t="s">
        <v>25</v>
      </c>
      <c r="H49" s="4" t="s">
        <v>26</v>
      </c>
      <c r="I49" s="7">
        <v>20170101</v>
      </c>
      <c r="J49" s="7">
        <v>20250101</v>
      </c>
      <c r="K49" s="7">
        <v>202505</v>
      </c>
      <c r="L49" s="7">
        <v>18794740</v>
      </c>
      <c r="M49" s="4" t="s">
        <v>47</v>
      </c>
      <c r="N49" s="4" t="s">
        <v>28</v>
      </c>
      <c r="O49" s="7">
        <v>18973608</v>
      </c>
      <c r="P49" s="4" t="s">
        <v>29</v>
      </c>
      <c r="Q49" s="7">
        <v>202505</v>
      </c>
      <c r="R49" s="7">
        <v>0</v>
      </c>
      <c r="S49" s="4" t="s">
        <v>30</v>
      </c>
      <c r="T49" s="7">
        <v>20250506</v>
      </c>
      <c r="U49" s="4"/>
      <c r="V49" s="7">
        <v>1.74657125837E+16</v>
      </c>
      <c r="W49" s="3"/>
      <c r="X49" s="3"/>
      <c r="Y49" s="3"/>
      <c r="Z49" s="3"/>
    </row>
    <row r="50" spans="1:26" ht="15" x14ac:dyDescent="0.25">
      <c r="A50" s="4" t="s">
        <v>22</v>
      </c>
      <c r="B50" s="5">
        <v>18</v>
      </c>
      <c r="C50" s="4" t="s">
        <v>23</v>
      </c>
      <c r="D50" s="6">
        <v>45783</v>
      </c>
      <c r="E50" s="7">
        <v>802917167</v>
      </c>
      <c r="F50" s="4" t="s">
        <v>68</v>
      </c>
      <c r="G50" s="4" t="s">
        <v>49</v>
      </c>
      <c r="H50" s="4" t="s">
        <v>50</v>
      </c>
      <c r="I50" s="7">
        <v>20240501</v>
      </c>
      <c r="J50" s="7">
        <v>20250101</v>
      </c>
      <c r="K50" s="7">
        <v>202504</v>
      </c>
      <c r="L50" s="7">
        <v>18794740</v>
      </c>
      <c r="M50" s="4" t="s">
        <v>47</v>
      </c>
      <c r="N50" s="4" t="s">
        <v>28</v>
      </c>
      <c r="O50" s="7">
        <v>18973608</v>
      </c>
      <c r="P50" s="4" t="s">
        <v>29</v>
      </c>
      <c r="Q50" s="7">
        <v>202505</v>
      </c>
      <c r="R50" s="7">
        <v>0</v>
      </c>
      <c r="S50" s="4" t="s">
        <v>38</v>
      </c>
      <c r="T50" s="7">
        <v>20250506</v>
      </c>
      <c r="U50" s="4"/>
      <c r="V50" s="7">
        <v>1.746571370497E+16</v>
      </c>
      <c r="W50" s="3"/>
      <c r="X50" s="3"/>
      <c r="Y50" s="3"/>
      <c r="Z50" s="3"/>
    </row>
    <row r="51" spans="1:26" ht="15" x14ac:dyDescent="0.25">
      <c r="A51" s="4" t="s">
        <v>22</v>
      </c>
      <c r="B51" s="5">
        <v>18</v>
      </c>
      <c r="C51" s="4" t="s">
        <v>23</v>
      </c>
      <c r="D51" s="6">
        <v>45783</v>
      </c>
      <c r="E51" s="7">
        <v>802902756</v>
      </c>
      <c r="F51" s="4" t="s">
        <v>53</v>
      </c>
      <c r="G51" s="4" t="s">
        <v>25</v>
      </c>
      <c r="H51" s="4" t="s">
        <v>26</v>
      </c>
      <c r="I51" s="7">
        <v>20240301</v>
      </c>
      <c r="J51" s="7">
        <v>20250101</v>
      </c>
      <c r="K51" s="7">
        <v>202505</v>
      </c>
      <c r="L51" s="7">
        <v>18794740</v>
      </c>
      <c r="M51" s="4" t="s">
        <v>47</v>
      </c>
      <c r="N51" s="4" t="s">
        <v>28</v>
      </c>
      <c r="O51" s="7">
        <v>18973608</v>
      </c>
      <c r="P51" s="4" t="s">
        <v>29</v>
      </c>
      <c r="Q51" s="7">
        <v>202505</v>
      </c>
      <c r="R51" s="7">
        <v>0</v>
      </c>
      <c r="S51" s="4" t="s">
        <v>30</v>
      </c>
      <c r="T51" s="7">
        <v>20250506</v>
      </c>
      <c r="U51" s="4"/>
      <c r="V51" s="7">
        <v>1.746571339543E+16</v>
      </c>
      <c r="W51" s="3"/>
      <c r="X51" s="3"/>
      <c r="Y51" s="3"/>
      <c r="Z51" s="3"/>
    </row>
    <row r="52" spans="1:26" ht="15" x14ac:dyDescent="0.25">
      <c r="A52" s="4" t="s">
        <v>22</v>
      </c>
      <c r="B52" s="5">
        <v>18</v>
      </c>
      <c r="C52" s="4" t="s">
        <v>23</v>
      </c>
      <c r="D52" s="6">
        <v>45783</v>
      </c>
      <c r="E52" s="7">
        <v>802504907</v>
      </c>
      <c r="F52" s="4" t="s">
        <v>63</v>
      </c>
      <c r="G52" s="4" t="s">
        <v>64</v>
      </c>
      <c r="H52" s="4" t="s">
        <v>65</v>
      </c>
      <c r="I52" s="7">
        <v>20210101</v>
      </c>
      <c r="J52" s="7">
        <v>20250101</v>
      </c>
      <c r="K52" s="7">
        <v>202505</v>
      </c>
      <c r="L52" s="7">
        <v>18794740</v>
      </c>
      <c r="M52" s="4" t="s">
        <v>47</v>
      </c>
      <c r="N52" s="4" t="s">
        <v>28</v>
      </c>
      <c r="O52" s="7">
        <v>18973608</v>
      </c>
      <c r="P52" s="4" t="s">
        <v>29</v>
      </c>
      <c r="Q52" s="7">
        <v>202505</v>
      </c>
      <c r="R52" s="7">
        <v>0</v>
      </c>
      <c r="S52" s="4" t="s">
        <v>30</v>
      </c>
      <c r="T52" s="7">
        <v>20250506</v>
      </c>
      <c r="U52" s="4"/>
      <c r="V52" s="7">
        <v>1.746571228032E+16</v>
      </c>
      <c r="W52" s="3"/>
      <c r="X52" s="3"/>
      <c r="Y52" s="3"/>
      <c r="Z52" s="3"/>
    </row>
    <row r="53" spans="1:26" ht="15" x14ac:dyDescent="0.25">
      <c r="A53" s="4" t="s">
        <v>22</v>
      </c>
      <c r="B53" s="5">
        <v>18</v>
      </c>
      <c r="C53" s="4" t="s">
        <v>23</v>
      </c>
      <c r="D53" s="6">
        <v>45783</v>
      </c>
      <c r="E53" s="7">
        <v>802515557</v>
      </c>
      <c r="F53" s="4" t="s">
        <v>67</v>
      </c>
      <c r="G53" s="4" t="s">
        <v>25</v>
      </c>
      <c r="H53" s="4" t="s">
        <v>26</v>
      </c>
      <c r="I53" s="7">
        <v>20210101</v>
      </c>
      <c r="J53" s="7">
        <v>20250101</v>
      </c>
      <c r="K53" s="7">
        <v>202505</v>
      </c>
      <c r="L53" s="7">
        <v>18794740</v>
      </c>
      <c r="M53" s="4" t="s">
        <v>47</v>
      </c>
      <c r="N53" s="4" t="s">
        <v>28</v>
      </c>
      <c r="O53" s="7">
        <v>18973608</v>
      </c>
      <c r="P53" s="4" t="s">
        <v>29</v>
      </c>
      <c r="Q53" s="7">
        <v>202505</v>
      </c>
      <c r="R53" s="7">
        <v>0</v>
      </c>
      <c r="S53" s="4" t="s">
        <v>30</v>
      </c>
      <c r="T53" s="7">
        <v>20250506</v>
      </c>
      <c r="U53" s="4"/>
      <c r="V53" s="7">
        <v>1.746571243005E+16</v>
      </c>
      <c r="W53" s="3"/>
      <c r="X53" s="3"/>
      <c r="Y53" s="3"/>
      <c r="Z53" s="3"/>
    </row>
    <row r="54" spans="1:26" ht="15" x14ac:dyDescent="0.25">
      <c r="A54" s="4" t="s">
        <v>22</v>
      </c>
      <c r="B54" s="5">
        <v>36</v>
      </c>
      <c r="C54" s="4" t="s">
        <v>23</v>
      </c>
      <c r="D54" s="6">
        <v>45783</v>
      </c>
      <c r="E54" s="7">
        <v>802016040</v>
      </c>
      <c r="F54" s="4" t="s">
        <v>70</v>
      </c>
      <c r="G54" s="4" t="s">
        <v>25</v>
      </c>
      <c r="H54" s="4" t="s">
        <v>26</v>
      </c>
      <c r="I54" s="7">
        <v>20170101</v>
      </c>
      <c r="J54" s="7">
        <v>20250101</v>
      </c>
      <c r="K54" s="7">
        <v>202505</v>
      </c>
      <c r="L54" s="7">
        <v>18794740</v>
      </c>
      <c r="M54" s="4" t="s">
        <v>47</v>
      </c>
      <c r="N54" s="4" t="s">
        <v>28</v>
      </c>
      <c r="O54" s="7">
        <v>18973608</v>
      </c>
      <c r="P54" s="4" t="s">
        <v>29</v>
      </c>
      <c r="Q54" s="7">
        <v>202505</v>
      </c>
      <c r="R54" s="7">
        <v>0</v>
      </c>
      <c r="S54" s="4" t="s">
        <v>30</v>
      </c>
      <c r="T54" s="7">
        <v>20250506</v>
      </c>
      <c r="U54" s="4"/>
      <c r="V54" s="7">
        <v>1.746571305825E+16</v>
      </c>
      <c r="W54" s="3"/>
      <c r="X54" s="3"/>
      <c r="Y54" s="3"/>
      <c r="Z54" s="3"/>
    </row>
    <row r="55" spans="1:26" ht="15" x14ac:dyDescent="0.25">
      <c r="A55" s="4" t="s">
        <v>22</v>
      </c>
      <c r="B55" s="5">
        <v>36</v>
      </c>
      <c r="C55" s="4" t="s">
        <v>23</v>
      </c>
      <c r="D55" s="6">
        <v>45783</v>
      </c>
      <c r="E55" s="7">
        <v>801963708</v>
      </c>
      <c r="F55" s="4" t="s">
        <v>72</v>
      </c>
      <c r="G55" s="4" t="s">
        <v>25</v>
      </c>
      <c r="H55" s="4" t="s">
        <v>26</v>
      </c>
      <c r="I55" s="7">
        <v>20170101</v>
      </c>
      <c r="J55" s="7">
        <v>20250101</v>
      </c>
      <c r="K55" s="7">
        <v>202505</v>
      </c>
      <c r="L55" s="7">
        <v>18794740</v>
      </c>
      <c r="M55" s="4" t="s">
        <v>47</v>
      </c>
      <c r="N55" s="4" t="s">
        <v>28</v>
      </c>
      <c r="O55" s="7">
        <v>18973608</v>
      </c>
      <c r="P55" s="4" t="s">
        <v>29</v>
      </c>
      <c r="Q55" s="7">
        <v>202505</v>
      </c>
      <c r="R55" s="7">
        <v>0</v>
      </c>
      <c r="S55" s="4" t="s">
        <v>30</v>
      </c>
      <c r="T55" s="7">
        <v>20250506</v>
      </c>
      <c r="U55" s="4"/>
      <c r="V55" s="7">
        <v>1.746571319552E+16</v>
      </c>
      <c r="W55" s="3"/>
      <c r="X55" s="3"/>
      <c r="Y55" s="3"/>
      <c r="Z55" s="3"/>
    </row>
    <row r="56" spans="1:26" ht="15" x14ac:dyDescent="0.25">
      <c r="A56" s="4" t="s">
        <v>22</v>
      </c>
      <c r="B56" s="5">
        <v>36</v>
      </c>
      <c r="C56" s="4" t="s">
        <v>23</v>
      </c>
      <c r="D56" s="6">
        <v>45783</v>
      </c>
      <c r="E56" s="7">
        <v>802651099</v>
      </c>
      <c r="F56" s="4" t="s">
        <v>71</v>
      </c>
      <c r="G56" s="4" t="s">
        <v>49</v>
      </c>
      <c r="H56" s="4" t="s">
        <v>50</v>
      </c>
      <c r="I56" s="7">
        <v>20220101</v>
      </c>
      <c r="J56" s="7">
        <v>20250201</v>
      </c>
      <c r="K56" s="7">
        <v>202504</v>
      </c>
      <c r="L56" s="7">
        <v>18794740</v>
      </c>
      <c r="M56" s="4" t="s">
        <v>47</v>
      </c>
      <c r="N56" s="4" t="s">
        <v>28</v>
      </c>
      <c r="O56" s="7">
        <v>18973608</v>
      </c>
      <c r="P56" s="4" t="s">
        <v>29</v>
      </c>
      <c r="Q56" s="7">
        <v>202505</v>
      </c>
      <c r="R56" s="7">
        <v>0</v>
      </c>
      <c r="S56" s="4" t="s">
        <v>30</v>
      </c>
      <c r="T56" s="7">
        <v>20250506</v>
      </c>
      <c r="U56" s="4"/>
      <c r="V56" s="7">
        <v>1.74657133661E+16</v>
      </c>
      <c r="W56" s="3"/>
      <c r="X56" s="3"/>
      <c r="Y56" s="3"/>
      <c r="Z56" s="3"/>
    </row>
    <row r="57" spans="1:26" ht="15" x14ac:dyDescent="0.25">
      <c r="A57" s="4" t="s">
        <v>22</v>
      </c>
      <c r="B57" s="5">
        <v>36</v>
      </c>
      <c r="C57" s="4" t="s">
        <v>23</v>
      </c>
      <c r="D57" s="6">
        <v>45783</v>
      </c>
      <c r="E57" s="7">
        <v>801942897</v>
      </c>
      <c r="F57" s="4" t="s">
        <v>75</v>
      </c>
      <c r="G57" s="4" t="s">
        <v>25</v>
      </c>
      <c r="H57" s="4" t="s">
        <v>26</v>
      </c>
      <c r="I57" s="7">
        <v>20170101</v>
      </c>
      <c r="J57" s="7">
        <v>20250101</v>
      </c>
      <c r="K57" s="7">
        <v>202505</v>
      </c>
      <c r="L57" s="7">
        <v>18794740</v>
      </c>
      <c r="M57" s="4" t="s">
        <v>47</v>
      </c>
      <c r="N57" s="4" t="s">
        <v>28</v>
      </c>
      <c r="O57" s="7">
        <v>18973608</v>
      </c>
      <c r="P57" s="4" t="s">
        <v>29</v>
      </c>
      <c r="Q57" s="7">
        <v>202505</v>
      </c>
      <c r="R57" s="7">
        <v>0</v>
      </c>
      <c r="S57" s="4" t="s">
        <v>30</v>
      </c>
      <c r="T57" s="7">
        <v>20250506</v>
      </c>
      <c r="U57" s="4"/>
      <c r="V57" s="7">
        <v>1.746571316197E+16</v>
      </c>
      <c r="W57" s="3"/>
      <c r="X57" s="3"/>
      <c r="Y57" s="3"/>
      <c r="Z57" s="3"/>
    </row>
    <row r="58" spans="1:26" ht="15" x14ac:dyDescent="0.25">
      <c r="A58" s="4" t="s">
        <v>22</v>
      </c>
      <c r="B58" s="5">
        <v>36</v>
      </c>
      <c r="C58" s="4" t="s">
        <v>23</v>
      </c>
      <c r="D58" s="6">
        <v>45783</v>
      </c>
      <c r="E58" s="7">
        <v>802341284</v>
      </c>
      <c r="F58" s="4" t="s">
        <v>73</v>
      </c>
      <c r="G58" s="4" t="s">
        <v>25</v>
      </c>
      <c r="H58" s="4" t="s">
        <v>26</v>
      </c>
      <c r="I58" s="7">
        <v>20190401</v>
      </c>
      <c r="J58" s="7">
        <v>20250101</v>
      </c>
      <c r="K58" s="7">
        <v>202504</v>
      </c>
      <c r="L58" s="7">
        <v>18794740</v>
      </c>
      <c r="M58" s="4" t="s">
        <v>47</v>
      </c>
      <c r="N58" s="4" t="s">
        <v>28</v>
      </c>
      <c r="O58" s="7">
        <v>18973608</v>
      </c>
      <c r="P58" s="4" t="s">
        <v>29</v>
      </c>
      <c r="Q58" s="7">
        <v>202505</v>
      </c>
      <c r="R58" s="7">
        <v>0</v>
      </c>
      <c r="S58" s="4" t="s">
        <v>30</v>
      </c>
      <c r="T58" s="7">
        <v>20250506</v>
      </c>
      <c r="U58" s="4"/>
      <c r="V58" s="7">
        <v>1.746571176057E+16</v>
      </c>
      <c r="W58" s="3"/>
      <c r="X58" s="3"/>
      <c r="Y58" s="3"/>
      <c r="Z58" s="3"/>
    </row>
    <row r="59" spans="1:26" ht="15" x14ac:dyDescent="0.25">
      <c r="A59" s="4" t="s">
        <v>22</v>
      </c>
      <c r="B59" s="5">
        <v>36</v>
      </c>
      <c r="C59" s="4" t="s">
        <v>23</v>
      </c>
      <c r="D59" s="6">
        <v>45783</v>
      </c>
      <c r="E59" s="7">
        <v>802629089</v>
      </c>
      <c r="F59" s="4" t="s">
        <v>74</v>
      </c>
      <c r="G59" s="4" t="s">
        <v>55</v>
      </c>
      <c r="H59" s="4" t="s">
        <v>56</v>
      </c>
      <c r="I59" s="7">
        <v>20220101</v>
      </c>
      <c r="J59" s="7">
        <v>20250101</v>
      </c>
      <c r="K59" s="7">
        <v>202504</v>
      </c>
      <c r="L59" s="7">
        <v>18794740</v>
      </c>
      <c r="M59" s="4" t="s">
        <v>47</v>
      </c>
      <c r="N59" s="4" t="s">
        <v>28</v>
      </c>
      <c r="O59" s="7">
        <v>18973608</v>
      </c>
      <c r="P59" s="4" t="s">
        <v>29</v>
      </c>
      <c r="Q59" s="7">
        <v>202505</v>
      </c>
      <c r="R59" s="7">
        <v>0</v>
      </c>
      <c r="S59" s="4" t="s">
        <v>30</v>
      </c>
      <c r="T59" s="7">
        <v>20250506</v>
      </c>
      <c r="U59" s="4"/>
      <c r="V59" s="7">
        <v>1.746571312392E+16</v>
      </c>
      <c r="W59" s="3"/>
      <c r="X59" s="3"/>
      <c r="Y59" s="3"/>
      <c r="Z59" s="3"/>
    </row>
    <row r="60" spans="1:26" ht="15" x14ac:dyDescent="0.25">
      <c r="A60" s="4" t="s">
        <v>22</v>
      </c>
      <c r="B60" s="5">
        <v>36</v>
      </c>
      <c r="C60" s="4" t="s">
        <v>23</v>
      </c>
      <c r="D60" s="6">
        <v>45783</v>
      </c>
      <c r="E60" s="7">
        <v>802407693</v>
      </c>
      <c r="F60" s="4" t="s">
        <v>76</v>
      </c>
      <c r="G60" s="4" t="s">
        <v>25</v>
      </c>
      <c r="H60" s="4" t="s">
        <v>26</v>
      </c>
      <c r="I60" s="7">
        <v>20200101</v>
      </c>
      <c r="J60" s="7">
        <v>20250101</v>
      </c>
      <c r="K60" s="7">
        <v>202505</v>
      </c>
      <c r="L60" s="7">
        <v>18794740</v>
      </c>
      <c r="M60" s="4" t="s">
        <v>47</v>
      </c>
      <c r="N60" s="4" t="s">
        <v>28</v>
      </c>
      <c r="O60" s="7">
        <v>18973608</v>
      </c>
      <c r="P60" s="4" t="s">
        <v>29</v>
      </c>
      <c r="Q60" s="7">
        <v>202505</v>
      </c>
      <c r="R60" s="7">
        <v>0</v>
      </c>
      <c r="S60" s="4" t="s">
        <v>30</v>
      </c>
      <c r="T60" s="7">
        <v>20250506</v>
      </c>
      <c r="U60" s="4"/>
      <c r="V60" s="7">
        <v>1.74657118365E+16</v>
      </c>
      <c r="W60" s="3"/>
      <c r="X60" s="3"/>
      <c r="Y60" s="3"/>
      <c r="Z60" s="3"/>
    </row>
    <row r="61" spans="1:26" ht="15" x14ac:dyDescent="0.25">
      <c r="A61" s="4" t="s">
        <v>22</v>
      </c>
      <c r="B61" s="5">
        <v>36</v>
      </c>
      <c r="C61" s="4" t="s">
        <v>23</v>
      </c>
      <c r="D61" s="6">
        <v>45783</v>
      </c>
      <c r="E61" s="7">
        <v>802807514</v>
      </c>
      <c r="F61" s="4" t="s">
        <v>69</v>
      </c>
      <c r="G61" s="4" t="s">
        <v>25</v>
      </c>
      <c r="H61" s="4" t="s">
        <v>26</v>
      </c>
      <c r="I61" s="7">
        <v>20230701</v>
      </c>
      <c r="J61" s="7">
        <v>20250101</v>
      </c>
      <c r="K61" s="7">
        <v>202505</v>
      </c>
      <c r="L61" s="7">
        <v>18794740</v>
      </c>
      <c r="M61" s="4" t="s">
        <v>47</v>
      </c>
      <c r="N61" s="4" t="s">
        <v>28</v>
      </c>
      <c r="O61" s="7">
        <v>18973608</v>
      </c>
      <c r="P61" s="4" t="s">
        <v>29</v>
      </c>
      <c r="Q61" s="7">
        <v>202505</v>
      </c>
      <c r="R61" s="7">
        <v>0</v>
      </c>
      <c r="S61" s="4" t="s">
        <v>30</v>
      </c>
      <c r="T61" s="7">
        <v>20250506</v>
      </c>
      <c r="U61" s="4"/>
      <c r="V61" s="7">
        <v>1.746571182811E+16</v>
      </c>
      <c r="W61" s="3"/>
      <c r="X61" s="3"/>
      <c r="Y61" s="3"/>
      <c r="Z61" s="3"/>
    </row>
    <row r="62" spans="1:26" ht="15" x14ac:dyDescent="0.25">
      <c r="A62" s="4" t="s">
        <v>22</v>
      </c>
      <c r="B62" s="5">
        <v>36</v>
      </c>
      <c r="C62" s="4" t="s">
        <v>23</v>
      </c>
      <c r="D62" s="6">
        <v>45783</v>
      </c>
      <c r="E62" s="7">
        <v>802501295</v>
      </c>
      <c r="F62" s="4" t="s">
        <v>77</v>
      </c>
      <c r="G62" s="4" t="s">
        <v>78</v>
      </c>
      <c r="H62" s="4" t="s">
        <v>79</v>
      </c>
      <c r="I62" s="7">
        <v>20210101</v>
      </c>
      <c r="J62" s="7">
        <v>20250101</v>
      </c>
      <c r="K62" s="7">
        <v>202504</v>
      </c>
      <c r="L62" s="7">
        <v>18794740</v>
      </c>
      <c r="M62" s="4" t="s">
        <v>47</v>
      </c>
      <c r="N62" s="4" t="s">
        <v>28</v>
      </c>
      <c r="O62" s="7">
        <v>18973608</v>
      </c>
      <c r="P62" s="4" t="s">
        <v>29</v>
      </c>
      <c r="Q62" s="7">
        <v>202505</v>
      </c>
      <c r="R62" s="7">
        <v>0</v>
      </c>
      <c r="S62" s="4" t="s">
        <v>30</v>
      </c>
      <c r="T62" s="7">
        <v>20250506</v>
      </c>
      <c r="U62" s="4"/>
      <c r="V62" s="7">
        <v>1.746571226188E+16</v>
      </c>
      <c r="W62" s="3"/>
      <c r="X62" s="3"/>
      <c r="Y62" s="3"/>
      <c r="Z62" s="3"/>
    </row>
    <row r="63" spans="1:26" ht="15" x14ac:dyDescent="0.25">
      <c r="A63" s="4" t="s">
        <v>22</v>
      </c>
      <c r="B63" s="5">
        <v>36</v>
      </c>
      <c r="C63" s="4" t="s">
        <v>23</v>
      </c>
      <c r="D63" s="6">
        <v>45783</v>
      </c>
      <c r="E63" s="7">
        <v>802893616</v>
      </c>
      <c r="F63" s="4" t="s">
        <v>83</v>
      </c>
      <c r="G63" s="4" t="s">
        <v>25</v>
      </c>
      <c r="H63" s="4" t="s">
        <v>26</v>
      </c>
      <c r="I63" s="7">
        <v>20240201</v>
      </c>
      <c r="J63" s="7">
        <v>20250101</v>
      </c>
      <c r="K63" s="7">
        <v>202505</v>
      </c>
      <c r="L63" s="7">
        <v>18794740</v>
      </c>
      <c r="M63" s="4" t="s">
        <v>47</v>
      </c>
      <c r="N63" s="4" t="s">
        <v>28</v>
      </c>
      <c r="O63" s="7">
        <v>18973608</v>
      </c>
      <c r="P63" s="4" t="s">
        <v>29</v>
      </c>
      <c r="Q63" s="7">
        <v>202505</v>
      </c>
      <c r="R63" s="7">
        <v>0</v>
      </c>
      <c r="S63" s="4" t="s">
        <v>30</v>
      </c>
      <c r="T63" s="7">
        <v>20250506</v>
      </c>
      <c r="U63" s="4"/>
      <c r="V63" s="7">
        <v>1.746571326731E+16</v>
      </c>
      <c r="W63" s="3"/>
      <c r="X63" s="3"/>
      <c r="Y63" s="3"/>
      <c r="Z63" s="3"/>
    </row>
    <row r="64" spans="1:26" ht="15" x14ac:dyDescent="0.25">
      <c r="A64" s="4" t="s">
        <v>22</v>
      </c>
      <c r="B64" s="5">
        <v>36</v>
      </c>
      <c r="C64" s="4" t="s">
        <v>23</v>
      </c>
      <c r="D64" s="6">
        <v>45783</v>
      </c>
      <c r="E64" s="7">
        <v>802879845</v>
      </c>
      <c r="F64" s="4" t="s">
        <v>80</v>
      </c>
      <c r="G64" s="4" t="s">
        <v>81</v>
      </c>
      <c r="H64" s="4" t="s">
        <v>82</v>
      </c>
      <c r="I64" s="7">
        <v>20240201</v>
      </c>
      <c r="J64" s="7">
        <v>20250101</v>
      </c>
      <c r="K64" s="7">
        <v>202505</v>
      </c>
      <c r="L64" s="7">
        <v>18794740</v>
      </c>
      <c r="M64" s="4" t="s">
        <v>47</v>
      </c>
      <c r="N64" s="4" t="s">
        <v>28</v>
      </c>
      <c r="O64" s="7">
        <v>18973608</v>
      </c>
      <c r="P64" s="4" t="s">
        <v>29</v>
      </c>
      <c r="Q64" s="7">
        <v>202505</v>
      </c>
      <c r="R64" s="7">
        <v>0</v>
      </c>
      <c r="S64" s="4" t="s">
        <v>30</v>
      </c>
      <c r="T64" s="7">
        <v>20250506</v>
      </c>
      <c r="U64" s="4"/>
      <c r="V64" s="7">
        <v>1.746571294958E+16</v>
      </c>
      <c r="W64" s="3"/>
      <c r="X64" s="3"/>
      <c r="Y64" s="3"/>
      <c r="Z64" s="3"/>
    </row>
    <row r="65" spans="1:26" ht="15" x14ac:dyDescent="0.25">
      <c r="A65" s="4" t="s">
        <v>22</v>
      </c>
      <c r="B65" s="5">
        <v>2.85</v>
      </c>
      <c r="C65" s="4" t="s">
        <v>23</v>
      </c>
      <c r="D65" s="6">
        <v>45755</v>
      </c>
      <c r="E65" s="7">
        <v>802996993</v>
      </c>
      <c r="F65" s="4" t="s">
        <v>84</v>
      </c>
      <c r="G65" s="4" t="s">
        <v>85</v>
      </c>
      <c r="H65" s="4" t="s">
        <v>86</v>
      </c>
      <c r="I65" s="7">
        <v>20250101</v>
      </c>
      <c r="J65" s="7">
        <v>20250201</v>
      </c>
      <c r="K65" s="7">
        <v>202503</v>
      </c>
      <c r="L65" s="7">
        <v>9254978</v>
      </c>
      <c r="M65" s="4" t="s">
        <v>87</v>
      </c>
      <c r="N65" s="4" t="s">
        <v>28</v>
      </c>
      <c r="O65" s="7">
        <v>18973608</v>
      </c>
      <c r="P65" s="4" t="s">
        <v>29</v>
      </c>
      <c r="Q65" s="7">
        <v>202504</v>
      </c>
      <c r="R65" s="7">
        <v>0</v>
      </c>
      <c r="S65" s="4" t="s">
        <v>38</v>
      </c>
      <c r="T65" s="7">
        <v>20250408</v>
      </c>
      <c r="U65" s="4"/>
      <c r="V65" s="7">
        <v>1.744149301105E+16</v>
      </c>
      <c r="W65" s="3"/>
      <c r="X65" s="3"/>
      <c r="Y65" s="3"/>
      <c r="Z65" s="3"/>
    </row>
    <row r="66" spans="1:26" ht="15" x14ac:dyDescent="0.25">
      <c r="A66" s="4" t="s">
        <v>22</v>
      </c>
      <c r="B66" s="5">
        <v>2.85</v>
      </c>
      <c r="C66" s="4" t="s">
        <v>23</v>
      </c>
      <c r="D66" s="6">
        <v>45755</v>
      </c>
      <c r="E66" s="7">
        <v>802996993</v>
      </c>
      <c r="F66" s="4" t="s">
        <v>84</v>
      </c>
      <c r="G66" s="4" t="s">
        <v>85</v>
      </c>
      <c r="H66" s="4" t="s">
        <v>86</v>
      </c>
      <c r="I66" s="7">
        <v>20250101</v>
      </c>
      <c r="J66" s="7">
        <v>20250201</v>
      </c>
      <c r="K66" s="7">
        <v>202504</v>
      </c>
      <c r="L66" s="7">
        <v>9254978</v>
      </c>
      <c r="M66" s="4" t="s">
        <v>87</v>
      </c>
      <c r="N66" s="4" t="s">
        <v>28</v>
      </c>
      <c r="O66" s="7">
        <v>18973608</v>
      </c>
      <c r="P66" s="4" t="s">
        <v>29</v>
      </c>
      <c r="Q66" s="7">
        <v>202504</v>
      </c>
      <c r="R66" s="7">
        <v>0</v>
      </c>
      <c r="S66" s="4" t="s">
        <v>38</v>
      </c>
      <c r="T66" s="7">
        <v>20250408</v>
      </c>
      <c r="U66" s="4"/>
      <c r="V66" s="7">
        <v>1.744149301141E+16</v>
      </c>
      <c r="W66" s="3"/>
      <c r="X66" s="3"/>
      <c r="Y66" s="3"/>
      <c r="Z66" s="3"/>
    </row>
    <row r="67" spans="1:26" ht="15" x14ac:dyDescent="0.25">
      <c r="A67" s="4" t="s">
        <v>22</v>
      </c>
      <c r="B67" s="5">
        <v>18</v>
      </c>
      <c r="C67" s="4" t="s">
        <v>23</v>
      </c>
      <c r="D67" s="6">
        <v>45755</v>
      </c>
      <c r="E67" s="7">
        <v>802766143</v>
      </c>
      <c r="F67" s="4" t="s">
        <v>88</v>
      </c>
      <c r="G67" s="4" t="s">
        <v>59</v>
      </c>
      <c r="H67" s="4" t="s">
        <v>60</v>
      </c>
      <c r="I67" s="7">
        <v>20230101</v>
      </c>
      <c r="J67" s="7">
        <v>20250101</v>
      </c>
      <c r="K67" s="7">
        <v>202504</v>
      </c>
      <c r="L67" s="7">
        <v>9254978</v>
      </c>
      <c r="M67" s="4" t="s">
        <v>87</v>
      </c>
      <c r="N67" s="4" t="s">
        <v>28</v>
      </c>
      <c r="O67" s="7">
        <v>18973608</v>
      </c>
      <c r="P67" s="4" t="s">
        <v>29</v>
      </c>
      <c r="Q67" s="7">
        <v>202504</v>
      </c>
      <c r="R67" s="7">
        <v>0</v>
      </c>
      <c r="S67" s="4" t="s">
        <v>30</v>
      </c>
      <c r="T67" s="7">
        <v>20250408</v>
      </c>
      <c r="U67" s="4"/>
      <c r="V67" s="7">
        <v>1.744149117073E+16</v>
      </c>
      <c r="W67" s="3"/>
      <c r="X67" s="3"/>
      <c r="Y67" s="3"/>
      <c r="Z67" s="3"/>
    </row>
    <row r="68" spans="1:26" ht="15" x14ac:dyDescent="0.25">
      <c r="A68" s="4" t="s">
        <v>22</v>
      </c>
      <c r="B68" s="5">
        <v>18</v>
      </c>
      <c r="C68" s="4" t="s">
        <v>23</v>
      </c>
      <c r="D68" s="6">
        <v>45755</v>
      </c>
      <c r="E68" s="7">
        <v>802758903</v>
      </c>
      <c r="F68" s="4" t="s">
        <v>89</v>
      </c>
      <c r="G68" s="4" t="s">
        <v>59</v>
      </c>
      <c r="H68" s="4" t="s">
        <v>60</v>
      </c>
      <c r="I68" s="7">
        <v>20230101</v>
      </c>
      <c r="J68" s="7">
        <v>20250101</v>
      </c>
      <c r="K68" s="7">
        <v>202504</v>
      </c>
      <c r="L68" s="7">
        <v>9254978</v>
      </c>
      <c r="M68" s="4" t="s">
        <v>87</v>
      </c>
      <c r="N68" s="4" t="s">
        <v>28</v>
      </c>
      <c r="O68" s="7">
        <v>18973608</v>
      </c>
      <c r="P68" s="4" t="s">
        <v>29</v>
      </c>
      <c r="Q68" s="7">
        <v>202504</v>
      </c>
      <c r="R68" s="7">
        <v>0</v>
      </c>
      <c r="S68" s="4" t="s">
        <v>30</v>
      </c>
      <c r="T68" s="7">
        <v>20250408</v>
      </c>
      <c r="U68" s="4"/>
      <c r="V68" s="7">
        <v>1.744149394172E+16</v>
      </c>
      <c r="W68" s="3"/>
      <c r="X68" s="3"/>
      <c r="Y68" s="3"/>
      <c r="Z68" s="3"/>
    </row>
    <row r="69" spans="1:26" ht="15" x14ac:dyDescent="0.25">
      <c r="A69" s="4" t="s">
        <v>22</v>
      </c>
      <c r="B69" s="5">
        <v>18</v>
      </c>
      <c r="C69" s="4" t="s">
        <v>23</v>
      </c>
      <c r="D69" s="6">
        <v>45755</v>
      </c>
      <c r="E69" s="7">
        <v>802758903</v>
      </c>
      <c r="F69" s="4" t="s">
        <v>89</v>
      </c>
      <c r="G69" s="4" t="s">
        <v>59</v>
      </c>
      <c r="H69" s="4" t="s">
        <v>60</v>
      </c>
      <c r="I69" s="7">
        <v>20230101</v>
      </c>
      <c r="J69" s="7">
        <v>20250101</v>
      </c>
      <c r="K69" s="7">
        <v>202503</v>
      </c>
      <c r="L69" s="7">
        <v>9254978</v>
      </c>
      <c r="M69" s="4" t="s">
        <v>87</v>
      </c>
      <c r="N69" s="4" t="s">
        <v>28</v>
      </c>
      <c r="O69" s="7">
        <v>18973608</v>
      </c>
      <c r="P69" s="4" t="s">
        <v>29</v>
      </c>
      <c r="Q69" s="7">
        <v>202504</v>
      </c>
      <c r="R69" s="7">
        <v>0</v>
      </c>
      <c r="S69" s="4" t="s">
        <v>30</v>
      </c>
      <c r="T69" s="7">
        <v>20250408</v>
      </c>
      <c r="U69" s="4"/>
      <c r="V69" s="7">
        <v>1.74414939414E+16</v>
      </c>
      <c r="W69" s="3"/>
      <c r="X69" s="3"/>
      <c r="Y69" s="3"/>
      <c r="Z69" s="3"/>
    </row>
    <row r="70" spans="1:26" ht="15" x14ac:dyDescent="0.25">
      <c r="A70" s="4" t="s">
        <v>22</v>
      </c>
      <c r="B70" s="5">
        <v>18</v>
      </c>
      <c r="C70" s="4" t="s">
        <v>23</v>
      </c>
      <c r="D70" s="6">
        <v>45755</v>
      </c>
      <c r="E70" s="7">
        <v>802742865</v>
      </c>
      <c r="F70" s="4" t="s">
        <v>90</v>
      </c>
      <c r="G70" s="4" t="s">
        <v>49</v>
      </c>
      <c r="H70" s="4" t="s">
        <v>50</v>
      </c>
      <c r="I70" s="7">
        <v>20221101</v>
      </c>
      <c r="J70" s="7">
        <v>20250101</v>
      </c>
      <c r="K70" s="7">
        <v>202504</v>
      </c>
      <c r="L70" s="7">
        <v>9254978</v>
      </c>
      <c r="M70" s="4" t="s">
        <v>87</v>
      </c>
      <c r="N70" s="4" t="s">
        <v>28</v>
      </c>
      <c r="O70" s="7">
        <v>18973608</v>
      </c>
      <c r="P70" s="4" t="s">
        <v>29</v>
      </c>
      <c r="Q70" s="7">
        <v>202504</v>
      </c>
      <c r="R70" s="7">
        <v>0</v>
      </c>
      <c r="S70" s="4" t="s">
        <v>30</v>
      </c>
      <c r="T70" s="7">
        <v>20250408</v>
      </c>
      <c r="U70" s="4"/>
      <c r="V70" s="7">
        <v>1.744149371483E+16</v>
      </c>
      <c r="W70" s="3"/>
      <c r="X70" s="3"/>
      <c r="Y70" s="3"/>
      <c r="Z70" s="3"/>
    </row>
    <row r="71" spans="1:26" ht="15" x14ac:dyDescent="0.25">
      <c r="A71" s="4" t="s">
        <v>22</v>
      </c>
      <c r="B71" s="5">
        <v>18</v>
      </c>
      <c r="C71" s="4" t="s">
        <v>23</v>
      </c>
      <c r="D71" s="6">
        <v>45755</v>
      </c>
      <c r="E71" s="7">
        <v>802690020</v>
      </c>
      <c r="F71" s="4" t="s">
        <v>91</v>
      </c>
      <c r="G71" s="4" t="s">
        <v>59</v>
      </c>
      <c r="H71" s="4" t="s">
        <v>60</v>
      </c>
      <c r="I71" s="7">
        <v>20220501</v>
      </c>
      <c r="J71" s="7">
        <v>20250101</v>
      </c>
      <c r="K71" s="7">
        <v>202504</v>
      </c>
      <c r="L71" s="7">
        <v>9254978</v>
      </c>
      <c r="M71" s="4" t="s">
        <v>87</v>
      </c>
      <c r="N71" s="4" t="s">
        <v>28</v>
      </c>
      <c r="O71" s="7">
        <v>18973608</v>
      </c>
      <c r="P71" s="4" t="s">
        <v>29</v>
      </c>
      <c r="Q71" s="7">
        <v>202504</v>
      </c>
      <c r="R71" s="7">
        <v>0</v>
      </c>
      <c r="S71" s="4" t="s">
        <v>30</v>
      </c>
      <c r="T71" s="7">
        <v>20250408</v>
      </c>
      <c r="U71" s="4"/>
      <c r="V71" s="7">
        <v>1.74414931928E+16</v>
      </c>
      <c r="W71" s="3"/>
      <c r="X71" s="3"/>
      <c r="Y71" s="3"/>
      <c r="Z71" s="3"/>
    </row>
    <row r="72" spans="1:26" ht="15" x14ac:dyDescent="0.25">
      <c r="A72" s="4" t="s">
        <v>22</v>
      </c>
      <c r="B72" s="5">
        <v>18</v>
      </c>
      <c r="C72" s="4" t="s">
        <v>23</v>
      </c>
      <c r="D72" s="6">
        <v>45755</v>
      </c>
      <c r="E72" s="7">
        <v>802690020</v>
      </c>
      <c r="F72" s="4" t="s">
        <v>91</v>
      </c>
      <c r="G72" s="4" t="s">
        <v>59</v>
      </c>
      <c r="H72" s="4" t="s">
        <v>60</v>
      </c>
      <c r="I72" s="7">
        <v>20220501</v>
      </c>
      <c r="J72" s="7">
        <v>20250101</v>
      </c>
      <c r="K72" s="7">
        <v>202503</v>
      </c>
      <c r="L72" s="7">
        <v>9254978</v>
      </c>
      <c r="M72" s="4" t="s">
        <v>87</v>
      </c>
      <c r="N72" s="4" t="s">
        <v>28</v>
      </c>
      <c r="O72" s="7">
        <v>18973608</v>
      </c>
      <c r="P72" s="4" t="s">
        <v>29</v>
      </c>
      <c r="Q72" s="7">
        <v>202504</v>
      </c>
      <c r="R72" s="7">
        <v>0</v>
      </c>
      <c r="S72" s="4" t="s">
        <v>30</v>
      </c>
      <c r="T72" s="7">
        <v>20250408</v>
      </c>
      <c r="U72" s="4"/>
      <c r="V72" s="7">
        <v>1.744149319245E+16</v>
      </c>
      <c r="W72" s="3"/>
      <c r="X72" s="3"/>
      <c r="Y72" s="3"/>
      <c r="Z72" s="3"/>
    </row>
    <row r="73" spans="1:26" ht="15" x14ac:dyDescent="0.25">
      <c r="A73" s="4" t="s">
        <v>22</v>
      </c>
      <c r="B73" s="5">
        <v>18</v>
      </c>
      <c r="C73" s="4" t="s">
        <v>23</v>
      </c>
      <c r="D73" s="6">
        <v>45755</v>
      </c>
      <c r="E73" s="7">
        <v>802468875</v>
      </c>
      <c r="F73" s="4" t="s">
        <v>92</v>
      </c>
      <c r="G73" s="4" t="s">
        <v>55</v>
      </c>
      <c r="H73" s="4" t="s">
        <v>56</v>
      </c>
      <c r="I73" s="7">
        <v>20200601</v>
      </c>
      <c r="J73" s="7">
        <v>20250101</v>
      </c>
      <c r="K73" s="7">
        <v>202504</v>
      </c>
      <c r="L73" s="7">
        <v>9254978</v>
      </c>
      <c r="M73" s="4" t="s">
        <v>87</v>
      </c>
      <c r="N73" s="4" t="s">
        <v>28</v>
      </c>
      <c r="O73" s="7">
        <v>18973608</v>
      </c>
      <c r="P73" s="4" t="s">
        <v>29</v>
      </c>
      <c r="Q73" s="7">
        <v>202504</v>
      </c>
      <c r="R73" s="7">
        <v>0</v>
      </c>
      <c r="S73" s="4" t="s">
        <v>30</v>
      </c>
      <c r="T73" s="7">
        <v>20250408</v>
      </c>
      <c r="U73" s="4"/>
      <c r="V73" s="7">
        <v>1.744149176281E+16</v>
      </c>
      <c r="W73" s="3"/>
      <c r="X73" s="3"/>
      <c r="Y73" s="3"/>
      <c r="Z73" s="3"/>
    </row>
    <row r="74" spans="1:26" ht="15" x14ac:dyDescent="0.25">
      <c r="A74" s="4" t="s">
        <v>22</v>
      </c>
      <c r="B74" s="5">
        <v>22</v>
      </c>
      <c r="C74" s="4" t="s">
        <v>23</v>
      </c>
      <c r="D74" s="6">
        <v>45755</v>
      </c>
      <c r="E74" s="7">
        <v>801951292</v>
      </c>
      <c r="F74" s="4" t="s">
        <v>84</v>
      </c>
      <c r="G74" s="4" t="s">
        <v>59</v>
      </c>
      <c r="H74" s="4" t="s">
        <v>44</v>
      </c>
      <c r="I74" s="7">
        <v>20170101</v>
      </c>
      <c r="J74" s="7">
        <v>20250201</v>
      </c>
      <c r="K74" s="7">
        <v>202504</v>
      </c>
      <c r="L74" s="7">
        <v>9254978</v>
      </c>
      <c r="M74" s="4" t="s">
        <v>87</v>
      </c>
      <c r="N74" s="4" t="s">
        <v>28</v>
      </c>
      <c r="O74" s="7">
        <v>18973608</v>
      </c>
      <c r="P74" s="4" t="s">
        <v>29</v>
      </c>
      <c r="Q74" s="7">
        <v>202504</v>
      </c>
      <c r="R74" s="7">
        <v>0</v>
      </c>
      <c r="S74" s="4" t="s">
        <v>38</v>
      </c>
      <c r="T74" s="7">
        <v>20250408</v>
      </c>
      <c r="U74" s="4"/>
      <c r="V74" s="7">
        <v>1.744149280105E+16</v>
      </c>
      <c r="W74" s="3"/>
      <c r="X74" s="3"/>
      <c r="Y74" s="3"/>
      <c r="Z74" s="3"/>
    </row>
    <row r="75" spans="1:26" ht="15" x14ac:dyDescent="0.25">
      <c r="A75" s="4" t="s">
        <v>22</v>
      </c>
      <c r="B75" s="5">
        <v>22</v>
      </c>
      <c r="C75" s="4" t="s">
        <v>23</v>
      </c>
      <c r="D75" s="6">
        <v>45755</v>
      </c>
      <c r="E75" s="7">
        <v>801951292</v>
      </c>
      <c r="F75" s="4" t="s">
        <v>84</v>
      </c>
      <c r="G75" s="4" t="s">
        <v>59</v>
      </c>
      <c r="H75" s="4" t="s">
        <v>44</v>
      </c>
      <c r="I75" s="7">
        <v>20170101</v>
      </c>
      <c r="J75" s="7">
        <v>20250201</v>
      </c>
      <c r="K75" s="7">
        <v>202503</v>
      </c>
      <c r="L75" s="7">
        <v>9254978</v>
      </c>
      <c r="M75" s="4" t="s">
        <v>87</v>
      </c>
      <c r="N75" s="4" t="s">
        <v>28</v>
      </c>
      <c r="O75" s="7">
        <v>18973608</v>
      </c>
      <c r="P75" s="4" t="s">
        <v>29</v>
      </c>
      <c r="Q75" s="7">
        <v>202504</v>
      </c>
      <c r="R75" s="7">
        <v>0</v>
      </c>
      <c r="S75" s="4" t="s">
        <v>38</v>
      </c>
      <c r="T75" s="7">
        <v>20250408</v>
      </c>
      <c r="U75" s="4"/>
      <c r="V75" s="7">
        <v>1.744149280069E+16</v>
      </c>
      <c r="W75" s="3"/>
      <c r="X75" s="3"/>
      <c r="Y75" s="3"/>
      <c r="Z75" s="3"/>
    </row>
    <row r="76" spans="1:26" ht="15" x14ac:dyDescent="0.25">
      <c r="A76" s="4" t="s">
        <v>22</v>
      </c>
      <c r="B76" s="5">
        <v>22</v>
      </c>
      <c r="C76" s="4" t="s">
        <v>23</v>
      </c>
      <c r="D76" s="6">
        <v>45755</v>
      </c>
      <c r="E76" s="7">
        <v>801951292</v>
      </c>
      <c r="F76" s="4" t="s">
        <v>84</v>
      </c>
      <c r="G76" s="4" t="s">
        <v>59</v>
      </c>
      <c r="H76" s="4" t="s">
        <v>44</v>
      </c>
      <c r="I76" s="7">
        <v>20170101</v>
      </c>
      <c r="J76" s="7">
        <v>20250201</v>
      </c>
      <c r="K76" s="7">
        <v>202502</v>
      </c>
      <c r="L76" s="7">
        <v>9254978</v>
      </c>
      <c r="M76" s="4" t="s">
        <v>87</v>
      </c>
      <c r="N76" s="4" t="s">
        <v>28</v>
      </c>
      <c r="O76" s="7">
        <v>18973608</v>
      </c>
      <c r="P76" s="4" t="s">
        <v>29</v>
      </c>
      <c r="Q76" s="7">
        <v>202504</v>
      </c>
      <c r="R76" s="7">
        <v>0</v>
      </c>
      <c r="S76" s="4" t="s">
        <v>38</v>
      </c>
      <c r="T76" s="7">
        <v>20250408</v>
      </c>
      <c r="U76" s="4"/>
      <c r="V76" s="7">
        <v>1.744149280033E+16</v>
      </c>
      <c r="W76" s="3"/>
      <c r="X76" s="3"/>
      <c r="Y76" s="3"/>
      <c r="Z76" s="3"/>
    </row>
    <row r="77" spans="1:26" ht="15" x14ac:dyDescent="0.25">
      <c r="A77" s="4" t="s">
        <v>22</v>
      </c>
      <c r="B77" s="5">
        <v>36</v>
      </c>
      <c r="C77" s="4" t="s">
        <v>23</v>
      </c>
      <c r="D77" s="6">
        <v>45755</v>
      </c>
      <c r="E77" s="7">
        <v>802645242</v>
      </c>
      <c r="F77" s="4" t="s">
        <v>93</v>
      </c>
      <c r="G77" s="4" t="s">
        <v>59</v>
      </c>
      <c r="H77" s="4" t="s">
        <v>60</v>
      </c>
      <c r="I77" s="7">
        <v>20220101</v>
      </c>
      <c r="J77" s="7">
        <v>20250101</v>
      </c>
      <c r="K77" s="7">
        <v>202504</v>
      </c>
      <c r="L77" s="7">
        <v>9254978</v>
      </c>
      <c r="M77" s="4" t="s">
        <v>87</v>
      </c>
      <c r="N77" s="4" t="s">
        <v>28</v>
      </c>
      <c r="O77" s="7">
        <v>18973608</v>
      </c>
      <c r="P77" s="4" t="s">
        <v>29</v>
      </c>
      <c r="Q77" s="7">
        <v>202504</v>
      </c>
      <c r="R77" s="7">
        <v>0</v>
      </c>
      <c r="S77" s="4" t="s">
        <v>30</v>
      </c>
      <c r="T77" s="7">
        <v>20250408</v>
      </c>
      <c r="U77" s="4"/>
      <c r="V77" s="7">
        <v>1.744149281072E+16</v>
      </c>
      <c r="W77" s="3"/>
      <c r="X77" s="3"/>
      <c r="Y77" s="3"/>
      <c r="Z77" s="3"/>
    </row>
    <row r="78" spans="1:26" ht="15" x14ac:dyDescent="0.25">
      <c r="A78" s="4" t="s">
        <v>22</v>
      </c>
      <c r="B78" s="5">
        <v>36</v>
      </c>
      <c r="C78" s="4" t="s">
        <v>23</v>
      </c>
      <c r="D78" s="6">
        <v>45755</v>
      </c>
      <c r="E78" s="7">
        <v>802624955</v>
      </c>
      <c r="F78" s="4" t="s">
        <v>94</v>
      </c>
      <c r="G78" s="4" t="s">
        <v>25</v>
      </c>
      <c r="H78" s="4" t="s">
        <v>26</v>
      </c>
      <c r="I78" s="7">
        <v>20220101</v>
      </c>
      <c r="J78" s="7">
        <v>20250101</v>
      </c>
      <c r="K78" s="7">
        <v>202504</v>
      </c>
      <c r="L78" s="7">
        <v>9254978</v>
      </c>
      <c r="M78" s="4" t="s">
        <v>87</v>
      </c>
      <c r="N78" s="4" t="s">
        <v>28</v>
      </c>
      <c r="O78" s="7">
        <v>18973608</v>
      </c>
      <c r="P78" s="4" t="s">
        <v>29</v>
      </c>
      <c r="Q78" s="7">
        <v>202504</v>
      </c>
      <c r="R78" s="7">
        <v>0</v>
      </c>
      <c r="S78" s="4" t="s">
        <v>30</v>
      </c>
      <c r="T78" s="7">
        <v>20250408</v>
      </c>
      <c r="U78" s="4"/>
      <c r="V78" s="7">
        <v>1.744149265112E+16</v>
      </c>
      <c r="W78" s="3"/>
      <c r="X78" s="3"/>
      <c r="Y78" s="3"/>
      <c r="Z78" s="3"/>
    </row>
    <row r="79" spans="1:26" ht="15" x14ac:dyDescent="0.25">
      <c r="A79" s="4" t="s">
        <v>22</v>
      </c>
      <c r="B79" s="5">
        <v>54</v>
      </c>
      <c r="C79" s="4" t="s">
        <v>23</v>
      </c>
      <c r="D79" s="6">
        <v>45755</v>
      </c>
      <c r="E79" s="7">
        <v>802566347</v>
      </c>
      <c r="F79" s="4" t="s">
        <v>95</v>
      </c>
      <c r="G79" s="4" t="s">
        <v>49</v>
      </c>
      <c r="H79" s="4" t="s">
        <v>50</v>
      </c>
      <c r="I79" s="7">
        <v>20210501</v>
      </c>
      <c r="J79" s="7">
        <v>20250101</v>
      </c>
      <c r="K79" s="7">
        <v>202504</v>
      </c>
      <c r="L79" s="7">
        <v>9254978</v>
      </c>
      <c r="M79" s="4" t="s">
        <v>87</v>
      </c>
      <c r="N79" s="4" t="s">
        <v>28</v>
      </c>
      <c r="O79" s="7">
        <v>18973608</v>
      </c>
      <c r="P79" s="4" t="s">
        <v>29</v>
      </c>
      <c r="Q79" s="7">
        <v>202504</v>
      </c>
      <c r="R79" s="7">
        <v>0</v>
      </c>
      <c r="S79" s="4" t="s">
        <v>30</v>
      </c>
      <c r="T79" s="7">
        <v>20250408</v>
      </c>
      <c r="U79" s="4"/>
      <c r="V79" s="7">
        <v>1.744149223079E+16</v>
      </c>
      <c r="W79" s="3"/>
      <c r="X79" s="3"/>
      <c r="Y79" s="3"/>
      <c r="Z79" s="3"/>
    </row>
    <row r="80" spans="1:26" ht="15" x14ac:dyDescent="0.25">
      <c r="A80" s="4" t="s">
        <v>22</v>
      </c>
      <c r="B80" s="5">
        <v>72</v>
      </c>
      <c r="C80" s="4" t="s">
        <v>23</v>
      </c>
      <c r="D80" s="6">
        <v>45755</v>
      </c>
      <c r="E80" s="7">
        <v>802766776</v>
      </c>
      <c r="F80" s="4" t="s">
        <v>96</v>
      </c>
      <c r="G80" s="4" t="s">
        <v>59</v>
      </c>
      <c r="H80" s="4" t="s">
        <v>60</v>
      </c>
      <c r="I80" s="7">
        <v>20230101</v>
      </c>
      <c r="J80" s="7">
        <v>20250101</v>
      </c>
      <c r="K80" s="7">
        <v>202504</v>
      </c>
      <c r="L80" s="7">
        <v>9254978</v>
      </c>
      <c r="M80" s="4" t="s">
        <v>87</v>
      </c>
      <c r="N80" s="4" t="s">
        <v>28</v>
      </c>
      <c r="O80" s="7">
        <v>18973608</v>
      </c>
      <c r="P80" s="4" t="s">
        <v>29</v>
      </c>
      <c r="Q80" s="7">
        <v>202504</v>
      </c>
      <c r="R80" s="7">
        <v>0</v>
      </c>
      <c r="S80" s="4" t="s">
        <v>30</v>
      </c>
      <c r="T80" s="7">
        <v>20250408</v>
      </c>
      <c r="U80" s="4"/>
      <c r="V80" s="7">
        <v>1.744149120715E+16</v>
      </c>
      <c r="W80" s="3"/>
      <c r="X80" s="3"/>
      <c r="Y80" s="3"/>
      <c r="Z80" s="3"/>
    </row>
    <row r="81" spans="1:26" ht="15" x14ac:dyDescent="0.25">
      <c r="A81" s="4" t="s">
        <v>22</v>
      </c>
      <c r="B81" s="5">
        <v>72</v>
      </c>
      <c r="C81" s="4" t="s">
        <v>23</v>
      </c>
      <c r="D81" s="6">
        <v>45755</v>
      </c>
      <c r="E81" s="7">
        <v>802766776</v>
      </c>
      <c r="F81" s="4" t="s">
        <v>96</v>
      </c>
      <c r="G81" s="4" t="s">
        <v>59</v>
      </c>
      <c r="H81" s="4" t="s">
        <v>60</v>
      </c>
      <c r="I81" s="7">
        <v>20230101</v>
      </c>
      <c r="J81" s="7">
        <v>20250101</v>
      </c>
      <c r="K81" s="7">
        <v>202503</v>
      </c>
      <c r="L81" s="7">
        <v>9254978</v>
      </c>
      <c r="M81" s="4" t="s">
        <v>87</v>
      </c>
      <c r="N81" s="4" t="s">
        <v>28</v>
      </c>
      <c r="O81" s="7">
        <v>18973608</v>
      </c>
      <c r="P81" s="4" t="s">
        <v>29</v>
      </c>
      <c r="Q81" s="7">
        <v>202504</v>
      </c>
      <c r="R81" s="7">
        <v>0</v>
      </c>
      <c r="S81" s="4" t="s">
        <v>30</v>
      </c>
      <c r="T81" s="7">
        <v>20250408</v>
      </c>
      <c r="U81" s="4"/>
      <c r="V81" s="7">
        <v>1.74414912068E+16</v>
      </c>
      <c r="W81" s="3"/>
      <c r="X81" s="3"/>
      <c r="Y81" s="3"/>
      <c r="Z81" s="3"/>
    </row>
    <row r="82" spans="1:26" ht="15" x14ac:dyDescent="0.25">
      <c r="A82" s="4" t="s">
        <v>22</v>
      </c>
      <c r="B82" s="5">
        <v>88</v>
      </c>
      <c r="C82" s="4" t="s">
        <v>23</v>
      </c>
      <c r="D82" s="6">
        <v>45755</v>
      </c>
      <c r="E82" s="7">
        <v>802999435</v>
      </c>
      <c r="F82" s="4" t="s">
        <v>97</v>
      </c>
      <c r="G82" s="4" t="s">
        <v>25</v>
      </c>
      <c r="H82" s="4" t="s">
        <v>26</v>
      </c>
      <c r="I82" s="7">
        <v>20250101</v>
      </c>
      <c r="J82" s="7">
        <v>20250101</v>
      </c>
      <c r="K82" s="7">
        <v>202504</v>
      </c>
      <c r="L82" s="7">
        <v>9254978</v>
      </c>
      <c r="M82" s="4" t="s">
        <v>87</v>
      </c>
      <c r="N82" s="4" t="s">
        <v>28</v>
      </c>
      <c r="O82" s="7">
        <v>18973608</v>
      </c>
      <c r="P82" s="4" t="s">
        <v>29</v>
      </c>
      <c r="Q82" s="7">
        <v>202504</v>
      </c>
      <c r="R82" s="7">
        <v>0</v>
      </c>
      <c r="S82" s="4" t="s">
        <v>38</v>
      </c>
      <c r="T82" s="7">
        <v>20250408</v>
      </c>
      <c r="U82" s="4"/>
      <c r="V82" s="7">
        <v>1.744149362E+16</v>
      </c>
      <c r="W82" s="3"/>
      <c r="X82" s="3"/>
      <c r="Y82" s="3"/>
      <c r="Z82" s="3"/>
    </row>
    <row r="83" spans="1:26" ht="15" x14ac:dyDescent="0.25">
      <c r="A83" s="4" t="s">
        <v>22</v>
      </c>
      <c r="B83" s="5">
        <v>88</v>
      </c>
      <c r="C83" s="4" t="s">
        <v>23</v>
      </c>
      <c r="D83" s="6">
        <v>45755</v>
      </c>
      <c r="E83" s="7">
        <v>802999435</v>
      </c>
      <c r="F83" s="4" t="s">
        <v>97</v>
      </c>
      <c r="G83" s="4" t="s">
        <v>25</v>
      </c>
      <c r="H83" s="4" t="s">
        <v>26</v>
      </c>
      <c r="I83" s="7">
        <v>20250101</v>
      </c>
      <c r="J83" s="7">
        <v>20250101</v>
      </c>
      <c r="K83" s="7">
        <v>202503</v>
      </c>
      <c r="L83" s="7">
        <v>9254978</v>
      </c>
      <c r="M83" s="4" t="s">
        <v>87</v>
      </c>
      <c r="N83" s="4" t="s">
        <v>28</v>
      </c>
      <c r="O83" s="7">
        <v>18973608</v>
      </c>
      <c r="P83" s="4" t="s">
        <v>29</v>
      </c>
      <c r="Q83" s="7">
        <v>202504</v>
      </c>
      <c r="R83" s="7">
        <v>0</v>
      </c>
      <c r="S83" s="4" t="s">
        <v>38</v>
      </c>
      <c r="T83" s="7">
        <v>20250408</v>
      </c>
      <c r="U83" s="4"/>
      <c r="V83" s="7">
        <v>1.744149361964E+16</v>
      </c>
      <c r="W83" s="3"/>
      <c r="X83" s="3"/>
      <c r="Y83" s="3"/>
      <c r="Z83" s="3"/>
    </row>
    <row r="84" spans="1:26" ht="15" x14ac:dyDescent="0.25">
      <c r="A84" s="4" t="s">
        <v>22</v>
      </c>
      <c r="B84" s="5">
        <v>2.85</v>
      </c>
      <c r="C84" s="4" t="s">
        <v>23</v>
      </c>
      <c r="D84" s="6">
        <v>45783</v>
      </c>
      <c r="E84" s="7">
        <v>802996993</v>
      </c>
      <c r="F84" s="4" t="s">
        <v>84</v>
      </c>
      <c r="G84" s="4" t="s">
        <v>85</v>
      </c>
      <c r="H84" s="4" t="s">
        <v>86</v>
      </c>
      <c r="I84" s="7">
        <v>20250101</v>
      </c>
      <c r="J84" s="7">
        <v>20250201</v>
      </c>
      <c r="K84" s="7">
        <v>202505</v>
      </c>
      <c r="L84" s="7">
        <v>9254978</v>
      </c>
      <c r="M84" s="4" t="s">
        <v>87</v>
      </c>
      <c r="N84" s="4" t="s">
        <v>28</v>
      </c>
      <c r="O84" s="7">
        <v>18973608</v>
      </c>
      <c r="P84" s="4" t="s">
        <v>29</v>
      </c>
      <c r="Q84" s="7">
        <v>202505</v>
      </c>
      <c r="R84" s="7">
        <v>0</v>
      </c>
      <c r="S84" s="4" t="s">
        <v>38</v>
      </c>
      <c r="T84" s="7">
        <v>20250506</v>
      </c>
      <c r="U84" s="4"/>
      <c r="V84" s="7">
        <v>1.746571289325E+16</v>
      </c>
      <c r="W84" s="3"/>
      <c r="X84" s="3"/>
      <c r="Y84" s="3"/>
      <c r="Z84" s="3"/>
    </row>
    <row r="85" spans="1:26" ht="15" x14ac:dyDescent="0.25">
      <c r="A85" s="4" t="s">
        <v>22</v>
      </c>
      <c r="B85" s="5">
        <v>18</v>
      </c>
      <c r="C85" s="4" t="s">
        <v>23</v>
      </c>
      <c r="D85" s="6">
        <v>45783</v>
      </c>
      <c r="E85" s="7">
        <v>802758903</v>
      </c>
      <c r="F85" s="4" t="s">
        <v>89</v>
      </c>
      <c r="G85" s="4" t="s">
        <v>59</v>
      </c>
      <c r="H85" s="4" t="s">
        <v>60</v>
      </c>
      <c r="I85" s="7">
        <v>20230101</v>
      </c>
      <c r="J85" s="7">
        <v>20250101</v>
      </c>
      <c r="K85" s="7">
        <v>202505</v>
      </c>
      <c r="L85" s="7">
        <v>9254978</v>
      </c>
      <c r="M85" s="4" t="s">
        <v>87</v>
      </c>
      <c r="N85" s="4" t="s">
        <v>28</v>
      </c>
      <c r="O85" s="7">
        <v>18973608</v>
      </c>
      <c r="P85" s="4" t="s">
        <v>29</v>
      </c>
      <c r="Q85" s="7">
        <v>202505</v>
      </c>
      <c r="R85" s="7">
        <v>0</v>
      </c>
      <c r="S85" s="4" t="s">
        <v>30</v>
      </c>
      <c r="T85" s="7">
        <v>20250506</v>
      </c>
      <c r="U85" s="4"/>
      <c r="V85" s="7">
        <v>1.746571424845E+16</v>
      </c>
      <c r="W85" s="3"/>
      <c r="X85" s="3"/>
      <c r="Y85" s="3"/>
      <c r="Z85" s="3"/>
    </row>
    <row r="86" spans="1:26" ht="15" x14ac:dyDescent="0.25">
      <c r="A86" s="4" t="s">
        <v>22</v>
      </c>
      <c r="B86" s="5">
        <v>18</v>
      </c>
      <c r="C86" s="4" t="s">
        <v>23</v>
      </c>
      <c r="D86" s="6">
        <v>45783</v>
      </c>
      <c r="E86" s="7">
        <v>802742865</v>
      </c>
      <c r="F86" s="4" t="s">
        <v>90</v>
      </c>
      <c r="G86" s="4" t="s">
        <v>49</v>
      </c>
      <c r="H86" s="4" t="s">
        <v>50</v>
      </c>
      <c r="I86" s="7">
        <v>20221101</v>
      </c>
      <c r="J86" s="7">
        <v>20250101</v>
      </c>
      <c r="K86" s="7">
        <v>202505</v>
      </c>
      <c r="L86" s="7">
        <v>9254978</v>
      </c>
      <c r="M86" s="4" t="s">
        <v>87</v>
      </c>
      <c r="N86" s="4" t="s">
        <v>28</v>
      </c>
      <c r="O86" s="7">
        <v>18973608</v>
      </c>
      <c r="P86" s="4" t="s">
        <v>29</v>
      </c>
      <c r="Q86" s="7">
        <v>202505</v>
      </c>
      <c r="R86" s="7">
        <v>0</v>
      </c>
      <c r="S86" s="4" t="s">
        <v>30</v>
      </c>
      <c r="T86" s="7">
        <v>20250506</v>
      </c>
      <c r="U86" s="4"/>
      <c r="V86" s="7">
        <v>1.746571405309E+16</v>
      </c>
      <c r="W86" s="3"/>
      <c r="X86" s="3"/>
      <c r="Y86" s="3"/>
      <c r="Z86" s="3"/>
    </row>
    <row r="87" spans="1:26" ht="15" x14ac:dyDescent="0.25">
      <c r="A87" s="4" t="s">
        <v>22</v>
      </c>
      <c r="B87" s="5">
        <v>18</v>
      </c>
      <c r="C87" s="4" t="s">
        <v>23</v>
      </c>
      <c r="D87" s="6">
        <v>45783</v>
      </c>
      <c r="E87" s="7">
        <v>802766143</v>
      </c>
      <c r="F87" s="4" t="s">
        <v>88</v>
      </c>
      <c r="G87" s="4" t="s">
        <v>59</v>
      </c>
      <c r="H87" s="4" t="s">
        <v>60</v>
      </c>
      <c r="I87" s="7">
        <v>20230101</v>
      </c>
      <c r="J87" s="7">
        <v>20250101</v>
      </c>
      <c r="K87" s="7">
        <v>202505</v>
      </c>
      <c r="L87" s="7">
        <v>9254978</v>
      </c>
      <c r="M87" s="4" t="s">
        <v>87</v>
      </c>
      <c r="N87" s="4" t="s">
        <v>28</v>
      </c>
      <c r="O87" s="7">
        <v>18973608</v>
      </c>
      <c r="P87" s="4" t="s">
        <v>29</v>
      </c>
      <c r="Q87" s="7">
        <v>202505</v>
      </c>
      <c r="R87" s="7">
        <v>0</v>
      </c>
      <c r="S87" s="4" t="s">
        <v>30</v>
      </c>
      <c r="T87" s="7">
        <v>20250506</v>
      </c>
      <c r="U87" s="4"/>
      <c r="V87" s="7">
        <v>1.746571433454E+16</v>
      </c>
      <c r="W87" s="3"/>
      <c r="X87" s="3"/>
      <c r="Y87" s="3"/>
      <c r="Z87" s="3"/>
    </row>
    <row r="88" spans="1:26" ht="15" x14ac:dyDescent="0.25">
      <c r="A88" s="4" t="s">
        <v>22</v>
      </c>
      <c r="B88" s="5">
        <v>18</v>
      </c>
      <c r="C88" s="4" t="s">
        <v>23</v>
      </c>
      <c r="D88" s="6">
        <v>45783</v>
      </c>
      <c r="E88" s="7">
        <v>802690020</v>
      </c>
      <c r="F88" s="4" t="s">
        <v>91</v>
      </c>
      <c r="G88" s="4" t="s">
        <v>59</v>
      </c>
      <c r="H88" s="4" t="s">
        <v>60</v>
      </c>
      <c r="I88" s="7">
        <v>20220501</v>
      </c>
      <c r="J88" s="7">
        <v>20250101</v>
      </c>
      <c r="K88" s="7">
        <v>202505</v>
      </c>
      <c r="L88" s="7">
        <v>9254978</v>
      </c>
      <c r="M88" s="4" t="s">
        <v>87</v>
      </c>
      <c r="N88" s="4" t="s">
        <v>28</v>
      </c>
      <c r="O88" s="7">
        <v>18973608</v>
      </c>
      <c r="P88" s="4" t="s">
        <v>29</v>
      </c>
      <c r="Q88" s="7">
        <v>202505</v>
      </c>
      <c r="R88" s="7">
        <v>0</v>
      </c>
      <c r="S88" s="4" t="s">
        <v>30</v>
      </c>
      <c r="T88" s="7">
        <v>20250506</v>
      </c>
      <c r="U88" s="4"/>
      <c r="V88" s="7">
        <v>1.746571361368E+16</v>
      </c>
      <c r="W88" s="3"/>
      <c r="X88" s="3"/>
      <c r="Y88" s="3"/>
      <c r="Z88" s="3"/>
    </row>
    <row r="89" spans="1:26" ht="15" x14ac:dyDescent="0.25">
      <c r="A89" s="4" t="s">
        <v>22</v>
      </c>
      <c r="B89" s="5">
        <v>18</v>
      </c>
      <c r="C89" s="4" t="s">
        <v>23</v>
      </c>
      <c r="D89" s="6">
        <v>45783</v>
      </c>
      <c r="E89" s="7">
        <v>802468875</v>
      </c>
      <c r="F89" s="4" t="s">
        <v>92</v>
      </c>
      <c r="G89" s="4" t="s">
        <v>55</v>
      </c>
      <c r="H89" s="4" t="s">
        <v>56</v>
      </c>
      <c r="I89" s="7">
        <v>20200601</v>
      </c>
      <c r="J89" s="7">
        <v>20250101</v>
      </c>
      <c r="K89" s="7">
        <v>202505</v>
      </c>
      <c r="L89" s="7">
        <v>9254978</v>
      </c>
      <c r="M89" s="4" t="s">
        <v>87</v>
      </c>
      <c r="N89" s="4" t="s">
        <v>28</v>
      </c>
      <c r="O89" s="7">
        <v>18973608</v>
      </c>
      <c r="P89" s="4" t="s">
        <v>29</v>
      </c>
      <c r="Q89" s="7">
        <v>202505</v>
      </c>
      <c r="R89" s="7">
        <v>0</v>
      </c>
      <c r="S89" s="4" t="s">
        <v>30</v>
      </c>
      <c r="T89" s="7">
        <v>20250506</v>
      </c>
      <c r="U89" s="4"/>
      <c r="V89" s="7">
        <v>1.746571217075E+16</v>
      </c>
      <c r="W89" s="3"/>
      <c r="X89" s="3"/>
      <c r="Y89" s="3"/>
      <c r="Z89" s="3"/>
    </row>
    <row r="90" spans="1:26" ht="15" x14ac:dyDescent="0.25">
      <c r="A90" s="4" t="s">
        <v>22</v>
      </c>
      <c r="B90" s="5">
        <v>22</v>
      </c>
      <c r="C90" s="4" t="s">
        <v>23</v>
      </c>
      <c r="D90" s="6">
        <v>45783</v>
      </c>
      <c r="E90" s="7">
        <v>801951292</v>
      </c>
      <c r="F90" s="4" t="s">
        <v>84</v>
      </c>
      <c r="G90" s="4" t="s">
        <v>59</v>
      </c>
      <c r="H90" s="4" t="s">
        <v>44</v>
      </c>
      <c r="I90" s="7">
        <v>20170101</v>
      </c>
      <c r="J90" s="7">
        <v>20250201</v>
      </c>
      <c r="K90" s="7">
        <v>202505</v>
      </c>
      <c r="L90" s="7">
        <v>9254978</v>
      </c>
      <c r="M90" s="4" t="s">
        <v>87</v>
      </c>
      <c r="N90" s="4" t="s">
        <v>28</v>
      </c>
      <c r="O90" s="7">
        <v>18973608</v>
      </c>
      <c r="P90" s="4" t="s">
        <v>29</v>
      </c>
      <c r="Q90" s="7">
        <v>202505</v>
      </c>
      <c r="R90" s="7">
        <v>0</v>
      </c>
      <c r="S90" s="4" t="s">
        <v>38</v>
      </c>
      <c r="T90" s="7">
        <v>20250506</v>
      </c>
      <c r="U90" s="4"/>
      <c r="V90" s="7">
        <v>1.746571265354E+16</v>
      </c>
      <c r="W90" s="3"/>
      <c r="X90" s="3"/>
      <c r="Y90" s="3"/>
      <c r="Z90" s="3"/>
    </row>
    <row r="91" spans="1:26" ht="15" x14ac:dyDescent="0.25">
      <c r="A91" s="4" t="s">
        <v>22</v>
      </c>
      <c r="B91" s="5">
        <v>36</v>
      </c>
      <c r="C91" s="4" t="s">
        <v>23</v>
      </c>
      <c r="D91" s="6">
        <v>45783</v>
      </c>
      <c r="E91" s="7">
        <v>802645242</v>
      </c>
      <c r="F91" s="4" t="s">
        <v>93</v>
      </c>
      <c r="G91" s="4" t="s">
        <v>59</v>
      </c>
      <c r="H91" s="4" t="s">
        <v>60</v>
      </c>
      <c r="I91" s="7">
        <v>20220101</v>
      </c>
      <c r="J91" s="7">
        <v>20250101</v>
      </c>
      <c r="K91" s="7">
        <v>202505</v>
      </c>
      <c r="L91" s="7">
        <v>9254978</v>
      </c>
      <c r="M91" s="4" t="s">
        <v>87</v>
      </c>
      <c r="N91" s="4" t="s">
        <v>28</v>
      </c>
      <c r="O91" s="7">
        <v>18973608</v>
      </c>
      <c r="P91" s="4" t="s">
        <v>29</v>
      </c>
      <c r="Q91" s="7">
        <v>202505</v>
      </c>
      <c r="R91" s="7">
        <v>0</v>
      </c>
      <c r="S91" s="4" t="s">
        <v>30</v>
      </c>
      <c r="T91" s="7">
        <v>20250506</v>
      </c>
      <c r="U91" s="4"/>
      <c r="V91" s="7">
        <v>1.746571326593E+16</v>
      </c>
      <c r="W91" s="3"/>
      <c r="X91" s="3"/>
      <c r="Y91" s="3"/>
      <c r="Z91" s="3"/>
    </row>
    <row r="92" spans="1:26" ht="15" x14ac:dyDescent="0.25">
      <c r="A92" s="4" t="s">
        <v>22</v>
      </c>
      <c r="B92" s="5">
        <v>36</v>
      </c>
      <c r="C92" s="4" t="s">
        <v>23</v>
      </c>
      <c r="D92" s="6">
        <v>45783</v>
      </c>
      <c r="E92" s="7">
        <v>802624955</v>
      </c>
      <c r="F92" s="4" t="s">
        <v>94</v>
      </c>
      <c r="G92" s="4" t="s">
        <v>25</v>
      </c>
      <c r="H92" s="4" t="s">
        <v>26</v>
      </c>
      <c r="I92" s="7">
        <v>20220101</v>
      </c>
      <c r="J92" s="7">
        <v>20250101</v>
      </c>
      <c r="K92" s="7">
        <v>202505</v>
      </c>
      <c r="L92" s="7">
        <v>9254978</v>
      </c>
      <c r="M92" s="4" t="s">
        <v>87</v>
      </c>
      <c r="N92" s="4" t="s">
        <v>28</v>
      </c>
      <c r="O92" s="7">
        <v>18973608</v>
      </c>
      <c r="P92" s="4" t="s">
        <v>29</v>
      </c>
      <c r="Q92" s="7">
        <v>202505</v>
      </c>
      <c r="R92" s="7">
        <v>0</v>
      </c>
      <c r="S92" s="4" t="s">
        <v>30</v>
      </c>
      <c r="T92" s="7">
        <v>20250506</v>
      </c>
      <c r="U92" s="4"/>
      <c r="V92" s="7">
        <v>1.746571306906E+16</v>
      </c>
      <c r="W92" s="3"/>
      <c r="X92" s="3"/>
      <c r="Y92" s="3"/>
      <c r="Z92" s="3"/>
    </row>
    <row r="93" spans="1:26" ht="15" x14ac:dyDescent="0.25">
      <c r="A93" s="4" t="s">
        <v>22</v>
      </c>
      <c r="B93" s="5">
        <v>54</v>
      </c>
      <c r="C93" s="4" t="s">
        <v>23</v>
      </c>
      <c r="D93" s="6">
        <v>45783</v>
      </c>
      <c r="E93" s="7">
        <v>802566347</v>
      </c>
      <c r="F93" s="4" t="s">
        <v>95</v>
      </c>
      <c r="G93" s="4" t="s">
        <v>49</v>
      </c>
      <c r="H93" s="4" t="s">
        <v>50</v>
      </c>
      <c r="I93" s="7">
        <v>20210501</v>
      </c>
      <c r="J93" s="7">
        <v>20250101</v>
      </c>
      <c r="K93" s="7">
        <v>202505</v>
      </c>
      <c r="L93" s="7">
        <v>9254978</v>
      </c>
      <c r="M93" s="4" t="s">
        <v>87</v>
      </c>
      <c r="N93" s="4" t="s">
        <v>28</v>
      </c>
      <c r="O93" s="7">
        <v>18973608</v>
      </c>
      <c r="P93" s="4" t="s">
        <v>29</v>
      </c>
      <c r="Q93" s="7">
        <v>202505</v>
      </c>
      <c r="R93" s="7">
        <v>0</v>
      </c>
      <c r="S93" s="4" t="s">
        <v>30</v>
      </c>
      <c r="T93" s="7">
        <v>20250506</v>
      </c>
      <c r="U93" s="4"/>
      <c r="V93" s="7">
        <v>1.746571259997E+16</v>
      </c>
      <c r="W93" s="3"/>
      <c r="X93" s="3"/>
      <c r="Y93" s="3"/>
      <c r="Z93" s="3"/>
    </row>
    <row r="94" spans="1:26" ht="15" x14ac:dyDescent="0.25">
      <c r="A94" s="4" t="s">
        <v>22</v>
      </c>
      <c r="B94" s="5">
        <v>72</v>
      </c>
      <c r="C94" s="4" t="s">
        <v>23</v>
      </c>
      <c r="D94" s="6">
        <v>45783</v>
      </c>
      <c r="E94" s="7">
        <v>802766776</v>
      </c>
      <c r="F94" s="4" t="s">
        <v>96</v>
      </c>
      <c r="G94" s="4" t="s">
        <v>59</v>
      </c>
      <c r="H94" s="4" t="s">
        <v>60</v>
      </c>
      <c r="I94" s="7">
        <v>20230101</v>
      </c>
      <c r="J94" s="7">
        <v>20250101</v>
      </c>
      <c r="K94" s="7">
        <v>202505</v>
      </c>
      <c r="L94" s="7">
        <v>9254978</v>
      </c>
      <c r="M94" s="4" t="s">
        <v>87</v>
      </c>
      <c r="N94" s="4" t="s">
        <v>28</v>
      </c>
      <c r="O94" s="7">
        <v>18973608</v>
      </c>
      <c r="P94" s="4" t="s">
        <v>29</v>
      </c>
      <c r="Q94" s="7">
        <v>202505</v>
      </c>
      <c r="R94" s="7">
        <v>0</v>
      </c>
      <c r="S94" s="4" t="s">
        <v>30</v>
      </c>
      <c r="T94" s="7">
        <v>20250506</v>
      </c>
      <c r="U94" s="4"/>
      <c r="V94" s="7">
        <v>1.746571434776E+16</v>
      </c>
      <c r="W94" s="3"/>
      <c r="X94" s="3"/>
      <c r="Y94" s="3"/>
      <c r="Z94" s="3"/>
    </row>
    <row r="95" spans="1:26" ht="15" x14ac:dyDescent="0.25">
      <c r="A95" s="4" t="s">
        <v>22</v>
      </c>
      <c r="B95" s="5">
        <v>88</v>
      </c>
      <c r="C95" s="4" t="s">
        <v>23</v>
      </c>
      <c r="D95" s="6">
        <v>45783</v>
      </c>
      <c r="E95" s="7">
        <v>802999435</v>
      </c>
      <c r="F95" s="4" t="s">
        <v>97</v>
      </c>
      <c r="G95" s="4" t="s">
        <v>25</v>
      </c>
      <c r="H95" s="4" t="s">
        <v>26</v>
      </c>
      <c r="I95" s="7">
        <v>20250101</v>
      </c>
      <c r="J95" s="7">
        <v>20250101</v>
      </c>
      <c r="K95" s="7">
        <v>202505</v>
      </c>
      <c r="L95" s="7">
        <v>9254978</v>
      </c>
      <c r="M95" s="4" t="s">
        <v>87</v>
      </c>
      <c r="N95" s="4" t="s">
        <v>28</v>
      </c>
      <c r="O95" s="7">
        <v>18973608</v>
      </c>
      <c r="P95" s="4" t="s">
        <v>29</v>
      </c>
      <c r="Q95" s="7">
        <v>202505</v>
      </c>
      <c r="R95" s="7">
        <v>0</v>
      </c>
      <c r="S95" s="4" t="s">
        <v>38</v>
      </c>
      <c r="T95" s="7">
        <v>20250506</v>
      </c>
      <c r="U95" s="4"/>
      <c r="V95" s="7">
        <v>1.746571355891E+16</v>
      </c>
      <c r="W95" s="3"/>
      <c r="X95" s="3"/>
      <c r="Y95" s="3"/>
      <c r="Z95" s="3"/>
    </row>
    <row r="96" spans="1:26" ht="15" x14ac:dyDescent="0.25">
      <c r="A96" s="4" t="s">
        <v>22</v>
      </c>
      <c r="B96" s="5">
        <v>18</v>
      </c>
      <c r="C96" s="4" t="s">
        <v>23</v>
      </c>
      <c r="D96" s="6">
        <v>45755</v>
      </c>
      <c r="E96" s="7">
        <v>802705300</v>
      </c>
      <c r="F96" s="4" t="s">
        <v>98</v>
      </c>
      <c r="G96" s="4" t="s">
        <v>59</v>
      </c>
      <c r="H96" s="4" t="s">
        <v>60</v>
      </c>
      <c r="I96" s="7">
        <v>20220701</v>
      </c>
      <c r="J96" s="7">
        <v>20250101</v>
      </c>
      <c r="K96" s="7">
        <v>202503</v>
      </c>
      <c r="L96" s="7">
        <v>9079571</v>
      </c>
      <c r="M96" s="4" t="s">
        <v>99</v>
      </c>
      <c r="N96" s="4" t="s">
        <v>28</v>
      </c>
      <c r="O96" s="7">
        <v>18973608</v>
      </c>
      <c r="P96" s="4" t="s">
        <v>29</v>
      </c>
      <c r="Q96" s="7">
        <v>202504</v>
      </c>
      <c r="R96" s="7">
        <v>0</v>
      </c>
      <c r="S96" s="4" t="s">
        <v>30</v>
      </c>
      <c r="T96" s="7">
        <v>20250408</v>
      </c>
      <c r="U96" s="4"/>
      <c r="V96" s="7">
        <v>1.744149331596E+16</v>
      </c>
      <c r="W96" s="3"/>
      <c r="X96" s="3"/>
      <c r="Y96" s="3"/>
      <c r="Z96" s="3"/>
    </row>
    <row r="97" spans="1:26" ht="15" x14ac:dyDescent="0.25">
      <c r="A97" s="4" t="s">
        <v>22</v>
      </c>
      <c r="B97" s="5">
        <v>18</v>
      </c>
      <c r="C97" s="4" t="s">
        <v>23</v>
      </c>
      <c r="D97" s="6">
        <v>45755</v>
      </c>
      <c r="E97" s="7">
        <v>802071259</v>
      </c>
      <c r="F97" s="4" t="s">
        <v>100</v>
      </c>
      <c r="G97" s="4" t="s">
        <v>64</v>
      </c>
      <c r="H97" s="4" t="s">
        <v>65</v>
      </c>
      <c r="I97" s="7">
        <v>20170701</v>
      </c>
      <c r="J97" s="7">
        <v>20250101</v>
      </c>
      <c r="K97" s="7">
        <v>202504</v>
      </c>
      <c r="L97" s="7">
        <v>9079571</v>
      </c>
      <c r="M97" s="4" t="s">
        <v>99</v>
      </c>
      <c r="N97" s="4" t="s">
        <v>28</v>
      </c>
      <c r="O97" s="7">
        <v>18973608</v>
      </c>
      <c r="P97" s="4" t="s">
        <v>29</v>
      </c>
      <c r="Q97" s="7">
        <v>202504</v>
      </c>
      <c r="R97" s="7">
        <v>0</v>
      </c>
      <c r="S97" s="4" t="s">
        <v>30</v>
      </c>
      <c r="T97" s="7">
        <v>20250408</v>
      </c>
      <c r="U97" s="4"/>
      <c r="V97" s="7">
        <v>1.744149250626E+16</v>
      </c>
      <c r="W97" s="3"/>
      <c r="X97" s="3"/>
      <c r="Y97" s="3"/>
      <c r="Z97" s="3"/>
    </row>
    <row r="98" spans="1:26" ht="15" x14ac:dyDescent="0.25">
      <c r="A98" s="4" t="s">
        <v>22</v>
      </c>
      <c r="B98" s="5">
        <v>54</v>
      </c>
      <c r="C98" s="4" t="s">
        <v>23</v>
      </c>
      <c r="D98" s="6">
        <v>45755</v>
      </c>
      <c r="E98" s="7">
        <v>802715093</v>
      </c>
      <c r="F98" s="4" t="s">
        <v>101</v>
      </c>
      <c r="G98" s="4" t="s">
        <v>81</v>
      </c>
      <c r="H98" s="4" t="s">
        <v>82</v>
      </c>
      <c r="I98" s="7">
        <v>20220801</v>
      </c>
      <c r="J98" s="7">
        <v>20250101</v>
      </c>
      <c r="K98" s="7">
        <v>202503</v>
      </c>
      <c r="L98" s="7">
        <v>9079571</v>
      </c>
      <c r="M98" s="4" t="s">
        <v>99</v>
      </c>
      <c r="N98" s="4" t="s">
        <v>28</v>
      </c>
      <c r="O98" s="7">
        <v>18973608</v>
      </c>
      <c r="P98" s="4" t="s">
        <v>29</v>
      </c>
      <c r="Q98" s="7">
        <v>202504</v>
      </c>
      <c r="R98" s="7">
        <v>0</v>
      </c>
      <c r="S98" s="4" t="s">
        <v>30</v>
      </c>
      <c r="T98" s="7">
        <v>20250408</v>
      </c>
      <c r="U98" s="4"/>
      <c r="V98" s="7">
        <v>1.744149338287E+16</v>
      </c>
      <c r="W98" s="3"/>
      <c r="X98" s="3"/>
      <c r="Y98" s="3"/>
      <c r="Z98" s="3"/>
    </row>
    <row r="99" spans="1:26" ht="15" x14ac:dyDescent="0.25">
      <c r="A99" s="4" t="s">
        <v>22</v>
      </c>
      <c r="B99" s="5">
        <v>90</v>
      </c>
      <c r="C99" s="4" t="s">
        <v>23</v>
      </c>
      <c r="D99" s="6">
        <v>45755</v>
      </c>
      <c r="E99" s="7">
        <v>802183108</v>
      </c>
      <c r="F99" s="4" t="s">
        <v>102</v>
      </c>
      <c r="G99" s="4" t="s">
        <v>40</v>
      </c>
      <c r="H99" s="4" t="s">
        <v>41</v>
      </c>
      <c r="I99" s="7">
        <v>20180201</v>
      </c>
      <c r="J99" s="7">
        <v>20250101</v>
      </c>
      <c r="K99" s="7">
        <v>202504</v>
      </c>
      <c r="L99" s="7">
        <v>9079571</v>
      </c>
      <c r="M99" s="4" t="s">
        <v>99</v>
      </c>
      <c r="N99" s="4" t="s">
        <v>28</v>
      </c>
      <c r="O99" s="7">
        <v>18973608</v>
      </c>
      <c r="P99" s="4" t="s">
        <v>29</v>
      </c>
      <c r="Q99" s="7">
        <v>202504</v>
      </c>
      <c r="R99" s="7">
        <v>0</v>
      </c>
      <c r="S99" s="4" t="s">
        <v>30</v>
      </c>
      <c r="T99" s="7">
        <v>20250408</v>
      </c>
      <c r="U99" s="4"/>
      <c r="V99" s="7">
        <v>1.744149287347E+16</v>
      </c>
      <c r="W99" s="3"/>
      <c r="X99" s="3"/>
      <c r="Y99" s="3"/>
      <c r="Z99" s="3"/>
    </row>
    <row r="100" spans="1:26" ht="15" x14ac:dyDescent="0.25">
      <c r="A100" s="4" t="s">
        <v>22</v>
      </c>
      <c r="B100" s="5">
        <v>18</v>
      </c>
      <c r="C100" s="4" t="s">
        <v>23</v>
      </c>
      <c r="D100" s="6">
        <v>45783</v>
      </c>
      <c r="E100" s="7">
        <v>802705300</v>
      </c>
      <c r="F100" s="4" t="s">
        <v>98</v>
      </c>
      <c r="G100" s="4" t="s">
        <v>59</v>
      </c>
      <c r="H100" s="4" t="s">
        <v>60</v>
      </c>
      <c r="I100" s="7">
        <v>20220701</v>
      </c>
      <c r="J100" s="7">
        <v>20250101</v>
      </c>
      <c r="K100" s="7">
        <v>202504</v>
      </c>
      <c r="L100" s="7">
        <v>9079571</v>
      </c>
      <c r="M100" s="4" t="s">
        <v>99</v>
      </c>
      <c r="N100" s="4" t="s">
        <v>28</v>
      </c>
      <c r="O100" s="7">
        <v>18973608</v>
      </c>
      <c r="P100" s="4" t="s">
        <v>29</v>
      </c>
      <c r="Q100" s="7">
        <v>202505</v>
      </c>
      <c r="R100" s="7">
        <v>0</v>
      </c>
      <c r="S100" s="4" t="s">
        <v>30</v>
      </c>
      <c r="T100" s="7">
        <v>20250506</v>
      </c>
      <c r="U100" s="4"/>
      <c r="V100" s="7">
        <v>1.746571371065E+16</v>
      </c>
      <c r="W100" s="3"/>
      <c r="X100" s="3"/>
      <c r="Y100" s="3"/>
      <c r="Z100" s="3"/>
    </row>
    <row r="101" spans="1:26" ht="15" x14ac:dyDescent="0.25">
      <c r="A101" s="4" t="s">
        <v>22</v>
      </c>
      <c r="B101" s="5">
        <v>18</v>
      </c>
      <c r="C101" s="4" t="s">
        <v>23</v>
      </c>
      <c r="D101" s="6">
        <v>45783</v>
      </c>
      <c r="E101" s="7">
        <v>802071259</v>
      </c>
      <c r="F101" s="4" t="s">
        <v>100</v>
      </c>
      <c r="G101" s="4" t="s">
        <v>64</v>
      </c>
      <c r="H101" s="4" t="s">
        <v>65</v>
      </c>
      <c r="I101" s="7">
        <v>20170701</v>
      </c>
      <c r="J101" s="7">
        <v>20250101</v>
      </c>
      <c r="K101" s="7">
        <v>202505</v>
      </c>
      <c r="L101" s="7">
        <v>9079571</v>
      </c>
      <c r="M101" s="4" t="s">
        <v>99</v>
      </c>
      <c r="N101" s="4" t="s">
        <v>28</v>
      </c>
      <c r="O101" s="7">
        <v>18973608</v>
      </c>
      <c r="P101" s="4" t="s">
        <v>29</v>
      </c>
      <c r="Q101" s="7">
        <v>202505</v>
      </c>
      <c r="R101" s="7">
        <v>0</v>
      </c>
      <c r="S101" s="4" t="s">
        <v>30</v>
      </c>
      <c r="T101" s="7">
        <v>20250506</v>
      </c>
      <c r="U101" s="4"/>
      <c r="V101" s="7">
        <v>1.746571287743E+16</v>
      </c>
      <c r="W101" s="3"/>
      <c r="X101" s="3"/>
      <c r="Y101" s="3"/>
      <c r="Z101" s="3"/>
    </row>
    <row r="102" spans="1:26" ht="15" x14ac:dyDescent="0.25">
      <c r="A102" s="4" t="s">
        <v>22</v>
      </c>
      <c r="B102" s="5">
        <v>54</v>
      </c>
      <c r="C102" s="4" t="s">
        <v>23</v>
      </c>
      <c r="D102" s="6">
        <v>45783</v>
      </c>
      <c r="E102" s="7">
        <v>802715093</v>
      </c>
      <c r="F102" s="4" t="s">
        <v>101</v>
      </c>
      <c r="G102" s="4" t="s">
        <v>81</v>
      </c>
      <c r="H102" s="4" t="s">
        <v>82</v>
      </c>
      <c r="I102" s="7">
        <v>20220801</v>
      </c>
      <c r="J102" s="7">
        <v>20250101</v>
      </c>
      <c r="K102" s="7">
        <v>202504</v>
      </c>
      <c r="L102" s="7">
        <v>9079571</v>
      </c>
      <c r="M102" s="4" t="s">
        <v>99</v>
      </c>
      <c r="N102" s="4" t="s">
        <v>28</v>
      </c>
      <c r="O102" s="7">
        <v>18973608</v>
      </c>
      <c r="P102" s="4" t="s">
        <v>29</v>
      </c>
      <c r="Q102" s="7">
        <v>202505</v>
      </c>
      <c r="R102" s="7">
        <v>0</v>
      </c>
      <c r="S102" s="4" t="s">
        <v>30</v>
      </c>
      <c r="T102" s="7">
        <v>20250506</v>
      </c>
      <c r="U102" s="4"/>
      <c r="V102" s="7">
        <v>1.74657137644E+16</v>
      </c>
      <c r="W102" s="3"/>
      <c r="X102" s="3"/>
      <c r="Y102" s="3"/>
      <c r="Z102" s="3"/>
    </row>
    <row r="103" spans="1:26" ht="15" x14ac:dyDescent="0.25">
      <c r="A103" s="4" t="s">
        <v>22</v>
      </c>
      <c r="B103" s="5">
        <v>54</v>
      </c>
      <c r="C103" s="4" t="s">
        <v>23</v>
      </c>
      <c r="D103" s="6">
        <v>45783</v>
      </c>
      <c r="E103" s="7">
        <v>802715093</v>
      </c>
      <c r="F103" s="4" t="s">
        <v>101</v>
      </c>
      <c r="G103" s="4" t="s">
        <v>81</v>
      </c>
      <c r="H103" s="4" t="s">
        <v>82</v>
      </c>
      <c r="I103" s="7">
        <v>20220801</v>
      </c>
      <c r="J103" s="7">
        <v>20250101</v>
      </c>
      <c r="K103" s="7">
        <v>202505</v>
      </c>
      <c r="L103" s="7">
        <v>9079571</v>
      </c>
      <c r="M103" s="4" t="s">
        <v>99</v>
      </c>
      <c r="N103" s="4" t="s">
        <v>28</v>
      </c>
      <c r="O103" s="7">
        <v>18973608</v>
      </c>
      <c r="P103" s="4" t="s">
        <v>29</v>
      </c>
      <c r="Q103" s="7">
        <v>202505</v>
      </c>
      <c r="R103" s="7">
        <v>0</v>
      </c>
      <c r="S103" s="4" t="s">
        <v>30</v>
      </c>
      <c r="T103" s="7">
        <v>20250506</v>
      </c>
      <c r="U103" s="4"/>
      <c r="V103" s="7">
        <v>1.746571376475E+16</v>
      </c>
      <c r="W103" s="3"/>
      <c r="X103" s="3"/>
      <c r="Y103" s="3"/>
      <c r="Z103" s="3"/>
    </row>
    <row r="104" spans="1:26" ht="15" x14ac:dyDescent="0.25">
      <c r="A104" s="4" t="s">
        <v>22</v>
      </c>
      <c r="B104" s="5">
        <v>90</v>
      </c>
      <c r="C104" s="4" t="s">
        <v>23</v>
      </c>
      <c r="D104" s="6">
        <v>45783</v>
      </c>
      <c r="E104" s="7">
        <v>802183108</v>
      </c>
      <c r="F104" s="4" t="s">
        <v>102</v>
      </c>
      <c r="G104" s="4" t="s">
        <v>40</v>
      </c>
      <c r="H104" s="4" t="s">
        <v>41</v>
      </c>
      <c r="I104" s="7">
        <v>20180201</v>
      </c>
      <c r="J104" s="7">
        <v>20250101</v>
      </c>
      <c r="K104" s="7">
        <v>202505</v>
      </c>
      <c r="L104" s="7">
        <v>9079571</v>
      </c>
      <c r="M104" s="4" t="s">
        <v>99</v>
      </c>
      <c r="N104" s="4" t="s">
        <v>28</v>
      </c>
      <c r="O104" s="7">
        <v>18973608</v>
      </c>
      <c r="P104" s="4" t="s">
        <v>29</v>
      </c>
      <c r="Q104" s="7">
        <v>202505</v>
      </c>
      <c r="R104" s="7">
        <v>0</v>
      </c>
      <c r="S104" s="4" t="s">
        <v>30</v>
      </c>
      <c r="T104" s="7">
        <v>20250506</v>
      </c>
      <c r="U104" s="4"/>
      <c r="V104" s="7">
        <v>1.746571330757E+16</v>
      </c>
      <c r="W104" s="3"/>
      <c r="X104" s="3"/>
      <c r="Y104" s="3"/>
      <c r="Z104" s="3"/>
    </row>
    <row r="105" spans="1:26" ht="15" x14ac:dyDescent="0.25">
      <c r="A105" s="4" t="s">
        <v>22</v>
      </c>
      <c r="B105" s="5">
        <v>18</v>
      </c>
      <c r="C105" s="4" t="s">
        <v>23</v>
      </c>
      <c r="D105" s="6">
        <v>45783</v>
      </c>
      <c r="E105" s="7">
        <v>802817444</v>
      </c>
      <c r="F105" s="4" t="s">
        <v>103</v>
      </c>
      <c r="G105" s="4" t="s">
        <v>104</v>
      </c>
      <c r="H105" s="4" t="s">
        <v>105</v>
      </c>
      <c r="I105" s="7">
        <v>20230701</v>
      </c>
      <c r="J105" s="7">
        <v>20240101</v>
      </c>
      <c r="K105" s="7">
        <v>202405</v>
      </c>
      <c r="L105" s="7">
        <v>16509456</v>
      </c>
      <c r="M105" s="4" t="s">
        <v>106</v>
      </c>
      <c r="N105" s="4" t="s">
        <v>28</v>
      </c>
      <c r="O105" s="7">
        <v>18973608</v>
      </c>
      <c r="P105" s="4" t="s">
        <v>29</v>
      </c>
      <c r="Q105" s="7">
        <v>202505</v>
      </c>
      <c r="R105" s="7">
        <v>0</v>
      </c>
      <c r="S105" s="4" t="s">
        <v>38</v>
      </c>
      <c r="T105" s="7">
        <v>20250506</v>
      </c>
      <c r="U105" s="4"/>
      <c r="V105" s="7">
        <v>1.74657119284E+16</v>
      </c>
      <c r="W105" s="3"/>
      <c r="X105" s="3"/>
      <c r="Y105" s="3"/>
      <c r="Z105" s="3"/>
    </row>
    <row r="106" spans="1:26" ht="15" x14ac:dyDescent="0.25">
      <c r="A106" s="4" t="s">
        <v>22</v>
      </c>
      <c r="B106" s="5">
        <v>18</v>
      </c>
      <c r="C106" s="4" t="s">
        <v>23</v>
      </c>
      <c r="D106" s="6">
        <v>45783</v>
      </c>
      <c r="E106" s="7">
        <v>802817444</v>
      </c>
      <c r="F106" s="4" t="s">
        <v>103</v>
      </c>
      <c r="G106" s="4" t="s">
        <v>104</v>
      </c>
      <c r="H106" s="4" t="s">
        <v>105</v>
      </c>
      <c r="I106" s="7">
        <v>20230701</v>
      </c>
      <c r="J106" s="7">
        <v>20240101</v>
      </c>
      <c r="K106" s="7">
        <v>202406</v>
      </c>
      <c r="L106" s="7">
        <v>16509456</v>
      </c>
      <c r="M106" s="4" t="s">
        <v>106</v>
      </c>
      <c r="N106" s="4" t="s">
        <v>28</v>
      </c>
      <c r="O106" s="7">
        <v>18973608</v>
      </c>
      <c r="P106" s="4" t="s">
        <v>29</v>
      </c>
      <c r="Q106" s="7">
        <v>202505</v>
      </c>
      <c r="R106" s="7">
        <v>0</v>
      </c>
      <c r="S106" s="4" t="s">
        <v>38</v>
      </c>
      <c r="T106" s="7">
        <v>20250506</v>
      </c>
      <c r="U106" s="4"/>
      <c r="V106" s="7">
        <v>1.746571192876E+16</v>
      </c>
      <c r="W106" s="3"/>
      <c r="X106" s="3"/>
      <c r="Y106" s="3"/>
      <c r="Z106" s="3"/>
    </row>
    <row r="107" spans="1:26" ht="15" x14ac:dyDescent="0.25">
      <c r="A107" s="4" t="s">
        <v>22</v>
      </c>
      <c r="B107" s="5">
        <v>18</v>
      </c>
      <c r="C107" s="4" t="s">
        <v>23</v>
      </c>
      <c r="D107" s="6">
        <v>45783</v>
      </c>
      <c r="E107" s="7">
        <v>802817444</v>
      </c>
      <c r="F107" s="4" t="s">
        <v>103</v>
      </c>
      <c r="G107" s="4" t="s">
        <v>104</v>
      </c>
      <c r="H107" s="4" t="s">
        <v>105</v>
      </c>
      <c r="I107" s="7">
        <v>20230701</v>
      </c>
      <c r="J107" s="7">
        <v>20240101</v>
      </c>
      <c r="K107" s="7">
        <v>202407</v>
      </c>
      <c r="L107" s="7">
        <v>16509456</v>
      </c>
      <c r="M107" s="4" t="s">
        <v>106</v>
      </c>
      <c r="N107" s="4" t="s">
        <v>28</v>
      </c>
      <c r="O107" s="7">
        <v>18973608</v>
      </c>
      <c r="P107" s="4" t="s">
        <v>29</v>
      </c>
      <c r="Q107" s="7">
        <v>202505</v>
      </c>
      <c r="R107" s="7">
        <v>0</v>
      </c>
      <c r="S107" s="4" t="s">
        <v>30</v>
      </c>
      <c r="T107" s="7">
        <v>20250506</v>
      </c>
      <c r="U107" s="4"/>
      <c r="V107" s="7">
        <v>1.74657119291E+16</v>
      </c>
      <c r="W107" s="3"/>
      <c r="X107" s="3"/>
      <c r="Y107" s="3"/>
      <c r="Z107" s="3"/>
    </row>
    <row r="108" spans="1:26" ht="15" x14ac:dyDescent="0.25">
      <c r="A108" s="4" t="s">
        <v>22</v>
      </c>
      <c r="B108" s="5">
        <v>18</v>
      </c>
      <c r="C108" s="4" t="s">
        <v>23</v>
      </c>
      <c r="D108" s="6">
        <v>45783</v>
      </c>
      <c r="E108" s="7">
        <v>802817444</v>
      </c>
      <c r="F108" s="4" t="s">
        <v>103</v>
      </c>
      <c r="G108" s="4" t="s">
        <v>104</v>
      </c>
      <c r="H108" s="4" t="s">
        <v>105</v>
      </c>
      <c r="I108" s="7">
        <v>20230701</v>
      </c>
      <c r="J108" s="7">
        <v>20240101</v>
      </c>
      <c r="K108" s="7">
        <v>202404</v>
      </c>
      <c r="L108" s="7">
        <v>16509456</v>
      </c>
      <c r="M108" s="4" t="s">
        <v>106</v>
      </c>
      <c r="N108" s="4" t="s">
        <v>28</v>
      </c>
      <c r="O108" s="7">
        <v>18973608</v>
      </c>
      <c r="P108" s="4" t="s">
        <v>29</v>
      </c>
      <c r="Q108" s="7">
        <v>202505</v>
      </c>
      <c r="R108" s="7">
        <v>0</v>
      </c>
      <c r="S108" s="4" t="s">
        <v>38</v>
      </c>
      <c r="T108" s="7">
        <v>20250506</v>
      </c>
      <c r="U108" s="4"/>
      <c r="V108" s="7">
        <v>1.746571192799E+16</v>
      </c>
      <c r="W108" s="3"/>
      <c r="X108" s="3"/>
      <c r="Y108" s="3"/>
      <c r="Z108" s="3"/>
    </row>
    <row r="109" spans="1:26" ht="15" x14ac:dyDescent="0.25">
      <c r="A109" s="4" t="s">
        <v>22</v>
      </c>
      <c r="B109" s="5">
        <v>18</v>
      </c>
      <c r="C109" s="4" t="s">
        <v>23</v>
      </c>
      <c r="D109" s="6">
        <v>45783</v>
      </c>
      <c r="E109" s="7">
        <v>802817444</v>
      </c>
      <c r="F109" s="4" t="s">
        <v>103</v>
      </c>
      <c r="G109" s="4" t="s">
        <v>104</v>
      </c>
      <c r="H109" s="4" t="s">
        <v>105</v>
      </c>
      <c r="I109" s="7">
        <v>20230701</v>
      </c>
      <c r="J109" s="7">
        <v>20240101</v>
      </c>
      <c r="K109" s="7">
        <v>202408</v>
      </c>
      <c r="L109" s="7">
        <v>16509456</v>
      </c>
      <c r="M109" s="4" t="s">
        <v>106</v>
      </c>
      <c r="N109" s="4" t="s">
        <v>28</v>
      </c>
      <c r="O109" s="7">
        <v>18973608</v>
      </c>
      <c r="P109" s="4" t="s">
        <v>29</v>
      </c>
      <c r="Q109" s="7">
        <v>202505</v>
      </c>
      <c r="R109" s="7">
        <v>0</v>
      </c>
      <c r="S109" s="4" t="s">
        <v>30</v>
      </c>
      <c r="T109" s="7">
        <v>20250506</v>
      </c>
      <c r="U109" s="4"/>
      <c r="V109" s="7">
        <v>1.746571192947E+16</v>
      </c>
      <c r="W109" s="3"/>
      <c r="X109" s="3"/>
      <c r="Y109" s="3"/>
      <c r="Z109" s="3"/>
    </row>
    <row r="110" spans="1:26" ht="15" x14ac:dyDescent="0.25">
      <c r="A110" s="4" t="s">
        <v>22</v>
      </c>
      <c r="B110" s="5">
        <v>18</v>
      </c>
      <c r="C110" s="4" t="s">
        <v>23</v>
      </c>
      <c r="D110" s="6">
        <v>45783</v>
      </c>
      <c r="E110" s="7">
        <v>802817444</v>
      </c>
      <c r="F110" s="4" t="s">
        <v>103</v>
      </c>
      <c r="G110" s="4" t="s">
        <v>104</v>
      </c>
      <c r="H110" s="4" t="s">
        <v>105</v>
      </c>
      <c r="I110" s="7">
        <v>20230701</v>
      </c>
      <c r="J110" s="7">
        <v>20240101</v>
      </c>
      <c r="K110" s="7">
        <v>202409</v>
      </c>
      <c r="L110" s="7">
        <v>16509456</v>
      </c>
      <c r="M110" s="4" t="s">
        <v>106</v>
      </c>
      <c r="N110" s="4" t="s">
        <v>28</v>
      </c>
      <c r="O110" s="7">
        <v>18973608</v>
      </c>
      <c r="P110" s="4" t="s">
        <v>29</v>
      </c>
      <c r="Q110" s="7">
        <v>202505</v>
      </c>
      <c r="R110" s="7">
        <v>0</v>
      </c>
      <c r="S110" s="4" t="s">
        <v>30</v>
      </c>
      <c r="T110" s="7">
        <v>20250506</v>
      </c>
      <c r="U110" s="4"/>
      <c r="V110" s="7">
        <v>1.746571192981E+16</v>
      </c>
      <c r="W110" s="3"/>
      <c r="X110" s="3"/>
      <c r="Y110" s="3"/>
      <c r="Z110" s="3"/>
    </row>
    <row r="111" spans="1:26" ht="15" x14ac:dyDescent="0.25">
      <c r="A111" s="4" t="s">
        <v>22</v>
      </c>
      <c r="B111" s="5">
        <v>18</v>
      </c>
      <c r="C111" s="4" t="s">
        <v>23</v>
      </c>
      <c r="D111" s="6">
        <v>45783</v>
      </c>
      <c r="E111" s="7">
        <v>802817444</v>
      </c>
      <c r="F111" s="4" t="s">
        <v>103</v>
      </c>
      <c r="G111" s="4" t="s">
        <v>104</v>
      </c>
      <c r="H111" s="4" t="s">
        <v>105</v>
      </c>
      <c r="I111" s="7">
        <v>20230701</v>
      </c>
      <c r="J111" s="7">
        <v>20240101</v>
      </c>
      <c r="K111" s="7">
        <v>202410</v>
      </c>
      <c r="L111" s="7">
        <v>16509456</v>
      </c>
      <c r="M111" s="4" t="s">
        <v>106</v>
      </c>
      <c r="N111" s="4" t="s">
        <v>28</v>
      </c>
      <c r="O111" s="7">
        <v>18973608</v>
      </c>
      <c r="P111" s="4" t="s">
        <v>29</v>
      </c>
      <c r="Q111" s="7">
        <v>202505</v>
      </c>
      <c r="R111" s="7">
        <v>0</v>
      </c>
      <c r="S111" s="4" t="s">
        <v>30</v>
      </c>
      <c r="T111" s="7">
        <v>20250506</v>
      </c>
      <c r="U111" s="4"/>
      <c r="V111" s="7">
        <v>1.746571193016E+16</v>
      </c>
      <c r="W111" s="3"/>
      <c r="X111" s="3"/>
      <c r="Y111" s="3"/>
      <c r="Z111" s="3"/>
    </row>
    <row r="112" spans="1:26" ht="15" x14ac:dyDescent="0.25">
      <c r="A112" s="4" t="s">
        <v>22</v>
      </c>
      <c r="B112" s="5">
        <v>18</v>
      </c>
      <c r="C112" s="4" t="s">
        <v>23</v>
      </c>
      <c r="D112" s="6">
        <v>45783</v>
      </c>
      <c r="E112" s="7">
        <v>802817444</v>
      </c>
      <c r="F112" s="4" t="s">
        <v>103</v>
      </c>
      <c r="G112" s="4" t="s">
        <v>104</v>
      </c>
      <c r="H112" s="4" t="s">
        <v>105</v>
      </c>
      <c r="I112" s="7">
        <v>20230701</v>
      </c>
      <c r="J112" s="7">
        <v>20240101</v>
      </c>
      <c r="K112" s="7">
        <v>202411</v>
      </c>
      <c r="L112" s="7">
        <v>16509456</v>
      </c>
      <c r="M112" s="4" t="s">
        <v>106</v>
      </c>
      <c r="N112" s="4" t="s">
        <v>28</v>
      </c>
      <c r="O112" s="7">
        <v>18973608</v>
      </c>
      <c r="P112" s="4" t="s">
        <v>29</v>
      </c>
      <c r="Q112" s="7">
        <v>202505</v>
      </c>
      <c r="R112" s="7">
        <v>0</v>
      </c>
      <c r="S112" s="4" t="s">
        <v>30</v>
      </c>
      <c r="T112" s="7">
        <v>20250506</v>
      </c>
      <c r="U112" s="4"/>
      <c r="V112" s="7">
        <v>1.746571193052E+16</v>
      </c>
      <c r="W112" s="3"/>
      <c r="X112" s="3"/>
      <c r="Y112" s="3"/>
      <c r="Z112" s="3"/>
    </row>
    <row r="113" spans="1:26" ht="15" x14ac:dyDescent="0.25">
      <c r="A113" s="4" t="s">
        <v>22</v>
      </c>
      <c r="B113" s="5">
        <v>18</v>
      </c>
      <c r="C113" s="4" t="s">
        <v>23</v>
      </c>
      <c r="D113" s="6">
        <v>45783</v>
      </c>
      <c r="E113" s="7">
        <v>802817444</v>
      </c>
      <c r="F113" s="4" t="s">
        <v>103</v>
      </c>
      <c r="G113" s="4" t="s">
        <v>104</v>
      </c>
      <c r="H113" s="4" t="s">
        <v>105</v>
      </c>
      <c r="I113" s="7">
        <v>20230701</v>
      </c>
      <c r="J113" s="7">
        <v>20240101</v>
      </c>
      <c r="K113" s="7">
        <v>202412</v>
      </c>
      <c r="L113" s="7">
        <v>16509456</v>
      </c>
      <c r="M113" s="4" t="s">
        <v>106</v>
      </c>
      <c r="N113" s="4" t="s">
        <v>28</v>
      </c>
      <c r="O113" s="7">
        <v>18973608</v>
      </c>
      <c r="P113" s="4" t="s">
        <v>29</v>
      </c>
      <c r="Q113" s="7">
        <v>202505</v>
      </c>
      <c r="R113" s="7">
        <v>0</v>
      </c>
      <c r="S113" s="4" t="s">
        <v>30</v>
      </c>
      <c r="T113" s="7">
        <v>20250506</v>
      </c>
      <c r="U113" s="4"/>
      <c r="V113" s="7">
        <v>1.746571193088E+16</v>
      </c>
      <c r="W113" s="3"/>
      <c r="X113" s="3"/>
      <c r="Y113" s="3"/>
      <c r="Z113" s="3"/>
    </row>
    <row r="114" spans="1:26" ht="15" x14ac:dyDescent="0.25">
      <c r="A114" s="4" t="s">
        <v>22</v>
      </c>
      <c r="B114" s="5">
        <v>18</v>
      </c>
      <c r="C114" s="4" t="s">
        <v>23</v>
      </c>
      <c r="D114" s="6">
        <v>45783</v>
      </c>
      <c r="E114" s="7">
        <v>802817444</v>
      </c>
      <c r="F114" s="4" t="s">
        <v>103</v>
      </c>
      <c r="G114" s="4" t="s">
        <v>107</v>
      </c>
      <c r="H114" s="4" t="s">
        <v>108</v>
      </c>
      <c r="I114" s="7">
        <v>20230701</v>
      </c>
      <c r="J114" s="7">
        <v>20250101</v>
      </c>
      <c r="K114" s="7">
        <v>202501</v>
      </c>
      <c r="L114" s="7">
        <v>16509456</v>
      </c>
      <c r="M114" s="4" t="s">
        <v>106</v>
      </c>
      <c r="N114" s="4" t="s">
        <v>28</v>
      </c>
      <c r="O114" s="7">
        <v>18973608</v>
      </c>
      <c r="P114" s="4" t="s">
        <v>29</v>
      </c>
      <c r="Q114" s="7">
        <v>202505</v>
      </c>
      <c r="R114" s="7">
        <v>0</v>
      </c>
      <c r="S114" s="4" t="s">
        <v>30</v>
      </c>
      <c r="T114" s="7">
        <v>20250506</v>
      </c>
      <c r="U114" s="4"/>
      <c r="V114" s="7">
        <v>1.746571193126E+16</v>
      </c>
      <c r="W114" s="3"/>
      <c r="X114" s="3"/>
      <c r="Y114" s="3"/>
      <c r="Z114" s="3"/>
    </row>
    <row r="115" spans="1:26" ht="15" x14ac:dyDescent="0.25">
      <c r="A115" s="4" t="s">
        <v>22</v>
      </c>
      <c r="B115" s="5">
        <v>18</v>
      </c>
      <c r="C115" s="4" t="s">
        <v>23</v>
      </c>
      <c r="D115" s="6">
        <v>45783</v>
      </c>
      <c r="E115" s="7">
        <v>802817444</v>
      </c>
      <c r="F115" s="4" t="s">
        <v>103</v>
      </c>
      <c r="G115" s="4" t="s">
        <v>107</v>
      </c>
      <c r="H115" s="4" t="s">
        <v>108</v>
      </c>
      <c r="I115" s="7">
        <v>20230701</v>
      </c>
      <c r="J115" s="7">
        <v>20250101</v>
      </c>
      <c r="K115" s="7">
        <v>202502</v>
      </c>
      <c r="L115" s="7">
        <v>16509456</v>
      </c>
      <c r="M115" s="4" t="s">
        <v>106</v>
      </c>
      <c r="N115" s="4" t="s">
        <v>28</v>
      </c>
      <c r="O115" s="7">
        <v>18973608</v>
      </c>
      <c r="P115" s="4" t="s">
        <v>29</v>
      </c>
      <c r="Q115" s="7">
        <v>202505</v>
      </c>
      <c r="R115" s="7">
        <v>0</v>
      </c>
      <c r="S115" s="4" t="s">
        <v>30</v>
      </c>
      <c r="T115" s="7">
        <v>20250506</v>
      </c>
      <c r="U115" s="4"/>
      <c r="V115" s="7">
        <v>1.746571193161E+16</v>
      </c>
      <c r="W115" s="3"/>
      <c r="X115" s="3"/>
      <c r="Y115" s="3"/>
      <c r="Z115" s="3"/>
    </row>
    <row r="116" spans="1:26" ht="15" x14ac:dyDescent="0.25">
      <c r="A116" s="4" t="s">
        <v>22</v>
      </c>
      <c r="B116" s="5">
        <v>36</v>
      </c>
      <c r="C116" s="4" t="s">
        <v>23</v>
      </c>
      <c r="D116" s="6">
        <v>45783</v>
      </c>
      <c r="E116" s="7">
        <v>802766554</v>
      </c>
      <c r="F116" s="4" t="s">
        <v>109</v>
      </c>
      <c r="G116" s="4" t="s">
        <v>110</v>
      </c>
      <c r="H116" s="4" t="s">
        <v>111</v>
      </c>
      <c r="I116" s="7">
        <v>20230101</v>
      </c>
      <c r="J116" s="7">
        <v>20240101</v>
      </c>
      <c r="K116" s="7">
        <v>202404</v>
      </c>
      <c r="L116" s="7">
        <v>16509456</v>
      </c>
      <c r="M116" s="4" t="s">
        <v>106</v>
      </c>
      <c r="N116" s="4" t="s">
        <v>28</v>
      </c>
      <c r="O116" s="7">
        <v>18973608</v>
      </c>
      <c r="P116" s="4" t="s">
        <v>29</v>
      </c>
      <c r="Q116" s="7">
        <v>202505</v>
      </c>
      <c r="R116" s="7">
        <v>0</v>
      </c>
      <c r="S116" s="4" t="s">
        <v>30</v>
      </c>
      <c r="T116" s="7">
        <v>20250506</v>
      </c>
      <c r="U116" s="4"/>
      <c r="V116" s="7">
        <v>1.746571151316E+16</v>
      </c>
      <c r="W116" s="3"/>
      <c r="X116" s="3"/>
      <c r="Y116" s="3"/>
      <c r="Z116" s="3"/>
    </row>
    <row r="117" spans="1:26" ht="15" x14ac:dyDescent="0.25">
      <c r="A117" s="4" t="s">
        <v>22</v>
      </c>
      <c r="B117" s="5">
        <v>36</v>
      </c>
      <c r="C117" s="4" t="s">
        <v>23</v>
      </c>
      <c r="D117" s="6">
        <v>45783</v>
      </c>
      <c r="E117" s="7">
        <v>802766554</v>
      </c>
      <c r="F117" s="4" t="s">
        <v>109</v>
      </c>
      <c r="G117" s="4" t="s">
        <v>110</v>
      </c>
      <c r="H117" s="4" t="s">
        <v>111</v>
      </c>
      <c r="I117" s="7">
        <v>20230101</v>
      </c>
      <c r="J117" s="7">
        <v>20240101</v>
      </c>
      <c r="K117" s="7">
        <v>202405</v>
      </c>
      <c r="L117" s="7">
        <v>16509456</v>
      </c>
      <c r="M117" s="4" t="s">
        <v>106</v>
      </c>
      <c r="N117" s="4" t="s">
        <v>28</v>
      </c>
      <c r="O117" s="7">
        <v>18973608</v>
      </c>
      <c r="P117" s="4" t="s">
        <v>29</v>
      </c>
      <c r="Q117" s="7">
        <v>202505</v>
      </c>
      <c r="R117" s="7">
        <v>0</v>
      </c>
      <c r="S117" s="4" t="s">
        <v>30</v>
      </c>
      <c r="T117" s="7">
        <v>20250506</v>
      </c>
      <c r="U117" s="4"/>
      <c r="V117" s="7">
        <v>1.746571151387E+16</v>
      </c>
      <c r="W117" s="3"/>
      <c r="X117" s="3"/>
      <c r="Y117" s="3"/>
      <c r="Z117" s="3"/>
    </row>
    <row r="118" spans="1:26" ht="15" x14ac:dyDescent="0.25">
      <c r="A118" s="4" t="s">
        <v>22</v>
      </c>
      <c r="B118" s="5">
        <v>36</v>
      </c>
      <c r="C118" s="4" t="s">
        <v>23</v>
      </c>
      <c r="D118" s="6">
        <v>45783</v>
      </c>
      <c r="E118" s="7">
        <v>802766554</v>
      </c>
      <c r="F118" s="4" t="s">
        <v>109</v>
      </c>
      <c r="G118" s="4" t="s">
        <v>110</v>
      </c>
      <c r="H118" s="4" t="s">
        <v>111</v>
      </c>
      <c r="I118" s="7">
        <v>20230101</v>
      </c>
      <c r="J118" s="7">
        <v>20240101</v>
      </c>
      <c r="K118" s="7">
        <v>202406</v>
      </c>
      <c r="L118" s="7">
        <v>16509456</v>
      </c>
      <c r="M118" s="4" t="s">
        <v>106</v>
      </c>
      <c r="N118" s="4" t="s">
        <v>28</v>
      </c>
      <c r="O118" s="7">
        <v>18973608</v>
      </c>
      <c r="P118" s="4" t="s">
        <v>29</v>
      </c>
      <c r="Q118" s="7">
        <v>202505</v>
      </c>
      <c r="R118" s="7">
        <v>0</v>
      </c>
      <c r="S118" s="4" t="s">
        <v>30</v>
      </c>
      <c r="T118" s="7">
        <v>20250506</v>
      </c>
      <c r="U118" s="4"/>
      <c r="V118" s="7">
        <v>1.74657115143E+16</v>
      </c>
      <c r="W118" s="3"/>
      <c r="X118" s="3"/>
      <c r="Y118" s="3"/>
      <c r="Z118" s="3"/>
    </row>
    <row r="119" spans="1:26" ht="15" x14ac:dyDescent="0.25">
      <c r="A119" s="4" t="s">
        <v>22</v>
      </c>
      <c r="B119" s="5">
        <v>36</v>
      </c>
      <c r="C119" s="4" t="s">
        <v>23</v>
      </c>
      <c r="D119" s="6">
        <v>45783</v>
      </c>
      <c r="E119" s="7">
        <v>802766554</v>
      </c>
      <c r="F119" s="4" t="s">
        <v>109</v>
      </c>
      <c r="G119" s="4" t="s">
        <v>110</v>
      </c>
      <c r="H119" s="4" t="s">
        <v>111</v>
      </c>
      <c r="I119" s="7">
        <v>20230101</v>
      </c>
      <c r="J119" s="7">
        <v>20240101</v>
      </c>
      <c r="K119" s="7">
        <v>202407</v>
      </c>
      <c r="L119" s="7">
        <v>16509456</v>
      </c>
      <c r="M119" s="4" t="s">
        <v>106</v>
      </c>
      <c r="N119" s="4" t="s">
        <v>28</v>
      </c>
      <c r="O119" s="7">
        <v>18973608</v>
      </c>
      <c r="P119" s="4" t="s">
        <v>29</v>
      </c>
      <c r="Q119" s="7">
        <v>202505</v>
      </c>
      <c r="R119" s="7">
        <v>0</v>
      </c>
      <c r="S119" s="4" t="s">
        <v>30</v>
      </c>
      <c r="T119" s="7">
        <v>20250506</v>
      </c>
      <c r="U119" s="4"/>
      <c r="V119" s="7">
        <v>1.746571151475E+16</v>
      </c>
      <c r="W119" s="3"/>
      <c r="X119" s="3"/>
      <c r="Y119" s="3"/>
      <c r="Z119" s="3"/>
    </row>
    <row r="120" spans="1:26" ht="15" x14ac:dyDescent="0.25">
      <c r="A120" s="4" t="s">
        <v>22</v>
      </c>
      <c r="B120" s="5">
        <v>36</v>
      </c>
      <c r="C120" s="4" t="s">
        <v>23</v>
      </c>
      <c r="D120" s="6">
        <v>45783</v>
      </c>
      <c r="E120" s="7">
        <v>802766554</v>
      </c>
      <c r="F120" s="4" t="s">
        <v>109</v>
      </c>
      <c r="G120" s="4" t="s">
        <v>110</v>
      </c>
      <c r="H120" s="4" t="s">
        <v>111</v>
      </c>
      <c r="I120" s="7">
        <v>20230101</v>
      </c>
      <c r="J120" s="7">
        <v>20240101</v>
      </c>
      <c r="K120" s="7">
        <v>202408</v>
      </c>
      <c r="L120" s="7">
        <v>16509456</v>
      </c>
      <c r="M120" s="4" t="s">
        <v>106</v>
      </c>
      <c r="N120" s="4" t="s">
        <v>28</v>
      </c>
      <c r="O120" s="7">
        <v>18973608</v>
      </c>
      <c r="P120" s="4" t="s">
        <v>29</v>
      </c>
      <c r="Q120" s="7">
        <v>202505</v>
      </c>
      <c r="R120" s="7">
        <v>0</v>
      </c>
      <c r="S120" s="4" t="s">
        <v>30</v>
      </c>
      <c r="T120" s="7">
        <v>20250506</v>
      </c>
      <c r="U120" s="4"/>
      <c r="V120" s="7">
        <v>1.746571151519E+16</v>
      </c>
      <c r="W120" s="3"/>
      <c r="X120" s="3"/>
      <c r="Y120" s="3"/>
      <c r="Z120" s="3"/>
    </row>
    <row r="121" spans="1:26" ht="15" x14ac:dyDescent="0.25">
      <c r="A121" s="4" t="s">
        <v>22</v>
      </c>
      <c r="B121" s="5">
        <v>36</v>
      </c>
      <c r="C121" s="4" t="s">
        <v>23</v>
      </c>
      <c r="D121" s="6">
        <v>45783</v>
      </c>
      <c r="E121" s="7">
        <v>802766554</v>
      </c>
      <c r="F121" s="4" t="s">
        <v>109</v>
      </c>
      <c r="G121" s="4" t="s">
        <v>110</v>
      </c>
      <c r="H121" s="4" t="s">
        <v>111</v>
      </c>
      <c r="I121" s="7">
        <v>20230101</v>
      </c>
      <c r="J121" s="7">
        <v>20240101</v>
      </c>
      <c r="K121" s="7">
        <v>202409</v>
      </c>
      <c r="L121" s="7">
        <v>16509456</v>
      </c>
      <c r="M121" s="4" t="s">
        <v>106</v>
      </c>
      <c r="N121" s="4" t="s">
        <v>28</v>
      </c>
      <c r="O121" s="7">
        <v>18973608</v>
      </c>
      <c r="P121" s="4" t="s">
        <v>29</v>
      </c>
      <c r="Q121" s="7">
        <v>202505</v>
      </c>
      <c r="R121" s="7">
        <v>0</v>
      </c>
      <c r="S121" s="4" t="s">
        <v>30</v>
      </c>
      <c r="T121" s="7">
        <v>20250506</v>
      </c>
      <c r="U121" s="4"/>
      <c r="V121" s="7">
        <v>1.746571151562E+16</v>
      </c>
      <c r="W121" s="3"/>
      <c r="X121" s="3"/>
      <c r="Y121" s="3"/>
      <c r="Z121" s="3"/>
    </row>
    <row r="122" spans="1:26" ht="15" x14ac:dyDescent="0.25">
      <c r="A122" s="4" t="s">
        <v>22</v>
      </c>
      <c r="B122" s="5">
        <v>36</v>
      </c>
      <c r="C122" s="4" t="s">
        <v>23</v>
      </c>
      <c r="D122" s="6">
        <v>45783</v>
      </c>
      <c r="E122" s="7">
        <v>802766554</v>
      </c>
      <c r="F122" s="4" t="s">
        <v>109</v>
      </c>
      <c r="G122" s="4" t="s">
        <v>110</v>
      </c>
      <c r="H122" s="4" t="s">
        <v>111</v>
      </c>
      <c r="I122" s="7">
        <v>20230101</v>
      </c>
      <c r="J122" s="7">
        <v>20240101</v>
      </c>
      <c r="K122" s="7">
        <v>202410</v>
      </c>
      <c r="L122" s="7">
        <v>16509456</v>
      </c>
      <c r="M122" s="4" t="s">
        <v>106</v>
      </c>
      <c r="N122" s="4" t="s">
        <v>28</v>
      </c>
      <c r="O122" s="7">
        <v>18973608</v>
      </c>
      <c r="P122" s="4" t="s">
        <v>29</v>
      </c>
      <c r="Q122" s="7">
        <v>202505</v>
      </c>
      <c r="R122" s="7">
        <v>0</v>
      </c>
      <c r="S122" s="4" t="s">
        <v>30</v>
      </c>
      <c r="T122" s="7">
        <v>20250506</v>
      </c>
      <c r="U122" s="4"/>
      <c r="V122" s="7">
        <v>1.74657115163E+16</v>
      </c>
      <c r="W122" s="3"/>
      <c r="X122" s="3"/>
      <c r="Y122" s="3"/>
      <c r="Z122" s="3"/>
    </row>
    <row r="123" spans="1:26" ht="15" x14ac:dyDescent="0.25">
      <c r="A123" s="4" t="s">
        <v>22</v>
      </c>
      <c r="B123" s="5">
        <v>36</v>
      </c>
      <c r="C123" s="4" t="s">
        <v>23</v>
      </c>
      <c r="D123" s="6">
        <v>45783</v>
      </c>
      <c r="E123" s="7">
        <v>802766554</v>
      </c>
      <c r="F123" s="4" t="s">
        <v>109</v>
      </c>
      <c r="G123" s="4" t="s">
        <v>110</v>
      </c>
      <c r="H123" s="4" t="s">
        <v>111</v>
      </c>
      <c r="I123" s="7">
        <v>20230101</v>
      </c>
      <c r="J123" s="7">
        <v>20240101</v>
      </c>
      <c r="K123" s="7">
        <v>202411</v>
      </c>
      <c r="L123" s="7">
        <v>16509456</v>
      </c>
      <c r="M123" s="4" t="s">
        <v>106</v>
      </c>
      <c r="N123" s="4" t="s">
        <v>28</v>
      </c>
      <c r="O123" s="7">
        <v>18973608</v>
      </c>
      <c r="P123" s="4" t="s">
        <v>29</v>
      </c>
      <c r="Q123" s="7">
        <v>202505</v>
      </c>
      <c r="R123" s="7">
        <v>0</v>
      </c>
      <c r="S123" s="4" t="s">
        <v>30</v>
      </c>
      <c r="T123" s="7">
        <v>20250506</v>
      </c>
      <c r="U123" s="4"/>
      <c r="V123" s="7">
        <v>1.746571151698E+16</v>
      </c>
      <c r="W123" s="3"/>
      <c r="X123" s="3"/>
      <c r="Y123" s="3"/>
      <c r="Z123" s="3"/>
    </row>
    <row r="124" spans="1:26" ht="15" x14ac:dyDescent="0.25">
      <c r="A124" s="4" t="s">
        <v>22</v>
      </c>
      <c r="B124" s="5">
        <v>36</v>
      </c>
      <c r="C124" s="4" t="s">
        <v>23</v>
      </c>
      <c r="D124" s="6">
        <v>45783</v>
      </c>
      <c r="E124" s="7">
        <v>802766554</v>
      </c>
      <c r="F124" s="4" t="s">
        <v>109</v>
      </c>
      <c r="G124" s="4" t="s">
        <v>110</v>
      </c>
      <c r="H124" s="4" t="s">
        <v>111</v>
      </c>
      <c r="I124" s="7">
        <v>20230101</v>
      </c>
      <c r="J124" s="7">
        <v>20240101</v>
      </c>
      <c r="K124" s="7">
        <v>202412</v>
      </c>
      <c r="L124" s="7">
        <v>16509456</v>
      </c>
      <c r="M124" s="4" t="s">
        <v>106</v>
      </c>
      <c r="N124" s="4" t="s">
        <v>28</v>
      </c>
      <c r="O124" s="7">
        <v>18973608</v>
      </c>
      <c r="P124" s="4" t="s">
        <v>29</v>
      </c>
      <c r="Q124" s="7">
        <v>202505</v>
      </c>
      <c r="R124" s="7">
        <v>0</v>
      </c>
      <c r="S124" s="4" t="s">
        <v>30</v>
      </c>
      <c r="T124" s="7">
        <v>20250506</v>
      </c>
      <c r="U124" s="4"/>
      <c r="V124" s="7">
        <v>1.746571151757E+16</v>
      </c>
      <c r="W124" s="3"/>
      <c r="X124" s="3"/>
      <c r="Y124" s="3"/>
      <c r="Z124" s="3"/>
    </row>
    <row r="125" spans="1:26" ht="15" x14ac:dyDescent="0.25">
      <c r="A125" s="4" t="s">
        <v>22</v>
      </c>
      <c r="B125" s="5">
        <v>36</v>
      </c>
      <c r="C125" s="4" t="s">
        <v>23</v>
      </c>
      <c r="D125" s="6">
        <v>45783</v>
      </c>
      <c r="E125" s="7">
        <v>802766554</v>
      </c>
      <c r="F125" s="4" t="s">
        <v>109</v>
      </c>
      <c r="G125" s="4" t="s">
        <v>25</v>
      </c>
      <c r="H125" s="4" t="s">
        <v>26</v>
      </c>
      <c r="I125" s="7">
        <v>20230101</v>
      </c>
      <c r="J125" s="7">
        <v>20250101</v>
      </c>
      <c r="K125" s="7">
        <v>202501</v>
      </c>
      <c r="L125" s="7">
        <v>16509456</v>
      </c>
      <c r="M125" s="4" t="s">
        <v>106</v>
      </c>
      <c r="N125" s="4" t="s">
        <v>28</v>
      </c>
      <c r="O125" s="7">
        <v>18973608</v>
      </c>
      <c r="P125" s="4" t="s">
        <v>29</v>
      </c>
      <c r="Q125" s="7">
        <v>202505</v>
      </c>
      <c r="R125" s="7">
        <v>0</v>
      </c>
      <c r="S125" s="4" t="s">
        <v>30</v>
      </c>
      <c r="T125" s="7">
        <v>20250506</v>
      </c>
      <c r="U125" s="4"/>
      <c r="V125" s="7">
        <v>1.746571151826E+16</v>
      </c>
      <c r="W125" s="3"/>
      <c r="X125" s="3"/>
      <c r="Y125" s="3"/>
      <c r="Z125" s="3"/>
    </row>
    <row r="126" spans="1:26" ht="15" x14ac:dyDescent="0.25">
      <c r="A126" s="4" t="s">
        <v>22</v>
      </c>
      <c r="B126" s="5">
        <v>54</v>
      </c>
      <c r="C126" s="4" t="s">
        <v>23</v>
      </c>
      <c r="D126" s="6">
        <v>45783</v>
      </c>
      <c r="E126" s="7">
        <v>802726965</v>
      </c>
      <c r="F126" s="4" t="s">
        <v>112</v>
      </c>
      <c r="G126" s="4" t="s">
        <v>113</v>
      </c>
      <c r="H126" s="4" t="s">
        <v>114</v>
      </c>
      <c r="I126" s="7">
        <v>20220901</v>
      </c>
      <c r="J126" s="7">
        <v>20250101</v>
      </c>
      <c r="K126" s="7">
        <v>202504</v>
      </c>
      <c r="L126" s="7">
        <v>16509456</v>
      </c>
      <c r="M126" s="4" t="s">
        <v>106</v>
      </c>
      <c r="N126" s="4" t="s">
        <v>28</v>
      </c>
      <c r="O126" s="7">
        <v>18973608</v>
      </c>
      <c r="P126" s="4" t="s">
        <v>29</v>
      </c>
      <c r="Q126" s="7">
        <v>202505</v>
      </c>
      <c r="R126" s="7">
        <v>0</v>
      </c>
      <c r="S126" s="4" t="s">
        <v>30</v>
      </c>
      <c r="T126" s="7">
        <v>20250506</v>
      </c>
      <c r="U126" s="4"/>
      <c r="V126" s="7">
        <v>1.746571384625E+16</v>
      </c>
      <c r="W126" s="3"/>
      <c r="X126" s="3"/>
      <c r="Y126" s="3"/>
      <c r="Z126" s="3"/>
    </row>
    <row r="127" spans="1:26" ht="15" x14ac:dyDescent="0.25">
      <c r="A127" s="4" t="s">
        <v>22</v>
      </c>
      <c r="B127" s="5">
        <v>54</v>
      </c>
      <c r="C127" s="4" t="s">
        <v>23</v>
      </c>
      <c r="D127" s="6">
        <v>45783</v>
      </c>
      <c r="E127" s="7">
        <v>802726965</v>
      </c>
      <c r="F127" s="4" t="s">
        <v>112</v>
      </c>
      <c r="G127" s="4" t="s">
        <v>113</v>
      </c>
      <c r="H127" s="4" t="s">
        <v>114</v>
      </c>
      <c r="I127" s="7">
        <v>20220901</v>
      </c>
      <c r="J127" s="7">
        <v>20250101</v>
      </c>
      <c r="K127" s="7">
        <v>202503</v>
      </c>
      <c r="L127" s="7">
        <v>16509456</v>
      </c>
      <c r="M127" s="4" t="s">
        <v>106</v>
      </c>
      <c r="N127" s="4" t="s">
        <v>28</v>
      </c>
      <c r="O127" s="7">
        <v>18973608</v>
      </c>
      <c r="P127" s="4" t="s">
        <v>29</v>
      </c>
      <c r="Q127" s="7">
        <v>202505</v>
      </c>
      <c r="R127" s="7">
        <v>0</v>
      </c>
      <c r="S127" s="4" t="s">
        <v>30</v>
      </c>
      <c r="T127" s="7">
        <v>20250506</v>
      </c>
      <c r="U127" s="4"/>
      <c r="V127" s="7">
        <v>1.74657138459E+16</v>
      </c>
      <c r="W127" s="3"/>
      <c r="X127" s="3"/>
      <c r="Y127" s="3"/>
      <c r="Z127" s="3"/>
    </row>
    <row r="128" spans="1:26" ht="15" x14ac:dyDescent="0.25">
      <c r="A128" s="4" t="s">
        <v>22</v>
      </c>
      <c r="B128" s="5">
        <v>54</v>
      </c>
      <c r="C128" s="4" t="s">
        <v>23</v>
      </c>
      <c r="D128" s="6">
        <v>45783</v>
      </c>
      <c r="E128" s="7">
        <v>802726965</v>
      </c>
      <c r="F128" s="4" t="s">
        <v>112</v>
      </c>
      <c r="G128" s="4" t="s">
        <v>113</v>
      </c>
      <c r="H128" s="4" t="s">
        <v>114</v>
      </c>
      <c r="I128" s="7">
        <v>20220901</v>
      </c>
      <c r="J128" s="7">
        <v>20250101</v>
      </c>
      <c r="K128" s="7">
        <v>202502</v>
      </c>
      <c r="L128" s="7">
        <v>16509456</v>
      </c>
      <c r="M128" s="4" t="s">
        <v>106</v>
      </c>
      <c r="N128" s="4" t="s">
        <v>28</v>
      </c>
      <c r="O128" s="7">
        <v>18973608</v>
      </c>
      <c r="P128" s="4" t="s">
        <v>29</v>
      </c>
      <c r="Q128" s="7">
        <v>202505</v>
      </c>
      <c r="R128" s="7">
        <v>0</v>
      </c>
      <c r="S128" s="4" t="s">
        <v>30</v>
      </c>
      <c r="T128" s="7">
        <v>20250506</v>
      </c>
      <c r="U128" s="4"/>
      <c r="V128" s="7">
        <v>1.746571384554E+16</v>
      </c>
      <c r="W128" s="3"/>
      <c r="X128" s="3"/>
      <c r="Y128" s="3"/>
      <c r="Z128" s="3"/>
    </row>
    <row r="129" spans="1:26" ht="15" x14ac:dyDescent="0.25">
      <c r="A129" s="4" t="s">
        <v>22</v>
      </c>
      <c r="B129" s="5">
        <v>54</v>
      </c>
      <c r="C129" s="4" t="s">
        <v>23</v>
      </c>
      <c r="D129" s="6">
        <v>45783</v>
      </c>
      <c r="E129" s="7">
        <v>802726965</v>
      </c>
      <c r="F129" s="4" t="s">
        <v>112</v>
      </c>
      <c r="G129" s="4" t="s">
        <v>113</v>
      </c>
      <c r="H129" s="4" t="s">
        <v>114</v>
      </c>
      <c r="I129" s="7">
        <v>20220901</v>
      </c>
      <c r="J129" s="7">
        <v>20250101</v>
      </c>
      <c r="K129" s="7">
        <v>202501</v>
      </c>
      <c r="L129" s="7">
        <v>16509456</v>
      </c>
      <c r="M129" s="4" t="s">
        <v>106</v>
      </c>
      <c r="N129" s="4" t="s">
        <v>28</v>
      </c>
      <c r="O129" s="7">
        <v>18973608</v>
      </c>
      <c r="P129" s="4" t="s">
        <v>29</v>
      </c>
      <c r="Q129" s="7">
        <v>202505</v>
      </c>
      <c r="R129" s="7">
        <v>0</v>
      </c>
      <c r="S129" s="4" t="s">
        <v>30</v>
      </c>
      <c r="T129" s="7">
        <v>20250506</v>
      </c>
      <c r="U129" s="4"/>
      <c r="V129" s="7">
        <v>1.746571384518E+16</v>
      </c>
      <c r="W129" s="3"/>
      <c r="X129" s="3"/>
      <c r="Y129" s="3"/>
      <c r="Z129" s="3"/>
    </row>
    <row r="130" spans="1:26" ht="15" x14ac:dyDescent="0.25">
      <c r="A130" s="4" t="s">
        <v>22</v>
      </c>
      <c r="B130" s="5">
        <v>54</v>
      </c>
      <c r="C130" s="4" t="s">
        <v>23</v>
      </c>
      <c r="D130" s="6">
        <v>45783</v>
      </c>
      <c r="E130" s="7">
        <v>802726965</v>
      </c>
      <c r="F130" s="4" t="s">
        <v>112</v>
      </c>
      <c r="G130" s="4" t="s">
        <v>115</v>
      </c>
      <c r="H130" s="4" t="s">
        <v>116</v>
      </c>
      <c r="I130" s="7">
        <v>20220901</v>
      </c>
      <c r="J130" s="7">
        <v>20240101</v>
      </c>
      <c r="K130" s="7">
        <v>202412</v>
      </c>
      <c r="L130" s="7">
        <v>16509456</v>
      </c>
      <c r="M130" s="4" t="s">
        <v>106</v>
      </c>
      <c r="N130" s="4" t="s">
        <v>28</v>
      </c>
      <c r="O130" s="7">
        <v>18973608</v>
      </c>
      <c r="P130" s="4" t="s">
        <v>29</v>
      </c>
      <c r="Q130" s="7">
        <v>202505</v>
      </c>
      <c r="R130" s="7">
        <v>0</v>
      </c>
      <c r="S130" s="4" t="s">
        <v>30</v>
      </c>
      <c r="T130" s="7">
        <v>20250506</v>
      </c>
      <c r="U130" s="4"/>
      <c r="V130" s="7">
        <v>1.74657138448E+16</v>
      </c>
      <c r="W130" s="3"/>
      <c r="X130" s="3"/>
      <c r="Y130" s="3"/>
      <c r="Z130" s="3"/>
    </row>
    <row r="131" spans="1:26" ht="15" x14ac:dyDescent="0.25">
      <c r="A131" s="4" t="s">
        <v>22</v>
      </c>
      <c r="B131" s="5">
        <v>54</v>
      </c>
      <c r="C131" s="4" t="s">
        <v>23</v>
      </c>
      <c r="D131" s="6">
        <v>45783</v>
      </c>
      <c r="E131" s="7">
        <v>802726965</v>
      </c>
      <c r="F131" s="4" t="s">
        <v>112</v>
      </c>
      <c r="G131" s="4" t="s">
        <v>115</v>
      </c>
      <c r="H131" s="4" t="s">
        <v>116</v>
      </c>
      <c r="I131" s="7">
        <v>20220901</v>
      </c>
      <c r="J131" s="7">
        <v>20240101</v>
      </c>
      <c r="K131" s="7">
        <v>202411</v>
      </c>
      <c r="L131" s="7">
        <v>16509456</v>
      </c>
      <c r="M131" s="4" t="s">
        <v>106</v>
      </c>
      <c r="N131" s="4" t="s">
        <v>28</v>
      </c>
      <c r="O131" s="7">
        <v>18973608</v>
      </c>
      <c r="P131" s="4" t="s">
        <v>29</v>
      </c>
      <c r="Q131" s="7">
        <v>202505</v>
      </c>
      <c r="R131" s="7">
        <v>0</v>
      </c>
      <c r="S131" s="4" t="s">
        <v>30</v>
      </c>
      <c r="T131" s="7">
        <v>20250506</v>
      </c>
      <c r="U131" s="4"/>
      <c r="V131" s="7">
        <v>1.746571384442E+16</v>
      </c>
      <c r="W131" s="3"/>
      <c r="X131" s="3"/>
      <c r="Y131" s="3"/>
      <c r="Z131" s="3"/>
    </row>
    <row r="132" spans="1:26" ht="15" x14ac:dyDescent="0.25">
      <c r="A132" s="4" t="s">
        <v>22</v>
      </c>
      <c r="B132" s="5">
        <v>54</v>
      </c>
      <c r="C132" s="4" t="s">
        <v>23</v>
      </c>
      <c r="D132" s="6">
        <v>45783</v>
      </c>
      <c r="E132" s="7">
        <v>802726965</v>
      </c>
      <c r="F132" s="4" t="s">
        <v>112</v>
      </c>
      <c r="G132" s="4" t="s">
        <v>115</v>
      </c>
      <c r="H132" s="4" t="s">
        <v>116</v>
      </c>
      <c r="I132" s="7">
        <v>20220901</v>
      </c>
      <c r="J132" s="7">
        <v>20240101</v>
      </c>
      <c r="K132" s="7">
        <v>202410</v>
      </c>
      <c r="L132" s="7">
        <v>16509456</v>
      </c>
      <c r="M132" s="4" t="s">
        <v>106</v>
      </c>
      <c r="N132" s="4" t="s">
        <v>28</v>
      </c>
      <c r="O132" s="7">
        <v>18973608</v>
      </c>
      <c r="P132" s="4" t="s">
        <v>29</v>
      </c>
      <c r="Q132" s="7">
        <v>202505</v>
      </c>
      <c r="R132" s="7">
        <v>0</v>
      </c>
      <c r="S132" s="4" t="s">
        <v>30</v>
      </c>
      <c r="T132" s="7">
        <v>20250506</v>
      </c>
      <c r="U132" s="4"/>
      <c r="V132" s="7">
        <v>1.746571384404E+16</v>
      </c>
      <c r="W132" s="3"/>
      <c r="X132" s="3"/>
      <c r="Y132" s="3"/>
      <c r="Z132" s="3"/>
    </row>
    <row r="133" spans="1:26" ht="15" x14ac:dyDescent="0.25">
      <c r="A133" s="4" t="s">
        <v>22</v>
      </c>
      <c r="B133" s="5">
        <v>54</v>
      </c>
      <c r="C133" s="4" t="s">
        <v>23</v>
      </c>
      <c r="D133" s="6">
        <v>45783</v>
      </c>
      <c r="E133" s="7">
        <v>802726965</v>
      </c>
      <c r="F133" s="4" t="s">
        <v>112</v>
      </c>
      <c r="G133" s="4" t="s">
        <v>115</v>
      </c>
      <c r="H133" s="4" t="s">
        <v>116</v>
      </c>
      <c r="I133" s="7">
        <v>20220901</v>
      </c>
      <c r="J133" s="7">
        <v>20240101</v>
      </c>
      <c r="K133" s="7">
        <v>202409</v>
      </c>
      <c r="L133" s="7">
        <v>16509456</v>
      </c>
      <c r="M133" s="4" t="s">
        <v>106</v>
      </c>
      <c r="N133" s="4" t="s">
        <v>28</v>
      </c>
      <c r="O133" s="7">
        <v>18973608</v>
      </c>
      <c r="P133" s="4" t="s">
        <v>29</v>
      </c>
      <c r="Q133" s="7">
        <v>202505</v>
      </c>
      <c r="R133" s="7">
        <v>0</v>
      </c>
      <c r="S133" s="4" t="s">
        <v>30</v>
      </c>
      <c r="T133" s="7">
        <v>20250506</v>
      </c>
      <c r="U133" s="4"/>
      <c r="V133" s="7">
        <v>1.746571384364E+16</v>
      </c>
      <c r="W133" s="3"/>
      <c r="X133" s="3"/>
      <c r="Y133" s="3"/>
      <c r="Z133" s="3"/>
    </row>
    <row r="134" spans="1:26" ht="15" x14ac:dyDescent="0.25">
      <c r="A134" s="4" t="s">
        <v>22</v>
      </c>
      <c r="B134" s="5">
        <v>54</v>
      </c>
      <c r="C134" s="4" t="s">
        <v>23</v>
      </c>
      <c r="D134" s="6">
        <v>45783</v>
      </c>
      <c r="E134" s="7">
        <v>802726965</v>
      </c>
      <c r="F134" s="4" t="s">
        <v>112</v>
      </c>
      <c r="G134" s="4" t="s">
        <v>115</v>
      </c>
      <c r="H134" s="4" t="s">
        <v>116</v>
      </c>
      <c r="I134" s="7">
        <v>20220901</v>
      </c>
      <c r="J134" s="7">
        <v>20240101</v>
      </c>
      <c r="K134" s="7">
        <v>202408</v>
      </c>
      <c r="L134" s="7">
        <v>16509456</v>
      </c>
      <c r="M134" s="4" t="s">
        <v>106</v>
      </c>
      <c r="N134" s="4" t="s">
        <v>28</v>
      </c>
      <c r="O134" s="7">
        <v>18973608</v>
      </c>
      <c r="P134" s="4" t="s">
        <v>29</v>
      </c>
      <c r="Q134" s="7">
        <v>202505</v>
      </c>
      <c r="R134" s="7">
        <v>0</v>
      </c>
      <c r="S134" s="4" t="s">
        <v>30</v>
      </c>
      <c r="T134" s="7">
        <v>20250506</v>
      </c>
      <c r="U134" s="4"/>
      <c r="V134" s="7">
        <v>1.746571384328E+16</v>
      </c>
      <c r="W134" s="3"/>
      <c r="X134" s="3"/>
      <c r="Y134" s="3"/>
      <c r="Z134" s="3"/>
    </row>
    <row r="135" spans="1:26" ht="15" x14ac:dyDescent="0.25">
      <c r="A135" s="4" t="s">
        <v>22</v>
      </c>
      <c r="B135" s="5">
        <v>54</v>
      </c>
      <c r="C135" s="4" t="s">
        <v>23</v>
      </c>
      <c r="D135" s="6">
        <v>45783</v>
      </c>
      <c r="E135" s="7">
        <v>802726965</v>
      </c>
      <c r="F135" s="4" t="s">
        <v>112</v>
      </c>
      <c r="G135" s="4" t="s">
        <v>115</v>
      </c>
      <c r="H135" s="4" t="s">
        <v>116</v>
      </c>
      <c r="I135" s="7">
        <v>20220901</v>
      </c>
      <c r="J135" s="7">
        <v>20240101</v>
      </c>
      <c r="K135" s="7">
        <v>202407</v>
      </c>
      <c r="L135" s="7">
        <v>16509456</v>
      </c>
      <c r="M135" s="4" t="s">
        <v>106</v>
      </c>
      <c r="N135" s="4" t="s">
        <v>28</v>
      </c>
      <c r="O135" s="7">
        <v>18973608</v>
      </c>
      <c r="P135" s="4" t="s">
        <v>29</v>
      </c>
      <c r="Q135" s="7">
        <v>202505</v>
      </c>
      <c r="R135" s="7">
        <v>0</v>
      </c>
      <c r="S135" s="4" t="s">
        <v>30</v>
      </c>
      <c r="T135" s="7">
        <v>20250506</v>
      </c>
      <c r="U135" s="4"/>
      <c r="V135" s="7">
        <v>1.746571384289E+16</v>
      </c>
      <c r="W135" s="3"/>
      <c r="X135" s="3"/>
      <c r="Y135" s="3"/>
      <c r="Z135" s="3"/>
    </row>
    <row r="136" spans="1:26" ht="15" x14ac:dyDescent="0.25">
      <c r="A136" s="4" t="s">
        <v>22</v>
      </c>
      <c r="B136" s="5">
        <v>54</v>
      </c>
      <c r="C136" s="4" t="s">
        <v>23</v>
      </c>
      <c r="D136" s="6">
        <v>45783</v>
      </c>
      <c r="E136" s="7">
        <v>802726965</v>
      </c>
      <c r="F136" s="4" t="s">
        <v>112</v>
      </c>
      <c r="G136" s="4" t="s">
        <v>115</v>
      </c>
      <c r="H136" s="4" t="s">
        <v>116</v>
      </c>
      <c r="I136" s="7">
        <v>20220901</v>
      </c>
      <c r="J136" s="7">
        <v>20240101</v>
      </c>
      <c r="K136" s="7">
        <v>202406</v>
      </c>
      <c r="L136" s="7">
        <v>16509456</v>
      </c>
      <c r="M136" s="4" t="s">
        <v>106</v>
      </c>
      <c r="N136" s="4" t="s">
        <v>28</v>
      </c>
      <c r="O136" s="7">
        <v>18973608</v>
      </c>
      <c r="P136" s="4" t="s">
        <v>29</v>
      </c>
      <c r="Q136" s="7">
        <v>202505</v>
      </c>
      <c r="R136" s="7">
        <v>0</v>
      </c>
      <c r="S136" s="4" t="s">
        <v>30</v>
      </c>
      <c r="T136" s="7">
        <v>20250506</v>
      </c>
      <c r="U136" s="4"/>
      <c r="V136" s="7">
        <v>1.746571384253E+16</v>
      </c>
      <c r="W136" s="3"/>
      <c r="X136" s="3"/>
      <c r="Y136" s="3"/>
      <c r="Z136" s="3"/>
    </row>
    <row r="137" spans="1:26" ht="15" x14ac:dyDescent="0.25">
      <c r="A137" s="4" t="s">
        <v>22</v>
      </c>
      <c r="B137" s="5">
        <v>54</v>
      </c>
      <c r="C137" s="4" t="s">
        <v>23</v>
      </c>
      <c r="D137" s="6">
        <v>45783</v>
      </c>
      <c r="E137" s="7">
        <v>802726965</v>
      </c>
      <c r="F137" s="4" t="s">
        <v>112</v>
      </c>
      <c r="G137" s="4" t="s">
        <v>115</v>
      </c>
      <c r="H137" s="4" t="s">
        <v>116</v>
      </c>
      <c r="I137" s="7">
        <v>20220901</v>
      </c>
      <c r="J137" s="7">
        <v>20240101</v>
      </c>
      <c r="K137" s="7">
        <v>202405</v>
      </c>
      <c r="L137" s="7">
        <v>16509456</v>
      </c>
      <c r="M137" s="4" t="s">
        <v>106</v>
      </c>
      <c r="N137" s="4" t="s">
        <v>28</v>
      </c>
      <c r="O137" s="7">
        <v>18973608</v>
      </c>
      <c r="P137" s="4" t="s">
        <v>29</v>
      </c>
      <c r="Q137" s="7">
        <v>202505</v>
      </c>
      <c r="R137" s="7">
        <v>0</v>
      </c>
      <c r="S137" s="4" t="s">
        <v>30</v>
      </c>
      <c r="T137" s="7">
        <v>20250506</v>
      </c>
      <c r="U137" s="4"/>
      <c r="V137" s="7">
        <v>1.746571384215E+16</v>
      </c>
      <c r="W137" s="3"/>
      <c r="X137" s="3"/>
      <c r="Y137" s="3"/>
      <c r="Z137" s="3"/>
    </row>
    <row r="138" spans="1:26" ht="15" x14ac:dyDescent="0.25">
      <c r="A138" s="4" t="s">
        <v>22</v>
      </c>
      <c r="B138" s="5">
        <v>54</v>
      </c>
      <c r="C138" s="4" t="s">
        <v>23</v>
      </c>
      <c r="D138" s="6">
        <v>45783</v>
      </c>
      <c r="E138" s="7">
        <v>802726965</v>
      </c>
      <c r="F138" s="4" t="s">
        <v>112</v>
      </c>
      <c r="G138" s="4" t="s">
        <v>115</v>
      </c>
      <c r="H138" s="4" t="s">
        <v>116</v>
      </c>
      <c r="I138" s="7">
        <v>20220901</v>
      </c>
      <c r="J138" s="7">
        <v>20240101</v>
      </c>
      <c r="K138" s="7">
        <v>202404</v>
      </c>
      <c r="L138" s="7">
        <v>16509456</v>
      </c>
      <c r="M138" s="4" t="s">
        <v>106</v>
      </c>
      <c r="N138" s="4" t="s">
        <v>28</v>
      </c>
      <c r="O138" s="7">
        <v>18973608</v>
      </c>
      <c r="P138" s="4" t="s">
        <v>29</v>
      </c>
      <c r="Q138" s="7">
        <v>202505</v>
      </c>
      <c r="R138" s="7">
        <v>0</v>
      </c>
      <c r="S138" s="4" t="s">
        <v>30</v>
      </c>
      <c r="T138" s="7">
        <v>20250506</v>
      </c>
      <c r="U138" s="4"/>
      <c r="V138" s="7">
        <v>1.746571384177E+16</v>
      </c>
      <c r="W138" s="3"/>
      <c r="X138" s="3"/>
      <c r="Y138" s="3"/>
      <c r="Z138" s="3"/>
    </row>
    <row r="139" spans="1:26" ht="15" x14ac:dyDescent="0.25">
      <c r="A139" s="4" t="s">
        <v>22</v>
      </c>
      <c r="B139" s="5">
        <v>18</v>
      </c>
      <c r="C139" s="4" t="s">
        <v>23</v>
      </c>
      <c r="D139" s="6">
        <v>45755</v>
      </c>
      <c r="E139" s="7">
        <v>802400239</v>
      </c>
      <c r="F139" s="4" t="s">
        <v>117</v>
      </c>
      <c r="G139" s="4" t="s">
        <v>55</v>
      </c>
      <c r="H139" s="4" t="s">
        <v>56</v>
      </c>
      <c r="I139" s="7">
        <v>20200101</v>
      </c>
      <c r="J139" s="7">
        <v>20250101</v>
      </c>
      <c r="K139" s="7">
        <v>202503</v>
      </c>
      <c r="L139" s="7">
        <v>8307933</v>
      </c>
      <c r="M139" s="4" t="s">
        <v>118</v>
      </c>
      <c r="N139" s="4" t="s">
        <v>28</v>
      </c>
      <c r="O139" s="7">
        <v>18973608</v>
      </c>
      <c r="P139" s="4" t="s">
        <v>29</v>
      </c>
      <c r="Q139" s="7">
        <v>202504</v>
      </c>
      <c r="R139" s="7">
        <v>0</v>
      </c>
      <c r="S139" s="4" t="s">
        <v>30</v>
      </c>
      <c r="T139" s="7">
        <v>20250408</v>
      </c>
      <c r="U139" s="4"/>
      <c r="V139" s="7">
        <v>1.744149350983E+16</v>
      </c>
      <c r="W139" s="3"/>
      <c r="X139" s="3"/>
      <c r="Y139" s="3"/>
      <c r="Z139" s="3"/>
    </row>
    <row r="140" spans="1:26" ht="15" x14ac:dyDescent="0.25">
      <c r="A140" s="4" t="s">
        <v>22</v>
      </c>
      <c r="B140" s="5">
        <v>18</v>
      </c>
      <c r="C140" s="4" t="s">
        <v>23</v>
      </c>
      <c r="D140" s="6">
        <v>45755</v>
      </c>
      <c r="E140" s="7">
        <v>802465401</v>
      </c>
      <c r="F140" s="4" t="s">
        <v>119</v>
      </c>
      <c r="G140" s="4" t="s">
        <v>120</v>
      </c>
      <c r="H140" s="4" t="s">
        <v>121</v>
      </c>
      <c r="I140" s="7">
        <v>20200501</v>
      </c>
      <c r="J140" s="7">
        <v>20241201</v>
      </c>
      <c r="K140" s="7">
        <v>202412</v>
      </c>
      <c r="L140" s="7">
        <v>8307933</v>
      </c>
      <c r="M140" s="4" t="s">
        <v>118</v>
      </c>
      <c r="N140" s="4" t="s">
        <v>28</v>
      </c>
      <c r="O140" s="7">
        <v>18973608</v>
      </c>
      <c r="P140" s="4" t="s">
        <v>29</v>
      </c>
      <c r="Q140" s="7">
        <v>202504</v>
      </c>
      <c r="R140" s="7">
        <v>0</v>
      </c>
      <c r="S140" s="4" t="s">
        <v>30</v>
      </c>
      <c r="T140" s="7">
        <v>20250408</v>
      </c>
      <c r="U140" s="4"/>
      <c r="V140" s="7">
        <v>1.744149351019E+16</v>
      </c>
      <c r="W140" s="3"/>
      <c r="X140" s="3"/>
      <c r="Y140" s="3"/>
      <c r="Z140" s="3"/>
    </row>
    <row r="141" spans="1:26" ht="15" x14ac:dyDescent="0.25">
      <c r="A141" s="4" t="s">
        <v>22</v>
      </c>
      <c r="B141" s="5">
        <v>18</v>
      </c>
      <c r="C141" s="4" t="s">
        <v>23</v>
      </c>
      <c r="D141" s="6">
        <v>45755</v>
      </c>
      <c r="E141" s="7">
        <v>802512560</v>
      </c>
      <c r="F141" s="4" t="s">
        <v>122</v>
      </c>
      <c r="G141" s="4" t="s">
        <v>113</v>
      </c>
      <c r="H141" s="4" t="s">
        <v>114</v>
      </c>
      <c r="I141" s="7">
        <v>20210101</v>
      </c>
      <c r="J141" s="7">
        <v>20250101</v>
      </c>
      <c r="K141" s="7">
        <v>202504</v>
      </c>
      <c r="L141" s="7">
        <v>8307933</v>
      </c>
      <c r="M141" s="4" t="s">
        <v>118</v>
      </c>
      <c r="N141" s="4" t="s">
        <v>28</v>
      </c>
      <c r="O141" s="7">
        <v>18973608</v>
      </c>
      <c r="P141" s="4" t="s">
        <v>29</v>
      </c>
      <c r="Q141" s="7">
        <v>202504</v>
      </c>
      <c r="R141" s="7">
        <v>0</v>
      </c>
      <c r="S141" s="4" t="s">
        <v>30</v>
      </c>
      <c r="T141" s="7">
        <v>20250408</v>
      </c>
      <c r="U141" s="4"/>
      <c r="V141" s="7">
        <v>1.744149351089E+16</v>
      </c>
      <c r="W141" s="3"/>
      <c r="X141" s="3"/>
      <c r="Y141" s="3"/>
      <c r="Z141" s="3"/>
    </row>
    <row r="142" spans="1:26" ht="15" x14ac:dyDescent="0.25">
      <c r="A142" s="4" t="s">
        <v>22</v>
      </c>
      <c r="B142" s="5">
        <v>54</v>
      </c>
      <c r="C142" s="4" t="s">
        <v>23</v>
      </c>
      <c r="D142" s="6">
        <v>45755</v>
      </c>
      <c r="E142" s="7">
        <v>802105486</v>
      </c>
      <c r="F142" s="4" t="s">
        <v>123</v>
      </c>
      <c r="G142" s="4" t="s">
        <v>25</v>
      </c>
      <c r="H142" s="4" t="s">
        <v>26</v>
      </c>
      <c r="I142" s="7">
        <v>20171001</v>
      </c>
      <c r="J142" s="7">
        <v>20250101</v>
      </c>
      <c r="K142" s="7">
        <v>202504</v>
      </c>
      <c r="L142" s="7">
        <v>8307933</v>
      </c>
      <c r="M142" s="4" t="s">
        <v>118</v>
      </c>
      <c r="N142" s="4" t="s">
        <v>28</v>
      </c>
      <c r="O142" s="7">
        <v>18973608</v>
      </c>
      <c r="P142" s="4" t="s">
        <v>29</v>
      </c>
      <c r="Q142" s="7">
        <v>202504</v>
      </c>
      <c r="R142" s="7">
        <v>0</v>
      </c>
      <c r="S142" s="4" t="s">
        <v>30</v>
      </c>
      <c r="T142" s="7">
        <v>20250408</v>
      </c>
      <c r="U142" s="4"/>
      <c r="V142" s="7">
        <v>1.744149350949E+16</v>
      </c>
      <c r="W142" s="3"/>
      <c r="X142" s="3"/>
      <c r="Y142" s="3"/>
      <c r="Z142" s="3"/>
    </row>
    <row r="143" spans="1:26" ht="15" x14ac:dyDescent="0.25">
      <c r="A143" s="4" t="s">
        <v>22</v>
      </c>
      <c r="B143" s="5">
        <v>18</v>
      </c>
      <c r="C143" s="4" t="s">
        <v>23</v>
      </c>
      <c r="D143" s="6">
        <v>45783</v>
      </c>
      <c r="E143" s="7">
        <v>802400239</v>
      </c>
      <c r="F143" s="4" t="s">
        <v>117</v>
      </c>
      <c r="G143" s="4" t="s">
        <v>55</v>
      </c>
      <c r="H143" s="4" t="s">
        <v>56</v>
      </c>
      <c r="I143" s="7">
        <v>20200101</v>
      </c>
      <c r="J143" s="7">
        <v>20250101</v>
      </c>
      <c r="K143" s="7">
        <v>202504</v>
      </c>
      <c r="L143" s="7">
        <v>8307933</v>
      </c>
      <c r="M143" s="4" t="s">
        <v>118</v>
      </c>
      <c r="N143" s="4" t="s">
        <v>28</v>
      </c>
      <c r="O143" s="7">
        <v>18973608</v>
      </c>
      <c r="P143" s="4" t="s">
        <v>29</v>
      </c>
      <c r="Q143" s="7">
        <v>202505</v>
      </c>
      <c r="R143" s="7">
        <v>0</v>
      </c>
      <c r="S143" s="4" t="s">
        <v>30</v>
      </c>
      <c r="T143" s="7">
        <v>20250506</v>
      </c>
      <c r="U143" s="4"/>
      <c r="V143" s="7">
        <v>1.746571387447E+16</v>
      </c>
      <c r="W143" s="3"/>
      <c r="X143" s="3"/>
      <c r="Y143" s="3"/>
      <c r="Z143" s="3"/>
    </row>
    <row r="144" spans="1:26" ht="15" x14ac:dyDescent="0.25">
      <c r="A144" s="4" t="s">
        <v>22</v>
      </c>
      <c r="B144" s="5">
        <v>18</v>
      </c>
      <c r="C144" s="4" t="s">
        <v>23</v>
      </c>
      <c r="D144" s="6">
        <v>45783</v>
      </c>
      <c r="E144" s="7">
        <v>802512560</v>
      </c>
      <c r="F144" s="4" t="s">
        <v>122</v>
      </c>
      <c r="G144" s="4" t="s">
        <v>113</v>
      </c>
      <c r="H144" s="4" t="s">
        <v>114</v>
      </c>
      <c r="I144" s="7">
        <v>20210101</v>
      </c>
      <c r="J144" s="7">
        <v>20250101</v>
      </c>
      <c r="K144" s="7">
        <v>202505</v>
      </c>
      <c r="L144" s="7">
        <v>8307933</v>
      </c>
      <c r="M144" s="4" t="s">
        <v>118</v>
      </c>
      <c r="N144" s="4" t="s">
        <v>28</v>
      </c>
      <c r="O144" s="7">
        <v>18973608</v>
      </c>
      <c r="P144" s="4" t="s">
        <v>29</v>
      </c>
      <c r="Q144" s="7">
        <v>202505</v>
      </c>
      <c r="R144" s="7">
        <v>0</v>
      </c>
      <c r="S144" s="4" t="s">
        <v>30</v>
      </c>
      <c r="T144" s="7">
        <v>20250506</v>
      </c>
      <c r="U144" s="4"/>
      <c r="V144" s="7">
        <v>1.746571387512E+16</v>
      </c>
      <c r="W144" s="3"/>
      <c r="X144" s="3"/>
      <c r="Y144" s="3"/>
      <c r="Z144" s="3"/>
    </row>
    <row r="145" spans="1:26" ht="15" x14ac:dyDescent="0.25">
      <c r="A145" s="8" t="s">
        <v>22</v>
      </c>
      <c r="B145" s="9">
        <v>44</v>
      </c>
      <c r="C145" s="8" t="s">
        <v>23</v>
      </c>
      <c r="D145" s="10">
        <v>45783</v>
      </c>
      <c r="E145" s="11">
        <v>803038832</v>
      </c>
      <c r="F145" s="8" t="s">
        <v>124</v>
      </c>
      <c r="G145" s="8" t="s">
        <v>25</v>
      </c>
      <c r="H145" s="8" t="s">
        <v>26</v>
      </c>
      <c r="I145" s="11">
        <v>20250501</v>
      </c>
      <c r="J145" s="11">
        <v>20250501</v>
      </c>
      <c r="K145" s="11">
        <v>202505</v>
      </c>
      <c r="L145" s="11">
        <v>8307933</v>
      </c>
      <c r="M145" s="8" t="s">
        <v>118</v>
      </c>
      <c r="N145" s="8" t="s">
        <v>28</v>
      </c>
      <c r="O145" s="11">
        <v>18973608</v>
      </c>
      <c r="P145" s="8" t="s">
        <v>29</v>
      </c>
      <c r="Q145" s="11">
        <v>202505</v>
      </c>
      <c r="R145" s="11">
        <v>0</v>
      </c>
      <c r="S145" s="8" t="s">
        <v>38</v>
      </c>
      <c r="T145" s="11">
        <v>20250506</v>
      </c>
      <c r="U145" s="8"/>
      <c r="V145" s="11">
        <v>1.746571406175E+16</v>
      </c>
      <c r="W145" s="3"/>
      <c r="X145" s="3"/>
      <c r="Y145" s="3"/>
      <c r="Z145" s="3"/>
    </row>
    <row r="146" spans="1:26" ht="45" x14ac:dyDescent="0.25">
      <c r="A146" s="12" t="s">
        <v>22</v>
      </c>
      <c r="B146" s="13">
        <v>54</v>
      </c>
      <c r="C146" s="12" t="s">
        <v>125</v>
      </c>
      <c r="D146" s="14">
        <v>45783</v>
      </c>
      <c r="E146" s="15">
        <v>802125890</v>
      </c>
      <c r="F146" s="12" t="s">
        <v>126</v>
      </c>
      <c r="G146" s="12" t="s">
        <v>81</v>
      </c>
      <c r="H146" s="12" t="s">
        <v>82</v>
      </c>
      <c r="I146" s="15">
        <v>20180101</v>
      </c>
      <c r="J146" s="15">
        <v>20250101</v>
      </c>
      <c r="K146" s="15">
        <v>202505</v>
      </c>
      <c r="L146" s="15">
        <v>17640026</v>
      </c>
      <c r="M146" s="12" t="s">
        <v>127</v>
      </c>
      <c r="N146" s="12" t="s">
        <v>128</v>
      </c>
      <c r="O146" s="15">
        <v>18973608</v>
      </c>
      <c r="P146" s="12" t="s">
        <v>29</v>
      </c>
      <c r="Q146" s="15">
        <v>202505</v>
      </c>
      <c r="R146" s="15">
        <v>0</v>
      </c>
      <c r="S146" s="12" t="s">
        <v>30</v>
      </c>
      <c r="T146" s="15">
        <v>20250506</v>
      </c>
      <c r="U146" s="12" t="s">
        <v>129</v>
      </c>
      <c r="V146" s="15">
        <v>1.746571390544E+16</v>
      </c>
      <c r="W146" s="3"/>
      <c r="X146" s="3"/>
      <c r="Y146" s="3"/>
      <c r="Z146" s="3"/>
    </row>
    <row r="147" spans="1:26" ht="45" x14ac:dyDescent="0.25">
      <c r="A147" s="12" t="s">
        <v>22</v>
      </c>
      <c r="B147" s="13">
        <v>88</v>
      </c>
      <c r="C147" s="12" t="s">
        <v>125</v>
      </c>
      <c r="D147" s="14">
        <v>45783</v>
      </c>
      <c r="E147" s="15">
        <v>802999312</v>
      </c>
      <c r="F147" s="12" t="s">
        <v>130</v>
      </c>
      <c r="G147" s="12" t="s">
        <v>40</v>
      </c>
      <c r="H147" s="12" t="s">
        <v>41</v>
      </c>
      <c r="I147" s="15">
        <v>20250101</v>
      </c>
      <c r="J147" s="15">
        <v>20250101</v>
      </c>
      <c r="K147" s="15">
        <v>202505</v>
      </c>
      <c r="L147" s="15">
        <v>17640026</v>
      </c>
      <c r="M147" s="12" t="s">
        <v>127</v>
      </c>
      <c r="N147" s="12" t="s">
        <v>128</v>
      </c>
      <c r="O147" s="15">
        <v>18973608</v>
      </c>
      <c r="P147" s="12" t="s">
        <v>29</v>
      </c>
      <c r="Q147" s="15">
        <v>202505</v>
      </c>
      <c r="R147" s="15">
        <v>0</v>
      </c>
      <c r="S147" s="12" t="s">
        <v>38</v>
      </c>
      <c r="T147" s="15">
        <v>20250506</v>
      </c>
      <c r="U147" s="12" t="s">
        <v>129</v>
      </c>
      <c r="V147" s="15">
        <v>1.74657139387E+16</v>
      </c>
      <c r="W147" s="3"/>
      <c r="X147" s="3"/>
      <c r="Y147" s="3"/>
      <c r="Z147" s="3"/>
    </row>
    <row r="148" spans="1:26" ht="15" x14ac:dyDescent="0.25">
      <c r="A148" s="3"/>
      <c r="B148" s="1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x14ac:dyDescent="0.25">
      <c r="A149" s="3"/>
      <c r="B149" s="17">
        <f>SUM(B2:B147)</f>
        <v>4686.5499999999993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x14ac:dyDescent="0.25">
      <c r="A150" s="3"/>
      <c r="B150" s="1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x14ac:dyDescent="0.25">
      <c r="A151" s="3"/>
      <c r="B151" s="1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x14ac:dyDescent="0.25">
      <c r="A152" s="3"/>
      <c r="B152" s="1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x14ac:dyDescent="0.25">
      <c r="A153" s="3"/>
      <c r="B153" s="1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x14ac:dyDescent="0.25">
      <c r="A154" s="3"/>
      <c r="B154" s="1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x14ac:dyDescent="0.25">
      <c r="A155" s="3"/>
      <c r="B155" s="1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x14ac:dyDescent="0.25">
      <c r="A156" s="3"/>
      <c r="B156" s="1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x14ac:dyDescent="0.25">
      <c r="A157" s="3"/>
      <c r="B157" s="1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x14ac:dyDescent="0.25">
      <c r="A158" s="3"/>
      <c r="B158" s="1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x14ac:dyDescent="0.25">
      <c r="A159" s="3"/>
      <c r="B159" s="1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x14ac:dyDescent="0.25">
      <c r="A160" s="3"/>
      <c r="B160" s="1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x14ac:dyDescent="0.25">
      <c r="A161" s="3"/>
      <c r="B161" s="1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x14ac:dyDescent="0.25">
      <c r="A162" s="3"/>
      <c r="B162" s="1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x14ac:dyDescent="0.25">
      <c r="A163" s="3"/>
      <c r="B163" s="1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x14ac:dyDescent="0.25">
      <c r="A164" s="3"/>
      <c r="B164" s="1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x14ac:dyDescent="0.25">
      <c r="A165" s="3"/>
      <c r="B165" s="1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x14ac:dyDescent="0.25">
      <c r="A166" s="3"/>
      <c r="B166" s="1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x14ac:dyDescent="0.25">
      <c r="A167" s="3"/>
      <c r="B167" s="1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x14ac:dyDescent="0.25">
      <c r="A168" s="3"/>
      <c r="B168" s="1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x14ac:dyDescent="0.25">
      <c r="A169" s="3"/>
      <c r="B169" s="1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x14ac:dyDescent="0.25">
      <c r="A170" s="3"/>
      <c r="B170" s="1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x14ac:dyDescent="0.25">
      <c r="A171" s="3"/>
      <c r="B171" s="1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x14ac:dyDescent="0.25">
      <c r="A172" s="3"/>
      <c r="B172" s="1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x14ac:dyDescent="0.25">
      <c r="A173" s="3"/>
      <c r="B173" s="1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x14ac:dyDescent="0.25">
      <c r="A174" s="3"/>
      <c r="B174" s="1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x14ac:dyDescent="0.25">
      <c r="A175" s="3"/>
      <c r="B175" s="1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x14ac:dyDescent="0.25">
      <c r="A176" s="3"/>
      <c r="B176" s="1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x14ac:dyDescent="0.25">
      <c r="A177" s="3"/>
      <c r="B177" s="1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x14ac:dyDescent="0.25">
      <c r="A178" s="3"/>
      <c r="B178" s="1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x14ac:dyDescent="0.25">
      <c r="A179" s="3"/>
      <c r="B179" s="1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x14ac:dyDescent="0.25">
      <c r="A180" s="3"/>
      <c r="B180" s="1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x14ac:dyDescent="0.25">
      <c r="A181" s="3"/>
      <c r="B181" s="1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x14ac:dyDescent="0.25">
      <c r="A182" s="3"/>
      <c r="B182" s="1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x14ac:dyDescent="0.25">
      <c r="A183" s="3"/>
      <c r="B183" s="1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x14ac:dyDescent="0.25">
      <c r="A184" s="3"/>
      <c r="B184" s="1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x14ac:dyDescent="0.25">
      <c r="A185" s="3"/>
      <c r="B185" s="1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x14ac:dyDescent="0.25">
      <c r="A186" s="3"/>
      <c r="B186" s="1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x14ac:dyDescent="0.25">
      <c r="A187" s="3"/>
      <c r="B187" s="1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x14ac:dyDescent="0.25">
      <c r="A188" s="3"/>
      <c r="B188" s="1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x14ac:dyDescent="0.25">
      <c r="A189" s="3"/>
      <c r="B189" s="1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x14ac:dyDescent="0.25">
      <c r="A190" s="3"/>
      <c r="B190" s="1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x14ac:dyDescent="0.25">
      <c r="A191" s="3"/>
      <c r="B191" s="1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x14ac:dyDescent="0.25">
      <c r="A192" s="3"/>
      <c r="B192" s="1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x14ac:dyDescent="0.25">
      <c r="A193" s="3"/>
      <c r="B193" s="1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x14ac:dyDescent="0.25">
      <c r="A194" s="3"/>
      <c r="B194" s="1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x14ac:dyDescent="0.25">
      <c r="A195" s="3"/>
      <c r="B195" s="1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x14ac:dyDescent="0.25">
      <c r="A196" s="3"/>
      <c r="B196" s="1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x14ac:dyDescent="0.25">
      <c r="A197" s="3"/>
      <c r="B197" s="1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x14ac:dyDescent="0.25">
      <c r="A198" s="3"/>
      <c r="B198" s="1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x14ac:dyDescent="0.25">
      <c r="A199" s="3"/>
      <c r="B199" s="1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x14ac:dyDescent="0.25">
      <c r="A200" s="3"/>
      <c r="B200" s="1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x14ac:dyDescent="0.25">
      <c r="A201" s="3"/>
      <c r="B201" s="1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x14ac:dyDescent="0.25">
      <c r="A202" s="3"/>
      <c r="B202" s="1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x14ac:dyDescent="0.25">
      <c r="A203" s="3"/>
      <c r="B203" s="1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x14ac:dyDescent="0.25">
      <c r="A204" s="3"/>
      <c r="B204" s="1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x14ac:dyDescent="0.25">
      <c r="A205" s="3"/>
      <c r="B205" s="1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x14ac:dyDescent="0.25">
      <c r="A206" s="3"/>
      <c r="B206" s="1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x14ac:dyDescent="0.25">
      <c r="A207" s="3"/>
      <c r="B207" s="1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x14ac:dyDescent="0.25">
      <c r="A208" s="3"/>
      <c r="B208" s="1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x14ac:dyDescent="0.25">
      <c r="A209" s="3"/>
      <c r="B209" s="1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x14ac:dyDescent="0.25">
      <c r="A210" s="3"/>
      <c r="B210" s="1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x14ac:dyDescent="0.25">
      <c r="A211" s="3"/>
      <c r="B211" s="1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x14ac:dyDescent="0.25">
      <c r="A212" s="3"/>
      <c r="B212" s="1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x14ac:dyDescent="0.25">
      <c r="A213" s="3"/>
      <c r="B213" s="1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x14ac:dyDescent="0.25">
      <c r="A214" s="3"/>
      <c r="B214" s="1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x14ac:dyDescent="0.25">
      <c r="A215" s="3"/>
      <c r="B215" s="1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x14ac:dyDescent="0.25">
      <c r="A216" s="3"/>
      <c r="B216" s="1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x14ac:dyDescent="0.25">
      <c r="A217" s="3"/>
      <c r="B217" s="1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x14ac:dyDescent="0.25">
      <c r="A218" s="3"/>
      <c r="B218" s="1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x14ac:dyDescent="0.25">
      <c r="A219" s="3"/>
      <c r="B219" s="1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x14ac:dyDescent="0.25">
      <c r="A220" s="3"/>
      <c r="B220" s="1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x14ac:dyDescent="0.25">
      <c r="A221" s="3"/>
      <c r="B221" s="1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x14ac:dyDescent="0.25">
      <c r="A222" s="3"/>
      <c r="B222" s="1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x14ac:dyDescent="0.25">
      <c r="A223" s="3"/>
      <c r="B223" s="1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x14ac:dyDescent="0.25">
      <c r="A224" s="3"/>
      <c r="B224" s="1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x14ac:dyDescent="0.25">
      <c r="A225" s="3"/>
      <c r="B225" s="1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x14ac:dyDescent="0.25">
      <c r="A226" s="3"/>
      <c r="B226" s="1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x14ac:dyDescent="0.25">
      <c r="A227" s="3"/>
      <c r="B227" s="1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x14ac:dyDescent="0.25">
      <c r="A228" s="3"/>
      <c r="B228" s="1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x14ac:dyDescent="0.25">
      <c r="A229" s="3"/>
      <c r="B229" s="1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x14ac:dyDescent="0.25">
      <c r="A230" s="3"/>
      <c r="B230" s="1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x14ac:dyDescent="0.25">
      <c r="A231" s="3"/>
      <c r="B231" s="1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x14ac:dyDescent="0.25">
      <c r="A232" s="3"/>
      <c r="B232" s="1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x14ac:dyDescent="0.25">
      <c r="A233" s="3"/>
      <c r="B233" s="1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x14ac:dyDescent="0.25">
      <c r="A234" s="3"/>
      <c r="B234" s="1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x14ac:dyDescent="0.25">
      <c r="A235" s="3"/>
      <c r="B235" s="1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x14ac:dyDescent="0.25">
      <c r="A236" s="3"/>
      <c r="B236" s="1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x14ac:dyDescent="0.25">
      <c r="A237" s="3"/>
      <c r="B237" s="1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x14ac:dyDescent="0.25">
      <c r="A238" s="3"/>
      <c r="B238" s="1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x14ac:dyDescent="0.25">
      <c r="A239" s="3"/>
      <c r="B239" s="1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x14ac:dyDescent="0.25">
      <c r="A240" s="3"/>
      <c r="B240" s="1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x14ac:dyDescent="0.25">
      <c r="A241" s="3"/>
      <c r="B241" s="1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x14ac:dyDescent="0.25">
      <c r="A242" s="3"/>
      <c r="B242" s="1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x14ac:dyDescent="0.25">
      <c r="A243" s="3"/>
      <c r="B243" s="1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x14ac:dyDescent="0.25">
      <c r="A244" s="3"/>
      <c r="B244" s="1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x14ac:dyDescent="0.25">
      <c r="A245" s="3"/>
      <c r="B245" s="1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x14ac:dyDescent="0.25">
      <c r="A246" s="3"/>
      <c r="B246" s="1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x14ac:dyDescent="0.25">
      <c r="A247" s="3"/>
      <c r="B247" s="1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x14ac:dyDescent="0.25">
      <c r="A248" s="3"/>
      <c r="B248" s="1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x14ac:dyDescent="0.25">
      <c r="A249" s="3"/>
      <c r="B249" s="1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x14ac:dyDescent="0.25">
      <c r="A250" s="3"/>
      <c r="B250" s="1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x14ac:dyDescent="0.25">
      <c r="A251" s="3"/>
      <c r="B251" s="1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x14ac:dyDescent="0.25">
      <c r="A252" s="3"/>
      <c r="B252" s="1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x14ac:dyDescent="0.25">
      <c r="A253" s="3"/>
      <c r="B253" s="1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x14ac:dyDescent="0.25">
      <c r="A254" s="3"/>
      <c r="B254" s="1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x14ac:dyDescent="0.25">
      <c r="A255" s="3"/>
      <c r="B255" s="1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x14ac:dyDescent="0.25">
      <c r="A256" s="3"/>
      <c r="B256" s="1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x14ac:dyDescent="0.25">
      <c r="A257" s="3"/>
      <c r="B257" s="1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x14ac:dyDescent="0.25">
      <c r="A258" s="3"/>
      <c r="B258" s="1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x14ac:dyDescent="0.25">
      <c r="A259" s="3"/>
      <c r="B259" s="1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x14ac:dyDescent="0.25">
      <c r="A260" s="3"/>
      <c r="B260" s="1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x14ac:dyDescent="0.25">
      <c r="A261" s="3"/>
      <c r="B261" s="1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x14ac:dyDescent="0.25">
      <c r="A262" s="3"/>
      <c r="B262" s="1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x14ac:dyDescent="0.25">
      <c r="A263" s="3"/>
      <c r="B263" s="1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x14ac:dyDescent="0.25">
      <c r="A264" s="3"/>
      <c r="B264" s="1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x14ac:dyDescent="0.25">
      <c r="A265" s="3"/>
      <c r="B265" s="1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x14ac:dyDescent="0.25">
      <c r="A266" s="3"/>
      <c r="B266" s="1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x14ac:dyDescent="0.25">
      <c r="A267" s="3"/>
      <c r="B267" s="1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x14ac:dyDescent="0.25">
      <c r="A268" s="3"/>
      <c r="B268" s="1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x14ac:dyDescent="0.25">
      <c r="A269" s="3"/>
      <c r="B269" s="1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x14ac:dyDescent="0.25">
      <c r="A270" s="3"/>
      <c r="B270" s="1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x14ac:dyDescent="0.25">
      <c r="A271" s="3"/>
      <c r="B271" s="1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x14ac:dyDescent="0.25">
      <c r="A272" s="3"/>
      <c r="B272" s="1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x14ac:dyDescent="0.25">
      <c r="A273" s="3"/>
      <c r="B273" s="1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x14ac:dyDescent="0.25">
      <c r="A274" s="3"/>
      <c r="B274" s="1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x14ac:dyDescent="0.25">
      <c r="A275" s="3"/>
      <c r="B275" s="1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x14ac:dyDescent="0.25">
      <c r="A276" s="3"/>
      <c r="B276" s="1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x14ac:dyDescent="0.25">
      <c r="A277" s="3"/>
      <c r="B277" s="1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x14ac:dyDescent="0.25">
      <c r="A278" s="3"/>
      <c r="B278" s="1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x14ac:dyDescent="0.25">
      <c r="A279" s="3"/>
      <c r="B279" s="1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x14ac:dyDescent="0.25">
      <c r="A280" s="3"/>
      <c r="B280" s="1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x14ac:dyDescent="0.25">
      <c r="A281" s="3"/>
      <c r="B281" s="1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x14ac:dyDescent="0.25">
      <c r="A282" s="3"/>
      <c r="B282" s="1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x14ac:dyDescent="0.25">
      <c r="A283" s="3"/>
      <c r="B283" s="1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x14ac:dyDescent="0.25">
      <c r="A284" s="3"/>
      <c r="B284" s="1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x14ac:dyDescent="0.25">
      <c r="A285" s="3"/>
      <c r="B285" s="1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x14ac:dyDescent="0.25">
      <c r="A286" s="3"/>
      <c r="B286" s="1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x14ac:dyDescent="0.25">
      <c r="A287" s="3"/>
      <c r="B287" s="1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x14ac:dyDescent="0.25">
      <c r="A288" s="3"/>
      <c r="B288" s="1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x14ac:dyDescent="0.25">
      <c r="A289" s="3"/>
      <c r="B289" s="1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x14ac:dyDescent="0.25">
      <c r="A290" s="3"/>
      <c r="B290" s="1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x14ac:dyDescent="0.25">
      <c r="A291" s="3"/>
      <c r="B291" s="1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x14ac:dyDescent="0.25">
      <c r="A292" s="3"/>
      <c r="B292" s="1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x14ac:dyDescent="0.25">
      <c r="A293" s="3"/>
      <c r="B293" s="1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x14ac:dyDescent="0.25">
      <c r="A294" s="3"/>
      <c r="B294" s="1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x14ac:dyDescent="0.25">
      <c r="A295" s="3"/>
      <c r="B295" s="1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x14ac:dyDescent="0.25">
      <c r="A296" s="3"/>
      <c r="B296" s="1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x14ac:dyDescent="0.25">
      <c r="A297" s="3"/>
      <c r="B297" s="1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x14ac:dyDescent="0.25">
      <c r="A298" s="3"/>
      <c r="B298" s="1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x14ac:dyDescent="0.25">
      <c r="A299" s="3"/>
      <c r="B299" s="1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x14ac:dyDescent="0.25">
      <c r="A300" s="3"/>
      <c r="B300" s="1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x14ac:dyDescent="0.25">
      <c r="A301" s="3"/>
      <c r="B301" s="1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x14ac:dyDescent="0.25">
      <c r="A302" s="3"/>
      <c r="B302" s="1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x14ac:dyDescent="0.25">
      <c r="A303" s="3"/>
      <c r="B303" s="1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x14ac:dyDescent="0.25">
      <c r="A304" s="3"/>
      <c r="B304" s="1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x14ac:dyDescent="0.25">
      <c r="A305" s="3"/>
      <c r="B305" s="1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x14ac:dyDescent="0.25">
      <c r="A306" s="3"/>
      <c r="B306" s="1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x14ac:dyDescent="0.25">
      <c r="A307" s="3"/>
      <c r="B307" s="1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x14ac:dyDescent="0.25">
      <c r="A308" s="3"/>
      <c r="B308" s="1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x14ac:dyDescent="0.25">
      <c r="A309" s="3"/>
      <c r="B309" s="1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x14ac:dyDescent="0.25">
      <c r="A310" s="3"/>
      <c r="B310" s="1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x14ac:dyDescent="0.25">
      <c r="A311" s="3"/>
      <c r="B311" s="1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x14ac:dyDescent="0.25">
      <c r="A312" s="3"/>
      <c r="B312" s="1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x14ac:dyDescent="0.25">
      <c r="A313" s="3"/>
      <c r="B313" s="1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x14ac:dyDescent="0.25">
      <c r="A314" s="3"/>
      <c r="B314" s="1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x14ac:dyDescent="0.25">
      <c r="A315" s="3"/>
      <c r="B315" s="1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x14ac:dyDescent="0.25">
      <c r="A316" s="3"/>
      <c r="B316" s="1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x14ac:dyDescent="0.25">
      <c r="A317" s="3"/>
      <c r="B317" s="1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x14ac:dyDescent="0.25">
      <c r="A318" s="3"/>
      <c r="B318" s="1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x14ac:dyDescent="0.25">
      <c r="A319" s="3"/>
      <c r="B319" s="1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x14ac:dyDescent="0.25">
      <c r="A320" s="3"/>
      <c r="B320" s="1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x14ac:dyDescent="0.25">
      <c r="A321" s="3"/>
      <c r="B321" s="1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x14ac:dyDescent="0.25">
      <c r="A322" s="3"/>
      <c r="B322" s="1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x14ac:dyDescent="0.25">
      <c r="A323" s="3"/>
      <c r="B323" s="1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x14ac:dyDescent="0.25">
      <c r="A324" s="3"/>
      <c r="B324" s="1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x14ac:dyDescent="0.25">
      <c r="A325" s="3"/>
      <c r="B325" s="1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x14ac:dyDescent="0.25">
      <c r="A326" s="3"/>
      <c r="B326" s="1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x14ac:dyDescent="0.25">
      <c r="A327" s="3"/>
      <c r="B327" s="1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x14ac:dyDescent="0.25">
      <c r="A328" s="3"/>
      <c r="B328" s="1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x14ac:dyDescent="0.25">
      <c r="A329" s="3"/>
      <c r="B329" s="1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x14ac:dyDescent="0.25">
      <c r="A330" s="3"/>
      <c r="B330" s="1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x14ac:dyDescent="0.25">
      <c r="A331" s="3"/>
      <c r="B331" s="1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x14ac:dyDescent="0.25">
      <c r="A332" s="3"/>
      <c r="B332" s="1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x14ac:dyDescent="0.25">
      <c r="A333" s="3"/>
      <c r="B333" s="1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x14ac:dyDescent="0.25">
      <c r="A334" s="3"/>
      <c r="B334" s="1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x14ac:dyDescent="0.25">
      <c r="A335" s="3"/>
      <c r="B335" s="1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x14ac:dyDescent="0.25">
      <c r="A336" s="3"/>
      <c r="B336" s="1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x14ac:dyDescent="0.25">
      <c r="A337" s="3"/>
      <c r="B337" s="1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x14ac:dyDescent="0.25">
      <c r="A338" s="3"/>
      <c r="B338" s="1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x14ac:dyDescent="0.25">
      <c r="A339" s="3"/>
      <c r="B339" s="1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x14ac:dyDescent="0.25">
      <c r="A340" s="3"/>
      <c r="B340" s="1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x14ac:dyDescent="0.25">
      <c r="A341" s="3"/>
      <c r="B341" s="1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x14ac:dyDescent="0.25">
      <c r="A342" s="3"/>
      <c r="B342" s="1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x14ac:dyDescent="0.25">
      <c r="A343" s="3"/>
      <c r="B343" s="1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x14ac:dyDescent="0.25">
      <c r="A344" s="3"/>
      <c r="B344" s="1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x14ac:dyDescent="0.25">
      <c r="A345" s="3"/>
      <c r="B345" s="1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x14ac:dyDescent="0.25">
      <c r="A346" s="3"/>
      <c r="B346" s="1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x14ac:dyDescent="0.25">
      <c r="A347" s="3"/>
      <c r="B347" s="1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x14ac:dyDescent="0.25">
      <c r="A348" s="3"/>
      <c r="B348" s="1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x14ac:dyDescent="0.25">
      <c r="A349" s="3"/>
      <c r="B349" s="1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x14ac:dyDescent="0.25">
      <c r="A350" s="3"/>
      <c r="B350" s="1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x14ac:dyDescent="0.25">
      <c r="A351" s="3"/>
      <c r="B351" s="1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x14ac:dyDescent="0.25">
      <c r="A352" s="3"/>
      <c r="B352" s="1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x14ac:dyDescent="0.25">
      <c r="A353" s="3"/>
      <c r="B353" s="1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x14ac:dyDescent="0.25">
      <c r="A354" s="3"/>
      <c r="B354" s="1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x14ac:dyDescent="0.25">
      <c r="A355" s="3"/>
      <c r="B355" s="1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x14ac:dyDescent="0.25">
      <c r="A356" s="3"/>
      <c r="B356" s="1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x14ac:dyDescent="0.25">
      <c r="A357" s="3"/>
      <c r="B357" s="1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x14ac:dyDescent="0.25">
      <c r="A358" s="3"/>
      <c r="B358" s="1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x14ac:dyDescent="0.25">
      <c r="A359" s="3"/>
      <c r="B359" s="1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x14ac:dyDescent="0.25">
      <c r="A360" s="3"/>
      <c r="B360" s="1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x14ac:dyDescent="0.25">
      <c r="A361" s="3"/>
      <c r="B361" s="1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x14ac:dyDescent="0.25">
      <c r="A362" s="3"/>
      <c r="B362" s="1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x14ac:dyDescent="0.25">
      <c r="A363" s="3"/>
      <c r="B363" s="1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x14ac:dyDescent="0.25">
      <c r="A364" s="3"/>
      <c r="B364" s="1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x14ac:dyDescent="0.25">
      <c r="A365" s="3"/>
      <c r="B365" s="1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x14ac:dyDescent="0.25">
      <c r="A366" s="3"/>
      <c r="B366" s="1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x14ac:dyDescent="0.25">
      <c r="A367" s="3"/>
      <c r="B367" s="1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x14ac:dyDescent="0.25">
      <c r="A368" s="3"/>
      <c r="B368" s="1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x14ac:dyDescent="0.25">
      <c r="A369" s="3"/>
      <c r="B369" s="1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x14ac:dyDescent="0.25">
      <c r="A370" s="3"/>
      <c r="B370" s="1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x14ac:dyDescent="0.25">
      <c r="A371" s="3"/>
      <c r="B371" s="1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x14ac:dyDescent="0.25">
      <c r="A372" s="3"/>
      <c r="B372" s="1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x14ac:dyDescent="0.25">
      <c r="A373" s="3"/>
      <c r="B373" s="1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x14ac:dyDescent="0.25">
      <c r="A374" s="3"/>
      <c r="B374" s="1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x14ac:dyDescent="0.25">
      <c r="A375" s="3"/>
      <c r="B375" s="1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x14ac:dyDescent="0.25">
      <c r="A376" s="3"/>
      <c r="B376" s="1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x14ac:dyDescent="0.25">
      <c r="A377" s="3"/>
      <c r="B377" s="1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x14ac:dyDescent="0.25">
      <c r="A378" s="3"/>
      <c r="B378" s="1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x14ac:dyDescent="0.25">
      <c r="A379" s="3"/>
      <c r="B379" s="1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x14ac:dyDescent="0.25">
      <c r="A380" s="3"/>
      <c r="B380" s="16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x14ac:dyDescent="0.25">
      <c r="A381" s="3"/>
      <c r="B381" s="16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x14ac:dyDescent="0.25">
      <c r="A382" s="3"/>
      <c r="B382" s="16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x14ac:dyDescent="0.25">
      <c r="A383" s="3"/>
      <c r="B383" s="16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x14ac:dyDescent="0.25">
      <c r="A384" s="3"/>
      <c r="B384" s="1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x14ac:dyDescent="0.25">
      <c r="A385" s="3"/>
      <c r="B385" s="1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x14ac:dyDescent="0.25">
      <c r="A386" s="3"/>
      <c r="B386" s="1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x14ac:dyDescent="0.25">
      <c r="A387" s="3"/>
      <c r="B387" s="1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x14ac:dyDescent="0.25">
      <c r="A388" s="3"/>
      <c r="B388" s="1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x14ac:dyDescent="0.25">
      <c r="A389" s="3"/>
      <c r="B389" s="1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x14ac:dyDescent="0.25">
      <c r="A390" s="3"/>
      <c r="B390" s="1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x14ac:dyDescent="0.25">
      <c r="A391" s="3"/>
      <c r="B391" s="1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x14ac:dyDescent="0.25">
      <c r="A392" s="3"/>
      <c r="B392" s="1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x14ac:dyDescent="0.25">
      <c r="A393" s="3"/>
      <c r="B393" s="1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x14ac:dyDescent="0.25">
      <c r="A394" s="3"/>
      <c r="B394" s="1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x14ac:dyDescent="0.25">
      <c r="A395" s="3"/>
      <c r="B395" s="16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x14ac:dyDescent="0.25">
      <c r="A396" s="3"/>
      <c r="B396" s="16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x14ac:dyDescent="0.25">
      <c r="A397" s="3"/>
      <c r="B397" s="16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x14ac:dyDescent="0.25">
      <c r="A398" s="3"/>
      <c r="B398" s="16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x14ac:dyDescent="0.25">
      <c r="A399" s="3"/>
      <c r="B399" s="1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x14ac:dyDescent="0.25">
      <c r="A400" s="3"/>
      <c r="B400" s="1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x14ac:dyDescent="0.25">
      <c r="A401" s="3"/>
      <c r="B401" s="1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x14ac:dyDescent="0.25">
      <c r="A402" s="3"/>
      <c r="B402" s="1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x14ac:dyDescent="0.25">
      <c r="A403" s="3"/>
      <c r="B403" s="1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x14ac:dyDescent="0.25">
      <c r="A404" s="3"/>
      <c r="B404" s="1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x14ac:dyDescent="0.25">
      <c r="A405" s="3"/>
      <c r="B405" s="1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x14ac:dyDescent="0.25">
      <c r="A406" s="3"/>
      <c r="B406" s="1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x14ac:dyDescent="0.25">
      <c r="A407" s="3"/>
      <c r="B407" s="1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x14ac:dyDescent="0.25">
      <c r="A408" s="3"/>
      <c r="B408" s="1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x14ac:dyDescent="0.25">
      <c r="A409" s="3"/>
      <c r="B409" s="1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x14ac:dyDescent="0.25">
      <c r="A410" s="3"/>
      <c r="B410" s="16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x14ac:dyDescent="0.25">
      <c r="A411" s="3"/>
      <c r="B411" s="16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x14ac:dyDescent="0.25">
      <c r="A412" s="3"/>
      <c r="B412" s="16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x14ac:dyDescent="0.25">
      <c r="A413" s="3"/>
      <c r="B413" s="16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x14ac:dyDescent="0.25">
      <c r="A414" s="3"/>
      <c r="B414" s="1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x14ac:dyDescent="0.25">
      <c r="A415" s="3"/>
      <c r="B415" s="1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x14ac:dyDescent="0.25">
      <c r="A416" s="3"/>
      <c r="B416" s="1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x14ac:dyDescent="0.25">
      <c r="A417" s="3"/>
      <c r="B417" s="1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x14ac:dyDescent="0.25">
      <c r="A418" s="3"/>
      <c r="B418" s="1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x14ac:dyDescent="0.25">
      <c r="A419" s="3"/>
      <c r="B419" s="1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x14ac:dyDescent="0.25">
      <c r="A420" s="3"/>
      <c r="B420" s="1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x14ac:dyDescent="0.25">
      <c r="A421" s="3"/>
      <c r="B421" s="1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x14ac:dyDescent="0.25">
      <c r="A422" s="3"/>
      <c r="B422" s="1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x14ac:dyDescent="0.25">
      <c r="A423" s="3"/>
      <c r="B423" s="1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x14ac:dyDescent="0.25">
      <c r="A424" s="3"/>
      <c r="B424" s="1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x14ac:dyDescent="0.25">
      <c r="A425" s="3"/>
      <c r="B425" s="16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x14ac:dyDescent="0.25">
      <c r="A426" s="3"/>
      <c r="B426" s="16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x14ac:dyDescent="0.25">
      <c r="A427" s="3"/>
      <c r="B427" s="16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x14ac:dyDescent="0.25">
      <c r="A428" s="3"/>
      <c r="B428" s="16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x14ac:dyDescent="0.25">
      <c r="A429" s="3"/>
      <c r="B429" s="1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x14ac:dyDescent="0.25">
      <c r="A430" s="3"/>
      <c r="B430" s="1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x14ac:dyDescent="0.25">
      <c r="A431" s="3"/>
      <c r="B431" s="1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x14ac:dyDescent="0.25">
      <c r="A432" s="3"/>
      <c r="B432" s="1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x14ac:dyDescent="0.25">
      <c r="A433" s="3"/>
      <c r="B433" s="1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x14ac:dyDescent="0.25">
      <c r="A434" s="3"/>
      <c r="B434" s="1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x14ac:dyDescent="0.25">
      <c r="A435" s="3"/>
      <c r="B435" s="1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x14ac:dyDescent="0.25">
      <c r="A436" s="3"/>
      <c r="B436" s="1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x14ac:dyDescent="0.25">
      <c r="A437" s="3"/>
      <c r="B437" s="1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x14ac:dyDescent="0.25">
      <c r="A438" s="3"/>
      <c r="B438" s="1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x14ac:dyDescent="0.25">
      <c r="A439" s="3"/>
      <c r="B439" s="1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x14ac:dyDescent="0.25">
      <c r="A440" s="3"/>
      <c r="B440" s="16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x14ac:dyDescent="0.25">
      <c r="A441" s="3"/>
      <c r="B441" s="16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x14ac:dyDescent="0.25">
      <c r="A442" s="3"/>
      <c r="B442" s="16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x14ac:dyDescent="0.25">
      <c r="A443" s="3"/>
      <c r="B443" s="16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x14ac:dyDescent="0.25">
      <c r="A444" s="3"/>
      <c r="B444" s="1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x14ac:dyDescent="0.25">
      <c r="A445" s="3"/>
      <c r="B445" s="1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x14ac:dyDescent="0.25">
      <c r="A446" s="3"/>
      <c r="B446" s="1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x14ac:dyDescent="0.25">
      <c r="A447" s="3"/>
      <c r="B447" s="1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x14ac:dyDescent="0.25">
      <c r="A448" s="3"/>
      <c r="B448" s="1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x14ac:dyDescent="0.25">
      <c r="A449" s="3"/>
      <c r="B449" s="1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x14ac:dyDescent="0.25">
      <c r="A450" s="3"/>
      <c r="B450" s="1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x14ac:dyDescent="0.25">
      <c r="A451" s="3"/>
      <c r="B451" s="1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x14ac:dyDescent="0.25">
      <c r="A452" s="3"/>
      <c r="B452" s="1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x14ac:dyDescent="0.25">
      <c r="A453" s="3"/>
      <c r="B453" s="1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x14ac:dyDescent="0.25">
      <c r="A454" s="3"/>
      <c r="B454" s="1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x14ac:dyDescent="0.25">
      <c r="A455" s="3"/>
      <c r="B455" s="16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x14ac:dyDescent="0.25">
      <c r="A456" s="3"/>
      <c r="B456" s="16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x14ac:dyDescent="0.25">
      <c r="A457" s="3"/>
      <c r="B457" s="16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x14ac:dyDescent="0.25">
      <c r="A458" s="3"/>
      <c r="B458" s="16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x14ac:dyDescent="0.25">
      <c r="A459" s="3"/>
      <c r="B459" s="1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x14ac:dyDescent="0.25">
      <c r="A460" s="3"/>
      <c r="B460" s="1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x14ac:dyDescent="0.25">
      <c r="A461" s="3"/>
      <c r="B461" s="1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x14ac:dyDescent="0.25">
      <c r="A462" s="3"/>
      <c r="B462" s="1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x14ac:dyDescent="0.25">
      <c r="A463" s="3"/>
      <c r="B463" s="1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x14ac:dyDescent="0.25">
      <c r="A464" s="3"/>
      <c r="B464" s="1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x14ac:dyDescent="0.25">
      <c r="A465" s="3"/>
      <c r="B465" s="1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x14ac:dyDescent="0.25">
      <c r="A466" s="3"/>
      <c r="B466" s="1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x14ac:dyDescent="0.25">
      <c r="A467" s="3"/>
      <c r="B467" s="1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x14ac:dyDescent="0.25">
      <c r="A468" s="3"/>
      <c r="B468" s="1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x14ac:dyDescent="0.25">
      <c r="A469" s="3"/>
      <c r="B469" s="1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x14ac:dyDescent="0.25">
      <c r="A470" s="3"/>
      <c r="B470" s="16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x14ac:dyDescent="0.25">
      <c r="A471" s="3"/>
      <c r="B471" s="16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x14ac:dyDescent="0.25">
      <c r="A472" s="3"/>
      <c r="B472" s="16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x14ac:dyDescent="0.25">
      <c r="A473" s="3"/>
      <c r="B473" s="16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x14ac:dyDescent="0.25">
      <c r="A474" s="3"/>
      <c r="B474" s="16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x14ac:dyDescent="0.25">
      <c r="A475" s="3"/>
      <c r="B475" s="1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x14ac:dyDescent="0.25">
      <c r="A476" s="3"/>
      <c r="B476" s="1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x14ac:dyDescent="0.25">
      <c r="A477" s="3"/>
      <c r="B477" s="1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x14ac:dyDescent="0.25">
      <c r="A478" s="3"/>
      <c r="B478" s="1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x14ac:dyDescent="0.25">
      <c r="A479" s="3"/>
      <c r="B479" s="1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x14ac:dyDescent="0.25">
      <c r="A480" s="3"/>
      <c r="B480" s="1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x14ac:dyDescent="0.25">
      <c r="A481" s="3"/>
      <c r="B481" s="1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x14ac:dyDescent="0.25">
      <c r="A482" s="3"/>
      <c r="B482" s="1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x14ac:dyDescent="0.25">
      <c r="A483" s="3"/>
      <c r="B483" s="1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x14ac:dyDescent="0.25">
      <c r="A484" s="3"/>
      <c r="B484" s="1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x14ac:dyDescent="0.25">
      <c r="A485" s="3"/>
      <c r="B485" s="1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x14ac:dyDescent="0.25">
      <c r="A486" s="3"/>
      <c r="B486" s="16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x14ac:dyDescent="0.25">
      <c r="A487" s="3"/>
      <c r="B487" s="16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x14ac:dyDescent="0.25">
      <c r="A488" s="3"/>
      <c r="B488" s="1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x14ac:dyDescent="0.25">
      <c r="A489" s="3"/>
      <c r="B489" s="16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x14ac:dyDescent="0.25">
      <c r="A490" s="3"/>
      <c r="B490" s="1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x14ac:dyDescent="0.25">
      <c r="A491" s="3"/>
      <c r="B491" s="1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x14ac:dyDescent="0.25">
      <c r="A492" s="3"/>
      <c r="B492" s="1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x14ac:dyDescent="0.25">
      <c r="A493" s="3"/>
      <c r="B493" s="1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x14ac:dyDescent="0.25">
      <c r="A494" s="3"/>
      <c r="B494" s="1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x14ac:dyDescent="0.25">
      <c r="A495" s="3"/>
      <c r="B495" s="1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x14ac:dyDescent="0.25">
      <c r="A496" s="3"/>
      <c r="B496" s="1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x14ac:dyDescent="0.25">
      <c r="A497" s="3"/>
      <c r="B497" s="1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x14ac:dyDescent="0.25">
      <c r="A498" s="3"/>
      <c r="B498" s="1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x14ac:dyDescent="0.25">
      <c r="A499" s="3"/>
      <c r="B499" s="1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x14ac:dyDescent="0.25">
      <c r="A500" s="3"/>
      <c r="B500" s="1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x14ac:dyDescent="0.25">
      <c r="A501" s="3"/>
      <c r="B501" s="16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x14ac:dyDescent="0.25">
      <c r="A502" s="3"/>
      <c r="B502" s="16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x14ac:dyDescent="0.25">
      <c r="A503" s="3"/>
      <c r="B503" s="16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x14ac:dyDescent="0.25">
      <c r="A504" s="3"/>
      <c r="B504" s="16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x14ac:dyDescent="0.25">
      <c r="A505" s="3"/>
      <c r="B505" s="1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x14ac:dyDescent="0.25">
      <c r="A506" s="3"/>
      <c r="B506" s="1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x14ac:dyDescent="0.25">
      <c r="A507" s="3"/>
      <c r="B507" s="1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x14ac:dyDescent="0.25">
      <c r="A508" s="3"/>
      <c r="B508" s="1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x14ac:dyDescent="0.25">
      <c r="A509" s="3"/>
      <c r="B509" s="1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x14ac:dyDescent="0.25">
      <c r="A510" s="3"/>
      <c r="B510" s="1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x14ac:dyDescent="0.25">
      <c r="A511" s="3"/>
      <c r="B511" s="1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x14ac:dyDescent="0.25">
      <c r="A512" s="3"/>
      <c r="B512" s="1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x14ac:dyDescent="0.25">
      <c r="A513" s="3"/>
      <c r="B513" s="1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x14ac:dyDescent="0.25">
      <c r="A514" s="3"/>
      <c r="B514" s="1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x14ac:dyDescent="0.25">
      <c r="A515" s="3"/>
      <c r="B515" s="1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x14ac:dyDescent="0.25">
      <c r="A516" s="3"/>
      <c r="B516" s="16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x14ac:dyDescent="0.25">
      <c r="A517" s="3"/>
      <c r="B517" s="16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x14ac:dyDescent="0.25">
      <c r="A518" s="3"/>
      <c r="B518" s="16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x14ac:dyDescent="0.25">
      <c r="A519" s="3"/>
      <c r="B519" s="16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x14ac:dyDescent="0.25">
      <c r="A520" s="3"/>
      <c r="B520" s="1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x14ac:dyDescent="0.25">
      <c r="A521" s="3"/>
      <c r="B521" s="1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x14ac:dyDescent="0.25">
      <c r="A522" s="3"/>
      <c r="B522" s="1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x14ac:dyDescent="0.25">
      <c r="A523" s="3"/>
      <c r="B523" s="1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x14ac:dyDescent="0.25">
      <c r="A524" s="3"/>
      <c r="B524" s="1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x14ac:dyDescent="0.25">
      <c r="A525" s="3"/>
      <c r="B525" s="1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x14ac:dyDescent="0.25">
      <c r="A526" s="3"/>
      <c r="B526" s="1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x14ac:dyDescent="0.25">
      <c r="A527" s="3"/>
      <c r="B527" s="1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x14ac:dyDescent="0.25">
      <c r="A528" s="3"/>
      <c r="B528" s="1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x14ac:dyDescent="0.25">
      <c r="A529" s="3"/>
      <c r="B529" s="1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x14ac:dyDescent="0.25">
      <c r="A530" s="3"/>
      <c r="B530" s="1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x14ac:dyDescent="0.25">
      <c r="A531" s="3"/>
      <c r="B531" s="16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x14ac:dyDescent="0.25">
      <c r="A532" s="3"/>
      <c r="B532" s="16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x14ac:dyDescent="0.25">
      <c r="A533" s="3"/>
      <c r="B533" s="16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x14ac:dyDescent="0.25">
      <c r="A534" s="3"/>
      <c r="B534" s="16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x14ac:dyDescent="0.25">
      <c r="A535" s="3"/>
      <c r="B535" s="1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x14ac:dyDescent="0.25">
      <c r="A536" s="3"/>
      <c r="B536" s="1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x14ac:dyDescent="0.25">
      <c r="A537" s="3"/>
      <c r="B537" s="1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x14ac:dyDescent="0.25">
      <c r="A538" s="3"/>
      <c r="B538" s="1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x14ac:dyDescent="0.25">
      <c r="A539" s="3"/>
      <c r="B539" s="1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x14ac:dyDescent="0.25">
      <c r="A540" s="3"/>
      <c r="B540" s="1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x14ac:dyDescent="0.25">
      <c r="A541" s="3"/>
      <c r="B541" s="1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x14ac:dyDescent="0.25">
      <c r="A542" s="3"/>
      <c r="B542" s="1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x14ac:dyDescent="0.25">
      <c r="A543" s="3"/>
      <c r="B543" s="1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x14ac:dyDescent="0.25">
      <c r="A544" s="3"/>
      <c r="B544" s="1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x14ac:dyDescent="0.25">
      <c r="A545" s="3"/>
      <c r="B545" s="1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x14ac:dyDescent="0.25">
      <c r="A546" s="3"/>
      <c r="B546" s="16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x14ac:dyDescent="0.25">
      <c r="A547" s="3"/>
      <c r="B547" s="16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x14ac:dyDescent="0.25">
      <c r="A548" s="3"/>
      <c r="B548" s="16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x14ac:dyDescent="0.25">
      <c r="A549" s="3"/>
      <c r="B549" s="16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x14ac:dyDescent="0.25">
      <c r="A550" s="3"/>
      <c r="B550" s="1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x14ac:dyDescent="0.25">
      <c r="A551" s="3"/>
      <c r="B551" s="1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x14ac:dyDescent="0.25">
      <c r="A552" s="3"/>
      <c r="B552" s="1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x14ac:dyDescent="0.25">
      <c r="A553" s="3"/>
      <c r="B553" s="1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x14ac:dyDescent="0.25">
      <c r="A554" s="3"/>
      <c r="B554" s="1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x14ac:dyDescent="0.25">
      <c r="A555" s="3"/>
      <c r="B555" s="1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x14ac:dyDescent="0.25">
      <c r="A556" s="3"/>
      <c r="B556" s="1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x14ac:dyDescent="0.25">
      <c r="A557" s="3"/>
      <c r="B557" s="1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x14ac:dyDescent="0.25">
      <c r="A558" s="3"/>
      <c r="B558" s="1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x14ac:dyDescent="0.25">
      <c r="A559" s="3"/>
      <c r="B559" s="1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x14ac:dyDescent="0.25">
      <c r="A560" s="3"/>
      <c r="B560" s="1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x14ac:dyDescent="0.25">
      <c r="A561" s="3"/>
      <c r="B561" s="16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x14ac:dyDescent="0.25">
      <c r="A562" s="3"/>
      <c r="B562" s="16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x14ac:dyDescent="0.25">
      <c r="A563" s="3"/>
      <c r="B563" s="16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x14ac:dyDescent="0.25">
      <c r="A564" s="3"/>
      <c r="B564" s="16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x14ac:dyDescent="0.25">
      <c r="A565" s="3"/>
      <c r="B565" s="1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x14ac:dyDescent="0.25">
      <c r="A566" s="3"/>
      <c r="B566" s="1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x14ac:dyDescent="0.25">
      <c r="A567" s="3"/>
      <c r="B567" s="1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x14ac:dyDescent="0.25">
      <c r="A568" s="3"/>
      <c r="B568" s="1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x14ac:dyDescent="0.25">
      <c r="A569" s="3"/>
      <c r="B569" s="1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x14ac:dyDescent="0.25">
      <c r="A570" s="3"/>
      <c r="B570" s="1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x14ac:dyDescent="0.25">
      <c r="A571" s="3"/>
      <c r="B571" s="1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x14ac:dyDescent="0.25">
      <c r="A572" s="3"/>
      <c r="B572" s="1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x14ac:dyDescent="0.25">
      <c r="A573" s="3"/>
      <c r="B573" s="1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x14ac:dyDescent="0.25">
      <c r="A574" s="3"/>
      <c r="B574" s="1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x14ac:dyDescent="0.25">
      <c r="A575" s="3"/>
      <c r="B575" s="1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x14ac:dyDescent="0.25">
      <c r="A576" s="3"/>
      <c r="B576" s="16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x14ac:dyDescent="0.25">
      <c r="A577" s="3"/>
      <c r="B577" s="16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x14ac:dyDescent="0.25">
      <c r="A578" s="3"/>
      <c r="B578" s="16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x14ac:dyDescent="0.25">
      <c r="A579" s="3"/>
      <c r="B579" s="16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x14ac:dyDescent="0.25">
      <c r="A580" s="3"/>
      <c r="B580" s="1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x14ac:dyDescent="0.25">
      <c r="A581" s="3"/>
      <c r="B581" s="1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x14ac:dyDescent="0.25">
      <c r="A582" s="3"/>
      <c r="B582" s="1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x14ac:dyDescent="0.25">
      <c r="A583" s="3"/>
      <c r="B583" s="1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x14ac:dyDescent="0.25">
      <c r="A584" s="3"/>
      <c r="B584" s="1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x14ac:dyDescent="0.25">
      <c r="A585" s="3"/>
      <c r="B585" s="1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x14ac:dyDescent="0.25">
      <c r="A586" s="3"/>
      <c r="B586" s="1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x14ac:dyDescent="0.25">
      <c r="A587" s="3"/>
      <c r="B587" s="1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x14ac:dyDescent="0.25">
      <c r="A588" s="3"/>
      <c r="B588" s="1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x14ac:dyDescent="0.25">
      <c r="A589" s="3"/>
      <c r="B589" s="1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x14ac:dyDescent="0.25">
      <c r="A590" s="3"/>
      <c r="B590" s="1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x14ac:dyDescent="0.25">
      <c r="A591" s="3"/>
      <c r="B591" s="16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x14ac:dyDescent="0.25">
      <c r="A592" s="3"/>
      <c r="B592" s="16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x14ac:dyDescent="0.25">
      <c r="A593" s="3"/>
      <c r="B593" s="16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x14ac:dyDescent="0.25">
      <c r="A594" s="3"/>
      <c r="B594" s="16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x14ac:dyDescent="0.25">
      <c r="A595" s="3"/>
      <c r="B595" s="1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x14ac:dyDescent="0.25">
      <c r="A596" s="3"/>
      <c r="B596" s="1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x14ac:dyDescent="0.25">
      <c r="A597" s="3"/>
      <c r="B597" s="1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x14ac:dyDescent="0.25">
      <c r="A598" s="3"/>
      <c r="B598" s="1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x14ac:dyDescent="0.25">
      <c r="A599" s="3"/>
      <c r="B599" s="1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x14ac:dyDescent="0.25">
      <c r="A600" s="3"/>
      <c r="B600" s="1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x14ac:dyDescent="0.25">
      <c r="A601" s="3"/>
      <c r="B601" s="1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x14ac:dyDescent="0.25">
      <c r="A602" s="3"/>
      <c r="B602" s="1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x14ac:dyDescent="0.25">
      <c r="A603" s="3"/>
      <c r="B603" s="1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x14ac:dyDescent="0.25">
      <c r="A604" s="3"/>
      <c r="B604" s="1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x14ac:dyDescent="0.25">
      <c r="A605" s="3"/>
      <c r="B605" s="1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x14ac:dyDescent="0.25">
      <c r="A606" s="3"/>
      <c r="B606" s="16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x14ac:dyDescent="0.25">
      <c r="A607" s="3"/>
      <c r="B607" s="16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x14ac:dyDescent="0.25">
      <c r="A608" s="3"/>
      <c r="B608" s="16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x14ac:dyDescent="0.25">
      <c r="A609" s="3"/>
      <c r="B609" s="16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x14ac:dyDescent="0.25">
      <c r="A610" s="3"/>
      <c r="B610" s="1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x14ac:dyDescent="0.25">
      <c r="A611" s="3"/>
      <c r="B611" s="1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x14ac:dyDescent="0.25">
      <c r="A612" s="3"/>
      <c r="B612" s="1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x14ac:dyDescent="0.25">
      <c r="A613" s="3"/>
      <c r="B613" s="1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x14ac:dyDescent="0.25">
      <c r="A614" s="3"/>
      <c r="B614" s="1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x14ac:dyDescent="0.25">
      <c r="A615" s="3"/>
      <c r="B615" s="1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x14ac:dyDescent="0.25">
      <c r="A616" s="3"/>
      <c r="B616" s="1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x14ac:dyDescent="0.25">
      <c r="A617" s="3"/>
      <c r="B617" s="1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x14ac:dyDescent="0.25">
      <c r="A618" s="3"/>
      <c r="B618" s="1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x14ac:dyDescent="0.25">
      <c r="A619" s="3"/>
      <c r="B619" s="1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x14ac:dyDescent="0.25">
      <c r="A620" s="3"/>
      <c r="B620" s="1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x14ac:dyDescent="0.25">
      <c r="A621" s="3"/>
      <c r="B621" s="16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x14ac:dyDescent="0.25">
      <c r="A622" s="3"/>
      <c r="B622" s="16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x14ac:dyDescent="0.25">
      <c r="A623" s="3"/>
      <c r="B623" s="16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x14ac:dyDescent="0.25">
      <c r="A624" s="3"/>
      <c r="B624" s="16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x14ac:dyDescent="0.25">
      <c r="A625" s="3"/>
      <c r="B625" s="1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x14ac:dyDescent="0.25">
      <c r="A626" s="3"/>
      <c r="B626" s="1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x14ac:dyDescent="0.25">
      <c r="A627" s="3"/>
      <c r="B627" s="1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x14ac:dyDescent="0.25">
      <c r="A628" s="3"/>
      <c r="B628" s="1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x14ac:dyDescent="0.25">
      <c r="A629" s="3"/>
      <c r="B629" s="1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x14ac:dyDescent="0.25">
      <c r="A630" s="3"/>
      <c r="B630" s="1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x14ac:dyDescent="0.25">
      <c r="A631" s="3"/>
      <c r="B631" s="1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x14ac:dyDescent="0.25">
      <c r="A632" s="3"/>
      <c r="B632" s="1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x14ac:dyDescent="0.25">
      <c r="A633" s="3"/>
      <c r="B633" s="1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x14ac:dyDescent="0.25">
      <c r="A634" s="3"/>
      <c r="B634" s="1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x14ac:dyDescent="0.25">
      <c r="A635" s="3"/>
      <c r="B635" s="1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x14ac:dyDescent="0.25">
      <c r="A636" s="3"/>
      <c r="B636" s="16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x14ac:dyDescent="0.25">
      <c r="A637" s="3"/>
      <c r="B637" s="16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x14ac:dyDescent="0.25">
      <c r="A638" s="3"/>
      <c r="B638" s="16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x14ac:dyDescent="0.25">
      <c r="A639" s="3"/>
      <c r="B639" s="16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x14ac:dyDescent="0.25">
      <c r="A640" s="3"/>
      <c r="B640" s="1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x14ac:dyDescent="0.25">
      <c r="A641" s="3"/>
      <c r="B641" s="1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x14ac:dyDescent="0.25">
      <c r="A642" s="3"/>
      <c r="B642" s="1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x14ac:dyDescent="0.25">
      <c r="A643" s="3"/>
      <c r="B643" s="1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x14ac:dyDescent="0.25">
      <c r="A644" s="3"/>
      <c r="B644" s="1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x14ac:dyDescent="0.25">
      <c r="A645" s="3"/>
      <c r="B645" s="1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x14ac:dyDescent="0.25">
      <c r="A646" s="3"/>
      <c r="B646" s="1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x14ac:dyDescent="0.25">
      <c r="A647" s="3"/>
      <c r="B647" s="1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x14ac:dyDescent="0.25">
      <c r="A648" s="3"/>
      <c r="B648" s="1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x14ac:dyDescent="0.25">
      <c r="A649" s="3"/>
      <c r="B649" s="1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x14ac:dyDescent="0.25">
      <c r="A650" s="3"/>
      <c r="B650" s="1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x14ac:dyDescent="0.25">
      <c r="A651" s="3"/>
      <c r="B651" s="16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x14ac:dyDescent="0.25">
      <c r="A652" s="3"/>
      <c r="B652" s="16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x14ac:dyDescent="0.25">
      <c r="A653" s="3"/>
      <c r="B653" s="16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x14ac:dyDescent="0.25">
      <c r="A654" s="3"/>
      <c r="B654" s="16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x14ac:dyDescent="0.25">
      <c r="A655" s="3"/>
      <c r="B655" s="1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x14ac:dyDescent="0.25">
      <c r="A656" s="3"/>
      <c r="B656" s="1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x14ac:dyDescent="0.25">
      <c r="A657" s="3"/>
      <c r="B657" s="1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x14ac:dyDescent="0.25">
      <c r="A658" s="3"/>
      <c r="B658" s="1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x14ac:dyDescent="0.25">
      <c r="A659" s="3"/>
      <c r="B659" s="1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x14ac:dyDescent="0.25">
      <c r="A660" s="3"/>
      <c r="B660" s="1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x14ac:dyDescent="0.25">
      <c r="A661" s="3"/>
      <c r="B661" s="1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x14ac:dyDescent="0.25">
      <c r="A662" s="3"/>
      <c r="B662" s="1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x14ac:dyDescent="0.25">
      <c r="A663" s="3"/>
      <c r="B663" s="1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x14ac:dyDescent="0.25">
      <c r="A664" s="3"/>
      <c r="B664" s="1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x14ac:dyDescent="0.25">
      <c r="A665" s="3"/>
      <c r="B665" s="1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x14ac:dyDescent="0.25">
      <c r="A666" s="3"/>
      <c r="B666" s="16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x14ac:dyDescent="0.25">
      <c r="A667" s="3"/>
      <c r="B667" s="16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x14ac:dyDescent="0.25">
      <c r="A668" s="3"/>
      <c r="B668" s="16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x14ac:dyDescent="0.25">
      <c r="A669" s="3"/>
      <c r="B669" s="16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x14ac:dyDescent="0.25">
      <c r="A670" s="3"/>
      <c r="B670" s="1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x14ac:dyDescent="0.25">
      <c r="A671" s="3"/>
      <c r="B671" s="1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x14ac:dyDescent="0.25">
      <c r="A672" s="3"/>
      <c r="B672" s="1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x14ac:dyDescent="0.25">
      <c r="A673" s="3"/>
      <c r="B673" s="1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x14ac:dyDescent="0.25">
      <c r="A674" s="3"/>
      <c r="B674" s="1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x14ac:dyDescent="0.25">
      <c r="A675" s="3"/>
      <c r="B675" s="1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x14ac:dyDescent="0.25">
      <c r="A676" s="3"/>
      <c r="B676" s="1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x14ac:dyDescent="0.25">
      <c r="A677" s="3"/>
      <c r="B677" s="1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x14ac:dyDescent="0.25">
      <c r="A678" s="3"/>
      <c r="B678" s="1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x14ac:dyDescent="0.25">
      <c r="A679" s="3"/>
      <c r="B679" s="1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x14ac:dyDescent="0.25">
      <c r="A680" s="3"/>
      <c r="B680" s="1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x14ac:dyDescent="0.25">
      <c r="A681" s="3"/>
      <c r="B681" s="16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x14ac:dyDescent="0.25">
      <c r="A682" s="3"/>
      <c r="B682" s="16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x14ac:dyDescent="0.25">
      <c r="A683" s="3"/>
      <c r="B683" s="16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x14ac:dyDescent="0.25">
      <c r="A684" s="3"/>
      <c r="B684" s="16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x14ac:dyDescent="0.25">
      <c r="A685" s="3"/>
      <c r="B685" s="1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x14ac:dyDescent="0.25">
      <c r="A686" s="3"/>
      <c r="B686" s="1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x14ac:dyDescent="0.25">
      <c r="A687" s="3"/>
      <c r="B687" s="1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x14ac:dyDescent="0.25">
      <c r="A688" s="3"/>
      <c r="B688" s="1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x14ac:dyDescent="0.25">
      <c r="A689" s="3"/>
      <c r="B689" s="1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x14ac:dyDescent="0.25">
      <c r="A690" s="3"/>
      <c r="B690" s="1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x14ac:dyDescent="0.25">
      <c r="A691" s="3"/>
      <c r="B691" s="1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x14ac:dyDescent="0.25">
      <c r="A692" s="3"/>
      <c r="B692" s="1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x14ac:dyDescent="0.25">
      <c r="A693" s="3"/>
      <c r="B693" s="1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x14ac:dyDescent="0.25">
      <c r="A694" s="3"/>
      <c r="B694" s="1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x14ac:dyDescent="0.25">
      <c r="A695" s="3"/>
      <c r="B695" s="16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x14ac:dyDescent="0.25">
      <c r="A696" s="3"/>
      <c r="B696" s="1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x14ac:dyDescent="0.25">
      <c r="A697" s="3"/>
      <c r="B697" s="16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x14ac:dyDescent="0.25">
      <c r="A698" s="3"/>
      <c r="B698" s="16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x14ac:dyDescent="0.25">
      <c r="A699" s="3"/>
      <c r="B699" s="16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x14ac:dyDescent="0.25">
      <c r="A700" s="3"/>
      <c r="B700" s="16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x14ac:dyDescent="0.25">
      <c r="A701" s="3"/>
      <c r="B701" s="16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x14ac:dyDescent="0.25">
      <c r="A702" s="3"/>
      <c r="B702" s="16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x14ac:dyDescent="0.25">
      <c r="A703" s="3"/>
      <c r="B703" s="16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x14ac:dyDescent="0.25">
      <c r="A704" s="3"/>
      <c r="B704" s="16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x14ac:dyDescent="0.25">
      <c r="A705" s="3"/>
      <c r="B705" s="16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x14ac:dyDescent="0.25">
      <c r="A706" s="3"/>
      <c r="B706" s="16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x14ac:dyDescent="0.25">
      <c r="A707" s="3"/>
      <c r="B707" s="16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x14ac:dyDescent="0.25">
      <c r="A708" s="3"/>
      <c r="B708" s="16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x14ac:dyDescent="0.25">
      <c r="A709" s="3"/>
      <c r="B709" s="16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x14ac:dyDescent="0.25">
      <c r="A710" s="3"/>
      <c r="B710" s="16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x14ac:dyDescent="0.25">
      <c r="A711" s="3"/>
      <c r="B711" s="16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x14ac:dyDescent="0.25">
      <c r="A712" s="3"/>
      <c r="B712" s="16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x14ac:dyDescent="0.25">
      <c r="A713" s="3"/>
      <c r="B713" s="16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x14ac:dyDescent="0.25">
      <c r="A714" s="3"/>
      <c r="B714" s="16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x14ac:dyDescent="0.25">
      <c r="A715" s="3"/>
      <c r="B715" s="16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x14ac:dyDescent="0.25">
      <c r="A716" s="3"/>
      <c r="B716" s="16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x14ac:dyDescent="0.25">
      <c r="A717" s="3"/>
      <c r="B717" s="16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x14ac:dyDescent="0.25">
      <c r="A718" s="3"/>
      <c r="B718" s="16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x14ac:dyDescent="0.25">
      <c r="A719" s="3"/>
      <c r="B719" s="16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x14ac:dyDescent="0.25">
      <c r="A720" s="3"/>
      <c r="B720" s="16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x14ac:dyDescent="0.25">
      <c r="A721" s="3"/>
      <c r="B721" s="16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x14ac:dyDescent="0.25">
      <c r="A722" s="3"/>
      <c r="B722" s="16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x14ac:dyDescent="0.25">
      <c r="A723" s="3"/>
      <c r="B723" s="16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x14ac:dyDescent="0.25">
      <c r="A724" s="3"/>
      <c r="B724" s="16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x14ac:dyDescent="0.25">
      <c r="A725" s="3"/>
      <c r="B725" s="16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x14ac:dyDescent="0.25">
      <c r="A726" s="3"/>
      <c r="B726" s="16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x14ac:dyDescent="0.25">
      <c r="A727" s="3"/>
      <c r="B727" s="16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x14ac:dyDescent="0.25">
      <c r="A728" s="3"/>
      <c r="B728" s="16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x14ac:dyDescent="0.25">
      <c r="A729" s="3"/>
      <c r="B729" s="16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x14ac:dyDescent="0.25">
      <c r="A730" s="3"/>
      <c r="B730" s="16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x14ac:dyDescent="0.25">
      <c r="A731" s="3"/>
      <c r="B731" s="16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x14ac:dyDescent="0.25">
      <c r="A732" s="3"/>
      <c r="B732" s="16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x14ac:dyDescent="0.25">
      <c r="A733" s="3"/>
      <c r="B733" s="1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x14ac:dyDescent="0.25">
      <c r="A734" s="3"/>
      <c r="B734" s="16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x14ac:dyDescent="0.25">
      <c r="A735" s="3"/>
      <c r="B735" s="16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x14ac:dyDescent="0.25">
      <c r="A736" s="3"/>
      <c r="B736" s="16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x14ac:dyDescent="0.25">
      <c r="A737" s="3"/>
      <c r="B737" s="16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x14ac:dyDescent="0.25">
      <c r="A738" s="3"/>
      <c r="B738" s="16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x14ac:dyDescent="0.25">
      <c r="A739" s="3"/>
      <c r="B739" s="16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x14ac:dyDescent="0.25">
      <c r="A740" s="3"/>
      <c r="B740" s="16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x14ac:dyDescent="0.25">
      <c r="A741" s="3"/>
      <c r="B741" s="16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x14ac:dyDescent="0.25">
      <c r="A742" s="3"/>
      <c r="B742" s="16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x14ac:dyDescent="0.25">
      <c r="A743" s="3"/>
      <c r="B743" s="16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x14ac:dyDescent="0.25">
      <c r="A744" s="3"/>
      <c r="B744" s="16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x14ac:dyDescent="0.25">
      <c r="A745" s="3"/>
      <c r="B745" s="16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x14ac:dyDescent="0.25">
      <c r="A746" s="3"/>
      <c r="B746" s="16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x14ac:dyDescent="0.25">
      <c r="A747" s="3"/>
      <c r="B747" s="16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x14ac:dyDescent="0.25">
      <c r="A748" s="3"/>
      <c r="B748" s="16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x14ac:dyDescent="0.25">
      <c r="A749" s="3"/>
      <c r="B749" s="16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x14ac:dyDescent="0.25">
      <c r="A750" s="3"/>
      <c r="B750" s="16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x14ac:dyDescent="0.25">
      <c r="A751" s="3"/>
      <c r="B751" s="16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x14ac:dyDescent="0.25">
      <c r="A752" s="3"/>
      <c r="B752" s="16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x14ac:dyDescent="0.25">
      <c r="A753" s="3"/>
      <c r="B753" s="16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x14ac:dyDescent="0.25">
      <c r="A754" s="3"/>
      <c r="B754" s="16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x14ac:dyDescent="0.25">
      <c r="A755" s="3"/>
      <c r="B755" s="16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x14ac:dyDescent="0.25">
      <c r="A756" s="3"/>
      <c r="B756" s="16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x14ac:dyDescent="0.25">
      <c r="A757" s="3"/>
      <c r="B757" s="16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x14ac:dyDescent="0.25">
      <c r="A758" s="3"/>
      <c r="B758" s="16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x14ac:dyDescent="0.25">
      <c r="A759" s="3"/>
      <c r="B759" s="16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x14ac:dyDescent="0.25">
      <c r="A760" s="3"/>
      <c r="B760" s="16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x14ac:dyDescent="0.25">
      <c r="A761" s="3"/>
      <c r="B761" s="16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x14ac:dyDescent="0.25">
      <c r="A762" s="3"/>
      <c r="B762" s="16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x14ac:dyDescent="0.25">
      <c r="A763" s="3"/>
      <c r="B763" s="16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x14ac:dyDescent="0.25">
      <c r="A764" s="3"/>
      <c r="B764" s="16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x14ac:dyDescent="0.25">
      <c r="A765" s="3"/>
      <c r="B765" s="16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x14ac:dyDescent="0.25">
      <c r="A766" s="3"/>
      <c r="B766" s="16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x14ac:dyDescent="0.25">
      <c r="A767" s="3"/>
      <c r="B767" s="16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x14ac:dyDescent="0.25">
      <c r="A768" s="3"/>
      <c r="B768" s="16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x14ac:dyDescent="0.25">
      <c r="A769" s="3"/>
      <c r="B769" s="16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x14ac:dyDescent="0.25">
      <c r="A770" s="3"/>
      <c r="B770" s="16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x14ac:dyDescent="0.25">
      <c r="A771" s="3"/>
      <c r="B771" s="16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x14ac:dyDescent="0.25">
      <c r="A772" s="3"/>
      <c r="B772" s="16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x14ac:dyDescent="0.25">
      <c r="A773" s="3"/>
      <c r="B773" s="16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x14ac:dyDescent="0.25">
      <c r="A774" s="3"/>
      <c r="B774" s="16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x14ac:dyDescent="0.25">
      <c r="A775" s="3"/>
      <c r="B775" s="16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x14ac:dyDescent="0.25">
      <c r="A776" s="3"/>
      <c r="B776" s="16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x14ac:dyDescent="0.25">
      <c r="A777" s="3"/>
      <c r="B777" s="16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x14ac:dyDescent="0.25">
      <c r="A778" s="3"/>
      <c r="B778" s="16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x14ac:dyDescent="0.25">
      <c r="A779" s="3"/>
      <c r="B779" s="16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x14ac:dyDescent="0.25">
      <c r="A780" s="3"/>
      <c r="B780" s="16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x14ac:dyDescent="0.25">
      <c r="A781" s="3"/>
      <c r="B781" s="16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x14ac:dyDescent="0.25">
      <c r="A782" s="3"/>
      <c r="B782" s="1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x14ac:dyDescent="0.25">
      <c r="A783" s="3"/>
      <c r="B783" s="16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x14ac:dyDescent="0.25">
      <c r="A784" s="3"/>
      <c r="B784" s="16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x14ac:dyDescent="0.25">
      <c r="A785" s="3"/>
      <c r="B785" s="16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x14ac:dyDescent="0.25">
      <c r="A786" s="3"/>
      <c r="B786" s="1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x14ac:dyDescent="0.25">
      <c r="A787" s="3"/>
      <c r="B787" s="1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x14ac:dyDescent="0.25">
      <c r="A788" s="3"/>
      <c r="B788" s="1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x14ac:dyDescent="0.25">
      <c r="A789" s="3"/>
      <c r="B789" s="1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x14ac:dyDescent="0.25">
      <c r="A790" s="3"/>
      <c r="B790" s="1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x14ac:dyDescent="0.25">
      <c r="A791" s="3"/>
      <c r="B791" s="1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x14ac:dyDescent="0.25">
      <c r="A792" s="3"/>
      <c r="B792" s="1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x14ac:dyDescent="0.25">
      <c r="A793" s="3"/>
      <c r="B793" s="1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x14ac:dyDescent="0.25">
      <c r="A794" s="3"/>
      <c r="B794" s="1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x14ac:dyDescent="0.25">
      <c r="A795" s="3"/>
      <c r="B795" s="1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x14ac:dyDescent="0.25">
      <c r="A796" s="3"/>
      <c r="B796" s="1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x14ac:dyDescent="0.25">
      <c r="A797" s="3"/>
      <c r="B797" s="1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x14ac:dyDescent="0.25">
      <c r="A798" s="3"/>
      <c r="B798" s="1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x14ac:dyDescent="0.25">
      <c r="A799" s="3"/>
      <c r="B799" s="1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x14ac:dyDescent="0.25">
      <c r="A800" s="3"/>
      <c r="B800" s="1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x14ac:dyDescent="0.25">
      <c r="A801" s="3"/>
      <c r="B801" s="1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x14ac:dyDescent="0.25">
      <c r="A802" s="3"/>
      <c r="B802" s="1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x14ac:dyDescent="0.25">
      <c r="A803" s="3"/>
      <c r="B803" s="1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x14ac:dyDescent="0.25">
      <c r="A804" s="3"/>
      <c r="B804" s="1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x14ac:dyDescent="0.25">
      <c r="A805" s="3"/>
      <c r="B805" s="1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x14ac:dyDescent="0.25">
      <c r="A806" s="3"/>
      <c r="B806" s="1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x14ac:dyDescent="0.25">
      <c r="A807" s="3"/>
      <c r="B807" s="1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x14ac:dyDescent="0.25">
      <c r="A808" s="3"/>
      <c r="B808" s="1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x14ac:dyDescent="0.25">
      <c r="A809" s="3"/>
      <c r="B809" s="1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x14ac:dyDescent="0.25">
      <c r="A810" s="3"/>
      <c r="B810" s="1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x14ac:dyDescent="0.25">
      <c r="A811" s="3"/>
      <c r="B811" s="1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x14ac:dyDescent="0.25">
      <c r="A812" s="3"/>
      <c r="B812" s="1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x14ac:dyDescent="0.25">
      <c r="A813" s="3"/>
      <c r="B813" s="1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x14ac:dyDescent="0.25">
      <c r="A814" s="3"/>
      <c r="B814" s="1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x14ac:dyDescent="0.25">
      <c r="A815" s="3"/>
      <c r="B815" s="1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x14ac:dyDescent="0.25">
      <c r="A816" s="3"/>
      <c r="B816" s="1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x14ac:dyDescent="0.25">
      <c r="A817" s="3"/>
      <c r="B817" s="1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x14ac:dyDescent="0.25">
      <c r="A818" s="3"/>
      <c r="B818" s="1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x14ac:dyDescent="0.25">
      <c r="A819" s="3"/>
      <c r="B819" s="1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x14ac:dyDescent="0.25">
      <c r="A820" s="3"/>
      <c r="B820" s="1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x14ac:dyDescent="0.25">
      <c r="A821" s="3"/>
      <c r="B821" s="1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x14ac:dyDescent="0.25">
      <c r="A822" s="3"/>
      <c r="B822" s="1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x14ac:dyDescent="0.25">
      <c r="A823" s="3"/>
      <c r="B823" s="1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x14ac:dyDescent="0.25">
      <c r="A824" s="3"/>
      <c r="B824" s="1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x14ac:dyDescent="0.25">
      <c r="A825" s="3"/>
      <c r="B825" s="1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x14ac:dyDescent="0.25">
      <c r="A826" s="3"/>
      <c r="B826" s="1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x14ac:dyDescent="0.25">
      <c r="A827" s="3"/>
      <c r="B827" s="1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x14ac:dyDescent="0.25">
      <c r="A828" s="3"/>
      <c r="B828" s="1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x14ac:dyDescent="0.25">
      <c r="A829" s="3"/>
      <c r="B829" s="1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x14ac:dyDescent="0.25">
      <c r="A830" s="3"/>
      <c r="B830" s="1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x14ac:dyDescent="0.25">
      <c r="A831" s="3"/>
      <c r="B831" s="1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x14ac:dyDescent="0.25">
      <c r="A832" s="3"/>
      <c r="B832" s="1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x14ac:dyDescent="0.25">
      <c r="A833" s="3"/>
      <c r="B833" s="1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x14ac:dyDescent="0.25">
      <c r="A834" s="3"/>
      <c r="B834" s="1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x14ac:dyDescent="0.25">
      <c r="A835" s="3"/>
      <c r="B835" s="1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x14ac:dyDescent="0.25">
      <c r="A836" s="3"/>
      <c r="B836" s="1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x14ac:dyDescent="0.25">
      <c r="A837" s="3"/>
      <c r="B837" s="1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x14ac:dyDescent="0.25">
      <c r="A838" s="3"/>
      <c r="B838" s="1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x14ac:dyDescent="0.25">
      <c r="A839" s="3"/>
      <c r="B839" s="1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x14ac:dyDescent="0.25">
      <c r="A840" s="3"/>
      <c r="B840" s="1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x14ac:dyDescent="0.25">
      <c r="A841" s="3"/>
      <c r="B841" s="1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x14ac:dyDescent="0.25">
      <c r="A842" s="3"/>
      <c r="B842" s="1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x14ac:dyDescent="0.25">
      <c r="A843" s="3"/>
      <c r="B843" s="1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x14ac:dyDescent="0.25">
      <c r="A844" s="3"/>
      <c r="B844" s="1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x14ac:dyDescent="0.25">
      <c r="A845" s="3"/>
      <c r="B845" s="1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x14ac:dyDescent="0.25">
      <c r="A846" s="3"/>
      <c r="B846" s="1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x14ac:dyDescent="0.25">
      <c r="A847" s="3"/>
      <c r="B847" s="1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x14ac:dyDescent="0.25">
      <c r="A848" s="3"/>
      <c r="B848" s="1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x14ac:dyDescent="0.25">
      <c r="A849" s="3"/>
      <c r="B849" s="1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x14ac:dyDescent="0.25">
      <c r="A850" s="3"/>
      <c r="B850" s="1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x14ac:dyDescent="0.25">
      <c r="A851" s="3"/>
      <c r="B851" s="1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x14ac:dyDescent="0.25">
      <c r="A852" s="3"/>
      <c r="B852" s="1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x14ac:dyDescent="0.25">
      <c r="A853" s="3"/>
      <c r="B853" s="1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x14ac:dyDescent="0.25">
      <c r="A854" s="3"/>
      <c r="B854" s="1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x14ac:dyDescent="0.25">
      <c r="A855" s="3"/>
      <c r="B855" s="1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x14ac:dyDescent="0.25">
      <c r="A856" s="3"/>
      <c r="B856" s="1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x14ac:dyDescent="0.25">
      <c r="A857" s="3"/>
      <c r="B857" s="1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x14ac:dyDescent="0.25">
      <c r="A858" s="3"/>
      <c r="B858" s="1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x14ac:dyDescent="0.25">
      <c r="A859" s="3"/>
      <c r="B859" s="1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x14ac:dyDescent="0.25">
      <c r="A860" s="3"/>
      <c r="B860" s="1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x14ac:dyDescent="0.25">
      <c r="A861" s="3"/>
      <c r="B861" s="1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x14ac:dyDescent="0.25">
      <c r="A862" s="3"/>
      <c r="B862" s="1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x14ac:dyDescent="0.25">
      <c r="A863" s="3"/>
      <c r="B863" s="1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x14ac:dyDescent="0.25">
      <c r="A864" s="3"/>
      <c r="B864" s="1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x14ac:dyDescent="0.25">
      <c r="A865" s="3"/>
      <c r="B865" s="1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x14ac:dyDescent="0.25">
      <c r="A866" s="3"/>
      <c r="B866" s="1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x14ac:dyDescent="0.25">
      <c r="A867" s="3"/>
      <c r="B867" s="1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x14ac:dyDescent="0.25">
      <c r="A868" s="3"/>
      <c r="B868" s="1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x14ac:dyDescent="0.25">
      <c r="A869" s="3"/>
      <c r="B869" s="1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x14ac:dyDescent="0.25">
      <c r="A870" s="3"/>
      <c r="B870" s="1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x14ac:dyDescent="0.25">
      <c r="A871" s="3"/>
      <c r="B871" s="1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x14ac:dyDescent="0.25">
      <c r="A872" s="3"/>
      <c r="B872" s="1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x14ac:dyDescent="0.25">
      <c r="A873" s="3"/>
      <c r="B873" s="1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x14ac:dyDescent="0.25">
      <c r="A874" s="3"/>
      <c r="B874" s="1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x14ac:dyDescent="0.25">
      <c r="A875" s="3"/>
      <c r="B875" s="1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x14ac:dyDescent="0.25">
      <c r="A876" s="3"/>
      <c r="B876" s="1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x14ac:dyDescent="0.25">
      <c r="A877" s="3"/>
      <c r="B877" s="1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x14ac:dyDescent="0.25">
      <c r="A878" s="3"/>
      <c r="B878" s="1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x14ac:dyDescent="0.25">
      <c r="A879" s="3"/>
      <c r="B879" s="1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x14ac:dyDescent="0.25">
      <c r="A880" s="3"/>
      <c r="B880" s="1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x14ac:dyDescent="0.25">
      <c r="A881" s="3"/>
      <c r="B881" s="1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x14ac:dyDescent="0.25">
      <c r="A882" s="3"/>
      <c r="B882" s="1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x14ac:dyDescent="0.25">
      <c r="A883" s="3"/>
      <c r="B883" s="1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x14ac:dyDescent="0.25">
      <c r="A884" s="3"/>
      <c r="B884" s="1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x14ac:dyDescent="0.25">
      <c r="A885" s="3"/>
      <c r="B885" s="1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x14ac:dyDescent="0.25">
      <c r="A886" s="3"/>
      <c r="B886" s="1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x14ac:dyDescent="0.25">
      <c r="A887" s="3"/>
      <c r="B887" s="1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x14ac:dyDescent="0.25">
      <c r="A888" s="3"/>
      <c r="B888" s="1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x14ac:dyDescent="0.25">
      <c r="A889" s="3"/>
      <c r="B889" s="1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x14ac:dyDescent="0.25">
      <c r="A890" s="3"/>
      <c r="B890" s="1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x14ac:dyDescent="0.25">
      <c r="A891" s="3"/>
      <c r="B891" s="1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x14ac:dyDescent="0.25">
      <c r="A892" s="3"/>
      <c r="B892" s="1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x14ac:dyDescent="0.25">
      <c r="A893" s="3"/>
      <c r="B893" s="1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x14ac:dyDescent="0.25">
      <c r="A894" s="3"/>
      <c r="B894" s="1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x14ac:dyDescent="0.25">
      <c r="A895" s="3"/>
      <c r="B895" s="1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x14ac:dyDescent="0.25">
      <c r="A896" s="3"/>
      <c r="B896" s="1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x14ac:dyDescent="0.25">
      <c r="A897" s="3"/>
      <c r="B897" s="1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x14ac:dyDescent="0.25">
      <c r="A898" s="3"/>
      <c r="B898" s="1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x14ac:dyDescent="0.25">
      <c r="A899" s="3"/>
      <c r="B899" s="1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x14ac:dyDescent="0.25">
      <c r="A900" s="3"/>
      <c r="B900" s="1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x14ac:dyDescent="0.25">
      <c r="A901" s="3"/>
      <c r="B901" s="1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x14ac:dyDescent="0.25">
      <c r="A902" s="3"/>
      <c r="B902" s="1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x14ac:dyDescent="0.25">
      <c r="A903" s="3"/>
      <c r="B903" s="1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x14ac:dyDescent="0.25">
      <c r="A904" s="3"/>
      <c r="B904" s="1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x14ac:dyDescent="0.25">
      <c r="A905" s="3"/>
      <c r="B905" s="1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x14ac:dyDescent="0.25">
      <c r="A906" s="3"/>
      <c r="B906" s="1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x14ac:dyDescent="0.25">
      <c r="A907" s="3"/>
      <c r="B907" s="1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x14ac:dyDescent="0.25">
      <c r="A908" s="3"/>
      <c r="B908" s="1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x14ac:dyDescent="0.25">
      <c r="A909" s="3"/>
      <c r="B909" s="1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52F2-4F09-40D7-AA8E-F92660DF2408}">
  <dimension ref="A1:P909"/>
  <sheetViews>
    <sheetView tabSelected="1" topLeftCell="A112" workbookViewId="0">
      <selection activeCell="A6" sqref="A6:XFD13"/>
    </sheetView>
  </sheetViews>
  <sheetFormatPr defaultColWidth="12.5703125" defaultRowHeight="12.75" x14ac:dyDescent="0.2"/>
  <cols>
    <col min="2" max="2" width="22" bestFit="1" customWidth="1"/>
    <col min="8" max="8" width="19" bestFit="1" customWidth="1"/>
  </cols>
  <sheetData>
    <row r="1" spans="1:16" ht="15.75" customHeight="1" x14ac:dyDescent="0.25">
      <c r="A1" s="1" t="s">
        <v>4</v>
      </c>
      <c r="B1" s="1" t="s">
        <v>5</v>
      </c>
      <c r="C1" s="1" t="s">
        <v>8</v>
      </c>
      <c r="D1" s="1"/>
      <c r="E1" s="1" t="s">
        <v>9</v>
      </c>
      <c r="F1" s="1" t="s">
        <v>10</v>
      </c>
      <c r="G1" s="1" t="s">
        <v>11</v>
      </c>
      <c r="H1" s="1" t="s">
        <v>12</v>
      </c>
      <c r="I1" s="1" t="s">
        <v>16</v>
      </c>
      <c r="J1" s="2" t="s">
        <v>1</v>
      </c>
      <c r="K1" s="1" t="s">
        <v>18</v>
      </c>
      <c r="L1" s="26"/>
      <c r="M1" s="3"/>
      <c r="N1" s="3"/>
      <c r="O1" s="3"/>
      <c r="P1" s="3"/>
    </row>
    <row r="2" spans="1:16" ht="15.75" customHeight="1" x14ac:dyDescent="0.25">
      <c r="A2" s="7">
        <v>802422752</v>
      </c>
      <c r="B2" s="4" t="s">
        <v>24</v>
      </c>
      <c r="C2" s="7">
        <v>20200101</v>
      </c>
      <c r="D2" s="18" t="str">
        <f>TEXT(DATE(LEFT(C2,4), MID(C2,5,2), RIGHT(C2,2)), "M/d/yyyy")</f>
        <v>1/1/2020</v>
      </c>
      <c r="E2" s="7">
        <v>20250101</v>
      </c>
      <c r="F2" s="7">
        <v>202503</v>
      </c>
      <c r="G2" s="7">
        <v>8971826</v>
      </c>
      <c r="H2" s="4" t="s">
        <v>27</v>
      </c>
      <c r="I2" s="6">
        <v>45748</v>
      </c>
      <c r="J2" s="5">
        <v>18</v>
      </c>
      <c r="K2" s="4" t="s">
        <v>30</v>
      </c>
      <c r="L2" s="27" t="s">
        <v>137</v>
      </c>
      <c r="M2" s="3"/>
      <c r="N2" s="3"/>
      <c r="O2" s="3"/>
      <c r="P2" s="3"/>
    </row>
    <row r="3" spans="1:16" ht="15.75" customHeight="1" x14ac:dyDescent="0.25">
      <c r="A3" s="7">
        <v>802422752</v>
      </c>
      <c r="B3" s="4" t="s">
        <v>24</v>
      </c>
      <c r="C3" s="7">
        <v>20200101</v>
      </c>
      <c r="D3" s="18" t="str">
        <f>TEXT(DATE(LEFT(C3,4), MID(C3,5,2), RIGHT(C3,2)), "M/d/yyyy")</f>
        <v>1/1/2020</v>
      </c>
      <c r="E3" s="7">
        <v>20250101</v>
      </c>
      <c r="F3" s="7">
        <v>202504</v>
      </c>
      <c r="G3" s="7">
        <v>8971826</v>
      </c>
      <c r="H3" s="4" t="s">
        <v>27</v>
      </c>
      <c r="I3" s="6">
        <v>45778</v>
      </c>
      <c r="J3" s="5">
        <v>18</v>
      </c>
      <c r="K3" s="4" t="s">
        <v>30</v>
      </c>
      <c r="L3" s="27" t="s">
        <v>137</v>
      </c>
      <c r="M3" s="3"/>
      <c r="N3" s="3"/>
      <c r="O3" s="3"/>
      <c r="P3" s="3"/>
    </row>
    <row r="4" spans="1:16" ht="15.75" customHeight="1" x14ac:dyDescent="0.25">
      <c r="A4" s="7">
        <v>801981035</v>
      </c>
      <c r="B4" s="4" t="s">
        <v>31</v>
      </c>
      <c r="C4" s="7">
        <v>20170101</v>
      </c>
      <c r="D4" s="18" t="str">
        <f>TEXT(DATE(LEFT(C4,4), MID(C4,5,2), RIGHT(C4,2)), "M/d/yyyy")</f>
        <v>1/1/2017</v>
      </c>
      <c r="E4" s="7">
        <v>20250101</v>
      </c>
      <c r="F4" s="7">
        <v>202504</v>
      </c>
      <c r="G4" s="7">
        <v>8971826</v>
      </c>
      <c r="H4" s="4" t="s">
        <v>27</v>
      </c>
      <c r="I4" s="6">
        <v>45748</v>
      </c>
      <c r="J4" s="5">
        <v>36</v>
      </c>
      <c r="K4" s="4" t="s">
        <v>30</v>
      </c>
      <c r="L4" s="27" t="s">
        <v>137</v>
      </c>
      <c r="M4" s="3" t="s">
        <v>132</v>
      </c>
      <c r="N4" s="3"/>
      <c r="O4" s="3"/>
      <c r="P4" s="3"/>
    </row>
    <row r="5" spans="1:16" ht="15.75" customHeight="1" x14ac:dyDescent="0.25">
      <c r="A5" s="7">
        <v>801981035</v>
      </c>
      <c r="B5" s="4" t="s">
        <v>31</v>
      </c>
      <c r="C5" s="7">
        <v>20170101</v>
      </c>
      <c r="D5" s="18" t="str">
        <f>TEXT(DATE(LEFT(C5,4), MID(C5,5,2), RIGHT(C5,2)), "M/d/yyyy")</f>
        <v>1/1/2017</v>
      </c>
      <c r="E5" s="7">
        <v>20250101</v>
      </c>
      <c r="F5" s="7">
        <v>202505</v>
      </c>
      <c r="G5" s="7">
        <v>8971826</v>
      </c>
      <c r="H5" s="4" t="s">
        <v>27</v>
      </c>
      <c r="I5" s="6">
        <v>45778</v>
      </c>
      <c r="J5" s="5">
        <v>36</v>
      </c>
      <c r="K5" s="4" t="s">
        <v>30</v>
      </c>
      <c r="L5" s="27" t="s">
        <v>137</v>
      </c>
      <c r="M5" s="3" t="s">
        <v>132</v>
      </c>
      <c r="N5" s="3"/>
      <c r="O5" s="3"/>
      <c r="P5" s="3"/>
    </row>
    <row r="6" spans="1:16" ht="15.75" customHeight="1" x14ac:dyDescent="0.25">
      <c r="A6" s="7">
        <v>802766120</v>
      </c>
      <c r="B6" s="4" t="s">
        <v>32</v>
      </c>
      <c r="C6" s="7">
        <v>20230101</v>
      </c>
      <c r="D6" s="18" t="str">
        <f>TEXT(DATE(LEFT(C6,4), MID(C6,5,2), RIGHT(C6,2)), "M/d/yyyy")</f>
        <v>1/1/2023</v>
      </c>
      <c r="E6" s="7">
        <v>20250101</v>
      </c>
      <c r="F6" s="7">
        <v>202504</v>
      </c>
      <c r="G6" s="7" t="s">
        <v>131</v>
      </c>
      <c r="H6" s="4" t="s">
        <v>33</v>
      </c>
      <c r="I6" s="6">
        <v>45748</v>
      </c>
      <c r="J6" s="5">
        <v>18</v>
      </c>
      <c r="K6" s="4" t="s">
        <v>30</v>
      </c>
      <c r="L6" s="27" t="s">
        <v>137</v>
      </c>
      <c r="M6" s="3"/>
      <c r="N6" s="3"/>
      <c r="O6" s="3"/>
      <c r="P6" s="3"/>
    </row>
    <row r="7" spans="1:16" ht="15.75" customHeight="1" x14ac:dyDescent="0.25">
      <c r="A7" s="7">
        <v>802766120</v>
      </c>
      <c r="B7" s="4" t="s">
        <v>32</v>
      </c>
      <c r="C7" s="7">
        <v>20230101</v>
      </c>
      <c r="D7" s="18" t="str">
        <f>TEXT(DATE(LEFT(C7,4), MID(C7,5,2), RIGHT(C7,2)), "M/d/yyyy")</f>
        <v>1/1/2023</v>
      </c>
      <c r="E7" s="7">
        <v>20250101</v>
      </c>
      <c r="F7" s="7">
        <v>202505</v>
      </c>
      <c r="G7" s="7" t="s">
        <v>131</v>
      </c>
      <c r="H7" s="4" t="s">
        <v>33</v>
      </c>
      <c r="I7" s="6">
        <v>45778</v>
      </c>
      <c r="J7" s="5">
        <v>18</v>
      </c>
      <c r="K7" s="4" t="s">
        <v>30</v>
      </c>
      <c r="L7" s="27" t="s">
        <v>137</v>
      </c>
      <c r="M7" s="3"/>
      <c r="N7" s="3"/>
      <c r="O7" s="3"/>
      <c r="P7" s="3"/>
    </row>
    <row r="8" spans="1:16" ht="15.75" customHeight="1" x14ac:dyDescent="0.25">
      <c r="A8" s="7">
        <v>802764281</v>
      </c>
      <c r="B8" s="4" t="s">
        <v>34</v>
      </c>
      <c r="C8" s="7">
        <v>20230101</v>
      </c>
      <c r="D8" s="18" t="str">
        <f>TEXT(DATE(LEFT(C8,4), MID(C8,5,2), RIGHT(C8,2)), "M/d/yyyy")</f>
        <v>1/1/2023</v>
      </c>
      <c r="E8" s="7">
        <v>20250101</v>
      </c>
      <c r="F8" s="7">
        <v>202504</v>
      </c>
      <c r="G8" s="7" t="s">
        <v>131</v>
      </c>
      <c r="H8" s="4" t="s">
        <v>33</v>
      </c>
      <c r="I8" s="6">
        <v>45689</v>
      </c>
      <c r="J8" s="5">
        <v>18</v>
      </c>
      <c r="K8" s="4" t="s">
        <v>30</v>
      </c>
      <c r="L8" s="27" t="s">
        <v>137</v>
      </c>
      <c r="M8" s="3"/>
      <c r="N8" s="3"/>
      <c r="O8" s="3"/>
      <c r="P8" s="3"/>
    </row>
    <row r="9" spans="1:16" ht="15.75" customHeight="1" x14ac:dyDescent="0.25">
      <c r="A9" s="7">
        <v>802764281</v>
      </c>
      <c r="B9" s="4" t="s">
        <v>34</v>
      </c>
      <c r="C9" s="7">
        <v>20230101</v>
      </c>
      <c r="D9" s="18" t="str">
        <f>TEXT(DATE(LEFT(C9,4), MID(C9,5,2), RIGHT(C9,2)), "M/d/yyyy")</f>
        <v>1/1/2023</v>
      </c>
      <c r="E9" s="7">
        <v>20250101</v>
      </c>
      <c r="F9" s="7">
        <v>202503</v>
      </c>
      <c r="G9" s="7" t="s">
        <v>131</v>
      </c>
      <c r="H9" s="4" t="s">
        <v>33</v>
      </c>
      <c r="I9" s="6">
        <v>45717</v>
      </c>
      <c r="J9" s="5">
        <v>18</v>
      </c>
      <c r="K9" s="4" t="s">
        <v>30</v>
      </c>
      <c r="L9" s="27" t="s">
        <v>137</v>
      </c>
      <c r="M9" s="3"/>
      <c r="N9" s="3"/>
      <c r="O9" s="3"/>
      <c r="P9" s="3"/>
    </row>
    <row r="10" spans="1:16" ht="15.75" customHeight="1" x14ac:dyDescent="0.25">
      <c r="A10" s="7">
        <v>802764281</v>
      </c>
      <c r="B10" s="4" t="s">
        <v>34</v>
      </c>
      <c r="C10" s="7">
        <v>20230101</v>
      </c>
      <c r="D10" s="18" t="str">
        <f>TEXT(DATE(LEFT(C10,4), MID(C10,5,2), RIGHT(C10,2)), "M/d/yyyy")</f>
        <v>1/1/2023</v>
      </c>
      <c r="E10" s="7">
        <v>20250101</v>
      </c>
      <c r="F10" s="7">
        <v>202502</v>
      </c>
      <c r="G10" s="7" t="s">
        <v>131</v>
      </c>
      <c r="H10" s="4" t="s">
        <v>33</v>
      </c>
      <c r="I10" s="6">
        <v>45748</v>
      </c>
      <c r="J10" s="5">
        <v>18</v>
      </c>
      <c r="K10" s="4" t="s">
        <v>30</v>
      </c>
      <c r="L10" s="27" t="s">
        <v>137</v>
      </c>
      <c r="M10" s="3"/>
      <c r="N10" s="3"/>
      <c r="O10" s="3"/>
      <c r="P10" s="3"/>
    </row>
    <row r="11" spans="1:16" ht="15.75" customHeight="1" x14ac:dyDescent="0.25">
      <c r="A11" s="7">
        <v>802964248</v>
      </c>
      <c r="B11" s="4" t="s">
        <v>37</v>
      </c>
      <c r="C11" s="7">
        <v>20241101</v>
      </c>
      <c r="D11" s="18" t="str">
        <f>TEXT(DATE(LEFT(C11,4), MID(C11,5,2), RIGHT(C11,2)), "M/d/yyyy")</f>
        <v>11/1/2024</v>
      </c>
      <c r="E11" s="7">
        <v>20250101</v>
      </c>
      <c r="F11" s="7">
        <v>202503</v>
      </c>
      <c r="G11" s="7">
        <v>17425766</v>
      </c>
      <c r="H11" s="4" t="s">
        <v>33</v>
      </c>
      <c r="I11" s="6">
        <v>45748</v>
      </c>
      <c r="J11" s="5">
        <v>36</v>
      </c>
      <c r="K11" s="4" t="s">
        <v>38</v>
      </c>
      <c r="L11" s="27" t="s">
        <v>137</v>
      </c>
      <c r="M11" s="3" t="s">
        <v>132</v>
      </c>
      <c r="N11" s="3"/>
      <c r="O11" s="3"/>
      <c r="P11" s="3"/>
    </row>
    <row r="12" spans="1:16" ht="15.75" customHeight="1" x14ac:dyDescent="0.25">
      <c r="A12" s="7">
        <v>802964248</v>
      </c>
      <c r="B12" s="4" t="s">
        <v>37</v>
      </c>
      <c r="C12" s="7">
        <v>20241101</v>
      </c>
      <c r="D12" s="18" t="str">
        <f>TEXT(DATE(LEFT(C12,4), MID(C12,5,2), RIGHT(C12,2)), "M/d/yyyy")</f>
        <v>11/1/2024</v>
      </c>
      <c r="E12" s="7">
        <v>20250101</v>
      </c>
      <c r="F12" s="7">
        <v>202504</v>
      </c>
      <c r="G12" s="7">
        <v>17425766</v>
      </c>
      <c r="H12" s="4" t="s">
        <v>33</v>
      </c>
      <c r="I12" s="6">
        <v>45778</v>
      </c>
      <c r="J12" s="5">
        <v>36</v>
      </c>
      <c r="K12" s="4" t="s">
        <v>38</v>
      </c>
      <c r="L12" s="27" t="s">
        <v>137</v>
      </c>
      <c r="M12" s="3" t="s">
        <v>132</v>
      </c>
      <c r="N12" s="3"/>
      <c r="O12" s="3"/>
      <c r="P12" s="3"/>
    </row>
    <row r="13" spans="1:16" ht="15.75" customHeight="1" x14ac:dyDescent="0.25">
      <c r="A13" s="7">
        <v>802944983</v>
      </c>
      <c r="B13" s="4" t="s">
        <v>39</v>
      </c>
      <c r="C13" s="7">
        <v>20240801</v>
      </c>
      <c r="D13" s="18" t="str">
        <f>TEXT(DATE(LEFT(C13,4), MID(C13,5,2), RIGHT(C13,2)), "M/d/yyyy")</f>
        <v>8/1/2024</v>
      </c>
      <c r="E13" s="7">
        <v>20250101</v>
      </c>
      <c r="F13" s="7">
        <v>202503</v>
      </c>
      <c r="G13" s="7">
        <v>17425766</v>
      </c>
      <c r="H13" s="4" t="s">
        <v>33</v>
      </c>
      <c r="I13" s="6">
        <v>45748</v>
      </c>
      <c r="J13" s="5">
        <v>36</v>
      </c>
      <c r="K13" s="4" t="s">
        <v>38</v>
      </c>
      <c r="L13" s="27" t="s">
        <v>137</v>
      </c>
      <c r="M13" s="3" t="s">
        <v>132</v>
      </c>
      <c r="N13" s="3"/>
      <c r="O13" s="3"/>
      <c r="P13" s="3"/>
    </row>
    <row r="14" spans="1:16" ht="15.75" customHeight="1" x14ac:dyDescent="0.25">
      <c r="A14" s="7">
        <v>802952729</v>
      </c>
      <c r="B14" s="4" t="s">
        <v>42</v>
      </c>
      <c r="C14" s="7">
        <v>20240901</v>
      </c>
      <c r="D14" s="18" t="str">
        <f>TEXT(DATE(LEFT(C14,4), MID(C14,5,2), RIGHT(C14,2)), "M/d/yyyy")</f>
        <v>9/1/2024</v>
      </c>
      <c r="E14" s="7">
        <v>20250101</v>
      </c>
      <c r="F14" s="7">
        <v>202504</v>
      </c>
      <c r="G14" s="7">
        <v>16202925</v>
      </c>
      <c r="H14" s="4" t="s">
        <v>45</v>
      </c>
      <c r="I14" s="6">
        <v>45748</v>
      </c>
      <c r="J14" s="5">
        <v>18</v>
      </c>
      <c r="K14" s="4" t="s">
        <v>38</v>
      </c>
      <c r="L14" s="27" t="s">
        <v>137</v>
      </c>
      <c r="M14" s="3"/>
      <c r="N14" s="3"/>
      <c r="O14" s="3"/>
      <c r="P14" s="3"/>
    </row>
    <row r="15" spans="1:16" ht="15.75" customHeight="1" x14ac:dyDescent="0.25">
      <c r="A15" s="7">
        <v>802833363</v>
      </c>
      <c r="B15" s="4" t="s">
        <v>246</v>
      </c>
      <c r="C15" s="7">
        <v>20231001</v>
      </c>
      <c r="D15" s="18" t="str">
        <f>TEXT(DATE(LEFT(C15,4), MID(C15,5,2), RIGHT(C15,2)), "M/d/yyyy")</f>
        <v>10/1/2023</v>
      </c>
      <c r="E15" s="7">
        <v>20250101</v>
      </c>
      <c r="F15" s="7">
        <v>202504</v>
      </c>
      <c r="G15" s="7">
        <v>18794740</v>
      </c>
      <c r="H15" s="4" t="s">
        <v>47</v>
      </c>
      <c r="I15" s="6">
        <v>45748</v>
      </c>
      <c r="J15" s="5">
        <v>18</v>
      </c>
      <c r="K15" s="4" t="s">
        <v>30</v>
      </c>
      <c r="L15" s="27" t="s">
        <v>137</v>
      </c>
      <c r="M15" s="3"/>
      <c r="N15" s="3"/>
      <c r="O15" s="3"/>
      <c r="P15" s="3"/>
    </row>
    <row r="16" spans="1:16" ht="15.75" customHeight="1" x14ac:dyDescent="0.25">
      <c r="A16" s="7">
        <v>802515557</v>
      </c>
      <c r="B16" s="4" t="s">
        <v>250</v>
      </c>
      <c r="C16" s="7">
        <v>20210101</v>
      </c>
      <c r="D16" s="18" t="str">
        <f>TEXT(DATE(LEFT(C16,4), MID(C16,5,2), RIGHT(C16,2)), "M/d/yyyy")</f>
        <v>1/1/2021</v>
      </c>
      <c r="E16" s="7">
        <v>20250101</v>
      </c>
      <c r="F16" s="7">
        <v>202504</v>
      </c>
      <c r="G16" s="7">
        <v>18794740</v>
      </c>
      <c r="H16" s="4" t="s">
        <v>47</v>
      </c>
      <c r="I16" s="6">
        <v>45748</v>
      </c>
      <c r="J16" s="5">
        <v>18</v>
      </c>
      <c r="K16" s="4" t="s">
        <v>30</v>
      </c>
      <c r="L16" s="27" t="s">
        <v>137</v>
      </c>
      <c r="M16" s="3"/>
      <c r="N16" s="3"/>
      <c r="O16" s="3"/>
      <c r="P16" s="3"/>
    </row>
    <row r="17" spans="1:16" ht="15.75" customHeight="1" x14ac:dyDescent="0.25">
      <c r="A17" s="7">
        <v>802515557</v>
      </c>
      <c r="B17" s="4" t="s">
        <v>250</v>
      </c>
      <c r="C17" s="7">
        <v>20210101</v>
      </c>
      <c r="D17" s="18" t="str">
        <f>TEXT(DATE(LEFT(C17,4), MID(C17,5,2), RIGHT(C17,2)), "M/d/yyyy")</f>
        <v>1/1/2021</v>
      </c>
      <c r="E17" s="7">
        <v>20250101</v>
      </c>
      <c r="F17" s="7">
        <v>202505</v>
      </c>
      <c r="G17" s="7">
        <v>18794740</v>
      </c>
      <c r="H17" s="4" t="s">
        <v>47</v>
      </c>
      <c r="I17" s="6">
        <v>45778</v>
      </c>
      <c r="J17" s="5">
        <v>18</v>
      </c>
      <c r="K17" s="4" t="s">
        <v>30</v>
      </c>
      <c r="L17" s="27" t="s">
        <v>137</v>
      </c>
      <c r="M17" s="3"/>
      <c r="N17" s="3"/>
      <c r="O17" s="3"/>
      <c r="P17" s="3"/>
    </row>
    <row r="18" spans="1:16" ht="15.75" customHeight="1" x14ac:dyDescent="0.25">
      <c r="A18" s="7">
        <v>802794400</v>
      </c>
      <c r="B18" s="4" t="s">
        <v>52</v>
      </c>
      <c r="C18" s="7">
        <v>20230401</v>
      </c>
      <c r="D18" s="18" t="str">
        <f>TEXT(DATE(LEFT(C18,4), MID(C18,5,2), RIGHT(C18,2)), "M/d/yyyy")</f>
        <v>4/1/2023</v>
      </c>
      <c r="E18" s="7">
        <v>20250101</v>
      </c>
      <c r="F18" s="7">
        <v>202504</v>
      </c>
      <c r="G18" s="7">
        <v>18794740</v>
      </c>
      <c r="H18" s="4" t="s">
        <v>47</v>
      </c>
      <c r="I18" s="6">
        <v>45748</v>
      </c>
      <c r="J18" s="5">
        <v>18</v>
      </c>
      <c r="K18" s="4" t="s">
        <v>30</v>
      </c>
      <c r="L18" s="27" t="s">
        <v>137</v>
      </c>
      <c r="M18" s="3"/>
      <c r="N18" s="3"/>
      <c r="O18" s="3"/>
      <c r="P18" s="3"/>
    </row>
    <row r="19" spans="1:16" ht="15.75" customHeight="1" x14ac:dyDescent="0.25">
      <c r="A19" s="7">
        <v>802794400</v>
      </c>
      <c r="B19" s="4" t="s">
        <v>52</v>
      </c>
      <c r="C19" s="7">
        <v>20230401</v>
      </c>
      <c r="D19" s="18" t="str">
        <f>TEXT(DATE(LEFT(C19,4), MID(C19,5,2), RIGHT(C19,2)), "M/d/yyyy")</f>
        <v>4/1/2023</v>
      </c>
      <c r="E19" s="7">
        <v>20250101</v>
      </c>
      <c r="F19" s="7">
        <v>202505</v>
      </c>
      <c r="G19" s="7">
        <v>18794740</v>
      </c>
      <c r="H19" s="4" t="s">
        <v>47</v>
      </c>
      <c r="I19" s="6">
        <v>45778</v>
      </c>
      <c r="J19" s="5">
        <v>18</v>
      </c>
      <c r="K19" s="4" t="s">
        <v>30</v>
      </c>
      <c r="L19" s="27" t="s">
        <v>137</v>
      </c>
      <c r="M19" s="3"/>
      <c r="N19" s="3"/>
      <c r="O19" s="3"/>
      <c r="P19" s="3"/>
    </row>
    <row r="20" spans="1:16" ht="15.75" customHeight="1" x14ac:dyDescent="0.25">
      <c r="A20" s="7">
        <v>802629573</v>
      </c>
      <c r="B20" s="4" t="s">
        <v>245</v>
      </c>
      <c r="C20" s="7">
        <v>20220101</v>
      </c>
      <c r="D20" s="18" t="str">
        <f>TEXT(DATE(LEFT(C20,4), MID(C20,5,2), RIGHT(C20,2)), "M/d/yyyy")</f>
        <v>1/1/2022</v>
      </c>
      <c r="E20" s="7">
        <v>20250101</v>
      </c>
      <c r="F20" s="7">
        <v>202504</v>
      </c>
      <c r="G20" s="7">
        <v>18794740</v>
      </c>
      <c r="H20" s="4" t="s">
        <v>47</v>
      </c>
      <c r="I20" s="6">
        <v>45748</v>
      </c>
      <c r="J20" s="5">
        <v>18</v>
      </c>
      <c r="K20" s="4" t="s">
        <v>30</v>
      </c>
      <c r="L20" s="27" t="s">
        <v>137</v>
      </c>
      <c r="M20" s="3"/>
      <c r="N20" s="3"/>
      <c r="O20" s="3"/>
      <c r="P20" s="3"/>
    </row>
    <row r="21" spans="1:16" ht="15.75" customHeight="1" x14ac:dyDescent="0.25">
      <c r="A21" s="7">
        <v>802629573</v>
      </c>
      <c r="B21" s="4" t="s">
        <v>245</v>
      </c>
      <c r="C21" s="7">
        <v>20220101</v>
      </c>
      <c r="D21" s="18" t="str">
        <f>TEXT(DATE(LEFT(C21,4), MID(C21,5,2), RIGHT(C21,2)), "M/d/yyyy")</f>
        <v>1/1/2022</v>
      </c>
      <c r="E21" s="7">
        <v>20250101</v>
      </c>
      <c r="F21" s="7">
        <v>202505</v>
      </c>
      <c r="G21" s="7">
        <v>18794740</v>
      </c>
      <c r="H21" s="4" t="s">
        <v>47</v>
      </c>
      <c r="I21" s="6">
        <v>45778</v>
      </c>
      <c r="J21" s="5">
        <v>18</v>
      </c>
      <c r="K21" s="4" t="s">
        <v>30</v>
      </c>
      <c r="L21" s="27" t="s">
        <v>137</v>
      </c>
      <c r="M21" s="3"/>
      <c r="N21" s="3"/>
      <c r="O21" s="3"/>
      <c r="P21" s="3"/>
    </row>
    <row r="22" spans="1:16" ht="15.75" customHeight="1" x14ac:dyDescent="0.25">
      <c r="A22" s="7">
        <v>802944968</v>
      </c>
      <c r="B22" s="4" t="s">
        <v>248</v>
      </c>
      <c r="C22" s="7">
        <v>20240801</v>
      </c>
      <c r="D22" s="18" t="str">
        <f>TEXT(DATE(LEFT(C22,4), MID(C22,5,2), RIGHT(C22,2)), "M/d/yyyy")</f>
        <v>8/1/2024</v>
      </c>
      <c r="E22" s="7">
        <v>20250101</v>
      </c>
      <c r="F22" s="7">
        <v>202503</v>
      </c>
      <c r="G22" s="7">
        <v>18794740</v>
      </c>
      <c r="H22" s="4" t="s">
        <v>47</v>
      </c>
      <c r="I22" s="6">
        <v>45748</v>
      </c>
      <c r="J22" s="5">
        <v>18</v>
      </c>
      <c r="K22" s="4" t="s">
        <v>38</v>
      </c>
      <c r="L22" s="27" t="s">
        <v>137</v>
      </c>
      <c r="M22" s="3"/>
      <c r="N22" s="3"/>
      <c r="O22" s="3"/>
      <c r="P22" s="3"/>
    </row>
    <row r="23" spans="1:16" ht="15.75" customHeight="1" x14ac:dyDescent="0.25">
      <c r="A23" s="7">
        <v>802944968</v>
      </c>
      <c r="B23" s="4" t="s">
        <v>248</v>
      </c>
      <c r="C23" s="7">
        <v>20240801</v>
      </c>
      <c r="D23" s="18" t="str">
        <f>TEXT(DATE(LEFT(C23,4), MID(C23,5,2), RIGHT(C23,2)), "M/d/yyyy")</f>
        <v>8/1/2024</v>
      </c>
      <c r="E23" s="7">
        <v>20250101</v>
      </c>
      <c r="F23" s="7">
        <v>202504</v>
      </c>
      <c r="G23" s="7">
        <v>18794740</v>
      </c>
      <c r="H23" s="4" t="s">
        <v>47</v>
      </c>
      <c r="I23" s="6">
        <v>45778</v>
      </c>
      <c r="J23" s="5">
        <v>18</v>
      </c>
      <c r="K23" s="4" t="s">
        <v>38</v>
      </c>
      <c r="L23" s="27" t="s">
        <v>137</v>
      </c>
      <c r="M23" s="3"/>
      <c r="N23" s="3"/>
      <c r="O23" s="3"/>
      <c r="P23" s="3"/>
    </row>
    <row r="24" spans="1:16" ht="15.75" customHeight="1" x14ac:dyDescent="0.25">
      <c r="A24" s="7">
        <v>802504907</v>
      </c>
      <c r="B24" s="4" t="s">
        <v>249</v>
      </c>
      <c r="C24" s="7">
        <v>20210101</v>
      </c>
      <c r="D24" s="18" t="str">
        <f>TEXT(DATE(LEFT(C24,4), MID(C24,5,2), RIGHT(C24,2)), "M/d/yyyy")</f>
        <v>1/1/2021</v>
      </c>
      <c r="E24" s="7">
        <v>20250101</v>
      </c>
      <c r="F24" s="7">
        <v>202504</v>
      </c>
      <c r="G24" s="7">
        <v>18794740</v>
      </c>
      <c r="H24" s="4" t="s">
        <v>47</v>
      </c>
      <c r="I24" s="6">
        <v>45748</v>
      </c>
      <c r="J24" s="5">
        <v>18</v>
      </c>
      <c r="K24" s="4" t="s">
        <v>30</v>
      </c>
      <c r="L24" s="27" t="s">
        <v>137</v>
      </c>
      <c r="M24" s="3"/>
      <c r="N24" s="3"/>
      <c r="O24" s="3"/>
      <c r="P24" s="3"/>
    </row>
    <row r="25" spans="1:16" ht="15.75" customHeight="1" x14ac:dyDescent="0.25">
      <c r="A25" s="7">
        <v>802504907</v>
      </c>
      <c r="B25" s="4" t="s">
        <v>249</v>
      </c>
      <c r="C25" s="7">
        <v>20210101</v>
      </c>
      <c r="D25" s="18" t="str">
        <f>TEXT(DATE(LEFT(C25,4), MID(C25,5,2), RIGHT(C25,2)), "M/d/yyyy")</f>
        <v>1/1/2021</v>
      </c>
      <c r="E25" s="7">
        <v>20250101</v>
      </c>
      <c r="F25" s="7">
        <v>202505</v>
      </c>
      <c r="G25" s="7">
        <v>18794740</v>
      </c>
      <c r="H25" s="4" t="s">
        <v>47</v>
      </c>
      <c r="I25" s="6">
        <v>45778</v>
      </c>
      <c r="J25" s="5">
        <v>18</v>
      </c>
      <c r="K25" s="4" t="s">
        <v>30</v>
      </c>
      <c r="L25" s="27" t="s">
        <v>137</v>
      </c>
      <c r="M25" s="3"/>
      <c r="N25" s="3"/>
      <c r="O25" s="3"/>
      <c r="P25" s="3"/>
    </row>
    <row r="26" spans="1:16" ht="15.75" customHeight="1" x14ac:dyDescent="0.25">
      <c r="A26" s="7">
        <v>802629066</v>
      </c>
      <c r="B26" s="4" t="s">
        <v>244</v>
      </c>
      <c r="C26" s="7">
        <v>20220101</v>
      </c>
      <c r="D26" s="18" t="str">
        <f>TEXT(DATE(LEFT(C26,4), MID(C26,5,2), RIGHT(C26,2)), "M/d/yyyy")</f>
        <v>1/1/2022</v>
      </c>
      <c r="E26" s="7">
        <v>20250101</v>
      </c>
      <c r="F26" s="7">
        <v>202503</v>
      </c>
      <c r="G26" s="7">
        <v>18794740</v>
      </c>
      <c r="H26" s="4" t="s">
        <v>47</v>
      </c>
      <c r="I26" s="6">
        <v>45748</v>
      </c>
      <c r="J26" s="5">
        <v>18</v>
      </c>
      <c r="K26" s="4" t="s">
        <v>30</v>
      </c>
      <c r="L26" s="27" t="s">
        <v>137</v>
      </c>
      <c r="M26" s="3"/>
      <c r="N26" s="3"/>
      <c r="O26" s="3"/>
      <c r="P26" s="3"/>
    </row>
    <row r="27" spans="1:16" ht="15.75" customHeight="1" x14ac:dyDescent="0.25">
      <c r="A27" s="7">
        <v>802629066</v>
      </c>
      <c r="B27" s="4" t="s">
        <v>244</v>
      </c>
      <c r="C27" s="7">
        <v>20220101</v>
      </c>
      <c r="D27" s="18" t="str">
        <f>TEXT(DATE(LEFT(C27,4), MID(C27,5,2), RIGHT(C27,2)), "M/d/yyyy")</f>
        <v>1/1/2022</v>
      </c>
      <c r="E27" s="7">
        <v>20250101</v>
      </c>
      <c r="F27" s="7">
        <v>202504</v>
      </c>
      <c r="G27" s="7">
        <v>18794740</v>
      </c>
      <c r="H27" s="4" t="s">
        <v>47</v>
      </c>
      <c r="I27" s="6">
        <v>45778</v>
      </c>
      <c r="J27" s="5">
        <v>18</v>
      </c>
      <c r="K27" s="4" t="s">
        <v>30</v>
      </c>
      <c r="L27" s="27" t="s">
        <v>137</v>
      </c>
      <c r="M27" s="3"/>
      <c r="N27" s="3"/>
      <c r="O27" s="3"/>
      <c r="P27" s="3"/>
    </row>
    <row r="28" spans="1:16" ht="15.75" customHeight="1" x14ac:dyDescent="0.25">
      <c r="A28" s="7">
        <v>802917167</v>
      </c>
      <c r="B28" s="4" t="s">
        <v>251</v>
      </c>
      <c r="C28" s="7">
        <v>20240501</v>
      </c>
      <c r="D28" s="18" t="str">
        <f>TEXT(DATE(LEFT(C28,4), MID(C28,5,2), RIGHT(C28,2)), "M/d/yyyy")</f>
        <v>5/1/2024</v>
      </c>
      <c r="E28" s="7">
        <v>20250101</v>
      </c>
      <c r="F28" s="7">
        <v>202503</v>
      </c>
      <c r="G28" s="7">
        <v>18794740</v>
      </c>
      <c r="H28" s="4" t="s">
        <v>47</v>
      </c>
      <c r="I28" s="6">
        <v>45748</v>
      </c>
      <c r="J28" s="5">
        <v>18</v>
      </c>
      <c r="K28" s="4" t="s">
        <v>38</v>
      </c>
      <c r="L28" s="27" t="s">
        <v>137</v>
      </c>
      <c r="M28" s="3"/>
      <c r="N28" s="3"/>
      <c r="O28" s="3"/>
      <c r="P28" s="3"/>
    </row>
    <row r="29" spans="1:16" ht="15.75" customHeight="1" x14ac:dyDescent="0.25">
      <c r="A29" s="7">
        <v>802917167</v>
      </c>
      <c r="B29" s="4" t="s">
        <v>251</v>
      </c>
      <c r="C29" s="7">
        <v>20240501</v>
      </c>
      <c r="D29" s="18" t="str">
        <f>TEXT(DATE(LEFT(C29,4), MID(C29,5,2), RIGHT(C29,2)), "M/d/yyyy")</f>
        <v>5/1/2024</v>
      </c>
      <c r="E29" s="7">
        <v>20250101</v>
      </c>
      <c r="F29" s="7">
        <v>202504</v>
      </c>
      <c r="G29" s="7">
        <v>18794740</v>
      </c>
      <c r="H29" s="4" t="s">
        <v>47</v>
      </c>
      <c r="I29" s="6">
        <v>45778</v>
      </c>
      <c r="J29" s="5">
        <v>18</v>
      </c>
      <c r="K29" s="4" t="s">
        <v>38</v>
      </c>
      <c r="L29" s="27" t="s">
        <v>137</v>
      </c>
      <c r="M29" s="3"/>
      <c r="N29" s="3"/>
      <c r="O29" s="3"/>
      <c r="P29" s="3"/>
    </row>
    <row r="30" spans="1:16" ht="15.75" customHeight="1" x14ac:dyDescent="0.25">
      <c r="A30" s="7">
        <v>802902756</v>
      </c>
      <c r="B30" s="4" t="s">
        <v>53</v>
      </c>
      <c r="C30" s="7">
        <v>20240301</v>
      </c>
      <c r="D30" s="18" t="str">
        <f>TEXT(DATE(LEFT(C30,4), MID(C30,5,2), RIGHT(C30,2)), "M/d/yyyy")</f>
        <v>3/1/2024</v>
      </c>
      <c r="E30" s="7">
        <v>20250101</v>
      </c>
      <c r="F30" s="7">
        <v>202504</v>
      </c>
      <c r="G30" s="7">
        <v>18794740</v>
      </c>
      <c r="H30" s="4" t="s">
        <v>47</v>
      </c>
      <c r="I30" s="6">
        <v>45748</v>
      </c>
      <c r="J30" s="5">
        <v>18</v>
      </c>
      <c r="K30" s="4" t="s">
        <v>30</v>
      </c>
      <c r="L30" s="27" t="s">
        <v>137</v>
      </c>
      <c r="M30" s="3"/>
      <c r="N30" s="3"/>
      <c r="O30" s="3"/>
      <c r="P30" s="3"/>
    </row>
    <row r="31" spans="1:16" ht="15.75" customHeight="1" x14ac:dyDescent="0.25">
      <c r="A31" s="7">
        <v>802902756</v>
      </c>
      <c r="B31" s="4" t="s">
        <v>53</v>
      </c>
      <c r="C31" s="7">
        <v>20240301</v>
      </c>
      <c r="D31" s="18" t="str">
        <f>TEXT(DATE(LEFT(C31,4), MID(C31,5,2), RIGHT(C31,2)), "M/d/yyyy")</f>
        <v>3/1/2024</v>
      </c>
      <c r="E31" s="7">
        <v>20250101</v>
      </c>
      <c r="F31" s="7">
        <v>202505</v>
      </c>
      <c r="G31" s="7">
        <v>18794740</v>
      </c>
      <c r="H31" s="4" t="s">
        <v>47</v>
      </c>
      <c r="I31" s="6">
        <v>45778</v>
      </c>
      <c r="J31" s="5">
        <v>18</v>
      </c>
      <c r="K31" s="4" t="s">
        <v>30</v>
      </c>
      <c r="L31" s="27" t="s">
        <v>137</v>
      </c>
      <c r="M31" s="3"/>
      <c r="N31" s="3"/>
      <c r="O31" s="3"/>
      <c r="P31" s="3"/>
    </row>
    <row r="32" spans="1:16" ht="15.75" customHeight="1" x14ac:dyDescent="0.25">
      <c r="A32" s="7">
        <v>802552042</v>
      </c>
      <c r="B32" s="4" t="s">
        <v>243</v>
      </c>
      <c r="C32" s="7">
        <v>20210301</v>
      </c>
      <c r="D32" s="18" t="str">
        <f>TEXT(DATE(LEFT(C32,4), MID(C32,5,2), RIGHT(C32,2)), "M/d/yyyy")</f>
        <v>3/1/2021</v>
      </c>
      <c r="E32" s="7">
        <v>20250101</v>
      </c>
      <c r="F32" s="7">
        <v>202504</v>
      </c>
      <c r="G32" s="7">
        <v>18794740</v>
      </c>
      <c r="H32" s="4" t="s">
        <v>47</v>
      </c>
      <c r="I32" s="6">
        <v>45748</v>
      </c>
      <c r="J32" s="5">
        <v>18</v>
      </c>
      <c r="K32" s="4" t="s">
        <v>30</v>
      </c>
      <c r="L32" s="27" t="s">
        <v>137</v>
      </c>
      <c r="M32" s="3"/>
      <c r="N32" s="3"/>
      <c r="O32" s="3"/>
      <c r="P32" s="3"/>
    </row>
    <row r="33" spans="1:16" ht="15.75" customHeight="1" x14ac:dyDescent="0.25">
      <c r="A33" s="7">
        <v>802552042</v>
      </c>
      <c r="B33" s="4" t="s">
        <v>243</v>
      </c>
      <c r="C33" s="7">
        <v>20210301</v>
      </c>
      <c r="D33" s="18" t="str">
        <f>TEXT(DATE(LEFT(C33,4), MID(C33,5,2), RIGHT(C33,2)), "M/d/yyyy")</f>
        <v>3/1/2021</v>
      </c>
      <c r="E33" s="7">
        <v>20250101</v>
      </c>
      <c r="F33" s="7">
        <v>202505</v>
      </c>
      <c r="G33" s="7">
        <v>18794740</v>
      </c>
      <c r="H33" s="4" t="s">
        <v>47</v>
      </c>
      <c r="I33" s="6">
        <v>45778</v>
      </c>
      <c r="J33" s="5">
        <v>18</v>
      </c>
      <c r="K33" s="4" t="s">
        <v>30</v>
      </c>
      <c r="L33" s="27" t="s">
        <v>137</v>
      </c>
      <c r="M33" s="3"/>
      <c r="N33" s="3"/>
      <c r="O33" s="3"/>
      <c r="P33" s="3"/>
    </row>
    <row r="34" spans="1:16" ht="15.75" customHeight="1" x14ac:dyDescent="0.25">
      <c r="A34" s="7">
        <v>802401885</v>
      </c>
      <c r="B34" s="4" t="s">
        <v>247</v>
      </c>
      <c r="C34" s="7">
        <v>20200101</v>
      </c>
      <c r="D34" s="18" t="str">
        <f>TEXT(DATE(LEFT(C34,4), MID(C34,5,2), RIGHT(C34,2)), "M/d/yyyy")</f>
        <v>1/1/2020</v>
      </c>
      <c r="E34" s="7">
        <v>20250101</v>
      </c>
      <c r="F34" s="7">
        <v>202504</v>
      </c>
      <c r="G34" s="7">
        <v>18794740</v>
      </c>
      <c r="H34" s="4" t="s">
        <v>47</v>
      </c>
      <c r="I34" s="6">
        <v>45748</v>
      </c>
      <c r="J34" s="5">
        <v>18</v>
      </c>
      <c r="K34" s="4" t="s">
        <v>30</v>
      </c>
      <c r="L34" s="27" t="s">
        <v>137</v>
      </c>
      <c r="M34" s="3"/>
      <c r="N34" s="3"/>
      <c r="O34" s="3"/>
      <c r="P34" s="3"/>
    </row>
    <row r="35" spans="1:16" ht="15.75" customHeight="1" x14ac:dyDescent="0.25">
      <c r="A35" s="7">
        <v>802401885</v>
      </c>
      <c r="B35" s="4" t="s">
        <v>247</v>
      </c>
      <c r="C35" s="7">
        <v>20200101</v>
      </c>
      <c r="D35" s="18" t="str">
        <f>TEXT(DATE(LEFT(C35,4), MID(C35,5,2), RIGHT(C35,2)), "M/d/yyyy")</f>
        <v>1/1/2020</v>
      </c>
      <c r="E35" s="7">
        <v>20250101</v>
      </c>
      <c r="F35" s="7">
        <v>202505</v>
      </c>
      <c r="G35" s="7">
        <v>18794740</v>
      </c>
      <c r="H35" s="4" t="s">
        <v>47</v>
      </c>
      <c r="I35" s="6">
        <v>45778</v>
      </c>
      <c r="J35" s="5">
        <v>18</v>
      </c>
      <c r="K35" s="4" t="s">
        <v>30</v>
      </c>
      <c r="L35" s="27" t="s">
        <v>137</v>
      </c>
      <c r="M35" s="3"/>
      <c r="N35" s="3"/>
      <c r="O35" s="3"/>
      <c r="P35" s="3"/>
    </row>
    <row r="36" spans="1:16" ht="15.75" customHeight="1" x14ac:dyDescent="0.25">
      <c r="A36" s="7">
        <v>802777578</v>
      </c>
      <c r="B36" s="4" t="s">
        <v>46</v>
      </c>
      <c r="C36" s="7">
        <v>20230201</v>
      </c>
      <c r="D36" s="18" t="str">
        <f>TEXT(DATE(LEFT(C36,4), MID(C36,5,2), RIGHT(C36,2)), "M/d/yyyy")</f>
        <v>2/1/2023</v>
      </c>
      <c r="E36" s="7">
        <v>20250101</v>
      </c>
      <c r="F36" s="7">
        <v>202504</v>
      </c>
      <c r="G36" s="7">
        <v>18794740</v>
      </c>
      <c r="H36" s="4" t="s">
        <v>47</v>
      </c>
      <c r="I36" s="6">
        <v>45748</v>
      </c>
      <c r="J36" s="5">
        <v>18</v>
      </c>
      <c r="K36" s="4" t="s">
        <v>30</v>
      </c>
      <c r="L36" s="27" t="s">
        <v>137</v>
      </c>
      <c r="M36" s="3"/>
      <c r="N36" s="3"/>
      <c r="O36" s="3"/>
      <c r="P36" s="3"/>
    </row>
    <row r="37" spans="1:16" ht="15.75" customHeight="1" x14ac:dyDescent="0.25">
      <c r="A37" s="7">
        <v>802777578</v>
      </c>
      <c r="B37" s="4" t="s">
        <v>46</v>
      </c>
      <c r="C37" s="7">
        <v>20230201</v>
      </c>
      <c r="D37" s="18" t="str">
        <f>TEXT(DATE(LEFT(C37,4), MID(C37,5,2), RIGHT(C37,2)), "M/d/yyyy")</f>
        <v>2/1/2023</v>
      </c>
      <c r="E37" s="7">
        <v>20250101</v>
      </c>
      <c r="F37" s="7">
        <v>202505</v>
      </c>
      <c r="G37" s="7">
        <v>18794740</v>
      </c>
      <c r="H37" s="4" t="s">
        <v>47</v>
      </c>
      <c r="I37" s="6">
        <v>45778</v>
      </c>
      <c r="J37" s="5">
        <v>18</v>
      </c>
      <c r="K37" s="4" t="s">
        <v>30</v>
      </c>
      <c r="L37" s="27" t="s">
        <v>137</v>
      </c>
      <c r="M37" s="3"/>
      <c r="N37" s="3"/>
      <c r="O37" s="3"/>
      <c r="P37" s="3"/>
    </row>
    <row r="38" spans="1:16" ht="15.75" customHeight="1" x14ac:dyDescent="0.25">
      <c r="A38" s="7">
        <v>802765299</v>
      </c>
      <c r="B38" s="4" t="s">
        <v>48</v>
      </c>
      <c r="C38" s="7">
        <v>20230101</v>
      </c>
      <c r="D38" s="18" t="str">
        <f>TEXT(DATE(LEFT(C38,4), MID(C38,5,2), RIGHT(C38,2)), "M/d/yyyy")</f>
        <v>1/1/2023</v>
      </c>
      <c r="E38" s="7">
        <v>20250101</v>
      </c>
      <c r="F38" s="7">
        <v>202504</v>
      </c>
      <c r="G38" s="7">
        <v>18794740</v>
      </c>
      <c r="H38" s="4" t="s">
        <v>47</v>
      </c>
      <c r="I38" s="6">
        <v>45748</v>
      </c>
      <c r="J38" s="5">
        <v>18</v>
      </c>
      <c r="K38" s="4" t="s">
        <v>30</v>
      </c>
      <c r="L38" s="27" t="s">
        <v>137</v>
      </c>
      <c r="M38" s="3"/>
      <c r="N38" s="3"/>
      <c r="O38" s="3"/>
      <c r="P38" s="3"/>
    </row>
    <row r="39" spans="1:16" ht="15.75" customHeight="1" x14ac:dyDescent="0.25">
      <c r="A39" s="7">
        <v>802765299</v>
      </c>
      <c r="B39" s="4" t="s">
        <v>48</v>
      </c>
      <c r="C39" s="7">
        <v>20230101</v>
      </c>
      <c r="D39" s="18" t="str">
        <f>TEXT(DATE(LEFT(C39,4), MID(C39,5,2), RIGHT(C39,2)), "M/d/yyyy")</f>
        <v>1/1/2023</v>
      </c>
      <c r="E39" s="7">
        <v>20250101</v>
      </c>
      <c r="F39" s="7">
        <v>202505</v>
      </c>
      <c r="G39" s="7">
        <v>18794740</v>
      </c>
      <c r="H39" s="4" t="s">
        <v>47</v>
      </c>
      <c r="I39" s="6">
        <v>45778</v>
      </c>
      <c r="J39" s="5">
        <v>18</v>
      </c>
      <c r="K39" s="4" t="s">
        <v>30</v>
      </c>
      <c r="L39" s="27" t="s">
        <v>137</v>
      </c>
      <c r="M39" s="3"/>
      <c r="N39" s="3"/>
      <c r="O39" s="3"/>
      <c r="P39" s="3"/>
    </row>
    <row r="40" spans="1:16" ht="15" x14ac:dyDescent="0.25">
      <c r="A40" s="7">
        <v>802000786</v>
      </c>
      <c r="B40" s="4" t="s">
        <v>66</v>
      </c>
      <c r="C40" s="7">
        <v>20170101</v>
      </c>
      <c r="D40" s="18" t="str">
        <f>TEXT(DATE(LEFT(C40,4), MID(C40,5,2), RIGHT(C40,2)), "M/d/yyyy")</f>
        <v>1/1/2017</v>
      </c>
      <c r="E40" s="7">
        <v>20250101</v>
      </c>
      <c r="F40" s="7">
        <v>202504</v>
      </c>
      <c r="G40" s="7">
        <v>18794740</v>
      </c>
      <c r="H40" s="4" t="s">
        <v>47</v>
      </c>
      <c r="I40" s="6">
        <v>45748</v>
      </c>
      <c r="J40" s="5">
        <v>18</v>
      </c>
      <c r="K40" s="4" t="s">
        <v>30</v>
      </c>
      <c r="L40" s="27" t="s">
        <v>137</v>
      </c>
      <c r="M40" s="3"/>
      <c r="N40" s="3"/>
      <c r="O40" s="3"/>
      <c r="P40" s="3"/>
    </row>
    <row r="41" spans="1:16" ht="15" x14ac:dyDescent="0.25">
      <c r="A41" s="7">
        <v>802000786</v>
      </c>
      <c r="B41" s="4" t="s">
        <v>66</v>
      </c>
      <c r="C41" s="7">
        <v>20170101</v>
      </c>
      <c r="D41" s="18" t="str">
        <f>TEXT(DATE(LEFT(C41,4), MID(C41,5,2), RIGHT(C41,2)), "M/d/yyyy")</f>
        <v>1/1/2017</v>
      </c>
      <c r="E41" s="7">
        <v>20250101</v>
      </c>
      <c r="F41" s="7">
        <v>202505</v>
      </c>
      <c r="G41" s="7">
        <v>18794740</v>
      </c>
      <c r="H41" s="4" t="s">
        <v>47</v>
      </c>
      <c r="I41" s="6">
        <v>45778</v>
      </c>
      <c r="J41" s="5">
        <v>18</v>
      </c>
      <c r="K41" s="4" t="s">
        <v>30</v>
      </c>
      <c r="L41" s="27" t="s">
        <v>137</v>
      </c>
      <c r="M41" s="3"/>
      <c r="N41" s="3"/>
      <c r="O41" s="3"/>
      <c r="P41" s="3"/>
    </row>
    <row r="42" spans="1:16" ht="15" x14ac:dyDescent="0.25">
      <c r="A42" s="7">
        <v>802629089</v>
      </c>
      <c r="B42" s="4" t="s">
        <v>74</v>
      </c>
      <c r="C42" s="7">
        <v>20220101</v>
      </c>
      <c r="D42" s="18" t="str">
        <f>TEXT(DATE(LEFT(C42,4), MID(C42,5,2), RIGHT(C42,2)), "M/d/yyyy")</f>
        <v>1/1/2022</v>
      </c>
      <c r="E42" s="7">
        <v>20250101</v>
      </c>
      <c r="F42" s="7">
        <v>202503</v>
      </c>
      <c r="G42" s="7">
        <v>18794740</v>
      </c>
      <c r="H42" s="4" t="s">
        <v>47</v>
      </c>
      <c r="I42" s="6">
        <v>45748</v>
      </c>
      <c r="J42" s="5">
        <v>36</v>
      </c>
      <c r="K42" s="4" t="s">
        <v>30</v>
      </c>
      <c r="L42" s="27" t="s">
        <v>137</v>
      </c>
      <c r="M42" s="3" t="s">
        <v>132</v>
      </c>
      <c r="N42" s="3"/>
      <c r="O42" s="3"/>
      <c r="P42" s="3"/>
    </row>
    <row r="43" spans="1:16" ht="15" x14ac:dyDescent="0.25">
      <c r="A43" s="7">
        <v>802629089</v>
      </c>
      <c r="B43" s="4" t="s">
        <v>74</v>
      </c>
      <c r="C43" s="7">
        <v>20220101</v>
      </c>
      <c r="D43" s="18" t="str">
        <f>TEXT(DATE(LEFT(C43,4), MID(C43,5,2), RIGHT(C43,2)), "M/d/yyyy")</f>
        <v>1/1/2022</v>
      </c>
      <c r="E43" s="7">
        <v>20250101</v>
      </c>
      <c r="F43" s="7">
        <v>202504</v>
      </c>
      <c r="G43" s="7">
        <v>18794740</v>
      </c>
      <c r="H43" s="4" t="s">
        <v>47</v>
      </c>
      <c r="I43" s="6">
        <v>45778</v>
      </c>
      <c r="J43" s="5">
        <v>36</v>
      </c>
      <c r="K43" s="4" t="s">
        <v>30</v>
      </c>
      <c r="L43" s="27" t="s">
        <v>137</v>
      </c>
      <c r="M43" s="3" t="s">
        <v>132</v>
      </c>
      <c r="N43" s="3"/>
      <c r="O43" s="3"/>
      <c r="P43" s="3"/>
    </row>
    <row r="44" spans="1:16" ht="15" x14ac:dyDescent="0.25">
      <c r="A44" s="7">
        <v>802879845</v>
      </c>
      <c r="B44" s="4" t="s">
        <v>261</v>
      </c>
      <c r="C44" s="7">
        <v>20240201</v>
      </c>
      <c r="D44" s="18" t="str">
        <f>TEXT(DATE(LEFT(C44,4), MID(C44,5,2), RIGHT(C44,2)), "M/d/yyyy")</f>
        <v>2/1/2024</v>
      </c>
      <c r="E44" s="7">
        <v>20250101</v>
      </c>
      <c r="F44" s="7">
        <v>202504</v>
      </c>
      <c r="G44" s="7">
        <v>18794740</v>
      </c>
      <c r="H44" s="4" t="s">
        <v>47</v>
      </c>
      <c r="I44" s="6">
        <v>45748</v>
      </c>
      <c r="J44" s="5">
        <v>36</v>
      </c>
      <c r="K44" s="4" t="s">
        <v>30</v>
      </c>
      <c r="L44" s="27" t="s">
        <v>137</v>
      </c>
      <c r="M44" s="3" t="s">
        <v>132</v>
      </c>
      <c r="N44" s="3"/>
      <c r="O44" s="3"/>
      <c r="P44" s="3"/>
    </row>
    <row r="45" spans="1:16" ht="15" x14ac:dyDescent="0.25">
      <c r="A45" s="7">
        <v>802879845</v>
      </c>
      <c r="B45" s="4" t="s">
        <v>261</v>
      </c>
      <c r="C45" s="7">
        <v>20240201</v>
      </c>
      <c r="D45" s="18" t="str">
        <f>TEXT(DATE(LEFT(C45,4), MID(C45,5,2), RIGHT(C45,2)), "M/d/yyyy")</f>
        <v>2/1/2024</v>
      </c>
      <c r="E45" s="7">
        <v>20250101</v>
      </c>
      <c r="F45" s="7">
        <v>202505</v>
      </c>
      <c r="G45" s="7">
        <v>18794740</v>
      </c>
      <c r="H45" s="4" t="s">
        <v>47</v>
      </c>
      <c r="I45" s="6">
        <v>45778</v>
      </c>
      <c r="J45" s="5">
        <v>36</v>
      </c>
      <c r="K45" s="4" t="s">
        <v>30</v>
      </c>
      <c r="L45" s="27" t="s">
        <v>137</v>
      </c>
      <c r="M45" s="3" t="s">
        <v>132</v>
      </c>
      <c r="N45" s="3"/>
      <c r="O45" s="3"/>
      <c r="P45" s="3"/>
    </row>
    <row r="46" spans="1:16" ht="15" x14ac:dyDescent="0.25">
      <c r="A46" s="7">
        <v>802341284</v>
      </c>
      <c r="B46" s="4" t="s">
        <v>258</v>
      </c>
      <c r="C46" s="7">
        <v>20190401</v>
      </c>
      <c r="D46" s="18" t="str">
        <f>TEXT(DATE(LEFT(C46,4), MID(C46,5,2), RIGHT(C46,2)), "M/d/yyyy")</f>
        <v>4/1/2019</v>
      </c>
      <c r="E46" s="7">
        <v>20250101</v>
      </c>
      <c r="F46" s="7">
        <v>202503</v>
      </c>
      <c r="G46" s="7">
        <v>18794740</v>
      </c>
      <c r="H46" s="4" t="s">
        <v>47</v>
      </c>
      <c r="I46" s="6">
        <v>45748</v>
      </c>
      <c r="J46" s="5">
        <v>36</v>
      </c>
      <c r="K46" s="4" t="s">
        <v>30</v>
      </c>
      <c r="L46" s="27" t="s">
        <v>137</v>
      </c>
      <c r="M46" s="3" t="s">
        <v>132</v>
      </c>
      <c r="N46" s="3"/>
      <c r="O46" s="3"/>
      <c r="P46" s="3"/>
    </row>
    <row r="47" spans="1:16" ht="15" x14ac:dyDescent="0.25">
      <c r="A47" s="7">
        <v>802341284</v>
      </c>
      <c r="B47" s="4" t="s">
        <v>258</v>
      </c>
      <c r="C47" s="7">
        <v>20190401</v>
      </c>
      <c r="D47" s="18" t="str">
        <f>TEXT(DATE(LEFT(C47,4), MID(C47,5,2), RIGHT(C47,2)), "M/d/yyyy")</f>
        <v>4/1/2019</v>
      </c>
      <c r="E47" s="7">
        <v>20250101</v>
      </c>
      <c r="F47" s="7">
        <v>202504</v>
      </c>
      <c r="G47" s="7">
        <v>18794740</v>
      </c>
      <c r="H47" s="4" t="s">
        <v>47</v>
      </c>
      <c r="I47" s="6">
        <v>45778</v>
      </c>
      <c r="J47" s="5">
        <v>36</v>
      </c>
      <c r="K47" s="4" t="s">
        <v>30</v>
      </c>
      <c r="L47" s="27" t="s">
        <v>137</v>
      </c>
      <c r="M47" s="3" t="s">
        <v>132</v>
      </c>
      <c r="N47" s="3"/>
      <c r="O47" s="3"/>
      <c r="P47" s="3"/>
    </row>
    <row r="48" spans="1:16" ht="15" x14ac:dyDescent="0.25">
      <c r="A48" s="7">
        <v>802807514</v>
      </c>
      <c r="B48" s="4" t="s">
        <v>254</v>
      </c>
      <c r="C48" s="7">
        <v>20230701</v>
      </c>
      <c r="D48" s="18" t="str">
        <f>TEXT(DATE(LEFT(C48,4), MID(C48,5,2), RIGHT(C48,2)), "M/d/yyyy")</f>
        <v>7/1/2023</v>
      </c>
      <c r="E48" s="7">
        <v>20250101</v>
      </c>
      <c r="F48" s="7">
        <v>202504</v>
      </c>
      <c r="G48" s="7">
        <v>18794740</v>
      </c>
      <c r="H48" s="4" t="s">
        <v>47</v>
      </c>
      <c r="I48" s="6">
        <v>45748</v>
      </c>
      <c r="J48" s="5">
        <v>36</v>
      </c>
      <c r="K48" s="4" t="s">
        <v>30</v>
      </c>
      <c r="L48" s="27" t="s">
        <v>137</v>
      </c>
      <c r="M48" s="3" t="s">
        <v>132</v>
      </c>
      <c r="N48" s="3"/>
      <c r="O48" s="3"/>
      <c r="P48" s="3"/>
    </row>
    <row r="49" spans="1:16" ht="15" x14ac:dyDescent="0.25">
      <c r="A49" s="7">
        <v>802807514</v>
      </c>
      <c r="B49" s="4" t="s">
        <v>254</v>
      </c>
      <c r="C49" s="7">
        <v>20230701</v>
      </c>
      <c r="D49" s="18" t="str">
        <f>TEXT(DATE(LEFT(C49,4), MID(C49,5,2), RIGHT(C49,2)), "M/d/yyyy")</f>
        <v>7/1/2023</v>
      </c>
      <c r="E49" s="7">
        <v>20250101</v>
      </c>
      <c r="F49" s="7">
        <v>202505</v>
      </c>
      <c r="G49" s="7">
        <v>18794740</v>
      </c>
      <c r="H49" s="4" t="s">
        <v>47</v>
      </c>
      <c r="I49" s="6">
        <v>45778</v>
      </c>
      <c r="J49" s="5">
        <v>36</v>
      </c>
      <c r="K49" s="4" t="s">
        <v>30</v>
      </c>
      <c r="L49" s="27" t="s">
        <v>137</v>
      </c>
      <c r="M49" s="3" t="s">
        <v>132</v>
      </c>
      <c r="N49" s="3"/>
      <c r="O49" s="3"/>
      <c r="P49" s="3"/>
    </row>
    <row r="50" spans="1:16" ht="15" x14ac:dyDescent="0.25">
      <c r="A50" s="7">
        <v>802893616</v>
      </c>
      <c r="B50" s="4" t="s">
        <v>262</v>
      </c>
      <c r="C50" s="7">
        <v>20240201</v>
      </c>
      <c r="D50" s="18" t="str">
        <f>TEXT(DATE(LEFT(C50,4), MID(C50,5,2), RIGHT(C50,2)), "M/d/yyyy")</f>
        <v>2/1/2024</v>
      </c>
      <c r="E50" s="7">
        <v>20250101</v>
      </c>
      <c r="F50" s="7">
        <v>202503</v>
      </c>
      <c r="G50" s="7">
        <v>18794740</v>
      </c>
      <c r="H50" s="4" t="s">
        <v>47</v>
      </c>
      <c r="I50" s="6">
        <v>45717</v>
      </c>
      <c r="J50" s="5">
        <v>36</v>
      </c>
      <c r="K50" s="4" t="s">
        <v>30</v>
      </c>
      <c r="L50" s="27" t="s">
        <v>137</v>
      </c>
      <c r="M50" s="3" t="s">
        <v>132</v>
      </c>
      <c r="N50" s="3"/>
      <c r="O50" s="3"/>
      <c r="P50" s="3"/>
    </row>
    <row r="51" spans="1:16" ht="15" x14ac:dyDescent="0.25">
      <c r="A51" s="7">
        <v>802893616</v>
      </c>
      <c r="B51" s="4" t="s">
        <v>262</v>
      </c>
      <c r="C51" s="7">
        <v>20240201</v>
      </c>
      <c r="D51" s="18" t="str">
        <f>TEXT(DATE(LEFT(C51,4), MID(C51,5,2), RIGHT(C51,2)), "M/d/yyyy")</f>
        <v>2/1/2024</v>
      </c>
      <c r="E51" s="7">
        <v>20250101</v>
      </c>
      <c r="F51" s="7">
        <v>202504</v>
      </c>
      <c r="G51" s="7">
        <v>18794740</v>
      </c>
      <c r="H51" s="4" t="s">
        <v>47</v>
      </c>
      <c r="I51" s="6">
        <v>45748</v>
      </c>
      <c r="J51" s="5">
        <v>36</v>
      </c>
      <c r="K51" s="4" t="s">
        <v>30</v>
      </c>
      <c r="L51" s="27" t="s">
        <v>137</v>
      </c>
      <c r="M51" s="3" t="s">
        <v>132</v>
      </c>
      <c r="N51" s="3"/>
      <c r="O51" s="3"/>
      <c r="P51" s="3"/>
    </row>
    <row r="52" spans="1:16" ht="15" x14ac:dyDescent="0.25">
      <c r="A52" s="7">
        <v>802893616</v>
      </c>
      <c r="B52" s="4" t="s">
        <v>262</v>
      </c>
      <c r="C52" s="7">
        <v>20240201</v>
      </c>
      <c r="D52" s="18" t="str">
        <f>TEXT(DATE(LEFT(C52,4), MID(C52,5,2), RIGHT(C52,2)), "M/d/yyyy")</f>
        <v>2/1/2024</v>
      </c>
      <c r="E52" s="7">
        <v>20250101</v>
      </c>
      <c r="F52" s="7">
        <v>202505</v>
      </c>
      <c r="G52" s="7">
        <v>18794740</v>
      </c>
      <c r="H52" s="4" t="s">
        <v>47</v>
      </c>
      <c r="I52" s="6">
        <v>45778</v>
      </c>
      <c r="J52" s="5">
        <v>36</v>
      </c>
      <c r="K52" s="4" t="s">
        <v>30</v>
      </c>
      <c r="L52" s="27" t="s">
        <v>137</v>
      </c>
      <c r="M52" s="3" t="s">
        <v>132</v>
      </c>
      <c r="N52" s="3"/>
      <c r="O52" s="3"/>
      <c r="P52" s="3"/>
    </row>
    <row r="53" spans="1:16" ht="15" x14ac:dyDescent="0.25">
      <c r="A53" s="7">
        <v>802407693</v>
      </c>
      <c r="B53" s="4" t="s">
        <v>259</v>
      </c>
      <c r="C53" s="7">
        <v>20200101</v>
      </c>
      <c r="D53" s="18" t="str">
        <f>TEXT(DATE(LEFT(C53,4), MID(C53,5,2), RIGHT(C53,2)), "M/d/yyyy")</f>
        <v>1/1/2020</v>
      </c>
      <c r="E53" s="7">
        <v>20250101</v>
      </c>
      <c r="F53" s="7">
        <v>202504</v>
      </c>
      <c r="G53" s="7">
        <v>18794740</v>
      </c>
      <c r="H53" s="4" t="s">
        <v>47</v>
      </c>
      <c r="I53" s="6">
        <v>45748</v>
      </c>
      <c r="J53" s="5">
        <v>36</v>
      </c>
      <c r="K53" s="4" t="s">
        <v>30</v>
      </c>
      <c r="L53" s="27" t="s">
        <v>137</v>
      </c>
      <c r="M53" s="3" t="s">
        <v>132</v>
      </c>
      <c r="N53" s="3"/>
      <c r="O53" s="3"/>
      <c r="P53" s="3"/>
    </row>
    <row r="54" spans="1:16" ht="15" x14ac:dyDescent="0.25">
      <c r="A54" s="7">
        <v>802407693</v>
      </c>
      <c r="B54" s="4" t="s">
        <v>259</v>
      </c>
      <c r="C54" s="7">
        <v>20200101</v>
      </c>
      <c r="D54" s="18" t="str">
        <f>TEXT(DATE(LEFT(C54,4), MID(C54,5,2), RIGHT(C54,2)), "M/d/yyyy")</f>
        <v>1/1/2020</v>
      </c>
      <c r="E54" s="7">
        <v>20250101</v>
      </c>
      <c r="F54" s="7">
        <v>202505</v>
      </c>
      <c r="G54" s="7">
        <v>18794740</v>
      </c>
      <c r="H54" s="4" t="s">
        <v>47</v>
      </c>
      <c r="I54" s="6">
        <v>45778</v>
      </c>
      <c r="J54" s="5">
        <v>36</v>
      </c>
      <c r="K54" s="4" t="s">
        <v>30</v>
      </c>
      <c r="L54" s="27" t="s">
        <v>137</v>
      </c>
      <c r="M54" s="3" t="s">
        <v>132</v>
      </c>
      <c r="N54" s="3"/>
      <c r="O54" s="3"/>
      <c r="P54" s="3"/>
    </row>
    <row r="55" spans="1:16" ht="15" x14ac:dyDescent="0.25">
      <c r="A55" s="7">
        <v>802016040</v>
      </c>
      <c r="B55" s="4" t="s">
        <v>255</v>
      </c>
      <c r="C55" s="7">
        <v>20170101</v>
      </c>
      <c r="D55" s="18" t="str">
        <f>TEXT(DATE(LEFT(C55,4), MID(C55,5,2), RIGHT(C55,2)), "M/d/yyyy")</f>
        <v>1/1/2017</v>
      </c>
      <c r="E55" s="7">
        <v>20250101</v>
      </c>
      <c r="F55" s="7">
        <v>202504</v>
      </c>
      <c r="G55" s="7">
        <v>18794740</v>
      </c>
      <c r="H55" s="4" t="s">
        <v>47</v>
      </c>
      <c r="I55" s="6">
        <v>45748</v>
      </c>
      <c r="J55" s="5">
        <v>36</v>
      </c>
      <c r="K55" s="4" t="s">
        <v>30</v>
      </c>
      <c r="L55" s="27" t="s">
        <v>137</v>
      </c>
      <c r="M55" s="3" t="s">
        <v>132</v>
      </c>
      <c r="N55" s="3"/>
      <c r="O55" s="3"/>
      <c r="P55" s="3"/>
    </row>
    <row r="56" spans="1:16" ht="15" x14ac:dyDescent="0.25">
      <c r="A56" s="7">
        <v>802016040</v>
      </c>
      <c r="B56" s="4" t="s">
        <v>255</v>
      </c>
      <c r="C56" s="7">
        <v>20170101</v>
      </c>
      <c r="D56" s="18" t="str">
        <f>TEXT(DATE(LEFT(C56,4), MID(C56,5,2), RIGHT(C56,2)), "M/d/yyyy")</f>
        <v>1/1/2017</v>
      </c>
      <c r="E56" s="7">
        <v>20250101</v>
      </c>
      <c r="F56" s="7">
        <v>202505</v>
      </c>
      <c r="G56" s="7">
        <v>18794740</v>
      </c>
      <c r="H56" s="4" t="s">
        <v>47</v>
      </c>
      <c r="I56" s="6">
        <v>45778</v>
      </c>
      <c r="J56" s="5">
        <v>36</v>
      </c>
      <c r="K56" s="4" t="s">
        <v>30</v>
      </c>
      <c r="L56" s="27" t="s">
        <v>137</v>
      </c>
      <c r="M56" s="3" t="s">
        <v>132</v>
      </c>
      <c r="N56" s="3"/>
      <c r="O56" s="3"/>
      <c r="P56" s="3"/>
    </row>
    <row r="57" spans="1:16" ht="15" x14ac:dyDescent="0.25">
      <c r="A57" s="7">
        <v>801942897</v>
      </c>
      <c r="B57" s="4" t="s">
        <v>75</v>
      </c>
      <c r="C57" s="7">
        <v>20170101</v>
      </c>
      <c r="D57" s="18" t="str">
        <f>TEXT(DATE(LEFT(C57,4), MID(C57,5,2), RIGHT(C57,2)), "M/d/yyyy")</f>
        <v>1/1/2017</v>
      </c>
      <c r="E57" s="7">
        <v>20250101</v>
      </c>
      <c r="F57" s="7">
        <v>202504</v>
      </c>
      <c r="G57" s="7">
        <v>18794740</v>
      </c>
      <c r="H57" s="4" t="s">
        <v>47</v>
      </c>
      <c r="I57" s="6">
        <v>45748</v>
      </c>
      <c r="J57" s="5">
        <v>36</v>
      </c>
      <c r="K57" s="4" t="s">
        <v>30</v>
      </c>
      <c r="L57" s="27" t="s">
        <v>137</v>
      </c>
      <c r="M57" s="3" t="s">
        <v>132</v>
      </c>
      <c r="N57" s="3"/>
      <c r="O57" s="3"/>
      <c r="P57" s="3"/>
    </row>
    <row r="58" spans="1:16" ht="15" x14ac:dyDescent="0.25">
      <c r="A58" s="7">
        <v>801942897</v>
      </c>
      <c r="B58" s="4" t="s">
        <v>75</v>
      </c>
      <c r="C58" s="7">
        <v>20170101</v>
      </c>
      <c r="D58" s="18" t="str">
        <f>TEXT(DATE(LEFT(C58,4), MID(C58,5,2), RIGHT(C58,2)), "M/d/yyyy")</f>
        <v>1/1/2017</v>
      </c>
      <c r="E58" s="7">
        <v>20250101</v>
      </c>
      <c r="F58" s="7">
        <v>202505</v>
      </c>
      <c r="G58" s="7">
        <v>18794740</v>
      </c>
      <c r="H58" s="4" t="s">
        <v>47</v>
      </c>
      <c r="I58" s="6">
        <v>45778</v>
      </c>
      <c r="J58" s="5">
        <v>36</v>
      </c>
      <c r="K58" s="4" t="s">
        <v>30</v>
      </c>
      <c r="L58" s="27" t="s">
        <v>137</v>
      </c>
      <c r="M58" s="3" t="s">
        <v>132</v>
      </c>
      <c r="N58" s="3"/>
      <c r="O58" s="3"/>
      <c r="P58" s="3"/>
    </row>
    <row r="59" spans="1:16" ht="15" x14ac:dyDescent="0.25">
      <c r="A59" s="7">
        <v>802651099</v>
      </c>
      <c r="B59" s="4" t="s">
        <v>256</v>
      </c>
      <c r="C59" s="7">
        <v>20220101</v>
      </c>
      <c r="D59" s="18" t="str">
        <f>TEXT(DATE(LEFT(C59,4), MID(C59,5,2), RIGHT(C59,2)), "M/d/yyyy")</f>
        <v>1/1/2022</v>
      </c>
      <c r="E59" s="7">
        <v>20250201</v>
      </c>
      <c r="F59" s="7">
        <v>202503</v>
      </c>
      <c r="G59" s="7">
        <v>18794740</v>
      </c>
      <c r="H59" s="4" t="s">
        <v>47</v>
      </c>
      <c r="I59" s="6">
        <v>45748</v>
      </c>
      <c r="J59" s="5">
        <v>36</v>
      </c>
      <c r="K59" s="4" t="s">
        <v>30</v>
      </c>
      <c r="L59" s="27" t="s">
        <v>137</v>
      </c>
      <c r="M59" s="3" t="s">
        <v>132</v>
      </c>
      <c r="N59" s="3"/>
      <c r="O59" s="3"/>
      <c r="P59" s="3"/>
    </row>
    <row r="60" spans="1:16" ht="15" x14ac:dyDescent="0.25">
      <c r="A60" s="7">
        <v>802651099</v>
      </c>
      <c r="B60" s="4" t="s">
        <v>256</v>
      </c>
      <c r="C60" s="7">
        <v>20220101</v>
      </c>
      <c r="D60" s="18" t="str">
        <f>TEXT(DATE(LEFT(C60,4), MID(C60,5,2), RIGHT(C60,2)), "M/d/yyyy")</f>
        <v>1/1/2022</v>
      </c>
      <c r="E60" s="7">
        <v>20250201</v>
      </c>
      <c r="F60" s="7">
        <v>202504</v>
      </c>
      <c r="G60" s="7">
        <v>18794740</v>
      </c>
      <c r="H60" s="4" t="s">
        <v>47</v>
      </c>
      <c r="I60" s="6">
        <v>45778</v>
      </c>
      <c r="J60" s="5">
        <v>36</v>
      </c>
      <c r="K60" s="4" t="s">
        <v>30</v>
      </c>
      <c r="L60" s="27" t="s">
        <v>137</v>
      </c>
      <c r="M60" s="3" t="s">
        <v>132</v>
      </c>
      <c r="N60" s="3"/>
      <c r="O60" s="3"/>
      <c r="P60" s="3"/>
    </row>
    <row r="61" spans="1:16" ht="15" x14ac:dyDescent="0.25">
      <c r="A61" s="7">
        <v>802501295</v>
      </c>
      <c r="B61" s="4" t="s">
        <v>260</v>
      </c>
      <c r="C61" s="7">
        <v>20210101</v>
      </c>
      <c r="D61" s="18" t="str">
        <f>TEXT(DATE(LEFT(C61,4), MID(C61,5,2), RIGHT(C61,2)), "M/d/yyyy")</f>
        <v>1/1/2021</v>
      </c>
      <c r="E61" s="7">
        <v>20250101</v>
      </c>
      <c r="F61" s="7">
        <v>202503</v>
      </c>
      <c r="G61" s="7">
        <v>18794740</v>
      </c>
      <c r="H61" s="4" t="s">
        <v>47</v>
      </c>
      <c r="I61" s="6">
        <v>45748</v>
      </c>
      <c r="J61" s="5">
        <v>36</v>
      </c>
      <c r="K61" s="4" t="s">
        <v>30</v>
      </c>
      <c r="L61" s="27" t="s">
        <v>137</v>
      </c>
      <c r="M61" s="3" t="s">
        <v>132</v>
      </c>
      <c r="N61" s="3"/>
      <c r="O61" s="3"/>
      <c r="P61" s="3"/>
    </row>
    <row r="62" spans="1:16" ht="15" x14ac:dyDescent="0.25">
      <c r="A62" s="7">
        <v>802501295</v>
      </c>
      <c r="B62" s="4" t="s">
        <v>260</v>
      </c>
      <c r="C62" s="7">
        <v>20210101</v>
      </c>
      <c r="D62" s="18" t="str">
        <f>TEXT(DATE(LEFT(C62,4), MID(C62,5,2), RIGHT(C62,2)), "M/d/yyyy")</f>
        <v>1/1/2021</v>
      </c>
      <c r="E62" s="7">
        <v>20250101</v>
      </c>
      <c r="F62" s="7">
        <v>202504</v>
      </c>
      <c r="G62" s="7">
        <v>18794740</v>
      </c>
      <c r="H62" s="4" t="s">
        <v>47</v>
      </c>
      <c r="I62" s="6">
        <v>45778</v>
      </c>
      <c r="J62" s="5">
        <v>36</v>
      </c>
      <c r="K62" s="4" t="s">
        <v>30</v>
      </c>
      <c r="L62" s="27" t="s">
        <v>137</v>
      </c>
      <c r="M62" s="3" t="s">
        <v>132</v>
      </c>
      <c r="N62" s="3"/>
      <c r="O62" s="3"/>
      <c r="P62" s="3"/>
    </row>
    <row r="63" spans="1:16" ht="15" x14ac:dyDescent="0.25">
      <c r="A63" s="7">
        <v>801963708</v>
      </c>
      <c r="B63" s="4" t="s">
        <v>257</v>
      </c>
      <c r="C63" s="7">
        <v>20170101</v>
      </c>
      <c r="D63" s="18" t="str">
        <f>TEXT(DATE(LEFT(C63,4), MID(C63,5,2), RIGHT(C63,2)), "M/d/yyyy")</f>
        <v>1/1/2017</v>
      </c>
      <c r="E63" s="7">
        <v>20250101</v>
      </c>
      <c r="F63" s="7">
        <v>202504</v>
      </c>
      <c r="G63" s="7">
        <v>18794740</v>
      </c>
      <c r="H63" s="4" t="s">
        <v>47</v>
      </c>
      <c r="I63" s="6">
        <v>45748</v>
      </c>
      <c r="J63" s="5">
        <v>36</v>
      </c>
      <c r="K63" s="4" t="s">
        <v>30</v>
      </c>
      <c r="L63" s="27" t="s">
        <v>137</v>
      </c>
      <c r="M63" s="3" t="s">
        <v>132</v>
      </c>
      <c r="N63" s="3"/>
      <c r="O63" s="3"/>
      <c r="P63" s="3"/>
    </row>
    <row r="64" spans="1:16" ht="15" x14ac:dyDescent="0.25">
      <c r="A64" s="7">
        <v>801963708</v>
      </c>
      <c r="B64" s="4" t="s">
        <v>257</v>
      </c>
      <c r="C64" s="7">
        <v>20170101</v>
      </c>
      <c r="D64" s="18" t="str">
        <f>TEXT(DATE(LEFT(C64,4), MID(C64,5,2), RIGHT(C64,2)), "M/d/yyyy")</f>
        <v>1/1/2017</v>
      </c>
      <c r="E64" s="7">
        <v>20250101</v>
      </c>
      <c r="F64" s="7">
        <v>202505</v>
      </c>
      <c r="G64" s="7">
        <v>18794740</v>
      </c>
      <c r="H64" s="4" t="s">
        <v>47</v>
      </c>
      <c r="I64" s="6">
        <v>45778</v>
      </c>
      <c r="J64" s="5">
        <v>36</v>
      </c>
      <c r="K64" s="4" t="s">
        <v>30</v>
      </c>
      <c r="L64" s="27" t="s">
        <v>137</v>
      </c>
      <c r="M64" s="3" t="s">
        <v>132</v>
      </c>
      <c r="N64" s="3"/>
      <c r="O64" s="3"/>
      <c r="P64" s="3"/>
    </row>
    <row r="65" spans="1:16" ht="15" x14ac:dyDescent="0.25">
      <c r="A65" s="7">
        <v>802996993</v>
      </c>
      <c r="B65" s="4" t="s">
        <v>84</v>
      </c>
      <c r="C65" s="7">
        <v>20250101</v>
      </c>
      <c r="D65" s="18" t="str">
        <f>TEXT(DATE(LEFT(C65,4), MID(C65,5,2), RIGHT(C65,2)), "M/d/yyyy")</f>
        <v>1/1/2025</v>
      </c>
      <c r="E65" s="7">
        <v>20250201</v>
      </c>
      <c r="F65" s="7">
        <v>202503</v>
      </c>
      <c r="G65" s="7">
        <v>9254978</v>
      </c>
      <c r="H65" s="4" t="s">
        <v>87</v>
      </c>
      <c r="I65" s="6">
        <v>45717</v>
      </c>
      <c r="J65" s="5">
        <v>2.85</v>
      </c>
      <c r="K65" s="4" t="s">
        <v>38</v>
      </c>
      <c r="L65" s="3" t="s">
        <v>136</v>
      </c>
      <c r="M65" s="3"/>
      <c r="N65" s="3"/>
      <c r="O65" s="3"/>
      <c r="P65" s="3"/>
    </row>
    <row r="66" spans="1:16" ht="15" x14ac:dyDescent="0.25">
      <c r="A66" s="7">
        <v>802996993</v>
      </c>
      <c r="B66" s="4" t="s">
        <v>84</v>
      </c>
      <c r="C66" s="7">
        <v>20250101</v>
      </c>
      <c r="D66" s="18" t="str">
        <f>TEXT(DATE(LEFT(C66,4), MID(C66,5,2), RIGHT(C66,2)), "M/d/yyyy")</f>
        <v>1/1/2025</v>
      </c>
      <c r="E66" s="7">
        <v>20250201</v>
      </c>
      <c r="F66" s="7">
        <v>202504</v>
      </c>
      <c r="G66" s="7">
        <v>9254978</v>
      </c>
      <c r="H66" s="4" t="s">
        <v>87</v>
      </c>
      <c r="I66" s="6">
        <v>45748</v>
      </c>
      <c r="J66" s="5">
        <v>2.85</v>
      </c>
      <c r="K66" s="4" t="s">
        <v>38</v>
      </c>
      <c r="L66" s="3" t="s">
        <v>136</v>
      </c>
      <c r="M66" s="3"/>
      <c r="N66" s="3"/>
      <c r="O66" s="3"/>
      <c r="P66" s="3"/>
    </row>
    <row r="67" spans="1:16" ht="15" x14ac:dyDescent="0.25">
      <c r="A67" s="7">
        <v>802996993</v>
      </c>
      <c r="B67" s="4" t="s">
        <v>84</v>
      </c>
      <c r="C67" s="7">
        <v>20250101</v>
      </c>
      <c r="D67" s="18" t="str">
        <f>TEXT(DATE(LEFT(C67,4), MID(C67,5,2), RIGHT(C67,2)), "M/d/yyyy")</f>
        <v>1/1/2025</v>
      </c>
      <c r="E67" s="7">
        <v>20250201</v>
      </c>
      <c r="F67" s="7">
        <v>202505</v>
      </c>
      <c r="G67" s="7">
        <v>9254978</v>
      </c>
      <c r="H67" s="4" t="s">
        <v>87</v>
      </c>
      <c r="I67" s="6">
        <v>45778</v>
      </c>
      <c r="J67" s="5">
        <v>2.85</v>
      </c>
      <c r="K67" s="4" t="s">
        <v>38</v>
      </c>
      <c r="L67" s="3" t="s">
        <v>136</v>
      </c>
      <c r="M67" s="3"/>
      <c r="N67" s="3"/>
      <c r="O67" s="3"/>
      <c r="P67" s="3"/>
    </row>
    <row r="68" spans="1:16" ht="15" x14ac:dyDescent="0.25">
      <c r="A68" s="7">
        <v>802766143</v>
      </c>
      <c r="B68" s="4" t="s">
        <v>88</v>
      </c>
      <c r="C68" s="7">
        <v>20230101</v>
      </c>
      <c r="D68" s="18" t="str">
        <f>TEXT(DATE(LEFT(C68,4), MID(C68,5,2), RIGHT(C68,2)), "M/d/yyyy")</f>
        <v>1/1/2023</v>
      </c>
      <c r="E68" s="7">
        <v>20250101</v>
      </c>
      <c r="F68" s="7">
        <v>202504</v>
      </c>
      <c r="G68" s="7">
        <v>9254978</v>
      </c>
      <c r="H68" s="4" t="s">
        <v>87</v>
      </c>
      <c r="I68" s="6">
        <v>45748</v>
      </c>
      <c r="J68" s="5">
        <v>18</v>
      </c>
      <c r="K68" s="4" t="s">
        <v>30</v>
      </c>
      <c r="L68" s="27" t="s">
        <v>137</v>
      </c>
      <c r="M68" s="3"/>
      <c r="N68" s="3"/>
      <c r="O68" s="3"/>
      <c r="P68" s="3"/>
    </row>
    <row r="69" spans="1:16" ht="15" x14ac:dyDescent="0.25">
      <c r="A69" s="7">
        <v>802766143</v>
      </c>
      <c r="B69" s="4" t="s">
        <v>88</v>
      </c>
      <c r="C69" s="7">
        <v>20230101</v>
      </c>
      <c r="D69" s="18" t="str">
        <f>TEXT(DATE(LEFT(C69,4), MID(C69,5,2), RIGHT(C69,2)), "M/d/yyyy")</f>
        <v>1/1/2023</v>
      </c>
      <c r="E69" s="7">
        <v>20250101</v>
      </c>
      <c r="F69" s="7">
        <v>202505</v>
      </c>
      <c r="G69" s="7">
        <v>9254978</v>
      </c>
      <c r="H69" s="4" t="s">
        <v>87</v>
      </c>
      <c r="I69" s="6">
        <v>45778</v>
      </c>
      <c r="J69" s="5">
        <v>18</v>
      </c>
      <c r="K69" s="4" t="s">
        <v>30</v>
      </c>
      <c r="L69" s="27" t="s">
        <v>137</v>
      </c>
      <c r="M69" s="3"/>
      <c r="N69" s="3"/>
      <c r="O69" s="3"/>
      <c r="P69" s="3"/>
    </row>
    <row r="70" spans="1:16" ht="15" x14ac:dyDescent="0.25">
      <c r="A70" s="7">
        <v>802690020</v>
      </c>
      <c r="B70" s="4" t="s">
        <v>91</v>
      </c>
      <c r="C70" s="7">
        <v>20220501</v>
      </c>
      <c r="D70" s="18" t="str">
        <f>TEXT(DATE(LEFT(C70,4), MID(C70,5,2), RIGHT(C70,2)), "M/d/yyyy")</f>
        <v>5/1/2022</v>
      </c>
      <c r="E70" s="7">
        <v>20250101</v>
      </c>
      <c r="F70" s="7">
        <v>202504</v>
      </c>
      <c r="G70" s="7">
        <v>9254978</v>
      </c>
      <c r="H70" s="4" t="s">
        <v>87</v>
      </c>
      <c r="I70" s="6">
        <v>45717</v>
      </c>
      <c r="J70" s="5">
        <v>18</v>
      </c>
      <c r="K70" s="4" t="s">
        <v>30</v>
      </c>
      <c r="L70" s="27" t="s">
        <v>137</v>
      </c>
      <c r="M70" s="3"/>
      <c r="N70" s="3"/>
      <c r="O70" s="3"/>
      <c r="P70" s="3"/>
    </row>
    <row r="71" spans="1:16" ht="15" x14ac:dyDescent="0.25">
      <c r="A71" s="7">
        <v>802690020</v>
      </c>
      <c r="B71" s="4" t="s">
        <v>91</v>
      </c>
      <c r="C71" s="7">
        <v>20220501</v>
      </c>
      <c r="D71" s="18" t="str">
        <f>TEXT(DATE(LEFT(C71,4), MID(C71,5,2), RIGHT(C71,2)), "M/d/yyyy")</f>
        <v>5/1/2022</v>
      </c>
      <c r="E71" s="7">
        <v>20250101</v>
      </c>
      <c r="F71" s="7">
        <v>202503</v>
      </c>
      <c r="G71" s="7">
        <v>9254978</v>
      </c>
      <c r="H71" s="4" t="s">
        <v>87</v>
      </c>
      <c r="I71" s="6">
        <v>45748</v>
      </c>
      <c r="J71" s="5">
        <v>18</v>
      </c>
      <c r="K71" s="4" t="s">
        <v>30</v>
      </c>
      <c r="L71" s="27" t="s">
        <v>137</v>
      </c>
      <c r="M71" s="3"/>
      <c r="N71" s="3"/>
      <c r="O71" s="3"/>
      <c r="P71" s="3"/>
    </row>
    <row r="72" spans="1:16" s="25" customFormat="1" ht="15" x14ac:dyDescent="0.25">
      <c r="A72" s="7">
        <v>802690020</v>
      </c>
      <c r="B72" s="4" t="s">
        <v>91</v>
      </c>
      <c r="C72" s="7">
        <v>20220501</v>
      </c>
      <c r="D72" s="18" t="str">
        <f>TEXT(DATE(LEFT(C72,4), MID(C72,5,2), RIGHT(C72,2)), "M/d/yyyy")</f>
        <v>5/1/2022</v>
      </c>
      <c r="E72" s="7">
        <v>20250101</v>
      </c>
      <c r="F72" s="7">
        <v>202505</v>
      </c>
      <c r="G72" s="7">
        <v>9254978</v>
      </c>
      <c r="H72" s="4" t="s">
        <v>87</v>
      </c>
      <c r="I72" s="6">
        <v>45778</v>
      </c>
      <c r="J72" s="5">
        <v>18</v>
      </c>
      <c r="K72" s="4" t="s">
        <v>30</v>
      </c>
      <c r="L72" s="27" t="s">
        <v>137</v>
      </c>
      <c r="M72" s="3"/>
      <c r="N72" s="3"/>
      <c r="O72" s="3"/>
      <c r="P72" s="3"/>
    </row>
    <row r="73" spans="1:16" s="25" customFormat="1" ht="15" x14ac:dyDescent="0.25">
      <c r="A73" s="7">
        <v>802758903</v>
      </c>
      <c r="B73" s="4" t="s">
        <v>89</v>
      </c>
      <c r="C73" s="7">
        <v>20230101</v>
      </c>
      <c r="D73" s="18" t="str">
        <f>TEXT(DATE(LEFT(C73,4), MID(C73,5,2), RIGHT(C73,2)), "M/d/yyyy")</f>
        <v>1/1/2023</v>
      </c>
      <c r="E73" s="7">
        <v>20250101</v>
      </c>
      <c r="F73" s="7">
        <v>202504</v>
      </c>
      <c r="G73" s="7">
        <v>9254978</v>
      </c>
      <c r="H73" s="4" t="s">
        <v>87</v>
      </c>
      <c r="I73" s="6">
        <v>45717</v>
      </c>
      <c r="J73" s="5">
        <v>18</v>
      </c>
      <c r="K73" s="4" t="s">
        <v>30</v>
      </c>
      <c r="L73" s="27" t="s">
        <v>137</v>
      </c>
      <c r="M73" s="3"/>
      <c r="N73" s="3"/>
      <c r="O73" s="3"/>
      <c r="P73" s="3"/>
    </row>
    <row r="74" spans="1:16" s="25" customFormat="1" ht="15" x14ac:dyDescent="0.25">
      <c r="A74" s="7">
        <v>802758903</v>
      </c>
      <c r="B74" s="4" t="s">
        <v>89</v>
      </c>
      <c r="C74" s="7">
        <v>20230101</v>
      </c>
      <c r="D74" s="18" t="str">
        <f>TEXT(DATE(LEFT(C74,4), MID(C74,5,2), RIGHT(C74,2)), "M/d/yyyy")</f>
        <v>1/1/2023</v>
      </c>
      <c r="E74" s="7">
        <v>20250101</v>
      </c>
      <c r="F74" s="7">
        <v>202503</v>
      </c>
      <c r="G74" s="7">
        <v>9254978</v>
      </c>
      <c r="H74" s="4" t="s">
        <v>87</v>
      </c>
      <c r="I74" s="6">
        <v>45748</v>
      </c>
      <c r="J74" s="5">
        <v>18</v>
      </c>
      <c r="K74" s="4" t="s">
        <v>30</v>
      </c>
      <c r="L74" s="27" t="s">
        <v>137</v>
      </c>
      <c r="M74" s="3"/>
      <c r="N74" s="3"/>
      <c r="O74" s="3"/>
      <c r="P74" s="3"/>
    </row>
    <row r="75" spans="1:16" s="25" customFormat="1" ht="15" x14ac:dyDescent="0.25">
      <c r="A75" s="7">
        <v>802758903</v>
      </c>
      <c r="B75" s="4" t="s">
        <v>89</v>
      </c>
      <c r="C75" s="7">
        <v>20230101</v>
      </c>
      <c r="D75" s="18" t="str">
        <f>TEXT(DATE(LEFT(C75,4), MID(C75,5,2), RIGHT(C75,2)), "M/d/yyyy")</f>
        <v>1/1/2023</v>
      </c>
      <c r="E75" s="7">
        <v>20250101</v>
      </c>
      <c r="F75" s="7">
        <v>202505</v>
      </c>
      <c r="G75" s="7">
        <v>9254978</v>
      </c>
      <c r="H75" s="4" t="s">
        <v>87</v>
      </c>
      <c r="I75" s="6">
        <v>45778</v>
      </c>
      <c r="J75" s="5">
        <v>18</v>
      </c>
      <c r="K75" s="4" t="s">
        <v>30</v>
      </c>
      <c r="L75" s="27" t="s">
        <v>137</v>
      </c>
      <c r="M75" s="3"/>
      <c r="N75" s="3"/>
      <c r="O75" s="3"/>
      <c r="P75" s="3"/>
    </row>
    <row r="76" spans="1:16" ht="15" x14ac:dyDescent="0.25">
      <c r="A76" s="7">
        <v>802742865</v>
      </c>
      <c r="B76" s="4" t="s">
        <v>252</v>
      </c>
      <c r="C76" s="7">
        <v>20221101</v>
      </c>
      <c r="D76" s="18" t="str">
        <f>TEXT(DATE(LEFT(C76,4), MID(C76,5,2), RIGHT(C76,2)), "M/d/yyyy")</f>
        <v>11/1/2022</v>
      </c>
      <c r="E76" s="7">
        <v>20250101</v>
      </c>
      <c r="F76" s="7">
        <v>202504</v>
      </c>
      <c r="G76" s="7">
        <v>9254978</v>
      </c>
      <c r="H76" s="4" t="s">
        <v>87</v>
      </c>
      <c r="I76" s="6">
        <v>45748</v>
      </c>
      <c r="J76" s="5">
        <v>18</v>
      </c>
      <c r="K76" s="4" t="s">
        <v>30</v>
      </c>
      <c r="L76" s="27" t="s">
        <v>137</v>
      </c>
      <c r="M76" s="3"/>
      <c r="N76" s="3"/>
      <c r="O76" s="3"/>
      <c r="P76" s="3"/>
    </row>
    <row r="77" spans="1:16" ht="15" x14ac:dyDescent="0.25">
      <c r="A77" s="7">
        <v>802742865</v>
      </c>
      <c r="B77" s="4" t="s">
        <v>252</v>
      </c>
      <c r="C77" s="7">
        <v>20221101</v>
      </c>
      <c r="D77" s="18" t="str">
        <f>TEXT(DATE(LEFT(C77,4), MID(C77,5,2), RIGHT(C77,2)), "M/d/yyyy")</f>
        <v>11/1/2022</v>
      </c>
      <c r="E77" s="7">
        <v>20250101</v>
      </c>
      <c r="F77" s="7">
        <v>202505</v>
      </c>
      <c r="G77" s="7">
        <v>9254978</v>
      </c>
      <c r="H77" s="4" t="s">
        <v>87</v>
      </c>
      <c r="I77" s="6">
        <v>45778</v>
      </c>
      <c r="J77" s="5">
        <v>18</v>
      </c>
      <c r="K77" s="4" t="s">
        <v>30</v>
      </c>
      <c r="L77" s="27" t="s">
        <v>137</v>
      </c>
      <c r="M77" s="3"/>
      <c r="N77" s="3"/>
      <c r="O77" s="3"/>
      <c r="P77" s="3"/>
    </row>
    <row r="78" spans="1:16" ht="15" x14ac:dyDescent="0.25">
      <c r="A78" s="7">
        <v>802468875</v>
      </c>
      <c r="B78" s="4" t="s">
        <v>92</v>
      </c>
      <c r="C78" s="7">
        <v>20200601</v>
      </c>
      <c r="D78" s="18" t="str">
        <f>TEXT(DATE(LEFT(C78,4), MID(C78,5,2), RIGHT(C78,2)), "M/d/yyyy")</f>
        <v>6/1/2020</v>
      </c>
      <c r="E78" s="7">
        <v>20250101</v>
      </c>
      <c r="F78" s="7">
        <v>202504</v>
      </c>
      <c r="G78" s="7">
        <v>9254978</v>
      </c>
      <c r="H78" s="4" t="s">
        <v>87</v>
      </c>
      <c r="I78" s="6">
        <v>45748</v>
      </c>
      <c r="J78" s="5">
        <v>18</v>
      </c>
      <c r="K78" s="4" t="s">
        <v>30</v>
      </c>
      <c r="L78" s="27" t="s">
        <v>137</v>
      </c>
      <c r="M78" s="3"/>
      <c r="N78" s="3"/>
      <c r="O78" s="3"/>
      <c r="P78" s="3"/>
    </row>
    <row r="79" spans="1:16" ht="15" x14ac:dyDescent="0.25">
      <c r="A79" s="7">
        <v>802468875</v>
      </c>
      <c r="B79" s="4" t="s">
        <v>92</v>
      </c>
      <c r="C79" s="7">
        <v>20200601</v>
      </c>
      <c r="D79" s="18" t="str">
        <f>TEXT(DATE(LEFT(C79,4), MID(C79,5,2), RIGHT(C79,2)), "M/d/yyyy")</f>
        <v>6/1/2020</v>
      </c>
      <c r="E79" s="7">
        <v>20250101</v>
      </c>
      <c r="F79" s="7">
        <v>202505</v>
      </c>
      <c r="G79" s="7">
        <v>9254978</v>
      </c>
      <c r="H79" s="4" t="s">
        <v>87</v>
      </c>
      <c r="I79" s="6">
        <v>45778</v>
      </c>
      <c r="J79" s="5">
        <v>18</v>
      </c>
      <c r="K79" s="4" t="s">
        <v>30</v>
      </c>
      <c r="L79" s="27" t="s">
        <v>137</v>
      </c>
      <c r="M79" s="3"/>
      <c r="N79" s="3"/>
      <c r="O79" s="3"/>
      <c r="P79" s="3"/>
    </row>
    <row r="80" spans="1:16" ht="15" x14ac:dyDescent="0.25">
      <c r="A80" s="20">
        <v>801951292</v>
      </c>
      <c r="B80" s="21" t="s">
        <v>84</v>
      </c>
      <c r="C80" s="20">
        <v>20250201</v>
      </c>
      <c r="D80" s="22" t="str">
        <f>TEXT(DATE(LEFT(C80,4), MID(C80,5,2), RIGHT(C80,2)), "M/d/yyyy")</f>
        <v>2/1/2025</v>
      </c>
      <c r="E80" s="20">
        <v>20250201</v>
      </c>
      <c r="F80" s="20">
        <v>202504</v>
      </c>
      <c r="G80" s="20">
        <v>9254978</v>
      </c>
      <c r="H80" s="21" t="s">
        <v>87</v>
      </c>
      <c r="I80" s="28">
        <v>45689</v>
      </c>
      <c r="J80" s="23">
        <v>22</v>
      </c>
      <c r="K80" s="21" t="s">
        <v>38</v>
      </c>
      <c r="L80" s="27" t="s">
        <v>137</v>
      </c>
      <c r="M80" s="24"/>
      <c r="N80" s="24"/>
      <c r="O80" s="24"/>
      <c r="P80" s="24"/>
    </row>
    <row r="81" spans="1:16" ht="15" x14ac:dyDescent="0.25">
      <c r="A81" s="20">
        <v>801951292</v>
      </c>
      <c r="B81" s="21" t="s">
        <v>84</v>
      </c>
      <c r="C81" s="20">
        <v>20250201</v>
      </c>
      <c r="D81" s="22" t="str">
        <f>TEXT(DATE(LEFT(C81,4), MID(C81,5,2), RIGHT(C81,2)), "M/d/yyyy")</f>
        <v>2/1/2025</v>
      </c>
      <c r="E81" s="20">
        <v>20250201</v>
      </c>
      <c r="F81" s="20">
        <v>202503</v>
      </c>
      <c r="G81" s="20">
        <v>9254978</v>
      </c>
      <c r="H81" s="21" t="s">
        <v>87</v>
      </c>
      <c r="I81" s="28">
        <v>45717</v>
      </c>
      <c r="J81" s="23">
        <v>22</v>
      </c>
      <c r="K81" s="21" t="s">
        <v>38</v>
      </c>
      <c r="L81" s="27" t="s">
        <v>137</v>
      </c>
      <c r="M81" s="24"/>
      <c r="N81" s="24"/>
      <c r="O81" s="24"/>
      <c r="P81" s="24"/>
    </row>
    <row r="82" spans="1:16" ht="15" x14ac:dyDescent="0.25">
      <c r="A82" s="20">
        <v>801951292</v>
      </c>
      <c r="B82" s="21" t="s">
        <v>84</v>
      </c>
      <c r="C82" s="20">
        <v>20250201</v>
      </c>
      <c r="D82" s="22" t="str">
        <f>TEXT(DATE(LEFT(C82,4), MID(C82,5,2), RIGHT(C82,2)), "M/d/yyyy")</f>
        <v>2/1/2025</v>
      </c>
      <c r="E82" s="20">
        <v>20250201</v>
      </c>
      <c r="F82" s="20">
        <v>202502</v>
      </c>
      <c r="G82" s="20">
        <v>9254978</v>
      </c>
      <c r="H82" s="21" t="s">
        <v>87</v>
      </c>
      <c r="I82" s="28">
        <v>45748</v>
      </c>
      <c r="J82" s="23">
        <v>22</v>
      </c>
      <c r="K82" s="21" t="s">
        <v>38</v>
      </c>
      <c r="L82" s="27" t="s">
        <v>137</v>
      </c>
      <c r="M82" s="24"/>
      <c r="N82" s="24"/>
      <c r="O82" s="24"/>
      <c r="P82" s="24"/>
    </row>
    <row r="83" spans="1:16" ht="15" x14ac:dyDescent="0.25">
      <c r="A83" s="20">
        <v>801951292</v>
      </c>
      <c r="B83" s="21" t="s">
        <v>84</v>
      </c>
      <c r="C83" s="20">
        <v>20250201</v>
      </c>
      <c r="D83" s="22" t="str">
        <f>TEXT(DATE(LEFT(C83,4), MID(C83,5,2), RIGHT(C83,2)), "M/d/yyyy")</f>
        <v>2/1/2025</v>
      </c>
      <c r="E83" s="20">
        <v>20250201</v>
      </c>
      <c r="F83" s="20">
        <v>202505</v>
      </c>
      <c r="G83" s="20">
        <v>9254978</v>
      </c>
      <c r="H83" s="21" t="s">
        <v>87</v>
      </c>
      <c r="I83" s="28">
        <v>45778</v>
      </c>
      <c r="J83" s="23">
        <v>22</v>
      </c>
      <c r="K83" s="21" t="s">
        <v>38</v>
      </c>
      <c r="L83" s="27" t="s">
        <v>137</v>
      </c>
      <c r="M83" s="24"/>
      <c r="N83" s="24"/>
      <c r="O83" s="24"/>
      <c r="P83" s="24"/>
    </row>
    <row r="84" spans="1:16" ht="15" x14ac:dyDescent="0.25">
      <c r="A84" s="7">
        <v>802624955</v>
      </c>
      <c r="B84" s="4" t="s">
        <v>94</v>
      </c>
      <c r="C84" s="7">
        <v>20220101</v>
      </c>
      <c r="D84" s="18" t="str">
        <f>TEXT(DATE(LEFT(C84,4), MID(C84,5,2), RIGHT(C84,2)), "M/d/yyyy")</f>
        <v>1/1/2022</v>
      </c>
      <c r="E84" s="7">
        <v>20250101</v>
      </c>
      <c r="F84" s="7">
        <v>202504</v>
      </c>
      <c r="G84" s="7">
        <v>9254978</v>
      </c>
      <c r="H84" s="4" t="s">
        <v>87</v>
      </c>
      <c r="I84" s="6">
        <v>45748</v>
      </c>
      <c r="J84" s="5">
        <v>36</v>
      </c>
      <c r="K84" s="4" t="s">
        <v>30</v>
      </c>
      <c r="L84" s="27" t="s">
        <v>137</v>
      </c>
      <c r="M84" s="3" t="s">
        <v>132</v>
      </c>
      <c r="N84" s="3"/>
      <c r="O84" s="3"/>
      <c r="P84" s="3"/>
    </row>
    <row r="85" spans="1:16" ht="15" x14ac:dyDescent="0.25">
      <c r="A85" s="7">
        <v>802624955</v>
      </c>
      <c r="B85" s="4" t="s">
        <v>94</v>
      </c>
      <c r="C85" s="7">
        <v>20220101</v>
      </c>
      <c r="D85" s="18" t="str">
        <f>TEXT(DATE(LEFT(C85,4), MID(C85,5,2), RIGHT(C85,2)), "M/d/yyyy")</f>
        <v>1/1/2022</v>
      </c>
      <c r="E85" s="7">
        <v>20250101</v>
      </c>
      <c r="F85" s="7">
        <v>202505</v>
      </c>
      <c r="G85" s="7">
        <v>9254978</v>
      </c>
      <c r="H85" s="4" t="s">
        <v>87</v>
      </c>
      <c r="I85" s="6">
        <v>45778</v>
      </c>
      <c r="J85" s="5">
        <v>36</v>
      </c>
      <c r="K85" s="4" t="s">
        <v>30</v>
      </c>
      <c r="L85" s="27" t="s">
        <v>137</v>
      </c>
      <c r="M85" s="3" t="s">
        <v>132</v>
      </c>
      <c r="N85" s="3"/>
      <c r="O85" s="3"/>
      <c r="P85" s="3"/>
    </row>
    <row r="86" spans="1:16" ht="15" x14ac:dyDescent="0.25">
      <c r="A86" s="7">
        <v>802645242</v>
      </c>
      <c r="B86" s="4" t="s">
        <v>93</v>
      </c>
      <c r="C86" s="7">
        <v>20220101</v>
      </c>
      <c r="D86" s="18" t="str">
        <f>TEXT(DATE(LEFT(C86,4), MID(C86,5,2), RIGHT(C86,2)), "M/d/yyyy")</f>
        <v>1/1/2022</v>
      </c>
      <c r="E86" s="7">
        <v>20250101</v>
      </c>
      <c r="F86" s="7">
        <v>202504</v>
      </c>
      <c r="G86" s="7">
        <v>9254978</v>
      </c>
      <c r="H86" s="4" t="s">
        <v>87</v>
      </c>
      <c r="I86" s="6">
        <v>45748</v>
      </c>
      <c r="J86" s="5">
        <v>36</v>
      </c>
      <c r="K86" s="4" t="s">
        <v>30</v>
      </c>
      <c r="L86" s="27" t="s">
        <v>137</v>
      </c>
      <c r="M86" s="3" t="s">
        <v>132</v>
      </c>
      <c r="N86" s="3"/>
      <c r="O86" s="3"/>
      <c r="P86" s="3"/>
    </row>
    <row r="87" spans="1:16" ht="15" x14ac:dyDescent="0.25">
      <c r="A87" s="7">
        <v>802645242</v>
      </c>
      <c r="B87" s="4" t="s">
        <v>93</v>
      </c>
      <c r="C87" s="7">
        <v>20220101</v>
      </c>
      <c r="D87" s="18" t="str">
        <f>TEXT(DATE(LEFT(C87,4), MID(C87,5,2), RIGHT(C87,2)), "M/d/yyyy")</f>
        <v>1/1/2022</v>
      </c>
      <c r="E87" s="7">
        <v>20250101</v>
      </c>
      <c r="F87" s="7">
        <v>202505</v>
      </c>
      <c r="G87" s="7">
        <v>9254978</v>
      </c>
      <c r="H87" s="4" t="s">
        <v>87</v>
      </c>
      <c r="I87" s="6">
        <v>45778</v>
      </c>
      <c r="J87" s="5">
        <v>36</v>
      </c>
      <c r="K87" s="4" t="s">
        <v>30</v>
      </c>
      <c r="L87" s="27" t="s">
        <v>137</v>
      </c>
      <c r="M87" s="3" t="s">
        <v>132</v>
      </c>
      <c r="N87" s="3"/>
      <c r="O87" s="3"/>
      <c r="P87" s="3"/>
    </row>
    <row r="88" spans="1:16" ht="15" x14ac:dyDescent="0.25">
      <c r="A88" s="7">
        <v>802566347</v>
      </c>
      <c r="B88" s="4" t="s">
        <v>95</v>
      </c>
      <c r="C88" s="7">
        <v>20210501</v>
      </c>
      <c r="D88" s="18" t="str">
        <f>TEXT(DATE(LEFT(C88,4), MID(C88,5,2), RIGHT(C88,2)), "M/d/yyyy")</f>
        <v>5/1/2021</v>
      </c>
      <c r="E88" s="7">
        <v>20250101</v>
      </c>
      <c r="F88" s="7">
        <v>202504</v>
      </c>
      <c r="G88" s="7">
        <v>9254978</v>
      </c>
      <c r="H88" s="4" t="s">
        <v>87</v>
      </c>
      <c r="I88" s="6">
        <v>45748</v>
      </c>
      <c r="J88" s="5">
        <v>54</v>
      </c>
      <c r="K88" s="4" t="s">
        <v>30</v>
      </c>
      <c r="L88" s="27" t="s">
        <v>137</v>
      </c>
      <c r="M88" s="3" t="s">
        <v>133</v>
      </c>
      <c r="N88" s="3"/>
      <c r="O88" s="3"/>
      <c r="P88" s="3"/>
    </row>
    <row r="89" spans="1:16" ht="15" x14ac:dyDescent="0.25">
      <c r="A89" s="7">
        <v>802566347</v>
      </c>
      <c r="B89" s="4" t="s">
        <v>95</v>
      </c>
      <c r="C89" s="7">
        <v>20210501</v>
      </c>
      <c r="D89" s="18" t="str">
        <f>TEXT(DATE(LEFT(C89,4), MID(C89,5,2), RIGHT(C89,2)), "M/d/yyyy")</f>
        <v>5/1/2021</v>
      </c>
      <c r="E89" s="7">
        <v>20250101</v>
      </c>
      <c r="F89" s="7">
        <v>202505</v>
      </c>
      <c r="G89" s="7">
        <v>9254978</v>
      </c>
      <c r="H89" s="4" t="s">
        <v>87</v>
      </c>
      <c r="I89" s="6">
        <v>45778</v>
      </c>
      <c r="J89" s="5">
        <v>54</v>
      </c>
      <c r="K89" s="4" t="s">
        <v>30</v>
      </c>
      <c r="L89" s="27" t="s">
        <v>137</v>
      </c>
      <c r="M89" s="3" t="s">
        <v>133</v>
      </c>
      <c r="N89" s="3"/>
      <c r="O89" s="3"/>
      <c r="P89" s="3"/>
    </row>
    <row r="90" spans="1:16" ht="15" x14ac:dyDescent="0.25">
      <c r="A90" s="7">
        <v>802766776</v>
      </c>
      <c r="B90" s="4" t="s">
        <v>96</v>
      </c>
      <c r="C90" s="7">
        <v>20230101</v>
      </c>
      <c r="D90" s="18" t="str">
        <f>TEXT(DATE(LEFT(C90,4), MID(C90,5,2), RIGHT(C90,2)), "M/d/yyyy")</f>
        <v>1/1/2023</v>
      </c>
      <c r="E90" s="7">
        <v>20250101</v>
      </c>
      <c r="F90" s="7">
        <v>202504</v>
      </c>
      <c r="G90" s="7">
        <v>9254978</v>
      </c>
      <c r="H90" s="4" t="s">
        <v>87</v>
      </c>
      <c r="I90" s="6">
        <v>45717</v>
      </c>
      <c r="J90" s="5">
        <v>72</v>
      </c>
      <c r="K90" s="4" t="s">
        <v>30</v>
      </c>
      <c r="L90" s="27" t="s">
        <v>137</v>
      </c>
      <c r="M90" s="3" t="s">
        <v>134</v>
      </c>
      <c r="N90" s="3"/>
      <c r="O90" s="3"/>
      <c r="P90" s="3"/>
    </row>
    <row r="91" spans="1:16" ht="15" x14ac:dyDescent="0.25">
      <c r="A91" s="7">
        <v>802766776</v>
      </c>
      <c r="B91" s="4" t="s">
        <v>96</v>
      </c>
      <c r="C91" s="7">
        <v>20230101</v>
      </c>
      <c r="D91" s="18" t="str">
        <f>TEXT(DATE(LEFT(C91,4), MID(C91,5,2), RIGHT(C91,2)), "M/d/yyyy")</f>
        <v>1/1/2023</v>
      </c>
      <c r="E91" s="7">
        <v>20250101</v>
      </c>
      <c r="F91" s="7">
        <v>202503</v>
      </c>
      <c r="G91" s="7">
        <v>9254978</v>
      </c>
      <c r="H91" s="4" t="s">
        <v>87</v>
      </c>
      <c r="I91" s="6">
        <v>45748</v>
      </c>
      <c r="J91" s="5">
        <v>72</v>
      </c>
      <c r="K91" s="4" t="s">
        <v>30</v>
      </c>
      <c r="L91" s="27" t="s">
        <v>137</v>
      </c>
      <c r="M91" s="3" t="s">
        <v>134</v>
      </c>
      <c r="N91" s="3"/>
      <c r="O91" s="3"/>
      <c r="P91" s="3"/>
    </row>
    <row r="92" spans="1:16" ht="15" x14ac:dyDescent="0.25">
      <c r="A92" s="7">
        <v>802766776</v>
      </c>
      <c r="B92" s="4" t="s">
        <v>96</v>
      </c>
      <c r="C92" s="7">
        <v>20230101</v>
      </c>
      <c r="D92" s="18" t="str">
        <f>TEXT(DATE(LEFT(C92,4), MID(C92,5,2), RIGHT(C92,2)), "M/d/yyyy")</f>
        <v>1/1/2023</v>
      </c>
      <c r="E92" s="7">
        <v>20250101</v>
      </c>
      <c r="F92" s="7">
        <v>202505</v>
      </c>
      <c r="G92" s="7">
        <v>9254978</v>
      </c>
      <c r="H92" s="4" t="s">
        <v>87</v>
      </c>
      <c r="I92" s="6">
        <v>45778</v>
      </c>
      <c r="J92" s="5">
        <v>72</v>
      </c>
      <c r="K92" s="4" t="s">
        <v>30</v>
      </c>
      <c r="L92" s="27" t="s">
        <v>137</v>
      </c>
      <c r="M92" s="3" t="s">
        <v>134</v>
      </c>
      <c r="N92" s="3"/>
      <c r="O92" s="3"/>
      <c r="P92" s="3"/>
    </row>
    <row r="93" spans="1:16" ht="15" x14ac:dyDescent="0.25">
      <c r="A93" s="7">
        <v>802999435</v>
      </c>
      <c r="B93" s="4" t="s">
        <v>266</v>
      </c>
      <c r="C93" s="7">
        <v>20250101</v>
      </c>
      <c r="D93" s="18" t="str">
        <f>TEXT(DATE(LEFT(C93,4), MID(C93,5,2), RIGHT(C93,2)), "M/d/yyyy")</f>
        <v>1/1/2025</v>
      </c>
      <c r="E93" s="7">
        <v>20250101</v>
      </c>
      <c r="F93" s="7">
        <v>202504</v>
      </c>
      <c r="G93" s="7">
        <v>9254978</v>
      </c>
      <c r="H93" s="4" t="s">
        <v>87</v>
      </c>
      <c r="I93" s="6">
        <v>45717</v>
      </c>
      <c r="J93" s="5">
        <v>88</v>
      </c>
      <c r="K93" s="4" t="s">
        <v>38</v>
      </c>
      <c r="L93" s="27" t="s">
        <v>137</v>
      </c>
      <c r="M93" s="3" t="s">
        <v>134</v>
      </c>
      <c r="N93" s="3"/>
      <c r="O93" s="3"/>
      <c r="P93" s="3"/>
    </row>
    <row r="94" spans="1:16" ht="15" x14ac:dyDescent="0.25">
      <c r="A94" s="7">
        <v>802999435</v>
      </c>
      <c r="B94" s="4" t="s">
        <v>266</v>
      </c>
      <c r="C94" s="7">
        <v>20250101</v>
      </c>
      <c r="D94" s="18" t="str">
        <f>TEXT(DATE(LEFT(C94,4), MID(C94,5,2), RIGHT(C94,2)), "M/d/yyyy")</f>
        <v>1/1/2025</v>
      </c>
      <c r="E94" s="7">
        <v>20250101</v>
      </c>
      <c r="F94" s="7">
        <v>202503</v>
      </c>
      <c r="G94" s="7">
        <v>9254978</v>
      </c>
      <c r="H94" s="4" t="s">
        <v>87</v>
      </c>
      <c r="I94" s="6">
        <v>45748</v>
      </c>
      <c r="J94" s="5">
        <v>88</v>
      </c>
      <c r="K94" s="4" t="s">
        <v>38</v>
      </c>
      <c r="L94" s="27" t="s">
        <v>137</v>
      </c>
      <c r="M94" s="3" t="s">
        <v>134</v>
      </c>
      <c r="N94" s="3"/>
      <c r="O94" s="3"/>
      <c r="P94" s="3"/>
    </row>
    <row r="95" spans="1:16" ht="15" x14ac:dyDescent="0.25">
      <c r="A95" s="7">
        <v>802999435</v>
      </c>
      <c r="B95" s="4" t="s">
        <v>266</v>
      </c>
      <c r="C95" s="7">
        <v>20250101</v>
      </c>
      <c r="D95" s="18" t="str">
        <f>TEXT(DATE(LEFT(C95,4), MID(C95,5,2), RIGHT(C95,2)), "M/d/yyyy")</f>
        <v>1/1/2025</v>
      </c>
      <c r="E95" s="7">
        <v>20250101</v>
      </c>
      <c r="F95" s="7">
        <v>202505</v>
      </c>
      <c r="G95" s="7">
        <v>9254978</v>
      </c>
      <c r="H95" s="4" t="s">
        <v>87</v>
      </c>
      <c r="I95" s="6">
        <v>45778</v>
      </c>
      <c r="J95" s="5">
        <v>88</v>
      </c>
      <c r="K95" s="4" t="s">
        <v>38</v>
      </c>
      <c r="L95" s="27" t="s">
        <v>137</v>
      </c>
      <c r="M95" s="3" t="s">
        <v>134</v>
      </c>
      <c r="N95" s="3"/>
      <c r="O95" s="3"/>
      <c r="P95" s="3"/>
    </row>
    <row r="96" spans="1:16" ht="15" x14ac:dyDescent="0.25">
      <c r="A96" s="7">
        <v>802071259</v>
      </c>
      <c r="B96" s="4" t="s">
        <v>100</v>
      </c>
      <c r="C96" s="7">
        <v>20170701</v>
      </c>
      <c r="D96" s="18" t="str">
        <f>TEXT(DATE(LEFT(C96,4), MID(C96,5,2), RIGHT(C96,2)), "M/d/yyyy")</f>
        <v>7/1/2017</v>
      </c>
      <c r="E96" s="7">
        <v>20250101</v>
      </c>
      <c r="F96" s="7">
        <v>202504</v>
      </c>
      <c r="G96" s="7">
        <v>9079571</v>
      </c>
      <c r="H96" s="4" t="s">
        <v>99</v>
      </c>
      <c r="I96" s="6">
        <v>45748</v>
      </c>
      <c r="J96" s="5">
        <v>18</v>
      </c>
      <c r="K96" s="4" t="s">
        <v>30</v>
      </c>
      <c r="L96" s="27" t="s">
        <v>137</v>
      </c>
      <c r="M96" s="3"/>
      <c r="N96" s="3"/>
      <c r="O96" s="3"/>
      <c r="P96" s="3"/>
    </row>
    <row r="97" spans="1:16" ht="15" x14ac:dyDescent="0.25">
      <c r="A97" s="7">
        <v>802071259</v>
      </c>
      <c r="B97" s="4" t="s">
        <v>100</v>
      </c>
      <c r="C97" s="7">
        <v>20170701</v>
      </c>
      <c r="D97" s="18" t="str">
        <f>TEXT(DATE(LEFT(C97,4), MID(C97,5,2), RIGHT(C97,2)), "M/d/yyyy")</f>
        <v>7/1/2017</v>
      </c>
      <c r="E97" s="7">
        <v>20250101</v>
      </c>
      <c r="F97" s="7">
        <v>202505</v>
      </c>
      <c r="G97" s="7">
        <v>9079571</v>
      </c>
      <c r="H97" s="4" t="s">
        <v>99</v>
      </c>
      <c r="I97" s="6">
        <v>45778</v>
      </c>
      <c r="J97" s="5">
        <v>18</v>
      </c>
      <c r="K97" s="4" t="s">
        <v>30</v>
      </c>
      <c r="L97" s="27" t="s">
        <v>137</v>
      </c>
      <c r="M97" s="3"/>
      <c r="N97" s="3"/>
      <c r="O97" s="3"/>
      <c r="P97" s="3"/>
    </row>
    <row r="98" spans="1:16" ht="15" x14ac:dyDescent="0.25">
      <c r="A98" s="7">
        <v>802705300</v>
      </c>
      <c r="B98" s="4" t="s">
        <v>98</v>
      </c>
      <c r="C98" s="7">
        <v>20220701</v>
      </c>
      <c r="D98" s="18" t="str">
        <f>TEXT(DATE(LEFT(C98,4), MID(C98,5,2), RIGHT(C98,2)), "M/d/yyyy")</f>
        <v>7/1/2022</v>
      </c>
      <c r="E98" s="7">
        <v>20250101</v>
      </c>
      <c r="F98" s="7">
        <v>202503</v>
      </c>
      <c r="G98" s="7">
        <v>9079571</v>
      </c>
      <c r="H98" s="4" t="s">
        <v>99</v>
      </c>
      <c r="I98" s="6">
        <v>45748</v>
      </c>
      <c r="J98" s="5">
        <v>18</v>
      </c>
      <c r="K98" s="4" t="s">
        <v>30</v>
      </c>
      <c r="L98" s="27" t="s">
        <v>137</v>
      </c>
      <c r="M98" s="3"/>
      <c r="N98" s="3"/>
      <c r="O98" s="3"/>
      <c r="P98" s="3"/>
    </row>
    <row r="99" spans="1:16" ht="15" x14ac:dyDescent="0.25">
      <c r="A99" s="7">
        <v>802705300</v>
      </c>
      <c r="B99" s="4" t="s">
        <v>98</v>
      </c>
      <c r="C99" s="7">
        <v>20220701</v>
      </c>
      <c r="D99" s="18" t="str">
        <f>TEXT(DATE(LEFT(C99,4), MID(C99,5,2), RIGHT(C99,2)), "M/d/yyyy")</f>
        <v>7/1/2022</v>
      </c>
      <c r="E99" s="7">
        <v>20250101</v>
      </c>
      <c r="F99" s="7">
        <v>202504</v>
      </c>
      <c r="G99" s="7">
        <v>9079571</v>
      </c>
      <c r="H99" s="4" t="s">
        <v>99</v>
      </c>
      <c r="I99" s="6">
        <v>45778</v>
      </c>
      <c r="J99" s="5">
        <v>18</v>
      </c>
      <c r="K99" s="4" t="s">
        <v>30</v>
      </c>
      <c r="L99" s="27" t="s">
        <v>137</v>
      </c>
      <c r="M99" s="3"/>
      <c r="N99" s="3"/>
      <c r="O99" s="3"/>
      <c r="P99" s="3"/>
    </row>
    <row r="100" spans="1:16" ht="15" x14ac:dyDescent="0.25">
      <c r="A100" s="7">
        <v>802715093</v>
      </c>
      <c r="B100" s="4" t="s">
        <v>263</v>
      </c>
      <c r="C100" s="7">
        <v>20220801</v>
      </c>
      <c r="D100" s="18" t="str">
        <f>TEXT(DATE(LEFT(C100,4), MID(C100,5,2), RIGHT(C100,2)), "M/d/yyyy")</f>
        <v>8/1/2022</v>
      </c>
      <c r="E100" s="7">
        <v>20250101</v>
      </c>
      <c r="F100" s="7">
        <v>202503</v>
      </c>
      <c r="G100" s="7">
        <v>9079571</v>
      </c>
      <c r="H100" s="4" t="s">
        <v>99</v>
      </c>
      <c r="I100" s="6">
        <v>45748</v>
      </c>
      <c r="J100" s="5">
        <v>54</v>
      </c>
      <c r="K100" s="4" t="s">
        <v>30</v>
      </c>
      <c r="L100" s="27" t="s">
        <v>137</v>
      </c>
      <c r="M100" s="3" t="s">
        <v>133</v>
      </c>
      <c r="N100" s="3"/>
      <c r="O100" s="3"/>
      <c r="P100" s="3"/>
    </row>
    <row r="101" spans="1:16" ht="15" x14ac:dyDescent="0.25">
      <c r="A101" s="7">
        <v>802715093</v>
      </c>
      <c r="B101" s="4" t="s">
        <v>263</v>
      </c>
      <c r="C101" s="7">
        <v>20220801</v>
      </c>
      <c r="D101" s="18" t="str">
        <f>TEXT(DATE(LEFT(C101,4), MID(C101,5,2), RIGHT(C101,2)), "M/d/yyyy")</f>
        <v>8/1/2022</v>
      </c>
      <c r="E101" s="7">
        <v>20250101</v>
      </c>
      <c r="F101" s="7">
        <v>202504</v>
      </c>
      <c r="G101" s="7">
        <v>9079571</v>
      </c>
      <c r="H101" s="4" t="s">
        <v>99</v>
      </c>
      <c r="I101" s="6">
        <v>45717</v>
      </c>
      <c r="J101" s="5">
        <v>54</v>
      </c>
      <c r="K101" s="4" t="s">
        <v>30</v>
      </c>
      <c r="L101" s="27" t="s">
        <v>137</v>
      </c>
      <c r="M101" s="3" t="s">
        <v>133</v>
      </c>
      <c r="N101" s="3"/>
      <c r="O101" s="3"/>
      <c r="P101" s="3"/>
    </row>
    <row r="102" spans="1:16" ht="15" x14ac:dyDescent="0.25">
      <c r="A102" s="7">
        <v>802715093</v>
      </c>
      <c r="B102" s="4" t="s">
        <v>263</v>
      </c>
      <c r="C102" s="7">
        <v>20220801</v>
      </c>
      <c r="D102" s="18" t="str">
        <f>TEXT(DATE(LEFT(C102,4), MID(C102,5,2), RIGHT(C102,2)), "M/d/yyyy")</f>
        <v>8/1/2022</v>
      </c>
      <c r="E102" s="7">
        <v>20250101</v>
      </c>
      <c r="F102" s="7">
        <v>202505</v>
      </c>
      <c r="G102" s="7">
        <v>9079571</v>
      </c>
      <c r="H102" s="4" t="s">
        <v>99</v>
      </c>
      <c r="I102" s="6">
        <v>45778</v>
      </c>
      <c r="J102" s="5">
        <v>54</v>
      </c>
      <c r="K102" s="4" t="s">
        <v>30</v>
      </c>
      <c r="L102" s="27" t="s">
        <v>137</v>
      </c>
      <c r="M102" s="3" t="s">
        <v>133</v>
      </c>
      <c r="N102" s="3"/>
      <c r="O102" s="3"/>
      <c r="P102" s="3"/>
    </row>
    <row r="103" spans="1:16" ht="15" x14ac:dyDescent="0.25">
      <c r="A103" s="7">
        <v>802183108</v>
      </c>
      <c r="B103" s="4" t="s">
        <v>102</v>
      </c>
      <c r="C103" s="7">
        <v>20180201</v>
      </c>
      <c r="D103" s="18" t="str">
        <f>TEXT(DATE(LEFT(C103,4), MID(C103,5,2), RIGHT(C103,2)), "M/d/yyyy")</f>
        <v>2/1/2018</v>
      </c>
      <c r="E103" s="7">
        <v>20250101</v>
      </c>
      <c r="F103" s="7">
        <v>202504</v>
      </c>
      <c r="G103" s="7">
        <v>9079571</v>
      </c>
      <c r="H103" s="4" t="s">
        <v>99</v>
      </c>
      <c r="I103" s="6">
        <v>45748</v>
      </c>
      <c r="J103" s="5">
        <v>90</v>
      </c>
      <c r="K103" s="4" t="s">
        <v>30</v>
      </c>
      <c r="L103" s="27" t="s">
        <v>137</v>
      </c>
      <c r="M103" s="3" t="s">
        <v>135</v>
      </c>
      <c r="N103" s="3"/>
      <c r="O103" s="3"/>
      <c r="P103" s="3"/>
    </row>
    <row r="104" spans="1:16" ht="15" x14ac:dyDescent="0.25">
      <c r="A104" s="7">
        <v>802183108</v>
      </c>
      <c r="B104" s="4" t="s">
        <v>102</v>
      </c>
      <c r="C104" s="7">
        <v>20180201</v>
      </c>
      <c r="D104" s="18" t="str">
        <f>TEXT(DATE(LEFT(C104,4), MID(C104,5,2), RIGHT(C104,2)), "M/d/yyyy")</f>
        <v>2/1/2018</v>
      </c>
      <c r="E104" s="7">
        <v>20250101</v>
      </c>
      <c r="F104" s="7">
        <v>202505</v>
      </c>
      <c r="G104" s="7">
        <v>9079571</v>
      </c>
      <c r="H104" s="4" t="s">
        <v>99</v>
      </c>
      <c r="I104" s="6">
        <v>45778</v>
      </c>
      <c r="J104" s="5">
        <v>90</v>
      </c>
      <c r="K104" s="4" t="s">
        <v>30</v>
      </c>
      <c r="L104" s="27" t="s">
        <v>137</v>
      </c>
      <c r="M104" s="3" t="s">
        <v>135</v>
      </c>
      <c r="N104" s="3"/>
      <c r="O104" s="3"/>
      <c r="P104" s="3"/>
    </row>
    <row r="105" spans="1:16" ht="15" x14ac:dyDescent="0.25">
      <c r="A105" s="7">
        <v>802817444</v>
      </c>
      <c r="B105" s="4" t="s">
        <v>103</v>
      </c>
      <c r="C105" s="7">
        <v>20230701</v>
      </c>
      <c r="D105" s="18" t="str">
        <f>TEXT(DATE(LEFT(C105,4), MID(C105,5,2), RIGHT(C105,2)), "M/d/yyyy")</f>
        <v>7/1/2023</v>
      </c>
      <c r="E105" s="7">
        <v>20240101</v>
      </c>
      <c r="F105" s="7">
        <v>202405</v>
      </c>
      <c r="G105" s="7">
        <v>16509456</v>
      </c>
      <c r="H105" s="4" t="s">
        <v>106</v>
      </c>
      <c r="I105" s="6">
        <v>45383</v>
      </c>
      <c r="J105" s="5">
        <v>18</v>
      </c>
      <c r="K105" s="4" t="s">
        <v>38</v>
      </c>
      <c r="L105" s="27" t="s">
        <v>137</v>
      </c>
      <c r="M105" s="3"/>
      <c r="N105" s="3"/>
      <c r="O105" s="3"/>
      <c r="P105" s="3"/>
    </row>
    <row r="106" spans="1:16" ht="15" x14ac:dyDescent="0.25">
      <c r="A106" s="7">
        <v>802817444</v>
      </c>
      <c r="B106" s="4" t="s">
        <v>103</v>
      </c>
      <c r="C106" s="7">
        <v>20230701</v>
      </c>
      <c r="D106" s="18" t="str">
        <f>TEXT(DATE(LEFT(C106,4), MID(C106,5,2), RIGHT(C106,2)), "M/d/yyyy")</f>
        <v>7/1/2023</v>
      </c>
      <c r="E106" s="7">
        <v>20240101</v>
      </c>
      <c r="F106" s="7">
        <v>202406</v>
      </c>
      <c r="G106" s="7">
        <v>16509456</v>
      </c>
      <c r="H106" s="4" t="s">
        <v>106</v>
      </c>
      <c r="I106" s="6">
        <v>45413</v>
      </c>
      <c r="J106" s="5">
        <v>18</v>
      </c>
      <c r="K106" s="4" t="s">
        <v>38</v>
      </c>
      <c r="L106" s="27" t="s">
        <v>137</v>
      </c>
      <c r="M106" s="3"/>
      <c r="N106" s="3"/>
      <c r="O106" s="3"/>
      <c r="P106" s="3"/>
    </row>
    <row r="107" spans="1:16" ht="15" x14ac:dyDescent="0.25">
      <c r="A107" s="7">
        <v>802817444</v>
      </c>
      <c r="B107" s="4" t="s">
        <v>103</v>
      </c>
      <c r="C107" s="7">
        <v>20230701</v>
      </c>
      <c r="D107" s="18" t="str">
        <f>TEXT(DATE(LEFT(C107,4), MID(C107,5,2), RIGHT(C107,2)), "M/d/yyyy")</f>
        <v>7/1/2023</v>
      </c>
      <c r="E107" s="7">
        <v>20240101</v>
      </c>
      <c r="F107" s="7">
        <v>202407</v>
      </c>
      <c r="G107" s="7">
        <v>16509456</v>
      </c>
      <c r="H107" s="4" t="s">
        <v>106</v>
      </c>
      <c r="I107" s="6">
        <v>45444</v>
      </c>
      <c r="J107" s="5">
        <v>18</v>
      </c>
      <c r="K107" s="4" t="s">
        <v>30</v>
      </c>
      <c r="L107" s="27" t="s">
        <v>137</v>
      </c>
      <c r="M107" s="3"/>
      <c r="N107" s="3"/>
      <c r="O107" s="3"/>
      <c r="P107" s="3"/>
    </row>
    <row r="108" spans="1:16" ht="15" x14ac:dyDescent="0.25">
      <c r="A108" s="7">
        <v>802817444</v>
      </c>
      <c r="B108" s="4" t="s">
        <v>103</v>
      </c>
      <c r="C108" s="7">
        <v>20230701</v>
      </c>
      <c r="D108" s="18" t="str">
        <f>TEXT(DATE(LEFT(C108,4), MID(C108,5,2), RIGHT(C108,2)), "M/d/yyyy")</f>
        <v>7/1/2023</v>
      </c>
      <c r="E108" s="7">
        <v>20240101</v>
      </c>
      <c r="F108" s="7">
        <v>202404</v>
      </c>
      <c r="G108" s="7">
        <v>16509456</v>
      </c>
      <c r="H108" s="4" t="s">
        <v>106</v>
      </c>
      <c r="I108" s="6">
        <v>45474</v>
      </c>
      <c r="J108" s="5">
        <v>18</v>
      </c>
      <c r="K108" s="4" t="s">
        <v>38</v>
      </c>
      <c r="L108" s="27" t="s">
        <v>137</v>
      </c>
      <c r="M108" s="3"/>
      <c r="N108" s="3"/>
      <c r="O108" s="3"/>
      <c r="P108" s="3"/>
    </row>
    <row r="109" spans="1:16" ht="15" x14ac:dyDescent="0.25">
      <c r="A109" s="7">
        <v>802817444</v>
      </c>
      <c r="B109" s="4" t="s">
        <v>103</v>
      </c>
      <c r="C109" s="7">
        <v>20230701</v>
      </c>
      <c r="D109" s="18" t="str">
        <f>TEXT(DATE(LEFT(C109,4), MID(C109,5,2), RIGHT(C109,2)), "M/d/yyyy")</f>
        <v>7/1/2023</v>
      </c>
      <c r="E109" s="7">
        <v>20240101</v>
      </c>
      <c r="F109" s="7">
        <v>202408</v>
      </c>
      <c r="G109" s="7">
        <v>16509456</v>
      </c>
      <c r="H109" s="4" t="s">
        <v>106</v>
      </c>
      <c r="I109" s="6">
        <v>45505</v>
      </c>
      <c r="J109" s="5">
        <v>18</v>
      </c>
      <c r="K109" s="4" t="s">
        <v>30</v>
      </c>
      <c r="L109" s="27" t="s">
        <v>137</v>
      </c>
      <c r="M109" s="3"/>
      <c r="N109" s="3"/>
      <c r="O109" s="3"/>
      <c r="P109" s="3"/>
    </row>
    <row r="110" spans="1:16" ht="15" x14ac:dyDescent="0.25">
      <c r="A110" s="7">
        <v>802817444</v>
      </c>
      <c r="B110" s="4" t="s">
        <v>103</v>
      </c>
      <c r="C110" s="7">
        <v>20230701</v>
      </c>
      <c r="D110" s="18" t="str">
        <f>TEXT(DATE(LEFT(C110,4), MID(C110,5,2), RIGHT(C110,2)), "M/d/yyyy")</f>
        <v>7/1/2023</v>
      </c>
      <c r="E110" s="7">
        <v>20240101</v>
      </c>
      <c r="F110" s="7">
        <v>202409</v>
      </c>
      <c r="G110" s="7">
        <v>16509456</v>
      </c>
      <c r="H110" s="4" t="s">
        <v>106</v>
      </c>
      <c r="I110" s="6">
        <v>45536</v>
      </c>
      <c r="J110" s="5">
        <v>18</v>
      </c>
      <c r="K110" s="4" t="s">
        <v>30</v>
      </c>
      <c r="L110" s="27" t="s">
        <v>137</v>
      </c>
      <c r="M110" s="3"/>
      <c r="N110" s="3"/>
      <c r="O110" s="3"/>
      <c r="P110" s="3"/>
    </row>
    <row r="111" spans="1:16" ht="15" x14ac:dyDescent="0.25">
      <c r="A111" s="7">
        <v>802817444</v>
      </c>
      <c r="B111" s="4" t="s">
        <v>103</v>
      </c>
      <c r="C111" s="7">
        <v>20230701</v>
      </c>
      <c r="D111" s="18" t="str">
        <f>TEXT(DATE(LEFT(C111,4), MID(C111,5,2), RIGHT(C111,2)), "M/d/yyyy")</f>
        <v>7/1/2023</v>
      </c>
      <c r="E111" s="7">
        <v>20240101</v>
      </c>
      <c r="F111" s="7">
        <v>202410</v>
      </c>
      <c r="G111" s="7">
        <v>16509456</v>
      </c>
      <c r="H111" s="4" t="s">
        <v>106</v>
      </c>
      <c r="I111" s="6">
        <v>45566</v>
      </c>
      <c r="J111" s="5">
        <v>18</v>
      </c>
      <c r="K111" s="4" t="s">
        <v>30</v>
      </c>
      <c r="L111" s="27" t="s">
        <v>137</v>
      </c>
      <c r="M111" s="3"/>
      <c r="N111" s="3"/>
      <c r="O111" s="3"/>
      <c r="P111" s="3"/>
    </row>
    <row r="112" spans="1:16" ht="15" x14ac:dyDescent="0.25">
      <c r="A112" s="7">
        <v>802817444</v>
      </c>
      <c r="B112" s="4" t="s">
        <v>103</v>
      </c>
      <c r="C112" s="7">
        <v>20230701</v>
      </c>
      <c r="D112" s="18" t="str">
        <f>TEXT(DATE(LEFT(C112,4), MID(C112,5,2), RIGHT(C112,2)), "M/d/yyyy")</f>
        <v>7/1/2023</v>
      </c>
      <c r="E112" s="7">
        <v>20240101</v>
      </c>
      <c r="F112" s="7">
        <v>202411</v>
      </c>
      <c r="G112" s="7">
        <v>16509456</v>
      </c>
      <c r="H112" s="4" t="s">
        <v>106</v>
      </c>
      <c r="I112" s="6">
        <v>45597</v>
      </c>
      <c r="J112" s="5">
        <v>18</v>
      </c>
      <c r="K112" s="4" t="s">
        <v>30</v>
      </c>
      <c r="L112" s="27" t="s">
        <v>137</v>
      </c>
      <c r="M112" s="3"/>
      <c r="N112" s="3"/>
      <c r="O112" s="3"/>
      <c r="P112" s="3"/>
    </row>
    <row r="113" spans="1:16" ht="15" x14ac:dyDescent="0.25">
      <c r="A113" s="7">
        <v>802817444</v>
      </c>
      <c r="B113" s="4" t="s">
        <v>103</v>
      </c>
      <c r="C113" s="7">
        <v>20230701</v>
      </c>
      <c r="D113" s="18" t="str">
        <f>TEXT(DATE(LEFT(C113,4), MID(C113,5,2), RIGHT(C113,2)), "M/d/yyyy")</f>
        <v>7/1/2023</v>
      </c>
      <c r="E113" s="7">
        <v>20240101</v>
      </c>
      <c r="F113" s="7">
        <v>202412</v>
      </c>
      <c r="G113" s="7">
        <v>16509456</v>
      </c>
      <c r="H113" s="4" t="s">
        <v>106</v>
      </c>
      <c r="I113" s="6">
        <v>45627</v>
      </c>
      <c r="J113" s="5">
        <v>18</v>
      </c>
      <c r="K113" s="4" t="s">
        <v>30</v>
      </c>
      <c r="L113" s="27" t="s">
        <v>137</v>
      </c>
      <c r="M113" s="3"/>
      <c r="N113" s="3"/>
      <c r="O113" s="3"/>
      <c r="P113" s="3"/>
    </row>
    <row r="114" spans="1:16" ht="15" x14ac:dyDescent="0.25">
      <c r="A114" s="7">
        <v>802817444</v>
      </c>
      <c r="B114" s="4" t="s">
        <v>103</v>
      </c>
      <c r="C114" s="7">
        <v>20230701</v>
      </c>
      <c r="D114" s="18" t="str">
        <f>TEXT(DATE(LEFT(C114,4), MID(C114,5,2), RIGHT(C114,2)), "M/d/yyyy")</f>
        <v>7/1/2023</v>
      </c>
      <c r="E114" s="7">
        <v>20250101</v>
      </c>
      <c r="F114" s="7">
        <v>202501</v>
      </c>
      <c r="G114" s="7">
        <v>16509456</v>
      </c>
      <c r="H114" s="4" t="s">
        <v>106</v>
      </c>
      <c r="I114" s="6">
        <v>45658</v>
      </c>
      <c r="J114" s="5">
        <v>18</v>
      </c>
      <c r="K114" s="4" t="s">
        <v>30</v>
      </c>
      <c r="L114" s="27" t="s">
        <v>137</v>
      </c>
      <c r="M114" s="3"/>
      <c r="N114" s="3"/>
      <c r="O114" s="3"/>
      <c r="P114" s="3"/>
    </row>
    <row r="115" spans="1:16" ht="15" x14ac:dyDescent="0.25">
      <c r="A115" s="7">
        <v>802817444</v>
      </c>
      <c r="B115" s="4" t="s">
        <v>103</v>
      </c>
      <c r="C115" s="7">
        <v>20230701</v>
      </c>
      <c r="D115" s="18" t="str">
        <f>TEXT(DATE(LEFT(C115,4), MID(C115,5,2), RIGHT(C115,2)), "M/d/yyyy")</f>
        <v>7/1/2023</v>
      </c>
      <c r="E115" s="7">
        <v>20250101</v>
      </c>
      <c r="F115" s="7">
        <v>202502</v>
      </c>
      <c r="G115" s="7">
        <v>16509456</v>
      </c>
      <c r="H115" s="4" t="s">
        <v>106</v>
      </c>
      <c r="I115" s="6">
        <v>45689</v>
      </c>
      <c r="J115" s="5">
        <v>18</v>
      </c>
      <c r="K115" s="4" t="s">
        <v>30</v>
      </c>
      <c r="L115" s="27" t="s">
        <v>137</v>
      </c>
      <c r="M115" s="3"/>
      <c r="N115" s="3"/>
      <c r="O115" s="3"/>
      <c r="P115" s="3"/>
    </row>
    <row r="116" spans="1:16" ht="15" x14ac:dyDescent="0.25">
      <c r="A116" s="7">
        <v>802766554</v>
      </c>
      <c r="B116" s="4" t="s">
        <v>109</v>
      </c>
      <c r="C116" s="7">
        <v>20230101</v>
      </c>
      <c r="D116" s="18" t="str">
        <f>TEXT(DATE(LEFT(C116,4), MID(C116,5,2), RIGHT(C116,2)), "M/d/yyyy")</f>
        <v>1/1/2023</v>
      </c>
      <c r="E116" s="7">
        <v>20240101</v>
      </c>
      <c r="F116" s="7">
        <v>202404</v>
      </c>
      <c r="G116" s="7">
        <v>16509456</v>
      </c>
      <c r="H116" s="4" t="s">
        <v>106</v>
      </c>
      <c r="I116" s="6">
        <v>45383</v>
      </c>
      <c r="J116" s="5">
        <v>36</v>
      </c>
      <c r="K116" s="4" t="s">
        <v>30</v>
      </c>
      <c r="L116" s="27" t="s">
        <v>137</v>
      </c>
      <c r="M116" s="3" t="s">
        <v>132</v>
      </c>
      <c r="N116" s="3"/>
      <c r="O116" s="3"/>
      <c r="P116" s="3"/>
    </row>
    <row r="117" spans="1:16" ht="15" x14ac:dyDescent="0.25">
      <c r="A117" s="7">
        <v>802766554</v>
      </c>
      <c r="B117" s="4" t="s">
        <v>109</v>
      </c>
      <c r="C117" s="7">
        <v>20230101</v>
      </c>
      <c r="D117" s="18" t="str">
        <f>TEXT(DATE(LEFT(C117,4), MID(C117,5,2), RIGHT(C117,2)), "M/d/yyyy")</f>
        <v>1/1/2023</v>
      </c>
      <c r="E117" s="7">
        <v>20240101</v>
      </c>
      <c r="F117" s="7">
        <v>202405</v>
      </c>
      <c r="G117" s="7">
        <v>16509456</v>
      </c>
      <c r="H117" s="4" t="s">
        <v>106</v>
      </c>
      <c r="I117" s="6">
        <v>45413</v>
      </c>
      <c r="J117" s="5">
        <v>36</v>
      </c>
      <c r="K117" s="4" t="s">
        <v>30</v>
      </c>
      <c r="L117" s="27" t="s">
        <v>137</v>
      </c>
      <c r="M117" s="3" t="s">
        <v>132</v>
      </c>
      <c r="N117" s="3"/>
      <c r="O117" s="3"/>
      <c r="P117" s="3"/>
    </row>
    <row r="118" spans="1:16" ht="15" x14ac:dyDescent="0.25">
      <c r="A118" s="7">
        <v>802766554</v>
      </c>
      <c r="B118" s="4" t="s">
        <v>109</v>
      </c>
      <c r="C118" s="7">
        <v>20230101</v>
      </c>
      <c r="D118" s="18" t="str">
        <f>TEXT(DATE(LEFT(C118,4), MID(C118,5,2), RIGHT(C118,2)), "M/d/yyyy")</f>
        <v>1/1/2023</v>
      </c>
      <c r="E118" s="7">
        <v>20240101</v>
      </c>
      <c r="F118" s="7">
        <v>202406</v>
      </c>
      <c r="G118" s="7">
        <v>16509456</v>
      </c>
      <c r="H118" s="4" t="s">
        <v>106</v>
      </c>
      <c r="I118" s="6">
        <v>45444</v>
      </c>
      <c r="J118" s="5">
        <v>36</v>
      </c>
      <c r="K118" s="4" t="s">
        <v>30</v>
      </c>
      <c r="L118" s="27" t="s">
        <v>137</v>
      </c>
      <c r="M118" s="3" t="s">
        <v>132</v>
      </c>
      <c r="N118" s="3"/>
      <c r="O118" s="3"/>
      <c r="P118" s="3"/>
    </row>
    <row r="119" spans="1:16" ht="15" x14ac:dyDescent="0.25">
      <c r="A119" s="7">
        <v>802766554</v>
      </c>
      <c r="B119" s="4" t="s">
        <v>109</v>
      </c>
      <c r="C119" s="7">
        <v>20230101</v>
      </c>
      <c r="D119" s="18" t="str">
        <f>TEXT(DATE(LEFT(C119,4), MID(C119,5,2), RIGHT(C119,2)), "M/d/yyyy")</f>
        <v>1/1/2023</v>
      </c>
      <c r="E119" s="7">
        <v>20240101</v>
      </c>
      <c r="F119" s="7">
        <v>202407</v>
      </c>
      <c r="G119" s="7">
        <v>16509456</v>
      </c>
      <c r="H119" s="4" t="s">
        <v>106</v>
      </c>
      <c r="I119" s="6">
        <v>45474</v>
      </c>
      <c r="J119" s="5">
        <v>36</v>
      </c>
      <c r="K119" s="4" t="s">
        <v>30</v>
      </c>
      <c r="L119" s="27" t="s">
        <v>137</v>
      </c>
      <c r="M119" s="3" t="s">
        <v>132</v>
      </c>
      <c r="N119" s="3"/>
      <c r="O119" s="3"/>
      <c r="P119" s="3"/>
    </row>
    <row r="120" spans="1:16" ht="15" x14ac:dyDescent="0.25">
      <c r="A120" s="7">
        <v>802766554</v>
      </c>
      <c r="B120" s="4" t="s">
        <v>109</v>
      </c>
      <c r="C120" s="7">
        <v>20230101</v>
      </c>
      <c r="D120" s="18" t="str">
        <f>TEXT(DATE(LEFT(C120,4), MID(C120,5,2), RIGHT(C120,2)), "M/d/yyyy")</f>
        <v>1/1/2023</v>
      </c>
      <c r="E120" s="7">
        <v>20240101</v>
      </c>
      <c r="F120" s="7">
        <v>202408</v>
      </c>
      <c r="G120" s="7">
        <v>16509456</v>
      </c>
      <c r="H120" s="4" t="s">
        <v>106</v>
      </c>
      <c r="I120" s="6">
        <v>45505</v>
      </c>
      <c r="J120" s="5">
        <v>36</v>
      </c>
      <c r="K120" s="4" t="s">
        <v>30</v>
      </c>
      <c r="L120" s="27" t="s">
        <v>137</v>
      </c>
      <c r="M120" s="3" t="s">
        <v>132</v>
      </c>
      <c r="N120" s="3"/>
      <c r="O120" s="3"/>
      <c r="P120" s="3"/>
    </row>
    <row r="121" spans="1:16" ht="15" x14ac:dyDescent="0.25">
      <c r="A121" s="7">
        <v>802766554</v>
      </c>
      <c r="B121" s="4" t="s">
        <v>109</v>
      </c>
      <c r="C121" s="7">
        <v>20230101</v>
      </c>
      <c r="D121" s="18" t="str">
        <f>TEXT(DATE(LEFT(C121,4), MID(C121,5,2), RIGHT(C121,2)), "M/d/yyyy")</f>
        <v>1/1/2023</v>
      </c>
      <c r="E121" s="7">
        <v>20240101</v>
      </c>
      <c r="F121" s="7">
        <v>202409</v>
      </c>
      <c r="G121" s="7">
        <v>16509456</v>
      </c>
      <c r="H121" s="4" t="s">
        <v>106</v>
      </c>
      <c r="I121" s="6">
        <v>45536</v>
      </c>
      <c r="J121" s="5">
        <v>36</v>
      </c>
      <c r="K121" s="4" t="s">
        <v>30</v>
      </c>
      <c r="L121" s="27" t="s">
        <v>137</v>
      </c>
      <c r="M121" s="3" t="s">
        <v>132</v>
      </c>
      <c r="N121" s="3"/>
      <c r="O121" s="3"/>
      <c r="P121" s="3"/>
    </row>
    <row r="122" spans="1:16" ht="15" x14ac:dyDescent="0.25">
      <c r="A122" s="7">
        <v>802766554</v>
      </c>
      <c r="B122" s="4" t="s">
        <v>109</v>
      </c>
      <c r="C122" s="7">
        <v>20230101</v>
      </c>
      <c r="D122" s="18" t="str">
        <f>TEXT(DATE(LEFT(C122,4), MID(C122,5,2), RIGHT(C122,2)), "M/d/yyyy")</f>
        <v>1/1/2023</v>
      </c>
      <c r="E122" s="7">
        <v>20240101</v>
      </c>
      <c r="F122" s="7">
        <v>202410</v>
      </c>
      <c r="G122" s="7">
        <v>16509456</v>
      </c>
      <c r="H122" s="4" t="s">
        <v>106</v>
      </c>
      <c r="I122" s="6">
        <v>45566</v>
      </c>
      <c r="J122" s="5">
        <v>36</v>
      </c>
      <c r="K122" s="4" t="s">
        <v>30</v>
      </c>
      <c r="L122" s="27" t="s">
        <v>137</v>
      </c>
      <c r="M122" s="3" t="s">
        <v>132</v>
      </c>
      <c r="N122" s="3"/>
      <c r="O122" s="3"/>
      <c r="P122" s="3"/>
    </row>
    <row r="123" spans="1:16" ht="15" x14ac:dyDescent="0.25">
      <c r="A123" s="7">
        <v>802766554</v>
      </c>
      <c r="B123" s="4" t="s">
        <v>109</v>
      </c>
      <c r="C123" s="7">
        <v>20230101</v>
      </c>
      <c r="D123" s="18" t="str">
        <f>TEXT(DATE(LEFT(C123,4), MID(C123,5,2), RIGHT(C123,2)), "M/d/yyyy")</f>
        <v>1/1/2023</v>
      </c>
      <c r="E123" s="7">
        <v>20240101</v>
      </c>
      <c r="F123" s="7">
        <v>202411</v>
      </c>
      <c r="G123" s="7">
        <v>16509456</v>
      </c>
      <c r="H123" s="4" t="s">
        <v>106</v>
      </c>
      <c r="I123" s="6">
        <v>45597</v>
      </c>
      <c r="J123" s="5">
        <v>36</v>
      </c>
      <c r="K123" s="4" t="s">
        <v>30</v>
      </c>
      <c r="L123" s="27" t="s">
        <v>137</v>
      </c>
      <c r="M123" s="3" t="s">
        <v>132</v>
      </c>
      <c r="N123" s="3"/>
      <c r="O123" s="3"/>
      <c r="P123" s="3"/>
    </row>
    <row r="124" spans="1:16" ht="15" x14ac:dyDescent="0.25">
      <c r="A124" s="7">
        <v>802766554</v>
      </c>
      <c r="B124" s="4" t="s">
        <v>109</v>
      </c>
      <c r="C124" s="7">
        <v>20230101</v>
      </c>
      <c r="D124" s="18" t="str">
        <f>TEXT(DATE(LEFT(C124,4), MID(C124,5,2), RIGHT(C124,2)), "M/d/yyyy")</f>
        <v>1/1/2023</v>
      </c>
      <c r="E124" s="7">
        <v>20240101</v>
      </c>
      <c r="F124" s="7">
        <v>202412</v>
      </c>
      <c r="G124" s="7">
        <v>16509456</v>
      </c>
      <c r="H124" s="4" t="s">
        <v>106</v>
      </c>
      <c r="I124" s="6">
        <v>45627</v>
      </c>
      <c r="J124" s="5">
        <v>36</v>
      </c>
      <c r="K124" s="4" t="s">
        <v>30</v>
      </c>
      <c r="L124" s="27" t="s">
        <v>137</v>
      </c>
      <c r="M124" s="3" t="s">
        <v>132</v>
      </c>
      <c r="N124" s="3"/>
      <c r="O124" s="3"/>
      <c r="P124" s="3"/>
    </row>
    <row r="125" spans="1:16" ht="15" x14ac:dyDescent="0.25">
      <c r="A125" s="7">
        <v>802766554</v>
      </c>
      <c r="B125" s="4" t="s">
        <v>109</v>
      </c>
      <c r="C125" s="7">
        <v>20230101</v>
      </c>
      <c r="D125" s="18" t="str">
        <f>TEXT(DATE(LEFT(C125,4), MID(C125,5,2), RIGHT(C125,2)), "M/d/yyyy")</f>
        <v>1/1/2023</v>
      </c>
      <c r="E125" s="7">
        <v>20250101</v>
      </c>
      <c r="F125" s="7">
        <v>202501</v>
      </c>
      <c r="G125" s="7">
        <v>16509456</v>
      </c>
      <c r="H125" s="4" t="s">
        <v>106</v>
      </c>
      <c r="I125" s="6">
        <v>45658</v>
      </c>
      <c r="J125" s="5">
        <v>36</v>
      </c>
      <c r="K125" s="4" t="s">
        <v>30</v>
      </c>
      <c r="L125" s="27" t="s">
        <v>137</v>
      </c>
      <c r="M125" s="3" t="s">
        <v>132</v>
      </c>
      <c r="N125" s="3"/>
      <c r="O125" s="3"/>
      <c r="P125" s="3"/>
    </row>
    <row r="126" spans="1:16" ht="15" x14ac:dyDescent="0.25">
      <c r="A126" s="7">
        <v>802726965</v>
      </c>
      <c r="B126" s="4" t="s">
        <v>264</v>
      </c>
      <c r="C126" s="7">
        <v>20220901</v>
      </c>
      <c r="D126" s="18" t="str">
        <f>TEXT(DATE(LEFT(C126,4), MID(C126,5,2), RIGHT(C126,2)), "M/d/yyyy")</f>
        <v>9/1/2022</v>
      </c>
      <c r="E126" s="7">
        <v>20250101</v>
      </c>
      <c r="F126" s="7">
        <v>202504</v>
      </c>
      <c r="G126" s="7">
        <v>16509456</v>
      </c>
      <c r="H126" s="4" t="s">
        <v>106</v>
      </c>
      <c r="I126" s="6">
        <v>45748</v>
      </c>
      <c r="J126" s="5">
        <v>54</v>
      </c>
      <c r="K126" s="4" t="s">
        <v>30</v>
      </c>
      <c r="L126" s="27" t="s">
        <v>137</v>
      </c>
      <c r="M126" s="3" t="s">
        <v>133</v>
      </c>
      <c r="N126" s="3"/>
      <c r="O126" s="3"/>
      <c r="P126" s="3"/>
    </row>
    <row r="127" spans="1:16" ht="15" x14ac:dyDescent="0.25">
      <c r="A127" s="7">
        <v>802726965</v>
      </c>
      <c r="B127" s="4" t="s">
        <v>264</v>
      </c>
      <c r="C127" s="7">
        <v>20220901</v>
      </c>
      <c r="D127" s="18" t="str">
        <f>TEXT(DATE(LEFT(C127,4), MID(C127,5,2), RIGHT(C127,2)), "M/d/yyyy")</f>
        <v>9/1/2022</v>
      </c>
      <c r="E127" s="7">
        <v>20250101</v>
      </c>
      <c r="F127" s="7">
        <v>202503</v>
      </c>
      <c r="G127" s="7">
        <v>16509456</v>
      </c>
      <c r="H127" s="4" t="s">
        <v>106</v>
      </c>
      <c r="I127" s="6">
        <v>45717</v>
      </c>
      <c r="J127" s="5">
        <v>54</v>
      </c>
      <c r="K127" s="4" t="s">
        <v>30</v>
      </c>
      <c r="L127" s="27" t="s">
        <v>137</v>
      </c>
      <c r="M127" s="3" t="s">
        <v>133</v>
      </c>
      <c r="N127" s="3"/>
      <c r="O127" s="3"/>
      <c r="P127" s="3"/>
    </row>
    <row r="128" spans="1:16" ht="15" x14ac:dyDescent="0.25">
      <c r="A128" s="7">
        <v>802726965</v>
      </c>
      <c r="B128" s="4" t="s">
        <v>264</v>
      </c>
      <c r="C128" s="7">
        <v>20220901</v>
      </c>
      <c r="D128" s="18" t="str">
        <f>TEXT(DATE(LEFT(C128,4), MID(C128,5,2), RIGHT(C128,2)), "M/d/yyyy")</f>
        <v>9/1/2022</v>
      </c>
      <c r="E128" s="7">
        <v>20250101</v>
      </c>
      <c r="F128" s="7">
        <v>202502</v>
      </c>
      <c r="G128" s="7">
        <v>16509456</v>
      </c>
      <c r="H128" s="4" t="s">
        <v>106</v>
      </c>
      <c r="I128" s="6">
        <v>45689</v>
      </c>
      <c r="J128" s="5">
        <v>54</v>
      </c>
      <c r="K128" s="4" t="s">
        <v>30</v>
      </c>
      <c r="L128" s="27" t="s">
        <v>137</v>
      </c>
      <c r="M128" s="3" t="s">
        <v>133</v>
      </c>
      <c r="N128" s="3"/>
      <c r="O128" s="3"/>
      <c r="P128" s="3"/>
    </row>
    <row r="129" spans="1:16" ht="15" x14ac:dyDescent="0.25">
      <c r="A129" s="7">
        <v>802726965</v>
      </c>
      <c r="B129" s="4" t="s">
        <v>264</v>
      </c>
      <c r="C129" s="7">
        <v>20220901</v>
      </c>
      <c r="D129" s="18" t="str">
        <f>TEXT(DATE(LEFT(C129,4), MID(C129,5,2), RIGHT(C129,2)), "M/d/yyyy")</f>
        <v>9/1/2022</v>
      </c>
      <c r="E129" s="7">
        <v>20250101</v>
      </c>
      <c r="F129" s="7">
        <v>202501</v>
      </c>
      <c r="G129" s="7">
        <v>16509456</v>
      </c>
      <c r="H129" s="4" t="s">
        <v>106</v>
      </c>
      <c r="I129" s="6">
        <v>45658</v>
      </c>
      <c r="J129" s="5">
        <v>54</v>
      </c>
      <c r="K129" s="4" t="s">
        <v>30</v>
      </c>
      <c r="L129" s="27" t="s">
        <v>137</v>
      </c>
      <c r="M129" s="3" t="s">
        <v>133</v>
      </c>
      <c r="N129" s="3"/>
      <c r="O129" s="3"/>
      <c r="P129" s="3"/>
    </row>
    <row r="130" spans="1:16" ht="15" x14ac:dyDescent="0.25">
      <c r="A130" s="7">
        <v>802726965</v>
      </c>
      <c r="B130" s="4" t="s">
        <v>264</v>
      </c>
      <c r="C130" s="7">
        <v>20220901</v>
      </c>
      <c r="D130" s="18" t="str">
        <f>TEXT(DATE(LEFT(C130,4), MID(C130,5,2), RIGHT(C130,2)), "M/d/yyyy")</f>
        <v>9/1/2022</v>
      </c>
      <c r="E130" s="7">
        <v>20240101</v>
      </c>
      <c r="F130" s="7">
        <v>202412</v>
      </c>
      <c r="G130" s="7">
        <v>16509456</v>
      </c>
      <c r="H130" s="4" t="s">
        <v>106</v>
      </c>
      <c r="I130" s="6">
        <v>45627</v>
      </c>
      <c r="J130" s="5">
        <v>54</v>
      </c>
      <c r="K130" s="4" t="s">
        <v>30</v>
      </c>
      <c r="L130" s="27" t="s">
        <v>137</v>
      </c>
      <c r="M130" s="3" t="s">
        <v>133</v>
      </c>
      <c r="N130" s="3"/>
      <c r="O130" s="3"/>
      <c r="P130" s="3"/>
    </row>
    <row r="131" spans="1:16" ht="15" x14ac:dyDescent="0.25">
      <c r="A131" s="7">
        <v>802726965</v>
      </c>
      <c r="B131" s="4" t="s">
        <v>264</v>
      </c>
      <c r="C131" s="7">
        <v>20220901</v>
      </c>
      <c r="D131" s="18" t="str">
        <f>TEXT(DATE(LEFT(C131,4), MID(C131,5,2), RIGHT(C131,2)), "M/d/yyyy")</f>
        <v>9/1/2022</v>
      </c>
      <c r="E131" s="7">
        <v>20240101</v>
      </c>
      <c r="F131" s="7">
        <v>202411</v>
      </c>
      <c r="G131" s="7">
        <v>16509456</v>
      </c>
      <c r="H131" s="4" t="s">
        <v>106</v>
      </c>
      <c r="I131" s="6">
        <v>45597</v>
      </c>
      <c r="J131" s="5">
        <v>54</v>
      </c>
      <c r="K131" s="4" t="s">
        <v>30</v>
      </c>
      <c r="L131" s="27" t="s">
        <v>137</v>
      </c>
      <c r="M131" s="3" t="s">
        <v>133</v>
      </c>
      <c r="N131" s="3"/>
      <c r="O131" s="3"/>
      <c r="P131" s="3"/>
    </row>
    <row r="132" spans="1:16" ht="15" x14ac:dyDescent="0.25">
      <c r="A132" s="7">
        <v>802726965</v>
      </c>
      <c r="B132" s="4" t="s">
        <v>264</v>
      </c>
      <c r="C132" s="7">
        <v>20220901</v>
      </c>
      <c r="D132" s="18" t="str">
        <f>TEXT(DATE(LEFT(C132,4), MID(C132,5,2), RIGHT(C132,2)), "M/d/yyyy")</f>
        <v>9/1/2022</v>
      </c>
      <c r="E132" s="7">
        <v>20240101</v>
      </c>
      <c r="F132" s="7">
        <v>202410</v>
      </c>
      <c r="G132" s="7">
        <v>16509456</v>
      </c>
      <c r="H132" s="4" t="s">
        <v>106</v>
      </c>
      <c r="I132" s="6">
        <v>45566</v>
      </c>
      <c r="J132" s="5">
        <v>54</v>
      </c>
      <c r="K132" s="4" t="s">
        <v>30</v>
      </c>
      <c r="L132" s="27" t="s">
        <v>137</v>
      </c>
      <c r="M132" s="3" t="s">
        <v>133</v>
      </c>
      <c r="N132" s="3"/>
      <c r="O132" s="3"/>
      <c r="P132" s="3"/>
    </row>
    <row r="133" spans="1:16" ht="15" x14ac:dyDescent="0.25">
      <c r="A133" s="7">
        <v>802726965</v>
      </c>
      <c r="B133" s="4" t="s">
        <v>264</v>
      </c>
      <c r="C133" s="7">
        <v>20220901</v>
      </c>
      <c r="D133" s="18" t="str">
        <f>TEXT(DATE(LEFT(C133,4), MID(C133,5,2), RIGHT(C133,2)), "M/d/yyyy")</f>
        <v>9/1/2022</v>
      </c>
      <c r="E133" s="7">
        <v>20240101</v>
      </c>
      <c r="F133" s="7">
        <v>202409</v>
      </c>
      <c r="G133" s="7">
        <v>16509456</v>
      </c>
      <c r="H133" s="4" t="s">
        <v>106</v>
      </c>
      <c r="I133" s="6">
        <v>45536</v>
      </c>
      <c r="J133" s="5">
        <v>54</v>
      </c>
      <c r="K133" s="4" t="s">
        <v>30</v>
      </c>
      <c r="L133" s="27" t="s">
        <v>137</v>
      </c>
      <c r="M133" s="3" t="s">
        <v>133</v>
      </c>
      <c r="N133" s="3"/>
      <c r="O133" s="3"/>
      <c r="P133" s="3"/>
    </row>
    <row r="134" spans="1:16" ht="15" x14ac:dyDescent="0.25">
      <c r="A134" s="7">
        <v>802726965</v>
      </c>
      <c r="B134" s="4" t="s">
        <v>264</v>
      </c>
      <c r="C134" s="7">
        <v>20220901</v>
      </c>
      <c r="D134" s="18" t="str">
        <f>TEXT(DATE(LEFT(C134,4), MID(C134,5,2), RIGHT(C134,2)), "M/d/yyyy")</f>
        <v>9/1/2022</v>
      </c>
      <c r="E134" s="7">
        <v>20240101</v>
      </c>
      <c r="F134" s="7">
        <v>202408</v>
      </c>
      <c r="G134" s="7">
        <v>16509456</v>
      </c>
      <c r="H134" s="4" t="s">
        <v>106</v>
      </c>
      <c r="I134" s="6">
        <v>45505</v>
      </c>
      <c r="J134" s="5">
        <v>54</v>
      </c>
      <c r="K134" s="4" t="s">
        <v>30</v>
      </c>
      <c r="L134" s="27" t="s">
        <v>137</v>
      </c>
      <c r="M134" s="3" t="s">
        <v>133</v>
      </c>
      <c r="N134" s="3"/>
      <c r="O134" s="3"/>
      <c r="P134" s="3"/>
    </row>
    <row r="135" spans="1:16" ht="15" x14ac:dyDescent="0.25">
      <c r="A135" s="7">
        <v>802726965</v>
      </c>
      <c r="B135" s="4" t="s">
        <v>264</v>
      </c>
      <c r="C135" s="7">
        <v>20220901</v>
      </c>
      <c r="D135" s="18" t="str">
        <f>TEXT(DATE(LEFT(C135,4), MID(C135,5,2), RIGHT(C135,2)), "M/d/yyyy")</f>
        <v>9/1/2022</v>
      </c>
      <c r="E135" s="7">
        <v>20240101</v>
      </c>
      <c r="F135" s="7">
        <v>202407</v>
      </c>
      <c r="G135" s="7">
        <v>16509456</v>
      </c>
      <c r="H135" s="4" t="s">
        <v>106</v>
      </c>
      <c r="I135" s="6">
        <v>45474</v>
      </c>
      <c r="J135" s="5">
        <v>54</v>
      </c>
      <c r="K135" s="4" t="s">
        <v>30</v>
      </c>
      <c r="L135" s="27" t="s">
        <v>137</v>
      </c>
      <c r="M135" s="3" t="s">
        <v>133</v>
      </c>
      <c r="N135" s="3"/>
      <c r="O135" s="3"/>
      <c r="P135" s="3"/>
    </row>
    <row r="136" spans="1:16" ht="15" x14ac:dyDescent="0.25">
      <c r="A136" s="7">
        <v>802726965</v>
      </c>
      <c r="B136" s="4" t="s">
        <v>264</v>
      </c>
      <c r="C136" s="7">
        <v>20220901</v>
      </c>
      <c r="D136" s="18" t="str">
        <f>TEXT(DATE(LEFT(C136,4), MID(C136,5,2), RIGHT(C136,2)), "M/d/yyyy")</f>
        <v>9/1/2022</v>
      </c>
      <c r="E136" s="7">
        <v>20240101</v>
      </c>
      <c r="F136" s="7">
        <v>202406</v>
      </c>
      <c r="G136" s="7">
        <v>16509456</v>
      </c>
      <c r="H136" s="4" t="s">
        <v>106</v>
      </c>
      <c r="I136" s="6">
        <v>45444</v>
      </c>
      <c r="J136" s="5">
        <v>54</v>
      </c>
      <c r="K136" s="4" t="s">
        <v>30</v>
      </c>
      <c r="L136" s="27" t="s">
        <v>137</v>
      </c>
      <c r="M136" s="3" t="s">
        <v>133</v>
      </c>
      <c r="N136" s="3"/>
      <c r="O136" s="3"/>
      <c r="P136" s="3"/>
    </row>
    <row r="137" spans="1:16" ht="15" x14ac:dyDescent="0.25">
      <c r="A137" s="7">
        <v>802726965</v>
      </c>
      <c r="B137" s="4" t="s">
        <v>264</v>
      </c>
      <c r="C137" s="7">
        <v>20220901</v>
      </c>
      <c r="D137" s="18" t="str">
        <f>TEXT(DATE(LEFT(C137,4), MID(C137,5,2), RIGHT(C137,2)), "M/d/yyyy")</f>
        <v>9/1/2022</v>
      </c>
      <c r="E137" s="7">
        <v>20240101</v>
      </c>
      <c r="F137" s="7">
        <v>202405</v>
      </c>
      <c r="G137" s="7">
        <v>16509456</v>
      </c>
      <c r="H137" s="4" t="s">
        <v>106</v>
      </c>
      <c r="I137" s="6">
        <v>45413</v>
      </c>
      <c r="J137" s="5">
        <v>54</v>
      </c>
      <c r="K137" s="4" t="s">
        <v>30</v>
      </c>
      <c r="L137" s="27" t="s">
        <v>137</v>
      </c>
      <c r="M137" s="3" t="s">
        <v>133</v>
      </c>
      <c r="N137" s="3"/>
      <c r="O137" s="3"/>
      <c r="P137" s="3"/>
    </row>
    <row r="138" spans="1:16" ht="15" x14ac:dyDescent="0.25">
      <c r="A138" s="7">
        <v>802726965</v>
      </c>
      <c r="B138" s="4" t="s">
        <v>264</v>
      </c>
      <c r="C138" s="7">
        <v>20220901</v>
      </c>
      <c r="D138" s="18" t="str">
        <f>TEXT(DATE(LEFT(C138,4), MID(C138,5,2), RIGHT(C138,2)), "M/d/yyyy")</f>
        <v>9/1/2022</v>
      </c>
      <c r="E138" s="7">
        <v>20240101</v>
      </c>
      <c r="F138" s="7">
        <v>202404</v>
      </c>
      <c r="G138" s="7">
        <v>16509456</v>
      </c>
      <c r="H138" s="4" t="s">
        <v>106</v>
      </c>
      <c r="I138" s="6">
        <v>45383</v>
      </c>
      <c r="J138" s="5">
        <v>54</v>
      </c>
      <c r="K138" s="4" t="s">
        <v>30</v>
      </c>
      <c r="L138" s="27" t="s">
        <v>137</v>
      </c>
      <c r="M138" s="3" t="s">
        <v>133</v>
      </c>
      <c r="N138" s="3"/>
      <c r="O138" s="3"/>
      <c r="P138" s="3"/>
    </row>
    <row r="139" spans="1:16" ht="15" x14ac:dyDescent="0.25">
      <c r="A139" s="7">
        <v>802512560</v>
      </c>
      <c r="B139" s="4" t="s">
        <v>253</v>
      </c>
      <c r="C139" s="7">
        <v>20210101</v>
      </c>
      <c r="D139" s="18" t="str">
        <f>TEXT(DATE(LEFT(C139,4), MID(C139,5,2), RIGHT(C139,2)), "M/d/yyyy")</f>
        <v>1/1/2021</v>
      </c>
      <c r="E139" s="7">
        <v>20250101</v>
      </c>
      <c r="F139" s="7">
        <v>202504</v>
      </c>
      <c r="G139" s="7">
        <v>8307933</v>
      </c>
      <c r="H139" s="4" t="s">
        <v>118</v>
      </c>
      <c r="I139" s="6">
        <v>45748</v>
      </c>
      <c r="J139" s="5">
        <v>18</v>
      </c>
      <c r="K139" s="4" t="s">
        <v>30</v>
      </c>
      <c r="L139" s="27" t="s">
        <v>137</v>
      </c>
      <c r="M139" s="3"/>
      <c r="N139" s="3"/>
      <c r="O139" s="3"/>
      <c r="P139" s="3"/>
    </row>
    <row r="140" spans="1:16" ht="15" x14ac:dyDescent="0.25">
      <c r="A140" s="7">
        <v>802512560</v>
      </c>
      <c r="B140" s="4" t="s">
        <v>253</v>
      </c>
      <c r="C140" s="7">
        <v>20210101</v>
      </c>
      <c r="D140" s="18" t="str">
        <f>TEXT(DATE(LEFT(C140,4), MID(C140,5,2), RIGHT(C140,2)), "M/d/yyyy")</f>
        <v>1/1/2021</v>
      </c>
      <c r="E140" s="7">
        <v>20250101</v>
      </c>
      <c r="F140" s="7">
        <v>202505</v>
      </c>
      <c r="G140" s="7">
        <v>8307933</v>
      </c>
      <c r="H140" s="4" t="s">
        <v>118</v>
      </c>
      <c r="I140" s="6">
        <v>45778</v>
      </c>
      <c r="J140" s="5">
        <v>18</v>
      </c>
      <c r="K140" s="4" t="s">
        <v>30</v>
      </c>
      <c r="L140" s="27" t="s">
        <v>137</v>
      </c>
      <c r="M140" s="3"/>
      <c r="N140" s="3"/>
      <c r="O140" s="3"/>
      <c r="P140" s="3"/>
    </row>
    <row r="141" spans="1:16" ht="15" x14ac:dyDescent="0.25">
      <c r="A141" s="7">
        <v>802400239</v>
      </c>
      <c r="B141" s="4" t="s">
        <v>117</v>
      </c>
      <c r="C141" s="7">
        <v>20200101</v>
      </c>
      <c r="D141" s="18" t="str">
        <f>TEXT(DATE(LEFT(C141,4), MID(C141,5,2), RIGHT(C141,2)), "M/d/yyyy")</f>
        <v>1/1/2020</v>
      </c>
      <c r="E141" s="7">
        <v>20250101</v>
      </c>
      <c r="F141" s="7">
        <v>202503</v>
      </c>
      <c r="G141" s="7">
        <v>8307933</v>
      </c>
      <c r="H141" s="4" t="s">
        <v>118</v>
      </c>
      <c r="I141" s="6">
        <v>45748</v>
      </c>
      <c r="J141" s="5">
        <v>18</v>
      </c>
      <c r="K141" s="4" t="s">
        <v>30</v>
      </c>
      <c r="L141" s="27" t="s">
        <v>137</v>
      </c>
      <c r="M141" s="3"/>
      <c r="N141" s="3"/>
      <c r="O141" s="3"/>
      <c r="P141" s="3"/>
    </row>
    <row r="142" spans="1:16" ht="15" x14ac:dyDescent="0.25">
      <c r="A142" s="7">
        <v>802400239</v>
      </c>
      <c r="B142" s="4" t="s">
        <v>117</v>
      </c>
      <c r="C142" s="7">
        <v>20200101</v>
      </c>
      <c r="D142" s="18" t="str">
        <f>TEXT(DATE(LEFT(C142,4), MID(C142,5,2), RIGHT(C142,2)), "M/d/yyyy")</f>
        <v>1/1/2020</v>
      </c>
      <c r="E142" s="7">
        <v>20250101</v>
      </c>
      <c r="F142" s="7">
        <v>202504</v>
      </c>
      <c r="G142" s="7">
        <v>8307933</v>
      </c>
      <c r="H142" s="4" t="s">
        <v>118</v>
      </c>
      <c r="I142" s="6">
        <v>45778</v>
      </c>
      <c r="J142" s="5">
        <v>18</v>
      </c>
      <c r="K142" s="4" t="s">
        <v>30</v>
      </c>
      <c r="L142" s="27" t="s">
        <v>137</v>
      </c>
      <c r="M142" s="3"/>
      <c r="N142" s="3"/>
      <c r="O142" s="3"/>
      <c r="P142" s="3"/>
    </row>
    <row r="143" spans="1:16" ht="15" x14ac:dyDescent="0.25">
      <c r="A143" s="7">
        <v>802465401</v>
      </c>
      <c r="B143" s="4" t="s">
        <v>119</v>
      </c>
      <c r="C143" s="7">
        <v>20200501</v>
      </c>
      <c r="D143" s="18" t="str">
        <f>TEXT(DATE(LEFT(C143,4), MID(C143,5,2), RIGHT(C143,2)), "M/d/yyyy")</f>
        <v>5/1/2020</v>
      </c>
      <c r="E143" s="7">
        <v>20241201</v>
      </c>
      <c r="F143" s="7">
        <v>202412</v>
      </c>
      <c r="G143" s="7">
        <v>8307933</v>
      </c>
      <c r="H143" s="4" t="s">
        <v>118</v>
      </c>
      <c r="I143" s="6">
        <v>45748</v>
      </c>
      <c r="J143" s="5">
        <v>18</v>
      </c>
      <c r="K143" s="4" t="s">
        <v>30</v>
      </c>
      <c r="L143" s="27" t="s">
        <v>137</v>
      </c>
      <c r="M143" s="3"/>
      <c r="N143" s="3"/>
      <c r="O143" s="3"/>
      <c r="P143" s="3"/>
    </row>
    <row r="144" spans="1:16" ht="15" x14ac:dyDescent="0.25">
      <c r="A144" s="7">
        <v>803038832</v>
      </c>
      <c r="B144" s="4" t="s">
        <v>124</v>
      </c>
      <c r="C144" s="7">
        <v>20250501</v>
      </c>
      <c r="D144" s="18" t="str">
        <f>TEXT(DATE(LEFT(C144,4), MID(C144,5,2), RIGHT(C144,2)), "M/d/yyyy")</f>
        <v>5/1/2025</v>
      </c>
      <c r="E144" s="7">
        <v>20250501</v>
      </c>
      <c r="F144" s="7">
        <v>202505</v>
      </c>
      <c r="G144" s="7">
        <v>8307933</v>
      </c>
      <c r="H144" s="4" t="s">
        <v>118</v>
      </c>
      <c r="I144" s="6">
        <v>45778</v>
      </c>
      <c r="J144" s="5">
        <v>44</v>
      </c>
      <c r="K144" s="4" t="s">
        <v>38</v>
      </c>
      <c r="L144" s="27" t="s">
        <v>137</v>
      </c>
      <c r="M144" s="3" t="s">
        <v>132</v>
      </c>
      <c r="N144" s="3"/>
      <c r="O144" s="3"/>
      <c r="P144" s="3"/>
    </row>
    <row r="145" spans="1:16" ht="15" x14ac:dyDescent="0.25">
      <c r="A145" s="11">
        <v>802105486</v>
      </c>
      <c r="B145" s="8" t="s">
        <v>123</v>
      </c>
      <c r="C145" s="11">
        <v>20171001</v>
      </c>
      <c r="D145" s="18" t="str">
        <f>TEXT(DATE(LEFT(C145,4), MID(C145,5,2), RIGHT(C145,2)), "M/d/yyyy")</f>
        <v>10/1/2017</v>
      </c>
      <c r="E145" s="11">
        <v>20250101</v>
      </c>
      <c r="F145" s="11">
        <v>202504</v>
      </c>
      <c r="G145" s="11">
        <v>8307933</v>
      </c>
      <c r="H145" s="8" t="s">
        <v>118</v>
      </c>
      <c r="I145" s="10">
        <v>45748</v>
      </c>
      <c r="J145" s="9">
        <v>54</v>
      </c>
      <c r="K145" s="8" t="s">
        <v>30</v>
      </c>
      <c r="L145" s="27" t="s">
        <v>137</v>
      </c>
      <c r="M145" s="3" t="s">
        <v>133</v>
      </c>
      <c r="N145" s="3"/>
      <c r="O145" s="3"/>
      <c r="P145" s="3"/>
    </row>
    <row r="146" spans="1:16" ht="15" x14ac:dyDescent="0.25">
      <c r="A146" s="15">
        <v>802125890</v>
      </c>
      <c r="B146" s="12" t="s">
        <v>265</v>
      </c>
      <c r="C146" s="15">
        <v>20180101</v>
      </c>
      <c r="D146" s="18" t="str">
        <f>TEXT(DATE(LEFT(C146,4), MID(C146,5,2), RIGHT(C146,2)), "M/d/yyyy")</f>
        <v>1/1/2018</v>
      </c>
      <c r="E146" s="15">
        <v>20250101</v>
      </c>
      <c r="F146" s="15">
        <v>202505</v>
      </c>
      <c r="G146" s="15">
        <v>17640026</v>
      </c>
      <c r="H146" s="12" t="s">
        <v>127</v>
      </c>
      <c r="I146" s="14">
        <v>45778</v>
      </c>
      <c r="J146" s="13">
        <v>54</v>
      </c>
      <c r="K146" s="12" t="s">
        <v>30</v>
      </c>
      <c r="L146" s="27" t="s">
        <v>137</v>
      </c>
      <c r="M146" s="3" t="s">
        <v>133</v>
      </c>
      <c r="N146" s="3"/>
      <c r="O146" s="3"/>
      <c r="P146" s="3"/>
    </row>
    <row r="147" spans="1:16" ht="15" x14ac:dyDescent="0.25">
      <c r="A147" s="15">
        <v>802999312</v>
      </c>
      <c r="B147" s="12" t="s">
        <v>130</v>
      </c>
      <c r="C147" s="15">
        <v>20250101</v>
      </c>
      <c r="D147" s="18" t="str">
        <f>TEXT(DATE(LEFT(C147,4), MID(C147,5,2), RIGHT(C147,2)), "M/d/yyyy")</f>
        <v>1/1/2025</v>
      </c>
      <c r="E147" s="15">
        <v>20250101</v>
      </c>
      <c r="F147" s="15">
        <v>202505</v>
      </c>
      <c r="G147" s="15">
        <v>17640026</v>
      </c>
      <c r="H147" s="12" t="s">
        <v>127</v>
      </c>
      <c r="I147" s="14">
        <v>45778</v>
      </c>
      <c r="J147" s="13">
        <v>88</v>
      </c>
      <c r="K147" s="12" t="s">
        <v>38</v>
      </c>
      <c r="L147" s="27" t="s">
        <v>137</v>
      </c>
      <c r="M147" s="3" t="s">
        <v>134</v>
      </c>
      <c r="N147" s="3"/>
      <c r="O147" s="3"/>
      <c r="P147" s="3"/>
    </row>
    <row r="148" spans="1:16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16"/>
      <c r="K148" s="3"/>
      <c r="L148" s="3"/>
      <c r="M148" s="3"/>
      <c r="N148" s="3"/>
      <c r="O148" s="3"/>
      <c r="P148" s="3"/>
    </row>
    <row r="149" spans="1:16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17"/>
      <c r="K149" s="3"/>
      <c r="L149" s="3"/>
      <c r="M149" s="3"/>
      <c r="N149" s="3"/>
      <c r="O149" s="3"/>
      <c r="P149" s="3"/>
    </row>
    <row r="150" spans="1:16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16"/>
      <c r="K150" s="3"/>
      <c r="L150" s="3"/>
      <c r="M150" s="3"/>
      <c r="N150" s="3"/>
      <c r="O150" s="3"/>
      <c r="P150" s="3"/>
    </row>
    <row r="151" spans="1:16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16"/>
      <c r="K151" s="3"/>
      <c r="L151" s="3"/>
      <c r="M151" s="3"/>
      <c r="N151" s="3"/>
      <c r="O151" s="3"/>
      <c r="P151" s="3"/>
    </row>
    <row r="152" spans="1:16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16"/>
      <c r="K152" s="3"/>
      <c r="L152" s="3"/>
      <c r="M152" s="3"/>
      <c r="N152" s="3"/>
      <c r="O152" s="3"/>
      <c r="P152" s="3"/>
    </row>
    <row r="153" spans="1:16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16"/>
      <c r="K153" s="3"/>
      <c r="L153" s="3"/>
      <c r="M153" s="3"/>
      <c r="N153" s="3"/>
      <c r="O153" s="3"/>
      <c r="P153" s="3"/>
    </row>
    <row r="154" spans="1:16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16"/>
      <c r="K154" s="3"/>
      <c r="L154" s="3"/>
      <c r="M154" s="3"/>
      <c r="N154" s="3"/>
      <c r="O154" s="3"/>
      <c r="P154" s="3"/>
    </row>
    <row r="155" spans="1:16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16"/>
      <c r="K155" s="3"/>
      <c r="L155" s="3"/>
      <c r="M155" s="3"/>
      <c r="N155" s="3"/>
      <c r="O155" s="3"/>
      <c r="P155" s="3"/>
    </row>
    <row r="156" spans="1:16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16"/>
      <c r="K156" s="3"/>
      <c r="L156" s="3"/>
      <c r="M156" s="3"/>
      <c r="N156" s="3"/>
      <c r="O156" s="3"/>
      <c r="P156" s="3"/>
    </row>
    <row r="157" spans="1:16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16"/>
      <c r="K157" s="3"/>
      <c r="L157" s="3"/>
      <c r="M157" s="3"/>
      <c r="N157" s="3"/>
      <c r="O157" s="3"/>
      <c r="P157" s="3"/>
    </row>
    <row r="158" spans="1:16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16"/>
      <c r="K158" s="3"/>
      <c r="L158" s="3"/>
      <c r="M158" s="3"/>
      <c r="N158" s="3"/>
      <c r="O158" s="3"/>
      <c r="P158" s="3"/>
    </row>
    <row r="159" spans="1:16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16"/>
      <c r="K159" s="3"/>
      <c r="L159" s="3"/>
      <c r="M159" s="3"/>
      <c r="N159" s="3"/>
      <c r="O159" s="3"/>
      <c r="P159" s="3"/>
    </row>
    <row r="160" spans="1:16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16"/>
      <c r="K160" s="3"/>
      <c r="L160" s="3"/>
      <c r="M160" s="3"/>
      <c r="N160" s="3"/>
      <c r="O160" s="3"/>
      <c r="P160" s="3"/>
    </row>
    <row r="161" spans="1:16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16"/>
      <c r="K161" s="3"/>
      <c r="L161" s="3"/>
      <c r="M161" s="3"/>
      <c r="N161" s="3"/>
      <c r="O161" s="3"/>
      <c r="P161" s="3"/>
    </row>
    <row r="162" spans="1:16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16"/>
      <c r="K162" s="3"/>
      <c r="L162" s="3"/>
      <c r="M162" s="3"/>
      <c r="N162" s="3"/>
      <c r="O162" s="3"/>
      <c r="P162" s="3"/>
    </row>
    <row r="163" spans="1:16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16"/>
      <c r="K163" s="3"/>
      <c r="L163" s="3"/>
      <c r="M163" s="3"/>
      <c r="N163" s="3"/>
      <c r="O163" s="3"/>
      <c r="P163" s="3"/>
    </row>
    <row r="164" spans="1:16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16"/>
      <c r="K164" s="3"/>
      <c r="L164" s="3"/>
      <c r="M164" s="3"/>
      <c r="N164" s="3"/>
      <c r="O164" s="3"/>
      <c r="P164" s="3"/>
    </row>
    <row r="165" spans="1:16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16"/>
      <c r="K165" s="3"/>
      <c r="L165" s="3"/>
      <c r="M165" s="3"/>
      <c r="N165" s="3"/>
      <c r="O165" s="3"/>
      <c r="P165" s="3"/>
    </row>
    <row r="166" spans="1:16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16"/>
      <c r="K166" s="3"/>
      <c r="L166" s="3"/>
      <c r="M166" s="3"/>
      <c r="N166" s="3"/>
      <c r="O166" s="3"/>
      <c r="P166" s="3"/>
    </row>
    <row r="167" spans="1:16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16"/>
      <c r="K167" s="3"/>
      <c r="L167" s="3"/>
      <c r="M167" s="3"/>
      <c r="N167" s="3"/>
      <c r="O167" s="3"/>
      <c r="P167" s="3"/>
    </row>
    <row r="168" spans="1:16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16"/>
      <c r="K168" s="3"/>
      <c r="L168" s="3"/>
      <c r="M168" s="3"/>
      <c r="N168" s="3"/>
      <c r="O168" s="3"/>
      <c r="P168" s="3"/>
    </row>
    <row r="169" spans="1:16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16"/>
      <c r="K169" s="3"/>
      <c r="L169" s="3"/>
      <c r="M169" s="3"/>
      <c r="N169" s="3"/>
      <c r="O169" s="3"/>
      <c r="P169" s="3"/>
    </row>
    <row r="170" spans="1:16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16"/>
      <c r="K170" s="3"/>
      <c r="L170" s="3"/>
      <c r="M170" s="3"/>
      <c r="N170" s="3"/>
      <c r="O170" s="3"/>
      <c r="P170" s="3"/>
    </row>
    <row r="171" spans="1:16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16"/>
      <c r="K171" s="3"/>
      <c r="L171" s="3"/>
      <c r="M171" s="3"/>
      <c r="N171" s="3"/>
      <c r="O171" s="3"/>
      <c r="P171" s="3"/>
    </row>
    <row r="172" spans="1:16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16"/>
      <c r="K172" s="3"/>
      <c r="L172" s="3"/>
      <c r="M172" s="3"/>
      <c r="N172" s="3"/>
      <c r="O172" s="3"/>
      <c r="P172" s="3"/>
    </row>
    <row r="173" spans="1:16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16"/>
      <c r="K173" s="3"/>
      <c r="L173" s="3"/>
      <c r="M173" s="3"/>
      <c r="N173" s="3"/>
      <c r="O173" s="3"/>
      <c r="P173" s="3"/>
    </row>
    <row r="174" spans="1:16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16"/>
      <c r="K174" s="3"/>
      <c r="L174" s="3"/>
      <c r="M174" s="3"/>
      <c r="N174" s="3"/>
      <c r="O174" s="3"/>
      <c r="P174" s="3"/>
    </row>
    <row r="175" spans="1:16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16"/>
      <c r="K175" s="3"/>
      <c r="L175" s="3"/>
      <c r="M175" s="3"/>
      <c r="N175" s="3"/>
      <c r="O175" s="3"/>
      <c r="P175" s="3"/>
    </row>
    <row r="176" spans="1:16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16"/>
      <c r="K176" s="3"/>
      <c r="L176" s="3"/>
      <c r="M176" s="3"/>
      <c r="N176" s="3"/>
      <c r="O176" s="3"/>
      <c r="P176" s="3"/>
    </row>
    <row r="177" spans="1:16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16"/>
      <c r="K177" s="3"/>
      <c r="L177" s="3"/>
      <c r="M177" s="3"/>
      <c r="N177" s="3"/>
      <c r="O177" s="3"/>
      <c r="P177" s="3"/>
    </row>
    <row r="178" spans="1:16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16"/>
      <c r="K178" s="3"/>
      <c r="L178" s="3"/>
      <c r="M178" s="3"/>
      <c r="N178" s="3"/>
      <c r="O178" s="3"/>
      <c r="P178" s="3"/>
    </row>
    <row r="179" spans="1:16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16"/>
      <c r="K179" s="3"/>
      <c r="L179" s="3"/>
      <c r="M179" s="3"/>
      <c r="N179" s="3"/>
      <c r="O179" s="3"/>
      <c r="P179" s="3"/>
    </row>
    <row r="180" spans="1:16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16"/>
      <c r="K180" s="3"/>
      <c r="L180" s="3"/>
      <c r="M180" s="3"/>
      <c r="N180" s="3"/>
      <c r="O180" s="3"/>
      <c r="P180" s="3"/>
    </row>
    <row r="181" spans="1:16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16"/>
      <c r="K181" s="3"/>
      <c r="L181" s="3"/>
      <c r="M181" s="3"/>
      <c r="N181" s="3"/>
      <c r="O181" s="3"/>
      <c r="P181" s="3"/>
    </row>
    <row r="182" spans="1:16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16"/>
      <c r="K182" s="3"/>
      <c r="L182" s="3"/>
      <c r="M182" s="3"/>
      <c r="N182" s="3"/>
      <c r="O182" s="3"/>
      <c r="P182" s="3"/>
    </row>
    <row r="183" spans="1:16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16"/>
      <c r="K183" s="3"/>
      <c r="L183" s="3"/>
      <c r="M183" s="3"/>
      <c r="N183" s="3"/>
      <c r="O183" s="3"/>
      <c r="P183" s="3"/>
    </row>
    <row r="184" spans="1:16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16"/>
      <c r="K184" s="3"/>
      <c r="L184" s="3"/>
      <c r="M184" s="3"/>
      <c r="N184" s="3"/>
      <c r="O184" s="3"/>
      <c r="P184" s="3"/>
    </row>
    <row r="185" spans="1:16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16"/>
      <c r="K185" s="3"/>
      <c r="L185" s="3"/>
      <c r="M185" s="3"/>
      <c r="N185" s="3"/>
      <c r="O185" s="3"/>
      <c r="P185" s="3"/>
    </row>
    <row r="186" spans="1:16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16"/>
      <c r="K186" s="3"/>
      <c r="L186" s="3"/>
      <c r="M186" s="3"/>
      <c r="N186" s="3"/>
      <c r="O186" s="3"/>
      <c r="P186" s="3"/>
    </row>
    <row r="187" spans="1:16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16"/>
      <c r="K187" s="3"/>
      <c r="L187" s="3"/>
      <c r="M187" s="3"/>
      <c r="N187" s="3"/>
      <c r="O187" s="3"/>
      <c r="P187" s="3"/>
    </row>
    <row r="188" spans="1:16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16"/>
      <c r="K188" s="3"/>
      <c r="L188" s="3"/>
      <c r="M188" s="3"/>
      <c r="N188" s="3"/>
      <c r="O188" s="3"/>
      <c r="P188" s="3"/>
    </row>
    <row r="189" spans="1:16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16"/>
      <c r="K189" s="3"/>
      <c r="L189" s="3"/>
      <c r="M189" s="3"/>
      <c r="N189" s="3"/>
      <c r="O189" s="3"/>
      <c r="P189" s="3"/>
    </row>
    <row r="190" spans="1:16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16"/>
      <c r="K190" s="3"/>
      <c r="L190" s="3"/>
      <c r="M190" s="3"/>
      <c r="N190" s="3"/>
      <c r="O190" s="3"/>
      <c r="P190" s="3"/>
    </row>
    <row r="191" spans="1:16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16"/>
      <c r="K191" s="3"/>
      <c r="L191" s="3"/>
      <c r="M191" s="3"/>
      <c r="N191" s="3"/>
      <c r="O191" s="3"/>
      <c r="P191" s="3"/>
    </row>
    <row r="192" spans="1:16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16"/>
      <c r="K192" s="3"/>
      <c r="L192" s="3"/>
      <c r="M192" s="3"/>
      <c r="N192" s="3"/>
      <c r="O192" s="3"/>
      <c r="P192" s="3"/>
    </row>
    <row r="193" spans="1:16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16"/>
      <c r="K193" s="3"/>
      <c r="L193" s="3"/>
      <c r="M193" s="3"/>
      <c r="N193" s="3"/>
      <c r="O193" s="3"/>
      <c r="P193" s="3"/>
    </row>
    <row r="194" spans="1:16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16"/>
      <c r="K194" s="3"/>
      <c r="L194" s="3"/>
      <c r="M194" s="3"/>
      <c r="N194" s="3"/>
      <c r="O194" s="3"/>
      <c r="P194" s="3"/>
    </row>
    <row r="195" spans="1:16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16"/>
      <c r="K195" s="3"/>
      <c r="L195" s="3"/>
      <c r="M195" s="3"/>
      <c r="N195" s="3"/>
      <c r="O195" s="3"/>
      <c r="P195" s="3"/>
    </row>
    <row r="196" spans="1:16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16"/>
      <c r="K196" s="3"/>
      <c r="L196" s="3"/>
      <c r="M196" s="3"/>
      <c r="N196" s="3"/>
      <c r="O196" s="3"/>
      <c r="P196" s="3"/>
    </row>
    <row r="197" spans="1:16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16"/>
      <c r="K197" s="3"/>
      <c r="L197" s="3"/>
      <c r="M197" s="3"/>
      <c r="N197" s="3"/>
      <c r="O197" s="3"/>
      <c r="P197" s="3"/>
    </row>
    <row r="198" spans="1:16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16"/>
      <c r="K198" s="3"/>
      <c r="L198" s="3"/>
      <c r="M198" s="3"/>
      <c r="N198" s="3"/>
      <c r="O198" s="3"/>
      <c r="P198" s="3"/>
    </row>
    <row r="199" spans="1:16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16"/>
      <c r="K199" s="3"/>
      <c r="L199" s="3"/>
      <c r="M199" s="3"/>
      <c r="N199" s="3"/>
      <c r="O199" s="3"/>
      <c r="P199" s="3"/>
    </row>
    <row r="200" spans="1:16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16"/>
      <c r="K200" s="3"/>
      <c r="L200" s="3"/>
      <c r="M200" s="3"/>
      <c r="N200" s="3"/>
      <c r="O200" s="3"/>
      <c r="P200" s="3"/>
    </row>
    <row r="201" spans="1:16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16"/>
      <c r="K201" s="3"/>
      <c r="L201" s="3"/>
      <c r="M201" s="3"/>
      <c r="N201" s="3"/>
      <c r="O201" s="3"/>
      <c r="P201" s="3"/>
    </row>
    <row r="202" spans="1:16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16"/>
      <c r="K202" s="3"/>
      <c r="L202" s="3"/>
      <c r="M202" s="3"/>
      <c r="N202" s="3"/>
      <c r="O202" s="3"/>
      <c r="P202" s="3"/>
    </row>
    <row r="203" spans="1:16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16"/>
      <c r="K203" s="3"/>
      <c r="L203" s="3"/>
      <c r="M203" s="3"/>
      <c r="N203" s="3"/>
      <c r="O203" s="3"/>
      <c r="P203" s="3"/>
    </row>
    <row r="204" spans="1:16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16"/>
      <c r="K204" s="3"/>
      <c r="L204" s="3"/>
      <c r="M204" s="3"/>
      <c r="N204" s="3"/>
      <c r="O204" s="3"/>
      <c r="P204" s="3"/>
    </row>
    <row r="205" spans="1:16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16"/>
      <c r="K205" s="3"/>
      <c r="L205" s="3"/>
      <c r="M205" s="3"/>
      <c r="N205" s="3"/>
      <c r="O205" s="3"/>
      <c r="P205" s="3"/>
    </row>
    <row r="206" spans="1:16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16"/>
      <c r="K206" s="3"/>
      <c r="L206" s="3"/>
      <c r="M206" s="3"/>
      <c r="N206" s="3"/>
      <c r="O206" s="3"/>
      <c r="P206" s="3"/>
    </row>
    <row r="207" spans="1:16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16"/>
      <c r="K207" s="3"/>
      <c r="L207" s="3"/>
      <c r="M207" s="3"/>
      <c r="N207" s="3"/>
      <c r="O207" s="3"/>
      <c r="P207" s="3"/>
    </row>
    <row r="208" spans="1:16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16"/>
      <c r="K208" s="3"/>
      <c r="L208" s="3"/>
      <c r="M208" s="3"/>
      <c r="N208" s="3"/>
      <c r="O208" s="3"/>
      <c r="P208" s="3"/>
    </row>
    <row r="209" spans="1:16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16"/>
      <c r="K209" s="3"/>
      <c r="L209" s="3"/>
      <c r="M209" s="3"/>
      <c r="N209" s="3"/>
      <c r="O209" s="3"/>
      <c r="P209" s="3"/>
    </row>
    <row r="210" spans="1:16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16"/>
      <c r="K210" s="3"/>
      <c r="L210" s="3"/>
      <c r="M210" s="3"/>
      <c r="N210" s="3"/>
      <c r="O210" s="3"/>
      <c r="P210" s="3"/>
    </row>
    <row r="211" spans="1:16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16"/>
      <c r="K211" s="3"/>
      <c r="L211" s="3"/>
      <c r="M211" s="3"/>
      <c r="N211" s="3"/>
      <c r="O211" s="3"/>
      <c r="P211" s="3"/>
    </row>
    <row r="212" spans="1:16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16"/>
      <c r="K212" s="3"/>
      <c r="L212" s="3"/>
      <c r="M212" s="3"/>
      <c r="N212" s="3"/>
      <c r="O212" s="3"/>
      <c r="P212" s="3"/>
    </row>
    <row r="213" spans="1:16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16"/>
      <c r="K213" s="3"/>
      <c r="L213" s="3"/>
      <c r="M213" s="3"/>
      <c r="N213" s="3"/>
      <c r="O213" s="3"/>
      <c r="P213" s="3"/>
    </row>
    <row r="214" spans="1:16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16"/>
      <c r="K214" s="3"/>
      <c r="L214" s="3"/>
      <c r="M214" s="3"/>
      <c r="N214" s="3"/>
      <c r="O214" s="3"/>
      <c r="P214" s="3"/>
    </row>
    <row r="215" spans="1:16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16"/>
      <c r="K215" s="3"/>
      <c r="L215" s="3"/>
      <c r="M215" s="3"/>
      <c r="N215" s="3"/>
      <c r="O215" s="3"/>
      <c r="P215" s="3"/>
    </row>
    <row r="216" spans="1:16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16"/>
      <c r="K216" s="3"/>
      <c r="L216" s="3"/>
      <c r="M216" s="3"/>
      <c r="N216" s="3"/>
      <c r="O216" s="3"/>
      <c r="P216" s="3"/>
    </row>
    <row r="217" spans="1:16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16"/>
      <c r="K217" s="3"/>
      <c r="L217" s="3"/>
      <c r="M217" s="3"/>
      <c r="N217" s="3"/>
      <c r="O217" s="3"/>
      <c r="P217" s="3"/>
    </row>
    <row r="218" spans="1:16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16"/>
      <c r="K218" s="3"/>
      <c r="L218" s="3"/>
      <c r="M218" s="3"/>
      <c r="N218" s="3"/>
      <c r="O218" s="3"/>
      <c r="P218" s="3"/>
    </row>
    <row r="219" spans="1:16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16"/>
      <c r="K219" s="3"/>
      <c r="L219" s="3"/>
      <c r="M219" s="3"/>
      <c r="N219" s="3"/>
      <c r="O219" s="3"/>
      <c r="P219" s="3"/>
    </row>
    <row r="220" spans="1:16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16"/>
      <c r="K220" s="3"/>
      <c r="L220" s="3"/>
      <c r="M220" s="3"/>
      <c r="N220" s="3"/>
      <c r="O220" s="3"/>
      <c r="P220" s="3"/>
    </row>
    <row r="221" spans="1:16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16"/>
      <c r="K221" s="3"/>
      <c r="L221" s="3"/>
      <c r="M221" s="3"/>
      <c r="N221" s="3"/>
      <c r="O221" s="3"/>
      <c r="P221" s="3"/>
    </row>
    <row r="222" spans="1:16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16"/>
      <c r="K222" s="3"/>
      <c r="L222" s="3"/>
      <c r="M222" s="3"/>
      <c r="N222" s="3"/>
      <c r="O222" s="3"/>
      <c r="P222" s="3"/>
    </row>
    <row r="223" spans="1:16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16"/>
      <c r="K223" s="3"/>
      <c r="L223" s="3"/>
      <c r="M223" s="3"/>
      <c r="N223" s="3"/>
      <c r="O223" s="3"/>
      <c r="P223" s="3"/>
    </row>
    <row r="224" spans="1:16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16"/>
      <c r="K224" s="3"/>
      <c r="L224" s="3"/>
      <c r="M224" s="3"/>
      <c r="N224" s="3"/>
      <c r="O224" s="3"/>
      <c r="P224" s="3"/>
    </row>
    <row r="225" spans="1:16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16"/>
      <c r="K225" s="3"/>
      <c r="L225" s="3"/>
      <c r="M225" s="3"/>
      <c r="N225" s="3"/>
      <c r="O225" s="3"/>
      <c r="P225" s="3"/>
    </row>
    <row r="226" spans="1:16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16"/>
      <c r="K226" s="3"/>
      <c r="L226" s="3"/>
      <c r="M226" s="3"/>
      <c r="N226" s="3"/>
      <c r="O226" s="3"/>
      <c r="P226" s="3"/>
    </row>
    <row r="227" spans="1:16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16"/>
      <c r="K227" s="3"/>
      <c r="L227" s="3"/>
      <c r="M227" s="3"/>
      <c r="N227" s="3"/>
      <c r="O227" s="3"/>
      <c r="P227" s="3"/>
    </row>
    <row r="228" spans="1:16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16"/>
      <c r="K228" s="3"/>
      <c r="L228" s="3"/>
      <c r="M228" s="3"/>
      <c r="N228" s="3"/>
      <c r="O228" s="3"/>
      <c r="P228" s="3"/>
    </row>
    <row r="229" spans="1:16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16"/>
      <c r="K229" s="3"/>
      <c r="L229" s="3"/>
      <c r="M229" s="3"/>
      <c r="N229" s="3"/>
      <c r="O229" s="3"/>
      <c r="P229" s="3"/>
    </row>
    <row r="230" spans="1:16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16"/>
      <c r="K230" s="3"/>
      <c r="L230" s="3"/>
      <c r="M230" s="3"/>
      <c r="N230" s="3"/>
      <c r="O230" s="3"/>
      <c r="P230" s="3"/>
    </row>
    <row r="231" spans="1:16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16"/>
      <c r="K231" s="3"/>
      <c r="L231" s="3"/>
      <c r="M231" s="3"/>
      <c r="N231" s="3"/>
      <c r="O231" s="3"/>
      <c r="P231" s="3"/>
    </row>
    <row r="232" spans="1:16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16"/>
      <c r="K232" s="3"/>
      <c r="L232" s="3"/>
      <c r="M232" s="3"/>
      <c r="N232" s="3"/>
      <c r="O232" s="3"/>
      <c r="P232" s="3"/>
    </row>
    <row r="233" spans="1:16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16"/>
      <c r="K233" s="3"/>
      <c r="L233" s="3"/>
      <c r="M233" s="3"/>
      <c r="N233" s="3"/>
      <c r="O233" s="3"/>
      <c r="P233" s="3"/>
    </row>
    <row r="234" spans="1:16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16"/>
      <c r="K234" s="3"/>
      <c r="L234" s="3"/>
      <c r="M234" s="3"/>
      <c r="N234" s="3"/>
      <c r="O234" s="3"/>
      <c r="P234" s="3"/>
    </row>
    <row r="235" spans="1:16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16"/>
      <c r="K235" s="3"/>
      <c r="L235" s="3"/>
      <c r="M235" s="3"/>
      <c r="N235" s="3"/>
      <c r="O235" s="3"/>
      <c r="P235" s="3"/>
    </row>
    <row r="236" spans="1:16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16"/>
      <c r="K236" s="3"/>
      <c r="L236" s="3"/>
      <c r="M236" s="3"/>
      <c r="N236" s="3"/>
      <c r="O236" s="3"/>
      <c r="P236" s="3"/>
    </row>
    <row r="237" spans="1:16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16"/>
      <c r="K237" s="3"/>
      <c r="L237" s="3"/>
      <c r="M237" s="3"/>
      <c r="N237" s="3"/>
      <c r="O237" s="3"/>
      <c r="P237" s="3"/>
    </row>
    <row r="238" spans="1:16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16"/>
      <c r="K238" s="3"/>
      <c r="L238" s="3"/>
      <c r="M238" s="3"/>
      <c r="N238" s="3"/>
      <c r="O238" s="3"/>
      <c r="P238" s="3"/>
    </row>
    <row r="239" spans="1:16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16"/>
      <c r="K239" s="3"/>
      <c r="L239" s="3"/>
      <c r="M239" s="3"/>
      <c r="N239" s="3"/>
      <c r="O239" s="3"/>
      <c r="P239" s="3"/>
    </row>
    <row r="240" spans="1:16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16"/>
      <c r="K240" s="3"/>
      <c r="L240" s="3"/>
      <c r="M240" s="3"/>
      <c r="N240" s="3"/>
      <c r="O240" s="3"/>
      <c r="P240" s="3"/>
    </row>
    <row r="241" spans="1:16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16"/>
      <c r="K241" s="3"/>
      <c r="L241" s="3"/>
      <c r="M241" s="3"/>
      <c r="N241" s="3"/>
      <c r="O241" s="3"/>
      <c r="P241" s="3"/>
    </row>
    <row r="242" spans="1:16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16"/>
      <c r="K242" s="3"/>
      <c r="L242" s="3"/>
      <c r="M242" s="3"/>
      <c r="N242" s="3"/>
      <c r="O242" s="3"/>
      <c r="P242" s="3"/>
    </row>
    <row r="243" spans="1:16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16"/>
      <c r="K243" s="3"/>
      <c r="L243" s="3"/>
      <c r="M243" s="3"/>
      <c r="N243" s="3"/>
      <c r="O243" s="3"/>
      <c r="P243" s="3"/>
    </row>
    <row r="244" spans="1:16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16"/>
      <c r="K244" s="3"/>
      <c r="L244" s="3"/>
      <c r="M244" s="3"/>
      <c r="N244" s="3"/>
      <c r="O244" s="3"/>
      <c r="P244" s="3"/>
    </row>
    <row r="245" spans="1:16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16"/>
      <c r="K245" s="3"/>
      <c r="L245" s="3"/>
      <c r="M245" s="3"/>
      <c r="N245" s="3"/>
      <c r="O245" s="3"/>
      <c r="P245" s="3"/>
    </row>
    <row r="246" spans="1:16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16"/>
      <c r="K246" s="3"/>
      <c r="L246" s="3"/>
      <c r="M246" s="3"/>
      <c r="N246" s="3"/>
      <c r="O246" s="3"/>
      <c r="P246" s="3"/>
    </row>
    <row r="247" spans="1:16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16"/>
      <c r="K247" s="3"/>
      <c r="L247" s="3"/>
      <c r="M247" s="3"/>
      <c r="N247" s="3"/>
      <c r="O247" s="3"/>
      <c r="P247" s="3"/>
    </row>
    <row r="248" spans="1:16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16"/>
      <c r="K248" s="3"/>
      <c r="L248" s="3"/>
      <c r="M248" s="3"/>
      <c r="N248" s="3"/>
      <c r="O248" s="3"/>
      <c r="P248" s="3"/>
    </row>
    <row r="249" spans="1:16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16"/>
      <c r="K249" s="3"/>
      <c r="L249" s="3"/>
      <c r="M249" s="3"/>
      <c r="N249" s="3"/>
      <c r="O249" s="3"/>
      <c r="P249" s="3"/>
    </row>
    <row r="250" spans="1:16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16"/>
      <c r="K250" s="3"/>
      <c r="L250" s="3"/>
      <c r="M250" s="3"/>
      <c r="N250" s="3"/>
      <c r="O250" s="3"/>
      <c r="P250" s="3"/>
    </row>
    <row r="251" spans="1:16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16"/>
      <c r="K251" s="3"/>
      <c r="L251" s="3"/>
      <c r="M251" s="3"/>
      <c r="N251" s="3"/>
      <c r="O251" s="3"/>
      <c r="P251" s="3"/>
    </row>
    <row r="252" spans="1:16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16"/>
      <c r="K252" s="3"/>
      <c r="L252" s="3"/>
      <c r="M252" s="3"/>
      <c r="N252" s="3"/>
      <c r="O252" s="3"/>
      <c r="P252" s="3"/>
    </row>
    <row r="253" spans="1:16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16"/>
      <c r="K253" s="3"/>
      <c r="L253" s="3"/>
      <c r="M253" s="3"/>
      <c r="N253" s="3"/>
      <c r="O253" s="3"/>
      <c r="P253" s="3"/>
    </row>
    <row r="254" spans="1:16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16"/>
      <c r="K254" s="3"/>
      <c r="L254" s="3"/>
      <c r="M254" s="3"/>
      <c r="N254" s="3"/>
      <c r="O254" s="3"/>
      <c r="P254" s="3"/>
    </row>
    <row r="255" spans="1:16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16"/>
      <c r="K255" s="3"/>
      <c r="L255" s="3"/>
      <c r="M255" s="3"/>
      <c r="N255" s="3"/>
      <c r="O255" s="3"/>
      <c r="P255" s="3"/>
    </row>
    <row r="256" spans="1:16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16"/>
      <c r="K256" s="3"/>
      <c r="L256" s="3"/>
      <c r="M256" s="3"/>
      <c r="N256" s="3"/>
      <c r="O256" s="3"/>
      <c r="P256" s="3"/>
    </row>
    <row r="257" spans="1:16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16"/>
      <c r="K257" s="3"/>
      <c r="L257" s="3"/>
      <c r="M257" s="3"/>
      <c r="N257" s="3"/>
      <c r="O257" s="3"/>
      <c r="P257" s="3"/>
    </row>
    <row r="258" spans="1:16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16"/>
      <c r="K258" s="3"/>
      <c r="L258" s="3"/>
      <c r="M258" s="3"/>
      <c r="N258" s="3"/>
      <c r="O258" s="3"/>
      <c r="P258" s="3"/>
    </row>
    <row r="259" spans="1:16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16"/>
      <c r="K259" s="3"/>
      <c r="L259" s="3"/>
      <c r="M259" s="3"/>
      <c r="N259" s="3"/>
      <c r="O259" s="3"/>
      <c r="P259" s="3"/>
    </row>
    <row r="260" spans="1:16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16"/>
      <c r="K260" s="3"/>
      <c r="L260" s="3"/>
      <c r="M260" s="3"/>
      <c r="N260" s="3"/>
      <c r="O260" s="3"/>
      <c r="P260" s="3"/>
    </row>
    <row r="261" spans="1:16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16"/>
      <c r="K261" s="3"/>
      <c r="L261" s="3"/>
      <c r="M261" s="3"/>
      <c r="N261" s="3"/>
      <c r="O261" s="3"/>
      <c r="P261" s="3"/>
    </row>
    <row r="262" spans="1:16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16"/>
      <c r="K262" s="3"/>
      <c r="L262" s="3"/>
      <c r="M262" s="3"/>
      <c r="N262" s="3"/>
      <c r="O262" s="3"/>
      <c r="P262" s="3"/>
    </row>
    <row r="263" spans="1:16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16"/>
      <c r="K263" s="3"/>
      <c r="L263" s="3"/>
      <c r="M263" s="3"/>
      <c r="N263" s="3"/>
      <c r="O263" s="3"/>
      <c r="P263" s="3"/>
    </row>
    <row r="264" spans="1:16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16"/>
      <c r="K264" s="3"/>
      <c r="L264" s="3"/>
      <c r="M264" s="3"/>
      <c r="N264" s="3"/>
      <c r="O264" s="3"/>
      <c r="P264" s="3"/>
    </row>
    <row r="265" spans="1:16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16"/>
      <c r="K265" s="3"/>
      <c r="L265" s="3"/>
      <c r="M265" s="3"/>
      <c r="N265" s="3"/>
      <c r="O265" s="3"/>
      <c r="P265" s="3"/>
    </row>
    <row r="266" spans="1:16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16"/>
      <c r="K266" s="3"/>
      <c r="L266" s="3"/>
      <c r="M266" s="3"/>
      <c r="N266" s="3"/>
      <c r="O266" s="3"/>
      <c r="P266" s="3"/>
    </row>
    <row r="267" spans="1:16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16"/>
      <c r="K267" s="3"/>
      <c r="L267" s="3"/>
      <c r="M267" s="3"/>
      <c r="N267" s="3"/>
      <c r="O267" s="3"/>
      <c r="P267" s="3"/>
    </row>
    <row r="268" spans="1:16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16"/>
      <c r="K268" s="3"/>
      <c r="L268" s="3"/>
      <c r="M268" s="3"/>
      <c r="N268" s="3"/>
      <c r="O268" s="3"/>
      <c r="P268" s="3"/>
    </row>
    <row r="269" spans="1:16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16"/>
      <c r="K269" s="3"/>
      <c r="L269" s="3"/>
      <c r="M269" s="3"/>
      <c r="N269" s="3"/>
      <c r="O269" s="3"/>
      <c r="P269" s="3"/>
    </row>
    <row r="270" spans="1:16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16"/>
      <c r="K270" s="3"/>
      <c r="L270" s="3"/>
      <c r="M270" s="3"/>
      <c r="N270" s="3"/>
      <c r="O270" s="3"/>
      <c r="P270" s="3"/>
    </row>
    <row r="271" spans="1:16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16"/>
      <c r="K271" s="3"/>
      <c r="L271" s="3"/>
      <c r="M271" s="3"/>
      <c r="N271" s="3"/>
      <c r="O271" s="3"/>
      <c r="P271" s="3"/>
    </row>
    <row r="272" spans="1:16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16"/>
      <c r="K272" s="3"/>
      <c r="L272" s="3"/>
      <c r="M272" s="3"/>
      <c r="N272" s="3"/>
      <c r="O272" s="3"/>
      <c r="P272" s="3"/>
    </row>
    <row r="273" spans="1:16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16"/>
      <c r="K273" s="3"/>
      <c r="L273" s="3"/>
      <c r="M273" s="3"/>
      <c r="N273" s="3"/>
      <c r="O273" s="3"/>
      <c r="P273" s="3"/>
    </row>
    <row r="274" spans="1:16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16"/>
      <c r="K274" s="3"/>
      <c r="L274" s="3"/>
      <c r="M274" s="3"/>
      <c r="N274" s="3"/>
      <c r="O274" s="3"/>
      <c r="P274" s="3"/>
    </row>
    <row r="275" spans="1:16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16"/>
      <c r="K275" s="3"/>
      <c r="L275" s="3"/>
      <c r="M275" s="3"/>
      <c r="N275" s="3"/>
      <c r="O275" s="3"/>
      <c r="P275" s="3"/>
    </row>
    <row r="276" spans="1:16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16"/>
      <c r="K276" s="3"/>
      <c r="L276" s="3"/>
      <c r="M276" s="3"/>
      <c r="N276" s="3"/>
      <c r="O276" s="3"/>
      <c r="P276" s="3"/>
    </row>
    <row r="277" spans="1:16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16"/>
      <c r="K277" s="3"/>
      <c r="L277" s="3"/>
      <c r="M277" s="3"/>
      <c r="N277" s="3"/>
      <c r="O277" s="3"/>
      <c r="P277" s="3"/>
    </row>
    <row r="278" spans="1:16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16"/>
      <c r="K278" s="3"/>
      <c r="L278" s="3"/>
      <c r="M278" s="3"/>
      <c r="N278" s="3"/>
      <c r="O278" s="3"/>
      <c r="P278" s="3"/>
    </row>
    <row r="279" spans="1:16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16"/>
      <c r="K279" s="3"/>
      <c r="L279" s="3"/>
      <c r="M279" s="3"/>
      <c r="N279" s="3"/>
      <c r="O279" s="3"/>
      <c r="P279" s="3"/>
    </row>
    <row r="280" spans="1:16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16"/>
      <c r="K280" s="3"/>
      <c r="L280" s="3"/>
      <c r="M280" s="3"/>
      <c r="N280" s="3"/>
      <c r="O280" s="3"/>
      <c r="P280" s="3"/>
    </row>
    <row r="281" spans="1:16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16"/>
      <c r="K281" s="3"/>
      <c r="L281" s="3"/>
      <c r="M281" s="3"/>
      <c r="N281" s="3"/>
      <c r="O281" s="3"/>
      <c r="P281" s="3"/>
    </row>
    <row r="282" spans="1:16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16"/>
      <c r="K282" s="3"/>
      <c r="L282" s="3"/>
      <c r="M282" s="3"/>
      <c r="N282" s="3"/>
      <c r="O282" s="3"/>
      <c r="P282" s="3"/>
    </row>
    <row r="283" spans="1:16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16"/>
      <c r="K283" s="3"/>
      <c r="L283" s="3"/>
      <c r="M283" s="3"/>
      <c r="N283" s="3"/>
      <c r="O283" s="3"/>
      <c r="P283" s="3"/>
    </row>
    <row r="284" spans="1:16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16"/>
      <c r="K284" s="3"/>
      <c r="L284" s="3"/>
      <c r="M284" s="3"/>
      <c r="N284" s="3"/>
      <c r="O284" s="3"/>
      <c r="P284" s="3"/>
    </row>
    <row r="285" spans="1:16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16"/>
      <c r="K285" s="3"/>
      <c r="L285" s="3"/>
      <c r="M285" s="3"/>
      <c r="N285" s="3"/>
      <c r="O285" s="3"/>
      <c r="P285" s="3"/>
    </row>
    <row r="286" spans="1:16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16"/>
      <c r="K286" s="3"/>
      <c r="L286" s="3"/>
      <c r="M286" s="3"/>
      <c r="N286" s="3"/>
      <c r="O286" s="3"/>
      <c r="P286" s="3"/>
    </row>
    <row r="287" spans="1:16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16"/>
      <c r="K287" s="3"/>
      <c r="L287" s="3"/>
      <c r="M287" s="3"/>
      <c r="N287" s="3"/>
      <c r="O287" s="3"/>
      <c r="P287" s="3"/>
    </row>
    <row r="288" spans="1:16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16"/>
      <c r="K288" s="3"/>
      <c r="L288" s="3"/>
      <c r="M288" s="3"/>
      <c r="N288" s="3"/>
      <c r="O288" s="3"/>
      <c r="P288" s="3"/>
    </row>
    <row r="289" spans="1:16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16"/>
      <c r="K289" s="3"/>
      <c r="L289" s="3"/>
      <c r="M289" s="3"/>
      <c r="N289" s="3"/>
      <c r="O289" s="3"/>
      <c r="P289" s="3"/>
    </row>
    <row r="290" spans="1:16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16"/>
      <c r="K290" s="3"/>
      <c r="L290" s="3"/>
      <c r="M290" s="3"/>
      <c r="N290" s="3"/>
      <c r="O290" s="3"/>
      <c r="P290" s="3"/>
    </row>
    <row r="291" spans="1:16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16"/>
      <c r="K291" s="3"/>
      <c r="L291" s="3"/>
      <c r="M291" s="3"/>
      <c r="N291" s="3"/>
      <c r="O291" s="3"/>
      <c r="P291" s="3"/>
    </row>
    <row r="292" spans="1:16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16"/>
      <c r="K292" s="3"/>
      <c r="L292" s="3"/>
      <c r="M292" s="3"/>
      <c r="N292" s="3"/>
      <c r="O292" s="3"/>
      <c r="P292" s="3"/>
    </row>
    <row r="293" spans="1:16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16"/>
      <c r="K293" s="3"/>
      <c r="L293" s="3"/>
      <c r="M293" s="3"/>
      <c r="N293" s="3"/>
      <c r="O293" s="3"/>
      <c r="P293" s="3"/>
    </row>
    <row r="294" spans="1:16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16"/>
      <c r="K294" s="3"/>
      <c r="L294" s="3"/>
      <c r="M294" s="3"/>
      <c r="N294" s="3"/>
      <c r="O294" s="3"/>
      <c r="P294" s="3"/>
    </row>
    <row r="295" spans="1:16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16"/>
      <c r="K295" s="3"/>
      <c r="L295" s="3"/>
      <c r="M295" s="3"/>
      <c r="N295" s="3"/>
      <c r="O295" s="3"/>
      <c r="P295" s="3"/>
    </row>
    <row r="296" spans="1:16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16"/>
      <c r="K296" s="3"/>
      <c r="L296" s="3"/>
      <c r="M296" s="3"/>
      <c r="N296" s="3"/>
      <c r="O296" s="3"/>
      <c r="P296" s="3"/>
    </row>
    <row r="297" spans="1:16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16"/>
      <c r="K297" s="3"/>
      <c r="L297" s="3"/>
      <c r="M297" s="3"/>
      <c r="N297" s="3"/>
      <c r="O297" s="3"/>
      <c r="P297" s="3"/>
    </row>
    <row r="298" spans="1:16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16"/>
      <c r="K298" s="3"/>
      <c r="L298" s="3"/>
      <c r="M298" s="3"/>
      <c r="N298" s="3"/>
      <c r="O298" s="3"/>
      <c r="P298" s="3"/>
    </row>
    <row r="299" spans="1:16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16"/>
      <c r="K299" s="3"/>
      <c r="L299" s="3"/>
      <c r="M299" s="3"/>
      <c r="N299" s="3"/>
      <c r="O299" s="3"/>
      <c r="P299" s="3"/>
    </row>
    <row r="300" spans="1:16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16"/>
      <c r="K300" s="3"/>
      <c r="L300" s="3"/>
      <c r="M300" s="3"/>
      <c r="N300" s="3"/>
      <c r="O300" s="3"/>
      <c r="P300" s="3"/>
    </row>
    <row r="301" spans="1:16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16"/>
      <c r="K301" s="3"/>
      <c r="L301" s="3"/>
      <c r="M301" s="3"/>
      <c r="N301" s="3"/>
      <c r="O301" s="3"/>
      <c r="P301" s="3"/>
    </row>
    <row r="302" spans="1:16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16"/>
      <c r="K302" s="3"/>
      <c r="L302" s="3"/>
      <c r="M302" s="3"/>
      <c r="N302" s="3"/>
      <c r="O302" s="3"/>
      <c r="P302" s="3"/>
    </row>
    <row r="303" spans="1:16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16"/>
      <c r="K303" s="3"/>
      <c r="L303" s="3"/>
      <c r="M303" s="3"/>
      <c r="N303" s="3"/>
      <c r="O303" s="3"/>
      <c r="P303" s="3"/>
    </row>
    <row r="304" spans="1:16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16"/>
      <c r="K304" s="3"/>
      <c r="L304" s="3"/>
      <c r="M304" s="3"/>
      <c r="N304" s="3"/>
      <c r="O304" s="3"/>
      <c r="P304" s="3"/>
    </row>
    <row r="305" spans="1:16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16"/>
      <c r="K305" s="3"/>
      <c r="L305" s="3"/>
      <c r="M305" s="3"/>
      <c r="N305" s="3"/>
      <c r="O305" s="3"/>
      <c r="P305" s="3"/>
    </row>
    <row r="306" spans="1:16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16"/>
      <c r="K306" s="3"/>
      <c r="L306" s="3"/>
      <c r="M306" s="3"/>
      <c r="N306" s="3"/>
      <c r="O306" s="3"/>
      <c r="P306" s="3"/>
    </row>
    <row r="307" spans="1:16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16"/>
      <c r="K307" s="3"/>
      <c r="L307" s="3"/>
      <c r="M307" s="3"/>
      <c r="N307" s="3"/>
      <c r="O307" s="3"/>
      <c r="P307" s="3"/>
    </row>
    <row r="308" spans="1:16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16"/>
      <c r="K308" s="3"/>
      <c r="L308" s="3"/>
      <c r="M308" s="3"/>
      <c r="N308" s="3"/>
      <c r="O308" s="3"/>
      <c r="P308" s="3"/>
    </row>
    <row r="309" spans="1:16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16"/>
      <c r="K309" s="3"/>
      <c r="L309" s="3"/>
      <c r="M309" s="3"/>
      <c r="N309" s="3"/>
      <c r="O309" s="3"/>
      <c r="P309" s="3"/>
    </row>
    <row r="310" spans="1:16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16"/>
      <c r="K310" s="3"/>
      <c r="L310" s="3"/>
      <c r="M310" s="3"/>
      <c r="N310" s="3"/>
      <c r="O310" s="3"/>
      <c r="P310" s="3"/>
    </row>
    <row r="311" spans="1:16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16"/>
      <c r="K311" s="3"/>
      <c r="L311" s="3"/>
      <c r="M311" s="3"/>
      <c r="N311" s="3"/>
      <c r="O311" s="3"/>
      <c r="P311" s="3"/>
    </row>
    <row r="312" spans="1:16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16"/>
      <c r="K312" s="3"/>
      <c r="L312" s="3"/>
      <c r="M312" s="3"/>
      <c r="N312" s="3"/>
      <c r="O312" s="3"/>
      <c r="P312" s="3"/>
    </row>
    <row r="313" spans="1:16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16"/>
      <c r="K313" s="3"/>
      <c r="L313" s="3"/>
      <c r="M313" s="3"/>
      <c r="N313" s="3"/>
      <c r="O313" s="3"/>
      <c r="P313" s="3"/>
    </row>
    <row r="314" spans="1:16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16"/>
      <c r="K314" s="3"/>
      <c r="L314" s="3"/>
      <c r="M314" s="3"/>
      <c r="N314" s="3"/>
      <c r="O314" s="3"/>
      <c r="P314" s="3"/>
    </row>
    <row r="315" spans="1:16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16"/>
      <c r="K315" s="3"/>
      <c r="L315" s="3"/>
      <c r="M315" s="3"/>
      <c r="N315" s="3"/>
      <c r="O315" s="3"/>
      <c r="P315" s="3"/>
    </row>
    <row r="316" spans="1:16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16"/>
      <c r="K316" s="3"/>
      <c r="L316" s="3"/>
      <c r="M316" s="3"/>
      <c r="N316" s="3"/>
      <c r="O316" s="3"/>
      <c r="P316" s="3"/>
    </row>
    <row r="317" spans="1:16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16"/>
      <c r="K317" s="3"/>
      <c r="L317" s="3"/>
      <c r="M317" s="3"/>
      <c r="N317" s="3"/>
      <c r="O317" s="3"/>
      <c r="P317" s="3"/>
    </row>
    <row r="318" spans="1:16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16"/>
      <c r="K318" s="3"/>
      <c r="L318" s="3"/>
      <c r="M318" s="3"/>
      <c r="N318" s="3"/>
      <c r="O318" s="3"/>
      <c r="P318" s="3"/>
    </row>
    <row r="319" spans="1:16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16"/>
      <c r="K319" s="3"/>
      <c r="L319" s="3"/>
      <c r="M319" s="3"/>
      <c r="N319" s="3"/>
      <c r="O319" s="3"/>
      <c r="P319" s="3"/>
    </row>
    <row r="320" spans="1:16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16"/>
      <c r="K320" s="3"/>
      <c r="L320" s="3"/>
      <c r="M320" s="3"/>
      <c r="N320" s="3"/>
      <c r="O320" s="3"/>
      <c r="P320" s="3"/>
    </row>
    <row r="321" spans="1:16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16"/>
      <c r="K321" s="3"/>
      <c r="L321" s="3"/>
      <c r="M321" s="3"/>
      <c r="N321" s="3"/>
      <c r="O321" s="3"/>
      <c r="P321" s="3"/>
    </row>
    <row r="322" spans="1:16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16"/>
      <c r="K322" s="3"/>
      <c r="L322" s="3"/>
      <c r="M322" s="3"/>
      <c r="N322" s="3"/>
      <c r="O322" s="3"/>
      <c r="P322" s="3"/>
    </row>
    <row r="323" spans="1:16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16"/>
      <c r="K323" s="3"/>
      <c r="L323" s="3"/>
      <c r="M323" s="3"/>
      <c r="N323" s="3"/>
      <c r="O323" s="3"/>
      <c r="P323" s="3"/>
    </row>
    <row r="324" spans="1:16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16"/>
      <c r="K324" s="3"/>
      <c r="L324" s="3"/>
      <c r="M324" s="3"/>
      <c r="N324" s="3"/>
      <c r="O324" s="3"/>
      <c r="P324" s="3"/>
    </row>
    <row r="325" spans="1:16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16"/>
      <c r="K325" s="3"/>
      <c r="L325" s="3"/>
      <c r="M325" s="3"/>
      <c r="N325" s="3"/>
      <c r="O325" s="3"/>
      <c r="P325" s="3"/>
    </row>
    <row r="326" spans="1:16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16"/>
      <c r="K326" s="3"/>
      <c r="L326" s="3"/>
      <c r="M326" s="3"/>
      <c r="N326" s="3"/>
      <c r="O326" s="3"/>
      <c r="P326" s="3"/>
    </row>
    <row r="327" spans="1:16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16"/>
      <c r="K327" s="3"/>
      <c r="L327" s="3"/>
      <c r="M327" s="3"/>
      <c r="N327" s="3"/>
      <c r="O327" s="3"/>
      <c r="P327" s="3"/>
    </row>
    <row r="328" spans="1:16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16"/>
      <c r="K328" s="3"/>
      <c r="L328" s="3"/>
      <c r="M328" s="3"/>
      <c r="N328" s="3"/>
      <c r="O328" s="3"/>
      <c r="P328" s="3"/>
    </row>
    <row r="329" spans="1:16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16"/>
      <c r="K329" s="3"/>
      <c r="L329" s="3"/>
      <c r="M329" s="3"/>
      <c r="N329" s="3"/>
      <c r="O329" s="3"/>
      <c r="P329" s="3"/>
    </row>
    <row r="330" spans="1:16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16"/>
      <c r="K330" s="3"/>
      <c r="L330" s="3"/>
      <c r="M330" s="3"/>
      <c r="N330" s="3"/>
      <c r="O330" s="3"/>
      <c r="P330" s="3"/>
    </row>
    <row r="331" spans="1:16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16"/>
      <c r="K331" s="3"/>
      <c r="L331" s="3"/>
      <c r="M331" s="3"/>
      <c r="N331" s="3"/>
      <c r="O331" s="3"/>
      <c r="P331" s="3"/>
    </row>
    <row r="332" spans="1:16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16"/>
      <c r="K332" s="3"/>
      <c r="L332" s="3"/>
      <c r="M332" s="3"/>
      <c r="N332" s="3"/>
      <c r="O332" s="3"/>
      <c r="P332" s="3"/>
    </row>
    <row r="333" spans="1:16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16"/>
      <c r="K333" s="3"/>
      <c r="L333" s="3"/>
      <c r="M333" s="3"/>
      <c r="N333" s="3"/>
      <c r="O333" s="3"/>
      <c r="P333" s="3"/>
    </row>
    <row r="334" spans="1:16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16"/>
      <c r="K334" s="3"/>
      <c r="L334" s="3"/>
      <c r="M334" s="3"/>
      <c r="N334" s="3"/>
      <c r="O334" s="3"/>
      <c r="P334" s="3"/>
    </row>
    <row r="335" spans="1:16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16"/>
      <c r="K335" s="3"/>
      <c r="L335" s="3"/>
      <c r="M335" s="3"/>
      <c r="N335" s="3"/>
      <c r="O335" s="3"/>
      <c r="P335" s="3"/>
    </row>
    <row r="336" spans="1:16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16"/>
      <c r="K336" s="3"/>
      <c r="L336" s="3"/>
      <c r="M336" s="3"/>
      <c r="N336" s="3"/>
      <c r="O336" s="3"/>
      <c r="P336" s="3"/>
    </row>
    <row r="337" spans="1:16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16"/>
      <c r="K337" s="3"/>
      <c r="L337" s="3"/>
      <c r="M337" s="3"/>
      <c r="N337" s="3"/>
      <c r="O337" s="3"/>
      <c r="P337" s="3"/>
    </row>
    <row r="338" spans="1:16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16"/>
      <c r="K338" s="3"/>
      <c r="L338" s="3"/>
      <c r="M338" s="3"/>
      <c r="N338" s="3"/>
      <c r="O338" s="3"/>
      <c r="P338" s="3"/>
    </row>
    <row r="339" spans="1:16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16"/>
      <c r="K339" s="3"/>
      <c r="L339" s="3"/>
      <c r="M339" s="3"/>
      <c r="N339" s="3"/>
      <c r="O339" s="3"/>
      <c r="P339" s="3"/>
    </row>
    <row r="340" spans="1:16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16"/>
      <c r="K340" s="3"/>
      <c r="L340" s="3"/>
      <c r="M340" s="3"/>
      <c r="N340" s="3"/>
      <c r="O340" s="3"/>
      <c r="P340" s="3"/>
    </row>
    <row r="341" spans="1:16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16"/>
      <c r="K341" s="3"/>
      <c r="L341" s="3"/>
      <c r="M341" s="3"/>
      <c r="N341" s="3"/>
      <c r="O341" s="3"/>
      <c r="P341" s="3"/>
    </row>
    <row r="342" spans="1:16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16"/>
      <c r="K342" s="3"/>
      <c r="L342" s="3"/>
      <c r="M342" s="3"/>
      <c r="N342" s="3"/>
      <c r="O342" s="3"/>
      <c r="P342" s="3"/>
    </row>
    <row r="343" spans="1:16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16"/>
      <c r="K343" s="3"/>
      <c r="L343" s="3"/>
      <c r="M343" s="3"/>
      <c r="N343" s="3"/>
      <c r="O343" s="3"/>
      <c r="P343" s="3"/>
    </row>
    <row r="344" spans="1:16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16"/>
      <c r="K344" s="3"/>
      <c r="L344" s="3"/>
      <c r="M344" s="3"/>
      <c r="N344" s="3"/>
      <c r="O344" s="3"/>
      <c r="P344" s="3"/>
    </row>
    <row r="345" spans="1:16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16"/>
      <c r="K345" s="3"/>
      <c r="L345" s="3"/>
      <c r="M345" s="3"/>
      <c r="N345" s="3"/>
      <c r="O345" s="3"/>
      <c r="P345" s="3"/>
    </row>
    <row r="346" spans="1:16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16"/>
      <c r="K346" s="3"/>
      <c r="L346" s="3"/>
      <c r="M346" s="3"/>
      <c r="N346" s="3"/>
      <c r="O346" s="3"/>
      <c r="P346" s="3"/>
    </row>
    <row r="347" spans="1:16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16"/>
      <c r="K347" s="3"/>
      <c r="L347" s="3"/>
      <c r="M347" s="3"/>
      <c r="N347" s="3"/>
      <c r="O347" s="3"/>
      <c r="P347" s="3"/>
    </row>
    <row r="348" spans="1:16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16"/>
      <c r="K348" s="3"/>
      <c r="L348" s="3"/>
      <c r="M348" s="3"/>
      <c r="N348" s="3"/>
      <c r="O348" s="3"/>
      <c r="P348" s="3"/>
    </row>
    <row r="349" spans="1:16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16"/>
      <c r="K349" s="3"/>
      <c r="L349" s="3"/>
      <c r="M349" s="3"/>
      <c r="N349" s="3"/>
      <c r="O349" s="3"/>
      <c r="P349" s="3"/>
    </row>
    <row r="350" spans="1:16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16"/>
      <c r="K350" s="3"/>
      <c r="L350" s="3"/>
      <c r="M350" s="3"/>
      <c r="N350" s="3"/>
      <c r="O350" s="3"/>
      <c r="P350" s="3"/>
    </row>
    <row r="351" spans="1:16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16"/>
      <c r="K351" s="3"/>
      <c r="L351" s="3"/>
      <c r="M351" s="3"/>
      <c r="N351" s="3"/>
      <c r="O351" s="3"/>
      <c r="P351" s="3"/>
    </row>
    <row r="352" spans="1:16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16"/>
      <c r="K352" s="3"/>
      <c r="L352" s="3"/>
      <c r="M352" s="3"/>
      <c r="N352" s="3"/>
      <c r="O352" s="3"/>
      <c r="P352" s="3"/>
    </row>
    <row r="353" spans="1:16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16"/>
      <c r="K353" s="3"/>
      <c r="L353" s="3"/>
      <c r="M353" s="3"/>
      <c r="N353" s="3"/>
      <c r="O353" s="3"/>
      <c r="P353" s="3"/>
    </row>
    <row r="354" spans="1:16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16"/>
      <c r="K354" s="3"/>
      <c r="L354" s="3"/>
      <c r="M354" s="3"/>
      <c r="N354" s="3"/>
      <c r="O354" s="3"/>
      <c r="P354" s="3"/>
    </row>
    <row r="355" spans="1:16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16"/>
      <c r="K355" s="3"/>
      <c r="L355" s="3"/>
      <c r="M355" s="3"/>
      <c r="N355" s="3"/>
      <c r="O355" s="3"/>
      <c r="P355" s="3"/>
    </row>
    <row r="356" spans="1:16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16"/>
      <c r="K356" s="3"/>
      <c r="L356" s="3"/>
      <c r="M356" s="3"/>
      <c r="N356" s="3"/>
      <c r="O356" s="3"/>
      <c r="P356" s="3"/>
    </row>
    <row r="357" spans="1:16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16"/>
      <c r="K357" s="3"/>
      <c r="L357" s="3"/>
      <c r="M357" s="3"/>
      <c r="N357" s="3"/>
      <c r="O357" s="3"/>
      <c r="P357" s="3"/>
    </row>
    <row r="358" spans="1:16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16"/>
      <c r="K358" s="3"/>
      <c r="L358" s="3"/>
      <c r="M358" s="3"/>
      <c r="N358" s="3"/>
      <c r="O358" s="3"/>
      <c r="P358" s="3"/>
    </row>
    <row r="359" spans="1:16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16"/>
      <c r="K359" s="3"/>
      <c r="L359" s="3"/>
      <c r="M359" s="3"/>
      <c r="N359" s="3"/>
      <c r="O359" s="3"/>
      <c r="P359" s="3"/>
    </row>
    <row r="360" spans="1:16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16"/>
      <c r="K360" s="3"/>
      <c r="L360" s="3"/>
      <c r="M360" s="3"/>
      <c r="N360" s="3"/>
      <c r="O360" s="3"/>
      <c r="P360" s="3"/>
    </row>
    <row r="361" spans="1:16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16"/>
      <c r="K361" s="3"/>
      <c r="L361" s="3"/>
      <c r="M361" s="3"/>
      <c r="N361" s="3"/>
      <c r="O361" s="3"/>
      <c r="P361" s="3"/>
    </row>
    <row r="362" spans="1:16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16"/>
      <c r="K362" s="3"/>
      <c r="L362" s="3"/>
      <c r="M362" s="3"/>
      <c r="N362" s="3"/>
      <c r="O362" s="3"/>
      <c r="P362" s="3"/>
    </row>
    <row r="363" spans="1:16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16"/>
      <c r="K363" s="3"/>
      <c r="L363" s="3"/>
      <c r="M363" s="3"/>
      <c r="N363" s="3"/>
      <c r="O363" s="3"/>
      <c r="P363" s="3"/>
    </row>
    <row r="364" spans="1:16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16"/>
      <c r="K364" s="3"/>
      <c r="L364" s="3"/>
      <c r="M364" s="3"/>
      <c r="N364" s="3"/>
      <c r="O364" s="3"/>
      <c r="P364" s="3"/>
    </row>
    <row r="365" spans="1:16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16"/>
      <c r="K365" s="3"/>
      <c r="L365" s="3"/>
      <c r="M365" s="3"/>
      <c r="N365" s="3"/>
      <c r="O365" s="3"/>
      <c r="P365" s="3"/>
    </row>
    <row r="366" spans="1:16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16"/>
      <c r="K366" s="3"/>
      <c r="L366" s="3"/>
      <c r="M366" s="3"/>
      <c r="N366" s="3"/>
      <c r="O366" s="3"/>
      <c r="P366" s="3"/>
    </row>
    <row r="367" spans="1:16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16"/>
      <c r="K367" s="3"/>
      <c r="L367" s="3"/>
      <c r="M367" s="3"/>
      <c r="N367" s="3"/>
      <c r="O367" s="3"/>
      <c r="P367" s="3"/>
    </row>
    <row r="368" spans="1:16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16"/>
      <c r="K368" s="3"/>
      <c r="L368" s="3"/>
      <c r="M368" s="3"/>
      <c r="N368" s="3"/>
      <c r="O368" s="3"/>
      <c r="P368" s="3"/>
    </row>
    <row r="369" spans="1:16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16"/>
      <c r="K369" s="3"/>
      <c r="L369" s="3"/>
      <c r="M369" s="3"/>
      <c r="N369" s="3"/>
      <c r="O369" s="3"/>
      <c r="P369" s="3"/>
    </row>
    <row r="370" spans="1:16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16"/>
      <c r="K370" s="3"/>
      <c r="L370" s="3"/>
      <c r="M370" s="3"/>
      <c r="N370" s="3"/>
      <c r="O370" s="3"/>
      <c r="P370" s="3"/>
    </row>
    <row r="371" spans="1:16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16"/>
      <c r="K371" s="3"/>
      <c r="L371" s="3"/>
      <c r="M371" s="3"/>
      <c r="N371" s="3"/>
      <c r="O371" s="3"/>
      <c r="P371" s="3"/>
    </row>
    <row r="372" spans="1:16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16"/>
      <c r="K372" s="3"/>
      <c r="L372" s="3"/>
      <c r="M372" s="3"/>
      <c r="N372" s="3"/>
      <c r="O372" s="3"/>
      <c r="P372" s="3"/>
    </row>
    <row r="373" spans="1:16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16"/>
      <c r="K373" s="3"/>
      <c r="L373" s="3"/>
      <c r="M373" s="3"/>
      <c r="N373" s="3"/>
      <c r="O373" s="3"/>
      <c r="P373" s="3"/>
    </row>
    <row r="374" spans="1:16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16"/>
      <c r="K374" s="3"/>
      <c r="L374" s="3"/>
      <c r="M374" s="3"/>
      <c r="N374" s="3"/>
      <c r="O374" s="3"/>
      <c r="P374" s="3"/>
    </row>
    <row r="375" spans="1:16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16"/>
      <c r="K375" s="3"/>
      <c r="L375" s="3"/>
      <c r="M375" s="3"/>
      <c r="N375" s="3"/>
      <c r="O375" s="3"/>
      <c r="P375" s="3"/>
    </row>
    <row r="376" spans="1:16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16"/>
      <c r="K376" s="3"/>
      <c r="L376" s="3"/>
      <c r="M376" s="3"/>
      <c r="N376" s="3"/>
      <c r="O376" s="3"/>
      <c r="P376" s="3"/>
    </row>
    <row r="377" spans="1:16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16"/>
      <c r="K377" s="3"/>
      <c r="L377" s="3"/>
      <c r="M377" s="3"/>
      <c r="N377" s="3"/>
      <c r="O377" s="3"/>
      <c r="P377" s="3"/>
    </row>
    <row r="378" spans="1:16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16"/>
      <c r="K378" s="3"/>
      <c r="L378" s="3"/>
      <c r="M378" s="3"/>
      <c r="N378" s="3"/>
      <c r="O378" s="3"/>
      <c r="P378" s="3"/>
    </row>
    <row r="379" spans="1:16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16"/>
      <c r="K379" s="3"/>
      <c r="L379" s="3"/>
      <c r="M379" s="3"/>
      <c r="N379" s="3"/>
      <c r="O379" s="3"/>
      <c r="P379" s="3"/>
    </row>
    <row r="380" spans="1:16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16"/>
      <c r="K380" s="3"/>
      <c r="L380" s="3"/>
      <c r="M380" s="3"/>
      <c r="N380" s="3"/>
      <c r="O380" s="3"/>
      <c r="P380" s="3"/>
    </row>
    <row r="381" spans="1:16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16"/>
      <c r="K381" s="3"/>
      <c r="L381" s="3"/>
      <c r="M381" s="3"/>
      <c r="N381" s="3"/>
      <c r="O381" s="3"/>
      <c r="P381" s="3"/>
    </row>
    <row r="382" spans="1:16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16"/>
      <c r="K382" s="3"/>
      <c r="L382" s="3"/>
      <c r="M382" s="3"/>
      <c r="N382" s="3"/>
      <c r="O382" s="3"/>
      <c r="P382" s="3"/>
    </row>
    <row r="383" spans="1:16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16"/>
      <c r="K383" s="3"/>
      <c r="L383" s="3"/>
      <c r="M383" s="3"/>
      <c r="N383" s="3"/>
      <c r="O383" s="3"/>
      <c r="P383" s="3"/>
    </row>
    <row r="384" spans="1:16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16"/>
      <c r="K384" s="3"/>
      <c r="L384" s="3"/>
      <c r="M384" s="3"/>
      <c r="N384" s="3"/>
      <c r="O384" s="3"/>
      <c r="P384" s="3"/>
    </row>
    <row r="385" spans="1:16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16"/>
      <c r="K385" s="3"/>
      <c r="L385" s="3"/>
      <c r="M385" s="3"/>
      <c r="N385" s="3"/>
      <c r="O385" s="3"/>
      <c r="P385" s="3"/>
    </row>
    <row r="386" spans="1:16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16"/>
      <c r="K386" s="3"/>
      <c r="L386" s="3"/>
      <c r="M386" s="3"/>
      <c r="N386" s="3"/>
      <c r="O386" s="3"/>
      <c r="P386" s="3"/>
    </row>
    <row r="387" spans="1:16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16"/>
      <c r="K387" s="3"/>
      <c r="L387" s="3"/>
      <c r="M387" s="3"/>
      <c r="N387" s="3"/>
      <c r="O387" s="3"/>
      <c r="P387" s="3"/>
    </row>
    <row r="388" spans="1:16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16"/>
      <c r="K388" s="3"/>
      <c r="L388" s="3"/>
      <c r="M388" s="3"/>
      <c r="N388" s="3"/>
      <c r="O388" s="3"/>
      <c r="P388" s="3"/>
    </row>
    <row r="389" spans="1:16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16"/>
      <c r="K389" s="3"/>
      <c r="L389" s="3"/>
      <c r="M389" s="3"/>
      <c r="N389" s="3"/>
      <c r="O389" s="3"/>
      <c r="P389" s="3"/>
    </row>
    <row r="390" spans="1:16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16"/>
      <c r="K390" s="3"/>
      <c r="L390" s="3"/>
      <c r="M390" s="3"/>
      <c r="N390" s="3"/>
      <c r="O390" s="3"/>
      <c r="P390" s="3"/>
    </row>
    <row r="391" spans="1:16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16"/>
      <c r="K391" s="3"/>
      <c r="L391" s="3"/>
      <c r="M391" s="3"/>
      <c r="N391" s="3"/>
      <c r="O391" s="3"/>
      <c r="P391" s="3"/>
    </row>
    <row r="392" spans="1:16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16"/>
      <c r="K392" s="3"/>
      <c r="L392" s="3"/>
      <c r="M392" s="3"/>
      <c r="N392" s="3"/>
      <c r="O392" s="3"/>
      <c r="P392" s="3"/>
    </row>
    <row r="393" spans="1:16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16"/>
      <c r="K393" s="3"/>
      <c r="L393" s="3"/>
      <c r="M393" s="3"/>
      <c r="N393" s="3"/>
      <c r="O393" s="3"/>
      <c r="P393" s="3"/>
    </row>
    <row r="394" spans="1:16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16"/>
      <c r="K394" s="3"/>
      <c r="L394" s="3"/>
      <c r="M394" s="3"/>
      <c r="N394" s="3"/>
      <c r="O394" s="3"/>
      <c r="P394" s="3"/>
    </row>
    <row r="395" spans="1:16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16"/>
      <c r="K395" s="3"/>
      <c r="L395" s="3"/>
      <c r="M395" s="3"/>
      <c r="N395" s="3"/>
      <c r="O395" s="3"/>
      <c r="P395" s="3"/>
    </row>
    <row r="396" spans="1:16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16"/>
      <c r="K396" s="3"/>
      <c r="L396" s="3"/>
      <c r="M396" s="3"/>
      <c r="N396" s="3"/>
      <c r="O396" s="3"/>
      <c r="P396" s="3"/>
    </row>
    <row r="397" spans="1:16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16"/>
      <c r="K397" s="3"/>
      <c r="L397" s="3"/>
      <c r="M397" s="3"/>
      <c r="N397" s="3"/>
      <c r="O397" s="3"/>
      <c r="P397" s="3"/>
    </row>
    <row r="398" spans="1:16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16"/>
      <c r="K398" s="3"/>
      <c r="L398" s="3"/>
      <c r="M398" s="3"/>
      <c r="N398" s="3"/>
      <c r="O398" s="3"/>
      <c r="P398" s="3"/>
    </row>
    <row r="399" spans="1:16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16"/>
      <c r="K399" s="3"/>
      <c r="L399" s="3"/>
      <c r="M399" s="3"/>
      <c r="N399" s="3"/>
      <c r="O399" s="3"/>
      <c r="P399" s="3"/>
    </row>
    <row r="400" spans="1:16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16"/>
      <c r="K400" s="3"/>
      <c r="L400" s="3"/>
      <c r="M400" s="3"/>
      <c r="N400" s="3"/>
      <c r="O400" s="3"/>
      <c r="P400" s="3"/>
    </row>
    <row r="401" spans="1:16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16"/>
      <c r="K401" s="3"/>
      <c r="L401" s="3"/>
      <c r="M401" s="3"/>
      <c r="N401" s="3"/>
      <c r="O401" s="3"/>
      <c r="P401" s="3"/>
    </row>
    <row r="402" spans="1:16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16"/>
      <c r="K402" s="3"/>
      <c r="L402" s="3"/>
      <c r="M402" s="3"/>
      <c r="N402" s="3"/>
      <c r="O402" s="3"/>
      <c r="P402" s="3"/>
    </row>
    <row r="403" spans="1:16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16"/>
      <c r="K403" s="3"/>
      <c r="L403" s="3"/>
      <c r="M403" s="3"/>
      <c r="N403" s="3"/>
      <c r="O403" s="3"/>
      <c r="P403" s="3"/>
    </row>
    <row r="404" spans="1:16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16"/>
      <c r="K404" s="3"/>
      <c r="L404" s="3"/>
      <c r="M404" s="3"/>
      <c r="N404" s="3"/>
      <c r="O404" s="3"/>
      <c r="P404" s="3"/>
    </row>
    <row r="405" spans="1:16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16"/>
      <c r="K405" s="3"/>
      <c r="L405" s="3"/>
      <c r="M405" s="3"/>
      <c r="N405" s="3"/>
      <c r="O405" s="3"/>
      <c r="P405" s="3"/>
    </row>
    <row r="406" spans="1:16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16"/>
      <c r="K406" s="3"/>
      <c r="L406" s="3"/>
      <c r="M406" s="3"/>
      <c r="N406" s="3"/>
      <c r="O406" s="3"/>
      <c r="P406" s="3"/>
    </row>
    <row r="407" spans="1:16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16"/>
      <c r="K407" s="3"/>
      <c r="L407" s="3"/>
      <c r="M407" s="3"/>
      <c r="N407" s="3"/>
      <c r="O407" s="3"/>
      <c r="P407" s="3"/>
    </row>
    <row r="408" spans="1:16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16"/>
      <c r="K408" s="3"/>
      <c r="L408" s="3"/>
      <c r="M408" s="3"/>
      <c r="N408" s="3"/>
      <c r="O408" s="3"/>
      <c r="P408" s="3"/>
    </row>
    <row r="409" spans="1:16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16"/>
      <c r="K409" s="3"/>
      <c r="L409" s="3"/>
      <c r="M409" s="3"/>
      <c r="N409" s="3"/>
      <c r="O409" s="3"/>
      <c r="P409" s="3"/>
    </row>
    <row r="410" spans="1:16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16"/>
      <c r="K410" s="3"/>
      <c r="L410" s="3"/>
      <c r="M410" s="3"/>
      <c r="N410" s="3"/>
      <c r="O410" s="3"/>
      <c r="P410" s="3"/>
    </row>
    <row r="411" spans="1:16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16"/>
      <c r="K411" s="3"/>
      <c r="L411" s="3"/>
      <c r="M411" s="3"/>
      <c r="N411" s="3"/>
      <c r="O411" s="3"/>
      <c r="P411" s="3"/>
    </row>
    <row r="412" spans="1:16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16"/>
      <c r="K412" s="3"/>
      <c r="L412" s="3"/>
      <c r="M412" s="3"/>
      <c r="N412" s="3"/>
      <c r="O412" s="3"/>
      <c r="P412" s="3"/>
    </row>
    <row r="413" spans="1:16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16"/>
      <c r="K413" s="3"/>
      <c r="L413" s="3"/>
      <c r="M413" s="3"/>
      <c r="N413" s="3"/>
      <c r="O413" s="3"/>
      <c r="P413" s="3"/>
    </row>
    <row r="414" spans="1:16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16"/>
      <c r="K414" s="3"/>
      <c r="L414" s="3"/>
      <c r="M414" s="3"/>
      <c r="N414" s="3"/>
      <c r="O414" s="3"/>
      <c r="P414" s="3"/>
    </row>
    <row r="415" spans="1:16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16"/>
      <c r="K415" s="3"/>
      <c r="L415" s="3"/>
      <c r="M415" s="3"/>
      <c r="N415" s="3"/>
      <c r="O415" s="3"/>
      <c r="P415" s="3"/>
    </row>
    <row r="416" spans="1:16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16"/>
      <c r="K416" s="3"/>
      <c r="L416" s="3"/>
      <c r="M416" s="3"/>
      <c r="N416" s="3"/>
      <c r="O416" s="3"/>
      <c r="P416" s="3"/>
    </row>
    <row r="417" spans="1:16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16"/>
      <c r="K417" s="3"/>
      <c r="L417" s="3"/>
      <c r="M417" s="3"/>
      <c r="N417" s="3"/>
      <c r="O417" s="3"/>
      <c r="P417" s="3"/>
    </row>
    <row r="418" spans="1:16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16"/>
      <c r="K418" s="3"/>
      <c r="L418" s="3"/>
      <c r="M418" s="3"/>
      <c r="N418" s="3"/>
      <c r="O418" s="3"/>
      <c r="P418" s="3"/>
    </row>
    <row r="419" spans="1:16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16"/>
      <c r="K419" s="3"/>
      <c r="L419" s="3"/>
      <c r="M419" s="3"/>
      <c r="N419" s="3"/>
      <c r="O419" s="3"/>
      <c r="P419" s="3"/>
    </row>
    <row r="420" spans="1:16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16"/>
      <c r="K420" s="3"/>
      <c r="L420" s="3"/>
      <c r="M420" s="3"/>
      <c r="N420" s="3"/>
      <c r="O420" s="3"/>
      <c r="P420" s="3"/>
    </row>
    <row r="421" spans="1:16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16"/>
      <c r="K421" s="3"/>
      <c r="L421" s="3"/>
      <c r="M421" s="3"/>
      <c r="N421" s="3"/>
      <c r="O421" s="3"/>
      <c r="P421" s="3"/>
    </row>
    <row r="422" spans="1:16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16"/>
      <c r="K422" s="3"/>
      <c r="L422" s="3"/>
      <c r="M422" s="3"/>
      <c r="N422" s="3"/>
      <c r="O422" s="3"/>
      <c r="P422" s="3"/>
    </row>
    <row r="423" spans="1:16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16"/>
      <c r="K423" s="3"/>
      <c r="L423" s="3"/>
      <c r="M423" s="3"/>
      <c r="N423" s="3"/>
      <c r="O423" s="3"/>
      <c r="P423" s="3"/>
    </row>
    <row r="424" spans="1:16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16"/>
      <c r="K424" s="3"/>
      <c r="L424" s="3"/>
      <c r="M424" s="3"/>
      <c r="N424" s="3"/>
      <c r="O424" s="3"/>
      <c r="P424" s="3"/>
    </row>
    <row r="425" spans="1:16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16"/>
      <c r="K425" s="3"/>
      <c r="L425" s="3"/>
      <c r="M425" s="3"/>
      <c r="N425" s="3"/>
      <c r="O425" s="3"/>
      <c r="P425" s="3"/>
    </row>
    <row r="426" spans="1:16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16"/>
      <c r="K426" s="3"/>
      <c r="L426" s="3"/>
      <c r="M426" s="3"/>
      <c r="N426" s="3"/>
      <c r="O426" s="3"/>
      <c r="P426" s="3"/>
    </row>
    <row r="427" spans="1:16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16"/>
      <c r="K427" s="3"/>
      <c r="L427" s="3"/>
      <c r="M427" s="3"/>
      <c r="N427" s="3"/>
      <c r="O427" s="3"/>
      <c r="P427" s="3"/>
    </row>
    <row r="428" spans="1:16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16"/>
      <c r="K428" s="3"/>
      <c r="L428" s="3"/>
      <c r="M428" s="3"/>
      <c r="N428" s="3"/>
      <c r="O428" s="3"/>
      <c r="P428" s="3"/>
    </row>
    <row r="429" spans="1:16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16"/>
      <c r="K429" s="3"/>
      <c r="L429" s="3"/>
      <c r="M429" s="3"/>
      <c r="N429" s="3"/>
      <c r="O429" s="3"/>
      <c r="P429" s="3"/>
    </row>
    <row r="430" spans="1:16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16"/>
      <c r="K430" s="3"/>
      <c r="L430" s="3"/>
      <c r="M430" s="3"/>
      <c r="N430" s="3"/>
      <c r="O430" s="3"/>
      <c r="P430" s="3"/>
    </row>
    <row r="431" spans="1:16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16"/>
      <c r="K431" s="3"/>
      <c r="L431" s="3"/>
      <c r="M431" s="3"/>
      <c r="N431" s="3"/>
      <c r="O431" s="3"/>
      <c r="P431" s="3"/>
    </row>
    <row r="432" spans="1:16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16"/>
      <c r="K432" s="3"/>
      <c r="L432" s="3"/>
      <c r="M432" s="3"/>
      <c r="N432" s="3"/>
      <c r="O432" s="3"/>
      <c r="P432" s="3"/>
    </row>
    <row r="433" spans="1:16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16"/>
      <c r="K433" s="3"/>
      <c r="L433" s="3"/>
      <c r="M433" s="3"/>
      <c r="N433" s="3"/>
      <c r="O433" s="3"/>
      <c r="P433" s="3"/>
    </row>
    <row r="434" spans="1:16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16"/>
      <c r="K434" s="3"/>
      <c r="L434" s="3"/>
      <c r="M434" s="3"/>
      <c r="N434" s="3"/>
      <c r="O434" s="3"/>
      <c r="P434" s="3"/>
    </row>
    <row r="435" spans="1:16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16"/>
      <c r="K435" s="3"/>
      <c r="L435" s="3"/>
      <c r="M435" s="3"/>
      <c r="N435" s="3"/>
      <c r="O435" s="3"/>
      <c r="P435" s="3"/>
    </row>
    <row r="436" spans="1:16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16"/>
      <c r="K436" s="3"/>
      <c r="L436" s="3"/>
      <c r="M436" s="3"/>
      <c r="N436" s="3"/>
      <c r="O436" s="3"/>
      <c r="P436" s="3"/>
    </row>
    <row r="437" spans="1:16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16"/>
      <c r="K437" s="3"/>
      <c r="L437" s="3"/>
      <c r="M437" s="3"/>
      <c r="N437" s="3"/>
      <c r="O437" s="3"/>
      <c r="P437" s="3"/>
    </row>
    <row r="438" spans="1:16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16"/>
      <c r="K438" s="3"/>
      <c r="L438" s="3"/>
      <c r="M438" s="3"/>
      <c r="N438" s="3"/>
      <c r="O438" s="3"/>
      <c r="P438" s="3"/>
    </row>
    <row r="439" spans="1:16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16"/>
      <c r="K439" s="3"/>
      <c r="L439" s="3"/>
      <c r="M439" s="3"/>
      <c r="N439" s="3"/>
      <c r="O439" s="3"/>
      <c r="P439" s="3"/>
    </row>
    <row r="440" spans="1:16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16"/>
      <c r="K440" s="3"/>
      <c r="L440" s="3"/>
      <c r="M440" s="3"/>
      <c r="N440" s="3"/>
      <c r="O440" s="3"/>
      <c r="P440" s="3"/>
    </row>
    <row r="441" spans="1:16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16"/>
      <c r="K441" s="3"/>
      <c r="L441" s="3"/>
      <c r="M441" s="3"/>
      <c r="N441" s="3"/>
      <c r="O441" s="3"/>
      <c r="P441" s="3"/>
    </row>
    <row r="442" spans="1:16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16"/>
      <c r="K442" s="3"/>
      <c r="L442" s="3"/>
      <c r="M442" s="3"/>
      <c r="N442" s="3"/>
      <c r="O442" s="3"/>
      <c r="P442" s="3"/>
    </row>
    <row r="443" spans="1:16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16"/>
      <c r="K443" s="3"/>
      <c r="L443" s="3"/>
      <c r="M443" s="3"/>
      <c r="N443" s="3"/>
      <c r="O443" s="3"/>
      <c r="P443" s="3"/>
    </row>
    <row r="444" spans="1:16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16"/>
      <c r="K444" s="3"/>
      <c r="L444" s="3"/>
      <c r="M444" s="3"/>
      <c r="N444" s="3"/>
      <c r="O444" s="3"/>
      <c r="P444" s="3"/>
    </row>
    <row r="445" spans="1:16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16"/>
      <c r="K445" s="3"/>
      <c r="L445" s="3"/>
      <c r="M445" s="3"/>
      <c r="N445" s="3"/>
      <c r="O445" s="3"/>
      <c r="P445" s="3"/>
    </row>
    <row r="446" spans="1:16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16"/>
      <c r="K446" s="3"/>
      <c r="L446" s="3"/>
      <c r="M446" s="3"/>
      <c r="N446" s="3"/>
      <c r="O446" s="3"/>
      <c r="P446" s="3"/>
    </row>
    <row r="447" spans="1:16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16"/>
      <c r="K447" s="3"/>
      <c r="L447" s="3"/>
      <c r="M447" s="3"/>
      <c r="N447" s="3"/>
      <c r="O447" s="3"/>
      <c r="P447" s="3"/>
    </row>
    <row r="448" spans="1:16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16"/>
      <c r="K448" s="3"/>
      <c r="L448" s="3"/>
      <c r="M448" s="3"/>
      <c r="N448" s="3"/>
      <c r="O448" s="3"/>
      <c r="P448" s="3"/>
    </row>
    <row r="449" spans="1:16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16"/>
      <c r="K449" s="3"/>
      <c r="L449" s="3"/>
      <c r="M449" s="3"/>
      <c r="N449" s="3"/>
      <c r="O449" s="3"/>
      <c r="P449" s="3"/>
    </row>
    <row r="450" spans="1:16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16"/>
      <c r="K450" s="3"/>
      <c r="L450" s="3"/>
      <c r="M450" s="3"/>
      <c r="N450" s="3"/>
      <c r="O450" s="3"/>
      <c r="P450" s="3"/>
    </row>
    <row r="451" spans="1:16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16"/>
      <c r="K451" s="3"/>
      <c r="L451" s="3"/>
      <c r="M451" s="3"/>
      <c r="N451" s="3"/>
      <c r="O451" s="3"/>
      <c r="P451" s="3"/>
    </row>
    <row r="452" spans="1:16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16"/>
      <c r="K452" s="3"/>
      <c r="L452" s="3"/>
      <c r="M452" s="3"/>
      <c r="N452" s="3"/>
      <c r="O452" s="3"/>
      <c r="P452" s="3"/>
    </row>
    <row r="453" spans="1:16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16"/>
      <c r="K453" s="3"/>
      <c r="L453" s="3"/>
      <c r="M453" s="3"/>
      <c r="N453" s="3"/>
      <c r="O453" s="3"/>
      <c r="P453" s="3"/>
    </row>
    <row r="454" spans="1:16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16"/>
      <c r="K454" s="3"/>
      <c r="L454" s="3"/>
      <c r="M454" s="3"/>
      <c r="N454" s="3"/>
      <c r="O454" s="3"/>
      <c r="P454" s="3"/>
    </row>
    <row r="455" spans="1:16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16"/>
      <c r="K455" s="3"/>
      <c r="L455" s="3"/>
      <c r="M455" s="3"/>
      <c r="N455" s="3"/>
      <c r="O455" s="3"/>
      <c r="P455" s="3"/>
    </row>
    <row r="456" spans="1:16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16"/>
      <c r="K456" s="3"/>
      <c r="L456" s="3"/>
      <c r="M456" s="3"/>
      <c r="N456" s="3"/>
      <c r="O456" s="3"/>
      <c r="P456" s="3"/>
    </row>
    <row r="457" spans="1:16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16"/>
      <c r="K457" s="3"/>
      <c r="L457" s="3"/>
      <c r="M457" s="3"/>
      <c r="N457" s="3"/>
      <c r="O457" s="3"/>
      <c r="P457" s="3"/>
    </row>
    <row r="458" spans="1:16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16"/>
      <c r="K458" s="3"/>
      <c r="L458" s="3"/>
      <c r="M458" s="3"/>
      <c r="N458" s="3"/>
      <c r="O458" s="3"/>
      <c r="P458" s="3"/>
    </row>
    <row r="459" spans="1:16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16"/>
      <c r="K459" s="3"/>
      <c r="L459" s="3"/>
      <c r="M459" s="3"/>
      <c r="N459" s="3"/>
      <c r="O459" s="3"/>
      <c r="P459" s="3"/>
    </row>
    <row r="460" spans="1:16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16"/>
      <c r="K460" s="3"/>
      <c r="L460" s="3"/>
      <c r="M460" s="3"/>
      <c r="N460" s="3"/>
      <c r="O460" s="3"/>
      <c r="P460" s="3"/>
    </row>
    <row r="461" spans="1:16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16"/>
      <c r="K461" s="3"/>
      <c r="L461" s="3"/>
      <c r="M461" s="3"/>
      <c r="N461" s="3"/>
      <c r="O461" s="3"/>
      <c r="P461" s="3"/>
    </row>
    <row r="462" spans="1:16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16"/>
      <c r="K462" s="3"/>
      <c r="L462" s="3"/>
      <c r="M462" s="3"/>
      <c r="N462" s="3"/>
      <c r="O462" s="3"/>
      <c r="P462" s="3"/>
    </row>
    <row r="463" spans="1:16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16"/>
      <c r="K463" s="3"/>
      <c r="L463" s="3"/>
      <c r="M463" s="3"/>
      <c r="N463" s="3"/>
      <c r="O463" s="3"/>
      <c r="P463" s="3"/>
    </row>
    <row r="464" spans="1:16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16"/>
      <c r="K464" s="3"/>
      <c r="L464" s="3"/>
      <c r="M464" s="3"/>
      <c r="N464" s="3"/>
      <c r="O464" s="3"/>
      <c r="P464" s="3"/>
    </row>
    <row r="465" spans="1:16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16"/>
      <c r="K465" s="3"/>
      <c r="L465" s="3"/>
      <c r="M465" s="3"/>
      <c r="N465" s="3"/>
      <c r="O465" s="3"/>
      <c r="P465" s="3"/>
    </row>
    <row r="466" spans="1:16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16"/>
      <c r="K466" s="3"/>
      <c r="L466" s="3"/>
      <c r="M466" s="3"/>
      <c r="N466" s="3"/>
      <c r="O466" s="3"/>
      <c r="P466" s="3"/>
    </row>
    <row r="467" spans="1:16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16"/>
      <c r="K467" s="3"/>
      <c r="L467" s="3"/>
      <c r="M467" s="3"/>
      <c r="N467" s="3"/>
      <c r="O467" s="3"/>
      <c r="P467" s="3"/>
    </row>
    <row r="468" spans="1:16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16"/>
      <c r="K468" s="3"/>
      <c r="L468" s="3"/>
      <c r="M468" s="3"/>
      <c r="N468" s="3"/>
      <c r="O468" s="3"/>
      <c r="P468" s="3"/>
    </row>
    <row r="469" spans="1:16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16"/>
      <c r="K469" s="3"/>
      <c r="L469" s="3"/>
      <c r="M469" s="3"/>
      <c r="N469" s="3"/>
      <c r="O469" s="3"/>
      <c r="P469" s="3"/>
    </row>
    <row r="470" spans="1:16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16"/>
      <c r="K470" s="3"/>
      <c r="L470" s="3"/>
      <c r="M470" s="3"/>
      <c r="N470" s="3"/>
      <c r="O470" s="3"/>
      <c r="P470" s="3"/>
    </row>
    <row r="471" spans="1:16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16"/>
      <c r="K471" s="3"/>
      <c r="L471" s="3"/>
      <c r="M471" s="3"/>
      <c r="N471" s="3"/>
      <c r="O471" s="3"/>
      <c r="P471" s="3"/>
    </row>
    <row r="472" spans="1:16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16"/>
      <c r="K472" s="3"/>
      <c r="L472" s="3"/>
      <c r="M472" s="3"/>
      <c r="N472" s="3"/>
      <c r="O472" s="3"/>
      <c r="P472" s="3"/>
    </row>
    <row r="473" spans="1:16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16"/>
      <c r="K473" s="3"/>
      <c r="L473" s="3"/>
      <c r="M473" s="3"/>
      <c r="N473" s="3"/>
      <c r="O473" s="3"/>
      <c r="P473" s="3"/>
    </row>
    <row r="474" spans="1:16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16"/>
      <c r="K474" s="3"/>
      <c r="L474" s="3"/>
      <c r="M474" s="3"/>
      <c r="N474" s="3"/>
      <c r="O474" s="3"/>
      <c r="P474" s="3"/>
    </row>
    <row r="475" spans="1:16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16"/>
      <c r="K475" s="3"/>
      <c r="L475" s="3"/>
      <c r="M475" s="3"/>
      <c r="N475" s="3"/>
      <c r="O475" s="3"/>
      <c r="P475" s="3"/>
    </row>
    <row r="476" spans="1:16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16"/>
      <c r="K476" s="3"/>
      <c r="L476" s="3"/>
      <c r="M476" s="3"/>
      <c r="N476" s="3"/>
      <c r="O476" s="3"/>
      <c r="P476" s="3"/>
    </row>
    <row r="477" spans="1:16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16"/>
      <c r="K477" s="3"/>
      <c r="L477" s="3"/>
      <c r="M477" s="3"/>
      <c r="N477" s="3"/>
      <c r="O477" s="3"/>
      <c r="P477" s="3"/>
    </row>
    <row r="478" spans="1:16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16"/>
      <c r="K478" s="3"/>
      <c r="L478" s="3"/>
      <c r="M478" s="3"/>
      <c r="N478" s="3"/>
      <c r="O478" s="3"/>
      <c r="P478" s="3"/>
    </row>
    <row r="479" spans="1:16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16"/>
      <c r="K479" s="3"/>
      <c r="L479" s="3"/>
      <c r="M479" s="3"/>
      <c r="N479" s="3"/>
      <c r="O479" s="3"/>
      <c r="P479" s="3"/>
    </row>
    <row r="480" spans="1:16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16"/>
      <c r="K480" s="3"/>
      <c r="L480" s="3"/>
      <c r="M480" s="3"/>
      <c r="N480" s="3"/>
      <c r="O480" s="3"/>
      <c r="P480" s="3"/>
    </row>
    <row r="481" spans="1:16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16"/>
      <c r="K481" s="3"/>
      <c r="L481" s="3"/>
      <c r="M481" s="3"/>
      <c r="N481" s="3"/>
      <c r="O481" s="3"/>
      <c r="P481" s="3"/>
    </row>
    <row r="482" spans="1:16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16"/>
      <c r="K482" s="3"/>
      <c r="L482" s="3"/>
      <c r="M482" s="3"/>
      <c r="N482" s="3"/>
      <c r="O482" s="3"/>
      <c r="P482" s="3"/>
    </row>
    <row r="483" spans="1:16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16"/>
      <c r="K483" s="3"/>
      <c r="L483" s="3"/>
      <c r="M483" s="3"/>
      <c r="N483" s="3"/>
      <c r="O483" s="3"/>
      <c r="P483" s="3"/>
    </row>
    <row r="484" spans="1:16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16"/>
      <c r="K484" s="3"/>
      <c r="L484" s="3"/>
      <c r="M484" s="3"/>
      <c r="N484" s="3"/>
      <c r="O484" s="3"/>
      <c r="P484" s="3"/>
    </row>
    <row r="485" spans="1:16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16"/>
      <c r="K485" s="3"/>
      <c r="L485" s="3"/>
      <c r="M485" s="3"/>
      <c r="N485" s="3"/>
      <c r="O485" s="3"/>
      <c r="P485" s="3"/>
    </row>
    <row r="486" spans="1:16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16"/>
      <c r="K486" s="3"/>
      <c r="L486" s="3"/>
      <c r="M486" s="3"/>
      <c r="N486" s="3"/>
      <c r="O486" s="3"/>
      <c r="P486" s="3"/>
    </row>
    <row r="487" spans="1:16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16"/>
      <c r="K487" s="3"/>
      <c r="L487" s="3"/>
      <c r="M487" s="3"/>
      <c r="N487" s="3"/>
      <c r="O487" s="3"/>
      <c r="P487" s="3"/>
    </row>
    <row r="488" spans="1:16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16"/>
      <c r="K488" s="3"/>
      <c r="L488" s="3"/>
      <c r="M488" s="3"/>
      <c r="N488" s="3"/>
      <c r="O488" s="3"/>
      <c r="P488" s="3"/>
    </row>
    <row r="489" spans="1:16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16"/>
      <c r="K489" s="3"/>
      <c r="L489" s="3"/>
      <c r="M489" s="3"/>
      <c r="N489" s="3"/>
      <c r="O489" s="3"/>
      <c r="P489" s="3"/>
    </row>
    <row r="490" spans="1:16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16"/>
      <c r="K490" s="3"/>
      <c r="L490" s="3"/>
      <c r="M490" s="3"/>
      <c r="N490" s="3"/>
      <c r="O490" s="3"/>
      <c r="P490" s="3"/>
    </row>
    <row r="491" spans="1:16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16"/>
      <c r="K491" s="3"/>
      <c r="L491" s="3"/>
      <c r="M491" s="3"/>
      <c r="N491" s="3"/>
      <c r="O491" s="3"/>
      <c r="P491" s="3"/>
    </row>
    <row r="492" spans="1:16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16"/>
      <c r="K492" s="3"/>
      <c r="L492" s="3"/>
      <c r="M492" s="3"/>
      <c r="N492" s="3"/>
      <c r="O492" s="3"/>
      <c r="P492" s="3"/>
    </row>
    <row r="493" spans="1:16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16"/>
      <c r="K493" s="3"/>
      <c r="L493" s="3"/>
      <c r="M493" s="3"/>
      <c r="N493" s="3"/>
      <c r="O493" s="3"/>
      <c r="P493" s="3"/>
    </row>
    <row r="494" spans="1:16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16"/>
      <c r="K494" s="3"/>
      <c r="L494" s="3"/>
      <c r="M494" s="3"/>
      <c r="N494" s="3"/>
      <c r="O494" s="3"/>
      <c r="P494" s="3"/>
    </row>
    <row r="495" spans="1:16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16"/>
      <c r="K495" s="3"/>
      <c r="L495" s="3"/>
      <c r="M495" s="3"/>
      <c r="N495" s="3"/>
      <c r="O495" s="3"/>
      <c r="P495" s="3"/>
    </row>
    <row r="496" spans="1:16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16"/>
      <c r="K496" s="3"/>
      <c r="L496" s="3"/>
      <c r="M496" s="3"/>
      <c r="N496" s="3"/>
      <c r="O496" s="3"/>
      <c r="P496" s="3"/>
    </row>
    <row r="497" spans="1:16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16"/>
      <c r="K497" s="3"/>
      <c r="L497" s="3"/>
      <c r="M497" s="3"/>
      <c r="N497" s="3"/>
      <c r="O497" s="3"/>
      <c r="P497" s="3"/>
    </row>
    <row r="498" spans="1:16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16"/>
      <c r="K498" s="3"/>
      <c r="L498" s="3"/>
      <c r="M498" s="3"/>
      <c r="N498" s="3"/>
      <c r="O498" s="3"/>
      <c r="P498" s="3"/>
    </row>
    <row r="499" spans="1:16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16"/>
      <c r="K499" s="3"/>
      <c r="L499" s="3"/>
      <c r="M499" s="3"/>
      <c r="N499" s="3"/>
      <c r="O499" s="3"/>
      <c r="P499" s="3"/>
    </row>
    <row r="500" spans="1:16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16"/>
      <c r="K500" s="3"/>
      <c r="L500" s="3"/>
      <c r="M500" s="3"/>
      <c r="N500" s="3"/>
      <c r="O500" s="3"/>
      <c r="P500" s="3"/>
    </row>
    <row r="501" spans="1:16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16"/>
      <c r="K501" s="3"/>
      <c r="L501" s="3"/>
      <c r="M501" s="3"/>
      <c r="N501" s="3"/>
      <c r="O501" s="3"/>
      <c r="P501" s="3"/>
    </row>
    <row r="502" spans="1:16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16"/>
      <c r="K502" s="3"/>
      <c r="L502" s="3"/>
      <c r="M502" s="3"/>
      <c r="N502" s="3"/>
      <c r="O502" s="3"/>
      <c r="P502" s="3"/>
    </row>
    <row r="503" spans="1:16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16"/>
      <c r="K503" s="3"/>
      <c r="L503" s="3"/>
      <c r="M503" s="3"/>
      <c r="N503" s="3"/>
      <c r="O503" s="3"/>
      <c r="P503" s="3"/>
    </row>
    <row r="504" spans="1:16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16"/>
      <c r="K504" s="3"/>
      <c r="L504" s="3"/>
      <c r="M504" s="3"/>
      <c r="N504" s="3"/>
      <c r="O504" s="3"/>
      <c r="P504" s="3"/>
    </row>
    <row r="505" spans="1:16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16"/>
      <c r="K505" s="3"/>
      <c r="L505" s="3"/>
      <c r="M505" s="3"/>
      <c r="N505" s="3"/>
      <c r="O505" s="3"/>
      <c r="P505" s="3"/>
    </row>
    <row r="506" spans="1:16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16"/>
      <c r="K506" s="3"/>
      <c r="L506" s="3"/>
      <c r="M506" s="3"/>
      <c r="N506" s="3"/>
      <c r="O506" s="3"/>
      <c r="P506" s="3"/>
    </row>
    <row r="507" spans="1:16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16"/>
      <c r="K507" s="3"/>
      <c r="L507" s="3"/>
      <c r="M507" s="3"/>
      <c r="N507" s="3"/>
      <c r="O507" s="3"/>
      <c r="P507" s="3"/>
    </row>
    <row r="508" spans="1:16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16"/>
      <c r="K508" s="3"/>
      <c r="L508" s="3"/>
      <c r="M508" s="3"/>
      <c r="N508" s="3"/>
      <c r="O508" s="3"/>
      <c r="P508" s="3"/>
    </row>
    <row r="509" spans="1:16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16"/>
      <c r="K509" s="3"/>
      <c r="L509" s="3"/>
      <c r="M509" s="3"/>
      <c r="N509" s="3"/>
      <c r="O509" s="3"/>
      <c r="P509" s="3"/>
    </row>
    <row r="510" spans="1:16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16"/>
      <c r="K510" s="3"/>
      <c r="L510" s="3"/>
      <c r="M510" s="3"/>
      <c r="N510" s="3"/>
      <c r="O510" s="3"/>
      <c r="P510" s="3"/>
    </row>
    <row r="511" spans="1:16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16"/>
      <c r="K511" s="3"/>
      <c r="L511" s="3"/>
      <c r="M511" s="3"/>
      <c r="N511" s="3"/>
      <c r="O511" s="3"/>
      <c r="P511" s="3"/>
    </row>
    <row r="512" spans="1:16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16"/>
      <c r="K512" s="3"/>
      <c r="L512" s="3"/>
      <c r="M512" s="3"/>
      <c r="N512" s="3"/>
      <c r="O512" s="3"/>
      <c r="P512" s="3"/>
    </row>
    <row r="513" spans="1:16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16"/>
      <c r="K513" s="3"/>
      <c r="L513" s="3"/>
      <c r="M513" s="3"/>
      <c r="N513" s="3"/>
      <c r="O513" s="3"/>
      <c r="P513" s="3"/>
    </row>
    <row r="514" spans="1:16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16"/>
      <c r="K514" s="3"/>
      <c r="L514" s="3"/>
      <c r="M514" s="3"/>
      <c r="N514" s="3"/>
      <c r="O514" s="3"/>
      <c r="P514" s="3"/>
    </row>
    <row r="515" spans="1:16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16"/>
      <c r="K515" s="3"/>
      <c r="L515" s="3"/>
      <c r="M515" s="3"/>
      <c r="N515" s="3"/>
      <c r="O515" s="3"/>
      <c r="P515" s="3"/>
    </row>
    <row r="516" spans="1:16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16"/>
      <c r="K516" s="3"/>
      <c r="L516" s="3"/>
      <c r="M516" s="3"/>
      <c r="N516" s="3"/>
      <c r="O516" s="3"/>
      <c r="P516" s="3"/>
    </row>
    <row r="517" spans="1:16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16"/>
      <c r="K517" s="3"/>
      <c r="L517" s="3"/>
      <c r="M517" s="3"/>
      <c r="N517" s="3"/>
      <c r="O517" s="3"/>
      <c r="P517" s="3"/>
    </row>
    <row r="518" spans="1:16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16"/>
      <c r="K518" s="3"/>
      <c r="L518" s="3"/>
      <c r="M518" s="3"/>
      <c r="N518" s="3"/>
      <c r="O518" s="3"/>
      <c r="P518" s="3"/>
    </row>
    <row r="519" spans="1:16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16"/>
      <c r="K519" s="3"/>
      <c r="L519" s="3"/>
      <c r="M519" s="3"/>
      <c r="N519" s="3"/>
      <c r="O519" s="3"/>
      <c r="P519" s="3"/>
    </row>
    <row r="520" spans="1:16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16"/>
      <c r="K520" s="3"/>
      <c r="L520" s="3"/>
      <c r="M520" s="3"/>
      <c r="N520" s="3"/>
      <c r="O520" s="3"/>
      <c r="P520" s="3"/>
    </row>
    <row r="521" spans="1:16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16"/>
      <c r="K521" s="3"/>
      <c r="L521" s="3"/>
      <c r="M521" s="3"/>
      <c r="N521" s="3"/>
      <c r="O521" s="3"/>
      <c r="P521" s="3"/>
    </row>
    <row r="522" spans="1:16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16"/>
      <c r="K522" s="3"/>
      <c r="L522" s="3"/>
      <c r="M522" s="3"/>
      <c r="N522" s="3"/>
      <c r="O522" s="3"/>
      <c r="P522" s="3"/>
    </row>
    <row r="523" spans="1:16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16"/>
      <c r="K523" s="3"/>
      <c r="L523" s="3"/>
      <c r="M523" s="3"/>
      <c r="N523" s="3"/>
      <c r="O523" s="3"/>
      <c r="P523" s="3"/>
    </row>
    <row r="524" spans="1:16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16"/>
      <c r="K524" s="3"/>
      <c r="L524" s="3"/>
      <c r="M524" s="3"/>
      <c r="N524" s="3"/>
      <c r="O524" s="3"/>
      <c r="P524" s="3"/>
    </row>
    <row r="525" spans="1:16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16"/>
      <c r="K525" s="3"/>
      <c r="L525" s="3"/>
      <c r="M525" s="3"/>
      <c r="N525" s="3"/>
      <c r="O525" s="3"/>
      <c r="P525" s="3"/>
    </row>
    <row r="526" spans="1:16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16"/>
      <c r="K526" s="3"/>
      <c r="L526" s="3"/>
      <c r="M526" s="3"/>
      <c r="N526" s="3"/>
      <c r="O526" s="3"/>
      <c r="P526" s="3"/>
    </row>
    <row r="527" spans="1:16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16"/>
      <c r="K527" s="3"/>
      <c r="L527" s="3"/>
      <c r="M527" s="3"/>
      <c r="N527" s="3"/>
      <c r="O527" s="3"/>
      <c r="P527" s="3"/>
    </row>
    <row r="528" spans="1:16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16"/>
      <c r="K528" s="3"/>
      <c r="L528" s="3"/>
      <c r="M528" s="3"/>
      <c r="N528" s="3"/>
      <c r="O528" s="3"/>
      <c r="P528" s="3"/>
    </row>
    <row r="529" spans="1:16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16"/>
      <c r="K529" s="3"/>
      <c r="L529" s="3"/>
      <c r="M529" s="3"/>
      <c r="N529" s="3"/>
      <c r="O529" s="3"/>
      <c r="P529" s="3"/>
    </row>
    <row r="530" spans="1:16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16"/>
      <c r="K530" s="3"/>
      <c r="L530" s="3"/>
      <c r="M530" s="3"/>
      <c r="N530" s="3"/>
      <c r="O530" s="3"/>
      <c r="P530" s="3"/>
    </row>
    <row r="531" spans="1:16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16"/>
      <c r="K531" s="3"/>
      <c r="L531" s="3"/>
      <c r="M531" s="3"/>
      <c r="N531" s="3"/>
      <c r="O531" s="3"/>
      <c r="P531" s="3"/>
    </row>
    <row r="532" spans="1:16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16"/>
      <c r="K532" s="3"/>
      <c r="L532" s="3"/>
      <c r="M532" s="3"/>
      <c r="N532" s="3"/>
      <c r="O532" s="3"/>
      <c r="P532" s="3"/>
    </row>
    <row r="533" spans="1:16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16"/>
      <c r="K533" s="3"/>
      <c r="L533" s="3"/>
      <c r="M533" s="3"/>
      <c r="N533" s="3"/>
      <c r="O533" s="3"/>
      <c r="P533" s="3"/>
    </row>
    <row r="534" spans="1:16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16"/>
      <c r="K534" s="3"/>
      <c r="L534" s="3"/>
      <c r="M534" s="3"/>
      <c r="N534" s="3"/>
      <c r="O534" s="3"/>
      <c r="P534" s="3"/>
    </row>
    <row r="535" spans="1:16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16"/>
      <c r="K535" s="3"/>
      <c r="L535" s="3"/>
      <c r="M535" s="3"/>
      <c r="N535" s="3"/>
      <c r="O535" s="3"/>
      <c r="P535" s="3"/>
    </row>
    <row r="536" spans="1:16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16"/>
      <c r="K536" s="3"/>
      <c r="L536" s="3"/>
      <c r="M536" s="3"/>
      <c r="N536" s="3"/>
      <c r="O536" s="3"/>
      <c r="P536" s="3"/>
    </row>
    <row r="537" spans="1:16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16"/>
      <c r="K537" s="3"/>
      <c r="L537" s="3"/>
      <c r="M537" s="3"/>
      <c r="N537" s="3"/>
      <c r="O537" s="3"/>
      <c r="P537" s="3"/>
    </row>
    <row r="538" spans="1:16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16"/>
      <c r="K538" s="3"/>
      <c r="L538" s="3"/>
      <c r="M538" s="3"/>
      <c r="N538" s="3"/>
      <c r="O538" s="3"/>
      <c r="P538" s="3"/>
    </row>
    <row r="539" spans="1:16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16"/>
      <c r="K539" s="3"/>
      <c r="L539" s="3"/>
      <c r="M539" s="3"/>
      <c r="N539" s="3"/>
      <c r="O539" s="3"/>
      <c r="P539" s="3"/>
    </row>
    <row r="540" spans="1:16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16"/>
      <c r="K540" s="3"/>
      <c r="L540" s="3"/>
      <c r="M540" s="3"/>
      <c r="N540" s="3"/>
      <c r="O540" s="3"/>
      <c r="P540" s="3"/>
    </row>
    <row r="541" spans="1:16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16"/>
      <c r="K541" s="3"/>
      <c r="L541" s="3"/>
      <c r="M541" s="3"/>
      <c r="N541" s="3"/>
      <c r="O541" s="3"/>
      <c r="P541" s="3"/>
    </row>
    <row r="542" spans="1:16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16"/>
      <c r="K542" s="3"/>
      <c r="L542" s="3"/>
      <c r="M542" s="3"/>
      <c r="N542" s="3"/>
      <c r="O542" s="3"/>
      <c r="P542" s="3"/>
    </row>
    <row r="543" spans="1:16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16"/>
      <c r="K543" s="3"/>
      <c r="L543" s="3"/>
      <c r="M543" s="3"/>
      <c r="N543" s="3"/>
      <c r="O543" s="3"/>
      <c r="P543" s="3"/>
    </row>
    <row r="544" spans="1:16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16"/>
      <c r="K544" s="3"/>
      <c r="L544" s="3"/>
      <c r="M544" s="3"/>
      <c r="N544" s="3"/>
      <c r="O544" s="3"/>
      <c r="P544" s="3"/>
    </row>
    <row r="545" spans="1:16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16"/>
      <c r="K545" s="3"/>
      <c r="L545" s="3"/>
      <c r="M545" s="3"/>
      <c r="N545" s="3"/>
      <c r="O545" s="3"/>
      <c r="P545" s="3"/>
    </row>
    <row r="546" spans="1:16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16"/>
      <c r="K546" s="3"/>
      <c r="L546" s="3"/>
      <c r="M546" s="3"/>
      <c r="N546" s="3"/>
      <c r="O546" s="3"/>
      <c r="P546" s="3"/>
    </row>
    <row r="547" spans="1:16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16"/>
      <c r="K547" s="3"/>
      <c r="L547" s="3"/>
      <c r="M547" s="3"/>
      <c r="N547" s="3"/>
      <c r="O547" s="3"/>
      <c r="P547" s="3"/>
    </row>
    <row r="548" spans="1:16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16"/>
      <c r="K548" s="3"/>
      <c r="L548" s="3"/>
      <c r="M548" s="3"/>
      <c r="N548" s="3"/>
      <c r="O548" s="3"/>
      <c r="P548" s="3"/>
    </row>
    <row r="549" spans="1:16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16"/>
      <c r="K549" s="3"/>
      <c r="L549" s="3"/>
      <c r="M549" s="3"/>
      <c r="N549" s="3"/>
      <c r="O549" s="3"/>
      <c r="P549" s="3"/>
    </row>
    <row r="550" spans="1:16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16"/>
      <c r="K550" s="3"/>
      <c r="L550" s="3"/>
      <c r="M550" s="3"/>
      <c r="N550" s="3"/>
      <c r="O550" s="3"/>
      <c r="P550" s="3"/>
    </row>
    <row r="551" spans="1:16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16"/>
      <c r="K551" s="3"/>
      <c r="L551" s="3"/>
      <c r="M551" s="3"/>
      <c r="N551" s="3"/>
      <c r="O551" s="3"/>
      <c r="P551" s="3"/>
    </row>
    <row r="552" spans="1:16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16"/>
      <c r="K552" s="3"/>
      <c r="L552" s="3"/>
      <c r="M552" s="3"/>
      <c r="N552" s="3"/>
      <c r="O552" s="3"/>
      <c r="P552" s="3"/>
    </row>
    <row r="553" spans="1:16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16"/>
      <c r="K553" s="3"/>
      <c r="L553" s="3"/>
      <c r="M553" s="3"/>
      <c r="N553" s="3"/>
      <c r="O553" s="3"/>
      <c r="P553" s="3"/>
    </row>
    <row r="554" spans="1:16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16"/>
      <c r="K554" s="3"/>
      <c r="L554" s="3"/>
      <c r="M554" s="3"/>
      <c r="N554" s="3"/>
      <c r="O554" s="3"/>
      <c r="P554" s="3"/>
    </row>
    <row r="555" spans="1:16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16"/>
      <c r="K555" s="3"/>
      <c r="L555" s="3"/>
      <c r="M555" s="3"/>
      <c r="N555" s="3"/>
      <c r="O555" s="3"/>
      <c r="P555" s="3"/>
    </row>
    <row r="556" spans="1:16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16"/>
      <c r="K556" s="3"/>
      <c r="L556" s="3"/>
      <c r="M556" s="3"/>
      <c r="N556" s="3"/>
      <c r="O556" s="3"/>
      <c r="P556" s="3"/>
    </row>
    <row r="557" spans="1:16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16"/>
      <c r="K557" s="3"/>
      <c r="L557" s="3"/>
      <c r="M557" s="3"/>
      <c r="N557" s="3"/>
      <c r="O557" s="3"/>
      <c r="P557" s="3"/>
    </row>
    <row r="558" spans="1:16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16"/>
      <c r="K558" s="3"/>
      <c r="L558" s="3"/>
      <c r="M558" s="3"/>
      <c r="N558" s="3"/>
      <c r="O558" s="3"/>
      <c r="P558" s="3"/>
    </row>
    <row r="559" spans="1:16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16"/>
      <c r="K559" s="3"/>
      <c r="L559" s="3"/>
      <c r="M559" s="3"/>
      <c r="N559" s="3"/>
      <c r="O559" s="3"/>
      <c r="P559" s="3"/>
    </row>
    <row r="560" spans="1:16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16"/>
      <c r="K560" s="3"/>
      <c r="L560" s="3"/>
      <c r="M560" s="3"/>
      <c r="N560" s="3"/>
      <c r="O560" s="3"/>
      <c r="P560" s="3"/>
    </row>
    <row r="561" spans="1:16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16"/>
      <c r="K561" s="3"/>
      <c r="L561" s="3"/>
      <c r="M561" s="3"/>
      <c r="N561" s="3"/>
      <c r="O561" s="3"/>
      <c r="P561" s="3"/>
    </row>
    <row r="562" spans="1:16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16"/>
      <c r="K562" s="3"/>
      <c r="L562" s="3"/>
      <c r="M562" s="3"/>
      <c r="N562" s="3"/>
      <c r="O562" s="3"/>
      <c r="P562" s="3"/>
    </row>
    <row r="563" spans="1:16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16"/>
      <c r="K563" s="3"/>
      <c r="L563" s="3"/>
      <c r="M563" s="3"/>
      <c r="N563" s="3"/>
      <c r="O563" s="3"/>
      <c r="P563" s="3"/>
    </row>
    <row r="564" spans="1:16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16"/>
      <c r="K564" s="3"/>
      <c r="L564" s="3"/>
      <c r="M564" s="3"/>
      <c r="N564" s="3"/>
      <c r="O564" s="3"/>
      <c r="P564" s="3"/>
    </row>
    <row r="565" spans="1:16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16"/>
      <c r="K565" s="3"/>
      <c r="L565" s="3"/>
      <c r="M565" s="3"/>
      <c r="N565" s="3"/>
      <c r="O565" s="3"/>
      <c r="P565" s="3"/>
    </row>
    <row r="566" spans="1:16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16"/>
      <c r="K566" s="3"/>
      <c r="L566" s="3"/>
      <c r="M566" s="3"/>
      <c r="N566" s="3"/>
      <c r="O566" s="3"/>
      <c r="P566" s="3"/>
    </row>
    <row r="567" spans="1:16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16"/>
      <c r="K567" s="3"/>
      <c r="L567" s="3"/>
      <c r="M567" s="3"/>
      <c r="N567" s="3"/>
      <c r="O567" s="3"/>
      <c r="P567" s="3"/>
    </row>
    <row r="568" spans="1:16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16"/>
      <c r="K568" s="3"/>
      <c r="L568" s="3"/>
      <c r="M568" s="3"/>
      <c r="N568" s="3"/>
      <c r="O568" s="3"/>
      <c r="P568" s="3"/>
    </row>
    <row r="569" spans="1:16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16"/>
      <c r="K569" s="3"/>
      <c r="L569" s="3"/>
      <c r="M569" s="3"/>
      <c r="N569" s="3"/>
      <c r="O569" s="3"/>
      <c r="P569" s="3"/>
    </row>
    <row r="570" spans="1:16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16"/>
      <c r="K570" s="3"/>
      <c r="L570" s="3"/>
      <c r="M570" s="3"/>
      <c r="N570" s="3"/>
      <c r="O570" s="3"/>
      <c r="P570" s="3"/>
    </row>
    <row r="571" spans="1:16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16"/>
      <c r="K571" s="3"/>
      <c r="L571" s="3"/>
      <c r="M571" s="3"/>
      <c r="N571" s="3"/>
      <c r="O571" s="3"/>
      <c r="P571" s="3"/>
    </row>
    <row r="572" spans="1:16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16"/>
      <c r="K572" s="3"/>
      <c r="L572" s="3"/>
      <c r="M572" s="3"/>
      <c r="N572" s="3"/>
      <c r="O572" s="3"/>
      <c r="P572" s="3"/>
    </row>
    <row r="573" spans="1:16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16"/>
      <c r="K573" s="3"/>
      <c r="L573" s="3"/>
      <c r="M573" s="3"/>
      <c r="N573" s="3"/>
      <c r="O573" s="3"/>
      <c r="P573" s="3"/>
    </row>
    <row r="574" spans="1:16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16"/>
      <c r="K574" s="3"/>
      <c r="L574" s="3"/>
      <c r="M574" s="3"/>
      <c r="N574" s="3"/>
      <c r="O574" s="3"/>
      <c r="P574" s="3"/>
    </row>
    <row r="575" spans="1:16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16"/>
      <c r="K575" s="3"/>
      <c r="L575" s="3"/>
      <c r="M575" s="3"/>
      <c r="N575" s="3"/>
      <c r="O575" s="3"/>
      <c r="P575" s="3"/>
    </row>
    <row r="576" spans="1:16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16"/>
      <c r="K576" s="3"/>
      <c r="L576" s="3"/>
      <c r="M576" s="3"/>
      <c r="N576" s="3"/>
      <c r="O576" s="3"/>
      <c r="P576" s="3"/>
    </row>
    <row r="577" spans="1:16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16"/>
      <c r="K577" s="3"/>
      <c r="L577" s="3"/>
      <c r="M577" s="3"/>
      <c r="N577" s="3"/>
      <c r="O577" s="3"/>
      <c r="P577" s="3"/>
    </row>
    <row r="578" spans="1:16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16"/>
      <c r="K578" s="3"/>
      <c r="L578" s="3"/>
      <c r="M578" s="3"/>
      <c r="N578" s="3"/>
      <c r="O578" s="3"/>
      <c r="P578" s="3"/>
    </row>
    <row r="579" spans="1:16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16"/>
      <c r="K579" s="3"/>
      <c r="L579" s="3"/>
      <c r="M579" s="3"/>
      <c r="N579" s="3"/>
      <c r="O579" s="3"/>
      <c r="P579" s="3"/>
    </row>
    <row r="580" spans="1:16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16"/>
      <c r="K580" s="3"/>
      <c r="L580" s="3"/>
      <c r="M580" s="3"/>
      <c r="N580" s="3"/>
      <c r="O580" s="3"/>
      <c r="P580" s="3"/>
    </row>
    <row r="581" spans="1:16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16"/>
      <c r="K581" s="3"/>
      <c r="L581" s="3"/>
      <c r="M581" s="3"/>
      <c r="N581" s="3"/>
      <c r="O581" s="3"/>
      <c r="P581" s="3"/>
    </row>
    <row r="582" spans="1:16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16"/>
      <c r="K582" s="3"/>
      <c r="L582" s="3"/>
      <c r="M582" s="3"/>
      <c r="N582" s="3"/>
      <c r="O582" s="3"/>
      <c r="P582" s="3"/>
    </row>
    <row r="583" spans="1:16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16"/>
      <c r="K583" s="3"/>
      <c r="L583" s="3"/>
      <c r="M583" s="3"/>
      <c r="N583" s="3"/>
      <c r="O583" s="3"/>
      <c r="P583" s="3"/>
    </row>
    <row r="584" spans="1:16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16"/>
      <c r="K584" s="3"/>
      <c r="L584" s="3"/>
      <c r="M584" s="3"/>
      <c r="N584" s="3"/>
      <c r="O584" s="3"/>
      <c r="P584" s="3"/>
    </row>
    <row r="585" spans="1:16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16"/>
      <c r="K585" s="3"/>
      <c r="L585" s="3"/>
      <c r="M585" s="3"/>
      <c r="N585" s="3"/>
      <c r="O585" s="3"/>
      <c r="P585" s="3"/>
    </row>
    <row r="586" spans="1:16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16"/>
      <c r="K586" s="3"/>
      <c r="L586" s="3"/>
      <c r="M586" s="3"/>
      <c r="N586" s="3"/>
      <c r="O586" s="3"/>
      <c r="P586" s="3"/>
    </row>
    <row r="587" spans="1:16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16"/>
      <c r="K587" s="3"/>
      <c r="L587" s="3"/>
      <c r="M587" s="3"/>
      <c r="N587" s="3"/>
      <c r="O587" s="3"/>
      <c r="P587" s="3"/>
    </row>
    <row r="588" spans="1:16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16"/>
      <c r="K588" s="3"/>
      <c r="L588" s="3"/>
      <c r="M588" s="3"/>
      <c r="N588" s="3"/>
      <c r="O588" s="3"/>
      <c r="P588" s="3"/>
    </row>
    <row r="589" spans="1:16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16"/>
      <c r="K589" s="3"/>
      <c r="L589" s="3"/>
      <c r="M589" s="3"/>
      <c r="N589" s="3"/>
      <c r="O589" s="3"/>
      <c r="P589" s="3"/>
    </row>
    <row r="590" spans="1:16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16"/>
      <c r="K590" s="3"/>
      <c r="L590" s="3"/>
      <c r="M590" s="3"/>
      <c r="N590" s="3"/>
      <c r="O590" s="3"/>
      <c r="P590" s="3"/>
    </row>
    <row r="591" spans="1:16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16"/>
      <c r="K591" s="3"/>
      <c r="L591" s="3"/>
      <c r="M591" s="3"/>
      <c r="N591" s="3"/>
      <c r="O591" s="3"/>
      <c r="P591" s="3"/>
    </row>
    <row r="592" spans="1:16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16"/>
      <c r="K592" s="3"/>
      <c r="L592" s="3"/>
      <c r="M592" s="3"/>
      <c r="N592" s="3"/>
      <c r="O592" s="3"/>
      <c r="P592" s="3"/>
    </row>
    <row r="593" spans="1:16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16"/>
      <c r="K593" s="3"/>
      <c r="L593" s="3"/>
      <c r="M593" s="3"/>
      <c r="N593" s="3"/>
      <c r="O593" s="3"/>
      <c r="P593" s="3"/>
    </row>
    <row r="594" spans="1:16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16"/>
      <c r="K594" s="3"/>
      <c r="L594" s="3"/>
      <c r="M594" s="3"/>
      <c r="N594" s="3"/>
      <c r="O594" s="3"/>
      <c r="P594" s="3"/>
    </row>
    <row r="595" spans="1:16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16"/>
      <c r="K595" s="3"/>
      <c r="L595" s="3"/>
      <c r="M595" s="3"/>
      <c r="N595" s="3"/>
      <c r="O595" s="3"/>
      <c r="P595" s="3"/>
    </row>
    <row r="596" spans="1:16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16"/>
      <c r="K596" s="3"/>
      <c r="L596" s="3"/>
      <c r="M596" s="3"/>
      <c r="N596" s="3"/>
      <c r="O596" s="3"/>
      <c r="P596" s="3"/>
    </row>
    <row r="597" spans="1:16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16"/>
      <c r="K597" s="3"/>
      <c r="L597" s="3"/>
      <c r="M597" s="3"/>
      <c r="N597" s="3"/>
      <c r="O597" s="3"/>
      <c r="P597" s="3"/>
    </row>
    <row r="598" spans="1:16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16"/>
      <c r="K598" s="3"/>
      <c r="L598" s="3"/>
      <c r="M598" s="3"/>
      <c r="N598" s="3"/>
      <c r="O598" s="3"/>
      <c r="P598" s="3"/>
    </row>
    <row r="599" spans="1:16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16"/>
      <c r="K599" s="3"/>
      <c r="L599" s="3"/>
      <c r="M599" s="3"/>
      <c r="N599" s="3"/>
      <c r="O599" s="3"/>
      <c r="P599" s="3"/>
    </row>
    <row r="600" spans="1:16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16"/>
      <c r="K600" s="3"/>
      <c r="L600" s="3"/>
      <c r="M600" s="3"/>
      <c r="N600" s="3"/>
      <c r="O600" s="3"/>
      <c r="P600" s="3"/>
    </row>
    <row r="601" spans="1:16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16"/>
      <c r="K601" s="3"/>
      <c r="L601" s="3"/>
      <c r="M601" s="3"/>
      <c r="N601" s="3"/>
      <c r="O601" s="3"/>
      <c r="P601" s="3"/>
    </row>
    <row r="602" spans="1:16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16"/>
      <c r="K602" s="3"/>
      <c r="L602" s="3"/>
      <c r="M602" s="3"/>
      <c r="N602" s="3"/>
      <c r="O602" s="3"/>
      <c r="P602" s="3"/>
    </row>
    <row r="603" spans="1:16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16"/>
      <c r="K603" s="3"/>
      <c r="L603" s="3"/>
      <c r="M603" s="3"/>
      <c r="N603" s="3"/>
      <c r="O603" s="3"/>
      <c r="P603" s="3"/>
    </row>
    <row r="604" spans="1:16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16"/>
      <c r="K604" s="3"/>
      <c r="L604" s="3"/>
      <c r="M604" s="3"/>
      <c r="N604" s="3"/>
      <c r="O604" s="3"/>
      <c r="P604" s="3"/>
    </row>
    <row r="605" spans="1:16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16"/>
      <c r="K605" s="3"/>
      <c r="L605" s="3"/>
      <c r="M605" s="3"/>
      <c r="N605" s="3"/>
      <c r="O605" s="3"/>
      <c r="P605" s="3"/>
    </row>
    <row r="606" spans="1:16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16"/>
      <c r="K606" s="3"/>
      <c r="L606" s="3"/>
      <c r="M606" s="3"/>
      <c r="N606" s="3"/>
      <c r="O606" s="3"/>
      <c r="P606" s="3"/>
    </row>
    <row r="607" spans="1:16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16"/>
      <c r="K607" s="3"/>
      <c r="L607" s="3"/>
      <c r="M607" s="3"/>
      <c r="N607" s="3"/>
      <c r="O607" s="3"/>
      <c r="P607" s="3"/>
    </row>
    <row r="608" spans="1:16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16"/>
      <c r="K608" s="3"/>
      <c r="L608" s="3"/>
      <c r="M608" s="3"/>
      <c r="N608" s="3"/>
      <c r="O608" s="3"/>
      <c r="P608" s="3"/>
    </row>
    <row r="609" spans="1:16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16"/>
      <c r="K609" s="3"/>
      <c r="L609" s="3"/>
      <c r="M609" s="3"/>
      <c r="N609" s="3"/>
      <c r="O609" s="3"/>
      <c r="P609" s="3"/>
    </row>
    <row r="610" spans="1:16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16"/>
      <c r="K610" s="3"/>
      <c r="L610" s="3"/>
      <c r="M610" s="3"/>
      <c r="N610" s="3"/>
      <c r="O610" s="3"/>
      <c r="P610" s="3"/>
    </row>
    <row r="611" spans="1:16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16"/>
      <c r="K611" s="3"/>
      <c r="L611" s="3"/>
      <c r="M611" s="3"/>
      <c r="N611" s="3"/>
      <c r="O611" s="3"/>
      <c r="P611" s="3"/>
    </row>
    <row r="612" spans="1:16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16"/>
      <c r="K612" s="3"/>
      <c r="L612" s="3"/>
      <c r="M612" s="3"/>
      <c r="N612" s="3"/>
      <c r="O612" s="3"/>
      <c r="P612" s="3"/>
    </row>
    <row r="613" spans="1:16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16"/>
      <c r="K613" s="3"/>
      <c r="L613" s="3"/>
      <c r="M613" s="3"/>
      <c r="N613" s="3"/>
      <c r="O613" s="3"/>
      <c r="P613" s="3"/>
    </row>
    <row r="614" spans="1:16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16"/>
      <c r="K614" s="3"/>
      <c r="L614" s="3"/>
      <c r="M614" s="3"/>
      <c r="N614" s="3"/>
      <c r="O614" s="3"/>
      <c r="P614" s="3"/>
    </row>
    <row r="615" spans="1:16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16"/>
      <c r="K615" s="3"/>
      <c r="L615" s="3"/>
      <c r="M615" s="3"/>
      <c r="N615" s="3"/>
      <c r="O615" s="3"/>
      <c r="P615" s="3"/>
    </row>
    <row r="616" spans="1:16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16"/>
      <c r="K616" s="3"/>
      <c r="L616" s="3"/>
      <c r="M616" s="3"/>
      <c r="N616" s="3"/>
      <c r="O616" s="3"/>
      <c r="P616" s="3"/>
    </row>
    <row r="617" spans="1:16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16"/>
      <c r="K617" s="3"/>
      <c r="L617" s="3"/>
      <c r="M617" s="3"/>
      <c r="N617" s="3"/>
      <c r="O617" s="3"/>
      <c r="P617" s="3"/>
    </row>
    <row r="618" spans="1:16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16"/>
      <c r="K618" s="3"/>
      <c r="L618" s="3"/>
      <c r="M618" s="3"/>
      <c r="N618" s="3"/>
      <c r="O618" s="3"/>
      <c r="P618" s="3"/>
    </row>
    <row r="619" spans="1:16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16"/>
      <c r="K619" s="3"/>
      <c r="L619" s="3"/>
      <c r="M619" s="3"/>
      <c r="N619" s="3"/>
      <c r="O619" s="3"/>
      <c r="P619" s="3"/>
    </row>
    <row r="620" spans="1:16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16"/>
      <c r="K620" s="3"/>
      <c r="L620" s="3"/>
      <c r="M620" s="3"/>
      <c r="N620" s="3"/>
      <c r="O620" s="3"/>
      <c r="P620" s="3"/>
    </row>
    <row r="621" spans="1:16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16"/>
      <c r="K621" s="3"/>
      <c r="L621" s="3"/>
      <c r="M621" s="3"/>
      <c r="N621" s="3"/>
      <c r="O621" s="3"/>
      <c r="P621" s="3"/>
    </row>
    <row r="622" spans="1:16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16"/>
      <c r="K622" s="3"/>
      <c r="L622" s="3"/>
      <c r="M622" s="3"/>
      <c r="N622" s="3"/>
      <c r="O622" s="3"/>
      <c r="P622" s="3"/>
    </row>
    <row r="623" spans="1:16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16"/>
      <c r="K623" s="3"/>
      <c r="L623" s="3"/>
      <c r="M623" s="3"/>
      <c r="N623" s="3"/>
      <c r="O623" s="3"/>
      <c r="P623" s="3"/>
    </row>
    <row r="624" spans="1:16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16"/>
      <c r="K624" s="3"/>
      <c r="L624" s="3"/>
      <c r="M624" s="3"/>
      <c r="N624" s="3"/>
      <c r="O624" s="3"/>
      <c r="P624" s="3"/>
    </row>
    <row r="625" spans="1:16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16"/>
      <c r="K625" s="3"/>
      <c r="L625" s="3"/>
      <c r="M625" s="3"/>
      <c r="N625" s="3"/>
      <c r="O625" s="3"/>
      <c r="P625" s="3"/>
    </row>
    <row r="626" spans="1:16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16"/>
      <c r="K626" s="3"/>
      <c r="L626" s="3"/>
      <c r="M626" s="3"/>
      <c r="N626" s="3"/>
      <c r="O626" s="3"/>
      <c r="P626" s="3"/>
    </row>
    <row r="627" spans="1:16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16"/>
      <c r="K627" s="3"/>
      <c r="L627" s="3"/>
      <c r="M627" s="3"/>
      <c r="N627" s="3"/>
      <c r="O627" s="3"/>
      <c r="P627" s="3"/>
    </row>
    <row r="628" spans="1:16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16"/>
      <c r="K628" s="3"/>
      <c r="L628" s="3"/>
      <c r="M628" s="3"/>
      <c r="N628" s="3"/>
      <c r="O628" s="3"/>
      <c r="P628" s="3"/>
    </row>
    <row r="629" spans="1:16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16"/>
      <c r="K629" s="3"/>
      <c r="L629" s="3"/>
      <c r="M629" s="3"/>
      <c r="N629" s="3"/>
      <c r="O629" s="3"/>
      <c r="P629" s="3"/>
    </row>
    <row r="630" spans="1:16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16"/>
      <c r="K630" s="3"/>
      <c r="L630" s="3"/>
      <c r="M630" s="3"/>
      <c r="N630" s="3"/>
      <c r="O630" s="3"/>
      <c r="P630" s="3"/>
    </row>
    <row r="631" spans="1:16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16"/>
      <c r="K631" s="3"/>
      <c r="L631" s="3"/>
      <c r="M631" s="3"/>
      <c r="N631" s="3"/>
      <c r="O631" s="3"/>
      <c r="P631" s="3"/>
    </row>
    <row r="632" spans="1:16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16"/>
      <c r="K632" s="3"/>
      <c r="L632" s="3"/>
      <c r="M632" s="3"/>
      <c r="N632" s="3"/>
      <c r="O632" s="3"/>
      <c r="P632" s="3"/>
    </row>
    <row r="633" spans="1:16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16"/>
      <c r="K633" s="3"/>
      <c r="L633" s="3"/>
      <c r="M633" s="3"/>
      <c r="N633" s="3"/>
      <c r="O633" s="3"/>
      <c r="P633" s="3"/>
    </row>
    <row r="634" spans="1:16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16"/>
      <c r="K634" s="3"/>
      <c r="L634" s="3"/>
      <c r="M634" s="3"/>
      <c r="N634" s="3"/>
      <c r="O634" s="3"/>
      <c r="P634" s="3"/>
    </row>
    <row r="635" spans="1:16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16"/>
      <c r="K635" s="3"/>
      <c r="L635" s="3"/>
      <c r="M635" s="3"/>
      <c r="N635" s="3"/>
      <c r="O635" s="3"/>
      <c r="P635" s="3"/>
    </row>
    <row r="636" spans="1:16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16"/>
      <c r="K636" s="3"/>
      <c r="L636" s="3"/>
      <c r="M636" s="3"/>
      <c r="N636" s="3"/>
      <c r="O636" s="3"/>
      <c r="P636" s="3"/>
    </row>
    <row r="637" spans="1:16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16"/>
      <c r="K637" s="3"/>
      <c r="L637" s="3"/>
      <c r="M637" s="3"/>
      <c r="N637" s="3"/>
      <c r="O637" s="3"/>
      <c r="P637" s="3"/>
    </row>
    <row r="638" spans="1:16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16"/>
      <c r="K638" s="3"/>
      <c r="L638" s="3"/>
      <c r="M638" s="3"/>
      <c r="N638" s="3"/>
      <c r="O638" s="3"/>
      <c r="P638" s="3"/>
    </row>
    <row r="639" spans="1:16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16"/>
      <c r="K639" s="3"/>
      <c r="L639" s="3"/>
      <c r="M639" s="3"/>
      <c r="N639" s="3"/>
      <c r="O639" s="3"/>
      <c r="P639" s="3"/>
    </row>
    <row r="640" spans="1:16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16"/>
      <c r="K640" s="3"/>
      <c r="L640" s="3"/>
      <c r="M640" s="3"/>
      <c r="N640" s="3"/>
      <c r="O640" s="3"/>
      <c r="P640" s="3"/>
    </row>
    <row r="641" spans="1:16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16"/>
      <c r="K641" s="3"/>
      <c r="L641" s="3"/>
      <c r="M641" s="3"/>
      <c r="N641" s="3"/>
      <c r="O641" s="3"/>
      <c r="P641" s="3"/>
    </row>
    <row r="642" spans="1:16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16"/>
      <c r="K642" s="3"/>
      <c r="L642" s="3"/>
      <c r="M642" s="3"/>
      <c r="N642" s="3"/>
      <c r="O642" s="3"/>
      <c r="P642" s="3"/>
    </row>
    <row r="643" spans="1:16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16"/>
      <c r="K643" s="3"/>
      <c r="L643" s="3"/>
      <c r="M643" s="3"/>
      <c r="N643" s="3"/>
      <c r="O643" s="3"/>
      <c r="P643" s="3"/>
    </row>
    <row r="644" spans="1:16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16"/>
      <c r="K644" s="3"/>
      <c r="L644" s="3"/>
      <c r="M644" s="3"/>
      <c r="N644" s="3"/>
      <c r="O644" s="3"/>
      <c r="P644" s="3"/>
    </row>
    <row r="645" spans="1:16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16"/>
      <c r="K645" s="3"/>
      <c r="L645" s="3"/>
      <c r="M645" s="3"/>
      <c r="N645" s="3"/>
      <c r="O645" s="3"/>
      <c r="P645" s="3"/>
    </row>
    <row r="646" spans="1:16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16"/>
      <c r="K646" s="3"/>
      <c r="L646" s="3"/>
      <c r="M646" s="3"/>
      <c r="N646" s="3"/>
      <c r="O646" s="3"/>
      <c r="P646" s="3"/>
    </row>
    <row r="647" spans="1:16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16"/>
      <c r="K647" s="3"/>
      <c r="L647" s="3"/>
      <c r="M647" s="3"/>
      <c r="N647" s="3"/>
      <c r="O647" s="3"/>
      <c r="P647" s="3"/>
    </row>
    <row r="648" spans="1:16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16"/>
      <c r="K648" s="3"/>
      <c r="L648" s="3"/>
      <c r="M648" s="3"/>
      <c r="N648" s="3"/>
      <c r="O648" s="3"/>
      <c r="P648" s="3"/>
    </row>
    <row r="649" spans="1:16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16"/>
      <c r="K649" s="3"/>
      <c r="L649" s="3"/>
      <c r="M649" s="3"/>
      <c r="N649" s="3"/>
      <c r="O649" s="3"/>
      <c r="P649" s="3"/>
    </row>
    <row r="650" spans="1:16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16"/>
      <c r="K650" s="3"/>
      <c r="L650" s="3"/>
      <c r="M650" s="3"/>
      <c r="N650" s="3"/>
      <c r="O650" s="3"/>
      <c r="P650" s="3"/>
    </row>
    <row r="651" spans="1:16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16"/>
      <c r="K651" s="3"/>
      <c r="L651" s="3"/>
      <c r="M651" s="3"/>
      <c r="N651" s="3"/>
      <c r="O651" s="3"/>
      <c r="P651" s="3"/>
    </row>
    <row r="652" spans="1:16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16"/>
      <c r="K652" s="3"/>
      <c r="L652" s="3"/>
      <c r="M652" s="3"/>
      <c r="N652" s="3"/>
      <c r="O652" s="3"/>
      <c r="P652" s="3"/>
    </row>
    <row r="653" spans="1:16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16"/>
      <c r="K653" s="3"/>
      <c r="L653" s="3"/>
      <c r="M653" s="3"/>
      <c r="N653" s="3"/>
      <c r="O653" s="3"/>
      <c r="P653" s="3"/>
    </row>
    <row r="654" spans="1:16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16"/>
      <c r="K654" s="3"/>
      <c r="L654" s="3"/>
      <c r="M654" s="3"/>
      <c r="N654" s="3"/>
      <c r="O654" s="3"/>
      <c r="P654" s="3"/>
    </row>
    <row r="655" spans="1:16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16"/>
      <c r="K655" s="3"/>
      <c r="L655" s="3"/>
      <c r="M655" s="3"/>
      <c r="N655" s="3"/>
      <c r="O655" s="3"/>
      <c r="P655" s="3"/>
    </row>
    <row r="656" spans="1:16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16"/>
      <c r="K656" s="3"/>
      <c r="L656" s="3"/>
      <c r="M656" s="3"/>
      <c r="N656" s="3"/>
      <c r="O656" s="3"/>
      <c r="P656" s="3"/>
    </row>
    <row r="657" spans="1:16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16"/>
      <c r="K657" s="3"/>
      <c r="L657" s="3"/>
      <c r="M657" s="3"/>
      <c r="N657" s="3"/>
      <c r="O657" s="3"/>
      <c r="P657" s="3"/>
    </row>
    <row r="658" spans="1:16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16"/>
      <c r="K658" s="3"/>
      <c r="L658" s="3"/>
      <c r="M658" s="3"/>
      <c r="N658" s="3"/>
      <c r="O658" s="3"/>
      <c r="P658" s="3"/>
    </row>
    <row r="659" spans="1:16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16"/>
      <c r="K659" s="3"/>
      <c r="L659" s="3"/>
      <c r="M659" s="3"/>
      <c r="N659" s="3"/>
      <c r="O659" s="3"/>
      <c r="P659" s="3"/>
    </row>
    <row r="660" spans="1:16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16"/>
      <c r="K660" s="3"/>
      <c r="L660" s="3"/>
      <c r="M660" s="3"/>
      <c r="N660" s="3"/>
      <c r="O660" s="3"/>
      <c r="P660" s="3"/>
    </row>
    <row r="661" spans="1:16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16"/>
      <c r="K661" s="3"/>
      <c r="L661" s="3"/>
      <c r="M661" s="3"/>
      <c r="N661" s="3"/>
      <c r="O661" s="3"/>
      <c r="P661" s="3"/>
    </row>
    <row r="662" spans="1:16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16"/>
      <c r="K662" s="3"/>
      <c r="L662" s="3"/>
      <c r="M662" s="3"/>
      <c r="N662" s="3"/>
      <c r="O662" s="3"/>
      <c r="P662" s="3"/>
    </row>
    <row r="663" spans="1:16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16"/>
      <c r="K663" s="3"/>
      <c r="L663" s="3"/>
      <c r="M663" s="3"/>
      <c r="N663" s="3"/>
      <c r="O663" s="3"/>
      <c r="P663" s="3"/>
    </row>
    <row r="664" spans="1:16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16"/>
      <c r="K664" s="3"/>
      <c r="L664" s="3"/>
      <c r="M664" s="3"/>
      <c r="N664" s="3"/>
      <c r="O664" s="3"/>
      <c r="P664" s="3"/>
    </row>
    <row r="665" spans="1:16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16"/>
      <c r="K665" s="3"/>
      <c r="L665" s="3"/>
      <c r="M665" s="3"/>
      <c r="N665" s="3"/>
      <c r="O665" s="3"/>
      <c r="P665" s="3"/>
    </row>
    <row r="666" spans="1:16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16"/>
      <c r="K666" s="3"/>
      <c r="L666" s="3"/>
      <c r="M666" s="3"/>
      <c r="N666" s="3"/>
      <c r="O666" s="3"/>
      <c r="P666" s="3"/>
    </row>
    <row r="667" spans="1:16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16"/>
      <c r="K667" s="3"/>
      <c r="L667" s="3"/>
      <c r="M667" s="3"/>
      <c r="N667" s="3"/>
      <c r="O667" s="3"/>
      <c r="P667" s="3"/>
    </row>
    <row r="668" spans="1:16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16"/>
      <c r="K668" s="3"/>
      <c r="L668" s="3"/>
      <c r="M668" s="3"/>
      <c r="N668" s="3"/>
      <c r="O668" s="3"/>
      <c r="P668" s="3"/>
    </row>
    <row r="669" spans="1:16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16"/>
      <c r="K669" s="3"/>
      <c r="L669" s="3"/>
      <c r="M669" s="3"/>
      <c r="N669" s="3"/>
      <c r="O669" s="3"/>
      <c r="P669" s="3"/>
    </row>
    <row r="670" spans="1:16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16"/>
      <c r="K670" s="3"/>
      <c r="L670" s="3"/>
      <c r="M670" s="3"/>
      <c r="N670" s="3"/>
      <c r="O670" s="3"/>
      <c r="P670" s="3"/>
    </row>
    <row r="671" spans="1:16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16"/>
      <c r="K671" s="3"/>
      <c r="L671" s="3"/>
      <c r="M671" s="3"/>
      <c r="N671" s="3"/>
      <c r="O671" s="3"/>
      <c r="P671" s="3"/>
    </row>
    <row r="672" spans="1:16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16"/>
      <c r="K672" s="3"/>
      <c r="L672" s="3"/>
      <c r="M672" s="3"/>
      <c r="N672" s="3"/>
      <c r="O672" s="3"/>
      <c r="P672" s="3"/>
    </row>
    <row r="673" spans="1:16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16"/>
      <c r="K673" s="3"/>
      <c r="L673" s="3"/>
      <c r="M673" s="3"/>
      <c r="N673" s="3"/>
      <c r="O673" s="3"/>
      <c r="P673" s="3"/>
    </row>
    <row r="674" spans="1:16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16"/>
      <c r="K674" s="3"/>
      <c r="L674" s="3"/>
      <c r="M674" s="3"/>
      <c r="N674" s="3"/>
      <c r="O674" s="3"/>
      <c r="P674" s="3"/>
    </row>
    <row r="675" spans="1:16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16"/>
      <c r="K675" s="3"/>
      <c r="L675" s="3"/>
      <c r="M675" s="3"/>
      <c r="N675" s="3"/>
      <c r="O675" s="3"/>
      <c r="P675" s="3"/>
    </row>
    <row r="676" spans="1:16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16"/>
      <c r="K676" s="3"/>
      <c r="L676" s="3"/>
      <c r="M676" s="3"/>
      <c r="N676" s="3"/>
      <c r="O676" s="3"/>
      <c r="P676" s="3"/>
    </row>
    <row r="677" spans="1:16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16"/>
      <c r="K677" s="3"/>
      <c r="L677" s="3"/>
      <c r="M677" s="3"/>
      <c r="N677" s="3"/>
      <c r="O677" s="3"/>
      <c r="P677" s="3"/>
    </row>
    <row r="678" spans="1:16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16"/>
      <c r="K678" s="3"/>
      <c r="L678" s="3"/>
      <c r="M678" s="3"/>
      <c r="N678" s="3"/>
      <c r="O678" s="3"/>
      <c r="P678" s="3"/>
    </row>
    <row r="679" spans="1:16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16"/>
      <c r="K679" s="3"/>
      <c r="L679" s="3"/>
      <c r="M679" s="3"/>
      <c r="N679" s="3"/>
      <c r="O679" s="3"/>
      <c r="P679" s="3"/>
    </row>
    <row r="680" spans="1:16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16"/>
      <c r="K680" s="3"/>
      <c r="L680" s="3"/>
      <c r="M680" s="3"/>
      <c r="N680" s="3"/>
      <c r="O680" s="3"/>
      <c r="P680" s="3"/>
    </row>
    <row r="681" spans="1:16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16"/>
      <c r="K681" s="3"/>
      <c r="L681" s="3"/>
      <c r="M681" s="3"/>
      <c r="N681" s="3"/>
      <c r="O681" s="3"/>
      <c r="P681" s="3"/>
    </row>
    <row r="682" spans="1:16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16"/>
      <c r="K682" s="3"/>
      <c r="L682" s="3"/>
      <c r="M682" s="3"/>
      <c r="N682" s="3"/>
      <c r="O682" s="3"/>
      <c r="P682" s="3"/>
    </row>
    <row r="683" spans="1:16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16"/>
      <c r="K683" s="3"/>
      <c r="L683" s="3"/>
      <c r="M683" s="3"/>
      <c r="N683" s="3"/>
      <c r="O683" s="3"/>
      <c r="P683" s="3"/>
    </row>
    <row r="684" spans="1:16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16"/>
      <c r="K684" s="3"/>
      <c r="L684" s="3"/>
      <c r="M684" s="3"/>
      <c r="N684" s="3"/>
      <c r="O684" s="3"/>
      <c r="P684" s="3"/>
    </row>
    <row r="685" spans="1:16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16"/>
      <c r="K685" s="3"/>
      <c r="L685" s="3"/>
      <c r="M685" s="3"/>
      <c r="N685" s="3"/>
      <c r="O685" s="3"/>
      <c r="P685" s="3"/>
    </row>
    <row r="686" spans="1:16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16"/>
      <c r="K686" s="3"/>
      <c r="L686" s="3"/>
      <c r="M686" s="3"/>
      <c r="N686" s="3"/>
      <c r="O686" s="3"/>
      <c r="P686" s="3"/>
    </row>
    <row r="687" spans="1:16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16"/>
      <c r="K687" s="3"/>
      <c r="L687" s="3"/>
      <c r="M687" s="3"/>
      <c r="N687" s="3"/>
      <c r="O687" s="3"/>
      <c r="P687" s="3"/>
    </row>
    <row r="688" spans="1:16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16"/>
      <c r="K688" s="3"/>
      <c r="L688" s="3"/>
      <c r="M688" s="3"/>
      <c r="N688" s="3"/>
      <c r="O688" s="3"/>
      <c r="P688" s="3"/>
    </row>
    <row r="689" spans="1:16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16"/>
      <c r="K689" s="3"/>
      <c r="L689" s="3"/>
      <c r="M689" s="3"/>
      <c r="N689" s="3"/>
      <c r="O689" s="3"/>
      <c r="P689" s="3"/>
    </row>
    <row r="690" spans="1:16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16"/>
      <c r="K690" s="3"/>
      <c r="L690" s="3"/>
      <c r="M690" s="3"/>
      <c r="N690" s="3"/>
      <c r="O690" s="3"/>
      <c r="P690" s="3"/>
    </row>
    <row r="691" spans="1:16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16"/>
      <c r="K691" s="3"/>
      <c r="L691" s="3"/>
      <c r="M691" s="3"/>
      <c r="N691" s="3"/>
      <c r="O691" s="3"/>
      <c r="P691" s="3"/>
    </row>
    <row r="692" spans="1:16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16"/>
      <c r="K692" s="3"/>
      <c r="L692" s="3"/>
      <c r="M692" s="3"/>
      <c r="N692" s="3"/>
      <c r="O692" s="3"/>
      <c r="P692" s="3"/>
    </row>
    <row r="693" spans="1:16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16"/>
      <c r="K693" s="3"/>
      <c r="L693" s="3"/>
      <c r="M693" s="3"/>
      <c r="N693" s="3"/>
      <c r="O693" s="3"/>
      <c r="P693" s="3"/>
    </row>
    <row r="694" spans="1:16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16"/>
      <c r="K694" s="3"/>
      <c r="L694" s="3"/>
      <c r="M694" s="3"/>
      <c r="N694" s="3"/>
      <c r="O694" s="3"/>
      <c r="P694" s="3"/>
    </row>
    <row r="695" spans="1:16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16"/>
      <c r="K695" s="3"/>
      <c r="L695" s="3"/>
      <c r="M695" s="3"/>
      <c r="N695" s="3"/>
      <c r="O695" s="3"/>
      <c r="P695" s="3"/>
    </row>
    <row r="696" spans="1:16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16"/>
      <c r="K696" s="3"/>
      <c r="L696" s="3"/>
      <c r="M696" s="3"/>
      <c r="N696" s="3"/>
      <c r="O696" s="3"/>
      <c r="P696" s="3"/>
    </row>
    <row r="697" spans="1:16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16"/>
      <c r="K697" s="3"/>
      <c r="L697" s="3"/>
      <c r="M697" s="3"/>
      <c r="N697" s="3"/>
      <c r="O697" s="3"/>
      <c r="P697" s="3"/>
    </row>
    <row r="698" spans="1:16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16"/>
      <c r="K698" s="3"/>
      <c r="L698" s="3"/>
      <c r="M698" s="3"/>
      <c r="N698" s="3"/>
      <c r="O698" s="3"/>
      <c r="P698" s="3"/>
    </row>
    <row r="699" spans="1:16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16"/>
      <c r="K699" s="3"/>
      <c r="L699" s="3"/>
      <c r="M699" s="3"/>
      <c r="N699" s="3"/>
      <c r="O699" s="3"/>
      <c r="P699" s="3"/>
    </row>
    <row r="700" spans="1:16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16"/>
      <c r="K700" s="3"/>
      <c r="L700" s="3"/>
      <c r="M700" s="3"/>
      <c r="N700" s="3"/>
      <c r="O700" s="3"/>
      <c r="P700" s="3"/>
    </row>
    <row r="701" spans="1:16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16"/>
      <c r="K701" s="3"/>
      <c r="L701" s="3"/>
      <c r="M701" s="3"/>
      <c r="N701" s="3"/>
      <c r="O701" s="3"/>
      <c r="P701" s="3"/>
    </row>
    <row r="702" spans="1:16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16"/>
      <c r="K702" s="3"/>
      <c r="L702" s="3"/>
      <c r="M702" s="3"/>
      <c r="N702" s="3"/>
      <c r="O702" s="3"/>
      <c r="P702" s="3"/>
    </row>
    <row r="703" spans="1:16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16"/>
      <c r="K703" s="3"/>
      <c r="L703" s="3"/>
      <c r="M703" s="3"/>
      <c r="N703" s="3"/>
      <c r="O703" s="3"/>
      <c r="P703" s="3"/>
    </row>
    <row r="704" spans="1:16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16"/>
      <c r="K704" s="3"/>
      <c r="L704" s="3"/>
      <c r="M704" s="3"/>
      <c r="N704" s="3"/>
      <c r="O704" s="3"/>
      <c r="P704" s="3"/>
    </row>
    <row r="705" spans="1:16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16"/>
      <c r="K705" s="3"/>
      <c r="L705" s="3"/>
      <c r="M705" s="3"/>
      <c r="N705" s="3"/>
      <c r="O705" s="3"/>
      <c r="P705" s="3"/>
    </row>
    <row r="706" spans="1:16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16"/>
      <c r="K706" s="3"/>
      <c r="L706" s="3"/>
      <c r="M706" s="3"/>
      <c r="N706" s="3"/>
      <c r="O706" s="3"/>
      <c r="P706" s="3"/>
    </row>
    <row r="707" spans="1:16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16"/>
      <c r="K707" s="3"/>
      <c r="L707" s="3"/>
      <c r="M707" s="3"/>
      <c r="N707" s="3"/>
      <c r="O707" s="3"/>
      <c r="P707" s="3"/>
    </row>
    <row r="708" spans="1:16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16"/>
      <c r="K708" s="3"/>
      <c r="L708" s="3"/>
      <c r="M708" s="3"/>
      <c r="N708" s="3"/>
      <c r="O708" s="3"/>
      <c r="P708" s="3"/>
    </row>
    <row r="709" spans="1:16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16"/>
      <c r="K709" s="3"/>
      <c r="L709" s="3"/>
      <c r="M709" s="3"/>
      <c r="N709" s="3"/>
      <c r="O709" s="3"/>
      <c r="P709" s="3"/>
    </row>
    <row r="710" spans="1:16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16"/>
      <c r="K710" s="3"/>
      <c r="L710" s="3"/>
      <c r="M710" s="3"/>
      <c r="N710" s="3"/>
      <c r="O710" s="3"/>
      <c r="P710" s="3"/>
    </row>
    <row r="711" spans="1:16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16"/>
      <c r="K711" s="3"/>
      <c r="L711" s="3"/>
      <c r="M711" s="3"/>
      <c r="N711" s="3"/>
      <c r="O711" s="3"/>
      <c r="P711" s="3"/>
    </row>
    <row r="712" spans="1:16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16"/>
      <c r="K712" s="3"/>
      <c r="L712" s="3"/>
      <c r="M712" s="3"/>
      <c r="N712" s="3"/>
      <c r="O712" s="3"/>
      <c r="P712" s="3"/>
    </row>
    <row r="713" spans="1:16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16"/>
      <c r="K713" s="3"/>
      <c r="L713" s="3"/>
      <c r="M713" s="3"/>
      <c r="N713" s="3"/>
      <c r="O713" s="3"/>
      <c r="P713" s="3"/>
    </row>
    <row r="714" spans="1:16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16"/>
      <c r="K714" s="3"/>
      <c r="L714" s="3"/>
      <c r="M714" s="3"/>
      <c r="N714" s="3"/>
      <c r="O714" s="3"/>
      <c r="P714" s="3"/>
    </row>
    <row r="715" spans="1:16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16"/>
      <c r="K715" s="3"/>
      <c r="L715" s="3"/>
      <c r="M715" s="3"/>
      <c r="N715" s="3"/>
      <c r="O715" s="3"/>
      <c r="P715" s="3"/>
    </row>
    <row r="716" spans="1:16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16"/>
      <c r="K716" s="3"/>
      <c r="L716" s="3"/>
      <c r="M716" s="3"/>
      <c r="N716" s="3"/>
      <c r="O716" s="3"/>
      <c r="P716" s="3"/>
    </row>
    <row r="717" spans="1:16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16"/>
      <c r="K717" s="3"/>
      <c r="L717" s="3"/>
      <c r="M717" s="3"/>
      <c r="N717" s="3"/>
      <c r="O717" s="3"/>
      <c r="P717" s="3"/>
    </row>
    <row r="718" spans="1:16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16"/>
      <c r="K718" s="3"/>
      <c r="L718" s="3"/>
      <c r="M718" s="3"/>
      <c r="N718" s="3"/>
      <c r="O718" s="3"/>
      <c r="P718" s="3"/>
    </row>
    <row r="719" spans="1:16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16"/>
      <c r="K719" s="3"/>
      <c r="L719" s="3"/>
      <c r="M719" s="3"/>
      <c r="N719" s="3"/>
      <c r="O719" s="3"/>
      <c r="P719" s="3"/>
    </row>
    <row r="720" spans="1:16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16"/>
      <c r="K720" s="3"/>
      <c r="L720" s="3"/>
      <c r="M720" s="3"/>
      <c r="N720" s="3"/>
      <c r="O720" s="3"/>
      <c r="P720" s="3"/>
    </row>
    <row r="721" spans="1:16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16"/>
      <c r="K721" s="3"/>
      <c r="L721" s="3"/>
      <c r="M721" s="3"/>
      <c r="N721" s="3"/>
      <c r="O721" s="3"/>
      <c r="P721" s="3"/>
    </row>
    <row r="722" spans="1:16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16"/>
      <c r="K722" s="3"/>
      <c r="L722" s="3"/>
      <c r="M722" s="3"/>
      <c r="N722" s="3"/>
      <c r="O722" s="3"/>
      <c r="P722" s="3"/>
    </row>
    <row r="723" spans="1:16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16"/>
      <c r="K723" s="3"/>
      <c r="L723" s="3"/>
      <c r="M723" s="3"/>
      <c r="N723" s="3"/>
      <c r="O723" s="3"/>
      <c r="P723" s="3"/>
    </row>
    <row r="724" spans="1:16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16"/>
      <c r="K724" s="3"/>
      <c r="L724" s="3"/>
      <c r="M724" s="3"/>
      <c r="N724" s="3"/>
      <c r="O724" s="3"/>
      <c r="P724" s="3"/>
    </row>
    <row r="725" spans="1:16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16"/>
      <c r="K725" s="3"/>
      <c r="L725" s="3"/>
      <c r="M725" s="3"/>
      <c r="N725" s="3"/>
      <c r="O725" s="3"/>
      <c r="P725" s="3"/>
    </row>
    <row r="726" spans="1:16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16"/>
      <c r="K726" s="3"/>
      <c r="L726" s="3"/>
      <c r="M726" s="3"/>
      <c r="N726" s="3"/>
      <c r="O726" s="3"/>
      <c r="P726" s="3"/>
    </row>
    <row r="727" spans="1:16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16"/>
      <c r="K727" s="3"/>
      <c r="L727" s="3"/>
      <c r="M727" s="3"/>
      <c r="N727" s="3"/>
      <c r="O727" s="3"/>
      <c r="P727" s="3"/>
    </row>
    <row r="728" spans="1:16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16"/>
      <c r="K728" s="3"/>
      <c r="L728" s="3"/>
      <c r="M728" s="3"/>
      <c r="N728" s="3"/>
      <c r="O728" s="3"/>
      <c r="P728" s="3"/>
    </row>
    <row r="729" spans="1:16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16"/>
      <c r="K729" s="3"/>
      <c r="L729" s="3"/>
      <c r="M729" s="3"/>
      <c r="N729" s="3"/>
      <c r="O729" s="3"/>
      <c r="P729" s="3"/>
    </row>
    <row r="730" spans="1:16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16"/>
      <c r="K730" s="3"/>
      <c r="L730" s="3"/>
      <c r="M730" s="3"/>
      <c r="N730" s="3"/>
      <c r="O730" s="3"/>
      <c r="P730" s="3"/>
    </row>
    <row r="731" spans="1:16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16"/>
      <c r="K731" s="3"/>
      <c r="L731" s="3"/>
      <c r="M731" s="3"/>
      <c r="N731" s="3"/>
      <c r="O731" s="3"/>
      <c r="P731" s="3"/>
    </row>
    <row r="732" spans="1:16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16"/>
      <c r="K732" s="3"/>
      <c r="L732" s="3"/>
      <c r="M732" s="3"/>
      <c r="N732" s="3"/>
      <c r="O732" s="3"/>
      <c r="P732" s="3"/>
    </row>
    <row r="733" spans="1:16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16"/>
      <c r="K733" s="3"/>
      <c r="L733" s="3"/>
      <c r="M733" s="3"/>
      <c r="N733" s="3"/>
      <c r="O733" s="3"/>
      <c r="P733" s="3"/>
    </row>
    <row r="734" spans="1:16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16"/>
      <c r="K734" s="3"/>
      <c r="L734" s="3"/>
      <c r="M734" s="3"/>
      <c r="N734" s="3"/>
      <c r="O734" s="3"/>
      <c r="P734" s="3"/>
    </row>
    <row r="735" spans="1:16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16"/>
      <c r="K735" s="3"/>
      <c r="L735" s="3"/>
      <c r="M735" s="3"/>
      <c r="N735" s="3"/>
      <c r="O735" s="3"/>
      <c r="P735" s="3"/>
    </row>
    <row r="736" spans="1:16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16"/>
      <c r="K736" s="3"/>
      <c r="L736" s="3"/>
      <c r="M736" s="3"/>
      <c r="N736" s="3"/>
      <c r="O736" s="3"/>
      <c r="P736" s="3"/>
    </row>
    <row r="737" spans="1:16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16"/>
      <c r="K737" s="3"/>
      <c r="L737" s="3"/>
      <c r="M737" s="3"/>
      <c r="N737" s="3"/>
      <c r="O737" s="3"/>
      <c r="P737" s="3"/>
    </row>
    <row r="738" spans="1:16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16"/>
      <c r="K738" s="3"/>
      <c r="L738" s="3"/>
      <c r="M738" s="3"/>
      <c r="N738" s="3"/>
      <c r="O738" s="3"/>
      <c r="P738" s="3"/>
    </row>
    <row r="739" spans="1:16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16"/>
      <c r="K739" s="3"/>
      <c r="L739" s="3"/>
      <c r="M739" s="3"/>
      <c r="N739" s="3"/>
      <c r="O739" s="3"/>
      <c r="P739" s="3"/>
    </row>
    <row r="740" spans="1:16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16"/>
      <c r="K740" s="3"/>
      <c r="L740" s="3"/>
      <c r="M740" s="3"/>
      <c r="N740" s="3"/>
      <c r="O740" s="3"/>
      <c r="P740" s="3"/>
    </row>
    <row r="741" spans="1:16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16"/>
      <c r="K741" s="3"/>
      <c r="L741" s="3"/>
      <c r="M741" s="3"/>
      <c r="N741" s="3"/>
      <c r="O741" s="3"/>
      <c r="P741" s="3"/>
    </row>
    <row r="742" spans="1:16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16"/>
      <c r="K742" s="3"/>
      <c r="L742" s="3"/>
      <c r="M742" s="3"/>
      <c r="N742" s="3"/>
      <c r="O742" s="3"/>
      <c r="P742" s="3"/>
    </row>
    <row r="743" spans="1:16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16"/>
      <c r="K743" s="3"/>
      <c r="L743" s="3"/>
      <c r="M743" s="3"/>
      <c r="N743" s="3"/>
      <c r="O743" s="3"/>
      <c r="P743" s="3"/>
    </row>
    <row r="744" spans="1:16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16"/>
      <c r="K744" s="3"/>
      <c r="L744" s="3"/>
      <c r="M744" s="3"/>
      <c r="N744" s="3"/>
      <c r="O744" s="3"/>
      <c r="P744" s="3"/>
    </row>
    <row r="745" spans="1:16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16"/>
      <c r="K745" s="3"/>
      <c r="L745" s="3"/>
      <c r="M745" s="3"/>
      <c r="N745" s="3"/>
      <c r="O745" s="3"/>
      <c r="P745" s="3"/>
    </row>
    <row r="746" spans="1:16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16"/>
      <c r="K746" s="3"/>
      <c r="L746" s="3"/>
      <c r="M746" s="3"/>
      <c r="N746" s="3"/>
      <c r="O746" s="3"/>
      <c r="P746" s="3"/>
    </row>
    <row r="747" spans="1:16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16"/>
      <c r="K747" s="3"/>
      <c r="L747" s="3"/>
      <c r="M747" s="3"/>
      <c r="N747" s="3"/>
      <c r="O747" s="3"/>
      <c r="P747" s="3"/>
    </row>
    <row r="748" spans="1:16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16"/>
      <c r="K748" s="3"/>
      <c r="L748" s="3"/>
      <c r="M748" s="3"/>
      <c r="N748" s="3"/>
      <c r="O748" s="3"/>
      <c r="P748" s="3"/>
    </row>
    <row r="749" spans="1:16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16"/>
      <c r="K749" s="3"/>
      <c r="L749" s="3"/>
      <c r="M749" s="3"/>
      <c r="N749" s="3"/>
      <c r="O749" s="3"/>
      <c r="P749" s="3"/>
    </row>
    <row r="750" spans="1:16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16"/>
      <c r="K750" s="3"/>
      <c r="L750" s="3"/>
      <c r="M750" s="3"/>
      <c r="N750" s="3"/>
      <c r="O750" s="3"/>
      <c r="P750" s="3"/>
    </row>
    <row r="751" spans="1:16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16"/>
      <c r="K751" s="3"/>
      <c r="L751" s="3"/>
      <c r="M751" s="3"/>
      <c r="N751" s="3"/>
      <c r="O751" s="3"/>
      <c r="P751" s="3"/>
    </row>
    <row r="752" spans="1:16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16"/>
      <c r="K752" s="3"/>
      <c r="L752" s="3"/>
      <c r="M752" s="3"/>
      <c r="N752" s="3"/>
      <c r="O752" s="3"/>
      <c r="P752" s="3"/>
    </row>
    <row r="753" spans="1:16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16"/>
      <c r="K753" s="3"/>
      <c r="L753" s="3"/>
      <c r="M753" s="3"/>
      <c r="N753" s="3"/>
      <c r="O753" s="3"/>
      <c r="P753" s="3"/>
    </row>
    <row r="754" spans="1:16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16"/>
      <c r="K754" s="3"/>
      <c r="L754" s="3"/>
      <c r="M754" s="3"/>
      <c r="N754" s="3"/>
      <c r="O754" s="3"/>
      <c r="P754" s="3"/>
    </row>
    <row r="755" spans="1:16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16"/>
      <c r="K755" s="3"/>
      <c r="L755" s="3"/>
      <c r="M755" s="3"/>
      <c r="N755" s="3"/>
      <c r="O755" s="3"/>
      <c r="P755" s="3"/>
    </row>
    <row r="756" spans="1:16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16"/>
      <c r="K756" s="3"/>
      <c r="L756" s="3"/>
      <c r="M756" s="3"/>
      <c r="N756" s="3"/>
      <c r="O756" s="3"/>
      <c r="P756" s="3"/>
    </row>
    <row r="757" spans="1:16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16"/>
      <c r="K757" s="3"/>
      <c r="L757" s="3"/>
      <c r="M757" s="3"/>
      <c r="N757" s="3"/>
      <c r="O757" s="3"/>
      <c r="P757" s="3"/>
    </row>
    <row r="758" spans="1:16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16"/>
      <c r="K758" s="3"/>
      <c r="L758" s="3"/>
      <c r="M758" s="3"/>
      <c r="N758" s="3"/>
      <c r="O758" s="3"/>
      <c r="P758" s="3"/>
    </row>
    <row r="759" spans="1:16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16"/>
      <c r="K759" s="3"/>
      <c r="L759" s="3"/>
      <c r="M759" s="3"/>
      <c r="N759" s="3"/>
      <c r="O759" s="3"/>
      <c r="P759" s="3"/>
    </row>
    <row r="760" spans="1:16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16"/>
      <c r="K760" s="3"/>
      <c r="L760" s="3"/>
      <c r="M760" s="3"/>
      <c r="N760" s="3"/>
      <c r="O760" s="3"/>
      <c r="P760" s="3"/>
    </row>
    <row r="761" spans="1:16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16"/>
      <c r="K761" s="3"/>
      <c r="L761" s="3"/>
      <c r="M761" s="3"/>
      <c r="N761" s="3"/>
      <c r="O761" s="3"/>
      <c r="P761" s="3"/>
    </row>
    <row r="762" spans="1:16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16"/>
      <c r="K762" s="3"/>
      <c r="L762" s="3"/>
      <c r="M762" s="3"/>
      <c r="N762" s="3"/>
      <c r="O762" s="3"/>
      <c r="P762" s="3"/>
    </row>
    <row r="763" spans="1:16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16"/>
      <c r="K763" s="3"/>
      <c r="L763" s="3"/>
      <c r="M763" s="3"/>
      <c r="N763" s="3"/>
      <c r="O763" s="3"/>
      <c r="P763" s="3"/>
    </row>
    <row r="764" spans="1:16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16"/>
      <c r="K764" s="3"/>
      <c r="L764" s="3"/>
      <c r="M764" s="3"/>
      <c r="N764" s="3"/>
      <c r="O764" s="3"/>
      <c r="P764" s="3"/>
    </row>
    <row r="765" spans="1:16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16"/>
      <c r="K765" s="3"/>
      <c r="L765" s="3"/>
      <c r="M765" s="3"/>
      <c r="N765" s="3"/>
      <c r="O765" s="3"/>
      <c r="P765" s="3"/>
    </row>
    <row r="766" spans="1:16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16"/>
      <c r="K766" s="3"/>
      <c r="L766" s="3"/>
      <c r="M766" s="3"/>
      <c r="N766" s="3"/>
      <c r="O766" s="3"/>
      <c r="P766" s="3"/>
    </row>
    <row r="767" spans="1:16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16"/>
      <c r="K767" s="3"/>
      <c r="L767" s="3"/>
      <c r="M767" s="3"/>
      <c r="N767" s="3"/>
      <c r="O767" s="3"/>
      <c r="P767" s="3"/>
    </row>
    <row r="768" spans="1:16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16"/>
      <c r="K768" s="3"/>
      <c r="L768" s="3"/>
      <c r="M768" s="3"/>
      <c r="N768" s="3"/>
      <c r="O768" s="3"/>
      <c r="P768" s="3"/>
    </row>
    <row r="769" spans="1:16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16"/>
      <c r="K769" s="3"/>
      <c r="L769" s="3"/>
      <c r="M769" s="3"/>
      <c r="N769" s="3"/>
      <c r="O769" s="3"/>
      <c r="P769" s="3"/>
    </row>
    <row r="770" spans="1:16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16"/>
      <c r="K770" s="3"/>
      <c r="L770" s="3"/>
      <c r="M770" s="3"/>
      <c r="N770" s="3"/>
      <c r="O770" s="3"/>
      <c r="P770" s="3"/>
    </row>
    <row r="771" spans="1:16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16"/>
      <c r="K771" s="3"/>
      <c r="L771" s="3"/>
      <c r="M771" s="3"/>
      <c r="N771" s="3"/>
      <c r="O771" s="3"/>
      <c r="P771" s="3"/>
    </row>
    <row r="772" spans="1:16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16"/>
      <c r="K772" s="3"/>
      <c r="L772" s="3"/>
      <c r="M772" s="3"/>
      <c r="N772" s="3"/>
      <c r="O772" s="3"/>
      <c r="P772" s="3"/>
    </row>
    <row r="773" spans="1:16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16"/>
      <c r="K773" s="3"/>
      <c r="L773" s="3"/>
      <c r="M773" s="3"/>
      <c r="N773" s="3"/>
      <c r="O773" s="3"/>
      <c r="P773" s="3"/>
    </row>
    <row r="774" spans="1:16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16"/>
      <c r="K774" s="3"/>
      <c r="L774" s="3"/>
      <c r="M774" s="3"/>
      <c r="N774" s="3"/>
      <c r="O774" s="3"/>
      <c r="P774" s="3"/>
    </row>
    <row r="775" spans="1:16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16"/>
      <c r="K775" s="3"/>
      <c r="L775" s="3"/>
      <c r="M775" s="3"/>
      <c r="N775" s="3"/>
      <c r="O775" s="3"/>
      <c r="P775" s="3"/>
    </row>
    <row r="776" spans="1:16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16"/>
      <c r="K776" s="3"/>
      <c r="L776" s="3"/>
      <c r="M776" s="3"/>
      <c r="N776" s="3"/>
      <c r="O776" s="3"/>
      <c r="P776" s="3"/>
    </row>
    <row r="777" spans="1:16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16"/>
      <c r="K777" s="3"/>
      <c r="L777" s="3"/>
      <c r="M777" s="3"/>
      <c r="N777" s="3"/>
      <c r="O777" s="3"/>
      <c r="P777" s="3"/>
    </row>
    <row r="778" spans="1:16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16"/>
      <c r="K778" s="3"/>
      <c r="L778" s="3"/>
      <c r="M778" s="3"/>
      <c r="N778" s="3"/>
      <c r="O778" s="3"/>
      <c r="P778" s="3"/>
    </row>
    <row r="779" spans="1:16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16"/>
      <c r="K779" s="3"/>
      <c r="L779" s="3"/>
      <c r="M779" s="3"/>
      <c r="N779" s="3"/>
      <c r="O779" s="3"/>
      <c r="P779" s="3"/>
    </row>
    <row r="780" spans="1:16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16"/>
      <c r="K780" s="3"/>
      <c r="L780" s="3"/>
      <c r="M780" s="3"/>
      <c r="N780" s="3"/>
      <c r="O780" s="3"/>
      <c r="P780" s="3"/>
    </row>
    <row r="781" spans="1:16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16"/>
      <c r="K781" s="3"/>
      <c r="L781" s="3"/>
      <c r="M781" s="3"/>
      <c r="N781" s="3"/>
      <c r="O781" s="3"/>
      <c r="P781" s="3"/>
    </row>
    <row r="782" spans="1:16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16"/>
      <c r="K782" s="3"/>
      <c r="L782" s="3"/>
      <c r="M782" s="3"/>
      <c r="N782" s="3"/>
      <c r="O782" s="3"/>
      <c r="P782" s="3"/>
    </row>
    <row r="783" spans="1:16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16"/>
      <c r="K783" s="3"/>
      <c r="L783" s="3"/>
      <c r="M783" s="3"/>
      <c r="N783" s="3"/>
      <c r="O783" s="3"/>
      <c r="P783" s="3"/>
    </row>
    <row r="784" spans="1:16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16"/>
      <c r="K784" s="3"/>
      <c r="L784" s="3"/>
      <c r="M784" s="3"/>
      <c r="N784" s="3"/>
      <c r="O784" s="3"/>
      <c r="P784" s="3"/>
    </row>
    <row r="785" spans="1:16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16"/>
      <c r="K785" s="3"/>
      <c r="L785" s="3"/>
      <c r="M785" s="3"/>
      <c r="N785" s="3"/>
      <c r="O785" s="3"/>
      <c r="P785" s="3"/>
    </row>
    <row r="786" spans="1:16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16"/>
      <c r="K786" s="3"/>
      <c r="L786" s="3"/>
      <c r="M786" s="3"/>
      <c r="N786" s="3"/>
      <c r="O786" s="3"/>
      <c r="P786" s="3"/>
    </row>
    <row r="787" spans="1:16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16"/>
      <c r="K787" s="3"/>
      <c r="L787" s="3"/>
      <c r="M787" s="3"/>
      <c r="N787" s="3"/>
      <c r="O787" s="3"/>
      <c r="P787" s="3"/>
    </row>
    <row r="788" spans="1:16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16"/>
      <c r="K788" s="3"/>
      <c r="L788" s="3"/>
      <c r="M788" s="3"/>
      <c r="N788" s="3"/>
      <c r="O788" s="3"/>
      <c r="P788" s="3"/>
    </row>
    <row r="789" spans="1:16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16"/>
      <c r="K789" s="3"/>
      <c r="L789" s="3"/>
      <c r="M789" s="3"/>
      <c r="N789" s="3"/>
      <c r="O789" s="3"/>
      <c r="P789" s="3"/>
    </row>
    <row r="790" spans="1:16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16"/>
      <c r="K790" s="3"/>
      <c r="L790" s="3"/>
      <c r="M790" s="3"/>
      <c r="N790" s="3"/>
      <c r="O790" s="3"/>
      <c r="P790" s="3"/>
    </row>
    <row r="791" spans="1:16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16"/>
      <c r="K791" s="3"/>
      <c r="L791" s="3"/>
      <c r="M791" s="3"/>
      <c r="N791" s="3"/>
      <c r="O791" s="3"/>
      <c r="P791" s="3"/>
    </row>
    <row r="792" spans="1:16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16"/>
      <c r="K792" s="3"/>
      <c r="L792" s="3"/>
      <c r="M792" s="3"/>
      <c r="N792" s="3"/>
      <c r="O792" s="3"/>
      <c r="P792" s="3"/>
    </row>
    <row r="793" spans="1:16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16"/>
      <c r="K793" s="3"/>
      <c r="L793" s="3"/>
      <c r="M793" s="3"/>
      <c r="N793" s="3"/>
      <c r="O793" s="3"/>
      <c r="P793" s="3"/>
    </row>
    <row r="794" spans="1:16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16"/>
      <c r="K794" s="3"/>
      <c r="L794" s="3"/>
      <c r="M794" s="3"/>
      <c r="N794" s="3"/>
      <c r="O794" s="3"/>
      <c r="P794" s="3"/>
    </row>
    <row r="795" spans="1:16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16"/>
      <c r="K795" s="3"/>
      <c r="L795" s="3"/>
      <c r="M795" s="3"/>
      <c r="N795" s="3"/>
      <c r="O795" s="3"/>
      <c r="P795" s="3"/>
    </row>
    <row r="796" spans="1:16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16"/>
      <c r="K796" s="3"/>
      <c r="L796" s="3"/>
      <c r="M796" s="3"/>
      <c r="N796" s="3"/>
      <c r="O796" s="3"/>
      <c r="P796" s="3"/>
    </row>
    <row r="797" spans="1:16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16"/>
      <c r="K797" s="3"/>
      <c r="L797" s="3"/>
      <c r="M797" s="3"/>
      <c r="N797" s="3"/>
      <c r="O797" s="3"/>
      <c r="P797" s="3"/>
    </row>
    <row r="798" spans="1:16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16"/>
      <c r="K798" s="3"/>
      <c r="L798" s="3"/>
      <c r="M798" s="3"/>
      <c r="N798" s="3"/>
      <c r="O798" s="3"/>
      <c r="P798" s="3"/>
    </row>
    <row r="799" spans="1:16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16"/>
      <c r="K799" s="3"/>
      <c r="L799" s="3"/>
      <c r="M799" s="3"/>
      <c r="N799" s="3"/>
      <c r="O799" s="3"/>
      <c r="P799" s="3"/>
    </row>
    <row r="800" spans="1:16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16"/>
      <c r="K800" s="3"/>
      <c r="L800" s="3"/>
      <c r="M800" s="3"/>
      <c r="N800" s="3"/>
      <c r="O800" s="3"/>
      <c r="P800" s="3"/>
    </row>
    <row r="801" spans="1:16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16"/>
      <c r="K801" s="3"/>
      <c r="L801" s="3"/>
      <c r="M801" s="3"/>
      <c r="N801" s="3"/>
      <c r="O801" s="3"/>
      <c r="P801" s="3"/>
    </row>
    <row r="802" spans="1:16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16"/>
      <c r="K802" s="3"/>
      <c r="L802" s="3"/>
      <c r="M802" s="3"/>
      <c r="N802" s="3"/>
      <c r="O802" s="3"/>
      <c r="P802" s="3"/>
    </row>
    <row r="803" spans="1:16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16"/>
      <c r="K803" s="3"/>
      <c r="L803" s="3"/>
      <c r="M803" s="3"/>
      <c r="N803" s="3"/>
      <c r="O803" s="3"/>
      <c r="P803" s="3"/>
    </row>
    <row r="804" spans="1:16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16"/>
      <c r="K804" s="3"/>
      <c r="L804" s="3"/>
      <c r="M804" s="3"/>
      <c r="N804" s="3"/>
      <c r="O804" s="3"/>
      <c r="P804" s="3"/>
    </row>
    <row r="805" spans="1:16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16"/>
      <c r="K805" s="3"/>
      <c r="L805" s="3"/>
      <c r="M805" s="3"/>
      <c r="N805" s="3"/>
      <c r="O805" s="3"/>
      <c r="P805" s="3"/>
    </row>
    <row r="806" spans="1:16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16"/>
      <c r="K806" s="3"/>
      <c r="L806" s="3"/>
      <c r="M806" s="3"/>
      <c r="N806" s="3"/>
      <c r="O806" s="3"/>
      <c r="P806" s="3"/>
    </row>
    <row r="807" spans="1:16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16"/>
      <c r="K807" s="3"/>
      <c r="L807" s="3"/>
      <c r="M807" s="3"/>
      <c r="N807" s="3"/>
      <c r="O807" s="3"/>
      <c r="P807" s="3"/>
    </row>
    <row r="808" spans="1:16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16"/>
      <c r="K808" s="3"/>
      <c r="L808" s="3"/>
      <c r="M808" s="3"/>
      <c r="N808" s="3"/>
      <c r="O808" s="3"/>
      <c r="P808" s="3"/>
    </row>
    <row r="809" spans="1:16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16"/>
      <c r="K809" s="3"/>
      <c r="L809" s="3"/>
      <c r="M809" s="3"/>
      <c r="N809" s="3"/>
      <c r="O809" s="3"/>
      <c r="P809" s="3"/>
    </row>
    <row r="810" spans="1:16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16"/>
      <c r="K810" s="3"/>
      <c r="L810" s="3"/>
      <c r="M810" s="3"/>
      <c r="N810" s="3"/>
      <c r="O810" s="3"/>
      <c r="P810" s="3"/>
    </row>
    <row r="811" spans="1:16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16"/>
      <c r="K811" s="3"/>
      <c r="L811" s="3"/>
      <c r="M811" s="3"/>
      <c r="N811" s="3"/>
      <c r="O811" s="3"/>
      <c r="P811" s="3"/>
    </row>
    <row r="812" spans="1:16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16"/>
      <c r="K812" s="3"/>
      <c r="L812" s="3"/>
      <c r="M812" s="3"/>
      <c r="N812" s="3"/>
      <c r="O812" s="3"/>
      <c r="P812" s="3"/>
    </row>
    <row r="813" spans="1:16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16"/>
      <c r="K813" s="3"/>
      <c r="L813" s="3"/>
      <c r="M813" s="3"/>
      <c r="N813" s="3"/>
      <c r="O813" s="3"/>
      <c r="P813" s="3"/>
    </row>
    <row r="814" spans="1:16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16"/>
      <c r="K814" s="3"/>
      <c r="L814" s="3"/>
      <c r="M814" s="3"/>
      <c r="N814" s="3"/>
      <c r="O814" s="3"/>
      <c r="P814" s="3"/>
    </row>
    <row r="815" spans="1:16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16"/>
      <c r="K815" s="3"/>
      <c r="L815" s="3"/>
      <c r="M815" s="3"/>
      <c r="N815" s="3"/>
      <c r="O815" s="3"/>
      <c r="P815" s="3"/>
    </row>
    <row r="816" spans="1:16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16"/>
      <c r="K816" s="3"/>
      <c r="L816" s="3"/>
      <c r="M816" s="3"/>
      <c r="N816" s="3"/>
      <c r="O816" s="3"/>
      <c r="P816" s="3"/>
    </row>
    <row r="817" spans="1:16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16"/>
      <c r="K817" s="3"/>
      <c r="L817" s="3"/>
      <c r="M817" s="3"/>
      <c r="N817" s="3"/>
      <c r="O817" s="3"/>
      <c r="P817" s="3"/>
    </row>
    <row r="818" spans="1:16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16"/>
      <c r="K818" s="3"/>
      <c r="L818" s="3"/>
      <c r="M818" s="3"/>
      <c r="N818" s="3"/>
      <c r="O818" s="3"/>
      <c r="P818" s="3"/>
    </row>
    <row r="819" spans="1:16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16"/>
      <c r="K819" s="3"/>
      <c r="L819" s="3"/>
      <c r="M819" s="3"/>
      <c r="N819" s="3"/>
      <c r="O819" s="3"/>
      <c r="P819" s="3"/>
    </row>
    <row r="820" spans="1:16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16"/>
      <c r="K820" s="3"/>
      <c r="L820" s="3"/>
      <c r="M820" s="3"/>
      <c r="N820" s="3"/>
      <c r="O820" s="3"/>
      <c r="P820" s="3"/>
    </row>
    <row r="821" spans="1:16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16"/>
      <c r="K821" s="3"/>
      <c r="L821" s="3"/>
      <c r="M821" s="3"/>
      <c r="N821" s="3"/>
      <c r="O821" s="3"/>
      <c r="P821" s="3"/>
    </row>
    <row r="822" spans="1:16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16"/>
      <c r="K822" s="3"/>
      <c r="L822" s="3"/>
      <c r="M822" s="3"/>
      <c r="N822" s="3"/>
      <c r="O822" s="3"/>
      <c r="P822" s="3"/>
    </row>
    <row r="823" spans="1:16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16"/>
      <c r="K823" s="3"/>
      <c r="L823" s="3"/>
      <c r="M823" s="3"/>
      <c r="N823" s="3"/>
      <c r="O823" s="3"/>
      <c r="P823" s="3"/>
    </row>
    <row r="824" spans="1:16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16"/>
      <c r="K824" s="3"/>
      <c r="L824" s="3"/>
      <c r="M824" s="3"/>
      <c r="N824" s="3"/>
      <c r="O824" s="3"/>
      <c r="P824" s="3"/>
    </row>
    <row r="825" spans="1:16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16"/>
      <c r="K825" s="3"/>
      <c r="L825" s="3"/>
      <c r="M825" s="3"/>
      <c r="N825" s="3"/>
      <c r="O825" s="3"/>
      <c r="P825" s="3"/>
    </row>
    <row r="826" spans="1:16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16"/>
      <c r="K826" s="3"/>
      <c r="L826" s="3"/>
      <c r="M826" s="3"/>
      <c r="N826" s="3"/>
      <c r="O826" s="3"/>
      <c r="P826" s="3"/>
    </row>
    <row r="827" spans="1:16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16"/>
      <c r="K827" s="3"/>
      <c r="L827" s="3"/>
      <c r="M827" s="3"/>
      <c r="N827" s="3"/>
      <c r="O827" s="3"/>
      <c r="P827" s="3"/>
    </row>
    <row r="828" spans="1:16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16"/>
      <c r="K828" s="3"/>
      <c r="L828" s="3"/>
      <c r="M828" s="3"/>
      <c r="N828" s="3"/>
      <c r="O828" s="3"/>
      <c r="P828" s="3"/>
    </row>
    <row r="829" spans="1:16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16"/>
      <c r="K829" s="3"/>
      <c r="L829" s="3"/>
      <c r="M829" s="3"/>
      <c r="N829" s="3"/>
      <c r="O829" s="3"/>
      <c r="P829" s="3"/>
    </row>
    <row r="830" spans="1:16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16"/>
      <c r="K830" s="3"/>
      <c r="L830" s="3"/>
      <c r="M830" s="3"/>
      <c r="N830" s="3"/>
      <c r="O830" s="3"/>
      <c r="P830" s="3"/>
    </row>
    <row r="831" spans="1:16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16"/>
      <c r="K831" s="3"/>
      <c r="L831" s="3"/>
      <c r="M831" s="3"/>
      <c r="N831" s="3"/>
      <c r="O831" s="3"/>
      <c r="P831" s="3"/>
    </row>
    <row r="832" spans="1:16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16"/>
      <c r="K832" s="3"/>
      <c r="L832" s="3"/>
      <c r="M832" s="3"/>
      <c r="N832" s="3"/>
      <c r="O832" s="3"/>
      <c r="P832" s="3"/>
    </row>
    <row r="833" spans="1:16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16"/>
      <c r="K833" s="3"/>
      <c r="L833" s="3"/>
      <c r="M833" s="3"/>
      <c r="N833" s="3"/>
      <c r="O833" s="3"/>
      <c r="P833" s="3"/>
    </row>
    <row r="834" spans="1:16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16"/>
      <c r="K834" s="3"/>
      <c r="L834" s="3"/>
      <c r="M834" s="3"/>
      <c r="N834" s="3"/>
      <c r="O834" s="3"/>
      <c r="P834" s="3"/>
    </row>
    <row r="835" spans="1:16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16"/>
      <c r="K835" s="3"/>
      <c r="L835" s="3"/>
      <c r="M835" s="3"/>
      <c r="N835" s="3"/>
      <c r="O835" s="3"/>
      <c r="P835" s="3"/>
    </row>
    <row r="836" spans="1:16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16"/>
      <c r="K836" s="3"/>
      <c r="L836" s="3"/>
      <c r="M836" s="3"/>
      <c r="N836" s="3"/>
      <c r="O836" s="3"/>
      <c r="P836" s="3"/>
    </row>
    <row r="837" spans="1:16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16"/>
      <c r="K837" s="3"/>
      <c r="L837" s="3"/>
      <c r="M837" s="3"/>
      <c r="N837" s="3"/>
      <c r="O837" s="3"/>
      <c r="P837" s="3"/>
    </row>
    <row r="838" spans="1:16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16"/>
      <c r="K838" s="3"/>
      <c r="L838" s="3"/>
      <c r="M838" s="3"/>
      <c r="N838" s="3"/>
      <c r="O838" s="3"/>
      <c r="P838" s="3"/>
    </row>
    <row r="839" spans="1:16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16"/>
      <c r="K839" s="3"/>
      <c r="L839" s="3"/>
      <c r="M839" s="3"/>
      <c r="N839" s="3"/>
      <c r="O839" s="3"/>
      <c r="P839" s="3"/>
    </row>
    <row r="840" spans="1:16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16"/>
      <c r="K840" s="3"/>
      <c r="L840" s="3"/>
      <c r="M840" s="3"/>
      <c r="N840" s="3"/>
      <c r="O840" s="3"/>
      <c r="P840" s="3"/>
    </row>
    <row r="841" spans="1:16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16"/>
      <c r="K841" s="3"/>
      <c r="L841" s="3"/>
      <c r="M841" s="3"/>
      <c r="N841" s="3"/>
      <c r="O841" s="3"/>
      <c r="P841" s="3"/>
    </row>
    <row r="842" spans="1:16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16"/>
      <c r="K842" s="3"/>
      <c r="L842" s="3"/>
      <c r="M842" s="3"/>
      <c r="N842" s="3"/>
      <c r="O842" s="3"/>
      <c r="P842" s="3"/>
    </row>
    <row r="843" spans="1:16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16"/>
      <c r="K843" s="3"/>
      <c r="L843" s="3"/>
      <c r="M843" s="3"/>
      <c r="N843" s="3"/>
      <c r="O843" s="3"/>
      <c r="P843" s="3"/>
    </row>
    <row r="844" spans="1:16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16"/>
      <c r="K844" s="3"/>
      <c r="L844" s="3"/>
      <c r="M844" s="3"/>
      <c r="N844" s="3"/>
      <c r="O844" s="3"/>
      <c r="P844" s="3"/>
    </row>
    <row r="845" spans="1:16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16"/>
      <c r="K845" s="3"/>
      <c r="L845" s="3"/>
      <c r="M845" s="3"/>
      <c r="N845" s="3"/>
      <c r="O845" s="3"/>
      <c r="P845" s="3"/>
    </row>
    <row r="846" spans="1:16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16"/>
      <c r="K846" s="3"/>
      <c r="L846" s="3"/>
      <c r="M846" s="3"/>
      <c r="N846" s="3"/>
      <c r="O846" s="3"/>
      <c r="P846" s="3"/>
    </row>
    <row r="847" spans="1:16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16"/>
      <c r="K847" s="3"/>
      <c r="L847" s="3"/>
      <c r="M847" s="3"/>
      <c r="N847" s="3"/>
      <c r="O847" s="3"/>
      <c r="P847" s="3"/>
    </row>
    <row r="848" spans="1:16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16"/>
      <c r="K848" s="3"/>
      <c r="L848" s="3"/>
      <c r="M848" s="3"/>
      <c r="N848" s="3"/>
      <c r="O848" s="3"/>
      <c r="P848" s="3"/>
    </row>
    <row r="849" spans="1:16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16"/>
      <c r="K849" s="3"/>
      <c r="L849" s="3"/>
      <c r="M849" s="3"/>
      <c r="N849" s="3"/>
      <c r="O849" s="3"/>
      <c r="P849" s="3"/>
    </row>
    <row r="850" spans="1:16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16"/>
      <c r="K850" s="3"/>
      <c r="L850" s="3"/>
      <c r="M850" s="3"/>
      <c r="N850" s="3"/>
      <c r="O850" s="3"/>
      <c r="P850" s="3"/>
    </row>
    <row r="851" spans="1:16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16"/>
      <c r="K851" s="3"/>
      <c r="L851" s="3"/>
      <c r="M851" s="3"/>
      <c r="N851" s="3"/>
      <c r="O851" s="3"/>
      <c r="P851" s="3"/>
    </row>
    <row r="852" spans="1:16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16"/>
      <c r="K852" s="3"/>
      <c r="L852" s="3"/>
      <c r="M852" s="3"/>
      <c r="N852" s="3"/>
      <c r="O852" s="3"/>
      <c r="P852" s="3"/>
    </row>
    <row r="853" spans="1:16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16"/>
      <c r="K853" s="3"/>
      <c r="L853" s="3"/>
      <c r="M853" s="3"/>
      <c r="N853" s="3"/>
      <c r="O853" s="3"/>
      <c r="P853" s="3"/>
    </row>
    <row r="854" spans="1:16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16"/>
      <c r="K854" s="3"/>
      <c r="L854" s="3"/>
      <c r="M854" s="3"/>
      <c r="N854" s="3"/>
      <c r="O854" s="3"/>
      <c r="P854" s="3"/>
    </row>
    <row r="855" spans="1:16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16"/>
      <c r="K855" s="3"/>
      <c r="L855" s="3"/>
      <c r="M855" s="3"/>
      <c r="N855" s="3"/>
      <c r="O855" s="3"/>
      <c r="P855" s="3"/>
    </row>
    <row r="856" spans="1:16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16"/>
      <c r="K856" s="3"/>
      <c r="L856" s="3"/>
      <c r="M856" s="3"/>
      <c r="N856" s="3"/>
      <c r="O856" s="3"/>
      <c r="P856" s="3"/>
    </row>
    <row r="857" spans="1:16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16"/>
      <c r="K857" s="3"/>
      <c r="L857" s="3"/>
      <c r="M857" s="3"/>
      <c r="N857" s="3"/>
      <c r="O857" s="3"/>
      <c r="P857" s="3"/>
    </row>
    <row r="858" spans="1:16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16"/>
      <c r="K858" s="3"/>
      <c r="L858" s="3"/>
      <c r="M858" s="3"/>
      <c r="N858" s="3"/>
      <c r="O858" s="3"/>
      <c r="P858" s="3"/>
    </row>
    <row r="859" spans="1:16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16"/>
      <c r="K859" s="3"/>
      <c r="L859" s="3"/>
      <c r="M859" s="3"/>
      <c r="N859" s="3"/>
      <c r="O859" s="3"/>
      <c r="P859" s="3"/>
    </row>
    <row r="860" spans="1:16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16"/>
      <c r="K860" s="3"/>
      <c r="L860" s="3"/>
      <c r="M860" s="3"/>
      <c r="N860" s="3"/>
      <c r="O860" s="3"/>
      <c r="P860" s="3"/>
    </row>
    <row r="861" spans="1:16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16"/>
      <c r="K861" s="3"/>
      <c r="L861" s="3"/>
      <c r="M861" s="3"/>
      <c r="N861" s="3"/>
      <c r="O861" s="3"/>
      <c r="P861" s="3"/>
    </row>
    <row r="862" spans="1:16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16"/>
      <c r="K862" s="3"/>
      <c r="L862" s="3"/>
      <c r="M862" s="3"/>
      <c r="N862" s="3"/>
      <c r="O862" s="3"/>
      <c r="P862" s="3"/>
    </row>
    <row r="863" spans="1:16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16"/>
      <c r="K863" s="3"/>
      <c r="L863" s="3"/>
      <c r="M863" s="3"/>
      <c r="N863" s="3"/>
      <c r="O863" s="3"/>
      <c r="P863" s="3"/>
    </row>
    <row r="864" spans="1:16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16"/>
      <c r="K864" s="3"/>
      <c r="L864" s="3"/>
      <c r="M864" s="3"/>
      <c r="N864" s="3"/>
      <c r="O864" s="3"/>
      <c r="P864" s="3"/>
    </row>
    <row r="865" spans="1:16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16"/>
      <c r="K865" s="3"/>
      <c r="L865" s="3"/>
      <c r="M865" s="3"/>
      <c r="N865" s="3"/>
      <c r="O865" s="3"/>
      <c r="P865" s="3"/>
    </row>
    <row r="866" spans="1:16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16"/>
      <c r="K866" s="3"/>
      <c r="L866" s="3"/>
      <c r="M866" s="3"/>
      <c r="N866" s="3"/>
      <c r="O866" s="3"/>
      <c r="P866" s="3"/>
    </row>
    <row r="867" spans="1:16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16"/>
      <c r="K867" s="3"/>
      <c r="L867" s="3"/>
      <c r="M867" s="3"/>
      <c r="N867" s="3"/>
      <c r="O867" s="3"/>
      <c r="P867" s="3"/>
    </row>
    <row r="868" spans="1:16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16"/>
      <c r="K868" s="3"/>
      <c r="L868" s="3"/>
      <c r="M868" s="3"/>
      <c r="N868" s="3"/>
      <c r="O868" s="3"/>
      <c r="P868" s="3"/>
    </row>
    <row r="869" spans="1:16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16"/>
      <c r="K869" s="3"/>
      <c r="L869" s="3"/>
      <c r="M869" s="3"/>
      <c r="N869" s="3"/>
      <c r="O869" s="3"/>
      <c r="P869" s="3"/>
    </row>
    <row r="870" spans="1:16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16"/>
      <c r="K870" s="3"/>
      <c r="L870" s="3"/>
      <c r="M870" s="3"/>
      <c r="N870" s="3"/>
      <c r="O870" s="3"/>
      <c r="P870" s="3"/>
    </row>
    <row r="871" spans="1:16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16"/>
      <c r="K871" s="3"/>
      <c r="L871" s="3"/>
      <c r="M871" s="3"/>
      <c r="N871" s="3"/>
      <c r="O871" s="3"/>
      <c r="P871" s="3"/>
    </row>
    <row r="872" spans="1:16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16"/>
      <c r="K872" s="3"/>
      <c r="L872" s="3"/>
      <c r="M872" s="3"/>
      <c r="N872" s="3"/>
      <c r="O872" s="3"/>
      <c r="P872" s="3"/>
    </row>
    <row r="873" spans="1:16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16"/>
      <c r="K873" s="3"/>
      <c r="L873" s="3"/>
      <c r="M873" s="3"/>
      <c r="N873" s="3"/>
      <c r="O873" s="3"/>
      <c r="P873" s="3"/>
    </row>
    <row r="874" spans="1:16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16"/>
      <c r="K874" s="3"/>
      <c r="L874" s="3"/>
      <c r="M874" s="3"/>
      <c r="N874" s="3"/>
      <c r="O874" s="3"/>
      <c r="P874" s="3"/>
    </row>
    <row r="875" spans="1:16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16"/>
      <c r="K875" s="3"/>
      <c r="L875" s="3"/>
      <c r="M875" s="3"/>
      <c r="N875" s="3"/>
      <c r="O875" s="3"/>
      <c r="P875" s="3"/>
    </row>
    <row r="876" spans="1:16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16"/>
      <c r="K876" s="3"/>
      <c r="L876" s="3"/>
      <c r="M876" s="3"/>
      <c r="N876" s="3"/>
      <c r="O876" s="3"/>
      <c r="P876" s="3"/>
    </row>
    <row r="877" spans="1:16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16"/>
      <c r="K877" s="3"/>
      <c r="L877" s="3"/>
      <c r="M877" s="3"/>
      <c r="N877" s="3"/>
      <c r="O877" s="3"/>
      <c r="P877" s="3"/>
    </row>
    <row r="878" spans="1:16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16"/>
      <c r="K878" s="3"/>
      <c r="L878" s="3"/>
      <c r="M878" s="3"/>
      <c r="N878" s="3"/>
      <c r="O878" s="3"/>
      <c r="P878" s="3"/>
    </row>
    <row r="879" spans="1:16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16"/>
      <c r="K879" s="3"/>
      <c r="L879" s="3"/>
      <c r="M879" s="3"/>
      <c r="N879" s="3"/>
      <c r="O879" s="3"/>
      <c r="P879" s="3"/>
    </row>
    <row r="880" spans="1:16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16"/>
      <c r="K880" s="3"/>
      <c r="L880" s="3"/>
      <c r="M880" s="3"/>
      <c r="N880" s="3"/>
      <c r="O880" s="3"/>
      <c r="P880" s="3"/>
    </row>
    <row r="881" spans="1:16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16"/>
      <c r="K881" s="3"/>
      <c r="L881" s="3"/>
      <c r="M881" s="3"/>
      <c r="N881" s="3"/>
      <c r="O881" s="3"/>
      <c r="P881" s="3"/>
    </row>
    <row r="882" spans="1:16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16"/>
      <c r="K882" s="3"/>
      <c r="L882" s="3"/>
      <c r="M882" s="3"/>
      <c r="N882" s="3"/>
      <c r="O882" s="3"/>
      <c r="P882" s="3"/>
    </row>
    <row r="883" spans="1:16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16"/>
      <c r="K883" s="3"/>
      <c r="L883" s="3"/>
      <c r="M883" s="3"/>
      <c r="N883" s="3"/>
      <c r="O883" s="3"/>
      <c r="P883" s="3"/>
    </row>
    <row r="884" spans="1:16" ht="1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16"/>
      <c r="K884" s="3"/>
      <c r="L884" s="3"/>
      <c r="M884" s="3"/>
      <c r="N884" s="3"/>
      <c r="O884" s="3"/>
      <c r="P884" s="3"/>
    </row>
    <row r="885" spans="1:16" ht="1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16"/>
      <c r="K885" s="3"/>
      <c r="L885" s="3"/>
      <c r="M885" s="3"/>
      <c r="N885" s="3"/>
      <c r="O885" s="3"/>
      <c r="P885" s="3"/>
    </row>
    <row r="886" spans="1:16" ht="1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16"/>
      <c r="K886" s="3"/>
      <c r="L886" s="3"/>
      <c r="M886" s="3"/>
      <c r="N886" s="3"/>
      <c r="O886" s="3"/>
      <c r="P886" s="3"/>
    </row>
    <row r="887" spans="1:16" ht="1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16"/>
      <c r="K887" s="3"/>
      <c r="L887" s="3"/>
      <c r="M887" s="3"/>
      <c r="N887" s="3"/>
      <c r="O887" s="3"/>
      <c r="P887" s="3"/>
    </row>
    <row r="888" spans="1:16" ht="1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16"/>
      <c r="K888" s="3"/>
      <c r="L888" s="3"/>
      <c r="M888" s="3"/>
      <c r="N888" s="3"/>
      <c r="O888" s="3"/>
      <c r="P888" s="3"/>
    </row>
    <row r="889" spans="1:16" ht="1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16"/>
      <c r="K889" s="3"/>
      <c r="L889" s="3"/>
      <c r="M889" s="3"/>
      <c r="N889" s="3"/>
      <c r="O889" s="3"/>
      <c r="P889" s="3"/>
    </row>
    <row r="890" spans="1:16" ht="1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16"/>
      <c r="K890" s="3"/>
      <c r="L890" s="3"/>
      <c r="M890" s="3"/>
      <c r="N890" s="3"/>
      <c r="O890" s="3"/>
      <c r="P890" s="3"/>
    </row>
    <row r="891" spans="1:16" ht="1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16"/>
      <c r="K891" s="3"/>
      <c r="L891" s="3"/>
      <c r="M891" s="3"/>
      <c r="N891" s="3"/>
      <c r="O891" s="3"/>
      <c r="P891" s="3"/>
    </row>
    <row r="892" spans="1:16" ht="1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16"/>
      <c r="K892" s="3"/>
      <c r="L892" s="3"/>
      <c r="M892" s="3"/>
      <c r="N892" s="3"/>
      <c r="O892" s="3"/>
      <c r="P892" s="3"/>
    </row>
    <row r="893" spans="1:16" ht="1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16"/>
      <c r="K893" s="3"/>
      <c r="L893" s="3"/>
      <c r="M893" s="3"/>
      <c r="N893" s="3"/>
      <c r="O893" s="3"/>
      <c r="P893" s="3"/>
    </row>
    <row r="894" spans="1:16" ht="1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16"/>
      <c r="K894" s="3"/>
      <c r="L894" s="3"/>
      <c r="M894" s="3"/>
      <c r="N894" s="3"/>
      <c r="O894" s="3"/>
      <c r="P894" s="3"/>
    </row>
    <row r="895" spans="1:16" ht="1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16"/>
      <c r="K895" s="3"/>
      <c r="L895" s="3"/>
      <c r="M895" s="3"/>
      <c r="N895" s="3"/>
      <c r="O895" s="3"/>
      <c r="P895" s="3"/>
    </row>
    <row r="896" spans="1:16" ht="1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16"/>
      <c r="K896" s="3"/>
      <c r="L896" s="3"/>
      <c r="M896" s="3"/>
      <c r="N896" s="3"/>
      <c r="O896" s="3"/>
      <c r="P896" s="3"/>
    </row>
    <row r="897" spans="1:16" ht="1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16"/>
      <c r="K897" s="3"/>
      <c r="L897" s="3"/>
      <c r="M897" s="3"/>
      <c r="N897" s="3"/>
      <c r="O897" s="3"/>
      <c r="P897" s="3"/>
    </row>
    <row r="898" spans="1:16" ht="1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16"/>
      <c r="K898" s="3"/>
      <c r="L898" s="3"/>
      <c r="M898" s="3"/>
      <c r="N898" s="3"/>
      <c r="O898" s="3"/>
      <c r="P898" s="3"/>
    </row>
    <row r="899" spans="1:16" ht="1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16"/>
      <c r="K899" s="3"/>
      <c r="L899" s="3"/>
      <c r="M899" s="3"/>
      <c r="N899" s="3"/>
      <c r="O899" s="3"/>
      <c r="P899" s="3"/>
    </row>
    <row r="900" spans="1:16" ht="1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16"/>
      <c r="K900" s="3"/>
      <c r="L900" s="3"/>
      <c r="M900" s="3"/>
      <c r="N900" s="3"/>
      <c r="O900" s="3"/>
      <c r="P900" s="3"/>
    </row>
    <row r="901" spans="1:16" ht="1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16"/>
      <c r="K901" s="3"/>
      <c r="L901" s="3"/>
      <c r="M901" s="3"/>
      <c r="N901" s="3"/>
      <c r="O901" s="3"/>
      <c r="P901" s="3"/>
    </row>
    <row r="902" spans="1:16" ht="1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16"/>
      <c r="K902" s="3"/>
      <c r="L902" s="3"/>
      <c r="M902" s="3"/>
      <c r="N902" s="3"/>
      <c r="O902" s="3"/>
      <c r="P902" s="3"/>
    </row>
    <row r="903" spans="1:16" ht="1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16"/>
      <c r="K903" s="3"/>
      <c r="L903" s="3"/>
      <c r="M903" s="3"/>
      <c r="N903" s="3"/>
      <c r="O903" s="3"/>
      <c r="P903" s="3"/>
    </row>
    <row r="904" spans="1:16" ht="1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16"/>
      <c r="K904" s="3"/>
      <c r="L904" s="3"/>
      <c r="M904" s="3"/>
      <c r="N904" s="3"/>
      <c r="O904" s="3"/>
      <c r="P904" s="3"/>
    </row>
    <row r="905" spans="1:16" ht="1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16"/>
      <c r="K905" s="3"/>
      <c r="L905" s="3"/>
      <c r="M905" s="3"/>
      <c r="N905" s="3"/>
      <c r="O905" s="3"/>
      <c r="P905" s="3"/>
    </row>
    <row r="906" spans="1:16" ht="1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16"/>
      <c r="K906" s="3"/>
      <c r="L906" s="3"/>
      <c r="M906" s="3"/>
      <c r="N906" s="3"/>
      <c r="O906" s="3"/>
      <c r="P906" s="3"/>
    </row>
    <row r="907" spans="1:16" ht="1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16"/>
      <c r="K907" s="3"/>
      <c r="L907" s="3"/>
      <c r="M907" s="3"/>
      <c r="N907" s="3"/>
      <c r="O907" s="3"/>
      <c r="P907" s="3"/>
    </row>
    <row r="908" spans="1:16" ht="1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16"/>
      <c r="K908" s="3"/>
      <c r="L908" s="3"/>
      <c r="M908" s="3"/>
      <c r="N908" s="3"/>
      <c r="O908" s="3"/>
      <c r="P908" s="3"/>
    </row>
    <row r="909" spans="1:16" ht="1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16"/>
      <c r="K909" s="3"/>
      <c r="L909" s="3"/>
      <c r="M909" s="3"/>
      <c r="N909" s="3"/>
      <c r="O909" s="3"/>
      <c r="P909" s="3"/>
    </row>
  </sheetData>
  <sortState xmlns:xlrd2="http://schemas.microsoft.com/office/spreadsheetml/2017/richdata2" ref="A2:P147">
    <sortCondition ref="H2:H1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5D96-EFE0-44DC-B434-940C5B151576}">
  <dimension ref="A1:C146"/>
  <sheetViews>
    <sheetView workbookViewId="0">
      <selection activeCell="C1" sqref="C1:C146"/>
    </sheetView>
  </sheetViews>
  <sheetFormatPr defaultRowHeight="12.75" x14ac:dyDescent="0.2"/>
  <cols>
    <col min="3" max="3" width="17.28515625" bestFit="1" customWidth="1"/>
  </cols>
  <sheetData>
    <row r="1" spans="1:3" ht="15" x14ac:dyDescent="0.25">
      <c r="A1" s="4" t="s">
        <v>138</v>
      </c>
      <c r="B1" t="s">
        <v>139</v>
      </c>
      <c r="C1" t="str">
        <f>CONCATENATE(A1, " ",B1)</f>
        <v>Crystal Wierbowski</v>
      </c>
    </row>
    <row r="2" spans="1:3" ht="15" x14ac:dyDescent="0.25">
      <c r="A2" s="4" t="s">
        <v>138</v>
      </c>
      <c r="B2" t="s">
        <v>139</v>
      </c>
      <c r="C2" t="str">
        <f t="shared" ref="C2:C65" si="0">CONCATENATE(A2, " ",B2)</f>
        <v>Crystal Wierbowski</v>
      </c>
    </row>
    <row r="3" spans="1:3" ht="15" x14ac:dyDescent="0.25">
      <c r="A3" s="4" t="s">
        <v>138</v>
      </c>
      <c r="B3" t="s">
        <v>139</v>
      </c>
      <c r="C3" t="str">
        <f t="shared" si="0"/>
        <v>Crystal Wierbowski</v>
      </c>
    </row>
    <row r="4" spans="1:3" ht="15" x14ac:dyDescent="0.25">
      <c r="A4" s="4" t="s">
        <v>140</v>
      </c>
      <c r="B4" t="s">
        <v>141</v>
      </c>
      <c r="C4" t="str">
        <f t="shared" si="0"/>
        <v>Brian Brennan</v>
      </c>
    </row>
    <row r="5" spans="1:3" ht="15" x14ac:dyDescent="0.25">
      <c r="A5" s="4" t="s">
        <v>140</v>
      </c>
      <c r="B5" t="s">
        <v>141</v>
      </c>
      <c r="C5" t="str">
        <f t="shared" si="0"/>
        <v>Brian Brennan</v>
      </c>
    </row>
    <row r="6" spans="1:3" ht="15" x14ac:dyDescent="0.25">
      <c r="A6" s="4" t="s">
        <v>142</v>
      </c>
      <c r="B6" t="s">
        <v>143</v>
      </c>
      <c r="C6" t="str">
        <f t="shared" si="0"/>
        <v>Bonnie Orwan</v>
      </c>
    </row>
    <row r="7" spans="1:3" ht="15" x14ac:dyDescent="0.25">
      <c r="A7" s="4" t="s">
        <v>144</v>
      </c>
      <c r="B7" t="s">
        <v>145</v>
      </c>
      <c r="C7" t="str">
        <f t="shared" si="0"/>
        <v>Jamie Orris</v>
      </c>
    </row>
    <row r="8" spans="1:3" ht="15" x14ac:dyDescent="0.25">
      <c r="A8" s="4" t="s">
        <v>144</v>
      </c>
      <c r="B8" t="s">
        <v>145</v>
      </c>
      <c r="C8" t="str">
        <f t="shared" si="0"/>
        <v>Jamie Orris</v>
      </c>
    </row>
    <row r="9" spans="1:3" ht="15" x14ac:dyDescent="0.25">
      <c r="A9" s="4" t="s">
        <v>144</v>
      </c>
      <c r="B9" t="s">
        <v>145</v>
      </c>
      <c r="C9" t="str">
        <f t="shared" si="0"/>
        <v>Jamie Orris</v>
      </c>
    </row>
    <row r="10" spans="1:3" ht="15" x14ac:dyDescent="0.25">
      <c r="A10" s="4" t="s">
        <v>142</v>
      </c>
      <c r="B10" t="s">
        <v>143</v>
      </c>
      <c r="C10" t="str">
        <f t="shared" si="0"/>
        <v>Bonnie Orwan</v>
      </c>
    </row>
    <row r="11" spans="1:3" ht="15" x14ac:dyDescent="0.25">
      <c r="A11" s="4" t="s">
        <v>146</v>
      </c>
      <c r="B11" t="s">
        <v>147</v>
      </c>
      <c r="C11" t="str">
        <f t="shared" si="0"/>
        <v>Susan Ruby</v>
      </c>
    </row>
    <row r="12" spans="1:3" ht="15" x14ac:dyDescent="0.25">
      <c r="A12" s="4" t="s">
        <v>148</v>
      </c>
      <c r="B12" t="s">
        <v>149</v>
      </c>
      <c r="C12" t="str">
        <f t="shared" si="0"/>
        <v>Suzanne Nafus</v>
      </c>
    </row>
    <row r="13" spans="1:3" ht="15" x14ac:dyDescent="0.25">
      <c r="A13" s="4" t="s">
        <v>150</v>
      </c>
      <c r="B13" t="s">
        <v>151</v>
      </c>
      <c r="C13" t="str">
        <f t="shared" si="0"/>
        <v>Tiffany Ritter</v>
      </c>
    </row>
    <row r="14" spans="1:3" ht="15" x14ac:dyDescent="0.25">
      <c r="A14" s="4" t="s">
        <v>152</v>
      </c>
      <c r="B14" t="s">
        <v>153</v>
      </c>
      <c r="C14" t="str">
        <f t="shared" si="0"/>
        <v>Rita Smith</v>
      </c>
    </row>
    <row r="15" spans="1:3" ht="15" x14ac:dyDescent="0.25">
      <c r="A15" s="4" t="s">
        <v>154</v>
      </c>
      <c r="B15" t="s">
        <v>155</v>
      </c>
      <c r="C15" t="str">
        <f t="shared" si="0"/>
        <v>Derek Jackson</v>
      </c>
    </row>
    <row r="16" spans="1:3" ht="15" x14ac:dyDescent="0.25">
      <c r="A16" s="4" t="s">
        <v>156</v>
      </c>
      <c r="B16" t="s">
        <v>157</v>
      </c>
      <c r="C16" t="str">
        <f t="shared" si="0"/>
        <v>Marybeth Riter</v>
      </c>
    </row>
    <row r="17" spans="1:3" ht="15" x14ac:dyDescent="0.25">
      <c r="A17" s="4" t="s">
        <v>158</v>
      </c>
      <c r="B17" t="s">
        <v>159</v>
      </c>
      <c r="C17" t="str">
        <f t="shared" si="0"/>
        <v>Kayden Walschburger</v>
      </c>
    </row>
    <row r="18" spans="1:3" ht="15" x14ac:dyDescent="0.25">
      <c r="A18" s="4" t="s">
        <v>160</v>
      </c>
      <c r="B18" t="s">
        <v>161</v>
      </c>
      <c r="C18" t="str">
        <f t="shared" si="0"/>
        <v>Donna Steffy</v>
      </c>
    </row>
    <row r="19" spans="1:3" ht="15" x14ac:dyDescent="0.25">
      <c r="A19" s="4" t="s">
        <v>162</v>
      </c>
      <c r="B19" t="s">
        <v>163</v>
      </c>
      <c r="C19" t="str">
        <f t="shared" si="0"/>
        <v>Carol Tegyi</v>
      </c>
    </row>
    <row r="20" spans="1:3" ht="15" x14ac:dyDescent="0.25">
      <c r="A20" s="4" t="s">
        <v>164</v>
      </c>
      <c r="B20" t="s">
        <v>165</v>
      </c>
      <c r="C20" t="str">
        <f t="shared" si="0"/>
        <v>Rosella Moll</v>
      </c>
    </row>
    <row r="21" spans="1:3" ht="15" x14ac:dyDescent="0.25">
      <c r="A21" s="4" t="s">
        <v>166</v>
      </c>
      <c r="B21" t="s">
        <v>167</v>
      </c>
      <c r="C21" t="str">
        <f t="shared" si="0"/>
        <v>Evelyn Moehring</v>
      </c>
    </row>
    <row r="22" spans="1:3" ht="15" x14ac:dyDescent="0.25">
      <c r="A22" s="4" t="s">
        <v>168</v>
      </c>
      <c r="B22" t="s">
        <v>169</v>
      </c>
      <c r="C22" t="str">
        <f t="shared" si="0"/>
        <v>Jaclyn Bristel</v>
      </c>
    </row>
    <row r="23" spans="1:3" ht="15" x14ac:dyDescent="0.25">
      <c r="A23" s="4" t="s">
        <v>170</v>
      </c>
      <c r="B23" t="s">
        <v>171</v>
      </c>
      <c r="C23" t="str">
        <f t="shared" si="0"/>
        <v>Valerie Soto</v>
      </c>
    </row>
    <row r="24" spans="1:3" ht="15" x14ac:dyDescent="0.25">
      <c r="A24" s="4" t="s">
        <v>172</v>
      </c>
      <c r="B24" t="s">
        <v>173</v>
      </c>
      <c r="C24" t="str">
        <f t="shared" si="0"/>
        <v>Dalvinder Matharu</v>
      </c>
    </row>
    <row r="25" spans="1:3" ht="15" x14ac:dyDescent="0.25">
      <c r="A25" s="4" t="s">
        <v>174</v>
      </c>
      <c r="B25" t="s">
        <v>175</v>
      </c>
      <c r="C25" t="str">
        <f t="shared" si="0"/>
        <v>Leila Ojeil</v>
      </c>
    </row>
    <row r="26" spans="1:3" ht="15" x14ac:dyDescent="0.25">
      <c r="A26" s="4" t="s">
        <v>154</v>
      </c>
      <c r="B26" t="s">
        <v>155</v>
      </c>
      <c r="C26" t="str">
        <f t="shared" si="0"/>
        <v>Derek Jackson</v>
      </c>
    </row>
    <row r="27" spans="1:3" ht="15" x14ac:dyDescent="0.25">
      <c r="A27" s="4" t="s">
        <v>148</v>
      </c>
      <c r="B27" t="s">
        <v>149</v>
      </c>
      <c r="C27" t="str">
        <f t="shared" si="0"/>
        <v>Suzanne Nafus</v>
      </c>
    </row>
    <row r="28" spans="1:3" ht="15" x14ac:dyDescent="0.25">
      <c r="A28" s="4" t="s">
        <v>150</v>
      </c>
      <c r="B28" t="s">
        <v>151</v>
      </c>
      <c r="C28" t="str">
        <f t="shared" si="0"/>
        <v>Tiffany Ritter</v>
      </c>
    </row>
    <row r="29" spans="1:3" ht="15" x14ac:dyDescent="0.25">
      <c r="A29" s="4" t="s">
        <v>158</v>
      </c>
      <c r="B29" t="s">
        <v>159</v>
      </c>
      <c r="C29" t="str">
        <f t="shared" si="0"/>
        <v>Kayden Walschburger</v>
      </c>
    </row>
    <row r="30" spans="1:3" ht="15" x14ac:dyDescent="0.25">
      <c r="A30" s="4" t="s">
        <v>160</v>
      </c>
      <c r="B30" t="s">
        <v>161</v>
      </c>
      <c r="C30" t="str">
        <f t="shared" si="0"/>
        <v>Donna Steffy</v>
      </c>
    </row>
    <row r="31" spans="1:3" ht="15" x14ac:dyDescent="0.25">
      <c r="A31" s="4" t="s">
        <v>152</v>
      </c>
      <c r="B31" t="s">
        <v>153</v>
      </c>
      <c r="C31" t="str">
        <f t="shared" si="0"/>
        <v>Rita Smith</v>
      </c>
    </row>
    <row r="32" spans="1:3" ht="15" x14ac:dyDescent="0.25">
      <c r="A32" s="4" t="s">
        <v>166</v>
      </c>
      <c r="B32" t="s">
        <v>167</v>
      </c>
      <c r="C32" t="str">
        <f t="shared" si="0"/>
        <v>Evelyn Moehring</v>
      </c>
    </row>
    <row r="33" spans="1:3" ht="15" x14ac:dyDescent="0.25">
      <c r="A33" s="4" t="s">
        <v>164</v>
      </c>
      <c r="B33" t="s">
        <v>165</v>
      </c>
      <c r="C33" t="str">
        <f t="shared" si="0"/>
        <v>Rosella Moll</v>
      </c>
    </row>
    <row r="34" spans="1:3" ht="15" x14ac:dyDescent="0.25">
      <c r="A34" s="4" t="s">
        <v>170</v>
      </c>
      <c r="B34" t="s">
        <v>171</v>
      </c>
      <c r="C34" t="str">
        <f t="shared" si="0"/>
        <v>Valerie Soto</v>
      </c>
    </row>
    <row r="35" spans="1:3" ht="15" x14ac:dyDescent="0.25">
      <c r="A35" s="4" t="s">
        <v>174</v>
      </c>
      <c r="B35" t="s">
        <v>175</v>
      </c>
      <c r="C35" t="str">
        <f t="shared" si="0"/>
        <v>Leila Ojeil</v>
      </c>
    </row>
    <row r="36" spans="1:3" ht="15" x14ac:dyDescent="0.25">
      <c r="A36" s="4" t="s">
        <v>156</v>
      </c>
      <c r="B36" t="s">
        <v>157</v>
      </c>
      <c r="C36" t="str">
        <f t="shared" si="0"/>
        <v>Marybeth Riter</v>
      </c>
    </row>
    <row r="37" spans="1:3" ht="15" x14ac:dyDescent="0.25">
      <c r="A37" s="4" t="s">
        <v>168</v>
      </c>
      <c r="B37" t="s">
        <v>169</v>
      </c>
      <c r="C37" t="str">
        <f t="shared" si="0"/>
        <v>Jaclyn Bristel</v>
      </c>
    </row>
    <row r="38" spans="1:3" ht="15" x14ac:dyDescent="0.25">
      <c r="A38" s="4" t="s">
        <v>172</v>
      </c>
      <c r="B38" t="s">
        <v>173</v>
      </c>
      <c r="C38" t="str">
        <f t="shared" si="0"/>
        <v>Dalvinder Matharu</v>
      </c>
    </row>
    <row r="39" spans="1:3" ht="15" x14ac:dyDescent="0.25">
      <c r="A39" s="4" t="s">
        <v>176</v>
      </c>
      <c r="B39" t="s">
        <v>177</v>
      </c>
      <c r="C39" t="str">
        <f t="shared" si="0"/>
        <v>Jeffrey Sensenig</v>
      </c>
    </row>
    <row r="40" spans="1:3" ht="15" x14ac:dyDescent="0.25">
      <c r="A40" s="4" t="s">
        <v>178</v>
      </c>
      <c r="B40" t="s">
        <v>179</v>
      </c>
      <c r="C40" t="str">
        <f t="shared" si="0"/>
        <v>John Gajewski</v>
      </c>
    </row>
    <row r="41" spans="1:3" ht="15" x14ac:dyDescent="0.25">
      <c r="A41" s="4" t="s">
        <v>178</v>
      </c>
      <c r="B41" t="s">
        <v>179</v>
      </c>
      <c r="C41" t="str">
        <f t="shared" si="0"/>
        <v>John Gajewski</v>
      </c>
    </row>
    <row r="42" spans="1:3" ht="15" x14ac:dyDescent="0.25">
      <c r="A42" s="4" t="s">
        <v>180</v>
      </c>
      <c r="B42" t="s">
        <v>181</v>
      </c>
      <c r="C42" t="str">
        <f t="shared" si="0"/>
        <v>Lorraine Port</v>
      </c>
    </row>
    <row r="43" spans="1:3" ht="15" x14ac:dyDescent="0.25">
      <c r="A43" s="4" t="s">
        <v>182</v>
      </c>
      <c r="B43" t="s">
        <v>183</v>
      </c>
      <c r="C43" t="str">
        <f t="shared" si="0"/>
        <v>Jody Minium</v>
      </c>
    </row>
    <row r="44" spans="1:3" ht="15" x14ac:dyDescent="0.25">
      <c r="A44" s="4" t="s">
        <v>182</v>
      </c>
      <c r="B44" t="s">
        <v>183</v>
      </c>
      <c r="C44" t="str">
        <f t="shared" si="0"/>
        <v>Jody Minium</v>
      </c>
    </row>
    <row r="45" spans="1:3" ht="15" x14ac:dyDescent="0.25">
      <c r="A45" s="4" t="s">
        <v>184</v>
      </c>
      <c r="B45" t="s">
        <v>185</v>
      </c>
      <c r="C45" t="str">
        <f t="shared" si="0"/>
        <v>Randy Corbin</v>
      </c>
    </row>
    <row r="46" spans="1:3" ht="15" x14ac:dyDescent="0.25">
      <c r="A46" s="4" t="s">
        <v>178</v>
      </c>
      <c r="B46" t="s">
        <v>179</v>
      </c>
      <c r="C46" t="str">
        <f t="shared" si="0"/>
        <v>John Gajewski</v>
      </c>
    </row>
    <row r="47" spans="1:3" ht="15" x14ac:dyDescent="0.25">
      <c r="A47" s="4" t="s">
        <v>180</v>
      </c>
      <c r="B47" t="s">
        <v>181</v>
      </c>
      <c r="C47" t="str">
        <f t="shared" si="0"/>
        <v>Lorraine Port</v>
      </c>
    </row>
    <row r="48" spans="1:3" ht="15" x14ac:dyDescent="0.25">
      <c r="A48" s="4" t="s">
        <v>176</v>
      </c>
      <c r="B48" t="s">
        <v>177</v>
      </c>
      <c r="C48" t="str">
        <f t="shared" si="0"/>
        <v>Jeffrey Sensenig</v>
      </c>
    </row>
    <row r="49" spans="1:3" ht="15" x14ac:dyDescent="0.25">
      <c r="A49" s="4" t="s">
        <v>182</v>
      </c>
      <c r="B49" t="s">
        <v>183</v>
      </c>
      <c r="C49" t="str">
        <f t="shared" si="0"/>
        <v>Jody Minium</v>
      </c>
    </row>
    <row r="50" spans="1:3" ht="15" x14ac:dyDescent="0.25">
      <c r="A50" s="4" t="s">
        <v>184</v>
      </c>
      <c r="B50" t="s">
        <v>185</v>
      </c>
      <c r="C50" t="str">
        <f t="shared" si="0"/>
        <v>Randy Corbin</v>
      </c>
    </row>
    <row r="51" spans="1:3" ht="15" x14ac:dyDescent="0.25">
      <c r="A51" s="4" t="s">
        <v>182</v>
      </c>
      <c r="B51" t="s">
        <v>186</v>
      </c>
      <c r="C51" t="str">
        <f t="shared" si="0"/>
        <v>Jody Rudewicz</v>
      </c>
    </row>
    <row r="52" spans="1:3" ht="15" x14ac:dyDescent="0.25">
      <c r="A52" s="4" t="s">
        <v>160</v>
      </c>
      <c r="B52" t="s">
        <v>187</v>
      </c>
      <c r="C52" t="str">
        <f t="shared" si="0"/>
        <v>Donna Ganzermiller</v>
      </c>
    </row>
    <row r="53" spans="1:3" ht="15" x14ac:dyDescent="0.25">
      <c r="A53" s="4" t="s">
        <v>182</v>
      </c>
      <c r="B53" t="s">
        <v>186</v>
      </c>
      <c r="C53" t="str">
        <f t="shared" si="0"/>
        <v>Jody Rudewicz</v>
      </c>
    </row>
    <row r="54" spans="1:3" ht="15" x14ac:dyDescent="0.25">
      <c r="A54" s="4" t="s">
        <v>160</v>
      </c>
      <c r="B54" t="s">
        <v>187</v>
      </c>
      <c r="C54" t="str">
        <f t="shared" si="0"/>
        <v>Donna Ganzermiller</v>
      </c>
    </row>
    <row r="55" spans="1:3" ht="15" x14ac:dyDescent="0.25">
      <c r="A55" s="4" t="s">
        <v>188</v>
      </c>
      <c r="B55" t="s">
        <v>189</v>
      </c>
      <c r="C55" t="str">
        <f t="shared" si="0"/>
        <v>Rebecca Imhof</v>
      </c>
    </row>
    <row r="56" spans="1:3" ht="15" x14ac:dyDescent="0.25">
      <c r="A56" s="4" t="s">
        <v>188</v>
      </c>
      <c r="B56" t="s">
        <v>189</v>
      </c>
      <c r="C56" t="str">
        <f t="shared" si="0"/>
        <v>Rebecca Imhof</v>
      </c>
    </row>
    <row r="57" spans="1:3" ht="15" x14ac:dyDescent="0.25">
      <c r="A57" s="4" t="s">
        <v>188</v>
      </c>
      <c r="B57" t="s">
        <v>189</v>
      </c>
      <c r="C57" t="str">
        <f t="shared" si="0"/>
        <v>Rebecca Imhof</v>
      </c>
    </row>
    <row r="58" spans="1:3" ht="15" x14ac:dyDescent="0.25">
      <c r="A58" s="4" t="s">
        <v>188</v>
      </c>
      <c r="B58" t="s">
        <v>189</v>
      </c>
      <c r="C58" t="str">
        <f t="shared" si="0"/>
        <v>Rebecca Imhof</v>
      </c>
    </row>
    <row r="59" spans="1:3" ht="15" x14ac:dyDescent="0.25">
      <c r="A59" s="4" t="s">
        <v>188</v>
      </c>
      <c r="B59" t="s">
        <v>189</v>
      </c>
      <c r="C59" t="str">
        <f t="shared" si="0"/>
        <v>Rebecca Imhof</v>
      </c>
    </row>
    <row r="60" spans="1:3" ht="15" x14ac:dyDescent="0.25">
      <c r="A60" s="4" t="s">
        <v>188</v>
      </c>
      <c r="B60" t="s">
        <v>189</v>
      </c>
      <c r="C60" t="str">
        <f t="shared" si="0"/>
        <v>Rebecca Imhof</v>
      </c>
    </row>
    <row r="61" spans="1:3" ht="15" x14ac:dyDescent="0.25">
      <c r="A61" s="4" t="s">
        <v>188</v>
      </c>
      <c r="B61" t="s">
        <v>189</v>
      </c>
      <c r="C61" t="str">
        <f t="shared" si="0"/>
        <v>Rebecca Imhof</v>
      </c>
    </row>
    <row r="62" spans="1:3" ht="15" x14ac:dyDescent="0.25">
      <c r="A62" s="4" t="s">
        <v>188</v>
      </c>
      <c r="B62" t="s">
        <v>189</v>
      </c>
      <c r="C62" t="str">
        <f t="shared" si="0"/>
        <v>Rebecca Imhof</v>
      </c>
    </row>
    <row r="63" spans="1:3" ht="15" x14ac:dyDescent="0.25">
      <c r="A63" s="4" t="s">
        <v>188</v>
      </c>
      <c r="B63" t="s">
        <v>189</v>
      </c>
      <c r="C63" t="str">
        <f t="shared" si="0"/>
        <v>Rebecca Imhof</v>
      </c>
    </row>
    <row r="64" spans="1:3" ht="15" x14ac:dyDescent="0.25">
      <c r="A64" s="4" t="s">
        <v>188</v>
      </c>
      <c r="B64" t="s">
        <v>189</v>
      </c>
      <c r="C64" t="str">
        <f t="shared" si="0"/>
        <v>Rebecca Imhof</v>
      </c>
    </row>
    <row r="65" spans="1:3" ht="15" x14ac:dyDescent="0.25">
      <c r="A65" s="4" t="s">
        <v>188</v>
      </c>
      <c r="B65" t="s">
        <v>189</v>
      </c>
      <c r="C65" t="str">
        <f t="shared" si="0"/>
        <v>Rebecca Imhof</v>
      </c>
    </row>
    <row r="66" spans="1:3" ht="15" x14ac:dyDescent="0.25">
      <c r="A66" s="4" t="s">
        <v>190</v>
      </c>
      <c r="B66" t="s">
        <v>191</v>
      </c>
      <c r="C66" t="str">
        <f t="shared" ref="C66:C129" si="1">CONCATENATE(A66, " ",B66)</f>
        <v>Kimberly Ney</v>
      </c>
    </row>
    <row r="67" spans="1:3" ht="15" x14ac:dyDescent="0.25">
      <c r="A67" s="4" t="s">
        <v>192</v>
      </c>
      <c r="B67" t="s">
        <v>193</v>
      </c>
      <c r="C67" t="str">
        <f t="shared" si="1"/>
        <v>Timothy Lesher</v>
      </c>
    </row>
    <row r="68" spans="1:3" ht="15" x14ac:dyDescent="0.25">
      <c r="A68" s="4" t="s">
        <v>194</v>
      </c>
      <c r="B68" t="s">
        <v>195</v>
      </c>
      <c r="C68" t="str">
        <f t="shared" si="1"/>
        <v>Julie Ressler</v>
      </c>
    </row>
    <row r="69" spans="1:3" ht="15" x14ac:dyDescent="0.25">
      <c r="A69" s="4" t="s">
        <v>190</v>
      </c>
      <c r="B69" t="s">
        <v>191</v>
      </c>
      <c r="C69" t="str">
        <f t="shared" si="1"/>
        <v>Kimberly Ney</v>
      </c>
    </row>
    <row r="70" spans="1:3" ht="15" x14ac:dyDescent="0.25">
      <c r="A70" s="4" t="s">
        <v>194</v>
      </c>
      <c r="B70" t="s">
        <v>195</v>
      </c>
      <c r="C70" t="str">
        <f t="shared" si="1"/>
        <v>Julie Ressler</v>
      </c>
    </row>
    <row r="71" spans="1:3" ht="15" x14ac:dyDescent="0.25">
      <c r="A71" s="21" t="s">
        <v>138</v>
      </c>
      <c r="B71" t="s">
        <v>139</v>
      </c>
      <c r="C71" t="str">
        <f t="shared" si="1"/>
        <v>Crystal Wierbowski</v>
      </c>
    </row>
    <row r="72" spans="1:3" ht="15" x14ac:dyDescent="0.25">
      <c r="A72" s="21" t="s">
        <v>138</v>
      </c>
      <c r="B72" t="s">
        <v>139</v>
      </c>
      <c r="C72" t="str">
        <f t="shared" si="1"/>
        <v>Crystal Wierbowski</v>
      </c>
    </row>
    <row r="73" spans="1:3" ht="15" x14ac:dyDescent="0.25">
      <c r="A73" s="21" t="s">
        <v>138</v>
      </c>
      <c r="B73" t="s">
        <v>139</v>
      </c>
      <c r="C73" t="str">
        <f t="shared" si="1"/>
        <v>Crystal Wierbowski</v>
      </c>
    </row>
    <row r="74" spans="1:3" ht="15" x14ac:dyDescent="0.25">
      <c r="A74" s="21" t="s">
        <v>138</v>
      </c>
      <c r="B74" t="s">
        <v>139</v>
      </c>
      <c r="C74" t="str">
        <f t="shared" si="1"/>
        <v>Crystal Wierbowski</v>
      </c>
    </row>
    <row r="75" spans="1:3" ht="15" x14ac:dyDescent="0.25">
      <c r="A75" s="4" t="s">
        <v>196</v>
      </c>
      <c r="B75" t="s">
        <v>197</v>
      </c>
      <c r="C75" t="str">
        <f t="shared" si="1"/>
        <v>Robert Glass</v>
      </c>
    </row>
    <row r="76" spans="1:3" ht="15" x14ac:dyDescent="0.25">
      <c r="A76" s="4" t="s">
        <v>196</v>
      </c>
      <c r="B76" t="s">
        <v>197</v>
      </c>
      <c r="C76" t="str">
        <f t="shared" si="1"/>
        <v>Robert Glass</v>
      </c>
    </row>
    <row r="77" spans="1:3" ht="15" x14ac:dyDescent="0.25">
      <c r="A77" s="4" t="s">
        <v>198</v>
      </c>
      <c r="B77" t="s">
        <v>199</v>
      </c>
      <c r="C77" t="str">
        <f t="shared" si="1"/>
        <v>Carl Mertz</v>
      </c>
    </row>
    <row r="78" spans="1:3" ht="15" x14ac:dyDescent="0.25">
      <c r="A78" s="4" t="s">
        <v>200</v>
      </c>
      <c r="B78" t="s">
        <v>201</v>
      </c>
      <c r="C78" t="str">
        <f t="shared" si="1"/>
        <v>Jonathan Medina</v>
      </c>
    </row>
    <row r="79" spans="1:3" ht="15" x14ac:dyDescent="0.25">
      <c r="A79" s="4" t="s">
        <v>198</v>
      </c>
      <c r="B79" t="s">
        <v>199</v>
      </c>
      <c r="C79" t="str">
        <f t="shared" si="1"/>
        <v>Carl Mertz</v>
      </c>
    </row>
    <row r="80" spans="1:3" ht="15" x14ac:dyDescent="0.25">
      <c r="A80" s="4" t="s">
        <v>202</v>
      </c>
      <c r="B80" t="s">
        <v>203</v>
      </c>
      <c r="C80" t="str">
        <f t="shared" si="1"/>
        <v>James Heckenberger</v>
      </c>
    </row>
    <row r="81" spans="1:3" ht="15" x14ac:dyDescent="0.25">
      <c r="A81" s="4" t="s">
        <v>204</v>
      </c>
      <c r="B81" t="s">
        <v>151</v>
      </c>
      <c r="C81" t="str">
        <f t="shared" si="1"/>
        <v>Karen Ritter</v>
      </c>
    </row>
    <row r="82" spans="1:3" ht="15" x14ac:dyDescent="0.25">
      <c r="A82" s="4" t="s">
        <v>205</v>
      </c>
      <c r="B82" t="s">
        <v>206</v>
      </c>
      <c r="C82" t="str">
        <f t="shared" si="1"/>
        <v>Ryan Hertzog</v>
      </c>
    </row>
    <row r="83" spans="1:3" ht="15" x14ac:dyDescent="0.25">
      <c r="A83" s="4" t="s">
        <v>207</v>
      </c>
      <c r="B83" t="s">
        <v>208</v>
      </c>
      <c r="C83" t="str">
        <f t="shared" si="1"/>
        <v>William Baughman</v>
      </c>
    </row>
    <row r="84" spans="1:3" ht="15" x14ac:dyDescent="0.25">
      <c r="A84" s="4" t="s">
        <v>209</v>
      </c>
      <c r="B84" t="s">
        <v>210</v>
      </c>
      <c r="C84" t="str">
        <f t="shared" si="1"/>
        <v>Jamal Rafraf</v>
      </c>
    </row>
    <row r="85" spans="1:3" ht="15" x14ac:dyDescent="0.25">
      <c r="A85" s="4" t="s">
        <v>140</v>
      </c>
      <c r="B85" t="s">
        <v>159</v>
      </c>
      <c r="C85" t="str">
        <f t="shared" si="1"/>
        <v>Brian Walschburger</v>
      </c>
    </row>
    <row r="86" spans="1:3" ht="15" x14ac:dyDescent="0.25">
      <c r="A86" s="4" t="s">
        <v>211</v>
      </c>
      <c r="B86" t="s">
        <v>212</v>
      </c>
      <c r="C86" t="str">
        <f t="shared" si="1"/>
        <v>Karl Sheaffer</v>
      </c>
    </row>
    <row r="87" spans="1:3" ht="15" x14ac:dyDescent="0.25">
      <c r="A87" s="4" t="s">
        <v>176</v>
      </c>
      <c r="B87" t="s">
        <v>213</v>
      </c>
      <c r="C87" t="str">
        <f t="shared" si="1"/>
        <v>Jeffrey Parise</v>
      </c>
    </row>
    <row r="88" spans="1:3" ht="15" x14ac:dyDescent="0.25">
      <c r="A88" s="4" t="s">
        <v>214</v>
      </c>
      <c r="B88" t="s">
        <v>215</v>
      </c>
      <c r="C88" t="str">
        <f t="shared" si="1"/>
        <v>Stacie Bloomfield</v>
      </c>
    </row>
    <row r="89" spans="1:3" ht="15" x14ac:dyDescent="0.25">
      <c r="A89" s="4" t="s">
        <v>216</v>
      </c>
      <c r="B89" t="s">
        <v>217</v>
      </c>
      <c r="C89" t="str">
        <f t="shared" si="1"/>
        <v>Forrest Graver</v>
      </c>
    </row>
    <row r="90" spans="1:3" ht="15" x14ac:dyDescent="0.25">
      <c r="A90" s="4" t="s">
        <v>218</v>
      </c>
      <c r="B90" t="s">
        <v>219</v>
      </c>
      <c r="C90" t="str">
        <f t="shared" si="1"/>
        <v>Janssen Seidel</v>
      </c>
    </row>
    <row r="91" spans="1:3" ht="15" x14ac:dyDescent="0.25">
      <c r="A91" s="4" t="s">
        <v>218</v>
      </c>
      <c r="B91" t="s">
        <v>219</v>
      </c>
      <c r="C91" t="str">
        <f t="shared" si="1"/>
        <v>Janssen Seidel</v>
      </c>
    </row>
    <row r="92" spans="1:3" ht="15" x14ac:dyDescent="0.25">
      <c r="A92" s="4" t="s">
        <v>204</v>
      </c>
      <c r="B92" t="s">
        <v>151</v>
      </c>
      <c r="C92" t="str">
        <f t="shared" si="1"/>
        <v>Karen Ritter</v>
      </c>
    </row>
    <row r="93" spans="1:3" ht="15" x14ac:dyDescent="0.25">
      <c r="A93" s="4" t="s">
        <v>207</v>
      </c>
      <c r="B93" t="s">
        <v>208</v>
      </c>
      <c r="C93" t="str">
        <f t="shared" si="1"/>
        <v>William Baughman</v>
      </c>
    </row>
    <row r="94" spans="1:3" ht="15" x14ac:dyDescent="0.25">
      <c r="A94" s="4" t="s">
        <v>205</v>
      </c>
      <c r="B94" t="s">
        <v>206</v>
      </c>
      <c r="C94" t="str">
        <f t="shared" si="1"/>
        <v>Ryan Hertzog</v>
      </c>
    </row>
    <row r="95" spans="1:3" ht="15" x14ac:dyDescent="0.25">
      <c r="A95" s="4" t="s">
        <v>211</v>
      </c>
      <c r="B95" t="s">
        <v>212</v>
      </c>
      <c r="C95" t="str">
        <f t="shared" si="1"/>
        <v>Karl Sheaffer</v>
      </c>
    </row>
    <row r="96" spans="1:3" ht="15" x14ac:dyDescent="0.25">
      <c r="A96" s="4" t="s">
        <v>209</v>
      </c>
      <c r="B96" t="s">
        <v>210</v>
      </c>
      <c r="C96" t="str">
        <f t="shared" si="1"/>
        <v>Jamal Rafraf</v>
      </c>
    </row>
    <row r="97" spans="1:3" ht="15" x14ac:dyDescent="0.25">
      <c r="A97" s="4" t="s">
        <v>140</v>
      </c>
      <c r="B97" t="s">
        <v>159</v>
      </c>
      <c r="C97" t="str">
        <f t="shared" si="1"/>
        <v>Brian Walschburger</v>
      </c>
    </row>
    <row r="98" spans="1:3" ht="15" x14ac:dyDescent="0.25">
      <c r="A98" s="4" t="s">
        <v>176</v>
      </c>
      <c r="B98" t="s">
        <v>213</v>
      </c>
      <c r="C98" t="str">
        <f t="shared" si="1"/>
        <v>Jeffrey Parise</v>
      </c>
    </row>
    <row r="99" spans="1:3" ht="15" x14ac:dyDescent="0.25">
      <c r="A99" s="4" t="s">
        <v>202</v>
      </c>
      <c r="B99" t="s">
        <v>203</v>
      </c>
      <c r="C99" t="str">
        <f t="shared" si="1"/>
        <v>James Heckenberger</v>
      </c>
    </row>
    <row r="100" spans="1:3" ht="15" x14ac:dyDescent="0.25">
      <c r="A100" s="4" t="s">
        <v>214</v>
      </c>
      <c r="B100" t="s">
        <v>215</v>
      </c>
      <c r="C100" t="str">
        <f t="shared" si="1"/>
        <v>Stacie Bloomfield</v>
      </c>
    </row>
    <row r="101" spans="1:3" ht="15" x14ac:dyDescent="0.25">
      <c r="A101" s="4" t="s">
        <v>218</v>
      </c>
      <c r="B101" t="s">
        <v>219</v>
      </c>
      <c r="C101" t="str">
        <f t="shared" si="1"/>
        <v>Janssen Seidel</v>
      </c>
    </row>
    <row r="102" spans="1:3" ht="15" x14ac:dyDescent="0.25">
      <c r="A102" s="4" t="s">
        <v>216</v>
      </c>
      <c r="B102" t="s">
        <v>217</v>
      </c>
      <c r="C102" t="str">
        <f t="shared" si="1"/>
        <v>Forrest Graver</v>
      </c>
    </row>
    <row r="103" spans="1:3" ht="15" x14ac:dyDescent="0.25">
      <c r="A103" s="4" t="s">
        <v>220</v>
      </c>
      <c r="B103" t="s">
        <v>221</v>
      </c>
      <c r="C103" t="str">
        <f t="shared" si="1"/>
        <v>Gary Hartley</v>
      </c>
    </row>
    <row r="104" spans="1:3" ht="15" x14ac:dyDescent="0.25">
      <c r="A104" s="4" t="s">
        <v>222</v>
      </c>
      <c r="B104" t="s">
        <v>223</v>
      </c>
      <c r="C104" t="str">
        <f t="shared" si="1"/>
        <v>Bradley Lyon</v>
      </c>
    </row>
    <row r="105" spans="1:3" ht="15" x14ac:dyDescent="0.25">
      <c r="A105" s="4" t="s">
        <v>220</v>
      </c>
      <c r="B105" t="s">
        <v>221</v>
      </c>
      <c r="C105" t="str">
        <f t="shared" si="1"/>
        <v>Gary Hartley</v>
      </c>
    </row>
    <row r="106" spans="1:3" ht="15" x14ac:dyDescent="0.25">
      <c r="A106" s="4" t="s">
        <v>222</v>
      </c>
      <c r="B106" t="s">
        <v>223</v>
      </c>
      <c r="C106" t="str">
        <f t="shared" si="1"/>
        <v>Bradley Lyon</v>
      </c>
    </row>
    <row r="107" spans="1:3" ht="15" x14ac:dyDescent="0.25">
      <c r="A107" s="4" t="s">
        <v>224</v>
      </c>
      <c r="B107" t="s">
        <v>225</v>
      </c>
      <c r="C107" t="str">
        <f t="shared" si="1"/>
        <v>Emily Johnson</v>
      </c>
    </row>
    <row r="108" spans="1:3" ht="15" x14ac:dyDescent="0.25">
      <c r="A108" s="4" t="s">
        <v>224</v>
      </c>
      <c r="B108" t="s">
        <v>225</v>
      </c>
      <c r="C108" t="str">
        <f t="shared" si="1"/>
        <v>Emily Johnson</v>
      </c>
    </row>
    <row r="109" spans="1:3" ht="15" x14ac:dyDescent="0.25">
      <c r="A109" s="4" t="s">
        <v>224</v>
      </c>
      <c r="B109" t="s">
        <v>225</v>
      </c>
      <c r="C109" t="str">
        <f t="shared" si="1"/>
        <v>Emily Johnson</v>
      </c>
    </row>
    <row r="110" spans="1:3" ht="15" x14ac:dyDescent="0.25">
      <c r="A110" s="4" t="s">
        <v>224</v>
      </c>
      <c r="B110" t="s">
        <v>225</v>
      </c>
      <c r="C110" t="str">
        <f t="shared" si="1"/>
        <v>Emily Johnson</v>
      </c>
    </row>
    <row r="111" spans="1:3" ht="15" x14ac:dyDescent="0.25">
      <c r="A111" s="4" t="s">
        <v>224</v>
      </c>
      <c r="B111" t="s">
        <v>225</v>
      </c>
      <c r="C111" t="str">
        <f t="shared" si="1"/>
        <v>Emily Johnson</v>
      </c>
    </row>
    <row r="112" spans="1:3" ht="15" x14ac:dyDescent="0.25">
      <c r="A112" s="4" t="s">
        <v>224</v>
      </c>
      <c r="B112" t="s">
        <v>225</v>
      </c>
      <c r="C112" t="str">
        <f t="shared" si="1"/>
        <v>Emily Johnson</v>
      </c>
    </row>
    <row r="113" spans="1:3" ht="15" x14ac:dyDescent="0.25">
      <c r="A113" s="4" t="s">
        <v>224</v>
      </c>
      <c r="B113" t="s">
        <v>225</v>
      </c>
      <c r="C113" t="str">
        <f t="shared" si="1"/>
        <v>Emily Johnson</v>
      </c>
    </row>
    <row r="114" spans="1:3" ht="15" x14ac:dyDescent="0.25">
      <c r="A114" s="4" t="s">
        <v>224</v>
      </c>
      <c r="B114" t="s">
        <v>225</v>
      </c>
      <c r="C114" t="str">
        <f t="shared" si="1"/>
        <v>Emily Johnson</v>
      </c>
    </row>
    <row r="115" spans="1:3" ht="15" x14ac:dyDescent="0.25">
      <c r="A115" s="4" t="s">
        <v>224</v>
      </c>
      <c r="B115" t="s">
        <v>225</v>
      </c>
      <c r="C115" t="str">
        <f t="shared" si="1"/>
        <v>Emily Johnson</v>
      </c>
    </row>
    <row r="116" spans="1:3" ht="15" x14ac:dyDescent="0.25">
      <c r="A116" s="4" t="s">
        <v>224</v>
      </c>
      <c r="B116" t="s">
        <v>225</v>
      </c>
      <c r="C116" t="str">
        <f t="shared" si="1"/>
        <v>Emily Johnson</v>
      </c>
    </row>
    <row r="117" spans="1:3" ht="15" x14ac:dyDescent="0.25">
      <c r="A117" s="4" t="s">
        <v>226</v>
      </c>
      <c r="B117" t="s">
        <v>227</v>
      </c>
      <c r="C117" t="str">
        <f t="shared" si="1"/>
        <v>Trudy Brown</v>
      </c>
    </row>
    <row r="118" spans="1:3" ht="15" x14ac:dyDescent="0.25">
      <c r="A118" s="4" t="s">
        <v>228</v>
      </c>
      <c r="B118" t="s">
        <v>183</v>
      </c>
      <c r="C118" t="str">
        <f t="shared" si="1"/>
        <v>Zachary Minium</v>
      </c>
    </row>
    <row r="119" spans="1:3" ht="15" x14ac:dyDescent="0.25">
      <c r="A119" s="4" t="s">
        <v>228</v>
      </c>
      <c r="B119" t="s">
        <v>183</v>
      </c>
      <c r="C119" t="str">
        <f t="shared" si="1"/>
        <v>Zachary Minium</v>
      </c>
    </row>
    <row r="120" spans="1:3" ht="15" x14ac:dyDescent="0.25">
      <c r="A120" s="4" t="s">
        <v>229</v>
      </c>
      <c r="B120" t="s">
        <v>230</v>
      </c>
      <c r="C120" t="str">
        <f t="shared" si="1"/>
        <v>Dennis Berkebile</v>
      </c>
    </row>
    <row r="121" spans="1:3" ht="15" x14ac:dyDescent="0.25">
      <c r="A121" s="4" t="s">
        <v>229</v>
      </c>
      <c r="B121" t="s">
        <v>230</v>
      </c>
      <c r="C121" t="str">
        <f t="shared" si="1"/>
        <v>Dennis Berkebile</v>
      </c>
    </row>
    <row r="122" spans="1:3" ht="15" x14ac:dyDescent="0.25">
      <c r="A122" s="4" t="s">
        <v>229</v>
      </c>
      <c r="B122" t="s">
        <v>230</v>
      </c>
      <c r="C122" t="str">
        <f t="shared" si="1"/>
        <v>Dennis Berkebile</v>
      </c>
    </row>
    <row r="123" spans="1:3" ht="15" x14ac:dyDescent="0.25">
      <c r="A123" s="4" t="s">
        <v>231</v>
      </c>
      <c r="B123" t="s">
        <v>232</v>
      </c>
      <c r="C123" t="str">
        <f t="shared" si="1"/>
        <v>Taylor Horn</v>
      </c>
    </row>
    <row r="124" spans="1:3" ht="15" x14ac:dyDescent="0.25">
      <c r="A124" s="4" t="s">
        <v>231</v>
      </c>
      <c r="B124" t="s">
        <v>232</v>
      </c>
      <c r="C124" t="str">
        <f t="shared" si="1"/>
        <v>Taylor Horn</v>
      </c>
    </row>
    <row r="125" spans="1:3" ht="15" x14ac:dyDescent="0.25">
      <c r="A125" s="4" t="s">
        <v>231</v>
      </c>
      <c r="B125" t="s">
        <v>232</v>
      </c>
      <c r="C125" t="str">
        <f t="shared" si="1"/>
        <v>Taylor Horn</v>
      </c>
    </row>
    <row r="126" spans="1:3" ht="15" x14ac:dyDescent="0.25">
      <c r="A126" s="4" t="s">
        <v>231</v>
      </c>
      <c r="B126" t="s">
        <v>232</v>
      </c>
      <c r="C126" t="str">
        <f t="shared" si="1"/>
        <v>Taylor Horn</v>
      </c>
    </row>
    <row r="127" spans="1:3" ht="15" x14ac:dyDescent="0.25">
      <c r="A127" s="4" t="s">
        <v>231</v>
      </c>
      <c r="B127" t="s">
        <v>232</v>
      </c>
      <c r="C127" t="str">
        <f t="shared" si="1"/>
        <v>Taylor Horn</v>
      </c>
    </row>
    <row r="128" spans="1:3" ht="15" x14ac:dyDescent="0.25">
      <c r="A128" s="4" t="s">
        <v>231</v>
      </c>
      <c r="B128" t="s">
        <v>232</v>
      </c>
      <c r="C128" t="str">
        <f t="shared" si="1"/>
        <v>Taylor Horn</v>
      </c>
    </row>
    <row r="129" spans="1:3" ht="15" x14ac:dyDescent="0.25">
      <c r="A129" s="4" t="s">
        <v>231</v>
      </c>
      <c r="B129" t="s">
        <v>232</v>
      </c>
      <c r="C129" t="str">
        <f t="shared" si="1"/>
        <v>Taylor Horn</v>
      </c>
    </row>
    <row r="130" spans="1:3" ht="15" x14ac:dyDescent="0.25">
      <c r="A130" s="4" t="s">
        <v>231</v>
      </c>
      <c r="B130" t="s">
        <v>232</v>
      </c>
      <c r="C130" t="str">
        <f t="shared" ref="C130:C146" si="2">CONCATENATE(A130, " ",B130)</f>
        <v>Taylor Horn</v>
      </c>
    </row>
    <row r="131" spans="1:3" ht="15" x14ac:dyDescent="0.25">
      <c r="A131" s="4" t="s">
        <v>231</v>
      </c>
      <c r="B131" t="s">
        <v>232</v>
      </c>
      <c r="C131" t="str">
        <f t="shared" si="2"/>
        <v>Taylor Horn</v>
      </c>
    </row>
    <row r="132" spans="1:3" ht="15" x14ac:dyDescent="0.25">
      <c r="A132" s="4" t="s">
        <v>231</v>
      </c>
      <c r="B132" t="s">
        <v>232</v>
      </c>
      <c r="C132" t="str">
        <f t="shared" si="2"/>
        <v>Taylor Horn</v>
      </c>
    </row>
    <row r="133" spans="1:3" ht="15" x14ac:dyDescent="0.25">
      <c r="A133" s="4" t="s">
        <v>231</v>
      </c>
      <c r="B133" t="s">
        <v>232</v>
      </c>
      <c r="C133" t="str">
        <f t="shared" si="2"/>
        <v>Taylor Horn</v>
      </c>
    </row>
    <row r="134" spans="1:3" ht="15" x14ac:dyDescent="0.25">
      <c r="A134" s="4" t="s">
        <v>231</v>
      </c>
      <c r="B134" t="s">
        <v>232</v>
      </c>
      <c r="C134" t="str">
        <f t="shared" si="2"/>
        <v>Taylor Horn</v>
      </c>
    </row>
    <row r="135" spans="1:3" ht="15" x14ac:dyDescent="0.25">
      <c r="A135" s="4" t="s">
        <v>231</v>
      </c>
      <c r="B135" t="s">
        <v>232</v>
      </c>
      <c r="C135" t="str">
        <f t="shared" si="2"/>
        <v>Taylor Horn</v>
      </c>
    </row>
    <row r="136" spans="1:3" ht="15" x14ac:dyDescent="0.25">
      <c r="A136" s="4" t="s">
        <v>233</v>
      </c>
      <c r="B136" t="s">
        <v>227</v>
      </c>
      <c r="C136" t="str">
        <f t="shared" si="2"/>
        <v>Dean Brown</v>
      </c>
    </row>
    <row r="137" spans="1:3" ht="15" x14ac:dyDescent="0.25">
      <c r="A137" s="12" t="s">
        <v>234</v>
      </c>
      <c r="B137" t="s">
        <v>235</v>
      </c>
      <c r="C137" t="str">
        <f t="shared" si="2"/>
        <v>Hon Au</v>
      </c>
    </row>
    <row r="138" spans="1:3" ht="15" x14ac:dyDescent="0.25">
      <c r="A138" s="4" t="s">
        <v>236</v>
      </c>
      <c r="B138" t="s">
        <v>237</v>
      </c>
      <c r="C138" t="str">
        <f t="shared" si="2"/>
        <v>Kevin Conklin</v>
      </c>
    </row>
    <row r="139" spans="1:3" ht="15" x14ac:dyDescent="0.25">
      <c r="A139" s="4" t="s">
        <v>236</v>
      </c>
      <c r="B139" t="s">
        <v>237</v>
      </c>
      <c r="C139" t="str">
        <f t="shared" si="2"/>
        <v>Kevin Conklin</v>
      </c>
    </row>
    <row r="140" spans="1:3" ht="15" x14ac:dyDescent="0.25">
      <c r="A140" s="4" t="s">
        <v>236</v>
      </c>
      <c r="B140" t="s">
        <v>237</v>
      </c>
      <c r="C140" t="str">
        <f t="shared" si="2"/>
        <v>Kevin Conklin</v>
      </c>
    </row>
    <row r="141" spans="1:3" ht="15" x14ac:dyDescent="0.25">
      <c r="A141" s="4" t="s">
        <v>238</v>
      </c>
      <c r="B141" t="s">
        <v>239</v>
      </c>
      <c r="C141" t="str">
        <f t="shared" si="2"/>
        <v>Tyler Penland</v>
      </c>
    </row>
    <row r="142" spans="1:3" ht="15" x14ac:dyDescent="0.25">
      <c r="A142" s="4" t="s">
        <v>238</v>
      </c>
      <c r="B142" t="s">
        <v>239</v>
      </c>
      <c r="C142" t="str">
        <f t="shared" si="2"/>
        <v>Tyler Penland</v>
      </c>
    </row>
    <row r="143" spans="1:3" ht="15" x14ac:dyDescent="0.25">
      <c r="A143" s="4" t="s">
        <v>238</v>
      </c>
      <c r="B143" t="s">
        <v>239</v>
      </c>
      <c r="C143" t="str">
        <f t="shared" si="2"/>
        <v>Tyler Penland</v>
      </c>
    </row>
    <row r="144" spans="1:3" ht="30" x14ac:dyDescent="0.25">
      <c r="A144" s="19" t="s">
        <v>240</v>
      </c>
      <c r="B144" t="s">
        <v>241</v>
      </c>
      <c r="C144" t="str">
        <f t="shared" si="2"/>
        <v>Vladimir Pena</v>
      </c>
    </row>
    <row r="145" spans="1:3" ht="15" x14ac:dyDescent="0.25">
      <c r="A145" s="4" t="s">
        <v>140</v>
      </c>
      <c r="B145" t="s">
        <v>242</v>
      </c>
      <c r="C145" t="str">
        <f t="shared" si="2"/>
        <v>Brian Antkowiak</v>
      </c>
    </row>
    <row r="146" spans="1:3" ht="15" x14ac:dyDescent="0.25">
      <c r="A146" s="4" t="s">
        <v>140</v>
      </c>
      <c r="B146" t="s">
        <v>242</v>
      </c>
      <c r="C146" t="str">
        <f t="shared" si="2"/>
        <v>Brian Antkowiak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2025-05-21T13:28:21Z</dcterms:created>
  <dcterms:modified xsi:type="dcterms:W3CDTF">2025-05-21T14:41:16Z</dcterms:modified>
</cp:coreProperties>
</file>