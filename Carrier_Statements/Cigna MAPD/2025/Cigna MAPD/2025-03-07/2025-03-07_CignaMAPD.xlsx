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3-07-25\"/>
    </mc:Choice>
  </mc:AlternateContent>
  <xr:revisionPtr revIDLastSave="0" documentId="13_ncr:1_{9F2A3E8E-2A24-455A-8C83-E66E345AEF95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11" i="4" l="1"/>
  <c r="C3" i="4"/>
  <c r="C4" i="4"/>
  <c r="C5" i="4"/>
  <c r="C6" i="4"/>
  <c r="C7" i="4"/>
  <c r="C8" i="4"/>
  <c r="C9" i="4"/>
  <c r="C10" i="4"/>
  <c r="C12" i="4"/>
  <c r="C13" i="4"/>
  <c r="C2" i="4"/>
</calcChain>
</file>

<file path=xl/sharedStrings.xml><?xml version="1.0" encoding="utf-8"?>
<sst xmlns="http://schemas.openxmlformats.org/spreadsheetml/2006/main" count="234" uniqueCount="91">
  <si>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</si>
  <si>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</si>
  <si>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</si>
  <si>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</si>
  <si>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</si>
  <si>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</si>
  <si>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</si>
  <si>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</si>
  <si>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</si>
  <si>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</si>
  <si>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</si>
  <si>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</si>
  <si>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</si>
  <si>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</si>
  <si>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</si>
  <si>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</si>
  <si>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</si>
  <si>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</si>
  <si>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</si>
  <si>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</si>
  <si>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</si>
  <si>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</si>
  <si>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</si>
  <si>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</si>
  <si>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</si>
  <si>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</si>
  <si>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</si>
  <si>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</si>
  <si>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</si>
  <si>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</si>
  <si>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</si>
  <si>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</si>
  <si>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</si>
  <si>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</si>
  <si>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VBE</t>
  </si>
  <si>
    <t>BLAIR, NANCY</t>
  </si>
  <si>
    <t>7RY3NX5QV94</t>
  </si>
  <si>
    <t>36A5F5R75</t>
  </si>
  <si>
    <t>TX</t>
  </si>
  <si>
    <t>C629657</t>
  </si>
  <si>
    <t>19645587</t>
  </si>
  <si>
    <t>STACEY PORTUGAL</t>
  </si>
  <si>
    <t>2025 VBE-Digital Incentive Payment</t>
  </si>
  <si>
    <t>2025 VBE-HRA Admin Fee</t>
  </si>
  <si>
    <t>BURT, MARTHA</t>
  </si>
  <si>
    <t>2DK8DF9VU52</t>
  </si>
  <si>
    <t>48L8X7R44</t>
  </si>
  <si>
    <t>AZ</t>
  </si>
  <si>
    <t>C639371</t>
  </si>
  <si>
    <t>19615078</t>
  </si>
  <si>
    <t>RICHARD WUENSCH</t>
  </si>
  <si>
    <t>GARIBAY, MARIA</t>
  </si>
  <si>
    <t>4HA8K49HY28</t>
  </si>
  <si>
    <t>68X8X9H74</t>
  </si>
  <si>
    <t>IL</t>
  </si>
  <si>
    <t>C500975</t>
  </si>
  <si>
    <t>9213293</t>
  </si>
  <si>
    <t>GARY PORTUGAL</t>
  </si>
  <si>
    <t>HINDES, ROBIN</t>
  </si>
  <si>
    <t>4MH9JM5HJ42</t>
  </si>
  <si>
    <t>75U2X9F11</t>
  </si>
  <si>
    <t>PA</t>
  </si>
  <si>
    <t>C449511</t>
  </si>
  <si>
    <t>17528908</t>
  </si>
  <si>
    <t>DEBORAH INSKIPT</t>
  </si>
  <si>
    <t>OSTER, MICHAEL</t>
  </si>
  <si>
    <t>8G88PQ0DH53</t>
  </si>
  <si>
    <t>58L8X4R14</t>
  </si>
  <si>
    <t>CO</t>
  </si>
  <si>
    <t>C508817</t>
  </si>
  <si>
    <t>6634327</t>
  </si>
  <si>
    <t>JOEL LEE</t>
  </si>
  <si>
    <t>OSTER, PHYLLIS</t>
  </si>
  <si>
    <t>2YK4PG2TY76</t>
  </si>
  <si>
    <t>77U7H3F88</t>
  </si>
  <si>
    <t>New Application</t>
  </si>
  <si>
    <t>THOMPSON, THOMAS</t>
  </si>
  <si>
    <t>1A99E05WR11</t>
  </si>
  <si>
    <t>74F7F6U39</t>
  </si>
  <si>
    <t>FL</t>
  </si>
  <si>
    <t>CMS TRUE UP PAYMENT - NO PRIOR PLAN</t>
  </si>
  <si>
    <t>HEARTLAND FINANCIAL GROUP INC</t>
  </si>
  <si>
    <t>INTEGRITY MARKETING GROUP NV, LLC</t>
  </si>
  <si>
    <t>NEW APP PAYMENT</t>
  </si>
  <si>
    <t>WALENGA, MARIBETH</t>
  </si>
  <si>
    <t>9G89X01TK15</t>
  </si>
  <si>
    <t>37122916</t>
  </si>
  <si>
    <t>Main Line Benefits</t>
  </si>
  <si>
    <t>Cigna MAPD 2025</t>
  </si>
  <si>
    <t>Cigna MAPD 2025 Ovr</t>
  </si>
  <si>
    <t>[%/$=626]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</si>
</sst>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45723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3</v>
      </c>
      <c r="C8" s="12">
        <v>706</v>
      </c>
      <c r="D8" s="13">
        <v>0</v>
      </c>
      <c r="E8" s="12">
        <v>0</v>
      </c>
      <c r="F8" s="13">
        <v>0</v>
      </c>
      <c r="G8" s="14">
        <v>0</v>
      </c>
      <c r="H8" s="13">
        <v>10</v>
      </c>
      <c r="I8" s="23">
        <v>625</v>
      </c>
      <c r="J8" s="15">
        <v>1331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45689</v>
      </c>
      <c r="F13" s="17">
        <v>65380</v>
      </c>
      <c r="G13" s="17">
        <v>45661</v>
      </c>
      <c r="H13" t="s">
        <v>38</v>
      </c>
      <c r="I13">
        <v>50</v>
      </c>
      <c r="J13" t="s">
        <v>39</v>
      </c>
      <c r="K13" t="s">
        <v>40</v>
      </c>
      <c r="L13" t="s">
        <v>41</v>
      </c>
      <c r="M13" t="s">
        <v>33</v>
      </c>
      <c r="U13" t="s">
        <v>42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45689</v>
      </c>
      <c r="F14" s="17">
        <v>65380</v>
      </c>
      <c r="G14" s="17">
        <v>45661</v>
      </c>
      <c r="H14" t="s">
        <v>38</v>
      </c>
      <c r="I14">
        <v>75</v>
      </c>
      <c r="J14" t="s">
        <v>39</v>
      </c>
      <c r="K14" t="s">
        <v>40</v>
      </c>
      <c r="L14" t="s">
        <v>41</v>
      </c>
      <c r="M14" t="s">
        <v>33</v>
      </c>
      <c r="U14" t="s">
        <v>43</v>
      </c>
    </row>
    <row r="15" spans="1:21" s="6" customFormat="1" x14ac:dyDescent="0.25">
      <c r="A15" t="s">
        <v>34</v>
      </c>
      <c r="B15" t="s">
        <v>44</v>
      </c>
      <c r="C15" t="s">
        <v>45</v>
      </c>
      <c r="D15" t="s">
        <v>46</v>
      </c>
      <c r="E15" s="17">
        <v>45658</v>
      </c>
      <c r="F15" s="17">
        <v>65380</v>
      </c>
      <c r="G15" s="17">
        <v>45614</v>
      </c>
      <c r="H15" t="s">
        <v>47</v>
      </c>
      <c r="I15">
        <v>75</v>
      </c>
      <c r="J15" t="s">
        <v>48</v>
      </c>
      <c r="K15" t="s">
        <v>49</v>
      </c>
      <c r="L15" t="s">
        <v>50</v>
      </c>
      <c r="M15" t="s">
        <v>33</v>
      </c>
      <c r="U15" t="s">
        <v>43</v>
      </c>
    </row>
    <row r="16" spans="1:21" s="6" customFormat="1" x14ac:dyDescent="0.25">
      <c r="A16" t="s">
        <v>34</v>
      </c>
      <c r="B16" t="s">
        <v>51</v>
      </c>
      <c r="C16" t="s">
        <v>52</v>
      </c>
      <c r="D16" t="s">
        <v>53</v>
      </c>
      <c r="E16" s="17">
        <v>45689</v>
      </c>
      <c r="F16" s="17">
        <v>65380</v>
      </c>
      <c r="G16" s="17">
        <v>45678</v>
      </c>
      <c r="H16" t="s">
        <v>54</v>
      </c>
      <c r="I16">
        <v>50</v>
      </c>
      <c r="J16" t="s">
        <v>55</v>
      </c>
      <c r="K16" t="s">
        <v>56</v>
      </c>
      <c r="L16" t="s">
        <v>57</v>
      </c>
      <c r="M16" t="s">
        <v>33</v>
      </c>
      <c r="U16" t="s">
        <v>42</v>
      </c>
    </row>
    <row r="17" spans="1:21" s="6" customFormat="1" x14ac:dyDescent="0.25">
      <c r="A17" t="s">
        <v>34</v>
      </c>
      <c r="B17" t="s">
        <v>51</v>
      </c>
      <c r="C17" t="s">
        <v>52</v>
      </c>
      <c r="D17" t="s">
        <v>53</v>
      </c>
      <c r="E17" s="17">
        <v>45689</v>
      </c>
      <c r="F17" s="17">
        <v>65380</v>
      </c>
      <c r="G17" s="17">
        <v>45678</v>
      </c>
      <c r="H17" t="s">
        <v>54</v>
      </c>
      <c r="I17">
        <v>75</v>
      </c>
      <c r="J17" t="s">
        <v>55</v>
      </c>
      <c r="K17" t="s">
        <v>56</v>
      </c>
      <c r="L17" t="s">
        <v>57</v>
      </c>
      <c r="M17" t="s">
        <v>33</v>
      </c>
      <c r="U17" t="s">
        <v>43</v>
      </c>
    </row>
    <row r="18" spans="1:21" s="6" customFormat="1" x14ac:dyDescent="0.25">
      <c r="A18" t="s">
        <v>34</v>
      </c>
      <c r="B18" t="s">
        <v>58</v>
      </c>
      <c r="C18" t="s">
        <v>59</v>
      </c>
      <c r="D18" t="s">
        <v>60</v>
      </c>
      <c r="E18" s="17">
        <v>45689</v>
      </c>
      <c r="F18" s="17">
        <v>65380</v>
      </c>
      <c r="G18" s="17">
        <v>45681</v>
      </c>
      <c r="H18" t="s">
        <v>61</v>
      </c>
      <c r="I18">
        <v>50</v>
      </c>
      <c r="J18" t="s">
        <v>62</v>
      </c>
      <c r="K18" t="s">
        <v>63</v>
      </c>
      <c r="L18" t="s">
        <v>64</v>
      </c>
      <c r="M18" t="s">
        <v>33</v>
      </c>
      <c r="U18" t="s">
        <v>42</v>
      </c>
    </row>
    <row r="19" spans="1:21" s="6" customFormat="1" x14ac:dyDescent="0.25">
      <c r="A19" t="s">
        <v>34</v>
      </c>
      <c r="B19" t="s">
        <v>58</v>
      </c>
      <c r="C19" t="s">
        <v>59</v>
      </c>
      <c r="D19" t="s">
        <v>60</v>
      </c>
      <c r="E19" s="17">
        <v>45689</v>
      </c>
      <c r="F19" s="17">
        <v>65380</v>
      </c>
      <c r="G19" s="17">
        <v>45681</v>
      </c>
      <c r="H19" t="s">
        <v>61</v>
      </c>
      <c r="I19">
        <v>75</v>
      </c>
      <c r="J19" t="s">
        <v>62</v>
      </c>
      <c r="K19" t="s">
        <v>63</v>
      </c>
      <c r="L19" t="s">
        <v>64</v>
      </c>
      <c r="M19" t="s">
        <v>33</v>
      </c>
      <c r="U19" t="s">
        <v>43</v>
      </c>
    </row>
    <row r="20" spans="1:21" s="6" customFormat="1" x14ac:dyDescent="0.25">
      <c r="A20" t="s">
        <v>34</v>
      </c>
      <c r="B20" t="s">
        <v>65</v>
      </c>
      <c r="C20" t="s">
        <v>66</v>
      </c>
      <c r="D20" t="s">
        <v>67</v>
      </c>
      <c r="E20" s="17">
        <v>45658</v>
      </c>
      <c r="F20" s="17">
        <v>65380</v>
      </c>
      <c r="G20" s="17">
        <v>45645</v>
      </c>
      <c r="H20" t="s">
        <v>68</v>
      </c>
      <c r="I20">
        <v>50</v>
      </c>
      <c r="J20" t="s">
        <v>69</v>
      </c>
      <c r="K20" t="s">
        <v>70</v>
      </c>
      <c r="L20" t="s">
        <v>71</v>
      </c>
      <c r="M20" t="s">
        <v>33</v>
      </c>
      <c r="U20" t="s">
        <v>42</v>
      </c>
    </row>
    <row r="21" spans="1:21" s="6" customFormat="1" x14ac:dyDescent="0.25">
      <c r="A21" t="s">
        <v>34</v>
      </c>
      <c r="B21" t="s">
        <v>72</v>
      </c>
      <c r="C21" t="s">
        <v>73</v>
      </c>
      <c r="D21" t="s">
        <v>74</v>
      </c>
      <c r="E21" s="17">
        <v>45658</v>
      </c>
      <c r="F21" s="17">
        <v>65380</v>
      </c>
      <c r="G21" s="17">
        <v>45645</v>
      </c>
      <c r="H21" t="s">
        <v>68</v>
      </c>
      <c r="I21">
        <v>50</v>
      </c>
      <c r="J21" t="s">
        <v>69</v>
      </c>
      <c r="K21" t="s">
        <v>70</v>
      </c>
      <c r="L21" t="s">
        <v>71</v>
      </c>
      <c r="M21" t="s">
        <v>33</v>
      </c>
      <c r="U21" t="s">
        <v>42</v>
      </c>
    </row>
    <row r="22" spans="1:21" s="6" customFormat="1" x14ac:dyDescent="0.25">
      <c r="A22" t="s">
        <v>75</v>
      </c>
      <c r="B22" t="s">
        <v>76</v>
      </c>
      <c r="C22" t="s">
        <v>77</v>
      </c>
      <c r="D22" t="s">
        <v>78</v>
      </c>
      <c r="E22" s="17">
        <v>45689</v>
      </c>
      <c r="F22" s="17">
        <v>73050</v>
      </c>
      <c r="G22" s="17">
        <v>45672</v>
      </c>
      <c r="H22" t="s">
        <v>79</v>
      </c>
      <c r="I22">
        <v>339.08</v>
      </c>
      <c r="J22" t="s">
        <v>39</v>
      </c>
      <c r="K22" t="s">
        <v>40</v>
      </c>
      <c r="L22" t="s">
        <v>41</v>
      </c>
      <c r="U22" t="s">
        <v>80</v>
      </c>
    </row>
    <row r="23" spans="1:21" s="6" customFormat="1" x14ac:dyDescent="0.25">
      <c r="A23" t="s">
        <v>75</v>
      </c>
      <c r="B23" t="s">
        <v>76</v>
      </c>
      <c r="C23" t="s">
        <v>77</v>
      </c>
      <c r="D23" t="s">
        <v>78</v>
      </c>
      <c r="E23" s="17">
        <v>45689</v>
      </c>
      <c r="F23" s="17">
        <v>73050</v>
      </c>
      <c r="G23" s="17">
        <v>45672</v>
      </c>
      <c r="H23" t="s">
        <v>79</v>
      </c>
      <c r="I23">
        <v>286.92</v>
      </c>
      <c r="J23" t="s">
        <v>39</v>
      </c>
      <c r="K23" t="s">
        <v>40</v>
      </c>
      <c r="L23" t="s">
        <v>41</v>
      </c>
      <c r="M23" t="s">
        <v>33</v>
      </c>
      <c r="S23" t="s">
        <v>81</v>
      </c>
      <c r="T23" t="s">
        <v>82</v>
      </c>
      <c r="U23" t="s">
        <v>83</v>
      </c>
    </row>
    <row r="24" spans="1:21" s="6" customFormat="1" x14ac:dyDescent="0.25">
      <c r="A24" t="s">
        <v>75</v>
      </c>
      <c r="B24" t="s">
        <v>76</v>
      </c>
      <c r="C24" t="s">
        <v>77</v>
      </c>
      <c r="D24" t="s">
        <v>78</v>
      </c>
      <c r="E24" s="17">
        <v>45689</v>
      </c>
      <c r="F24" s="17">
        <v>73050</v>
      </c>
      <c r="G24" s="17">
        <v>45672</v>
      </c>
      <c r="H24" t="s">
        <v>79</v>
      </c>
      <c r="I24">
        <v>80</v>
      </c>
      <c r="J24" t="s">
        <v>39</v>
      </c>
      <c r="K24" t="s">
        <v>40</v>
      </c>
      <c r="L24" t="s">
        <v>41</v>
      </c>
      <c r="M24" t="s">
        <v>33</v>
      </c>
      <c r="T24" t="s">
        <v>82</v>
      </c>
      <c r="U24" t="s">
        <v>83</v>
      </c>
    </row>
    <row r="25" spans="1:21" s="6" customFormat="1" x14ac:dyDescent="0.25">
      <c r="A25" t="s">
        <v>34</v>
      </c>
      <c r="B25" t="s">
        <v>84</v>
      </c>
      <c r="C25" t="s">
        <v>85</v>
      </c>
      <c r="D25" t="s">
        <v>86</v>
      </c>
      <c r="E25" s="17">
        <v>45658</v>
      </c>
      <c r="F25" s="17">
        <v>65380</v>
      </c>
      <c r="G25" s="17">
        <v>45596</v>
      </c>
      <c r="H25" t="s">
        <v>54</v>
      </c>
      <c r="I25">
        <v>75</v>
      </c>
      <c r="J25" t="s">
        <v>48</v>
      </c>
      <c r="K25" t="s">
        <v>49</v>
      </c>
      <c r="L25" t="s">
        <v>50</v>
      </c>
      <c r="M25" t="s">
        <v>33</v>
      </c>
      <c r="U25" t="s">
        <v>43</v>
      </c>
    </row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7AEF-EBAB-4AA7-9F36-9384785F2153}">
  <dimension ref="A1:J4508"/>
  <sheetViews>
    <sheetView tabSelected="1" workbookViewId="0">
      <selection activeCell="J2" sqref="J2:J13"/>
    </sheetView>
  </sheetViews>
  <sheetFormatPr defaultRowHeight="15" x14ac:dyDescent="0.25"/>
  <cols>
    <col min="1" max="1" width="27.42578125" style="3" customWidth="1"/>
    <col min="2" max="3" width="22.85546875" style="3" customWidth="1"/>
    <col min="4" max="4" width="18.85546875" style="8" customWidth="1"/>
    <col min="5" max="5" width="16.85546875" style="3" customWidth="1"/>
    <col min="6" max="6" width="21.140625" style="22" bestFit="1" customWidth="1"/>
    <col min="7" max="7" width="15.28515625" style="3" bestFit="1" customWidth="1"/>
    <col min="8" max="8" width="40.7109375" style="3" customWidth="1"/>
    <col min="9" max="9" width="20" bestFit="1" customWidth="1"/>
    <col min="10" max="10" width="9.85546875" bestFit="1" customWidth="1"/>
  </cols>
  <sheetData>
    <row r="1" spans="1:10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</row>
    <row r="2" spans="1:10" s="6" customFormat="1" x14ac:dyDescent="0.25">
      <c r="A2" t="s">
        <v>35</v>
      </c>
      <c r="B2" t="s">
        <v>36</v>
      </c>
      <c r="C2" t="str">
        <f>CONCATENATE(B2,99)</f>
        <v>7RY3NX5QV9499</v>
      </c>
      <c r="D2" s="17">
        <v>45689</v>
      </c>
      <c r="E2" t="s">
        <v>38</v>
      </c>
      <c r="F2">
        <v>50</v>
      </c>
      <c r="G2">
        <v>20411454</v>
      </c>
      <c r="H2" t="s">
        <v>87</v>
      </c>
      <c r="I2" s="6" t="s">
        <v>89</v>
      </c>
    </row>
    <row r="3" spans="1:10" s="6" customFormat="1" x14ac:dyDescent="0.25">
      <c r="A3" t="s">
        <v>35</v>
      </c>
      <c r="B3" t="s">
        <v>36</v>
      </c>
      <c r="C3" t="str">
        <f t="shared" ref="C3:C13" si="0">CONCATENATE(B3,99)</f>
        <v>7RY3NX5QV9499</v>
      </c>
      <c r="D3" s="17">
        <v>45689</v>
      </c>
      <c r="E3" t="s">
        <v>38</v>
      </c>
      <c r="F3">
        <v>75</v>
      </c>
      <c r="G3">
        <v>20411455</v>
      </c>
      <c r="H3" t="s">
        <v>87</v>
      </c>
      <c r="I3" s="6" t="s">
        <v>89</v>
      </c>
    </row>
    <row r="4" spans="1:10" s="6" customFormat="1" x14ac:dyDescent="0.25">
      <c r="A4" t="s">
        <v>44</v>
      </c>
      <c r="B4" t="s">
        <v>45</v>
      </c>
      <c r="C4" t="str">
        <f t="shared" si="0"/>
        <v>2DK8DF9VU5299</v>
      </c>
      <c r="D4" s="17">
        <v>45658</v>
      </c>
      <c r="E4" t="s">
        <v>47</v>
      </c>
      <c r="F4">
        <v>75</v>
      </c>
      <c r="G4">
        <v>20411456</v>
      </c>
      <c r="H4" t="s">
        <v>87</v>
      </c>
      <c r="I4" s="6" t="s">
        <v>89</v>
      </c>
    </row>
    <row r="5" spans="1:10" s="6" customFormat="1" x14ac:dyDescent="0.25">
      <c r="A5" t="s">
        <v>51</v>
      </c>
      <c r="B5" t="s">
        <v>52</v>
      </c>
      <c r="C5" t="str">
        <f t="shared" si="0"/>
        <v>4HA8K49HY2899</v>
      </c>
      <c r="D5" s="17">
        <v>45689</v>
      </c>
      <c r="E5" t="s">
        <v>54</v>
      </c>
      <c r="F5">
        <v>50</v>
      </c>
      <c r="G5">
        <v>20411457</v>
      </c>
      <c r="H5" t="s">
        <v>87</v>
      </c>
      <c r="I5" s="6" t="s">
        <v>89</v>
      </c>
    </row>
    <row r="6" spans="1:10" s="6" customFormat="1" x14ac:dyDescent="0.25">
      <c r="A6" t="s">
        <v>51</v>
      </c>
      <c r="B6" t="s">
        <v>52</v>
      </c>
      <c r="C6" t="str">
        <f t="shared" si="0"/>
        <v>4HA8K49HY2899</v>
      </c>
      <c r="D6" s="17">
        <v>45689</v>
      </c>
      <c r="E6" t="s">
        <v>54</v>
      </c>
      <c r="F6">
        <v>75</v>
      </c>
      <c r="G6">
        <v>20411458</v>
      </c>
      <c r="H6" t="s">
        <v>87</v>
      </c>
      <c r="I6" s="6" t="s">
        <v>89</v>
      </c>
    </row>
    <row r="7" spans="1:10" s="6" customFormat="1" x14ac:dyDescent="0.25">
      <c r="A7" t="s">
        <v>58</v>
      </c>
      <c r="B7" t="s">
        <v>59</v>
      </c>
      <c r="C7" t="str">
        <f t="shared" si="0"/>
        <v>4MH9JM5HJ4299</v>
      </c>
      <c r="D7" s="17">
        <v>45689</v>
      </c>
      <c r="E7" t="s">
        <v>61</v>
      </c>
      <c r="F7">
        <v>50</v>
      </c>
      <c r="G7">
        <v>20411459</v>
      </c>
      <c r="H7" t="s">
        <v>87</v>
      </c>
      <c r="I7" s="6" t="s">
        <v>89</v>
      </c>
    </row>
    <row r="8" spans="1:10" s="6" customFormat="1" x14ac:dyDescent="0.25">
      <c r="A8" t="s">
        <v>58</v>
      </c>
      <c r="B8" t="s">
        <v>59</v>
      </c>
      <c r="C8" t="str">
        <f t="shared" si="0"/>
        <v>4MH9JM5HJ4299</v>
      </c>
      <c r="D8" s="17">
        <v>45689</v>
      </c>
      <c r="E8" t="s">
        <v>61</v>
      </c>
      <c r="F8">
        <v>75</v>
      </c>
      <c r="G8">
        <v>20411460</v>
      </c>
      <c r="H8" t="s">
        <v>87</v>
      </c>
      <c r="I8" s="6" t="s">
        <v>89</v>
      </c>
    </row>
    <row r="9" spans="1:10" s="6" customFormat="1" x14ac:dyDescent="0.25">
      <c r="A9" t="s">
        <v>65</v>
      </c>
      <c r="B9" t="s">
        <v>66</v>
      </c>
      <c r="C9" t="str">
        <f t="shared" si="0"/>
        <v>8G88PQ0DH5399</v>
      </c>
      <c r="D9" s="17">
        <v>45658</v>
      </c>
      <c r="E9" t="s">
        <v>68</v>
      </c>
      <c r="F9">
        <v>50</v>
      </c>
      <c r="G9">
        <v>20411461</v>
      </c>
      <c r="H9" t="s">
        <v>87</v>
      </c>
      <c r="I9" s="6" t="s">
        <v>89</v>
      </c>
    </row>
    <row r="10" spans="1:10" s="6" customFormat="1" x14ac:dyDescent="0.25">
      <c r="A10" t="s">
        <v>72</v>
      </c>
      <c r="B10" t="s">
        <v>73</v>
      </c>
      <c r="C10" t="str">
        <f t="shared" si="0"/>
        <v>2YK4PG2TY7699</v>
      </c>
      <c r="D10" s="17">
        <v>45658</v>
      </c>
      <c r="E10" t="s">
        <v>68</v>
      </c>
      <c r="F10">
        <v>50</v>
      </c>
      <c r="G10">
        <v>20411462</v>
      </c>
      <c r="H10" t="s">
        <v>87</v>
      </c>
      <c r="I10" s="6" t="s">
        <v>89</v>
      </c>
    </row>
    <row r="11" spans="1:10" s="6" customFormat="1" x14ac:dyDescent="0.25">
      <c r="A11" t="s">
        <v>76</v>
      </c>
      <c r="B11" t="s">
        <v>77</v>
      </c>
      <c r="C11" t="str">
        <f>CONCATENATE(B11,8)</f>
        <v>1A99E05WR118</v>
      </c>
      <c r="D11" s="17">
        <v>45689</v>
      </c>
      <c r="E11" t="s">
        <v>79</v>
      </c>
      <c r="F11">
        <v>626</v>
      </c>
      <c r="G11" s="27">
        <v>19645587</v>
      </c>
      <c r="H11" t="s">
        <v>41</v>
      </c>
      <c r="I11" s="6" t="s">
        <v>88</v>
      </c>
      <c r="J11" s="6" t="s">
        <v>90</v>
      </c>
    </row>
    <row r="12" spans="1:10" s="6" customFormat="1" x14ac:dyDescent="0.25">
      <c r="A12" t="s">
        <v>76</v>
      </c>
      <c r="B12" t="s">
        <v>77</v>
      </c>
      <c r="C12" t="str">
        <f t="shared" si="0"/>
        <v>1A99E05WR1199</v>
      </c>
      <c r="D12" s="17">
        <v>45689</v>
      </c>
      <c r="E12" t="s">
        <v>79</v>
      </c>
      <c r="F12">
        <v>80</v>
      </c>
      <c r="G12">
        <v>20411462</v>
      </c>
      <c r="H12" t="s">
        <v>87</v>
      </c>
      <c r="I12" s="6" t="s">
        <v>89</v>
      </c>
    </row>
    <row r="13" spans="1:10" s="6" customFormat="1" x14ac:dyDescent="0.25">
      <c r="A13" t="s">
        <v>84</v>
      </c>
      <c r="B13" t="s">
        <v>85</v>
      </c>
      <c r="C13" t="str">
        <f t="shared" si="0"/>
        <v>9G89X01TK1599</v>
      </c>
      <c r="D13" s="17">
        <v>45658</v>
      </c>
      <c r="E13" t="s">
        <v>54</v>
      </c>
      <c r="F13">
        <v>75</v>
      </c>
      <c r="G13">
        <v>20411462</v>
      </c>
      <c r="H13" t="s">
        <v>87</v>
      </c>
      <c r="I13" s="6" t="s">
        <v>89</v>
      </c>
    </row>
    <row r="14" spans="1:10" s="6" customFormat="1" x14ac:dyDescent="0.25"/>
    <row r="15" spans="1:10" s="6" customFormat="1" x14ac:dyDescent="0.25"/>
    <row r="16" spans="1:10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</sheetData>
  <pageMargins left="0.7" right="0.7" top="0.75" bottom="0.75" header="0.3" footer="0.3"/>
  <ignoredErrors>
    <ignoredError sqref="C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2025-03-12T20:30:02Z</dcterms:modified>
</cp:coreProperties>
</file>