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10-3-25\"/>
    </mc:Choice>
  </mc:AlternateContent>
  <xr:revisionPtr revIDLastSave="0" documentId="13_ncr:1_{D357BEF9-86DA-453F-9EBC-129AEE1C5C3E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2" i="4"/>
</calcChain>
</file>

<file path=xl/sharedStrings.xml><?xml version="1.0" encoding="utf-8"?>
<sst xmlns="http://schemas.openxmlformats.org/spreadsheetml/2006/main" count="162" uniqueCount="69">
  <si>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</si>
  <si>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</si>
  <si>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</si>
  <si>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</si>
  <si>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</si>
  <si>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</si>
  <si>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</si>
  <si>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</si>
  <si>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</si>
  <si>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</si>
  <si>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</si>
  <si>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</si>
  <si>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</si>
  <si>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</si>
  <si>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</si>
  <si>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</si>
  <si>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</si>
  <si>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</si>
  <si>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</si>
  <si>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</si>
  <si>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</si>
  <si>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</si>
  <si>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</si>
  <si>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</si>
  <si>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</si>
  <si>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</si>
  <si>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</si>
  <si>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</si>
  <si>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</si>
  <si>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</si>
  <si>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</si>
  <si>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</si>
  <si>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</si>
  <si>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</si>
  <si>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VBE</t>
  </si>
  <si>
    <t>ARTEAGA CARRILLO, ADOLFO</t>
  </si>
  <si>
    <t>6CY4EY4WN80</t>
  </si>
  <si>
    <t>59H7H1X37</t>
  </si>
  <si>
    <t>IL</t>
  </si>
  <si>
    <t>C500975</t>
  </si>
  <si>
    <t>9213293</t>
  </si>
  <si>
    <t>GARY PORTUGAL</t>
  </si>
  <si>
    <t>2025 VBE-Digital Incentive Payment</t>
  </si>
  <si>
    <t>2025 VBE-HRA Admin Fee</t>
  </si>
  <si>
    <t>KHAN, MASROOR</t>
  </si>
  <si>
    <t>2F23GP2HF05</t>
  </si>
  <si>
    <t>37A1R7X45</t>
  </si>
  <si>
    <t>C629206</t>
  </si>
  <si>
    <t>19681796</t>
  </si>
  <si>
    <t>CHRIS TAUGNER</t>
  </si>
  <si>
    <t>PEERA, KATHLEEN</t>
  </si>
  <si>
    <t>9FC3YJ5WV16</t>
  </si>
  <si>
    <t>35X3H1X41</t>
  </si>
  <si>
    <t>Chargeback</t>
  </si>
  <si>
    <t>SEIZYS, ALAN</t>
  </si>
  <si>
    <t>4VU9U48JN34</t>
  </si>
  <si>
    <t>58R5A1U71</t>
  </si>
  <si>
    <t>C629657</t>
  </si>
  <si>
    <t>19645587</t>
  </si>
  <si>
    <t>STACEY PORTUGAL</t>
  </si>
  <si>
    <t>HEARTLAND FINANCIAL GROUP INC</t>
  </si>
  <si>
    <t>INTEGRITY MARKETING GROUP NV, LLC</t>
  </si>
  <si>
    <t>DISENROLLMENT-VOLUNTARY</t>
  </si>
  <si>
    <t>STOVALL JR, RAY</t>
  </si>
  <si>
    <t>7V19TV7KG55</t>
  </si>
  <si>
    <t>36F8L5X89</t>
  </si>
  <si>
    <t>TX</t>
  </si>
  <si>
    <t>Cigna - Digital Incentive Payment</t>
  </si>
  <si>
    <t>Cigna - HRA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</si>
</sst>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activeCell="I13" sqref="I13:I20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45933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-264.08</v>
      </c>
      <c r="B8" s="13">
        <v>0</v>
      </c>
      <c r="C8" s="12">
        <v>0</v>
      </c>
      <c r="D8" s="13">
        <v>0</v>
      </c>
      <c r="E8" s="12">
        <v>0</v>
      </c>
      <c r="F8" s="13">
        <v>2</v>
      </c>
      <c r="G8" s="14">
        <v>-158.25</v>
      </c>
      <c r="H8" s="13">
        <v>6</v>
      </c>
      <c r="I8" s="23">
        <v>350</v>
      </c>
      <c r="J8" s="15">
        <v>-72.33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45870</v>
      </c>
      <c r="F13" s="17">
        <v>73050</v>
      </c>
      <c r="G13" s="17">
        <v>45855</v>
      </c>
      <c r="H13" t="s">
        <v>38</v>
      </c>
      <c r="I13">
        <v>50</v>
      </c>
      <c r="J13" t="s">
        <v>39</v>
      </c>
      <c r="K13" t="s">
        <v>40</v>
      </c>
      <c r="L13" t="s">
        <v>41</v>
      </c>
      <c r="M13" t="s">
        <v>33</v>
      </c>
      <c r="U13" t="s">
        <v>42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45870</v>
      </c>
      <c r="F14" s="17">
        <v>65380</v>
      </c>
      <c r="G14" s="17">
        <v>45855</v>
      </c>
      <c r="H14" t="s">
        <v>38</v>
      </c>
      <c r="I14">
        <v>75</v>
      </c>
      <c r="J14" t="s">
        <v>39</v>
      </c>
      <c r="K14" t="s">
        <v>40</v>
      </c>
      <c r="L14" t="s">
        <v>41</v>
      </c>
      <c r="M14" t="s">
        <v>33</v>
      </c>
      <c r="U14" t="s">
        <v>43</v>
      </c>
    </row>
    <row r="15" spans="1:21" s="6" customFormat="1" x14ac:dyDescent="0.25">
      <c r="A15" t="s">
        <v>34</v>
      </c>
      <c r="B15" t="s">
        <v>44</v>
      </c>
      <c r="C15" t="s">
        <v>45</v>
      </c>
      <c r="D15" t="s">
        <v>46</v>
      </c>
      <c r="E15" s="17">
        <v>45870</v>
      </c>
      <c r="F15" s="17">
        <v>73050</v>
      </c>
      <c r="G15" s="17">
        <v>45857</v>
      </c>
      <c r="H15" t="s">
        <v>38</v>
      </c>
      <c r="I15">
        <v>50</v>
      </c>
      <c r="J15" t="s">
        <v>47</v>
      </c>
      <c r="K15" t="s">
        <v>48</v>
      </c>
      <c r="L15" t="s">
        <v>49</v>
      </c>
      <c r="M15" t="s">
        <v>33</v>
      </c>
      <c r="U15" t="s">
        <v>42</v>
      </c>
    </row>
    <row r="16" spans="1:21" s="6" customFormat="1" x14ac:dyDescent="0.25">
      <c r="A16" t="s">
        <v>34</v>
      </c>
      <c r="B16" t="s">
        <v>50</v>
      </c>
      <c r="C16" t="s">
        <v>51</v>
      </c>
      <c r="D16" t="s">
        <v>52</v>
      </c>
      <c r="E16" s="17">
        <v>45870</v>
      </c>
      <c r="F16" s="17">
        <v>73050</v>
      </c>
      <c r="G16" s="17">
        <v>45859</v>
      </c>
      <c r="H16" t="s">
        <v>38</v>
      </c>
      <c r="I16">
        <v>50</v>
      </c>
      <c r="J16" t="s">
        <v>39</v>
      </c>
      <c r="K16" t="s">
        <v>40</v>
      </c>
      <c r="L16" t="s">
        <v>41</v>
      </c>
      <c r="M16" t="s">
        <v>33</v>
      </c>
      <c r="U16" t="s">
        <v>42</v>
      </c>
    </row>
    <row r="17" spans="1:21" s="6" customFormat="1" x14ac:dyDescent="0.25">
      <c r="A17" t="s">
        <v>34</v>
      </c>
      <c r="B17" t="s">
        <v>50</v>
      </c>
      <c r="C17" t="s">
        <v>51</v>
      </c>
      <c r="D17" t="s">
        <v>52</v>
      </c>
      <c r="E17" s="17">
        <v>45870</v>
      </c>
      <c r="F17" s="17">
        <v>65380</v>
      </c>
      <c r="G17" s="17">
        <v>45859</v>
      </c>
      <c r="H17" t="s">
        <v>38</v>
      </c>
      <c r="I17">
        <v>75</v>
      </c>
      <c r="J17" t="s">
        <v>39</v>
      </c>
      <c r="K17" t="s">
        <v>40</v>
      </c>
      <c r="L17" t="s">
        <v>41</v>
      </c>
      <c r="M17" t="s">
        <v>33</v>
      </c>
      <c r="U17" t="s">
        <v>43</v>
      </c>
    </row>
    <row r="18" spans="1:21" s="6" customFormat="1" x14ac:dyDescent="0.25">
      <c r="A18" t="s">
        <v>53</v>
      </c>
      <c r="B18" t="s">
        <v>54</v>
      </c>
      <c r="C18" t="s">
        <v>55</v>
      </c>
      <c r="D18" t="s">
        <v>56</v>
      </c>
      <c r="E18" s="17">
        <v>45931</v>
      </c>
      <c r="F18" s="17">
        <v>45931</v>
      </c>
      <c r="G18" s="17">
        <v>45908</v>
      </c>
      <c r="H18" t="s">
        <v>38</v>
      </c>
      <c r="I18">
        <v>-78.25</v>
      </c>
      <c r="J18" t="s">
        <v>57</v>
      </c>
      <c r="K18" t="s">
        <v>58</v>
      </c>
      <c r="L18" t="s">
        <v>59</v>
      </c>
      <c r="M18" t="s">
        <v>33</v>
      </c>
      <c r="S18" t="s">
        <v>60</v>
      </c>
      <c r="T18" t="s">
        <v>61</v>
      </c>
      <c r="U18" t="s">
        <v>62</v>
      </c>
    </row>
    <row r="19" spans="1:21" s="6" customFormat="1" x14ac:dyDescent="0.25">
      <c r="A19" t="s">
        <v>53</v>
      </c>
      <c r="B19" t="s">
        <v>54</v>
      </c>
      <c r="C19" t="s">
        <v>55</v>
      </c>
      <c r="D19" t="s">
        <v>56</v>
      </c>
      <c r="E19" s="17">
        <v>45931</v>
      </c>
      <c r="F19" s="17">
        <v>45931</v>
      </c>
      <c r="G19" s="17">
        <v>45908</v>
      </c>
      <c r="H19" t="s">
        <v>38</v>
      </c>
      <c r="I19">
        <v>-80</v>
      </c>
      <c r="J19" t="s">
        <v>57</v>
      </c>
      <c r="K19" t="s">
        <v>58</v>
      </c>
      <c r="L19" t="s">
        <v>59</v>
      </c>
      <c r="M19" t="s">
        <v>33</v>
      </c>
      <c r="T19" t="s">
        <v>61</v>
      </c>
      <c r="U19" t="s">
        <v>62</v>
      </c>
    </row>
    <row r="20" spans="1:21" s="6" customFormat="1" x14ac:dyDescent="0.25">
      <c r="A20" t="s">
        <v>34</v>
      </c>
      <c r="B20" t="s">
        <v>63</v>
      </c>
      <c r="C20" t="s">
        <v>64</v>
      </c>
      <c r="D20" t="s">
        <v>65</v>
      </c>
      <c r="E20" s="17">
        <v>45870</v>
      </c>
      <c r="F20" s="17">
        <v>73050</v>
      </c>
      <c r="G20" s="17">
        <v>45862</v>
      </c>
      <c r="H20" t="s">
        <v>66</v>
      </c>
      <c r="I20">
        <v>50</v>
      </c>
      <c r="J20" t="s">
        <v>47</v>
      </c>
      <c r="K20" t="s">
        <v>48</v>
      </c>
      <c r="L20" t="s">
        <v>49</v>
      </c>
      <c r="M20" t="s">
        <v>33</v>
      </c>
      <c r="U20" t="s">
        <v>42</v>
      </c>
    </row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0962-48A2-4233-B71D-6FE6B890D23E}">
  <dimension ref="A1:I4509"/>
  <sheetViews>
    <sheetView tabSelected="1" workbookViewId="0">
      <selection activeCell="C13" sqref="C13"/>
    </sheetView>
  </sheetViews>
  <sheetFormatPr defaultRowHeight="15" x14ac:dyDescent="0.25"/>
  <cols>
    <col min="1" max="1" width="27.42578125" style="3" customWidth="1"/>
    <col min="2" max="2" width="22.85546875" style="3" customWidth="1"/>
    <col min="3" max="3" width="18.85546875" style="8" customWidth="1"/>
    <col min="4" max="4" width="21.140625" style="22" bestFit="1" customWidth="1"/>
    <col min="5" max="5" width="15.28515625" style="3" bestFit="1" customWidth="1"/>
    <col min="6" max="6" width="40.7109375" style="3" customWidth="1"/>
    <col min="7" max="7" width="49" style="3" customWidth="1"/>
    <col min="8" max="8" width="30.85546875" bestFit="1" customWidth="1"/>
  </cols>
  <sheetData>
    <row r="1" spans="1:9" s="2" customFormat="1" ht="15" customHeight="1" x14ac:dyDescent="0.25">
      <c r="A1" s="7" t="s">
        <v>10</v>
      </c>
      <c r="B1" s="7" t="s">
        <v>13</v>
      </c>
      <c r="C1" s="7" t="s">
        <v>0</v>
      </c>
      <c r="D1" s="21" t="s">
        <v>4</v>
      </c>
      <c r="E1" s="16" t="s">
        <v>16</v>
      </c>
      <c r="F1" s="7" t="s">
        <v>5</v>
      </c>
      <c r="G1" s="7" t="s">
        <v>12</v>
      </c>
    </row>
    <row r="2" spans="1:9" s="6" customFormat="1" x14ac:dyDescent="0.25">
      <c r="A2" t="s">
        <v>35</v>
      </c>
      <c r="B2" t="s">
        <v>36</v>
      </c>
      <c r="C2" s="17">
        <v>45870</v>
      </c>
      <c r="D2">
        <v>50</v>
      </c>
      <c r="E2" s="27">
        <v>9213293</v>
      </c>
      <c r="F2" t="s">
        <v>41</v>
      </c>
      <c r="G2" t="s">
        <v>42</v>
      </c>
      <c r="H2" s="6" t="s">
        <v>67</v>
      </c>
      <c r="I2" s="6" t="str">
        <f>CONCATENATE(H2,"-", A2)</f>
        <v>Cigna - Digital Incentive Payment-ARTEAGA CARRILLO, ADOLFO</v>
      </c>
    </row>
    <row r="3" spans="1:9" s="6" customFormat="1" x14ac:dyDescent="0.25">
      <c r="A3" t="s">
        <v>44</v>
      </c>
      <c r="B3" t="s">
        <v>45</v>
      </c>
      <c r="C3" s="17">
        <v>45870</v>
      </c>
      <c r="D3">
        <v>50</v>
      </c>
      <c r="E3" s="27">
        <v>19681796</v>
      </c>
      <c r="F3" t="s">
        <v>49</v>
      </c>
      <c r="G3" t="s">
        <v>42</v>
      </c>
      <c r="H3" s="6" t="s">
        <v>67</v>
      </c>
      <c r="I3" s="6" t="str">
        <f t="shared" ref="I3:I7" si="0">CONCATENATE(H3,"-", A3)</f>
        <v>Cigna - Digital Incentive Payment-KHAN, MASROOR</v>
      </c>
    </row>
    <row r="4" spans="1:9" s="6" customFormat="1" x14ac:dyDescent="0.25">
      <c r="A4" t="s">
        <v>50</v>
      </c>
      <c r="B4" t="s">
        <v>51</v>
      </c>
      <c r="C4" s="17">
        <v>45870</v>
      </c>
      <c r="D4">
        <v>50</v>
      </c>
      <c r="E4" s="27">
        <v>9213293</v>
      </c>
      <c r="F4" t="s">
        <v>41</v>
      </c>
      <c r="G4" t="s">
        <v>42</v>
      </c>
      <c r="H4" s="6" t="s">
        <v>67</v>
      </c>
      <c r="I4" s="6" t="str">
        <f t="shared" si="0"/>
        <v>Cigna - Digital Incentive Payment-PEERA, KATHLEEN</v>
      </c>
    </row>
    <row r="5" spans="1:9" s="6" customFormat="1" x14ac:dyDescent="0.25">
      <c r="A5" t="s">
        <v>63</v>
      </c>
      <c r="B5" t="s">
        <v>64</v>
      </c>
      <c r="C5" s="17">
        <v>45870</v>
      </c>
      <c r="D5">
        <v>50</v>
      </c>
      <c r="E5" s="27">
        <v>19681796</v>
      </c>
      <c r="F5" t="s">
        <v>49</v>
      </c>
      <c r="G5" t="s">
        <v>42</v>
      </c>
      <c r="H5" s="6" t="s">
        <v>67</v>
      </c>
      <c r="I5" s="6" t="str">
        <f t="shared" si="0"/>
        <v>Cigna - Digital Incentive Payment-STOVALL JR, RAY</v>
      </c>
    </row>
    <row r="6" spans="1:9" s="6" customFormat="1" x14ac:dyDescent="0.25">
      <c r="A6" t="s">
        <v>35</v>
      </c>
      <c r="B6" t="s">
        <v>36</v>
      </c>
      <c r="C6" s="17">
        <v>45870</v>
      </c>
      <c r="D6">
        <v>75</v>
      </c>
      <c r="E6" s="27">
        <v>9213293</v>
      </c>
      <c r="F6" t="s">
        <v>41</v>
      </c>
      <c r="G6" t="s">
        <v>43</v>
      </c>
      <c r="H6" s="6" t="s">
        <v>68</v>
      </c>
      <c r="I6" s="6" t="str">
        <f t="shared" si="0"/>
        <v>Cigna - HRA Bonus-ARTEAGA CARRILLO, ADOLFO</v>
      </c>
    </row>
    <row r="7" spans="1:9" s="6" customFormat="1" x14ac:dyDescent="0.25">
      <c r="A7" t="s">
        <v>50</v>
      </c>
      <c r="B7" t="s">
        <v>51</v>
      </c>
      <c r="C7" s="17">
        <v>45870</v>
      </c>
      <c r="D7">
        <v>75</v>
      </c>
      <c r="E7" s="27">
        <v>9213293</v>
      </c>
      <c r="F7" t="s">
        <v>41</v>
      </c>
      <c r="G7" t="s">
        <v>43</v>
      </c>
      <c r="H7" s="6" t="s">
        <v>68</v>
      </c>
      <c r="I7" s="6" t="str">
        <f t="shared" si="0"/>
        <v>Cigna - HRA Bonus-PEERA, KATHLEEN</v>
      </c>
    </row>
    <row r="8" spans="1:9" s="6" customFormat="1" x14ac:dyDescent="0.25">
      <c r="A8" t="s">
        <v>54</v>
      </c>
      <c r="B8" t="s">
        <v>55</v>
      </c>
      <c r="C8" s="17">
        <v>45931</v>
      </c>
      <c r="D8">
        <v>-78.25</v>
      </c>
      <c r="E8" s="27">
        <v>19645587</v>
      </c>
      <c r="F8" t="s">
        <v>59</v>
      </c>
      <c r="G8" t="s">
        <v>62</v>
      </c>
    </row>
    <row r="9" spans="1:9" s="6" customFormat="1" x14ac:dyDescent="0.25">
      <c r="A9" t="s">
        <v>54</v>
      </c>
      <c r="B9" t="s">
        <v>55</v>
      </c>
      <c r="C9" s="17">
        <v>45931</v>
      </c>
      <c r="D9">
        <v>-80</v>
      </c>
      <c r="E9" s="27">
        <v>19645587</v>
      </c>
      <c r="F9" t="s">
        <v>59</v>
      </c>
      <c r="G9" t="s">
        <v>62</v>
      </c>
    </row>
    <row r="10" spans="1:9" s="6" customFormat="1" x14ac:dyDescent="0.25"/>
    <row r="11" spans="1:9" s="6" customFormat="1" x14ac:dyDescent="0.25"/>
    <row r="12" spans="1:9" s="6" customFormat="1" x14ac:dyDescent="0.25"/>
    <row r="13" spans="1:9" s="6" customFormat="1" x14ac:dyDescent="0.25"/>
    <row r="14" spans="1:9" s="6" customFormat="1" x14ac:dyDescent="0.25"/>
    <row r="15" spans="1:9" s="6" customFormat="1" x14ac:dyDescent="0.25"/>
    <row r="16" spans="1:9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sortState xmlns:xlrd2="http://schemas.microsoft.com/office/spreadsheetml/2017/richdata2" ref="A2:U9">
    <sortCondition ref="G2:G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2025-10-04T19:33:59Z</dcterms:modified>
</cp:coreProperties>
</file>