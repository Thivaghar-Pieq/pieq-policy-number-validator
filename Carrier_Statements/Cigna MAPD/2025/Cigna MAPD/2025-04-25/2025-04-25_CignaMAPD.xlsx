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4-25-25\"/>
    </mc:Choice>
  </mc:AlternateContent>
  <xr:revisionPtr revIDLastSave="0" documentId="13_ncr:1_{3A1A9320-58E0-4CE2-AAE7-B97B7262F1BF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7" i="4" l="1"/>
  <c r="C6" i="4"/>
  <c r="C5" i="4"/>
  <c r="C4" i="4"/>
  <c r="C3" i="4"/>
  <c r="C2" i="4"/>
  <c r="M4" i="4"/>
  <c r="M2" i="4"/>
</calcChain>
</file>

<file path=xl/sharedStrings.xml><?xml version="1.0" encoding="utf-8"?>
<sst xmlns="http://schemas.openxmlformats.org/spreadsheetml/2006/main" count="130" uniqueCount="69">
  <si>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</si>
  <si>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</si>
  <si>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</si>
  <si>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</si>
  <si>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</si>
  <si>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</si>
  <si>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</si>
  <si>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</si>
  <si>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</si>
  <si>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</si>
  <si>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</si>
  <si>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</si>
  <si>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</si>
  <si>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</si>
  <si>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</si>
  <si>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</si>
  <si>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</si>
  <si>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</si>
  <si>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</si>
  <si>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</si>
  <si>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</si>
  <si>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</si>
  <si>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</si>
  <si>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</si>
  <si>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</si>
  <si>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</si>
  <si>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</si>
  <si>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</si>
  <si>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</si>
  <si>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</si>
  <si>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</si>
  <si>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</si>
  <si>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</si>
  <si>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</si>
  <si>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</si>
  <si>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COLLINS, PATRICK</t>
  </si>
  <si>
    <t>8TP1CC6YR93</t>
  </si>
  <si>
    <t>48F2X5X26</t>
  </si>
  <si>
    <t>IL</t>
  </si>
  <si>
    <t>C645677</t>
  </si>
  <si>
    <t>19106640</t>
  </si>
  <si>
    <t>SCOTT FINE</t>
  </si>
  <si>
    <t>HEARTLAND FINANCIAL GROUP INC</t>
  </si>
  <si>
    <t>INTEGRITY MARKETING GROUP NV, LLC</t>
  </si>
  <si>
    <t>NEW PAY PAYMENT</t>
  </si>
  <si>
    <t>GRONSKY, STEPHEN</t>
  </si>
  <si>
    <t>2RT1U68KY11</t>
  </si>
  <si>
    <t>78L3F1U61</t>
  </si>
  <si>
    <t>PA</t>
  </si>
  <si>
    <t>C475237</t>
  </si>
  <si>
    <t>18710070</t>
  </si>
  <si>
    <t>MICHELLE MCCORKLE</t>
  </si>
  <si>
    <t>HOWE, TIMOTHY</t>
  </si>
  <si>
    <t>8YH8AP6NH41</t>
  </si>
  <si>
    <t>54X4U5H81</t>
  </si>
  <si>
    <t>CO</t>
  </si>
  <si>
    <t>C508817</t>
  </si>
  <si>
    <t>6634327</t>
  </si>
  <si>
    <t>JOEL LEE</t>
  </si>
  <si>
    <t>CMS TRUE UP PAYMENT - NO PRIOR PLAN</t>
  </si>
  <si>
    <t>Cigna MAPD 2025*</t>
  </si>
  <si>
    <t>Main Line Benefits</t>
  </si>
  <si>
    <t>[%/$=313][prorate=9/12]</t>
  </si>
  <si>
    <t>Cigna MAPD 2025</t>
  </si>
  <si>
    <t>[%/$=313][prorate=8/12]</t>
  </si>
  <si>
    <t>[%/$=353][prorate=9/12]</t>
  </si>
  <si>
    <t>Cigna 2025 CT, PA, DC*</t>
  </si>
  <si>
    <t>Cigna MAPD 2025 Ovr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</si>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</sst>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righ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45772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5</v>
      </c>
      <c r="C8" s="12">
        <v>1024.67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1024.67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45778</v>
      </c>
      <c r="F13" s="17">
        <v>73050</v>
      </c>
      <c r="G13" s="17">
        <v>45756</v>
      </c>
      <c r="H13" t="s">
        <v>38</v>
      </c>
      <c r="I13">
        <v>208.67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45778</v>
      </c>
      <c r="F14" s="17">
        <v>73050</v>
      </c>
      <c r="G14" s="17">
        <v>45756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45748</v>
      </c>
      <c r="F15" s="17">
        <v>73050</v>
      </c>
      <c r="G15" s="17">
        <v>45727</v>
      </c>
      <c r="H15" t="s">
        <v>48</v>
      </c>
      <c r="I15">
        <v>264.75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45748</v>
      </c>
      <c r="F16" s="17">
        <v>73050</v>
      </c>
      <c r="G16" s="17">
        <v>45727</v>
      </c>
      <c r="H16" t="s">
        <v>48</v>
      </c>
      <c r="I16">
        <v>80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pans="1:21" s="6" customFormat="1" x14ac:dyDescent="0.25">
      <c r="A17" t="s">
        <v>34</v>
      </c>
      <c r="B17" t="s">
        <v>52</v>
      </c>
      <c r="C17" t="s">
        <v>53</v>
      </c>
      <c r="D17" t="s">
        <v>54</v>
      </c>
      <c r="E17" s="17">
        <v>45748</v>
      </c>
      <c r="F17" s="17">
        <v>73050</v>
      </c>
      <c r="G17" s="17">
        <v>45736</v>
      </c>
      <c r="H17" t="s">
        <v>55</v>
      </c>
      <c r="I17">
        <v>391.25</v>
      </c>
      <c r="J17" t="s">
        <v>56</v>
      </c>
      <c r="K17" t="s">
        <v>57</v>
      </c>
      <c r="L17" t="s">
        <v>58</v>
      </c>
      <c r="U17" t="s">
        <v>59</v>
      </c>
    </row>
    <row r="18" spans="1:21" s="6" customFormat="1" x14ac:dyDescent="0.25"/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18C9-9D51-4666-B59F-03961A03B83A}">
  <dimension ref="A1:M4509"/>
  <sheetViews>
    <sheetView tabSelected="1" workbookViewId="0">
      <selection activeCell="J2" sqref="J2:J7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16.85546875" style="3" customWidth="1"/>
    <col min="6" max="6" width="21.140625" style="22" bestFit="1" customWidth="1"/>
    <col min="7" max="7" width="15.28515625" style="3" bestFit="1" customWidth="1"/>
    <col min="8" max="8" width="40.7109375" style="3" customWidth="1"/>
    <col min="9" max="9" width="24" style="3" customWidth="1"/>
  </cols>
  <sheetData>
    <row r="1" spans="1:13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  <c r="I1" s="7"/>
    </row>
    <row r="2" spans="1:13" s="6" customFormat="1" x14ac:dyDescent="0.25">
      <c r="A2" t="s">
        <v>35</v>
      </c>
      <c r="B2" t="s">
        <v>36</v>
      </c>
      <c r="C2" t="str">
        <f>CONCATENATE(B2,9)</f>
        <v>8TP1CC6YR939</v>
      </c>
      <c r="D2" s="17">
        <v>45778</v>
      </c>
      <c r="E2" t="s">
        <v>38</v>
      </c>
      <c r="F2">
        <v>208.67</v>
      </c>
      <c r="G2" s="27">
        <v>19106640</v>
      </c>
      <c r="H2" t="s">
        <v>41</v>
      </c>
      <c r="I2" t="s">
        <v>60</v>
      </c>
      <c r="J2" s="6" t="s">
        <v>64</v>
      </c>
      <c r="M2" s="6">
        <f>313/12*8</f>
        <v>208.66666666666666</v>
      </c>
    </row>
    <row r="3" spans="1:13" s="6" customFormat="1" x14ac:dyDescent="0.25">
      <c r="A3" t="s">
        <v>35</v>
      </c>
      <c r="B3" t="s">
        <v>36</v>
      </c>
      <c r="C3" t="str">
        <f>CONCATENATE(B3,99)</f>
        <v>8TP1CC6YR9399</v>
      </c>
      <c r="D3" s="17">
        <v>45778</v>
      </c>
      <c r="E3" t="s">
        <v>38</v>
      </c>
      <c r="F3">
        <v>80</v>
      </c>
      <c r="G3" s="27">
        <v>20411454</v>
      </c>
      <c r="H3" t="s">
        <v>61</v>
      </c>
      <c r="I3" t="s">
        <v>67</v>
      </c>
    </row>
    <row r="4" spans="1:13" s="6" customFormat="1" x14ac:dyDescent="0.25">
      <c r="A4" t="s">
        <v>45</v>
      </c>
      <c r="B4" t="s">
        <v>46</v>
      </c>
      <c r="C4" t="str">
        <f>CONCATENATE(B4,9)</f>
        <v>2RT1U68KY119</v>
      </c>
      <c r="D4" s="17">
        <v>45748</v>
      </c>
      <c r="E4" t="s">
        <v>48</v>
      </c>
      <c r="F4">
        <v>264.75</v>
      </c>
      <c r="G4" s="27">
        <v>18710070</v>
      </c>
      <c r="H4" t="s">
        <v>51</v>
      </c>
      <c r="I4" t="s">
        <v>66</v>
      </c>
      <c r="J4" s="6" t="s">
        <v>65</v>
      </c>
      <c r="M4" s="6">
        <f>353/12*9</f>
        <v>264.75</v>
      </c>
    </row>
    <row r="5" spans="1:13" s="6" customFormat="1" x14ac:dyDescent="0.25">
      <c r="A5" t="s">
        <v>45</v>
      </c>
      <c r="B5" t="s">
        <v>46</v>
      </c>
      <c r="C5" t="str">
        <f>CONCATENATE(B5,99)</f>
        <v>2RT1U68KY1199</v>
      </c>
      <c r="D5" s="17">
        <v>45748</v>
      </c>
      <c r="E5" t="s">
        <v>48</v>
      </c>
      <c r="F5">
        <v>80</v>
      </c>
      <c r="G5" s="27">
        <v>20411454</v>
      </c>
      <c r="H5" t="s">
        <v>61</v>
      </c>
      <c r="I5" t="s">
        <v>67</v>
      </c>
    </row>
    <row r="6" spans="1:13" s="6" customFormat="1" x14ac:dyDescent="0.25">
      <c r="A6" t="s">
        <v>52</v>
      </c>
      <c r="B6" t="s">
        <v>53</v>
      </c>
      <c r="C6" t="str">
        <f>CONCATENATE(B6,8)</f>
        <v>8YH8AP6NH418</v>
      </c>
      <c r="D6" s="17">
        <v>45748</v>
      </c>
      <c r="E6" t="s">
        <v>55</v>
      </c>
      <c r="F6">
        <v>626</v>
      </c>
      <c r="G6" s="27">
        <v>6634327</v>
      </c>
      <c r="H6" t="s">
        <v>58</v>
      </c>
      <c r="I6" t="s">
        <v>63</v>
      </c>
      <c r="J6" s="6" t="s">
        <v>68</v>
      </c>
    </row>
    <row r="7" spans="1:13" s="6" customFormat="1" x14ac:dyDescent="0.25">
      <c r="A7" t="s">
        <v>52</v>
      </c>
      <c r="B7" t="s">
        <v>53</v>
      </c>
      <c r="C7" t="str">
        <f>CONCATENATE(B7,9)</f>
        <v>8YH8AP6NH419</v>
      </c>
      <c r="D7" s="17">
        <v>45748</v>
      </c>
      <c r="E7" t="s">
        <v>55</v>
      </c>
      <c r="F7" s="28">
        <v>-234.75</v>
      </c>
      <c r="G7" s="27">
        <v>6634327</v>
      </c>
      <c r="H7" t="s">
        <v>58</v>
      </c>
      <c r="I7" t="s">
        <v>60</v>
      </c>
      <c r="J7" s="6" t="s">
        <v>62</v>
      </c>
    </row>
    <row r="8" spans="1:13" s="6" customFormat="1" x14ac:dyDescent="0.25"/>
    <row r="9" spans="1:13" s="6" customFormat="1" x14ac:dyDescent="0.25"/>
    <row r="10" spans="1:13" s="6" customFormat="1" x14ac:dyDescent="0.25"/>
    <row r="11" spans="1:13" s="6" customFormat="1" x14ac:dyDescent="0.25"/>
    <row r="12" spans="1:13" s="6" customFormat="1" x14ac:dyDescent="0.25"/>
    <row r="13" spans="1:13" s="6" customFormat="1" x14ac:dyDescent="0.25"/>
    <row r="14" spans="1:13" s="6" customFormat="1" x14ac:dyDescent="0.25"/>
    <row r="15" spans="1:13" s="6" customFormat="1" x14ac:dyDescent="0.25"/>
    <row r="16" spans="1:13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2025-04-30T13:01:28Z</dcterms:modified>
</cp:coreProperties>
</file>