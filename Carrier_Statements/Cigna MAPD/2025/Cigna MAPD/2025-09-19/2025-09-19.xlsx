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9-19-25\"/>
    </mc:Choice>
  </mc:AlternateContent>
  <xr:revisionPtr revIDLastSave="0" documentId="13_ncr:1_{62BEE249-9C34-4544-8DF9-4C11D09A6D5B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10" i="4" l="1"/>
  <c r="C8" i="4"/>
  <c r="C6" i="4"/>
  <c r="C4" i="4"/>
  <c r="C11" i="4"/>
  <c r="C9" i="4"/>
  <c r="C7" i="4"/>
  <c r="C5" i="4"/>
  <c r="C3" i="4"/>
  <c r="C2" i="4"/>
</calcChain>
</file>

<file path=xl/sharedStrings.xml><?xml version="1.0" encoding="utf-8"?>
<sst xmlns="http://schemas.openxmlformats.org/spreadsheetml/2006/main" count="236" uniqueCount="78">
  <si>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</si>
  <si>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</si>
  <si>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</si>
  <si>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</si>
  <si>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</si>
  <si>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</si>
  <si>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</si>
  <si>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</si>
  <si>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</si>
  <si>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</si>
  <si>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</si>
  <si>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</si>
  <si>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</si>
  <si>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</si>
  <si>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</si>
  <si>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</si>
  <si>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</si>
  <si>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</si>
  <si>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</si>
  <si>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</si>
  <si>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</si>
  <si>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</si>
  <si>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</si>
  <si>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</si>
  <si>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</si>
  <si>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</si>
  <si>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</si>
  <si>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</si>
  <si>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</si>
  <si>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</si>
  <si>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</si>
  <si>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</si>
  <si>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</si>
  <si>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</si>
  <si>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New Application</t>
  </si>
  <si>
    <t>ARMS, DAVID</t>
  </si>
  <si>
    <t>7FM6KW2YN78</t>
  </si>
  <si>
    <t>32F8A3X71</t>
  </si>
  <si>
    <t>IL</t>
  </si>
  <si>
    <t>C565467</t>
  </si>
  <si>
    <t>19200754</t>
  </si>
  <si>
    <t>RICARDO SANTOS</t>
  </si>
  <si>
    <t>HEARTLAND FINANCIAL GROUP INC</t>
  </si>
  <si>
    <t>INTEGRITY MARKETING GROUP NV, LLC</t>
  </si>
  <si>
    <t>NEW APP PAYMENT</t>
  </si>
  <si>
    <t>ARTEAGA CARRILLO, ADOLFO</t>
  </si>
  <si>
    <t>6CY4EY4WN80</t>
  </si>
  <si>
    <t>59H7H1X37</t>
  </si>
  <si>
    <t>C500975</t>
  </si>
  <si>
    <t>9213293</t>
  </si>
  <si>
    <t>GARY PORTUGAL</t>
  </si>
  <si>
    <t>CMS TRUE UP PAYMENT - NO PRIOR PLAN</t>
  </si>
  <si>
    <t>GREGGO, LUCYANN</t>
  </si>
  <si>
    <t>7YP7FC1WY39</t>
  </si>
  <si>
    <t>18R5U3H94</t>
  </si>
  <si>
    <t>PA</t>
  </si>
  <si>
    <t>C397281</t>
  </si>
  <si>
    <t>16212649</t>
  </si>
  <si>
    <t>MURRAY STERNER</t>
  </si>
  <si>
    <t>CMS TRUE UP PAYMENT - PRIOR PLAN</t>
  </si>
  <si>
    <t>PEERA, KATHLEEN</t>
  </si>
  <si>
    <t>9FC3YJ5WV16</t>
  </si>
  <si>
    <t>35X3H1X41</t>
  </si>
  <si>
    <t>STOVALL JR, RAY</t>
  </si>
  <si>
    <t>7V19TV7KG55</t>
  </si>
  <si>
    <t>36F8L5X89</t>
  </si>
  <si>
    <t>TX</t>
  </si>
  <si>
    <t>C629206</t>
  </si>
  <si>
    <t>19681796</t>
  </si>
  <si>
    <t>CHRIS TAUGNER</t>
  </si>
  <si>
    <t>Cigna MAPD 2025*</t>
  </si>
  <si>
    <t>Cigna MAPD 2025</t>
  </si>
  <si>
    <t>[%/$=313][prorate=6/12]</t>
  </si>
  <si>
    <t>Cigna MAPD 2025 Ovr</t>
  </si>
  <si>
    <t>Cigna 2025 CT, PA, DC</t>
  </si>
  <si>
    <t>[%/$=705][prorate=10/12]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</si>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</sst>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9" fillId="0" borderId="0" xfId="0" applyFont="1"/>
    <xf numFmtId="14" fontId="9" fillId="0" borderId="0" xfId="0" applyNumberFormat="1" applyFont="1"/>
    <xf numFmtId="0" fontId="9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Fill="1"/>
    <xf numFmtId="14" fontId="9" fillId="0" borderId="0" xfId="0" applyNumberFormat="1" applyFont="1" applyFill="1"/>
    <xf numFmtId="0" fontId="9" fillId="0" borderId="0" xfId="0" applyFont="1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45919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14</v>
      </c>
      <c r="C8" s="12">
        <v>3022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3022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45839</v>
      </c>
      <c r="F13" s="17">
        <v>73050</v>
      </c>
      <c r="G13" s="17">
        <v>45800</v>
      </c>
      <c r="H13" t="s">
        <v>38</v>
      </c>
      <c r="I13">
        <v>156.5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45839</v>
      </c>
      <c r="F14" s="17">
        <v>73050</v>
      </c>
      <c r="G14" s="17">
        <v>45800</v>
      </c>
      <c r="H14" t="s">
        <v>38</v>
      </c>
      <c r="I14">
        <v>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45870</v>
      </c>
      <c r="F15" s="17">
        <v>73050</v>
      </c>
      <c r="G15" s="17">
        <v>45855</v>
      </c>
      <c r="H15" t="s">
        <v>38</v>
      </c>
      <c r="I15">
        <v>130.41999999999999</v>
      </c>
      <c r="J15" t="s">
        <v>48</v>
      </c>
      <c r="K15" t="s">
        <v>49</v>
      </c>
      <c r="L15" t="s">
        <v>50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45870</v>
      </c>
      <c r="F16" s="17">
        <v>73050</v>
      </c>
      <c r="G16" s="17">
        <v>45855</v>
      </c>
      <c r="H16" t="s">
        <v>38</v>
      </c>
      <c r="I16">
        <v>80</v>
      </c>
      <c r="J16" t="s">
        <v>48</v>
      </c>
      <c r="K16" t="s">
        <v>49</v>
      </c>
      <c r="L16" t="s">
        <v>50</v>
      </c>
      <c r="M16" t="s">
        <v>33</v>
      </c>
      <c r="T16" t="s">
        <v>43</v>
      </c>
      <c r="U16" t="s">
        <v>44</v>
      </c>
    </row>
    <row r="17" spans="1:21" s="6" customFormat="1" x14ac:dyDescent="0.25">
      <c r="A17" t="s">
        <v>34</v>
      </c>
      <c r="B17" t="s">
        <v>45</v>
      </c>
      <c r="C17" t="s">
        <v>46</v>
      </c>
      <c r="D17" t="s">
        <v>47</v>
      </c>
      <c r="E17" s="17">
        <v>45870</v>
      </c>
      <c r="F17" s="17">
        <v>73050</v>
      </c>
      <c r="G17" s="17">
        <v>45855</v>
      </c>
      <c r="H17" t="s">
        <v>38</v>
      </c>
      <c r="I17">
        <v>495.58</v>
      </c>
      <c r="J17" t="s">
        <v>48</v>
      </c>
      <c r="K17" t="s">
        <v>49</v>
      </c>
      <c r="L17" t="s">
        <v>50</v>
      </c>
      <c r="U17" t="s">
        <v>51</v>
      </c>
    </row>
    <row r="18" spans="1:21" s="6" customFormat="1" x14ac:dyDescent="0.25">
      <c r="A18" t="s">
        <v>34</v>
      </c>
      <c r="B18" t="s">
        <v>52</v>
      </c>
      <c r="C18" t="s">
        <v>53</v>
      </c>
      <c r="D18" t="s">
        <v>54</v>
      </c>
      <c r="E18" s="17">
        <v>45717</v>
      </c>
      <c r="F18" s="17">
        <v>73050</v>
      </c>
      <c r="G18" s="17">
        <v>45713</v>
      </c>
      <c r="H18" t="s">
        <v>55</v>
      </c>
      <c r="I18">
        <v>294.17</v>
      </c>
      <c r="J18" t="s">
        <v>56</v>
      </c>
      <c r="K18" t="s">
        <v>57</v>
      </c>
      <c r="L18" t="s">
        <v>58</v>
      </c>
      <c r="M18" t="s">
        <v>33</v>
      </c>
      <c r="S18" t="s">
        <v>42</v>
      </c>
      <c r="T18" t="s">
        <v>43</v>
      </c>
      <c r="U18" t="s">
        <v>44</v>
      </c>
    </row>
    <row r="19" spans="1:21" s="6" customFormat="1" x14ac:dyDescent="0.25">
      <c r="A19" t="s">
        <v>34</v>
      </c>
      <c r="B19" t="s">
        <v>52</v>
      </c>
      <c r="C19" t="s">
        <v>53</v>
      </c>
      <c r="D19" t="s">
        <v>54</v>
      </c>
      <c r="E19" s="17">
        <v>45717</v>
      </c>
      <c r="F19" s="17">
        <v>73050</v>
      </c>
      <c r="G19" s="17">
        <v>45713</v>
      </c>
      <c r="H19" t="s">
        <v>55</v>
      </c>
      <c r="I19">
        <v>80</v>
      </c>
      <c r="J19" t="s">
        <v>56</v>
      </c>
      <c r="K19" t="s">
        <v>57</v>
      </c>
      <c r="L19" t="s">
        <v>58</v>
      </c>
      <c r="M19" t="s">
        <v>33</v>
      </c>
      <c r="T19" t="s">
        <v>43</v>
      </c>
      <c r="U19" t="s">
        <v>44</v>
      </c>
    </row>
    <row r="20" spans="1:21" s="6" customFormat="1" x14ac:dyDescent="0.25">
      <c r="A20" t="s">
        <v>34</v>
      </c>
      <c r="B20" t="s">
        <v>52</v>
      </c>
      <c r="C20" t="s">
        <v>53</v>
      </c>
      <c r="D20" t="s">
        <v>54</v>
      </c>
      <c r="E20" s="17">
        <v>45717</v>
      </c>
      <c r="F20" s="17">
        <v>73050</v>
      </c>
      <c r="G20" s="17">
        <v>45713</v>
      </c>
      <c r="H20" t="s">
        <v>55</v>
      </c>
      <c r="I20">
        <v>293.33</v>
      </c>
      <c r="J20" t="s">
        <v>56</v>
      </c>
      <c r="K20" t="s">
        <v>57</v>
      </c>
      <c r="L20" t="s">
        <v>58</v>
      </c>
      <c r="U20" t="s">
        <v>59</v>
      </c>
    </row>
    <row r="21" spans="1:21" s="6" customFormat="1" x14ac:dyDescent="0.25">
      <c r="A21" t="s">
        <v>34</v>
      </c>
      <c r="B21" t="s">
        <v>60</v>
      </c>
      <c r="C21" t="s">
        <v>61</v>
      </c>
      <c r="D21" t="s">
        <v>62</v>
      </c>
      <c r="E21" s="17">
        <v>45870</v>
      </c>
      <c r="F21" s="17">
        <v>73050</v>
      </c>
      <c r="G21" s="17">
        <v>45859</v>
      </c>
      <c r="H21" t="s">
        <v>38</v>
      </c>
      <c r="I21">
        <v>130.41999999999999</v>
      </c>
      <c r="J21" t="s">
        <v>48</v>
      </c>
      <c r="K21" t="s">
        <v>49</v>
      </c>
      <c r="L21" t="s">
        <v>50</v>
      </c>
      <c r="M21" t="s">
        <v>33</v>
      </c>
      <c r="S21" t="s">
        <v>42</v>
      </c>
      <c r="T21" t="s">
        <v>43</v>
      </c>
      <c r="U21" t="s">
        <v>44</v>
      </c>
    </row>
    <row r="22" spans="1:21" s="6" customFormat="1" x14ac:dyDescent="0.25">
      <c r="A22" t="s">
        <v>34</v>
      </c>
      <c r="B22" t="s">
        <v>60</v>
      </c>
      <c r="C22" t="s">
        <v>61</v>
      </c>
      <c r="D22" t="s">
        <v>62</v>
      </c>
      <c r="E22" s="17">
        <v>45870</v>
      </c>
      <c r="F22" s="17">
        <v>73050</v>
      </c>
      <c r="G22" s="17">
        <v>45859</v>
      </c>
      <c r="H22" t="s">
        <v>38</v>
      </c>
      <c r="I22">
        <v>80</v>
      </c>
      <c r="J22" t="s">
        <v>48</v>
      </c>
      <c r="K22" t="s">
        <v>49</v>
      </c>
      <c r="L22" t="s">
        <v>50</v>
      </c>
      <c r="M22" t="s">
        <v>33</v>
      </c>
      <c r="T22" t="s">
        <v>43</v>
      </c>
      <c r="U22" t="s">
        <v>44</v>
      </c>
    </row>
    <row r="23" spans="1:21" s="6" customFormat="1" x14ac:dyDescent="0.25">
      <c r="A23" t="s">
        <v>34</v>
      </c>
      <c r="B23" t="s">
        <v>60</v>
      </c>
      <c r="C23" t="s">
        <v>61</v>
      </c>
      <c r="D23" t="s">
        <v>62</v>
      </c>
      <c r="E23" s="17">
        <v>45870</v>
      </c>
      <c r="F23" s="17">
        <v>73050</v>
      </c>
      <c r="G23" s="17">
        <v>45859</v>
      </c>
      <c r="H23" t="s">
        <v>38</v>
      </c>
      <c r="I23">
        <v>495.58</v>
      </c>
      <c r="J23" t="s">
        <v>48</v>
      </c>
      <c r="K23" t="s">
        <v>49</v>
      </c>
      <c r="L23" t="s">
        <v>50</v>
      </c>
      <c r="U23" t="s">
        <v>51</v>
      </c>
    </row>
    <row r="24" spans="1:21" s="6" customFormat="1" x14ac:dyDescent="0.25">
      <c r="A24" t="s">
        <v>34</v>
      </c>
      <c r="B24" t="s">
        <v>63</v>
      </c>
      <c r="C24" t="s">
        <v>64</v>
      </c>
      <c r="D24" t="s">
        <v>65</v>
      </c>
      <c r="E24" s="17">
        <v>45870</v>
      </c>
      <c r="F24" s="17">
        <v>73050</v>
      </c>
      <c r="G24" s="17">
        <v>45862</v>
      </c>
      <c r="H24" t="s">
        <v>66</v>
      </c>
      <c r="I24">
        <v>130.41999999999999</v>
      </c>
      <c r="J24" t="s">
        <v>67</v>
      </c>
      <c r="K24" t="s">
        <v>68</v>
      </c>
      <c r="L24" t="s">
        <v>69</v>
      </c>
      <c r="M24" t="s">
        <v>33</v>
      </c>
      <c r="S24" t="s">
        <v>42</v>
      </c>
      <c r="T24" t="s">
        <v>43</v>
      </c>
      <c r="U24" t="s">
        <v>44</v>
      </c>
    </row>
    <row r="25" spans="1:21" s="6" customFormat="1" x14ac:dyDescent="0.25">
      <c r="A25" t="s">
        <v>34</v>
      </c>
      <c r="B25" t="s">
        <v>63</v>
      </c>
      <c r="C25" t="s">
        <v>64</v>
      </c>
      <c r="D25" t="s">
        <v>65</v>
      </c>
      <c r="E25" s="17">
        <v>45870</v>
      </c>
      <c r="F25" s="17">
        <v>73050</v>
      </c>
      <c r="G25" s="17">
        <v>45862</v>
      </c>
      <c r="H25" t="s">
        <v>66</v>
      </c>
      <c r="I25">
        <v>80</v>
      </c>
      <c r="J25" t="s">
        <v>67</v>
      </c>
      <c r="K25" t="s">
        <v>68</v>
      </c>
      <c r="L25" t="s">
        <v>69</v>
      </c>
      <c r="M25" t="s">
        <v>33</v>
      </c>
      <c r="T25" t="s">
        <v>43</v>
      </c>
      <c r="U25" t="s">
        <v>44</v>
      </c>
    </row>
    <row r="26" spans="1:21" s="6" customFormat="1" x14ac:dyDescent="0.25">
      <c r="A26" t="s">
        <v>34</v>
      </c>
      <c r="B26" t="s">
        <v>63</v>
      </c>
      <c r="C26" t="s">
        <v>64</v>
      </c>
      <c r="D26" t="s">
        <v>65</v>
      </c>
      <c r="E26" s="17">
        <v>45870</v>
      </c>
      <c r="F26" s="17">
        <v>73050</v>
      </c>
      <c r="G26" s="17">
        <v>45862</v>
      </c>
      <c r="H26" t="s">
        <v>66</v>
      </c>
      <c r="I26">
        <v>495.58</v>
      </c>
      <c r="J26" t="s">
        <v>67</v>
      </c>
      <c r="K26" t="s">
        <v>68</v>
      </c>
      <c r="L26" t="s">
        <v>69</v>
      </c>
      <c r="U26" t="s">
        <v>51</v>
      </c>
    </row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4EA7-DAFF-4B8C-A2CC-F8872D8A12D8}">
  <dimension ref="A1:I4505"/>
  <sheetViews>
    <sheetView tabSelected="1" workbookViewId="0">
      <selection activeCell="I2" sqref="I2:I11"/>
    </sheetView>
  </sheetViews>
  <sheetFormatPr defaultRowHeight="15" x14ac:dyDescent="0.25"/>
  <cols>
    <col min="1" max="1" width="27.42578125" style="3" customWidth="1"/>
    <col min="2" max="3" width="22.85546875" style="3" customWidth="1"/>
    <col min="4" max="4" width="18.85546875" style="8" customWidth="1"/>
    <col min="5" max="5" width="21.140625" style="22" bestFit="1" customWidth="1"/>
    <col min="6" max="6" width="15.28515625" style="3" bestFit="1" customWidth="1"/>
    <col min="7" max="7" width="31.140625" style="3" customWidth="1"/>
    <col min="8" max="8" width="21" bestFit="1" customWidth="1"/>
    <col min="9" max="9" width="24.140625" bestFit="1" customWidth="1"/>
  </cols>
  <sheetData>
    <row r="1" spans="1:9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21" t="s">
        <v>4</v>
      </c>
      <c r="F1" s="16" t="s">
        <v>16</v>
      </c>
      <c r="G1" s="7" t="s">
        <v>5</v>
      </c>
    </row>
    <row r="2" spans="1:9" s="6" customFormat="1" x14ac:dyDescent="0.25">
      <c r="A2" t="s">
        <v>35</v>
      </c>
      <c r="B2" t="s">
        <v>36</v>
      </c>
      <c r="C2" t="str">
        <f>CONCATENATE(B2,9)</f>
        <v>7FM6KW2YN789</v>
      </c>
      <c r="D2" s="17">
        <v>45839</v>
      </c>
      <c r="E2">
        <v>156.5</v>
      </c>
      <c r="F2" s="27">
        <v>19200754</v>
      </c>
      <c r="G2" t="s">
        <v>41</v>
      </c>
      <c r="H2" s="6" t="s">
        <v>70</v>
      </c>
      <c r="I2" s="6" t="s">
        <v>72</v>
      </c>
    </row>
    <row r="3" spans="1:9" s="35" customFormat="1" x14ac:dyDescent="0.25">
      <c r="A3" s="32" t="s">
        <v>35</v>
      </c>
      <c r="B3" s="32" t="s">
        <v>36</v>
      </c>
      <c r="C3" s="32" t="str">
        <f>CONCATENATE(B3,99)</f>
        <v>7FM6KW2YN7899</v>
      </c>
      <c r="D3" s="33">
        <v>45839</v>
      </c>
      <c r="E3" s="32">
        <v>80</v>
      </c>
      <c r="F3" s="34">
        <v>20411454</v>
      </c>
      <c r="G3" s="32" t="s">
        <v>77</v>
      </c>
      <c r="H3" s="35" t="s">
        <v>73</v>
      </c>
    </row>
    <row r="4" spans="1:9" s="6" customFormat="1" x14ac:dyDescent="0.25">
      <c r="A4" t="s">
        <v>45</v>
      </c>
      <c r="B4" t="s">
        <v>46</v>
      </c>
      <c r="C4" t="str">
        <f>CONCATENATE(B4,8)</f>
        <v>6CY4EY4WN808</v>
      </c>
      <c r="D4" s="17">
        <v>45870</v>
      </c>
      <c r="E4">
        <v>626</v>
      </c>
      <c r="F4" s="27">
        <v>9213293</v>
      </c>
      <c r="G4" t="s">
        <v>50</v>
      </c>
      <c r="H4" s="6" t="s">
        <v>71</v>
      </c>
      <c r="I4" s="6" t="s">
        <v>76</v>
      </c>
    </row>
    <row r="5" spans="1:9" s="35" customFormat="1" x14ac:dyDescent="0.25">
      <c r="A5" s="32" t="s">
        <v>45</v>
      </c>
      <c r="B5" s="32" t="s">
        <v>46</v>
      </c>
      <c r="C5" s="32" t="str">
        <f>CONCATENATE(B5,99)</f>
        <v>6CY4EY4WN8099</v>
      </c>
      <c r="D5" s="33">
        <v>45870</v>
      </c>
      <c r="E5" s="32">
        <v>80</v>
      </c>
      <c r="F5" s="34">
        <v>20411454</v>
      </c>
      <c r="G5" s="32" t="s">
        <v>77</v>
      </c>
      <c r="H5" s="35" t="s">
        <v>73</v>
      </c>
    </row>
    <row r="6" spans="1:9" s="31" customFormat="1" x14ac:dyDescent="0.25">
      <c r="A6" s="28" t="s">
        <v>52</v>
      </c>
      <c r="B6" s="28" t="s">
        <v>53</v>
      </c>
      <c r="C6" t="str">
        <f>CONCATENATE(B6,8)</f>
        <v>7YP7FC1WY398</v>
      </c>
      <c r="D6" s="29">
        <v>45717</v>
      </c>
      <c r="E6" s="28">
        <v>587.5</v>
      </c>
      <c r="F6" s="30">
        <v>16212649</v>
      </c>
      <c r="G6" s="28" t="s">
        <v>58</v>
      </c>
      <c r="H6" s="31" t="s">
        <v>74</v>
      </c>
      <c r="I6" s="31" t="s">
        <v>75</v>
      </c>
    </row>
    <row r="7" spans="1:9" s="38" customFormat="1" x14ac:dyDescent="0.25">
      <c r="A7" s="36" t="s">
        <v>52</v>
      </c>
      <c r="B7" s="36" t="s">
        <v>53</v>
      </c>
      <c r="C7" s="32" t="str">
        <f>CONCATENATE(B7,99)</f>
        <v>7YP7FC1WY3999</v>
      </c>
      <c r="D7" s="37">
        <v>45717</v>
      </c>
      <c r="E7" s="36">
        <v>80</v>
      </c>
      <c r="F7" s="34">
        <v>20411454</v>
      </c>
      <c r="G7" s="32" t="s">
        <v>77</v>
      </c>
      <c r="H7" s="38" t="s">
        <v>73</v>
      </c>
    </row>
    <row r="8" spans="1:9" s="6" customFormat="1" x14ac:dyDescent="0.25">
      <c r="A8" t="s">
        <v>60</v>
      </c>
      <c r="B8" t="s">
        <v>61</v>
      </c>
      <c r="C8" t="str">
        <f>CONCATENATE(B8,8)</f>
        <v>9FC3YJ5WV168</v>
      </c>
      <c r="D8" s="17">
        <v>45870</v>
      </c>
      <c r="E8">
        <v>626</v>
      </c>
      <c r="F8" s="27">
        <v>9213293</v>
      </c>
      <c r="G8" t="s">
        <v>50</v>
      </c>
      <c r="H8" s="6" t="s">
        <v>71</v>
      </c>
      <c r="I8" s="6" t="s">
        <v>76</v>
      </c>
    </row>
    <row r="9" spans="1:9" s="35" customFormat="1" x14ac:dyDescent="0.25">
      <c r="A9" s="32" t="s">
        <v>60</v>
      </c>
      <c r="B9" s="32" t="s">
        <v>61</v>
      </c>
      <c r="C9" s="32" t="str">
        <f>CONCATENATE(B9,99)</f>
        <v>9FC3YJ5WV1699</v>
      </c>
      <c r="D9" s="33">
        <v>45870</v>
      </c>
      <c r="E9" s="32">
        <v>80</v>
      </c>
      <c r="F9" s="34">
        <v>20411454</v>
      </c>
      <c r="G9" s="32" t="s">
        <v>77</v>
      </c>
      <c r="H9" s="35" t="s">
        <v>73</v>
      </c>
    </row>
    <row r="10" spans="1:9" s="6" customFormat="1" x14ac:dyDescent="0.25">
      <c r="A10" t="s">
        <v>63</v>
      </c>
      <c r="B10" t="s">
        <v>64</v>
      </c>
      <c r="C10" t="str">
        <f>CONCATENATE(B10,8)</f>
        <v>7V19TV7KG558</v>
      </c>
      <c r="D10" s="17">
        <v>45870</v>
      </c>
      <c r="E10">
        <v>626</v>
      </c>
      <c r="F10" s="27">
        <v>19681796</v>
      </c>
      <c r="G10" t="s">
        <v>69</v>
      </c>
      <c r="H10" s="6" t="s">
        <v>71</v>
      </c>
      <c r="I10" s="6" t="s">
        <v>76</v>
      </c>
    </row>
    <row r="11" spans="1:9" s="35" customFormat="1" x14ac:dyDescent="0.25">
      <c r="A11" s="32" t="s">
        <v>63</v>
      </c>
      <c r="B11" s="32" t="s">
        <v>64</v>
      </c>
      <c r="C11" s="32" t="str">
        <f>CONCATENATE(B11,99)</f>
        <v>7V19TV7KG5599</v>
      </c>
      <c r="D11" s="33">
        <v>45870</v>
      </c>
      <c r="E11" s="32">
        <v>80</v>
      </c>
      <c r="F11" s="34">
        <v>20411454</v>
      </c>
      <c r="G11" s="32" t="s">
        <v>77</v>
      </c>
      <c r="H11" s="35" t="s">
        <v>73</v>
      </c>
    </row>
    <row r="12" spans="1:9" s="6" customFormat="1" x14ac:dyDescent="0.25"/>
    <row r="13" spans="1:9" s="6" customFormat="1" x14ac:dyDescent="0.25"/>
    <row r="14" spans="1:9" s="6" customFormat="1" x14ac:dyDescent="0.25"/>
    <row r="15" spans="1:9" s="6" customFormat="1" x14ac:dyDescent="0.25"/>
    <row r="16" spans="1:9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</sheetData>
  <pageMargins left="0.7" right="0.7" top="0.75" bottom="0.75" header="0.3" footer="0.3"/>
  <ignoredErrors>
    <ignoredError sqref="C4:C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2025-09-22T21:01:21Z</dcterms:modified>
</cp:coreProperties>
</file>