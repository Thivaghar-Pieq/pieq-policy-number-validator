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2-21-25\"/>
    </mc:Choice>
  </mc:AlternateContent>
  <xr:revisionPtr revIDLastSave="0" documentId="13_ncr:1_{8F50150A-094E-485F-88AB-8F391F7671F7}" xr6:coauthVersionLast="47" xr6:coauthVersionMax="47" xr10:uidLastSave="{00000000-0000-0000-0000-000000000000}"/>
  <bookViews>
    <workbookView minimized="1" xWindow="2025" yWindow="2610" windowWidth="21600" windowHeight="11835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11" i="4" l="1"/>
  <c r="C9" i="4"/>
  <c r="C7" i="4"/>
  <c r="C5" i="4"/>
  <c r="C3" i="4"/>
  <c r="C10" i="4"/>
  <c r="C8" i="4"/>
  <c r="C6" i="4"/>
  <c r="C4" i="4"/>
  <c r="C2" i="4"/>
</calcChain>
</file>

<file path=xl/sharedStrings.xml><?xml version="1.0" encoding="utf-8"?>
<sst xmlns="http://schemas.openxmlformats.org/spreadsheetml/2006/main" count="248" uniqueCount="76">
  <si>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</si>
  <si>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</si>
  <si>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</si>
  <si>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</si>
  <si>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</si>
  <si>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</si>
  <si>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</si>
  <si>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</si>
  <si>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</si>
  <si>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</si>
  <si>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</si>
  <si>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</si>
  <si>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</si>
  <si>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</si>
  <si>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</si>
  <si>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</si>
  <si>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</si>
  <si>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</si>
  <si>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</si>
  <si>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</si>
  <si>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</si>
  <si>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</si>
  <si>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</si>
  <si>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</si>
  <si>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</si>
  <si>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</si>
  <si>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</si>
  <si>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</si>
  <si>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</si>
  <si>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</si>
  <si>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</si>
  <si>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</si>
  <si>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</si>
  <si>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</si>
  <si>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</si>
  <si>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BLAIR, NANCY</t>
  </si>
  <si>
    <t>7RY3NX5QV94</t>
  </si>
  <si>
    <t>36A5F5R75</t>
  </si>
  <si>
    <t>TX</t>
  </si>
  <si>
    <t>C629657</t>
  </si>
  <si>
    <t>19645587</t>
  </si>
  <si>
    <t>STACEY PORTUGAL</t>
  </si>
  <si>
    <t>HEARTLAND FINANCIAL GROUP INC</t>
  </si>
  <si>
    <t>INTEGRITY MARKETING GROUP NV, LLC</t>
  </si>
  <si>
    <t>NEW APP PAYMENT</t>
  </si>
  <si>
    <t>GARIBAY, MARIA</t>
  </si>
  <si>
    <t>4HA8K49HY28</t>
  </si>
  <si>
    <t>68X8X9H74</t>
  </si>
  <si>
    <t>IL</t>
  </si>
  <si>
    <t>C500975</t>
  </si>
  <si>
    <t>9213293</t>
  </si>
  <si>
    <t>GARY PORTUGAL</t>
  </si>
  <si>
    <t>HINDES, ROBIN</t>
  </si>
  <si>
    <t>4MH9JM5HJ42</t>
  </si>
  <si>
    <t>75U2X9F11</t>
  </si>
  <si>
    <t>PA</t>
  </si>
  <si>
    <t>C449511</t>
  </si>
  <si>
    <t>17528908</t>
  </si>
  <si>
    <t>DEBORAH INSKIPT</t>
  </si>
  <si>
    <t>OSTER, MICHAEL</t>
  </si>
  <si>
    <t>8G88PQ0DH53</t>
  </si>
  <si>
    <t>58L8X4R14</t>
  </si>
  <si>
    <t>CO</t>
  </si>
  <si>
    <t>C508817</t>
  </si>
  <si>
    <t>6634327</t>
  </si>
  <si>
    <t>JOEL LEE</t>
  </si>
  <si>
    <t>OSTER, PHYLLIS</t>
  </si>
  <si>
    <t>2YK4PG2TY76</t>
  </si>
  <si>
    <t>77U7H3F88</t>
  </si>
  <si>
    <t>17528908N</t>
  </si>
  <si>
    <t>Cigna MAPD 2025*</t>
  </si>
  <si>
    <t>[%/$=313][prorate=11/12]</t>
  </si>
  <si>
    <t>[%/$=313][prorate=12/12]</t>
  </si>
  <si>
    <t>Cigna 2025 CT, PA, DC*</t>
  </si>
  <si>
    <t>Cigna MAPD 2025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</si>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</sst>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45709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10</v>
      </c>
      <c r="C8" s="12">
        <v>1923.42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1923.42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45689</v>
      </c>
      <c r="F13" s="17">
        <v>65380</v>
      </c>
      <c r="G13" s="17">
        <v>45661</v>
      </c>
      <c r="H13" t="s">
        <v>38</v>
      </c>
      <c r="I13">
        <v>286.92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45689</v>
      </c>
      <c r="F14" s="17">
        <v>65380</v>
      </c>
      <c r="G14" s="17">
        <v>45661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45689</v>
      </c>
      <c r="F15" s="17">
        <v>65380</v>
      </c>
      <c r="G15" s="17">
        <v>45678</v>
      </c>
      <c r="H15" t="s">
        <v>48</v>
      </c>
      <c r="I15">
        <v>286.92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45689</v>
      </c>
      <c r="F16" s="17">
        <v>65380</v>
      </c>
      <c r="G16" s="17">
        <v>45678</v>
      </c>
      <c r="H16" t="s">
        <v>48</v>
      </c>
      <c r="I16">
        <v>80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pans="1:21" s="6" customFormat="1" x14ac:dyDescent="0.25">
      <c r="A17" t="s">
        <v>34</v>
      </c>
      <c r="B17" t="s">
        <v>52</v>
      </c>
      <c r="C17" t="s">
        <v>53</v>
      </c>
      <c r="D17" t="s">
        <v>54</v>
      </c>
      <c r="E17" s="17">
        <v>45689</v>
      </c>
      <c r="F17" s="17">
        <v>65380</v>
      </c>
      <c r="G17" s="17">
        <v>45681</v>
      </c>
      <c r="H17" t="s">
        <v>55</v>
      </c>
      <c r="I17">
        <v>323.58</v>
      </c>
      <c r="J17" t="s">
        <v>56</v>
      </c>
      <c r="K17" t="s">
        <v>57</v>
      </c>
      <c r="L17" t="s">
        <v>58</v>
      </c>
      <c r="M17" t="s">
        <v>33</v>
      </c>
      <c r="S17" t="s">
        <v>42</v>
      </c>
      <c r="T17" t="s">
        <v>43</v>
      </c>
      <c r="U17" t="s">
        <v>44</v>
      </c>
    </row>
    <row r="18" spans="1:21" s="6" customFormat="1" x14ac:dyDescent="0.25">
      <c r="A18" t="s">
        <v>34</v>
      </c>
      <c r="B18" t="s">
        <v>52</v>
      </c>
      <c r="C18" t="s">
        <v>53</v>
      </c>
      <c r="D18" t="s">
        <v>54</v>
      </c>
      <c r="E18" s="17">
        <v>45689</v>
      </c>
      <c r="F18" s="17">
        <v>65380</v>
      </c>
      <c r="G18" s="17">
        <v>45681</v>
      </c>
      <c r="H18" t="s">
        <v>55</v>
      </c>
      <c r="I18">
        <v>80</v>
      </c>
      <c r="J18" t="s">
        <v>56</v>
      </c>
      <c r="K18" t="s">
        <v>57</v>
      </c>
      <c r="L18" t="s">
        <v>58</v>
      </c>
      <c r="M18" t="s">
        <v>33</v>
      </c>
      <c r="T18" t="s">
        <v>43</v>
      </c>
      <c r="U18" t="s">
        <v>44</v>
      </c>
    </row>
    <row r="19" spans="1:21" s="6" customFormat="1" x14ac:dyDescent="0.25">
      <c r="A19" t="s">
        <v>34</v>
      </c>
      <c r="B19" t="s">
        <v>59</v>
      </c>
      <c r="C19" t="s">
        <v>60</v>
      </c>
      <c r="D19" t="s">
        <v>61</v>
      </c>
      <c r="E19" s="17">
        <v>45658</v>
      </c>
      <c r="F19" s="17">
        <v>65380</v>
      </c>
      <c r="G19" s="17">
        <v>45645</v>
      </c>
      <c r="H19" t="s">
        <v>62</v>
      </c>
      <c r="I19">
        <v>313</v>
      </c>
      <c r="J19" t="s">
        <v>63</v>
      </c>
      <c r="K19" t="s">
        <v>64</v>
      </c>
      <c r="L19" t="s">
        <v>65</v>
      </c>
      <c r="M19" t="s">
        <v>33</v>
      </c>
      <c r="S19" t="s">
        <v>42</v>
      </c>
      <c r="T19" t="s">
        <v>43</v>
      </c>
      <c r="U19" t="s">
        <v>44</v>
      </c>
    </row>
    <row r="20" spans="1:21" s="6" customFormat="1" x14ac:dyDescent="0.25">
      <c r="A20" t="s">
        <v>34</v>
      </c>
      <c r="B20" t="s">
        <v>59</v>
      </c>
      <c r="C20" t="s">
        <v>60</v>
      </c>
      <c r="D20" t="s">
        <v>61</v>
      </c>
      <c r="E20" s="17">
        <v>45658</v>
      </c>
      <c r="F20" s="17">
        <v>65380</v>
      </c>
      <c r="G20" s="17">
        <v>45645</v>
      </c>
      <c r="H20" t="s">
        <v>62</v>
      </c>
      <c r="I20">
        <v>80</v>
      </c>
      <c r="J20" t="s">
        <v>63</v>
      </c>
      <c r="K20" t="s">
        <v>64</v>
      </c>
      <c r="L20" t="s">
        <v>65</v>
      </c>
      <c r="M20" t="s">
        <v>33</v>
      </c>
      <c r="T20" t="s">
        <v>43</v>
      </c>
      <c r="U20" t="s">
        <v>44</v>
      </c>
    </row>
    <row r="21" spans="1:21" s="6" customFormat="1" x14ac:dyDescent="0.25">
      <c r="A21" t="s">
        <v>34</v>
      </c>
      <c r="B21" t="s">
        <v>66</v>
      </c>
      <c r="C21" t="s">
        <v>67</v>
      </c>
      <c r="D21" t="s">
        <v>68</v>
      </c>
      <c r="E21" s="17">
        <v>45658</v>
      </c>
      <c r="F21" s="17">
        <v>65380</v>
      </c>
      <c r="G21" s="17">
        <v>45645</v>
      </c>
      <c r="H21" t="s">
        <v>62</v>
      </c>
      <c r="I21">
        <v>313</v>
      </c>
      <c r="J21" t="s">
        <v>63</v>
      </c>
      <c r="K21" t="s">
        <v>64</v>
      </c>
      <c r="L21" t="s">
        <v>65</v>
      </c>
      <c r="M21" t="s">
        <v>33</v>
      </c>
      <c r="S21" t="s">
        <v>42</v>
      </c>
      <c r="T21" t="s">
        <v>43</v>
      </c>
      <c r="U21" t="s">
        <v>44</v>
      </c>
    </row>
    <row r="22" spans="1:21" s="6" customFormat="1" x14ac:dyDescent="0.25">
      <c r="A22" t="s">
        <v>34</v>
      </c>
      <c r="B22" t="s">
        <v>66</v>
      </c>
      <c r="C22" t="s">
        <v>67</v>
      </c>
      <c r="D22" t="s">
        <v>68</v>
      </c>
      <c r="E22" s="17">
        <v>45658</v>
      </c>
      <c r="F22" s="17">
        <v>65380</v>
      </c>
      <c r="G22" s="17">
        <v>45645</v>
      </c>
      <c r="H22" t="s">
        <v>62</v>
      </c>
      <c r="I22">
        <v>80</v>
      </c>
      <c r="J22" t="s">
        <v>63</v>
      </c>
      <c r="K22" t="s">
        <v>64</v>
      </c>
      <c r="L22" t="s">
        <v>65</v>
      </c>
      <c r="M22" t="s">
        <v>33</v>
      </c>
      <c r="T22" t="s">
        <v>43</v>
      </c>
      <c r="U22" t="s">
        <v>44</v>
      </c>
    </row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F2D8-4F7A-426F-8AFF-D1065ACEE039}">
  <dimension ref="A1:S4509"/>
  <sheetViews>
    <sheetView tabSelected="1" topLeftCell="G10" workbookViewId="0">
      <selection activeCell="L2" sqref="L2:L10"/>
    </sheetView>
  </sheetViews>
  <sheetFormatPr defaultRowHeight="15" x14ac:dyDescent="0.25"/>
  <cols>
    <col min="1" max="1" width="27.42578125" style="3" customWidth="1"/>
    <col min="2" max="3" width="22.85546875" style="3" customWidth="1"/>
    <col min="4" max="4" width="18.85546875" style="8" customWidth="1"/>
    <col min="5" max="5" width="20.7109375" style="8" customWidth="1"/>
    <col min="6" max="6" width="18.7109375" style="8" customWidth="1"/>
    <col min="7" max="7" width="16.85546875" style="3" customWidth="1"/>
    <col min="8" max="8" width="21.140625" style="22" bestFit="1" customWidth="1"/>
    <col min="9" max="9" width="15.28515625" style="3" bestFit="1" customWidth="1"/>
    <col min="10" max="14" width="40.7109375" style="3" customWidth="1"/>
    <col min="15" max="18" width="33" style="3" customWidth="1"/>
    <col min="19" max="19" width="49" style="3" customWidth="1"/>
  </cols>
  <sheetData>
    <row r="1" spans="1:19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7" t="s">
        <v>1</v>
      </c>
      <c r="F1" s="10" t="s">
        <v>2</v>
      </c>
      <c r="G1" s="7" t="s">
        <v>3</v>
      </c>
      <c r="H1" s="21" t="s">
        <v>4</v>
      </c>
      <c r="I1" s="16" t="s">
        <v>16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30</v>
      </c>
      <c r="O1" s="7" t="s">
        <v>9</v>
      </c>
      <c r="P1" s="7" t="s">
        <v>31</v>
      </c>
      <c r="Q1" s="7" t="s">
        <v>32</v>
      </c>
      <c r="R1" s="7" t="s">
        <v>29</v>
      </c>
      <c r="S1" s="7" t="s">
        <v>12</v>
      </c>
    </row>
    <row r="2" spans="1:19" s="6" customFormat="1" x14ac:dyDescent="0.25">
      <c r="A2" t="s">
        <v>35</v>
      </c>
      <c r="B2" t="s">
        <v>36</v>
      </c>
      <c r="C2" t="str">
        <f>CONCATENATE(B2,9)</f>
        <v>7RY3NX5QV949</v>
      </c>
      <c r="D2" s="17">
        <v>45689</v>
      </c>
      <c r="E2" s="17">
        <v>65380</v>
      </c>
      <c r="F2" s="17">
        <v>45661</v>
      </c>
      <c r="G2" t="s">
        <v>38</v>
      </c>
      <c r="H2">
        <v>286.92</v>
      </c>
      <c r="I2" s="27">
        <v>19645587</v>
      </c>
      <c r="J2" t="s">
        <v>41</v>
      </c>
      <c r="K2" t="s">
        <v>70</v>
      </c>
      <c r="L2" s="6" t="s">
        <v>71</v>
      </c>
      <c r="Q2" t="s">
        <v>42</v>
      </c>
      <c r="R2" t="s">
        <v>43</v>
      </c>
      <c r="S2" t="s">
        <v>44</v>
      </c>
    </row>
    <row r="3" spans="1:19" s="6" customFormat="1" x14ac:dyDescent="0.25">
      <c r="A3" t="s">
        <v>35</v>
      </c>
      <c r="B3" t="s">
        <v>36</v>
      </c>
      <c r="C3" t="str">
        <f>CONCATENATE(B3,99)</f>
        <v>7RY3NX5QV9499</v>
      </c>
      <c r="D3" s="17">
        <v>45689</v>
      </c>
      <c r="E3" s="17">
        <v>65380</v>
      </c>
      <c r="F3" s="17">
        <v>45661</v>
      </c>
      <c r="G3" t="s">
        <v>38</v>
      </c>
      <c r="H3">
        <v>80</v>
      </c>
      <c r="I3" s="27">
        <v>20411454</v>
      </c>
      <c r="J3" t="s">
        <v>75</v>
      </c>
      <c r="K3" t="s">
        <v>74</v>
      </c>
      <c r="R3" t="s">
        <v>43</v>
      </c>
      <c r="S3" t="s">
        <v>44</v>
      </c>
    </row>
    <row r="4" spans="1:19" s="6" customFormat="1" x14ac:dyDescent="0.25">
      <c r="A4" t="s">
        <v>45</v>
      </c>
      <c r="B4" t="s">
        <v>46</v>
      </c>
      <c r="C4" t="str">
        <f>CONCATENATE(B4,9)</f>
        <v>4HA8K49HY289</v>
      </c>
      <c r="D4" s="17">
        <v>45689</v>
      </c>
      <c r="E4" s="17">
        <v>65380</v>
      </c>
      <c r="F4" s="17">
        <v>45678</v>
      </c>
      <c r="G4" t="s">
        <v>48</v>
      </c>
      <c r="H4">
        <v>286.92</v>
      </c>
      <c r="I4" s="27">
        <v>9213293</v>
      </c>
      <c r="J4" t="s">
        <v>51</v>
      </c>
      <c r="K4" t="s">
        <v>70</v>
      </c>
      <c r="L4" s="6" t="s">
        <v>71</v>
      </c>
      <c r="Q4" t="s">
        <v>42</v>
      </c>
      <c r="R4" t="s">
        <v>43</v>
      </c>
      <c r="S4" t="s">
        <v>44</v>
      </c>
    </row>
    <row r="5" spans="1:19" s="6" customFormat="1" x14ac:dyDescent="0.25">
      <c r="A5" t="s">
        <v>45</v>
      </c>
      <c r="B5" t="s">
        <v>46</v>
      </c>
      <c r="C5" t="str">
        <f>CONCATENATE(B5,99)</f>
        <v>4HA8K49HY2899</v>
      </c>
      <c r="D5" s="17">
        <v>45689</v>
      </c>
      <c r="E5" s="17">
        <v>65380</v>
      </c>
      <c r="F5" s="17">
        <v>45678</v>
      </c>
      <c r="G5" t="s">
        <v>48</v>
      </c>
      <c r="H5">
        <v>80</v>
      </c>
      <c r="I5" s="27">
        <v>20411454</v>
      </c>
      <c r="J5" t="s">
        <v>75</v>
      </c>
      <c r="K5" t="s">
        <v>74</v>
      </c>
      <c r="R5" t="s">
        <v>43</v>
      </c>
      <c r="S5" t="s">
        <v>44</v>
      </c>
    </row>
    <row r="6" spans="1:19" s="6" customFormat="1" x14ac:dyDescent="0.25">
      <c r="A6" t="s">
        <v>52</v>
      </c>
      <c r="B6" t="s">
        <v>53</v>
      </c>
      <c r="C6" t="str">
        <f>CONCATENATE(B6,9)</f>
        <v>4MH9JM5HJ429</v>
      </c>
      <c r="D6" s="17">
        <v>45689</v>
      </c>
      <c r="E6" s="17">
        <v>65380</v>
      </c>
      <c r="F6" s="17">
        <v>45681</v>
      </c>
      <c r="G6" t="s">
        <v>55</v>
      </c>
      <c r="H6">
        <v>323.58</v>
      </c>
      <c r="I6" s="28" t="s">
        <v>69</v>
      </c>
      <c r="J6" t="s">
        <v>58</v>
      </c>
      <c r="K6" t="s">
        <v>73</v>
      </c>
      <c r="L6" s="6" t="s">
        <v>71</v>
      </c>
      <c r="Q6" t="s">
        <v>42</v>
      </c>
      <c r="R6" t="s">
        <v>43</v>
      </c>
      <c r="S6" t="s">
        <v>44</v>
      </c>
    </row>
    <row r="7" spans="1:19" s="6" customFormat="1" x14ac:dyDescent="0.25">
      <c r="A7" t="s">
        <v>52</v>
      </c>
      <c r="B7" t="s">
        <v>53</v>
      </c>
      <c r="C7" t="str">
        <f>CONCATENATE(B7,99)</f>
        <v>4MH9JM5HJ4299</v>
      </c>
      <c r="D7" s="17">
        <v>45689</v>
      </c>
      <c r="E7" s="17">
        <v>65380</v>
      </c>
      <c r="F7" s="17">
        <v>45681</v>
      </c>
      <c r="G7" t="s">
        <v>55</v>
      </c>
      <c r="H7">
        <v>80</v>
      </c>
      <c r="I7" s="27">
        <v>20411454</v>
      </c>
      <c r="J7" t="s">
        <v>75</v>
      </c>
      <c r="K7" t="s">
        <v>74</v>
      </c>
      <c r="R7" t="s">
        <v>43</v>
      </c>
      <c r="S7" t="s">
        <v>44</v>
      </c>
    </row>
    <row r="8" spans="1:19" s="6" customFormat="1" x14ac:dyDescent="0.25">
      <c r="A8" t="s">
        <v>59</v>
      </c>
      <c r="B8" t="s">
        <v>60</v>
      </c>
      <c r="C8" t="str">
        <f>CONCATENATE(B8,9)</f>
        <v>8G88PQ0DH539</v>
      </c>
      <c r="D8" s="17">
        <v>45658</v>
      </c>
      <c r="E8" s="17">
        <v>65380</v>
      </c>
      <c r="F8" s="17">
        <v>45645</v>
      </c>
      <c r="G8" t="s">
        <v>62</v>
      </c>
      <c r="H8">
        <v>313</v>
      </c>
      <c r="I8" s="27">
        <v>6634327</v>
      </c>
      <c r="J8" t="s">
        <v>65</v>
      </c>
      <c r="K8" t="s">
        <v>70</v>
      </c>
      <c r="L8" s="6" t="s">
        <v>72</v>
      </c>
      <c r="Q8" t="s">
        <v>42</v>
      </c>
      <c r="R8" t="s">
        <v>43</v>
      </c>
      <c r="S8" t="s">
        <v>44</v>
      </c>
    </row>
    <row r="9" spans="1:19" s="6" customFormat="1" x14ac:dyDescent="0.25">
      <c r="A9" t="s">
        <v>59</v>
      </c>
      <c r="B9" t="s">
        <v>60</v>
      </c>
      <c r="C9" t="str">
        <f>CONCATENATE(B9,99)</f>
        <v>8G88PQ0DH5399</v>
      </c>
      <c r="D9" s="17">
        <v>45658</v>
      </c>
      <c r="E9" s="17">
        <v>65380</v>
      </c>
      <c r="F9" s="17">
        <v>45645</v>
      </c>
      <c r="G9" t="s">
        <v>62</v>
      </c>
      <c r="H9">
        <v>80</v>
      </c>
      <c r="I9" s="27">
        <v>20411454</v>
      </c>
      <c r="J9" t="s">
        <v>75</v>
      </c>
      <c r="K9" t="s">
        <v>74</v>
      </c>
      <c r="R9" t="s">
        <v>43</v>
      </c>
      <c r="S9" t="s">
        <v>44</v>
      </c>
    </row>
    <row r="10" spans="1:19" s="6" customFormat="1" x14ac:dyDescent="0.25">
      <c r="A10" t="s">
        <v>66</v>
      </c>
      <c r="B10" t="s">
        <v>67</v>
      </c>
      <c r="C10" t="str">
        <f>CONCATENATE(B10,9)</f>
        <v>2YK4PG2TY769</v>
      </c>
      <c r="D10" s="17">
        <v>45658</v>
      </c>
      <c r="E10" s="17">
        <v>65380</v>
      </c>
      <c r="F10" s="17">
        <v>45645</v>
      </c>
      <c r="G10" t="s">
        <v>62</v>
      </c>
      <c r="H10">
        <v>313</v>
      </c>
      <c r="I10" s="27">
        <v>6634327</v>
      </c>
      <c r="J10" t="s">
        <v>65</v>
      </c>
      <c r="K10" t="s">
        <v>70</v>
      </c>
      <c r="L10" s="6" t="s">
        <v>72</v>
      </c>
      <c r="Q10" t="s">
        <v>42</v>
      </c>
      <c r="R10" t="s">
        <v>43</v>
      </c>
      <c r="S10" t="s">
        <v>44</v>
      </c>
    </row>
    <row r="11" spans="1:19" s="6" customFormat="1" x14ac:dyDescent="0.25">
      <c r="A11" t="s">
        <v>66</v>
      </c>
      <c r="B11" t="s">
        <v>67</v>
      </c>
      <c r="C11" t="str">
        <f>CONCATENATE(B11,99)</f>
        <v>2YK4PG2TY7699</v>
      </c>
      <c r="D11" s="17">
        <v>45658</v>
      </c>
      <c r="E11" s="17">
        <v>65380</v>
      </c>
      <c r="F11" s="17">
        <v>45645</v>
      </c>
      <c r="G11" t="s">
        <v>62</v>
      </c>
      <c r="H11">
        <v>80</v>
      </c>
      <c r="I11" s="27">
        <v>20411454</v>
      </c>
      <c r="J11" t="s">
        <v>75</v>
      </c>
      <c r="K11" t="s">
        <v>74</v>
      </c>
      <c r="R11" t="s">
        <v>43</v>
      </c>
      <c r="S11" t="s">
        <v>44</v>
      </c>
    </row>
    <row r="12" spans="1:19" s="6" customFormat="1" x14ac:dyDescent="0.25"/>
    <row r="13" spans="1:19" s="6" customFormat="1" x14ac:dyDescent="0.25"/>
    <row r="14" spans="1:19" s="6" customFormat="1" x14ac:dyDescent="0.25"/>
    <row r="15" spans="1:19" s="6" customFormat="1" x14ac:dyDescent="0.25"/>
    <row r="16" spans="1:19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  <ignoredErrors>
    <ignoredError sqref="C3:C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2025-02-21T17:12:47Z</dcterms:modified>
</cp:coreProperties>
</file>