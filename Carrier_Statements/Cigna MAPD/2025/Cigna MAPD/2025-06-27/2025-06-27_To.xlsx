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6-27-25 to 7-4-25\"/>
    </mc:Choice>
  </mc:AlternateContent>
  <xr:revisionPtr revIDLastSave="0" documentId="13_ncr:1_{82CB9639-31A8-401A-9309-1EBE7DCC916D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Statement'!$A$12:$R$12</definedName>
  </definedNames>
  <calcPr calcId="181029"/>
</workbook>
</file>

<file path=xl/calcChain.xml><?xml version="1.0" encoding="utf-8"?>
<calcChain xmlns="http://schemas.openxmlformats.org/spreadsheetml/2006/main">
  <c r="D12" i="4" l="1"/>
  <c r="D10" i="4"/>
  <c r="D9" i="4"/>
  <c r="D8" i="4"/>
  <c r="D11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<sst xmlns="http://schemas.openxmlformats.org/spreadsheetml/2006/main" count="226" uniqueCount="83">
  <si>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</si>
  <si>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</si>
  <si>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</si>
  <si>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</si>
  <si>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</si>
  <si>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</si>
  <si>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</si>
  <si>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</si>
  <si>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</si>
  <si>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</si>
  <si>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</si>
  <si>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</si>
  <si>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</si>
  <si>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</si>
  <si>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</si>
  <si>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</si>
  <si>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</si>
  <si>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</si>
  <si>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</si>
  <si>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</si>
  <si>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</si>
  <si>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</si>
  <si>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</si>
  <si>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</si>
  <si>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</si>
  <si>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</si>
  <si>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</si>
  <si>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</si>
  <si>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</si>
  <si>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</si>
  <si>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</si>
  <si>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New Application</t>
  </si>
  <si>
    <t>POPEK, PATRICIA</t>
  </si>
  <si>
    <t>6V03DF5AY08</t>
  </si>
  <si>
    <t>54L1L3X99</t>
  </si>
  <si>
    <t>PA</t>
  </si>
  <si>
    <t>C475237</t>
  </si>
  <si>
    <t>18710070</t>
  </si>
  <si>
    <t>MICHELLE MCCORKLE</t>
  </si>
  <si>
    <t>CMS TRUE UP PAYMENT - NO PRIOR PLAN</t>
  </si>
  <si>
    <t>RODRIGUEZ, RAQUEL</t>
  </si>
  <si>
    <t>9XG2XC6WR07</t>
  </si>
  <si>
    <t>14F1H6R78</t>
  </si>
  <si>
    <t>IL</t>
  </si>
  <si>
    <t>C398057</t>
  </si>
  <si>
    <t>8325282</t>
  </si>
  <si>
    <t>DALE WALENGA</t>
  </si>
  <si>
    <t>RODRIGUEZ, RAUL</t>
  </si>
  <si>
    <t>7QE3XG1JV18</t>
  </si>
  <si>
    <t>39A6F2R92</t>
  </si>
  <si>
    <t>SNP PLAN CHANGE</t>
  </si>
  <si>
    <t>INTEGRITY MARKETING GROUP NV, LLC</t>
  </si>
  <si>
    <t>STACEY PORTUGAL</t>
  </si>
  <si>
    <t>19645587</t>
  </si>
  <si>
    <t>C629657</t>
  </si>
  <si>
    <t>TX</t>
  </si>
  <si>
    <t>37153729</t>
  </si>
  <si>
    <t>1GP0DA1CY20</t>
  </si>
  <si>
    <t>ZENO, PRISCILLA</t>
  </si>
  <si>
    <t>Chargeback</t>
  </si>
  <si>
    <t>HEARTLAND FINANCIAL GROUP INC</t>
  </si>
  <si>
    <t>2025 VBE-Digital Incentive Payment</t>
  </si>
  <si>
    <t>VBE</t>
  </si>
  <si>
    <t>2025 VBE-HRA Admin Fee</t>
  </si>
  <si>
    <t>GREGORY HANSFORD</t>
  </si>
  <si>
    <t>17094718</t>
  </si>
  <si>
    <t>C344398</t>
  </si>
  <si>
    <t>AZ</t>
  </si>
  <si>
    <t>28X8F8L39</t>
  </si>
  <si>
    <t>4J84NU9WF81</t>
  </si>
  <si>
    <t>GOMEZ, LUPE</t>
  </si>
  <si>
    <t>Cigna MAPD 2025 Ovr</t>
  </si>
  <si>
    <t>[%/$=313][prorate=10/12]</t>
  </si>
  <si>
    <t>Cigna MAPD 2025*</t>
  </si>
  <si>
    <t>Cigna MAPD 2025</t>
  </si>
  <si>
    <t>[%/$=313][prorate=7/12]</t>
  </si>
  <si>
    <t>[%/$=353][prorate=5/12]</t>
  </si>
  <si>
    <t>Cigna 2025 CT, PA, DC</t>
  </si>
  <si>
    <t>Cigna 2025 CT, PA, DC*</t>
  </si>
  <si>
    <t>[%/$=705]</t>
  </si>
  <si>
    <t>[%/$=626]</t>
  </si>
  <si>
    <t>Main Line Benefits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</si>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</sst>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4520"/>
  <sheetViews>
    <sheetView zoomScaleNormal="100" workbookViewId="0">
      <pane ySplit="12" topLeftCell="A13" activePane="bottomLeft" state="frozen"/>
      <selection pane="bottomLeft" activeCell="C13" sqref="C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45835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-430.01</v>
      </c>
      <c r="B8" s="14">
        <v>3</v>
      </c>
      <c r="C8" s="13">
        <v>1444.76</v>
      </c>
      <c r="D8" s="14">
        <v>0</v>
      </c>
      <c r="E8" s="13">
        <v>0</v>
      </c>
      <c r="F8" s="14">
        <v>0</v>
      </c>
      <c r="G8" s="15">
        <v>0</v>
      </c>
      <c r="H8" s="14">
        <v>0</v>
      </c>
      <c r="I8" s="13">
        <v>0</v>
      </c>
      <c r="J8" s="16">
        <v>1014.75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45870</v>
      </c>
      <c r="F13" s="18">
        <v>73050</v>
      </c>
      <c r="G13" s="18">
        <v>45785</v>
      </c>
      <c r="H13" t="s">
        <v>35</v>
      </c>
      <c r="I13">
        <v>557.91999999999996</v>
      </c>
      <c r="J13" t="s">
        <v>36</v>
      </c>
      <c r="K13" t="s">
        <v>37</v>
      </c>
      <c r="L13" t="s">
        <v>38</v>
      </c>
      <c r="R13" t="s">
        <v>39</v>
      </c>
    </row>
    <row r="14" spans="1:18" s="7" customFormat="1" x14ac:dyDescent="0.25">
      <c r="A14" t="s">
        <v>31</v>
      </c>
      <c r="B14" t="s">
        <v>40</v>
      </c>
      <c r="C14" t="s">
        <v>41</v>
      </c>
      <c r="D14" t="s">
        <v>42</v>
      </c>
      <c r="E14" s="18">
        <v>45809</v>
      </c>
      <c r="F14" s="18">
        <v>73050</v>
      </c>
      <c r="G14" s="18">
        <v>45789</v>
      </c>
      <c r="H14" t="s">
        <v>43</v>
      </c>
      <c r="I14">
        <v>443.42</v>
      </c>
      <c r="J14" t="s">
        <v>44</v>
      </c>
      <c r="K14" t="s">
        <v>45</v>
      </c>
      <c r="L14" t="s">
        <v>46</v>
      </c>
      <c r="R14" t="s">
        <v>39</v>
      </c>
    </row>
    <row r="15" spans="1:18" s="7" customFormat="1" x14ac:dyDescent="0.25">
      <c r="A15" t="s">
        <v>31</v>
      </c>
      <c r="B15" t="s">
        <v>47</v>
      </c>
      <c r="C15" t="s">
        <v>48</v>
      </c>
      <c r="D15" t="s">
        <v>49</v>
      </c>
      <c r="E15" s="18">
        <v>45809</v>
      </c>
      <c r="F15" s="18">
        <v>73050</v>
      </c>
      <c r="G15" s="18">
        <v>45789</v>
      </c>
      <c r="H15" t="s">
        <v>43</v>
      </c>
      <c r="I15">
        <v>443.42</v>
      </c>
      <c r="J15" t="s">
        <v>44</v>
      </c>
      <c r="K15" t="s">
        <v>45</v>
      </c>
      <c r="L15" t="s">
        <v>46</v>
      </c>
      <c r="R15" t="s">
        <v>39</v>
      </c>
    </row>
    <row r="16" spans="1:18" s="7" customFormat="1" x14ac:dyDescent="0.25">
      <c r="A16" t="s">
        <v>62</v>
      </c>
      <c r="B16" t="s">
        <v>70</v>
      </c>
      <c r="C16" t="s">
        <v>69</v>
      </c>
      <c r="D16" t="s">
        <v>68</v>
      </c>
      <c r="E16" s="18">
        <v>45658</v>
      </c>
      <c r="F16" s="18">
        <v>73050</v>
      </c>
      <c r="G16" s="18">
        <v>45633</v>
      </c>
      <c r="H16" t="s">
        <v>67</v>
      </c>
      <c r="I16">
        <v>50</v>
      </c>
      <c r="J16" t="s">
        <v>66</v>
      </c>
      <c r="K16" t="s">
        <v>65</v>
      </c>
      <c r="L16" t="s">
        <v>64</v>
      </c>
      <c r="M16" t="s">
        <v>30</v>
      </c>
      <c r="R16" t="s">
        <v>61</v>
      </c>
    </row>
    <row r="17" spans="1:20" s="7" customFormat="1" x14ac:dyDescent="0.25">
      <c r="A17" t="s">
        <v>62</v>
      </c>
      <c r="B17" t="s">
        <v>40</v>
      </c>
      <c r="C17" t="s">
        <v>41</v>
      </c>
      <c r="D17" t="s">
        <v>42</v>
      </c>
      <c r="E17" s="18">
        <v>45809</v>
      </c>
      <c r="F17" s="18">
        <v>73050</v>
      </c>
      <c r="G17" s="18">
        <v>45789</v>
      </c>
      <c r="H17" t="s">
        <v>43</v>
      </c>
      <c r="I17">
        <v>75</v>
      </c>
      <c r="J17" t="s">
        <v>44</v>
      </c>
      <c r="K17" t="s">
        <v>45</v>
      </c>
      <c r="L17" t="s">
        <v>46</v>
      </c>
      <c r="M17" t="s">
        <v>30</v>
      </c>
      <c r="R17" t="s">
        <v>63</v>
      </c>
    </row>
    <row r="18" spans="1:20" s="7" customFormat="1" x14ac:dyDescent="0.25">
      <c r="A18" t="s">
        <v>62</v>
      </c>
      <c r="B18" t="s">
        <v>40</v>
      </c>
      <c r="C18" t="s">
        <v>41</v>
      </c>
      <c r="D18" t="s">
        <v>42</v>
      </c>
      <c r="E18" s="18">
        <v>45809</v>
      </c>
      <c r="F18" s="18">
        <v>73050</v>
      </c>
      <c r="G18" s="18">
        <v>45789</v>
      </c>
      <c r="H18" t="s">
        <v>43</v>
      </c>
      <c r="I18">
        <v>30</v>
      </c>
      <c r="J18" t="s">
        <v>44</v>
      </c>
      <c r="K18" t="s">
        <v>45</v>
      </c>
      <c r="L18" t="s">
        <v>46</v>
      </c>
      <c r="M18" t="s">
        <v>30</v>
      </c>
      <c r="R18" t="s">
        <v>61</v>
      </c>
    </row>
    <row r="19" spans="1:20" s="7" customFormat="1" x14ac:dyDescent="0.25">
      <c r="A19" t="s">
        <v>62</v>
      </c>
      <c r="B19" t="s">
        <v>47</v>
      </c>
      <c r="C19" t="s">
        <v>48</v>
      </c>
      <c r="D19" t="s">
        <v>49</v>
      </c>
      <c r="E19" s="18">
        <v>45809</v>
      </c>
      <c r="F19" s="18">
        <v>73050</v>
      </c>
      <c r="G19" s="18">
        <v>45789</v>
      </c>
      <c r="H19" t="s">
        <v>43</v>
      </c>
      <c r="I19">
        <v>75</v>
      </c>
      <c r="J19" t="s">
        <v>44</v>
      </c>
      <c r="K19" t="s">
        <v>45</v>
      </c>
      <c r="L19" t="s">
        <v>46</v>
      </c>
      <c r="M19" t="s">
        <v>30</v>
      </c>
      <c r="R19" t="s">
        <v>63</v>
      </c>
    </row>
    <row r="20" spans="1:20" s="7" customFormat="1" x14ac:dyDescent="0.25">
      <c r="A20" t="s">
        <v>62</v>
      </c>
      <c r="B20" t="s">
        <v>47</v>
      </c>
      <c r="C20" t="s">
        <v>48</v>
      </c>
      <c r="D20" t="s">
        <v>49</v>
      </c>
      <c r="E20" s="18">
        <v>45809</v>
      </c>
      <c r="F20" s="18">
        <v>73050</v>
      </c>
      <c r="G20" s="18">
        <v>45789</v>
      </c>
      <c r="H20" t="s">
        <v>43</v>
      </c>
      <c r="I20">
        <v>30</v>
      </c>
      <c r="J20" t="s">
        <v>44</v>
      </c>
      <c r="K20" t="s">
        <v>45</v>
      </c>
      <c r="L20" t="s">
        <v>46</v>
      </c>
      <c r="M20" t="s">
        <v>30</v>
      </c>
      <c r="R20" t="s">
        <v>61</v>
      </c>
    </row>
    <row r="21" spans="1:20" s="7" customFormat="1" x14ac:dyDescent="0.25">
      <c r="A21" t="s">
        <v>59</v>
      </c>
      <c r="B21" t="s">
        <v>58</v>
      </c>
      <c r="C21" t="s">
        <v>57</v>
      </c>
      <c r="D21" t="s">
        <v>56</v>
      </c>
      <c r="E21" s="18">
        <v>45658</v>
      </c>
      <c r="F21" s="18">
        <v>45716</v>
      </c>
      <c r="G21" s="18">
        <v>45609</v>
      </c>
      <c r="H21" t="s">
        <v>55</v>
      </c>
      <c r="I21">
        <v>-260.83</v>
      </c>
      <c r="J21" t="s">
        <v>54</v>
      </c>
      <c r="K21" t="s">
        <v>53</v>
      </c>
      <c r="L21" t="s">
        <v>52</v>
      </c>
      <c r="M21" t="s">
        <v>30</v>
      </c>
      <c r="P21" t="s">
        <v>60</v>
      </c>
      <c r="Q21" t="s">
        <v>51</v>
      </c>
      <c r="R21" t="s">
        <v>50</v>
      </c>
      <c r="T21"/>
    </row>
    <row r="22" spans="1:20" s="7" customFormat="1" x14ac:dyDescent="0.25">
      <c r="A22" t="s">
        <v>59</v>
      </c>
      <c r="B22" t="s">
        <v>58</v>
      </c>
      <c r="C22" t="s">
        <v>57</v>
      </c>
      <c r="D22" t="s">
        <v>56</v>
      </c>
      <c r="E22" s="18">
        <v>45658</v>
      </c>
      <c r="F22" s="18">
        <v>45716</v>
      </c>
      <c r="G22" s="18">
        <v>45609</v>
      </c>
      <c r="H22" t="s">
        <v>55</v>
      </c>
      <c r="I22">
        <v>-66.66</v>
      </c>
      <c r="J22" t="s">
        <v>54</v>
      </c>
      <c r="K22" t="s">
        <v>53</v>
      </c>
      <c r="L22" t="s">
        <v>52</v>
      </c>
      <c r="M22" t="s">
        <v>30</v>
      </c>
      <c r="Q22" t="s">
        <v>51</v>
      </c>
      <c r="R22" t="s">
        <v>50</v>
      </c>
      <c r="T22"/>
    </row>
    <row r="23" spans="1:20" s="7" customFormat="1" x14ac:dyDescent="0.25"/>
    <row r="24" spans="1:20" s="7" customFormat="1" x14ac:dyDescent="0.25"/>
    <row r="25" spans="1:20" s="7" customFormat="1" x14ac:dyDescent="0.25"/>
    <row r="26" spans="1:20" s="7" customFormat="1" x14ac:dyDescent="0.25"/>
    <row r="27" spans="1:20" s="7" customFormat="1" x14ac:dyDescent="0.25"/>
    <row r="28" spans="1:20" s="7" customFormat="1" x14ac:dyDescent="0.25"/>
    <row r="29" spans="1:20" s="7" customFormat="1" x14ac:dyDescent="0.25"/>
    <row r="30" spans="1:20" s="7" customFormat="1" x14ac:dyDescent="0.25"/>
    <row r="31" spans="1:20" s="7" customFormat="1" x14ac:dyDescent="0.25"/>
    <row r="32" spans="1:20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E60C-4717-433B-8CD7-0161A7B7071F}">
  <dimension ref="A1:M4510"/>
  <sheetViews>
    <sheetView tabSelected="1" workbookViewId="0">
      <selection activeCell="M2" sqref="M2:M12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10.5703125" style="3" customWidth="1"/>
    <col min="7" max="7" width="15.28515625" style="10" customWidth="1"/>
    <col min="8" max="8" width="15.28515625" style="3" bestFit="1" customWidth="1"/>
    <col min="9" max="9" width="22.7109375" style="3" customWidth="1"/>
    <col min="10" max="10" width="19.85546875" style="25" customWidth="1"/>
    <col min="11" max="11" width="20" bestFit="1" customWidth="1"/>
  </cols>
  <sheetData>
    <row r="1" spans="1:13" s="2" customFormat="1" ht="15" customHeight="1" x14ac:dyDescent="0.25">
      <c r="A1" s="8" t="s">
        <v>11</v>
      </c>
      <c r="B1" s="8" t="s">
        <v>10</v>
      </c>
      <c r="C1" s="8" t="s">
        <v>13</v>
      </c>
      <c r="D1" s="8"/>
      <c r="E1" s="8" t="s">
        <v>0</v>
      </c>
      <c r="F1" s="8" t="s">
        <v>3</v>
      </c>
      <c r="G1" s="17" t="s">
        <v>4</v>
      </c>
      <c r="H1" s="17" t="s">
        <v>16</v>
      </c>
      <c r="I1" s="8" t="s">
        <v>5</v>
      </c>
      <c r="J1" s="24" t="s">
        <v>12</v>
      </c>
    </row>
    <row r="2" spans="1:13" s="29" customFormat="1" x14ac:dyDescent="0.25">
      <c r="A2" s="26" t="s">
        <v>31</v>
      </c>
      <c r="B2" s="26" t="s">
        <v>32</v>
      </c>
      <c r="C2" s="26" t="s">
        <v>33</v>
      </c>
      <c r="D2" s="26" t="str">
        <f>CONCATENATE(C2,8)</f>
        <v>6V03DF5AY088</v>
      </c>
      <c r="E2" s="27">
        <v>45870</v>
      </c>
      <c r="F2" s="26" t="s">
        <v>35</v>
      </c>
      <c r="G2" s="26">
        <v>557.91999999999996</v>
      </c>
      <c r="H2" s="30" t="s">
        <v>82</v>
      </c>
      <c r="I2" s="26" t="s">
        <v>38</v>
      </c>
      <c r="J2" s="28" t="s">
        <v>39</v>
      </c>
      <c r="K2" s="29" t="s">
        <v>77</v>
      </c>
      <c r="L2" s="29">
        <v>705</v>
      </c>
      <c r="M2" s="29" t="s">
        <v>79</v>
      </c>
    </row>
    <row r="3" spans="1:13" s="29" customFormat="1" x14ac:dyDescent="0.25">
      <c r="A3" s="26" t="s">
        <v>31</v>
      </c>
      <c r="B3" s="26" t="s">
        <v>40</v>
      </c>
      <c r="C3" s="26" t="s">
        <v>41</v>
      </c>
      <c r="D3" s="26" t="str">
        <f t="shared" ref="D3:D4" si="0">CONCATENATE(C3,8)</f>
        <v>9XG2XC6WR078</v>
      </c>
      <c r="E3" s="27">
        <v>45809</v>
      </c>
      <c r="F3" s="26" t="s">
        <v>43</v>
      </c>
      <c r="G3" s="26">
        <v>443.42</v>
      </c>
      <c r="H3" s="30">
        <v>8325282</v>
      </c>
      <c r="I3" s="26" t="s">
        <v>46</v>
      </c>
      <c r="J3" s="28" t="s">
        <v>39</v>
      </c>
      <c r="K3" s="29" t="s">
        <v>74</v>
      </c>
      <c r="L3" s="29">
        <v>626</v>
      </c>
      <c r="M3" s="29" t="s">
        <v>80</v>
      </c>
    </row>
    <row r="4" spans="1:13" s="29" customFormat="1" x14ac:dyDescent="0.25">
      <c r="A4" s="26" t="s">
        <v>31</v>
      </c>
      <c r="B4" s="26" t="s">
        <v>47</v>
      </c>
      <c r="C4" s="26" t="s">
        <v>48</v>
      </c>
      <c r="D4" s="26" t="str">
        <f t="shared" si="0"/>
        <v>7QE3XG1JV188</v>
      </c>
      <c r="E4" s="27">
        <v>45809</v>
      </c>
      <c r="F4" s="26" t="s">
        <v>43</v>
      </c>
      <c r="G4" s="26">
        <v>443.42</v>
      </c>
      <c r="H4" s="30">
        <v>8325282</v>
      </c>
      <c r="I4" s="26" t="s">
        <v>46</v>
      </c>
      <c r="J4" s="28" t="s">
        <v>39</v>
      </c>
      <c r="K4" s="29" t="s">
        <v>74</v>
      </c>
      <c r="L4" s="29">
        <v>626</v>
      </c>
      <c r="M4" s="29" t="s">
        <v>80</v>
      </c>
    </row>
    <row r="5" spans="1:13" s="29" customFormat="1" x14ac:dyDescent="0.25">
      <c r="A5" s="26" t="s">
        <v>31</v>
      </c>
      <c r="B5" s="26" t="s">
        <v>32</v>
      </c>
      <c r="C5" s="26" t="s">
        <v>33</v>
      </c>
      <c r="D5" s="26" t="str">
        <f>CONCATENATE(C5,9)</f>
        <v>6V03DF5AY089</v>
      </c>
      <c r="E5" s="27">
        <v>45870</v>
      </c>
      <c r="F5" s="26" t="s">
        <v>35</v>
      </c>
      <c r="G5" s="26">
        <v>557.91999999999996</v>
      </c>
      <c r="H5" s="30" t="s">
        <v>82</v>
      </c>
      <c r="I5" s="26" t="s">
        <v>38</v>
      </c>
      <c r="J5" s="28" t="s">
        <v>39</v>
      </c>
      <c r="K5" s="29" t="s">
        <v>78</v>
      </c>
      <c r="L5" s="29">
        <v>-147.08000000000001</v>
      </c>
      <c r="M5" s="29" t="s">
        <v>76</v>
      </c>
    </row>
    <row r="6" spans="1:13" s="29" customFormat="1" x14ac:dyDescent="0.25">
      <c r="A6" s="26" t="s">
        <v>31</v>
      </c>
      <c r="B6" s="26" t="s">
        <v>40</v>
      </c>
      <c r="C6" s="26" t="s">
        <v>41</v>
      </c>
      <c r="D6" s="26" t="str">
        <f t="shared" ref="D6:D7" si="1">CONCATENATE(C6,9)</f>
        <v>9XG2XC6WR079</v>
      </c>
      <c r="E6" s="27">
        <v>45809</v>
      </c>
      <c r="F6" s="26" t="s">
        <v>43</v>
      </c>
      <c r="G6" s="26">
        <v>443.42</v>
      </c>
      <c r="H6" s="30">
        <v>8325282</v>
      </c>
      <c r="I6" s="26" t="s">
        <v>46</v>
      </c>
      <c r="J6" s="28" t="s">
        <v>39</v>
      </c>
      <c r="K6" s="29" t="s">
        <v>73</v>
      </c>
      <c r="L6" s="29">
        <v>-182.58</v>
      </c>
      <c r="M6" s="29" t="s">
        <v>75</v>
      </c>
    </row>
    <row r="7" spans="1:13" s="29" customFormat="1" x14ac:dyDescent="0.25">
      <c r="A7" s="26" t="s">
        <v>31</v>
      </c>
      <c r="B7" s="26" t="s">
        <v>47</v>
      </c>
      <c r="C7" s="26" t="s">
        <v>48</v>
      </c>
      <c r="D7" s="26" t="str">
        <f t="shared" si="1"/>
        <v>7QE3XG1JV189</v>
      </c>
      <c r="E7" s="27">
        <v>45809</v>
      </c>
      <c r="F7" s="26" t="s">
        <v>43</v>
      </c>
      <c r="G7" s="26">
        <v>443.42</v>
      </c>
      <c r="H7" s="30">
        <v>8325282</v>
      </c>
      <c r="I7" s="26" t="s">
        <v>46</v>
      </c>
      <c r="J7" s="28" t="s">
        <v>39</v>
      </c>
      <c r="K7" s="29" t="s">
        <v>73</v>
      </c>
      <c r="L7" s="29">
        <v>-182.58</v>
      </c>
      <c r="M7" s="29" t="s">
        <v>75</v>
      </c>
    </row>
    <row r="8" spans="1:13" s="29" customFormat="1" x14ac:dyDescent="0.25">
      <c r="A8" s="26" t="s">
        <v>62</v>
      </c>
      <c r="B8" s="26" t="s">
        <v>70</v>
      </c>
      <c r="C8" s="26" t="s">
        <v>69</v>
      </c>
      <c r="D8" s="26" t="str">
        <f>CONCATENATE(C8,99)</f>
        <v>4J84NU9WF8199</v>
      </c>
      <c r="E8" s="27">
        <v>45658</v>
      </c>
      <c r="F8" s="26" t="s">
        <v>67</v>
      </c>
      <c r="G8" s="26">
        <v>50</v>
      </c>
      <c r="H8" s="30">
        <v>20411454</v>
      </c>
      <c r="I8" s="26" t="s">
        <v>81</v>
      </c>
      <c r="J8" s="28" t="s">
        <v>61</v>
      </c>
      <c r="K8" s="29" t="s">
        <v>71</v>
      </c>
      <c r="L8" s="26">
        <v>50</v>
      </c>
    </row>
    <row r="9" spans="1:13" s="29" customFormat="1" x14ac:dyDescent="0.25">
      <c r="A9" s="26" t="s">
        <v>62</v>
      </c>
      <c r="B9" s="26" t="s">
        <v>40</v>
      </c>
      <c r="C9" s="26" t="s">
        <v>41</v>
      </c>
      <c r="D9" s="26" t="str">
        <f t="shared" ref="D9:D10" si="2">CONCATENATE(C9,99)</f>
        <v>9XG2XC6WR0799</v>
      </c>
      <c r="E9" s="27">
        <v>45809</v>
      </c>
      <c r="F9" s="26" t="s">
        <v>43</v>
      </c>
      <c r="G9" s="26">
        <v>30</v>
      </c>
      <c r="H9" s="30">
        <v>20411454</v>
      </c>
      <c r="I9" s="26" t="s">
        <v>81</v>
      </c>
      <c r="J9" s="28" t="s">
        <v>61</v>
      </c>
      <c r="K9" s="29" t="s">
        <v>71</v>
      </c>
      <c r="L9" s="26">
        <v>30</v>
      </c>
    </row>
    <row r="10" spans="1:13" s="29" customFormat="1" x14ac:dyDescent="0.25">
      <c r="A10" s="26" t="s">
        <v>62</v>
      </c>
      <c r="B10" s="26" t="s">
        <v>47</v>
      </c>
      <c r="C10" s="26" t="s">
        <v>48</v>
      </c>
      <c r="D10" s="26" t="str">
        <f t="shared" si="2"/>
        <v>7QE3XG1JV1899</v>
      </c>
      <c r="E10" s="27">
        <v>45809</v>
      </c>
      <c r="F10" s="26" t="s">
        <v>43</v>
      </c>
      <c r="G10" s="26">
        <v>30</v>
      </c>
      <c r="H10" s="30">
        <v>20411454</v>
      </c>
      <c r="I10" s="26" t="s">
        <v>81</v>
      </c>
      <c r="J10" s="28" t="s">
        <v>61</v>
      </c>
      <c r="K10" s="29" t="s">
        <v>71</v>
      </c>
      <c r="L10" s="26">
        <v>30</v>
      </c>
    </row>
    <row r="11" spans="1:13" s="29" customFormat="1" x14ac:dyDescent="0.25">
      <c r="A11" s="26" t="s">
        <v>59</v>
      </c>
      <c r="B11" s="26" t="s">
        <v>58</v>
      </c>
      <c r="C11" s="26" t="s">
        <v>57</v>
      </c>
      <c r="D11" s="26" t="str">
        <f>CONCATENATE(C11,9)</f>
        <v>1GP0DA1CY209</v>
      </c>
      <c r="E11" s="27">
        <v>45658</v>
      </c>
      <c r="F11" s="26" t="s">
        <v>55</v>
      </c>
      <c r="G11" s="26">
        <v>-260.83</v>
      </c>
      <c r="H11" s="30">
        <v>19645587</v>
      </c>
      <c r="I11" s="26" t="s">
        <v>52</v>
      </c>
      <c r="J11" s="28" t="s">
        <v>50</v>
      </c>
      <c r="K11" s="29" t="s">
        <v>73</v>
      </c>
      <c r="L11" s="26">
        <v>-260.83</v>
      </c>
      <c r="M11" s="29" t="s">
        <v>72</v>
      </c>
    </row>
    <row r="12" spans="1:13" s="29" customFormat="1" x14ac:dyDescent="0.25">
      <c r="A12" s="26" t="s">
        <v>59</v>
      </c>
      <c r="B12" s="26" t="s">
        <v>58</v>
      </c>
      <c r="C12" s="26" t="s">
        <v>57</v>
      </c>
      <c r="D12" s="26" t="str">
        <f>CONCATENATE(C12,99)</f>
        <v>1GP0DA1CY2099</v>
      </c>
      <c r="E12" s="27">
        <v>45658</v>
      </c>
      <c r="F12" s="26" t="s">
        <v>55</v>
      </c>
      <c r="G12" s="26">
        <v>-66.66</v>
      </c>
      <c r="H12" s="30">
        <v>20411454</v>
      </c>
      <c r="I12" s="26" t="s">
        <v>81</v>
      </c>
      <c r="J12" s="28" t="s">
        <v>50</v>
      </c>
      <c r="K12" s="29" t="s">
        <v>71</v>
      </c>
      <c r="L12" s="26">
        <v>-66.66</v>
      </c>
    </row>
    <row r="13" spans="1:13" s="7" customFormat="1" x14ac:dyDescent="0.25"/>
    <row r="14" spans="1:13" s="7" customFormat="1" x14ac:dyDescent="0.25"/>
    <row r="15" spans="1:13" s="7" customFormat="1" x14ac:dyDescent="0.25"/>
    <row r="16" spans="1:13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</sheetData>
  <pageMargins left="0.7" right="0.7" top="0.75" bottom="0.75" header="0.3" footer="0.3"/>
  <ignoredErrors>
    <ignoredError sqref="D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2025-07-08T13:22:59Z</dcterms:modified>
</cp:coreProperties>
</file>