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0-10-25\"/>
    </mc:Choice>
  </mc:AlternateContent>
  <xr:revisionPtr revIDLastSave="0" documentId="13_ncr:1_{0CD5FB78-E0FA-46AE-85AF-16A792C88BC0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D14" i="4" l="1"/>
  <c r="D12" i="4"/>
  <c r="D11" i="4"/>
  <c r="D9" i="4"/>
  <c r="D7" i="4"/>
  <c r="D5" i="4"/>
  <c r="D3" i="4"/>
  <c r="D13" i="4"/>
  <c r="D10" i="4"/>
  <c r="D8" i="4"/>
  <c r="D6" i="4"/>
  <c r="D4" i="4"/>
  <c r="D2" i="4"/>
</calcChain>
</file>

<file path=xl/sharedStrings.xml><?xml version="1.0" encoding="utf-8"?>
<sst xmlns="http://schemas.openxmlformats.org/spreadsheetml/2006/main" count="267" uniqueCount="77">
  <si>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</si>
  <si>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</si>
  <si>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</si>
  <si>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</si>
  <si>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</si>
  <si>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</si>
  <si>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</si>
  <si>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</si>
  <si>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</si>
  <si>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</si>
  <si>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</si>
  <si>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</si>
  <si>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</si>
  <si>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</si>
  <si>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</si>
  <si>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</si>
  <si>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</si>
  <si>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</si>
  <si>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</si>
  <si>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</si>
  <si>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</si>
  <si>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</si>
  <si>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</si>
  <si>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</si>
  <si>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</si>
  <si>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</si>
  <si>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</si>
  <si>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</si>
  <si>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</si>
  <si>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</si>
  <si>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</si>
  <si>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</si>
  <si>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</si>
  <si>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</si>
  <si>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Chargeback</t>
  </si>
  <si>
    <t>ANDERSON, JOYCE</t>
  </si>
  <si>
    <t>4H61F07KV91</t>
  </si>
  <si>
    <t>IL</t>
  </si>
  <si>
    <t>C500975</t>
  </si>
  <si>
    <t>GARY PORTUGAL</t>
  </si>
  <si>
    <t>HEARTLAND FINANCIAL GROUP INC</t>
  </si>
  <si>
    <t>INTEGRITY MARKETING GROUP NV, LLC</t>
  </si>
  <si>
    <t>DISENROLLMENT-OTHER PLAN</t>
  </si>
  <si>
    <t>New Application</t>
  </si>
  <si>
    <t>GONZALEZ, RAUL</t>
  </si>
  <si>
    <t>3WU3VQ8UA83</t>
  </si>
  <si>
    <t>52U3U7F86</t>
  </si>
  <si>
    <t>TX</t>
  </si>
  <si>
    <t>C313152</t>
  </si>
  <si>
    <t>LENSIE GONZALES</t>
  </si>
  <si>
    <t>NEW APP PAYMENT</t>
  </si>
  <si>
    <t>KAPLAN, ELLEN</t>
  </si>
  <si>
    <t>2YX0R80WQ19</t>
  </si>
  <si>
    <t>LINO, OSCAR</t>
  </si>
  <si>
    <t>1GJ3GY5DX83</t>
  </si>
  <si>
    <t>11A2A7X22</t>
  </si>
  <si>
    <t>C565467</t>
  </si>
  <si>
    <t>RICARDO SANTOS</t>
  </si>
  <si>
    <t>NANDA, RATNA</t>
  </si>
  <si>
    <t>6A79AH8XQ30</t>
  </si>
  <si>
    <t>SCHULZE, COLLEEN</t>
  </si>
  <si>
    <t>9VN8ED1JH45</t>
  </si>
  <si>
    <t>PA</t>
  </si>
  <si>
    <t>C527734</t>
  </si>
  <si>
    <t>LORI TUNSTALL</t>
  </si>
  <si>
    <t>STIMMEL, KURT</t>
  </si>
  <si>
    <t>6D86H72AY46</t>
  </si>
  <si>
    <t>C475237</t>
  </si>
  <si>
    <t>MICHELLE MCCORKLE</t>
  </si>
  <si>
    <t>DIS - LOSS OF COVERAGE</t>
  </si>
  <si>
    <t>Cigna MAPD 2025*</t>
  </si>
  <si>
    <t>[%/$=313][prorate=12/12]</t>
  </si>
  <si>
    <t>Cigna MAPD 2025 Ovr</t>
  </si>
  <si>
    <t>Cigna 2025 CT, PA, DC*</t>
  </si>
  <si>
    <t>[%/$=353][prorate=5/12]</t>
  </si>
  <si>
    <t>[%/$=313][prorate=3/12]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</si>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</sst>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opLeftCell="B1" zoomScaleNormal="100" workbookViewId="0">
      <pane ySplit="12" topLeftCell="A13" activePane="bottomLeft" state="frozen"/>
      <selection pane="bottomLeft" activeCell="B1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45940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-72.33</v>
      </c>
      <c r="B8" s="13">
        <v>4</v>
      </c>
      <c r="C8" s="12">
        <v>316.5</v>
      </c>
      <c r="D8" s="13">
        <v>0</v>
      </c>
      <c r="E8" s="12">
        <v>0</v>
      </c>
      <c r="F8" s="13">
        <v>9</v>
      </c>
      <c r="G8" s="14">
        <v>-1406.07</v>
      </c>
      <c r="H8" s="13">
        <v>0</v>
      </c>
      <c r="I8" s="23">
        <v>0</v>
      </c>
      <c r="J8" s="15">
        <v>-1161.9000000000001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>
        <v>37110140</v>
      </c>
      <c r="E13" s="17">
        <v>45658</v>
      </c>
      <c r="F13" s="17">
        <v>45716</v>
      </c>
      <c r="G13" s="17">
        <v>45593</v>
      </c>
      <c r="H13" t="s">
        <v>37</v>
      </c>
      <c r="I13">
        <v>-313</v>
      </c>
      <c r="J13" t="s">
        <v>38</v>
      </c>
      <c r="K13">
        <v>9213293</v>
      </c>
      <c r="L13" t="s">
        <v>39</v>
      </c>
      <c r="M13" t="s">
        <v>33</v>
      </c>
      <c r="S13" t="s">
        <v>40</v>
      </c>
      <c r="T13" t="s">
        <v>41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>
        <v>37110140</v>
      </c>
      <c r="E14" s="17">
        <v>45658</v>
      </c>
      <c r="F14" s="17">
        <v>45716</v>
      </c>
      <c r="G14" s="17">
        <v>45593</v>
      </c>
      <c r="H14" t="s">
        <v>37</v>
      </c>
      <c r="I14">
        <v>-80</v>
      </c>
      <c r="J14" t="s">
        <v>38</v>
      </c>
      <c r="K14">
        <v>9213293</v>
      </c>
      <c r="L14" t="s">
        <v>39</v>
      </c>
      <c r="M14" t="s">
        <v>33</v>
      </c>
      <c r="T14" t="s">
        <v>41</v>
      </c>
      <c r="U14" t="s">
        <v>42</v>
      </c>
    </row>
    <row r="15" spans="1:21" s="6" customFormat="1" x14ac:dyDescent="0.25">
      <c r="A15" t="s">
        <v>43</v>
      </c>
      <c r="B15" t="s">
        <v>44</v>
      </c>
      <c r="C15" t="s">
        <v>45</v>
      </c>
      <c r="D15" t="s">
        <v>46</v>
      </c>
      <c r="E15" s="17">
        <v>45931</v>
      </c>
      <c r="F15" s="17">
        <v>73050</v>
      </c>
      <c r="G15" s="17">
        <v>45904</v>
      </c>
      <c r="H15" t="s">
        <v>47</v>
      </c>
      <c r="I15">
        <v>78.25</v>
      </c>
      <c r="J15" t="s">
        <v>48</v>
      </c>
      <c r="K15">
        <v>17859093</v>
      </c>
      <c r="L15" t="s">
        <v>49</v>
      </c>
      <c r="M15" t="s">
        <v>33</v>
      </c>
      <c r="S15" t="s">
        <v>40</v>
      </c>
      <c r="T15" t="s">
        <v>41</v>
      </c>
      <c r="U15" t="s">
        <v>50</v>
      </c>
    </row>
    <row r="16" spans="1:21" s="6" customFormat="1" x14ac:dyDescent="0.25">
      <c r="A16" t="s">
        <v>43</v>
      </c>
      <c r="B16" t="s">
        <v>44</v>
      </c>
      <c r="C16" t="s">
        <v>45</v>
      </c>
      <c r="D16" t="s">
        <v>46</v>
      </c>
      <c r="E16" s="17">
        <v>45931</v>
      </c>
      <c r="F16" s="17">
        <v>73050</v>
      </c>
      <c r="G16" s="17">
        <v>45904</v>
      </c>
      <c r="H16" t="s">
        <v>47</v>
      </c>
      <c r="I16">
        <v>80</v>
      </c>
      <c r="J16" t="s">
        <v>48</v>
      </c>
      <c r="K16">
        <v>17859093</v>
      </c>
      <c r="L16" t="s">
        <v>49</v>
      </c>
      <c r="M16" t="s">
        <v>33</v>
      </c>
      <c r="T16" t="s">
        <v>41</v>
      </c>
      <c r="U16" t="s">
        <v>50</v>
      </c>
    </row>
    <row r="17" spans="1:21" s="6" customFormat="1" x14ac:dyDescent="0.25">
      <c r="A17" t="s">
        <v>34</v>
      </c>
      <c r="B17" t="s">
        <v>51</v>
      </c>
      <c r="C17" t="s">
        <v>52</v>
      </c>
      <c r="D17">
        <v>37110335</v>
      </c>
      <c r="E17" s="17">
        <v>45658</v>
      </c>
      <c r="F17" s="17">
        <v>45716</v>
      </c>
      <c r="G17" s="17">
        <v>45593</v>
      </c>
      <c r="H17" t="s">
        <v>37</v>
      </c>
      <c r="I17">
        <v>-313</v>
      </c>
      <c r="J17" t="s">
        <v>38</v>
      </c>
      <c r="K17">
        <v>9213293</v>
      </c>
      <c r="L17" t="s">
        <v>39</v>
      </c>
      <c r="M17" t="s">
        <v>33</v>
      </c>
      <c r="S17" t="s">
        <v>40</v>
      </c>
      <c r="T17" t="s">
        <v>41</v>
      </c>
      <c r="U17" t="s">
        <v>42</v>
      </c>
    </row>
    <row r="18" spans="1:21" s="6" customFormat="1" x14ac:dyDescent="0.25">
      <c r="A18" t="s">
        <v>34</v>
      </c>
      <c r="B18" t="s">
        <v>51</v>
      </c>
      <c r="C18" t="s">
        <v>52</v>
      </c>
      <c r="D18">
        <v>37110335</v>
      </c>
      <c r="E18" s="17">
        <v>45658</v>
      </c>
      <c r="F18" s="17">
        <v>45716</v>
      </c>
      <c r="G18" s="17">
        <v>45593</v>
      </c>
      <c r="H18" t="s">
        <v>37</v>
      </c>
      <c r="I18">
        <v>-80</v>
      </c>
      <c r="J18" t="s">
        <v>38</v>
      </c>
      <c r="K18">
        <v>9213293</v>
      </c>
      <c r="L18" t="s">
        <v>39</v>
      </c>
      <c r="M18" t="s">
        <v>33</v>
      </c>
      <c r="T18" t="s">
        <v>41</v>
      </c>
      <c r="U18" t="s">
        <v>42</v>
      </c>
    </row>
    <row r="19" spans="1:21" s="6" customFormat="1" x14ac:dyDescent="0.25">
      <c r="A19" t="s">
        <v>43</v>
      </c>
      <c r="B19" t="s">
        <v>53</v>
      </c>
      <c r="C19" t="s">
        <v>54</v>
      </c>
      <c r="D19" t="s">
        <v>55</v>
      </c>
      <c r="E19" s="17">
        <v>45931</v>
      </c>
      <c r="F19" s="17">
        <v>73050</v>
      </c>
      <c r="G19" s="17">
        <v>45918</v>
      </c>
      <c r="H19" t="s">
        <v>37</v>
      </c>
      <c r="I19">
        <v>78.25</v>
      </c>
      <c r="J19" t="s">
        <v>56</v>
      </c>
      <c r="K19">
        <v>19200754</v>
      </c>
      <c r="L19" t="s">
        <v>57</v>
      </c>
      <c r="M19" t="s">
        <v>33</v>
      </c>
      <c r="S19" t="s">
        <v>40</v>
      </c>
      <c r="T19" t="s">
        <v>41</v>
      </c>
      <c r="U19" t="s">
        <v>50</v>
      </c>
    </row>
    <row r="20" spans="1:21" s="6" customFormat="1" x14ac:dyDescent="0.25">
      <c r="A20" t="s">
        <v>43</v>
      </c>
      <c r="B20" t="s">
        <v>53</v>
      </c>
      <c r="C20" t="s">
        <v>54</v>
      </c>
      <c r="D20" t="s">
        <v>55</v>
      </c>
      <c r="E20" s="17">
        <v>45931</v>
      </c>
      <c r="F20" s="17">
        <v>73050</v>
      </c>
      <c r="G20" s="17">
        <v>45918</v>
      </c>
      <c r="H20" t="s">
        <v>37</v>
      </c>
      <c r="I20">
        <v>80</v>
      </c>
      <c r="J20" t="s">
        <v>56</v>
      </c>
      <c r="K20">
        <v>19200754</v>
      </c>
      <c r="L20" t="s">
        <v>57</v>
      </c>
      <c r="M20" t="s">
        <v>33</v>
      </c>
      <c r="T20" t="s">
        <v>41</v>
      </c>
      <c r="U20" t="s">
        <v>50</v>
      </c>
    </row>
    <row r="21" spans="1:21" s="6" customFormat="1" x14ac:dyDescent="0.25">
      <c r="A21" t="s">
        <v>34</v>
      </c>
      <c r="B21" t="s">
        <v>58</v>
      </c>
      <c r="C21" t="s">
        <v>59</v>
      </c>
      <c r="D21">
        <v>37151792</v>
      </c>
      <c r="E21" s="17">
        <v>45658</v>
      </c>
      <c r="F21" s="17">
        <v>45688</v>
      </c>
      <c r="G21" s="17">
        <v>45609</v>
      </c>
      <c r="H21" t="s">
        <v>37</v>
      </c>
      <c r="I21">
        <v>-313</v>
      </c>
      <c r="J21" t="s">
        <v>56</v>
      </c>
      <c r="K21">
        <v>19200754</v>
      </c>
      <c r="L21" t="s">
        <v>57</v>
      </c>
      <c r="M21" t="s">
        <v>33</v>
      </c>
      <c r="S21" t="s">
        <v>40</v>
      </c>
      <c r="T21" t="s">
        <v>41</v>
      </c>
      <c r="U21" t="s">
        <v>42</v>
      </c>
    </row>
    <row r="22" spans="1:21" s="6" customFormat="1" x14ac:dyDescent="0.25">
      <c r="A22" t="s">
        <v>34</v>
      </c>
      <c r="B22" t="s">
        <v>58</v>
      </c>
      <c r="C22" t="s">
        <v>59</v>
      </c>
      <c r="D22">
        <v>37151792</v>
      </c>
      <c r="E22" s="17">
        <v>45658</v>
      </c>
      <c r="F22" s="17">
        <v>45688</v>
      </c>
      <c r="G22" s="17">
        <v>45609</v>
      </c>
      <c r="H22" t="s">
        <v>37</v>
      </c>
      <c r="I22">
        <v>-80</v>
      </c>
      <c r="J22" t="s">
        <v>56</v>
      </c>
      <c r="K22">
        <v>19200754</v>
      </c>
      <c r="L22" t="s">
        <v>57</v>
      </c>
      <c r="M22" t="s">
        <v>33</v>
      </c>
      <c r="T22" t="s">
        <v>41</v>
      </c>
      <c r="U22" t="s">
        <v>42</v>
      </c>
    </row>
    <row r="23" spans="1:21" s="6" customFormat="1" x14ac:dyDescent="0.25">
      <c r="A23" t="s">
        <v>34</v>
      </c>
      <c r="B23" t="s">
        <v>60</v>
      </c>
      <c r="C23" t="s">
        <v>61</v>
      </c>
      <c r="D23">
        <v>37193423</v>
      </c>
      <c r="E23" s="17">
        <v>45658</v>
      </c>
      <c r="F23" s="17">
        <v>45808</v>
      </c>
      <c r="G23" s="17">
        <v>45608</v>
      </c>
      <c r="H23" t="s">
        <v>62</v>
      </c>
      <c r="I23">
        <v>-46.66</v>
      </c>
      <c r="J23" t="s">
        <v>63</v>
      </c>
      <c r="K23">
        <v>18134413</v>
      </c>
      <c r="L23" t="s">
        <v>64</v>
      </c>
      <c r="M23" t="s">
        <v>33</v>
      </c>
      <c r="T23" t="s">
        <v>41</v>
      </c>
      <c r="U23" t="s">
        <v>42</v>
      </c>
    </row>
    <row r="24" spans="1:21" s="6" customFormat="1" x14ac:dyDescent="0.25">
      <c r="A24" t="s">
        <v>34</v>
      </c>
      <c r="B24" t="s">
        <v>65</v>
      </c>
      <c r="C24" t="s">
        <v>66</v>
      </c>
      <c r="D24">
        <v>37195967</v>
      </c>
      <c r="E24" s="17">
        <v>45658</v>
      </c>
      <c r="F24" s="17">
        <v>45869</v>
      </c>
      <c r="G24" s="17">
        <v>45628</v>
      </c>
      <c r="H24" t="s">
        <v>62</v>
      </c>
      <c r="I24">
        <v>-147.08000000000001</v>
      </c>
      <c r="J24" t="s">
        <v>67</v>
      </c>
      <c r="K24">
        <v>18710070</v>
      </c>
      <c r="L24" t="s">
        <v>68</v>
      </c>
      <c r="M24" t="s">
        <v>33</v>
      </c>
      <c r="S24" t="s">
        <v>40</v>
      </c>
      <c r="T24" t="s">
        <v>41</v>
      </c>
      <c r="U24" t="s">
        <v>69</v>
      </c>
    </row>
    <row r="25" spans="1:21" s="6" customFormat="1" x14ac:dyDescent="0.25">
      <c r="A25" t="s">
        <v>34</v>
      </c>
      <c r="B25" t="s">
        <v>65</v>
      </c>
      <c r="C25" t="s">
        <v>66</v>
      </c>
      <c r="D25">
        <v>37195967</v>
      </c>
      <c r="E25" s="17">
        <v>45658</v>
      </c>
      <c r="F25" s="17">
        <v>45869</v>
      </c>
      <c r="G25" s="17">
        <v>45628</v>
      </c>
      <c r="H25" t="s">
        <v>62</v>
      </c>
      <c r="I25">
        <v>-33.33</v>
      </c>
      <c r="J25" t="s">
        <v>67</v>
      </c>
      <c r="K25">
        <v>18710070</v>
      </c>
      <c r="L25" t="s">
        <v>68</v>
      </c>
      <c r="M25" t="s">
        <v>33</v>
      </c>
      <c r="T25" t="s">
        <v>41</v>
      </c>
      <c r="U25" t="s">
        <v>69</v>
      </c>
    </row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ED2A-50D0-4CD5-8DB2-724B7C2B3FB0}">
  <dimension ref="A1:L4509"/>
  <sheetViews>
    <sheetView tabSelected="1" workbookViewId="0">
      <selection activeCell="L2" sqref="L2:L14"/>
    </sheetView>
  </sheetViews>
  <sheetFormatPr defaultRowHeight="15" x14ac:dyDescent="0.25"/>
  <cols>
    <col min="1" max="1" width="17.28515625" style="3" customWidth="1"/>
    <col min="2" max="2" width="20.42578125" style="3" customWidth="1"/>
    <col min="3" max="4" width="16.85546875" style="3" customWidth="1"/>
    <col min="5" max="5" width="11.5703125" style="8" customWidth="1"/>
    <col min="6" max="6" width="6.85546875" style="3" customWidth="1"/>
    <col min="7" max="7" width="11.42578125" style="22" customWidth="1"/>
    <col min="8" max="8" width="12.7109375" style="3" customWidth="1"/>
    <col min="9" max="9" width="21.85546875" style="3" customWidth="1"/>
    <col min="10" max="10" width="29" style="3" customWidth="1"/>
    <col min="11" max="11" width="21" bestFit="1" customWidth="1"/>
    <col min="12" max="12" width="24.140625" bestFit="1" customWidth="1"/>
  </cols>
  <sheetData>
    <row r="1" spans="1:12" s="2" customFormat="1" ht="15" customHeight="1" x14ac:dyDescent="0.25">
      <c r="A1" s="7" t="s">
        <v>11</v>
      </c>
      <c r="B1" s="7" t="s">
        <v>10</v>
      </c>
      <c r="C1" s="7" t="s">
        <v>13</v>
      </c>
      <c r="D1" s="7"/>
      <c r="E1" s="7" t="s">
        <v>0</v>
      </c>
      <c r="F1" s="7" t="s">
        <v>3</v>
      </c>
      <c r="G1" s="21" t="s">
        <v>4</v>
      </c>
      <c r="H1" s="16" t="s">
        <v>16</v>
      </c>
      <c r="I1" s="7" t="s">
        <v>5</v>
      </c>
      <c r="J1" s="7" t="s">
        <v>12</v>
      </c>
    </row>
    <row r="2" spans="1:12" s="6" customFormat="1" x14ac:dyDescent="0.25">
      <c r="A2" t="s">
        <v>34</v>
      </c>
      <c r="B2" t="s">
        <v>35</v>
      </c>
      <c r="C2" t="s">
        <v>36</v>
      </c>
      <c r="D2" t="str">
        <f>CONCATENATE(C2,9)</f>
        <v>4H61F07KV919</v>
      </c>
      <c r="E2" s="17">
        <v>45658</v>
      </c>
      <c r="F2" t="s">
        <v>37</v>
      </c>
      <c r="G2">
        <v>-313</v>
      </c>
      <c r="H2">
        <v>9213293</v>
      </c>
      <c r="I2" t="s">
        <v>39</v>
      </c>
      <c r="J2" t="s">
        <v>42</v>
      </c>
      <c r="K2" s="6" t="s">
        <v>70</v>
      </c>
      <c r="L2" s="6" t="s">
        <v>71</v>
      </c>
    </row>
    <row r="3" spans="1:12" s="6" customFormat="1" x14ac:dyDescent="0.25">
      <c r="A3" t="s">
        <v>34</v>
      </c>
      <c r="B3" t="s">
        <v>35</v>
      </c>
      <c r="C3" t="s">
        <v>36</v>
      </c>
      <c r="D3" t="str">
        <f>CONCATENATE(C3, "OVR")</f>
        <v>4H61F07KV91OVR</v>
      </c>
      <c r="E3" s="17">
        <v>45658</v>
      </c>
      <c r="F3" t="s">
        <v>37</v>
      </c>
      <c r="G3">
        <v>-80</v>
      </c>
      <c r="H3">
        <v>20411454</v>
      </c>
      <c r="I3" t="s">
        <v>76</v>
      </c>
      <c r="J3" t="s">
        <v>42</v>
      </c>
      <c r="K3" s="6" t="s">
        <v>72</v>
      </c>
    </row>
    <row r="4" spans="1:12" s="6" customFormat="1" x14ac:dyDescent="0.25">
      <c r="A4" t="s">
        <v>43</v>
      </c>
      <c r="B4" t="s">
        <v>44</v>
      </c>
      <c r="C4" t="s">
        <v>45</v>
      </c>
      <c r="D4" t="str">
        <f>CONCATENATE(C4,9)</f>
        <v>3WU3VQ8UA839</v>
      </c>
      <c r="E4" s="17">
        <v>45931</v>
      </c>
      <c r="F4" t="s">
        <v>47</v>
      </c>
      <c r="G4">
        <v>78.25</v>
      </c>
      <c r="H4">
        <v>17859093</v>
      </c>
      <c r="I4" t="s">
        <v>49</v>
      </c>
      <c r="J4" t="s">
        <v>50</v>
      </c>
      <c r="K4" s="6" t="s">
        <v>70</v>
      </c>
      <c r="L4" s="6" t="s">
        <v>75</v>
      </c>
    </row>
    <row r="5" spans="1:12" s="6" customFormat="1" x14ac:dyDescent="0.25">
      <c r="A5" t="s">
        <v>43</v>
      </c>
      <c r="B5" t="s">
        <v>44</v>
      </c>
      <c r="C5" t="s">
        <v>45</v>
      </c>
      <c r="D5" t="str">
        <f>CONCATENATE(C5, "OVR")</f>
        <v>3WU3VQ8UA83OVR</v>
      </c>
      <c r="E5" s="17">
        <v>45931</v>
      </c>
      <c r="F5" t="s">
        <v>47</v>
      </c>
      <c r="G5">
        <v>80</v>
      </c>
      <c r="H5">
        <v>20411454</v>
      </c>
      <c r="I5" t="s">
        <v>76</v>
      </c>
      <c r="J5" t="s">
        <v>50</v>
      </c>
      <c r="K5" s="6" t="s">
        <v>72</v>
      </c>
    </row>
    <row r="6" spans="1:12" s="6" customFormat="1" x14ac:dyDescent="0.25">
      <c r="A6" t="s">
        <v>34</v>
      </c>
      <c r="B6" t="s">
        <v>51</v>
      </c>
      <c r="C6" t="s">
        <v>52</v>
      </c>
      <c r="D6" t="str">
        <f>CONCATENATE(C6,9)</f>
        <v>2YX0R80WQ199</v>
      </c>
      <c r="E6" s="17">
        <v>45658</v>
      </c>
      <c r="F6" t="s">
        <v>37</v>
      </c>
      <c r="G6">
        <v>-313</v>
      </c>
      <c r="H6">
        <v>9213293</v>
      </c>
      <c r="I6" t="s">
        <v>39</v>
      </c>
      <c r="J6" t="s">
        <v>42</v>
      </c>
      <c r="K6" s="6" t="s">
        <v>70</v>
      </c>
      <c r="L6" s="6" t="s">
        <v>71</v>
      </c>
    </row>
    <row r="7" spans="1:12" s="6" customFormat="1" x14ac:dyDescent="0.25">
      <c r="A7" t="s">
        <v>34</v>
      </c>
      <c r="B7" t="s">
        <v>51</v>
      </c>
      <c r="C7" t="s">
        <v>52</v>
      </c>
      <c r="D7" t="str">
        <f>CONCATENATE(C7, "OVR")</f>
        <v>2YX0R80WQ19OVR</v>
      </c>
      <c r="E7" s="17">
        <v>45658</v>
      </c>
      <c r="F7" t="s">
        <v>37</v>
      </c>
      <c r="G7">
        <v>-80</v>
      </c>
      <c r="H7">
        <v>20411454</v>
      </c>
      <c r="I7" t="s">
        <v>76</v>
      </c>
      <c r="J7" t="s">
        <v>42</v>
      </c>
      <c r="K7" s="6" t="s">
        <v>72</v>
      </c>
    </row>
    <row r="8" spans="1:12" s="6" customFormat="1" x14ac:dyDescent="0.25">
      <c r="A8" t="s">
        <v>43</v>
      </c>
      <c r="B8" t="s">
        <v>53</v>
      </c>
      <c r="C8" t="s">
        <v>54</v>
      </c>
      <c r="D8" t="str">
        <f>CONCATENATE(C8,9)</f>
        <v>1GJ3GY5DX839</v>
      </c>
      <c r="E8" s="17">
        <v>45931</v>
      </c>
      <c r="F8" t="s">
        <v>37</v>
      </c>
      <c r="G8">
        <v>78.25</v>
      </c>
      <c r="H8">
        <v>19200754</v>
      </c>
      <c r="I8" t="s">
        <v>57</v>
      </c>
      <c r="J8" t="s">
        <v>50</v>
      </c>
      <c r="K8" s="6" t="s">
        <v>70</v>
      </c>
      <c r="L8" s="6" t="s">
        <v>75</v>
      </c>
    </row>
    <row r="9" spans="1:12" s="6" customFormat="1" x14ac:dyDescent="0.25">
      <c r="A9" t="s">
        <v>43</v>
      </c>
      <c r="B9" t="s">
        <v>53</v>
      </c>
      <c r="C9" t="s">
        <v>54</v>
      </c>
      <c r="D9" t="str">
        <f>CONCATENATE(C9, "OVR")</f>
        <v>1GJ3GY5DX83OVR</v>
      </c>
      <c r="E9" s="17">
        <v>45931</v>
      </c>
      <c r="F9" t="s">
        <v>37</v>
      </c>
      <c r="G9">
        <v>80</v>
      </c>
      <c r="H9">
        <v>20411454</v>
      </c>
      <c r="I9" t="s">
        <v>76</v>
      </c>
      <c r="J9" t="s">
        <v>50</v>
      </c>
      <c r="K9" s="6" t="s">
        <v>72</v>
      </c>
    </row>
    <row r="10" spans="1:12" s="6" customFormat="1" x14ac:dyDescent="0.25">
      <c r="A10" t="s">
        <v>34</v>
      </c>
      <c r="B10" t="s">
        <v>58</v>
      </c>
      <c r="C10" t="s">
        <v>59</v>
      </c>
      <c r="D10" t="str">
        <f>CONCATENATE(C10,9)</f>
        <v>6A79AH8XQ309</v>
      </c>
      <c r="E10" s="17">
        <v>45658</v>
      </c>
      <c r="F10" t="s">
        <v>37</v>
      </c>
      <c r="G10">
        <v>-313</v>
      </c>
      <c r="H10">
        <v>19200754</v>
      </c>
      <c r="I10" t="s">
        <v>57</v>
      </c>
      <c r="J10" t="s">
        <v>42</v>
      </c>
      <c r="K10" s="6" t="s">
        <v>70</v>
      </c>
      <c r="L10" s="6" t="s">
        <v>71</v>
      </c>
    </row>
    <row r="11" spans="1:12" s="6" customFormat="1" x14ac:dyDescent="0.25">
      <c r="A11" t="s">
        <v>34</v>
      </c>
      <c r="B11" t="s">
        <v>58</v>
      </c>
      <c r="C11" t="s">
        <v>59</v>
      </c>
      <c r="D11" t="str">
        <f t="shared" ref="D11:D12" si="0">CONCATENATE(C11, "OVR")</f>
        <v>6A79AH8XQ30OVR</v>
      </c>
      <c r="E11" s="17">
        <v>45658</v>
      </c>
      <c r="F11" t="s">
        <v>37</v>
      </c>
      <c r="G11">
        <v>-80</v>
      </c>
      <c r="H11">
        <v>20411454</v>
      </c>
      <c r="I11" t="s">
        <v>76</v>
      </c>
      <c r="J11" t="s">
        <v>42</v>
      </c>
      <c r="K11" s="6" t="s">
        <v>72</v>
      </c>
    </row>
    <row r="12" spans="1:12" s="6" customFormat="1" x14ac:dyDescent="0.25">
      <c r="A12" t="s">
        <v>34</v>
      </c>
      <c r="B12" t="s">
        <v>60</v>
      </c>
      <c r="C12" t="s">
        <v>61</v>
      </c>
      <c r="D12" t="str">
        <f t="shared" si="0"/>
        <v>9VN8ED1JH45OVR</v>
      </c>
      <c r="E12" s="17">
        <v>45658</v>
      </c>
      <c r="F12" t="s">
        <v>62</v>
      </c>
      <c r="G12">
        <v>-46.66</v>
      </c>
      <c r="H12">
        <v>20411454</v>
      </c>
      <c r="I12" t="s">
        <v>76</v>
      </c>
      <c r="J12" t="s">
        <v>42</v>
      </c>
      <c r="K12" s="6" t="s">
        <v>72</v>
      </c>
    </row>
    <row r="13" spans="1:12" s="6" customFormat="1" x14ac:dyDescent="0.25">
      <c r="A13" t="s">
        <v>34</v>
      </c>
      <c r="B13" t="s">
        <v>65</v>
      </c>
      <c r="C13" t="s">
        <v>66</v>
      </c>
      <c r="D13" t="str">
        <f>CONCATENATE(C13,9)</f>
        <v>6D86H72AY469</v>
      </c>
      <c r="E13" s="17">
        <v>45658</v>
      </c>
      <c r="F13" t="s">
        <v>62</v>
      </c>
      <c r="G13">
        <v>-147.08000000000001</v>
      </c>
      <c r="H13">
        <v>18710070</v>
      </c>
      <c r="I13" t="s">
        <v>68</v>
      </c>
      <c r="J13" t="s">
        <v>69</v>
      </c>
      <c r="K13" s="6" t="s">
        <v>73</v>
      </c>
      <c r="L13" s="6" t="s">
        <v>74</v>
      </c>
    </row>
    <row r="14" spans="1:12" s="6" customFormat="1" x14ac:dyDescent="0.25">
      <c r="A14" t="s">
        <v>34</v>
      </c>
      <c r="B14" t="s">
        <v>65</v>
      </c>
      <c r="C14" t="s">
        <v>66</v>
      </c>
      <c r="D14" t="str">
        <f>CONCATENATE(C14, "OVR")</f>
        <v>6D86H72AY46OVR</v>
      </c>
      <c r="E14" s="17">
        <v>45658</v>
      </c>
      <c r="F14" t="s">
        <v>62</v>
      </c>
      <c r="G14">
        <v>-33.33</v>
      </c>
      <c r="H14">
        <v>20411454</v>
      </c>
      <c r="I14" t="s">
        <v>76</v>
      </c>
      <c r="J14" t="s">
        <v>69</v>
      </c>
      <c r="K14" s="6" t="s">
        <v>72</v>
      </c>
    </row>
    <row r="15" spans="1:12" s="6" customFormat="1" x14ac:dyDescent="0.25"/>
    <row r="16" spans="1:12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  <ignoredErrors>
    <ignoredError sqref="D3:D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2025-10-14T14:35:50Z</dcterms:modified>
</cp:coreProperties>
</file>