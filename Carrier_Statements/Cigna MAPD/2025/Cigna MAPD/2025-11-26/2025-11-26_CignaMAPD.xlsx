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1-26-25\"/>
    </mc:Choice>
  </mc:AlternateContent>
  <xr:revisionPtr revIDLastSave="0" documentId="13_ncr:1_{33EF68CA-2A65-401B-B112-3E90E186648D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5" i="4" l="1"/>
  <c r="C3" i="4"/>
  <c r="C4" i="4"/>
  <c r="C2" i="4"/>
</calcChain>
</file>

<file path=xl/sharedStrings.xml><?xml version="1.0" encoding="utf-8"?>
<sst xmlns="http://schemas.openxmlformats.org/spreadsheetml/2006/main" count="109" uniqueCount="58">
  <si>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</si>
  <si>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</si>
  <si>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</si>
  <si>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</si>
  <si>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</si>
  <si>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</si>
  <si>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</si>
  <si>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</si>
  <si>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</si>
  <si>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</si>
  <si>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</si>
  <si>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</si>
  <si>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</si>
  <si>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</si>
  <si>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</si>
  <si>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</si>
  <si>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</si>
  <si>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</si>
  <si>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</si>
  <si>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</si>
  <si>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</si>
  <si>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</si>
  <si>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</si>
  <si>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</si>
  <si>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</si>
  <si>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</si>
  <si>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</si>
  <si>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</si>
  <si>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</si>
  <si>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</si>
  <si>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</si>
  <si>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</si>
  <si>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</si>
  <si>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</si>
  <si>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</si>
  <si>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</si>
  <si>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</si>
  <si>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</si>
  <si>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</si>
  <si>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</si>
  <si>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</si>
  <si>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</si>
  <si>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</si>
  <si>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</si>
  <si>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NOV 2025</t>
  </si>
  <si>
    <t>YOUNG, WARREN</t>
  </si>
  <si>
    <t>1D03UA8NJ76</t>
  </si>
  <si>
    <t>37119416</t>
  </si>
  <si>
    <t>PA</t>
  </si>
  <si>
    <t>C475237</t>
  </si>
  <si>
    <t>18710070</t>
  </si>
  <si>
    <t>MICHELLE MCCORKLE</t>
  </si>
  <si>
    <t>Cigna MAPD 2025*</t>
  </si>
  <si>
    <t>Cigna MAPD 2025 Ovr</t>
  </si>
  <si>
    <t>Cigna 2025 CT, PA, DC*</t>
  </si>
  <si>
    <t>[%/$=313][prorate=1/12]</t>
  </si>
  <si>
    <t>[%/$=353][prorate=1/12]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</si>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</sst>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45987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59.65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18D1-7D47-45A8-83E0-1CCA05470E0B}">
  <dimension ref="A1:J4509"/>
  <sheetViews>
    <sheetView tabSelected="1" workbookViewId="0">
      <selection activeCell="J2" sqref="J2:J5"/>
    </sheetView>
  </sheetViews>
  <sheetFormatPr defaultRowHeight="15" x14ac:dyDescent="0.25"/>
  <cols>
    <col min="1" max="1" width="21.85546875" style="3" customWidth="1"/>
    <col min="2" max="2" width="15" style="3" customWidth="1"/>
    <col min="3" max="3" width="17" style="3" bestFit="1" customWidth="1"/>
    <col min="4" max="4" width="13.140625" style="8" customWidth="1"/>
    <col min="5" max="5" width="8.42578125" style="3" customWidth="1"/>
    <col min="6" max="6" width="8.7109375" style="22" customWidth="1"/>
    <col min="7" max="7" width="12.140625" style="3" customWidth="1"/>
    <col min="8" max="8" width="25" style="3" customWidth="1"/>
    <col min="9" max="9" width="21" bestFit="1" customWidth="1"/>
  </cols>
  <sheetData>
    <row r="1" spans="1:10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</row>
    <row r="2" spans="1:10" s="6" customFormat="1" x14ac:dyDescent="0.25">
      <c r="A2" t="s">
        <v>35</v>
      </c>
      <c r="B2" t="s">
        <v>36</v>
      </c>
      <c r="C2" t="str">
        <f>CONCATENATE(B2,9)</f>
        <v>3ED2D71DK999</v>
      </c>
      <c r="D2" s="17">
        <v>45566</v>
      </c>
      <c r="E2" t="s">
        <v>38</v>
      </c>
      <c r="F2">
        <v>26.08</v>
      </c>
      <c r="G2" s="27">
        <v>9079571</v>
      </c>
      <c r="H2" t="s">
        <v>41</v>
      </c>
      <c r="I2" s="6" t="s">
        <v>52</v>
      </c>
      <c r="J2" s="6" t="s">
        <v>55</v>
      </c>
    </row>
    <row r="3" spans="1:10" s="6" customFormat="1" x14ac:dyDescent="0.25">
      <c r="A3" t="s">
        <v>35</v>
      </c>
      <c r="B3" t="s">
        <v>36</v>
      </c>
      <c r="C3" t="str">
        <f>CONCATENATE(B3,"OVR")</f>
        <v>3ED2D71DK99OVR</v>
      </c>
      <c r="D3" s="17">
        <v>45566</v>
      </c>
      <c r="E3" t="s">
        <v>38</v>
      </c>
      <c r="F3">
        <v>2.08</v>
      </c>
      <c r="G3" s="27">
        <v>20411454</v>
      </c>
      <c r="H3" t="s">
        <v>57</v>
      </c>
      <c r="I3" s="6" t="s">
        <v>53</v>
      </c>
    </row>
    <row r="4" spans="1:10" s="6" customFormat="1" x14ac:dyDescent="0.25">
      <c r="A4" t="s">
        <v>45</v>
      </c>
      <c r="B4" t="s">
        <v>46</v>
      </c>
      <c r="C4" t="str">
        <f>CONCATENATE(B4,9)</f>
        <v>1D03UA8NJ769</v>
      </c>
      <c r="D4" s="17">
        <v>45597</v>
      </c>
      <c r="E4" t="s">
        <v>48</v>
      </c>
      <c r="F4">
        <v>29.41</v>
      </c>
      <c r="G4" s="27">
        <v>18710070</v>
      </c>
      <c r="H4" t="s">
        <v>51</v>
      </c>
      <c r="I4" s="6" t="s">
        <v>54</v>
      </c>
      <c r="J4" s="6" t="s">
        <v>56</v>
      </c>
    </row>
    <row r="5" spans="1:10" s="6" customFormat="1" x14ac:dyDescent="0.25">
      <c r="A5" t="s">
        <v>45</v>
      </c>
      <c r="B5" t="s">
        <v>46</v>
      </c>
      <c r="C5" t="str">
        <f>CONCATENATE(B5,"OVR")</f>
        <v>1D03UA8NJ76OVR</v>
      </c>
      <c r="D5" s="17">
        <v>45597</v>
      </c>
      <c r="E5" t="s">
        <v>48</v>
      </c>
      <c r="F5">
        <v>2.08</v>
      </c>
      <c r="G5" s="27">
        <v>20411454</v>
      </c>
      <c r="H5" t="s">
        <v>57</v>
      </c>
      <c r="I5" s="6" t="s">
        <v>53</v>
      </c>
    </row>
    <row r="6" spans="1:10" s="6" customFormat="1" x14ac:dyDescent="0.25"/>
    <row r="7" spans="1:10" s="6" customFormat="1" x14ac:dyDescent="0.25"/>
    <row r="8" spans="1:10" s="6" customFormat="1" x14ac:dyDescent="0.25"/>
    <row r="9" spans="1:10" s="6" customFormat="1" x14ac:dyDescent="0.25"/>
    <row r="10" spans="1:10" s="6" customFormat="1" x14ac:dyDescent="0.25"/>
    <row r="11" spans="1:10" s="6" customFormat="1" x14ac:dyDescent="0.25"/>
    <row r="12" spans="1:10" s="6" customFormat="1" x14ac:dyDescent="0.25"/>
    <row r="13" spans="1:10" s="6" customFormat="1" x14ac:dyDescent="0.25"/>
    <row r="14" spans="1:10" s="6" customFormat="1" x14ac:dyDescent="0.25"/>
    <row r="15" spans="1:10" s="6" customFormat="1" x14ac:dyDescent="0.25"/>
    <row r="16" spans="1:10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2025-11-26T15:25:59Z</dcterms:modified>
</cp:coreProperties>
</file>