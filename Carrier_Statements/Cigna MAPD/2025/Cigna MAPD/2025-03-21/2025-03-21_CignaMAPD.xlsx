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3-21-25\"/>
    </mc:Choice>
  </mc:AlternateContent>
  <xr:revisionPtr revIDLastSave="0" documentId="13_ncr:1_{65906488-C70E-4ECB-8D5E-323451A6450F}" xr6:coauthVersionLast="47" xr6:coauthVersionMax="47" xr10:uidLastSave="{00000000-0000-0000-0000-000000000000}"/>
  <bookViews>
    <workbookView xWindow="28680" yWindow="-120" windowWidth="29040" windowHeight="1644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Statement'!$A$12:$U$12</definedName>
  </definedNames>
  <calcPr calcId="181029"/>
</workbook>
</file>

<file path=xl/calcChain.xml><?xml version="1.0" encoding="utf-8"?>
<calcChain xmlns="http://schemas.openxmlformats.org/spreadsheetml/2006/main">
  <c r="C3" i="4" l="1"/>
  <c r="C2" i="4"/>
</calcChain>
</file>

<file path=xl/sharedStrings.xml><?xml version="1.0" encoding="utf-8"?>
<sst xmlns="http://schemas.openxmlformats.org/spreadsheetml/2006/main" count="97" uniqueCount="47">
  <si>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</si>
  <si>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</si>
  <si>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</si>
  <si>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</si>
  <si>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</si>
  <si>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</si>
  <si>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</si>
  <si>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</si>
  <si>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</si>
  <si>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</si>
  <si>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</si>
  <si>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</si>
  <si>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</si>
  <si>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</si>
  <si>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</si>
  <si>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</si>
  <si>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</si>
  <si>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</si>
  <si>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</si>
  <si>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</si>
  <si>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</si>
  <si>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</si>
  <si>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</si>
  <si>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</si>
  <si>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</si>
  <si>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</si>
  <si>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</si>
  <si>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</si>
  <si>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</si>
  <si>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</si>
  <si>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</si>
  <si>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</si>
  <si>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</si>
  <si>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</si>
  <si>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</si>
  <si>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PLANCHE, LISA</t>
  </si>
  <si>
    <t>8Q74H82NW02</t>
  </si>
  <si>
    <t>21X7R9U97</t>
  </si>
  <si>
    <t>CO</t>
  </si>
  <si>
    <t>C508817</t>
  </si>
  <si>
    <t>6634327</t>
  </si>
  <si>
    <t>JOEL LEE</t>
  </si>
  <si>
    <t>HEARTLAND FINANCIAL GROUP INC</t>
  </si>
  <si>
    <t>INTEGRITY MARKETING GROUP NV, LLC</t>
  </si>
  <si>
    <t>NEW APP PAYMENT</t>
  </si>
  <si>
    <t>Cigna MAPD 2025*</t>
  </si>
  <si>
    <t>Cigna MAPD 2025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</si>
</sst>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zoomScaleNormal="100" workbookViewId="0">
      <pane ySplit="12" topLeftCell="A13" activePane="bottomLeft" state="frozen"/>
      <selection pane="bottomLeft" activeCell="C13" sqref="C13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45737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4</v>
      </c>
      <c r="C8" s="12">
        <v>681.66</v>
      </c>
      <c r="D8" s="13">
        <v>0</v>
      </c>
      <c r="E8" s="12">
        <v>0</v>
      </c>
      <c r="F8" s="13">
        <v>0</v>
      </c>
      <c r="G8" s="14">
        <v>0</v>
      </c>
      <c r="H8" s="13">
        <v>0</v>
      </c>
      <c r="I8" s="23">
        <v>0</v>
      </c>
      <c r="J8" s="15">
        <v>681.66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45717</v>
      </c>
      <c r="F13" s="17">
        <v>73050</v>
      </c>
      <c r="G13" s="17">
        <v>45716</v>
      </c>
      <c r="H13" t="s">
        <v>38</v>
      </c>
      <c r="I13">
        <v>260.83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45717</v>
      </c>
      <c r="F14" s="17">
        <v>73050</v>
      </c>
      <c r="G14" s="17">
        <v>45716</v>
      </c>
      <c r="H14" t="s">
        <v>38</v>
      </c>
      <c r="I14">
        <v>80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>
      <c r="A15" t="s">
        <v>34</v>
      </c>
      <c r="B15" t="s">
        <v>35</v>
      </c>
      <c r="C15" t="s">
        <v>36</v>
      </c>
      <c r="D15" t="s">
        <v>37</v>
      </c>
      <c r="E15" s="17">
        <v>45717</v>
      </c>
      <c r="F15" s="17">
        <v>73050</v>
      </c>
      <c r="G15" s="17">
        <v>45716</v>
      </c>
      <c r="H15" t="s">
        <v>38</v>
      </c>
      <c r="I15">
        <v>260.83</v>
      </c>
      <c r="J15" t="s">
        <v>39</v>
      </c>
      <c r="K15" t="s">
        <v>40</v>
      </c>
      <c r="L15" t="s">
        <v>41</v>
      </c>
      <c r="M15" t="s">
        <v>33</v>
      </c>
      <c r="S15" t="s">
        <v>42</v>
      </c>
      <c r="T15" t="s">
        <v>43</v>
      </c>
      <c r="U15" t="s">
        <v>44</v>
      </c>
    </row>
    <row r="16" spans="1:21" s="6" customFormat="1" x14ac:dyDescent="0.25">
      <c r="A16" t="s">
        <v>34</v>
      </c>
      <c r="B16" t="s">
        <v>35</v>
      </c>
      <c r="C16" t="s">
        <v>36</v>
      </c>
      <c r="D16" t="s">
        <v>37</v>
      </c>
      <c r="E16" s="17">
        <v>45717</v>
      </c>
      <c r="F16" s="17">
        <v>73050</v>
      </c>
      <c r="G16" s="17">
        <v>45716</v>
      </c>
      <c r="H16" t="s">
        <v>38</v>
      </c>
      <c r="I16">
        <v>80</v>
      </c>
      <c r="J16" t="s">
        <v>39</v>
      </c>
      <c r="K16" t="s">
        <v>40</v>
      </c>
      <c r="L16" t="s">
        <v>41</v>
      </c>
      <c r="M16" t="s">
        <v>33</v>
      </c>
      <c r="T16" t="s">
        <v>43</v>
      </c>
      <c r="U16" t="s">
        <v>44</v>
      </c>
    </row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0647-A5D8-4EA2-A0D7-978F6A1893CE}">
  <dimension ref="A1:I4507"/>
  <sheetViews>
    <sheetView tabSelected="1" workbookViewId="0">
      <selection activeCell="F9" sqref="F9"/>
    </sheetView>
  </sheetViews>
  <sheetFormatPr defaultRowHeight="15" x14ac:dyDescent="0.25"/>
  <cols>
    <col min="1" max="1" width="27.42578125" style="3" customWidth="1"/>
    <col min="2" max="3" width="22.85546875" style="3" customWidth="1"/>
    <col min="4" max="4" width="18.85546875" style="8" customWidth="1"/>
    <col min="5" max="5" width="16.85546875" style="3" customWidth="1"/>
    <col min="6" max="6" width="21.140625" style="22" bestFit="1" customWidth="1"/>
    <col min="7" max="7" width="15.28515625" style="3" bestFit="1" customWidth="1"/>
    <col min="8" max="8" width="40.7109375" style="3" customWidth="1"/>
  </cols>
  <sheetData>
    <row r="1" spans="1:9" s="2" customFormat="1" ht="15" customHeight="1" x14ac:dyDescent="0.25">
      <c r="A1" s="7" t="s">
        <v>10</v>
      </c>
      <c r="B1" s="7" t="s">
        <v>13</v>
      </c>
      <c r="C1" s="7"/>
      <c r="D1" s="7" t="s">
        <v>0</v>
      </c>
      <c r="E1" s="7" t="s">
        <v>3</v>
      </c>
      <c r="F1" s="21" t="s">
        <v>4</v>
      </c>
      <c r="G1" s="16" t="s">
        <v>16</v>
      </c>
      <c r="H1" s="7" t="s">
        <v>5</v>
      </c>
    </row>
    <row r="2" spans="1:9" s="6" customFormat="1" x14ac:dyDescent="0.25">
      <c r="A2" t="s">
        <v>35</v>
      </c>
      <c r="B2" t="s">
        <v>36</v>
      </c>
      <c r="C2" t="str">
        <f>CONCATENATE(B2,9)</f>
        <v>8Q74H82NW029</v>
      </c>
      <c r="D2" s="17">
        <v>45717</v>
      </c>
      <c r="E2" t="s">
        <v>38</v>
      </c>
      <c r="F2">
        <v>521.66</v>
      </c>
      <c r="G2">
        <v>6634327</v>
      </c>
      <c r="H2" t="s">
        <v>41</v>
      </c>
      <c r="I2" s="6" t="s">
        <v>45</v>
      </c>
    </row>
    <row r="3" spans="1:9" s="6" customFormat="1" x14ac:dyDescent="0.25">
      <c r="A3" t="s">
        <v>35</v>
      </c>
      <c r="B3" t="s">
        <v>36</v>
      </c>
      <c r="C3" t="str">
        <f>CONCATENATE(B3,99)</f>
        <v>8Q74H82NW0299</v>
      </c>
      <c r="D3" s="17">
        <v>45717</v>
      </c>
      <c r="E3" t="s">
        <v>38</v>
      </c>
      <c r="F3">
        <v>160</v>
      </c>
      <c r="G3">
        <v>6634327</v>
      </c>
      <c r="H3" t="s">
        <v>41</v>
      </c>
      <c r="I3" s="6" t="s">
        <v>46</v>
      </c>
    </row>
    <row r="4" spans="1:9" s="6" customFormat="1" x14ac:dyDescent="0.25"/>
    <row r="5" spans="1:9" s="6" customFormat="1" x14ac:dyDescent="0.25"/>
    <row r="6" spans="1:9" s="6" customFormat="1" x14ac:dyDescent="0.25"/>
    <row r="7" spans="1:9" s="6" customFormat="1" x14ac:dyDescent="0.25"/>
    <row r="8" spans="1:9" s="6" customFormat="1" x14ac:dyDescent="0.25"/>
    <row r="9" spans="1:9" s="6" customFormat="1" x14ac:dyDescent="0.25"/>
    <row r="10" spans="1:9" s="6" customFormat="1" x14ac:dyDescent="0.25"/>
    <row r="11" spans="1:9" s="6" customFormat="1" x14ac:dyDescent="0.25"/>
    <row r="12" spans="1:9" s="6" customFormat="1" x14ac:dyDescent="0.25"/>
    <row r="13" spans="1:9" s="6" customFormat="1" x14ac:dyDescent="0.25"/>
    <row r="14" spans="1:9" s="6" customFormat="1" x14ac:dyDescent="0.25"/>
    <row r="15" spans="1:9" s="6" customFormat="1" x14ac:dyDescent="0.25"/>
    <row r="16" spans="1:9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2025-03-24T13:11:42Z</dcterms:modified>
</cp:coreProperties>
</file>