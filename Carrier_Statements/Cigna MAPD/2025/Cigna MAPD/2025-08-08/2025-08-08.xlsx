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8-8-25\"/>
    </mc:Choice>
  </mc:AlternateContent>
  <xr:revisionPtr revIDLastSave="0" documentId="13_ncr:1_{AC1E1A35-81CC-4BAC-921F-9AF2B2F122E9}" xr6:coauthVersionLast="47" xr6:coauthVersionMax="47" xr10:uidLastSave="{00000000-0000-0000-0000-000000000000}"/>
  <bookViews>
    <workbookView xWindow="28680" yWindow="-120" windowWidth="29040" windowHeight="16440" tabRatio="574" activeTab="1" xr2:uid="{00000000-000D-0000-FFFF-FFFF00000000}"/>
  </bookViews>
  <sheets>
    <sheet name="Current Statement" sheetId="3" r:id="rId1"/>
    <sheet name="Sheet1" sheetId="4" r:id="rId2"/>
  </sheets>
  <definedNames>
    <definedName name="_xlnm._FilterDatabase" localSheetId="0" hidden="1">'Current Statement'!$A$12:$U$12</definedName>
  </definedNames>
  <calcPr calcId="181029"/>
</workbook>
</file>

<file path=xl/calcChain.xml><?xml version="1.0" encoding="utf-8"?>
<calcChain xmlns="http://schemas.openxmlformats.org/spreadsheetml/2006/main">
  <c r="C5" i="4" l="1"/>
  <c r="C4" i="4"/>
  <c r="C3" i="4"/>
  <c r="C2" i="4"/>
</calcChain>
</file>

<file path=xl/sharedStrings.xml><?xml version="1.0" encoding="utf-8"?>
<sst xmlns="http://schemas.openxmlformats.org/spreadsheetml/2006/main" count="116" uniqueCount="56">
  <si>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</si>
  <si>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</si>
  <si>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</si>
  <si>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</si>
  <si>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</si>
  <si>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</si>
  <si>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</si>
  <si>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</si>
  <si>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</si>
  <si>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</si>
  <si>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</si>
  <si>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</si>
  <si>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</si>
  <si>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</si>
  <si>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</si>
  <si>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</si>
  <si>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</si>
  <si>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</si>
  <si>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</si>
  <si>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</si>
  <si>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</si>
  <si>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</si>
  <si>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</si>
  <si>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</si>
  <si>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</si>
  <si>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</si>
  <si>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</si>
  <si>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</si>
  <si>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</si>
  <si>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</si>
  <si>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</si>
  <si>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</si>
  <si>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</si>
  <si>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</si>
  <si>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New Application</t>
  </si>
  <si>
    <t>MARTIN, ROBERT</t>
  </si>
  <si>
    <t>3PH8QD4WD27</t>
  </si>
  <si>
    <t>43U9A2L89</t>
  </si>
  <si>
    <t>CO</t>
  </si>
  <si>
    <t>C508817</t>
  </si>
  <si>
    <t>6634327</t>
  </si>
  <si>
    <t>JOEL LEE</t>
  </si>
  <si>
    <t>CMS TRUE UP PAYMENT - NO PRIOR PLAN</t>
  </si>
  <si>
    <t>HEARTLAND FINANCIAL GROUP INC</t>
  </si>
  <si>
    <t>INTEGRITY MARKETING GROUP NV, LLC</t>
  </si>
  <si>
    <t>NEW APP PAYMENT</t>
  </si>
  <si>
    <t>PICHE, SHARON</t>
  </si>
  <si>
    <t>7R61JD1MF10</t>
  </si>
  <si>
    <t>31F5L5L79</t>
  </si>
  <si>
    <t>IL</t>
  </si>
  <si>
    <t>C629206</t>
  </si>
  <si>
    <t>19681796</t>
  </si>
  <si>
    <t>CHRIS TAUGNER</t>
  </si>
  <si>
    <t>Cigna MAPD 2025*</t>
  </si>
  <si>
    <t>Cigna MAPD 2025 Ovr</t>
  </si>
  <si>
    <t>Cigna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</si>
</sst>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NumberFormat="1"/>
    <xf numFmtId="0" fontId="0" fillId="3" borderId="0" xfId="0" applyFill="1"/>
    <xf numFmtId="14" fontId="0" fillId="3" borderId="0" xfId="0" applyNumberFormat="1" applyFill="1"/>
    <xf numFmtId="0" fontId="0" fillId="3" borderId="0" xfId="0" applyNumberFormat="1" applyFill="1"/>
    <xf numFmtId="0" fontId="0" fillId="3" borderId="0" xfId="0" applyFill="1" applyAlignment="1">
      <alignment horizontal="left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zoomScaleNormal="100" workbookViewId="0">
      <pane ySplit="12" topLeftCell="A13" activePane="bottomLeft" state="frozen"/>
      <selection pane="bottomLeft" sqref="A1:XFD1048576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45877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0</v>
      </c>
      <c r="B8" s="13">
        <v>5</v>
      </c>
      <c r="C8" s="12">
        <v>942.5</v>
      </c>
      <c r="D8" s="13">
        <v>0</v>
      </c>
      <c r="E8" s="12">
        <v>0</v>
      </c>
      <c r="F8" s="13">
        <v>0</v>
      </c>
      <c r="G8" s="14">
        <v>0</v>
      </c>
      <c r="H8" s="13">
        <v>0</v>
      </c>
      <c r="I8" s="23">
        <v>0</v>
      </c>
      <c r="J8" s="15">
        <v>942.5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45809</v>
      </c>
      <c r="F13" s="17">
        <v>73050</v>
      </c>
      <c r="G13" s="17">
        <v>45806</v>
      </c>
      <c r="H13" t="s">
        <v>38</v>
      </c>
      <c r="I13">
        <v>443.42</v>
      </c>
      <c r="J13" t="s">
        <v>39</v>
      </c>
      <c r="K13" t="s">
        <v>40</v>
      </c>
      <c r="L13" t="s">
        <v>41</v>
      </c>
      <c r="U13" t="s">
        <v>42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45809</v>
      </c>
      <c r="F14" s="17">
        <v>73050</v>
      </c>
      <c r="G14" s="17">
        <v>45806</v>
      </c>
      <c r="H14" t="s">
        <v>38</v>
      </c>
      <c r="I14">
        <v>182.58</v>
      </c>
      <c r="J14" t="s">
        <v>39</v>
      </c>
      <c r="K14" t="s">
        <v>40</v>
      </c>
      <c r="L14" t="s">
        <v>41</v>
      </c>
      <c r="M14" t="s">
        <v>33</v>
      </c>
      <c r="S14" t="s">
        <v>43</v>
      </c>
      <c r="T14" t="s">
        <v>44</v>
      </c>
      <c r="U14" t="s">
        <v>45</v>
      </c>
    </row>
    <row r="15" spans="1:21" s="6" customFormat="1" x14ac:dyDescent="0.25">
      <c r="A15" t="s">
        <v>34</v>
      </c>
      <c r="B15" t="s">
        <v>35</v>
      </c>
      <c r="C15" t="s">
        <v>36</v>
      </c>
      <c r="D15" t="s">
        <v>37</v>
      </c>
      <c r="E15" s="17">
        <v>45809</v>
      </c>
      <c r="F15" s="17">
        <v>73050</v>
      </c>
      <c r="G15" s="17">
        <v>45806</v>
      </c>
      <c r="H15" t="s">
        <v>38</v>
      </c>
      <c r="I15">
        <v>80</v>
      </c>
      <c r="J15" t="s">
        <v>39</v>
      </c>
      <c r="K15" t="s">
        <v>40</v>
      </c>
      <c r="L15" t="s">
        <v>41</v>
      </c>
      <c r="M15" t="s">
        <v>33</v>
      </c>
      <c r="T15" t="s">
        <v>44</v>
      </c>
      <c r="U15" t="s">
        <v>45</v>
      </c>
    </row>
    <row r="16" spans="1:21" s="6" customFormat="1" x14ac:dyDescent="0.25">
      <c r="A16" t="s">
        <v>34</v>
      </c>
      <c r="B16" t="s">
        <v>46</v>
      </c>
      <c r="C16" t="s">
        <v>47</v>
      </c>
      <c r="D16" t="s">
        <v>48</v>
      </c>
      <c r="E16" s="17">
        <v>45839</v>
      </c>
      <c r="F16" s="17">
        <v>73050</v>
      </c>
      <c r="G16" s="17">
        <v>45838</v>
      </c>
      <c r="H16" t="s">
        <v>49</v>
      </c>
      <c r="I16">
        <v>156.5</v>
      </c>
      <c r="J16" t="s">
        <v>50</v>
      </c>
      <c r="K16" t="s">
        <v>51</v>
      </c>
      <c r="L16" t="s">
        <v>52</v>
      </c>
      <c r="M16" t="s">
        <v>33</v>
      </c>
      <c r="S16" t="s">
        <v>43</v>
      </c>
      <c r="T16" t="s">
        <v>44</v>
      </c>
      <c r="U16" t="s">
        <v>45</v>
      </c>
    </row>
    <row r="17" spans="1:21" s="6" customFormat="1" x14ac:dyDescent="0.25">
      <c r="A17" t="s">
        <v>34</v>
      </c>
      <c r="B17" t="s">
        <v>46</v>
      </c>
      <c r="C17" t="s">
        <v>47</v>
      </c>
      <c r="D17" t="s">
        <v>48</v>
      </c>
      <c r="E17" s="17">
        <v>45839</v>
      </c>
      <c r="F17" s="17">
        <v>73050</v>
      </c>
      <c r="G17" s="17">
        <v>45838</v>
      </c>
      <c r="H17" t="s">
        <v>49</v>
      </c>
      <c r="I17">
        <v>80</v>
      </c>
      <c r="J17" t="s">
        <v>50</v>
      </c>
      <c r="K17" t="s">
        <v>51</v>
      </c>
      <c r="L17" t="s">
        <v>52</v>
      </c>
      <c r="M17" t="s">
        <v>33</v>
      </c>
      <c r="T17" t="s">
        <v>44</v>
      </c>
      <c r="U17" t="s">
        <v>45</v>
      </c>
    </row>
    <row r="18" spans="1:21" s="6" customFormat="1" x14ac:dyDescent="0.25"/>
    <row r="19" spans="1:21" s="6" customFormat="1" x14ac:dyDescent="0.25"/>
    <row r="20" spans="1:21" s="6" customFormat="1" x14ac:dyDescent="0.25"/>
    <row r="21" spans="1:21" s="6" customFormat="1" x14ac:dyDescent="0.25"/>
    <row r="22" spans="1:21" s="6" customFormat="1" x14ac:dyDescent="0.25"/>
    <row r="23" spans="1:21" s="6" customFormat="1" x14ac:dyDescent="0.25"/>
    <row r="24" spans="1:21" s="6" customFormat="1" x14ac:dyDescent="0.25"/>
    <row r="25" spans="1:21" s="6" customFormat="1" x14ac:dyDescent="0.25"/>
    <row r="26" spans="1:21" s="6" customFormat="1" x14ac:dyDescent="0.25"/>
    <row r="27" spans="1:21" s="6" customFormat="1" x14ac:dyDescent="0.25"/>
    <row r="28" spans="1:21" s="6" customFormat="1" x14ac:dyDescent="0.25"/>
    <row r="29" spans="1:21" s="6" customFormat="1" x14ac:dyDescent="0.25"/>
    <row r="30" spans="1:21" s="6" customFormat="1" x14ac:dyDescent="0.25"/>
    <row r="31" spans="1:21" s="6" customFormat="1" x14ac:dyDescent="0.25"/>
    <row r="32" spans="1:21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0486-45A4-4AE8-9DA9-F8C96AD2049F}">
  <dimension ref="A1:I4508"/>
  <sheetViews>
    <sheetView tabSelected="1" workbookViewId="0">
      <selection activeCell="C4" sqref="C4"/>
    </sheetView>
  </sheetViews>
  <sheetFormatPr defaultRowHeight="15" x14ac:dyDescent="0.25"/>
  <cols>
    <col min="1" max="1" width="27.42578125" style="3" customWidth="1"/>
    <col min="2" max="3" width="22.85546875" style="3" customWidth="1"/>
    <col min="4" max="4" width="18.85546875" style="8" customWidth="1"/>
    <col min="5" max="5" width="16.85546875" style="3" customWidth="1"/>
    <col min="6" max="6" width="21.140625" style="22" bestFit="1" customWidth="1"/>
    <col min="7" max="7" width="15.28515625" style="3" bestFit="1" customWidth="1"/>
    <col min="8" max="8" width="40.7109375" style="3" customWidth="1"/>
  </cols>
  <sheetData>
    <row r="1" spans="1:9" s="2" customFormat="1" ht="15" customHeight="1" x14ac:dyDescent="0.25">
      <c r="A1" s="7" t="s">
        <v>10</v>
      </c>
      <c r="B1" s="7" t="s">
        <v>13</v>
      </c>
      <c r="C1" s="7"/>
      <c r="D1" s="7" t="s">
        <v>0</v>
      </c>
      <c r="E1" s="7" t="s">
        <v>3</v>
      </c>
      <c r="F1" s="21" t="s">
        <v>4</v>
      </c>
      <c r="G1" s="16" t="s">
        <v>16</v>
      </c>
      <c r="H1" s="7" t="s">
        <v>5</v>
      </c>
    </row>
    <row r="2" spans="1:9" s="31" customFormat="1" x14ac:dyDescent="0.25">
      <c r="A2" s="28" t="s">
        <v>35</v>
      </c>
      <c r="B2" s="28" t="s">
        <v>36</v>
      </c>
      <c r="C2" s="28" t="str">
        <f>CONCATENATE(B2,8)</f>
        <v>3PH8QD4WD278</v>
      </c>
      <c r="D2" s="29">
        <v>45809</v>
      </c>
      <c r="E2" s="28" t="s">
        <v>38</v>
      </c>
      <c r="F2" s="28">
        <v>626</v>
      </c>
      <c r="G2" s="30">
        <v>6634327</v>
      </c>
      <c r="H2" s="28" t="s">
        <v>41</v>
      </c>
      <c r="I2" s="31" t="s">
        <v>55</v>
      </c>
    </row>
    <row r="3" spans="1:9" s="6" customFormat="1" x14ac:dyDescent="0.25">
      <c r="A3" t="s">
        <v>35</v>
      </c>
      <c r="B3" t="s">
        <v>36</v>
      </c>
      <c r="C3" t="str">
        <f>CONCATENATE(B3,99)</f>
        <v>3PH8QD4WD2799</v>
      </c>
      <c r="D3" s="17">
        <v>45809</v>
      </c>
      <c r="E3" t="s">
        <v>38</v>
      </c>
      <c r="F3">
        <v>80</v>
      </c>
      <c r="G3" s="27">
        <v>6634327</v>
      </c>
      <c r="H3" t="s">
        <v>41</v>
      </c>
      <c r="I3" s="6" t="s">
        <v>54</v>
      </c>
    </row>
    <row r="4" spans="1:9" s="6" customFormat="1" x14ac:dyDescent="0.25">
      <c r="A4" t="s">
        <v>46</v>
      </c>
      <c r="B4" t="s">
        <v>47</v>
      </c>
      <c r="C4" t="str">
        <f>CONCATENATE(B4,9)</f>
        <v>7R61JD1MF109</v>
      </c>
      <c r="D4" s="17">
        <v>45839</v>
      </c>
      <c r="E4" t="s">
        <v>49</v>
      </c>
      <c r="F4">
        <v>156.5</v>
      </c>
      <c r="G4" s="27">
        <v>19681796</v>
      </c>
      <c r="H4" t="s">
        <v>52</v>
      </c>
      <c r="I4" s="6" t="s">
        <v>53</v>
      </c>
    </row>
    <row r="5" spans="1:9" s="6" customFormat="1" x14ac:dyDescent="0.25">
      <c r="A5" t="s">
        <v>46</v>
      </c>
      <c r="B5" t="s">
        <v>47</v>
      </c>
      <c r="C5" t="str">
        <f>CONCATENATE(B5,99)</f>
        <v>7R61JD1MF1099</v>
      </c>
      <c r="D5" s="17">
        <v>45839</v>
      </c>
      <c r="E5" t="s">
        <v>49</v>
      </c>
      <c r="F5">
        <v>80</v>
      </c>
      <c r="G5" s="27">
        <v>19681796</v>
      </c>
      <c r="H5" t="s">
        <v>52</v>
      </c>
      <c r="I5" s="6" t="s">
        <v>54</v>
      </c>
    </row>
    <row r="6" spans="1:9" s="6" customFormat="1" x14ac:dyDescent="0.25"/>
    <row r="7" spans="1:9" s="6" customFormat="1" x14ac:dyDescent="0.25"/>
    <row r="8" spans="1:9" s="6" customFormat="1" x14ac:dyDescent="0.25"/>
    <row r="9" spans="1:9" s="6" customFormat="1" x14ac:dyDescent="0.25"/>
    <row r="10" spans="1:9" s="6" customFormat="1" x14ac:dyDescent="0.25"/>
    <row r="11" spans="1:9" s="6" customFormat="1" x14ac:dyDescent="0.25"/>
    <row r="12" spans="1:9" s="6" customFormat="1" x14ac:dyDescent="0.25"/>
    <row r="13" spans="1:9" s="6" customFormat="1" x14ac:dyDescent="0.25"/>
    <row r="14" spans="1:9" s="6" customFormat="1" x14ac:dyDescent="0.25"/>
    <row r="15" spans="1:9" s="6" customFormat="1" x14ac:dyDescent="0.25"/>
    <row r="16" spans="1:9" s="6" customFormat="1" x14ac:dyDescent="0.25"/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Statement</vt:lpstr>
      <vt:lpstr>Sheet1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Loula Irene Cabel</cp:lastModifiedBy>
  <cp:lastPrinted>2023-04-03T21:38:30Z</cp:lastPrinted>
  <dcterms:created xsi:type="dcterms:W3CDTF">2015-04-09T14:10:00Z</dcterms:created>
  <dcterms:modified xsi:type="dcterms:W3CDTF">2025-08-08T21:05:14Z</dcterms:modified>
</cp:coreProperties>
</file>