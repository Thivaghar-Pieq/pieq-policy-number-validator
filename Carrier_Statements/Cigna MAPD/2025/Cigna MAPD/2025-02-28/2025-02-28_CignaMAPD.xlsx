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2-28-25\"/>
    </mc:Choice>
  </mc:AlternateContent>
  <xr:revisionPtr revIDLastSave="0" documentId="13_ncr:1_{B6E36622-AA22-4FE5-83EF-22F6F06229DD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H10" i="4" l="1"/>
  <c r="D8" i="4"/>
  <c r="D6" i="4"/>
  <c r="D3" i="4"/>
  <c r="D4" i="4"/>
  <c r="D5" i="4"/>
  <c r="D7" i="4"/>
  <c r="D2" i="4"/>
</calcChain>
</file>

<file path=xl/sharedStrings.xml><?xml version="1.0" encoding="utf-8"?>
<sst xmlns="http://schemas.openxmlformats.org/spreadsheetml/2006/main" count="155" uniqueCount="67">
  <si>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</si>
  <si>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</si>
  <si>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</si>
  <si>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</si>
  <si>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</si>
  <si>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</si>
  <si>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</si>
  <si>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</si>
  <si>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</si>
  <si>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</si>
  <si>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</si>
  <si>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</si>
  <si>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</si>
  <si>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</si>
  <si>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</si>
  <si>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</si>
  <si>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</si>
  <si>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</si>
  <si>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</si>
  <si>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</si>
  <si>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</si>
  <si>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</si>
  <si>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</si>
  <si>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</si>
  <si>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</si>
  <si>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</si>
  <si>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</si>
  <si>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</si>
  <si>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</si>
  <si>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</si>
  <si>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</si>
  <si>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</si>
  <si>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</si>
  <si>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</si>
  <si>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</si>
  <si>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BLAIR, NANCY</t>
  </si>
  <si>
    <t>7RY3NX5QV94</t>
  </si>
  <si>
    <t>36A5F5R75</t>
  </si>
  <si>
    <t>TX</t>
  </si>
  <si>
    <t>C629657</t>
  </si>
  <si>
    <t>19645587</t>
  </si>
  <si>
    <t>STACEY PORTUGAL</t>
  </si>
  <si>
    <t>CMS TRUE UP PAYMENT - NO PRIOR PLAN</t>
  </si>
  <si>
    <t>HINDES, ROBIN</t>
  </si>
  <si>
    <t>4MH9JM5HJ42</t>
  </si>
  <si>
    <t>75U2X9F11</t>
  </si>
  <si>
    <t>PA</t>
  </si>
  <si>
    <t>C449511</t>
  </si>
  <si>
    <t>17528908</t>
  </si>
  <si>
    <t>DEBORAH INSKIPT</t>
  </si>
  <si>
    <t>CMS TRUE UP PAYMENT - PRIOR PLAN</t>
  </si>
  <si>
    <t>Chargeback</t>
  </si>
  <si>
    <t>MCKENNA, TIMOTHY</t>
  </si>
  <si>
    <t>6TG7W62MN54</t>
  </si>
  <si>
    <t>25A3R5X93</t>
  </si>
  <si>
    <t>AZ</t>
  </si>
  <si>
    <t>HEARTLAND FINANCIAL GROUP INC</t>
  </si>
  <si>
    <t>INTEGRITY MARKETING GROUP NV, LLC</t>
  </si>
  <si>
    <t>SALE DATE CHANGE</t>
  </si>
  <si>
    <t>NEW APP PAYMENT</t>
  </si>
  <si>
    <t>Cigna 2025 CT, PA, DC*</t>
  </si>
  <si>
    <t>Cigna MAPD 2025*</t>
  </si>
  <si>
    <t>[%/$=313][prorate=12/12]</t>
  </si>
  <si>
    <t>[%/$=313][prorate=1/12]</t>
  </si>
  <si>
    <t>[%/$=353][prorate=12/12]</t>
  </si>
  <si>
    <t>Cigna MAPD 2025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</si>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</sst>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activeCell="D14" sqref="D14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19" width="33" style="3" customWidth="1"/>
    <col min="20" max="20" width="35.5703125" style="3" bestFit="1" customWidth="1"/>
    <col min="21" max="21" width="49" style="3" customWidth="1"/>
  </cols>
  <sheetData>
    <row r="1" spans="1:21" ht="15.75" x14ac:dyDescent="0.25">
      <c r="A1" s="25"/>
      <c r="B1" s="25"/>
      <c r="C1" s="25"/>
      <c r="D1" s="26" t="s">
        <v>33</v>
      </c>
      <c r="E1" s="26"/>
      <c r="F1" s="26"/>
      <c r="G1" s="26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6" t="s">
        <v>25</v>
      </c>
      <c r="E2" s="26"/>
      <c r="F2" s="26"/>
      <c r="G2" s="26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7">
        <v>45716</v>
      </c>
      <c r="E3" s="27"/>
      <c r="F3" s="27"/>
      <c r="G3" s="27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4</v>
      </c>
      <c r="C8" s="12">
        <v>1054.75</v>
      </c>
      <c r="D8" s="13">
        <v>0</v>
      </c>
      <c r="E8" s="12">
        <v>0</v>
      </c>
      <c r="F8" s="13">
        <v>2</v>
      </c>
      <c r="G8" s="14">
        <v>-393</v>
      </c>
      <c r="H8" s="13">
        <v>0</v>
      </c>
      <c r="I8" s="23">
        <v>0</v>
      </c>
      <c r="J8" s="15">
        <v>661.75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45689</v>
      </c>
      <c r="F13" s="17">
        <v>73050</v>
      </c>
      <c r="G13" s="17">
        <v>45661</v>
      </c>
      <c r="H13" t="s">
        <v>38</v>
      </c>
      <c r="I13">
        <v>339.08</v>
      </c>
      <c r="J13" t="s">
        <v>39</v>
      </c>
      <c r="K13" t="s">
        <v>40</v>
      </c>
      <c r="L13" t="s">
        <v>41</v>
      </c>
      <c r="U13" t="s">
        <v>42</v>
      </c>
    </row>
    <row r="14" spans="1:21" s="6" customFormat="1" x14ac:dyDescent="0.25">
      <c r="A14" t="s">
        <v>34</v>
      </c>
      <c r="B14" t="s">
        <v>43</v>
      </c>
      <c r="C14" t="s">
        <v>44</v>
      </c>
      <c r="D14" t="s">
        <v>45</v>
      </c>
      <c r="E14" s="17">
        <v>45689</v>
      </c>
      <c r="F14" s="17">
        <v>73050</v>
      </c>
      <c r="G14" s="17">
        <v>45681</v>
      </c>
      <c r="H14" t="s">
        <v>46</v>
      </c>
      <c r="I14">
        <v>322.67</v>
      </c>
      <c r="J14" t="s">
        <v>47</v>
      </c>
      <c r="K14" t="s">
        <v>48</v>
      </c>
      <c r="L14" t="s">
        <v>49</v>
      </c>
      <c r="U14" t="s">
        <v>50</v>
      </c>
    </row>
    <row r="15" spans="1:21" s="6" customFormat="1" x14ac:dyDescent="0.25">
      <c r="A15" t="s">
        <v>51</v>
      </c>
      <c r="B15" t="s">
        <v>52</v>
      </c>
      <c r="C15" t="s">
        <v>53</v>
      </c>
      <c r="D15" t="s">
        <v>54</v>
      </c>
      <c r="E15" s="17">
        <v>45658</v>
      </c>
      <c r="F15" s="17">
        <v>45658</v>
      </c>
      <c r="G15" s="17">
        <v>45658</v>
      </c>
      <c r="H15" t="s">
        <v>55</v>
      </c>
      <c r="I15">
        <v>-313</v>
      </c>
      <c r="J15" t="s">
        <v>39</v>
      </c>
      <c r="K15" t="s">
        <v>40</v>
      </c>
      <c r="L15" t="s">
        <v>41</v>
      </c>
      <c r="M15" t="s">
        <v>33</v>
      </c>
      <c r="S15" t="s">
        <v>56</v>
      </c>
      <c r="T15" t="s">
        <v>57</v>
      </c>
      <c r="U15" t="s">
        <v>58</v>
      </c>
    </row>
    <row r="16" spans="1:21" s="6" customFormat="1" x14ac:dyDescent="0.25">
      <c r="A16" t="s">
        <v>51</v>
      </c>
      <c r="B16" t="s">
        <v>52</v>
      </c>
      <c r="C16" t="s">
        <v>53</v>
      </c>
      <c r="D16" t="s">
        <v>54</v>
      </c>
      <c r="E16" s="17">
        <v>45658</v>
      </c>
      <c r="F16" s="17">
        <v>45658</v>
      </c>
      <c r="G16" s="17">
        <v>45658</v>
      </c>
      <c r="H16" t="s">
        <v>55</v>
      </c>
      <c r="I16">
        <v>-80</v>
      </c>
      <c r="J16" t="s">
        <v>39</v>
      </c>
      <c r="K16" t="s">
        <v>40</v>
      </c>
      <c r="L16" t="s">
        <v>41</v>
      </c>
      <c r="M16" t="s">
        <v>33</v>
      </c>
      <c r="T16" t="s">
        <v>57</v>
      </c>
      <c r="U16" t="s">
        <v>58</v>
      </c>
    </row>
    <row r="17" spans="1:21" s="6" customFormat="1" x14ac:dyDescent="0.25">
      <c r="A17" t="s">
        <v>34</v>
      </c>
      <c r="B17" t="s">
        <v>52</v>
      </c>
      <c r="C17" t="s">
        <v>53</v>
      </c>
      <c r="D17" t="s">
        <v>54</v>
      </c>
      <c r="E17" s="17">
        <v>45658</v>
      </c>
      <c r="F17" s="17">
        <v>73050</v>
      </c>
      <c r="G17" s="17">
        <v>45586</v>
      </c>
      <c r="H17" t="s">
        <v>55</v>
      </c>
      <c r="I17">
        <v>313</v>
      </c>
      <c r="J17" t="s">
        <v>39</v>
      </c>
      <c r="K17" t="s">
        <v>40</v>
      </c>
      <c r="L17" t="s">
        <v>41</v>
      </c>
      <c r="M17" t="s">
        <v>33</v>
      </c>
      <c r="S17" t="s">
        <v>56</v>
      </c>
      <c r="T17" t="s">
        <v>57</v>
      </c>
      <c r="U17" t="s">
        <v>59</v>
      </c>
    </row>
    <row r="18" spans="1:21" s="6" customFormat="1" x14ac:dyDescent="0.25">
      <c r="A18" t="s">
        <v>34</v>
      </c>
      <c r="B18" t="s">
        <v>52</v>
      </c>
      <c r="C18" t="s">
        <v>53</v>
      </c>
      <c r="D18" t="s">
        <v>54</v>
      </c>
      <c r="E18" s="17">
        <v>45658</v>
      </c>
      <c r="F18" s="17">
        <v>73050</v>
      </c>
      <c r="G18" s="17">
        <v>45586</v>
      </c>
      <c r="H18" t="s">
        <v>55</v>
      </c>
      <c r="I18">
        <v>80</v>
      </c>
      <c r="J18" t="s">
        <v>39</v>
      </c>
      <c r="K18" t="s">
        <v>40</v>
      </c>
      <c r="L18" t="s">
        <v>41</v>
      </c>
      <c r="M18" t="s">
        <v>33</v>
      </c>
      <c r="T18" t="s">
        <v>57</v>
      </c>
      <c r="U18" t="s">
        <v>59</v>
      </c>
    </row>
    <row r="19" spans="1:21" s="6" customFormat="1" x14ac:dyDescent="0.25"/>
    <row r="20" spans="1:21" s="6" customFormat="1" x14ac:dyDescent="0.25"/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7F5E-512D-41D7-A295-16EB12CE0AB0}">
  <dimension ref="A1:N4510"/>
  <sheetViews>
    <sheetView tabSelected="1" workbookViewId="0">
      <selection activeCell="C3" sqref="C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21.140625" style="22" customWidth="1"/>
    <col min="11" max="11" width="15.28515625" style="3" bestFit="1" customWidth="1"/>
    <col min="12" max="12" width="40.7109375" style="3" customWidth="1"/>
    <col min="13" max="13" width="21" bestFit="1" customWidth="1"/>
  </cols>
  <sheetData>
    <row r="1" spans="1:14" s="2" customFormat="1" ht="15" customHeight="1" x14ac:dyDescent="0.25">
      <c r="A1" s="7" t="s">
        <v>11</v>
      </c>
      <c r="B1" s="7" t="s">
        <v>10</v>
      </c>
      <c r="C1" s="7" t="s">
        <v>13</v>
      </c>
      <c r="D1" s="7"/>
      <c r="E1" s="7" t="s">
        <v>0</v>
      </c>
      <c r="F1" s="7" t="s">
        <v>1</v>
      </c>
      <c r="G1" s="10" t="s">
        <v>2</v>
      </c>
      <c r="H1" s="7" t="s">
        <v>3</v>
      </c>
      <c r="I1" s="21" t="s">
        <v>4</v>
      </c>
      <c r="J1" s="21"/>
      <c r="K1" s="16" t="s">
        <v>16</v>
      </c>
      <c r="L1" s="7" t="s">
        <v>5</v>
      </c>
    </row>
    <row r="2" spans="1:14" s="6" customFormat="1" x14ac:dyDescent="0.25">
      <c r="A2" t="s">
        <v>34</v>
      </c>
      <c r="B2" t="s">
        <v>35</v>
      </c>
      <c r="C2" t="s">
        <v>36</v>
      </c>
      <c r="D2" t="str">
        <f>CONCATENATE(C2,9)</f>
        <v>7RY3NX5QV949</v>
      </c>
      <c r="E2" s="17">
        <v>45689</v>
      </c>
      <c r="F2" s="17">
        <v>73050</v>
      </c>
      <c r="G2" s="17">
        <v>45661</v>
      </c>
      <c r="H2" t="s">
        <v>38</v>
      </c>
      <c r="I2">
        <v>339.08</v>
      </c>
      <c r="J2">
        <v>313</v>
      </c>
      <c r="K2" s="6">
        <v>19645587</v>
      </c>
      <c r="L2" t="s">
        <v>41</v>
      </c>
      <c r="M2" s="6" t="s">
        <v>61</v>
      </c>
      <c r="N2" s="6" t="s">
        <v>62</v>
      </c>
    </row>
    <row r="3" spans="1:14" s="6" customFormat="1" x14ac:dyDescent="0.25">
      <c r="A3" t="s">
        <v>34</v>
      </c>
      <c r="B3" t="s">
        <v>35</v>
      </c>
      <c r="C3" t="s">
        <v>36</v>
      </c>
      <c r="D3" t="str">
        <f t="shared" ref="D3:D7" si="0">CONCATENATE(C3,9)</f>
        <v>7RY3NX5QV949</v>
      </c>
      <c r="E3" s="17">
        <v>45689</v>
      </c>
      <c r="F3" s="17">
        <v>73050</v>
      </c>
      <c r="G3" s="17">
        <v>45661</v>
      </c>
      <c r="H3" t="s">
        <v>38</v>
      </c>
      <c r="I3">
        <v>339.08</v>
      </c>
      <c r="J3" s="24">
        <v>26.08</v>
      </c>
      <c r="K3" s="6">
        <v>19645587</v>
      </c>
      <c r="L3" t="s">
        <v>41</v>
      </c>
      <c r="M3" s="6" t="s">
        <v>61</v>
      </c>
      <c r="N3" s="6" t="s">
        <v>63</v>
      </c>
    </row>
    <row r="4" spans="1:14" s="6" customFormat="1" x14ac:dyDescent="0.25">
      <c r="A4" t="s">
        <v>34</v>
      </c>
      <c r="B4" t="s">
        <v>43</v>
      </c>
      <c r="C4" t="s">
        <v>44</v>
      </c>
      <c r="D4" t="str">
        <f t="shared" si="0"/>
        <v>4MH9JM5HJ429</v>
      </c>
      <c r="E4" s="17">
        <v>45689</v>
      </c>
      <c r="F4" s="17">
        <v>73050</v>
      </c>
      <c r="G4" s="17">
        <v>45681</v>
      </c>
      <c r="H4" t="s">
        <v>46</v>
      </c>
      <c r="I4">
        <v>322.67</v>
      </c>
      <c r="J4">
        <v>322.67</v>
      </c>
      <c r="K4" s="6">
        <v>17528908</v>
      </c>
      <c r="L4" t="s">
        <v>49</v>
      </c>
      <c r="M4" s="6" t="s">
        <v>60</v>
      </c>
      <c r="N4" s="6" t="s">
        <v>64</v>
      </c>
    </row>
    <row r="5" spans="1:14" s="6" customFormat="1" x14ac:dyDescent="0.25">
      <c r="A5" t="s">
        <v>51</v>
      </c>
      <c r="B5" t="s">
        <v>52</v>
      </c>
      <c r="C5" t="s">
        <v>53</v>
      </c>
      <c r="D5" t="str">
        <f t="shared" si="0"/>
        <v>6TG7W62MN549</v>
      </c>
      <c r="E5" s="17">
        <v>45658</v>
      </c>
      <c r="F5" s="17">
        <v>45658</v>
      </c>
      <c r="G5" s="17">
        <v>45658</v>
      </c>
      <c r="H5" t="s">
        <v>55</v>
      </c>
      <c r="I5">
        <v>-313</v>
      </c>
      <c r="J5">
        <v>-313</v>
      </c>
      <c r="K5" s="6">
        <v>19645587</v>
      </c>
      <c r="L5" t="s">
        <v>41</v>
      </c>
      <c r="M5" s="6" t="s">
        <v>61</v>
      </c>
      <c r="N5" s="6" t="s">
        <v>62</v>
      </c>
    </row>
    <row r="6" spans="1:14" s="6" customFormat="1" x14ac:dyDescent="0.25">
      <c r="A6" t="s">
        <v>51</v>
      </c>
      <c r="B6" t="s">
        <v>52</v>
      </c>
      <c r="C6" t="s">
        <v>53</v>
      </c>
      <c r="D6" t="str">
        <f>CONCATENATE(C6,99)</f>
        <v>6TG7W62MN5499</v>
      </c>
      <c r="E6" s="17">
        <v>45658</v>
      </c>
      <c r="F6" s="17">
        <v>45658</v>
      </c>
      <c r="G6" s="17">
        <v>45658</v>
      </c>
      <c r="H6" t="s">
        <v>55</v>
      </c>
      <c r="I6">
        <v>-80</v>
      </c>
      <c r="J6">
        <v>-80</v>
      </c>
      <c r="K6" s="6">
        <v>20411454</v>
      </c>
      <c r="L6" t="s">
        <v>66</v>
      </c>
      <c r="M6" s="6" t="s">
        <v>65</v>
      </c>
    </row>
    <row r="7" spans="1:14" s="6" customFormat="1" x14ac:dyDescent="0.25">
      <c r="A7" t="s">
        <v>34</v>
      </c>
      <c r="B7" t="s">
        <v>52</v>
      </c>
      <c r="C7" t="s">
        <v>53</v>
      </c>
      <c r="D7" t="str">
        <f t="shared" si="0"/>
        <v>6TG7W62MN549</v>
      </c>
      <c r="E7" s="17">
        <v>45658</v>
      </c>
      <c r="F7" s="17">
        <v>73050</v>
      </c>
      <c r="G7" s="17">
        <v>45586</v>
      </c>
      <c r="H7" t="s">
        <v>55</v>
      </c>
      <c r="I7">
        <v>313</v>
      </c>
      <c r="J7">
        <v>313</v>
      </c>
      <c r="K7" s="6">
        <v>19645587</v>
      </c>
      <c r="L7" t="s">
        <v>41</v>
      </c>
      <c r="M7" s="6" t="s">
        <v>61</v>
      </c>
      <c r="N7" s="6" t="s">
        <v>62</v>
      </c>
    </row>
    <row r="8" spans="1:14" s="6" customFormat="1" x14ac:dyDescent="0.25">
      <c r="A8" t="s">
        <v>34</v>
      </c>
      <c r="B8" t="s">
        <v>52</v>
      </c>
      <c r="C8" t="s">
        <v>53</v>
      </c>
      <c r="D8" t="str">
        <f>CONCATENATE(C8,99)</f>
        <v>6TG7W62MN5499</v>
      </c>
      <c r="E8" s="17">
        <v>45658</v>
      </c>
      <c r="F8" s="17">
        <v>73050</v>
      </c>
      <c r="G8" s="17">
        <v>45586</v>
      </c>
      <c r="H8" t="s">
        <v>55</v>
      </c>
      <c r="I8">
        <v>80</v>
      </c>
      <c r="J8">
        <v>80</v>
      </c>
      <c r="K8" s="6">
        <v>20411454</v>
      </c>
      <c r="L8" t="s">
        <v>66</v>
      </c>
      <c r="M8" s="6" t="s">
        <v>65</v>
      </c>
    </row>
    <row r="9" spans="1:14" s="6" customFormat="1" x14ac:dyDescent="0.25"/>
    <row r="10" spans="1:14" s="6" customFormat="1" x14ac:dyDescent="0.25">
      <c r="H10" s="6">
        <f>313/12*11</f>
        <v>286.91666666666663</v>
      </c>
    </row>
    <row r="11" spans="1:14" s="6" customFormat="1" x14ac:dyDescent="0.25"/>
    <row r="12" spans="1:14" s="6" customFormat="1" x14ac:dyDescent="0.25"/>
    <row r="13" spans="1:14" s="6" customFormat="1" x14ac:dyDescent="0.25"/>
    <row r="14" spans="1:14" s="6" customFormat="1" x14ac:dyDescent="0.25"/>
    <row r="15" spans="1:14" s="6" customFormat="1" x14ac:dyDescent="0.25"/>
    <row r="16" spans="1:14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</sheetData>
  <pageMargins left="0.7" right="0.7" top="0.75" bottom="0.75" header="0.3" footer="0.3"/>
  <ignoredErrors>
    <ignoredError sqref="D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2025-03-11T15:54:58Z</dcterms:modified>
</cp:coreProperties>
</file>