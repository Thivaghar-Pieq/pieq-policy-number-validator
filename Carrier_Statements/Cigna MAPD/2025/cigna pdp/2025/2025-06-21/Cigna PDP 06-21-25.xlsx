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06-21-25\"/>
    </mc:Choice>
  </mc:AlternateContent>
  <xr:revisionPtr revIDLastSave="0" documentId="13_ncr:1_{9E574251-E763-4B76-ACA5-F24F59BF1B49}" xr6:coauthVersionLast="47" xr6:coauthVersionMax="47" xr10:uidLastSave="{00000000-0000-0000-0000-000000000000}"/>
  <bookViews>
    <workbookView xWindow="28680" yWindow="-120" windowWidth="29040" windowHeight="16440" activeTab="1" xr2:uid="{00000000-000D-0000-FFFF-FFFF00000000}"/>
  </bookViews>
  <sheets>
    <sheet name="Table 1" sheetId="1" r:id="rId1"/>
    <sheet name="Sheet1" sheetId="2" r:id="rId2"/>
  </sheets>
  <calcPr calcId="181029"/>
</workbook>
</file>

<file path=xl/calcChain.xml><?xml version="1.0" encoding="utf-8"?>
<calcChain xmlns="http://schemas.openxmlformats.org/spreadsheetml/2006/main">
  <c r="B18" i="2" l="1"/>
  <c r="B17" i="2"/>
  <c r="B16" i="2"/>
  <c r="B15" i="2"/>
  <c r="B14" i="2"/>
  <c r="B13" i="2"/>
  <c r="B12" i="2"/>
  <c r="B11" i="2"/>
  <c r="B10" i="2"/>
  <c r="B9" i="2"/>
  <c r="B8" i="2"/>
  <c r="B7" i="2"/>
  <c r="B6" i="2"/>
  <c r="B5" i="2"/>
  <c r="B4" i="2"/>
  <c r="B3" i="2"/>
</calcChain>
</file>

<file path=xl/sharedStrings.xml><?xml version="1.0" encoding="utf-8"?>
<sst xmlns="http://schemas.openxmlformats.org/spreadsheetml/2006/main" count="307" uniqueCount="99">
  <si>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</si>
  <si>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June 21, 2025
</t>
    </r>
    <r>
      <rPr>
        <sz val="9.5"/>
        <color rgb="FF231F20"/>
        <rFont val="Tahoma"/>
        <family val="2"/>
      </rPr>
      <t xml:space="preserve">Producer code/ Office code </t>
    </r>
    <r>
      <rPr>
        <sz val="9.5"/>
        <color rgb="FF231F20"/>
        <rFont val="Calibri"/>
        <family val="2"/>
      </rPr>
      <t>578672/ P08</t>
    </r>
  </si>
  <si>
    <r>
      <rPr>
        <sz val="17"/>
        <color rgb="FF231F20"/>
        <rFont val="Cambria"/>
        <family val="1"/>
      </rPr>
      <t>Compensation - Direct Deposit Payment</t>
    </r>
  </si>
  <si>
    <r>
      <rPr>
        <sz val="8.5"/>
        <color rgb="FF231F20"/>
        <rFont val="Book Antiqua"/>
        <family val="1"/>
      </rPr>
      <t>Payment for</t>
    </r>
  </si>
  <si>
    <r>
      <rPr>
        <sz val="8.5"/>
        <color rgb="FF231F20"/>
        <rFont val="Book Antiqua"/>
        <family val="1"/>
      </rPr>
      <t>Total payment this period</t>
    </r>
  </si>
  <si>
    <r>
      <rPr>
        <sz val="8.5"/>
        <color rgb="FF231F20"/>
        <rFont val="Book Antiqua"/>
        <family val="1"/>
      </rPr>
      <t xml:space="preserve">Total payment year
</t>
    </r>
    <r>
      <rPr>
        <sz val="8.5"/>
        <color rgb="FF231F20"/>
        <rFont val="Book Antiqua"/>
        <family val="1"/>
      </rPr>
      <t>to date</t>
    </r>
  </si>
  <si>
    <r>
      <rPr>
        <sz val="8.5"/>
        <color rgb="FF231F20"/>
        <rFont val="Calibri"/>
        <family val="2"/>
      </rPr>
      <t xml:space="preserve">MAIN LINE BENEFITS LLC
</t>
    </r>
    <r>
      <rPr>
        <sz val="8.5"/>
        <color rgb="FF231F20"/>
        <rFont val="Calibri"/>
        <family val="2"/>
      </rPr>
      <t xml:space="preserve">Commissions                                                                                                                                                                                      20.25                                    2,832.09
</t>
    </r>
    <r>
      <rPr>
        <sz val="9"/>
        <color rgb="FF231F20"/>
        <rFont val="Cambria"/>
        <family val="1"/>
      </rPr>
      <t>Total                                                                                                                                                                                               20.25                                 2,832.09</t>
    </r>
  </si>
  <si>
    <r>
      <rPr>
        <sz val="8.5"/>
        <color rgb="FF231F20"/>
        <rFont val="Calibri"/>
        <family val="2"/>
      </rPr>
      <t>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</si>
  <si>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Page 1 of 4</t>
    </r>
  </si>
  <si>
    <r>
      <rPr>
        <vertAlign val="superscript"/>
        <sz val="6.5"/>
        <color rgb="FF231F20"/>
        <rFont val="Calibri"/>
        <family val="2"/>
      </rPr>
      <t xml:space="preserve">DATE:                                             </t>
    </r>
    <r>
      <rPr>
        <sz val="8.5"/>
        <color rgb="FF231F20"/>
        <rFont val="Times New Roman"/>
        <family val="1"/>
      </rPr>
      <t>June 21, 2025</t>
    </r>
  </si>
  <si>
    <r>
      <rPr>
        <sz val="6.5"/>
        <color rgb="FF231F20"/>
        <rFont val="Calibri"/>
        <family val="2"/>
      </rPr>
      <t>PRODUCER/ OFFICE CODE</t>
    </r>
  </si>
  <si>
    <r>
      <rPr>
        <sz val="9.5"/>
        <color rgb="FF231F20"/>
        <rFont val="Calibri"/>
        <family val="2"/>
      </rPr>
      <t>578672/P08</t>
    </r>
  </si>
  <si>
    <r>
      <rPr>
        <vertAlign val="superscript"/>
        <sz val="6.5"/>
        <color rgb="FF231F20"/>
        <rFont val="Calibri"/>
        <family val="2"/>
      </rPr>
      <t xml:space="preserve">PAY:                               </t>
    </r>
    <r>
      <rPr>
        <sz val="11"/>
        <color rgb="FF231F20"/>
        <rFont val="Calibri"/>
        <family val="2"/>
      </rPr>
      <t>Twenty and 25/100 Dollars</t>
    </r>
  </si>
  <si>
    <r>
      <rPr>
        <sz val="6.5"/>
        <color rgb="FF231F20"/>
        <rFont val="Calibri"/>
        <family val="2"/>
      </rPr>
      <t>TO THE ORDER OF:</t>
    </r>
  </si>
  <si>
    <r>
      <rPr>
        <sz val="8.5"/>
        <color rgb="FF231F20"/>
        <rFont val="Calibri"/>
        <family val="2"/>
      </rPr>
      <t>MAIN LINE BENEFITS LLC 232 E KING ST. MALVERN PA 19355</t>
    </r>
  </si>
  <si>
    <r>
      <rPr>
        <sz val="17.5"/>
        <color rgb="FFDCDFE2"/>
        <rFont val="Lucida Sans"/>
        <family val="2"/>
      </rPr>
      <t>Advice of Deposit Non-Negotiable</t>
    </r>
  </si>
  <si>
    <r>
      <rPr>
        <sz val="16"/>
        <color rgb="FF231F20"/>
        <rFont val="Cambria"/>
        <family val="1"/>
      </rPr>
      <t>Cigna Producer Statement</t>
    </r>
  </si>
  <si>
    <r>
      <rPr>
        <sz val="8.5"/>
        <color rgb="FF231F20"/>
        <rFont val="Cambria"/>
        <family val="1"/>
      </rPr>
      <t>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</si>
  <si>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Email: ProducerCommissions@CignaHealthcare.com</t>
    </r>
  </si>
  <si>
    <r>
      <rPr>
        <sz val="8.5"/>
        <color rgb="FF231F20"/>
        <rFont val="Calibri"/>
        <family val="2"/>
      </rPr>
      <t>Previous balance:</t>
    </r>
    <r>
      <rPr>
        <sz val="9"/>
        <color rgb="FF231F20"/>
        <rFont val="Times New Roman"/>
        <family val="1"/>
      </rPr>
      <t xml:space="preserve">                                                                </t>
    </r>
    <r>
      <rPr>
        <sz val="8.5"/>
        <color rgb="FF231F20"/>
        <rFont val="Calibri"/>
        <family val="2"/>
      </rPr>
      <t xml:space="preserve">0.00
</t>
    </r>
    <r>
      <rPr>
        <sz val="8.5"/>
        <color rgb="FF231F20"/>
        <rFont val="Calibri"/>
        <family val="2"/>
      </rPr>
      <t>Earned this statement:</t>
    </r>
    <r>
      <rPr>
        <sz val="9"/>
        <color rgb="FF231F20"/>
        <rFont val="Times New Roman"/>
        <family val="1"/>
      </rPr>
      <t xml:space="preserve">                                                     </t>
    </r>
    <r>
      <rPr>
        <sz val="8.5"/>
        <color rgb="FF231F20"/>
        <rFont val="Calibri"/>
        <family val="2"/>
      </rPr>
      <t xml:space="preserve">20.25
</t>
    </r>
    <r>
      <rPr>
        <sz val="8.5"/>
        <color rgb="FF231F20"/>
        <rFont val="Calibri"/>
        <family val="2"/>
      </rPr>
      <t>Assignments:</t>
    </r>
    <r>
      <rPr>
        <sz val="9"/>
        <color rgb="FF231F20"/>
        <rFont val="Times New Roman"/>
        <family val="1"/>
      </rPr>
      <t xml:space="preserve">                                                                       </t>
    </r>
    <r>
      <rPr>
        <sz val="8.5"/>
        <color rgb="FF231F20"/>
        <rFont val="Calibri"/>
        <family val="2"/>
      </rPr>
      <t xml:space="preserve">0.00
</t>
    </r>
    <r>
      <rPr>
        <sz val="8.5"/>
        <color rgb="FF231F20"/>
        <rFont val="Calibri"/>
        <family val="2"/>
      </rPr>
      <t>Payment:</t>
    </r>
    <r>
      <rPr>
        <sz val="9"/>
        <color rgb="FF231F20"/>
        <rFont val="Times New Roman"/>
        <family val="1"/>
      </rPr>
      <t xml:space="preserve">                                                                           </t>
    </r>
    <r>
      <rPr>
        <sz val="8.5"/>
        <color rgb="FF231F20"/>
        <rFont val="Calibri"/>
        <family val="2"/>
      </rPr>
      <t xml:space="preserve">20.25
</t>
    </r>
    <r>
      <rPr>
        <sz val="8.5"/>
        <color rgb="FF231F20"/>
        <rFont val="Calibri"/>
        <family val="2"/>
      </rPr>
      <t>Closing balance:</t>
    </r>
    <r>
      <rPr>
        <sz val="9"/>
        <color rgb="FF231F20"/>
        <rFont val="Times New Roman"/>
        <family val="1"/>
      </rPr>
      <t xml:space="preserve">                                                                  </t>
    </r>
    <r>
      <rPr>
        <sz val="8.5"/>
        <color rgb="FF231F20"/>
        <rFont val="Calibri"/>
        <family val="2"/>
      </rPr>
      <t xml:space="preserve">0.00
</t>
    </r>
    <r>
      <rPr>
        <u/>
        <sz val="8.5"/>
        <color rgb="FF231F20"/>
        <rFont val="Calibri"/>
        <family val="2"/>
      </rPr>
      <t xml:space="preserve">YTD Payments:                                                                        2,832.09
</t>
    </r>
    <r>
      <rPr>
        <sz val="9.5"/>
        <color rgb="FF231F20"/>
        <rFont val="Tahoma"/>
        <family val="2"/>
      </rPr>
      <t>Total payment:</t>
    </r>
    <r>
      <rPr>
        <sz val="10"/>
        <color rgb="FF231F20"/>
        <rFont val="Times New Roman"/>
        <family val="1"/>
      </rPr>
      <t xml:space="preserve">                                                      </t>
    </r>
    <r>
      <rPr>
        <sz val="9.5"/>
        <color rgb="FF231F20"/>
        <rFont val="Tahoma"/>
        <family val="2"/>
      </rPr>
      <t>20.25</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</si>
  <si>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June 21, 2025
</t>
    </r>
    <r>
      <rPr>
        <sz val="8.5"/>
        <color rgb="FF231F20"/>
        <rFont val="Cambria"/>
        <family val="1"/>
      </rPr>
      <t xml:space="preserve">EFT Deposit date
</t>
    </r>
    <r>
      <rPr>
        <sz val="9.5"/>
        <color rgb="FF231F20"/>
        <rFont val="Calibri"/>
        <family val="2"/>
      </rPr>
      <t>June 26, 2025</t>
    </r>
  </si>
  <si>
    <r>
      <rPr>
        <sz val="7.5"/>
        <color rgb="FF231F20"/>
        <rFont val="Calibri"/>
        <family val="2"/>
      </rPr>
      <t>Account name</t>
    </r>
  </si>
  <si>
    <r>
      <rPr>
        <sz val="7.5"/>
        <color rgb="FF231F20"/>
        <rFont val="Calibri"/>
        <family val="2"/>
      </rPr>
      <t xml:space="preserve">Account
</t>
    </r>
    <r>
      <rPr>
        <sz val="7.5"/>
        <color rgb="FF231F20"/>
        <rFont val="Calibri"/>
        <family val="2"/>
      </rPr>
      <t>number  Product/Healthplan site</t>
    </r>
  </si>
  <si>
    <r>
      <rPr>
        <sz val="7.5"/>
        <color rgb="FF231F20"/>
        <rFont val="Calibri"/>
        <family val="2"/>
      </rPr>
      <t>Product number</t>
    </r>
  </si>
  <si>
    <r>
      <rPr>
        <sz val="7.5"/>
        <color rgb="FF231F20"/>
        <rFont val="Calibri"/>
        <family val="2"/>
      </rPr>
      <t xml:space="preserve">Month
</t>
    </r>
    <r>
      <rPr>
        <sz val="7.5"/>
        <color rgb="FF231F20"/>
        <rFont val="Calibri"/>
        <family val="2"/>
      </rPr>
      <t>year</t>
    </r>
  </si>
  <si>
    <r>
      <rPr>
        <sz val="7.5"/>
        <color rgb="FF231F20"/>
        <rFont val="Calibri"/>
        <family val="2"/>
      </rPr>
      <t xml:space="preserve">Customers or
</t>
    </r>
    <r>
      <rPr>
        <sz val="7.5"/>
        <color rgb="FF231F20"/>
        <rFont val="Calibri"/>
        <family val="2"/>
      </rPr>
      <t>premiums*</t>
    </r>
  </si>
  <si>
    <r>
      <rPr>
        <sz val="7.5"/>
        <color rgb="FF231F20"/>
        <rFont val="Calibri"/>
        <family val="2"/>
      </rPr>
      <t xml:space="preserve">Comp
</t>
    </r>
    <r>
      <rPr>
        <sz val="7.5"/>
        <color rgb="FF231F20"/>
        <rFont val="Calibri"/>
        <family val="2"/>
      </rPr>
      <t>rate</t>
    </r>
  </si>
  <si>
    <r>
      <rPr>
        <sz val="7.5"/>
        <color rgb="FF231F20"/>
        <rFont val="Calibri"/>
        <family val="2"/>
      </rPr>
      <t xml:space="preserve">Payment
</t>
    </r>
    <r>
      <rPr>
        <sz val="7.5"/>
        <color rgb="FF231F20"/>
        <rFont val="Calibri"/>
        <family val="2"/>
      </rPr>
      <t>amount  Type**   See notes</t>
    </r>
  </si>
  <si>
    <r>
      <rPr>
        <sz val="8.5"/>
        <color rgb="FF231F20"/>
        <rFont val="Cambria"/>
        <family val="1"/>
      </rPr>
      <t>Cigna - Previous balance</t>
    </r>
  </si>
  <si>
    <r>
      <rPr>
        <sz val="8.5"/>
        <color rgb="FF231F20"/>
        <rFont val="Calibri"/>
        <family val="2"/>
      </rPr>
      <t>CIGNA IND MEDICARE PART D</t>
    </r>
  </si>
  <si>
    <r>
      <rPr>
        <sz val="8.5"/>
        <color rgb="FF231F20"/>
        <rFont val="Calibri"/>
        <family val="2"/>
      </rPr>
      <t>2465346  PRESCRIPTION DRUG</t>
    </r>
  </si>
  <si>
    <r>
      <rPr>
        <sz val="8.5"/>
        <color rgb="FF231F20"/>
        <rFont val="Calibri"/>
        <family val="2"/>
      </rPr>
      <t>06/2025</t>
    </r>
  </si>
  <si>
    <r>
      <rPr>
        <sz val="8.5"/>
        <color rgb="FF231F20"/>
        <rFont val="Cambria"/>
        <family val="1"/>
      </rPr>
      <t>Account total</t>
    </r>
  </si>
  <si>
    <r>
      <rPr>
        <sz val="8.5"/>
        <color rgb="FF231F20"/>
        <rFont val="Calibri"/>
        <family val="2"/>
      </rPr>
      <t>Closing balance of</t>
    </r>
    <r>
      <rPr>
        <sz val="9"/>
        <color rgb="FF231F20"/>
        <rFont val="Times New Roman"/>
        <family val="1"/>
      </rPr>
      <t xml:space="preserve">                                                      </t>
    </r>
    <r>
      <rPr>
        <sz val="8.5"/>
        <color rgb="FF231F20"/>
        <rFont val="Calibri"/>
        <family val="2"/>
      </rPr>
      <t xml:space="preserve">0.00
</t>
    </r>
    <r>
      <rPr>
        <sz val="8.5"/>
        <color rgb="FF231F20"/>
        <rFont val="Calibri"/>
        <family val="2"/>
      </rPr>
      <t>Amount of Cigna payment:</t>
    </r>
    <r>
      <rPr>
        <sz val="9"/>
        <color rgb="FF231F20"/>
        <rFont val="Times New Roman"/>
        <family val="1"/>
      </rPr>
      <t xml:space="preserve">                                      </t>
    </r>
    <r>
      <rPr>
        <sz val="8.5"/>
        <color rgb="FF231F20"/>
        <rFont val="Calibri"/>
        <family val="2"/>
      </rPr>
      <t xml:space="preserve">20.25
</t>
    </r>
    <r>
      <rPr>
        <sz val="8.5"/>
        <color rgb="FF231F20"/>
        <rFont val="Calibri"/>
        <family val="2"/>
      </rPr>
      <t>Total compensation payment:</t>
    </r>
    <r>
      <rPr>
        <sz val="9"/>
        <color rgb="FF231F20"/>
        <rFont val="Times New Roman"/>
        <family val="1"/>
      </rPr>
      <t xml:space="preserve">                                  </t>
    </r>
    <r>
      <rPr>
        <sz val="8.5"/>
        <color rgb="FF231F20"/>
        <rFont val="Calibri"/>
        <family val="2"/>
      </rPr>
      <t>20.25</t>
    </r>
  </si>
  <si>
    <r>
      <rPr>
        <sz val="8.5"/>
        <color rgb="FF231F20"/>
        <rFont val="Calibri"/>
        <family val="2"/>
      </rPr>
      <t xml:space="preserve">*  Experience-rated premium for Shared Returns policies may exclude network access and UR fees
</t>
    </r>
    <r>
      <rPr>
        <sz val="8.5"/>
        <color rgb="FF231F20"/>
        <rFont val="Calibri"/>
        <family val="2"/>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</si>
  <si>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</si>
  <si>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8.5"/>
        <color rgb="FF231F20"/>
        <rFont val="Times New Roman"/>
        <family val="1"/>
      </rPr>
      <t>June 21, 2025</t>
    </r>
  </si>
  <si>
    <r>
      <rPr>
        <sz val="11.5"/>
        <color rgb="FF231F20"/>
        <rFont val="Calibri"/>
        <family val="2"/>
      </rPr>
      <t>Detail report</t>
    </r>
  </si>
  <si>
    <r>
      <rPr>
        <sz val="7.5"/>
        <color rgb="FF231F20"/>
        <rFont val="Calibri"/>
        <family val="2"/>
      </rPr>
      <t>Medicare</t>
    </r>
  </si>
  <si>
    <r>
      <rPr>
        <sz val="7.5"/>
        <color rgb="FF231F20"/>
        <rFont val="Calibri"/>
        <family val="2"/>
      </rPr>
      <t>CIGNA</t>
    </r>
  </si>
  <si>
    <r>
      <rPr>
        <sz val="7.5"/>
        <color rgb="FF231F20"/>
        <rFont val="Calibri"/>
        <family val="2"/>
      </rPr>
      <t>Mbr</t>
    </r>
  </si>
  <si>
    <r>
      <rPr>
        <sz val="7.5"/>
        <color rgb="FF231F20"/>
        <rFont val="Calibri"/>
        <family val="2"/>
      </rPr>
      <t>Comp</t>
    </r>
  </si>
  <si>
    <r>
      <rPr>
        <sz val="7.5"/>
        <color rgb="FF231F20"/>
        <rFont val="Calibri"/>
        <family val="2"/>
      </rPr>
      <t>Payment</t>
    </r>
  </si>
  <si>
    <r>
      <rPr>
        <sz val="7.5"/>
        <color rgb="FF231F20"/>
        <rFont val="Calibri"/>
        <family val="2"/>
      </rPr>
      <t>number</t>
    </r>
  </si>
  <si>
    <r>
      <rPr>
        <sz val="7.5"/>
        <color rgb="FF231F20"/>
        <rFont val="Calibri"/>
        <family val="2"/>
      </rPr>
      <t>ID</t>
    </r>
  </si>
  <si>
    <r>
      <rPr>
        <sz val="7.5"/>
        <color rgb="FF231F20"/>
        <rFont val="Calibri"/>
        <family val="2"/>
      </rPr>
      <t>Member name</t>
    </r>
  </si>
  <si>
    <r>
      <rPr>
        <sz val="7.5"/>
        <color rgb="FF231F20"/>
        <rFont val="Calibri"/>
        <family val="2"/>
      </rPr>
      <t>st</t>
    </r>
  </si>
  <si>
    <r>
      <rPr>
        <sz val="7.5"/>
        <color rgb="FF231F20"/>
        <rFont val="Calibri"/>
        <family val="2"/>
      </rPr>
      <t>Sale date</t>
    </r>
  </si>
  <si>
    <r>
      <rPr>
        <sz val="7.5"/>
        <color rgb="FF231F20"/>
        <rFont val="Calibri"/>
        <family val="2"/>
      </rPr>
      <t>Agent ID</t>
    </r>
  </si>
  <si>
    <r>
      <rPr>
        <sz val="7.5"/>
        <color rgb="FF231F20"/>
        <rFont val="Calibri"/>
        <family val="2"/>
      </rPr>
      <t>Effective date</t>
    </r>
  </si>
  <si>
    <r>
      <rPr>
        <sz val="7.5"/>
        <color rgb="FF231F20"/>
        <rFont val="Calibri"/>
        <family val="2"/>
      </rPr>
      <t>Dis-enroll date</t>
    </r>
  </si>
  <si>
    <r>
      <rPr>
        <sz val="7.5"/>
        <color rgb="FF231F20"/>
        <rFont val="Calibri"/>
        <family val="2"/>
      </rPr>
      <t>Status</t>
    </r>
  </si>
  <si>
    <r>
      <rPr>
        <sz val="7.5"/>
        <color rgb="FF231F20"/>
        <rFont val="Calibri"/>
        <family val="2"/>
      </rPr>
      <t>rate</t>
    </r>
  </si>
  <si>
    <r>
      <rPr>
        <sz val="7.5"/>
        <color rgb="FF231F20"/>
        <rFont val="Calibri"/>
        <family val="2"/>
      </rPr>
      <t>type</t>
    </r>
  </si>
  <si>
    <r>
      <rPr>
        <sz val="7.5"/>
        <color rgb="FF231F20"/>
        <rFont val="Calibri"/>
        <family val="2"/>
      </rPr>
      <t>8RV5UY6CY83</t>
    </r>
  </si>
  <si>
    <r>
      <rPr>
        <sz val="7.5"/>
        <color rgb="FF231F20"/>
        <rFont val="Calibri"/>
        <family val="2"/>
      </rPr>
      <t>HAVNOONIAN JR, HARRY</t>
    </r>
  </si>
  <si>
    <r>
      <rPr>
        <sz val="7.5"/>
        <color rgb="FF231F20"/>
        <rFont val="Calibri"/>
        <family val="2"/>
      </rPr>
      <t>PA</t>
    </r>
  </si>
  <si>
    <r>
      <rPr>
        <sz val="7.5"/>
        <color rgb="FF231F20"/>
        <rFont val="Calibri"/>
        <family val="2"/>
      </rPr>
      <t>C547270</t>
    </r>
  </si>
  <si>
    <r>
      <rPr>
        <sz val="7.5"/>
        <color rgb="FF231F20"/>
        <rFont val="Calibri"/>
        <family val="2"/>
      </rPr>
      <t>CMS APPROVED ENROLLMENT</t>
    </r>
  </si>
  <si>
    <r>
      <rPr>
        <sz val="7.5"/>
        <color rgb="FF231F20"/>
        <rFont val="Calibri"/>
        <family val="2"/>
      </rPr>
      <t>Y1</t>
    </r>
  </si>
  <si>
    <r>
      <rPr>
        <sz val="7.5"/>
        <color rgb="FF231F20"/>
        <rFont val="Calibri"/>
        <family val="2"/>
      </rPr>
      <t>H1</t>
    </r>
  </si>
  <si>
    <r>
      <rPr>
        <sz val="7.5"/>
        <color rgb="FF231F20"/>
        <rFont val="Calibri"/>
        <family val="2"/>
      </rPr>
      <t>7EM3A71GG02</t>
    </r>
  </si>
  <si>
    <r>
      <rPr>
        <sz val="7.5"/>
        <color rgb="FF231F20"/>
        <rFont val="Calibri"/>
        <family val="2"/>
      </rPr>
      <t>KATZ, KAREN</t>
    </r>
  </si>
  <si>
    <r>
      <rPr>
        <sz val="7.5"/>
        <color rgb="FF231F20"/>
        <rFont val="Calibri"/>
        <family val="2"/>
      </rPr>
      <t>C550596</t>
    </r>
  </si>
  <si>
    <r>
      <rPr>
        <sz val="7.5"/>
        <color rgb="FF231F20"/>
        <rFont val="Calibri"/>
        <family val="2"/>
      </rPr>
      <t>3GH4Y42QJ72</t>
    </r>
  </si>
  <si>
    <r>
      <rPr>
        <sz val="7.5"/>
        <color rgb="FF231F20"/>
        <rFont val="Calibri"/>
        <family val="2"/>
      </rPr>
      <t>MCHATTIE, REBECCA</t>
    </r>
  </si>
  <si>
    <r>
      <rPr>
        <sz val="7.5"/>
        <color rgb="FF231F20"/>
        <rFont val="Calibri"/>
        <family val="2"/>
      </rPr>
      <t>4N30FG8MV18</t>
    </r>
  </si>
  <si>
    <r>
      <rPr>
        <sz val="7.5"/>
        <color rgb="FF231F20"/>
        <rFont val="Calibri"/>
        <family val="2"/>
      </rPr>
      <t>MCKIVIGAN, ROBERTA</t>
    </r>
  </si>
  <si>
    <r>
      <rPr>
        <sz val="7.5"/>
        <color rgb="FF231F20"/>
        <rFont val="Calibri"/>
        <family val="2"/>
      </rPr>
      <t>8AC0E74CT34</t>
    </r>
  </si>
  <si>
    <r>
      <rPr>
        <sz val="7.5"/>
        <color rgb="FF231F20"/>
        <rFont val="Calibri"/>
        <family val="2"/>
      </rPr>
      <t>MOHAN, JOSEPH</t>
    </r>
  </si>
  <si>
    <r>
      <rPr>
        <sz val="7.5"/>
        <color rgb="FF231F20"/>
        <rFont val="Calibri"/>
        <family val="2"/>
      </rPr>
      <t>1DP2H78WF04</t>
    </r>
  </si>
  <si>
    <r>
      <rPr>
        <sz val="7.5"/>
        <color rgb="FF231F20"/>
        <rFont val="Calibri"/>
        <family val="2"/>
      </rPr>
      <t>PETERS, RICHARD</t>
    </r>
  </si>
  <si>
    <r>
      <rPr>
        <sz val="7.5"/>
        <color rgb="FF231F20"/>
        <rFont val="Calibri"/>
        <family val="2"/>
      </rPr>
      <t>5F62XX8QT10</t>
    </r>
  </si>
  <si>
    <r>
      <rPr>
        <sz val="7.5"/>
        <color rgb="FF231F20"/>
        <rFont val="Calibri"/>
        <family val="2"/>
      </rPr>
      <t>SIMPSON, DARRELL</t>
    </r>
  </si>
  <si>
    <r>
      <rPr>
        <sz val="7.5"/>
        <color rgb="FF231F20"/>
        <rFont val="Calibri"/>
        <family val="2"/>
      </rPr>
      <t>MD</t>
    </r>
  </si>
  <si>
    <r>
      <rPr>
        <sz val="7.5"/>
        <color rgb="FF231F20"/>
        <rFont val="Calibri"/>
        <family val="2"/>
      </rPr>
      <t>C398389</t>
    </r>
  </si>
  <si>
    <r>
      <rPr>
        <sz val="7.5"/>
        <color rgb="FF231F20"/>
        <rFont val="Calibri"/>
        <family val="2"/>
      </rPr>
      <t>5KF9TC6CR36</t>
    </r>
  </si>
  <si>
    <r>
      <rPr>
        <sz val="7.5"/>
        <color rgb="FF231F20"/>
        <rFont val="Calibri"/>
        <family val="2"/>
      </rPr>
      <t>TAUGNER, CLARICE</t>
    </r>
  </si>
  <si>
    <r>
      <rPr>
        <sz val="7.5"/>
        <color rgb="FF231F20"/>
        <rFont val="Calibri"/>
        <family val="2"/>
      </rPr>
      <t>IL</t>
    </r>
  </si>
  <si>
    <r>
      <rPr>
        <sz val="7.5"/>
        <color rgb="FF231F20"/>
        <rFont val="Calibri"/>
        <family val="2"/>
      </rPr>
      <t>C629206</t>
    </r>
  </si>
  <si>
    <r>
      <rPr>
        <sz val="7.5"/>
        <color rgb="FF231F20"/>
        <rFont val="Calibri"/>
        <family val="2"/>
      </rPr>
      <t>DISENROLLMENT-DECEASED</t>
    </r>
  </si>
  <si>
    <r>
      <rPr>
        <sz val="7.5"/>
        <color rgb="FF231F20"/>
        <rFont val="Calibri"/>
        <family val="2"/>
      </rPr>
      <t>2AF4V66RR96</t>
    </r>
  </si>
  <si>
    <r>
      <rPr>
        <sz val="7.5"/>
        <color rgb="FF231F20"/>
        <rFont val="Calibri"/>
        <family val="2"/>
      </rPr>
      <t>THORNE, DANA</t>
    </r>
  </si>
  <si>
    <r>
      <rPr>
        <sz val="7.5"/>
        <color rgb="FF231F20"/>
        <rFont val="Calibri"/>
        <family val="2"/>
      </rPr>
      <t>FL</t>
    </r>
  </si>
  <si>
    <r>
      <rPr>
        <sz val="7.5"/>
        <color rgb="FF231F20"/>
        <rFont val="Calibri"/>
        <family val="2"/>
      </rPr>
      <t>8TG6TY6FT68</t>
    </r>
  </si>
  <si>
    <r>
      <rPr>
        <sz val="7.5"/>
        <color rgb="FF231F20"/>
        <rFont val="Calibri"/>
        <family val="2"/>
      </rPr>
      <t>WEIDO, SUSAN</t>
    </r>
  </si>
  <si>
    <r>
      <rPr>
        <sz val="7.5"/>
        <color rgb="FF231F20"/>
        <rFont val="Calibri"/>
        <family val="2"/>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</si>
  <si>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</si>
  <si>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2"/>
      </rPr>
      <t>Year 1 agent commission</t>
    </r>
    <r>
      <rPr>
        <sz val="7.5"/>
        <color rgb="FF4A4849"/>
        <rFont val="Cambria"/>
        <family val="1"/>
      </rPr>
      <t>-</t>
    </r>
  </si>
  <si>
    <r>
      <rPr>
        <sz val="7.5"/>
        <color rgb="FF231F20"/>
        <rFont val="Cambria"/>
        <family val="1"/>
      </rPr>
      <t xml:space="preserve">H1 = </t>
    </r>
    <r>
      <rPr>
        <sz val="7.5"/>
        <color rgb="FF231F20"/>
        <rFont val="Calibri"/>
        <family val="2"/>
      </rPr>
      <t>Year 1 up-line agent commission</t>
    </r>
  </si>
  <si>
    <r>
      <rPr>
        <sz val="7.5"/>
        <color rgb="FF4A4849"/>
        <rFont val="Cambria"/>
        <family val="1"/>
      </rPr>
      <t xml:space="preserve">Yn = </t>
    </r>
    <r>
      <rPr>
        <sz val="7.5"/>
        <color rgb="FF4A4849"/>
        <rFont val="Calibri"/>
        <family val="2"/>
      </rPr>
      <t>Year 2+ agent commission</t>
    </r>
  </si>
  <si>
    <r>
      <rPr>
        <sz val="7.5"/>
        <color rgb="FF231F20"/>
        <rFont val="Cambria"/>
        <family val="1"/>
      </rPr>
      <t xml:space="preserve">Hn = </t>
    </r>
    <r>
      <rPr>
        <sz val="7.5"/>
        <color rgb="FF231F20"/>
        <rFont val="Calibri"/>
        <family val="2"/>
      </rPr>
      <t>Year 2+ up-line agent commission</t>
    </r>
  </si>
  <si>
    <t>Main Line Benefits</t>
  </si>
  <si>
    <t>ANNE MARIE KOZACHECK</t>
  </si>
  <si>
    <t>C398389</t>
  </si>
  <si>
    <t>ADAM RICHTER</t>
  </si>
  <si>
    <t>CHRIS TAUGNER</t>
  </si>
  <si>
    <t>Cigna PDP</t>
  </si>
  <si>
    <t>Cigna Ovr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</si>
</sst>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5" x14ac:knownFonts="1">
    <font>
      <sz val="10"/>
      <color rgb="FF000000"/>
      <name val="Times New Roman"/>
      <charset val="204"/>
    </font>
    <font>
      <sz val="17"/>
      <name val="Cambria"/>
      <family val="1"/>
    </font>
    <font>
      <sz val="8.5"/>
      <name val="Book Antiqua"/>
      <family val="1"/>
    </font>
    <font>
      <sz val="8.5"/>
      <name val="Calibri"/>
      <family val="2"/>
    </font>
    <font>
      <sz val="6.5"/>
      <name val="Calibri"/>
      <family val="2"/>
    </font>
    <font>
      <sz val="9.5"/>
      <name val="Calibri"/>
      <family val="2"/>
    </font>
    <font>
      <sz val="11"/>
      <color rgb="FF231F20"/>
      <name val="Calibri"/>
      <family val="2"/>
    </font>
    <font>
      <sz val="17.5"/>
      <name val="Lucida Sans"/>
      <family val="2"/>
    </font>
    <font>
      <sz val="16"/>
      <name val="Cambria"/>
      <family val="1"/>
    </font>
    <font>
      <sz val="8.5"/>
      <name val="Cambria"/>
      <family val="1"/>
    </font>
    <font>
      <sz val="7.5"/>
      <name val="Calibri"/>
      <family val="2"/>
    </font>
    <font>
      <sz val="8.5"/>
      <color rgb="FF231F20"/>
      <name val="Cambria"/>
      <family val="2"/>
    </font>
    <font>
      <sz val="8.5"/>
      <color rgb="FF231F20"/>
      <name val="Calibri"/>
      <family val="2"/>
    </font>
    <font>
      <sz val="11.5"/>
      <name val="Calibri"/>
      <family val="2"/>
    </font>
    <font>
      <sz val="7.5"/>
      <color rgb="FF231F20"/>
      <name val="Calibri"/>
      <family val="2"/>
    </font>
    <font>
      <sz val="7.5"/>
      <name val="Cambria"/>
      <family val="1"/>
    </font>
    <font>
      <u/>
      <sz val="9.5"/>
      <color rgb="FF231F20"/>
      <name val="Calibri"/>
      <family val="2"/>
    </font>
    <font>
      <sz val="9.5"/>
      <color rgb="FF231F20"/>
      <name val="Calibri"/>
      <family val="2"/>
    </font>
    <font>
      <sz val="9.5"/>
      <color rgb="FF231F20"/>
      <name val="Tahoma"/>
      <family val="2"/>
    </font>
    <font>
      <sz val="17"/>
      <color rgb="FF231F20"/>
      <name val="Cambria"/>
      <family val="1"/>
    </font>
    <font>
      <sz val="8.5"/>
      <color rgb="FF231F20"/>
      <name val="Book Antiqua"/>
      <family val="1"/>
    </font>
    <font>
      <sz val="9"/>
      <color rgb="FF231F20"/>
      <name val="Cambria"/>
      <family val="1"/>
    </font>
    <font>
      <vertAlign val="superscript"/>
      <sz val="6.5"/>
      <color rgb="FF231F20"/>
      <name val="Calibri"/>
      <family val="2"/>
    </font>
    <font>
      <sz val="8.5"/>
      <color rgb="FF231F20"/>
      <name val="Times New Roman"/>
      <family val="1"/>
    </font>
    <font>
      <sz val="6.5"/>
      <color rgb="FF231F20"/>
      <name val="Calibri"/>
      <family val="2"/>
    </font>
    <font>
      <sz val="17.5"/>
      <color rgb="FFDCDFE2"/>
      <name val="Lucida Sans"/>
      <family val="2"/>
    </font>
    <font>
      <sz val="16"/>
      <color rgb="FF231F20"/>
      <name val="Cambria"/>
      <family val="1"/>
    </font>
    <font>
      <sz val="8.5"/>
      <color rgb="FF231F20"/>
      <name val="Cambria"/>
      <family val="1"/>
    </font>
    <font>
      <sz val="9"/>
      <color rgb="FF231F20"/>
      <name val="Times New Roman"/>
      <family val="1"/>
    </font>
    <font>
      <u/>
      <sz val="8.5"/>
      <color rgb="FF231F20"/>
      <name val="Calibri"/>
      <family val="2"/>
    </font>
    <font>
      <sz val="10"/>
      <color rgb="FF231F20"/>
      <name val="Times New Roman"/>
      <family val="1"/>
    </font>
    <font>
      <sz val="11.5"/>
      <color rgb="FF231F20"/>
      <name val="Calibri"/>
      <family val="2"/>
    </font>
    <font>
      <sz val="7.5"/>
      <color rgb="FF4A4849"/>
      <name val="Cambria"/>
      <family val="1"/>
    </font>
    <font>
      <sz val="7.5"/>
      <color rgb="FF4A4849"/>
      <name val="Calibri"/>
      <family val="2"/>
    </font>
    <font>
      <sz val="7.5"/>
      <color rgb="FF231F20"/>
      <name val="Cambria"/>
      <family val="1"/>
    </font>
  </fonts>
  <fills count="2">
    <fill>
      <patternFill patternType="none"/>
    </fill>
    <fill>
      <patternFill patternType="gray125"/>
    </fill>
  </fills>
  <borders count="7">
    <border>
      <left/>
      <right/>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102">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xf numFmtId="0" fontId="10" fillId="0" borderId="5" xfId="0" applyFont="1" applyBorder="1" applyAlignment="1">
      <alignment horizontal="left" vertical="top" wrapText="1"/>
    </xf>
    <xf numFmtId="0" fontId="0" fillId="0" borderId="5" xfId="0" applyBorder="1" applyAlignment="1">
      <alignment horizontal="right" vertical="top" wrapText="1"/>
    </xf>
    <xf numFmtId="0" fontId="0" fillId="0" borderId="2" xfId="0" applyBorder="1" applyAlignment="1">
      <alignment horizontal="left" wrapText="1"/>
    </xf>
    <xf numFmtId="0" fontId="0" fillId="0" borderId="5" xfId="0" applyBorder="1" applyAlignment="1">
      <alignment horizontal="left" vertical="center" wrapText="1"/>
    </xf>
    <xf numFmtId="0" fontId="0" fillId="0" borderId="2" xfId="0" applyBorder="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right" vertical="top" wrapText="1"/>
    </xf>
    <xf numFmtId="0" fontId="10" fillId="0" borderId="5" xfId="0" applyFont="1" applyBorder="1" applyAlignment="1">
      <alignment horizontal="center" vertical="top" wrapText="1"/>
    </xf>
    <xf numFmtId="0" fontId="10" fillId="0" borderId="5" xfId="0" applyFont="1" applyBorder="1" applyAlignment="1">
      <alignment horizontal="right" vertical="top" wrapText="1" indent="1"/>
    </xf>
    <xf numFmtId="0" fontId="10" fillId="0" borderId="5" xfId="0" applyFont="1" applyBorder="1" applyAlignment="1">
      <alignment horizontal="right" vertical="top" wrapText="1"/>
    </xf>
    <xf numFmtId="0" fontId="10" fillId="0" borderId="2" xfId="0" applyFont="1" applyBorder="1" applyAlignment="1">
      <alignment horizontal="left" vertical="top" wrapText="1"/>
    </xf>
    <xf numFmtId="165" fontId="14" fillId="0" borderId="2" xfId="0" applyNumberFormat="1" applyFont="1" applyBorder="1" applyAlignment="1">
      <alignment horizontal="left" vertical="top" shrinkToFit="1"/>
    </xf>
    <xf numFmtId="0" fontId="10" fillId="0" borderId="2" xfId="0" applyFont="1" applyBorder="1" applyAlignment="1">
      <alignment horizontal="center" vertical="top" wrapTex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1" shrinkToFit="1"/>
    </xf>
    <xf numFmtId="0" fontId="10" fillId="0" borderId="2" xfId="0" applyFont="1" applyBorder="1" applyAlignment="1">
      <alignment horizontal="right" vertical="top" wrapText="1"/>
    </xf>
    <xf numFmtId="165" fontId="14" fillId="0" borderId="0" xfId="0" applyNumberFormat="1" applyFont="1" applyAlignment="1">
      <alignment horizontal="left" vertical="top" shrinkToFit="1"/>
    </xf>
    <xf numFmtId="0" fontId="10" fillId="0" borderId="0" xfId="0" applyFont="1" applyAlignment="1">
      <alignment horizontal="center" vertical="top" wrapText="1"/>
    </xf>
    <xf numFmtId="2" fontId="14" fillId="0" borderId="0" xfId="0" applyNumberFormat="1" applyFont="1" applyAlignment="1">
      <alignment horizontal="right" vertical="top" indent="1" shrinkToFit="1"/>
    </xf>
    <xf numFmtId="165" fontId="14" fillId="0" borderId="5" xfId="0" applyNumberFormat="1" applyFont="1" applyBorder="1" applyAlignment="1">
      <alignment horizontal="left" vertical="top" shrinkToFit="1"/>
    </xf>
    <xf numFmtId="2" fontId="14" fillId="0" borderId="5" xfId="0" applyNumberFormat="1" applyFont="1" applyBorder="1" applyAlignment="1">
      <alignment horizontal="right" vertical="top" indent="1" shrinkToFit="1"/>
    </xf>
    <xf numFmtId="0" fontId="0" fillId="0" borderId="0" xfId="0" applyAlignment="1">
      <alignment horizontal="left" vertical="top" wrapText="1"/>
    </xf>
    <xf numFmtId="0" fontId="0" fillId="0" borderId="0" xfId="0" applyAlignment="1">
      <alignment horizontal="left" vertical="top" wrapText="1" indent="1"/>
    </xf>
    <xf numFmtId="0" fontId="10" fillId="0" borderId="2" xfId="0" applyFont="1" applyBorder="1" applyAlignment="1">
      <alignment horizontal="left" vertical="top" wrapText="1"/>
    </xf>
    <xf numFmtId="0" fontId="0" fillId="0" borderId="2" xfId="0" applyBorder="1" applyAlignment="1">
      <alignment horizontal="left" vertical="center" wrapText="1"/>
    </xf>
    <xf numFmtId="0" fontId="15" fillId="0" borderId="0" xfId="0" applyFont="1" applyAlignment="1">
      <alignment horizontal="left" vertical="top" wrapText="1"/>
    </xf>
    <xf numFmtId="0" fontId="0" fillId="0" borderId="0" xfId="0" applyAlignment="1">
      <alignment horizontal="left" wrapText="1"/>
    </xf>
    <xf numFmtId="1" fontId="14" fillId="0" borderId="0" xfId="0" applyNumberFormat="1" applyFont="1" applyAlignment="1">
      <alignment horizontal="left" vertical="top" shrinkToFit="1"/>
    </xf>
    <xf numFmtId="0" fontId="10" fillId="0" borderId="0" xfId="0" applyFont="1" applyAlignment="1">
      <alignment horizontal="left" vertical="top" wrapText="1"/>
    </xf>
    <xf numFmtId="0" fontId="10" fillId="0" borderId="0" xfId="0" applyFont="1" applyAlignment="1">
      <alignment horizontal="left" vertical="top" wrapText="1" indent="3"/>
    </xf>
    <xf numFmtId="165" fontId="14" fillId="0" borderId="0" xfId="0" applyNumberFormat="1" applyFont="1" applyAlignment="1">
      <alignment horizontal="left" vertical="top" indent="1" shrinkToFit="1"/>
    </xf>
    <xf numFmtId="0" fontId="0" fillId="0" borderId="0" xfId="0" applyAlignment="1">
      <alignment horizontal="left" vertical="center" wrapText="1"/>
    </xf>
    <xf numFmtId="2" fontId="14" fillId="0" borderId="0" xfId="0" applyNumberFormat="1" applyFont="1" applyAlignment="1">
      <alignment horizontal="right" vertical="top" indent="3" shrinkToFit="1"/>
    </xf>
    <xf numFmtId="1" fontId="14" fillId="0" borderId="5" xfId="0" applyNumberFormat="1" applyFont="1" applyBorder="1" applyAlignment="1">
      <alignment horizontal="left" vertical="top" shrinkToFit="1"/>
    </xf>
    <xf numFmtId="0" fontId="10" fillId="0" borderId="5" xfId="0" applyFont="1" applyBorder="1" applyAlignment="1">
      <alignment horizontal="left" vertical="top" wrapText="1"/>
    </xf>
    <xf numFmtId="0" fontId="10" fillId="0" borderId="5" xfId="0" applyFont="1" applyBorder="1" applyAlignment="1">
      <alignment horizontal="left" vertical="top" wrapText="1" indent="3"/>
    </xf>
    <xf numFmtId="165" fontId="14" fillId="0" borderId="5" xfId="0" applyNumberFormat="1" applyFont="1" applyBorder="1" applyAlignment="1">
      <alignment horizontal="left" vertical="top" indent="1" shrinkToFit="1"/>
    </xf>
    <xf numFmtId="0" fontId="0" fillId="0" borderId="5" xfId="0" applyBorder="1" applyAlignment="1">
      <alignment horizontal="left" vertical="center" wrapText="1"/>
    </xf>
    <xf numFmtId="2" fontId="14" fillId="0" borderId="5" xfId="0" applyNumberFormat="1" applyFont="1" applyBorder="1" applyAlignment="1">
      <alignment horizontal="right" vertical="top" indent="3" shrinkToFit="1"/>
    </xf>
    <xf numFmtId="165" fontId="14" fillId="0" borderId="0" xfId="0" applyNumberFormat="1" applyFont="1" applyAlignment="1">
      <alignment horizontal="left" vertical="top" shrinkToFit="1"/>
    </xf>
    <xf numFmtId="1" fontId="14" fillId="0" borderId="2" xfId="0" applyNumberFormat="1" applyFont="1" applyBorder="1" applyAlignment="1">
      <alignment horizontal="left" vertical="top" shrinkToFit="1"/>
    </xf>
    <xf numFmtId="0" fontId="10" fillId="0" borderId="2" xfId="0" applyFont="1" applyBorder="1" applyAlignment="1">
      <alignment horizontal="left" vertical="top" wrapText="1" indent="3"/>
    </xf>
    <xf numFmtId="165" fontId="14" fillId="0" borderId="2" xfId="0" applyNumberFormat="1" applyFont="1" applyBorder="1" applyAlignment="1">
      <alignment horizontal="left" vertical="top" indent="1" shrinkToFit="1"/>
    </xf>
    <xf numFmtId="2" fontId="14" fillId="0" borderId="2" xfId="0" applyNumberFormat="1" applyFont="1" applyBorder="1" applyAlignment="1">
      <alignment horizontal="right" vertical="top" indent="3" shrinkToFit="1"/>
    </xf>
    <xf numFmtId="0" fontId="10" fillId="0" borderId="0" xfId="0" applyFont="1" applyAlignment="1">
      <alignment horizontal="right" vertical="top" wrapText="1" indent="3"/>
    </xf>
    <xf numFmtId="0" fontId="10" fillId="0" borderId="5" xfId="0" applyFont="1" applyBorder="1" applyAlignment="1">
      <alignment horizontal="left" vertical="top" wrapText="1" indent="1"/>
    </xf>
    <xf numFmtId="0" fontId="10" fillId="0" borderId="5" xfId="0" applyFont="1" applyBorder="1" applyAlignment="1">
      <alignment horizontal="right" vertical="top" wrapText="1" indent="3"/>
    </xf>
    <xf numFmtId="0" fontId="9" fillId="0" borderId="2" xfId="0" applyFont="1" applyBorder="1" applyAlignment="1">
      <alignment horizontal="left" vertical="top" wrapText="1"/>
    </xf>
    <xf numFmtId="0" fontId="0" fillId="0" borderId="2" xfId="0" applyBorder="1" applyAlignment="1">
      <alignment horizontal="left" vertical="top" wrapText="1"/>
    </xf>
    <xf numFmtId="2" fontId="11" fillId="0" borderId="2" xfId="0" applyNumberFormat="1" applyFont="1" applyBorder="1" applyAlignment="1">
      <alignment horizontal="left" vertical="top" indent="4" shrinkToFit="1"/>
    </xf>
    <xf numFmtId="0" fontId="8" fillId="0" borderId="0" xfId="0" applyFont="1" applyAlignment="1">
      <alignment horizontal="left" vertical="top" wrapText="1"/>
    </xf>
    <xf numFmtId="0" fontId="13" fillId="0" borderId="0" xfId="0" applyFont="1" applyAlignment="1">
      <alignment horizontal="left" vertical="top" wrapText="1"/>
    </xf>
    <xf numFmtId="0" fontId="0" fillId="0" borderId="2" xfId="0" applyBorder="1" applyAlignment="1">
      <alignment horizontal="left" wrapText="1"/>
    </xf>
    <xf numFmtId="2" fontId="11" fillId="0" borderId="2" xfId="0" applyNumberFormat="1" applyFont="1" applyBorder="1" applyAlignment="1">
      <alignment horizontal="left" vertical="top" indent="5" shrinkToFit="1"/>
    </xf>
    <xf numFmtId="0" fontId="3" fillId="0" borderId="5" xfId="0" applyFont="1" applyBorder="1" applyAlignment="1">
      <alignment horizontal="left" vertical="top" wrapText="1"/>
    </xf>
    <xf numFmtId="0" fontId="3" fillId="0" borderId="5" xfId="0" applyFont="1" applyBorder="1" applyAlignment="1">
      <alignment horizontal="left" vertical="top" wrapText="1" indent="6"/>
    </xf>
    <xf numFmtId="2" fontId="12" fillId="0" borderId="5" xfId="0" applyNumberFormat="1" applyFont="1" applyBorder="1" applyAlignment="1">
      <alignment horizontal="left" vertical="top" indent="4" shrinkToFit="1"/>
    </xf>
    <xf numFmtId="0" fontId="7" fillId="0" borderId="0" xfId="0" applyFont="1" applyAlignment="1">
      <alignment horizontal="left" vertical="center" wrapText="1" indent="42"/>
    </xf>
    <xf numFmtId="0" fontId="8" fillId="0" borderId="0" xfId="0" applyFont="1" applyAlignment="1">
      <alignment horizontal="left" vertical="center" wrapText="1"/>
    </xf>
    <xf numFmtId="0" fontId="9" fillId="0" borderId="0" xfId="0" applyFont="1" applyAlignment="1">
      <alignment horizontal="left" wrapText="1" indent="1"/>
    </xf>
    <xf numFmtId="0" fontId="0" fillId="0" borderId="0" xfId="0" applyAlignment="1">
      <alignment horizontal="left" vertical="center" wrapText="1" indent="40"/>
    </xf>
    <xf numFmtId="0" fontId="0" fillId="0" borderId="0" xfId="0" applyAlignment="1">
      <alignment horizontal="left" vertical="top" wrapText="1" indent="40"/>
    </xf>
    <xf numFmtId="0" fontId="0" fillId="0" borderId="5" xfId="0" applyBorder="1" applyAlignment="1">
      <alignment horizontal="left" vertical="top" wrapText="1" indent="6"/>
    </xf>
    <xf numFmtId="0" fontId="10" fillId="0" borderId="5" xfId="0" applyFont="1" applyBorder="1" applyAlignment="1">
      <alignment horizontal="left" vertical="top" wrapText="1" indent="9"/>
    </xf>
    <xf numFmtId="0" fontId="0" fillId="0" borderId="5" xfId="0" applyBorder="1" applyAlignment="1">
      <alignment horizontal="right" vertical="top" wrapText="1"/>
    </xf>
    <xf numFmtId="0" fontId="0" fillId="0" borderId="5" xfId="0" applyBorder="1" applyAlignment="1">
      <alignment horizontal="right" vertical="top" wrapText="1" indent="1"/>
    </xf>
    <xf numFmtId="0" fontId="0" fillId="0" borderId="5" xfId="0" applyBorder="1" applyAlignment="1">
      <alignment horizontal="left" vertical="top" wrapText="1" indent="4"/>
    </xf>
    <xf numFmtId="0" fontId="0" fillId="0" borderId="0" xfId="0" applyAlignment="1">
      <alignment horizontal="left" wrapText="1" indent="7"/>
    </xf>
    <xf numFmtId="164" fontId="6" fillId="0" borderId="1" xfId="0" applyNumberFormat="1" applyFont="1" applyBorder="1" applyAlignment="1">
      <alignment horizontal="left" vertical="top" indent="8" shrinkToFit="1"/>
    </xf>
    <xf numFmtId="164" fontId="6" fillId="0" borderId="2" xfId="0" applyNumberFormat="1" applyFont="1" applyBorder="1" applyAlignment="1">
      <alignment horizontal="left" vertical="top" indent="8" shrinkToFit="1"/>
    </xf>
    <xf numFmtId="164" fontId="6" fillId="0" borderId="3" xfId="0" applyNumberFormat="1" applyFont="1" applyBorder="1" applyAlignment="1">
      <alignment horizontal="left" vertical="top" indent="8" shrinkToFit="1"/>
    </xf>
    <xf numFmtId="164" fontId="6" fillId="0" borderId="4" xfId="0" applyNumberFormat="1" applyFont="1" applyBorder="1" applyAlignment="1">
      <alignment horizontal="left" vertical="top" indent="8" shrinkToFit="1"/>
    </xf>
    <xf numFmtId="164" fontId="6" fillId="0" borderId="5" xfId="0" applyNumberFormat="1" applyFont="1" applyBorder="1" applyAlignment="1">
      <alignment horizontal="left" vertical="top" indent="8" shrinkToFit="1"/>
    </xf>
    <xf numFmtId="164" fontId="6" fillId="0" borderId="6" xfId="0" applyNumberFormat="1" applyFont="1" applyBorder="1" applyAlignment="1">
      <alignment horizontal="left" vertical="top" indent="8" shrinkToFit="1"/>
    </xf>
    <xf numFmtId="0" fontId="4" fillId="0" borderId="0" xfId="0" applyFont="1" applyAlignment="1">
      <alignment horizontal="left" vertical="top" wrapText="1" indent="7"/>
    </xf>
    <xf numFmtId="0" fontId="3" fillId="0" borderId="0" xfId="0" applyFont="1" applyAlignment="1">
      <alignment horizontal="left" vertical="top" wrapText="1" indent="3"/>
    </xf>
    <xf numFmtId="0" fontId="0" fillId="0" borderId="0" xfId="0" applyAlignment="1">
      <alignment horizontal="left" vertical="top" wrapText="1" indent="8"/>
    </xf>
    <xf numFmtId="0" fontId="3" fillId="0" borderId="0" xfId="0" applyFont="1" applyAlignment="1">
      <alignment horizontal="left" vertical="center" wrapText="1" indent="8"/>
    </xf>
    <xf numFmtId="0" fontId="0" fillId="0" borderId="0" xfId="0" applyAlignment="1">
      <alignment horizontal="left" wrapText="1" indent="29"/>
    </xf>
    <xf numFmtId="0" fontId="0" fillId="0" borderId="0" xfId="0" applyAlignment="1">
      <alignment horizontal="right" wrapText="1" indent="2"/>
    </xf>
    <xf numFmtId="0" fontId="4" fillId="0" borderId="0" xfId="0" applyFont="1" applyAlignment="1">
      <alignment horizontal="left" vertical="top" wrapText="1"/>
    </xf>
    <xf numFmtId="0" fontId="5" fillId="0" borderId="0" xfId="0" applyFont="1" applyAlignment="1">
      <alignment horizontal="left" vertical="top" wrapText="1" indent="7"/>
    </xf>
    <xf numFmtId="0" fontId="0" fillId="0" borderId="0" xfId="0" applyAlignment="1">
      <alignment horizontal="left" vertical="top" wrapText="1" indent="10"/>
    </xf>
    <xf numFmtId="0" fontId="0" fillId="0" borderId="0" xfId="0" applyAlignment="1">
      <alignment horizontal="left" vertical="center" wrapText="1" indent="26"/>
    </xf>
    <xf numFmtId="0" fontId="1" fillId="0" borderId="0" xfId="0" applyFont="1" applyAlignment="1">
      <alignment horizontal="left" vertical="top" wrapText="1" indent="8"/>
    </xf>
    <xf numFmtId="0" fontId="2" fillId="0" borderId="0" xfId="0" applyFont="1" applyAlignment="1">
      <alignment horizontal="left" vertical="center" wrapText="1" indent="8"/>
    </xf>
    <xf numFmtId="0" fontId="2" fillId="0" borderId="0" xfId="0" applyFont="1" applyAlignment="1">
      <alignment horizontal="right" vertical="top" wrapText="1"/>
    </xf>
    <xf numFmtId="0" fontId="0" fillId="0" borderId="0" xfId="0" applyAlignment="1">
      <alignment horizontal="right" vertical="top" wrapText="1" indent="2"/>
    </xf>
    <xf numFmtId="0" fontId="10" fillId="0" borderId="0" xfId="0" applyFont="1" applyBorder="1" applyAlignment="1">
      <alignment horizontal="left" vertical="top" wrapText="1"/>
    </xf>
    <xf numFmtId="1" fontId="14" fillId="0" borderId="0" xfId="0" applyNumberFormat="1" applyFont="1" applyBorder="1" applyAlignment="1">
      <alignment horizontal="left" vertical="top" shrinkToFit="1"/>
    </xf>
    <xf numFmtId="165" fontId="14" fillId="0" borderId="0" xfId="0" applyNumberFormat="1" applyFont="1" applyBorder="1" applyAlignment="1">
      <alignment horizontal="left" vertical="top" shrinkToFit="1"/>
    </xf>
    <xf numFmtId="0" fontId="0" fillId="0" borderId="0" xfId="0" applyBorder="1" applyAlignment="1">
      <alignment horizontal="left" vertical="center" wrapText="1"/>
    </xf>
    <xf numFmtId="2" fontId="14" fillId="0" borderId="0" xfId="0" applyNumberFormat="1" applyFont="1" applyBorder="1" applyAlignment="1">
      <alignment horizontal="left" vertical="top" shrinkToFit="1"/>
    </xf>
    <xf numFmtId="0" fontId="0" fillId="0" borderId="0" xfId="0" applyBorder="1" applyAlignment="1">
      <alignment horizontal="left" vertical="top"/>
    </xf>
    <xf numFmtId="0" fontId="14" fillId="0" borderId="0" xfId="0" applyFont="1" applyBorder="1" applyAlignment="1">
      <alignment horizontal="left" vertical="top" wrapText="1"/>
    </xf>
    <xf numFmtId="0" fontId="15" fillId="0" borderId="0" xfId="0" applyFont="1" applyBorder="1" applyAlignment="1">
      <alignment horizontal="left" vertical="top" wrapText="1"/>
    </xf>
    <xf numFmtId="0" fontId="0" fillId="0" borderId="0" xfId="0" applyBorder="1" applyAlignment="1">
      <alignment horizontal="left" wrapText="1"/>
    </xf>
    <xf numFmtId="0" fontId="0" fillId="0" borderId="0"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486648</xdr:colOff>
      <xdr:row>0</xdr:row>
      <xdr:rowOff>228600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0</xdr:colOff>
      <xdr:row>13</xdr:row>
      <xdr:rowOff>2033015</xdr:rowOff>
    </xdr:from>
    <xdr:ext cx="2862580" cy="317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133096</xdr:colOff>
      <xdr:row>0</xdr:row>
      <xdr:rowOff>0</xdr:rowOff>
    </xdr:from>
    <xdr:ext cx="6687820" cy="3175"/>
    <xdr:sp macro="" textlink="">
      <xdr:nvSpPr>
        <xdr:cNvPr id="3" name="Shape 3">
          <a:extLst>
            <a:ext uri="{FF2B5EF4-FFF2-40B4-BE49-F238E27FC236}">
              <a16:creationId xmlns:a16="http://schemas.microsoft.com/office/drawing/2014/main" id="{0EBB08C7-6800-44A4-845A-D8FEFD359CB3}"/>
            </a:ext>
          </a:extLst>
        </xdr:cNvPr>
        <xdr:cNvSpPr/>
      </xdr:nvSpPr>
      <xdr:spPr>
        <a:xfrm>
          <a:off x="790321" y="4144898"/>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2</xdr:col>
      <xdr:colOff>133095</xdr:colOff>
      <xdr:row>0</xdr:row>
      <xdr:rowOff>0</xdr:rowOff>
    </xdr:from>
    <xdr:ext cx="6687820" cy="3175"/>
    <xdr:sp macro="" textlink="">
      <xdr:nvSpPr>
        <xdr:cNvPr id="4" name="Shape 4">
          <a:extLst>
            <a:ext uri="{FF2B5EF4-FFF2-40B4-BE49-F238E27FC236}">
              <a16:creationId xmlns:a16="http://schemas.microsoft.com/office/drawing/2014/main" id="{D68FB152-FD84-460B-AF62-F7FD3FB3CF20}"/>
            </a:ext>
          </a:extLst>
        </xdr:cNvPr>
        <xdr:cNvSpPr/>
      </xdr:nvSpPr>
      <xdr:spPr>
        <a:xfrm>
          <a:off x="790320" y="4449698"/>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2</xdr:col>
      <xdr:colOff>75183</xdr:colOff>
      <xdr:row>0</xdr:row>
      <xdr:rowOff>0</xdr:rowOff>
    </xdr:from>
    <xdr:ext cx="6745605" cy="15240"/>
    <xdr:sp macro="" textlink="">
      <xdr:nvSpPr>
        <xdr:cNvPr id="5" name="Shape 5">
          <a:extLst>
            <a:ext uri="{FF2B5EF4-FFF2-40B4-BE49-F238E27FC236}">
              <a16:creationId xmlns:a16="http://schemas.microsoft.com/office/drawing/2014/main" id="{17E801BC-C2D5-4DDD-B9B7-406C859932B9}"/>
            </a:ext>
          </a:extLst>
        </xdr:cNvPr>
        <xdr:cNvSpPr/>
      </xdr:nvSpPr>
      <xdr:spPr>
        <a:xfrm>
          <a:off x="732408" y="1136903"/>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0</xdr:row>
      <xdr:rowOff>0</xdr:rowOff>
    </xdr:from>
    <xdr:ext cx="7592695" cy="0"/>
    <xdr:sp macro="" textlink="">
      <xdr:nvSpPr>
        <xdr:cNvPr id="6" name="Shape 6">
          <a:extLst>
            <a:ext uri="{FF2B5EF4-FFF2-40B4-BE49-F238E27FC236}">
              <a16:creationId xmlns:a16="http://schemas.microsoft.com/office/drawing/2014/main" id="{5332CE36-3C18-4E52-8B55-0CAE79865359}"/>
            </a:ext>
          </a:extLst>
        </xdr:cNvPr>
        <xdr:cNvSpPr/>
      </xdr:nvSpPr>
      <xdr:spPr>
        <a:xfrm>
          <a:off x="0" y="6936993"/>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0</xdr:colOff>
      <xdr:row>0</xdr:row>
      <xdr:rowOff>0</xdr:rowOff>
    </xdr:from>
    <xdr:ext cx="2862580" cy="3175"/>
    <xdr:sp macro="" textlink="">
      <xdr:nvSpPr>
        <xdr:cNvPr id="7" name="Shape 7">
          <a:extLst>
            <a:ext uri="{FF2B5EF4-FFF2-40B4-BE49-F238E27FC236}">
              <a16:creationId xmlns:a16="http://schemas.microsoft.com/office/drawing/2014/main" id="{92B7867D-95C3-461D-A020-363262F199BE}"/>
            </a:ext>
          </a:extLst>
        </xdr:cNvPr>
        <xdr:cNvSpPr/>
      </xdr:nvSpPr>
      <xdr:spPr>
        <a:xfrm>
          <a:off x="0" y="1135799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RL@CignaHealthcare.com" TargetMode="External"/><Relationship Id="rId2" Type="http://schemas.openxmlformats.org/officeDocument/2006/relationships/hyperlink" Target="mailto:ProducerCommissions@CignaHealthcare.com" TargetMode="External"/><Relationship Id="rId1" Type="http://schemas.openxmlformats.org/officeDocument/2006/relationships/hyperlink" Target="mailto:ProducerCommissions@CignaHealthcar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5"/>
  <sheetViews>
    <sheetView workbookViewId="0">
      <selection sqref="A1:XFD1048576"/>
    </sheetView>
  </sheetViews>
  <sheetFormatPr defaultRowHeight="12.75" x14ac:dyDescent="0.2"/>
  <cols>
    <col min="1" max="1" width="11.5" customWidth="1"/>
    <col min="2" max="2" width="9.33203125" customWidth="1"/>
    <col min="3" max="3" width="1.1640625" customWidth="1"/>
    <col min="4" max="4" width="3.33203125" customWidth="1"/>
    <col min="5" max="5" width="2.1640625" customWidth="1"/>
    <col min="6" max="6" width="11.5" customWidth="1"/>
    <col min="7" max="7" width="5.83203125" customWidth="1"/>
    <col min="8" max="10" width="2.1640625" customWidth="1"/>
    <col min="11" max="11" width="1.1640625" customWidth="1"/>
    <col min="12" max="12" width="4.6640625" customWidth="1"/>
    <col min="13" max="14" width="10.5" customWidth="1"/>
    <col min="15" max="15" width="9.33203125" customWidth="1"/>
    <col min="16" max="16" width="4.6640625" customWidth="1"/>
    <col min="17" max="17" width="5.83203125" customWidth="1"/>
    <col min="18" max="18" width="6.83203125" customWidth="1"/>
    <col min="19" max="19" width="1.1640625" customWidth="1"/>
    <col min="20" max="20" width="5.83203125" customWidth="1"/>
    <col min="21" max="22" width="1.1640625" customWidth="1"/>
    <col min="23" max="23" width="9.33203125" customWidth="1"/>
    <col min="24" max="24" width="8" customWidth="1"/>
    <col min="25" max="25" width="4.6640625" customWidth="1"/>
    <col min="26" max="26" width="3.33203125" customWidth="1"/>
    <col min="27" max="27" width="11.5" customWidth="1"/>
    <col min="28" max="28" width="10.5" customWidth="1"/>
    <col min="29" max="29" width="8" customWidth="1"/>
    <col min="30" max="30" width="5.83203125" customWidth="1"/>
    <col min="31" max="31" width="1.1640625" customWidth="1"/>
  </cols>
  <sheetData>
    <row r="1" spans="1:31" ht="256.5" customHeight="1" x14ac:dyDescent="0.2">
      <c r="A1" s="86" t="s">
        <v>0</v>
      </c>
      <c r="B1" s="86"/>
      <c r="C1" s="86"/>
      <c r="D1" s="86"/>
      <c r="E1" s="86"/>
      <c r="F1" s="86"/>
      <c r="G1" s="87" t="s">
        <v>1</v>
      </c>
      <c r="H1" s="87"/>
      <c r="I1" s="87"/>
      <c r="J1" s="87"/>
      <c r="K1" s="87"/>
      <c r="L1" s="87"/>
      <c r="M1" s="87"/>
      <c r="N1" s="87"/>
      <c r="O1" s="87"/>
      <c r="P1" s="87"/>
      <c r="Q1" s="87"/>
      <c r="R1" s="87"/>
      <c r="S1" s="87"/>
      <c r="T1" s="87"/>
      <c r="U1" s="87"/>
      <c r="V1" s="87"/>
      <c r="W1" s="87"/>
      <c r="X1" s="87"/>
      <c r="Y1" s="87"/>
      <c r="Z1" s="87"/>
    </row>
    <row r="2" spans="1:31" ht="35.450000000000003" customHeight="1" x14ac:dyDescent="0.2">
      <c r="A2" s="88" t="s">
        <v>2</v>
      </c>
      <c r="B2" s="88"/>
      <c r="C2" s="88"/>
      <c r="D2" s="88"/>
      <c r="E2" s="88"/>
      <c r="F2" s="88"/>
      <c r="G2" s="88"/>
      <c r="H2" s="88"/>
      <c r="I2" s="88"/>
      <c r="J2" s="88"/>
      <c r="K2" s="88"/>
      <c r="L2" s="88"/>
      <c r="M2" s="88"/>
      <c r="N2" s="88"/>
      <c r="O2" s="88"/>
      <c r="P2" s="25"/>
      <c r="Q2" s="25"/>
      <c r="R2" s="25"/>
      <c r="S2" s="25"/>
      <c r="T2" s="25"/>
      <c r="U2" s="1"/>
      <c r="V2" s="1"/>
      <c r="W2" s="25"/>
      <c r="X2" s="25"/>
      <c r="Y2" s="25"/>
      <c r="Z2" s="1"/>
    </row>
    <row r="3" spans="1:31" ht="29.1" customHeight="1" x14ac:dyDescent="0.2">
      <c r="A3" s="89" t="s">
        <v>3</v>
      </c>
      <c r="B3" s="89"/>
      <c r="C3" s="89"/>
      <c r="D3" s="89"/>
      <c r="E3" s="90" t="s">
        <v>4</v>
      </c>
      <c r="F3" s="90"/>
      <c r="G3" s="90"/>
      <c r="H3" s="90"/>
      <c r="I3" s="90"/>
      <c r="J3" s="90"/>
      <c r="K3" s="90"/>
      <c r="L3" s="90"/>
      <c r="M3" s="90"/>
      <c r="N3" s="90"/>
      <c r="O3" s="90"/>
      <c r="P3" s="90"/>
      <c r="Q3" s="90"/>
      <c r="R3" s="90"/>
      <c r="S3" s="90"/>
      <c r="T3" s="90"/>
      <c r="U3" s="91" t="s">
        <v>5</v>
      </c>
      <c r="V3" s="91"/>
      <c r="W3" s="91"/>
      <c r="X3" s="91"/>
      <c r="Y3" s="91"/>
      <c r="Z3" s="91"/>
    </row>
    <row r="4" spans="1:31" ht="42" customHeight="1" x14ac:dyDescent="0.2">
      <c r="A4" s="80" t="s">
        <v>6</v>
      </c>
      <c r="B4" s="80"/>
      <c r="C4" s="80"/>
      <c r="D4" s="80"/>
      <c r="E4" s="80"/>
      <c r="F4" s="80"/>
      <c r="G4" s="80"/>
      <c r="H4" s="80"/>
      <c r="I4" s="80"/>
      <c r="J4" s="80"/>
      <c r="K4" s="80"/>
      <c r="L4" s="80"/>
      <c r="M4" s="80"/>
      <c r="N4" s="80"/>
      <c r="O4" s="80"/>
      <c r="P4" s="80"/>
      <c r="Q4" s="80"/>
      <c r="R4" s="80"/>
      <c r="S4" s="80"/>
      <c r="T4" s="80"/>
      <c r="U4" s="80"/>
      <c r="V4" s="80"/>
      <c r="W4" s="80"/>
      <c r="X4" s="80"/>
      <c r="Y4" s="80"/>
      <c r="Z4" s="80"/>
    </row>
    <row r="5" spans="1:31" ht="89.1" customHeight="1" x14ac:dyDescent="0.2">
      <c r="A5" s="81" t="s">
        <v>7</v>
      </c>
      <c r="B5" s="81"/>
      <c r="C5" s="81"/>
      <c r="D5" s="81"/>
      <c r="E5" s="81"/>
      <c r="F5" s="81"/>
      <c r="G5" s="81"/>
      <c r="H5" s="81"/>
      <c r="I5" s="81"/>
      <c r="J5" s="81"/>
      <c r="K5" s="81"/>
      <c r="L5" s="81"/>
      <c r="M5" s="81"/>
      <c r="N5" s="81"/>
      <c r="O5" s="81"/>
      <c r="P5" s="81"/>
      <c r="Q5" s="81"/>
      <c r="R5" s="81"/>
      <c r="S5" s="81"/>
      <c r="T5" s="81"/>
      <c r="U5" s="81"/>
      <c r="V5" s="81"/>
      <c r="W5" s="81"/>
      <c r="X5" s="81"/>
      <c r="Y5" s="81"/>
      <c r="Z5" s="81"/>
    </row>
    <row r="6" spans="1:31" ht="90.75" customHeight="1" x14ac:dyDescent="0.2">
      <c r="A6" s="82" t="s">
        <v>8</v>
      </c>
      <c r="B6" s="82"/>
      <c r="C6" s="82"/>
      <c r="D6" s="82"/>
      <c r="E6" s="82"/>
      <c r="F6" s="82"/>
      <c r="G6" s="82"/>
      <c r="H6" s="82"/>
      <c r="I6" s="82"/>
      <c r="J6" s="82"/>
      <c r="K6" s="82"/>
      <c r="L6" s="82"/>
      <c r="M6" s="82"/>
      <c r="N6" s="82"/>
      <c r="O6" s="82"/>
      <c r="P6" s="82"/>
      <c r="Q6" s="82"/>
      <c r="R6" s="82"/>
      <c r="S6" s="82"/>
      <c r="T6" s="82"/>
      <c r="U6" s="82"/>
      <c r="V6" s="82"/>
      <c r="W6" s="82"/>
      <c r="X6" s="82"/>
      <c r="Y6" s="82"/>
      <c r="Z6" s="82"/>
    </row>
    <row r="7" spans="1:31" ht="39.6" customHeight="1" x14ac:dyDescent="0.2">
      <c r="A7" s="83" t="s">
        <v>9</v>
      </c>
      <c r="B7" s="83"/>
      <c r="C7" s="83"/>
      <c r="D7" s="83"/>
      <c r="E7" s="83"/>
      <c r="F7" s="83"/>
      <c r="G7" s="83"/>
      <c r="H7" s="83"/>
      <c r="I7" s="83"/>
      <c r="J7" s="83"/>
      <c r="K7" s="83"/>
      <c r="L7" s="83"/>
      <c r="M7" s="83"/>
      <c r="N7" s="83"/>
      <c r="O7" s="83"/>
      <c r="P7" s="83"/>
      <c r="Q7" s="83"/>
      <c r="R7" s="83"/>
      <c r="S7" s="83"/>
      <c r="T7" s="83"/>
      <c r="U7" s="83"/>
      <c r="V7" s="83"/>
      <c r="W7" s="83"/>
      <c r="X7" s="83"/>
      <c r="Y7" s="83"/>
      <c r="Z7" s="83"/>
    </row>
    <row r="8" spans="1:31" ht="15.95" customHeight="1" x14ac:dyDescent="0.2">
      <c r="A8" s="30"/>
      <c r="B8" s="30"/>
      <c r="C8" s="30"/>
      <c r="D8" s="30"/>
      <c r="E8" s="30"/>
      <c r="F8" s="30"/>
      <c r="G8" s="30"/>
      <c r="H8" s="30"/>
      <c r="I8" s="30"/>
      <c r="J8" s="30"/>
      <c r="K8" s="30"/>
      <c r="L8" s="30"/>
      <c r="M8" s="30"/>
      <c r="N8" s="30"/>
      <c r="O8" s="30"/>
      <c r="P8" s="30"/>
      <c r="Q8" s="30"/>
      <c r="R8" s="30"/>
      <c r="S8" s="84" t="s">
        <v>10</v>
      </c>
      <c r="T8" s="84"/>
      <c r="U8" s="84"/>
      <c r="V8" s="85" t="s">
        <v>11</v>
      </c>
      <c r="W8" s="85"/>
      <c r="X8" s="85"/>
      <c r="Y8" s="85"/>
      <c r="Z8" s="85"/>
    </row>
    <row r="9" spans="1:31" ht="35.450000000000003" customHeight="1" x14ac:dyDescent="0.2">
      <c r="A9" s="71" t="s">
        <v>12</v>
      </c>
      <c r="B9" s="71"/>
      <c r="C9" s="71"/>
      <c r="D9" s="71"/>
      <c r="E9" s="71"/>
      <c r="F9" s="71"/>
      <c r="G9" s="71"/>
      <c r="H9" s="71"/>
      <c r="I9" s="71"/>
      <c r="J9" s="71"/>
      <c r="K9" s="71"/>
      <c r="L9" s="25"/>
      <c r="M9" s="25"/>
      <c r="N9" s="25"/>
      <c r="O9" s="25"/>
      <c r="P9" s="25"/>
      <c r="Q9" s="25"/>
      <c r="R9" s="25"/>
      <c r="S9" s="25"/>
      <c r="T9" s="25"/>
      <c r="U9" s="1"/>
      <c r="V9" s="1"/>
      <c r="W9" s="25"/>
      <c r="X9" s="25"/>
      <c r="Y9" s="25"/>
      <c r="Z9" s="1"/>
    </row>
    <row r="10" spans="1:31" ht="5.25" customHeight="1" x14ac:dyDescent="0.2">
      <c r="A10" s="71"/>
      <c r="B10" s="71"/>
      <c r="C10" s="71"/>
      <c r="D10" s="71"/>
      <c r="E10" s="71"/>
      <c r="F10" s="71"/>
      <c r="G10" s="71"/>
      <c r="H10" s="71"/>
      <c r="I10" s="71"/>
      <c r="J10" s="71"/>
      <c r="K10" s="71"/>
      <c r="L10" s="30"/>
      <c r="M10" s="30"/>
      <c r="N10" s="30"/>
      <c r="O10" s="30"/>
      <c r="P10" s="30"/>
      <c r="Q10" s="30"/>
      <c r="R10" s="30"/>
      <c r="S10" s="30"/>
      <c r="T10" s="30"/>
      <c r="U10" s="2"/>
      <c r="V10" s="2"/>
      <c r="W10" s="72">
        <v>20.25</v>
      </c>
      <c r="X10" s="73"/>
      <c r="Y10" s="74"/>
      <c r="Z10" s="2"/>
    </row>
    <row r="11" spans="1:31" ht="20.100000000000001" customHeight="1" x14ac:dyDescent="0.2">
      <c r="A11" s="78" t="s">
        <v>13</v>
      </c>
      <c r="B11" s="78"/>
      <c r="C11" s="79" t="s">
        <v>14</v>
      </c>
      <c r="D11" s="79"/>
      <c r="E11" s="79"/>
      <c r="F11" s="79"/>
      <c r="G11" s="79"/>
      <c r="H11" s="79"/>
      <c r="I11" s="35"/>
      <c r="J11" s="35"/>
      <c r="K11" s="35"/>
      <c r="L11" s="35"/>
      <c r="M11" s="35"/>
      <c r="N11" s="35"/>
      <c r="O11" s="35"/>
      <c r="P11" s="35"/>
      <c r="Q11" s="35"/>
      <c r="R11" s="35"/>
      <c r="S11" s="35"/>
      <c r="T11" s="35"/>
      <c r="U11" s="3"/>
      <c r="V11" s="3"/>
      <c r="W11" s="75"/>
      <c r="X11" s="76"/>
      <c r="Y11" s="77"/>
      <c r="Z11" s="3"/>
    </row>
    <row r="12" spans="1:31" ht="20.45" customHeight="1" x14ac:dyDescent="0.2">
      <c r="A12" s="78"/>
      <c r="B12" s="78"/>
      <c r="C12" s="79"/>
      <c r="D12" s="79"/>
      <c r="E12" s="79"/>
      <c r="F12" s="79"/>
      <c r="G12" s="79"/>
      <c r="H12" s="79"/>
      <c r="I12" s="35"/>
      <c r="J12" s="35"/>
      <c r="K12" s="35"/>
      <c r="L12" s="35"/>
      <c r="M12" s="35"/>
      <c r="N12" s="35"/>
      <c r="O12" s="35"/>
      <c r="P12" s="35"/>
      <c r="Q12" s="35"/>
      <c r="R12" s="35"/>
      <c r="S12" s="35"/>
      <c r="T12" s="35"/>
      <c r="U12" s="3"/>
      <c r="V12" s="3"/>
      <c r="W12" s="35"/>
      <c r="X12" s="35"/>
      <c r="Y12" s="35"/>
      <c r="Z12" s="3"/>
    </row>
    <row r="13" spans="1:31" ht="57.75" customHeight="1" x14ac:dyDescent="0.2">
      <c r="A13" s="61" t="s">
        <v>15</v>
      </c>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31" ht="190.5" customHeight="1" x14ac:dyDescent="0.15">
      <c r="A14" s="62" t="s">
        <v>16</v>
      </c>
      <c r="B14" s="62"/>
      <c r="C14" s="62"/>
      <c r="D14" s="62"/>
      <c r="E14" s="62"/>
      <c r="F14" s="62"/>
      <c r="G14" s="62"/>
      <c r="H14" s="63" t="s">
        <v>17</v>
      </c>
      <c r="I14" s="63"/>
      <c r="J14" s="63"/>
      <c r="K14" s="64" t="s">
        <v>18</v>
      </c>
      <c r="L14" s="64"/>
      <c r="M14" s="64"/>
      <c r="N14" s="64"/>
      <c r="O14" s="64"/>
      <c r="P14" s="64"/>
      <c r="Q14" s="64"/>
      <c r="R14" s="64"/>
      <c r="S14" s="64"/>
      <c r="T14" s="64"/>
      <c r="U14" s="64"/>
      <c r="V14" s="64"/>
      <c r="W14" s="64"/>
      <c r="X14" s="64"/>
      <c r="Y14" s="64"/>
      <c r="Z14" s="64"/>
      <c r="AA14" s="64"/>
      <c r="AB14" s="64"/>
      <c r="AC14" s="64"/>
      <c r="AD14" s="64"/>
      <c r="AE14" s="64"/>
    </row>
    <row r="15" spans="1:31" ht="132.6" customHeight="1" x14ac:dyDescent="0.2">
      <c r="A15" s="25" t="s">
        <v>19</v>
      </c>
      <c r="B15" s="25"/>
      <c r="C15" s="25"/>
      <c r="D15" s="25"/>
      <c r="E15" s="25"/>
      <c r="F15" s="25"/>
      <c r="G15" s="25"/>
      <c r="H15" s="25"/>
      <c r="I15" s="25"/>
      <c r="J15" s="25"/>
      <c r="K15" s="65" t="s">
        <v>20</v>
      </c>
      <c r="L15" s="65"/>
      <c r="M15" s="65"/>
      <c r="N15" s="65"/>
      <c r="O15" s="65"/>
      <c r="P15" s="65"/>
      <c r="Q15" s="65"/>
      <c r="R15" s="65"/>
      <c r="S15" s="65"/>
      <c r="T15" s="65"/>
      <c r="U15" s="65"/>
      <c r="V15" s="65"/>
      <c r="W15" s="65"/>
      <c r="X15" s="65"/>
      <c r="Y15" s="65"/>
      <c r="Z15" s="65"/>
      <c r="AA15" s="65"/>
      <c r="AB15" s="65"/>
      <c r="AC15" s="65"/>
      <c r="AD15" s="65"/>
      <c r="AE15" s="65"/>
    </row>
    <row r="16" spans="1:31" ht="21" customHeight="1" x14ac:dyDescent="0.2">
      <c r="A16" s="38" t="s">
        <v>21</v>
      </c>
      <c r="B16" s="38"/>
      <c r="C16" s="38"/>
      <c r="D16" s="38"/>
      <c r="E16" s="38"/>
      <c r="F16" s="66" t="s">
        <v>22</v>
      </c>
      <c r="G16" s="66"/>
      <c r="H16" s="66"/>
      <c r="I16" s="66"/>
      <c r="J16" s="66"/>
      <c r="K16" s="66"/>
      <c r="L16" s="66"/>
      <c r="M16" s="66"/>
      <c r="N16" s="67" t="s">
        <v>23</v>
      </c>
      <c r="O16" s="67"/>
      <c r="P16" s="67"/>
      <c r="Q16" s="67"/>
      <c r="R16" s="68" t="s">
        <v>24</v>
      </c>
      <c r="S16" s="68"/>
      <c r="T16" s="69" t="s">
        <v>25</v>
      </c>
      <c r="U16" s="69"/>
      <c r="V16" s="69"/>
      <c r="W16" s="69"/>
      <c r="X16" s="5" t="s">
        <v>26</v>
      </c>
      <c r="Y16" s="70" t="s">
        <v>27</v>
      </c>
      <c r="Z16" s="70"/>
      <c r="AA16" s="70"/>
      <c r="AB16" s="70"/>
      <c r="AC16" s="70"/>
      <c r="AD16" s="70"/>
      <c r="AE16" s="3"/>
    </row>
    <row r="17" spans="1:31" ht="15.95" customHeight="1" x14ac:dyDescent="0.2">
      <c r="A17" s="51" t="s">
        <v>28</v>
      </c>
      <c r="B17" s="51"/>
      <c r="C17" s="51"/>
      <c r="D17" s="51"/>
      <c r="E17" s="51"/>
      <c r="F17" s="56"/>
      <c r="G17" s="56"/>
      <c r="H17" s="56"/>
      <c r="I17" s="56"/>
      <c r="J17" s="56"/>
      <c r="K17" s="56"/>
      <c r="L17" s="56"/>
      <c r="M17" s="56"/>
      <c r="N17" s="56"/>
      <c r="O17" s="56"/>
      <c r="P17" s="56"/>
      <c r="Q17" s="56"/>
      <c r="R17" s="56"/>
      <c r="S17" s="56"/>
      <c r="T17" s="56"/>
      <c r="U17" s="56"/>
      <c r="V17" s="56"/>
      <c r="W17" s="56"/>
      <c r="X17" s="6"/>
      <c r="Y17" s="57">
        <v>0</v>
      </c>
      <c r="Z17" s="57"/>
      <c r="AA17" s="57"/>
      <c r="AB17" s="57"/>
      <c r="AC17" s="57"/>
      <c r="AD17" s="57"/>
      <c r="AE17" s="2"/>
    </row>
    <row r="18" spans="1:31" ht="17.100000000000001" customHeight="1" x14ac:dyDescent="0.2">
      <c r="A18" s="58" t="s">
        <v>29</v>
      </c>
      <c r="B18" s="58"/>
      <c r="C18" s="58"/>
      <c r="D18" s="58"/>
      <c r="E18" s="58"/>
      <c r="F18" s="59" t="s">
        <v>30</v>
      </c>
      <c r="G18" s="59"/>
      <c r="H18" s="59"/>
      <c r="I18" s="59"/>
      <c r="J18" s="59"/>
      <c r="K18" s="59"/>
      <c r="L18" s="59"/>
      <c r="M18" s="59"/>
      <c r="N18" s="41"/>
      <c r="O18" s="41"/>
      <c r="P18" s="41"/>
      <c r="Q18" s="41"/>
      <c r="R18" s="58" t="s">
        <v>31</v>
      </c>
      <c r="S18" s="58"/>
      <c r="T18" s="41"/>
      <c r="U18" s="41"/>
      <c r="V18" s="41"/>
      <c r="W18" s="41"/>
      <c r="X18" s="7"/>
      <c r="Y18" s="60">
        <v>20.25</v>
      </c>
      <c r="Z18" s="60"/>
      <c r="AA18" s="60"/>
      <c r="AB18" s="60"/>
      <c r="AC18" s="60"/>
      <c r="AD18" s="60"/>
      <c r="AE18" s="3"/>
    </row>
    <row r="19" spans="1:31" ht="48.6" customHeight="1" x14ac:dyDescent="0.2">
      <c r="A19" s="51" t="s">
        <v>32</v>
      </c>
      <c r="B19" s="51"/>
      <c r="C19" s="51"/>
      <c r="D19" s="51"/>
      <c r="E19" s="51"/>
      <c r="F19" s="52"/>
      <c r="G19" s="52"/>
      <c r="H19" s="52"/>
      <c r="I19" s="52"/>
      <c r="J19" s="52"/>
      <c r="K19" s="52"/>
      <c r="L19" s="52"/>
      <c r="M19" s="52"/>
      <c r="N19" s="52"/>
      <c r="O19" s="52"/>
      <c r="P19" s="52"/>
      <c r="Q19" s="52"/>
      <c r="R19" s="52"/>
      <c r="S19" s="52"/>
      <c r="T19" s="52"/>
      <c r="U19" s="52"/>
      <c r="V19" s="52"/>
      <c r="W19" s="52"/>
      <c r="X19" s="8"/>
      <c r="Y19" s="53">
        <v>20.25</v>
      </c>
      <c r="Z19" s="53"/>
      <c r="AA19" s="53"/>
      <c r="AB19" s="53"/>
      <c r="AC19" s="53"/>
      <c r="AD19" s="53"/>
      <c r="AE19" s="1"/>
    </row>
    <row r="20" spans="1:31" ht="53.1" customHeight="1" x14ac:dyDescent="0.2">
      <c r="A20" s="25" t="s">
        <v>33</v>
      </c>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row>
    <row r="21" spans="1:31" ht="25.5" customHeight="1" x14ac:dyDescent="0.2">
      <c r="A21" s="25" t="s">
        <v>34</v>
      </c>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row>
    <row r="22" spans="1:31" ht="27" customHeight="1" x14ac:dyDescent="0.2">
      <c r="A22" s="54" t="s">
        <v>35</v>
      </c>
      <c r="B22" s="54"/>
      <c r="C22" s="54"/>
      <c r="D22" s="54"/>
      <c r="E22" s="54"/>
      <c r="F22" s="54"/>
      <c r="G22" s="54"/>
      <c r="H22" s="54"/>
      <c r="I22" s="54"/>
      <c r="J22" s="35"/>
      <c r="K22" s="35"/>
      <c r="L22" s="35"/>
      <c r="M22" s="3"/>
      <c r="N22" s="3"/>
      <c r="O22" s="35"/>
      <c r="P22" s="35"/>
      <c r="Q22" s="35"/>
      <c r="R22" s="35"/>
      <c r="S22" s="35"/>
      <c r="T22" s="35"/>
      <c r="U22" s="35"/>
      <c r="V22" s="35"/>
      <c r="W22" s="35"/>
      <c r="X22" s="35"/>
      <c r="Y22" s="25" t="s">
        <v>36</v>
      </c>
      <c r="Z22" s="25"/>
      <c r="AA22" s="25"/>
      <c r="AB22" s="25"/>
      <c r="AC22" s="25"/>
    </row>
    <row r="23" spans="1:31" ht="27.95" customHeight="1" x14ac:dyDescent="0.2">
      <c r="A23" s="55" t="s">
        <v>37</v>
      </c>
      <c r="B23" s="55"/>
      <c r="C23" s="55"/>
      <c r="D23" s="25"/>
      <c r="E23" s="25"/>
      <c r="F23" s="25"/>
      <c r="G23" s="25"/>
      <c r="H23" s="25"/>
      <c r="I23" s="25"/>
      <c r="J23" s="25"/>
      <c r="K23" s="25"/>
      <c r="L23" s="25"/>
      <c r="M23" s="1"/>
      <c r="N23" s="1"/>
      <c r="O23" s="25"/>
      <c r="P23" s="25"/>
      <c r="Q23" s="25"/>
      <c r="R23" s="25"/>
      <c r="S23" s="25"/>
      <c r="T23" s="25"/>
      <c r="U23" s="25"/>
      <c r="V23" s="25"/>
      <c r="W23" s="25"/>
      <c r="X23" s="25"/>
      <c r="Y23" s="25"/>
      <c r="Z23" s="25"/>
      <c r="AA23" s="25"/>
      <c r="AB23" s="25"/>
      <c r="AC23" s="25"/>
    </row>
    <row r="24" spans="1:31" ht="17.100000000000001" customHeight="1" x14ac:dyDescent="0.2">
      <c r="A24" s="9" t="s">
        <v>38</v>
      </c>
      <c r="B24" s="32" t="s">
        <v>39</v>
      </c>
      <c r="C24" s="32"/>
      <c r="D24" s="35"/>
      <c r="E24" s="35"/>
      <c r="F24" s="35"/>
      <c r="G24" s="35"/>
      <c r="H24" s="35"/>
      <c r="I24" s="35"/>
      <c r="J24" s="33" t="s">
        <v>40</v>
      </c>
      <c r="K24" s="33"/>
      <c r="L24" s="33"/>
      <c r="M24" s="3"/>
      <c r="N24" s="3"/>
      <c r="O24" s="35"/>
      <c r="P24" s="35"/>
      <c r="Q24" s="35"/>
      <c r="R24" s="35"/>
      <c r="S24" s="35"/>
      <c r="T24" s="35"/>
      <c r="U24" s="35"/>
      <c r="V24" s="35"/>
      <c r="W24" s="35"/>
      <c r="X24" s="35"/>
      <c r="Y24" s="48" t="s">
        <v>41</v>
      </c>
      <c r="Z24" s="48"/>
      <c r="AA24" s="48"/>
      <c r="AB24" s="3"/>
      <c r="AC24" s="10" t="s">
        <v>42</v>
      </c>
    </row>
    <row r="25" spans="1:31" ht="12" customHeight="1" x14ac:dyDescent="0.2">
      <c r="A25" s="4" t="s">
        <v>43</v>
      </c>
      <c r="B25" s="38" t="s">
        <v>44</v>
      </c>
      <c r="C25" s="38"/>
      <c r="D25" s="38" t="s">
        <v>45</v>
      </c>
      <c r="E25" s="38"/>
      <c r="F25" s="38"/>
      <c r="G25" s="38"/>
      <c r="H25" s="38"/>
      <c r="I25" s="38"/>
      <c r="J25" s="39" t="s">
        <v>46</v>
      </c>
      <c r="K25" s="39"/>
      <c r="L25" s="39"/>
      <c r="M25" s="4" t="s">
        <v>47</v>
      </c>
      <c r="N25" s="11" t="s">
        <v>48</v>
      </c>
      <c r="O25" s="49" t="s">
        <v>49</v>
      </c>
      <c r="P25" s="49"/>
      <c r="Q25" s="38" t="s">
        <v>50</v>
      </c>
      <c r="R25" s="38"/>
      <c r="S25" s="38"/>
      <c r="T25" s="38" t="s">
        <v>51</v>
      </c>
      <c r="U25" s="38"/>
      <c r="V25" s="38"/>
      <c r="W25" s="38"/>
      <c r="X25" s="38"/>
      <c r="Y25" s="50" t="s">
        <v>52</v>
      </c>
      <c r="Z25" s="50"/>
      <c r="AA25" s="50"/>
      <c r="AB25" s="12" t="s">
        <v>42</v>
      </c>
      <c r="AC25" s="13" t="s">
        <v>53</v>
      </c>
    </row>
    <row r="26" spans="1:31" ht="15.95" customHeight="1" x14ac:dyDescent="0.2">
      <c r="A26" s="14" t="s">
        <v>54</v>
      </c>
      <c r="B26" s="44">
        <v>20301762901</v>
      </c>
      <c r="C26" s="44"/>
      <c r="D26" s="27" t="s">
        <v>55</v>
      </c>
      <c r="E26" s="27"/>
      <c r="F26" s="27"/>
      <c r="G26" s="27"/>
      <c r="H26" s="27"/>
      <c r="I26" s="27"/>
      <c r="J26" s="45" t="s">
        <v>56</v>
      </c>
      <c r="K26" s="45"/>
      <c r="L26" s="45"/>
      <c r="M26" s="15">
        <v>45821</v>
      </c>
      <c r="N26" s="16" t="s">
        <v>57</v>
      </c>
      <c r="O26" s="46">
        <v>45839</v>
      </c>
      <c r="P26" s="46"/>
      <c r="Q26" s="28"/>
      <c r="R26" s="28"/>
      <c r="S26" s="28"/>
      <c r="T26" s="27" t="s">
        <v>58</v>
      </c>
      <c r="U26" s="27"/>
      <c r="V26" s="27"/>
      <c r="W26" s="27"/>
      <c r="X26" s="27"/>
      <c r="Y26" s="47">
        <v>12</v>
      </c>
      <c r="Z26" s="47"/>
      <c r="AA26" s="47"/>
      <c r="AB26" s="18">
        <v>6</v>
      </c>
      <c r="AC26" s="19" t="s">
        <v>59</v>
      </c>
    </row>
    <row r="27" spans="1:31" ht="15.95" customHeight="1" x14ac:dyDescent="0.2">
      <c r="A27" s="9" t="s">
        <v>54</v>
      </c>
      <c r="B27" s="31">
        <v>20301762901</v>
      </c>
      <c r="C27" s="31"/>
      <c r="D27" s="32" t="s">
        <v>55</v>
      </c>
      <c r="E27" s="32"/>
      <c r="F27" s="32"/>
      <c r="G27" s="32"/>
      <c r="H27" s="32"/>
      <c r="I27" s="32"/>
      <c r="J27" s="33" t="s">
        <v>56</v>
      </c>
      <c r="K27" s="33"/>
      <c r="L27" s="33"/>
      <c r="M27" s="20">
        <v>45821</v>
      </c>
      <c r="N27" s="21" t="s">
        <v>57</v>
      </c>
      <c r="O27" s="34">
        <v>45839</v>
      </c>
      <c r="P27" s="34"/>
      <c r="Q27" s="35"/>
      <c r="R27" s="35"/>
      <c r="S27" s="35"/>
      <c r="T27" s="32" t="s">
        <v>58</v>
      </c>
      <c r="U27" s="32"/>
      <c r="V27" s="32"/>
      <c r="W27" s="32"/>
      <c r="X27" s="32"/>
      <c r="Y27" s="36">
        <v>2</v>
      </c>
      <c r="Z27" s="36"/>
      <c r="AA27" s="36"/>
      <c r="AB27" s="22">
        <v>2</v>
      </c>
      <c r="AC27" s="10" t="s">
        <v>60</v>
      </c>
    </row>
    <row r="28" spans="1:31" ht="15.95" customHeight="1" x14ac:dyDescent="0.2">
      <c r="A28" s="9" t="s">
        <v>61</v>
      </c>
      <c r="B28" s="31">
        <v>20299585801</v>
      </c>
      <c r="C28" s="31"/>
      <c r="D28" s="32" t="s">
        <v>62</v>
      </c>
      <c r="E28" s="32"/>
      <c r="F28" s="32"/>
      <c r="G28" s="32"/>
      <c r="H28" s="32"/>
      <c r="I28" s="32"/>
      <c r="J28" s="33" t="s">
        <v>56</v>
      </c>
      <c r="K28" s="33"/>
      <c r="L28" s="33"/>
      <c r="M28" s="20">
        <v>45819</v>
      </c>
      <c r="N28" s="21" t="s">
        <v>63</v>
      </c>
      <c r="O28" s="34">
        <v>45870</v>
      </c>
      <c r="P28" s="34"/>
      <c r="Q28" s="35"/>
      <c r="R28" s="35"/>
      <c r="S28" s="35"/>
      <c r="T28" s="32" t="s">
        <v>58</v>
      </c>
      <c r="U28" s="32"/>
      <c r="V28" s="32"/>
      <c r="W28" s="32"/>
      <c r="X28" s="32"/>
      <c r="Y28" s="36">
        <v>2</v>
      </c>
      <c r="Z28" s="36"/>
      <c r="AA28" s="36"/>
      <c r="AB28" s="22">
        <v>2</v>
      </c>
      <c r="AC28" s="10" t="s">
        <v>60</v>
      </c>
    </row>
    <row r="29" spans="1:31" ht="17.100000000000001" customHeight="1" x14ac:dyDescent="0.2">
      <c r="A29" s="9" t="s">
        <v>64</v>
      </c>
      <c r="B29" s="31">
        <v>20305063801</v>
      </c>
      <c r="C29" s="31"/>
      <c r="D29" s="32" t="s">
        <v>65</v>
      </c>
      <c r="E29" s="32"/>
      <c r="F29" s="32"/>
      <c r="G29" s="32"/>
      <c r="H29" s="32"/>
      <c r="I29" s="32"/>
      <c r="J29" s="33" t="s">
        <v>56</v>
      </c>
      <c r="K29" s="33"/>
      <c r="L29" s="33"/>
      <c r="M29" s="20">
        <v>45824</v>
      </c>
      <c r="N29" s="21" t="s">
        <v>63</v>
      </c>
      <c r="O29" s="34">
        <v>45901</v>
      </c>
      <c r="P29" s="34"/>
      <c r="Q29" s="35"/>
      <c r="R29" s="35"/>
      <c r="S29" s="35"/>
      <c r="T29" s="32" t="s">
        <v>58</v>
      </c>
      <c r="U29" s="32"/>
      <c r="V29" s="32"/>
      <c r="W29" s="32"/>
      <c r="X29" s="32"/>
      <c r="Y29" s="36">
        <v>2</v>
      </c>
      <c r="Z29" s="36"/>
      <c r="AA29" s="36"/>
      <c r="AB29" s="22">
        <v>2</v>
      </c>
      <c r="AC29" s="10" t="s">
        <v>60</v>
      </c>
    </row>
    <row r="30" spans="1:31" ht="15.95" customHeight="1" x14ac:dyDescent="0.2">
      <c r="A30" s="9" t="s">
        <v>66</v>
      </c>
      <c r="B30" s="31">
        <v>20306475301</v>
      </c>
      <c r="C30" s="31"/>
      <c r="D30" s="32" t="s">
        <v>67</v>
      </c>
      <c r="E30" s="32"/>
      <c r="F30" s="32"/>
      <c r="G30" s="32"/>
      <c r="H30" s="32"/>
      <c r="I30" s="32"/>
      <c r="J30" s="33" t="s">
        <v>56</v>
      </c>
      <c r="K30" s="33"/>
      <c r="L30" s="33"/>
      <c r="M30" s="20">
        <v>45825</v>
      </c>
      <c r="N30" s="21" t="s">
        <v>63</v>
      </c>
      <c r="O30" s="34">
        <v>45839</v>
      </c>
      <c r="P30" s="34"/>
      <c r="Q30" s="35"/>
      <c r="R30" s="35"/>
      <c r="S30" s="35"/>
      <c r="T30" s="32" t="s">
        <v>58</v>
      </c>
      <c r="U30" s="32"/>
      <c r="V30" s="32"/>
      <c r="W30" s="32"/>
      <c r="X30" s="32"/>
      <c r="Y30" s="36">
        <v>2</v>
      </c>
      <c r="Z30" s="36"/>
      <c r="AA30" s="36"/>
      <c r="AB30" s="22">
        <v>2</v>
      </c>
      <c r="AC30" s="10" t="s">
        <v>60</v>
      </c>
    </row>
    <row r="31" spans="1:31" ht="15.95" customHeight="1" x14ac:dyDescent="0.2">
      <c r="A31" s="9" t="s">
        <v>68</v>
      </c>
      <c r="B31" s="31">
        <v>20299582501</v>
      </c>
      <c r="C31" s="31"/>
      <c r="D31" s="32" t="s">
        <v>69</v>
      </c>
      <c r="E31" s="32"/>
      <c r="F31" s="32"/>
      <c r="G31" s="32"/>
      <c r="H31" s="32"/>
      <c r="I31" s="32"/>
      <c r="J31" s="33" t="s">
        <v>56</v>
      </c>
      <c r="K31" s="33"/>
      <c r="L31" s="33"/>
      <c r="M31" s="20">
        <v>45819</v>
      </c>
      <c r="N31" s="21" t="s">
        <v>63</v>
      </c>
      <c r="O31" s="34">
        <v>45870</v>
      </c>
      <c r="P31" s="34"/>
      <c r="Q31" s="35"/>
      <c r="R31" s="35"/>
      <c r="S31" s="35"/>
      <c r="T31" s="32" t="s">
        <v>58</v>
      </c>
      <c r="U31" s="32"/>
      <c r="V31" s="32"/>
      <c r="W31" s="32"/>
      <c r="X31" s="32"/>
      <c r="Y31" s="36">
        <v>2</v>
      </c>
      <c r="Z31" s="36"/>
      <c r="AA31" s="36"/>
      <c r="AB31" s="22">
        <v>2</v>
      </c>
      <c r="AC31" s="10" t="s">
        <v>60</v>
      </c>
    </row>
    <row r="32" spans="1:31" ht="15.95" customHeight="1" x14ac:dyDescent="0.2">
      <c r="A32" s="9" t="s">
        <v>70</v>
      </c>
      <c r="B32" s="31">
        <v>20296954901</v>
      </c>
      <c r="C32" s="31"/>
      <c r="D32" s="32" t="s">
        <v>71</v>
      </c>
      <c r="E32" s="32"/>
      <c r="F32" s="32"/>
      <c r="G32" s="32"/>
      <c r="H32" s="32"/>
      <c r="I32" s="32"/>
      <c r="J32" s="33" t="s">
        <v>56</v>
      </c>
      <c r="K32" s="33"/>
      <c r="L32" s="33"/>
      <c r="M32" s="20">
        <v>45817</v>
      </c>
      <c r="N32" s="21" t="s">
        <v>63</v>
      </c>
      <c r="O32" s="34">
        <v>45839</v>
      </c>
      <c r="P32" s="34"/>
      <c r="Q32" s="35"/>
      <c r="R32" s="35"/>
      <c r="S32" s="35"/>
      <c r="T32" s="32" t="s">
        <v>58</v>
      </c>
      <c r="U32" s="32"/>
      <c r="V32" s="32"/>
      <c r="W32" s="32"/>
      <c r="X32" s="32"/>
      <c r="Y32" s="36">
        <v>2</v>
      </c>
      <c r="Z32" s="36"/>
      <c r="AA32" s="36"/>
      <c r="AB32" s="22">
        <v>2</v>
      </c>
      <c r="AC32" s="10" t="s">
        <v>60</v>
      </c>
    </row>
    <row r="33" spans="1:29" ht="15.95" customHeight="1" x14ac:dyDescent="0.2">
      <c r="A33" s="9" t="s">
        <v>72</v>
      </c>
      <c r="B33" s="31">
        <v>20301740501</v>
      </c>
      <c r="C33" s="31"/>
      <c r="D33" s="32" t="s">
        <v>73</v>
      </c>
      <c r="E33" s="32"/>
      <c r="F33" s="32"/>
      <c r="G33" s="32"/>
      <c r="H33" s="32"/>
      <c r="I33" s="32"/>
      <c r="J33" s="33" t="s">
        <v>74</v>
      </c>
      <c r="K33" s="33"/>
      <c r="L33" s="33"/>
      <c r="M33" s="20">
        <v>45821</v>
      </c>
      <c r="N33" s="21" t="s">
        <v>75</v>
      </c>
      <c r="O33" s="34">
        <v>45839</v>
      </c>
      <c r="P33" s="34"/>
      <c r="Q33" s="35"/>
      <c r="R33" s="35"/>
      <c r="S33" s="35"/>
      <c r="T33" s="32" t="s">
        <v>58</v>
      </c>
      <c r="U33" s="32"/>
      <c r="V33" s="32"/>
      <c r="W33" s="32"/>
      <c r="X33" s="32"/>
      <c r="Y33" s="36">
        <v>2</v>
      </c>
      <c r="Z33" s="36"/>
      <c r="AA33" s="36"/>
      <c r="AB33" s="22">
        <v>2</v>
      </c>
      <c r="AC33" s="10" t="s">
        <v>60</v>
      </c>
    </row>
    <row r="34" spans="1:29" ht="15.95" customHeight="1" x14ac:dyDescent="0.2">
      <c r="A34" s="9" t="s">
        <v>72</v>
      </c>
      <c r="B34" s="31">
        <v>20301740501</v>
      </c>
      <c r="C34" s="31"/>
      <c r="D34" s="32" t="s">
        <v>73</v>
      </c>
      <c r="E34" s="32"/>
      <c r="F34" s="32"/>
      <c r="G34" s="32"/>
      <c r="H34" s="32"/>
      <c r="I34" s="32"/>
      <c r="J34" s="33" t="s">
        <v>74</v>
      </c>
      <c r="K34" s="33"/>
      <c r="L34" s="33"/>
      <c r="M34" s="20">
        <v>45821</v>
      </c>
      <c r="N34" s="21" t="s">
        <v>75</v>
      </c>
      <c r="O34" s="34">
        <v>45839</v>
      </c>
      <c r="P34" s="34"/>
      <c r="Q34" s="35"/>
      <c r="R34" s="35"/>
      <c r="S34" s="35"/>
      <c r="T34" s="32" t="s">
        <v>58</v>
      </c>
      <c r="U34" s="32"/>
      <c r="V34" s="32"/>
      <c r="W34" s="32"/>
      <c r="X34" s="32"/>
      <c r="Y34" s="36">
        <v>12</v>
      </c>
      <c r="Z34" s="36"/>
      <c r="AA34" s="36"/>
      <c r="AB34" s="22">
        <v>6</v>
      </c>
      <c r="AC34" s="10" t="s">
        <v>59</v>
      </c>
    </row>
    <row r="35" spans="1:29" ht="15.95" customHeight="1" x14ac:dyDescent="0.2">
      <c r="A35" s="9" t="s">
        <v>76</v>
      </c>
      <c r="B35" s="31">
        <v>19838931401</v>
      </c>
      <c r="C35" s="31"/>
      <c r="D35" s="32" t="s">
        <v>77</v>
      </c>
      <c r="E35" s="32"/>
      <c r="F35" s="32"/>
      <c r="G35" s="32"/>
      <c r="H35" s="32"/>
      <c r="I35" s="32"/>
      <c r="J35" s="33" t="s">
        <v>78</v>
      </c>
      <c r="K35" s="33"/>
      <c r="L35" s="33"/>
      <c r="M35" s="20">
        <v>45617</v>
      </c>
      <c r="N35" s="21" t="s">
        <v>79</v>
      </c>
      <c r="O35" s="34">
        <v>45658</v>
      </c>
      <c r="P35" s="34"/>
      <c r="Q35" s="43">
        <v>45808</v>
      </c>
      <c r="R35" s="43"/>
      <c r="S35" s="43"/>
      <c r="T35" s="32" t="s">
        <v>80</v>
      </c>
      <c r="U35" s="32"/>
      <c r="V35" s="32"/>
      <c r="W35" s="32"/>
      <c r="X35" s="32"/>
      <c r="Y35" s="36">
        <v>2</v>
      </c>
      <c r="Z35" s="36"/>
      <c r="AA35" s="36"/>
      <c r="AB35" s="22">
        <v>-1.17</v>
      </c>
      <c r="AC35" s="10" t="s">
        <v>60</v>
      </c>
    </row>
    <row r="36" spans="1:29" ht="15.95" customHeight="1" x14ac:dyDescent="0.2">
      <c r="A36" s="9" t="s">
        <v>76</v>
      </c>
      <c r="B36" s="31">
        <v>19838931401</v>
      </c>
      <c r="C36" s="31"/>
      <c r="D36" s="32" t="s">
        <v>77</v>
      </c>
      <c r="E36" s="32"/>
      <c r="F36" s="32"/>
      <c r="G36" s="32"/>
      <c r="H36" s="32"/>
      <c r="I36" s="32"/>
      <c r="J36" s="33" t="s">
        <v>78</v>
      </c>
      <c r="K36" s="33"/>
      <c r="L36" s="33"/>
      <c r="M36" s="20">
        <v>45617</v>
      </c>
      <c r="N36" s="21" t="s">
        <v>79</v>
      </c>
      <c r="O36" s="34">
        <v>45658</v>
      </c>
      <c r="P36" s="34"/>
      <c r="Q36" s="43">
        <v>45808</v>
      </c>
      <c r="R36" s="43"/>
      <c r="S36" s="43"/>
      <c r="T36" s="32" t="s">
        <v>80</v>
      </c>
      <c r="U36" s="32"/>
      <c r="V36" s="32"/>
      <c r="W36" s="32"/>
      <c r="X36" s="32"/>
      <c r="Y36" s="36">
        <v>1</v>
      </c>
      <c r="Z36" s="36"/>
      <c r="AA36" s="36"/>
      <c r="AB36" s="22">
        <v>-0.57999999999999996</v>
      </c>
      <c r="AC36" s="10" t="s">
        <v>60</v>
      </c>
    </row>
    <row r="37" spans="1:29" ht="15.95" customHeight="1" x14ac:dyDescent="0.2">
      <c r="A37" s="9" t="s">
        <v>76</v>
      </c>
      <c r="B37" s="31">
        <v>19838931401</v>
      </c>
      <c r="C37" s="31"/>
      <c r="D37" s="32" t="s">
        <v>77</v>
      </c>
      <c r="E37" s="32"/>
      <c r="F37" s="32"/>
      <c r="G37" s="32"/>
      <c r="H37" s="32"/>
      <c r="I37" s="32"/>
      <c r="J37" s="33" t="s">
        <v>78</v>
      </c>
      <c r="K37" s="33"/>
      <c r="L37" s="33"/>
      <c r="M37" s="20">
        <v>45617</v>
      </c>
      <c r="N37" s="21" t="s">
        <v>79</v>
      </c>
      <c r="O37" s="34">
        <v>45658</v>
      </c>
      <c r="P37" s="34"/>
      <c r="Q37" s="43">
        <v>45808</v>
      </c>
      <c r="R37" s="43"/>
      <c r="S37" s="43"/>
      <c r="T37" s="32" t="s">
        <v>80</v>
      </c>
      <c r="U37" s="32"/>
      <c r="V37" s="32"/>
      <c r="W37" s="32"/>
      <c r="X37" s="32"/>
      <c r="Y37" s="36">
        <v>12</v>
      </c>
      <c r="Z37" s="36"/>
      <c r="AA37" s="36"/>
      <c r="AB37" s="22">
        <v>-7</v>
      </c>
      <c r="AC37" s="10" t="s">
        <v>59</v>
      </c>
    </row>
    <row r="38" spans="1:29" ht="15.95" customHeight="1" x14ac:dyDescent="0.2">
      <c r="A38" s="9" t="s">
        <v>76</v>
      </c>
      <c r="B38" s="31">
        <v>19838931401</v>
      </c>
      <c r="C38" s="31"/>
      <c r="D38" s="32" t="s">
        <v>77</v>
      </c>
      <c r="E38" s="32"/>
      <c r="F38" s="32"/>
      <c r="G38" s="32"/>
      <c r="H38" s="32"/>
      <c r="I38" s="32"/>
      <c r="J38" s="33" t="s">
        <v>78</v>
      </c>
      <c r="K38" s="33"/>
      <c r="L38" s="33"/>
      <c r="M38" s="20">
        <v>45617</v>
      </c>
      <c r="N38" s="21" t="s">
        <v>79</v>
      </c>
      <c r="O38" s="34">
        <v>45658</v>
      </c>
      <c r="P38" s="34"/>
      <c r="Q38" s="43">
        <v>45808</v>
      </c>
      <c r="R38" s="43"/>
      <c r="S38" s="43"/>
      <c r="T38" s="32" t="s">
        <v>80</v>
      </c>
      <c r="U38" s="32"/>
      <c r="V38" s="32"/>
      <c r="W38" s="32"/>
      <c r="X38" s="32"/>
      <c r="Y38" s="36">
        <v>12</v>
      </c>
      <c r="Z38" s="36"/>
      <c r="AA38" s="36"/>
      <c r="AB38" s="22">
        <v>-7</v>
      </c>
      <c r="AC38" s="10" t="s">
        <v>59</v>
      </c>
    </row>
    <row r="39" spans="1:29" ht="15.95" customHeight="1" x14ac:dyDescent="0.2">
      <c r="A39" s="9" t="s">
        <v>81</v>
      </c>
      <c r="B39" s="31">
        <v>20302194401</v>
      </c>
      <c r="C39" s="31"/>
      <c r="D39" s="32" t="s">
        <v>82</v>
      </c>
      <c r="E39" s="32"/>
      <c r="F39" s="32"/>
      <c r="G39" s="32"/>
      <c r="H39" s="32"/>
      <c r="I39" s="32"/>
      <c r="J39" s="33" t="s">
        <v>83</v>
      </c>
      <c r="K39" s="33"/>
      <c r="L39" s="33"/>
      <c r="M39" s="20">
        <v>45821</v>
      </c>
      <c r="N39" s="21" t="s">
        <v>79</v>
      </c>
      <c r="O39" s="34">
        <v>45839</v>
      </c>
      <c r="P39" s="34"/>
      <c r="Q39" s="35"/>
      <c r="R39" s="35"/>
      <c r="S39" s="35"/>
      <c r="T39" s="32" t="s">
        <v>58</v>
      </c>
      <c r="U39" s="32"/>
      <c r="V39" s="32"/>
      <c r="W39" s="32"/>
      <c r="X39" s="32"/>
      <c r="Y39" s="36">
        <v>2</v>
      </c>
      <c r="Z39" s="36"/>
      <c r="AA39" s="36"/>
      <c r="AB39" s="22">
        <v>2</v>
      </c>
      <c r="AC39" s="10" t="s">
        <v>60</v>
      </c>
    </row>
    <row r="40" spans="1:29" ht="15.95" customHeight="1" x14ac:dyDescent="0.2">
      <c r="A40" s="9" t="s">
        <v>81</v>
      </c>
      <c r="B40" s="31">
        <v>20302194401</v>
      </c>
      <c r="C40" s="31"/>
      <c r="D40" s="32" t="s">
        <v>82</v>
      </c>
      <c r="E40" s="32"/>
      <c r="F40" s="32"/>
      <c r="G40" s="32"/>
      <c r="H40" s="32"/>
      <c r="I40" s="32"/>
      <c r="J40" s="33" t="s">
        <v>83</v>
      </c>
      <c r="K40" s="33"/>
      <c r="L40" s="33"/>
      <c r="M40" s="20">
        <v>45821</v>
      </c>
      <c r="N40" s="21" t="s">
        <v>79</v>
      </c>
      <c r="O40" s="34">
        <v>45839</v>
      </c>
      <c r="P40" s="34"/>
      <c r="Q40" s="35"/>
      <c r="R40" s="35"/>
      <c r="S40" s="35"/>
      <c r="T40" s="32" t="s">
        <v>58</v>
      </c>
      <c r="U40" s="32"/>
      <c r="V40" s="32"/>
      <c r="W40" s="32"/>
      <c r="X40" s="32"/>
      <c r="Y40" s="36">
        <v>12</v>
      </c>
      <c r="Z40" s="36"/>
      <c r="AA40" s="36"/>
      <c r="AB40" s="22">
        <v>6</v>
      </c>
      <c r="AC40" s="10" t="s">
        <v>59</v>
      </c>
    </row>
    <row r="41" spans="1:29" ht="15.95" customHeight="1" x14ac:dyDescent="0.2">
      <c r="A41" s="4" t="s">
        <v>84</v>
      </c>
      <c r="B41" s="37">
        <v>20294665301</v>
      </c>
      <c r="C41" s="37"/>
      <c r="D41" s="38" t="s">
        <v>85</v>
      </c>
      <c r="E41" s="38"/>
      <c r="F41" s="38"/>
      <c r="G41" s="38"/>
      <c r="H41" s="38"/>
      <c r="I41" s="38"/>
      <c r="J41" s="39" t="s">
        <v>56</v>
      </c>
      <c r="K41" s="39"/>
      <c r="L41" s="39"/>
      <c r="M41" s="23">
        <v>45813</v>
      </c>
      <c r="N41" s="11" t="s">
        <v>63</v>
      </c>
      <c r="O41" s="40">
        <v>45870</v>
      </c>
      <c r="P41" s="40"/>
      <c r="Q41" s="41"/>
      <c r="R41" s="41"/>
      <c r="S41" s="41"/>
      <c r="T41" s="38" t="s">
        <v>58</v>
      </c>
      <c r="U41" s="38"/>
      <c r="V41" s="38"/>
      <c r="W41" s="38"/>
      <c r="X41" s="38"/>
      <c r="Y41" s="42">
        <v>2</v>
      </c>
      <c r="Z41" s="42"/>
      <c r="AA41" s="42"/>
      <c r="AB41" s="24">
        <v>2</v>
      </c>
      <c r="AC41" s="13" t="s">
        <v>60</v>
      </c>
    </row>
    <row r="42" spans="1:29" ht="15" customHeight="1" x14ac:dyDescent="0.2">
      <c r="A42" s="27" t="s">
        <v>86</v>
      </c>
      <c r="B42" s="27"/>
      <c r="C42" s="27"/>
      <c r="D42" s="27"/>
      <c r="E42" s="27"/>
      <c r="F42" s="27"/>
      <c r="G42" s="27"/>
      <c r="H42" s="27"/>
      <c r="I42" s="27"/>
      <c r="J42" s="28"/>
      <c r="K42" s="28"/>
      <c r="L42" s="28"/>
      <c r="M42" s="17"/>
      <c r="N42" s="17"/>
      <c r="O42" s="28"/>
      <c r="P42" s="28"/>
      <c r="Q42" s="28"/>
      <c r="R42" s="28"/>
      <c r="S42" s="28"/>
      <c r="T42" s="28"/>
      <c r="U42" s="28"/>
      <c r="V42" s="28"/>
      <c r="W42" s="28"/>
      <c r="X42" s="28"/>
      <c r="Y42" s="28"/>
      <c r="Z42" s="28"/>
      <c r="AA42" s="28"/>
      <c r="AB42" s="18">
        <v>20.25</v>
      </c>
      <c r="AC42" s="17"/>
    </row>
    <row r="43" spans="1:29" ht="11.1" customHeight="1" x14ac:dyDescent="0.2">
      <c r="A43" s="29" t="s">
        <v>87</v>
      </c>
      <c r="B43" s="29"/>
      <c r="C43" s="29"/>
      <c r="D43" s="30"/>
      <c r="E43" s="30"/>
      <c r="F43" s="30"/>
      <c r="G43" s="30"/>
      <c r="H43" s="30"/>
      <c r="I43" s="30"/>
      <c r="J43" s="30"/>
      <c r="K43" s="30"/>
      <c r="L43" s="30"/>
      <c r="M43" s="2"/>
      <c r="N43" s="2"/>
      <c r="O43" s="30"/>
      <c r="P43" s="30"/>
      <c r="Q43" s="30"/>
      <c r="R43" s="30"/>
      <c r="S43" s="30"/>
      <c r="T43" s="30"/>
      <c r="U43" s="30"/>
      <c r="V43" s="30"/>
      <c r="W43" s="30"/>
      <c r="X43" s="30"/>
      <c r="Y43" s="30"/>
      <c r="Z43" s="30"/>
      <c r="AA43" s="30"/>
      <c r="AB43" s="2"/>
      <c r="AC43" s="2"/>
    </row>
    <row r="44" spans="1:29" ht="9.75" customHeight="1" x14ac:dyDescent="0.2">
      <c r="A44" s="25" t="s">
        <v>88</v>
      </c>
      <c r="B44" s="25"/>
      <c r="C44" s="25"/>
      <c r="D44" s="25"/>
      <c r="E44" s="25"/>
      <c r="F44" s="26" t="s">
        <v>89</v>
      </c>
      <c r="G44" s="26"/>
      <c r="H44" s="26"/>
      <c r="I44" s="26"/>
      <c r="J44" s="26"/>
      <c r="K44" s="26"/>
      <c r="L44" s="26"/>
      <c r="M44" s="26"/>
      <c r="N44" s="26"/>
      <c r="O44" s="26"/>
      <c r="P44" s="26"/>
      <c r="Q44" s="26"/>
      <c r="R44" s="26"/>
      <c r="S44" s="26"/>
      <c r="T44" s="26"/>
      <c r="U44" s="26"/>
      <c r="V44" s="26"/>
      <c r="W44" s="26"/>
      <c r="X44" s="26"/>
      <c r="Y44" s="26"/>
      <c r="Z44" s="26"/>
      <c r="AA44" s="26"/>
      <c r="AB44" s="26"/>
      <c r="AC44" s="26"/>
    </row>
    <row r="45" spans="1:29" ht="9.75" customHeight="1" x14ac:dyDescent="0.2">
      <c r="A45" s="25" t="s">
        <v>90</v>
      </c>
      <c r="B45" s="25"/>
      <c r="C45" s="25"/>
      <c r="D45" s="25"/>
      <c r="E45" s="25"/>
      <c r="F45" s="26" t="s">
        <v>91</v>
      </c>
      <c r="G45" s="26"/>
      <c r="H45" s="26"/>
      <c r="I45" s="26"/>
      <c r="J45" s="26"/>
      <c r="K45" s="26"/>
      <c r="L45" s="26"/>
      <c r="M45" s="26"/>
      <c r="N45" s="26"/>
      <c r="O45" s="26"/>
      <c r="P45" s="26"/>
      <c r="Q45" s="26"/>
      <c r="R45" s="26"/>
      <c r="S45" s="26"/>
      <c r="T45" s="26"/>
      <c r="U45" s="26"/>
      <c r="V45" s="26"/>
      <c r="W45" s="26"/>
      <c r="X45" s="26"/>
      <c r="Y45" s="26"/>
      <c r="Z45" s="26"/>
      <c r="AA45" s="26"/>
      <c r="AB45" s="26"/>
      <c r="AC45" s="26"/>
    </row>
  </sheetData>
  <mergeCells count="231">
    <mergeCell ref="A1:F1"/>
    <mergeCell ref="G1:Z1"/>
    <mergeCell ref="A2:O2"/>
    <mergeCell ref="P2:R2"/>
    <mergeCell ref="S2:T2"/>
    <mergeCell ref="W2:Y2"/>
    <mergeCell ref="A3:D3"/>
    <mergeCell ref="E3:T3"/>
    <mergeCell ref="U3:Z3"/>
    <mergeCell ref="A4:Z4"/>
    <mergeCell ref="A5:Z5"/>
    <mergeCell ref="A6:Z6"/>
    <mergeCell ref="A7:Z7"/>
    <mergeCell ref="A8:B8"/>
    <mergeCell ref="C8:D8"/>
    <mergeCell ref="E8:F8"/>
    <mergeCell ref="G8:H8"/>
    <mergeCell ref="I8:K8"/>
    <mergeCell ref="L8:O8"/>
    <mergeCell ref="P8:R8"/>
    <mergeCell ref="S8:U8"/>
    <mergeCell ref="V8:Z8"/>
    <mergeCell ref="A9:K10"/>
    <mergeCell ref="L9:O9"/>
    <mergeCell ref="P9:R9"/>
    <mergeCell ref="S9:T9"/>
    <mergeCell ref="W9:Y9"/>
    <mergeCell ref="L10:O10"/>
    <mergeCell ref="P10:R10"/>
    <mergeCell ref="S10:T10"/>
    <mergeCell ref="W10:Y11"/>
    <mergeCell ref="A11:B12"/>
    <mergeCell ref="C11:H12"/>
    <mergeCell ref="I11:K11"/>
    <mergeCell ref="L11:O11"/>
    <mergeCell ref="P11:R11"/>
    <mergeCell ref="S11:T11"/>
    <mergeCell ref="I12:K12"/>
    <mergeCell ref="L12:O12"/>
    <mergeCell ref="P12:R12"/>
    <mergeCell ref="S12:T12"/>
    <mergeCell ref="W12:Y12"/>
    <mergeCell ref="A13:Z13"/>
    <mergeCell ref="A14:G14"/>
    <mergeCell ref="H14:J14"/>
    <mergeCell ref="K14:AE14"/>
    <mergeCell ref="A15:J15"/>
    <mergeCell ref="K15:AE15"/>
    <mergeCell ref="A16:E16"/>
    <mergeCell ref="F16:M16"/>
    <mergeCell ref="N16:Q16"/>
    <mergeCell ref="R16:S16"/>
    <mergeCell ref="T16:W16"/>
    <mergeCell ref="Y16:AD16"/>
    <mergeCell ref="A17:E17"/>
    <mergeCell ref="F17:M17"/>
    <mergeCell ref="N17:Q17"/>
    <mergeCell ref="R17:S17"/>
    <mergeCell ref="T17:W17"/>
    <mergeCell ref="Y17:AD17"/>
    <mergeCell ref="A18:E18"/>
    <mergeCell ref="F18:M18"/>
    <mergeCell ref="N18:Q18"/>
    <mergeCell ref="R18:S18"/>
    <mergeCell ref="T18:W18"/>
    <mergeCell ref="Y18:AD18"/>
    <mergeCell ref="A19:E19"/>
    <mergeCell ref="F19:M19"/>
    <mergeCell ref="N19:Q19"/>
    <mergeCell ref="R19:S19"/>
    <mergeCell ref="T19:W19"/>
    <mergeCell ref="Y19:AD19"/>
    <mergeCell ref="A20:AE20"/>
    <mergeCell ref="A21:AE21"/>
    <mergeCell ref="A22:I22"/>
    <mergeCell ref="J22:L22"/>
    <mergeCell ref="O22:P22"/>
    <mergeCell ref="Q22:S22"/>
    <mergeCell ref="T22:X22"/>
    <mergeCell ref="Y22:AA22"/>
    <mergeCell ref="AB22:AC23"/>
    <mergeCell ref="A23:C23"/>
    <mergeCell ref="D23:I23"/>
    <mergeCell ref="J23:L23"/>
    <mergeCell ref="O23:P23"/>
    <mergeCell ref="Q23:S23"/>
    <mergeCell ref="T23:X23"/>
    <mergeCell ref="Y23:AA23"/>
    <mergeCell ref="B24:C24"/>
    <mergeCell ref="D24:I24"/>
    <mergeCell ref="J24:L24"/>
    <mergeCell ref="O24:P24"/>
    <mergeCell ref="Q24:S24"/>
    <mergeCell ref="T24:X24"/>
    <mergeCell ref="Y24:AA24"/>
    <mergeCell ref="B25:C25"/>
    <mergeCell ref="D25:I25"/>
    <mergeCell ref="J25:L25"/>
    <mergeCell ref="O25:P25"/>
    <mergeCell ref="Q25:S25"/>
    <mergeCell ref="T25:X25"/>
    <mergeCell ref="Y25:AA25"/>
    <mergeCell ref="B26:C26"/>
    <mergeCell ref="D26:I26"/>
    <mergeCell ref="J26:L26"/>
    <mergeCell ref="O26:P26"/>
    <mergeCell ref="Q26:S26"/>
    <mergeCell ref="T26:X26"/>
    <mergeCell ref="Y26:AA26"/>
    <mergeCell ref="B27:C27"/>
    <mergeCell ref="D27:I27"/>
    <mergeCell ref="J27:L27"/>
    <mergeCell ref="O27:P27"/>
    <mergeCell ref="Q27:S27"/>
    <mergeCell ref="T27:X27"/>
    <mergeCell ref="Y27:AA27"/>
    <mergeCell ref="B28:C28"/>
    <mergeCell ref="D28:I28"/>
    <mergeCell ref="J28:L28"/>
    <mergeCell ref="O28:P28"/>
    <mergeCell ref="Q28:S28"/>
    <mergeCell ref="T28:X28"/>
    <mergeCell ref="Y28:AA28"/>
    <mergeCell ref="B29:C29"/>
    <mergeCell ref="D29:I29"/>
    <mergeCell ref="J29:L29"/>
    <mergeCell ref="O29:P29"/>
    <mergeCell ref="Q29:S29"/>
    <mergeCell ref="T29:X29"/>
    <mergeCell ref="Y29:AA29"/>
    <mergeCell ref="B30:C30"/>
    <mergeCell ref="D30:I30"/>
    <mergeCell ref="J30:L30"/>
    <mergeCell ref="O30:P30"/>
    <mergeCell ref="Q30:S30"/>
    <mergeCell ref="T30:X30"/>
    <mergeCell ref="Y30:AA30"/>
    <mergeCell ref="B31:C31"/>
    <mergeCell ref="D31:I31"/>
    <mergeCell ref="J31:L31"/>
    <mergeCell ref="O31:P31"/>
    <mergeCell ref="Q31:S31"/>
    <mergeCell ref="T31:X31"/>
    <mergeCell ref="Y31:AA31"/>
    <mergeCell ref="B32:C32"/>
    <mergeCell ref="D32:I32"/>
    <mergeCell ref="J32:L32"/>
    <mergeCell ref="O32:P32"/>
    <mergeCell ref="Q32:S32"/>
    <mergeCell ref="T32:X32"/>
    <mergeCell ref="Y32:AA32"/>
    <mergeCell ref="B33:C33"/>
    <mergeCell ref="D33:I33"/>
    <mergeCell ref="J33:L33"/>
    <mergeCell ref="O33:P33"/>
    <mergeCell ref="Q33:S33"/>
    <mergeCell ref="T33:X33"/>
    <mergeCell ref="Y33:AA33"/>
    <mergeCell ref="B34:C34"/>
    <mergeCell ref="D34:I34"/>
    <mergeCell ref="J34:L34"/>
    <mergeCell ref="O34:P34"/>
    <mergeCell ref="Q34:S34"/>
    <mergeCell ref="T34:X34"/>
    <mergeCell ref="Y34:AA34"/>
    <mergeCell ref="B35:C35"/>
    <mergeCell ref="D35:I35"/>
    <mergeCell ref="J35:L35"/>
    <mergeCell ref="O35:P35"/>
    <mergeCell ref="Q35:S35"/>
    <mergeCell ref="T35:X35"/>
    <mergeCell ref="Y35:AA35"/>
    <mergeCell ref="B36:C36"/>
    <mergeCell ref="D36:I36"/>
    <mergeCell ref="J36:L36"/>
    <mergeCell ref="O36:P36"/>
    <mergeCell ref="Q36:S36"/>
    <mergeCell ref="T36:X36"/>
    <mergeCell ref="Y36:AA36"/>
    <mergeCell ref="B37:C37"/>
    <mergeCell ref="D37:I37"/>
    <mergeCell ref="J37:L37"/>
    <mergeCell ref="O37:P37"/>
    <mergeCell ref="Q37:S37"/>
    <mergeCell ref="T37:X37"/>
    <mergeCell ref="Y37:AA37"/>
    <mergeCell ref="B38:C38"/>
    <mergeCell ref="D38:I38"/>
    <mergeCell ref="J38:L38"/>
    <mergeCell ref="O38:P38"/>
    <mergeCell ref="Q38:S38"/>
    <mergeCell ref="T38:X38"/>
    <mergeCell ref="Y38:AA38"/>
    <mergeCell ref="B39:C39"/>
    <mergeCell ref="D39:I39"/>
    <mergeCell ref="J39:L39"/>
    <mergeCell ref="O39:P39"/>
    <mergeCell ref="Q39:S39"/>
    <mergeCell ref="T39:X39"/>
    <mergeCell ref="Y39:AA39"/>
    <mergeCell ref="B40:C40"/>
    <mergeCell ref="D40:I40"/>
    <mergeCell ref="J40:L40"/>
    <mergeCell ref="O40:P40"/>
    <mergeCell ref="Q40:S40"/>
    <mergeCell ref="T40:X40"/>
    <mergeCell ref="Y40:AA40"/>
    <mergeCell ref="B41:C41"/>
    <mergeCell ref="D41:I41"/>
    <mergeCell ref="J41:L41"/>
    <mergeCell ref="O41:P41"/>
    <mergeCell ref="Q41:S41"/>
    <mergeCell ref="T41:X41"/>
    <mergeCell ref="Y41:AA41"/>
    <mergeCell ref="A44:E44"/>
    <mergeCell ref="F44:AC44"/>
    <mergeCell ref="A45:E45"/>
    <mergeCell ref="F45:AC45"/>
    <mergeCell ref="A42:I42"/>
    <mergeCell ref="J42:L42"/>
    <mergeCell ref="O42:P42"/>
    <mergeCell ref="Q42:S42"/>
    <mergeCell ref="T42:X42"/>
    <mergeCell ref="Y42:AA42"/>
    <mergeCell ref="A43:C43"/>
    <mergeCell ref="D43:I43"/>
    <mergeCell ref="J43:L43"/>
    <mergeCell ref="O43:P43"/>
    <mergeCell ref="Q43:S43"/>
    <mergeCell ref="T43:X43"/>
    <mergeCell ref="Y43:AA43"/>
  </mergeCells>
  <hyperlinks>
    <hyperlink ref="G1" r:id="rId1" display="mailto:ProducerCommissions@CignaHealthcare.com" xr:uid="{00000000-0004-0000-0000-000000000000}"/>
    <hyperlink ref="K14" r:id="rId2" display="mailto:ProducerCommissions@CignaHealthcare.com" xr:uid="{00000000-0004-0000-0000-000001000000}"/>
    <hyperlink ref="K15" r:id="rId3" display="mailto:CARL@CignaHealthcare.com"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699A1-A1DA-4783-A5A9-41BD976D6FF1}">
  <dimension ref="A1:P21"/>
  <sheetViews>
    <sheetView tabSelected="1" workbookViewId="0">
      <selection activeCell="A16" sqref="A16"/>
    </sheetView>
  </sheetViews>
  <sheetFormatPr defaultRowHeight="12.75" x14ac:dyDescent="0.2"/>
  <cols>
    <col min="1" max="1" width="25.83203125" style="97" bestFit="1" customWidth="1"/>
    <col min="2" max="2" width="25.83203125" style="97" customWidth="1"/>
    <col min="3" max="3" width="11.83203125" style="97" bestFit="1" customWidth="1"/>
    <col min="4" max="4" width="21.83203125" style="97" bestFit="1" customWidth="1"/>
    <col min="5" max="5" width="4" style="97" bestFit="1" customWidth="1"/>
    <col min="6" max="7" width="10.5" style="97" customWidth="1"/>
    <col min="8" max="8" width="15.1640625" style="97" customWidth="1"/>
    <col min="9" max="9" width="12.5" style="97" customWidth="1"/>
    <col min="10" max="10" width="26.6640625" style="97" bestFit="1" customWidth="1"/>
    <col min="11" max="11" width="4.6640625" style="97" customWidth="1"/>
    <col min="12" max="12" width="10.5" style="97" customWidth="1"/>
    <col min="13" max="13" width="8" style="97" customWidth="1"/>
    <col min="14" max="14" width="18.33203125" style="97" bestFit="1" customWidth="1"/>
    <col min="15" max="15" width="15.1640625" style="97" customWidth="1"/>
    <col min="16" max="16384" width="9.33203125" style="97"/>
  </cols>
  <sheetData>
    <row r="1" spans="1:16" ht="17.100000000000001" customHeight="1" x14ac:dyDescent="0.2">
      <c r="A1" s="92" t="s">
        <v>38</v>
      </c>
      <c r="B1" s="92"/>
      <c r="C1" s="92" t="s">
        <v>39</v>
      </c>
      <c r="D1" s="95"/>
      <c r="E1" s="92" t="s">
        <v>40</v>
      </c>
      <c r="F1" s="95"/>
      <c r="G1" s="95"/>
      <c r="H1" s="95"/>
      <c r="I1" s="95"/>
      <c r="J1" s="95"/>
      <c r="K1" s="92" t="s">
        <v>41</v>
      </c>
      <c r="L1" s="95"/>
      <c r="M1" s="92" t="s">
        <v>42</v>
      </c>
    </row>
    <row r="2" spans="1:16" ht="12" customHeight="1" x14ac:dyDescent="0.2">
      <c r="A2" s="92" t="s">
        <v>43</v>
      </c>
      <c r="B2" s="92"/>
      <c r="C2" s="92" t="s">
        <v>44</v>
      </c>
      <c r="D2" s="92" t="s">
        <v>45</v>
      </c>
      <c r="E2" s="92" t="s">
        <v>46</v>
      </c>
      <c r="F2" s="92" t="s">
        <v>47</v>
      </c>
      <c r="G2" s="92" t="s">
        <v>48</v>
      </c>
      <c r="H2" s="92" t="s">
        <v>49</v>
      </c>
      <c r="I2" s="92" t="s">
        <v>50</v>
      </c>
      <c r="J2" s="92" t="s">
        <v>51</v>
      </c>
      <c r="K2" s="92" t="s">
        <v>52</v>
      </c>
      <c r="L2" s="92" t="s">
        <v>42</v>
      </c>
      <c r="M2" s="92" t="s">
        <v>53</v>
      </c>
    </row>
    <row r="3" spans="1:16" ht="15.95" customHeight="1" x14ac:dyDescent="0.2">
      <c r="A3" s="92" t="s">
        <v>54</v>
      </c>
      <c r="B3" s="92" t="str">
        <f>CONCATENATE(A3,1)</f>
        <v>8RV5UY6CY831</v>
      </c>
      <c r="C3" s="93">
        <v>20301762901</v>
      </c>
      <c r="D3" s="92" t="s">
        <v>55</v>
      </c>
      <c r="E3" s="92" t="s">
        <v>56</v>
      </c>
      <c r="F3" s="94">
        <v>45821</v>
      </c>
      <c r="G3" s="92" t="s">
        <v>57</v>
      </c>
      <c r="H3" s="94">
        <v>45839</v>
      </c>
      <c r="I3" s="95"/>
      <c r="J3" s="92" t="s">
        <v>58</v>
      </c>
      <c r="K3" s="96">
        <v>2</v>
      </c>
      <c r="L3" s="96">
        <v>2</v>
      </c>
      <c r="M3" s="92" t="s">
        <v>60</v>
      </c>
      <c r="N3" s="97" t="s">
        <v>92</v>
      </c>
      <c r="O3" s="97">
        <v>20411454</v>
      </c>
      <c r="P3" s="97" t="s">
        <v>98</v>
      </c>
    </row>
    <row r="4" spans="1:16" ht="15.95" customHeight="1" x14ac:dyDescent="0.2">
      <c r="A4" s="92" t="s">
        <v>61</v>
      </c>
      <c r="B4" s="92" t="str">
        <f t="shared" ref="B4:B13" si="0">CONCATENATE(A4,1)</f>
        <v>7EM3A71GG021</v>
      </c>
      <c r="C4" s="93">
        <v>20299585801</v>
      </c>
      <c r="D4" s="92" t="s">
        <v>62</v>
      </c>
      <c r="E4" s="92" t="s">
        <v>56</v>
      </c>
      <c r="F4" s="94">
        <v>45819</v>
      </c>
      <c r="G4" s="92" t="s">
        <v>63</v>
      </c>
      <c r="H4" s="94">
        <v>45870</v>
      </c>
      <c r="I4" s="95"/>
      <c r="J4" s="92" t="s">
        <v>58</v>
      </c>
      <c r="K4" s="96">
        <v>2</v>
      </c>
      <c r="L4" s="96">
        <v>2</v>
      </c>
      <c r="M4" s="92" t="s">
        <v>60</v>
      </c>
      <c r="N4" s="97" t="s">
        <v>92</v>
      </c>
      <c r="O4" s="97">
        <v>20411454</v>
      </c>
      <c r="P4" s="97" t="s">
        <v>98</v>
      </c>
    </row>
    <row r="5" spans="1:16" ht="15.95" customHeight="1" x14ac:dyDescent="0.2">
      <c r="A5" s="92" t="s">
        <v>64</v>
      </c>
      <c r="B5" s="92" t="str">
        <f t="shared" si="0"/>
        <v>3GH4Y42QJ721</v>
      </c>
      <c r="C5" s="93">
        <v>20305063801</v>
      </c>
      <c r="D5" s="92" t="s">
        <v>65</v>
      </c>
      <c r="E5" s="92" t="s">
        <v>56</v>
      </c>
      <c r="F5" s="94">
        <v>45824</v>
      </c>
      <c r="G5" s="92" t="s">
        <v>63</v>
      </c>
      <c r="H5" s="94">
        <v>45901</v>
      </c>
      <c r="I5" s="95"/>
      <c r="J5" s="92" t="s">
        <v>58</v>
      </c>
      <c r="K5" s="96">
        <v>2</v>
      </c>
      <c r="L5" s="96">
        <v>2</v>
      </c>
      <c r="M5" s="92" t="s">
        <v>60</v>
      </c>
      <c r="N5" s="97" t="s">
        <v>92</v>
      </c>
      <c r="O5" s="97">
        <v>20411454</v>
      </c>
      <c r="P5" s="97" t="s">
        <v>98</v>
      </c>
    </row>
    <row r="6" spans="1:16" ht="17.100000000000001" customHeight="1" x14ac:dyDescent="0.2">
      <c r="A6" s="92" t="s">
        <v>66</v>
      </c>
      <c r="B6" s="92" t="str">
        <f t="shared" si="0"/>
        <v>4N30FG8MV181</v>
      </c>
      <c r="C6" s="93">
        <v>20306475301</v>
      </c>
      <c r="D6" s="92" t="s">
        <v>67</v>
      </c>
      <c r="E6" s="92" t="s">
        <v>56</v>
      </c>
      <c r="F6" s="94">
        <v>45825</v>
      </c>
      <c r="G6" s="92" t="s">
        <v>63</v>
      </c>
      <c r="H6" s="94">
        <v>45839</v>
      </c>
      <c r="I6" s="95"/>
      <c r="J6" s="92" t="s">
        <v>58</v>
      </c>
      <c r="K6" s="96">
        <v>2</v>
      </c>
      <c r="L6" s="96">
        <v>2</v>
      </c>
      <c r="M6" s="92" t="s">
        <v>60</v>
      </c>
      <c r="N6" s="97" t="s">
        <v>92</v>
      </c>
      <c r="O6" s="97">
        <v>20411454</v>
      </c>
      <c r="P6" s="97" t="s">
        <v>98</v>
      </c>
    </row>
    <row r="7" spans="1:16" ht="15.95" customHeight="1" x14ac:dyDescent="0.2">
      <c r="A7" s="92" t="s">
        <v>68</v>
      </c>
      <c r="B7" s="92" t="str">
        <f t="shared" si="0"/>
        <v>8AC0E74CT341</v>
      </c>
      <c r="C7" s="93">
        <v>20299582501</v>
      </c>
      <c r="D7" s="92" t="s">
        <v>69</v>
      </c>
      <c r="E7" s="92" t="s">
        <v>56</v>
      </c>
      <c r="F7" s="94">
        <v>45819</v>
      </c>
      <c r="G7" s="92" t="s">
        <v>63</v>
      </c>
      <c r="H7" s="94">
        <v>45870</v>
      </c>
      <c r="I7" s="95"/>
      <c r="J7" s="92" t="s">
        <v>58</v>
      </c>
      <c r="K7" s="96">
        <v>2</v>
      </c>
      <c r="L7" s="96">
        <v>2</v>
      </c>
      <c r="M7" s="92" t="s">
        <v>60</v>
      </c>
      <c r="N7" s="97" t="s">
        <v>92</v>
      </c>
      <c r="O7" s="97">
        <v>20411454</v>
      </c>
      <c r="P7" s="97" t="s">
        <v>98</v>
      </c>
    </row>
    <row r="8" spans="1:16" ht="15.95" customHeight="1" x14ac:dyDescent="0.2">
      <c r="A8" s="92" t="s">
        <v>70</v>
      </c>
      <c r="B8" s="92" t="str">
        <f t="shared" si="0"/>
        <v>1DP2H78WF041</v>
      </c>
      <c r="C8" s="93">
        <v>20296954901</v>
      </c>
      <c r="D8" s="92" t="s">
        <v>71</v>
      </c>
      <c r="E8" s="92" t="s">
        <v>56</v>
      </c>
      <c r="F8" s="94">
        <v>45817</v>
      </c>
      <c r="G8" s="92" t="s">
        <v>63</v>
      </c>
      <c r="H8" s="94">
        <v>45839</v>
      </c>
      <c r="I8" s="95"/>
      <c r="J8" s="92" t="s">
        <v>58</v>
      </c>
      <c r="K8" s="96">
        <v>2</v>
      </c>
      <c r="L8" s="96">
        <v>2</v>
      </c>
      <c r="M8" s="92" t="s">
        <v>60</v>
      </c>
      <c r="N8" s="97" t="s">
        <v>92</v>
      </c>
      <c r="O8" s="97">
        <v>20411454</v>
      </c>
      <c r="P8" s="97" t="s">
        <v>98</v>
      </c>
    </row>
    <row r="9" spans="1:16" ht="15.95" customHeight="1" x14ac:dyDescent="0.2">
      <c r="A9" s="92" t="s">
        <v>72</v>
      </c>
      <c r="B9" s="92" t="str">
        <f t="shared" si="0"/>
        <v>5F62XX8QT101</v>
      </c>
      <c r="C9" s="93">
        <v>20301740501</v>
      </c>
      <c r="D9" s="92" t="s">
        <v>73</v>
      </c>
      <c r="E9" s="92" t="s">
        <v>74</v>
      </c>
      <c r="F9" s="94">
        <v>45821</v>
      </c>
      <c r="G9" s="92" t="s">
        <v>75</v>
      </c>
      <c r="H9" s="94">
        <v>45839</v>
      </c>
      <c r="I9" s="95"/>
      <c r="J9" s="92" t="s">
        <v>58</v>
      </c>
      <c r="K9" s="96">
        <v>2</v>
      </c>
      <c r="L9" s="96">
        <v>2</v>
      </c>
      <c r="M9" s="92" t="s">
        <v>60</v>
      </c>
      <c r="N9" s="97" t="s">
        <v>92</v>
      </c>
      <c r="O9" s="97">
        <v>20411454</v>
      </c>
      <c r="P9" s="97" t="s">
        <v>98</v>
      </c>
    </row>
    <row r="10" spans="1:16" ht="15.95" customHeight="1" x14ac:dyDescent="0.2">
      <c r="A10" s="92" t="s">
        <v>76</v>
      </c>
      <c r="B10" s="92" t="str">
        <f t="shared" si="0"/>
        <v>5KF9TC6CR361</v>
      </c>
      <c r="C10" s="93">
        <v>19838931401</v>
      </c>
      <c r="D10" s="92" t="s">
        <v>77</v>
      </c>
      <c r="E10" s="92" t="s">
        <v>78</v>
      </c>
      <c r="F10" s="94">
        <v>45617</v>
      </c>
      <c r="G10" s="92" t="s">
        <v>79</v>
      </c>
      <c r="H10" s="94">
        <v>45658</v>
      </c>
      <c r="I10" s="94">
        <v>45808</v>
      </c>
      <c r="J10" s="92" t="s">
        <v>80</v>
      </c>
      <c r="K10" s="96">
        <v>2</v>
      </c>
      <c r="L10" s="96">
        <v>-1.17</v>
      </c>
      <c r="M10" s="92" t="s">
        <v>60</v>
      </c>
      <c r="N10" s="97" t="s">
        <v>92</v>
      </c>
      <c r="O10" s="97">
        <v>20411454</v>
      </c>
      <c r="P10" s="97" t="s">
        <v>98</v>
      </c>
    </row>
    <row r="11" spans="1:16" ht="15.95" customHeight="1" x14ac:dyDescent="0.2">
      <c r="A11" s="92" t="s">
        <v>76</v>
      </c>
      <c r="B11" s="92" t="str">
        <f t="shared" si="0"/>
        <v>5KF9TC6CR361</v>
      </c>
      <c r="C11" s="93">
        <v>19838931401</v>
      </c>
      <c r="D11" s="92" t="s">
        <v>77</v>
      </c>
      <c r="E11" s="92" t="s">
        <v>78</v>
      </c>
      <c r="F11" s="94">
        <v>45617</v>
      </c>
      <c r="G11" s="92" t="s">
        <v>79</v>
      </c>
      <c r="H11" s="94">
        <v>45658</v>
      </c>
      <c r="I11" s="94">
        <v>45808</v>
      </c>
      <c r="J11" s="92" t="s">
        <v>80</v>
      </c>
      <c r="K11" s="96">
        <v>1</v>
      </c>
      <c r="L11" s="96">
        <v>-0.57999999999999996</v>
      </c>
      <c r="M11" s="92" t="s">
        <v>60</v>
      </c>
      <c r="N11" s="97" t="s">
        <v>92</v>
      </c>
      <c r="O11" s="97">
        <v>20411454</v>
      </c>
      <c r="P11" s="97" t="s">
        <v>98</v>
      </c>
    </row>
    <row r="12" spans="1:16" ht="15.95" customHeight="1" x14ac:dyDescent="0.2">
      <c r="A12" s="92" t="s">
        <v>81</v>
      </c>
      <c r="B12" s="92" t="str">
        <f t="shared" si="0"/>
        <v>2AF4V66RR961</v>
      </c>
      <c r="C12" s="93">
        <v>20302194401</v>
      </c>
      <c r="D12" s="92" t="s">
        <v>82</v>
      </c>
      <c r="E12" s="92" t="s">
        <v>83</v>
      </c>
      <c r="F12" s="94">
        <v>45821</v>
      </c>
      <c r="G12" s="92" t="s">
        <v>79</v>
      </c>
      <c r="H12" s="94">
        <v>45839</v>
      </c>
      <c r="I12" s="95"/>
      <c r="J12" s="92" t="s">
        <v>58</v>
      </c>
      <c r="K12" s="96">
        <v>2</v>
      </c>
      <c r="L12" s="96">
        <v>2</v>
      </c>
      <c r="M12" s="92" t="s">
        <v>60</v>
      </c>
      <c r="N12" s="97" t="s">
        <v>92</v>
      </c>
      <c r="O12" s="97">
        <v>20411454</v>
      </c>
      <c r="P12" s="97" t="s">
        <v>98</v>
      </c>
    </row>
    <row r="13" spans="1:16" ht="15.95" customHeight="1" x14ac:dyDescent="0.2">
      <c r="A13" s="92" t="s">
        <v>84</v>
      </c>
      <c r="B13" s="92" t="str">
        <f t="shared" si="0"/>
        <v>8TG6TY6FT681</v>
      </c>
      <c r="C13" s="93">
        <v>20294665301</v>
      </c>
      <c r="D13" s="92" t="s">
        <v>85</v>
      </c>
      <c r="E13" s="92" t="s">
        <v>56</v>
      </c>
      <c r="F13" s="94">
        <v>45813</v>
      </c>
      <c r="G13" s="92" t="s">
        <v>63</v>
      </c>
      <c r="H13" s="94">
        <v>45870</v>
      </c>
      <c r="I13" s="95"/>
      <c r="J13" s="92" t="s">
        <v>58</v>
      </c>
      <c r="K13" s="96">
        <v>2</v>
      </c>
      <c r="L13" s="96">
        <v>2</v>
      </c>
      <c r="M13" s="92" t="s">
        <v>60</v>
      </c>
      <c r="N13" s="97" t="s">
        <v>92</v>
      </c>
      <c r="O13" s="97">
        <v>20411454</v>
      </c>
      <c r="P13" s="97" t="s">
        <v>98</v>
      </c>
    </row>
    <row r="14" spans="1:16" ht="15.95" customHeight="1" x14ac:dyDescent="0.2">
      <c r="A14" s="92" t="s">
        <v>54</v>
      </c>
      <c r="B14" s="92" t="str">
        <f>CONCATENATE(A14,0)</f>
        <v>8RV5UY6CY830</v>
      </c>
      <c r="C14" s="93">
        <v>20301762901</v>
      </c>
      <c r="D14" s="92" t="s">
        <v>55</v>
      </c>
      <c r="E14" s="92" t="s">
        <v>56</v>
      </c>
      <c r="F14" s="94">
        <v>45821</v>
      </c>
      <c r="G14" s="92" t="s">
        <v>57</v>
      </c>
      <c r="H14" s="94">
        <v>45839</v>
      </c>
      <c r="I14" s="95"/>
      <c r="J14" s="92" t="s">
        <v>58</v>
      </c>
      <c r="K14" s="96">
        <v>12</v>
      </c>
      <c r="L14" s="96">
        <v>6</v>
      </c>
      <c r="M14" s="92" t="s">
        <v>59</v>
      </c>
      <c r="N14" s="97" t="s">
        <v>93</v>
      </c>
      <c r="O14" s="97">
        <v>19278370</v>
      </c>
      <c r="P14" s="97" t="s">
        <v>97</v>
      </c>
    </row>
    <row r="15" spans="1:16" ht="15.95" customHeight="1" x14ac:dyDescent="0.2">
      <c r="A15" s="92" t="s">
        <v>72</v>
      </c>
      <c r="B15" s="92" t="str">
        <f t="shared" ref="B15:B18" si="1">CONCATENATE(A15,0)</f>
        <v>5F62XX8QT100</v>
      </c>
      <c r="C15" s="93">
        <v>20301740501</v>
      </c>
      <c r="D15" s="92" t="s">
        <v>73</v>
      </c>
      <c r="E15" s="92" t="s">
        <v>74</v>
      </c>
      <c r="F15" s="94">
        <v>45821</v>
      </c>
      <c r="G15" s="98" t="s">
        <v>94</v>
      </c>
      <c r="H15" s="94">
        <v>45839</v>
      </c>
      <c r="I15" s="95"/>
      <c r="J15" s="92" t="s">
        <v>58</v>
      </c>
      <c r="K15" s="96">
        <v>12</v>
      </c>
      <c r="L15" s="96">
        <v>6</v>
      </c>
      <c r="M15" s="92" t="s">
        <v>59</v>
      </c>
      <c r="N15" s="97" t="s">
        <v>95</v>
      </c>
      <c r="O15" s="97">
        <v>9079571</v>
      </c>
      <c r="P15" s="97" t="s">
        <v>97</v>
      </c>
    </row>
    <row r="16" spans="1:16" ht="15.95" customHeight="1" x14ac:dyDescent="0.2">
      <c r="A16" s="92" t="s">
        <v>76</v>
      </c>
      <c r="B16" s="92" t="str">
        <f t="shared" si="1"/>
        <v>5KF9TC6CR360</v>
      </c>
      <c r="C16" s="93">
        <v>19838931401</v>
      </c>
      <c r="D16" s="92" t="s">
        <v>77</v>
      </c>
      <c r="E16" s="92" t="s">
        <v>78</v>
      </c>
      <c r="F16" s="94">
        <v>45617</v>
      </c>
      <c r="G16" s="92" t="s">
        <v>79</v>
      </c>
      <c r="H16" s="94">
        <v>45658</v>
      </c>
      <c r="I16" s="94">
        <v>45808</v>
      </c>
      <c r="J16" s="92" t="s">
        <v>80</v>
      </c>
      <c r="K16" s="96">
        <v>12</v>
      </c>
      <c r="L16" s="96">
        <v>-7</v>
      </c>
      <c r="M16" s="92" t="s">
        <v>59</v>
      </c>
      <c r="N16" s="97" t="s">
        <v>96</v>
      </c>
      <c r="O16" s="97">
        <v>19681796</v>
      </c>
      <c r="P16" s="97" t="s">
        <v>97</v>
      </c>
    </row>
    <row r="17" spans="1:16" ht="15.95" customHeight="1" x14ac:dyDescent="0.2">
      <c r="A17" s="92" t="s">
        <v>76</v>
      </c>
      <c r="B17" s="92" t="str">
        <f t="shared" si="1"/>
        <v>5KF9TC6CR360</v>
      </c>
      <c r="C17" s="93">
        <v>19838931401</v>
      </c>
      <c r="D17" s="92" t="s">
        <v>77</v>
      </c>
      <c r="E17" s="92" t="s">
        <v>78</v>
      </c>
      <c r="F17" s="94">
        <v>45617</v>
      </c>
      <c r="G17" s="92" t="s">
        <v>79</v>
      </c>
      <c r="H17" s="94">
        <v>45658</v>
      </c>
      <c r="I17" s="94">
        <v>45808</v>
      </c>
      <c r="J17" s="92" t="s">
        <v>80</v>
      </c>
      <c r="K17" s="96">
        <v>12</v>
      </c>
      <c r="L17" s="96">
        <v>-7</v>
      </c>
      <c r="M17" s="92" t="s">
        <v>59</v>
      </c>
      <c r="N17" s="97" t="s">
        <v>96</v>
      </c>
      <c r="O17" s="97">
        <v>19681796</v>
      </c>
      <c r="P17" s="97" t="s">
        <v>97</v>
      </c>
    </row>
    <row r="18" spans="1:16" ht="15.95" customHeight="1" x14ac:dyDescent="0.2">
      <c r="A18" s="92" t="s">
        <v>81</v>
      </c>
      <c r="B18" s="92" t="str">
        <f t="shared" si="1"/>
        <v>2AF4V66RR960</v>
      </c>
      <c r="C18" s="93">
        <v>20302194401</v>
      </c>
      <c r="D18" s="92" t="s">
        <v>82</v>
      </c>
      <c r="E18" s="92" t="s">
        <v>83</v>
      </c>
      <c r="F18" s="94">
        <v>45821</v>
      </c>
      <c r="G18" s="92" t="s">
        <v>79</v>
      </c>
      <c r="H18" s="94">
        <v>45839</v>
      </c>
      <c r="I18" s="95"/>
      <c r="J18" s="92" t="s">
        <v>58</v>
      </c>
      <c r="K18" s="96">
        <v>12</v>
      </c>
      <c r="L18" s="96">
        <v>6</v>
      </c>
      <c r="M18" s="92" t="s">
        <v>59</v>
      </c>
      <c r="N18" s="97" t="s">
        <v>96</v>
      </c>
      <c r="O18" s="97">
        <v>19681796</v>
      </c>
      <c r="P18" s="97" t="s">
        <v>97</v>
      </c>
    </row>
    <row r="19" spans="1:16" ht="11.1" customHeight="1" x14ac:dyDescent="0.2">
      <c r="A19" s="99" t="s">
        <v>87</v>
      </c>
      <c r="B19" s="99"/>
      <c r="C19" s="99"/>
      <c r="D19" s="100"/>
      <c r="E19" s="100"/>
      <c r="F19" s="100"/>
      <c r="G19" s="100"/>
      <c r="H19" s="100"/>
      <c r="I19" s="100"/>
      <c r="J19" s="100"/>
      <c r="K19" s="100"/>
      <c r="L19" s="100"/>
      <c r="M19" s="100"/>
    </row>
    <row r="20" spans="1:16" ht="9.75" customHeight="1" x14ac:dyDescent="0.2">
      <c r="A20" s="101" t="s">
        <v>88</v>
      </c>
      <c r="B20" s="101"/>
      <c r="C20" s="101"/>
      <c r="D20" s="101" t="s">
        <v>89</v>
      </c>
      <c r="E20" s="101"/>
      <c r="F20" s="101"/>
      <c r="G20" s="101"/>
      <c r="H20" s="101"/>
      <c r="I20" s="101"/>
      <c r="J20" s="101"/>
      <c r="K20" s="101"/>
      <c r="L20" s="101"/>
      <c r="M20" s="101"/>
    </row>
    <row r="21" spans="1:16" ht="9.75" customHeight="1" x14ac:dyDescent="0.2">
      <c r="A21" s="101" t="s">
        <v>90</v>
      </c>
      <c r="B21" s="101"/>
      <c r="C21" s="101"/>
      <c r="D21" s="101" t="s">
        <v>91</v>
      </c>
      <c r="E21" s="101"/>
      <c r="F21" s="101"/>
      <c r="G21" s="101"/>
      <c r="H21" s="101"/>
      <c r="I21" s="101"/>
      <c r="J21" s="101"/>
      <c r="K21" s="101"/>
      <c r="L21" s="101"/>
      <c r="M21" s="101"/>
    </row>
  </sheetData>
  <sortState xmlns:xlrd2="http://schemas.microsoft.com/office/spreadsheetml/2017/richdata2" ref="A3:AF18">
    <sortCondition ref="M3:M18"/>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Cabel, Denisse Raeka</cp:lastModifiedBy>
  <dcterms:created xsi:type="dcterms:W3CDTF">2025-06-30T12:57:23Z</dcterms:created>
  <dcterms:modified xsi:type="dcterms:W3CDTF">2025-07-01T12:51:47Z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2025-06-30T00:00:00Z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2025-06-30T00:00:00Z</vt:filetime>
  </property>
</Properties>
</file>