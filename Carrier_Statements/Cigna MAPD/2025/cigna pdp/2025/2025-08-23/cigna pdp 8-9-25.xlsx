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cigna pdp\8-9-25 to 8-23-25\"/>
    </mc:Choice>
  </mc:AlternateContent>
  <xr:revisionPtr revIDLastSave="0" documentId="13_ncr:1_{430BB7C4-F5E7-456F-8597-3EEAECD98299}" xr6:coauthVersionLast="47" xr6:coauthVersionMax="47" xr10:uidLastSave="{00000000-0000-0000-0000-000000000000}"/>
  <bookViews>
    <workbookView xWindow="28680" yWindow="-120" windowWidth="29040" windowHeight="16440" activeTab="1" xr2:uid="{00000000-000D-0000-FFFF-FFFF00000000}"/>
  </bookViews>
  <sheets>
    <sheet name="Table 1" sheetId="1" r:id="rId1"/>
    <sheet name="Sheet1" sheetId="2" r:id="rId2"/>
  </sheets>
  <calcPr calcId="181029"/>
</workbook>
</file>

<file path=xl/calcChain.xml><?xml version="1.0" encoding="utf-8"?>
<calcChain xmlns="http://schemas.openxmlformats.org/spreadsheetml/2006/main">
  <c r="B31" i="2" l="1"/>
  <c r="B30" i="2"/>
  <c r="B29" i="2"/>
  <c r="B28" i="2"/>
  <c r="B27" i="2"/>
  <c r="B26" i="2"/>
  <c r="B25" i="2"/>
  <c r="B24" i="2"/>
  <c r="B23" i="2"/>
  <c r="B22" i="2"/>
  <c r="B21" i="2"/>
  <c r="B20" i="2"/>
  <c r="B19" i="2"/>
  <c r="B18" i="2"/>
  <c r="B17" i="2"/>
  <c r="B16" i="2"/>
  <c r="B15" i="2"/>
  <c r="B14" i="2"/>
  <c r="B13" i="2"/>
  <c r="B12" i="2"/>
  <c r="B11" i="2"/>
  <c r="B10" i="2"/>
  <c r="B9" i="2"/>
  <c r="B8" i="2"/>
  <c r="B7" i="2"/>
  <c r="B6" i="2"/>
  <c r="B5" i="2"/>
  <c r="B4" i="2"/>
  <c r="B3" i="2"/>
</calcChain>
</file>

<file path=xl/sharedStrings.xml><?xml version="1.0" encoding="utf-8"?>
<sst xmlns="http://schemas.openxmlformats.org/spreadsheetml/2006/main" count="432" uniqueCount="130">
  <si>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</si>
  <si>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August 9, 2025
</t>
    </r>
    <r>
      <rPr>
        <sz val="9.5"/>
        <color rgb="FF231F20"/>
        <rFont val="Tahoma"/>
        <family val="2"/>
      </rPr>
      <t xml:space="preserve">Producer code/ Office code </t>
    </r>
    <r>
      <rPr>
        <sz val="9.5"/>
        <color rgb="FF231F20"/>
        <rFont val="Calibri"/>
        <family val="2"/>
      </rPr>
      <t>578672/ P08</t>
    </r>
  </si>
  <si>
    <r>
      <rPr>
        <sz val="17"/>
        <color rgb="FF231F20"/>
        <rFont val="Cambria"/>
        <family val="1"/>
      </rPr>
      <t>Compensation - Direct Deposit Payment</t>
    </r>
  </si>
  <si>
    <r>
      <rPr>
        <sz val="8.5"/>
        <color rgb="FF231F20"/>
        <rFont val="Book Antiqua"/>
        <family val="1"/>
      </rPr>
      <t>Payment for</t>
    </r>
  </si>
  <si>
    <r>
      <rPr>
        <sz val="8.5"/>
        <color rgb="FF231F20"/>
        <rFont val="Book Antiqua"/>
        <family val="1"/>
      </rPr>
      <t>Total payment this period</t>
    </r>
  </si>
  <si>
    <r>
      <rPr>
        <sz val="8.5"/>
        <color rgb="FF231F20"/>
        <rFont val="Book Antiqua"/>
        <family val="1"/>
      </rPr>
      <t xml:space="preserve">Total payment year
</t>
    </r>
    <r>
      <rPr>
        <sz val="8.5"/>
        <color rgb="FF231F20"/>
        <rFont val="Book Antiqua"/>
        <family val="1"/>
      </rPr>
      <t>to date</t>
    </r>
  </si>
  <si>
    <r>
      <rPr>
        <sz val="8.5"/>
        <color rgb="FF231F20"/>
        <rFont val="Calibri"/>
        <family val="2"/>
      </rPr>
      <t xml:space="preserve">MAIN LINE BENEFITS LLC
</t>
    </r>
    <r>
      <rPr>
        <sz val="8.5"/>
        <color rgb="FF231F20"/>
        <rFont val="Calibri"/>
        <family val="2"/>
      </rPr>
      <t xml:space="preserve">Commissions                                                                                                                                                                                      44.75                                    3,067.01
</t>
    </r>
    <r>
      <rPr>
        <sz val="9"/>
        <color rgb="FF231F20"/>
        <rFont val="Arial"/>
        <family val="2"/>
      </rPr>
      <t>Total                                                                                                                                                       44.75                          3,067.01</t>
    </r>
  </si>
  <si>
    <r>
      <rPr>
        <sz val="8.5"/>
        <color rgb="FF231F20"/>
        <rFont val="Calibri"/>
        <family val="2"/>
      </rPr>
      <t>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</si>
  <si>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Page 1 of 4</t>
    </r>
  </si>
  <si>
    <r>
      <rPr>
        <vertAlign val="superscript"/>
        <sz val="6.5"/>
        <color rgb="FF231F20"/>
        <rFont val="Calibri"/>
        <family val="2"/>
      </rPr>
      <t xml:space="preserve">DATE:                                          </t>
    </r>
    <r>
      <rPr>
        <sz val="8.5"/>
        <color rgb="FF231F20"/>
        <rFont val="Calibri"/>
        <family val="2"/>
      </rPr>
      <t>August 9, 2025</t>
    </r>
  </si>
  <si>
    <r>
      <rPr>
        <sz val="6.5"/>
        <color rgb="FF231F20"/>
        <rFont val="Calibri"/>
        <family val="2"/>
      </rPr>
      <t>PRODUCER/ OFFICE CODE</t>
    </r>
  </si>
  <si>
    <r>
      <rPr>
        <sz val="9.5"/>
        <color rgb="FF231F20"/>
        <rFont val="Calibri"/>
        <family val="2"/>
      </rPr>
      <t>578672/P08</t>
    </r>
  </si>
  <si>
    <r>
      <rPr>
        <vertAlign val="superscript"/>
        <sz val="6.5"/>
        <color rgb="FF231F20"/>
        <rFont val="Calibri"/>
        <family val="2"/>
      </rPr>
      <t xml:space="preserve">PAY:                               </t>
    </r>
    <r>
      <rPr>
        <sz val="11"/>
        <color rgb="FF231F20"/>
        <rFont val="Calibri"/>
        <family val="2"/>
      </rPr>
      <t>Forty-Four and 75/100 Dollars</t>
    </r>
  </si>
  <si>
    <r>
      <rPr>
        <sz val="6.5"/>
        <color rgb="FF231F20"/>
        <rFont val="Calibri"/>
        <family val="2"/>
      </rPr>
      <t>TO THE ORDER OF:</t>
    </r>
  </si>
  <si>
    <r>
      <rPr>
        <sz val="8.5"/>
        <color rgb="FF231F20"/>
        <rFont val="Calibri"/>
        <family val="2"/>
      </rPr>
      <t>MAIN LINE BENEFITS LLC 232 E KING ST. MALVERN PA 19355</t>
    </r>
  </si>
  <si>
    <r>
      <rPr>
        <sz val="17.5"/>
        <color rgb="FFDCDFE2"/>
        <rFont val="Lucida Sans"/>
        <family val="2"/>
      </rPr>
      <t>Advice of Deposit Non-Negotiable</t>
    </r>
  </si>
  <si>
    <r>
      <rPr>
        <sz val="16"/>
        <color rgb="FF231F20"/>
        <rFont val="Cambria"/>
        <family val="1"/>
      </rPr>
      <t>Cigna Producer Statement</t>
    </r>
  </si>
  <si>
    <r>
      <rPr>
        <sz val="8.5"/>
        <color rgb="FF231F20"/>
        <rFont val="Cambria"/>
        <family val="1"/>
      </rPr>
      <t>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</si>
  <si>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Email: ProducerCommissions@CignaHealthcare.com</t>
    </r>
  </si>
  <si>
    <r>
      <rPr>
        <sz val="8.5"/>
        <color rgb="FF231F20"/>
        <rFont val="Calibri"/>
        <family val="2"/>
      </rPr>
      <t>Previous balance:</t>
    </r>
    <r>
      <rPr>
        <sz val="9"/>
        <color rgb="FF231F20"/>
        <rFont val="Times New Roman"/>
        <family val="1"/>
      </rPr>
      <t xml:space="preserve">                                                                </t>
    </r>
    <r>
      <rPr>
        <sz val="8.5"/>
        <color rgb="FF231F20"/>
        <rFont val="Calibri"/>
        <family val="2"/>
      </rPr>
      <t xml:space="preserve">0.00
</t>
    </r>
    <r>
      <rPr>
        <sz val="8.5"/>
        <color rgb="FF231F20"/>
        <rFont val="Calibri"/>
        <family val="2"/>
      </rPr>
      <t>Earned this statement:</t>
    </r>
    <r>
      <rPr>
        <sz val="9"/>
        <color rgb="FF231F20"/>
        <rFont val="Times New Roman"/>
        <family val="1"/>
      </rPr>
      <t xml:space="preserve">                                                     </t>
    </r>
    <r>
      <rPr>
        <sz val="8.5"/>
        <color rgb="FF231F20"/>
        <rFont val="Calibri"/>
        <family val="2"/>
      </rPr>
      <t xml:space="preserve">44.75
</t>
    </r>
    <r>
      <rPr>
        <sz val="8.5"/>
        <color rgb="FF231F20"/>
        <rFont val="Calibri"/>
        <family val="2"/>
      </rPr>
      <t>Assignments:</t>
    </r>
    <r>
      <rPr>
        <sz val="9"/>
        <color rgb="FF231F20"/>
        <rFont val="Times New Roman"/>
        <family val="1"/>
      </rPr>
      <t xml:space="preserve">                                                                       </t>
    </r>
    <r>
      <rPr>
        <sz val="8.5"/>
        <color rgb="FF231F20"/>
        <rFont val="Calibri"/>
        <family val="2"/>
      </rPr>
      <t xml:space="preserve">0.00
</t>
    </r>
    <r>
      <rPr>
        <sz val="8.5"/>
        <color rgb="FF231F20"/>
        <rFont val="Calibri"/>
        <family val="2"/>
      </rPr>
      <t>Payment:</t>
    </r>
    <r>
      <rPr>
        <sz val="9"/>
        <color rgb="FF231F20"/>
        <rFont val="Times New Roman"/>
        <family val="1"/>
      </rPr>
      <t xml:space="preserve">                                                                           </t>
    </r>
    <r>
      <rPr>
        <sz val="8.5"/>
        <color rgb="FF231F20"/>
        <rFont val="Calibri"/>
        <family val="2"/>
      </rPr>
      <t xml:space="preserve">44.75
</t>
    </r>
    <r>
      <rPr>
        <sz val="8.5"/>
        <color rgb="FF231F20"/>
        <rFont val="Calibri"/>
        <family val="2"/>
      </rPr>
      <t>Closing balance:</t>
    </r>
    <r>
      <rPr>
        <sz val="9"/>
        <color rgb="FF231F20"/>
        <rFont val="Times New Roman"/>
        <family val="1"/>
      </rPr>
      <t xml:space="preserve">                                                                  </t>
    </r>
    <r>
      <rPr>
        <sz val="8.5"/>
        <color rgb="FF231F20"/>
        <rFont val="Calibri"/>
        <family val="2"/>
      </rPr>
      <t xml:space="preserve">0.00
</t>
    </r>
    <r>
      <rPr>
        <u/>
        <sz val="8.5"/>
        <color rgb="FF231F20"/>
        <rFont val="Calibri"/>
        <family val="2"/>
      </rPr>
      <t xml:space="preserve">YTD Payments:                                                                        3,067.01
</t>
    </r>
    <r>
      <rPr>
        <sz val="9.5"/>
        <color rgb="FF231F20"/>
        <rFont val="Tahoma"/>
        <family val="2"/>
      </rPr>
      <t>Total payment:</t>
    </r>
    <r>
      <rPr>
        <sz val="10"/>
        <color rgb="FF231F20"/>
        <rFont val="Times New Roman"/>
        <family val="1"/>
      </rPr>
      <t xml:space="preserve">                                                      </t>
    </r>
    <r>
      <rPr>
        <sz val="9.5"/>
        <color rgb="FF231F20"/>
        <rFont val="Tahoma"/>
        <family val="2"/>
      </rPr>
      <t>44.75</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</si>
  <si>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August 9, 2025
</t>
    </r>
    <r>
      <rPr>
        <sz val="8.5"/>
        <color rgb="FF231F20"/>
        <rFont val="Cambria"/>
        <family val="1"/>
      </rPr>
      <t xml:space="preserve">EFT Deposit date
</t>
    </r>
    <r>
      <rPr>
        <sz val="9.5"/>
        <color rgb="FF231F20"/>
        <rFont val="Calibri"/>
        <family val="2"/>
      </rPr>
      <t>August 14, 2025</t>
    </r>
  </si>
  <si>
    <r>
      <rPr>
        <sz val="7.5"/>
        <color rgb="FF231F20"/>
        <rFont val="Calibri"/>
        <family val="2"/>
      </rPr>
      <t>Account name</t>
    </r>
  </si>
  <si>
    <r>
      <rPr>
        <sz val="7.5"/>
        <color rgb="FF231F20"/>
        <rFont val="Calibri"/>
        <family val="2"/>
      </rPr>
      <t xml:space="preserve">Account
</t>
    </r>
    <r>
      <rPr>
        <sz val="7.5"/>
        <color rgb="FF231F20"/>
        <rFont val="Calibri"/>
        <family val="2"/>
      </rPr>
      <t>number  Product/Healthplan site</t>
    </r>
  </si>
  <si>
    <r>
      <rPr>
        <sz val="7.5"/>
        <color rgb="FF231F20"/>
        <rFont val="Calibri"/>
        <family val="2"/>
      </rPr>
      <t>Product number</t>
    </r>
  </si>
  <si>
    <r>
      <rPr>
        <sz val="7.5"/>
        <color rgb="FF231F20"/>
        <rFont val="Calibri"/>
        <family val="2"/>
      </rPr>
      <t xml:space="preserve">Month
</t>
    </r>
    <r>
      <rPr>
        <sz val="7.5"/>
        <color rgb="FF231F20"/>
        <rFont val="Calibri"/>
        <family val="2"/>
      </rPr>
      <t>year</t>
    </r>
  </si>
  <si>
    <r>
      <rPr>
        <sz val="7.5"/>
        <color rgb="FF231F20"/>
        <rFont val="Calibri"/>
        <family val="2"/>
      </rPr>
      <t xml:space="preserve">Customers or
</t>
    </r>
    <r>
      <rPr>
        <sz val="7.5"/>
        <color rgb="FF231F20"/>
        <rFont val="Calibri"/>
        <family val="2"/>
      </rPr>
      <t>premiums*</t>
    </r>
  </si>
  <si>
    <r>
      <rPr>
        <sz val="7.5"/>
        <color rgb="FF231F20"/>
        <rFont val="Calibri"/>
        <family val="2"/>
      </rPr>
      <t xml:space="preserve">Comp
</t>
    </r>
    <r>
      <rPr>
        <sz val="7.5"/>
        <color rgb="FF231F20"/>
        <rFont val="Calibri"/>
        <family val="2"/>
      </rPr>
      <t>rate</t>
    </r>
  </si>
  <si>
    <r>
      <rPr>
        <sz val="7.5"/>
        <color rgb="FF231F20"/>
        <rFont val="Calibri"/>
        <family val="2"/>
      </rPr>
      <t xml:space="preserve">Payment
</t>
    </r>
    <r>
      <rPr>
        <sz val="7.5"/>
        <color rgb="FF231F20"/>
        <rFont val="Calibri"/>
        <family val="2"/>
      </rPr>
      <t>amount  Type**   See notes</t>
    </r>
  </si>
  <si>
    <r>
      <rPr>
        <sz val="8.5"/>
        <color rgb="FF231F20"/>
        <rFont val="Cambria"/>
        <family val="1"/>
      </rPr>
      <t>Cigna - Previous balance</t>
    </r>
  </si>
  <si>
    <r>
      <rPr>
        <sz val="8.5"/>
        <color rgb="FF231F20"/>
        <rFont val="Calibri"/>
        <family val="2"/>
      </rPr>
      <t>CIGNA IND MEDICARE PART D</t>
    </r>
  </si>
  <si>
    <r>
      <rPr>
        <sz val="8.5"/>
        <color rgb="FF231F20"/>
        <rFont val="Calibri"/>
        <family val="2"/>
      </rPr>
      <t>2465346  PRESCRIPTION DRUG</t>
    </r>
  </si>
  <si>
    <r>
      <rPr>
        <sz val="8.5"/>
        <color rgb="FF231F20"/>
        <rFont val="Calibri"/>
        <family val="2"/>
      </rPr>
      <t>08/2025</t>
    </r>
  </si>
  <si>
    <r>
      <rPr>
        <sz val="8.5"/>
        <color rgb="FF231F20"/>
        <rFont val="Cambria"/>
        <family val="1"/>
      </rPr>
      <t>Account total</t>
    </r>
  </si>
  <si>
    <r>
      <rPr>
        <sz val="8.5"/>
        <color rgb="FF231F20"/>
        <rFont val="Calibri"/>
        <family val="2"/>
      </rPr>
      <t>Closing balance of</t>
    </r>
    <r>
      <rPr>
        <sz val="9"/>
        <color rgb="FF231F20"/>
        <rFont val="Times New Roman"/>
        <family val="1"/>
      </rPr>
      <t xml:space="preserve">                                                      </t>
    </r>
    <r>
      <rPr>
        <sz val="8.5"/>
        <color rgb="FF231F20"/>
        <rFont val="Calibri"/>
        <family val="2"/>
      </rPr>
      <t xml:space="preserve">0.00
</t>
    </r>
    <r>
      <rPr>
        <sz val="8.5"/>
        <color rgb="FF231F20"/>
        <rFont val="Calibri"/>
        <family val="2"/>
      </rPr>
      <t>Amount of Cigna payment:</t>
    </r>
    <r>
      <rPr>
        <sz val="9"/>
        <color rgb="FF231F20"/>
        <rFont val="Times New Roman"/>
        <family val="1"/>
      </rPr>
      <t xml:space="preserve">                                      </t>
    </r>
    <r>
      <rPr>
        <sz val="8.5"/>
        <color rgb="FF231F20"/>
        <rFont val="Calibri"/>
        <family val="2"/>
      </rPr>
      <t xml:space="preserve">44.75
</t>
    </r>
    <r>
      <rPr>
        <sz val="8.5"/>
        <color rgb="FF231F20"/>
        <rFont val="Calibri"/>
        <family val="2"/>
      </rPr>
      <t>Total compensation payment:</t>
    </r>
    <r>
      <rPr>
        <sz val="9"/>
        <color rgb="FF231F20"/>
        <rFont val="Times New Roman"/>
        <family val="1"/>
      </rPr>
      <t xml:space="preserve">                                  </t>
    </r>
    <r>
      <rPr>
        <sz val="8.5"/>
        <color rgb="FF231F20"/>
        <rFont val="Calibri"/>
        <family val="2"/>
      </rPr>
      <t>44.75</t>
    </r>
  </si>
  <si>
    <r>
      <rPr>
        <sz val="8.5"/>
        <color rgb="FF231F20"/>
        <rFont val="Calibri"/>
        <family val="2"/>
      </rPr>
      <t xml:space="preserve">*  Experience-rated premium for Shared Returns policies may exclude network access and UR fees
</t>
    </r>
    <r>
      <rPr>
        <sz val="8.5"/>
        <color rgb="FF231F20"/>
        <rFont val="Calibri"/>
        <family val="2"/>
      </rPr>
      <t>**  Legend for Type: (DP) Dependent  (EE) Employee  (SP) Spouse  (FM) Family  (CH) Child  (P) Premium Base  (BA) Benefit Advisor Fee</t>
    </r>
  </si>
  <si>
    <r>
      <rPr>
        <sz val="16"/>
        <color rgb="FF231F20"/>
        <rFont val="Cambria"/>
        <family val="1"/>
      </rPr>
      <t>Cigna Ind Medicare Part D</t>
    </r>
  </si>
  <si>
    <r>
      <rPr>
        <sz val="9.5"/>
        <color rgb="FF231F20"/>
        <rFont val="Tahoma"/>
        <family val="2"/>
      </rPr>
      <t xml:space="preserve">Statement date
</t>
    </r>
    <r>
      <rPr>
        <sz val="8.5"/>
        <color rgb="FF231F20"/>
        <rFont val="Calibri"/>
        <family val="2"/>
      </rPr>
      <t>August 9, 2025</t>
    </r>
  </si>
  <si>
    <r>
      <rPr>
        <sz val="11.5"/>
        <color rgb="FF231F20"/>
        <rFont val="Calibri"/>
        <family val="2"/>
      </rPr>
      <t>Detail report</t>
    </r>
  </si>
  <si>
    <r>
      <rPr>
        <sz val="7.5"/>
        <color rgb="FF231F20"/>
        <rFont val="Calibri"/>
        <family val="2"/>
      </rPr>
      <t>Medicare</t>
    </r>
  </si>
  <si>
    <r>
      <rPr>
        <sz val="7.5"/>
        <color rgb="FF231F20"/>
        <rFont val="Calibri"/>
        <family val="2"/>
      </rPr>
      <t>CIGNA</t>
    </r>
  </si>
  <si>
    <r>
      <rPr>
        <sz val="7.5"/>
        <color rgb="FF231F20"/>
        <rFont val="Calibri"/>
        <family val="2"/>
      </rPr>
      <t>Mbr</t>
    </r>
  </si>
  <si>
    <r>
      <rPr>
        <sz val="7.5"/>
        <color rgb="FF231F20"/>
        <rFont val="Calibri"/>
        <family val="2"/>
      </rPr>
      <t>Comp</t>
    </r>
  </si>
  <si>
    <r>
      <rPr>
        <sz val="7.5"/>
        <color rgb="FF231F20"/>
        <rFont val="Calibri"/>
        <family val="2"/>
      </rPr>
      <t>Payment</t>
    </r>
  </si>
  <si>
    <r>
      <rPr>
        <sz val="7.5"/>
        <color rgb="FF231F20"/>
        <rFont val="Calibri"/>
        <family val="2"/>
      </rPr>
      <t>number</t>
    </r>
  </si>
  <si>
    <r>
      <rPr>
        <sz val="7.5"/>
        <color rgb="FF231F20"/>
        <rFont val="Calibri"/>
        <family val="2"/>
      </rPr>
      <t>ID</t>
    </r>
  </si>
  <si>
    <r>
      <rPr>
        <sz val="7.5"/>
        <color rgb="FF231F20"/>
        <rFont val="Calibri"/>
        <family val="2"/>
      </rPr>
      <t>Member name</t>
    </r>
  </si>
  <si>
    <r>
      <rPr>
        <sz val="7.5"/>
        <color rgb="FF231F20"/>
        <rFont val="Calibri"/>
        <family val="2"/>
      </rPr>
      <t>st</t>
    </r>
  </si>
  <si>
    <r>
      <rPr>
        <sz val="7.5"/>
        <color rgb="FF231F20"/>
        <rFont val="Calibri"/>
        <family val="2"/>
      </rPr>
      <t>Sale date</t>
    </r>
  </si>
  <si>
    <r>
      <rPr>
        <sz val="7.5"/>
        <color rgb="FF231F20"/>
        <rFont val="Calibri"/>
        <family val="2"/>
      </rPr>
      <t>Agent ID</t>
    </r>
  </si>
  <si>
    <r>
      <rPr>
        <sz val="7.5"/>
        <color rgb="FF231F20"/>
        <rFont val="Calibri"/>
        <family val="2"/>
      </rPr>
      <t>Effective date</t>
    </r>
  </si>
  <si>
    <r>
      <rPr>
        <sz val="7.5"/>
        <color rgb="FF231F20"/>
        <rFont val="Calibri"/>
        <family val="2"/>
      </rPr>
      <t>Dis-enroll date</t>
    </r>
  </si>
  <si>
    <r>
      <rPr>
        <sz val="7.5"/>
        <color rgb="FF231F20"/>
        <rFont val="Calibri"/>
        <family val="2"/>
      </rPr>
      <t>Status</t>
    </r>
  </si>
  <si>
    <r>
      <rPr>
        <sz val="7.5"/>
        <color rgb="FF231F20"/>
        <rFont val="Calibri"/>
        <family val="2"/>
      </rPr>
      <t>rate</t>
    </r>
  </si>
  <si>
    <r>
      <rPr>
        <sz val="7.5"/>
        <color rgb="FF231F20"/>
        <rFont val="Calibri"/>
        <family val="2"/>
      </rPr>
      <t>type</t>
    </r>
  </si>
  <si>
    <r>
      <rPr>
        <sz val="7.5"/>
        <color rgb="FF231F20"/>
        <rFont val="Calibri"/>
        <family val="2"/>
      </rPr>
      <t>6UK8RD5RD49</t>
    </r>
  </si>
  <si>
    <r>
      <rPr>
        <sz val="7.5"/>
        <color rgb="FF231F20"/>
        <rFont val="Calibri"/>
        <family val="2"/>
      </rPr>
      <t>20351186001 BALDERSTON, JANET</t>
    </r>
  </si>
  <si>
    <r>
      <rPr>
        <sz val="7.5"/>
        <color rgb="FF231F20"/>
        <rFont val="Calibri"/>
        <family val="2"/>
      </rPr>
      <t>PA</t>
    </r>
  </si>
  <si>
    <r>
      <rPr>
        <sz val="7.5"/>
        <color rgb="FF231F20"/>
        <rFont val="Calibri"/>
        <family val="2"/>
      </rPr>
      <t>C550596</t>
    </r>
  </si>
  <si>
    <r>
      <rPr>
        <sz val="7.5"/>
        <color rgb="FF231F20"/>
        <rFont val="Calibri"/>
        <family val="2"/>
      </rPr>
      <t>CMS TRUE UP</t>
    </r>
  </si>
  <si>
    <r>
      <rPr>
        <sz val="7.5"/>
        <color rgb="FF231F20"/>
        <rFont val="Calibri"/>
        <family val="2"/>
      </rPr>
      <t>H1</t>
    </r>
  </si>
  <si>
    <r>
      <rPr>
        <sz val="7.5"/>
        <color rgb="FF231F20"/>
        <rFont val="Calibri"/>
        <family val="2"/>
      </rPr>
      <t>CMS APPROVED ENROLLMENT</t>
    </r>
  </si>
  <si>
    <r>
      <rPr>
        <sz val="7.5"/>
        <color rgb="FF231F20"/>
        <rFont val="Calibri"/>
        <family val="2"/>
      </rPr>
      <t>3J80H80MH33</t>
    </r>
  </si>
  <si>
    <r>
      <rPr>
        <sz val="7.5"/>
        <color rgb="FF231F20"/>
        <rFont val="Calibri"/>
        <family val="2"/>
      </rPr>
      <t>20362943101 BENN, GARY</t>
    </r>
  </si>
  <si>
    <r>
      <rPr>
        <sz val="7.5"/>
        <color rgb="FF231F20"/>
        <rFont val="Calibri"/>
        <family val="2"/>
      </rPr>
      <t>3HG8WQ6HU68 91000734690 DEVOE, ROBERT</t>
    </r>
  </si>
  <si>
    <r>
      <rPr>
        <sz val="7.5"/>
        <color rgb="FF231F20"/>
        <rFont val="Calibri"/>
        <family val="2"/>
      </rPr>
      <t>CA</t>
    </r>
  </si>
  <si>
    <r>
      <rPr>
        <sz val="7.5"/>
        <color rgb="FF231F20"/>
        <rFont val="Calibri"/>
        <family val="2"/>
      </rPr>
      <t>C629657</t>
    </r>
  </si>
  <si>
    <r>
      <rPr>
        <sz val="7.5"/>
        <color rgb="FF231F20"/>
        <rFont val="Calibri"/>
        <family val="2"/>
      </rPr>
      <t>Y1</t>
    </r>
  </si>
  <si>
    <r>
      <rPr>
        <sz val="7.5"/>
        <color rgb="FF231F20"/>
        <rFont val="Calibri"/>
        <family val="2"/>
      </rPr>
      <t>4CX9R06HT21</t>
    </r>
  </si>
  <si>
    <r>
      <rPr>
        <sz val="7.5"/>
        <color rgb="FF231F20"/>
        <rFont val="Calibri"/>
        <family val="2"/>
      </rPr>
      <t>20333464401 DOYLE, THOMAS</t>
    </r>
  </si>
  <si>
    <r>
      <rPr>
        <sz val="7.5"/>
        <color rgb="FF231F20"/>
        <rFont val="Calibri"/>
        <family val="2"/>
      </rPr>
      <t>C547270</t>
    </r>
  </si>
  <si>
    <r>
      <rPr>
        <sz val="7.5"/>
        <color rgb="FF231F20"/>
        <rFont val="Calibri"/>
        <family val="2"/>
      </rPr>
      <t>2J12F45WQ21</t>
    </r>
  </si>
  <si>
    <r>
      <rPr>
        <sz val="7.5"/>
        <color rgb="FF231F20"/>
        <rFont val="Calibri"/>
        <family val="2"/>
      </rPr>
      <t>20201251401 HANILY, MICHAEL</t>
    </r>
  </si>
  <si>
    <r>
      <rPr>
        <sz val="7.5"/>
        <color rgb="FF231F20"/>
        <rFont val="Calibri"/>
        <family val="2"/>
      </rPr>
      <t>NJ</t>
    </r>
  </si>
  <si>
    <r>
      <rPr>
        <sz val="7.5"/>
        <color rgb="FF231F20"/>
        <rFont val="Calibri"/>
        <family val="2"/>
      </rPr>
      <t>C397281</t>
    </r>
  </si>
  <si>
    <r>
      <rPr>
        <sz val="7.5"/>
        <color rgb="FF231F20"/>
        <rFont val="Calibri"/>
        <family val="2"/>
      </rPr>
      <t>DISENROLLMENT-DECEASED</t>
    </r>
  </si>
  <si>
    <r>
      <rPr>
        <sz val="7.5"/>
        <color rgb="FF231F20"/>
        <rFont val="Calibri"/>
        <family val="2"/>
      </rPr>
      <t>5VC3C08QY09</t>
    </r>
  </si>
  <si>
    <r>
      <rPr>
        <sz val="7.5"/>
        <color rgb="FF231F20"/>
        <rFont val="Calibri"/>
        <family val="2"/>
      </rPr>
      <t>20335584701 HUFFMAN, PATRICIA</t>
    </r>
  </si>
  <si>
    <r>
      <rPr>
        <sz val="7.5"/>
        <color rgb="FF231F20"/>
        <rFont val="Calibri"/>
        <family val="2"/>
      </rPr>
      <t>IL</t>
    </r>
  </si>
  <si>
    <r>
      <rPr>
        <sz val="7.5"/>
        <color rgb="FF231F20"/>
        <rFont val="Calibri"/>
        <family val="2"/>
      </rPr>
      <t>C637910</t>
    </r>
  </si>
  <si>
    <r>
      <rPr>
        <sz val="7.5"/>
        <color rgb="FF231F20"/>
        <rFont val="Calibri"/>
        <family val="2"/>
      </rPr>
      <t>8YU0HX9MW31 20355518001 JONES, KAREN</t>
    </r>
  </si>
  <si>
    <r>
      <rPr>
        <sz val="7.5"/>
        <color rgb="FF231F20"/>
        <rFont val="Calibri"/>
        <family val="2"/>
      </rPr>
      <t>5XT6KK5RP83</t>
    </r>
  </si>
  <si>
    <r>
      <rPr>
        <sz val="7.5"/>
        <color rgb="FF231F20"/>
        <rFont val="Calibri"/>
        <family val="2"/>
      </rPr>
      <t>20324171601 MILLER, HARLAN</t>
    </r>
  </si>
  <si>
    <r>
      <rPr>
        <sz val="7.5"/>
        <color rgb="FF231F20"/>
        <rFont val="Calibri"/>
        <family val="2"/>
      </rPr>
      <t>FL</t>
    </r>
  </si>
  <si>
    <r>
      <rPr>
        <sz val="7.5"/>
        <color rgb="FF231F20"/>
        <rFont val="Calibri"/>
        <family val="2"/>
      </rPr>
      <t>3Q94PA0NT72</t>
    </r>
  </si>
  <si>
    <r>
      <rPr>
        <sz val="7.5"/>
        <color rgb="FF231F20"/>
        <rFont val="Calibri"/>
        <family val="2"/>
      </rPr>
      <t>20246173701 RIEMER, LEAH</t>
    </r>
  </si>
  <si>
    <r>
      <rPr>
        <sz val="7.5"/>
        <color rgb="FF231F20"/>
        <rFont val="Calibri"/>
        <family val="2"/>
      </rPr>
      <t>C645462</t>
    </r>
  </si>
  <si>
    <r>
      <rPr>
        <sz val="7.5"/>
        <color rgb="FF231F20"/>
        <rFont val="Calibri"/>
        <family val="2"/>
      </rPr>
      <t>DISENROLLMENT-OTHER PLAN</t>
    </r>
  </si>
  <si>
    <r>
      <rPr>
        <sz val="7.5"/>
        <color rgb="FF231F20"/>
        <rFont val="Calibri"/>
        <family val="2"/>
      </rPr>
      <t>Total CIGNA IND MEDICARE PART D</t>
    </r>
  </si>
  <si>
    <r>
      <rPr>
        <sz val="7.5"/>
        <color rgb="FF4A4849"/>
        <rFont val="Cambria"/>
        <family val="1"/>
      </rPr>
      <t>*Payment type</t>
    </r>
  </si>
  <si>
    <r>
      <rPr>
        <sz val="7.5"/>
        <color rgb="FF4A4849"/>
        <rFont val="Cambria"/>
        <family val="1"/>
      </rPr>
      <t xml:space="preserve">Y1 = </t>
    </r>
    <r>
      <rPr>
        <sz val="7.5"/>
        <color rgb="FF4A4849"/>
        <rFont val="Calibri"/>
        <family val="2"/>
      </rPr>
      <t>Year 1 agent commission</t>
    </r>
    <r>
      <rPr>
        <sz val="7.5"/>
        <color rgb="FF4A4849"/>
        <rFont val="Cambria"/>
        <family val="1"/>
      </rPr>
      <t>-</t>
    </r>
  </si>
  <si>
    <r>
      <rPr>
        <sz val="7.5"/>
        <color rgb="FF231F20"/>
        <rFont val="Cambria"/>
        <family val="1"/>
      </rPr>
      <t xml:space="preserve">H1 = </t>
    </r>
    <r>
      <rPr>
        <sz val="7.5"/>
        <color rgb="FF231F20"/>
        <rFont val="Calibri"/>
        <family val="2"/>
      </rPr>
      <t>Year 1 up-line agent commission</t>
    </r>
  </si>
  <si>
    <r>
      <rPr>
        <sz val="7.5"/>
        <color rgb="FF4A4849"/>
        <rFont val="Cambria"/>
        <family val="1"/>
      </rPr>
      <t xml:space="preserve">Yn = </t>
    </r>
    <r>
      <rPr>
        <sz val="7.5"/>
        <color rgb="FF4A4849"/>
        <rFont val="Calibri"/>
        <family val="2"/>
      </rPr>
      <t>Year 2+ agent commission</t>
    </r>
  </si>
  <si>
    <r>
      <rPr>
        <sz val="7.5"/>
        <color rgb="FF231F20"/>
        <rFont val="Cambria"/>
        <family val="1"/>
      </rPr>
      <t xml:space="preserve">Hn = </t>
    </r>
    <r>
      <rPr>
        <sz val="7.5"/>
        <color rgb="FF231F20"/>
        <rFont val="Calibri"/>
        <family val="2"/>
      </rPr>
      <t>Year 2+ up-line agent commission</t>
    </r>
  </si>
  <si>
    <r>
      <rPr>
        <sz val="7.5"/>
        <color rgb="FF231F20"/>
        <rFont val="Calibri"/>
        <family val="2"/>
      </rPr>
      <t>2W44KD7AU78</t>
    </r>
  </si>
  <si>
    <r>
      <rPr>
        <sz val="7.5"/>
        <color rgb="FF231F20"/>
        <rFont val="Calibri"/>
        <family val="2"/>
      </rPr>
      <t>BELLES, PEGGY</t>
    </r>
  </si>
  <si>
    <r>
      <rPr>
        <sz val="7.5"/>
        <color rgb="FF231F20"/>
        <rFont val="Calibri"/>
        <family val="2"/>
      </rPr>
      <t>5R53WV4PN84</t>
    </r>
  </si>
  <si>
    <r>
      <rPr>
        <sz val="7.5"/>
        <color rgb="FF231F20"/>
        <rFont val="Calibri"/>
        <family val="2"/>
      </rPr>
      <t>FREY, COURTNEY</t>
    </r>
  </si>
  <si>
    <r>
      <rPr>
        <sz val="7.5"/>
        <color rgb="FF231F20"/>
        <rFont val="Calibri"/>
        <family val="2"/>
      </rPr>
      <t>7W89X02TH43</t>
    </r>
  </si>
  <si>
    <r>
      <rPr>
        <sz val="7.5"/>
        <color rgb="FF231F20"/>
        <rFont val="Calibri"/>
        <family val="2"/>
      </rPr>
      <t>HITZ, ROBERT</t>
    </r>
  </si>
  <si>
    <r>
      <rPr>
        <sz val="7.5"/>
        <color rgb="FF231F20"/>
        <rFont val="Calibri"/>
        <family val="2"/>
      </rPr>
      <t>MD</t>
    </r>
  </si>
  <si>
    <r>
      <rPr>
        <sz val="7.5"/>
        <color rgb="FF231F20"/>
        <rFont val="Calibri"/>
        <family val="2"/>
      </rPr>
      <t>C398389</t>
    </r>
  </si>
  <si>
    <r>
      <rPr>
        <sz val="7.5"/>
        <color rgb="FF231F20"/>
        <rFont val="Calibri"/>
        <family val="2"/>
      </rPr>
      <t>3HH2MQ8JT19</t>
    </r>
  </si>
  <si>
    <r>
      <rPr>
        <sz val="7.5"/>
        <color rgb="FF231F20"/>
        <rFont val="Calibri"/>
        <family val="2"/>
      </rPr>
      <t>HOBBS JR, CHARLES</t>
    </r>
  </si>
  <si>
    <r>
      <rPr>
        <sz val="7.5"/>
        <color rgb="FF231F20"/>
        <rFont val="Calibri"/>
        <family val="2"/>
      </rPr>
      <t>4FC2CM5CQ01</t>
    </r>
  </si>
  <si>
    <r>
      <rPr>
        <sz val="7.5"/>
        <color rgb="FF231F20"/>
        <rFont val="Calibri"/>
        <family val="2"/>
      </rPr>
      <t>SCOTT, LARRY</t>
    </r>
  </si>
  <si>
    <r>
      <rPr>
        <sz val="7.5"/>
        <color rgb="FF231F20"/>
        <rFont val="Calibri"/>
        <family val="2"/>
      </rPr>
      <t>2PR8GM0VT36</t>
    </r>
  </si>
  <si>
    <r>
      <rPr>
        <sz val="7.5"/>
        <color rgb="FF231F20"/>
        <rFont val="Calibri"/>
        <family val="2"/>
      </rPr>
      <t>SCOTT, SARAH</t>
    </r>
  </si>
  <si>
    <r>
      <rPr>
        <sz val="7.5"/>
        <color rgb="FF231F20"/>
        <rFont val="Calibri"/>
        <family val="2"/>
      </rPr>
      <t>1DK6DH8VP50</t>
    </r>
  </si>
  <si>
    <r>
      <rPr>
        <sz val="7.5"/>
        <color rgb="FF231F20"/>
        <rFont val="Calibri"/>
        <family val="2"/>
      </rPr>
      <t>ZAIKO, KAREN</t>
    </r>
  </si>
  <si>
    <r>
      <rPr>
        <sz val="7.5"/>
        <color rgb="FF231F20"/>
        <rFont val="Calibri"/>
        <family val="2"/>
      </rPr>
      <t>C529942</t>
    </r>
  </si>
  <si>
    <t>3HG8WQ6HU68</t>
  </si>
  <si>
    <t>DEVOE, ROBERT</t>
  </si>
  <si>
    <t>BALDERSTON, JANET</t>
  </si>
  <si>
    <t>BENN, GARY</t>
  </si>
  <si>
    <t>DOYLE, THOMAS</t>
  </si>
  <si>
    <t>HANILY, MICHAEL</t>
  </si>
  <si>
    <t>HUFFMAN, PATRICIA</t>
  </si>
  <si>
    <t>8YU0HX9MW31</t>
  </si>
  <si>
    <t>JONES, KAREN</t>
  </si>
  <si>
    <t>MILLER, HARLAN</t>
  </si>
  <si>
    <t>RIEMER, LEAH</t>
  </si>
  <si>
    <t>Cigna MAPD 2025 Ovr</t>
  </si>
  <si>
    <t>Cigna PDP</t>
  </si>
  <si>
    <t>MURRAY STERNER</t>
  </si>
  <si>
    <t>ADAM RICHTER</t>
  </si>
  <si>
    <t>ANNE MARIE KOZACHECK</t>
  </si>
  <si>
    <t>STACEY PORTUGAL</t>
  </si>
  <si>
    <t>SAADIA ABDUL</t>
  </si>
  <si>
    <t>MARGARET SMITH</t>
  </si>
  <si>
    <t>Main Line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</si>
</sst>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
  </numFmts>
  <fonts count="35" x14ac:knownFonts="1">
    <font>
      <sz val="10"/>
      <color rgb="FF000000"/>
      <name val="Times New Roman"/>
      <charset val="204"/>
    </font>
    <font>
      <sz val="17"/>
      <name val="Cambria"/>
      <family val="1"/>
    </font>
    <font>
      <sz val="8.5"/>
      <name val="Book Antiqua"/>
      <family val="1"/>
    </font>
    <font>
      <sz val="8.5"/>
      <name val="Calibri"/>
      <family val="2"/>
    </font>
    <font>
      <sz val="6.5"/>
      <name val="Calibri"/>
      <family val="2"/>
    </font>
    <font>
      <sz val="9.5"/>
      <name val="Calibri"/>
      <family val="2"/>
    </font>
    <font>
      <sz val="11"/>
      <color rgb="FF231F20"/>
      <name val="Calibri"/>
      <family val="2"/>
    </font>
    <font>
      <sz val="17.5"/>
      <name val="Lucida Sans"/>
      <family val="2"/>
    </font>
    <font>
      <sz val="16"/>
      <name val="Cambria"/>
      <family val="1"/>
    </font>
    <font>
      <sz val="8.5"/>
      <name val="Cambria"/>
      <family val="1"/>
    </font>
    <font>
      <sz val="7.5"/>
      <name val="Calibri"/>
      <family val="2"/>
    </font>
    <font>
      <sz val="8.5"/>
      <color rgb="FF231F20"/>
      <name val="Cambria"/>
      <family val="2"/>
    </font>
    <font>
      <sz val="8.5"/>
      <color rgb="FF231F20"/>
      <name val="Calibri"/>
      <family val="2"/>
    </font>
    <font>
      <sz val="11.5"/>
      <name val="Calibri"/>
      <family val="2"/>
    </font>
    <font>
      <sz val="7.5"/>
      <color rgb="FF231F20"/>
      <name val="Calibri"/>
      <family val="2"/>
    </font>
    <font>
      <sz val="7.5"/>
      <name val="Cambria"/>
      <family val="1"/>
    </font>
    <font>
      <u/>
      <sz val="9.5"/>
      <color rgb="FF231F20"/>
      <name val="Calibri"/>
      <family val="2"/>
    </font>
    <font>
      <sz val="9.5"/>
      <color rgb="FF231F20"/>
      <name val="Calibri"/>
      <family val="2"/>
    </font>
    <font>
      <sz val="9.5"/>
      <color rgb="FF231F20"/>
      <name val="Tahoma"/>
      <family val="2"/>
    </font>
    <font>
      <sz val="17"/>
      <color rgb="FF231F20"/>
      <name val="Cambria"/>
      <family val="1"/>
    </font>
    <font>
      <sz val="8.5"/>
      <color rgb="FF231F20"/>
      <name val="Book Antiqua"/>
      <family val="1"/>
    </font>
    <font>
      <sz val="9"/>
      <color rgb="FF231F20"/>
      <name val="Arial"/>
      <family val="2"/>
    </font>
    <font>
      <vertAlign val="superscript"/>
      <sz val="6.5"/>
      <color rgb="FF231F20"/>
      <name val="Calibri"/>
      <family val="2"/>
    </font>
    <font>
      <sz val="6.5"/>
      <color rgb="FF231F20"/>
      <name val="Calibri"/>
      <family val="2"/>
    </font>
    <font>
      <sz val="17.5"/>
      <color rgb="FFDCDFE2"/>
      <name val="Lucida Sans"/>
      <family val="2"/>
    </font>
    <font>
      <sz val="16"/>
      <color rgb="FF231F20"/>
      <name val="Cambria"/>
      <family val="1"/>
    </font>
    <font>
      <sz val="8.5"/>
      <color rgb="FF231F20"/>
      <name val="Cambria"/>
      <family val="1"/>
    </font>
    <font>
      <sz val="9"/>
      <color rgb="FF231F20"/>
      <name val="Times New Roman"/>
      <family val="1"/>
    </font>
    <font>
      <u/>
      <sz val="8.5"/>
      <color rgb="FF231F20"/>
      <name val="Calibri"/>
      <family val="2"/>
    </font>
    <font>
      <sz val="10"/>
      <color rgb="FF231F20"/>
      <name val="Times New Roman"/>
      <family val="1"/>
    </font>
    <font>
      <sz val="11.5"/>
      <color rgb="FF231F20"/>
      <name val="Calibri"/>
      <family val="2"/>
    </font>
    <font>
      <sz val="7.5"/>
      <color rgb="FF4A4849"/>
      <name val="Cambria"/>
      <family val="1"/>
    </font>
    <font>
      <sz val="7.5"/>
      <color rgb="FF4A4849"/>
      <name val="Calibri"/>
      <family val="2"/>
    </font>
    <font>
      <sz val="7.5"/>
      <color rgb="FF231F20"/>
      <name val="Cambria"/>
      <family val="1"/>
    </font>
    <font>
      <sz val="10"/>
      <color rgb="FF000000"/>
      <name val="Times New Roman"/>
      <family val="1"/>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109">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10" fillId="0" borderId="5" xfId="0" applyFont="1" applyBorder="1" applyAlignment="1">
      <alignment horizontal="left" vertical="top" wrapText="1"/>
    </xf>
    <xf numFmtId="0" fontId="0" fillId="0" borderId="5" xfId="0" applyBorder="1" applyAlignment="1">
      <alignment horizontal="right" vertical="top" wrapText="1"/>
    </xf>
    <xf numFmtId="0" fontId="0" fillId="0" borderId="2" xfId="0" applyBorder="1" applyAlignment="1">
      <alignment horizontal="left" wrapText="1"/>
    </xf>
    <xf numFmtId="0" fontId="0" fillId="0" borderId="5" xfId="0" applyBorder="1" applyAlignment="1">
      <alignment horizontal="left" vertical="center" wrapText="1"/>
    </xf>
    <xf numFmtId="0" fontId="0" fillId="0" borderId="2" xfId="0" applyBorder="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right" vertical="top" wrapText="1"/>
    </xf>
    <xf numFmtId="0" fontId="10" fillId="0" borderId="5" xfId="0" applyFont="1" applyBorder="1" applyAlignment="1">
      <alignment horizontal="center" vertical="top" wrapText="1"/>
    </xf>
    <xf numFmtId="0" fontId="10" fillId="0" borderId="5" xfId="0" applyFont="1" applyBorder="1" applyAlignment="1">
      <alignment horizontal="right" vertical="top" wrapText="1" indent="1"/>
    </xf>
    <xf numFmtId="0" fontId="10" fillId="0" borderId="5" xfId="0" applyFont="1" applyBorder="1" applyAlignment="1">
      <alignment horizontal="right" vertical="top" wrapText="1"/>
    </xf>
    <xf numFmtId="0" fontId="10" fillId="0" borderId="2" xfId="0" applyFont="1" applyBorder="1" applyAlignment="1">
      <alignment horizontal="left" vertical="top" wrapText="1"/>
    </xf>
    <xf numFmtId="165" fontId="14" fillId="0" borderId="2" xfId="0" applyNumberFormat="1" applyFont="1" applyBorder="1" applyAlignment="1">
      <alignment horizontal="left" vertical="top" shrinkToFit="1"/>
    </xf>
    <xf numFmtId="0" fontId="10" fillId="0" borderId="2" xfId="0" applyFont="1" applyBorder="1" applyAlignment="1">
      <alignment horizontal="center" vertical="top" wrapText="1"/>
    </xf>
    <xf numFmtId="0" fontId="0" fillId="0" borderId="2" xfId="0" applyBorder="1" applyAlignment="1">
      <alignment horizontal="left" vertical="center" wrapText="1"/>
    </xf>
    <xf numFmtId="2" fontId="14" fillId="0" borderId="2" xfId="0" applyNumberFormat="1" applyFont="1" applyBorder="1" applyAlignment="1">
      <alignment horizontal="right" vertical="top" indent="1" shrinkToFit="1"/>
    </xf>
    <xf numFmtId="0" fontId="10" fillId="0" borderId="2" xfId="0" applyFont="1" applyBorder="1" applyAlignment="1">
      <alignment horizontal="right" vertical="top" wrapText="1"/>
    </xf>
    <xf numFmtId="165" fontId="14" fillId="0" borderId="0" xfId="0" applyNumberFormat="1" applyFont="1" applyAlignment="1">
      <alignment horizontal="left" vertical="top" shrinkToFit="1"/>
    </xf>
    <xf numFmtId="0" fontId="10" fillId="0" borderId="0" xfId="0" applyFont="1" applyAlignment="1">
      <alignment horizontal="center" vertical="top" wrapText="1"/>
    </xf>
    <xf numFmtId="2" fontId="14" fillId="0" borderId="0" xfId="0" applyNumberFormat="1" applyFont="1" applyAlignment="1">
      <alignment horizontal="right" vertical="top" indent="1" shrinkToFit="1"/>
    </xf>
    <xf numFmtId="165" fontId="14" fillId="0" borderId="5" xfId="0" applyNumberFormat="1" applyFont="1" applyBorder="1" applyAlignment="1">
      <alignment horizontal="left" vertical="top" shrinkToFit="1"/>
    </xf>
    <xf numFmtId="2" fontId="14" fillId="0" borderId="5" xfId="0" applyNumberFormat="1" applyFont="1" applyBorder="1" applyAlignment="1">
      <alignment horizontal="right" vertical="top" indent="1" shrinkToFit="1"/>
    </xf>
    <xf numFmtId="0" fontId="0" fillId="0" borderId="0" xfId="0" applyAlignment="1">
      <alignment horizontal="left" vertical="top" wrapText="1" indent="10"/>
    </xf>
    <xf numFmtId="0" fontId="0" fillId="0" borderId="0" xfId="0" applyAlignment="1">
      <alignment horizontal="left" vertical="center" wrapText="1" indent="26"/>
    </xf>
    <xf numFmtId="0" fontId="1" fillId="0" borderId="0" xfId="0" applyFont="1" applyAlignment="1">
      <alignment horizontal="left" vertical="top" wrapText="1" indent="8"/>
    </xf>
    <xf numFmtId="0" fontId="0" fillId="0" borderId="0" xfId="0" applyAlignment="1">
      <alignment horizontal="left" vertical="center" wrapText="1"/>
    </xf>
    <xf numFmtId="0" fontId="2" fillId="0" borderId="0" xfId="0" applyFont="1" applyAlignment="1">
      <alignment horizontal="left" vertical="center" wrapText="1" indent="8"/>
    </xf>
    <xf numFmtId="0" fontId="2" fillId="0" borderId="0" xfId="0" applyFont="1" applyAlignment="1">
      <alignment horizontal="right" vertical="top" wrapText="1"/>
    </xf>
    <xf numFmtId="0" fontId="0" fillId="0" borderId="0" xfId="0" applyAlignment="1">
      <alignment horizontal="right" vertical="top" wrapText="1" indent="2"/>
    </xf>
    <xf numFmtId="0" fontId="0" fillId="0" borderId="0" xfId="0" applyAlignment="1">
      <alignment horizontal="left" vertical="top" wrapText="1" indent="8"/>
    </xf>
    <xf numFmtId="0" fontId="3" fillId="0" borderId="0" xfId="0" applyFont="1" applyAlignment="1">
      <alignment horizontal="left" vertical="center" wrapText="1" indent="8"/>
    </xf>
    <xf numFmtId="0" fontId="0" fillId="0" borderId="0" xfId="0" applyAlignment="1">
      <alignment horizontal="left" wrapText="1" indent="29"/>
    </xf>
    <xf numFmtId="0" fontId="0" fillId="0" borderId="0" xfId="0" applyAlignment="1">
      <alignment horizontal="right" wrapText="1" indent="2"/>
    </xf>
    <xf numFmtId="0" fontId="0" fillId="0" borderId="0" xfId="0" applyAlignment="1">
      <alignment horizontal="left" wrapText="1"/>
    </xf>
    <xf numFmtId="0" fontId="4" fillId="0" borderId="0" xfId="0" applyFont="1" applyAlignment="1">
      <alignment horizontal="left" vertical="top" wrapText="1"/>
    </xf>
    <xf numFmtId="0" fontId="5" fillId="0" borderId="0" xfId="0" applyFont="1" applyAlignment="1">
      <alignment horizontal="left" vertical="top" wrapText="1" indent="7"/>
    </xf>
    <xf numFmtId="0" fontId="0" fillId="0" borderId="0" xfId="0" applyAlignment="1">
      <alignment horizontal="left" wrapText="1" indent="7"/>
    </xf>
    <xf numFmtId="164" fontId="6" fillId="0" borderId="1" xfId="0" applyNumberFormat="1" applyFont="1" applyBorder="1" applyAlignment="1">
      <alignment horizontal="left" vertical="top" indent="8" shrinkToFit="1"/>
    </xf>
    <xf numFmtId="164" fontId="6" fillId="0" borderId="2" xfId="0" applyNumberFormat="1" applyFont="1" applyBorder="1" applyAlignment="1">
      <alignment horizontal="left" vertical="top" indent="8" shrinkToFit="1"/>
    </xf>
    <xf numFmtId="164" fontId="6" fillId="0" borderId="3" xfId="0" applyNumberFormat="1" applyFont="1" applyBorder="1" applyAlignment="1">
      <alignment horizontal="left" vertical="top" indent="8" shrinkToFit="1"/>
    </xf>
    <xf numFmtId="164" fontId="6" fillId="0" borderId="4" xfId="0" applyNumberFormat="1" applyFont="1" applyBorder="1" applyAlignment="1">
      <alignment horizontal="left" vertical="top" indent="8" shrinkToFit="1"/>
    </xf>
    <xf numFmtId="164" fontId="6" fillId="0" borderId="5" xfId="0" applyNumberFormat="1" applyFont="1" applyBorder="1" applyAlignment="1">
      <alignment horizontal="left" vertical="top" indent="8" shrinkToFit="1"/>
    </xf>
    <xf numFmtId="164" fontId="6" fillId="0" borderId="6" xfId="0" applyNumberFormat="1" applyFont="1" applyBorder="1" applyAlignment="1">
      <alignment horizontal="left" vertical="top" indent="8" shrinkToFit="1"/>
    </xf>
    <xf numFmtId="0" fontId="4" fillId="0" borderId="0" xfId="0" applyFont="1" applyAlignment="1">
      <alignment horizontal="left" vertical="top" wrapText="1" indent="7"/>
    </xf>
    <xf numFmtId="0" fontId="3" fillId="0" borderId="0" xfId="0" applyFont="1" applyAlignment="1">
      <alignment horizontal="left" vertical="top" wrapText="1" indent="3"/>
    </xf>
    <xf numFmtId="0" fontId="7" fillId="0" borderId="0" xfId="0" applyFont="1" applyAlignment="1">
      <alignment horizontal="left" vertical="center" wrapText="1" indent="42"/>
    </xf>
    <xf numFmtId="0" fontId="8" fillId="0" borderId="0" xfId="0" applyFont="1" applyAlignment="1">
      <alignment horizontal="left" vertical="center" wrapText="1"/>
    </xf>
    <xf numFmtId="0" fontId="9" fillId="0" borderId="0" xfId="0" applyFont="1" applyAlignment="1">
      <alignment horizontal="left" wrapText="1" indent="1"/>
    </xf>
    <xf numFmtId="0" fontId="0" fillId="0" borderId="0" xfId="0" applyAlignment="1">
      <alignment horizontal="left" vertical="center" wrapText="1" indent="40"/>
    </xf>
    <xf numFmtId="0" fontId="0" fillId="0" borderId="0" xfId="0" applyAlignment="1">
      <alignment horizontal="left" vertical="top" wrapText="1"/>
    </xf>
    <xf numFmtId="0" fontId="0" fillId="0" borderId="0" xfId="0" applyAlignment="1">
      <alignment horizontal="left" vertical="top" wrapText="1" indent="40"/>
    </xf>
    <xf numFmtId="0" fontId="10" fillId="0" borderId="5" xfId="0" applyFont="1" applyBorder="1" applyAlignment="1">
      <alignment horizontal="left" vertical="top" wrapText="1"/>
    </xf>
    <xf numFmtId="0" fontId="0" fillId="0" borderId="5" xfId="0" applyBorder="1" applyAlignment="1">
      <alignment horizontal="left" vertical="top" wrapText="1" indent="6"/>
    </xf>
    <xf numFmtId="0" fontId="10" fillId="0" borderId="5" xfId="0" applyFont="1" applyBorder="1" applyAlignment="1">
      <alignment horizontal="left" vertical="top" wrapText="1" indent="9"/>
    </xf>
    <xf numFmtId="0" fontId="0" fillId="0" borderId="5" xfId="0" applyBorder="1" applyAlignment="1">
      <alignment horizontal="right" vertical="top" wrapText="1"/>
    </xf>
    <xf numFmtId="0" fontId="0" fillId="0" borderId="5" xfId="0" applyBorder="1" applyAlignment="1">
      <alignment horizontal="right" vertical="top" wrapText="1" indent="1"/>
    </xf>
    <xf numFmtId="0" fontId="0" fillId="0" borderId="5" xfId="0" applyBorder="1" applyAlignment="1">
      <alignment horizontal="left" vertical="top" wrapText="1" indent="4"/>
    </xf>
    <xf numFmtId="0" fontId="9" fillId="0" borderId="2" xfId="0" applyFont="1" applyBorder="1" applyAlignment="1">
      <alignment horizontal="left" vertical="top" wrapText="1"/>
    </xf>
    <xf numFmtId="0" fontId="0" fillId="0" borderId="2" xfId="0" applyBorder="1" applyAlignment="1">
      <alignment horizontal="left" wrapText="1"/>
    </xf>
    <xf numFmtId="2" fontId="11" fillId="0" borderId="2" xfId="0" applyNumberFormat="1" applyFont="1" applyBorder="1" applyAlignment="1">
      <alignment horizontal="left" vertical="top" indent="5" shrinkToFit="1"/>
    </xf>
    <xf numFmtId="0" fontId="3" fillId="0" borderId="5" xfId="0" applyFont="1" applyBorder="1" applyAlignment="1">
      <alignment horizontal="left" vertical="top" wrapText="1"/>
    </xf>
    <xf numFmtId="0" fontId="3" fillId="0" borderId="5" xfId="0" applyFont="1" applyBorder="1" applyAlignment="1">
      <alignment horizontal="left" vertical="top" wrapText="1" indent="6"/>
    </xf>
    <xf numFmtId="0" fontId="0" fillId="0" borderId="5" xfId="0" applyBorder="1" applyAlignment="1">
      <alignment horizontal="left" vertical="center" wrapText="1"/>
    </xf>
    <xf numFmtId="2" fontId="12" fillId="0" borderId="5" xfId="0" applyNumberFormat="1" applyFont="1" applyBorder="1" applyAlignment="1">
      <alignment horizontal="left" vertical="top" indent="4" shrinkToFit="1"/>
    </xf>
    <xf numFmtId="0" fontId="0" fillId="0" borderId="2" xfId="0" applyBorder="1" applyAlignment="1">
      <alignment horizontal="left" vertical="top" wrapText="1"/>
    </xf>
    <xf numFmtId="2" fontId="11" fillId="0" borderId="2" xfId="0" applyNumberFormat="1" applyFont="1" applyBorder="1" applyAlignment="1">
      <alignment horizontal="left" vertical="top" indent="4" shrinkToFit="1"/>
    </xf>
    <xf numFmtId="0" fontId="8"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left" vertical="top" wrapText="1" indent="3"/>
    </xf>
    <xf numFmtId="0" fontId="10" fillId="0" borderId="0" xfId="0" applyFont="1" applyAlignment="1">
      <alignment horizontal="right" vertical="top" wrapText="1" indent="3"/>
    </xf>
    <xf numFmtId="0" fontId="10" fillId="0" borderId="5" xfId="0" applyFont="1" applyBorder="1" applyAlignment="1">
      <alignment horizontal="left" vertical="top" wrapText="1" indent="2"/>
    </xf>
    <xf numFmtId="0" fontId="10" fillId="0" borderId="5" xfId="0" applyFont="1" applyBorder="1" applyAlignment="1">
      <alignment horizontal="left" vertical="top" wrapText="1" indent="3"/>
    </xf>
    <xf numFmtId="0" fontId="10" fillId="0" borderId="5" xfId="0" applyFont="1" applyBorder="1" applyAlignment="1">
      <alignment horizontal="left" vertical="top" wrapText="1" indent="1"/>
    </xf>
    <xf numFmtId="0" fontId="10" fillId="0" borderId="5" xfId="0" applyFont="1" applyBorder="1" applyAlignment="1">
      <alignment horizontal="right" vertical="top" wrapText="1" indent="3"/>
    </xf>
    <xf numFmtId="0" fontId="10" fillId="0" borderId="2" xfId="0" applyFont="1" applyBorder="1" applyAlignment="1">
      <alignment horizontal="left" vertical="top" wrapText="1"/>
    </xf>
    <xf numFmtId="0" fontId="10" fillId="0" borderId="2" xfId="0" applyFont="1" applyBorder="1" applyAlignment="1">
      <alignment horizontal="left" vertical="top" wrapText="1" indent="3"/>
    </xf>
    <xf numFmtId="165" fontId="14" fillId="0" borderId="2" xfId="0" applyNumberFormat="1" applyFont="1" applyBorder="1" applyAlignment="1">
      <alignment horizontal="left" vertical="top" indent="1" shrinkToFit="1"/>
    </xf>
    <xf numFmtId="0" fontId="0" fillId="0" borderId="2" xfId="0" applyBorder="1" applyAlignment="1">
      <alignment horizontal="left" vertical="center" wrapText="1"/>
    </xf>
    <xf numFmtId="2" fontId="14" fillId="0" borderId="2" xfId="0" applyNumberFormat="1" applyFont="1" applyBorder="1" applyAlignment="1">
      <alignment horizontal="right" vertical="top" indent="3" shrinkToFit="1"/>
    </xf>
    <xf numFmtId="165" fontId="14" fillId="0" borderId="0" xfId="0" applyNumberFormat="1" applyFont="1" applyAlignment="1">
      <alignment horizontal="left" vertical="top" indent="1" shrinkToFit="1"/>
    </xf>
    <xf numFmtId="2" fontId="14" fillId="0" borderId="0" xfId="0" applyNumberFormat="1" applyFont="1" applyAlignment="1">
      <alignment horizontal="right" vertical="top" indent="3" shrinkToFit="1"/>
    </xf>
    <xf numFmtId="165" fontId="14" fillId="0" borderId="0" xfId="0" applyNumberFormat="1" applyFont="1" applyAlignment="1">
      <alignment horizontal="left" vertical="top" shrinkToFit="1"/>
    </xf>
    <xf numFmtId="165" fontId="14" fillId="0" borderId="5" xfId="0" applyNumberFormat="1" applyFont="1" applyBorder="1" applyAlignment="1">
      <alignment horizontal="left" vertical="top" indent="1" shrinkToFit="1"/>
    </xf>
    <xf numFmtId="165" fontId="14" fillId="0" borderId="5" xfId="0" applyNumberFormat="1" applyFont="1" applyBorder="1" applyAlignment="1">
      <alignment horizontal="left" vertical="top" shrinkToFit="1"/>
    </xf>
    <xf numFmtId="2" fontId="14" fillId="0" borderId="5" xfId="0" applyNumberFormat="1" applyFont="1" applyBorder="1" applyAlignment="1">
      <alignment horizontal="right" vertical="top" indent="3" shrinkToFit="1"/>
    </xf>
    <xf numFmtId="0" fontId="15" fillId="0" borderId="0" xfId="0" applyFont="1" applyAlignment="1">
      <alignment horizontal="left" vertical="top" wrapText="1"/>
    </xf>
    <xf numFmtId="0" fontId="0" fillId="0" borderId="0" xfId="0" applyAlignment="1">
      <alignment horizontal="left" vertical="top" wrapText="1" indent="1"/>
    </xf>
    <xf numFmtId="0" fontId="10" fillId="0" borderId="0" xfId="0" applyFont="1" applyBorder="1" applyAlignment="1">
      <alignment horizontal="left" vertical="top" wrapText="1"/>
    </xf>
    <xf numFmtId="1" fontId="14" fillId="0" borderId="0" xfId="0" applyNumberFormat="1" applyFont="1" applyBorder="1" applyAlignment="1">
      <alignment horizontal="left" vertical="top" shrinkToFit="1"/>
    </xf>
    <xf numFmtId="165" fontId="14" fillId="0" borderId="0" xfId="0" applyNumberFormat="1" applyFont="1" applyBorder="1" applyAlignment="1">
      <alignment horizontal="left" vertical="top" shrinkToFit="1"/>
    </xf>
    <xf numFmtId="0" fontId="0" fillId="0" borderId="0" xfId="0" applyBorder="1" applyAlignment="1">
      <alignment horizontal="left" vertical="center" wrapText="1"/>
    </xf>
    <xf numFmtId="2" fontId="14" fillId="0" borderId="0" xfId="0" applyNumberFormat="1" applyFont="1" applyBorder="1" applyAlignment="1">
      <alignment horizontal="left" vertical="top" shrinkToFit="1"/>
    </xf>
    <xf numFmtId="2" fontId="14" fillId="0" borderId="0" xfId="0" applyNumberFormat="1" applyFont="1" applyBorder="1" applyAlignment="1">
      <alignment horizontal="left" vertical="top" indent="1" shrinkToFit="1"/>
    </xf>
    <xf numFmtId="0" fontId="0" fillId="0" borderId="0" xfId="0" applyBorder="1" applyAlignment="1">
      <alignment horizontal="left" vertical="top"/>
    </xf>
    <xf numFmtId="0" fontId="15" fillId="0" borderId="0" xfId="0" applyFont="1" applyBorder="1" applyAlignment="1">
      <alignment horizontal="left" vertical="top" wrapText="1"/>
    </xf>
    <xf numFmtId="0" fontId="0" fillId="0" borderId="0" xfId="0" applyBorder="1" applyAlignment="1">
      <alignment horizontal="left" wrapText="1"/>
    </xf>
    <xf numFmtId="0" fontId="0" fillId="0" borderId="0" xfId="0" applyBorder="1" applyAlignment="1">
      <alignment horizontal="left" vertical="top" wrapText="1"/>
    </xf>
    <xf numFmtId="0" fontId="10" fillId="2" borderId="0" xfId="0" applyFont="1" applyFill="1" applyBorder="1" applyAlignment="1">
      <alignment horizontal="left" vertical="top" wrapText="1"/>
    </xf>
    <xf numFmtId="165" fontId="14" fillId="2" borderId="0" xfId="0" applyNumberFormat="1" applyFont="1" applyFill="1" applyBorder="1" applyAlignment="1">
      <alignment horizontal="left" vertical="top" shrinkToFit="1"/>
    </xf>
    <xf numFmtId="0" fontId="0" fillId="2" borderId="0" xfId="0" applyFill="1" applyBorder="1" applyAlignment="1">
      <alignment horizontal="left" vertical="center" wrapText="1"/>
    </xf>
    <xf numFmtId="2" fontId="14" fillId="2" borderId="0" xfId="0" applyNumberFormat="1" applyFont="1" applyFill="1" applyBorder="1" applyAlignment="1">
      <alignment horizontal="left" vertical="top" shrinkToFit="1"/>
    </xf>
    <xf numFmtId="0" fontId="0" fillId="2" borderId="0" xfId="0" applyFill="1" applyBorder="1" applyAlignment="1">
      <alignment horizontal="left" vertical="top"/>
    </xf>
    <xf numFmtId="2" fontId="14" fillId="2" borderId="0" xfId="0" applyNumberFormat="1" applyFont="1" applyFill="1" applyBorder="1" applyAlignment="1">
      <alignment horizontal="left" vertical="top" indent="1" shrinkToFit="1"/>
    </xf>
    <xf numFmtId="1" fontId="14" fillId="2" borderId="0" xfId="0" applyNumberFormat="1" applyFont="1" applyFill="1" applyBorder="1" applyAlignment="1">
      <alignment horizontal="left" vertical="top" shrinkToFit="1"/>
    </xf>
    <xf numFmtId="0" fontId="34" fillId="2" borderId="0"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14</xdr:col>
      <xdr:colOff>486648</xdr:colOff>
      <xdr:row>0</xdr:row>
      <xdr:rowOff>228600</xdr:rowOff>
    </xdr:from>
    <xdr:ext cx="1255776" cy="6827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oneCellAnchor>
    <xdr:from>
      <xdr:col>0</xdr:col>
      <xdr:colOff>0</xdr:colOff>
      <xdr:row>13</xdr:row>
      <xdr:rowOff>2033015</xdr:rowOff>
    </xdr:from>
    <xdr:ext cx="2862580" cy="3175"/>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133096</xdr:colOff>
      <xdr:row>0</xdr:row>
      <xdr:rowOff>0</xdr:rowOff>
    </xdr:from>
    <xdr:ext cx="6687820" cy="3175"/>
    <xdr:sp macro="" textlink="">
      <xdr:nvSpPr>
        <xdr:cNvPr id="3" name="Shape 3">
          <a:extLst>
            <a:ext uri="{FF2B5EF4-FFF2-40B4-BE49-F238E27FC236}">
              <a16:creationId xmlns:a16="http://schemas.microsoft.com/office/drawing/2014/main" id="{0ECE267A-D6F1-4975-BC4B-0287FBA34736}"/>
            </a:ext>
          </a:extLst>
        </xdr:cNvPr>
        <xdr:cNvSpPr/>
      </xdr:nvSpPr>
      <xdr:spPr>
        <a:xfrm>
          <a:off x="790321" y="4144898"/>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2</xdr:col>
      <xdr:colOff>133095</xdr:colOff>
      <xdr:row>0</xdr:row>
      <xdr:rowOff>0</xdr:rowOff>
    </xdr:from>
    <xdr:ext cx="6687820" cy="3175"/>
    <xdr:sp macro="" textlink="">
      <xdr:nvSpPr>
        <xdr:cNvPr id="4" name="Shape 4">
          <a:extLst>
            <a:ext uri="{FF2B5EF4-FFF2-40B4-BE49-F238E27FC236}">
              <a16:creationId xmlns:a16="http://schemas.microsoft.com/office/drawing/2014/main" id="{00ED3980-D39E-4CBD-AB66-FCAAC29F4DE5}"/>
            </a:ext>
          </a:extLst>
        </xdr:cNvPr>
        <xdr:cNvSpPr/>
      </xdr:nvSpPr>
      <xdr:spPr>
        <a:xfrm>
          <a:off x="790320" y="4449698"/>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2</xdr:col>
      <xdr:colOff>75183</xdr:colOff>
      <xdr:row>0</xdr:row>
      <xdr:rowOff>0</xdr:rowOff>
    </xdr:from>
    <xdr:ext cx="6745605" cy="15240"/>
    <xdr:sp macro="" textlink="">
      <xdr:nvSpPr>
        <xdr:cNvPr id="5" name="Shape 5">
          <a:extLst>
            <a:ext uri="{FF2B5EF4-FFF2-40B4-BE49-F238E27FC236}">
              <a16:creationId xmlns:a16="http://schemas.microsoft.com/office/drawing/2014/main" id="{B84BECBD-5653-4A52-8B79-9D485F0B3620}"/>
            </a:ext>
          </a:extLst>
        </xdr:cNvPr>
        <xdr:cNvSpPr/>
      </xdr:nvSpPr>
      <xdr:spPr>
        <a:xfrm>
          <a:off x="732408" y="1136903"/>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0</xdr:row>
      <xdr:rowOff>0</xdr:rowOff>
    </xdr:from>
    <xdr:ext cx="7592695" cy="0"/>
    <xdr:sp macro="" textlink="">
      <xdr:nvSpPr>
        <xdr:cNvPr id="6" name="Shape 6">
          <a:extLst>
            <a:ext uri="{FF2B5EF4-FFF2-40B4-BE49-F238E27FC236}">
              <a16:creationId xmlns:a16="http://schemas.microsoft.com/office/drawing/2014/main" id="{9DE65FC4-10BF-4DDB-A001-F9B6656627A3}"/>
            </a:ext>
          </a:extLst>
        </xdr:cNvPr>
        <xdr:cNvSpPr/>
      </xdr:nvSpPr>
      <xdr:spPr>
        <a:xfrm>
          <a:off x="0" y="6936993"/>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oneCellAnchor>
    <xdr:from>
      <xdr:col>0</xdr:col>
      <xdr:colOff>0</xdr:colOff>
      <xdr:row>0</xdr:row>
      <xdr:rowOff>0</xdr:rowOff>
    </xdr:from>
    <xdr:ext cx="2862580" cy="3175"/>
    <xdr:sp macro="" textlink="">
      <xdr:nvSpPr>
        <xdr:cNvPr id="7" name="Shape 7">
          <a:extLst>
            <a:ext uri="{FF2B5EF4-FFF2-40B4-BE49-F238E27FC236}">
              <a16:creationId xmlns:a16="http://schemas.microsoft.com/office/drawing/2014/main" id="{0405BED9-4AC1-4BFF-9E5C-FC92D172F94B}"/>
            </a:ext>
          </a:extLst>
        </xdr:cNvPr>
        <xdr:cNvSpPr/>
      </xdr:nvSpPr>
      <xdr:spPr>
        <a:xfrm>
          <a:off x="0" y="11367515"/>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ARL@CignaHealthcare.com" TargetMode="External"/><Relationship Id="rId2" Type="http://schemas.openxmlformats.org/officeDocument/2006/relationships/hyperlink" Target="mailto:ProducerCommissions@CignaHealthcare.com" TargetMode="External"/><Relationship Id="rId1" Type="http://schemas.openxmlformats.org/officeDocument/2006/relationships/hyperlink" Target="mailto:ProducerCommissions@CignaHealthcare.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9"/>
  <sheetViews>
    <sheetView topLeftCell="A22" workbookViewId="0">
      <selection activeCell="F48" sqref="F48:AC48"/>
    </sheetView>
  </sheetViews>
  <sheetFormatPr defaultRowHeight="12.75" x14ac:dyDescent="0.2"/>
  <cols>
    <col min="1" max="1" width="11.5" customWidth="1"/>
    <col min="2" max="2" width="6.83203125" customWidth="1"/>
    <col min="3" max="3" width="2.1640625" customWidth="1"/>
    <col min="4" max="4" width="4.6640625" customWidth="1"/>
    <col min="5" max="5" width="2.1640625" customWidth="1"/>
    <col min="6" max="6" width="11.5" customWidth="1"/>
    <col min="7" max="7" width="5.83203125" customWidth="1"/>
    <col min="8" max="10" width="2.1640625" customWidth="1"/>
    <col min="11" max="11" width="4.6640625" customWidth="1"/>
    <col min="12" max="12" width="1.1640625" customWidth="1"/>
    <col min="13" max="14" width="10.5" customWidth="1"/>
    <col min="15" max="15" width="9.33203125" customWidth="1"/>
    <col min="16" max="16" width="4.6640625" customWidth="1"/>
    <col min="17" max="17" width="5.83203125" customWidth="1"/>
    <col min="18" max="18" width="6.83203125" customWidth="1"/>
    <col min="19" max="19" width="1.1640625" customWidth="1"/>
    <col min="20" max="20" width="5.83203125" customWidth="1"/>
    <col min="21" max="22" width="1.1640625" customWidth="1"/>
    <col min="23" max="23" width="9.33203125" customWidth="1"/>
    <col min="24" max="24" width="8" customWidth="1"/>
    <col min="25" max="25" width="4.6640625" customWidth="1"/>
    <col min="26" max="26" width="3.33203125" customWidth="1"/>
    <col min="27" max="27" width="11.5" customWidth="1"/>
    <col min="28" max="28" width="10.5" customWidth="1"/>
    <col min="29" max="29" width="8" customWidth="1"/>
    <col min="30" max="30" width="5.83203125" customWidth="1"/>
    <col min="31" max="31" width="1.1640625" customWidth="1"/>
  </cols>
  <sheetData>
    <row r="1" spans="1:31" ht="256.5" customHeight="1" x14ac:dyDescent="0.2">
      <c r="A1" s="25" t="s">
        <v>0</v>
      </c>
      <c r="B1" s="25"/>
      <c r="C1" s="25"/>
      <c r="D1" s="25"/>
      <c r="E1" s="25"/>
      <c r="F1" s="25"/>
      <c r="G1" s="26" t="s">
        <v>1</v>
      </c>
      <c r="H1" s="26"/>
      <c r="I1" s="26"/>
      <c r="J1" s="26"/>
      <c r="K1" s="26"/>
      <c r="L1" s="26"/>
      <c r="M1" s="26"/>
      <c r="N1" s="26"/>
      <c r="O1" s="26"/>
      <c r="P1" s="26"/>
      <c r="Q1" s="26"/>
      <c r="R1" s="26"/>
      <c r="S1" s="26"/>
      <c r="T1" s="26"/>
      <c r="U1" s="26"/>
      <c r="V1" s="26"/>
      <c r="W1" s="26"/>
      <c r="X1" s="26"/>
      <c r="Y1" s="26"/>
      <c r="Z1" s="26"/>
    </row>
    <row r="2" spans="1:31" ht="35.450000000000003" customHeight="1" x14ac:dyDescent="0.2">
      <c r="A2" s="27" t="s">
        <v>2</v>
      </c>
      <c r="B2" s="27"/>
      <c r="C2" s="27"/>
      <c r="D2" s="27"/>
      <c r="E2" s="27"/>
      <c r="F2" s="27"/>
      <c r="G2" s="27"/>
      <c r="H2" s="27"/>
      <c r="I2" s="27"/>
      <c r="J2" s="27"/>
      <c r="K2" s="27"/>
      <c r="L2" s="27"/>
      <c r="M2" s="27"/>
      <c r="N2" s="27"/>
      <c r="O2" s="27"/>
      <c r="P2" s="28"/>
      <c r="Q2" s="28"/>
      <c r="R2" s="28"/>
      <c r="S2" s="28"/>
      <c r="T2" s="28"/>
      <c r="U2" s="1"/>
      <c r="V2" s="1"/>
      <c r="W2" s="28"/>
      <c r="X2" s="28"/>
      <c r="Y2" s="28"/>
      <c r="Z2" s="1"/>
    </row>
    <row r="3" spans="1:31" ht="29.1" customHeight="1" x14ac:dyDescent="0.2">
      <c r="A3" s="29" t="s">
        <v>3</v>
      </c>
      <c r="B3" s="29"/>
      <c r="C3" s="29"/>
      <c r="D3" s="29"/>
      <c r="E3" s="30" t="s">
        <v>4</v>
      </c>
      <c r="F3" s="30"/>
      <c r="G3" s="30"/>
      <c r="H3" s="30"/>
      <c r="I3" s="30"/>
      <c r="J3" s="30"/>
      <c r="K3" s="30"/>
      <c r="L3" s="30"/>
      <c r="M3" s="30"/>
      <c r="N3" s="30"/>
      <c r="O3" s="30"/>
      <c r="P3" s="30"/>
      <c r="Q3" s="30"/>
      <c r="R3" s="30"/>
      <c r="S3" s="30"/>
      <c r="T3" s="30"/>
      <c r="U3" s="31" t="s">
        <v>5</v>
      </c>
      <c r="V3" s="31"/>
      <c r="W3" s="31"/>
      <c r="X3" s="31"/>
      <c r="Y3" s="31"/>
      <c r="Z3" s="31"/>
    </row>
    <row r="4" spans="1:31" ht="42" customHeight="1" x14ac:dyDescent="0.2">
      <c r="A4" s="32" t="s">
        <v>6</v>
      </c>
      <c r="B4" s="32"/>
      <c r="C4" s="32"/>
      <c r="D4" s="32"/>
      <c r="E4" s="32"/>
      <c r="F4" s="32"/>
      <c r="G4" s="32"/>
      <c r="H4" s="32"/>
      <c r="I4" s="32"/>
      <c r="J4" s="32"/>
      <c r="K4" s="32"/>
      <c r="L4" s="32"/>
      <c r="M4" s="32"/>
      <c r="N4" s="32"/>
      <c r="O4" s="32"/>
      <c r="P4" s="32"/>
      <c r="Q4" s="32"/>
      <c r="R4" s="32"/>
      <c r="S4" s="32"/>
      <c r="T4" s="32"/>
      <c r="U4" s="32"/>
      <c r="V4" s="32"/>
      <c r="W4" s="32"/>
      <c r="X4" s="32"/>
      <c r="Y4" s="32"/>
      <c r="Z4" s="32"/>
    </row>
    <row r="5" spans="1:31" ht="89.1" customHeight="1" x14ac:dyDescent="0.2">
      <c r="A5" s="33" t="s">
        <v>7</v>
      </c>
      <c r="B5" s="33"/>
      <c r="C5" s="33"/>
      <c r="D5" s="33"/>
      <c r="E5" s="33"/>
      <c r="F5" s="33"/>
      <c r="G5" s="33"/>
      <c r="H5" s="33"/>
      <c r="I5" s="33"/>
      <c r="J5" s="33"/>
      <c r="K5" s="33"/>
      <c r="L5" s="33"/>
      <c r="M5" s="33"/>
      <c r="N5" s="33"/>
      <c r="O5" s="33"/>
      <c r="P5" s="33"/>
      <c r="Q5" s="33"/>
      <c r="R5" s="33"/>
      <c r="S5" s="33"/>
      <c r="T5" s="33"/>
      <c r="U5" s="33"/>
      <c r="V5" s="33"/>
      <c r="W5" s="33"/>
      <c r="X5" s="33"/>
      <c r="Y5" s="33"/>
      <c r="Z5" s="33"/>
    </row>
    <row r="6" spans="1:31" ht="90.75" customHeight="1" x14ac:dyDescent="0.2">
      <c r="A6" s="34" t="s">
        <v>8</v>
      </c>
      <c r="B6" s="34"/>
      <c r="C6" s="34"/>
      <c r="D6" s="34"/>
      <c r="E6" s="34"/>
      <c r="F6" s="34"/>
      <c r="G6" s="34"/>
      <c r="H6" s="34"/>
      <c r="I6" s="34"/>
      <c r="J6" s="34"/>
      <c r="K6" s="34"/>
      <c r="L6" s="34"/>
      <c r="M6" s="34"/>
      <c r="N6" s="34"/>
      <c r="O6" s="34"/>
      <c r="P6" s="34"/>
      <c r="Q6" s="34"/>
      <c r="R6" s="34"/>
      <c r="S6" s="34"/>
      <c r="T6" s="34"/>
      <c r="U6" s="34"/>
      <c r="V6" s="34"/>
      <c r="W6" s="34"/>
      <c r="X6" s="34"/>
      <c r="Y6" s="34"/>
      <c r="Z6" s="34"/>
    </row>
    <row r="7" spans="1:31" ht="39.75" customHeight="1" x14ac:dyDescent="0.2">
      <c r="A7" s="35" t="s">
        <v>9</v>
      </c>
      <c r="B7" s="35"/>
      <c r="C7" s="35"/>
      <c r="D7" s="35"/>
      <c r="E7" s="35"/>
      <c r="F7" s="35"/>
      <c r="G7" s="35"/>
      <c r="H7" s="35"/>
      <c r="I7" s="35"/>
      <c r="J7" s="35"/>
      <c r="K7" s="35"/>
      <c r="L7" s="35"/>
      <c r="M7" s="35"/>
      <c r="N7" s="35"/>
      <c r="O7" s="35"/>
      <c r="P7" s="35"/>
      <c r="Q7" s="35"/>
      <c r="R7" s="35"/>
      <c r="S7" s="35"/>
      <c r="T7" s="35"/>
      <c r="U7" s="35"/>
      <c r="V7" s="35"/>
      <c r="W7" s="35"/>
      <c r="X7" s="35"/>
      <c r="Y7" s="35"/>
      <c r="Z7" s="35"/>
    </row>
    <row r="8" spans="1:31" ht="15.95" customHeight="1" x14ac:dyDescent="0.2">
      <c r="A8" s="36"/>
      <c r="B8" s="36"/>
      <c r="C8" s="36"/>
      <c r="D8" s="2"/>
      <c r="E8" s="36"/>
      <c r="F8" s="36"/>
      <c r="G8" s="36"/>
      <c r="H8" s="36"/>
      <c r="I8" s="36"/>
      <c r="J8" s="36"/>
      <c r="K8" s="36"/>
      <c r="L8" s="36"/>
      <c r="M8" s="36"/>
      <c r="N8" s="36"/>
      <c r="O8" s="36"/>
      <c r="P8" s="36"/>
      <c r="Q8" s="36"/>
      <c r="R8" s="36"/>
      <c r="S8" s="37" t="s">
        <v>10</v>
      </c>
      <c r="T8" s="37"/>
      <c r="U8" s="37"/>
      <c r="V8" s="38" t="s">
        <v>11</v>
      </c>
      <c r="W8" s="38"/>
      <c r="X8" s="38"/>
      <c r="Y8" s="38"/>
      <c r="Z8" s="38"/>
    </row>
    <row r="9" spans="1:31" ht="35.450000000000003" customHeight="1" x14ac:dyDescent="0.2">
      <c r="A9" s="39" t="s">
        <v>12</v>
      </c>
      <c r="B9" s="39"/>
      <c r="C9" s="39"/>
      <c r="D9" s="39"/>
      <c r="E9" s="39"/>
      <c r="F9" s="39"/>
      <c r="G9" s="39"/>
      <c r="H9" s="39"/>
      <c r="I9" s="39"/>
      <c r="J9" s="39"/>
      <c r="K9" s="39"/>
      <c r="L9" s="28"/>
      <c r="M9" s="28"/>
      <c r="N9" s="28"/>
      <c r="O9" s="28"/>
      <c r="P9" s="28"/>
      <c r="Q9" s="28"/>
      <c r="R9" s="28"/>
      <c r="S9" s="28"/>
      <c r="T9" s="28"/>
      <c r="U9" s="1"/>
      <c r="V9" s="1"/>
      <c r="W9" s="28"/>
      <c r="X9" s="28"/>
      <c r="Y9" s="28"/>
      <c r="Z9" s="1"/>
    </row>
    <row r="10" spans="1:31" ht="5.25" customHeight="1" x14ac:dyDescent="0.2">
      <c r="A10" s="39"/>
      <c r="B10" s="39"/>
      <c r="C10" s="39"/>
      <c r="D10" s="39"/>
      <c r="E10" s="39"/>
      <c r="F10" s="39"/>
      <c r="G10" s="39"/>
      <c r="H10" s="39"/>
      <c r="I10" s="39"/>
      <c r="J10" s="39"/>
      <c r="K10" s="39"/>
      <c r="L10" s="36"/>
      <c r="M10" s="36"/>
      <c r="N10" s="36"/>
      <c r="O10" s="36"/>
      <c r="P10" s="36"/>
      <c r="Q10" s="36"/>
      <c r="R10" s="36"/>
      <c r="S10" s="36"/>
      <c r="T10" s="36"/>
      <c r="U10" s="2"/>
      <c r="V10" s="2"/>
      <c r="W10" s="40">
        <v>44.75</v>
      </c>
      <c r="X10" s="41"/>
      <c r="Y10" s="42"/>
      <c r="Z10" s="2"/>
    </row>
    <row r="11" spans="1:31" ht="20.100000000000001" customHeight="1" x14ac:dyDescent="0.2">
      <c r="A11" s="46" t="s">
        <v>13</v>
      </c>
      <c r="B11" s="46"/>
      <c r="C11" s="46"/>
      <c r="D11" s="47" t="s">
        <v>14</v>
      </c>
      <c r="E11" s="47"/>
      <c r="F11" s="47"/>
      <c r="G11" s="47"/>
      <c r="H11" s="47"/>
      <c r="I11" s="28"/>
      <c r="J11" s="28"/>
      <c r="K11" s="28"/>
      <c r="L11" s="28"/>
      <c r="M11" s="28"/>
      <c r="N11" s="28"/>
      <c r="O11" s="28"/>
      <c r="P11" s="28"/>
      <c r="Q11" s="28"/>
      <c r="R11" s="28"/>
      <c r="S11" s="28"/>
      <c r="T11" s="28"/>
      <c r="U11" s="1"/>
      <c r="V11" s="1"/>
      <c r="W11" s="43"/>
      <c r="X11" s="44"/>
      <c r="Y11" s="45"/>
      <c r="Z11" s="1"/>
    </row>
    <row r="12" spans="1:31" ht="20.45" customHeight="1" x14ac:dyDescent="0.2">
      <c r="A12" s="46"/>
      <c r="B12" s="46"/>
      <c r="C12" s="46"/>
      <c r="D12" s="47"/>
      <c r="E12" s="47"/>
      <c r="F12" s="47"/>
      <c r="G12" s="47"/>
      <c r="H12" s="47"/>
      <c r="I12" s="28"/>
      <c r="J12" s="28"/>
      <c r="K12" s="28"/>
      <c r="L12" s="28"/>
      <c r="M12" s="28"/>
      <c r="N12" s="28"/>
      <c r="O12" s="28"/>
      <c r="P12" s="28"/>
      <c r="Q12" s="28"/>
      <c r="R12" s="28"/>
      <c r="S12" s="28"/>
      <c r="T12" s="28"/>
      <c r="U12" s="1"/>
      <c r="V12" s="1"/>
      <c r="W12" s="28"/>
      <c r="X12" s="28"/>
      <c r="Y12" s="28"/>
      <c r="Z12" s="1"/>
    </row>
    <row r="13" spans="1:31" ht="57.75" customHeight="1" x14ac:dyDescent="0.2">
      <c r="A13" s="48" t="s">
        <v>15</v>
      </c>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spans="1:31" ht="190.5" customHeight="1" x14ac:dyDescent="0.15">
      <c r="A14" s="49" t="s">
        <v>16</v>
      </c>
      <c r="B14" s="49"/>
      <c r="C14" s="49"/>
      <c r="D14" s="49"/>
      <c r="E14" s="49"/>
      <c r="F14" s="49"/>
      <c r="G14" s="49"/>
      <c r="H14" s="50" t="s">
        <v>17</v>
      </c>
      <c r="I14" s="50"/>
      <c r="J14" s="50"/>
      <c r="K14" s="51" t="s">
        <v>18</v>
      </c>
      <c r="L14" s="51"/>
      <c r="M14" s="51"/>
      <c r="N14" s="51"/>
      <c r="O14" s="51"/>
      <c r="P14" s="51"/>
      <c r="Q14" s="51"/>
      <c r="R14" s="51"/>
      <c r="S14" s="51"/>
      <c r="T14" s="51"/>
      <c r="U14" s="51"/>
      <c r="V14" s="51"/>
      <c r="W14" s="51"/>
      <c r="X14" s="51"/>
      <c r="Y14" s="51"/>
      <c r="Z14" s="51"/>
      <c r="AA14" s="51"/>
      <c r="AB14" s="51"/>
      <c r="AC14" s="51"/>
      <c r="AD14" s="51"/>
      <c r="AE14" s="51"/>
    </row>
    <row r="15" spans="1:31" ht="132.6" customHeight="1" x14ac:dyDescent="0.2">
      <c r="A15" s="52" t="s">
        <v>19</v>
      </c>
      <c r="B15" s="52"/>
      <c r="C15" s="52"/>
      <c r="D15" s="52"/>
      <c r="E15" s="52"/>
      <c r="F15" s="52"/>
      <c r="G15" s="52"/>
      <c r="H15" s="52"/>
      <c r="I15" s="52"/>
      <c r="J15" s="52"/>
      <c r="K15" s="53" t="s">
        <v>20</v>
      </c>
      <c r="L15" s="53"/>
      <c r="M15" s="53"/>
      <c r="N15" s="53"/>
      <c r="O15" s="53"/>
      <c r="P15" s="53"/>
      <c r="Q15" s="53"/>
      <c r="R15" s="53"/>
      <c r="S15" s="53"/>
      <c r="T15" s="53"/>
      <c r="U15" s="53"/>
      <c r="V15" s="53"/>
      <c r="W15" s="53"/>
      <c r="X15" s="53"/>
      <c r="Y15" s="53"/>
      <c r="Z15" s="53"/>
      <c r="AA15" s="53"/>
      <c r="AB15" s="53"/>
      <c r="AC15" s="53"/>
      <c r="AD15" s="53"/>
      <c r="AE15" s="53"/>
    </row>
    <row r="16" spans="1:31" ht="21" customHeight="1" x14ac:dyDescent="0.2">
      <c r="A16" s="54" t="s">
        <v>21</v>
      </c>
      <c r="B16" s="54"/>
      <c r="C16" s="54"/>
      <c r="D16" s="54"/>
      <c r="E16" s="54"/>
      <c r="F16" s="55" t="s">
        <v>22</v>
      </c>
      <c r="G16" s="55"/>
      <c r="H16" s="55"/>
      <c r="I16" s="55"/>
      <c r="J16" s="55"/>
      <c r="K16" s="55"/>
      <c r="L16" s="55"/>
      <c r="M16" s="55"/>
      <c r="N16" s="56" t="s">
        <v>23</v>
      </c>
      <c r="O16" s="56"/>
      <c r="P16" s="56"/>
      <c r="Q16" s="56"/>
      <c r="R16" s="57" t="s">
        <v>24</v>
      </c>
      <c r="S16" s="57"/>
      <c r="T16" s="58" t="s">
        <v>25</v>
      </c>
      <c r="U16" s="58"/>
      <c r="V16" s="58"/>
      <c r="W16" s="58"/>
      <c r="X16" s="5" t="s">
        <v>26</v>
      </c>
      <c r="Y16" s="59" t="s">
        <v>27</v>
      </c>
      <c r="Z16" s="59"/>
      <c r="AA16" s="59"/>
      <c r="AB16" s="59"/>
      <c r="AC16" s="59"/>
      <c r="AD16" s="59"/>
      <c r="AE16" s="1"/>
    </row>
    <row r="17" spans="1:31" ht="15.95" customHeight="1" x14ac:dyDescent="0.2">
      <c r="A17" s="60" t="s">
        <v>28</v>
      </c>
      <c r="B17" s="60"/>
      <c r="C17" s="60"/>
      <c r="D17" s="60"/>
      <c r="E17" s="60"/>
      <c r="F17" s="61"/>
      <c r="G17" s="61"/>
      <c r="H17" s="61"/>
      <c r="I17" s="61"/>
      <c r="J17" s="61"/>
      <c r="K17" s="61"/>
      <c r="L17" s="61"/>
      <c r="M17" s="61"/>
      <c r="N17" s="61"/>
      <c r="O17" s="61"/>
      <c r="P17" s="61"/>
      <c r="Q17" s="61"/>
      <c r="R17" s="61"/>
      <c r="S17" s="61"/>
      <c r="T17" s="61"/>
      <c r="U17" s="61"/>
      <c r="V17" s="61"/>
      <c r="W17" s="61"/>
      <c r="X17" s="6"/>
      <c r="Y17" s="62">
        <v>0</v>
      </c>
      <c r="Z17" s="62"/>
      <c r="AA17" s="62"/>
      <c r="AB17" s="62"/>
      <c r="AC17" s="62"/>
      <c r="AD17" s="62"/>
      <c r="AE17" s="2"/>
    </row>
    <row r="18" spans="1:31" ht="17.100000000000001" customHeight="1" x14ac:dyDescent="0.2">
      <c r="A18" s="63" t="s">
        <v>29</v>
      </c>
      <c r="B18" s="63"/>
      <c r="C18" s="63"/>
      <c r="D18" s="63"/>
      <c r="E18" s="63"/>
      <c r="F18" s="64" t="s">
        <v>30</v>
      </c>
      <c r="G18" s="64"/>
      <c r="H18" s="64"/>
      <c r="I18" s="64"/>
      <c r="J18" s="64"/>
      <c r="K18" s="64"/>
      <c r="L18" s="64"/>
      <c r="M18" s="64"/>
      <c r="N18" s="65"/>
      <c r="O18" s="65"/>
      <c r="P18" s="65"/>
      <c r="Q18" s="65"/>
      <c r="R18" s="63" t="s">
        <v>31</v>
      </c>
      <c r="S18" s="63"/>
      <c r="T18" s="65"/>
      <c r="U18" s="65"/>
      <c r="V18" s="65"/>
      <c r="W18" s="65"/>
      <c r="X18" s="7"/>
      <c r="Y18" s="66">
        <v>44.75</v>
      </c>
      <c r="Z18" s="66"/>
      <c r="AA18" s="66"/>
      <c r="AB18" s="66"/>
      <c r="AC18" s="66"/>
      <c r="AD18" s="66"/>
      <c r="AE18" s="1"/>
    </row>
    <row r="19" spans="1:31" ht="48.6" customHeight="1" x14ac:dyDescent="0.2">
      <c r="A19" s="60" t="s">
        <v>32</v>
      </c>
      <c r="B19" s="60"/>
      <c r="C19" s="60"/>
      <c r="D19" s="60"/>
      <c r="E19" s="60"/>
      <c r="F19" s="67"/>
      <c r="G19" s="67"/>
      <c r="H19" s="67"/>
      <c r="I19" s="67"/>
      <c r="J19" s="67"/>
      <c r="K19" s="67"/>
      <c r="L19" s="67"/>
      <c r="M19" s="67"/>
      <c r="N19" s="67"/>
      <c r="O19" s="67"/>
      <c r="P19" s="67"/>
      <c r="Q19" s="67"/>
      <c r="R19" s="67"/>
      <c r="S19" s="67"/>
      <c r="T19" s="67"/>
      <c r="U19" s="67"/>
      <c r="V19" s="67"/>
      <c r="W19" s="67"/>
      <c r="X19" s="8"/>
      <c r="Y19" s="68">
        <v>44.75</v>
      </c>
      <c r="Z19" s="68"/>
      <c r="AA19" s="68"/>
      <c r="AB19" s="68"/>
      <c r="AC19" s="68"/>
      <c r="AD19" s="68"/>
      <c r="AE19" s="3"/>
    </row>
    <row r="20" spans="1:31" ht="53.1" customHeight="1" x14ac:dyDescent="0.2">
      <c r="A20" s="52" t="s">
        <v>33</v>
      </c>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row>
    <row r="21" spans="1:31" ht="25.5" customHeight="1" x14ac:dyDescent="0.2">
      <c r="A21" s="52" t="s">
        <v>34</v>
      </c>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row>
    <row r="22" spans="1:31" ht="27.95" customHeight="1" x14ac:dyDescent="0.2">
      <c r="A22" s="69" t="s">
        <v>35</v>
      </c>
      <c r="B22" s="69"/>
      <c r="C22" s="69"/>
      <c r="D22" s="69"/>
      <c r="E22" s="69"/>
      <c r="F22" s="69"/>
      <c r="G22" s="69"/>
      <c r="H22" s="69"/>
      <c r="I22" s="69"/>
      <c r="J22" s="52"/>
      <c r="K22" s="52"/>
      <c r="L22" s="52"/>
      <c r="M22" s="3"/>
      <c r="N22" s="3"/>
      <c r="O22" s="52"/>
      <c r="P22" s="52"/>
      <c r="Q22" s="52"/>
      <c r="R22" s="52"/>
      <c r="S22" s="52"/>
      <c r="T22" s="52"/>
      <c r="U22" s="52"/>
      <c r="V22" s="52"/>
      <c r="W22" s="52"/>
      <c r="X22" s="52"/>
      <c r="Y22" s="52" t="s">
        <v>36</v>
      </c>
      <c r="Z22" s="52"/>
      <c r="AA22" s="52"/>
      <c r="AB22" s="52"/>
      <c r="AC22" s="52"/>
    </row>
    <row r="23" spans="1:31" ht="27" customHeight="1" x14ac:dyDescent="0.2">
      <c r="A23" s="70" t="s">
        <v>37</v>
      </c>
      <c r="B23" s="70"/>
      <c r="C23" s="70"/>
      <c r="D23" s="70"/>
      <c r="E23" s="70"/>
      <c r="F23" s="70"/>
      <c r="G23" s="70"/>
      <c r="H23" s="70"/>
      <c r="I23" s="70"/>
      <c r="J23" s="28"/>
      <c r="K23" s="28"/>
      <c r="L23" s="28"/>
      <c r="M23" s="1"/>
      <c r="N23" s="1"/>
      <c r="O23" s="28"/>
      <c r="P23" s="28"/>
      <c r="Q23" s="28"/>
      <c r="R23" s="28"/>
      <c r="S23" s="28"/>
      <c r="T23" s="28"/>
      <c r="U23" s="28"/>
      <c r="V23" s="28"/>
      <c r="W23" s="28"/>
      <c r="X23" s="28"/>
      <c r="Y23" s="28"/>
      <c r="Z23" s="28"/>
      <c r="AA23" s="28"/>
      <c r="AB23" s="52"/>
      <c r="AC23" s="52"/>
    </row>
    <row r="24" spans="1:31" ht="17.100000000000001" customHeight="1" x14ac:dyDescent="0.2">
      <c r="A24" s="9" t="s">
        <v>38</v>
      </c>
      <c r="B24" s="71" t="s">
        <v>39</v>
      </c>
      <c r="C24" s="71"/>
      <c r="D24" s="71"/>
      <c r="E24" s="71"/>
      <c r="F24" s="71"/>
      <c r="G24" s="71"/>
      <c r="H24" s="71"/>
      <c r="I24" s="71"/>
      <c r="J24" s="72" t="s">
        <v>40</v>
      </c>
      <c r="K24" s="72"/>
      <c r="L24" s="72"/>
      <c r="M24" s="1"/>
      <c r="N24" s="1"/>
      <c r="O24" s="28"/>
      <c r="P24" s="28"/>
      <c r="Q24" s="28"/>
      <c r="R24" s="28"/>
      <c r="S24" s="28"/>
      <c r="T24" s="28"/>
      <c r="U24" s="28"/>
      <c r="V24" s="28"/>
      <c r="W24" s="28"/>
      <c r="X24" s="28"/>
      <c r="Y24" s="73" t="s">
        <v>41</v>
      </c>
      <c r="Z24" s="73"/>
      <c r="AA24" s="73"/>
      <c r="AB24" s="1"/>
      <c r="AC24" s="10" t="s">
        <v>42</v>
      </c>
    </row>
    <row r="25" spans="1:31" ht="12" customHeight="1" x14ac:dyDescent="0.2">
      <c r="A25" s="4" t="s">
        <v>43</v>
      </c>
      <c r="B25" s="4" t="s">
        <v>44</v>
      </c>
      <c r="C25" s="74" t="s">
        <v>45</v>
      </c>
      <c r="D25" s="74"/>
      <c r="E25" s="74"/>
      <c r="F25" s="74"/>
      <c r="G25" s="74"/>
      <c r="H25" s="74"/>
      <c r="I25" s="74"/>
      <c r="J25" s="75" t="s">
        <v>46</v>
      </c>
      <c r="K25" s="75"/>
      <c r="L25" s="75"/>
      <c r="M25" s="4" t="s">
        <v>47</v>
      </c>
      <c r="N25" s="11" t="s">
        <v>48</v>
      </c>
      <c r="O25" s="76" t="s">
        <v>49</v>
      </c>
      <c r="P25" s="76"/>
      <c r="Q25" s="54" t="s">
        <v>50</v>
      </c>
      <c r="R25" s="54"/>
      <c r="S25" s="54"/>
      <c r="T25" s="54" t="s">
        <v>51</v>
      </c>
      <c r="U25" s="54"/>
      <c r="V25" s="54"/>
      <c r="W25" s="54"/>
      <c r="X25" s="54"/>
      <c r="Y25" s="77" t="s">
        <v>52</v>
      </c>
      <c r="Z25" s="77"/>
      <c r="AA25" s="77"/>
      <c r="AB25" s="12" t="s">
        <v>42</v>
      </c>
      <c r="AC25" s="13" t="s">
        <v>53</v>
      </c>
    </row>
    <row r="26" spans="1:31" ht="15.95" customHeight="1" x14ac:dyDescent="0.2">
      <c r="A26" s="14" t="s">
        <v>54</v>
      </c>
      <c r="B26" s="78" t="s">
        <v>55</v>
      </c>
      <c r="C26" s="78"/>
      <c r="D26" s="78"/>
      <c r="E26" s="78"/>
      <c r="F26" s="78"/>
      <c r="G26" s="78"/>
      <c r="H26" s="78"/>
      <c r="I26" s="78"/>
      <c r="J26" s="79" t="s">
        <v>56</v>
      </c>
      <c r="K26" s="79"/>
      <c r="L26" s="79"/>
      <c r="M26" s="15">
        <v>45866</v>
      </c>
      <c r="N26" s="16" t="s">
        <v>57</v>
      </c>
      <c r="O26" s="80">
        <v>45931</v>
      </c>
      <c r="P26" s="80"/>
      <c r="Q26" s="81"/>
      <c r="R26" s="81"/>
      <c r="S26" s="81"/>
      <c r="T26" s="78" t="s">
        <v>58</v>
      </c>
      <c r="U26" s="78"/>
      <c r="V26" s="78"/>
      <c r="W26" s="78"/>
      <c r="X26" s="78"/>
      <c r="Y26" s="82">
        <v>1</v>
      </c>
      <c r="Z26" s="82"/>
      <c r="AA26" s="82"/>
      <c r="AB26" s="18">
        <v>1</v>
      </c>
      <c r="AC26" s="19" t="s">
        <v>59</v>
      </c>
    </row>
    <row r="27" spans="1:31" ht="15.95" customHeight="1" x14ac:dyDescent="0.2">
      <c r="A27" s="9" t="s">
        <v>54</v>
      </c>
      <c r="B27" s="71" t="s">
        <v>55</v>
      </c>
      <c r="C27" s="71"/>
      <c r="D27" s="71"/>
      <c r="E27" s="71"/>
      <c r="F27" s="71"/>
      <c r="G27" s="71"/>
      <c r="H27" s="71"/>
      <c r="I27" s="71"/>
      <c r="J27" s="72" t="s">
        <v>56</v>
      </c>
      <c r="K27" s="72"/>
      <c r="L27" s="72"/>
      <c r="M27" s="20">
        <v>45866</v>
      </c>
      <c r="N27" s="21" t="s">
        <v>57</v>
      </c>
      <c r="O27" s="83">
        <v>45931</v>
      </c>
      <c r="P27" s="83"/>
      <c r="Q27" s="28"/>
      <c r="R27" s="28"/>
      <c r="S27" s="28"/>
      <c r="T27" s="71" t="s">
        <v>60</v>
      </c>
      <c r="U27" s="71"/>
      <c r="V27" s="71"/>
      <c r="W27" s="71"/>
      <c r="X27" s="71"/>
      <c r="Y27" s="84">
        <v>2</v>
      </c>
      <c r="Z27" s="84"/>
      <c r="AA27" s="84"/>
      <c r="AB27" s="22">
        <v>2</v>
      </c>
      <c r="AC27" s="10" t="s">
        <v>59</v>
      </c>
    </row>
    <row r="28" spans="1:31" ht="15.95" customHeight="1" x14ac:dyDescent="0.2">
      <c r="A28" s="9" t="s">
        <v>61</v>
      </c>
      <c r="B28" s="71" t="s">
        <v>62</v>
      </c>
      <c r="C28" s="71"/>
      <c r="D28" s="71"/>
      <c r="E28" s="71"/>
      <c r="F28" s="71"/>
      <c r="G28" s="71"/>
      <c r="H28" s="71"/>
      <c r="I28" s="71"/>
      <c r="J28" s="72" t="s">
        <v>56</v>
      </c>
      <c r="K28" s="72"/>
      <c r="L28" s="72"/>
      <c r="M28" s="20">
        <v>45874</v>
      </c>
      <c r="N28" s="21" t="s">
        <v>57</v>
      </c>
      <c r="O28" s="83">
        <v>45931</v>
      </c>
      <c r="P28" s="83"/>
      <c r="Q28" s="28"/>
      <c r="R28" s="28"/>
      <c r="S28" s="28"/>
      <c r="T28" s="71" t="s">
        <v>60</v>
      </c>
      <c r="U28" s="71"/>
      <c r="V28" s="71"/>
      <c r="W28" s="71"/>
      <c r="X28" s="71"/>
      <c r="Y28" s="84">
        <v>2</v>
      </c>
      <c r="Z28" s="84"/>
      <c r="AA28" s="84"/>
      <c r="AB28" s="22">
        <v>2</v>
      </c>
      <c r="AC28" s="10" t="s">
        <v>59</v>
      </c>
    </row>
    <row r="29" spans="1:31" ht="17.100000000000001" customHeight="1" x14ac:dyDescent="0.2">
      <c r="A29" s="71" t="s">
        <v>63</v>
      </c>
      <c r="B29" s="71"/>
      <c r="C29" s="71"/>
      <c r="D29" s="71"/>
      <c r="E29" s="71"/>
      <c r="F29" s="71"/>
      <c r="G29" s="71"/>
      <c r="H29" s="71"/>
      <c r="I29" s="71"/>
      <c r="J29" s="72" t="s">
        <v>64</v>
      </c>
      <c r="K29" s="72"/>
      <c r="L29" s="72"/>
      <c r="M29" s="20">
        <v>45584</v>
      </c>
      <c r="N29" s="21" t="s">
        <v>65</v>
      </c>
      <c r="O29" s="83">
        <v>45658</v>
      </c>
      <c r="P29" s="83"/>
      <c r="Q29" s="28"/>
      <c r="R29" s="28"/>
      <c r="S29" s="28"/>
      <c r="T29" s="71" t="s">
        <v>60</v>
      </c>
      <c r="U29" s="71"/>
      <c r="V29" s="71"/>
      <c r="W29" s="71"/>
      <c r="X29" s="71"/>
      <c r="Y29" s="84">
        <v>12</v>
      </c>
      <c r="Z29" s="84"/>
      <c r="AA29" s="84"/>
      <c r="AB29" s="22">
        <v>12</v>
      </c>
      <c r="AC29" s="10" t="s">
        <v>66</v>
      </c>
    </row>
    <row r="30" spans="1:31" ht="15.95" customHeight="1" x14ac:dyDescent="0.2">
      <c r="A30" s="71" t="s">
        <v>63</v>
      </c>
      <c r="B30" s="71"/>
      <c r="C30" s="71"/>
      <c r="D30" s="71"/>
      <c r="E30" s="71"/>
      <c r="F30" s="71"/>
      <c r="G30" s="71"/>
      <c r="H30" s="71"/>
      <c r="I30" s="71"/>
      <c r="J30" s="72" t="s">
        <v>64</v>
      </c>
      <c r="K30" s="72"/>
      <c r="L30" s="72"/>
      <c r="M30" s="20">
        <v>45584</v>
      </c>
      <c r="N30" s="21" t="s">
        <v>65</v>
      </c>
      <c r="O30" s="83">
        <v>45658</v>
      </c>
      <c r="P30" s="83"/>
      <c r="Q30" s="28"/>
      <c r="R30" s="28"/>
      <c r="S30" s="28"/>
      <c r="T30" s="71" t="s">
        <v>60</v>
      </c>
      <c r="U30" s="71"/>
      <c r="V30" s="71"/>
      <c r="W30" s="71"/>
      <c r="X30" s="71"/>
      <c r="Y30" s="84">
        <v>2</v>
      </c>
      <c r="Z30" s="84"/>
      <c r="AA30" s="84"/>
      <c r="AB30" s="22">
        <v>2</v>
      </c>
      <c r="AC30" s="10" t="s">
        <v>59</v>
      </c>
    </row>
    <row r="31" spans="1:31" ht="15.95" customHeight="1" x14ac:dyDescent="0.2">
      <c r="A31" s="9" t="s">
        <v>67</v>
      </c>
      <c r="B31" s="71" t="s">
        <v>68</v>
      </c>
      <c r="C31" s="71"/>
      <c r="D31" s="71"/>
      <c r="E31" s="71"/>
      <c r="F31" s="71"/>
      <c r="G31" s="71"/>
      <c r="H31" s="71"/>
      <c r="I31" s="71"/>
      <c r="J31" s="72" t="s">
        <v>56</v>
      </c>
      <c r="K31" s="72"/>
      <c r="L31" s="72"/>
      <c r="M31" s="20">
        <v>45848</v>
      </c>
      <c r="N31" s="21" t="s">
        <v>69</v>
      </c>
      <c r="O31" s="83">
        <v>45870</v>
      </c>
      <c r="P31" s="83"/>
      <c r="Q31" s="28"/>
      <c r="R31" s="28"/>
      <c r="S31" s="28"/>
      <c r="T31" s="71" t="s">
        <v>58</v>
      </c>
      <c r="U31" s="71"/>
      <c r="V31" s="71"/>
      <c r="W31" s="71"/>
      <c r="X31" s="71"/>
      <c r="Y31" s="84">
        <v>1</v>
      </c>
      <c r="Z31" s="84"/>
      <c r="AA31" s="84"/>
      <c r="AB31" s="22">
        <v>1</v>
      </c>
      <c r="AC31" s="10" t="s">
        <v>59</v>
      </c>
    </row>
    <row r="32" spans="1:31" ht="15.95" customHeight="1" x14ac:dyDescent="0.2">
      <c r="A32" s="9" t="s">
        <v>67</v>
      </c>
      <c r="B32" s="71" t="s">
        <v>68</v>
      </c>
      <c r="C32" s="71"/>
      <c r="D32" s="71"/>
      <c r="E32" s="71"/>
      <c r="F32" s="71"/>
      <c r="G32" s="71"/>
      <c r="H32" s="71"/>
      <c r="I32" s="71"/>
      <c r="J32" s="72" t="s">
        <v>56</v>
      </c>
      <c r="K32" s="72"/>
      <c r="L32" s="72"/>
      <c r="M32" s="20">
        <v>45848</v>
      </c>
      <c r="N32" s="21" t="s">
        <v>69</v>
      </c>
      <c r="O32" s="83">
        <v>45870</v>
      </c>
      <c r="P32" s="83"/>
      <c r="Q32" s="28"/>
      <c r="R32" s="28"/>
      <c r="S32" s="28"/>
      <c r="T32" s="71" t="s">
        <v>58</v>
      </c>
      <c r="U32" s="71"/>
      <c r="V32" s="71"/>
      <c r="W32" s="71"/>
      <c r="X32" s="71"/>
      <c r="Y32" s="84">
        <v>12</v>
      </c>
      <c r="Z32" s="84"/>
      <c r="AA32" s="84"/>
      <c r="AB32" s="22">
        <v>19</v>
      </c>
      <c r="AC32" s="10" t="s">
        <v>66</v>
      </c>
    </row>
    <row r="33" spans="1:29" ht="15.95" customHeight="1" x14ac:dyDescent="0.2">
      <c r="A33" s="9" t="s">
        <v>70</v>
      </c>
      <c r="B33" s="71" t="s">
        <v>71</v>
      </c>
      <c r="C33" s="71"/>
      <c r="D33" s="71"/>
      <c r="E33" s="71"/>
      <c r="F33" s="71"/>
      <c r="G33" s="71"/>
      <c r="H33" s="71"/>
      <c r="I33" s="71"/>
      <c r="J33" s="72" t="s">
        <v>72</v>
      </c>
      <c r="K33" s="72"/>
      <c r="L33" s="72"/>
      <c r="M33" s="20">
        <v>45735</v>
      </c>
      <c r="N33" s="21" t="s">
        <v>73</v>
      </c>
      <c r="O33" s="83">
        <v>45748</v>
      </c>
      <c r="P33" s="83"/>
      <c r="Q33" s="85">
        <v>45869</v>
      </c>
      <c r="R33" s="85"/>
      <c r="S33" s="85"/>
      <c r="T33" s="71" t="s">
        <v>74</v>
      </c>
      <c r="U33" s="71"/>
      <c r="V33" s="71"/>
      <c r="W33" s="71"/>
      <c r="X33" s="71"/>
      <c r="Y33" s="84">
        <v>1</v>
      </c>
      <c r="Z33" s="84"/>
      <c r="AA33" s="84"/>
      <c r="AB33" s="22">
        <v>-0.67</v>
      </c>
      <c r="AC33" s="10" t="s">
        <v>59</v>
      </c>
    </row>
    <row r="34" spans="1:29" ht="15.95" customHeight="1" x14ac:dyDescent="0.2">
      <c r="A34" s="9" t="s">
        <v>70</v>
      </c>
      <c r="B34" s="71" t="s">
        <v>71</v>
      </c>
      <c r="C34" s="71"/>
      <c r="D34" s="71"/>
      <c r="E34" s="71"/>
      <c r="F34" s="71"/>
      <c r="G34" s="71"/>
      <c r="H34" s="71"/>
      <c r="I34" s="71"/>
      <c r="J34" s="72" t="s">
        <v>72</v>
      </c>
      <c r="K34" s="72"/>
      <c r="L34" s="72"/>
      <c r="M34" s="20">
        <v>45735</v>
      </c>
      <c r="N34" s="21" t="s">
        <v>73</v>
      </c>
      <c r="O34" s="83">
        <v>45748</v>
      </c>
      <c r="P34" s="83"/>
      <c r="Q34" s="85">
        <v>45869</v>
      </c>
      <c r="R34" s="85"/>
      <c r="S34" s="85"/>
      <c r="T34" s="71" t="s">
        <v>74</v>
      </c>
      <c r="U34" s="71"/>
      <c r="V34" s="71"/>
      <c r="W34" s="71"/>
      <c r="X34" s="71"/>
      <c r="Y34" s="84">
        <v>2</v>
      </c>
      <c r="Z34" s="84"/>
      <c r="AA34" s="84"/>
      <c r="AB34" s="22">
        <v>-1.33</v>
      </c>
      <c r="AC34" s="10" t="s">
        <v>59</v>
      </c>
    </row>
    <row r="35" spans="1:29" ht="15.95" customHeight="1" x14ac:dyDescent="0.2">
      <c r="A35" s="9" t="s">
        <v>70</v>
      </c>
      <c r="B35" s="71" t="s">
        <v>71</v>
      </c>
      <c r="C35" s="71"/>
      <c r="D35" s="71"/>
      <c r="E35" s="71"/>
      <c r="F35" s="71"/>
      <c r="G35" s="71"/>
      <c r="H35" s="71"/>
      <c r="I35" s="71"/>
      <c r="J35" s="72" t="s">
        <v>72</v>
      </c>
      <c r="K35" s="72"/>
      <c r="L35" s="72"/>
      <c r="M35" s="20">
        <v>45735</v>
      </c>
      <c r="N35" s="21" t="s">
        <v>73</v>
      </c>
      <c r="O35" s="83">
        <v>45748</v>
      </c>
      <c r="P35" s="83"/>
      <c r="Q35" s="85">
        <v>45869</v>
      </c>
      <c r="R35" s="85"/>
      <c r="S35" s="85"/>
      <c r="T35" s="71" t="s">
        <v>74</v>
      </c>
      <c r="U35" s="71"/>
      <c r="V35" s="71"/>
      <c r="W35" s="71"/>
      <c r="X35" s="71"/>
      <c r="Y35" s="84">
        <v>12</v>
      </c>
      <c r="Z35" s="84"/>
      <c r="AA35" s="84"/>
      <c r="AB35" s="22">
        <v>-8</v>
      </c>
      <c r="AC35" s="10" t="s">
        <v>66</v>
      </c>
    </row>
    <row r="36" spans="1:29" ht="15.95" customHeight="1" x14ac:dyDescent="0.2">
      <c r="A36" s="9" t="s">
        <v>70</v>
      </c>
      <c r="B36" s="71" t="s">
        <v>71</v>
      </c>
      <c r="C36" s="71"/>
      <c r="D36" s="71"/>
      <c r="E36" s="71"/>
      <c r="F36" s="71"/>
      <c r="G36" s="71"/>
      <c r="H36" s="71"/>
      <c r="I36" s="71"/>
      <c r="J36" s="72" t="s">
        <v>72</v>
      </c>
      <c r="K36" s="72"/>
      <c r="L36" s="72"/>
      <c r="M36" s="20">
        <v>45735</v>
      </c>
      <c r="N36" s="21" t="s">
        <v>73</v>
      </c>
      <c r="O36" s="83">
        <v>45748</v>
      </c>
      <c r="P36" s="83"/>
      <c r="Q36" s="85">
        <v>45869</v>
      </c>
      <c r="R36" s="85"/>
      <c r="S36" s="85"/>
      <c r="T36" s="71" t="s">
        <v>74</v>
      </c>
      <c r="U36" s="71"/>
      <c r="V36" s="71"/>
      <c r="W36" s="71"/>
      <c r="X36" s="71"/>
      <c r="Y36" s="84">
        <v>12</v>
      </c>
      <c r="Z36" s="84"/>
      <c r="AA36" s="84"/>
      <c r="AB36" s="22">
        <v>-8</v>
      </c>
      <c r="AC36" s="10" t="s">
        <v>66</v>
      </c>
    </row>
    <row r="37" spans="1:29" ht="15.95" customHeight="1" x14ac:dyDescent="0.2">
      <c r="A37" s="9" t="s">
        <v>75</v>
      </c>
      <c r="B37" s="71" t="s">
        <v>76</v>
      </c>
      <c r="C37" s="71"/>
      <c r="D37" s="71"/>
      <c r="E37" s="71"/>
      <c r="F37" s="71"/>
      <c r="G37" s="71"/>
      <c r="H37" s="71"/>
      <c r="I37" s="71"/>
      <c r="J37" s="72" t="s">
        <v>77</v>
      </c>
      <c r="K37" s="72"/>
      <c r="L37" s="72"/>
      <c r="M37" s="20">
        <v>45850</v>
      </c>
      <c r="N37" s="21" t="s">
        <v>78</v>
      </c>
      <c r="O37" s="83">
        <v>45870</v>
      </c>
      <c r="P37" s="83"/>
      <c r="Q37" s="28"/>
      <c r="R37" s="28"/>
      <c r="S37" s="28"/>
      <c r="T37" s="71" t="s">
        <v>58</v>
      </c>
      <c r="U37" s="71"/>
      <c r="V37" s="71"/>
      <c r="W37" s="71"/>
      <c r="X37" s="71"/>
      <c r="Y37" s="84">
        <v>1</v>
      </c>
      <c r="Z37" s="84"/>
      <c r="AA37" s="84"/>
      <c r="AB37" s="22">
        <v>1</v>
      </c>
      <c r="AC37" s="10" t="s">
        <v>59</v>
      </c>
    </row>
    <row r="38" spans="1:29" ht="15.95" customHeight="1" x14ac:dyDescent="0.2">
      <c r="A38" s="9" t="s">
        <v>75</v>
      </c>
      <c r="B38" s="71" t="s">
        <v>76</v>
      </c>
      <c r="C38" s="71"/>
      <c r="D38" s="71"/>
      <c r="E38" s="71"/>
      <c r="F38" s="71"/>
      <c r="G38" s="71"/>
      <c r="H38" s="71"/>
      <c r="I38" s="71"/>
      <c r="J38" s="72" t="s">
        <v>77</v>
      </c>
      <c r="K38" s="72"/>
      <c r="L38" s="72"/>
      <c r="M38" s="20">
        <v>45850</v>
      </c>
      <c r="N38" s="21" t="s">
        <v>78</v>
      </c>
      <c r="O38" s="83">
        <v>45870</v>
      </c>
      <c r="P38" s="83"/>
      <c r="Q38" s="28"/>
      <c r="R38" s="28"/>
      <c r="S38" s="28"/>
      <c r="T38" s="71" t="s">
        <v>58</v>
      </c>
      <c r="U38" s="71"/>
      <c r="V38" s="71"/>
      <c r="W38" s="71"/>
      <c r="X38" s="71"/>
      <c r="Y38" s="84">
        <v>12</v>
      </c>
      <c r="Z38" s="84"/>
      <c r="AA38" s="84"/>
      <c r="AB38" s="22">
        <v>19</v>
      </c>
      <c r="AC38" s="10" t="s">
        <v>66</v>
      </c>
    </row>
    <row r="39" spans="1:29" ht="15.95" customHeight="1" x14ac:dyDescent="0.2">
      <c r="A39" s="71" t="s">
        <v>79</v>
      </c>
      <c r="B39" s="71"/>
      <c r="C39" s="71"/>
      <c r="D39" s="71"/>
      <c r="E39" s="71"/>
      <c r="F39" s="71"/>
      <c r="G39" s="71"/>
      <c r="H39" s="71"/>
      <c r="I39" s="71"/>
      <c r="J39" s="72" t="s">
        <v>56</v>
      </c>
      <c r="K39" s="72"/>
      <c r="L39" s="72"/>
      <c r="M39" s="20">
        <v>45870</v>
      </c>
      <c r="N39" s="21" t="s">
        <v>57</v>
      </c>
      <c r="O39" s="83">
        <v>45931</v>
      </c>
      <c r="P39" s="83"/>
      <c r="Q39" s="28"/>
      <c r="R39" s="28"/>
      <c r="S39" s="28"/>
      <c r="T39" s="71" t="s">
        <v>60</v>
      </c>
      <c r="U39" s="71"/>
      <c r="V39" s="71"/>
      <c r="W39" s="71"/>
      <c r="X39" s="71"/>
      <c r="Y39" s="84">
        <v>2</v>
      </c>
      <c r="Z39" s="84"/>
      <c r="AA39" s="84"/>
      <c r="AB39" s="22">
        <v>2</v>
      </c>
      <c r="AC39" s="10" t="s">
        <v>59</v>
      </c>
    </row>
    <row r="40" spans="1:29" ht="15.95" customHeight="1" x14ac:dyDescent="0.2">
      <c r="A40" s="9" t="s">
        <v>80</v>
      </c>
      <c r="B40" s="71" t="s">
        <v>81</v>
      </c>
      <c r="C40" s="71"/>
      <c r="D40" s="71"/>
      <c r="E40" s="71"/>
      <c r="F40" s="71"/>
      <c r="G40" s="71"/>
      <c r="H40" s="71"/>
      <c r="I40" s="71"/>
      <c r="J40" s="72" t="s">
        <v>82</v>
      </c>
      <c r="K40" s="72"/>
      <c r="L40" s="72"/>
      <c r="M40" s="20">
        <v>45840</v>
      </c>
      <c r="N40" s="21" t="s">
        <v>65</v>
      </c>
      <c r="O40" s="83">
        <v>45931</v>
      </c>
      <c r="P40" s="83"/>
      <c r="Q40" s="28"/>
      <c r="R40" s="28"/>
      <c r="S40" s="28"/>
      <c r="T40" s="71" t="s">
        <v>58</v>
      </c>
      <c r="U40" s="71"/>
      <c r="V40" s="71"/>
      <c r="W40" s="71"/>
      <c r="X40" s="71"/>
      <c r="Y40" s="84">
        <v>12</v>
      </c>
      <c r="Z40" s="84"/>
      <c r="AA40" s="84"/>
      <c r="AB40" s="22">
        <v>21</v>
      </c>
      <c r="AC40" s="10" t="s">
        <v>66</v>
      </c>
    </row>
    <row r="41" spans="1:29" ht="17.100000000000001" customHeight="1" x14ac:dyDescent="0.2">
      <c r="A41" s="9" t="s">
        <v>80</v>
      </c>
      <c r="B41" s="71" t="s">
        <v>81</v>
      </c>
      <c r="C41" s="71"/>
      <c r="D41" s="71"/>
      <c r="E41" s="71"/>
      <c r="F41" s="71"/>
      <c r="G41" s="71"/>
      <c r="H41" s="71"/>
      <c r="I41" s="71"/>
      <c r="J41" s="72" t="s">
        <v>82</v>
      </c>
      <c r="K41" s="72"/>
      <c r="L41" s="72"/>
      <c r="M41" s="20">
        <v>45840</v>
      </c>
      <c r="N41" s="21" t="s">
        <v>65</v>
      </c>
      <c r="O41" s="83">
        <v>45931</v>
      </c>
      <c r="P41" s="83"/>
      <c r="Q41" s="28"/>
      <c r="R41" s="28"/>
      <c r="S41" s="28"/>
      <c r="T41" s="71" t="s">
        <v>58</v>
      </c>
      <c r="U41" s="71"/>
      <c r="V41" s="71"/>
      <c r="W41" s="71"/>
      <c r="X41" s="71"/>
      <c r="Y41" s="84">
        <v>1</v>
      </c>
      <c r="Z41" s="84"/>
      <c r="AA41" s="84"/>
      <c r="AB41" s="22">
        <v>1</v>
      </c>
      <c r="AC41" s="10" t="s">
        <v>59</v>
      </c>
    </row>
    <row r="42" spans="1:29" ht="15.95" customHeight="1" x14ac:dyDescent="0.2">
      <c r="A42" s="9" t="s">
        <v>83</v>
      </c>
      <c r="B42" s="71" t="s">
        <v>84</v>
      </c>
      <c r="C42" s="71"/>
      <c r="D42" s="71"/>
      <c r="E42" s="71"/>
      <c r="F42" s="71"/>
      <c r="G42" s="71"/>
      <c r="H42" s="71"/>
      <c r="I42" s="71"/>
      <c r="J42" s="72" t="s">
        <v>56</v>
      </c>
      <c r="K42" s="72"/>
      <c r="L42" s="72"/>
      <c r="M42" s="20">
        <v>45772</v>
      </c>
      <c r="N42" s="21" t="s">
        <v>85</v>
      </c>
      <c r="O42" s="83">
        <v>45778</v>
      </c>
      <c r="P42" s="83"/>
      <c r="Q42" s="85">
        <v>45869</v>
      </c>
      <c r="R42" s="85"/>
      <c r="S42" s="85"/>
      <c r="T42" s="71" t="s">
        <v>86</v>
      </c>
      <c r="U42" s="71"/>
      <c r="V42" s="71"/>
      <c r="W42" s="71"/>
      <c r="X42" s="71"/>
      <c r="Y42" s="84">
        <v>2</v>
      </c>
      <c r="Z42" s="84"/>
      <c r="AA42" s="84"/>
      <c r="AB42" s="22">
        <v>-1.5</v>
      </c>
      <c r="AC42" s="10" t="s">
        <v>59</v>
      </c>
    </row>
    <row r="43" spans="1:29" ht="15.95" customHeight="1" x14ac:dyDescent="0.2">
      <c r="A43" s="9" t="s">
        <v>83</v>
      </c>
      <c r="B43" s="71" t="s">
        <v>84</v>
      </c>
      <c r="C43" s="71"/>
      <c r="D43" s="71"/>
      <c r="E43" s="71"/>
      <c r="F43" s="71"/>
      <c r="G43" s="71"/>
      <c r="H43" s="71"/>
      <c r="I43" s="71"/>
      <c r="J43" s="72" t="s">
        <v>56</v>
      </c>
      <c r="K43" s="72"/>
      <c r="L43" s="72"/>
      <c r="M43" s="20">
        <v>45772</v>
      </c>
      <c r="N43" s="21" t="s">
        <v>85</v>
      </c>
      <c r="O43" s="83">
        <v>45778</v>
      </c>
      <c r="P43" s="83"/>
      <c r="Q43" s="85">
        <v>45869</v>
      </c>
      <c r="R43" s="85"/>
      <c r="S43" s="85"/>
      <c r="T43" s="71" t="s">
        <v>86</v>
      </c>
      <c r="U43" s="71"/>
      <c r="V43" s="71"/>
      <c r="W43" s="71"/>
      <c r="X43" s="71"/>
      <c r="Y43" s="84">
        <v>12</v>
      </c>
      <c r="Z43" s="84"/>
      <c r="AA43" s="84"/>
      <c r="AB43" s="22">
        <v>-9</v>
      </c>
      <c r="AC43" s="10" t="s">
        <v>66</v>
      </c>
    </row>
    <row r="44" spans="1:29" ht="15.95" customHeight="1" x14ac:dyDescent="0.2">
      <c r="A44" s="9" t="s">
        <v>83</v>
      </c>
      <c r="B44" s="71" t="s">
        <v>84</v>
      </c>
      <c r="C44" s="71"/>
      <c r="D44" s="71"/>
      <c r="E44" s="71"/>
      <c r="F44" s="71"/>
      <c r="G44" s="71"/>
      <c r="H44" s="71"/>
      <c r="I44" s="71"/>
      <c r="J44" s="72" t="s">
        <v>56</v>
      </c>
      <c r="K44" s="72"/>
      <c r="L44" s="72"/>
      <c r="M44" s="20">
        <v>45772</v>
      </c>
      <c r="N44" s="21" t="s">
        <v>85</v>
      </c>
      <c r="O44" s="83">
        <v>45778</v>
      </c>
      <c r="P44" s="83"/>
      <c r="Q44" s="85">
        <v>45869</v>
      </c>
      <c r="R44" s="85"/>
      <c r="S44" s="85"/>
      <c r="T44" s="71" t="s">
        <v>86</v>
      </c>
      <c r="U44" s="71"/>
      <c r="V44" s="71"/>
      <c r="W44" s="71"/>
      <c r="X44" s="71"/>
      <c r="Y44" s="84">
        <v>12</v>
      </c>
      <c r="Z44" s="84"/>
      <c r="AA44" s="84"/>
      <c r="AB44" s="22">
        <v>-9</v>
      </c>
      <c r="AC44" s="10" t="s">
        <v>66</v>
      </c>
    </row>
    <row r="45" spans="1:29" ht="15" customHeight="1" x14ac:dyDescent="0.2">
      <c r="A45" s="4" t="s">
        <v>83</v>
      </c>
      <c r="B45" s="54" t="s">
        <v>84</v>
      </c>
      <c r="C45" s="54"/>
      <c r="D45" s="54"/>
      <c r="E45" s="54"/>
      <c r="F45" s="54"/>
      <c r="G45" s="54"/>
      <c r="H45" s="54"/>
      <c r="I45" s="54"/>
      <c r="J45" s="75" t="s">
        <v>56</v>
      </c>
      <c r="K45" s="75"/>
      <c r="L45" s="75"/>
      <c r="M45" s="23">
        <v>45772</v>
      </c>
      <c r="N45" s="11" t="s">
        <v>85</v>
      </c>
      <c r="O45" s="86">
        <v>45778</v>
      </c>
      <c r="P45" s="86"/>
      <c r="Q45" s="87">
        <v>45869</v>
      </c>
      <c r="R45" s="87"/>
      <c r="S45" s="87"/>
      <c r="T45" s="54" t="s">
        <v>86</v>
      </c>
      <c r="U45" s="54"/>
      <c r="V45" s="54"/>
      <c r="W45" s="54"/>
      <c r="X45" s="54"/>
      <c r="Y45" s="88">
        <v>1</v>
      </c>
      <c r="Z45" s="88"/>
      <c r="AA45" s="88"/>
      <c r="AB45" s="24">
        <v>-0.75</v>
      </c>
      <c r="AC45" s="13" t="s">
        <v>59</v>
      </c>
    </row>
    <row r="46" spans="1:29" ht="15.95" customHeight="1" x14ac:dyDescent="0.2">
      <c r="A46" s="78" t="s">
        <v>87</v>
      </c>
      <c r="B46" s="78"/>
      <c r="C46" s="78"/>
      <c r="D46" s="78"/>
      <c r="E46" s="78"/>
      <c r="F46" s="78"/>
      <c r="G46" s="78"/>
      <c r="H46" s="78"/>
      <c r="I46" s="78"/>
      <c r="J46" s="81"/>
      <c r="K46" s="81"/>
      <c r="L46" s="81"/>
      <c r="M46" s="17"/>
      <c r="N46" s="17"/>
      <c r="O46" s="81"/>
      <c r="P46" s="81"/>
      <c r="Q46" s="81"/>
      <c r="R46" s="81"/>
      <c r="S46" s="81"/>
      <c r="T46" s="81"/>
      <c r="U46" s="81"/>
      <c r="V46" s="81"/>
      <c r="W46" s="81"/>
      <c r="X46" s="81"/>
      <c r="Y46" s="81"/>
      <c r="Z46" s="81"/>
      <c r="AA46" s="81"/>
      <c r="AB46" s="18">
        <v>44.75</v>
      </c>
      <c r="AC46" s="17"/>
    </row>
    <row r="47" spans="1:29" ht="9.9499999999999993" customHeight="1" x14ac:dyDescent="0.2">
      <c r="A47" s="89" t="s">
        <v>88</v>
      </c>
      <c r="B47" s="89"/>
      <c r="C47" s="89"/>
      <c r="D47" s="89"/>
      <c r="E47" s="89"/>
      <c r="F47" s="89"/>
      <c r="G47" s="89"/>
      <c r="H47" s="89"/>
      <c r="I47" s="89"/>
      <c r="J47" s="36"/>
      <c r="K47" s="36"/>
      <c r="L47" s="36"/>
      <c r="M47" s="2"/>
      <c r="N47" s="2"/>
      <c r="O47" s="36"/>
      <c r="P47" s="36"/>
      <c r="Q47" s="36"/>
      <c r="R47" s="36"/>
      <c r="S47" s="36"/>
      <c r="T47" s="36"/>
      <c r="U47" s="36"/>
      <c r="V47" s="36"/>
      <c r="W47" s="36"/>
      <c r="X47" s="36"/>
      <c r="Y47" s="36"/>
      <c r="Z47" s="36"/>
      <c r="AA47" s="36"/>
      <c r="AB47" s="2"/>
      <c r="AC47" s="2"/>
    </row>
    <row r="48" spans="1:29" ht="9.9499999999999993" customHeight="1" x14ac:dyDescent="0.2">
      <c r="A48" s="52" t="s">
        <v>89</v>
      </c>
      <c r="B48" s="52"/>
      <c r="C48" s="52"/>
      <c r="D48" s="52"/>
      <c r="E48" s="52"/>
      <c r="F48" s="90" t="s">
        <v>90</v>
      </c>
      <c r="G48" s="90"/>
      <c r="H48" s="90"/>
      <c r="I48" s="90"/>
      <c r="J48" s="90"/>
      <c r="K48" s="90"/>
      <c r="L48" s="90"/>
      <c r="M48" s="90"/>
      <c r="N48" s="90"/>
      <c r="O48" s="90"/>
      <c r="P48" s="90"/>
      <c r="Q48" s="90"/>
      <c r="R48" s="90"/>
      <c r="S48" s="90"/>
      <c r="T48" s="90"/>
      <c r="U48" s="90"/>
      <c r="V48" s="90"/>
      <c r="W48" s="90"/>
      <c r="X48" s="90"/>
      <c r="Y48" s="90"/>
      <c r="Z48" s="90"/>
      <c r="AA48" s="90"/>
      <c r="AB48" s="90"/>
      <c r="AC48" s="90"/>
    </row>
    <row r="49" spans="1:29" ht="9.75" customHeight="1" x14ac:dyDescent="0.2">
      <c r="A49" s="52" t="s">
        <v>91</v>
      </c>
      <c r="B49" s="52"/>
      <c r="C49" s="52"/>
      <c r="D49" s="52"/>
      <c r="E49" s="52"/>
      <c r="F49" s="90" t="s">
        <v>92</v>
      </c>
      <c r="G49" s="90"/>
      <c r="H49" s="90"/>
      <c r="I49" s="90"/>
      <c r="J49" s="90"/>
      <c r="K49" s="90"/>
      <c r="L49" s="90"/>
      <c r="M49" s="90"/>
      <c r="N49" s="90"/>
      <c r="O49" s="90"/>
      <c r="P49" s="90"/>
      <c r="Q49" s="90"/>
      <c r="R49" s="90"/>
      <c r="S49" s="90"/>
      <c r="T49" s="90"/>
      <c r="U49" s="90"/>
      <c r="V49" s="90"/>
      <c r="W49" s="90"/>
      <c r="X49" s="90"/>
      <c r="Y49" s="90"/>
      <c r="Z49" s="90"/>
      <c r="AA49" s="90"/>
      <c r="AB49" s="90"/>
      <c r="AC49" s="90"/>
    </row>
  </sheetData>
  <mergeCells count="234">
    <mergeCell ref="A48:E48"/>
    <mergeCell ref="F48:AC48"/>
    <mergeCell ref="A49:E49"/>
    <mergeCell ref="F49:AC49"/>
    <mergeCell ref="A46:I46"/>
    <mergeCell ref="J46:L46"/>
    <mergeCell ref="O46:P46"/>
    <mergeCell ref="Q46:S46"/>
    <mergeCell ref="T46:X46"/>
    <mergeCell ref="Y46:AA46"/>
    <mergeCell ref="A47:I47"/>
    <mergeCell ref="J47:L47"/>
    <mergeCell ref="O47:P47"/>
    <mergeCell ref="Q47:S47"/>
    <mergeCell ref="T47:X47"/>
    <mergeCell ref="Y47:AA47"/>
    <mergeCell ref="B44:I44"/>
    <mergeCell ref="J44:L44"/>
    <mergeCell ref="O44:P44"/>
    <mergeCell ref="Q44:S44"/>
    <mergeCell ref="T44:X44"/>
    <mergeCell ref="Y44:AA44"/>
    <mergeCell ref="B45:I45"/>
    <mergeCell ref="J45:L45"/>
    <mergeCell ref="O45:P45"/>
    <mergeCell ref="Q45:S45"/>
    <mergeCell ref="T45:X45"/>
    <mergeCell ref="Y45:AA45"/>
    <mergeCell ref="B42:I42"/>
    <mergeCell ref="J42:L42"/>
    <mergeCell ref="O42:P42"/>
    <mergeCell ref="Q42:S42"/>
    <mergeCell ref="T42:X42"/>
    <mergeCell ref="Y42:AA42"/>
    <mergeCell ref="B43:I43"/>
    <mergeCell ref="J43:L43"/>
    <mergeCell ref="O43:P43"/>
    <mergeCell ref="Q43:S43"/>
    <mergeCell ref="T43:X43"/>
    <mergeCell ref="Y43:AA43"/>
    <mergeCell ref="B40:I40"/>
    <mergeCell ref="J40:L40"/>
    <mergeCell ref="O40:P40"/>
    <mergeCell ref="Q40:S40"/>
    <mergeCell ref="T40:X40"/>
    <mergeCell ref="Y40:AA40"/>
    <mergeCell ref="B41:I41"/>
    <mergeCell ref="J41:L41"/>
    <mergeCell ref="O41:P41"/>
    <mergeCell ref="Q41:S41"/>
    <mergeCell ref="T41:X41"/>
    <mergeCell ref="Y41:AA41"/>
    <mergeCell ref="B38:I38"/>
    <mergeCell ref="J38:L38"/>
    <mergeCell ref="O38:P38"/>
    <mergeCell ref="Q38:S38"/>
    <mergeCell ref="T38:X38"/>
    <mergeCell ref="Y38:AA38"/>
    <mergeCell ref="A39:I39"/>
    <mergeCell ref="J39:L39"/>
    <mergeCell ref="O39:P39"/>
    <mergeCell ref="Q39:S39"/>
    <mergeCell ref="T39:X39"/>
    <mergeCell ref="Y39:AA39"/>
    <mergeCell ref="B36:I36"/>
    <mergeCell ref="J36:L36"/>
    <mergeCell ref="O36:P36"/>
    <mergeCell ref="Q36:S36"/>
    <mergeCell ref="T36:X36"/>
    <mergeCell ref="Y36:AA36"/>
    <mergeCell ref="B37:I37"/>
    <mergeCell ref="J37:L37"/>
    <mergeCell ref="O37:P37"/>
    <mergeCell ref="Q37:S37"/>
    <mergeCell ref="T37:X37"/>
    <mergeCell ref="Y37:AA37"/>
    <mergeCell ref="B34:I34"/>
    <mergeCell ref="J34:L34"/>
    <mergeCell ref="O34:P34"/>
    <mergeCell ref="Q34:S34"/>
    <mergeCell ref="T34:X34"/>
    <mergeCell ref="Y34:AA34"/>
    <mergeCell ref="B35:I35"/>
    <mergeCell ref="J35:L35"/>
    <mergeCell ref="O35:P35"/>
    <mergeCell ref="Q35:S35"/>
    <mergeCell ref="T35:X35"/>
    <mergeCell ref="Y35:AA35"/>
    <mergeCell ref="B32:I32"/>
    <mergeCell ref="J32:L32"/>
    <mergeCell ref="O32:P32"/>
    <mergeCell ref="Q32:S32"/>
    <mergeCell ref="T32:X32"/>
    <mergeCell ref="Y32:AA32"/>
    <mergeCell ref="B33:I33"/>
    <mergeCell ref="J33:L33"/>
    <mergeCell ref="O33:P33"/>
    <mergeCell ref="Q33:S33"/>
    <mergeCell ref="T33:X33"/>
    <mergeCell ref="Y33:AA33"/>
    <mergeCell ref="A30:I30"/>
    <mergeCell ref="J30:L30"/>
    <mergeCell ref="O30:P30"/>
    <mergeCell ref="Q30:S30"/>
    <mergeCell ref="T30:X30"/>
    <mergeCell ref="Y30:AA30"/>
    <mergeCell ref="B31:I31"/>
    <mergeCell ref="J31:L31"/>
    <mergeCell ref="O31:P31"/>
    <mergeCell ref="Q31:S31"/>
    <mergeCell ref="T31:X31"/>
    <mergeCell ref="Y31:AA31"/>
    <mergeCell ref="B28:I28"/>
    <mergeCell ref="J28:L28"/>
    <mergeCell ref="O28:P28"/>
    <mergeCell ref="Q28:S28"/>
    <mergeCell ref="T28:X28"/>
    <mergeCell ref="Y28:AA28"/>
    <mergeCell ref="A29:I29"/>
    <mergeCell ref="J29:L29"/>
    <mergeCell ref="O29:P29"/>
    <mergeCell ref="Q29:S29"/>
    <mergeCell ref="T29:X29"/>
    <mergeCell ref="Y29:AA29"/>
    <mergeCell ref="B26:I26"/>
    <mergeCell ref="J26:L26"/>
    <mergeCell ref="O26:P26"/>
    <mergeCell ref="Q26:S26"/>
    <mergeCell ref="T26:X26"/>
    <mergeCell ref="Y26:AA26"/>
    <mergeCell ref="B27:I27"/>
    <mergeCell ref="J27:L27"/>
    <mergeCell ref="O27:P27"/>
    <mergeCell ref="Q27:S27"/>
    <mergeCell ref="T27:X27"/>
    <mergeCell ref="Y27:AA27"/>
    <mergeCell ref="B24:I24"/>
    <mergeCell ref="J24:L24"/>
    <mergeCell ref="O24:P24"/>
    <mergeCell ref="Q24:S24"/>
    <mergeCell ref="T24:X24"/>
    <mergeCell ref="Y24:AA24"/>
    <mergeCell ref="C25:I25"/>
    <mergeCell ref="J25:L25"/>
    <mergeCell ref="O25:P25"/>
    <mergeCell ref="Q25:S25"/>
    <mergeCell ref="T25:X25"/>
    <mergeCell ref="Y25:AA25"/>
    <mergeCell ref="A19:E19"/>
    <mergeCell ref="F19:M19"/>
    <mergeCell ref="N19:Q19"/>
    <mergeCell ref="R19:S19"/>
    <mergeCell ref="T19:W19"/>
    <mergeCell ref="Y19:AD19"/>
    <mergeCell ref="A20:AE20"/>
    <mergeCell ref="A21:AE21"/>
    <mergeCell ref="A22:I22"/>
    <mergeCell ref="J22:L22"/>
    <mergeCell ref="O22:P22"/>
    <mergeCell ref="Q22:S22"/>
    <mergeCell ref="T22:X22"/>
    <mergeCell ref="Y22:AA22"/>
    <mergeCell ref="AB22:AC23"/>
    <mergeCell ref="A23:I23"/>
    <mergeCell ref="J23:L23"/>
    <mergeCell ref="O23:P23"/>
    <mergeCell ref="Q23:S23"/>
    <mergeCell ref="T23:X23"/>
    <mergeCell ref="Y23:AA23"/>
    <mergeCell ref="A17:E17"/>
    <mergeCell ref="F17:M17"/>
    <mergeCell ref="N17:Q17"/>
    <mergeCell ref="R17:S17"/>
    <mergeCell ref="T17:W17"/>
    <mergeCell ref="Y17:AD17"/>
    <mergeCell ref="A18:E18"/>
    <mergeCell ref="F18:M18"/>
    <mergeCell ref="N18:Q18"/>
    <mergeCell ref="R18:S18"/>
    <mergeCell ref="T18:W18"/>
    <mergeCell ref="Y18:AD18"/>
    <mergeCell ref="A13:Z13"/>
    <mergeCell ref="A14:G14"/>
    <mergeCell ref="H14:J14"/>
    <mergeCell ref="K14:AE14"/>
    <mergeCell ref="A15:J15"/>
    <mergeCell ref="K15:AE15"/>
    <mergeCell ref="A16:E16"/>
    <mergeCell ref="F16:M16"/>
    <mergeCell ref="N16:Q16"/>
    <mergeCell ref="R16:S16"/>
    <mergeCell ref="T16:W16"/>
    <mergeCell ref="Y16:AD16"/>
    <mergeCell ref="A9:K10"/>
    <mergeCell ref="L9:O9"/>
    <mergeCell ref="P9:R9"/>
    <mergeCell ref="S9:T9"/>
    <mergeCell ref="W9:Y9"/>
    <mergeCell ref="L10:O10"/>
    <mergeCell ref="P10:R10"/>
    <mergeCell ref="S10:T10"/>
    <mergeCell ref="W10:Y11"/>
    <mergeCell ref="A11:C12"/>
    <mergeCell ref="D11:H12"/>
    <mergeCell ref="I11:K11"/>
    <mergeCell ref="L11:O11"/>
    <mergeCell ref="P11:R11"/>
    <mergeCell ref="S11:T11"/>
    <mergeCell ref="I12:K12"/>
    <mergeCell ref="L12:O12"/>
    <mergeCell ref="P12:R12"/>
    <mergeCell ref="S12:T12"/>
    <mergeCell ref="W12:Y12"/>
    <mergeCell ref="A4:Z4"/>
    <mergeCell ref="A5:Z5"/>
    <mergeCell ref="A6:Z6"/>
    <mergeCell ref="A7:Z7"/>
    <mergeCell ref="A8:C8"/>
    <mergeCell ref="E8:F8"/>
    <mergeCell ref="G8:H8"/>
    <mergeCell ref="I8:K8"/>
    <mergeCell ref="L8:O8"/>
    <mergeCell ref="P8:R8"/>
    <mergeCell ref="S8:U8"/>
    <mergeCell ref="V8:Z8"/>
    <mergeCell ref="A1:F1"/>
    <mergeCell ref="G1:Z1"/>
    <mergeCell ref="A2:O2"/>
    <mergeCell ref="P2:R2"/>
    <mergeCell ref="S2:T2"/>
    <mergeCell ref="W2:Y2"/>
    <mergeCell ref="A3:D3"/>
    <mergeCell ref="E3:T3"/>
    <mergeCell ref="U3:Z3"/>
  </mergeCells>
  <hyperlinks>
    <hyperlink ref="G1" r:id="rId1" display="mailto:ProducerCommissions@CignaHealthcare.com" xr:uid="{00000000-0004-0000-0000-000000000000}"/>
    <hyperlink ref="K14" r:id="rId2" display="mailto:ProducerCommissions@CignaHealthcare.com" xr:uid="{00000000-0004-0000-0000-000001000000}"/>
    <hyperlink ref="K15" r:id="rId3" display="mailto:CARL@CignaHealthcare.com" xr:uid="{00000000-0004-0000-0000-000002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B9B4E-B8F8-41EB-AEF3-63474D93786D}">
  <dimension ref="A1:P35"/>
  <sheetViews>
    <sheetView tabSelected="1" workbookViewId="0">
      <selection activeCell="L3" sqref="L3:L31"/>
    </sheetView>
  </sheetViews>
  <sheetFormatPr defaultRowHeight="15" customHeight="1" x14ac:dyDescent="0.2"/>
  <cols>
    <col min="1" max="1" width="39.6640625" style="97" bestFit="1" customWidth="1"/>
    <col min="2" max="2" width="39.6640625" style="97" customWidth="1"/>
    <col min="3" max="3" width="29.5" style="97" bestFit="1" customWidth="1"/>
    <col min="4" max="4" width="18.83203125" style="97" bestFit="1" customWidth="1"/>
    <col min="5" max="5" width="4" style="97" bestFit="1" customWidth="1"/>
    <col min="6" max="7" width="10.5" style="97" customWidth="1"/>
    <col min="8" max="8" width="9.33203125" style="97"/>
    <col min="9" max="9" width="16.5" style="97" customWidth="1"/>
    <col min="10" max="10" width="27" style="97" bestFit="1" customWidth="1"/>
    <col min="11" max="11" width="5.6640625" style="97" bestFit="1" customWidth="1"/>
    <col min="12" max="12" width="10.5" style="97" customWidth="1"/>
    <col min="13" max="13" width="8" style="97" customWidth="1"/>
    <col min="14" max="14" width="22" style="97" bestFit="1" customWidth="1"/>
    <col min="15" max="15" width="28.33203125" style="97" bestFit="1" customWidth="1"/>
    <col min="16" max="16" width="20.33203125" style="97" bestFit="1" customWidth="1"/>
    <col min="17" max="16384" width="9.33203125" style="97"/>
  </cols>
  <sheetData>
    <row r="1" spans="1:16" ht="15" customHeight="1" x14ac:dyDescent="0.2">
      <c r="A1" s="91" t="s">
        <v>38</v>
      </c>
      <c r="B1" s="91"/>
      <c r="C1" s="91" t="s">
        <v>39</v>
      </c>
      <c r="D1" s="91"/>
      <c r="E1" s="91" t="s">
        <v>40</v>
      </c>
      <c r="F1" s="94"/>
      <c r="G1" s="94"/>
      <c r="H1" s="94"/>
      <c r="I1" s="94"/>
      <c r="J1" s="94"/>
      <c r="K1" s="91" t="s">
        <v>41</v>
      </c>
      <c r="L1" s="94"/>
      <c r="M1" s="91" t="s">
        <v>42</v>
      </c>
    </row>
    <row r="2" spans="1:16" ht="15" customHeight="1" x14ac:dyDescent="0.2">
      <c r="A2" s="91" t="s">
        <v>43</v>
      </c>
      <c r="B2" s="91"/>
      <c r="C2" s="91" t="s">
        <v>44</v>
      </c>
      <c r="D2" s="91" t="s">
        <v>45</v>
      </c>
      <c r="E2" s="91" t="s">
        <v>46</v>
      </c>
      <c r="F2" s="91" t="s">
        <v>47</v>
      </c>
      <c r="G2" s="91" t="s">
        <v>48</v>
      </c>
      <c r="H2" s="91" t="s">
        <v>49</v>
      </c>
      <c r="I2" s="91" t="s">
        <v>50</v>
      </c>
      <c r="J2" s="91" t="s">
        <v>51</v>
      </c>
      <c r="K2" s="91" t="s">
        <v>52</v>
      </c>
      <c r="L2" s="91" t="s">
        <v>42</v>
      </c>
      <c r="M2" s="91" t="s">
        <v>53</v>
      </c>
    </row>
    <row r="3" spans="1:16" s="105" customFormat="1" ht="15" customHeight="1" x14ac:dyDescent="0.2">
      <c r="A3" s="101" t="s">
        <v>54</v>
      </c>
      <c r="B3" s="101" t="str">
        <f>CONCATENATE(A3,1)</f>
        <v>6UK8RD5RD491</v>
      </c>
      <c r="C3" s="101">
        <v>20351186001</v>
      </c>
      <c r="D3" s="101" t="s">
        <v>112</v>
      </c>
      <c r="E3" s="101" t="s">
        <v>56</v>
      </c>
      <c r="F3" s="102">
        <v>45866</v>
      </c>
      <c r="G3" s="101" t="s">
        <v>57</v>
      </c>
      <c r="H3" s="102">
        <v>45931</v>
      </c>
      <c r="I3" s="103"/>
      <c r="J3" s="101" t="s">
        <v>58</v>
      </c>
      <c r="K3" s="104">
        <v>1</v>
      </c>
      <c r="L3" s="104">
        <v>1</v>
      </c>
      <c r="M3" s="101" t="s">
        <v>59</v>
      </c>
      <c r="N3" s="105" t="s">
        <v>121</v>
      </c>
      <c r="O3" s="108" t="s">
        <v>129</v>
      </c>
      <c r="P3" s="108">
        <v>20411454</v>
      </c>
    </row>
    <row r="4" spans="1:16" s="105" customFormat="1" ht="15" customHeight="1" x14ac:dyDescent="0.2">
      <c r="A4" s="101" t="s">
        <v>54</v>
      </c>
      <c r="B4" s="101" t="str">
        <f t="shared" ref="B4:B21" si="0">CONCATENATE(A4,1)</f>
        <v>6UK8RD5RD491</v>
      </c>
      <c r="C4" s="101">
        <v>20351186001</v>
      </c>
      <c r="D4" s="101" t="s">
        <v>112</v>
      </c>
      <c r="E4" s="101" t="s">
        <v>56</v>
      </c>
      <c r="F4" s="102">
        <v>45866</v>
      </c>
      <c r="G4" s="101" t="s">
        <v>57</v>
      </c>
      <c r="H4" s="102">
        <v>45931</v>
      </c>
      <c r="I4" s="103"/>
      <c r="J4" s="101" t="s">
        <v>60</v>
      </c>
      <c r="K4" s="104">
        <v>2</v>
      </c>
      <c r="L4" s="104">
        <v>2</v>
      </c>
      <c r="M4" s="101" t="s">
        <v>59</v>
      </c>
      <c r="N4" s="105" t="s">
        <v>121</v>
      </c>
      <c r="O4" s="108" t="s">
        <v>129</v>
      </c>
      <c r="P4" s="108">
        <v>20411454</v>
      </c>
    </row>
    <row r="5" spans="1:16" s="105" customFormat="1" ht="15" customHeight="1" x14ac:dyDescent="0.2">
      <c r="A5" s="101" t="s">
        <v>61</v>
      </c>
      <c r="B5" s="101" t="str">
        <f t="shared" si="0"/>
        <v>3J80H80MH331</v>
      </c>
      <c r="C5" s="101">
        <v>20362943101</v>
      </c>
      <c r="D5" s="101" t="s">
        <v>113</v>
      </c>
      <c r="E5" s="101" t="s">
        <v>56</v>
      </c>
      <c r="F5" s="102">
        <v>45874</v>
      </c>
      <c r="G5" s="101" t="s">
        <v>57</v>
      </c>
      <c r="H5" s="102">
        <v>45931</v>
      </c>
      <c r="I5" s="103"/>
      <c r="J5" s="101" t="s">
        <v>60</v>
      </c>
      <c r="K5" s="104">
        <v>2</v>
      </c>
      <c r="L5" s="104">
        <v>2</v>
      </c>
      <c r="M5" s="101" t="s">
        <v>59</v>
      </c>
      <c r="N5" s="105" t="s">
        <v>121</v>
      </c>
      <c r="O5" s="108" t="s">
        <v>129</v>
      </c>
      <c r="P5" s="108">
        <v>20411454</v>
      </c>
    </row>
    <row r="6" spans="1:16" s="105" customFormat="1" ht="15" customHeight="1" x14ac:dyDescent="0.2">
      <c r="A6" s="101" t="s">
        <v>110</v>
      </c>
      <c r="B6" s="101" t="str">
        <f t="shared" si="0"/>
        <v>3HG8WQ6HU681</v>
      </c>
      <c r="C6" s="101">
        <v>91000734690</v>
      </c>
      <c r="D6" s="101" t="s">
        <v>111</v>
      </c>
      <c r="E6" s="101" t="s">
        <v>64</v>
      </c>
      <c r="F6" s="102">
        <v>45584</v>
      </c>
      <c r="G6" s="101" t="s">
        <v>65</v>
      </c>
      <c r="H6" s="102">
        <v>45658</v>
      </c>
      <c r="I6" s="103"/>
      <c r="J6" s="101" t="s">
        <v>60</v>
      </c>
      <c r="K6" s="104">
        <v>2</v>
      </c>
      <c r="L6" s="104">
        <v>2</v>
      </c>
      <c r="M6" s="101" t="s">
        <v>59</v>
      </c>
      <c r="N6" s="105" t="s">
        <v>121</v>
      </c>
      <c r="O6" s="108" t="s">
        <v>129</v>
      </c>
      <c r="P6" s="108">
        <v>20411454</v>
      </c>
    </row>
    <row r="7" spans="1:16" s="105" customFormat="1" ht="15" customHeight="1" x14ac:dyDescent="0.2">
      <c r="A7" s="101" t="s">
        <v>67</v>
      </c>
      <c r="B7" s="101" t="str">
        <f t="shared" si="0"/>
        <v>4CX9R06HT211</v>
      </c>
      <c r="C7" s="101">
        <v>20333464401</v>
      </c>
      <c r="D7" s="101" t="s">
        <v>114</v>
      </c>
      <c r="E7" s="101" t="s">
        <v>56</v>
      </c>
      <c r="F7" s="102">
        <v>45848</v>
      </c>
      <c r="G7" s="101" t="s">
        <v>69</v>
      </c>
      <c r="H7" s="102">
        <v>45870</v>
      </c>
      <c r="I7" s="103"/>
      <c r="J7" s="101" t="s">
        <v>58</v>
      </c>
      <c r="K7" s="104">
        <v>1</v>
      </c>
      <c r="L7" s="104">
        <v>1</v>
      </c>
      <c r="M7" s="101" t="s">
        <v>59</v>
      </c>
      <c r="N7" s="105" t="s">
        <v>121</v>
      </c>
      <c r="O7" s="108" t="s">
        <v>129</v>
      </c>
      <c r="P7" s="108">
        <v>20411454</v>
      </c>
    </row>
    <row r="8" spans="1:16" s="105" customFormat="1" ht="15" customHeight="1" x14ac:dyDescent="0.2">
      <c r="A8" s="101" t="s">
        <v>70</v>
      </c>
      <c r="B8" s="101" t="str">
        <f t="shared" si="0"/>
        <v>2J12F45WQ211</v>
      </c>
      <c r="C8" s="101">
        <v>20201251401</v>
      </c>
      <c r="D8" s="101" t="s">
        <v>115</v>
      </c>
      <c r="E8" s="101" t="s">
        <v>72</v>
      </c>
      <c r="F8" s="102">
        <v>45735</v>
      </c>
      <c r="G8" s="101" t="s">
        <v>73</v>
      </c>
      <c r="H8" s="102">
        <v>45748</v>
      </c>
      <c r="I8" s="102">
        <v>45869</v>
      </c>
      <c r="J8" s="101" t="s">
        <v>74</v>
      </c>
      <c r="K8" s="104">
        <v>1</v>
      </c>
      <c r="L8" s="106">
        <v>-0.67</v>
      </c>
      <c r="M8" s="101" t="s">
        <v>59</v>
      </c>
      <c r="N8" s="105" t="s">
        <v>121</v>
      </c>
      <c r="O8" s="108" t="s">
        <v>129</v>
      </c>
      <c r="P8" s="108">
        <v>20411454</v>
      </c>
    </row>
    <row r="9" spans="1:16" s="105" customFormat="1" ht="15" customHeight="1" x14ac:dyDescent="0.2">
      <c r="A9" s="101" t="s">
        <v>70</v>
      </c>
      <c r="B9" s="101" t="str">
        <f t="shared" si="0"/>
        <v>2J12F45WQ211</v>
      </c>
      <c r="C9" s="101">
        <v>20201251401</v>
      </c>
      <c r="D9" s="101" t="s">
        <v>115</v>
      </c>
      <c r="E9" s="101" t="s">
        <v>72</v>
      </c>
      <c r="F9" s="102">
        <v>45735</v>
      </c>
      <c r="G9" s="101" t="s">
        <v>73</v>
      </c>
      <c r="H9" s="102">
        <v>45748</v>
      </c>
      <c r="I9" s="102">
        <v>45869</v>
      </c>
      <c r="J9" s="101" t="s">
        <v>74</v>
      </c>
      <c r="K9" s="104">
        <v>2</v>
      </c>
      <c r="L9" s="106">
        <v>-1.33</v>
      </c>
      <c r="M9" s="101" t="s">
        <v>59</v>
      </c>
      <c r="N9" s="105" t="s">
        <v>121</v>
      </c>
      <c r="O9" s="108" t="s">
        <v>129</v>
      </c>
      <c r="P9" s="108">
        <v>20411454</v>
      </c>
    </row>
    <row r="10" spans="1:16" s="105" customFormat="1" ht="15" customHeight="1" x14ac:dyDescent="0.2">
      <c r="A10" s="101" t="s">
        <v>75</v>
      </c>
      <c r="B10" s="101" t="str">
        <f t="shared" si="0"/>
        <v>5VC3C08QY091</v>
      </c>
      <c r="C10" s="101">
        <v>20335584701</v>
      </c>
      <c r="D10" s="101" t="s">
        <v>116</v>
      </c>
      <c r="E10" s="101" t="s">
        <v>77</v>
      </c>
      <c r="F10" s="102">
        <v>45850</v>
      </c>
      <c r="G10" s="101" t="s">
        <v>78</v>
      </c>
      <c r="H10" s="102">
        <v>45870</v>
      </c>
      <c r="I10" s="103"/>
      <c r="J10" s="101" t="s">
        <v>58</v>
      </c>
      <c r="K10" s="104">
        <v>1</v>
      </c>
      <c r="L10" s="106">
        <v>1</v>
      </c>
      <c r="M10" s="101" t="s">
        <v>59</v>
      </c>
      <c r="N10" s="105" t="s">
        <v>121</v>
      </c>
      <c r="O10" s="108" t="s">
        <v>129</v>
      </c>
      <c r="P10" s="108">
        <v>20411454</v>
      </c>
    </row>
    <row r="11" spans="1:16" s="105" customFormat="1" ht="15" customHeight="1" x14ac:dyDescent="0.2">
      <c r="A11" s="101" t="s">
        <v>117</v>
      </c>
      <c r="B11" s="101" t="str">
        <f t="shared" si="0"/>
        <v>8YU0HX9MW311</v>
      </c>
      <c r="C11" s="101">
        <v>20355518001</v>
      </c>
      <c r="D11" s="101" t="s">
        <v>118</v>
      </c>
      <c r="E11" s="101" t="s">
        <v>56</v>
      </c>
      <c r="F11" s="102">
        <v>45870</v>
      </c>
      <c r="G11" s="101" t="s">
        <v>57</v>
      </c>
      <c r="H11" s="102">
        <v>45931</v>
      </c>
      <c r="I11" s="103"/>
      <c r="J11" s="101" t="s">
        <v>60</v>
      </c>
      <c r="K11" s="104">
        <v>2</v>
      </c>
      <c r="L11" s="106">
        <v>2</v>
      </c>
      <c r="M11" s="101" t="s">
        <v>59</v>
      </c>
      <c r="N11" s="105" t="s">
        <v>121</v>
      </c>
      <c r="O11" s="108" t="s">
        <v>129</v>
      </c>
      <c r="P11" s="108">
        <v>20411454</v>
      </c>
    </row>
    <row r="12" spans="1:16" s="105" customFormat="1" ht="15" customHeight="1" x14ac:dyDescent="0.2">
      <c r="A12" s="101" t="s">
        <v>80</v>
      </c>
      <c r="B12" s="101" t="str">
        <f t="shared" si="0"/>
        <v>5XT6KK5RP831</v>
      </c>
      <c r="C12" s="101">
        <v>20324171601</v>
      </c>
      <c r="D12" s="101" t="s">
        <v>119</v>
      </c>
      <c r="E12" s="101" t="s">
        <v>82</v>
      </c>
      <c r="F12" s="102">
        <v>45840</v>
      </c>
      <c r="G12" s="101" t="s">
        <v>65</v>
      </c>
      <c r="H12" s="102">
        <v>45931</v>
      </c>
      <c r="I12" s="103"/>
      <c r="J12" s="101" t="s">
        <v>58</v>
      </c>
      <c r="K12" s="104">
        <v>1</v>
      </c>
      <c r="L12" s="106">
        <v>1</v>
      </c>
      <c r="M12" s="101" t="s">
        <v>59</v>
      </c>
      <c r="N12" s="105" t="s">
        <v>121</v>
      </c>
      <c r="O12" s="108" t="s">
        <v>129</v>
      </c>
      <c r="P12" s="108">
        <v>20411454</v>
      </c>
    </row>
    <row r="13" spans="1:16" s="105" customFormat="1" ht="15" customHeight="1" x14ac:dyDescent="0.2">
      <c r="A13" s="101" t="s">
        <v>83</v>
      </c>
      <c r="B13" s="101" t="str">
        <f t="shared" si="0"/>
        <v>3Q94PA0NT721</v>
      </c>
      <c r="C13" s="101">
        <v>20246173701</v>
      </c>
      <c r="D13" s="101" t="s">
        <v>120</v>
      </c>
      <c r="E13" s="101" t="s">
        <v>56</v>
      </c>
      <c r="F13" s="102">
        <v>45772</v>
      </c>
      <c r="G13" s="101" t="s">
        <v>85</v>
      </c>
      <c r="H13" s="102">
        <v>45778</v>
      </c>
      <c r="I13" s="102">
        <v>45869</v>
      </c>
      <c r="J13" s="101" t="s">
        <v>86</v>
      </c>
      <c r="K13" s="104">
        <v>2</v>
      </c>
      <c r="L13" s="106">
        <v>-1.5</v>
      </c>
      <c r="M13" s="101" t="s">
        <v>59</v>
      </c>
      <c r="N13" s="105" t="s">
        <v>121</v>
      </c>
      <c r="O13" s="108" t="s">
        <v>129</v>
      </c>
      <c r="P13" s="108">
        <v>20411454</v>
      </c>
    </row>
    <row r="14" spans="1:16" s="105" customFormat="1" ht="15" customHeight="1" x14ac:dyDescent="0.2">
      <c r="A14" s="101" t="s">
        <v>83</v>
      </c>
      <c r="B14" s="101" t="str">
        <f t="shared" si="0"/>
        <v>3Q94PA0NT721</v>
      </c>
      <c r="C14" s="101">
        <v>20246173701</v>
      </c>
      <c r="D14" s="101" t="s">
        <v>120</v>
      </c>
      <c r="E14" s="101" t="s">
        <v>56</v>
      </c>
      <c r="F14" s="102">
        <v>45772</v>
      </c>
      <c r="G14" s="101" t="s">
        <v>85</v>
      </c>
      <c r="H14" s="102">
        <v>45778</v>
      </c>
      <c r="I14" s="102">
        <v>45869</v>
      </c>
      <c r="J14" s="101" t="s">
        <v>86</v>
      </c>
      <c r="K14" s="104">
        <v>1</v>
      </c>
      <c r="L14" s="106">
        <v>-0.75</v>
      </c>
      <c r="M14" s="101" t="s">
        <v>59</v>
      </c>
      <c r="N14" s="105" t="s">
        <v>121</v>
      </c>
      <c r="O14" s="108" t="s">
        <v>129</v>
      </c>
      <c r="P14" s="108">
        <v>20411454</v>
      </c>
    </row>
    <row r="15" spans="1:16" s="105" customFormat="1" ht="15" customHeight="1" x14ac:dyDescent="0.2">
      <c r="A15" s="101" t="s">
        <v>93</v>
      </c>
      <c r="B15" s="101" t="str">
        <f t="shared" si="0"/>
        <v>2W44KD7AU781</v>
      </c>
      <c r="C15" s="107">
        <v>20374624301</v>
      </c>
      <c r="D15" s="101" t="s">
        <v>94</v>
      </c>
      <c r="E15" s="101" t="s">
        <v>56</v>
      </c>
      <c r="F15" s="102">
        <v>45887</v>
      </c>
      <c r="G15" s="101" t="s">
        <v>57</v>
      </c>
      <c r="H15" s="102">
        <v>45901</v>
      </c>
      <c r="I15" s="103"/>
      <c r="J15" s="101" t="s">
        <v>60</v>
      </c>
      <c r="K15" s="104">
        <v>2</v>
      </c>
      <c r="L15" s="106">
        <v>2</v>
      </c>
      <c r="M15" s="101" t="s">
        <v>59</v>
      </c>
      <c r="N15" s="105" t="s">
        <v>121</v>
      </c>
      <c r="O15" s="108" t="s">
        <v>129</v>
      </c>
      <c r="P15" s="108">
        <v>20411454</v>
      </c>
    </row>
    <row r="16" spans="1:16" s="105" customFormat="1" ht="15" customHeight="1" x14ac:dyDescent="0.2">
      <c r="A16" s="101" t="s">
        <v>95</v>
      </c>
      <c r="B16" s="101" t="str">
        <f t="shared" si="0"/>
        <v>5R53WV4PN841</v>
      </c>
      <c r="C16" s="107">
        <v>20367398301</v>
      </c>
      <c r="D16" s="101" t="s">
        <v>96</v>
      </c>
      <c r="E16" s="101" t="s">
        <v>56</v>
      </c>
      <c r="F16" s="102">
        <v>45880</v>
      </c>
      <c r="G16" s="101" t="s">
        <v>57</v>
      </c>
      <c r="H16" s="102">
        <v>45901</v>
      </c>
      <c r="I16" s="103"/>
      <c r="J16" s="101" t="s">
        <v>60</v>
      </c>
      <c r="K16" s="104">
        <v>2</v>
      </c>
      <c r="L16" s="106">
        <v>2</v>
      </c>
      <c r="M16" s="101" t="s">
        <v>59</v>
      </c>
      <c r="N16" s="105" t="s">
        <v>121</v>
      </c>
      <c r="O16" s="108" t="s">
        <v>129</v>
      </c>
      <c r="P16" s="108">
        <v>20411454</v>
      </c>
    </row>
    <row r="17" spans="1:16" s="105" customFormat="1" ht="15" customHeight="1" x14ac:dyDescent="0.2">
      <c r="A17" s="101" t="s">
        <v>97</v>
      </c>
      <c r="B17" s="101" t="str">
        <f t="shared" si="0"/>
        <v>7W89X02TH431</v>
      </c>
      <c r="C17" s="107">
        <v>20366093101</v>
      </c>
      <c r="D17" s="101" t="s">
        <v>98</v>
      </c>
      <c r="E17" s="101" t="s">
        <v>99</v>
      </c>
      <c r="F17" s="102">
        <v>45877</v>
      </c>
      <c r="G17" s="101" t="s">
        <v>100</v>
      </c>
      <c r="H17" s="102">
        <v>45901</v>
      </c>
      <c r="I17" s="103"/>
      <c r="J17" s="101" t="s">
        <v>60</v>
      </c>
      <c r="K17" s="104">
        <v>2</v>
      </c>
      <c r="L17" s="106">
        <v>2</v>
      </c>
      <c r="M17" s="101" t="s">
        <v>59</v>
      </c>
      <c r="N17" s="105" t="s">
        <v>121</v>
      </c>
      <c r="O17" s="108" t="s">
        <v>129</v>
      </c>
      <c r="P17" s="108">
        <v>20411454</v>
      </c>
    </row>
    <row r="18" spans="1:16" s="105" customFormat="1" ht="15" customHeight="1" x14ac:dyDescent="0.2">
      <c r="A18" s="101" t="s">
        <v>101</v>
      </c>
      <c r="B18" s="101" t="str">
        <f t="shared" si="0"/>
        <v>3HH2MQ8JT191</v>
      </c>
      <c r="C18" s="107">
        <v>20364851401</v>
      </c>
      <c r="D18" s="101" t="s">
        <v>102</v>
      </c>
      <c r="E18" s="101" t="s">
        <v>99</v>
      </c>
      <c r="F18" s="102">
        <v>45875</v>
      </c>
      <c r="G18" s="101" t="s">
        <v>100</v>
      </c>
      <c r="H18" s="102">
        <v>45901</v>
      </c>
      <c r="I18" s="103"/>
      <c r="J18" s="101" t="s">
        <v>60</v>
      </c>
      <c r="K18" s="104">
        <v>2</v>
      </c>
      <c r="L18" s="106">
        <v>2</v>
      </c>
      <c r="M18" s="101" t="s">
        <v>59</v>
      </c>
      <c r="N18" s="105" t="s">
        <v>121</v>
      </c>
      <c r="O18" s="108" t="s">
        <v>129</v>
      </c>
      <c r="P18" s="108">
        <v>20411454</v>
      </c>
    </row>
    <row r="19" spans="1:16" s="105" customFormat="1" ht="15" customHeight="1" x14ac:dyDescent="0.2">
      <c r="A19" s="101" t="s">
        <v>103</v>
      </c>
      <c r="B19" s="101" t="str">
        <f t="shared" si="0"/>
        <v>4FC2CM5CQ011</v>
      </c>
      <c r="C19" s="107">
        <v>20366238201</v>
      </c>
      <c r="D19" s="101" t="s">
        <v>104</v>
      </c>
      <c r="E19" s="101" t="s">
        <v>56</v>
      </c>
      <c r="F19" s="102">
        <v>45877</v>
      </c>
      <c r="G19" s="101" t="s">
        <v>57</v>
      </c>
      <c r="H19" s="102">
        <v>45901</v>
      </c>
      <c r="I19" s="103"/>
      <c r="J19" s="101" t="s">
        <v>60</v>
      </c>
      <c r="K19" s="104">
        <v>2</v>
      </c>
      <c r="L19" s="106">
        <v>2</v>
      </c>
      <c r="M19" s="101" t="s">
        <v>59</v>
      </c>
      <c r="N19" s="105" t="s">
        <v>121</v>
      </c>
      <c r="O19" s="108" t="s">
        <v>129</v>
      </c>
      <c r="P19" s="108">
        <v>20411454</v>
      </c>
    </row>
    <row r="20" spans="1:16" s="105" customFormat="1" ht="15" customHeight="1" x14ac:dyDescent="0.2">
      <c r="A20" s="101" t="s">
        <v>105</v>
      </c>
      <c r="B20" s="101" t="str">
        <f t="shared" si="0"/>
        <v>2PR8GM0VT361</v>
      </c>
      <c r="C20" s="107">
        <v>20366275401</v>
      </c>
      <c r="D20" s="101" t="s">
        <v>106</v>
      </c>
      <c r="E20" s="101" t="s">
        <v>56</v>
      </c>
      <c r="F20" s="102">
        <v>45877</v>
      </c>
      <c r="G20" s="101" t="s">
        <v>57</v>
      </c>
      <c r="H20" s="102">
        <v>45901</v>
      </c>
      <c r="I20" s="103"/>
      <c r="J20" s="101" t="s">
        <v>60</v>
      </c>
      <c r="K20" s="104">
        <v>2</v>
      </c>
      <c r="L20" s="106">
        <v>2</v>
      </c>
      <c r="M20" s="101" t="s">
        <v>59</v>
      </c>
      <c r="N20" s="105" t="s">
        <v>121</v>
      </c>
      <c r="O20" s="108" t="s">
        <v>129</v>
      </c>
      <c r="P20" s="108">
        <v>20411454</v>
      </c>
    </row>
    <row r="21" spans="1:16" s="105" customFormat="1" ht="15" customHeight="1" x14ac:dyDescent="0.2">
      <c r="A21" s="101" t="s">
        <v>107</v>
      </c>
      <c r="B21" s="101" t="str">
        <f t="shared" si="0"/>
        <v>1DK6DH8VP501</v>
      </c>
      <c r="C21" s="107">
        <v>20369599401</v>
      </c>
      <c r="D21" s="101" t="s">
        <v>108</v>
      </c>
      <c r="E21" s="101" t="s">
        <v>99</v>
      </c>
      <c r="F21" s="102">
        <v>45882</v>
      </c>
      <c r="G21" s="101" t="s">
        <v>109</v>
      </c>
      <c r="H21" s="102">
        <v>45901</v>
      </c>
      <c r="I21" s="103"/>
      <c r="J21" s="101" t="s">
        <v>60</v>
      </c>
      <c r="K21" s="104">
        <v>2</v>
      </c>
      <c r="L21" s="106">
        <v>2</v>
      </c>
      <c r="M21" s="101" t="s">
        <v>59</v>
      </c>
      <c r="N21" s="105" t="s">
        <v>121</v>
      </c>
      <c r="O21" s="108" t="s">
        <v>129</v>
      </c>
      <c r="P21" s="108">
        <v>20411454</v>
      </c>
    </row>
    <row r="22" spans="1:16" ht="15" customHeight="1" x14ac:dyDescent="0.2">
      <c r="A22" s="91" t="s">
        <v>70</v>
      </c>
      <c r="B22" s="91" t="str">
        <f>CONCATENATE(A22,0)</f>
        <v>2J12F45WQ210</v>
      </c>
      <c r="C22" s="91">
        <v>20201251401</v>
      </c>
      <c r="D22" s="91" t="s">
        <v>115</v>
      </c>
      <c r="E22" s="91" t="s">
        <v>72</v>
      </c>
      <c r="F22" s="93">
        <v>45735</v>
      </c>
      <c r="G22" s="91" t="s">
        <v>73</v>
      </c>
      <c r="H22" s="93">
        <v>45748</v>
      </c>
      <c r="I22" s="93">
        <v>45869</v>
      </c>
      <c r="J22" s="91" t="s">
        <v>74</v>
      </c>
      <c r="K22" s="95">
        <v>12</v>
      </c>
      <c r="L22" s="96">
        <v>-8</v>
      </c>
      <c r="M22" s="91" t="s">
        <v>66</v>
      </c>
      <c r="N22" s="97" t="s">
        <v>122</v>
      </c>
      <c r="O22" s="97" t="s">
        <v>123</v>
      </c>
      <c r="P22" s="97">
        <v>16212649</v>
      </c>
    </row>
    <row r="23" spans="1:16" ht="15" customHeight="1" x14ac:dyDescent="0.2">
      <c r="A23" s="91" t="s">
        <v>70</v>
      </c>
      <c r="B23" s="91" t="str">
        <f t="shared" ref="B23:B31" si="1">CONCATENATE(A23,0)</f>
        <v>2J12F45WQ210</v>
      </c>
      <c r="C23" s="91">
        <v>20201251401</v>
      </c>
      <c r="D23" s="91" t="s">
        <v>115</v>
      </c>
      <c r="E23" s="91" t="s">
        <v>72</v>
      </c>
      <c r="F23" s="93">
        <v>45735</v>
      </c>
      <c r="G23" s="91" t="s">
        <v>73</v>
      </c>
      <c r="H23" s="93">
        <v>45748</v>
      </c>
      <c r="I23" s="93">
        <v>45869</v>
      </c>
      <c r="J23" s="91" t="s">
        <v>74</v>
      </c>
      <c r="K23" s="95">
        <v>12</v>
      </c>
      <c r="L23" s="96">
        <v>-8</v>
      </c>
      <c r="M23" s="91" t="s">
        <v>66</v>
      </c>
      <c r="N23" s="97" t="s">
        <v>122</v>
      </c>
      <c r="O23" s="97" t="s">
        <v>123</v>
      </c>
      <c r="P23" s="97">
        <v>16212649</v>
      </c>
    </row>
    <row r="24" spans="1:16" ht="15" customHeight="1" x14ac:dyDescent="0.2">
      <c r="A24" s="91" t="s">
        <v>97</v>
      </c>
      <c r="B24" s="91" t="str">
        <f t="shared" si="1"/>
        <v>7W89X02TH430</v>
      </c>
      <c r="C24" s="92">
        <v>20366093101</v>
      </c>
      <c r="D24" s="91" t="s">
        <v>98</v>
      </c>
      <c r="E24" s="91" t="s">
        <v>99</v>
      </c>
      <c r="F24" s="93">
        <v>45877</v>
      </c>
      <c r="G24" s="91" t="s">
        <v>100</v>
      </c>
      <c r="H24" s="93">
        <v>45901</v>
      </c>
      <c r="I24" s="94"/>
      <c r="J24" s="91" t="s">
        <v>60</v>
      </c>
      <c r="K24" s="95">
        <v>12</v>
      </c>
      <c r="L24" s="96">
        <v>4</v>
      </c>
      <c r="M24" s="91" t="s">
        <v>66</v>
      </c>
      <c r="N24" s="97" t="s">
        <v>122</v>
      </c>
      <c r="O24" s="97" t="s">
        <v>124</v>
      </c>
      <c r="P24" s="97">
        <v>9079571</v>
      </c>
    </row>
    <row r="25" spans="1:16" ht="15" customHeight="1" x14ac:dyDescent="0.2">
      <c r="A25" s="91" t="s">
        <v>101</v>
      </c>
      <c r="B25" s="91" t="str">
        <f t="shared" si="1"/>
        <v>3HH2MQ8JT190</v>
      </c>
      <c r="C25" s="92">
        <v>20364851401</v>
      </c>
      <c r="D25" s="91" t="s">
        <v>102</v>
      </c>
      <c r="E25" s="91" t="s">
        <v>99</v>
      </c>
      <c r="F25" s="93">
        <v>45875</v>
      </c>
      <c r="G25" s="91" t="s">
        <v>100</v>
      </c>
      <c r="H25" s="93">
        <v>45901</v>
      </c>
      <c r="I25" s="94"/>
      <c r="J25" s="91" t="s">
        <v>60</v>
      </c>
      <c r="K25" s="95">
        <v>12</v>
      </c>
      <c r="L25" s="96">
        <v>4</v>
      </c>
      <c r="M25" s="91" t="s">
        <v>66</v>
      </c>
      <c r="N25" s="97" t="s">
        <v>122</v>
      </c>
      <c r="O25" s="97" t="s">
        <v>124</v>
      </c>
      <c r="P25" s="97">
        <v>9079571</v>
      </c>
    </row>
    <row r="26" spans="1:16" ht="15" customHeight="1" x14ac:dyDescent="0.2">
      <c r="A26" s="91" t="s">
        <v>67</v>
      </c>
      <c r="B26" s="91" t="str">
        <f t="shared" si="1"/>
        <v>4CX9R06HT210</v>
      </c>
      <c r="C26" s="91">
        <v>20333464401</v>
      </c>
      <c r="D26" s="91" t="s">
        <v>114</v>
      </c>
      <c r="E26" s="91" t="s">
        <v>56</v>
      </c>
      <c r="F26" s="93">
        <v>45848</v>
      </c>
      <c r="G26" s="91" t="s">
        <v>69</v>
      </c>
      <c r="H26" s="93">
        <v>45870</v>
      </c>
      <c r="I26" s="94"/>
      <c r="J26" s="91" t="s">
        <v>58</v>
      </c>
      <c r="K26" s="95">
        <v>12</v>
      </c>
      <c r="L26" s="95">
        <v>19</v>
      </c>
      <c r="M26" s="91" t="s">
        <v>66</v>
      </c>
      <c r="N26" s="97" t="s">
        <v>122</v>
      </c>
      <c r="O26" s="97" t="s">
        <v>125</v>
      </c>
      <c r="P26" s="97">
        <v>19278370</v>
      </c>
    </row>
    <row r="27" spans="1:16" ht="15" customHeight="1" x14ac:dyDescent="0.2">
      <c r="A27" s="91" t="s">
        <v>110</v>
      </c>
      <c r="B27" s="91" t="str">
        <f t="shared" si="1"/>
        <v>3HG8WQ6HU680</v>
      </c>
      <c r="C27" s="91">
        <v>91000734690</v>
      </c>
      <c r="D27" s="91" t="s">
        <v>111</v>
      </c>
      <c r="E27" s="91" t="s">
        <v>64</v>
      </c>
      <c r="F27" s="93">
        <v>45584</v>
      </c>
      <c r="G27" s="91" t="s">
        <v>65</v>
      </c>
      <c r="H27" s="93">
        <v>45658</v>
      </c>
      <c r="I27" s="94"/>
      <c r="J27" s="91" t="s">
        <v>60</v>
      </c>
      <c r="K27" s="95">
        <v>12</v>
      </c>
      <c r="L27" s="95">
        <v>12</v>
      </c>
      <c r="M27" s="91" t="s">
        <v>66</v>
      </c>
      <c r="N27" s="97" t="s">
        <v>122</v>
      </c>
      <c r="O27" s="97" t="s">
        <v>126</v>
      </c>
      <c r="P27" s="97">
        <v>19645587</v>
      </c>
    </row>
    <row r="28" spans="1:16" ht="15" customHeight="1" x14ac:dyDescent="0.2">
      <c r="A28" s="91" t="s">
        <v>80</v>
      </c>
      <c r="B28" s="91" t="str">
        <f t="shared" si="1"/>
        <v>5XT6KK5RP830</v>
      </c>
      <c r="C28" s="91">
        <v>20324171601</v>
      </c>
      <c r="D28" s="91" t="s">
        <v>119</v>
      </c>
      <c r="E28" s="91" t="s">
        <v>82</v>
      </c>
      <c r="F28" s="93">
        <v>45840</v>
      </c>
      <c r="G28" s="91" t="s">
        <v>65</v>
      </c>
      <c r="H28" s="93">
        <v>45931</v>
      </c>
      <c r="I28" s="94"/>
      <c r="J28" s="91" t="s">
        <v>58</v>
      </c>
      <c r="K28" s="95">
        <v>12</v>
      </c>
      <c r="L28" s="96">
        <v>21</v>
      </c>
      <c r="M28" s="91" t="s">
        <v>66</v>
      </c>
      <c r="N28" s="97" t="s">
        <v>122</v>
      </c>
      <c r="O28" s="97" t="s">
        <v>126</v>
      </c>
      <c r="P28" s="97">
        <v>19645587</v>
      </c>
    </row>
    <row r="29" spans="1:16" ht="15" customHeight="1" x14ac:dyDescent="0.2">
      <c r="A29" s="91" t="s">
        <v>75</v>
      </c>
      <c r="B29" s="91" t="str">
        <f t="shared" si="1"/>
        <v>5VC3C08QY090</v>
      </c>
      <c r="C29" s="91">
        <v>20335584701</v>
      </c>
      <c r="D29" s="91" t="s">
        <v>116</v>
      </c>
      <c r="E29" s="91" t="s">
        <v>77</v>
      </c>
      <c r="F29" s="93">
        <v>45850</v>
      </c>
      <c r="G29" s="91" t="s">
        <v>78</v>
      </c>
      <c r="H29" s="93">
        <v>45870</v>
      </c>
      <c r="I29" s="94"/>
      <c r="J29" s="91" t="s">
        <v>58</v>
      </c>
      <c r="K29" s="95">
        <v>12</v>
      </c>
      <c r="L29" s="96">
        <v>19</v>
      </c>
      <c r="M29" s="91" t="s">
        <v>66</v>
      </c>
      <c r="N29" s="97" t="s">
        <v>122</v>
      </c>
      <c r="O29" s="97" t="s">
        <v>127</v>
      </c>
      <c r="P29" s="97">
        <v>19396223</v>
      </c>
    </row>
    <row r="30" spans="1:16" ht="15" customHeight="1" x14ac:dyDescent="0.2">
      <c r="A30" s="91" t="s">
        <v>83</v>
      </c>
      <c r="B30" s="91" t="str">
        <f t="shared" si="1"/>
        <v>3Q94PA0NT720</v>
      </c>
      <c r="C30" s="91">
        <v>20246173701</v>
      </c>
      <c r="D30" s="91" t="s">
        <v>120</v>
      </c>
      <c r="E30" s="91" t="s">
        <v>56</v>
      </c>
      <c r="F30" s="93">
        <v>45772</v>
      </c>
      <c r="G30" s="91" t="s">
        <v>85</v>
      </c>
      <c r="H30" s="93">
        <v>45778</v>
      </c>
      <c r="I30" s="93">
        <v>45869</v>
      </c>
      <c r="J30" s="91" t="s">
        <v>86</v>
      </c>
      <c r="K30" s="95">
        <v>12</v>
      </c>
      <c r="L30" s="96">
        <v>-9</v>
      </c>
      <c r="M30" s="91" t="s">
        <v>66</v>
      </c>
      <c r="N30" s="97" t="s">
        <v>122</v>
      </c>
      <c r="O30" s="97" t="s">
        <v>128</v>
      </c>
      <c r="P30" s="97">
        <v>20253958</v>
      </c>
    </row>
    <row r="31" spans="1:16" ht="15" customHeight="1" x14ac:dyDescent="0.2">
      <c r="A31" s="91" t="s">
        <v>83</v>
      </c>
      <c r="B31" s="91" t="str">
        <f t="shared" si="1"/>
        <v>3Q94PA0NT720</v>
      </c>
      <c r="C31" s="91">
        <v>20246173701</v>
      </c>
      <c r="D31" s="91" t="s">
        <v>120</v>
      </c>
      <c r="E31" s="91" t="s">
        <v>56</v>
      </c>
      <c r="F31" s="93">
        <v>45772</v>
      </c>
      <c r="G31" s="91" t="s">
        <v>85</v>
      </c>
      <c r="H31" s="93">
        <v>45778</v>
      </c>
      <c r="I31" s="93">
        <v>45869</v>
      </c>
      <c r="J31" s="91" t="s">
        <v>86</v>
      </c>
      <c r="K31" s="95">
        <v>12</v>
      </c>
      <c r="L31" s="96">
        <v>-9</v>
      </c>
      <c r="M31" s="91" t="s">
        <v>66</v>
      </c>
      <c r="N31" s="97" t="s">
        <v>122</v>
      </c>
      <c r="O31" s="97" t="s">
        <v>128</v>
      </c>
      <c r="P31" s="97">
        <v>20253958</v>
      </c>
    </row>
    <row r="33" spans="1:13" ht="15" customHeight="1" x14ac:dyDescent="0.2">
      <c r="A33" s="98" t="s">
        <v>88</v>
      </c>
      <c r="B33" s="98"/>
      <c r="C33" s="98"/>
      <c r="D33" s="98"/>
      <c r="E33" s="99"/>
      <c r="F33" s="99"/>
      <c r="G33" s="99"/>
      <c r="H33" s="99"/>
      <c r="I33" s="99"/>
      <c r="J33" s="99"/>
      <c r="K33" s="99"/>
      <c r="L33" s="99"/>
      <c r="M33" s="99"/>
    </row>
    <row r="34" spans="1:13" ht="15" customHeight="1" x14ac:dyDescent="0.2">
      <c r="A34" s="100" t="s">
        <v>89</v>
      </c>
      <c r="B34" s="100"/>
      <c r="C34" s="100" t="s">
        <v>90</v>
      </c>
      <c r="D34" s="100"/>
      <c r="E34" s="100"/>
      <c r="F34" s="100"/>
      <c r="G34" s="100"/>
      <c r="H34" s="100"/>
      <c r="I34" s="100"/>
      <c r="J34" s="100"/>
      <c r="K34" s="100"/>
      <c r="L34" s="100"/>
      <c r="M34" s="100"/>
    </row>
    <row r="35" spans="1:13" ht="15" customHeight="1" x14ac:dyDescent="0.2">
      <c r="A35" s="100" t="s">
        <v>91</v>
      </c>
      <c r="B35" s="100"/>
      <c r="C35" s="100" t="s">
        <v>92</v>
      </c>
      <c r="D35" s="100"/>
      <c r="E35" s="100"/>
      <c r="F35" s="100"/>
      <c r="G35" s="100"/>
      <c r="H35" s="100"/>
      <c r="I35" s="100"/>
      <c r="J35" s="100"/>
      <c r="K35" s="100"/>
      <c r="L35" s="100"/>
      <c r="M35" s="100"/>
    </row>
  </sheetData>
  <sortState xmlns:xlrd2="http://schemas.microsoft.com/office/spreadsheetml/2017/richdata2" ref="A22:AF31">
    <sortCondition ref="G22:G31"/>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cp:lastModifiedBy>Loula Irene Cabel</cp:lastModifiedBy>
  <dcterms:created xsi:type="dcterms:W3CDTF">2025-09-08T14:03:53Z</dcterms:created>
  <dcterms:modified xsi:type="dcterms:W3CDTF">2025-09-08T14:38:40Z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2025-09-08T00:00:00Z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2025-09-08T00:00:00Z</vt:filetime>
  </property>
</Properties>
</file>