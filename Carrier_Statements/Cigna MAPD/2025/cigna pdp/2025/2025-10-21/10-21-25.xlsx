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10-21-25\"/>
    </mc:Choice>
  </mc:AlternateContent>
  <xr:revisionPtr revIDLastSave="0" documentId="13_ncr:1_{61D55484-EB79-496C-B3A7-AC986E8DA374}" xr6:coauthVersionLast="47" xr6:coauthVersionMax="47" xr10:uidLastSave="{00000000-0000-0000-0000-000000000000}"/>
  <bookViews>
    <workbookView xWindow="28680" yWindow="-120" windowWidth="29040" windowHeight="16440" firstSheet="6" activeTab="1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Sheet1" sheetId="19" r:id="rId19"/>
  </sheets>
  <calcPr calcId="181029"/>
</workbook>
</file>

<file path=xl/calcChain.xml><?xml version="1.0" encoding="utf-8"?>
<calcChain xmlns="http://schemas.openxmlformats.org/spreadsheetml/2006/main">
  <c r="E3" i="19" l="1"/>
  <c r="E4" i="19"/>
  <c r="E5" i="19"/>
  <c r="E6" i="19"/>
  <c r="E7" i="19"/>
  <c r="E8" i="19"/>
  <c r="E9" i="19"/>
  <c r="E2" i="19"/>
  <c r="B9" i="19"/>
  <c r="B8" i="19"/>
  <c r="B7" i="19"/>
  <c r="B6" i="19"/>
  <c r="B5" i="19"/>
  <c r="B4" i="19"/>
  <c r="B3" i="19"/>
  <c r="B2" i="19"/>
</calcChain>
</file>

<file path=xl/sharedStrings.xml><?xml version="1.0" encoding="utf-8"?>
<sst xmlns="http://schemas.openxmlformats.org/spreadsheetml/2006/main" count="172" uniqueCount="96">
  <si>
    <r>
      <rPr>
        <sz val="7.5"/>
        <color rgb="FF231F20"/>
        <rFont val="Calibri"/>
        <family val="1"/>
      </rPr>
      <t xml:space="preserve">Cigna Healthcare C7COM
</t>
    </r>
    <r>
      <rPr>
        <sz val="7.5"/>
        <color rgb="FF231F20"/>
        <rFont val="Calibri"/>
        <family val="1"/>
      </rPr>
      <t xml:space="preserve">Hartford, CT 06152
</t>
    </r>
    <r>
      <rPr>
        <sz val="8.5"/>
        <color rgb="FF231F20"/>
        <rFont val="Calibri"/>
        <family val="1"/>
      </rPr>
      <t xml:space="preserve">MAIN LINE BENEFITS LLC 232 E KING ST.
</t>
    </r>
    <r>
      <rPr>
        <sz val="8.5"/>
        <color rgb="FF231F20"/>
        <rFont val="Calibri"/>
        <family val="1"/>
      </rPr>
      <t>MALVERN PA  19355-2518</t>
    </r>
  </si>
  <si>
    <r>
      <rPr>
        <u/>
        <sz val="9.5"/>
        <color rgb="FF231F20"/>
        <rFont val="Calibri"/>
        <family val="1"/>
      </rPr>
      <t xml:space="preserve">How to contact us
</t>
    </r>
    <r>
      <rPr>
        <sz val="9.5"/>
        <color rgb="FF231F20"/>
        <rFont val="Calibri"/>
        <family val="1"/>
      </rPr>
      <t xml:space="preserve">For </t>
    </r>
    <r>
      <rPr>
        <sz val="9.5"/>
        <color rgb="FF231F20"/>
        <rFont val="Tahoma"/>
        <family val="2"/>
      </rPr>
      <t xml:space="preserve">US Commercial and Individual &amp; Family Plans </t>
    </r>
    <r>
      <rPr>
        <sz val="9.5"/>
        <color rgb="FF231F20"/>
        <rFont val="Calibri"/>
        <family val="1"/>
      </rPr>
      <t xml:space="preserve">Phone: 1-800-903-7711
</t>
    </r>
    <r>
      <rPr>
        <sz val="9.5"/>
        <color rgb="FF231F20"/>
        <rFont val="Calibri"/>
        <family val="1"/>
      </rPr>
      <t xml:space="preserve">Email: ProducerCommissions@CignaHealthcare.com
</t>
    </r>
    <r>
      <rPr>
        <sz val="9.5"/>
        <color rgb="FF231F20"/>
        <rFont val="Calibri"/>
        <family val="1"/>
      </rPr>
      <t xml:space="preserve">For </t>
    </r>
    <r>
      <rPr>
        <sz val="9.5"/>
        <color rgb="FF231F20"/>
        <rFont val="Tahoma"/>
        <family val="2"/>
      </rPr>
      <t xml:space="preserve">Medicare Prescription Drug Plans </t>
    </r>
    <r>
      <rPr>
        <sz val="9.5"/>
        <color rgb="FF231F20"/>
        <rFont val="Calibri"/>
        <family val="1"/>
      </rPr>
      <t xml:space="preserve">Phone: 1-866-442-7516
</t>
    </r>
    <r>
      <rPr>
        <sz val="9.5"/>
        <color rgb="FF231F20"/>
        <rFont val="Calibri"/>
        <family val="1"/>
      </rPr>
      <t xml:space="preserve">Email: CARL@CignaHealthcare.com
</t>
    </r>
    <r>
      <rPr>
        <sz val="9.5"/>
        <color rgb="FF231F20"/>
        <rFont val="Tahoma"/>
        <family val="2"/>
      </rPr>
      <t xml:space="preserve">Statement date </t>
    </r>
    <r>
      <rPr>
        <sz val="9.5"/>
        <color rgb="FF231F20"/>
        <rFont val="Calibri"/>
        <family val="1"/>
      </rPr>
      <t xml:space="preserve">October 21, 2025
</t>
    </r>
    <r>
      <rPr>
        <sz val="9.5"/>
        <color rgb="FF231F20"/>
        <rFont val="Tahoma"/>
        <family val="2"/>
      </rPr>
      <t xml:space="preserve">Producer code/ Office code </t>
    </r>
    <r>
      <rPr>
        <sz val="9.5"/>
        <color rgb="FF231F20"/>
        <rFont val="Calibri"/>
        <family val="1"/>
      </rPr>
      <t>578672/ P08</t>
    </r>
  </si>
  <si>
    <r>
      <rPr>
        <sz val="17"/>
        <color rgb="FF231F20"/>
        <rFont val="Cambria"/>
        <family val="1"/>
      </rPr>
      <t>Compensation - Direct Deposit Payment</t>
    </r>
  </si>
  <si>
    <r>
      <rPr>
        <sz val="8.5"/>
        <color rgb="FF231F20"/>
        <rFont val="Georgia"/>
        <family val="1"/>
      </rPr>
      <t>Payment for</t>
    </r>
  </si>
  <si>
    <r>
      <rPr>
        <sz val="8.5"/>
        <color rgb="FF231F20"/>
        <rFont val="Georgia"/>
        <family val="1"/>
      </rPr>
      <t xml:space="preserve">Total payment
</t>
    </r>
    <r>
      <rPr>
        <sz val="8.5"/>
        <color rgb="FF231F20"/>
        <rFont val="Georgia"/>
        <family val="1"/>
      </rPr>
      <t>this period</t>
    </r>
  </si>
  <si>
    <r>
      <rPr>
        <sz val="8.5"/>
        <color rgb="FF231F20"/>
        <rFont val="Georgia"/>
        <family val="1"/>
      </rPr>
      <t xml:space="preserve">Total payment year
</t>
    </r>
    <r>
      <rPr>
        <sz val="8.5"/>
        <color rgb="FF231F20"/>
        <rFont val="Georgia"/>
        <family val="1"/>
      </rPr>
      <t>to date</t>
    </r>
  </si>
  <si>
    <r>
      <rPr>
        <sz val="8.5"/>
        <color rgb="FF231F20"/>
        <rFont val="Calibri"/>
        <family val="1"/>
      </rPr>
      <t xml:space="preserve">MAIN LINE BENEFITS LLC
</t>
    </r>
    <r>
      <rPr>
        <sz val="8.5"/>
        <color rgb="FF231F20"/>
        <rFont val="Calibri"/>
        <family val="1"/>
      </rPr>
      <t xml:space="preserve">Commissions                                                                                                                                                                                      33.25                                    3,240.59
</t>
    </r>
    <r>
      <rPr>
        <sz val="9"/>
        <color rgb="FF231F20"/>
        <rFont val="Cambria"/>
        <family val="1"/>
      </rPr>
      <t>Total                                                                                                                                                                                               33.25                                 3,240.59</t>
    </r>
  </si>
  <si>
    <r>
      <rPr>
        <sz val="8.5"/>
        <color rgb="FF231F20"/>
        <rFont val="Calibri"/>
        <family val="1"/>
      </rPr>
      <t xml:space="preserve">This payment is contingent upon all disclosures required by your Cigna Producer Agreement (including
</t>
    </r>
    <r>
      <rPr>
        <sz val="8.5"/>
        <color rgb="FF231F20"/>
        <rFont val="Calibri"/>
        <family val="1"/>
      </rPr>
      <t>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</si>
  <si>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1"/>
      </rPr>
      <t xml:space="preserve">Detach at perforation                                                                                                                                                                                          </t>
    </r>
    <r>
      <rPr>
        <sz val="7.5"/>
        <color rgb="FF231F20"/>
        <rFont val="Calibri"/>
        <family val="1"/>
      </rPr>
      <t>Page 1 of 4</t>
    </r>
  </si>
  <si>
    <r>
      <rPr>
        <vertAlign val="superscript"/>
        <sz val="6.5"/>
        <color rgb="FF231F20"/>
        <rFont val="Calibri"/>
        <family val="1"/>
      </rPr>
      <t xml:space="preserve">DATE:                                    </t>
    </r>
    <r>
      <rPr>
        <sz val="9"/>
        <color rgb="FF231F20"/>
        <rFont val="Times New Roman"/>
        <family val="1"/>
      </rPr>
      <t>October 21, 2025</t>
    </r>
  </si>
  <si>
    <r>
      <rPr>
        <sz val="6.5"/>
        <color rgb="FF231F20"/>
        <rFont val="Calibri"/>
        <family val="1"/>
      </rPr>
      <t xml:space="preserve">PRODUCER/
</t>
    </r>
    <r>
      <rPr>
        <sz val="6.5"/>
        <color rgb="FF231F20"/>
        <rFont val="Calibri"/>
        <family val="1"/>
      </rPr>
      <t>OFFICE CODE</t>
    </r>
  </si>
  <si>
    <r>
      <rPr>
        <sz val="9.5"/>
        <color rgb="FF231F20"/>
        <rFont val="Calibri"/>
        <family val="1"/>
      </rPr>
      <t>578672/P08</t>
    </r>
  </si>
  <si>
    <r>
      <rPr>
        <vertAlign val="superscript"/>
        <sz val="6.5"/>
        <color rgb="FF231F20"/>
        <rFont val="Calibri"/>
        <family val="1"/>
      </rPr>
      <t xml:space="preserve">PAY:                               </t>
    </r>
    <r>
      <rPr>
        <sz val="11"/>
        <color rgb="FF231F20"/>
        <rFont val="Calibri"/>
        <family val="1"/>
      </rPr>
      <t>Thirty-Three and 25/100 Dollars</t>
    </r>
  </si>
  <si>
    <r>
      <rPr>
        <sz val="6.5"/>
        <color rgb="FF231F20"/>
        <rFont val="Calibri"/>
        <family val="1"/>
      </rPr>
      <t xml:space="preserve">TO THE
</t>
    </r>
    <r>
      <rPr>
        <sz val="6.5"/>
        <color rgb="FF231F20"/>
        <rFont val="Calibri"/>
        <family val="1"/>
      </rPr>
      <t>ORDER OF:</t>
    </r>
  </si>
  <si>
    <r>
      <rPr>
        <sz val="8.5"/>
        <color rgb="FF231F20"/>
        <rFont val="Calibri"/>
        <family val="1"/>
      </rPr>
      <t xml:space="preserve">MAIN LINE BENEFITS LLC
</t>
    </r>
    <r>
      <rPr>
        <sz val="8.5"/>
        <color rgb="FF231F20"/>
        <rFont val="Calibri"/>
        <family val="1"/>
      </rPr>
      <t xml:space="preserve">232 E KING ST.
</t>
    </r>
    <r>
      <rPr>
        <sz val="8.5"/>
        <color rgb="FF231F20"/>
        <rFont val="Calibri"/>
        <family val="1"/>
      </rPr>
      <t>MALVERN PA 19355</t>
    </r>
  </si>
  <si>
    <r>
      <rPr>
        <sz val="17.5"/>
        <color rgb="FFDCDFE2"/>
        <rFont val="Tahoma"/>
        <family val="2"/>
      </rPr>
      <t>Advice of Deposit Non-Negotiable</t>
    </r>
  </si>
  <si>
    <r>
      <rPr>
        <sz val="16"/>
        <color rgb="FF231F20"/>
        <rFont val="Cambria"/>
        <family val="1"/>
      </rPr>
      <t>Cigna Producer Statement</t>
    </r>
  </si>
  <si>
    <r>
      <rPr>
        <sz val="8.5"/>
        <color rgb="FF231F20"/>
        <rFont val="Tahoma"/>
        <family val="2"/>
      </rPr>
      <t>Cigna</t>
    </r>
  </si>
  <si>
    <r>
      <rPr>
        <u/>
        <sz val="9.5"/>
        <color rgb="FF231F20"/>
        <rFont val="Calibri"/>
        <family val="1"/>
      </rPr>
      <t xml:space="preserve">How to contact us
</t>
    </r>
    <r>
      <rPr>
        <sz val="9.5"/>
        <color rgb="FF231F20"/>
        <rFont val="Calibri"/>
        <family val="1"/>
      </rPr>
      <t xml:space="preserve">For </t>
    </r>
    <r>
      <rPr>
        <sz val="9.5"/>
        <color rgb="FF231F20"/>
        <rFont val="Tahoma"/>
        <family val="2"/>
      </rPr>
      <t xml:space="preserve">US Commercial and Individual &amp; Family Plans </t>
    </r>
    <r>
      <rPr>
        <sz val="9.5"/>
        <color rgb="FF231F20"/>
        <rFont val="Calibri"/>
        <family val="1"/>
      </rPr>
      <t xml:space="preserve">Phone: 1-800-903-7711
</t>
    </r>
    <r>
      <rPr>
        <sz val="9.5"/>
        <color rgb="FF231F20"/>
        <rFont val="Calibri"/>
        <family val="1"/>
      </rPr>
      <t>Email: ProducerCommissions@CignaHealthcare.com</t>
    </r>
  </si>
  <si>
    <r>
      <rPr>
        <sz val="8.5"/>
        <color rgb="FF231F20"/>
        <rFont val="Calibri"/>
        <family val="1"/>
      </rPr>
      <t>Previous balance:</t>
    </r>
    <r>
      <rPr>
        <sz val="9"/>
        <color rgb="FF231F20"/>
        <rFont val="Times New Roman"/>
        <family val="1"/>
      </rPr>
      <t xml:space="preserve">                                                                </t>
    </r>
    <r>
      <rPr>
        <sz val="8.5"/>
        <color rgb="FF231F20"/>
        <rFont val="Calibri"/>
        <family val="1"/>
      </rPr>
      <t xml:space="preserve">4.00
</t>
    </r>
    <r>
      <rPr>
        <sz val="8.5"/>
        <color rgb="FF231F20"/>
        <rFont val="Calibri"/>
        <family val="1"/>
      </rPr>
      <t>Earned this statement:</t>
    </r>
    <r>
      <rPr>
        <sz val="9"/>
        <color rgb="FF231F20"/>
        <rFont val="Times New Roman"/>
        <family val="1"/>
      </rPr>
      <t xml:space="preserve">                                                     </t>
    </r>
    <r>
      <rPr>
        <sz val="8.5"/>
        <color rgb="FF231F20"/>
        <rFont val="Calibri"/>
        <family val="1"/>
      </rPr>
      <t xml:space="preserve">29.25
</t>
    </r>
    <r>
      <rPr>
        <sz val="8.5"/>
        <color rgb="FF231F20"/>
        <rFont val="Calibri"/>
        <family val="1"/>
      </rPr>
      <t>Assignments:</t>
    </r>
    <r>
      <rPr>
        <sz val="9"/>
        <color rgb="FF231F20"/>
        <rFont val="Times New Roman"/>
        <family val="1"/>
      </rPr>
      <t xml:space="preserve">                                                                       </t>
    </r>
    <r>
      <rPr>
        <sz val="8.5"/>
        <color rgb="FF231F20"/>
        <rFont val="Calibri"/>
        <family val="1"/>
      </rPr>
      <t xml:space="preserve">0.00
</t>
    </r>
    <r>
      <rPr>
        <sz val="8.5"/>
        <color rgb="FF231F20"/>
        <rFont val="Calibri"/>
        <family val="1"/>
      </rPr>
      <t>Payment:</t>
    </r>
    <r>
      <rPr>
        <sz val="9"/>
        <color rgb="FF231F20"/>
        <rFont val="Times New Roman"/>
        <family val="1"/>
      </rPr>
      <t xml:space="preserve">                                                                           </t>
    </r>
    <r>
      <rPr>
        <sz val="8.5"/>
        <color rgb="FF231F20"/>
        <rFont val="Calibri"/>
        <family val="1"/>
      </rPr>
      <t xml:space="preserve">33.25
</t>
    </r>
    <r>
      <rPr>
        <sz val="8.5"/>
        <color rgb="FF231F20"/>
        <rFont val="Calibri"/>
        <family val="1"/>
      </rPr>
      <t>Closing balance:</t>
    </r>
    <r>
      <rPr>
        <sz val="9"/>
        <color rgb="FF231F20"/>
        <rFont val="Times New Roman"/>
        <family val="1"/>
      </rPr>
      <t xml:space="preserve">                                                                  </t>
    </r>
    <r>
      <rPr>
        <sz val="8.5"/>
        <color rgb="FF231F20"/>
        <rFont val="Calibri"/>
        <family val="1"/>
      </rPr>
      <t xml:space="preserve">0.00
</t>
    </r>
    <r>
      <rPr>
        <u/>
        <sz val="8.5"/>
        <color rgb="FF231F20"/>
        <rFont val="Calibri"/>
        <family val="1"/>
      </rPr>
      <t xml:space="preserve">YTD Payments:                                                                        3,240.59
</t>
    </r>
    <r>
      <rPr>
        <sz val="9.5"/>
        <color rgb="FF231F20"/>
        <rFont val="Tahoma"/>
        <family val="2"/>
      </rPr>
      <t>Total payment:</t>
    </r>
    <r>
      <rPr>
        <sz val="10"/>
        <color rgb="FF231F20"/>
        <rFont val="Times New Roman"/>
        <family val="1"/>
      </rPr>
      <t xml:space="preserve">                                                      </t>
    </r>
    <r>
      <rPr>
        <sz val="9.5"/>
        <color rgb="FF231F20"/>
        <rFont val="Tahoma"/>
        <family val="2"/>
      </rPr>
      <t>33.25</t>
    </r>
  </si>
  <si>
    <r>
      <rPr>
        <sz val="9.5"/>
        <color rgb="FF231F20"/>
        <rFont val="Calibri"/>
        <family val="1"/>
      </rPr>
      <t xml:space="preserve">For </t>
    </r>
    <r>
      <rPr>
        <sz val="9.5"/>
        <color rgb="FF231F20"/>
        <rFont val="Tahoma"/>
        <family val="2"/>
      </rPr>
      <t xml:space="preserve">Medicare Prescription Drug Plans
</t>
    </r>
    <r>
      <rPr>
        <sz val="9.5"/>
        <color rgb="FF231F20"/>
        <rFont val="Calibri"/>
        <family val="1"/>
      </rPr>
      <t xml:space="preserve">Phone: 1-866-442-7516
</t>
    </r>
    <r>
      <rPr>
        <sz val="9.5"/>
        <color rgb="FF231F20"/>
        <rFont val="Calibri"/>
        <family val="1"/>
      </rPr>
      <t xml:space="preserve">Email: CARL@CignaHealthcare.com
</t>
    </r>
    <r>
      <rPr>
        <sz val="9.5"/>
        <color rgb="FF231F20"/>
        <rFont val="Tahoma"/>
        <family val="2"/>
      </rPr>
      <t xml:space="preserve">Statement date </t>
    </r>
    <r>
      <rPr>
        <sz val="9.5"/>
        <color rgb="FF231F20"/>
        <rFont val="Calibri"/>
        <family val="1"/>
      </rPr>
      <t xml:space="preserve">October 21, 2025
</t>
    </r>
    <r>
      <rPr>
        <sz val="8.5"/>
        <color rgb="FF231F20"/>
        <rFont val="Tahoma"/>
        <family val="2"/>
      </rPr>
      <t xml:space="preserve">EFT Deposit date
</t>
    </r>
    <r>
      <rPr>
        <sz val="9.5"/>
        <color rgb="FF231F20"/>
        <rFont val="Calibri"/>
        <family val="1"/>
      </rPr>
      <t>October 27, 2025</t>
    </r>
  </si>
  <si>
    <r>
      <rPr>
        <sz val="7.5"/>
        <color rgb="FF231F20"/>
        <rFont val="Calibri"/>
        <family val="1"/>
      </rPr>
      <t>Account name</t>
    </r>
  </si>
  <si>
    <r>
      <rPr>
        <sz val="7.5"/>
        <color rgb="FF231F20"/>
        <rFont val="Calibri"/>
        <family val="1"/>
      </rPr>
      <t xml:space="preserve">Account
</t>
    </r>
    <r>
      <rPr>
        <sz val="7.5"/>
        <color rgb="FF231F20"/>
        <rFont val="Calibri"/>
        <family val="1"/>
      </rPr>
      <t>number  Product/Healthplan site</t>
    </r>
  </si>
  <si>
    <r>
      <rPr>
        <sz val="7.5"/>
        <color rgb="FF231F20"/>
        <rFont val="Calibri"/>
        <family val="1"/>
      </rPr>
      <t>Product number</t>
    </r>
  </si>
  <si>
    <r>
      <rPr>
        <sz val="7.5"/>
        <color rgb="FF231F20"/>
        <rFont val="Calibri"/>
        <family val="1"/>
      </rPr>
      <t xml:space="preserve">Month
</t>
    </r>
    <r>
      <rPr>
        <sz val="7.5"/>
        <color rgb="FF231F20"/>
        <rFont val="Calibri"/>
        <family val="1"/>
      </rPr>
      <t>year</t>
    </r>
  </si>
  <si>
    <r>
      <rPr>
        <sz val="7.5"/>
        <color rgb="FF231F20"/>
        <rFont val="Calibri"/>
        <family val="1"/>
      </rPr>
      <t xml:space="preserve">Customers or
</t>
    </r>
    <r>
      <rPr>
        <sz val="7.5"/>
        <color rgb="FF231F20"/>
        <rFont val="Calibri"/>
        <family val="1"/>
      </rPr>
      <t>premiums*</t>
    </r>
  </si>
  <si>
    <r>
      <rPr>
        <sz val="7.5"/>
        <color rgb="FF231F20"/>
        <rFont val="Calibri"/>
        <family val="1"/>
      </rPr>
      <t xml:space="preserve">Comp
</t>
    </r>
    <r>
      <rPr>
        <sz val="7.5"/>
        <color rgb="FF231F20"/>
        <rFont val="Calibri"/>
        <family val="1"/>
      </rPr>
      <t>rate</t>
    </r>
  </si>
  <si>
    <r>
      <rPr>
        <sz val="7.5"/>
        <color rgb="FF231F20"/>
        <rFont val="Calibri"/>
        <family val="1"/>
      </rPr>
      <t xml:space="preserve">Payment
</t>
    </r>
    <r>
      <rPr>
        <sz val="7.5"/>
        <color rgb="FF231F20"/>
        <rFont val="Calibri"/>
        <family val="1"/>
      </rPr>
      <t>amount  Type**   See notes</t>
    </r>
  </si>
  <si>
    <r>
      <rPr>
        <sz val="8.5"/>
        <color rgb="FF231F20"/>
        <rFont val="Tahoma"/>
        <family val="2"/>
      </rPr>
      <t xml:space="preserve">Cigna - Previous balance found on </t>
    </r>
    <r>
      <rPr>
        <sz val="8.5"/>
        <color rgb="FF231F20"/>
        <rFont val="Calibri"/>
        <family val="1"/>
      </rPr>
      <t>CIGNA IND MEDICARE PART D</t>
    </r>
  </si>
  <si>
    <r>
      <rPr>
        <sz val="8.5"/>
        <color rgb="FF231F20"/>
        <rFont val="Tahoma"/>
        <family val="2"/>
      </rPr>
      <t xml:space="preserve">10/04/2025 statement
</t>
    </r>
    <r>
      <rPr>
        <sz val="8.5"/>
        <color rgb="FF231F20"/>
        <rFont val="Calibri"/>
        <family val="1"/>
      </rPr>
      <t>2465346  PRESCRIPTION DRUG</t>
    </r>
  </si>
  <si>
    <r>
      <rPr>
        <sz val="8.5"/>
        <color rgb="FF231F20"/>
        <rFont val="Calibri"/>
        <family val="1"/>
      </rPr>
      <t>10/2025</t>
    </r>
  </si>
  <si>
    <r>
      <rPr>
        <sz val="8.5"/>
        <color rgb="FF231F20"/>
        <rFont val="Tahoma"/>
        <family val="2"/>
      </rPr>
      <t xml:space="preserve">4.00
</t>
    </r>
    <r>
      <rPr>
        <sz val="8.5"/>
        <color rgb="FF231F20"/>
        <rFont val="Calibri"/>
        <family val="1"/>
      </rPr>
      <t>29.25</t>
    </r>
  </si>
  <si>
    <r>
      <rPr>
        <sz val="8.5"/>
        <color rgb="FF231F20"/>
        <rFont val="Tahoma"/>
        <family val="2"/>
      </rPr>
      <t>Account total</t>
    </r>
  </si>
  <si>
    <r>
      <rPr>
        <sz val="8.5"/>
        <color rgb="FF231F20"/>
        <rFont val="Calibri"/>
        <family val="1"/>
      </rPr>
      <t>Closing balance of</t>
    </r>
    <r>
      <rPr>
        <sz val="9"/>
        <color rgb="FF231F20"/>
        <rFont val="Times New Roman"/>
        <family val="1"/>
      </rPr>
      <t xml:space="preserve">                                                      </t>
    </r>
    <r>
      <rPr>
        <sz val="8.5"/>
        <color rgb="FF231F20"/>
        <rFont val="Calibri"/>
        <family val="1"/>
      </rPr>
      <t xml:space="preserve">0.00
</t>
    </r>
    <r>
      <rPr>
        <sz val="8.5"/>
        <color rgb="FF231F20"/>
        <rFont val="Calibri"/>
        <family val="1"/>
      </rPr>
      <t>Amount of Cigna payment:</t>
    </r>
    <r>
      <rPr>
        <sz val="9"/>
        <color rgb="FF231F20"/>
        <rFont val="Times New Roman"/>
        <family val="1"/>
      </rPr>
      <t xml:space="preserve">                                      </t>
    </r>
    <r>
      <rPr>
        <sz val="8.5"/>
        <color rgb="FF231F20"/>
        <rFont val="Calibri"/>
        <family val="1"/>
      </rPr>
      <t xml:space="preserve">33.25
</t>
    </r>
    <r>
      <rPr>
        <sz val="8.5"/>
        <color rgb="FF231F20"/>
        <rFont val="Calibri"/>
        <family val="1"/>
      </rPr>
      <t>Total compensation payment:</t>
    </r>
    <r>
      <rPr>
        <sz val="9"/>
        <color rgb="FF231F20"/>
        <rFont val="Times New Roman"/>
        <family val="1"/>
      </rPr>
      <t xml:space="preserve">                                  </t>
    </r>
    <r>
      <rPr>
        <sz val="8.5"/>
        <color rgb="FF231F20"/>
        <rFont val="Calibri"/>
        <family val="1"/>
      </rPr>
      <t>33.25</t>
    </r>
  </si>
  <si>
    <r>
      <rPr>
        <sz val="8.5"/>
        <color rgb="FF231F20"/>
        <rFont val="Calibri"/>
        <family val="1"/>
      </rPr>
      <t xml:space="preserve">*  Experience-rated premium for Shared Returns policies may exclude network access and UR fees
</t>
    </r>
    <r>
      <rPr>
        <sz val="8.5"/>
        <color rgb="FF231F20"/>
        <rFont val="Calibri"/>
        <family val="1"/>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</si>
  <si>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</si>
  <si>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9"/>
        <color rgb="FF231F20"/>
        <rFont val="Times New Roman"/>
        <family val="1"/>
      </rPr>
      <t>October 21, 2025</t>
    </r>
  </si>
  <si>
    <r>
      <rPr>
        <sz val="11.5"/>
        <color rgb="FF231F20"/>
        <rFont val="Calibri"/>
        <family val="1"/>
      </rPr>
      <t>Detail report</t>
    </r>
  </si>
  <si>
    <r>
      <rPr>
        <sz val="7.5"/>
        <color rgb="FF231F20"/>
        <rFont val="Calibri"/>
        <family val="1"/>
      </rPr>
      <t>Medicare            CIGNA                                                                                              Mbr</t>
    </r>
  </si>
  <si>
    <r>
      <rPr>
        <sz val="7.5"/>
        <color rgb="FF231F20"/>
        <rFont val="Calibri"/>
        <family val="1"/>
      </rPr>
      <t>Comp</t>
    </r>
  </si>
  <si>
    <r>
      <rPr>
        <sz val="7.5"/>
        <color rgb="FF231F20"/>
        <rFont val="Calibri"/>
        <family val="1"/>
      </rPr>
      <t>Payment</t>
    </r>
  </si>
  <si>
    <r>
      <rPr>
        <sz val="7.5"/>
        <color rgb="FF231F20"/>
        <rFont val="Calibri"/>
        <family val="1"/>
      </rPr>
      <t>number               ID                      Member name                                                    st       Sale date</t>
    </r>
  </si>
  <si>
    <r>
      <rPr>
        <sz val="7.5"/>
        <color rgb="FF231F20"/>
        <rFont val="Calibri"/>
        <family val="1"/>
      </rPr>
      <t>Agent ID</t>
    </r>
  </si>
  <si>
    <r>
      <rPr>
        <sz val="7.5"/>
        <color rgb="FF231F20"/>
        <rFont val="Calibri"/>
        <family val="1"/>
      </rPr>
      <t>Effective date</t>
    </r>
  </si>
  <si>
    <r>
      <rPr>
        <sz val="7.5"/>
        <color rgb="FF231F20"/>
        <rFont val="Calibri"/>
        <family val="1"/>
      </rPr>
      <t>Dis-enroll date</t>
    </r>
  </si>
  <si>
    <r>
      <rPr>
        <sz val="7.5"/>
        <color rgb="FF231F20"/>
        <rFont val="Calibri"/>
        <family val="1"/>
      </rPr>
      <t>Status</t>
    </r>
  </si>
  <si>
    <r>
      <rPr>
        <sz val="7.5"/>
        <color rgb="FF231F20"/>
        <rFont val="Calibri"/>
        <family val="1"/>
      </rPr>
      <t>rate</t>
    </r>
  </si>
  <si>
    <r>
      <rPr>
        <sz val="7.5"/>
        <color rgb="FF231F20"/>
        <rFont val="Calibri"/>
        <family val="1"/>
      </rPr>
      <t>type</t>
    </r>
  </si>
  <si>
    <r>
      <rPr>
        <sz val="7.5"/>
        <color rgb="FF231F20"/>
        <rFont val="Calibri"/>
        <family val="1"/>
      </rPr>
      <t>9KH6PP7XM54   20432643301 ELDER, SARAJANE                                                 PA     10/10/25</t>
    </r>
  </si>
  <si>
    <r>
      <rPr>
        <sz val="7.5"/>
        <color rgb="FF231F20"/>
        <rFont val="Calibri"/>
        <family val="1"/>
      </rPr>
      <t>C550596</t>
    </r>
  </si>
  <si>
    <r>
      <rPr>
        <sz val="7.5"/>
        <color rgb="FF231F20"/>
        <rFont val="Calibri"/>
        <family val="1"/>
      </rPr>
      <t>CMS APPROVED ENROLLMENT</t>
    </r>
  </si>
  <si>
    <r>
      <rPr>
        <sz val="7.5"/>
        <color rgb="FF231F20"/>
        <rFont val="Calibri"/>
        <family val="1"/>
      </rPr>
      <t>H1</t>
    </r>
  </si>
  <si>
    <r>
      <rPr>
        <sz val="7.5"/>
        <color rgb="FF231F20"/>
        <rFont val="Calibri"/>
        <family val="1"/>
      </rPr>
      <t>7DJ7PR2HJ43      20403119901 GOLDEN, MARK                                                    PA     09/16/25</t>
    </r>
  </si>
  <si>
    <r>
      <rPr>
        <sz val="7.5"/>
        <color rgb="FF231F20"/>
        <rFont val="Calibri"/>
        <family val="1"/>
      </rPr>
      <t>CMS TRUE UP</t>
    </r>
  </si>
  <si>
    <r>
      <rPr>
        <sz val="7.5"/>
        <color rgb="FF231F20"/>
        <rFont val="Calibri"/>
        <family val="1"/>
      </rPr>
      <t>3WC5DE9VH85   19459996501 KELLY, THOMAS                                                    PA     10/23/24</t>
    </r>
  </si>
  <si>
    <r>
      <rPr>
        <sz val="7.5"/>
        <color rgb="FF231F20"/>
        <rFont val="Calibri"/>
        <family val="1"/>
      </rPr>
      <t>C449511</t>
    </r>
  </si>
  <si>
    <r>
      <rPr>
        <sz val="7.5"/>
        <color rgb="FF231F20"/>
        <rFont val="Calibri"/>
        <family val="1"/>
      </rPr>
      <t>DISENROLLMENT-OTHER PLAN</t>
    </r>
  </si>
  <si>
    <r>
      <rPr>
        <sz val="7.5"/>
        <color rgb="FF231F20"/>
        <rFont val="Calibri"/>
        <family val="1"/>
      </rPr>
      <t>Y1</t>
    </r>
  </si>
  <si>
    <r>
      <rPr>
        <sz val="7.5"/>
        <color rgb="FF231F20"/>
        <rFont val="Calibri"/>
        <family val="1"/>
      </rPr>
      <t>2P32PC1JT86      20394838501 KING, CONNIE                                                       MD    09/04/25</t>
    </r>
  </si>
  <si>
    <r>
      <rPr>
        <sz val="7.5"/>
        <color rgb="FF231F20"/>
        <rFont val="Calibri"/>
        <family val="1"/>
      </rPr>
      <t>C529942</t>
    </r>
  </si>
  <si>
    <r>
      <rPr>
        <sz val="7.5"/>
        <color rgb="FF231F20"/>
        <rFont val="Calibri"/>
        <family val="1"/>
      </rPr>
      <t>DISENROLLMENT-VOLUNTARY</t>
    </r>
  </si>
  <si>
    <r>
      <rPr>
        <sz val="7.5"/>
        <color rgb="FF231F20"/>
        <rFont val="Calibri"/>
        <family val="1"/>
      </rPr>
      <t>6V00QH5YJ36     20401793301 NADLER, BRIGETTE                                               PA     09/15/25</t>
    </r>
  </si>
  <si>
    <r>
      <rPr>
        <sz val="7.5"/>
        <color rgb="FF231F20"/>
        <rFont val="Calibri"/>
        <family val="1"/>
      </rPr>
      <t>9KY3RE1WG92    20406650001 SANDS, KAREN                                                      MD    09/18/25</t>
    </r>
  </si>
  <si>
    <r>
      <rPr>
        <sz val="7.5"/>
        <color rgb="FF231F20"/>
        <rFont val="Calibri"/>
        <family val="1"/>
      </rPr>
      <t>C467410</t>
    </r>
  </si>
  <si>
    <r>
      <rPr>
        <sz val="7.5"/>
        <color rgb="FF231F20"/>
        <rFont val="Calibri"/>
        <family val="1"/>
      </rPr>
      <t>4FC2CM5CQ01   20366238201 SCOTT, LARRY                                                       PA     08/08/25</t>
    </r>
  </si>
  <si>
    <r>
      <rPr>
        <sz val="7.5"/>
        <color rgb="FF231F20"/>
        <rFont val="Calibri"/>
        <family val="1"/>
      </rPr>
      <t>RAPID DISENROLLMENT</t>
    </r>
  </si>
  <si>
    <r>
      <rPr>
        <sz val="7.5"/>
        <color rgb="FF231F20"/>
        <rFont val="Calibri"/>
        <family val="1"/>
      </rPr>
      <t>3T93UK2UC19    20397904201 TIPTON, SUSAN                                                     OH    09/09/25</t>
    </r>
  </si>
  <si>
    <r>
      <rPr>
        <sz val="7.5"/>
        <color rgb="FF231F20"/>
        <rFont val="Calibri"/>
        <family val="1"/>
      </rPr>
      <t>C678767</t>
    </r>
  </si>
  <si>
    <r>
      <rPr>
        <sz val="7.5"/>
        <color rgb="FF231F20"/>
        <rFont val="Calibri"/>
        <family val="1"/>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</si>
  <si>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</si>
  <si>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1"/>
      </rPr>
      <t>Year 1 agent commission</t>
    </r>
    <r>
      <rPr>
        <sz val="7.5"/>
        <color rgb="FF4A4849"/>
        <rFont val="Cambria"/>
        <family val="1"/>
      </rPr>
      <t xml:space="preserve">-                </t>
    </r>
    <r>
      <rPr>
        <vertAlign val="superscript"/>
        <sz val="7.5"/>
        <color rgb="FF231F20"/>
        <rFont val="Cambria"/>
        <family val="1"/>
      </rPr>
      <t xml:space="preserve">H1 = </t>
    </r>
    <r>
      <rPr>
        <vertAlign val="superscript"/>
        <sz val="7.5"/>
        <color rgb="FF231F20"/>
        <rFont val="Calibri"/>
        <family val="1"/>
      </rPr>
      <t xml:space="preserve">Year 1 up-line agent commission
</t>
    </r>
    <r>
      <rPr>
        <sz val="7.5"/>
        <color rgb="FF4A4849"/>
        <rFont val="Cambria"/>
        <family val="1"/>
      </rPr>
      <t xml:space="preserve">Yn = </t>
    </r>
    <r>
      <rPr>
        <sz val="7.5"/>
        <color rgb="FF4A4849"/>
        <rFont val="Calibri"/>
        <family val="1"/>
      </rPr>
      <t xml:space="preserve">Year 2+ agent commission               </t>
    </r>
    <r>
      <rPr>
        <vertAlign val="superscript"/>
        <sz val="7.5"/>
        <color rgb="FF231F20"/>
        <rFont val="Cambria"/>
        <family val="1"/>
      </rPr>
      <t xml:space="preserve">Hn = </t>
    </r>
    <r>
      <rPr>
        <vertAlign val="superscript"/>
        <sz val="7.5"/>
        <color rgb="FF231F20"/>
        <rFont val="Calibri"/>
        <family val="1"/>
      </rPr>
      <t>Year 2+ up-line agent commission</t>
    </r>
  </si>
  <si>
    <t>Cigna PDP</t>
  </si>
  <si>
    <t>Cigna Ovr</t>
  </si>
  <si>
    <t>9KH6PP7XM54</t>
  </si>
  <si>
    <t>ELDER,</t>
  </si>
  <si>
    <t>SARAJANE</t>
  </si>
  <si>
    <t>PA</t>
  </si>
  <si>
    <t>7DJ7PR2HJ43</t>
  </si>
  <si>
    <t>GOLDEN,</t>
  </si>
  <si>
    <t>MARK</t>
  </si>
  <si>
    <t>2P32PC1JT86</t>
  </si>
  <si>
    <t>KING,</t>
  </si>
  <si>
    <t>CONNIE</t>
  </si>
  <si>
    <t>MD</t>
  </si>
  <si>
    <t>6V00QH5YJ36</t>
  </si>
  <si>
    <t>NADLER,</t>
  </si>
  <si>
    <t>BRIGETTE</t>
  </si>
  <si>
    <t>9KY3RE1WG92</t>
  </si>
  <si>
    <t>SANDS,</t>
  </si>
  <si>
    <t>KAREN</t>
  </si>
  <si>
    <t>4FC2CM5CQ01</t>
  </si>
  <si>
    <t>SCOTT,</t>
  </si>
  <si>
    <t>LARRY</t>
  </si>
  <si>
    <t>number               ID                      Member name                                                    st       Sale date</t>
  </si>
  <si>
    <t>Main Line Benefits</t>
  </si>
  <si>
    <t>BRITTANY OLIVER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</si>
</sst>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5" x14ac:knownFonts="1">
    <font>
      <sz val="10"/>
      <color rgb="FF000000"/>
      <name val="Times New Roman"/>
      <charset val="204"/>
    </font>
    <font>
      <sz val="17"/>
      <name val="Cambria"/>
      <family val="1"/>
    </font>
    <font>
      <sz val="8.5"/>
      <name val="Georgia"/>
      <family val="1"/>
    </font>
    <font>
      <sz val="9.5"/>
      <name val="Calibri"/>
      <family val="2"/>
    </font>
    <font>
      <sz val="11"/>
      <color rgb="FF231F20"/>
      <name val="Calibri"/>
      <family val="2"/>
    </font>
    <font>
      <sz val="17.5"/>
      <name val="Tahoma"/>
      <family val="2"/>
    </font>
    <font>
      <sz val="16"/>
      <name val="Cambria"/>
      <family val="1"/>
    </font>
    <font>
      <sz val="8.5"/>
      <name val="Tahoma"/>
      <family val="2"/>
    </font>
    <font>
      <sz val="7.5"/>
      <name val="Calibri"/>
      <family val="2"/>
    </font>
    <font>
      <sz val="8.5"/>
      <name val="Calibri"/>
      <family val="2"/>
    </font>
    <font>
      <sz val="8.5"/>
      <color rgb="FF231F20"/>
      <name val="Tahoma"/>
      <family val="2"/>
    </font>
    <font>
      <sz val="11.5"/>
      <name val="Calibri"/>
      <family val="2"/>
    </font>
    <font>
      <sz val="7.5"/>
      <color rgb="FF231F20"/>
      <name val="Calibri"/>
      <family val="2"/>
    </font>
    <font>
      <sz val="7.5"/>
      <name val="Cambria"/>
      <family val="1"/>
    </font>
    <font>
      <sz val="7.5"/>
      <color rgb="FF231F20"/>
      <name val="Calibri"/>
      <family val="1"/>
    </font>
    <font>
      <sz val="8.5"/>
      <color rgb="FF231F20"/>
      <name val="Calibri"/>
      <family val="1"/>
    </font>
    <font>
      <u/>
      <sz val="9.5"/>
      <color rgb="FF231F20"/>
      <name val="Calibri"/>
      <family val="1"/>
    </font>
    <font>
      <sz val="9.5"/>
      <color rgb="FF231F20"/>
      <name val="Calibri"/>
      <family val="1"/>
    </font>
    <font>
      <sz val="9.5"/>
      <color rgb="FF231F20"/>
      <name val="Tahoma"/>
      <family val="2"/>
    </font>
    <font>
      <sz val="17"/>
      <color rgb="FF231F20"/>
      <name val="Cambria"/>
      <family val="1"/>
    </font>
    <font>
      <sz val="8.5"/>
      <color rgb="FF231F20"/>
      <name val="Georgia"/>
      <family val="1"/>
    </font>
    <font>
      <sz val="9"/>
      <color rgb="FF231F20"/>
      <name val="Cambria"/>
      <family val="1"/>
    </font>
    <font>
      <vertAlign val="superscript"/>
      <sz val="6.5"/>
      <color rgb="FF231F20"/>
      <name val="Calibri"/>
      <family val="1"/>
    </font>
    <font>
      <sz val="9"/>
      <color rgb="FF231F20"/>
      <name val="Times New Roman"/>
      <family val="1"/>
    </font>
    <font>
      <sz val="6.5"/>
      <color rgb="FF231F20"/>
      <name val="Calibri"/>
      <family val="1"/>
    </font>
    <font>
      <sz val="11"/>
      <color rgb="FF231F20"/>
      <name val="Calibri"/>
      <family val="1"/>
    </font>
    <font>
      <sz val="17.5"/>
      <color rgb="FFDCDFE2"/>
      <name val="Tahoma"/>
      <family val="2"/>
    </font>
    <font>
      <sz val="16"/>
      <color rgb="FF231F20"/>
      <name val="Cambria"/>
      <family val="1"/>
    </font>
    <font>
      <u/>
      <sz val="8.5"/>
      <color rgb="FF231F20"/>
      <name val="Calibri"/>
      <family val="1"/>
    </font>
    <font>
      <sz val="10"/>
      <color rgb="FF231F20"/>
      <name val="Times New Roman"/>
      <family val="1"/>
    </font>
    <font>
      <sz val="11.5"/>
      <color rgb="FF231F20"/>
      <name val="Calibri"/>
      <family val="1"/>
    </font>
    <font>
      <sz val="7.5"/>
      <color rgb="FF4A4849"/>
      <name val="Cambria"/>
      <family val="1"/>
    </font>
    <font>
      <sz val="7.5"/>
      <color rgb="FF4A4849"/>
      <name val="Calibri"/>
      <family val="1"/>
    </font>
    <font>
      <vertAlign val="superscript"/>
      <sz val="7.5"/>
      <color rgb="FF231F20"/>
      <name val="Cambria"/>
      <family val="1"/>
    </font>
    <font>
      <vertAlign val="superscript"/>
      <sz val="7.5"/>
      <color rgb="FF231F20"/>
      <name val="Calibri"/>
      <family val="1"/>
    </font>
  </fonts>
  <fills count="2">
    <fill>
      <patternFill patternType="none"/>
    </fill>
    <fill>
      <patternFill patternType="gray125"/>
    </fill>
  </fills>
  <borders count="4">
    <border>
      <left/>
      <right/>
      <top/>
      <bottom/>
      <diagonal/>
    </border>
    <border>
      <left style="thin">
        <color rgb="FF231F20"/>
      </left>
      <right style="thin">
        <color rgb="FF231F20"/>
      </right>
      <top style="thin">
        <color rgb="FF231F20"/>
      </top>
      <bottom style="thin">
        <color rgb="FF231F20"/>
      </bottom>
      <diagonal/>
    </border>
    <border>
      <left/>
      <right/>
      <top/>
      <bottom style="thin">
        <color rgb="FF231F20"/>
      </bottom>
      <diagonal/>
    </border>
    <border>
      <left/>
      <right/>
      <top style="thin">
        <color rgb="FF231F20"/>
      </top>
      <bottom/>
      <diagonal/>
    </border>
  </borders>
  <cellStyleXfs count="1">
    <xf numFmtId="0" fontId="0" fillId="0" borderId="0"/>
  </cellStyleXfs>
  <cellXfs count="62">
    <xf numFmtId="0" fontId="0" fillId="0" borderId="0" xfId="0" applyAlignment="1">
      <alignment horizontal="left" vertical="top"/>
    </xf>
    <xf numFmtId="0" fontId="0" fillId="0" borderId="0" xfId="0" applyAlignment="1">
      <alignment horizontal="left" vertical="top" wrapText="1" indent="3"/>
    </xf>
    <xf numFmtId="0" fontId="0" fillId="0" borderId="0" xfId="0" applyAlignment="1">
      <alignment horizontal="left" vertical="top" wrapText="1" indent="13"/>
    </xf>
    <xf numFmtId="0" fontId="1" fillId="0" borderId="0" xfId="0" applyFont="1" applyAlignment="1">
      <alignment horizontal="left" vertical="top" wrapText="1" indent="1"/>
    </xf>
    <xf numFmtId="0" fontId="2" fillId="0" borderId="0" xfId="0" applyFont="1" applyAlignment="1">
      <alignment horizontal="left" vertical="top" wrapText="1" indent="1"/>
    </xf>
    <xf numFmtId="0" fontId="0" fillId="0" borderId="0" xfId="0" applyAlignment="1">
      <alignment horizontal="right" vertical="top" wrapText="1" indent="1"/>
    </xf>
    <xf numFmtId="0" fontId="0" fillId="0" borderId="0" xfId="0" applyAlignment="1">
      <alignment horizontal="left" vertical="top" wrapText="1" indent="1"/>
    </xf>
    <xf numFmtId="0" fontId="0" fillId="0" borderId="0" xfId="0" applyAlignment="1">
      <alignment horizontal="left" vertical="top" wrapText="1" indent="22"/>
    </xf>
    <xf numFmtId="0" fontId="0" fillId="0" borderId="0" xfId="0" applyAlignment="1">
      <alignment horizontal="right" vertical="top" wrapText="1" indent="3"/>
    </xf>
    <xf numFmtId="0" fontId="3" fillId="0" borderId="0" xfId="0" applyFont="1" applyAlignment="1">
      <alignment horizontal="left" vertical="top" wrapText="1" indent="3"/>
    </xf>
    <xf numFmtId="164" fontId="4" fillId="0" borderId="1" xfId="0" applyNumberFormat="1" applyFont="1" applyBorder="1" applyAlignment="1">
      <alignment horizontal="left" vertical="top" indent="8" shrinkToFit="1"/>
    </xf>
    <xf numFmtId="0" fontId="0" fillId="0" borderId="0" xfId="0" applyAlignment="1">
      <alignment horizontal="left" vertical="top" wrapText="1" indent="2"/>
    </xf>
    <xf numFmtId="0" fontId="5" fillId="0" borderId="0" xfId="0" applyFont="1" applyAlignment="1">
      <alignment horizontal="left" vertical="top" wrapText="1" indent="36"/>
    </xf>
    <xf numFmtId="0" fontId="6" fillId="0" borderId="0" xfId="0" applyFont="1" applyAlignment="1">
      <alignment horizontal="left" vertical="top" wrapText="1"/>
    </xf>
    <xf numFmtId="0" fontId="7" fillId="0" borderId="0" xfId="0" applyFont="1" applyAlignment="1">
      <alignment horizontal="left" wrapText="1"/>
    </xf>
    <xf numFmtId="0" fontId="0" fillId="0" borderId="0" xfId="0" applyAlignment="1">
      <alignment horizontal="left" vertical="top" wrapText="1" indent="20"/>
    </xf>
    <xf numFmtId="0" fontId="0" fillId="0" borderId="0" xfId="0" applyAlignment="1">
      <alignment horizontal="left" vertical="top" wrapText="1"/>
    </xf>
    <xf numFmtId="0" fontId="8" fillId="0" borderId="2" xfId="0" applyFont="1" applyBorder="1" applyAlignment="1">
      <alignment horizontal="left" vertical="top" wrapText="1"/>
    </xf>
    <xf numFmtId="0" fontId="0" fillId="0" borderId="2" xfId="0" applyBorder="1" applyAlignment="1">
      <alignment horizontal="left" vertical="top" wrapText="1" indent="4"/>
    </xf>
    <xf numFmtId="0" fontId="8" fillId="0" borderId="2" xfId="0" applyFont="1" applyBorder="1" applyAlignment="1">
      <alignment horizontal="left" vertical="top" wrapText="1" indent="9"/>
    </xf>
    <xf numFmtId="0" fontId="0" fillId="0" borderId="2" xfId="0" applyBorder="1" applyAlignment="1">
      <alignment horizontal="right" vertical="top" wrapText="1"/>
    </xf>
    <xf numFmtId="0" fontId="0" fillId="0" borderId="2" xfId="0" applyBorder="1" applyAlignment="1">
      <alignment horizontal="right" vertical="top" wrapText="1" indent="1"/>
    </xf>
    <xf numFmtId="0" fontId="0" fillId="0" borderId="2" xfId="0" applyBorder="1" applyAlignment="1">
      <alignment horizontal="left" vertical="top" wrapText="1"/>
    </xf>
    <xf numFmtId="0" fontId="7" fillId="0" borderId="3" xfId="0" applyFont="1" applyBorder="1" applyAlignment="1">
      <alignment horizontal="left" vertical="top" wrapText="1"/>
    </xf>
    <xf numFmtId="0" fontId="0" fillId="0" borderId="3" xfId="0" applyBorder="1" applyAlignment="1">
      <alignment horizontal="left" wrapText="1"/>
    </xf>
    <xf numFmtId="0" fontId="11" fillId="0" borderId="0" xfId="0" applyFont="1"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center" wrapText="1"/>
    </xf>
    <xf numFmtId="0" fontId="8" fillId="0" borderId="0" xfId="0" applyFont="1" applyAlignment="1">
      <alignment horizontal="right" vertical="top" wrapText="1" indent="3"/>
    </xf>
    <xf numFmtId="0" fontId="8" fillId="0" borderId="0" xfId="0" applyFont="1" applyAlignment="1">
      <alignment horizontal="right" vertical="top" wrapText="1"/>
    </xf>
    <xf numFmtId="0" fontId="8" fillId="0" borderId="2" xfId="0" applyFont="1" applyBorder="1" applyAlignment="1">
      <alignment horizontal="center" vertical="top" wrapText="1"/>
    </xf>
    <xf numFmtId="0" fontId="8" fillId="0" borderId="2" xfId="0" applyFont="1" applyBorder="1" applyAlignment="1">
      <alignment horizontal="left" vertical="top" wrapText="1" indent="1"/>
    </xf>
    <xf numFmtId="0" fontId="8" fillId="0" borderId="2" xfId="0" applyFont="1" applyBorder="1" applyAlignment="1">
      <alignment horizontal="right" vertical="top" wrapText="1" indent="3"/>
    </xf>
    <xf numFmtId="0" fontId="8" fillId="0" borderId="2" xfId="0" applyFont="1" applyBorder="1" applyAlignment="1">
      <alignment horizontal="right" vertical="top" wrapText="1" indent="1"/>
    </xf>
    <xf numFmtId="0" fontId="8" fillId="0" borderId="2" xfId="0" applyFont="1" applyBorder="1" applyAlignment="1">
      <alignment horizontal="right" vertical="top" wrapText="1"/>
    </xf>
    <xf numFmtId="0" fontId="8" fillId="0" borderId="3" xfId="0" applyFont="1" applyBorder="1" applyAlignment="1">
      <alignment horizontal="left" vertical="top" wrapText="1"/>
    </xf>
    <xf numFmtId="0" fontId="8" fillId="0" borderId="3" xfId="0" applyFont="1" applyBorder="1" applyAlignment="1">
      <alignment horizontal="center" vertical="top" wrapText="1"/>
    </xf>
    <xf numFmtId="165" fontId="12" fillId="0" borderId="3" xfId="0" applyNumberFormat="1" applyFont="1" applyBorder="1" applyAlignment="1">
      <alignment horizontal="left" vertical="top" indent="1" shrinkToFit="1"/>
    </xf>
    <xf numFmtId="0" fontId="0" fillId="0" borderId="3" xfId="0" applyBorder="1" applyAlignment="1">
      <alignment horizontal="left" vertical="center" wrapText="1"/>
    </xf>
    <xf numFmtId="2" fontId="12" fillId="0" borderId="3" xfId="0" applyNumberFormat="1" applyFont="1" applyBorder="1" applyAlignment="1">
      <alignment horizontal="right" vertical="top" indent="3" shrinkToFit="1"/>
    </xf>
    <xf numFmtId="2" fontId="12" fillId="0" borderId="3" xfId="0" applyNumberFormat="1" applyFont="1" applyBorder="1" applyAlignment="1">
      <alignment horizontal="right" vertical="top" indent="1" shrinkToFit="1"/>
    </xf>
    <xf numFmtId="0" fontId="8" fillId="0" borderId="3" xfId="0" applyFont="1" applyBorder="1" applyAlignment="1">
      <alignment horizontal="right" vertical="top" wrapText="1"/>
    </xf>
    <xf numFmtId="0" fontId="8" fillId="0" borderId="0" xfId="0" applyFont="1" applyAlignment="1">
      <alignment horizontal="center" vertical="top" wrapText="1"/>
    </xf>
    <xf numFmtId="165" fontId="12" fillId="0" borderId="0" xfId="0" applyNumberFormat="1" applyFont="1" applyAlignment="1">
      <alignment horizontal="left" vertical="top" indent="1" shrinkToFit="1"/>
    </xf>
    <xf numFmtId="2" fontId="12" fillId="0" borderId="0" xfId="0" applyNumberFormat="1" applyFont="1" applyAlignment="1">
      <alignment horizontal="right" vertical="top" indent="3" shrinkToFit="1"/>
    </xf>
    <xf numFmtId="2" fontId="12" fillId="0" borderId="0" xfId="0" applyNumberFormat="1" applyFont="1" applyAlignment="1">
      <alignment horizontal="right" vertical="top" indent="1" shrinkToFit="1"/>
    </xf>
    <xf numFmtId="165" fontId="12" fillId="0" borderId="0" xfId="0" applyNumberFormat="1" applyFont="1" applyAlignment="1">
      <alignment horizontal="left" vertical="top" shrinkToFit="1"/>
    </xf>
    <xf numFmtId="165" fontId="12" fillId="0" borderId="2" xfId="0" applyNumberFormat="1" applyFont="1" applyBorder="1" applyAlignment="1">
      <alignment horizontal="left" vertical="top" indent="1" shrinkToFit="1"/>
    </xf>
    <xf numFmtId="165" fontId="12" fillId="0" borderId="2" xfId="0" applyNumberFormat="1" applyFont="1" applyBorder="1" applyAlignment="1">
      <alignment horizontal="left" vertical="top" shrinkToFit="1"/>
    </xf>
    <xf numFmtId="2" fontId="12" fillId="0" borderId="2" xfId="0" applyNumberFormat="1" applyFont="1" applyBorder="1" applyAlignment="1">
      <alignment horizontal="right" vertical="top" indent="3" shrinkToFit="1"/>
    </xf>
    <xf numFmtId="2" fontId="12" fillId="0" borderId="2" xfId="0" applyNumberFormat="1" applyFont="1" applyBorder="1" applyAlignment="1">
      <alignment horizontal="right" vertical="top" indent="1" shrinkToFit="1"/>
    </xf>
    <xf numFmtId="0" fontId="13" fillId="0" borderId="0" xfId="0" applyFont="1" applyAlignment="1">
      <alignment horizontal="left" vertical="top" wrapText="1"/>
    </xf>
    <xf numFmtId="0" fontId="0" fillId="0" borderId="0" xfId="0" applyAlignment="1">
      <alignment horizontal="left" wrapText="1"/>
    </xf>
    <xf numFmtId="0" fontId="9" fillId="0" borderId="2" xfId="0" applyFont="1" applyBorder="1" applyAlignment="1">
      <alignment horizontal="right" vertical="center" wrapText="1"/>
    </xf>
    <xf numFmtId="0" fontId="0" fillId="0" borderId="2" xfId="0" applyBorder="1" applyAlignment="1">
      <alignment horizontal="center" vertical="top" wrapText="1"/>
    </xf>
    <xf numFmtId="0" fontId="0" fillId="0" borderId="3" xfId="0" applyBorder="1" applyAlignment="1">
      <alignment horizontal="left" wrapText="1"/>
    </xf>
    <xf numFmtId="2" fontId="10" fillId="0" borderId="3" xfId="0" applyNumberFormat="1" applyFont="1" applyBorder="1" applyAlignment="1">
      <alignment horizontal="center" vertical="top" shrinkToFit="1"/>
    </xf>
    <xf numFmtId="0" fontId="0" fillId="0" borderId="0" xfId="0" applyAlignment="1">
      <alignment horizontal="left" vertical="top" wrapText="1"/>
    </xf>
    <xf numFmtId="14" fontId="8" fillId="0" borderId="3" xfId="0" applyNumberFormat="1" applyFont="1" applyBorder="1" applyAlignment="1">
      <alignment horizontal="left" vertical="top" wrapText="1"/>
    </xf>
    <xf numFmtId="14" fontId="8" fillId="0" borderId="0" xfId="0" applyNumberFormat="1" applyFont="1" applyAlignment="1">
      <alignment horizontal="left" vertical="top" wrapText="1"/>
    </xf>
    <xf numFmtId="0" fontId="14" fillId="0" borderId="2" xfId="0" applyFont="1" applyBorder="1" applyAlignment="1">
      <alignment horizontal="left" vertical="top" wrapText="1"/>
    </xf>
    <xf numFmtId="0" fontId="14" fillId="0" borderId="3"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1412740</xdr:colOff>
      <xdr:row>0</xdr:row>
      <xdr:rowOff>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0</xdr:col>
      <xdr:colOff>65023</xdr:colOff>
      <xdr:row>0</xdr:row>
      <xdr:rowOff>627887</xdr:rowOff>
    </xdr:from>
    <xdr:ext cx="6745605" cy="1524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122935</xdr:colOff>
      <xdr:row>0</xdr:row>
      <xdr:rowOff>256030</xdr:rowOff>
    </xdr:from>
    <xdr:ext cx="6687820" cy="3175"/>
    <xdr:sp macro="" textlink="">
      <xdr:nvSpPr>
        <xdr:cNvPr id="4" name="Shape 4">
          <a:extLst>
            <a:ext uri="{FF2B5EF4-FFF2-40B4-BE49-F238E27FC236}">
              <a16:creationId xmlns:a16="http://schemas.microsoft.com/office/drawing/2014/main" id="{00000000-0008-0000-03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859536</xdr:colOff>
      <xdr:row>0</xdr:row>
      <xdr:rowOff>212724</xdr:rowOff>
    </xdr:from>
    <xdr:ext cx="6687820" cy="3175"/>
    <xdr:sp macro="" textlink="">
      <xdr:nvSpPr>
        <xdr:cNvPr id="5" name="Shape 5">
          <a:extLst>
            <a:ext uri="{FF2B5EF4-FFF2-40B4-BE49-F238E27FC236}">
              <a16:creationId xmlns:a16="http://schemas.microsoft.com/office/drawing/2014/main" id="{00000000-0008-0000-0B00-000005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0</xdr:col>
      <xdr:colOff>91439</xdr:colOff>
      <xdr:row>0</xdr:row>
      <xdr:rowOff>226949</xdr:rowOff>
    </xdr:from>
    <xdr:ext cx="7592695" cy="0"/>
    <xdr:sp macro="" textlink="">
      <xdr:nvSpPr>
        <xdr:cNvPr id="6" name="Shape 6">
          <a:extLst>
            <a:ext uri="{FF2B5EF4-FFF2-40B4-BE49-F238E27FC236}">
              <a16:creationId xmlns:a16="http://schemas.microsoft.com/office/drawing/2014/main" id="{00000000-0008-0000-0B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65532</xdr:colOff>
      <xdr:row>0</xdr:row>
      <xdr:rowOff>54864</xdr:rowOff>
    </xdr:from>
    <xdr:ext cx="2862580" cy="3175"/>
    <xdr:sp macro="" textlink="">
      <xdr:nvSpPr>
        <xdr:cNvPr id="7" name="Shape 7">
          <a:extLst>
            <a:ext uri="{FF2B5EF4-FFF2-40B4-BE49-F238E27FC236}">
              <a16:creationId xmlns:a16="http://schemas.microsoft.com/office/drawing/2014/main" id="{00000000-0008-0000-0D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roducerCommissions@CignaHealthcar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CARL@CignaHealthcare.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2.75" x14ac:dyDescent="0.2"/>
  <cols>
    <col min="1" max="1" width="50.5" customWidth="1"/>
    <col min="2" max="2" width="77.33203125" customWidth="1"/>
  </cols>
  <sheetData>
    <row r="1" spans="1:2" ht="216.6" customHeight="1" x14ac:dyDescent="0.2">
      <c r="A1" s="1" t="s">
        <v>0</v>
      </c>
      <c r="B1" s="2" t="s">
        <v>1</v>
      </c>
    </row>
  </sheetData>
  <hyperlinks>
    <hyperlink ref="B1" r:id="rId1" display="mailto:ProducerCommissions@CignaHealthcare.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cols>
    <col min="1" max="1" width="128" customWidth="1"/>
  </cols>
  <sheetData>
    <row r="1" spans="1:1" ht="24" customHeight="1" x14ac:dyDescent="0.2">
      <c r="A1" s="3"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defaultRowHeight="12.75" x14ac:dyDescent="0.2"/>
  <cols>
    <col min="1" max="1" width="50.5" customWidth="1"/>
    <col min="2" max="2" width="53.1640625" customWidth="1"/>
    <col min="3" max="3" width="24.1640625" customWidth="1"/>
  </cols>
  <sheetData>
    <row r="1" spans="1:3" ht="24" customHeight="1" x14ac:dyDescent="0.2">
      <c r="A1" s="4" t="s">
        <v>3</v>
      </c>
      <c r="B1" s="5" t="s">
        <v>4</v>
      </c>
      <c r="C1" s="5"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x14ac:dyDescent="0.2"/>
  <cols>
    <col min="1" max="1" width="128" customWidth="1"/>
  </cols>
  <sheetData>
    <row r="1" spans="1:1" ht="38.25" customHeight="1" x14ac:dyDescent="0.2">
      <c r="A1" s="6" t="s">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x14ac:dyDescent="0.2"/>
  <cols>
    <col min="1" max="1" width="128" customWidth="1"/>
  </cols>
  <sheetData>
    <row r="1" spans="1:1" ht="35.85" customHeight="1" x14ac:dyDescent="0.2">
      <c r="A1" s="6"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2.75" x14ac:dyDescent="0.2"/>
  <cols>
    <col min="1" max="1" width="128" customWidth="1"/>
  </cols>
  <sheetData>
    <row r="1" spans="1:1" ht="9.75" customHeight="1" x14ac:dyDescent="0.2">
      <c r="A1" s="7"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2.75" x14ac:dyDescent="0.2"/>
  <cols>
    <col min="1" max="1" width="128" customWidth="1"/>
  </cols>
  <sheetData>
    <row r="1" spans="1:1" ht="12.75" customHeight="1" x14ac:dyDescent="0.2">
      <c r="A1" s="5" t="s">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2.75" x14ac:dyDescent="0.2"/>
  <cols>
    <col min="1" max="1" width="108.1640625" customWidth="1"/>
    <col min="2" max="2" width="19.5" customWidth="1"/>
  </cols>
  <sheetData>
    <row r="1" spans="1:2" ht="18" customHeight="1" x14ac:dyDescent="0.2">
      <c r="A1" s="8" t="s">
        <v>10</v>
      </c>
      <c r="B1" s="9" t="s">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2.75" x14ac:dyDescent="0.2"/>
  <cols>
    <col min="1" max="1" width="128" customWidth="1"/>
  </cols>
  <sheetData>
    <row r="1" spans="1:1" ht="16.5" customHeight="1" x14ac:dyDescent="0.2">
      <c r="A1" s="6"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2.75" x14ac:dyDescent="0.2"/>
  <cols>
    <col min="1" max="1" width="22.1640625" customWidth="1"/>
  </cols>
  <sheetData>
    <row r="1" spans="1:1" ht="24.6" customHeight="1" x14ac:dyDescent="0.2">
      <c r="A1" s="10">
        <v>33.25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2.75" x14ac:dyDescent="0.2"/>
  <cols>
    <col min="1" max="1" width="11.83203125" customWidth="1"/>
    <col min="2" max="2" width="116" customWidth="1"/>
  </cols>
  <sheetData>
    <row r="1" spans="1:2" ht="38.25" customHeight="1" x14ac:dyDescent="0.2">
      <c r="A1" s="6" t="s">
        <v>13</v>
      </c>
      <c r="B1" s="11" t="s">
        <v>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heetViews>
  <sheetFormatPr defaultRowHeight="12.75" x14ac:dyDescent="0.2"/>
  <cols>
    <col min="1" max="1" width="128" customWidth="1"/>
  </cols>
  <sheetData>
    <row r="1" spans="1:1" ht="25.5" customHeight="1" x14ac:dyDescent="0.2">
      <c r="A1" s="12" t="s">
        <v>15</v>
      </c>
    </row>
    <row r="2" spans="1:1" ht="0.95" customHeight="1" x14ac:dyDescent="0.2"/>
    <row r="3" spans="1:1" ht="0.95" customHeight="1" x14ac:dyDescent="0.2"/>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defaultRowHeight="12.75" x14ac:dyDescent="0.2"/>
  <cols>
    <col min="1" max="1" width="47.33203125" customWidth="1"/>
    <col min="2" max="2" width="41.5" customWidth="1"/>
    <col min="3" max="3" width="90.1640625" customWidth="1"/>
  </cols>
  <sheetData>
    <row r="1" spans="1:3" ht="63.75" customHeight="1" x14ac:dyDescent="0.15">
      <c r="A1" s="13" t="s">
        <v>16</v>
      </c>
      <c r="B1" s="14" t="s">
        <v>17</v>
      </c>
      <c r="C1" s="15" t="s">
        <v>18</v>
      </c>
    </row>
  </sheetData>
  <hyperlinks>
    <hyperlink ref="C1" r:id="rId1" display="mailto:ProducerCommissions@CignaHealthcare.com"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
  <sheetViews>
    <sheetView workbookViewId="0"/>
  </sheetViews>
  <sheetFormatPr defaultRowHeight="12.75" x14ac:dyDescent="0.2"/>
  <cols>
    <col min="1" max="1" width="88.83203125" customWidth="1"/>
    <col min="2" max="2" width="90.5" customWidth="1"/>
  </cols>
  <sheetData>
    <row r="1" spans="1:2" ht="101.1" customHeight="1" x14ac:dyDescent="0.2">
      <c r="A1" s="16" t="s">
        <v>19</v>
      </c>
      <c r="B1" s="15" t="s">
        <v>20</v>
      </c>
    </row>
  </sheetData>
  <hyperlinks>
    <hyperlink ref="B1" r:id="rId1" display="mailto:CARL@CignaHealthcare.com" xr:uid="{00000000-0004-0000-0D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
  <sheetViews>
    <sheetView workbookViewId="0"/>
  </sheetViews>
  <sheetFormatPr defaultRowHeight="12.75" x14ac:dyDescent="0.2"/>
  <cols>
    <col min="1" max="1" width="31.33203125" customWidth="1"/>
    <col min="2" max="2" width="36.6640625" customWidth="1"/>
    <col min="3" max="3" width="30.6640625" customWidth="1"/>
    <col min="4" max="4" width="7.83203125" customWidth="1"/>
    <col min="5" max="5" width="17.33203125" customWidth="1"/>
    <col min="6" max="6" width="8.5" customWidth="1"/>
    <col min="7" max="7" width="38.6640625" customWidth="1"/>
  </cols>
  <sheetData>
    <row r="1" spans="1:7" ht="20.45" customHeight="1" x14ac:dyDescent="0.2">
      <c r="A1" s="17" t="s">
        <v>21</v>
      </c>
      <c r="B1" s="18" t="s">
        <v>22</v>
      </c>
      <c r="C1" s="19" t="s">
        <v>23</v>
      </c>
      <c r="D1" s="20" t="s">
        <v>24</v>
      </c>
      <c r="E1" s="21" t="s">
        <v>25</v>
      </c>
      <c r="F1" s="20" t="s">
        <v>26</v>
      </c>
      <c r="G1" s="18" t="s">
        <v>27</v>
      </c>
    </row>
    <row r="2" spans="1:7" ht="32.450000000000003" customHeight="1" x14ac:dyDescent="0.2">
      <c r="A2" s="22" t="s">
        <v>28</v>
      </c>
      <c r="B2" s="22" t="s">
        <v>29</v>
      </c>
      <c r="C2" s="53" t="s">
        <v>30</v>
      </c>
      <c r="D2" s="53"/>
      <c r="E2" s="54" t="s">
        <v>31</v>
      </c>
      <c r="F2" s="54"/>
      <c r="G2" s="54"/>
    </row>
    <row r="3" spans="1:7" ht="13.5" customHeight="1" x14ac:dyDescent="0.2">
      <c r="A3" s="23" t="s">
        <v>32</v>
      </c>
      <c r="B3" s="24"/>
      <c r="C3" s="55"/>
      <c r="D3" s="55"/>
      <c r="E3" s="56">
        <v>29.25</v>
      </c>
      <c r="F3" s="56"/>
      <c r="G3" s="56"/>
    </row>
  </sheetData>
  <mergeCells count="4">
    <mergeCell ref="C2:D2"/>
    <mergeCell ref="E2:G2"/>
    <mergeCell ref="C3:D3"/>
    <mergeCell ref="E3:G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2.75" x14ac:dyDescent="0.2"/>
  <cols>
    <col min="1" max="1" width="179.33203125" customWidth="1"/>
  </cols>
  <sheetData>
    <row r="1" spans="1:1" ht="38.25" customHeight="1" x14ac:dyDescent="0.2">
      <c r="A1" s="6" t="s">
        <v>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2.75" x14ac:dyDescent="0.2"/>
  <cols>
    <col min="1" max="1" width="179.33203125" customWidth="1"/>
  </cols>
  <sheetData>
    <row r="1" spans="1:1" ht="25.5" customHeight="1" x14ac:dyDescent="0.2">
      <c r="A1" s="6" t="s">
        <v>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9"/>
  <sheetViews>
    <sheetView workbookViewId="0">
      <selection activeCell="E28" sqref="E28"/>
    </sheetView>
  </sheetViews>
  <sheetFormatPr defaultRowHeight="12.75" x14ac:dyDescent="0.2"/>
  <cols>
    <col min="1" max="1" width="68.1640625" customWidth="1"/>
    <col min="2" max="2" width="11.1640625" customWidth="1"/>
    <col min="3" max="4" width="13.5" customWidth="1"/>
    <col min="5" max="5" width="26" customWidth="1"/>
    <col min="6" max="6" width="19.1640625" customWidth="1"/>
    <col min="7" max="7" width="11.1640625" customWidth="1"/>
    <col min="8" max="8" width="8.1640625" customWidth="1"/>
  </cols>
  <sheetData>
    <row r="1" spans="1:8" ht="27.2" customHeight="1" x14ac:dyDescent="0.2">
      <c r="A1" s="13" t="s">
        <v>35</v>
      </c>
      <c r="B1" s="16"/>
      <c r="C1" s="16"/>
      <c r="D1" s="16"/>
      <c r="E1" s="16"/>
      <c r="F1" s="16" t="s">
        <v>36</v>
      </c>
      <c r="G1" s="57"/>
      <c r="H1" s="57"/>
    </row>
    <row r="2" spans="1:8" ht="27.6" customHeight="1" x14ac:dyDescent="0.2">
      <c r="A2" s="25" t="s">
        <v>37</v>
      </c>
      <c r="B2" s="16"/>
      <c r="C2" s="16"/>
      <c r="D2" s="16"/>
      <c r="E2" s="16"/>
      <c r="F2" s="16"/>
      <c r="G2" s="57"/>
      <c r="H2" s="57"/>
    </row>
    <row r="3" spans="1:8" ht="16.7" customHeight="1" x14ac:dyDescent="0.2">
      <c r="A3" s="26" t="s">
        <v>38</v>
      </c>
      <c r="B3" s="27"/>
      <c r="C3" s="27"/>
      <c r="D3" s="27"/>
      <c r="E3" s="27"/>
      <c r="F3" s="28" t="s">
        <v>39</v>
      </c>
      <c r="G3" s="27"/>
      <c r="H3" s="29" t="s">
        <v>40</v>
      </c>
    </row>
    <row r="4" spans="1:8" ht="12.2" customHeight="1" x14ac:dyDescent="0.2">
      <c r="A4" s="17" t="s">
        <v>41</v>
      </c>
      <c r="B4" s="30" t="s">
        <v>42</v>
      </c>
      <c r="C4" s="31" t="s">
        <v>43</v>
      </c>
      <c r="D4" s="17" t="s">
        <v>44</v>
      </c>
      <c r="E4" s="17" t="s">
        <v>45</v>
      </c>
      <c r="F4" s="32" t="s">
        <v>46</v>
      </c>
      <c r="G4" s="33" t="s">
        <v>40</v>
      </c>
      <c r="H4" s="34" t="s">
        <v>47</v>
      </c>
    </row>
    <row r="5" spans="1:8" ht="16.5" customHeight="1" x14ac:dyDescent="0.2">
      <c r="A5" s="35" t="s">
        <v>48</v>
      </c>
      <c r="B5" s="36" t="s">
        <v>49</v>
      </c>
      <c r="C5" s="37">
        <v>45962</v>
      </c>
      <c r="D5" s="38"/>
      <c r="E5" s="35" t="s">
        <v>50</v>
      </c>
      <c r="F5" s="39">
        <v>2</v>
      </c>
      <c r="G5" s="40">
        <v>2</v>
      </c>
      <c r="H5" s="41" t="s">
        <v>51</v>
      </c>
    </row>
    <row r="6" spans="1:8" ht="15.95" customHeight="1" x14ac:dyDescent="0.2">
      <c r="A6" s="26" t="s">
        <v>52</v>
      </c>
      <c r="B6" s="42" t="s">
        <v>49</v>
      </c>
      <c r="C6" s="43">
        <v>45962</v>
      </c>
      <c r="D6" s="27"/>
      <c r="E6" s="26" t="s">
        <v>53</v>
      </c>
      <c r="F6" s="44">
        <v>1</v>
      </c>
      <c r="G6" s="45">
        <v>1</v>
      </c>
      <c r="H6" s="29" t="s">
        <v>51</v>
      </c>
    </row>
    <row r="7" spans="1:8" ht="15.95" customHeight="1" x14ac:dyDescent="0.2">
      <c r="A7" s="26" t="s">
        <v>54</v>
      </c>
      <c r="B7" s="42" t="s">
        <v>55</v>
      </c>
      <c r="C7" s="43">
        <v>45658</v>
      </c>
      <c r="D7" s="46">
        <v>46022</v>
      </c>
      <c r="E7" s="26" t="s">
        <v>56</v>
      </c>
      <c r="F7" s="44">
        <v>12</v>
      </c>
      <c r="G7" s="45">
        <v>0</v>
      </c>
      <c r="H7" s="29" t="s">
        <v>57</v>
      </c>
    </row>
    <row r="8" spans="1:8" ht="15.95" customHeight="1" x14ac:dyDescent="0.2">
      <c r="A8" s="26" t="s">
        <v>54</v>
      </c>
      <c r="B8" s="42" t="s">
        <v>55</v>
      </c>
      <c r="C8" s="43">
        <v>45658</v>
      </c>
      <c r="D8" s="46">
        <v>46022</v>
      </c>
      <c r="E8" s="26" t="s">
        <v>56</v>
      </c>
      <c r="F8" s="44">
        <v>2</v>
      </c>
      <c r="G8" s="45">
        <v>0</v>
      </c>
      <c r="H8" s="29" t="s">
        <v>51</v>
      </c>
    </row>
    <row r="9" spans="1:8" ht="15.95" customHeight="1" x14ac:dyDescent="0.2">
      <c r="A9" s="26" t="s">
        <v>58</v>
      </c>
      <c r="B9" s="42" t="s">
        <v>59</v>
      </c>
      <c r="C9" s="43">
        <v>45931</v>
      </c>
      <c r="D9" s="46">
        <v>46022</v>
      </c>
      <c r="E9" s="26" t="s">
        <v>60</v>
      </c>
      <c r="F9" s="44">
        <v>2.5</v>
      </c>
      <c r="G9" s="45">
        <v>5.25</v>
      </c>
      <c r="H9" s="29" t="s">
        <v>51</v>
      </c>
    </row>
    <row r="10" spans="1:8" ht="15.95" customHeight="1" x14ac:dyDescent="0.2">
      <c r="A10" s="26" t="s">
        <v>61</v>
      </c>
      <c r="B10" s="42" t="s">
        <v>49</v>
      </c>
      <c r="C10" s="43">
        <v>45962</v>
      </c>
      <c r="D10" s="27"/>
      <c r="E10" s="26" t="s">
        <v>53</v>
      </c>
      <c r="F10" s="44">
        <v>1</v>
      </c>
      <c r="G10" s="45">
        <v>1</v>
      </c>
      <c r="H10" s="29" t="s">
        <v>51</v>
      </c>
    </row>
    <row r="11" spans="1:8" ht="15.95" customHeight="1" x14ac:dyDescent="0.2">
      <c r="A11" s="26" t="s">
        <v>62</v>
      </c>
      <c r="B11" s="42" t="s">
        <v>63</v>
      </c>
      <c r="C11" s="43">
        <v>45962</v>
      </c>
      <c r="D11" s="27"/>
      <c r="E11" s="26" t="s">
        <v>53</v>
      </c>
      <c r="F11" s="44">
        <v>12</v>
      </c>
      <c r="G11" s="45">
        <v>22</v>
      </c>
      <c r="H11" s="29" t="s">
        <v>57</v>
      </c>
    </row>
    <row r="12" spans="1:8" ht="15.95" customHeight="1" x14ac:dyDescent="0.2">
      <c r="A12" s="26" t="s">
        <v>62</v>
      </c>
      <c r="B12" s="42" t="s">
        <v>63</v>
      </c>
      <c r="C12" s="43">
        <v>45962</v>
      </c>
      <c r="D12" s="27"/>
      <c r="E12" s="26" t="s">
        <v>53</v>
      </c>
      <c r="F12" s="44">
        <v>1</v>
      </c>
      <c r="G12" s="45">
        <v>1</v>
      </c>
      <c r="H12" s="29" t="s">
        <v>51</v>
      </c>
    </row>
    <row r="13" spans="1:8" ht="15.95" customHeight="1" x14ac:dyDescent="0.2">
      <c r="A13" s="26" t="s">
        <v>64</v>
      </c>
      <c r="B13" s="42" t="s">
        <v>49</v>
      </c>
      <c r="C13" s="43">
        <v>45901</v>
      </c>
      <c r="D13" s="46">
        <v>45961</v>
      </c>
      <c r="E13" s="26" t="s">
        <v>65</v>
      </c>
      <c r="F13" s="44">
        <v>2</v>
      </c>
      <c r="G13" s="45">
        <v>-2</v>
      </c>
      <c r="H13" s="29" t="s">
        <v>51</v>
      </c>
    </row>
    <row r="14" spans="1:8" ht="15.95" customHeight="1" x14ac:dyDescent="0.2">
      <c r="A14" s="26" t="s">
        <v>64</v>
      </c>
      <c r="B14" s="42" t="s">
        <v>49</v>
      </c>
      <c r="C14" s="43">
        <v>45901</v>
      </c>
      <c r="D14" s="46">
        <v>45961</v>
      </c>
      <c r="E14" s="26" t="s">
        <v>65</v>
      </c>
      <c r="F14" s="44">
        <v>1</v>
      </c>
      <c r="G14" s="45">
        <v>-1</v>
      </c>
      <c r="H14" s="29" t="s">
        <v>51</v>
      </c>
    </row>
    <row r="15" spans="1:8" ht="15.95" customHeight="1" x14ac:dyDescent="0.2">
      <c r="A15" s="26" t="s">
        <v>66</v>
      </c>
      <c r="B15" s="42" t="s">
        <v>67</v>
      </c>
      <c r="C15" s="43">
        <v>45962</v>
      </c>
      <c r="D15" s="46">
        <v>46022</v>
      </c>
      <c r="E15" s="26" t="s">
        <v>60</v>
      </c>
      <c r="F15" s="44">
        <v>2.5</v>
      </c>
      <c r="G15" s="45">
        <v>0</v>
      </c>
      <c r="H15" s="29" t="s">
        <v>51</v>
      </c>
    </row>
    <row r="16" spans="1:8" ht="15.75" customHeight="1" x14ac:dyDescent="0.2">
      <c r="A16" s="17" t="s">
        <v>66</v>
      </c>
      <c r="B16" s="30" t="s">
        <v>67</v>
      </c>
      <c r="C16" s="47">
        <v>45962</v>
      </c>
      <c r="D16" s="48">
        <v>46022</v>
      </c>
      <c r="E16" s="17" t="s">
        <v>60</v>
      </c>
      <c r="F16" s="49">
        <v>54</v>
      </c>
      <c r="G16" s="50">
        <v>0</v>
      </c>
      <c r="H16" s="34" t="s">
        <v>57</v>
      </c>
    </row>
    <row r="17" spans="1:8" ht="15" customHeight="1" x14ac:dyDescent="0.2">
      <c r="A17" s="35" t="s">
        <v>68</v>
      </c>
      <c r="B17" s="38"/>
      <c r="C17" s="38"/>
      <c r="D17" s="38"/>
      <c r="E17" s="38"/>
      <c r="F17" s="38"/>
      <c r="G17" s="40">
        <v>29.25</v>
      </c>
      <c r="H17" s="38"/>
    </row>
    <row r="18" spans="1:8" ht="10.7" customHeight="1" x14ac:dyDescent="0.2">
      <c r="A18" s="51" t="s">
        <v>69</v>
      </c>
      <c r="B18" s="52"/>
      <c r="C18" s="52"/>
      <c r="D18" s="52"/>
      <c r="E18" s="52"/>
      <c r="F18" s="52"/>
      <c r="G18" s="52"/>
      <c r="H18" s="52"/>
    </row>
    <row r="19" spans="1:8" ht="19.5" customHeight="1" x14ac:dyDescent="0.2">
      <c r="A19" s="16" t="s">
        <v>70</v>
      </c>
      <c r="B19" s="27"/>
      <c r="C19" s="27"/>
      <c r="D19" s="27"/>
      <c r="E19" s="27"/>
      <c r="F19" s="27"/>
      <c r="G19" s="27"/>
      <c r="H19" s="27"/>
    </row>
  </sheetData>
  <mergeCells count="1">
    <mergeCell ref="G1:H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CC52-4376-4E44-BF4C-ADC83A599903}">
  <dimension ref="A1:P9"/>
  <sheetViews>
    <sheetView tabSelected="1" workbookViewId="0">
      <selection activeCell="H9" sqref="H9"/>
    </sheetView>
  </sheetViews>
  <sheetFormatPr defaultRowHeight="12.75" x14ac:dyDescent="0.2"/>
  <cols>
    <col min="1" max="1" width="22" customWidth="1"/>
    <col min="2" max="7" width="22.83203125" customWidth="1"/>
    <col min="8" max="8" width="11.1640625" customWidth="1"/>
    <col min="9" max="9" width="15.33203125" bestFit="1" customWidth="1"/>
    <col min="10" max="11" width="13.5" customWidth="1"/>
    <col min="12" max="12" width="26" customWidth="1"/>
    <col min="13" max="13" width="19.1640625" customWidth="1"/>
    <col min="14" max="14" width="11.1640625" customWidth="1"/>
    <col min="15" max="15" width="8.1640625" customWidth="1"/>
  </cols>
  <sheetData>
    <row r="1" spans="1:16" ht="12.2" customHeight="1" x14ac:dyDescent="0.2">
      <c r="A1" s="60" t="s">
        <v>93</v>
      </c>
      <c r="B1" s="17"/>
      <c r="C1" s="17"/>
      <c r="D1" s="17"/>
      <c r="E1" s="17"/>
      <c r="F1" s="17"/>
      <c r="G1" s="17"/>
      <c r="H1" s="30" t="s">
        <v>42</v>
      </c>
      <c r="I1" s="30"/>
      <c r="J1" s="31" t="s">
        <v>43</v>
      </c>
      <c r="K1" s="17" t="s">
        <v>44</v>
      </c>
      <c r="L1" s="17" t="s">
        <v>45</v>
      </c>
      <c r="M1" s="32" t="s">
        <v>46</v>
      </c>
      <c r="N1" s="33" t="s">
        <v>40</v>
      </c>
      <c r="O1" s="34" t="s">
        <v>47</v>
      </c>
    </row>
    <row r="2" spans="1:16" ht="16.5" customHeight="1" x14ac:dyDescent="0.2">
      <c r="A2" s="35" t="s">
        <v>73</v>
      </c>
      <c r="B2" s="35" t="str">
        <f>CONCATENATE(A2,"OVR")</f>
        <v>9KH6PP7XM54OVR</v>
      </c>
      <c r="C2" s="35" t="s">
        <v>74</v>
      </c>
      <c r="D2" s="35" t="s">
        <v>75</v>
      </c>
      <c r="E2" s="35" t="str">
        <f>CONCATENATE(C2, " ",D2)</f>
        <v>ELDER, SARAJANE</v>
      </c>
      <c r="F2" s="35" t="s">
        <v>76</v>
      </c>
      <c r="G2" s="58">
        <v>45940</v>
      </c>
      <c r="H2" s="61">
        <v>20411454</v>
      </c>
      <c r="I2" s="36" t="s">
        <v>94</v>
      </c>
      <c r="J2" s="37">
        <v>45962</v>
      </c>
      <c r="K2" s="38"/>
      <c r="L2" s="35" t="s">
        <v>50</v>
      </c>
      <c r="M2" s="39">
        <v>2</v>
      </c>
      <c r="N2" s="40">
        <v>2</v>
      </c>
      <c r="O2" s="41" t="s">
        <v>51</v>
      </c>
      <c r="P2" t="s">
        <v>72</v>
      </c>
    </row>
    <row r="3" spans="1:16" ht="15.95" customHeight="1" x14ac:dyDescent="0.2">
      <c r="A3" s="26" t="s">
        <v>77</v>
      </c>
      <c r="B3" s="35" t="str">
        <f t="shared" ref="B3:B8" si="0">CONCATENATE(A3,"OVR")</f>
        <v>7DJ7PR2HJ43OVR</v>
      </c>
      <c r="C3" s="26" t="s">
        <v>78</v>
      </c>
      <c r="D3" s="26" t="s">
        <v>79</v>
      </c>
      <c r="E3" s="35" t="str">
        <f t="shared" ref="E3:E9" si="1">CONCATENATE(C3, " ",D3)</f>
        <v>GOLDEN, MARK</v>
      </c>
      <c r="F3" s="26" t="s">
        <v>76</v>
      </c>
      <c r="G3" s="59">
        <v>45916</v>
      </c>
      <c r="H3" s="61">
        <v>20411454</v>
      </c>
      <c r="I3" s="36" t="s">
        <v>94</v>
      </c>
      <c r="J3" s="43">
        <v>45962</v>
      </c>
      <c r="K3" s="27"/>
      <c r="L3" s="26" t="s">
        <v>53</v>
      </c>
      <c r="M3" s="44">
        <v>1</v>
      </c>
      <c r="N3" s="45">
        <v>1</v>
      </c>
      <c r="O3" s="29" t="s">
        <v>51</v>
      </c>
      <c r="P3" t="s">
        <v>72</v>
      </c>
    </row>
    <row r="4" spans="1:16" ht="15.95" customHeight="1" x14ac:dyDescent="0.2">
      <c r="A4" s="26" t="s">
        <v>80</v>
      </c>
      <c r="B4" s="35" t="str">
        <f t="shared" si="0"/>
        <v>2P32PC1JT86OVR</v>
      </c>
      <c r="C4" s="26" t="s">
        <v>81</v>
      </c>
      <c r="D4" s="26" t="s">
        <v>82</v>
      </c>
      <c r="E4" s="35" t="str">
        <f t="shared" si="1"/>
        <v>KING, CONNIE</v>
      </c>
      <c r="F4" s="26" t="s">
        <v>83</v>
      </c>
      <c r="G4" s="59">
        <v>45904</v>
      </c>
      <c r="H4" s="61">
        <v>20411454</v>
      </c>
      <c r="I4" s="36" t="s">
        <v>94</v>
      </c>
      <c r="J4" s="43">
        <v>45931</v>
      </c>
      <c r="K4" s="46">
        <v>46022</v>
      </c>
      <c r="L4" s="26" t="s">
        <v>60</v>
      </c>
      <c r="M4" s="44">
        <v>2.5</v>
      </c>
      <c r="N4" s="45">
        <v>5.25</v>
      </c>
      <c r="O4" s="29" t="s">
        <v>51</v>
      </c>
      <c r="P4" t="s">
        <v>72</v>
      </c>
    </row>
    <row r="5" spans="1:16" ht="15.95" customHeight="1" x14ac:dyDescent="0.2">
      <c r="A5" s="26" t="s">
        <v>84</v>
      </c>
      <c r="B5" s="35" t="str">
        <f t="shared" si="0"/>
        <v>6V00QH5YJ36OVR</v>
      </c>
      <c r="C5" s="26" t="s">
        <v>85</v>
      </c>
      <c r="D5" s="26" t="s">
        <v>86</v>
      </c>
      <c r="E5" s="35" t="str">
        <f t="shared" si="1"/>
        <v>NADLER, BRIGETTE</v>
      </c>
      <c r="F5" s="26" t="s">
        <v>76</v>
      </c>
      <c r="G5" s="59">
        <v>45915</v>
      </c>
      <c r="H5" s="61">
        <v>20411454</v>
      </c>
      <c r="I5" s="36" t="s">
        <v>94</v>
      </c>
      <c r="J5" s="43">
        <v>45962</v>
      </c>
      <c r="K5" s="27"/>
      <c r="L5" s="26" t="s">
        <v>53</v>
      </c>
      <c r="M5" s="44">
        <v>1</v>
      </c>
      <c r="N5" s="45">
        <v>1</v>
      </c>
      <c r="O5" s="29" t="s">
        <v>51</v>
      </c>
      <c r="P5" t="s">
        <v>72</v>
      </c>
    </row>
    <row r="6" spans="1:16" ht="15.95" customHeight="1" x14ac:dyDescent="0.2">
      <c r="A6" s="26" t="s">
        <v>87</v>
      </c>
      <c r="B6" s="35" t="str">
        <f t="shared" si="0"/>
        <v>9KY3RE1WG92OVR</v>
      </c>
      <c r="C6" s="26" t="s">
        <v>88</v>
      </c>
      <c r="D6" s="26" t="s">
        <v>89</v>
      </c>
      <c r="E6" s="35" t="str">
        <f t="shared" si="1"/>
        <v>SANDS, KAREN</v>
      </c>
      <c r="F6" s="26" t="s">
        <v>83</v>
      </c>
      <c r="G6" s="59">
        <v>45918</v>
      </c>
      <c r="H6" s="61">
        <v>20411454</v>
      </c>
      <c r="I6" s="36" t="s">
        <v>94</v>
      </c>
      <c r="J6" s="43">
        <v>45962</v>
      </c>
      <c r="K6" s="27"/>
      <c r="L6" s="26" t="s">
        <v>53</v>
      </c>
      <c r="M6" s="44">
        <v>1</v>
      </c>
      <c r="N6" s="45">
        <v>1</v>
      </c>
      <c r="O6" s="29" t="s">
        <v>51</v>
      </c>
      <c r="P6" t="s">
        <v>72</v>
      </c>
    </row>
    <row r="7" spans="1:16" ht="15.95" customHeight="1" x14ac:dyDescent="0.2">
      <c r="A7" s="26" t="s">
        <v>90</v>
      </c>
      <c r="B7" s="35" t="str">
        <f t="shared" si="0"/>
        <v>4FC2CM5CQ01OVR</v>
      </c>
      <c r="C7" s="26" t="s">
        <v>91</v>
      </c>
      <c r="D7" s="26" t="s">
        <v>92</v>
      </c>
      <c r="E7" s="35" t="str">
        <f t="shared" si="1"/>
        <v>SCOTT, LARRY</v>
      </c>
      <c r="F7" s="26" t="s">
        <v>76</v>
      </c>
      <c r="G7" s="59">
        <v>45877</v>
      </c>
      <c r="H7" s="61">
        <v>20411454</v>
      </c>
      <c r="I7" s="36" t="s">
        <v>94</v>
      </c>
      <c r="J7" s="43">
        <v>45901</v>
      </c>
      <c r="K7" s="46">
        <v>45961</v>
      </c>
      <c r="L7" s="26" t="s">
        <v>65</v>
      </c>
      <c r="M7" s="44">
        <v>2</v>
      </c>
      <c r="N7" s="45">
        <v>-2</v>
      </c>
      <c r="O7" s="29" t="s">
        <v>51</v>
      </c>
      <c r="P7" t="s">
        <v>72</v>
      </c>
    </row>
    <row r="8" spans="1:16" ht="15.95" customHeight="1" x14ac:dyDescent="0.2">
      <c r="A8" s="26" t="s">
        <v>90</v>
      </c>
      <c r="B8" s="35" t="str">
        <f t="shared" si="0"/>
        <v>4FC2CM5CQ01OVR</v>
      </c>
      <c r="C8" s="26" t="s">
        <v>91</v>
      </c>
      <c r="D8" s="26" t="s">
        <v>92</v>
      </c>
      <c r="E8" s="35" t="str">
        <f t="shared" si="1"/>
        <v>SCOTT, LARRY</v>
      </c>
      <c r="F8" s="26" t="s">
        <v>76</v>
      </c>
      <c r="G8" s="59">
        <v>45877</v>
      </c>
      <c r="H8" s="61">
        <v>20411454</v>
      </c>
      <c r="I8" s="36" t="s">
        <v>94</v>
      </c>
      <c r="J8" s="43">
        <v>45901</v>
      </c>
      <c r="K8" s="46">
        <v>45961</v>
      </c>
      <c r="L8" s="26" t="s">
        <v>65</v>
      </c>
      <c r="M8" s="44">
        <v>1</v>
      </c>
      <c r="N8" s="45">
        <v>-1</v>
      </c>
      <c r="O8" s="29" t="s">
        <v>51</v>
      </c>
      <c r="P8" t="s">
        <v>72</v>
      </c>
    </row>
    <row r="9" spans="1:16" ht="15.95" customHeight="1" x14ac:dyDescent="0.2">
      <c r="A9" s="26" t="s">
        <v>87</v>
      </c>
      <c r="B9" s="26" t="str">
        <f>CONCATENATE(A9,0)</f>
        <v>9KY3RE1WG920</v>
      </c>
      <c r="C9" s="26" t="s">
        <v>88</v>
      </c>
      <c r="D9" s="26" t="s">
        <v>89</v>
      </c>
      <c r="E9" s="35" t="str">
        <f t="shared" si="1"/>
        <v>SANDS, KAREN</v>
      </c>
      <c r="F9" s="26" t="s">
        <v>83</v>
      </c>
      <c r="G9" s="59">
        <v>45918</v>
      </c>
      <c r="H9" s="42">
        <v>17554531</v>
      </c>
      <c r="I9" s="42" t="s">
        <v>95</v>
      </c>
      <c r="J9" s="43">
        <v>45962</v>
      </c>
      <c r="K9" s="27"/>
      <c r="L9" s="26" t="s">
        <v>53</v>
      </c>
      <c r="M9" s="44">
        <v>12</v>
      </c>
      <c r="N9" s="45">
        <v>22</v>
      </c>
      <c r="O9" s="29" t="s">
        <v>57</v>
      </c>
      <c r="P9" t="s">
        <v>71</v>
      </c>
    </row>
  </sheetData>
  <sortState xmlns:xlrd2="http://schemas.microsoft.com/office/spreadsheetml/2017/richdata2" ref="A2:O9">
    <sortCondition ref="O2:O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Loula Irene Cabel</cp:lastModifiedBy>
  <dcterms:created xsi:type="dcterms:W3CDTF">2025-11-04T13:25:15Z</dcterms:created>
  <dcterms:modified xsi:type="dcterms:W3CDTF">2025-11-04T21:17:00Z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2025-11-04T00:00:00Z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2025-11-04T00:00:00Z</vt:filetime>
  </property>
</Properties>
</file>