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pdp\9-20-25\"/>
    </mc:Choice>
  </mc:AlternateContent>
  <xr:revisionPtr revIDLastSave="0" documentId="13_ncr:1_{E51433DB-8BAC-43B9-8002-6545C1ADD69A}" xr6:coauthVersionLast="47" xr6:coauthVersionMax="47" xr10:uidLastSave="{00000000-0000-0000-0000-000000000000}"/>
  <bookViews>
    <workbookView xWindow="28680" yWindow="-120" windowWidth="29040" windowHeight="16440" activeTab="1" xr2:uid="{C3F729D2-FC30-432E-8BAF-79B0316AEC9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P5" i="2"/>
  <c r="P4" i="2"/>
  <c r="P3" i="2"/>
  <c r="P2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I23" i="2"/>
  <c r="I23" i="1"/>
</calcChain>
</file>

<file path=xl/sharedStrings.xml><?xml version="1.0" encoding="utf-8"?>
<sst xmlns="http://schemas.openxmlformats.org/spreadsheetml/2006/main" count="341" uniqueCount="91">
  <si>
    <t>PROD_DT</t>
  </si>
  <si>
    <t>AMI</t>
  </si>
  <si>
    <t>MDCR_BENFY_ID</t>
  </si>
  <si>
    <t>MBR_FRST_NM</t>
  </si>
  <si>
    <t>MBR_LAST_NM</t>
  </si>
  <si>
    <t>MBR_SRC_CD</t>
  </si>
  <si>
    <t>WRITING AGENT</t>
  </si>
  <si>
    <t>COMM_TY</t>
  </si>
  <si>
    <t>COMM_AMT</t>
  </si>
  <si>
    <t>COMM_RT</t>
  </si>
  <si>
    <t>COMM_RELS_DT</t>
  </si>
  <si>
    <t>8YU0HX9MW31</t>
  </si>
  <si>
    <t xml:space="preserve">KAREN          </t>
  </si>
  <si>
    <t xml:space="preserve">JONES               </t>
  </si>
  <si>
    <t>E</t>
  </si>
  <si>
    <t/>
  </si>
  <si>
    <t>HP1T</t>
  </si>
  <si>
    <t>3J80H80MH33</t>
  </si>
  <si>
    <t xml:space="preserve">GARY           </t>
  </si>
  <si>
    <t xml:space="preserve">BENN                </t>
  </si>
  <si>
    <t>3HH2MQ8JT19</t>
  </si>
  <si>
    <t xml:space="preserve">CHARLES        </t>
  </si>
  <si>
    <t xml:space="preserve">HOBBS JR            </t>
  </si>
  <si>
    <t>30270748</t>
  </si>
  <si>
    <t xml:space="preserve">N1T </t>
  </si>
  <si>
    <t>7W89X02TH43</t>
  </si>
  <si>
    <t xml:space="preserve">ROBERT         </t>
  </si>
  <si>
    <t xml:space="preserve">HITZ                </t>
  </si>
  <si>
    <t>4FC2CM5CQ01</t>
  </si>
  <si>
    <t xml:space="preserve">LARRY          </t>
  </si>
  <si>
    <t xml:space="preserve">SCOTT               </t>
  </si>
  <si>
    <t>2PR8GM0VT36</t>
  </si>
  <si>
    <t xml:space="preserve">SARAH          </t>
  </si>
  <si>
    <t>5R53WV4PN84</t>
  </si>
  <si>
    <t xml:space="preserve">COURTNEY       </t>
  </si>
  <si>
    <t xml:space="preserve">FREY                </t>
  </si>
  <si>
    <t>1DK6DH8VP50</t>
  </si>
  <si>
    <t xml:space="preserve">ZAIKO               </t>
  </si>
  <si>
    <t>2W44KD7AU78</t>
  </si>
  <si>
    <t xml:space="preserve">PEGGY          </t>
  </si>
  <si>
    <t xml:space="preserve">BELLES              </t>
  </si>
  <si>
    <t>8YJ9H55CD10</t>
  </si>
  <si>
    <t xml:space="preserve">ROBIN          </t>
  </si>
  <si>
    <t xml:space="preserve">SIGMON              </t>
  </si>
  <si>
    <t>1WC2P97FK80</t>
  </si>
  <si>
    <t xml:space="preserve">PAUL           </t>
  </si>
  <si>
    <t xml:space="preserve">ERKENS              </t>
  </si>
  <si>
    <t>2KQ9GH8WP12</t>
  </si>
  <si>
    <t xml:space="preserve">MICHELLE       </t>
  </si>
  <si>
    <t xml:space="preserve">MULBAUER            </t>
  </si>
  <si>
    <t>5RD0RQ1EG36</t>
  </si>
  <si>
    <t xml:space="preserve">DEWAINE        </t>
  </si>
  <si>
    <t xml:space="preserve">GILLOTT             </t>
  </si>
  <si>
    <t>6CC7FY7YF44</t>
  </si>
  <si>
    <t xml:space="preserve">BONNI          </t>
  </si>
  <si>
    <t xml:space="preserve">STEPHENSON          </t>
  </si>
  <si>
    <t>2P32PC1JT86</t>
  </si>
  <si>
    <t xml:space="preserve">CONNIE         </t>
  </si>
  <si>
    <t xml:space="preserve">KING                </t>
  </si>
  <si>
    <t>D</t>
  </si>
  <si>
    <t xml:space="preserve">HP1 </t>
  </si>
  <si>
    <t>6V00QH5YJ36</t>
  </si>
  <si>
    <t xml:space="preserve">BRIGETTE       </t>
  </si>
  <si>
    <t xml:space="preserve">NADLER              </t>
  </si>
  <si>
    <t>7DJ7PR2HJ43</t>
  </si>
  <si>
    <t xml:space="preserve">MARK           </t>
  </si>
  <si>
    <t xml:space="preserve">GOLDEN              </t>
  </si>
  <si>
    <t>Adam Richter</t>
  </si>
  <si>
    <t>Main Line Benefits</t>
  </si>
  <si>
    <t>Cigna PDP</t>
  </si>
  <si>
    <t>Cigna MAPD 2025 Ovr</t>
  </si>
  <si>
    <t>3HH2MQ8JT190</t>
  </si>
  <si>
    <t>7W89X02TH430</t>
  </si>
  <si>
    <t>8YJ9H55CD100</t>
  </si>
  <si>
    <t>6CC7FY7YF440</t>
  </si>
  <si>
    <t>CHARLES</t>
  </si>
  <si>
    <t>ROBIN</t>
  </si>
  <si>
    <t>BONNI</t>
  </si>
  <si>
    <t>KAREN</t>
  </si>
  <si>
    <t>LARRY</t>
  </si>
  <si>
    <t>SARAH</t>
  </si>
  <si>
    <t>PEGGY</t>
  </si>
  <si>
    <t>ROBERT</t>
  </si>
  <si>
    <t>GARY</t>
  </si>
  <si>
    <t xml:space="preserve">COURTNEY </t>
  </si>
  <si>
    <t>PAUL</t>
  </si>
  <si>
    <t>MICHELLE</t>
  </si>
  <si>
    <t>DEWAINE</t>
  </si>
  <si>
    <t>CONNIE</t>
  </si>
  <si>
    <t>BRIGETTE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</si>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</sst>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" fontId="1" fillId="3" borderId="0" xfId="0" applyNumberFormat="1" applyFont="1" applyFill="1"/>
    <xf numFmtId="14" fontId="0" fillId="3" borderId="0" xfId="0" applyNumberFormat="1" applyFill="1"/>
    <xf numFmtId="0" fontId="0" fillId="3" borderId="0" xfId="0" applyFill="1"/>
    <xf numFmtId="49" fontId="0" fillId="3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494C-4EE5-4A3C-A26B-C60304DF2AC9}">
  <dimension ref="A1:K23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12" bestFit="1" customWidth="1"/>
    <col min="3" max="3" width="14.85546875" bestFit="1" customWidth="1"/>
    <col min="4" max="4" width="13.28515625" bestFit="1" customWidth="1"/>
    <col min="5" max="5" width="15.7109375" bestFit="1" customWidth="1"/>
    <col min="6" max="6" width="12.140625" bestFit="1" customWidth="1"/>
    <col min="7" max="7" width="14.5703125" bestFit="1" customWidth="1"/>
    <col min="8" max="8" width="9.140625" bestFit="1" customWidth="1"/>
    <col min="9" max="9" width="10.7109375" bestFit="1" customWidth="1"/>
    <col min="10" max="10" width="9.28515625" bestFit="1" customWidth="1"/>
    <col min="11" max="11" width="14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45877</v>
      </c>
      <c r="B2">
        <v>20355518001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1</v>
      </c>
      <c r="J2" s="4">
        <v>1</v>
      </c>
      <c r="K2" s="2">
        <v>45920</v>
      </c>
    </row>
    <row r="3" spans="1:11" x14ac:dyDescent="0.25">
      <c r="A3" s="2">
        <v>45877</v>
      </c>
      <c r="B3">
        <v>20362943101</v>
      </c>
      <c r="C3" s="3" t="s">
        <v>17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4">
        <v>1</v>
      </c>
      <c r="J3" s="4">
        <v>1</v>
      </c>
      <c r="K3" s="2">
        <v>45920</v>
      </c>
    </row>
    <row r="4" spans="1:11" x14ac:dyDescent="0.25">
      <c r="A4" s="2">
        <v>45884</v>
      </c>
      <c r="B4">
        <v>20364851401</v>
      </c>
      <c r="C4" s="3" t="s">
        <v>20</v>
      </c>
      <c r="D4" s="3" t="s">
        <v>21</v>
      </c>
      <c r="E4" s="3" t="s">
        <v>22</v>
      </c>
      <c r="F4" s="3" t="s">
        <v>14</v>
      </c>
      <c r="G4" s="3" t="s">
        <v>23</v>
      </c>
      <c r="H4" s="3" t="s">
        <v>16</v>
      </c>
      <c r="I4" s="4">
        <v>1</v>
      </c>
      <c r="J4" s="4">
        <v>1</v>
      </c>
      <c r="K4" s="2">
        <v>45920</v>
      </c>
    </row>
    <row r="5" spans="1:11" x14ac:dyDescent="0.25">
      <c r="A5" s="2">
        <v>45884</v>
      </c>
      <c r="B5">
        <v>20364851401</v>
      </c>
      <c r="C5" s="3" t="s">
        <v>20</v>
      </c>
      <c r="D5" s="3" t="s">
        <v>21</v>
      </c>
      <c r="E5" s="3" t="s">
        <v>22</v>
      </c>
      <c r="F5" s="3" t="s">
        <v>14</v>
      </c>
      <c r="G5" s="3" t="s">
        <v>23</v>
      </c>
      <c r="H5" s="3" t="s">
        <v>24</v>
      </c>
      <c r="I5" s="4">
        <v>20</v>
      </c>
      <c r="J5" s="4">
        <v>12</v>
      </c>
      <c r="K5" s="2">
        <v>45920</v>
      </c>
    </row>
    <row r="6" spans="1:11" x14ac:dyDescent="0.25">
      <c r="A6" s="2">
        <v>45884</v>
      </c>
      <c r="B6">
        <v>20366093101</v>
      </c>
      <c r="C6" s="3" t="s">
        <v>25</v>
      </c>
      <c r="D6" s="3" t="s">
        <v>26</v>
      </c>
      <c r="E6" s="3" t="s">
        <v>27</v>
      </c>
      <c r="F6" s="3" t="s">
        <v>14</v>
      </c>
      <c r="G6" s="3" t="s">
        <v>23</v>
      </c>
      <c r="H6" s="3" t="s">
        <v>16</v>
      </c>
      <c r="I6" s="4">
        <v>1</v>
      </c>
      <c r="J6" s="4">
        <v>1</v>
      </c>
      <c r="K6" s="2">
        <v>45920</v>
      </c>
    </row>
    <row r="7" spans="1:11" x14ac:dyDescent="0.25">
      <c r="A7" s="2">
        <v>45884</v>
      </c>
      <c r="B7">
        <v>20366093101</v>
      </c>
      <c r="C7" s="3" t="s">
        <v>25</v>
      </c>
      <c r="D7" s="3" t="s">
        <v>26</v>
      </c>
      <c r="E7" s="3" t="s">
        <v>27</v>
      </c>
      <c r="F7" s="3" t="s">
        <v>14</v>
      </c>
      <c r="G7" s="3" t="s">
        <v>23</v>
      </c>
      <c r="H7" s="3" t="s">
        <v>24</v>
      </c>
      <c r="I7" s="4">
        <v>20</v>
      </c>
      <c r="J7" s="4">
        <v>12</v>
      </c>
      <c r="K7" s="2">
        <v>45920</v>
      </c>
    </row>
    <row r="8" spans="1:11" x14ac:dyDescent="0.25">
      <c r="A8" s="2">
        <v>45884</v>
      </c>
      <c r="B8">
        <v>20366238201</v>
      </c>
      <c r="C8" s="3" t="s">
        <v>28</v>
      </c>
      <c r="D8" s="3" t="s">
        <v>29</v>
      </c>
      <c r="E8" s="3" t="s">
        <v>30</v>
      </c>
      <c r="F8" s="3" t="s">
        <v>14</v>
      </c>
      <c r="G8" s="3" t="s">
        <v>15</v>
      </c>
      <c r="H8" s="3" t="s">
        <v>16</v>
      </c>
      <c r="I8" s="4">
        <v>1</v>
      </c>
      <c r="J8" s="4">
        <v>1</v>
      </c>
      <c r="K8" s="2">
        <v>45920</v>
      </c>
    </row>
    <row r="9" spans="1:11" x14ac:dyDescent="0.25">
      <c r="A9" s="2">
        <v>45884</v>
      </c>
      <c r="B9">
        <v>20366275401</v>
      </c>
      <c r="C9" s="3" t="s">
        <v>31</v>
      </c>
      <c r="D9" s="3" t="s">
        <v>32</v>
      </c>
      <c r="E9" s="3" t="s">
        <v>30</v>
      </c>
      <c r="F9" s="3" t="s">
        <v>14</v>
      </c>
      <c r="G9" s="3" t="s">
        <v>15</v>
      </c>
      <c r="H9" s="3" t="s">
        <v>16</v>
      </c>
      <c r="I9" s="4">
        <v>1</v>
      </c>
      <c r="J9" s="4">
        <v>1</v>
      </c>
      <c r="K9" s="2">
        <v>45920</v>
      </c>
    </row>
    <row r="10" spans="1:11" x14ac:dyDescent="0.25">
      <c r="A10" s="2">
        <v>45884</v>
      </c>
      <c r="B10">
        <v>20367398301</v>
      </c>
      <c r="C10" s="3" t="s">
        <v>33</v>
      </c>
      <c r="D10" s="3" t="s">
        <v>34</v>
      </c>
      <c r="E10" s="3" t="s">
        <v>35</v>
      </c>
      <c r="F10" s="3" t="s">
        <v>14</v>
      </c>
      <c r="G10" s="3" t="s">
        <v>15</v>
      </c>
      <c r="H10" s="3" t="s">
        <v>16</v>
      </c>
      <c r="I10" s="4">
        <v>1</v>
      </c>
      <c r="J10" s="4">
        <v>1</v>
      </c>
      <c r="K10" s="2">
        <v>45920</v>
      </c>
    </row>
    <row r="11" spans="1:11" x14ac:dyDescent="0.25">
      <c r="A11" s="2">
        <v>45891</v>
      </c>
      <c r="B11">
        <v>20369599401</v>
      </c>
      <c r="C11" s="3" t="s">
        <v>36</v>
      </c>
      <c r="D11" s="3" t="s">
        <v>12</v>
      </c>
      <c r="E11" s="3" t="s">
        <v>37</v>
      </c>
      <c r="F11" s="3" t="s">
        <v>14</v>
      </c>
      <c r="G11" s="3" t="s">
        <v>15</v>
      </c>
      <c r="H11" s="3" t="s">
        <v>16</v>
      </c>
      <c r="I11" s="4">
        <v>1</v>
      </c>
      <c r="J11" s="4">
        <v>1</v>
      </c>
      <c r="K11" s="2">
        <v>45920</v>
      </c>
    </row>
    <row r="12" spans="1:11" x14ac:dyDescent="0.25">
      <c r="A12" s="2">
        <v>45891</v>
      </c>
      <c r="B12">
        <v>20374624301</v>
      </c>
      <c r="C12" s="3" t="s">
        <v>38</v>
      </c>
      <c r="D12" s="3" t="s">
        <v>39</v>
      </c>
      <c r="E12" s="3" t="s">
        <v>40</v>
      </c>
      <c r="F12" s="3" t="s">
        <v>14</v>
      </c>
      <c r="G12" s="3" t="s">
        <v>15</v>
      </c>
      <c r="H12" s="3" t="s">
        <v>16</v>
      </c>
      <c r="I12" s="4">
        <v>1</v>
      </c>
      <c r="J12" s="4">
        <v>1</v>
      </c>
      <c r="K12" s="2">
        <v>45920</v>
      </c>
    </row>
    <row r="13" spans="1:11" x14ac:dyDescent="0.25">
      <c r="A13" s="2">
        <v>45898</v>
      </c>
      <c r="B13">
        <v>20376412101</v>
      </c>
      <c r="C13" s="3" t="s">
        <v>41</v>
      </c>
      <c r="D13" s="3" t="s">
        <v>42</v>
      </c>
      <c r="E13" s="3" t="s">
        <v>43</v>
      </c>
      <c r="F13" s="3" t="s">
        <v>14</v>
      </c>
      <c r="G13" s="3" t="s">
        <v>23</v>
      </c>
      <c r="H13" s="3" t="s">
        <v>16</v>
      </c>
      <c r="I13" s="4">
        <v>1</v>
      </c>
      <c r="J13" s="4">
        <v>1</v>
      </c>
      <c r="K13" s="2">
        <v>45920</v>
      </c>
    </row>
    <row r="14" spans="1:11" x14ac:dyDescent="0.25">
      <c r="A14" s="2">
        <v>45898</v>
      </c>
      <c r="B14">
        <v>20376412101</v>
      </c>
      <c r="C14" s="3" t="s">
        <v>41</v>
      </c>
      <c r="D14" s="3" t="s">
        <v>42</v>
      </c>
      <c r="E14" s="3" t="s">
        <v>43</v>
      </c>
      <c r="F14" s="3" t="s">
        <v>14</v>
      </c>
      <c r="G14" s="3" t="s">
        <v>23</v>
      </c>
      <c r="H14" s="3" t="s">
        <v>24</v>
      </c>
      <c r="I14" s="4">
        <v>20</v>
      </c>
      <c r="J14" s="4">
        <v>12</v>
      </c>
      <c r="K14" s="2">
        <v>45920</v>
      </c>
    </row>
    <row r="15" spans="1:11" x14ac:dyDescent="0.25">
      <c r="A15" s="2">
        <v>45898</v>
      </c>
      <c r="B15">
        <v>20381474401</v>
      </c>
      <c r="C15" s="3" t="s">
        <v>44</v>
      </c>
      <c r="D15" s="3" t="s">
        <v>45</v>
      </c>
      <c r="E15" s="3" t="s">
        <v>46</v>
      </c>
      <c r="F15" s="3" t="s">
        <v>14</v>
      </c>
      <c r="G15" s="3" t="s">
        <v>15</v>
      </c>
      <c r="H15" s="3" t="s">
        <v>16</v>
      </c>
      <c r="I15" s="4">
        <v>1</v>
      </c>
      <c r="J15" s="4">
        <v>1</v>
      </c>
      <c r="K15" s="2">
        <v>45920</v>
      </c>
    </row>
    <row r="16" spans="1:11" x14ac:dyDescent="0.25">
      <c r="A16" s="2">
        <v>45898</v>
      </c>
      <c r="B16">
        <v>20381577401</v>
      </c>
      <c r="C16" s="3" t="s">
        <v>47</v>
      </c>
      <c r="D16" s="3" t="s">
        <v>48</v>
      </c>
      <c r="E16" s="3" t="s">
        <v>49</v>
      </c>
      <c r="F16" s="3" t="s">
        <v>14</v>
      </c>
      <c r="G16" s="3" t="s">
        <v>15</v>
      </c>
      <c r="H16" s="3" t="s">
        <v>16</v>
      </c>
      <c r="I16" s="4">
        <v>1</v>
      </c>
      <c r="J16" s="4">
        <v>1</v>
      </c>
      <c r="K16" s="2">
        <v>45920</v>
      </c>
    </row>
    <row r="17" spans="1:11" x14ac:dyDescent="0.25">
      <c r="A17" s="2">
        <v>45898</v>
      </c>
      <c r="B17">
        <v>20382998101</v>
      </c>
      <c r="C17" s="3" t="s">
        <v>50</v>
      </c>
      <c r="D17" s="3" t="s">
        <v>51</v>
      </c>
      <c r="E17" s="3" t="s">
        <v>52</v>
      </c>
      <c r="F17" s="3" t="s">
        <v>14</v>
      </c>
      <c r="G17" s="3" t="s">
        <v>15</v>
      </c>
      <c r="H17" s="3" t="s">
        <v>16</v>
      </c>
      <c r="I17" s="4">
        <v>1</v>
      </c>
      <c r="J17" s="4">
        <v>1</v>
      </c>
      <c r="K17" s="2">
        <v>45920</v>
      </c>
    </row>
    <row r="18" spans="1:11" x14ac:dyDescent="0.25">
      <c r="A18" s="2">
        <v>45905</v>
      </c>
      <c r="B18">
        <v>20383917001</v>
      </c>
      <c r="C18" s="3" t="s">
        <v>53</v>
      </c>
      <c r="D18" s="3" t="s">
        <v>54</v>
      </c>
      <c r="E18" s="3" t="s">
        <v>55</v>
      </c>
      <c r="F18" s="3" t="s">
        <v>14</v>
      </c>
      <c r="G18" s="3" t="s">
        <v>23</v>
      </c>
      <c r="H18" s="3" t="s">
        <v>16</v>
      </c>
      <c r="I18" s="4">
        <v>1</v>
      </c>
      <c r="J18" s="4">
        <v>1</v>
      </c>
      <c r="K18" s="2">
        <v>45920</v>
      </c>
    </row>
    <row r="19" spans="1:11" x14ac:dyDescent="0.25">
      <c r="A19" s="2">
        <v>45905</v>
      </c>
      <c r="B19">
        <v>20383917001</v>
      </c>
      <c r="C19" s="3" t="s">
        <v>53</v>
      </c>
      <c r="D19" s="3" t="s">
        <v>54</v>
      </c>
      <c r="E19" s="3" t="s">
        <v>55</v>
      </c>
      <c r="F19" s="3" t="s">
        <v>14</v>
      </c>
      <c r="G19" s="3" t="s">
        <v>23</v>
      </c>
      <c r="H19" s="3" t="s">
        <v>24</v>
      </c>
      <c r="I19" s="4">
        <v>21</v>
      </c>
      <c r="J19" s="4">
        <v>12</v>
      </c>
      <c r="K19" s="2">
        <v>45920</v>
      </c>
    </row>
    <row r="20" spans="1:11" x14ac:dyDescent="0.25">
      <c r="A20" s="2">
        <v>45912</v>
      </c>
      <c r="B20">
        <v>20394838501</v>
      </c>
      <c r="C20" s="3" t="s">
        <v>56</v>
      </c>
      <c r="D20" s="3" t="s">
        <v>57</v>
      </c>
      <c r="E20" s="3" t="s">
        <v>58</v>
      </c>
      <c r="F20" s="3" t="s">
        <v>59</v>
      </c>
      <c r="G20" s="3" t="s">
        <v>15</v>
      </c>
      <c r="H20" s="3" t="s">
        <v>60</v>
      </c>
      <c r="I20" s="4">
        <v>3</v>
      </c>
      <c r="J20" s="4">
        <v>3</v>
      </c>
      <c r="K20" s="2">
        <v>45920</v>
      </c>
    </row>
    <row r="21" spans="1:11" x14ac:dyDescent="0.25">
      <c r="A21" s="2">
        <v>45919</v>
      </c>
      <c r="B21">
        <v>20401793301</v>
      </c>
      <c r="C21" s="3" t="s">
        <v>61</v>
      </c>
      <c r="D21" s="3" t="s">
        <v>62</v>
      </c>
      <c r="E21" s="3" t="s">
        <v>63</v>
      </c>
      <c r="F21" s="3" t="s">
        <v>14</v>
      </c>
      <c r="G21" s="3" t="s">
        <v>15</v>
      </c>
      <c r="H21" s="3" t="s">
        <v>60</v>
      </c>
      <c r="I21" s="4">
        <v>2</v>
      </c>
      <c r="J21" s="4">
        <v>2</v>
      </c>
      <c r="K21" s="2">
        <v>45920</v>
      </c>
    </row>
    <row r="22" spans="1:11" x14ac:dyDescent="0.25">
      <c r="A22" s="2">
        <v>45919</v>
      </c>
      <c r="B22">
        <v>20403119901</v>
      </c>
      <c r="C22" s="3" t="s">
        <v>64</v>
      </c>
      <c r="D22" s="3" t="s">
        <v>65</v>
      </c>
      <c r="E22" s="3" t="s">
        <v>66</v>
      </c>
      <c r="F22" s="3" t="s">
        <v>14</v>
      </c>
      <c r="G22" s="3" t="s">
        <v>15</v>
      </c>
      <c r="H22" s="3" t="s">
        <v>60</v>
      </c>
      <c r="I22" s="4">
        <v>2</v>
      </c>
      <c r="J22" s="4">
        <v>2</v>
      </c>
      <c r="K22" s="2">
        <v>45920</v>
      </c>
    </row>
    <row r="23" spans="1:11" x14ac:dyDescent="0.25">
      <c r="I23" s="5">
        <f>SUM(I2:I22)</f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9B2B-40BA-4ECA-8111-9CC6101F9473}">
  <dimension ref="A1:S23"/>
  <sheetViews>
    <sheetView tabSelected="1" topLeftCell="B1" workbookViewId="0">
      <selection activeCell="I2" sqref="I2:I22"/>
    </sheetView>
  </sheetViews>
  <sheetFormatPr defaultRowHeight="15" x14ac:dyDescent="0.25"/>
  <cols>
    <col min="1" max="1" width="9.28515625" bestFit="1" customWidth="1"/>
    <col min="2" max="2" width="12" bestFit="1" customWidth="1"/>
    <col min="3" max="3" width="14.85546875" bestFit="1" customWidth="1"/>
    <col min="4" max="4" width="13.28515625" bestFit="1" customWidth="1"/>
    <col min="5" max="5" width="15.7109375" bestFit="1" customWidth="1"/>
    <col min="6" max="6" width="12.140625" bestFit="1" customWidth="1"/>
    <col min="7" max="7" width="14.5703125" bestFit="1" customWidth="1"/>
    <col min="9" max="9" width="10.7109375" bestFit="1" customWidth="1"/>
    <col min="10" max="10" width="9.28515625" bestFit="1" customWidth="1"/>
    <col min="11" max="11" width="14.28515625" bestFit="1" customWidth="1"/>
    <col min="13" max="13" width="17" bestFit="1" customWidth="1"/>
    <col min="14" max="14" width="10" bestFit="1" customWidth="1"/>
    <col min="15" max="15" width="14.140625" bestFit="1" customWidth="1"/>
    <col min="16" max="16" width="15.140625" bestFit="1" customWidth="1"/>
    <col min="17" max="17" width="18" bestFit="1" customWidth="1"/>
    <col min="18" max="18" width="24.7109375" bestFit="1" customWidth="1"/>
    <col min="19" max="19" width="9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9" x14ac:dyDescent="0.25">
      <c r="A2" s="6">
        <v>45884</v>
      </c>
      <c r="B2" s="7">
        <v>20364851401</v>
      </c>
      <c r="C2" s="8" t="s">
        <v>20</v>
      </c>
      <c r="D2" s="8" t="s">
        <v>75</v>
      </c>
      <c r="E2" s="8" t="s">
        <v>22</v>
      </c>
      <c r="F2" s="8" t="s">
        <v>14</v>
      </c>
      <c r="G2" s="8" t="s">
        <v>23</v>
      </c>
      <c r="H2" s="8" t="s">
        <v>24</v>
      </c>
      <c r="I2" s="9">
        <v>20</v>
      </c>
      <c r="J2" s="9">
        <v>12</v>
      </c>
      <c r="K2" s="6">
        <v>45920</v>
      </c>
      <c r="L2" s="7">
        <v>9079571</v>
      </c>
      <c r="M2" s="7" t="s">
        <v>67</v>
      </c>
      <c r="N2" s="7" t="s">
        <v>69</v>
      </c>
      <c r="O2" s="8" t="s">
        <v>20</v>
      </c>
      <c r="P2" s="7" t="str">
        <f>CONCATENATE(O2,0)</f>
        <v>3HH2MQ8JT190</v>
      </c>
      <c r="Q2" s="7" t="s">
        <v>71</v>
      </c>
      <c r="R2" s="7" t="str">
        <f>CONCATENATE(D2, " ",E2)</f>
        <v xml:space="preserve">CHARLES HOBBS JR            </v>
      </c>
      <c r="S2" s="2">
        <v>45901</v>
      </c>
    </row>
    <row r="3" spans="1:19" x14ac:dyDescent="0.25">
      <c r="A3" s="6">
        <v>45884</v>
      </c>
      <c r="B3" s="7">
        <v>20366093101</v>
      </c>
      <c r="C3" s="8" t="s">
        <v>25</v>
      </c>
      <c r="D3" s="8" t="s">
        <v>82</v>
      </c>
      <c r="E3" s="8" t="s">
        <v>27</v>
      </c>
      <c r="F3" s="8" t="s">
        <v>14</v>
      </c>
      <c r="G3" s="8" t="s">
        <v>23</v>
      </c>
      <c r="H3" s="8" t="s">
        <v>24</v>
      </c>
      <c r="I3" s="9">
        <v>20</v>
      </c>
      <c r="J3" s="9">
        <v>12</v>
      </c>
      <c r="K3" s="6">
        <v>45920</v>
      </c>
      <c r="L3" s="7">
        <v>9079571</v>
      </c>
      <c r="M3" s="7" t="s">
        <v>67</v>
      </c>
      <c r="N3" s="7" t="s">
        <v>69</v>
      </c>
      <c r="O3" s="8" t="s">
        <v>25</v>
      </c>
      <c r="P3" s="7" t="str">
        <f>CONCATENATE(O3,0)</f>
        <v>7W89X02TH430</v>
      </c>
      <c r="Q3" s="7" t="s">
        <v>72</v>
      </c>
      <c r="R3" s="7" t="str">
        <f t="shared" ref="R3:R22" si="0">CONCATENATE(D3, " ",E3)</f>
        <v xml:space="preserve">ROBERT HITZ                </v>
      </c>
      <c r="S3" s="2">
        <v>45901</v>
      </c>
    </row>
    <row r="4" spans="1:19" x14ac:dyDescent="0.25">
      <c r="A4" s="6">
        <v>45898</v>
      </c>
      <c r="B4" s="7">
        <v>20376412101</v>
      </c>
      <c r="C4" s="8" t="s">
        <v>41</v>
      </c>
      <c r="D4" s="8" t="s">
        <v>76</v>
      </c>
      <c r="E4" s="8" t="s">
        <v>43</v>
      </c>
      <c r="F4" s="8" t="s">
        <v>14</v>
      </c>
      <c r="G4" s="8" t="s">
        <v>23</v>
      </c>
      <c r="H4" s="8" t="s">
        <v>24</v>
      </c>
      <c r="I4" s="9">
        <v>20</v>
      </c>
      <c r="J4" s="9">
        <v>12</v>
      </c>
      <c r="K4" s="6">
        <v>45920</v>
      </c>
      <c r="L4" s="7">
        <v>9079571</v>
      </c>
      <c r="M4" s="7" t="s">
        <v>67</v>
      </c>
      <c r="N4" s="7" t="s">
        <v>69</v>
      </c>
      <c r="O4" s="8" t="s">
        <v>41</v>
      </c>
      <c r="P4" s="7" t="str">
        <f>CONCATENATE(O4,0)</f>
        <v>8YJ9H55CD100</v>
      </c>
      <c r="Q4" s="7" t="s">
        <v>73</v>
      </c>
      <c r="R4" s="7" t="str">
        <f t="shared" si="0"/>
        <v xml:space="preserve">ROBIN SIGMON              </v>
      </c>
      <c r="S4" s="2">
        <v>45901</v>
      </c>
    </row>
    <row r="5" spans="1:19" s="7" customFormat="1" x14ac:dyDescent="0.25">
      <c r="A5" s="6">
        <v>45905</v>
      </c>
      <c r="B5" s="7">
        <v>20383917001</v>
      </c>
      <c r="C5" s="8" t="s">
        <v>53</v>
      </c>
      <c r="D5" s="8" t="s">
        <v>77</v>
      </c>
      <c r="E5" s="8" t="s">
        <v>55</v>
      </c>
      <c r="F5" s="8" t="s">
        <v>14</v>
      </c>
      <c r="G5" s="8" t="s">
        <v>23</v>
      </c>
      <c r="H5" s="8" t="s">
        <v>24</v>
      </c>
      <c r="I5" s="9">
        <v>21</v>
      </c>
      <c r="J5" s="9">
        <v>12</v>
      </c>
      <c r="K5" s="6">
        <v>45920</v>
      </c>
      <c r="L5" s="7">
        <v>9079571</v>
      </c>
      <c r="M5" s="7" t="s">
        <v>67</v>
      </c>
      <c r="N5" s="7" t="s">
        <v>69</v>
      </c>
      <c r="O5" s="8" t="s">
        <v>53</v>
      </c>
      <c r="P5" s="7" t="str">
        <f>CONCATENATE(O5,0)</f>
        <v>6CC7FY7YF440</v>
      </c>
      <c r="Q5" s="7" t="s">
        <v>74</v>
      </c>
      <c r="R5" s="7" t="str">
        <f t="shared" si="0"/>
        <v xml:space="preserve">BONNI STEPHENSON          </v>
      </c>
      <c r="S5" s="2">
        <v>45931</v>
      </c>
    </row>
    <row r="6" spans="1:19" x14ac:dyDescent="0.25">
      <c r="A6" s="2">
        <v>45877</v>
      </c>
      <c r="B6">
        <v>20355518001</v>
      </c>
      <c r="C6" s="3" t="s">
        <v>11</v>
      </c>
      <c r="D6" s="3" t="s">
        <v>78</v>
      </c>
      <c r="E6" s="3" t="s">
        <v>13</v>
      </c>
      <c r="F6" s="3" t="s">
        <v>14</v>
      </c>
      <c r="G6" s="3" t="s">
        <v>15</v>
      </c>
      <c r="H6" s="3" t="s">
        <v>16</v>
      </c>
      <c r="I6" s="4">
        <v>1</v>
      </c>
      <c r="J6" s="4">
        <v>1</v>
      </c>
      <c r="K6" s="2">
        <v>45920</v>
      </c>
      <c r="L6">
        <v>20411454</v>
      </c>
      <c r="M6" t="s">
        <v>68</v>
      </c>
      <c r="N6" t="s">
        <v>70</v>
      </c>
      <c r="O6" s="3" t="s">
        <v>11</v>
      </c>
      <c r="P6" t="str">
        <f>CONCATENATE(O6,1)</f>
        <v>8YU0HX9MW311</v>
      </c>
      <c r="Q6" t="str">
        <f>CONCATENATE(O6,"OVR")</f>
        <v>8YU0HX9MW31OVR</v>
      </c>
      <c r="R6" s="7" t="str">
        <f t="shared" si="0"/>
        <v xml:space="preserve">KAREN JONES               </v>
      </c>
      <c r="S6" s="2">
        <v>45931</v>
      </c>
    </row>
    <row r="7" spans="1:19" s="7" customFormat="1" x14ac:dyDescent="0.25">
      <c r="A7" s="2">
        <v>45877</v>
      </c>
      <c r="B7">
        <v>20362943101</v>
      </c>
      <c r="C7" s="3" t="s">
        <v>17</v>
      </c>
      <c r="D7" s="3" t="s">
        <v>83</v>
      </c>
      <c r="E7" s="3" t="s">
        <v>19</v>
      </c>
      <c r="F7" s="3" t="s">
        <v>14</v>
      </c>
      <c r="G7" s="3" t="s">
        <v>15</v>
      </c>
      <c r="H7" s="3" t="s">
        <v>16</v>
      </c>
      <c r="I7" s="4">
        <v>1</v>
      </c>
      <c r="J7" s="4">
        <v>1</v>
      </c>
      <c r="K7" s="2">
        <v>45920</v>
      </c>
      <c r="L7">
        <v>20411454</v>
      </c>
      <c r="M7" t="s">
        <v>68</v>
      </c>
      <c r="N7" t="s">
        <v>70</v>
      </c>
      <c r="O7" s="3" t="s">
        <v>17</v>
      </c>
      <c r="P7" t="str">
        <f>CONCATENATE(O7,1)</f>
        <v>3J80H80MH331</v>
      </c>
      <c r="Q7" t="str">
        <f>CONCATENATE(O7,"OVR")</f>
        <v>3J80H80MH33OVR</v>
      </c>
      <c r="R7" s="7" t="str">
        <f t="shared" si="0"/>
        <v xml:space="preserve">GARY BENN                </v>
      </c>
      <c r="S7" s="2">
        <v>45931</v>
      </c>
    </row>
    <row r="8" spans="1:19" x14ac:dyDescent="0.25">
      <c r="A8" s="2">
        <v>45884</v>
      </c>
      <c r="B8">
        <v>20364851401</v>
      </c>
      <c r="C8" s="3" t="s">
        <v>20</v>
      </c>
      <c r="D8" s="3" t="s">
        <v>75</v>
      </c>
      <c r="E8" s="3" t="s">
        <v>22</v>
      </c>
      <c r="F8" s="3" t="s">
        <v>14</v>
      </c>
      <c r="G8" s="3" t="s">
        <v>23</v>
      </c>
      <c r="H8" s="3" t="s">
        <v>16</v>
      </c>
      <c r="I8" s="4">
        <v>1</v>
      </c>
      <c r="J8" s="4">
        <v>1</v>
      </c>
      <c r="K8" s="2">
        <v>45920</v>
      </c>
      <c r="L8">
        <v>20411454</v>
      </c>
      <c r="M8" t="s">
        <v>68</v>
      </c>
      <c r="N8" t="s">
        <v>70</v>
      </c>
      <c r="O8" s="3" t="s">
        <v>20</v>
      </c>
      <c r="P8" t="str">
        <f>CONCATENATE(O8,1)</f>
        <v>3HH2MQ8JT191</v>
      </c>
      <c r="Q8" t="str">
        <f>CONCATENATE(O8,"OVR")</f>
        <v>3HH2MQ8JT19OVR</v>
      </c>
      <c r="R8" s="7" t="str">
        <f t="shared" si="0"/>
        <v xml:space="preserve">CHARLES HOBBS JR            </v>
      </c>
      <c r="S8" s="2">
        <v>45901</v>
      </c>
    </row>
    <row r="9" spans="1:19" x14ac:dyDescent="0.25">
      <c r="A9" s="2">
        <v>45884</v>
      </c>
      <c r="B9">
        <v>20366093101</v>
      </c>
      <c r="C9" s="3" t="s">
        <v>25</v>
      </c>
      <c r="D9" s="3" t="s">
        <v>82</v>
      </c>
      <c r="E9" s="3" t="s">
        <v>27</v>
      </c>
      <c r="F9" s="3" t="s">
        <v>14</v>
      </c>
      <c r="G9" s="3" t="s">
        <v>23</v>
      </c>
      <c r="H9" s="3" t="s">
        <v>16</v>
      </c>
      <c r="I9" s="4">
        <v>1</v>
      </c>
      <c r="J9" s="4">
        <v>1</v>
      </c>
      <c r="K9" s="2">
        <v>45920</v>
      </c>
      <c r="L9">
        <v>20411454</v>
      </c>
      <c r="M9" t="s">
        <v>68</v>
      </c>
      <c r="N9" t="s">
        <v>70</v>
      </c>
      <c r="O9" s="3" t="s">
        <v>25</v>
      </c>
      <c r="P9" t="str">
        <f>CONCATENATE(O9,1)</f>
        <v>7W89X02TH431</v>
      </c>
      <c r="Q9" t="str">
        <f>CONCATENATE(O9,"OVR")</f>
        <v>7W89X02TH43OVR</v>
      </c>
      <c r="R9" s="7" t="str">
        <f t="shared" si="0"/>
        <v xml:space="preserve">ROBERT HITZ                </v>
      </c>
      <c r="S9" s="2">
        <v>45901</v>
      </c>
    </row>
    <row r="10" spans="1:19" x14ac:dyDescent="0.25">
      <c r="A10" s="2">
        <v>45884</v>
      </c>
      <c r="B10">
        <v>20366238201</v>
      </c>
      <c r="C10" s="3" t="s">
        <v>28</v>
      </c>
      <c r="D10" s="3" t="s">
        <v>79</v>
      </c>
      <c r="E10" s="3" t="s">
        <v>30</v>
      </c>
      <c r="F10" s="3" t="s">
        <v>14</v>
      </c>
      <c r="G10" s="3" t="s">
        <v>15</v>
      </c>
      <c r="H10" s="3" t="s">
        <v>16</v>
      </c>
      <c r="I10" s="4">
        <v>1</v>
      </c>
      <c r="J10" s="4">
        <v>1</v>
      </c>
      <c r="K10" s="2">
        <v>45920</v>
      </c>
      <c r="L10">
        <v>20411454</v>
      </c>
      <c r="M10" t="s">
        <v>68</v>
      </c>
      <c r="N10" t="s">
        <v>70</v>
      </c>
      <c r="O10" s="3" t="s">
        <v>28</v>
      </c>
      <c r="P10" t="str">
        <f>CONCATENATE(O10,1)</f>
        <v>4FC2CM5CQ011</v>
      </c>
      <c r="Q10" t="str">
        <f>CONCATENATE(O10,"OVR")</f>
        <v>4FC2CM5CQ01OVR</v>
      </c>
      <c r="R10" s="7" t="str">
        <f t="shared" si="0"/>
        <v xml:space="preserve">LARRY SCOTT               </v>
      </c>
      <c r="S10" s="2">
        <v>45901</v>
      </c>
    </row>
    <row r="11" spans="1:19" x14ac:dyDescent="0.25">
      <c r="A11" s="2">
        <v>45884</v>
      </c>
      <c r="B11">
        <v>20366275401</v>
      </c>
      <c r="C11" s="3" t="s">
        <v>31</v>
      </c>
      <c r="D11" s="3" t="s">
        <v>80</v>
      </c>
      <c r="E11" s="3" t="s">
        <v>30</v>
      </c>
      <c r="F11" s="3" t="s">
        <v>14</v>
      </c>
      <c r="G11" s="3" t="s">
        <v>15</v>
      </c>
      <c r="H11" s="3" t="s">
        <v>16</v>
      </c>
      <c r="I11" s="4">
        <v>1</v>
      </c>
      <c r="J11" s="4">
        <v>1</v>
      </c>
      <c r="K11" s="2">
        <v>45920</v>
      </c>
      <c r="L11">
        <v>20411454</v>
      </c>
      <c r="M11" t="s">
        <v>68</v>
      </c>
      <c r="N11" t="s">
        <v>70</v>
      </c>
      <c r="O11" s="3" t="s">
        <v>31</v>
      </c>
      <c r="P11" t="str">
        <f>CONCATENATE(O11,1)</f>
        <v>2PR8GM0VT361</v>
      </c>
      <c r="Q11" t="str">
        <f>CONCATENATE(O11,"OVR")</f>
        <v>2PR8GM0VT36OVR</v>
      </c>
      <c r="R11" s="7" t="str">
        <f t="shared" si="0"/>
        <v xml:space="preserve">SARAH SCOTT               </v>
      </c>
      <c r="S11" s="2">
        <v>45901</v>
      </c>
    </row>
    <row r="12" spans="1:19" x14ac:dyDescent="0.25">
      <c r="A12" s="2">
        <v>45884</v>
      </c>
      <c r="B12">
        <v>20367398301</v>
      </c>
      <c r="C12" s="3" t="s">
        <v>33</v>
      </c>
      <c r="D12" s="3" t="s">
        <v>84</v>
      </c>
      <c r="E12" s="3" t="s">
        <v>35</v>
      </c>
      <c r="F12" s="3" t="s">
        <v>14</v>
      </c>
      <c r="G12" s="3" t="s">
        <v>15</v>
      </c>
      <c r="H12" s="3" t="s">
        <v>16</v>
      </c>
      <c r="I12" s="4">
        <v>1</v>
      </c>
      <c r="J12" s="4">
        <v>1</v>
      </c>
      <c r="K12" s="2">
        <v>45920</v>
      </c>
      <c r="L12">
        <v>20411454</v>
      </c>
      <c r="M12" t="s">
        <v>68</v>
      </c>
      <c r="N12" t="s">
        <v>70</v>
      </c>
      <c r="O12" s="3" t="s">
        <v>33</v>
      </c>
      <c r="P12" t="str">
        <f>CONCATENATE(O12,1)</f>
        <v>5R53WV4PN841</v>
      </c>
      <c r="Q12" t="str">
        <f>CONCATENATE(O12,"OVR")</f>
        <v>5R53WV4PN84OVR</v>
      </c>
      <c r="R12" s="7" t="str">
        <f t="shared" si="0"/>
        <v xml:space="preserve">COURTNEY  FREY                </v>
      </c>
      <c r="S12" s="2">
        <v>45901</v>
      </c>
    </row>
    <row r="13" spans="1:19" x14ac:dyDescent="0.25">
      <c r="A13" s="2">
        <v>45891</v>
      </c>
      <c r="B13">
        <v>20369599401</v>
      </c>
      <c r="C13" s="3" t="s">
        <v>36</v>
      </c>
      <c r="D13" s="3" t="s">
        <v>78</v>
      </c>
      <c r="E13" s="3" t="s">
        <v>37</v>
      </c>
      <c r="F13" s="3" t="s">
        <v>14</v>
      </c>
      <c r="G13" s="3" t="s">
        <v>15</v>
      </c>
      <c r="H13" s="3" t="s">
        <v>16</v>
      </c>
      <c r="I13" s="4">
        <v>1</v>
      </c>
      <c r="J13" s="4">
        <v>1</v>
      </c>
      <c r="K13" s="2">
        <v>45920</v>
      </c>
      <c r="L13">
        <v>20411454</v>
      </c>
      <c r="M13" t="s">
        <v>68</v>
      </c>
      <c r="N13" t="s">
        <v>70</v>
      </c>
      <c r="O13" s="3" t="s">
        <v>36</v>
      </c>
      <c r="P13" t="str">
        <f>CONCATENATE(O13,1)</f>
        <v>1DK6DH8VP501</v>
      </c>
      <c r="Q13" t="str">
        <f>CONCATENATE(O13,"OVR")</f>
        <v>1DK6DH8VP50OVR</v>
      </c>
      <c r="R13" s="7" t="str">
        <f t="shared" si="0"/>
        <v xml:space="preserve">KAREN ZAIKO               </v>
      </c>
      <c r="S13" s="2">
        <v>45901</v>
      </c>
    </row>
    <row r="14" spans="1:19" s="7" customFormat="1" x14ac:dyDescent="0.25">
      <c r="A14" s="2">
        <v>45891</v>
      </c>
      <c r="B14">
        <v>20374624301</v>
      </c>
      <c r="C14" s="3" t="s">
        <v>38</v>
      </c>
      <c r="D14" s="3" t="s">
        <v>81</v>
      </c>
      <c r="E14" s="3" t="s">
        <v>40</v>
      </c>
      <c r="F14" s="3" t="s">
        <v>14</v>
      </c>
      <c r="G14" s="3" t="s">
        <v>15</v>
      </c>
      <c r="H14" s="3" t="s">
        <v>16</v>
      </c>
      <c r="I14" s="4">
        <v>1</v>
      </c>
      <c r="J14" s="4">
        <v>1</v>
      </c>
      <c r="K14" s="2">
        <v>45920</v>
      </c>
      <c r="L14">
        <v>20411454</v>
      </c>
      <c r="M14" t="s">
        <v>68</v>
      </c>
      <c r="N14" t="s">
        <v>70</v>
      </c>
      <c r="O14" s="3" t="s">
        <v>38</v>
      </c>
      <c r="P14" t="str">
        <f>CONCATENATE(O14,1)</f>
        <v>2W44KD7AU781</v>
      </c>
      <c r="Q14" t="str">
        <f>CONCATENATE(O14,"OVR")</f>
        <v>2W44KD7AU78OVR</v>
      </c>
      <c r="R14" s="7" t="str">
        <f t="shared" si="0"/>
        <v xml:space="preserve">PEGGY BELLES              </v>
      </c>
      <c r="S14" s="2">
        <v>45901</v>
      </c>
    </row>
    <row r="15" spans="1:19" x14ac:dyDescent="0.25">
      <c r="A15" s="2">
        <v>45898</v>
      </c>
      <c r="B15">
        <v>20376412101</v>
      </c>
      <c r="C15" s="3" t="s">
        <v>41</v>
      </c>
      <c r="D15" s="3" t="s">
        <v>76</v>
      </c>
      <c r="E15" s="3" t="s">
        <v>43</v>
      </c>
      <c r="F15" s="3" t="s">
        <v>14</v>
      </c>
      <c r="G15" s="3" t="s">
        <v>23</v>
      </c>
      <c r="H15" s="3" t="s">
        <v>16</v>
      </c>
      <c r="I15" s="4">
        <v>1</v>
      </c>
      <c r="J15" s="4">
        <v>1</v>
      </c>
      <c r="K15" s="2">
        <v>45920</v>
      </c>
      <c r="L15">
        <v>20411454</v>
      </c>
      <c r="M15" t="s">
        <v>68</v>
      </c>
      <c r="N15" t="s">
        <v>70</v>
      </c>
      <c r="O15" s="3" t="s">
        <v>41</v>
      </c>
      <c r="P15" t="str">
        <f>CONCATENATE(O15,1)</f>
        <v>8YJ9H55CD101</v>
      </c>
      <c r="Q15" t="str">
        <f>CONCATENATE(O15,"OVR")</f>
        <v>8YJ9H55CD10OVR</v>
      </c>
      <c r="R15" s="7" t="str">
        <f t="shared" si="0"/>
        <v xml:space="preserve">ROBIN SIGMON              </v>
      </c>
      <c r="S15" s="2">
        <v>45901</v>
      </c>
    </row>
    <row r="16" spans="1:19" x14ac:dyDescent="0.25">
      <c r="A16" s="2">
        <v>45898</v>
      </c>
      <c r="B16">
        <v>20381474401</v>
      </c>
      <c r="C16" s="3" t="s">
        <v>44</v>
      </c>
      <c r="D16" s="3" t="s">
        <v>85</v>
      </c>
      <c r="E16" s="3" t="s">
        <v>46</v>
      </c>
      <c r="F16" s="3" t="s">
        <v>14</v>
      </c>
      <c r="G16" s="3" t="s">
        <v>15</v>
      </c>
      <c r="H16" s="3" t="s">
        <v>16</v>
      </c>
      <c r="I16" s="4">
        <v>1</v>
      </c>
      <c r="J16" s="4">
        <v>1</v>
      </c>
      <c r="K16" s="2">
        <v>45920</v>
      </c>
      <c r="L16">
        <v>20411454</v>
      </c>
      <c r="M16" t="s">
        <v>68</v>
      </c>
      <c r="N16" t="s">
        <v>70</v>
      </c>
      <c r="O16" s="3" t="s">
        <v>44</v>
      </c>
      <c r="P16" t="str">
        <f>CONCATENATE(O16,1)</f>
        <v>1WC2P97FK801</v>
      </c>
      <c r="Q16" t="str">
        <f>CONCATENATE(O16,"OVR")</f>
        <v>1WC2P97FK80OVR</v>
      </c>
      <c r="R16" s="7" t="str">
        <f t="shared" si="0"/>
        <v xml:space="preserve">PAUL ERKENS              </v>
      </c>
      <c r="S16" s="2">
        <v>45901</v>
      </c>
    </row>
    <row r="17" spans="1:19" x14ac:dyDescent="0.25">
      <c r="A17" s="2">
        <v>45898</v>
      </c>
      <c r="B17">
        <v>20381577401</v>
      </c>
      <c r="C17" s="3" t="s">
        <v>47</v>
      </c>
      <c r="D17" s="3" t="s">
        <v>86</v>
      </c>
      <c r="E17" s="3" t="s">
        <v>49</v>
      </c>
      <c r="F17" s="3" t="s">
        <v>14</v>
      </c>
      <c r="G17" s="3" t="s">
        <v>15</v>
      </c>
      <c r="H17" s="3" t="s">
        <v>16</v>
      </c>
      <c r="I17" s="4">
        <v>1</v>
      </c>
      <c r="J17" s="4">
        <v>1</v>
      </c>
      <c r="K17" s="2">
        <v>45920</v>
      </c>
      <c r="L17">
        <v>20411454</v>
      </c>
      <c r="M17" t="s">
        <v>68</v>
      </c>
      <c r="N17" t="s">
        <v>70</v>
      </c>
      <c r="O17" s="3" t="s">
        <v>47</v>
      </c>
      <c r="P17" t="str">
        <f>CONCATENATE(O17,1)</f>
        <v>2KQ9GH8WP121</v>
      </c>
      <c r="Q17" t="str">
        <f>CONCATENATE(O17,"OVR")</f>
        <v>2KQ9GH8WP12OVR</v>
      </c>
      <c r="R17" s="7" t="str">
        <f t="shared" si="0"/>
        <v xml:space="preserve">MICHELLE MULBAUER            </v>
      </c>
      <c r="S17" s="2">
        <v>45901</v>
      </c>
    </row>
    <row r="18" spans="1:19" x14ac:dyDescent="0.25">
      <c r="A18" s="2">
        <v>45898</v>
      </c>
      <c r="B18">
        <v>20382998101</v>
      </c>
      <c r="C18" s="3" t="s">
        <v>50</v>
      </c>
      <c r="D18" s="3" t="s">
        <v>87</v>
      </c>
      <c r="E18" s="3" t="s">
        <v>52</v>
      </c>
      <c r="F18" s="3" t="s">
        <v>14</v>
      </c>
      <c r="G18" s="3" t="s">
        <v>15</v>
      </c>
      <c r="H18" s="3" t="s">
        <v>16</v>
      </c>
      <c r="I18" s="4">
        <v>1</v>
      </c>
      <c r="J18" s="4">
        <v>1</v>
      </c>
      <c r="K18" s="2">
        <v>45920</v>
      </c>
      <c r="L18">
        <v>20411454</v>
      </c>
      <c r="M18" t="s">
        <v>68</v>
      </c>
      <c r="N18" t="s">
        <v>70</v>
      </c>
      <c r="O18" s="3" t="s">
        <v>50</v>
      </c>
      <c r="P18" t="str">
        <f>CONCATENATE(O18,1)</f>
        <v>5RD0RQ1EG361</v>
      </c>
      <c r="Q18" t="str">
        <f>CONCATENATE(O18,"OVR")</f>
        <v>5RD0RQ1EG36OVR</v>
      </c>
      <c r="R18" s="7" t="str">
        <f t="shared" si="0"/>
        <v xml:space="preserve">DEWAINE GILLOTT             </v>
      </c>
      <c r="S18" s="2">
        <v>45931</v>
      </c>
    </row>
    <row r="19" spans="1:19" s="7" customFormat="1" x14ac:dyDescent="0.25">
      <c r="A19" s="2">
        <v>45905</v>
      </c>
      <c r="B19">
        <v>20383917001</v>
      </c>
      <c r="C19" s="3" t="s">
        <v>53</v>
      </c>
      <c r="D19" s="3" t="s">
        <v>77</v>
      </c>
      <c r="E19" s="3" t="s">
        <v>55</v>
      </c>
      <c r="F19" s="3" t="s">
        <v>14</v>
      </c>
      <c r="G19" s="3" t="s">
        <v>23</v>
      </c>
      <c r="H19" s="3" t="s">
        <v>16</v>
      </c>
      <c r="I19" s="4">
        <v>1</v>
      </c>
      <c r="J19" s="4">
        <v>1</v>
      </c>
      <c r="K19" s="2">
        <v>45920</v>
      </c>
      <c r="L19">
        <v>20411454</v>
      </c>
      <c r="M19" t="s">
        <v>68</v>
      </c>
      <c r="N19" t="s">
        <v>70</v>
      </c>
      <c r="O19" s="3" t="s">
        <v>53</v>
      </c>
      <c r="P19" t="str">
        <f>CONCATENATE(O19,1)</f>
        <v>6CC7FY7YF441</v>
      </c>
      <c r="Q19" t="str">
        <f>CONCATENATE(O19,"OVR")</f>
        <v>6CC7FY7YF44OVR</v>
      </c>
      <c r="R19" s="7" t="str">
        <f t="shared" si="0"/>
        <v xml:space="preserve">BONNI STEPHENSON          </v>
      </c>
      <c r="S19" s="2">
        <v>45931</v>
      </c>
    </row>
    <row r="20" spans="1:19" x14ac:dyDescent="0.25">
      <c r="A20" s="2">
        <v>45912</v>
      </c>
      <c r="B20">
        <v>20394838501</v>
      </c>
      <c r="C20" s="3" t="s">
        <v>56</v>
      </c>
      <c r="D20" s="3" t="s">
        <v>88</v>
      </c>
      <c r="E20" s="3" t="s">
        <v>58</v>
      </c>
      <c r="F20" s="3" t="s">
        <v>59</v>
      </c>
      <c r="G20" s="3" t="s">
        <v>15</v>
      </c>
      <c r="H20" s="3" t="s">
        <v>60</v>
      </c>
      <c r="I20" s="4">
        <v>3</v>
      </c>
      <c r="J20" s="4">
        <v>3</v>
      </c>
      <c r="K20" s="2">
        <v>45920</v>
      </c>
      <c r="L20">
        <v>20411454</v>
      </c>
      <c r="M20" t="s">
        <v>68</v>
      </c>
      <c r="N20" t="s">
        <v>70</v>
      </c>
      <c r="O20" s="3" t="s">
        <v>56</v>
      </c>
      <c r="P20" t="str">
        <f>CONCATENATE(O20,1)</f>
        <v>2P32PC1JT861</v>
      </c>
      <c r="Q20" t="str">
        <f>CONCATENATE(O20,"OVR")</f>
        <v>2P32PC1JT86OVR</v>
      </c>
      <c r="R20" s="7" t="str">
        <f t="shared" si="0"/>
        <v xml:space="preserve">CONNIE KING                </v>
      </c>
      <c r="S20" s="2">
        <v>45931</v>
      </c>
    </row>
    <row r="21" spans="1:19" x14ac:dyDescent="0.25">
      <c r="A21" s="2">
        <v>45919</v>
      </c>
      <c r="B21">
        <v>20401793301</v>
      </c>
      <c r="C21" s="3" t="s">
        <v>61</v>
      </c>
      <c r="D21" s="3" t="s">
        <v>89</v>
      </c>
      <c r="E21" s="3" t="s">
        <v>63</v>
      </c>
      <c r="F21" s="3" t="s">
        <v>14</v>
      </c>
      <c r="G21" s="3" t="s">
        <v>15</v>
      </c>
      <c r="H21" s="3" t="s">
        <v>60</v>
      </c>
      <c r="I21" s="4">
        <v>2</v>
      </c>
      <c r="J21" s="4">
        <v>2</v>
      </c>
      <c r="K21" s="2">
        <v>45920</v>
      </c>
      <c r="L21">
        <v>20411454</v>
      </c>
      <c r="M21" t="s">
        <v>68</v>
      </c>
      <c r="N21" t="s">
        <v>70</v>
      </c>
      <c r="O21" s="3" t="s">
        <v>61</v>
      </c>
      <c r="P21" t="str">
        <f>CONCATENATE(O21,1)</f>
        <v>6V00QH5YJ361</v>
      </c>
      <c r="Q21" t="str">
        <f>CONCATENATE(O21,"OVR")</f>
        <v>6V00QH5YJ36OVR</v>
      </c>
      <c r="R21" s="7" t="str">
        <f t="shared" si="0"/>
        <v xml:space="preserve">BRIGETTE NADLER              </v>
      </c>
      <c r="S21" s="2">
        <v>45962</v>
      </c>
    </row>
    <row r="22" spans="1:19" x14ac:dyDescent="0.25">
      <c r="A22" s="2">
        <v>45919</v>
      </c>
      <c r="B22">
        <v>20403119901</v>
      </c>
      <c r="C22" s="3" t="s">
        <v>64</v>
      </c>
      <c r="D22" s="3" t="s">
        <v>90</v>
      </c>
      <c r="E22" s="3" t="s">
        <v>66</v>
      </c>
      <c r="F22" s="3" t="s">
        <v>14</v>
      </c>
      <c r="G22" s="3" t="s">
        <v>15</v>
      </c>
      <c r="H22" s="3" t="s">
        <v>60</v>
      </c>
      <c r="I22" s="4">
        <v>2</v>
      </c>
      <c r="J22" s="4">
        <v>2</v>
      </c>
      <c r="K22" s="2">
        <v>45920</v>
      </c>
      <c r="L22">
        <v>20411454</v>
      </c>
      <c r="M22" t="s">
        <v>68</v>
      </c>
      <c r="N22" t="s">
        <v>70</v>
      </c>
      <c r="O22" s="3" t="s">
        <v>64</v>
      </c>
      <c r="P22" t="str">
        <f>CONCATENATE(O22,1)</f>
        <v>7DJ7PR2HJ431</v>
      </c>
      <c r="Q22" t="str">
        <f>CONCATENATE(O22,"OVR")</f>
        <v>7DJ7PR2HJ43OVR</v>
      </c>
      <c r="R22" s="7" t="str">
        <f t="shared" si="0"/>
        <v xml:space="preserve">MARK GOLDEN              </v>
      </c>
      <c r="S22" s="2">
        <v>45962</v>
      </c>
    </row>
    <row r="23" spans="1:19" x14ac:dyDescent="0.25">
      <c r="I23" s="5">
        <f>SUM(I2:I22)</f>
        <v>102</v>
      </c>
    </row>
  </sheetData>
  <sortState xmlns:xlrd2="http://schemas.microsoft.com/office/spreadsheetml/2017/richdata2" ref="A2:S22">
    <sortCondition ref="L2:L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Whitsey, Kellie D  (CTR)</dc:creator>
  <cp:lastModifiedBy>Loula Irene Cabel</cp:lastModifiedBy>
  <dcterms:created xsi:type="dcterms:W3CDTF">2025-09-30T17:35:23Z</dcterms:created>
  <dcterms:modified xsi:type="dcterms:W3CDTF">2025-09-30T22:22:08Z</dcterms:modified>
</cp:coreProperties>
</file>