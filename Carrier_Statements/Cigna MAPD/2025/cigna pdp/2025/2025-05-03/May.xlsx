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igna pdp\May 3\"/>
    </mc:Choice>
  </mc:AlternateContent>
  <xr:revisionPtr revIDLastSave="0" documentId="13_ncr:1_{AC03ED0A-F753-4B59-8688-B2672A4FA563}" xr6:coauthVersionLast="47" xr6:coauthVersionMax="47" xr10:uidLastSave="{00000000-0000-0000-0000-000000000000}"/>
  <bookViews>
    <workbookView xWindow="28680" yWindow="-120" windowWidth="29040" windowHeight="16440" activeTab="2" xr2:uid="{00000000-000D-0000-FFFF-FFFF00000000}"/>
  </bookViews>
  <sheets>
    <sheet name="May 22" sheetId="1" r:id="rId1"/>
    <sheet name="March" sheetId="2" r:id="rId2"/>
    <sheet name="march 8" sheetId="3" r:id="rId3"/>
    <sheet name="jan 22" sheetId="4" r:id="rId4"/>
    <sheet name="jan 4" sheetId="5" r:id="rId5"/>
    <sheet name="feb 22" sheetId="6" r:id="rId6"/>
    <sheet name="feb 8" sheetId="7" r:id="rId7"/>
    <sheet name="april 22" sheetId="8" r:id="rId8"/>
    <sheet name="april 5" sheetId="9" r:id="rId9"/>
    <sheet name="vlookup" sheetId="10" r:id="rId10"/>
  </sheets>
  <definedNames>
    <definedName name="_xlnm._FilterDatabase" localSheetId="0" hidden="1">'May 22'!$A$1:$P$2</definedName>
  </definedNames>
  <calcPr calcId="181029"/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" i="3"/>
  <c r="F3" i="2"/>
  <c r="F4" i="2"/>
  <c r="F5" i="2"/>
  <c r="F6" i="2"/>
  <c r="F2" i="2"/>
  <c r="B7" i="9"/>
  <c r="B6" i="9"/>
  <c r="B5" i="9"/>
  <c r="B4" i="9"/>
  <c r="B3" i="9"/>
  <c r="B2" i="9"/>
  <c r="B10" i="8"/>
  <c r="B9" i="8"/>
  <c r="B8" i="8"/>
  <c r="B7" i="8"/>
  <c r="B6" i="8"/>
  <c r="B5" i="8"/>
  <c r="B4" i="8"/>
  <c r="B3" i="8"/>
  <c r="B2" i="8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21" i="7"/>
  <c r="B20" i="7"/>
  <c r="B19" i="7"/>
  <c r="B18" i="7"/>
  <c r="B17" i="7"/>
  <c r="B16" i="7"/>
  <c r="B15" i="7"/>
  <c r="B14" i="7"/>
  <c r="B13" i="7"/>
  <c r="B12" i="7"/>
  <c r="B11" i="7"/>
  <c r="B10" i="7"/>
  <c r="B9" i="7"/>
  <c r="B8" i="7"/>
  <c r="B7" i="7"/>
  <c r="B6" i="7"/>
  <c r="B5" i="7"/>
  <c r="B4" i="7"/>
  <c r="B3" i="7"/>
  <c r="B2" i="7"/>
  <c r="B9" i="6"/>
  <c r="B8" i="6"/>
  <c r="B7" i="6"/>
  <c r="B6" i="6"/>
  <c r="B5" i="6"/>
  <c r="B4" i="6"/>
  <c r="B3" i="6"/>
  <c r="B2" i="6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28" i="5"/>
  <c r="B127" i="5"/>
  <c r="B126" i="5"/>
  <c r="B125" i="5"/>
  <c r="B124" i="5"/>
  <c r="B123" i="5"/>
  <c r="B122" i="5"/>
  <c r="B121" i="5"/>
  <c r="B120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48" i="4"/>
  <c r="B47" i="4"/>
  <c r="B46" i="4"/>
  <c r="B45" i="4"/>
  <c r="B44" i="4"/>
  <c r="B43" i="4"/>
  <c r="B42" i="4"/>
  <c r="B41" i="4"/>
  <c r="B40" i="4"/>
  <c r="B39" i="4"/>
  <c r="B38" i="4"/>
  <c r="B37" i="4"/>
  <c r="B36" i="4"/>
  <c r="B35" i="4"/>
  <c r="B34" i="4"/>
  <c r="B33" i="4"/>
  <c r="B32" i="4"/>
  <c r="B31" i="4"/>
  <c r="B30" i="4"/>
  <c r="B29" i="4"/>
  <c r="B28" i="4"/>
  <c r="B27" i="4"/>
  <c r="B26" i="4"/>
  <c r="B25" i="4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B7" i="4"/>
  <c r="B6" i="4"/>
  <c r="B5" i="4"/>
  <c r="B4" i="4"/>
  <c r="B3" i="4"/>
  <c r="B3" i="3"/>
  <c r="B4" i="3"/>
  <c r="B5" i="3"/>
  <c r="B6" i="3"/>
  <c r="B7" i="3"/>
  <c r="B8" i="3"/>
  <c r="B9" i="3"/>
  <c r="B10" i="3"/>
  <c r="B11" i="3"/>
  <c r="B12" i="3"/>
  <c r="B13" i="3"/>
  <c r="B2" i="3"/>
  <c r="B3" i="2"/>
  <c r="B2" i="2"/>
  <c r="B4" i="1"/>
  <c r="B5" i="1"/>
  <c r="B6" i="1"/>
  <c r="B7" i="1"/>
  <c r="B8" i="1"/>
  <c r="B9" i="1"/>
  <c r="B10" i="1"/>
  <c r="B11" i="1"/>
  <c r="B3" i="1"/>
  <c r="E3" i="10"/>
  <c r="E4" i="10"/>
  <c r="E5" i="10"/>
  <c r="E6" i="10"/>
  <c r="E7" i="10"/>
  <c r="E8" i="10"/>
  <c r="E9" i="10"/>
  <c r="E2" i="10"/>
  <c r="O20" i="1"/>
</calcChain>
</file>

<file path=xl/sharedStrings.xml><?xml version="1.0" encoding="utf-8"?>
<sst xmlns="http://schemas.openxmlformats.org/spreadsheetml/2006/main" count="4693" uniqueCount="669">
  <si>
    <r>
      <rPr>
        <sz val="10"/>
        <color rgb="FF231F20"/>
        <rFont val="Calibri"/>
        <family val="2"/>
      </rPr>
      <t>number               ID                      Member name                                                    st       Sale date</t>
    </r>
  </si>
  <si>
    <r>
      <rPr>
        <sz val="10"/>
        <color rgb="FF231F20"/>
        <rFont val="Calibri"/>
        <family val="2"/>
      </rPr>
      <t>Agent ID</t>
    </r>
  </si>
  <si>
    <r>
      <rPr>
        <sz val="10"/>
        <color rgb="FF231F20"/>
        <rFont val="Calibri"/>
        <family val="2"/>
      </rPr>
      <t>Effective date</t>
    </r>
  </si>
  <si>
    <r>
      <rPr>
        <sz val="10"/>
        <color rgb="FF231F20"/>
        <rFont val="Calibri"/>
        <family val="2"/>
      </rPr>
      <t>Dis-enroll date</t>
    </r>
  </si>
  <si>
    <r>
      <rPr>
        <sz val="10"/>
        <color rgb="FF231F20"/>
        <rFont val="Calibri"/>
        <family val="2"/>
      </rPr>
      <t>Status</t>
    </r>
  </si>
  <si>
    <r>
      <rPr>
        <sz val="10"/>
        <color rgb="FF231F20"/>
        <rFont val="Calibri"/>
        <family val="2"/>
      </rPr>
      <t>rate</t>
    </r>
  </si>
  <si>
    <r>
      <rPr>
        <sz val="10"/>
        <color rgb="FF231F20"/>
        <rFont val="Calibri"/>
        <family val="2"/>
      </rPr>
      <t>Payment</t>
    </r>
  </si>
  <si>
    <r>
      <rPr>
        <sz val="10"/>
        <color rgb="FF231F20"/>
        <rFont val="Calibri"/>
        <family val="2"/>
      </rPr>
      <t>type</t>
    </r>
  </si>
  <si>
    <r>
      <rPr>
        <sz val="10"/>
        <color rgb="FF231F20"/>
        <rFont val="Calibri"/>
        <family val="2"/>
      </rPr>
      <t>C344398</t>
    </r>
  </si>
  <si>
    <r>
      <rPr>
        <sz val="10"/>
        <color rgb="FF231F20"/>
        <rFont val="Calibri"/>
        <family val="2"/>
      </rPr>
      <t>CMS APPROVED ENROLLMENT</t>
    </r>
  </si>
  <si>
    <r>
      <rPr>
        <sz val="10"/>
        <color rgb="FF231F20"/>
        <rFont val="Calibri"/>
        <family val="2"/>
      </rPr>
      <t>Y1</t>
    </r>
  </si>
  <si>
    <r>
      <rPr>
        <sz val="10"/>
        <color rgb="FF231F20"/>
        <rFont val="Calibri"/>
        <family val="2"/>
      </rPr>
      <t>CMS TRUE UP</t>
    </r>
  </si>
  <si>
    <r>
      <rPr>
        <sz val="10"/>
        <color rgb="FF231F20"/>
        <rFont val="Calibri"/>
        <family val="2"/>
      </rPr>
      <t>H1</t>
    </r>
  </si>
  <si>
    <r>
      <rPr>
        <sz val="10"/>
        <color rgb="FF231F20"/>
        <rFont val="Calibri"/>
        <family val="2"/>
      </rPr>
      <t>C449511</t>
    </r>
  </si>
  <si>
    <r>
      <rPr>
        <sz val="10"/>
        <color rgb="FF231F20"/>
        <rFont val="Calibri"/>
        <family val="2"/>
      </rPr>
      <t>C543319</t>
    </r>
  </si>
  <si>
    <r>
      <rPr>
        <sz val="10"/>
        <color rgb="FF231F20"/>
        <rFont val="Calibri"/>
        <family val="2"/>
      </rPr>
      <t>C398057</t>
    </r>
  </si>
  <si>
    <r>
      <rPr>
        <sz val="10"/>
        <color rgb="FF231F20"/>
        <rFont val="Calibri"/>
        <family val="2"/>
      </rPr>
      <t>C397195</t>
    </r>
  </si>
  <si>
    <r>
      <rPr>
        <sz val="10"/>
        <color rgb="FF231F20"/>
        <rFont val="Calibri"/>
        <family val="2"/>
      </rPr>
      <t>C655426</t>
    </r>
  </si>
  <si>
    <r>
      <rPr>
        <sz val="10"/>
        <color rgb="FF231F20"/>
        <rFont val="Calibri"/>
        <family val="2"/>
      </rPr>
      <t>C550596</t>
    </r>
  </si>
  <si>
    <r>
      <rPr>
        <sz val="10"/>
        <color rgb="FF231F20"/>
        <rFont val="Calibri"/>
        <family val="2"/>
      </rPr>
      <t>Y2</t>
    </r>
  </si>
  <si>
    <r>
      <rPr>
        <sz val="10"/>
        <color rgb="FF231F20"/>
        <rFont val="Calibri"/>
        <family val="2"/>
      </rPr>
      <t>H2</t>
    </r>
  </si>
  <si>
    <r>
      <rPr>
        <sz val="10"/>
        <color rgb="FF231F20"/>
        <rFont val="Calibri"/>
        <family val="2"/>
      </rPr>
      <t>Total CIGNA IND MEDICARE PART D</t>
    </r>
  </si>
  <si>
    <r>
      <rPr>
        <sz val="10"/>
        <color rgb="FF4A4849"/>
        <rFont val="Cambria"/>
        <family val="1"/>
      </rPr>
      <t>*Payment type</t>
    </r>
  </si>
  <si>
    <r>
      <rPr>
        <sz val="10"/>
        <color rgb="FF4A4849"/>
        <rFont val="Cambria"/>
        <family val="1"/>
      </rPr>
      <t xml:space="preserve">Y1 = </t>
    </r>
    <r>
      <rPr>
        <sz val="10"/>
        <color rgb="FF4A4849"/>
        <rFont val="Calibri"/>
        <family val="2"/>
      </rPr>
      <t>Year 1 agent commission</t>
    </r>
    <r>
      <rPr>
        <sz val="10"/>
        <color rgb="FF4A4849"/>
        <rFont val="Cambria"/>
        <family val="1"/>
      </rPr>
      <t xml:space="preserve">-                </t>
    </r>
    <r>
      <rPr>
        <vertAlign val="superscript"/>
        <sz val="10"/>
        <color rgb="FF231F20"/>
        <rFont val="Cambria"/>
        <family val="1"/>
      </rPr>
      <t xml:space="preserve">H1 = </t>
    </r>
    <r>
      <rPr>
        <vertAlign val="superscript"/>
        <sz val="10"/>
        <color rgb="FF231F20"/>
        <rFont val="Calibri"/>
        <family val="2"/>
      </rPr>
      <t xml:space="preserve">Year 1 up-line agent commission
</t>
    </r>
    <r>
      <rPr>
        <sz val="10"/>
        <color rgb="FF4A4849"/>
        <rFont val="Cambria"/>
        <family val="1"/>
      </rPr>
      <t xml:space="preserve">Yn = </t>
    </r>
    <r>
      <rPr>
        <sz val="10"/>
        <color rgb="FF4A4849"/>
        <rFont val="Calibri"/>
        <family val="2"/>
      </rPr>
      <t xml:space="preserve">Year 2+ agent commission               </t>
    </r>
    <r>
      <rPr>
        <vertAlign val="superscript"/>
        <sz val="10"/>
        <color rgb="FF231F20"/>
        <rFont val="Cambria"/>
        <family val="1"/>
      </rPr>
      <t xml:space="preserve">Hn = </t>
    </r>
    <r>
      <rPr>
        <vertAlign val="superscript"/>
        <sz val="10"/>
        <color rgb="FF231F20"/>
        <rFont val="Calibri"/>
        <family val="2"/>
      </rPr>
      <t>Year 2+ up-line agent commission</t>
    </r>
  </si>
  <si>
    <r>
      <rPr>
        <sz val="12"/>
        <color rgb="FF231F20"/>
        <rFont val="Calibri"/>
        <family val="2"/>
      </rPr>
      <t>Medicare</t>
    </r>
  </si>
  <si>
    <r>
      <rPr>
        <sz val="12"/>
        <color rgb="FF231F20"/>
        <rFont val="Calibri"/>
        <family val="2"/>
      </rPr>
      <t>CIGNA</t>
    </r>
  </si>
  <si>
    <r>
      <rPr>
        <sz val="12"/>
        <color rgb="FF231F20"/>
        <rFont val="Calibri"/>
        <family val="2"/>
      </rPr>
      <t>Mbr</t>
    </r>
  </si>
  <si>
    <r>
      <rPr>
        <sz val="12"/>
        <color rgb="FF231F20"/>
        <rFont val="Calibri"/>
        <family val="2"/>
      </rPr>
      <t>Comp</t>
    </r>
  </si>
  <si>
    <r>
      <rPr>
        <sz val="12"/>
        <color rgb="FF231F20"/>
        <rFont val="Calibri"/>
        <family val="2"/>
      </rPr>
      <t>Payment</t>
    </r>
  </si>
  <si>
    <r>
      <rPr>
        <sz val="12"/>
        <color rgb="FF231F20"/>
        <rFont val="Calibri"/>
        <family val="2"/>
      </rPr>
      <t>number</t>
    </r>
  </si>
  <si>
    <r>
      <rPr>
        <sz val="12"/>
        <color rgb="FF231F20"/>
        <rFont val="Calibri"/>
        <family val="2"/>
      </rPr>
      <t>ID</t>
    </r>
  </si>
  <si>
    <r>
      <rPr>
        <sz val="12"/>
        <color rgb="FF231F20"/>
        <rFont val="Calibri"/>
        <family val="2"/>
      </rPr>
      <t>Member name</t>
    </r>
  </si>
  <si>
    <r>
      <rPr>
        <sz val="12"/>
        <color rgb="FF231F20"/>
        <rFont val="Calibri"/>
        <family val="2"/>
      </rPr>
      <t>st</t>
    </r>
  </si>
  <si>
    <r>
      <rPr>
        <sz val="12"/>
        <color rgb="FF231F20"/>
        <rFont val="Calibri"/>
        <family val="2"/>
      </rPr>
      <t>Sale date</t>
    </r>
  </si>
  <si>
    <r>
      <rPr>
        <sz val="12"/>
        <color rgb="FF231F20"/>
        <rFont val="Calibri"/>
        <family val="2"/>
      </rPr>
      <t>Agent ID</t>
    </r>
  </si>
  <si>
    <r>
      <rPr>
        <sz val="12"/>
        <color rgb="FF231F20"/>
        <rFont val="Calibri"/>
        <family val="2"/>
      </rPr>
      <t>Effective date</t>
    </r>
  </si>
  <si>
    <r>
      <rPr>
        <sz val="12"/>
        <color rgb="FF231F20"/>
        <rFont val="Calibri"/>
        <family val="2"/>
      </rPr>
      <t>Dis-enroll date</t>
    </r>
  </si>
  <si>
    <r>
      <rPr>
        <sz val="12"/>
        <color rgb="FF231F20"/>
        <rFont val="Calibri"/>
        <family val="2"/>
      </rPr>
      <t>Status</t>
    </r>
  </si>
  <si>
    <r>
      <rPr>
        <sz val="12"/>
        <color rgb="FF231F20"/>
        <rFont val="Calibri"/>
        <family val="2"/>
      </rPr>
      <t>rate</t>
    </r>
  </si>
  <si>
    <r>
      <rPr>
        <sz val="12"/>
        <color rgb="FF231F20"/>
        <rFont val="Calibri"/>
        <family val="2"/>
      </rPr>
      <t>type</t>
    </r>
  </si>
  <si>
    <r>
      <rPr>
        <sz val="12"/>
        <color rgb="FF231F20"/>
        <rFont val="Calibri"/>
        <family val="2"/>
      </rPr>
      <t>1HH4H40VR88</t>
    </r>
  </si>
  <si>
    <r>
      <rPr>
        <sz val="12"/>
        <color rgb="FF231F20"/>
        <rFont val="Calibri"/>
        <family val="2"/>
      </rPr>
      <t>ANONDSON, KEITH</t>
    </r>
  </si>
  <si>
    <r>
      <rPr>
        <sz val="12"/>
        <color rgb="FF231F20"/>
        <rFont val="Calibri"/>
        <family val="2"/>
      </rPr>
      <t>WI</t>
    </r>
  </si>
  <si>
    <r>
      <rPr>
        <sz val="12"/>
        <color rgb="FF231F20"/>
        <rFont val="Calibri"/>
        <family val="2"/>
      </rPr>
      <t>C629657</t>
    </r>
  </si>
  <si>
    <r>
      <rPr>
        <sz val="12"/>
        <color rgb="FF231F20"/>
        <rFont val="Calibri"/>
        <family val="2"/>
      </rPr>
      <t>CMS TRUE UP</t>
    </r>
  </si>
  <si>
    <r>
      <rPr>
        <sz val="12"/>
        <color rgb="FF231F20"/>
        <rFont val="Calibri"/>
        <family val="2"/>
      </rPr>
      <t>H1</t>
    </r>
  </si>
  <si>
    <r>
      <rPr>
        <sz val="12"/>
        <color rgb="FF231F20"/>
        <rFont val="Calibri"/>
        <family val="2"/>
      </rPr>
      <t>Y1</t>
    </r>
  </si>
  <si>
    <r>
      <rPr>
        <sz val="12"/>
        <color rgb="FF231F20"/>
        <rFont val="Calibri"/>
        <family val="2"/>
      </rPr>
      <t>1P39R56PM21</t>
    </r>
  </si>
  <si>
    <r>
      <rPr>
        <sz val="12"/>
        <color rgb="FF231F20"/>
        <rFont val="Calibri"/>
        <family val="2"/>
      </rPr>
      <t>ARENSON, SUSAN</t>
    </r>
  </si>
  <si>
    <r>
      <rPr>
        <sz val="12"/>
        <color rgb="FF231F20"/>
        <rFont val="Calibri"/>
        <family val="2"/>
      </rPr>
      <t>IL</t>
    </r>
  </si>
  <si>
    <r>
      <rPr>
        <sz val="12"/>
        <color rgb="FF231F20"/>
        <rFont val="Calibri"/>
        <family val="2"/>
      </rPr>
      <t>C500975</t>
    </r>
  </si>
  <si>
    <r>
      <rPr>
        <sz val="12"/>
        <color rgb="FF231F20"/>
        <rFont val="Calibri"/>
        <family val="2"/>
      </rPr>
      <t>4YX2Q36MU01</t>
    </r>
  </si>
  <si>
    <r>
      <rPr>
        <sz val="12"/>
        <color rgb="FF231F20"/>
        <rFont val="Calibri"/>
        <family val="2"/>
      </rPr>
      <t>BACON, SUSAN</t>
    </r>
  </si>
  <si>
    <r>
      <rPr>
        <sz val="12"/>
        <color rgb="FF231F20"/>
        <rFont val="Calibri"/>
        <family val="2"/>
      </rPr>
      <t>PA</t>
    </r>
  </si>
  <si>
    <r>
      <rPr>
        <sz val="12"/>
        <color rgb="FF231F20"/>
        <rFont val="Calibri"/>
        <family val="2"/>
      </rPr>
      <t>C550596</t>
    </r>
  </si>
  <si>
    <r>
      <rPr>
        <sz val="12"/>
        <color rgb="FF231F20"/>
        <rFont val="Calibri"/>
        <family val="2"/>
      </rPr>
      <t>6Q62KK4NR80</t>
    </r>
  </si>
  <si>
    <r>
      <rPr>
        <sz val="12"/>
        <color rgb="FF231F20"/>
        <rFont val="Calibri"/>
        <family val="2"/>
      </rPr>
      <t>BIRCKBICHLER, DAWN</t>
    </r>
  </si>
  <si>
    <r>
      <rPr>
        <sz val="12"/>
        <color rgb="FF231F20"/>
        <rFont val="Calibri"/>
        <family val="2"/>
      </rPr>
      <t>9PU1JT6JR17</t>
    </r>
  </si>
  <si>
    <r>
      <rPr>
        <sz val="12"/>
        <color rgb="FF231F20"/>
        <rFont val="Calibri"/>
        <family val="2"/>
      </rPr>
      <t>BIRCKBICHLER, LAWRENCE</t>
    </r>
  </si>
  <si>
    <r>
      <rPr>
        <sz val="12"/>
        <color rgb="FF231F20"/>
        <rFont val="Calibri"/>
        <family val="2"/>
      </rPr>
      <t>2F07KU0JY47</t>
    </r>
  </si>
  <si>
    <r>
      <rPr>
        <sz val="12"/>
        <color rgb="FF231F20"/>
        <rFont val="Calibri"/>
        <family val="2"/>
      </rPr>
      <t>BOYD, VICKIE</t>
    </r>
  </si>
  <si>
    <r>
      <rPr>
        <sz val="12"/>
        <color rgb="FF231F20"/>
        <rFont val="Calibri"/>
        <family val="2"/>
      </rPr>
      <t>C543319</t>
    </r>
  </si>
  <si>
    <r>
      <rPr>
        <sz val="12"/>
        <color rgb="FF231F20"/>
        <rFont val="Calibri"/>
        <family val="2"/>
      </rPr>
      <t>CMS APPROVED ENROLLMENT</t>
    </r>
  </si>
  <si>
    <r>
      <rPr>
        <sz val="12"/>
        <color rgb="FF231F20"/>
        <rFont val="Calibri"/>
        <family val="2"/>
      </rPr>
      <t>C644315</t>
    </r>
  </si>
  <si>
    <r>
      <rPr>
        <sz val="12"/>
        <color rgb="FF231F20"/>
        <rFont val="Calibri"/>
        <family val="2"/>
      </rPr>
      <t>7XT2W99YH09</t>
    </r>
  </si>
  <si>
    <r>
      <rPr>
        <sz val="12"/>
        <color rgb="FF231F20"/>
        <rFont val="Calibri"/>
        <family val="2"/>
      </rPr>
      <t>CEDERWALL, MARILYN</t>
    </r>
  </si>
  <si>
    <r>
      <rPr>
        <sz val="12"/>
        <color rgb="FF231F20"/>
        <rFont val="Calibri"/>
        <family val="2"/>
      </rPr>
      <t>IA</t>
    </r>
  </si>
  <si>
    <r>
      <rPr>
        <sz val="12"/>
        <color rgb="FF231F20"/>
        <rFont val="Calibri"/>
        <family val="2"/>
      </rPr>
      <t>C511294</t>
    </r>
  </si>
  <si>
    <r>
      <rPr>
        <sz val="12"/>
        <color rgb="FF231F20"/>
        <rFont val="Calibri"/>
        <family val="2"/>
      </rPr>
      <t>8TP1CC6YR93</t>
    </r>
  </si>
  <si>
    <r>
      <rPr>
        <sz val="12"/>
        <color rgb="FF231F20"/>
        <rFont val="Calibri"/>
        <family val="2"/>
      </rPr>
      <t>COLLINS, PATRICK</t>
    </r>
  </si>
  <si>
    <r>
      <rPr>
        <sz val="12"/>
        <color rgb="FF231F20"/>
        <rFont val="Calibri"/>
        <family val="2"/>
      </rPr>
      <t>C645677</t>
    </r>
  </si>
  <si>
    <r>
      <rPr>
        <sz val="12"/>
        <color rgb="FF231F20"/>
        <rFont val="Calibri"/>
        <family val="2"/>
      </rPr>
      <t>3AK9F80MU32</t>
    </r>
  </si>
  <si>
    <r>
      <rPr>
        <sz val="12"/>
        <color rgb="FF231F20"/>
        <rFont val="Calibri"/>
        <family val="2"/>
      </rPr>
      <t>CONSTANTINOU, CAROL</t>
    </r>
  </si>
  <si>
    <r>
      <rPr>
        <sz val="12"/>
        <color rgb="FF231F20"/>
        <rFont val="Calibri"/>
        <family val="2"/>
      </rPr>
      <t>C397195</t>
    </r>
  </si>
  <si>
    <r>
      <rPr>
        <sz val="12"/>
        <color rgb="FF231F20"/>
        <rFont val="Calibri"/>
        <family val="2"/>
      </rPr>
      <t>9J44A13ER86</t>
    </r>
  </si>
  <si>
    <r>
      <rPr>
        <sz val="12"/>
        <color rgb="FF231F20"/>
        <rFont val="Calibri"/>
        <family val="2"/>
      </rPr>
      <t>DUNN, SARAH</t>
    </r>
  </si>
  <si>
    <r>
      <rPr>
        <sz val="12"/>
        <color rgb="FF231F20"/>
        <rFont val="Calibri"/>
        <family val="2"/>
      </rPr>
      <t>C344398</t>
    </r>
  </si>
  <si>
    <r>
      <rPr>
        <sz val="12"/>
        <color rgb="FF231F20"/>
        <rFont val="Calibri"/>
        <family val="2"/>
      </rPr>
      <t>9KX6DG5KH73</t>
    </r>
  </si>
  <si>
    <r>
      <rPr>
        <sz val="12"/>
        <color rgb="FF231F20"/>
        <rFont val="Calibri"/>
        <family val="2"/>
      </rPr>
      <t>ELAWAR, MUNIR</t>
    </r>
  </si>
  <si>
    <r>
      <rPr>
        <sz val="12"/>
        <color rgb="FF231F20"/>
        <rFont val="Calibri"/>
        <family val="2"/>
      </rPr>
      <t>5N68VP8QV41</t>
    </r>
  </si>
  <si>
    <r>
      <rPr>
        <sz val="12"/>
        <color rgb="FF231F20"/>
        <rFont val="Calibri"/>
        <family val="2"/>
      </rPr>
      <t>ELAZEGUI, REYNALDO</t>
    </r>
  </si>
  <si>
    <r>
      <rPr>
        <sz val="12"/>
        <color rgb="FF231F20"/>
        <rFont val="Calibri"/>
        <family val="2"/>
      </rPr>
      <t>C565467</t>
    </r>
  </si>
  <si>
    <r>
      <rPr>
        <sz val="12"/>
        <color rgb="FF231F20"/>
        <rFont val="Calibri"/>
        <family val="2"/>
      </rPr>
      <t>3CX9MK8MV53</t>
    </r>
  </si>
  <si>
    <r>
      <rPr>
        <sz val="12"/>
        <color rgb="FF231F20"/>
        <rFont val="Calibri"/>
        <family val="2"/>
      </rPr>
      <t>GELLAR, JAMES</t>
    </r>
  </si>
  <si>
    <r>
      <rPr>
        <sz val="12"/>
        <color rgb="FF231F20"/>
        <rFont val="Calibri"/>
        <family val="2"/>
      </rPr>
      <t>4AH0PT0YT30</t>
    </r>
  </si>
  <si>
    <r>
      <rPr>
        <sz val="12"/>
        <color rgb="FF231F20"/>
        <rFont val="Calibri"/>
        <family val="2"/>
      </rPr>
      <t>GELLAR, SHERI</t>
    </r>
  </si>
  <si>
    <r>
      <rPr>
        <sz val="12"/>
        <color rgb="FF231F20"/>
        <rFont val="Calibri"/>
        <family val="2"/>
      </rPr>
      <t>8H48NR3AY32</t>
    </r>
  </si>
  <si>
    <r>
      <rPr>
        <sz val="12"/>
        <color rgb="FF231F20"/>
        <rFont val="Calibri"/>
        <family val="2"/>
      </rPr>
      <t>GIBBONS, JEANNE</t>
    </r>
  </si>
  <si>
    <r>
      <rPr>
        <sz val="12"/>
        <color rgb="FF231F20"/>
        <rFont val="Calibri"/>
        <family val="2"/>
      </rPr>
      <t>4CX2YY1YV83</t>
    </r>
  </si>
  <si>
    <r>
      <rPr>
        <sz val="12"/>
        <color rgb="FF231F20"/>
        <rFont val="Calibri"/>
        <family val="2"/>
      </rPr>
      <t>HANLON, CHARLOTTE</t>
    </r>
  </si>
  <si>
    <r>
      <rPr>
        <sz val="12"/>
        <color rgb="FF231F20"/>
        <rFont val="Calibri"/>
        <family val="2"/>
      </rPr>
      <t>C628489</t>
    </r>
  </si>
  <si>
    <r>
      <rPr>
        <sz val="12"/>
        <color rgb="FF231F20"/>
        <rFont val="Calibri"/>
        <family val="2"/>
      </rPr>
      <t>3JK5D49XF91</t>
    </r>
  </si>
  <si>
    <r>
      <rPr>
        <sz val="12"/>
        <color rgb="FF231F20"/>
        <rFont val="Calibri"/>
        <family val="2"/>
      </rPr>
      <t>HARRISON, BETTY</t>
    </r>
  </si>
  <si>
    <r>
      <rPr>
        <sz val="12"/>
        <color rgb="FF231F20"/>
        <rFont val="Calibri"/>
        <family val="2"/>
      </rPr>
      <t>C629206</t>
    </r>
  </si>
  <si>
    <r>
      <rPr>
        <sz val="12"/>
        <color rgb="FF231F20"/>
        <rFont val="Calibri"/>
        <family val="2"/>
      </rPr>
      <t>1A31U76QE15</t>
    </r>
  </si>
  <si>
    <r>
      <rPr>
        <sz val="12"/>
        <color rgb="FF231F20"/>
        <rFont val="Calibri"/>
        <family val="2"/>
      </rPr>
      <t>HENRY, LISA</t>
    </r>
  </si>
  <si>
    <r>
      <rPr>
        <sz val="12"/>
        <color rgb="FF231F20"/>
        <rFont val="Calibri"/>
        <family val="2"/>
      </rPr>
      <t>6G00AG9VM47</t>
    </r>
  </si>
  <si>
    <r>
      <rPr>
        <sz val="12"/>
        <color rgb="FF231F20"/>
        <rFont val="Calibri"/>
        <family val="2"/>
      </rPr>
      <t>KEEFER, DAVID</t>
    </r>
  </si>
  <si>
    <r>
      <rPr>
        <sz val="12"/>
        <color rgb="FF231F20"/>
        <rFont val="Calibri"/>
        <family val="2"/>
      </rPr>
      <t>4KK7R72XJ64</t>
    </r>
  </si>
  <si>
    <r>
      <rPr>
        <sz val="12"/>
        <color rgb="FF231F20"/>
        <rFont val="Calibri"/>
        <family val="2"/>
      </rPr>
      <t>KEEFER, FRANCINE</t>
    </r>
  </si>
  <si>
    <r>
      <rPr>
        <sz val="12"/>
        <color rgb="FF231F20"/>
        <rFont val="Calibri"/>
        <family val="2"/>
      </rPr>
      <t>6D68PX9QF38</t>
    </r>
  </si>
  <si>
    <r>
      <rPr>
        <sz val="12"/>
        <color rgb="FF231F20"/>
        <rFont val="Calibri"/>
        <family val="2"/>
      </rPr>
      <t>KWANDRAS, KATHLEEN</t>
    </r>
  </si>
  <si>
    <r>
      <rPr>
        <sz val="12"/>
        <color rgb="FF231F20"/>
        <rFont val="Calibri"/>
        <family val="2"/>
      </rPr>
      <t>8KK3WA6WP80</t>
    </r>
  </si>
  <si>
    <r>
      <rPr>
        <sz val="12"/>
        <color rgb="FF231F20"/>
        <rFont val="Calibri"/>
        <family val="2"/>
      </rPr>
      <t>LANGTIM, WILLIAM</t>
    </r>
  </si>
  <si>
    <r>
      <rPr>
        <sz val="12"/>
        <color rgb="FF231F20"/>
        <rFont val="Calibri"/>
        <family val="2"/>
      </rPr>
      <t>C398057</t>
    </r>
  </si>
  <si>
    <r>
      <rPr>
        <sz val="12"/>
        <color rgb="FF231F20"/>
        <rFont val="Calibri"/>
        <family val="2"/>
      </rPr>
      <t>4GM6NU0TX65</t>
    </r>
  </si>
  <si>
    <r>
      <rPr>
        <sz val="12"/>
        <color rgb="FF231F20"/>
        <rFont val="Calibri"/>
        <family val="2"/>
      </rPr>
      <t>LEAHY, LAWRENCE</t>
    </r>
  </si>
  <si>
    <r>
      <rPr>
        <sz val="12"/>
        <color rgb="FF231F20"/>
        <rFont val="Calibri"/>
        <family val="2"/>
      </rPr>
      <t>6V30Q31CW09</t>
    </r>
  </si>
  <si>
    <r>
      <rPr>
        <sz val="12"/>
        <color rgb="FF231F20"/>
        <rFont val="Calibri"/>
        <family val="2"/>
      </rPr>
      <t>LENNON, SHARON</t>
    </r>
  </si>
  <si>
    <r>
      <rPr>
        <sz val="12"/>
        <color rgb="FF231F20"/>
        <rFont val="Calibri"/>
        <family val="2"/>
      </rPr>
      <t>6RA9D36VM28</t>
    </r>
  </si>
  <si>
    <r>
      <rPr>
        <sz val="12"/>
        <color rgb="FF231F20"/>
        <rFont val="Calibri"/>
        <family val="2"/>
      </rPr>
      <t>MARAVILLA, BEDE</t>
    </r>
  </si>
  <si>
    <r>
      <rPr>
        <sz val="12"/>
        <color rgb="FF231F20"/>
        <rFont val="Calibri"/>
        <family val="2"/>
      </rPr>
      <t>8F21R35DW80</t>
    </r>
  </si>
  <si>
    <r>
      <rPr>
        <sz val="12"/>
        <color rgb="FF231F20"/>
        <rFont val="Calibri"/>
        <family val="2"/>
      </rPr>
      <t>MYERS, KIRK</t>
    </r>
  </si>
  <si>
    <r>
      <rPr>
        <sz val="12"/>
        <color rgb="FF231F20"/>
        <rFont val="Calibri"/>
        <family val="2"/>
      </rPr>
      <t>7U92Q73FP19</t>
    </r>
  </si>
  <si>
    <r>
      <rPr>
        <sz val="12"/>
        <color rgb="FF231F20"/>
        <rFont val="Calibri"/>
        <family val="2"/>
      </rPr>
      <t>PASTORIUS, CATHY</t>
    </r>
  </si>
  <si>
    <r>
      <rPr>
        <sz val="12"/>
        <color rgb="FF231F20"/>
        <rFont val="Calibri"/>
        <family val="2"/>
      </rPr>
      <t>1R93P84GM97</t>
    </r>
  </si>
  <si>
    <r>
      <rPr>
        <sz val="12"/>
        <color rgb="FF231F20"/>
        <rFont val="Calibri"/>
        <family val="2"/>
      </rPr>
      <t>PASTORIUS, DONALD</t>
    </r>
  </si>
  <si>
    <r>
      <rPr>
        <sz val="12"/>
        <color rgb="FF231F20"/>
        <rFont val="Calibri"/>
        <family val="2"/>
      </rPr>
      <t>3CD5QG0TJ78</t>
    </r>
  </si>
  <si>
    <r>
      <rPr>
        <sz val="12"/>
        <color rgb="FF231F20"/>
        <rFont val="Calibri"/>
        <family val="2"/>
      </rPr>
      <t>PORTUGAL, GARY</t>
    </r>
  </si>
  <si>
    <r>
      <rPr>
        <sz val="12"/>
        <color rgb="FF231F20"/>
        <rFont val="Calibri"/>
        <family val="2"/>
      </rPr>
      <t>9GT6QC2JU88</t>
    </r>
  </si>
  <si>
    <r>
      <rPr>
        <sz val="12"/>
        <color rgb="FF231F20"/>
        <rFont val="Calibri"/>
        <family val="2"/>
      </rPr>
      <t>REIFER, APRIL</t>
    </r>
  </si>
  <si>
    <r>
      <rPr>
        <sz val="12"/>
        <color rgb="FF231F20"/>
        <rFont val="Calibri"/>
        <family val="2"/>
      </rPr>
      <t>5PX9E30WP57</t>
    </r>
  </si>
  <si>
    <r>
      <rPr>
        <sz val="12"/>
        <color rgb="FF231F20"/>
        <rFont val="Calibri"/>
        <family val="2"/>
      </rPr>
      <t>RODGERS JR, GEORGE</t>
    </r>
  </si>
  <si>
    <r>
      <rPr>
        <sz val="12"/>
        <color rgb="FF231F20"/>
        <rFont val="Calibri"/>
        <family val="2"/>
      </rPr>
      <t>5EJ3RW2GH72</t>
    </r>
  </si>
  <si>
    <r>
      <rPr>
        <sz val="12"/>
        <color rgb="FF231F20"/>
        <rFont val="Calibri"/>
        <family val="2"/>
      </rPr>
      <t>SHANOR, CAROLYN</t>
    </r>
  </si>
  <si>
    <r>
      <rPr>
        <sz val="12"/>
        <color rgb="FF231F20"/>
        <rFont val="Calibri"/>
        <family val="2"/>
      </rPr>
      <t>3VN3FG0WH75</t>
    </r>
  </si>
  <si>
    <r>
      <rPr>
        <sz val="12"/>
        <color rgb="FF231F20"/>
        <rFont val="Calibri"/>
        <family val="2"/>
      </rPr>
      <t>SHIFLETT, WARREN</t>
    </r>
  </si>
  <si>
    <r>
      <rPr>
        <sz val="12"/>
        <color rgb="FF231F20"/>
        <rFont val="Calibri"/>
        <family val="2"/>
      </rPr>
      <t>C397277</t>
    </r>
  </si>
  <si>
    <r>
      <rPr>
        <sz val="12"/>
        <color rgb="FF231F20"/>
        <rFont val="Calibri"/>
        <family val="2"/>
      </rPr>
      <t>6GE1Q66QC03</t>
    </r>
  </si>
  <si>
    <r>
      <rPr>
        <sz val="12"/>
        <color rgb="FF231F20"/>
        <rFont val="Calibri"/>
        <family val="2"/>
      </rPr>
      <t>SHUMAKER, BEVERLY</t>
    </r>
  </si>
  <si>
    <r>
      <rPr>
        <sz val="12"/>
        <color rgb="FF231F20"/>
        <rFont val="Calibri"/>
        <family val="2"/>
      </rPr>
      <t>TN</t>
    </r>
  </si>
  <si>
    <r>
      <rPr>
        <sz val="12"/>
        <color rgb="FF231F20"/>
        <rFont val="Calibri"/>
        <family val="2"/>
      </rPr>
      <t>9P06W18ET73</t>
    </r>
  </si>
  <si>
    <r>
      <rPr>
        <sz val="12"/>
        <color rgb="FF231F20"/>
        <rFont val="Calibri"/>
        <family val="2"/>
      </rPr>
      <t>SPAGNOLO, DONNA</t>
    </r>
  </si>
  <si>
    <r>
      <rPr>
        <sz val="12"/>
        <color rgb="FF231F20"/>
        <rFont val="Calibri"/>
        <family val="2"/>
      </rPr>
      <t>5KF9TC6CR36</t>
    </r>
  </si>
  <si>
    <r>
      <rPr>
        <sz val="12"/>
        <color rgb="FF231F20"/>
        <rFont val="Calibri"/>
        <family val="2"/>
      </rPr>
      <t>TAUGNER, CLARICE</t>
    </r>
  </si>
  <si>
    <r>
      <rPr>
        <sz val="12"/>
        <color rgb="FF231F20"/>
        <rFont val="Calibri"/>
        <family val="2"/>
      </rPr>
      <t>8CJ1TK9PA16</t>
    </r>
  </si>
  <si>
    <r>
      <rPr>
        <sz val="12"/>
        <color rgb="FF231F20"/>
        <rFont val="Calibri"/>
        <family val="2"/>
      </rPr>
      <t>THOMAS, PATRICK</t>
    </r>
  </si>
  <si>
    <r>
      <rPr>
        <sz val="12"/>
        <color rgb="FF231F20"/>
        <rFont val="Calibri"/>
        <family val="2"/>
      </rPr>
      <t>9UM6EP4JF82</t>
    </r>
  </si>
  <si>
    <r>
      <rPr>
        <sz val="12"/>
        <color rgb="FF231F20"/>
        <rFont val="Calibri"/>
        <family val="2"/>
      </rPr>
      <t>TOLBERT, MARGARET</t>
    </r>
  </si>
  <si>
    <r>
      <rPr>
        <sz val="12"/>
        <color rgb="FF231F20"/>
        <rFont val="Calibri"/>
        <family val="2"/>
      </rPr>
      <t>Total CIGNA IND MEDICARE PART D</t>
    </r>
  </si>
  <si>
    <r>
      <rPr>
        <sz val="12"/>
        <color rgb="FF4A4849"/>
        <rFont val="Cambria"/>
        <family val="1"/>
      </rPr>
      <t>*Payment type</t>
    </r>
  </si>
  <si>
    <r>
      <rPr>
        <sz val="12"/>
        <color rgb="FF4A4849"/>
        <rFont val="Cambria"/>
        <family val="1"/>
      </rPr>
      <t xml:space="preserve">Y1 = </t>
    </r>
    <r>
      <rPr>
        <sz val="12"/>
        <color rgb="FF4A4849"/>
        <rFont val="Calibri"/>
        <family val="2"/>
      </rPr>
      <t>Year 1 agent commission</t>
    </r>
    <r>
      <rPr>
        <sz val="12"/>
        <color rgb="FF4A4849"/>
        <rFont val="Cambria"/>
        <family val="1"/>
      </rPr>
      <t>-</t>
    </r>
  </si>
  <si>
    <r>
      <rPr>
        <sz val="12"/>
        <color rgb="FF231F20"/>
        <rFont val="Cambria"/>
        <family val="1"/>
      </rPr>
      <t xml:space="preserve">H1 = </t>
    </r>
    <r>
      <rPr>
        <sz val="12"/>
        <color rgb="FF231F20"/>
        <rFont val="Calibri"/>
        <family val="2"/>
      </rPr>
      <t>Year 1 up-line agent commission</t>
    </r>
  </si>
  <si>
    <r>
      <rPr>
        <sz val="12"/>
        <color rgb="FF4A4849"/>
        <rFont val="Cambria"/>
        <family val="1"/>
      </rPr>
      <t xml:space="preserve">Yn = </t>
    </r>
    <r>
      <rPr>
        <sz val="12"/>
        <color rgb="FF4A4849"/>
        <rFont val="Calibri"/>
        <family val="2"/>
      </rPr>
      <t>Year 2+ agent commission</t>
    </r>
  </si>
  <si>
    <r>
      <rPr>
        <sz val="12"/>
        <color rgb="FF231F20"/>
        <rFont val="Cambria"/>
        <family val="1"/>
      </rPr>
      <t xml:space="preserve">Hn = </t>
    </r>
    <r>
      <rPr>
        <sz val="12"/>
        <color rgb="FF231F20"/>
        <rFont val="Calibri"/>
        <family val="2"/>
      </rPr>
      <t>Year 2+ up-line agent commission</t>
    </r>
  </si>
  <si>
    <r>
      <rPr>
        <sz val="12"/>
        <color rgb="FF231F20"/>
        <rFont val="Calibri"/>
        <family val="2"/>
      </rPr>
      <t>1UF1MR3HK91</t>
    </r>
  </si>
  <si>
    <r>
      <rPr>
        <sz val="12"/>
        <color rgb="FF231F20"/>
        <rFont val="Calibri"/>
        <family val="2"/>
      </rPr>
      <t>ALLISON-ZEINE, CATHY</t>
    </r>
  </si>
  <si>
    <r>
      <rPr>
        <sz val="12"/>
        <color rgb="FF231F20"/>
        <rFont val="Calibri"/>
        <family val="2"/>
      </rPr>
      <t>8FV3UW8VN75</t>
    </r>
  </si>
  <si>
    <r>
      <rPr>
        <sz val="12"/>
        <color rgb="FF231F20"/>
        <rFont val="Calibri"/>
        <family val="2"/>
      </rPr>
      <t>BAXTER, RICHARD</t>
    </r>
  </si>
  <si>
    <r>
      <rPr>
        <sz val="12"/>
        <color rgb="FF231F20"/>
        <rFont val="Calibri"/>
        <family val="2"/>
      </rPr>
      <t>2YH0PK9TC06</t>
    </r>
  </si>
  <si>
    <r>
      <rPr>
        <sz val="12"/>
        <color rgb="FF231F20"/>
        <rFont val="Calibri"/>
        <family val="2"/>
      </rPr>
      <t>BENBENEK, MAUREEN</t>
    </r>
  </si>
  <si>
    <r>
      <rPr>
        <sz val="12"/>
        <color rgb="FF231F20"/>
        <rFont val="Calibri"/>
        <family val="2"/>
      </rPr>
      <t>3EF8RG8TY52</t>
    </r>
  </si>
  <si>
    <r>
      <rPr>
        <sz val="12"/>
        <color rgb="FF231F20"/>
        <rFont val="Calibri"/>
        <family val="2"/>
      </rPr>
      <t>BLOCK, DAVIDA</t>
    </r>
  </si>
  <si>
    <r>
      <rPr>
        <sz val="12"/>
        <color rgb="FF231F20"/>
        <rFont val="Calibri"/>
        <family val="2"/>
      </rPr>
      <t>C637157</t>
    </r>
  </si>
  <si>
    <r>
      <rPr>
        <sz val="12"/>
        <color rgb="FF231F20"/>
        <rFont val="Calibri"/>
        <family val="2"/>
      </rPr>
      <t>9GY4AR2NR81</t>
    </r>
  </si>
  <si>
    <r>
      <rPr>
        <sz val="12"/>
        <color rgb="FF231F20"/>
        <rFont val="Calibri"/>
        <family val="2"/>
      </rPr>
      <t>BOULANGER, EUGENE</t>
    </r>
  </si>
  <si>
    <r>
      <rPr>
        <sz val="12"/>
        <color rgb="FF231F20"/>
        <rFont val="Calibri"/>
        <family val="2"/>
      </rPr>
      <t>2HQ2KE5TH07</t>
    </r>
  </si>
  <si>
    <r>
      <rPr>
        <sz val="12"/>
        <color rgb="FF231F20"/>
        <rFont val="Calibri"/>
        <family val="2"/>
      </rPr>
      <t>BRENNAN SR, JOSEPH</t>
    </r>
  </si>
  <si>
    <r>
      <rPr>
        <sz val="12"/>
        <color rgb="FF231F20"/>
        <rFont val="Calibri"/>
        <family val="2"/>
      </rPr>
      <t>NJ</t>
    </r>
  </si>
  <si>
    <r>
      <rPr>
        <sz val="12"/>
        <color rgb="FF231F20"/>
        <rFont val="Calibri"/>
        <family val="2"/>
      </rPr>
      <t>C397281</t>
    </r>
  </si>
  <si>
    <r>
      <rPr>
        <sz val="12"/>
        <color rgb="FF231F20"/>
        <rFont val="Calibri"/>
        <family val="2"/>
      </rPr>
      <t>C655426</t>
    </r>
  </si>
  <si>
    <r>
      <rPr>
        <sz val="12"/>
        <color rgb="FF231F20"/>
        <rFont val="Calibri"/>
        <family val="2"/>
      </rPr>
      <t>8EY7GY2XW35</t>
    </r>
  </si>
  <si>
    <r>
      <rPr>
        <sz val="12"/>
        <color rgb="FF231F20"/>
        <rFont val="Calibri"/>
        <family val="2"/>
      </rPr>
      <t>4WK6H63TG62</t>
    </r>
  </si>
  <si>
    <r>
      <rPr>
        <sz val="12"/>
        <color rgb="FF231F20"/>
        <rFont val="Calibri"/>
        <family val="2"/>
      </rPr>
      <t>C449511</t>
    </r>
  </si>
  <si>
    <r>
      <rPr>
        <sz val="12"/>
        <color rgb="FF231F20"/>
        <rFont val="Calibri"/>
        <family val="2"/>
      </rPr>
      <t>2CG9QK1KY43</t>
    </r>
  </si>
  <si>
    <r>
      <rPr>
        <sz val="12"/>
        <color rgb="FF231F20"/>
        <rFont val="Calibri"/>
        <family val="2"/>
      </rPr>
      <t>4GX3G39PP90</t>
    </r>
  </si>
  <si>
    <r>
      <rPr>
        <sz val="12"/>
        <color rgb="FF231F20"/>
        <rFont val="Calibri"/>
        <family val="2"/>
      </rPr>
      <t>7KQ6YR4YR64</t>
    </r>
  </si>
  <si>
    <r>
      <rPr>
        <sz val="12"/>
        <color rgb="FF231F20"/>
        <rFont val="Calibri"/>
        <family val="2"/>
      </rPr>
      <t>5M59VJ8DU38</t>
    </r>
  </si>
  <si>
    <r>
      <rPr>
        <sz val="12"/>
        <color rgb="FF231F20"/>
        <rFont val="Calibri"/>
        <family val="2"/>
      </rPr>
      <t>6DG1H96NQ26</t>
    </r>
  </si>
  <si>
    <r>
      <rPr>
        <sz val="12"/>
        <color rgb="FF231F20"/>
        <rFont val="Calibri"/>
        <family val="2"/>
      </rPr>
      <t>CA</t>
    </r>
  </si>
  <si>
    <r>
      <rPr>
        <sz val="12"/>
        <color rgb="FF231F20"/>
        <rFont val="Calibri"/>
        <family val="2"/>
      </rPr>
      <t>5MJ1JJ6JX24</t>
    </r>
  </si>
  <si>
    <r>
      <rPr>
        <sz val="12"/>
        <color rgb="FF231F20"/>
        <rFont val="Calibri"/>
        <family val="2"/>
      </rPr>
      <t>5V70Y68FV42</t>
    </r>
  </si>
  <si>
    <r>
      <rPr>
        <sz val="12"/>
        <color rgb="FF231F20"/>
        <rFont val="Calibri"/>
        <family val="2"/>
      </rPr>
      <t>7T82KU8TC88</t>
    </r>
  </si>
  <si>
    <r>
      <rPr>
        <sz val="12"/>
        <color rgb="FF231F20"/>
        <rFont val="Calibri"/>
        <family val="2"/>
      </rPr>
      <t>4DH3VG5PQ87</t>
    </r>
  </si>
  <si>
    <r>
      <rPr>
        <sz val="12"/>
        <color rgb="FF231F20"/>
        <rFont val="Calibri"/>
        <family val="2"/>
      </rPr>
      <t>DUSTER, JOSEPH</t>
    </r>
  </si>
  <si>
    <r>
      <rPr>
        <sz val="12"/>
        <color rgb="FF231F20"/>
        <rFont val="Calibri"/>
        <family val="2"/>
      </rPr>
      <t>1K99M04PX36</t>
    </r>
  </si>
  <si>
    <r>
      <rPr>
        <sz val="12"/>
        <color rgb="FF231F20"/>
        <rFont val="Calibri"/>
        <family val="2"/>
      </rPr>
      <t>DZURENDA, THERESA</t>
    </r>
  </si>
  <si>
    <r>
      <rPr>
        <sz val="12"/>
        <color rgb="FF231F20"/>
        <rFont val="Calibri"/>
        <family val="2"/>
      </rPr>
      <t>4TT6XV4RG48</t>
    </r>
  </si>
  <si>
    <r>
      <rPr>
        <sz val="12"/>
        <color rgb="FF231F20"/>
        <rFont val="Calibri"/>
        <family val="2"/>
      </rPr>
      <t>EKIS JR, EDWARD</t>
    </r>
  </si>
  <si>
    <r>
      <rPr>
        <sz val="12"/>
        <color rgb="FF231F20"/>
        <rFont val="Calibri"/>
        <family val="2"/>
      </rPr>
      <t>8ET8J26MT37</t>
    </r>
  </si>
  <si>
    <r>
      <rPr>
        <sz val="12"/>
        <color rgb="FF231F20"/>
        <rFont val="Calibri"/>
        <family val="2"/>
      </rPr>
      <t>EKIS, NANCY</t>
    </r>
  </si>
  <si>
    <r>
      <rPr>
        <sz val="12"/>
        <color rgb="FF231F20"/>
        <rFont val="Calibri"/>
        <family val="2"/>
      </rPr>
      <t>9XW8F96FK34</t>
    </r>
  </si>
  <si>
    <r>
      <rPr>
        <sz val="12"/>
        <color rgb="FF231F20"/>
        <rFont val="Calibri"/>
        <family val="2"/>
      </rPr>
      <t>ELLIS, LARRY</t>
    </r>
  </si>
  <si>
    <r>
      <rPr>
        <sz val="12"/>
        <color rgb="FF231F20"/>
        <rFont val="Calibri"/>
        <family val="2"/>
      </rPr>
      <t>4AN3CJ3HN79</t>
    </r>
  </si>
  <si>
    <r>
      <rPr>
        <sz val="12"/>
        <color rgb="FF231F20"/>
        <rFont val="Calibri"/>
        <family val="2"/>
      </rPr>
      <t>FATOW, GAIL</t>
    </r>
  </si>
  <si>
    <r>
      <rPr>
        <sz val="12"/>
        <color rgb="FF231F20"/>
        <rFont val="Calibri"/>
        <family val="2"/>
      </rPr>
      <t>1RG6PP8RE66</t>
    </r>
  </si>
  <si>
    <r>
      <rPr>
        <sz val="12"/>
        <color rgb="FF231F20"/>
        <rFont val="Calibri"/>
        <family val="2"/>
      </rPr>
      <t>FATOW, JEROME</t>
    </r>
  </si>
  <si>
    <r>
      <rPr>
        <sz val="12"/>
        <color rgb="FF231F20"/>
        <rFont val="Calibri"/>
        <family val="2"/>
      </rPr>
      <t>6UE1CU9JJ00</t>
    </r>
  </si>
  <si>
    <r>
      <rPr>
        <sz val="12"/>
        <color rgb="FF231F20"/>
        <rFont val="Calibri"/>
        <family val="2"/>
      </rPr>
      <t>FAZZINI, CAROL</t>
    </r>
  </si>
  <si>
    <r>
      <rPr>
        <sz val="12"/>
        <color rgb="FF231F20"/>
        <rFont val="Calibri"/>
        <family val="2"/>
      </rPr>
      <t>5JJ1QA3YE20</t>
    </r>
  </si>
  <si>
    <r>
      <rPr>
        <sz val="12"/>
        <color rgb="FF231F20"/>
        <rFont val="Calibri"/>
        <family val="2"/>
      </rPr>
      <t>FENNICK, JOHN</t>
    </r>
  </si>
  <si>
    <r>
      <rPr>
        <sz val="12"/>
        <color rgb="FF231F20"/>
        <rFont val="Calibri"/>
        <family val="2"/>
      </rPr>
      <t>4R14A57FV76</t>
    </r>
  </si>
  <si>
    <r>
      <rPr>
        <sz val="12"/>
        <color rgb="FF231F20"/>
        <rFont val="Calibri"/>
        <family val="2"/>
      </rPr>
      <t>FEVER, MAX</t>
    </r>
  </si>
  <si>
    <r>
      <rPr>
        <sz val="12"/>
        <color rgb="FF231F20"/>
        <rFont val="Calibri"/>
        <family val="2"/>
      </rPr>
      <t>4W56PX5QJ71</t>
    </r>
  </si>
  <si>
    <r>
      <rPr>
        <sz val="12"/>
        <color rgb="FF231F20"/>
        <rFont val="Calibri"/>
        <family val="2"/>
      </rPr>
      <t>FEVER, PATRICIA</t>
    </r>
  </si>
  <si>
    <r>
      <rPr>
        <sz val="12"/>
        <color rgb="FF231F20"/>
        <rFont val="Calibri"/>
        <family val="2"/>
      </rPr>
      <t>5NM8UF0RR61</t>
    </r>
  </si>
  <si>
    <r>
      <rPr>
        <sz val="12"/>
        <color rgb="FF231F20"/>
        <rFont val="Calibri"/>
        <family val="2"/>
      </rPr>
      <t>FISHER, AVIS</t>
    </r>
  </si>
  <si>
    <r>
      <rPr>
        <sz val="12"/>
        <color rgb="FF231F20"/>
        <rFont val="Calibri"/>
        <family val="2"/>
      </rPr>
      <t>8HG4JK9NN93</t>
    </r>
  </si>
  <si>
    <r>
      <rPr>
        <sz val="12"/>
        <color rgb="FF231F20"/>
        <rFont val="Calibri"/>
        <family val="2"/>
      </rPr>
      <t>FISHER, JEFFREY</t>
    </r>
  </si>
  <si>
    <r>
      <rPr>
        <sz val="12"/>
        <color rgb="FF231F20"/>
        <rFont val="Calibri"/>
        <family val="2"/>
      </rPr>
      <t>6WP0E65JV06</t>
    </r>
  </si>
  <si>
    <r>
      <rPr>
        <sz val="12"/>
        <color rgb="FF231F20"/>
        <rFont val="Calibri"/>
        <family val="2"/>
      </rPr>
      <t>FLEISCHER, HOLLY</t>
    </r>
  </si>
  <si>
    <r>
      <rPr>
        <sz val="12"/>
        <color rgb="FF231F20"/>
        <rFont val="Calibri"/>
        <family val="2"/>
      </rPr>
      <t>1XF2VU3XU88</t>
    </r>
  </si>
  <si>
    <r>
      <rPr>
        <sz val="12"/>
        <color rgb="FF231F20"/>
        <rFont val="Calibri"/>
        <family val="2"/>
      </rPr>
      <t>FRALEY, KAREN</t>
    </r>
  </si>
  <si>
    <r>
      <rPr>
        <sz val="12"/>
        <color rgb="FF231F20"/>
        <rFont val="Calibri"/>
        <family val="2"/>
      </rPr>
      <t>6VA4MK3GU03</t>
    </r>
  </si>
  <si>
    <r>
      <rPr>
        <sz val="12"/>
        <color rgb="FF231F20"/>
        <rFont val="Calibri"/>
        <family val="2"/>
      </rPr>
      <t>FRASER, JOAN</t>
    </r>
  </si>
  <si>
    <r>
      <rPr>
        <sz val="12"/>
        <color rgb="FF231F20"/>
        <rFont val="Calibri"/>
        <family val="2"/>
      </rPr>
      <t>2ET2NH5KR16</t>
    </r>
  </si>
  <si>
    <r>
      <rPr>
        <sz val="12"/>
        <color rgb="FF231F20"/>
        <rFont val="Calibri"/>
        <family val="2"/>
      </rPr>
      <t>GALLAGHER, JUDITH</t>
    </r>
  </si>
  <si>
    <r>
      <rPr>
        <sz val="12"/>
        <color rgb="FF231F20"/>
        <rFont val="Calibri"/>
        <family val="2"/>
      </rPr>
      <t>7JA2EV7MF83</t>
    </r>
  </si>
  <si>
    <r>
      <rPr>
        <sz val="12"/>
        <color rgb="FF231F20"/>
        <rFont val="Calibri"/>
        <family val="2"/>
      </rPr>
      <t>GEIBEL, GEORGE</t>
    </r>
  </si>
  <si>
    <r>
      <rPr>
        <sz val="12"/>
        <color rgb="FF231F20"/>
        <rFont val="Calibri"/>
        <family val="2"/>
      </rPr>
      <t>8NH4E85YQ87</t>
    </r>
  </si>
  <si>
    <r>
      <rPr>
        <sz val="12"/>
        <color rgb="FF231F20"/>
        <rFont val="Calibri"/>
        <family val="2"/>
      </rPr>
      <t>GILBERT, JULIE</t>
    </r>
  </si>
  <si>
    <r>
      <rPr>
        <sz val="12"/>
        <color rgb="FF231F20"/>
        <rFont val="Calibri"/>
        <family val="2"/>
      </rPr>
      <t>9GF5Y05HF67</t>
    </r>
  </si>
  <si>
    <r>
      <rPr>
        <sz val="12"/>
        <color rgb="FF231F20"/>
        <rFont val="Calibri"/>
        <family val="2"/>
      </rPr>
      <t>GUIDICE SILVERSTON, PAMELA</t>
    </r>
  </si>
  <si>
    <r>
      <rPr>
        <sz val="12"/>
        <color rgb="FF231F20"/>
        <rFont val="Calibri"/>
        <family val="2"/>
      </rPr>
      <t>6CK6YW3DA77</t>
    </r>
  </si>
  <si>
    <r>
      <rPr>
        <sz val="12"/>
        <color rgb="FF231F20"/>
        <rFont val="Calibri"/>
        <family val="2"/>
      </rPr>
      <t>HAGAN, PETER</t>
    </r>
  </si>
  <si>
    <r>
      <rPr>
        <sz val="12"/>
        <color rgb="FF231F20"/>
        <rFont val="Calibri"/>
        <family val="2"/>
      </rPr>
      <t>5WX5EA4KY66</t>
    </r>
  </si>
  <si>
    <r>
      <rPr>
        <sz val="12"/>
        <color rgb="FF231F20"/>
        <rFont val="Calibri"/>
        <family val="2"/>
      </rPr>
      <t>HAYES, BARBARA</t>
    </r>
  </si>
  <si>
    <r>
      <rPr>
        <sz val="12"/>
        <color rgb="FF231F20"/>
        <rFont val="Calibri"/>
        <family val="2"/>
      </rPr>
      <t>4RK6WC5DY75</t>
    </r>
  </si>
  <si>
    <r>
      <rPr>
        <sz val="12"/>
        <color rgb="FF231F20"/>
        <rFont val="Calibri"/>
        <family val="2"/>
      </rPr>
      <t>HODGES, NANCY</t>
    </r>
  </si>
  <si>
    <r>
      <rPr>
        <sz val="12"/>
        <color rgb="FF231F20"/>
        <rFont val="Calibri"/>
        <family val="2"/>
      </rPr>
      <t>7X48QW0EA33</t>
    </r>
  </si>
  <si>
    <r>
      <rPr>
        <sz val="12"/>
        <color rgb="FF231F20"/>
        <rFont val="Calibri"/>
        <family val="2"/>
      </rPr>
      <t>HUFFMAN, GERARD</t>
    </r>
  </si>
  <si>
    <r>
      <rPr>
        <sz val="12"/>
        <color rgb="FF231F20"/>
        <rFont val="Calibri"/>
        <family val="2"/>
      </rPr>
      <t>C637910</t>
    </r>
  </si>
  <si>
    <r>
      <rPr>
        <sz val="12"/>
        <color rgb="FF231F20"/>
        <rFont val="Calibri"/>
        <family val="2"/>
      </rPr>
      <t>7TP0D78NG35</t>
    </r>
  </si>
  <si>
    <r>
      <rPr>
        <sz val="12"/>
        <color rgb="FF231F20"/>
        <rFont val="Calibri"/>
        <family val="2"/>
      </rPr>
      <t>JOHNSON, COLLEEN</t>
    </r>
  </si>
  <si>
    <r>
      <rPr>
        <sz val="12"/>
        <color rgb="FF231F20"/>
        <rFont val="Calibri"/>
        <family val="2"/>
      </rPr>
      <t>7FF6R71AV79</t>
    </r>
  </si>
  <si>
    <r>
      <rPr>
        <sz val="12"/>
        <color rgb="FF231F20"/>
        <rFont val="Calibri"/>
        <family val="2"/>
      </rPr>
      <t>JOHNSON, ERIC</t>
    </r>
  </si>
  <si>
    <r>
      <rPr>
        <sz val="12"/>
        <color rgb="FF231F20"/>
        <rFont val="Calibri"/>
        <family val="2"/>
      </rPr>
      <t>7AG1PJ4VU09</t>
    </r>
  </si>
  <si>
    <r>
      <rPr>
        <sz val="12"/>
        <color rgb="FF231F20"/>
        <rFont val="Calibri"/>
        <family val="2"/>
      </rPr>
      <t>KALTENBAUGH, GERALD</t>
    </r>
  </si>
  <si>
    <r>
      <rPr>
        <sz val="12"/>
        <color rgb="FF231F20"/>
        <rFont val="Calibri"/>
        <family val="2"/>
      </rPr>
      <t>5YT4KH7UT87</t>
    </r>
  </si>
  <si>
    <r>
      <rPr>
        <sz val="12"/>
        <color rgb="FF231F20"/>
        <rFont val="Calibri"/>
        <family val="2"/>
      </rPr>
      <t>KALTENBAUGH, PHYLLIS</t>
    </r>
  </si>
  <si>
    <r>
      <rPr>
        <sz val="12"/>
        <color rgb="FF231F20"/>
        <rFont val="Calibri"/>
        <family val="2"/>
      </rPr>
      <t>2Q37N26HV58</t>
    </r>
  </si>
  <si>
    <r>
      <rPr>
        <sz val="12"/>
        <color rgb="FF231F20"/>
        <rFont val="Calibri"/>
        <family val="2"/>
      </rPr>
      <t>KELLY, DARCY</t>
    </r>
  </si>
  <si>
    <r>
      <rPr>
        <sz val="12"/>
        <color rgb="FF231F20"/>
        <rFont val="Calibri"/>
        <family val="2"/>
      </rPr>
      <t>6UE5NG1JH40</t>
    </r>
  </si>
  <si>
    <r>
      <rPr>
        <sz val="12"/>
        <color rgb="FF231F20"/>
        <rFont val="Calibri"/>
        <family val="2"/>
      </rPr>
      <t>KELLY, EVELYN</t>
    </r>
  </si>
  <si>
    <r>
      <rPr>
        <sz val="12"/>
        <color rgb="FF231F20"/>
        <rFont val="Calibri"/>
        <family val="2"/>
      </rPr>
      <t>6RX9WC5XT11</t>
    </r>
  </si>
  <si>
    <r>
      <rPr>
        <sz val="12"/>
        <color rgb="FF231F20"/>
        <rFont val="Calibri"/>
        <family val="2"/>
      </rPr>
      <t>KELLY, JOHN</t>
    </r>
  </si>
  <si>
    <r>
      <rPr>
        <sz val="12"/>
        <color rgb="FF231F20"/>
        <rFont val="Calibri"/>
        <family val="2"/>
      </rPr>
      <t>8YE9HR3PH10</t>
    </r>
  </si>
  <si>
    <r>
      <rPr>
        <sz val="12"/>
        <color rgb="FF231F20"/>
        <rFont val="Calibri"/>
        <family val="2"/>
      </rPr>
      <t>KELLY, LOUISEANN</t>
    </r>
  </si>
  <si>
    <r>
      <rPr>
        <sz val="12"/>
        <color rgb="FF231F20"/>
        <rFont val="Calibri"/>
        <family val="2"/>
      </rPr>
      <t>3WC5DE9VH85</t>
    </r>
  </si>
  <si>
    <r>
      <rPr>
        <sz val="12"/>
        <color rgb="FF231F20"/>
        <rFont val="Calibri"/>
        <family val="2"/>
      </rPr>
      <t>KELLY, THOMAS</t>
    </r>
  </si>
  <si>
    <r>
      <rPr>
        <sz val="12"/>
        <color rgb="FF231F20"/>
        <rFont val="Calibri"/>
        <family val="2"/>
      </rPr>
      <t>C475237</t>
    </r>
  </si>
  <si>
    <r>
      <rPr>
        <sz val="12"/>
        <color rgb="FF231F20"/>
        <rFont val="Calibri"/>
        <family val="2"/>
      </rPr>
      <t>3VK9AG2UH53</t>
    </r>
  </si>
  <si>
    <r>
      <rPr>
        <sz val="12"/>
        <color rgb="FF231F20"/>
        <rFont val="Calibri"/>
        <family val="2"/>
      </rPr>
      <t>KNAPP, DARLEEN</t>
    </r>
  </si>
  <si>
    <r>
      <rPr>
        <sz val="12"/>
        <color rgb="FF231F20"/>
        <rFont val="Calibri"/>
        <family val="2"/>
      </rPr>
      <t>4JT6Y22DT86</t>
    </r>
  </si>
  <si>
    <r>
      <rPr>
        <sz val="12"/>
        <color rgb="FF231F20"/>
        <rFont val="Calibri"/>
        <family val="2"/>
      </rPr>
      <t>KOESTER, FREDERICK</t>
    </r>
  </si>
  <si>
    <r>
      <rPr>
        <sz val="12"/>
        <color rgb="FF231F20"/>
        <rFont val="Calibri"/>
        <family val="2"/>
      </rPr>
      <t>8MP3NE8DY19</t>
    </r>
  </si>
  <si>
    <r>
      <rPr>
        <sz val="12"/>
        <color rgb="FF231F20"/>
        <rFont val="Calibri"/>
        <family val="2"/>
      </rPr>
      <t>LAREN, ANDERS</t>
    </r>
  </si>
  <si>
    <r>
      <rPr>
        <sz val="12"/>
        <color rgb="FF231F20"/>
        <rFont val="Calibri"/>
        <family val="2"/>
      </rPr>
      <t>3YU6T79GR57</t>
    </r>
  </si>
  <si>
    <r>
      <rPr>
        <sz val="12"/>
        <color rgb="FF231F20"/>
        <rFont val="Calibri"/>
        <family val="2"/>
      </rPr>
      <t>LAUDANDO, JOSEPHINE</t>
    </r>
  </si>
  <si>
    <r>
      <rPr>
        <sz val="12"/>
        <color rgb="FF231F20"/>
        <rFont val="Calibri"/>
        <family val="2"/>
      </rPr>
      <t>8DJ7E82HJ33</t>
    </r>
  </si>
  <si>
    <r>
      <rPr>
        <sz val="12"/>
        <color rgb="FF231F20"/>
        <rFont val="Calibri"/>
        <family val="2"/>
      </rPr>
      <t>LETZELTER, LAWRENCE</t>
    </r>
  </si>
  <si>
    <r>
      <rPr>
        <sz val="12"/>
        <color rgb="FF231F20"/>
        <rFont val="Calibri"/>
        <family val="2"/>
      </rPr>
      <t>5FK9N98YQ58</t>
    </r>
  </si>
  <si>
    <r>
      <rPr>
        <sz val="12"/>
        <color rgb="FF231F20"/>
        <rFont val="Calibri"/>
        <family val="2"/>
      </rPr>
      <t>LEVIN, JOEL</t>
    </r>
  </si>
  <si>
    <r>
      <rPr>
        <sz val="12"/>
        <color rgb="FF231F20"/>
        <rFont val="Calibri"/>
        <family val="2"/>
      </rPr>
      <t>2PG5F41UC55</t>
    </r>
  </si>
  <si>
    <r>
      <rPr>
        <sz val="12"/>
        <color rgb="FF231F20"/>
        <rFont val="Calibri"/>
        <family val="2"/>
      </rPr>
      <t>LINAHAN, DIANE</t>
    </r>
  </si>
  <si>
    <r>
      <rPr>
        <sz val="12"/>
        <color rgb="FF231F20"/>
        <rFont val="Calibri"/>
        <family val="2"/>
      </rPr>
      <t>1QR2UJ4EE95</t>
    </r>
  </si>
  <si>
    <r>
      <rPr>
        <sz val="12"/>
        <color rgb="FF231F20"/>
        <rFont val="Calibri"/>
        <family val="2"/>
      </rPr>
      <t>MANN, ANDREA</t>
    </r>
  </si>
  <si>
    <r>
      <rPr>
        <sz val="12"/>
        <color rgb="FF231F20"/>
        <rFont val="Calibri"/>
        <family val="2"/>
      </rPr>
      <t>6QN0F11FJ26</t>
    </r>
  </si>
  <si>
    <r>
      <rPr>
        <sz val="12"/>
        <color rgb="FF231F20"/>
        <rFont val="Calibri"/>
        <family val="2"/>
      </rPr>
      <t>MANN, MICHAEL</t>
    </r>
  </si>
  <si>
    <r>
      <rPr>
        <sz val="12"/>
        <color rgb="FF231F20"/>
        <rFont val="Calibri"/>
        <family val="2"/>
      </rPr>
      <t>3TP5YK8DJ97</t>
    </r>
  </si>
  <si>
    <r>
      <rPr>
        <sz val="12"/>
        <color rgb="FF231F20"/>
        <rFont val="Calibri"/>
        <family val="2"/>
      </rPr>
      <t>MASUCCI, JUDY</t>
    </r>
  </si>
  <si>
    <r>
      <rPr>
        <sz val="12"/>
        <color rgb="FF231F20"/>
        <rFont val="Calibri"/>
        <family val="2"/>
      </rPr>
      <t>3UX4JD7KW93</t>
    </r>
  </si>
  <si>
    <r>
      <rPr>
        <sz val="12"/>
        <color rgb="FF231F20"/>
        <rFont val="Calibri"/>
        <family val="2"/>
      </rPr>
      <t>MCCALL, DOROTHY</t>
    </r>
  </si>
  <si>
    <r>
      <rPr>
        <sz val="12"/>
        <color rgb="FF231F20"/>
        <rFont val="Calibri"/>
        <family val="2"/>
      </rPr>
      <t>1AC6UT4DU55</t>
    </r>
  </si>
  <si>
    <r>
      <rPr>
        <sz val="12"/>
        <color rgb="FF231F20"/>
        <rFont val="Calibri"/>
        <family val="2"/>
      </rPr>
      <t>MCCALL, FRANCIS</t>
    </r>
  </si>
  <si>
    <r>
      <rPr>
        <sz val="12"/>
        <color rgb="FF231F20"/>
        <rFont val="Calibri"/>
        <family val="2"/>
      </rPr>
      <t>2X61AC5TY04</t>
    </r>
  </si>
  <si>
    <r>
      <rPr>
        <sz val="12"/>
        <color rgb="FF231F20"/>
        <rFont val="Calibri"/>
        <family val="2"/>
      </rPr>
      <t>MCGOWAN, ROBERT</t>
    </r>
  </si>
  <si>
    <r>
      <rPr>
        <sz val="12"/>
        <color rgb="FF231F20"/>
        <rFont val="Calibri"/>
        <family val="2"/>
      </rPr>
      <t>9E07UT9YK37</t>
    </r>
  </si>
  <si>
    <r>
      <rPr>
        <sz val="12"/>
        <color rgb="FF231F20"/>
        <rFont val="Calibri"/>
        <family val="2"/>
      </rPr>
      <t>MCKEON, RONALD</t>
    </r>
  </si>
  <si>
    <r>
      <rPr>
        <sz val="12"/>
        <color rgb="FF231F20"/>
        <rFont val="Calibri"/>
        <family val="2"/>
      </rPr>
      <t>3JQ7Q79QU46</t>
    </r>
  </si>
  <si>
    <r>
      <rPr>
        <sz val="12"/>
        <color rgb="FF231F20"/>
        <rFont val="Calibri"/>
        <family val="2"/>
      </rPr>
      <t>MEGLIO, ANTONIO</t>
    </r>
  </si>
  <si>
    <r>
      <rPr>
        <sz val="12"/>
        <color rgb="FF231F20"/>
        <rFont val="Calibri"/>
        <family val="2"/>
      </rPr>
      <t>7YK3V60VC18</t>
    </r>
  </si>
  <si>
    <r>
      <rPr>
        <sz val="12"/>
        <color rgb="FF231F20"/>
        <rFont val="Calibri"/>
        <family val="2"/>
      </rPr>
      <t>MICHELSEN, GARY</t>
    </r>
  </si>
  <si>
    <r>
      <rPr>
        <sz val="12"/>
        <color rgb="FF231F20"/>
        <rFont val="Calibri"/>
        <family val="2"/>
      </rPr>
      <t>3HP9E78UK47</t>
    </r>
  </si>
  <si>
    <r>
      <rPr>
        <sz val="12"/>
        <color rgb="FF231F20"/>
        <rFont val="Calibri"/>
        <family val="2"/>
      </rPr>
      <t>MICHELSEN, SUSAN</t>
    </r>
  </si>
  <si>
    <r>
      <rPr>
        <sz val="12"/>
        <color rgb="FF231F20"/>
        <rFont val="Calibri"/>
        <family val="2"/>
      </rPr>
      <t>7CD3W50YE74</t>
    </r>
  </si>
  <si>
    <r>
      <rPr>
        <sz val="12"/>
        <color rgb="FF231F20"/>
        <rFont val="Calibri"/>
        <family val="2"/>
      </rPr>
      <t>MIKUS, MARYRAE</t>
    </r>
  </si>
  <si>
    <r>
      <rPr>
        <sz val="12"/>
        <color rgb="FF231F20"/>
        <rFont val="Calibri"/>
        <family val="2"/>
      </rPr>
      <t>8P74P67TM94</t>
    </r>
  </si>
  <si>
    <r>
      <rPr>
        <sz val="12"/>
        <color rgb="FF231F20"/>
        <rFont val="Calibri"/>
        <family val="2"/>
      </rPr>
      <t>OCONNOR, CELESTE</t>
    </r>
  </si>
  <si>
    <r>
      <rPr>
        <sz val="12"/>
        <color rgb="FF231F20"/>
        <rFont val="Calibri"/>
        <family val="2"/>
      </rPr>
      <t>7HD2K92UV97</t>
    </r>
  </si>
  <si>
    <r>
      <rPr>
        <sz val="12"/>
        <color rgb="FF231F20"/>
        <rFont val="Calibri"/>
        <family val="2"/>
      </rPr>
      <t>OWEN, LISA</t>
    </r>
  </si>
  <si>
    <r>
      <rPr>
        <sz val="12"/>
        <color rgb="FF231F20"/>
        <rFont val="Calibri"/>
        <family val="2"/>
      </rPr>
      <t>2VH8CF2CT68</t>
    </r>
  </si>
  <si>
    <r>
      <rPr>
        <sz val="12"/>
        <color rgb="FF231F20"/>
        <rFont val="Calibri"/>
        <family val="2"/>
      </rPr>
      <t>PETTIT, FRANKLIN</t>
    </r>
  </si>
  <si>
    <r>
      <rPr>
        <sz val="12"/>
        <color rgb="FF231F20"/>
        <rFont val="Calibri"/>
        <family val="2"/>
      </rPr>
      <t>6U48NU4NQ55</t>
    </r>
  </si>
  <si>
    <r>
      <rPr>
        <sz val="12"/>
        <color rgb="FF231F20"/>
        <rFont val="Calibri"/>
        <family val="2"/>
      </rPr>
      <t>PETTIT, LINDA</t>
    </r>
  </si>
  <si>
    <r>
      <rPr>
        <sz val="12"/>
        <color rgb="FF231F20"/>
        <rFont val="Calibri"/>
        <family val="2"/>
      </rPr>
      <t>4YW1EX9TY25</t>
    </r>
  </si>
  <si>
    <r>
      <rPr>
        <sz val="12"/>
        <color rgb="FF231F20"/>
        <rFont val="Calibri"/>
        <family val="2"/>
      </rPr>
      <t>RICHTER JR, ROBERT</t>
    </r>
  </si>
  <si>
    <r>
      <rPr>
        <sz val="12"/>
        <color rgb="FF231F20"/>
        <rFont val="Calibri"/>
        <family val="2"/>
      </rPr>
      <t>2DG4VA3UK82</t>
    </r>
  </si>
  <si>
    <r>
      <rPr>
        <sz val="12"/>
        <color rgb="FF231F20"/>
        <rFont val="Calibri"/>
        <family val="2"/>
      </rPr>
      <t>ROSENBERG, ELAINE</t>
    </r>
  </si>
  <si>
    <r>
      <rPr>
        <sz val="12"/>
        <color rgb="FF231F20"/>
        <rFont val="Calibri"/>
        <family val="2"/>
      </rPr>
      <t>8P18YV7VU45</t>
    </r>
  </si>
  <si>
    <r>
      <rPr>
        <sz val="12"/>
        <color rgb="FF231F20"/>
        <rFont val="Calibri"/>
        <family val="2"/>
      </rPr>
      <t>ROWLEY, NORINE</t>
    </r>
  </si>
  <si>
    <r>
      <rPr>
        <sz val="12"/>
        <color rgb="FF231F20"/>
        <rFont val="Calibri"/>
        <family val="2"/>
      </rPr>
      <t>8RU6YV2RR86</t>
    </r>
  </si>
  <si>
    <r>
      <rPr>
        <sz val="12"/>
        <color rgb="FF231F20"/>
        <rFont val="Calibri"/>
        <family val="2"/>
      </rPr>
      <t>SACHS, TOD</t>
    </r>
  </si>
  <si>
    <r>
      <rPr>
        <sz val="12"/>
        <color rgb="FF231F20"/>
        <rFont val="Calibri"/>
        <family val="2"/>
      </rPr>
      <t>5WD0A81KH17</t>
    </r>
  </si>
  <si>
    <r>
      <rPr>
        <sz val="12"/>
        <color rgb="FF231F20"/>
        <rFont val="Calibri"/>
        <family val="2"/>
      </rPr>
      <t>SCHAFFER, HARLAND</t>
    </r>
  </si>
  <si>
    <r>
      <rPr>
        <sz val="12"/>
        <color rgb="FF231F20"/>
        <rFont val="Calibri"/>
        <family val="2"/>
      </rPr>
      <t>1HQ4K76WK99</t>
    </r>
  </si>
  <si>
    <r>
      <rPr>
        <sz val="12"/>
        <color rgb="FF231F20"/>
        <rFont val="Calibri"/>
        <family val="2"/>
      </rPr>
      <t>SCHNUR, DAVID</t>
    </r>
  </si>
  <si>
    <r>
      <rPr>
        <sz val="12"/>
        <color rgb="FF231F20"/>
        <rFont val="Calibri"/>
        <family val="2"/>
      </rPr>
      <t>4ED5K25XG66</t>
    </r>
  </si>
  <si>
    <r>
      <rPr>
        <sz val="12"/>
        <color rgb="FF231F20"/>
        <rFont val="Calibri"/>
        <family val="2"/>
      </rPr>
      <t>SCHULTZ, LILLIAN</t>
    </r>
  </si>
  <si>
    <r>
      <rPr>
        <sz val="12"/>
        <color rgb="FF231F20"/>
        <rFont val="Calibri"/>
        <family val="2"/>
      </rPr>
      <t>8HK4VX0VP78</t>
    </r>
  </si>
  <si>
    <r>
      <rPr>
        <sz val="12"/>
        <color rgb="FF231F20"/>
        <rFont val="Calibri"/>
        <family val="2"/>
      </rPr>
      <t>SCHULZE, RICHARD</t>
    </r>
  </si>
  <si>
    <r>
      <rPr>
        <sz val="12"/>
        <color rgb="FF231F20"/>
        <rFont val="Calibri"/>
        <family val="2"/>
      </rPr>
      <t>C527734</t>
    </r>
  </si>
  <si>
    <r>
      <rPr>
        <sz val="12"/>
        <color rgb="FF231F20"/>
        <rFont val="Calibri"/>
        <family val="2"/>
      </rPr>
      <t>4H78UK0XU41</t>
    </r>
  </si>
  <si>
    <r>
      <rPr>
        <sz val="12"/>
        <color rgb="FF231F20"/>
        <rFont val="Calibri"/>
        <family val="2"/>
      </rPr>
      <t>SHAFFER, MARK</t>
    </r>
  </si>
  <si>
    <r>
      <rPr>
        <sz val="12"/>
        <color rgb="FF231F20"/>
        <rFont val="Calibri"/>
        <family val="2"/>
      </rPr>
      <t>5J69QD9MK33</t>
    </r>
  </si>
  <si>
    <r>
      <rPr>
        <sz val="12"/>
        <color rgb="FF231F20"/>
        <rFont val="Calibri"/>
        <family val="2"/>
      </rPr>
      <t>SHANOR, PATRICIA</t>
    </r>
  </si>
  <si>
    <r>
      <rPr>
        <sz val="12"/>
        <color rgb="FF231F20"/>
        <rFont val="Calibri"/>
        <family val="2"/>
      </rPr>
      <t>4F39VA2GD34</t>
    </r>
  </si>
  <si>
    <r>
      <rPr>
        <sz val="12"/>
        <color rgb="FF231F20"/>
        <rFont val="Calibri"/>
        <family val="2"/>
      </rPr>
      <t>SHELDON, KATHY</t>
    </r>
  </si>
  <si>
    <r>
      <rPr>
        <sz val="12"/>
        <color rgb="FF231F20"/>
        <rFont val="Calibri"/>
        <family val="2"/>
      </rPr>
      <t>9TQ8VH0FK48</t>
    </r>
  </si>
  <si>
    <r>
      <rPr>
        <sz val="12"/>
        <color rgb="FF231F20"/>
        <rFont val="Calibri"/>
        <family val="2"/>
      </rPr>
      <t>SHELDON, STEVEN</t>
    </r>
  </si>
  <si>
    <r>
      <rPr>
        <sz val="12"/>
        <color rgb="FF231F20"/>
        <rFont val="Calibri"/>
        <family val="2"/>
      </rPr>
      <t>3N29PA5WF25</t>
    </r>
  </si>
  <si>
    <r>
      <rPr>
        <sz val="12"/>
        <color rgb="FF231F20"/>
        <rFont val="Calibri"/>
        <family val="2"/>
      </rPr>
      <t>SICALIDES, ANNA</t>
    </r>
  </si>
  <si>
    <r>
      <rPr>
        <sz val="12"/>
        <color rgb="FF231F20"/>
        <rFont val="Calibri"/>
        <family val="2"/>
      </rPr>
      <t>1D81CP9CA37</t>
    </r>
  </si>
  <si>
    <r>
      <rPr>
        <sz val="12"/>
        <color rgb="FF231F20"/>
        <rFont val="Calibri"/>
        <family val="2"/>
      </rPr>
      <t>SIEGEL, RAYMOND</t>
    </r>
  </si>
  <si>
    <r>
      <rPr>
        <sz val="12"/>
        <color rgb="FF231F20"/>
        <rFont val="Calibri"/>
        <family val="2"/>
      </rPr>
      <t>7HE0UR1CQ24</t>
    </r>
  </si>
  <si>
    <r>
      <rPr>
        <sz val="12"/>
        <color rgb="FF231F20"/>
        <rFont val="Calibri"/>
        <family val="2"/>
      </rPr>
      <t>SMITH, LINDA</t>
    </r>
  </si>
  <si>
    <r>
      <rPr>
        <sz val="12"/>
        <color rgb="FF231F20"/>
        <rFont val="Calibri"/>
        <family val="2"/>
      </rPr>
      <t>CO</t>
    </r>
  </si>
  <si>
    <r>
      <rPr>
        <sz val="12"/>
        <color rgb="FF231F20"/>
        <rFont val="Calibri"/>
        <family val="2"/>
      </rPr>
      <t>C508817</t>
    </r>
  </si>
  <si>
    <r>
      <rPr>
        <sz val="12"/>
        <color rgb="FF231F20"/>
        <rFont val="Calibri"/>
        <family val="2"/>
      </rPr>
      <t>6VT0DQ1FK11</t>
    </r>
  </si>
  <si>
    <r>
      <rPr>
        <sz val="12"/>
        <color rgb="FF231F20"/>
        <rFont val="Calibri"/>
        <family val="2"/>
      </rPr>
      <t>THOMPSON, KATHLEEN</t>
    </r>
  </si>
  <si>
    <r>
      <rPr>
        <sz val="12"/>
        <color rgb="FF231F20"/>
        <rFont val="Calibri"/>
        <family val="2"/>
      </rPr>
      <t>5GR5QJ2HU77</t>
    </r>
  </si>
  <si>
    <r>
      <rPr>
        <sz val="12"/>
        <color rgb="FF231F20"/>
        <rFont val="Calibri"/>
        <family val="2"/>
      </rPr>
      <t>THOMPSON, RONALD</t>
    </r>
  </si>
  <si>
    <r>
      <rPr>
        <sz val="12"/>
        <color rgb="FF231F20"/>
        <rFont val="Calibri"/>
        <family val="2"/>
      </rPr>
      <t>3G43EM3UQ15</t>
    </r>
  </si>
  <si>
    <r>
      <rPr>
        <sz val="12"/>
        <color rgb="FF231F20"/>
        <rFont val="Calibri"/>
        <family val="2"/>
      </rPr>
      <t>TRAUD, DENISE</t>
    </r>
  </si>
  <si>
    <r>
      <rPr>
        <sz val="12"/>
        <color rgb="FF231F20"/>
        <rFont val="Calibri"/>
        <family val="2"/>
      </rPr>
      <t>1AH9NE2FR57</t>
    </r>
  </si>
  <si>
    <r>
      <rPr>
        <sz val="12"/>
        <color rgb="FF231F20"/>
        <rFont val="Calibri"/>
        <family val="2"/>
      </rPr>
      <t>TURNER, LORRIE</t>
    </r>
  </si>
  <si>
    <r>
      <rPr>
        <sz val="12"/>
        <color rgb="FF231F20"/>
        <rFont val="Calibri"/>
        <family val="2"/>
      </rPr>
      <t>6W29H72MJ28</t>
    </r>
  </si>
  <si>
    <r>
      <rPr>
        <sz val="12"/>
        <color rgb="FF231F20"/>
        <rFont val="Calibri"/>
        <family val="2"/>
      </rPr>
      <t>VEZZI, DONALD</t>
    </r>
  </si>
  <si>
    <r>
      <rPr>
        <sz val="12"/>
        <color rgb="FF231F20"/>
        <rFont val="Calibri"/>
        <family val="2"/>
      </rPr>
      <t>6C43H04TU08</t>
    </r>
  </si>
  <si>
    <r>
      <rPr>
        <sz val="12"/>
        <color rgb="FF231F20"/>
        <rFont val="Calibri"/>
        <family val="2"/>
      </rPr>
      <t>VEZZI, MICHELE</t>
    </r>
  </si>
  <si>
    <r>
      <rPr>
        <sz val="12"/>
        <color rgb="FF231F20"/>
        <rFont val="Calibri"/>
        <family val="2"/>
      </rPr>
      <t>9UQ7GK1EX39</t>
    </r>
  </si>
  <si>
    <r>
      <rPr>
        <sz val="12"/>
        <color rgb="FF231F20"/>
        <rFont val="Calibri"/>
        <family val="2"/>
      </rPr>
      <t>VICARI, VINCENT</t>
    </r>
  </si>
  <si>
    <r>
      <rPr>
        <sz val="12"/>
        <color rgb="FF231F20"/>
        <rFont val="Calibri"/>
        <family val="2"/>
      </rPr>
      <t>8AW0KY1TE48</t>
    </r>
  </si>
  <si>
    <r>
      <rPr>
        <sz val="12"/>
        <color rgb="FF231F20"/>
        <rFont val="Calibri"/>
        <family val="2"/>
      </rPr>
      <t>WEISS, ROBERT</t>
    </r>
  </si>
  <si>
    <r>
      <rPr>
        <sz val="12"/>
        <color rgb="FF231F20"/>
        <rFont val="Calibri"/>
        <family val="2"/>
      </rPr>
      <t>7HJ6WK1VQ48</t>
    </r>
  </si>
  <si>
    <r>
      <rPr>
        <sz val="12"/>
        <color rgb="FF231F20"/>
        <rFont val="Calibri"/>
        <family val="2"/>
      </rPr>
      <t>WHITESELL, DENNIS</t>
    </r>
  </si>
  <si>
    <r>
      <rPr>
        <sz val="12"/>
        <color rgb="FF231F20"/>
        <rFont val="Calibri"/>
        <family val="2"/>
      </rPr>
      <t>8M14JY5QM09</t>
    </r>
  </si>
  <si>
    <r>
      <rPr>
        <sz val="12"/>
        <color rgb="FF231F20"/>
        <rFont val="Calibri"/>
        <family val="2"/>
      </rPr>
      <t>WILLIAMS, SARAH</t>
    </r>
  </si>
  <si>
    <r>
      <rPr>
        <sz val="12"/>
        <color rgb="FF231F20"/>
        <rFont val="Calibri"/>
        <family val="2"/>
      </rPr>
      <t>3XN3N30TH85</t>
    </r>
  </si>
  <si>
    <r>
      <rPr>
        <sz val="12"/>
        <color rgb="FF231F20"/>
        <rFont val="Calibri"/>
        <family val="2"/>
      </rPr>
      <t>WOLFE, LANE</t>
    </r>
  </si>
  <si>
    <r>
      <rPr>
        <sz val="12"/>
        <color rgb="FF231F20"/>
        <rFont val="Calibri"/>
        <family val="2"/>
      </rPr>
      <t>8DE4EK9VV70</t>
    </r>
  </si>
  <si>
    <r>
      <rPr>
        <sz val="12"/>
        <color rgb="FF231F20"/>
        <rFont val="Calibri"/>
        <family val="2"/>
      </rPr>
      <t>WORTHINGTON, ROBERT</t>
    </r>
  </si>
  <si>
    <r>
      <rPr>
        <sz val="12"/>
        <color rgb="FF231F20"/>
        <rFont val="Calibri"/>
        <family val="2"/>
      </rPr>
      <t>5E98E53KM66</t>
    </r>
  </si>
  <si>
    <r>
      <rPr>
        <sz val="12"/>
        <color rgb="FF231F20"/>
        <rFont val="Calibri"/>
        <family val="2"/>
      </rPr>
      <t>WYLIE, NANCY</t>
    </r>
  </si>
  <si>
    <r>
      <rPr>
        <sz val="12"/>
        <color rgb="FF231F20"/>
        <rFont val="Calibri"/>
        <family val="2"/>
      </rPr>
      <t>4RU7X03AX52</t>
    </r>
  </si>
  <si>
    <r>
      <rPr>
        <sz val="12"/>
        <color rgb="FF231F20"/>
        <rFont val="Calibri"/>
        <family val="2"/>
      </rPr>
      <t>YAROSCHAK, JOHN</t>
    </r>
  </si>
  <si>
    <r>
      <rPr>
        <sz val="12"/>
        <color rgb="FF231F20"/>
        <rFont val="Calibri"/>
        <family val="2"/>
      </rPr>
      <t>2QM3NK2FK06</t>
    </r>
  </si>
  <si>
    <r>
      <rPr>
        <sz val="12"/>
        <color rgb="FF231F20"/>
        <rFont val="Calibri"/>
        <family val="2"/>
      </rPr>
      <t>ZAYAC, JOHN</t>
    </r>
  </si>
  <si>
    <r>
      <rPr>
        <sz val="12"/>
        <color rgb="FF231F20"/>
        <rFont val="Calibri"/>
        <family val="2"/>
      </rPr>
      <t>4YP0EK1UW37</t>
    </r>
  </si>
  <si>
    <r>
      <rPr>
        <sz val="12"/>
        <color rgb="FF231F20"/>
        <rFont val="Calibri"/>
        <family val="2"/>
      </rPr>
      <t>ZAYAC, MARTHA</t>
    </r>
  </si>
  <si>
    <r>
      <rPr>
        <sz val="12"/>
        <color rgb="FF231F20"/>
        <rFont val="Calibri"/>
        <family val="2"/>
      </rPr>
      <t>5QR2KQ3PJ00</t>
    </r>
  </si>
  <si>
    <r>
      <rPr>
        <sz val="12"/>
        <color rgb="FF231F20"/>
        <rFont val="Calibri"/>
        <family val="2"/>
      </rPr>
      <t>ZIEGLER, GLENN</t>
    </r>
  </si>
  <si>
    <r>
      <rPr>
        <sz val="12"/>
        <color rgb="FF231F20"/>
        <rFont val="Calibri"/>
        <family val="2"/>
      </rPr>
      <t>1QF9PD9WV58</t>
    </r>
  </si>
  <si>
    <r>
      <rPr>
        <sz val="12"/>
        <color rgb="FF231F20"/>
        <rFont val="Calibri"/>
        <family val="2"/>
      </rPr>
      <t>ZIMMERMAN, DON</t>
    </r>
  </si>
  <si>
    <r>
      <rPr>
        <sz val="12"/>
        <color rgb="FF231F20"/>
        <rFont val="Calibri"/>
        <family val="2"/>
      </rPr>
      <t>8FP8Y42VH36</t>
    </r>
  </si>
  <si>
    <r>
      <rPr>
        <sz val="12"/>
        <color rgb="FF231F20"/>
        <rFont val="Calibri"/>
        <family val="2"/>
      </rPr>
      <t>CARTER, LORI</t>
    </r>
  </si>
  <si>
    <r>
      <rPr>
        <sz val="12"/>
        <color rgb="FF231F20"/>
        <rFont val="Calibri"/>
        <family val="2"/>
      </rPr>
      <t>2E50JP0UM23</t>
    </r>
  </si>
  <si>
    <r>
      <rPr>
        <sz val="12"/>
        <color rgb="FF231F20"/>
        <rFont val="Calibri"/>
        <family val="2"/>
      </rPr>
      <t>CASHEN, CHRISTOPHER</t>
    </r>
  </si>
  <si>
    <r>
      <rPr>
        <sz val="12"/>
        <color rgb="FF231F20"/>
        <rFont val="Calibri"/>
        <family val="2"/>
      </rPr>
      <t>2RX1XM9HR39</t>
    </r>
  </si>
  <si>
    <r>
      <rPr>
        <sz val="12"/>
        <color rgb="FF231F20"/>
        <rFont val="Calibri"/>
        <family val="2"/>
      </rPr>
      <t>FONDA, ROBERT</t>
    </r>
  </si>
  <si>
    <r>
      <rPr>
        <sz val="12"/>
        <color rgb="FF231F20"/>
        <rFont val="Calibri"/>
        <family val="2"/>
      </rPr>
      <t>GA</t>
    </r>
  </si>
  <si>
    <r>
      <rPr>
        <sz val="12"/>
        <color rgb="FF231F20"/>
        <rFont val="Calibri"/>
        <family val="2"/>
      </rPr>
      <t>5K76W51HV62</t>
    </r>
  </si>
  <si>
    <r>
      <rPr>
        <sz val="12"/>
        <color rgb="FF231F20"/>
        <rFont val="Calibri"/>
        <family val="2"/>
      </rPr>
      <t>STEINHEISER, TERRY</t>
    </r>
  </si>
  <si>
    <r>
      <rPr>
        <sz val="12"/>
        <color rgb="FF231F20"/>
        <rFont val="Calibri"/>
        <family val="2"/>
      </rPr>
      <t>RAPID DISENROLLMENT</t>
    </r>
  </si>
  <si>
    <r>
      <rPr>
        <sz val="12"/>
        <color rgb="FF231F20"/>
        <rFont val="Calibri"/>
        <family val="2"/>
      </rPr>
      <t>MD</t>
    </r>
  </si>
  <si>
    <r>
      <rPr>
        <sz val="12"/>
        <color rgb="FF231F20"/>
        <rFont val="Calibri"/>
        <family val="2"/>
      </rPr>
      <t>C398389</t>
    </r>
  </si>
  <si>
    <r>
      <rPr>
        <sz val="12"/>
        <color rgb="FF231F20"/>
        <rFont val="Calibri"/>
        <family val="2"/>
      </rPr>
      <t>6WD9M26JG46</t>
    </r>
  </si>
  <si>
    <r>
      <rPr>
        <sz val="12"/>
        <color rgb="FF231F20"/>
        <rFont val="Calibri"/>
        <family val="2"/>
      </rPr>
      <t>CHIN, JIMMY</t>
    </r>
  </si>
  <si>
    <r>
      <rPr>
        <sz val="12"/>
        <color rgb="FF231F20"/>
        <rFont val="Calibri"/>
        <family val="2"/>
      </rPr>
      <t>2NQ6H33FP72</t>
    </r>
  </si>
  <si>
    <r>
      <rPr>
        <sz val="12"/>
        <color rgb="FF231F20"/>
        <rFont val="Calibri"/>
        <family val="2"/>
      </rPr>
      <t>CORTES, LOLITA</t>
    </r>
  </si>
  <si>
    <r>
      <rPr>
        <sz val="12"/>
        <color rgb="FF231F20"/>
        <rFont val="Calibri"/>
        <family val="2"/>
      </rPr>
      <t>1F00FM5DD01</t>
    </r>
  </si>
  <si>
    <r>
      <rPr>
        <sz val="12"/>
        <color rgb="FF231F20"/>
        <rFont val="Calibri"/>
        <family val="2"/>
      </rPr>
      <t>DE FRANCESCO, ANTONIO</t>
    </r>
  </si>
  <si>
    <r>
      <rPr>
        <sz val="12"/>
        <color rgb="FF231F20"/>
        <rFont val="Calibri"/>
        <family val="2"/>
      </rPr>
      <t>1KA4AH5FA99</t>
    </r>
  </si>
  <si>
    <r>
      <rPr>
        <sz val="12"/>
        <color rgb="FF231F20"/>
        <rFont val="Calibri"/>
        <family val="2"/>
      </rPr>
      <t>DOWELL, MARGARET</t>
    </r>
  </si>
  <si>
    <r>
      <rPr>
        <sz val="12"/>
        <color rgb="FF231F20"/>
        <rFont val="Calibri"/>
        <family val="2"/>
      </rPr>
      <t>DISENROLLMENT-DECEASED</t>
    </r>
  </si>
  <si>
    <r>
      <rPr>
        <sz val="12"/>
        <color rgb="FF231F20"/>
        <rFont val="Calibri"/>
        <family val="2"/>
      </rPr>
      <t>2K85GF1YX84</t>
    </r>
  </si>
  <si>
    <r>
      <rPr>
        <sz val="12"/>
        <color rgb="FF231F20"/>
        <rFont val="Calibri"/>
        <family val="2"/>
      </rPr>
      <t>HAGEN JR, EDMUND</t>
    </r>
  </si>
  <si>
    <r>
      <rPr>
        <sz val="12"/>
        <color rgb="FF231F20"/>
        <rFont val="Calibri"/>
        <family val="2"/>
      </rPr>
      <t>7JX4EC9EY66</t>
    </r>
  </si>
  <si>
    <r>
      <rPr>
        <sz val="12"/>
        <color rgb="FF231F20"/>
        <rFont val="Calibri"/>
        <family val="2"/>
      </rPr>
      <t>JOHNSON, WILLIAM</t>
    </r>
  </si>
  <si>
    <r>
      <rPr>
        <sz val="12"/>
        <color rgb="FF231F20"/>
        <rFont val="Calibri"/>
        <family val="2"/>
      </rPr>
      <t>4RA5RC4VM88</t>
    </r>
  </si>
  <si>
    <r>
      <rPr>
        <sz val="12"/>
        <color rgb="FF231F20"/>
        <rFont val="Calibri"/>
        <family val="2"/>
      </rPr>
      <t>KELLY, DONALD</t>
    </r>
  </si>
  <si>
    <r>
      <rPr>
        <sz val="12"/>
        <color rgb="FF231F20"/>
        <rFont val="Calibri"/>
        <family val="2"/>
      </rPr>
      <t>5MQ3WV4GX00</t>
    </r>
  </si>
  <si>
    <r>
      <rPr>
        <sz val="12"/>
        <color rgb="FF231F20"/>
        <rFont val="Calibri"/>
        <family val="2"/>
      </rPr>
      <t>MYERS, CECELIA</t>
    </r>
  </si>
  <si>
    <r>
      <rPr>
        <sz val="12"/>
        <color rgb="FF231F20"/>
        <rFont val="Calibri"/>
        <family val="2"/>
      </rPr>
      <t>5Q40FK8PY42</t>
    </r>
  </si>
  <si>
    <r>
      <rPr>
        <sz val="12"/>
        <color rgb="FF231F20"/>
        <rFont val="Calibri"/>
        <family val="2"/>
      </rPr>
      <t>NOWLAN, JANICE</t>
    </r>
  </si>
  <si>
    <r>
      <rPr>
        <sz val="12"/>
        <color rgb="FF231F20"/>
        <rFont val="Calibri"/>
        <family val="2"/>
      </rPr>
      <t>7WW8JG4YQ28</t>
    </r>
  </si>
  <si>
    <r>
      <rPr>
        <sz val="12"/>
        <color rgb="FF231F20"/>
        <rFont val="Calibri"/>
        <family val="2"/>
      </rPr>
      <t>BRUNO, SAMUEL</t>
    </r>
  </si>
  <si>
    <r>
      <rPr>
        <sz val="12"/>
        <color rgb="FF231F20"/>
        <rFont val="Calibri"/>
        <family val="2"/>
      </rPr>
      <t>H2</t>
    </r>
  </si>
  <si>
    <r>
      <rPr>
        <sz val="12"/>
        <color rgb="FF231F20"/>
        <rFont val="Calibri"/>
        <family val="2"/>
      </rPr>
      <t>9DF0T66DU28</t>
    </r>
  </si>
  <si>
    <r>
      <rPr>
        <sz val="12"/>
        <color rgb="FF231F20"/>
        <rFont val="Calibri"/>
        <family val="2"/>
      </rPr>
      <t>DUSTER, LUANN</t>
    </r>
  </si>
  <si>
    <r>
      <rPr>
        <sz val="12"/>
        <color rgb="FF231F20"/>
        <rFont val="Calibri"/>
        <family val="2"/>
      </rPr>
      <t>9AC1DX1RV26</t>
    </r>
  </si>
  <si>
    <r>
      <rPr>
        <sz val="12"/>
        <color rgb="FF231F20"/>
        <rFont val="Calibri"/>
        <family val="2"/>
      </rPr>
      <t>HALAHURICH, STEPHEN</t>
    </r>
  </si>
  <si>
    <r>
      <rPr>
        <sz val="12"/>
        <color rgb="FF231F20"/>
        <rFont val="Calibri"/>
        <family val="2"/>
      </rPr>
      <t>4PF7NK9JG67</t>
    </r>
  </si>
  <si>
    <r>
      <rPr>
        <sz val="12"/>
        <color rgb="FF231F20"/>
        <rFont val="Calibri"/>
        <family val="2"/>
      </rPr>
      <t>HALEY, THERESE</t>
    </r>
  </si>
  <si>
    <r>
      <rPr>
        <sz val="12"/>
        <color rgb="FF231F20"/>
        <rFont val="Calibri"/>
        <family val="2"/>
      </rPr>
      <t>6YU6AP7GR57</t>
    </r>
  </si>
  <si>
    <r>
      <rPr>
        <sz val="12"/>
        <color rgb="FF231F20"/>
        <rFont val="Calibri"/>
        <family val="2"/>
      </rPr>
      <t>JENKINS, HEIDI</t>
    </r>
  </si>
  <si>
    <r>
      <rPr>
        <sz val="12"/>
        <color rgb="FF231F20"/>
        <rFont val="Calibri"/>
        <family val="2"/>
      </rPr>
      <t>Y2</t>
    </r>
  </si>
  <si>
    <r>
      <rPr>
        <sz val="12"/>
        <color rgb="FF231F20"/>
        <rFont val="Calibri"/>
        <family val="2"/>
      </rPr>
      <t>7WJ5XX8RG51</t>
    </r>
  </si>
  <si>
    <r>
      <rPr>
        <sz val="12"/>
        <color rgb="FF231F20"/>
        <rFont val="Calibri"/>
        <family val="2"/>
      </rPr>
      <t>KITTAY, BARRY</t>
    </r>
  </si>
  <si>
    <r>
      <rPr>
        <sz val="12"/>
        <color rgb="FF231F20"/>
        <rFont val="Calibri"/>
        <family val="2"/>
      </rPr>
      <t>8C76CQ8JH72</t>
    </r>
  </si>
  <si>
    <r>
      <rPr>
        <sz val="12"/>
        <color rgb="FF231F20"/>
        <rFont val="Calibri"/>
        <family val="2"/>
      </rPr>
      <t>KOWALCZYK BUDZIAKOWS, B</t>
    </r>
  </si>
  <si>
    <r>
      <rPr>
        <sz val="12"/>
        <color rgb="FF231F20"/>
        <rFont val="Calibri"/>
        <family val="2"/>
      </rPr>
      <t>4YA3N62KN99</t>
    </r>
  </si>
  <si>
    <r>
      <rPr>
        <sz val="12"/>
        <color rgb="FF231F20"/>
        <rFont val="Calibri"/>
        <family val="2"/>
      </rPr>
      <t>LEVIN, MARYJANE</t>
    </r>
  </si>
  <si>
    <r>
      <rPr>
        <sz val="12"/>
        <color rgb="FF231F20"/>
        <rFont val="Calibri"/>
        <family val="2"/>
      </rPr>
      <t>1Y47XU7NM62</t>
    </r>
  </si>
  <si>
    <r>
      <rPr>
        <sz val="12"/>
        <color rgb="FF231F20"/>
        <rFont val="Calibri"/>
        <family val="2"/>
      </rPr>
      <t>LEWIS, KAREN</t>
    </r>
  </si>
  <si>
    <r>
      <rPr>
        <sz val="12"/>
        <color rgb="FF231F20"/>
        <rFont val="Calibri"/>
        <family val="2"/>
      </rPr>
      <t>C552426</t>
    </r>
  </si>
  <si>
    <r>
      <rPr>
        <sz val="12"/>
        <color rgb="FF231F20"/>
        <rFont val="Calibri"/>
        <family val="2"/>
      </rPr>
      <t>Dis-enroll date   Status</t>
    </r>
  </si>
  <si>
    <r>
      <rPr>
        <sz val="12"/>
        <color rgb="FF231F20"/>
        <rFont val="Calibri"/>
        <family val="2"/>
      </rPr>
      <t>8QD1G14XX99</t>
    </r>
  </si>
  <si>
    <r>
      <rPr>
        <sz val="12"/>
        <color rgb="FF231F20"/>
        <rFont val="Calibri"/>
        <family val="2"/>
      </rPr>
      <t>9FX4XK6RC90</t>
    </r>
  </si>
  <si>
    <r>
      <rPr>
        <sz val="12"/>
        <color rgb="FF231F20"/>
        <rFont val="Calibri"/>
        <family val="2"/>
      </rPr>
      <t>9WF8K20RY62</t>
    </r>
  </si>
  <si>
    <r>
      <rPr>
        <sz val="12"/>
        <color rgb="FF4A4849"/>
        <rFont val="Cambria"/>
        <family val="1"/>
      </rPr>
      <t xml:space="preserve">Yn = </t>
    </r>
    <r>
      <rPr>
        <sz val="12"/>
        <color rgb="FF4A4849"/>
        <rFont val="Calibri"/>
        <family val="2"/>
      </rPr>
      <t xml:space="preserve">Year 2+ agent commission               </t>
    </r>
    <r>
      <rPr>
        <vertAlign val="superscript"/>
        <sz val="12"/>
        <color rgb="FF231F20"/>
        <rFont val="Cambria"/>
        <family val="1"/>
      </rPr>
      <t xml:space="preserve">Hn = </t>
    </r>
    <r>
      <rPr>
        <vertAlign val="superscript"/>
        <sz val="12"/>
        <color rgb="FF231F20"/>
        <rFont val="Calibri"/>
        <family val="2"/>
      </rPr>
      <t>Year 2+ up-line agent commission</t>
    </r>
  </si>
  <si>
    <r>
      <rPr>
        <sz val="12"/>
        <color rgb="FF231F20"/>
        <rFont val="Calibri"/>
        <family val="2"/>
      </rPr>
      <t>2T76M87DC56</t>
    </r>
  </si>
  <si>
    <r>
      <rPr>
        <sz val="12"/>
        <color rgb="FF231F20"/>
        <rFont val="Calibri"/>
        <family val="2"/>
      </rPr>
      <t>ANDREWS, TRACY</t>
    </r>
  </si>
  <si>
    <r>
      <rPr>
        <sz val="12"/>
        <color rgb="FF231F20"/>
        <rFont val="Calibri"/>
        <family val="2"/>
      </rPr>
      <t>DISENROLLMENT-OTHER PLAN</t>
    </r>
  </si>
  <si>
    <r>
      <rPr>
        <sz val="12"/>
        <color rgb="FF231F20"/>
        <rFont val="Calibri"/>
        <family val="2"/>
      </rPr>
      <t>7UQ1AP8CV27</t>
    </r>
  </si>
  <si>
    <r>
      <rPr>
        <sz val="12"/>
        <color rgb="FF231F20"/>
        <rFont val="Calibri"/>
        <family val="2"/>
      </rPr>
      <t>ELDER, MARK</t>
    </r>
  </si>
  <si>
    <r>
      <rPr>
        <sz val="12"/>
        <color rgb="FF231F20"/>
        <rFont val="Calibri"/>
        <family val="2"/>
      </rPr>
      <t>6MJ6A43VD60</t>
    </r>
  </si>
  <si>
    <r>
      <rPr>
        <sz val="12"/>
        <color rgb="FF231F20"/>
        <rFont val="Calibri"/>
        <family val="2"/>
      </rPr>
      <t>FLOYD, CARL</t>
    </r>
  </si>
  <si>
    <r>
      <rPr>
        <sz val="12"/>
        <color rgb="FF231F20"/>
        <rFont val="Calibri"/>
        <family val="2"/>
      </rPr>
      <t>1K09XV8CY47</t>
    </r>
  </si>
  <si>
    <r>
      <rPr>
        <sz val="12"/>
        <color rgb="FF231F20"/>
        <rFont val="Calibri"/>
        <family val="2"/>
      </rPr>
      <t>GEORGES, NANCY</t>
    </r>
  </si>
  <si>
    <r>
      <rPr>
        <sz val="12"/>
        <color rgb="FF231F20"/>
        <rFont val="Calibri"/>
        <family val="2"/>
      </rPr>
      <t>2J12F45WQ21</t>
    </r>
  </si>
  <si>
    <r>
      <rPr>
        <sz val="12"/>
        <color rgb="FF231F20"/>
        <rFont val="Calibri"/>
        <family val="2"/>
      </rPr>
      <t>HANILY, MICHAEL</t>
    </r>
  </si>
  <si>
    <r>
      <rPr>
        <sz val="12"/>
        <color rgb="FF231F20"/>
        <rFont val="Calibri"/>
        <family val="2"/>
      </rPr>
      <t>9AU9DN0CN44</t>
    </r>
  </si>
  <si>
    <r>
      <rPr>
        <sz val="12"/>
        <color rgb="FF231F20"/>
        <rFont val="Calibri"/>
        <family val="2"/>
      </rPr>
      <t>LAMBERMONT, CHARLES</t>
    </r>
  </si>
  <si>
    <r>
      <rPr>
        <sz val="12"/>
        <color rgb="FF231F20"/>
        <rFont val="Calibri"/>
        <family val="2"/>
      </rPr>
      <t>2TJ4F79KQ80</t>
    </r>
  </si>
  <si>
    <r>
      <rPr>
        <sz val="12"/>
        <color rgb="FF231F20"/>
        <rFont val="Calibri"/>
        <family val="2"/>
      </rPr>
      <t>WATSON, MARK</t>
    </r>
  </si>
  <si>
    <r>
      <rPr>
        <sz val="12"/>
        <color rgb="FF231F20"/>
        <rFont val="Calibri"/>
        <family val="2"/>
      </rPr>
      <t>1TT0WT5DF27</t>
    </r>
  </si>
  <si>
    <r>
      <rPr>
        <sz val="12"/>
        <color rgb="FF231F20"/>
        <rFont val="Calibri"/>
        <family val="2"/>
      </rPr>
      <t>DAY, FONTAINE</t>
    </r>
  </si>
  <si>
    <r>
      <rPr>
        <sz val="12"/>
        <color rgb="FF231F20"/>
        <rFont val="Calibri"/>
        <family val="2"/>
      </rPr>
      <t>3HH4G97CN84</t>
    </r>
  </si>
  <si>
    <r>
      <rPr>
        <sz val="12"/>
        <color rgb="FF231F20"/>
        <rFont val="Calibri"/>
        <family val="2"/>
      </rPr>
      <t>SHIFLETT, TAMARA</t>
    </r>
  </si>
  <si>
    <r>
      <rPr>
        <sz val="12"/>
        <color rgb="FF231F20"/>
        <rFont val="Calibri"/>
        <family val="2"/>
      </rPr>
      <t>2FA3VD8VV15</t>
    </r>
  </si>
  <si>
    <r>
      <rPr>
        <sz val="12"/>
        <color rgb="FF231F20"/>
        <rFont val="Calibri"/>
        <family val="2"/>
      </rPr>
      <t>BOWIE, BRIAN</t>
    </r>
  </si>
  <si>
    <r>
      <rPr>
        <sz val="12"/>
        <color rgb="FF231F20"/>
        <rFont val="Calibri"/>
        <family val="2"/>
      </rPr>
      <t>3JR9JY9DT46</t>
    </r>
  </si>
  <si>
    <r>
      <rPr>
        <sz val="12"/>
        <color rgb="FF231F20"/>
        <rFont val="Calibri"/>
        <family val="2"/>
      </rPr>
      <t>GABOURY, SANDRA</t>
    </r>
  </si>
  <si>
    <r>
      <rPr>
        <sz val="12"/>
        <color rgb="FF231F20"/>
        <rFont val="Calibri"/>
        <family val="2"/>
      </rPr>
      <t>FL</t>
    </r>
  </si>
  <si>
    <r>
      <rPr>
        <sz val="12"/>
        <color rgb="FF231F20"/>
        <rFont val="Calibri"/>
        <family val="2"/>
      </rPr>
      <t>8F42NG0WE06</t>
    </r>
  </si>
  <si>
    <r>
      <rPr>
        <sz val="12"/>
        <color rgb="FF231F20"/>
        <rFont val="Calibri"/>
        <family val="2"/>
      </rPr>
      <t>GAISER, KIMBERLY</t>
    </r>
  </si>
  <si>
    <r>
      <rPr>
        <sz val="12"/>
        <color rgb="FF231F20"/>
        <rFont val="Calibri"/>
        <family val="2"/>
      </rPr>
      <t>6T34R31QF06</t>
    </r>
  </si>
  <si>
    <r>
      <rPr>
        <sz val="12"/>
        <color rgb="FF231F20"/>
        <rFont val="Calibri"/>
        <family val="2"/>
      </rPr>
      <t>PELZ SHARPE, SANDRA</t>
    </r>
  </si>
  <si>
    <r>
      <rPr>
        <sz val="12"/>
        <color rgb="FF231F20"/>
        <rFont val="Calibri"/>
        <family val="2"/>
      </rPr>
      <t>C547270</t>
    </r>
  </si>
  <si>
    <r>
      <rPr>
        <sz val="12"/>
        <color rgb="FF231F20"/>
        <rFont val="Calibri"/>
        <family val="2"/>
      </rPr>
      <t>3Q94PA0NT72</t>
    </r>
  </si>
  <si>
    <r>
      <rPr>
        <sz val="12"/>
        <color rgb="FF231F20"/>
        <rFont val="Calibri"/>
        <family val="2"/>
      </rPr>
      <t>RIEMER, LEAH</t>
    </r>
  </si>
  <si>
    <r>
      <rPr>
        <sz val="12"/>
        <color rgb="FF231F20"/>
        <rFont val="Calibri"/>
        <family val="2"/>
      </rPr>
      <t>C645462</t>
    </r>
  </si>
  <si>
    <r>
      <rPr>
        <sz val="12"/>
        <color rgb="FF231F20"/>
        <rFont val="Calibri"/>
        <family val="2"/>
      </rPr>
      <t>5AH6J08MR60</t>
    </r>
  </si>
  <si>
    <r>
      <rPr>
        <sz val="12"/>
        <color rgb="FF231F20"/>
        <rFont val="Calibri"/>
        <family val="2"/>
      </rPr>
      <t>SCHAFFER, DONNA</t>
    </r>
  </si>
  <si>
    <r>
      <rPr>
        <sz val="12"/>
        <color rgb="FF4A4849"/>
        <rFont val="Cambria"/>
        <family val="1"/>
      </rPr>
      <t xml:space="preserve">Y1 = </t>
    </r>
    <r>
      <rPr>
        <sz val="12"/>
        <color rgb="FF4A4849"/>
        <rFont val="Calibri"/>
        <family val="2"/>
      </rPr>
      <t>Year 1 agent commission</t>
    </r>
    <r>
      <rPr>
        <sz val="12"/>
        <color rgb="FF4A4849"/>
        <rFont val="Cambria"/>
        <family val="1"/>
      </rPr>
      <t xml:space="preserve">-                </t>
    </r>
    <r>
      <rPr>
        <vertAlign val="superscript"/>
        <sz val="12"/>
        <color rgb="FF231F20"/>
        <rFont val="Cambria"/>
        <family val="1"/>
      </rPr>
      <t xml:space="preserve">H1 = </t>
    </r>
    <r>
      <rPr>
        <vertAlign val="superscript"/>
        <sz val="12"/>
        <color rgb="FF231F20"/>
        <rFont val="Calibri"/>
        <family val="2"/>
      </rPr>
      <t xml:space="preserve">Year 1 up-line agent commission
</t>
    </r>
    <r>
      <rPr>
        <sz val="12"/>
        <color rgb="FF4A4849"/>
        <rFont val="Cambria"/>
        <family val="1"/>
      </rPr>
      <t xml:space="preserve">Yn = </t>
    </r>
    <r>
      <rPr>
        <sz val="12"/>
        <color rgb="FF4A4849"/>
        <rFont val="Calibri"/>
        <family val="2"/>
      </rPr>
      <t xml:space="preserve">Year 2+ agent commission               </t>
    </r>
    <r>
      <rPr>
        <vertAlign val="superscript"/>
        <sz val="12"/>
        <color rgb="FF231F20"/>
        <rFont val="Cambria"/>
        <family val="1"/>
      </rPr>
      <t xml:space="preserve">Hn = </t>
    </r>
    <r>
      <rPr>
        <vertAlign val="superscript"/>
        <sz val="12"/>
        <color rgb="FF231F20"/>
        <rFont val="Calibri"/>
        <family val="2"/>
      </rPr>
      <t>Year 2+ up-line agent commission</t>
    </r>
  </si>
  <si>
    <t>DEBORAH INSKIPT</t>
  </si>
  <si>
    <t>ANNE MARIE KOZACHECK</t>
  </si>
  <si>
    <t>TIMOTHY POWERS</t>
  </si>
  <si>
    <t>RICARDO SANTOS</t>
  </si>
  <si>
    <t>ANDREA PETRUNGARO</t>
  </si>
  <si>
    <t>MARGARET SMITH</t>
  </si>
  <si>
    <t>7UQ1AP8CV27</t>
  </si>
  <si>
    <t>ELDER,</t>
  </si>
  <si>
    <t>MARK</t>
  </si>
  <si>
    <t>PA</t>
  </si>
  <si>
    <t>1K09XV8CY47</t>
  </si>
  <si>
    <t>GEORGES,</t>
  </si>
  <si>
    <t>NANCY</t>
  </si>
  <si>
    <t>Sale Date</t>
  </si>
  <si>
    <t>State</t>
  </si>
  <si>
    <t>First Name</t>
  </si>
  <si>
    <t>Last Name</t>
  </si>
  <si>
    <t>Cigna ID</t>
  </si>
  <si>
    <t>Medicare Number</t>
  </si>
  <si>
    <t>5G61UM5HP36</t>
  </si>
  <si>
    <t>BOVA,</t>
  </si>
  <si>
    <t>JUDITH</t>
  </si>
  <si>
    <t>IL</t>
  </si>
  <si>
    <t>8FP8Y42VH36</t>
  </si>
  <si>
    <t>CARTER,</t>
  </si>
  <si>
    <t>LORI</t>
  </si>
  <si>
    <t>2E50JP0UM23</t>
  </si>
  <si>
    <t>CASHEN,</t>
  </si>
  <si>
    <t>CHRISTOPHER</t>
  </si>
  <si>
    <t>1F00FM5DD01</t>
  </si>
  <si>
    <t>ANTONIO</t>
  </si>
  <si>
    <t>9N91EK6WW15</t>
  </si>
  <si>
    <t>HOFFMANN,</t>
  </si>
  <si>
    <t>RONALD</t>
  </si>
  <si>
    <t>NC</t>
  </si>
  <si>
    <t>7JX4EC9EY66</t>
  </si>
  <si>
    <t>JOHNSON,</t>
  </si>
  <si>
    <t>WILLIAM</t>
  </si>
  <si>
    <t>9NW5WK0JN65</t>
  </si>
  <si>
    <t>KLOMFAR,</t>
  </si>
  <si>
    <t>PAULETTE</t>
  </si>
  <si>
    <t>5K76W51HV62</t>
  </si>
  <si>
    <t>STEINHEISER,</t>
  </si>
  <si>
    <t>TERRY</t>
  </si>
  <si>
    <t>6YA0QM0VM47</t>
  </si>
  <si>
    <t>WILLIAMS,</t>
  </si>
  <si>
    <t>DEBRA</t>
  </si>
  <si>
    <t>DE FRANCESCO,</t>
  </si>
  <si>
    <t>GREGORY HANSFORD</t>
  </si>
  <si>
    <t>MICHAEL DUNAVANT</t>
  </si>
  <si>
    <t>DALE WALENGA</t>
  </si>
  <si>
    <t>JASON HOFFMAN</t>
  </si>
  <si>
    <t>MICHAEL SEMPREVIVO</t>
  </si>
  <si>
    <t>6MW7MR5AP37</t>
  </si>
  <si>
    <t>CATALANO, CATHERINE</t>
  </si>
  <si>
    <t>3NM2HF9GH84</t>
  </si>
  <si>
    <t>HENRY, ROBERT</t>
  </si>
  <si>
    <t>5MQ3WV4GX00</t>
  </si>
  <si>
    <t>MYERS, CECELIA</t>
  </si>
  <si>
    <t>6KM0X16DM07</t>
  </si>
  <si>
    <t>WATSON, THOMAS</t>
  </si>
  <si>
    <t>8AW0KY1TE48</t>
  </si>
  <si>
    <t>WEISS, ROBERT</t>
  </si>
  <si>
    <t>5RQ8MD3AC22</t>
  </si>
  <si>
    <t>WHEELER, SHIRLEY</t>
  </si>
  <si>
    <t>5E98E53KM66</t>
  </si>
  <si>
    <t>WYLIE, NANCY</t>
  </si>
  <si>
    <t>1QF9PD9WV58</t>
  </si>
  <si>
    <t>ZIMMERMAN, DON</t>
  </si>
  <si>
    <t>THOMAS KUCAN</t>
  </si>
  <si>
    <t>GARY PORTUGAL</t>
  </si>
  <si>
    <t>JACOB YALE</t>
  </si>
  <si>
    <t>CHRIS TAUGNER</t>
  </si>
  <si>
    <t>STACEY PORTUGAL</t>
  </si>
  <si>
    <t>BARRY SCHUMANN</t>
  </si>
  <si>
    <t>SCOTT FINE</t>
  </si>
  <si>
    <t>5WN0R29UU24</t>
  </si>
  <si>
    <t>BURGESS, DEBORAH</t>
  </si>
  <si>
    <t>9DM4F05WH64</t>
  </si>
  <si>
    <t>CALLENDER, DALE</t>
  </si>
  <si>
    <t>9MN9UG1QA19</t>
  </si>
  <si>
    <t>CANCILLA, CONNIE</t>
  </si>
  <si>
    <t>9AR6RU4CQ44</t>
  </si>
  <si>
    <t>CAPUANO, CHERYL</t>
  </si>
  <si>
    <t>7Q20WR6WY49</t>
  </si>
  <si>
    <t>CARDIFF, KENNETH</t>
  </si>
  <si>
    <t>8EY7GY2XW35</t>
  </si>
  <si>
    <t>CASSIDY, DEBRA</t>
  </si>
  <si>
    <t>7XT2W99YH09</t>
  </si>
  <si>
    <t>CEDERWALL, MARILYN</t>
  </si>
  <si>
    <t>8CH1W30NA15</t>
  </si>
  <si>
    <t>CINDRIC, DEBORAH</t>
  </si>
  <si>
    <t>3DH1RW9DR08</t>
  </si>
  <si>
    <t>CINGOLANI III, ARMAND</t>
  </si>
  <si>
    <t>COLLINS, PATRICK</t>
  </si>
  <si>
    <t>CONLEY, LYNDA</t>
  </si>
  <si>
    <t>CONSTANTINOU, CAROL</t>
  </si>
  <si>
    <t>COSTA, LAWRENCE</t>
  </si>
  <si>
    <t>CRAIG, DEAN</t>
  </si>
  <si>
    <t>CRAIG, HELEN</t>
  </si>
  <si>
    <t>CRIDER, KANDICE</t>
  </si>
  <si>
    <t>DAY, LESLIE</t>
  </si>
  <si>
    <t>3M09HU6NW26</t>
  </si>
  <si>
    <t>DEVOE, TERESA</t>
  </si>
  <si>
    <t>DREYER, JAMES</t>
  </si>
  <si>
    <t>DREYER, KATHLEEN</t>
  </si>
  <si>
    <t>DRUMMET, JOHN</t>
  </si>
  <si>
    <t>7X46CA1RA63</t>
  </si>
  <si>
    <t>HIRSCH, KATHERINE</t>
  </si>
  <si>
    <t>1MU9P13QU19</t>
  </si>
  <si>
    <t>HODGES, K</t>
  </si>
  <si>
    <t>4DG2UW9RV29</t>
  </si>
  <si>
    <t>KIRSCH, THOMAS</t>
  </si>
  <si>
    <t>2UW9T27UU51</t>
  </si>
  <si>
    <t>KLIMAS SR, ALBERT</t>
  </si>
  <si>
    <t>3VK9AG2UH53</t>
  </si>
  <si>
    <t>KNAPP, DARLEEN</t>
  </si>
  <si>
    <t>4DR9HH2WP23</t>
  </si>
  <si>
    <t>MASUCCI, CYNTHIA</t>
  </si>
  <si>
    <t>3TP5YK8DJ97</t>
  </si>
  <si>
    <t>MASUCCI, JUDY</t>
  </si>
  <si>
    <t>5FV4CM8WD07</t>
  </si>
  <si>
    <t>OLEKSA, DAVID</t>
  </si>
  <si>
    <t>SOLEM, KENNETH</t>
  </si>
  <si>
    <t>STURM, ROBERT</t>
  </si>
  <si>
    <t>6YM5HM9RW55</t>
  </si>
  <si>
    <t>1U12GW7HQ82</t>
  </si>
  <si>
    <t>7WC2M68PM99</t>
  </si>
  <si>
    <t>WOLFE, MARSHA</t>
  </si>
  <si>
    <t>Cigna Ovr</t>
  </si>
  <si>
    <t>Cigna PDP</t>
  </si>
  <si>
    <t>Main Line Benefits</t>
  </si>
  <si>
    <t>MURRAY STERNER</t>
  </si>
  <si>
    <t>MICHELLE MCCORKLE</t>
  </si>
  <si>
    <t>JOEL LEE</t>
  </si>
  <si>
    <t>MEGANN HARE</t>
  </si>
  <si>
    <t>SAADIA ABDUL</t>
  </si>
  <si>
    <t>C645677</t>
  </si>
  <si>
    <t>Policy Number</t>
  </si>
  <si>
    <t>C620420</t>
  </si>
  <si>
    <t>C527244</t>
  </si>
  <si>
    <t>C397277</t>
  </si>
  <si>
    <t>C475237</t>
  </si>
  <si>
    <t>C552426</t>
  </si>
  <si>
    <t>C550596</t>
  </si>
  <si>
    <t>C398389</t>
  </si>
  <si>
    <t>C397330</t>
  </si>
  <si>
    <t>C397281</t>
  </si>
  <si>
    <t>C397195</t>
  </si>
  <si>
    <t>C543319</t>
  </si>
  <si>
    <t>C502728</t>
  </si>
  <si>
    <t>C628489</t>
  </si>
  <si>
    <t>C397973</t>
  </si>
  <si>
    <t>C629206</t>
  </si>
  <si>
    <t>C629657</t>
  </si>
  <si>
    <t>C449511</t>
  </si>
  <si>
    <t>C630667</t>
  </si>
  <si>
    <t>C398047</t>
  </si>
  <si>
    <t>C637157</t>
  </si>
  <si>
    <t>C397367</t>
  </si>
  <si>
    <t>C637910</t>
  </si>
  <si>
    <t>C638129</t>
  </si>
  <si>
    <t>C398057</t>
  </si>
  <si>
    <t>C344398</t>
  </si>
  <si>
    <t>C511294</t>
  </si>
  <si>
    <t>C639371</t>
  </si>
  <si>
    <t>C640516</t>
  </si>
  <si>
    <t>C642906</t>
  </si>
  <si>
    <t>C397689</t>
  </si>
  <si>
    <t>C644315</t>
  </si>
  <si>
    <t>C508817</t>
  </si>
  <si>
    <t>C645462</t>
  </si>
  <si>
    <t>C397387</t>
  </si>
  <si>
    <t>C647874</t>
  </si>
  <si>
    <t>C500975</t>
  </si>
  <si>
    <t>C397620</t>
  </si>
  <si>
    <t>C329429</t>
  </si>
  <si>
    <t>C565467</t>
  </si>
  <si>
    <t>C527734</t>
  </si>
  <si>
    <t>C655426</t>
  </si>
  <si>
    <t>C547270</t>
  </si>
  <si>
    <t>C663018</t>
  </si>
  <si>
    <t>C529942</t>
  </si>
  <si>
    <t>C667021</t>
  </si>
  <si>
    <t>C667566</t>
  </si>
  <si>
    <t>C668123</t>
  </si>
  <si>
    <t>Agent Name</t>
  </si>
  <si>
    <t>AIDAN BARBER</t>
  </si>
  <si>
    <t>MARGARET FINNEGAN</t>
  </si>
  <si>
    <t>DEBORAH POWERS</t>
  </si>
  <si>
    <t>ADAM RICHTER</t>
  </si>
  <si>
    <t>PETER RICHTER</t>
  </si>
  <si>
    <t>JEFFREY HORN</t>
  </si>
  <si>
    <t>ANDREW CHOI</t>
  </si>
  <si>
    <t>TRACI BARTON</t>
  </si>
  <si>
    <t>PAMELA DEATON</t>
  </si>
  <si>
    <t>RICHARD YALE</t>
  </si>
  <si>
    <t>BRIAN STROHMAN</t>
  </si>
  <si>
    <t>RICHARD WUENSCH</t>
  </si>
  <si>
    <t>KIMBERLY EDWARDS</t>
  </si>
  <si>
    <t>JOSE TORRES</t>
  </si>
  <si>
    <t>ESTHER LARSEN</t>
  </si>
  <si>
    <t>JONATHAN ALOFF</t>
  </si>
  <si>
    <t>ANDREW GOODMAN</t>
  </si>
  <si>
    <t>STEPHANIE DRAPAC</t>
  </si>
  <si>
    <t>THOMAS PARDUE</t>
  </si>
  <si>
    <t>LORI TUNSTALL</t>
  </si>
  <si>
    <t>VICTOR FUENTES</t>
  </si>
  <si>
    <t>RONALD MAX</t>
  </si>
  <si>
    <t>CAROL FRITZ</t>
  </si>
  <si>
    <t>BARRY BRENNER</t>
  </si>
  <si>
    <t>SANDRA SENTMAN</t>
  </si>
  <si>
    <t>WILLIAMS, DEBRA</t>
  </si>
  <si>
    <t>9UJ5QW6MA85</t>
  </si>
  <si>
    <t>CHIN, EVA</t>
  </si>
  <si>
    <t>RYLANDS JR, ROBERT</t>
  </si>
  <si>
    <t>TOBBEN, ANGELA</t>
  </si>
  <si>
    <t>TUCKER, CAROLE</t>
  </si>
  <si>
    <t>18828278Sub2</t>
  </si>
  <si>
    <t xml:space="preserve">18828278SUB2 </t>
  </si>
  <si>
    <t xml:space="preserve">17528908N </t>
  </si>
  <si>
    <t>17528908N</t>
  </si>
  <si>
    <t>8TP1CC6YR93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</si>
</sst>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;@"/>
  </numFmts>
  <fonts count="20" x14ac:knownFonts="1">
    <font>
      <sz val="10"/>
      <color rgb="FF000000"/>
      <name val="Times New Roman"/>
      <charset val="204"/>
    </font>
    <font>
      <sz val="10"/>
      <color rgb="FF231F20"/>
      <name val="Calibri"/>
      <family val="2"/>
    </font>
    <font>
      <sz val="10"/>
      <color rgb="FF000000"/>
      <name val="Times New Roman"/>
      <family val="1"/>
    </font>
    <font>
      <sz val="10"/>
      <name val="Cambria"/>
      <family val="1"/>
    </font>
    <font>
      <sz val="10"/>
      <name val="Calibri"/>
      <family val="2"/>
    </font>
    <font>
      <vertAlign val="superscript"/>
      <sz val="10"/>
      <color rgb="FF231F20"/>
      <name val="Calibri"/>
      <family val="2"/>
    </font>
    <font>
      <sz val="10"/>
      <color rgb="FF4A4849"/>
      <name val="Cambria"/>
      <family val="1"/>
    </font>
    <font>
      <sz val="10"/>
      <color rgb="FF4A4849"/>
      <name val="Calibri"/>
      <family val="2"/>
    </font>
    <font>
      <vertAlign val="superscript"/>
      <sz val="10"/>
      <color rgb="FF231F20"/>
      <name val="Cambria"/>
      <family val="1"/>
    </font>
    <font>
      <sz val="12"/>
      <color rgb="FF000000"/>
      <name val="Times New Roman"/>
      <family val="1"/>
    </font>
    <font>
      <sz val="12"/>
      <color rgb="FF231F20"/>
      <name val="Calibri"/>
      <family val="2"/>
    </font>
    <font>
      <sz val="12"/>
      <name val="Cambria"/>
      <family val="1"/>
    </font>
    <font>
      <sz val="12"/>
      <color rgb="FF231F20"/>
      <name val="Cambria"/>
      <family val="1"/>
    </font>
    <font>
      <sz val="12"/>
      <name val="Calibri"/>
      <family val="2"/>
    </font>
    <font>
      <vertAlign val="superscript"/>
      <sz val="12"/>
      <color rgb="FF231F20"/>
      <name val="Calibri"/>
      <family val="2"/>
    </font>
    <font>
      <sz val="12"/>
      <color rgb="FF4A4849"/>
      <name val="Cambria"/>
      <family val="1"/>
    </font>
    <font>
      <sz val="12"/>
      <color rgb="FF4A4849"/>
      <name val="Calibri"/>
      <family val="2"/>
    </font>
    <font>
      <vertAlign val="superscript"/>
      <sz val="12"/>
      <color rgb="FF231F20"/>
      <name val="Cambria"/>
      <family val="1"/>
    </font>
    <font>
      <sz val="12"/>
      <color rgb="FF000000"/>
      <name val="Calibri"/>
      <family val="2"/>
    </font>
    <font>
      <sz val="12"/>
      <color rgb="FF22222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231F20"/>
      </top>
      <bottom/>
      <diagonal/>
    </border>
    <border>
      <left/>
      <right/>
      <top/>
      <bottom style="thin">
        <color rgb="FF231F20"/>
      </bottom>
      <diagonal/>
    </border>
  </borders>
  <cellStyleXfs count="1">
    <xf numFmtId="0" fontId="0" fillId="0" borderId="0"/>
  </cellStyleXfs>
  <cellXfs count="150">
    <xf numFmtId="0" fontId="0" fillId="0" borderId="0" xfId="0" applyAlignment="1">
      <alignment horizontal="left" vertical="top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4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wrapText="1"/>
    </xf>
    <xf numFmtId="0" fontId="13" fillId="0" borderId="0" xfId="0" applyFont="1" applyAlignment="1">
      <alignment horizontal="left" vertical="top" wrapText="1"/>
    </xf>
    <xf numFmtId="0" fontId="13" fillId="0" borderId="0" xfId="0" applyFont="1" applyAlignment="1">
      <alignment horizontal="left" vertical="top" wrapText="1" indent="3"/>
    </xf>
    <xf numFmtId="0" fontId="9" fillId="0" borderId="0" xfId="0" applyFont="1" applyAlignment="1">
      <alignment horizontal="left" vertical="top" wrapText="1"/>
    </xf>
    <xf numFmtId="0" fontId="13" fillId="0" borderId="2" xfId="0" applyFont="1" applyBorder="1" applyAlignment="1">
      <alignment horizontal="left" vertical="top" wrapText="1"/>
    </xf>
    <xf numFmtId="0" fontId="9" fillId="0" borderId="1" xfId="0" applyFont="1" applyBorder="1" applyAlignment="1">
      <alignment horizontal="left" wrapText="1"/>
    </xf>
    <xf numFmtId="0" fontId="9" fillId="0" borderId="2" xfId="0" applyFont="1" applyBorder="1" applyAlignment="1">
      <alignment horizontal="left" vertical="center" wrapText="1"/>
    </xf>
    <xf numFmtId="0" fontId="11" fillId="0" borderId="0" xfId="0" applyFont="1" applyAlignment="1">
      <alignment horizontal="left" vertical="top" wrapText="1"/>
    </xf>
    <xf numFmtId="0" fontId="13" fillId="0" borderId="0" xfId="0" applyFont="1" applyAlignment="1">
      <alignment horizontal="right" vertical="top" wrapText="1" indent="3"/>
    </xf>
    <xf numFmtId="0" fontId="13" fillId="0" borderId="0" xfId="0" applyFont="1" applyAlignment="1">
      <alignment horizontal="right" vertical="top" wrapText="1"/>
    </xf>
    <xf numFmtId="0" fontId="13" fillId="0" borderId="2" xfId="0" applyFont="1" applyBorder="1" applyAlignment="1">
      <alignment horizontal="left" vertical="top" wrapText="1" indent="3"/>
    </xf>
    <xf numFmtId="0" fontId="13" fillId="0" borderId="2" xfId="0" applyFont="1" applyBorder="1" applyAlignment="1">
      <alignment horizontal="center" vertical="top" wrapText="1"/>
    </xf>
    <xf numFmtId="0" fontId="13" fillId="0" borderId="2" xfId="0" applyFont="1" applyBorder="1" applyAlignment="1">
      <alignment horizontal="left" vertical="top" wrapText="1" indent="1"/>
    </xf>
    <xf numFmtId="0" fontId="13" fillId="0" borderId="2" xfId="0" applyFont="1" applyBorder="1" applyAlignment="1">
      <alignment horizontal="right" vertical="top" wrapText="1" indent="3"/>
    </xf>
    <xf numFmtId="0" fontId="13" fillId="0" borderId="2" xfId="0" applyFont="1" applyBorder="1" applyAlignment="1">
      <alignment horizontal="right" vertical="top" wrapText="1"/>
    </xf>
    <xf numFmtId="0" fontId="13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left" vertical="top" shrinkToFit="1"/>
    </xf>
    <xf numFmtId="164" fontId="10" fillId="0" borderId="1" xfId="0" applyNumberFormat="1" applyFont="1" applyBorder="1" applyAlignment="1">
      <alignment horizontal="left" vertical="top" shrinkToFit="1"/>
    </xf>
    <xf numFmtId="0" fontId="13" fillId="0" borderId="1" xfId="0" applyFont="1" applyBorder="1" applyAlignment="1">
      <alignment horizontal="center" vertical="top" wrapText="1"/>
    </xf>
    <xf numFmtId="164" fontId="10" fillId="0" borderId="1" xfId="0" applyNumberFormat="1" applyFont="1" applyBorder="1" applyAlignment="1">
      <alignment horizontal="left" vertical="top" indent="1" shrinkToFit="1"/>
    </xf>
    <xf numFmtId="0" fontId="9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right" vertical="top" indent="3" shrinkToFit="1"/>
    </xf>
    <xf numFmtId="2" fontId="10" fillId="0" borderId="1" xfId="0" applyNumberFormat="1" applyFont="1" applyBorder="1" applyAlignment="1">
      <alignment horizontal="right" vertical="top" shrinkToFit="1"/>
    </xf>
    <xf numFmtId="0" fontId="13" fillId="0" borderId="1" xfId="0" applyFont="1" applyBorder="1" applyAlignment="1">
      <alignment horizontal="right" vertical="top" wrapText="1"/>
    </xf>
    <xf numFmtId="1" fontId="10" fillId="0" borderId="0" xfId="0" applyNumberFormat="1" applyFont="1" applyAlignment="1">
      <alignment horizontal="left" vertical="top" shrinkToFit="1"/>
    </xf>
    <xf numFmtId="164" fontId="10" fillId="0" borderId="0" xfId="0" applyNumberFormat="1" applyFont="1" applyAlignment="1">
      <alignment horizontal="left" vertical="top" shrinkToFit="1"/>
    </xf>
    <xf numFmtId="0" fontId="13" fillId="0" borderId="0" xfId="0" applyFont="1" applyAlignment="1">
      <alignment horizontal="center" vertical="top" wrapText="1"/>
    </xf>
    <xf numFmtId="2" fontId="10" fillId="0" borderId="0" xfId="0" applyNumberFormat="1" applyFont="1" applyAlignment="1">
      <alignment horizontal="right" vertical="top" shrinkToFit="1"/>
    </xf>
    <xf numFmtId="0" fontId="13" fillId="0" borderId="2" xfId="0" applyFont="1" applyBorder="1" applyAlignment="1">
      <alignment horizontal="right" vertical="top" wrapText="1" indent="1"/>
    </xf>
    <xf numFmtId="2" fontId="10" fillId="0" borderId="1" xfId="0" applyNumberFormat="1" applyFont="1" applyBorder="1" applyAlignment="1">
      <alignment horizontal="right" vertical="top" indent="1" shrinkToFit="1"/>
    </xf>
    <xf numFmtId="2" fontId="10" fillId="0" borderId="0" xfId="0" applyNumberFormat="1" applyFont="1" applyAlignment="1">
      <alignment horizontal="right" vertical="top" indent="1" shrinkToFit="1"/>
    </xf>
    <xf numFmtId="164" fontId="10" fillId="0" borderId="2" xfId="0" applyNumberFormat="1" applyFont="1" applyBorder="1" applyAlignment="1">
      <alignment horizontal="left" vertical="top" shrinkToFit="1"/>
    </xf>
    <xf numFmtId="164" fontId="10" fillId="0" borderId="2" xfId="0" applyNumberFormat="1" applyFont="1" applyBorder="1" applyAlignment="1">
      <alignment horizontal="left" vertical="top" indent="1" shrinkToFit="1"/>
    </xf>
    <xf numFmtId="2" fontId="10" fillId="0" borderId="2" xfId="0" applyNumberFormat="1" applyFont="1" applyBorder="1" applyAlignment="1">
      <alignment horizontal="right" vertical="top" indent="3" shrinkToFit="1"/>
    </xf>
    <xf numFmtId="2" fontId="10" fillId="0" borderId="2" xfId="0" applyNumberFormat="1" applyFont="1" applyBorder="1" applyAlignment="1">
      <alignment horizontal="right" vertical="top" indent="1" shrinkToFit="1"/>
    </xf>
    <xf numFmtId="1" fontId="10" fillId="0" borderId="2" xfId="0" applyNumberFormat="1" applyFont="1" applyBorder="1" applyAlignment="1">
      <alignment horizontal="left" vertical="top" shrinkToFit="1"/>
    </xf>
    <xf numFmtId="1" fontId="10" fillId="0" borderId="0" xfId="0" applyNumberFormat="1" applyFont="1" applyAlignment="1">
      <alignment vertical="top" shrinkToFit="1"/>
    </xf>
    <xf numFmtId="0" fontId="13" fillId="0" borderId="0" xfId="0" applyFont="1" applyAlignment="1">
      <alignment vertical="top" wrapText="1"/>
    </xf>
    <xf numFmtId="164" fontId="10" fillId="0" borderId="0" xfId="0" applyNumberFormat="1" applyFont="1" applyAlignment="1">
      <alignment vertical="top" shrinkToFit="1"/>
    </xf>
    <xf numFmtId="0" fontId="9" fillId="0" borderId="0" xfId="0" applyFont="1" applyAlignment="1">
      <alignment vertical="center" wrapText="1"/>
    </xf>
    <xf numFmtId="2" fontId="10" fillId="0" borderId="0" xfId="0" applyNumberFormat="1" applyFont="1" applyAlignment="1">
      <alignment vertical="top" shrinkToFit="1"/>
    </xf>
    <xf numFmtId="1" fontId="10" fillId="0" borderId="2" xfId="0" applyNumberFormat="1" applyFont="1" applyBorder="1" applyAlignment="1">
      <alignment vertical="top" shrinkToFit="1"/>
    </xf>
    <xf numFmtId="0" fontId="13" fillId="0" borderId="2" xfId="0" applyFont="1" applyBorder="1" applyAlignment="1">
      <alignment vertical="top" wrapText="1"/>
    </xf>
    <xf numFmtId="164" fontId="10" fillId="0" borderId="2" xfId="0" applyNumberFormat="1" applyFont="1" applyBorder="1" applyAlignment="1">
      <alignment vertical="top" shrinkToFit="1"/>
    </xf>
    <xf numFmtId="0" fontId="9" fillId="0" borderId="2" xfId="0" applyFont="1" applyBorder="1" applyAlignment="1">
      <alignment vertical="center" wrapText="1"/>
    </xf>
    <xf numFmtId="2" fontId="10" fillId="0" borderId="2" xfId="0" applyNumberFormat="1" applyFont="1" applyBorder="1" applyAlignment="1">
      <alignment vertical="top" shrinkToFit="1"/>
    </xf>
    <xf numFmtId="1" fontId="10" fillId="0" borderId="1" xfId="0" applyNumberFormat="1" applyFont="1" applyBorder="1" applyAlignment="1">
      <alignment vertical="top" shrinkToFit="1"/>
    </xf>
    <xf numFmtId="0" fontId="13" fillId="0" borderId="1" xfId="0" applyFont="1" applyBorder="1" applyAlignment="1">
      <alignment vertical="top" wrapText="1"/>
    </xf>
    <xf numFmtId="164" fontId="10" fillId="0" borderId="1" xfId="0" applyNumberFormat="1" applyFont="1" applyBorder="1" applyAlignment="1">
      <alignment vertical="top" shrinkToFit="1"/>
    </xf>
    <xf numFmtId="0" fontId="9" fillId="0" borderId="1" xfId="0" applyFont="1" applyBorder="1" applyAlignment="1">
      <alignment vertical="center" wrapText="1"/>
    </xf>
    <xf numFmtId="2" fontId="10" fillId="0" borderId="1" xfId="0" applyNumberFormat="1" applyFont="1" applyBorder="1" applyAlignment="1">
      <alignment vertical="top" shrinkToFit="1"/>
    </xf>
    <xf numFmtId="0" fontId="9" fillId="0" borderId="0" xfId="0" applyFont="1" applyAlignment="1">
      <alignment vertical="top" wrapText="1"/>
    </xf>
    <xf numFmtId="0" fontId="9" fillId="0" borderId="1" xfId="0" applyFont="1" applyBorder="1" applyAlignment="1">
      <alignment horizontal="center" vertical="top" wrapText="1"/>
    </xf>
    <xf numFmtId="0" fontId="13" fillId="0" borderId="0" xfId="0" applyFont="1" applyBorder="1" applyAlignment="1">
      <alignment horizontal="left" vertical="top" wrapText="1"/>
    </xf>
    <xf numFmtId="1" fontId="10" fillId="0" borderId="0" xfId="0" applyNumberFormat="1" applyFont="1" applyBorder="1" applyAlignment="1">
      <alignment vertical="top" shrinkToFit="1"/>
    </xf>
    <xf numFmtId="0" fontId="13" fillId="0" borderId="0" xfId="0" applyFont="1" applyBorder="1" applyAlignment="1">
      <alignment vertical="top" wrapText="1"/>
    </xf>
    <xf numFmtId="164" fontId="10" fillId="0" borderId="0" xfId="0" applyNumberFormat="1" applyFont="1" applyBorder="1" applyAlignment="1">
      <alignment horizontal="left" vertical="top" shrinkToFit="1"/>
    </xf>
    <xf numFmtId="0" fontId="13" fillId="0" borderId="0" xfId="0" applyFont="1" applyBorder="1" applyAlignment="1">
      <alignment horizontal="center" vertical="top" wrapText="1"/>
    </xf>
    <xf numFmtId="164" fontId="10" fillId="0" borderId="0" xfId="0" applyNumberFormat="1" applyFont="1" applyBorder="1" applyAlignment="1">
      <alignment vertical="top" shrinkToFit="1"/>
    </xf>
    <xf numFmtId="0" fontId="9" fillId="0" borderId="0" xfId="0" applyFont="1" applyBorder="1" applyAlignment="1">
      <alignment vertical="center" wrapText="1"/>
    </xf>
    <xf numFmtId="2" fontId="10" fillId="0" borderId="0" xfId="0" applyNumberFormat="1" applyFont="1" applyBorder="1" applyAlignment="1">
      <alignment vertical="top" shrinkToFit="1"/>
    </xf>
    <xf numFmtId="2" fontId="10" fillId="0" borderId="0" xfId="0" applyNumberFormat="1" applyFont="1" applyBorder="1" applyAlignment="1">
      <alignment horizontal="right" vertical="top" indent="1" shrinkToFit="1"/>
    </xf>
    <xf numFmtId="0" fontId="13" fillId="0" borderId="0" xfId="0" applyFont="1" applyBorder="1" applyAlignment="1">
      <alignment horizontal="right" vertical="top" wrapText="1"/>
    </xf>
    <xf numFmtId="0" fontId="18" fillId="0" borderId="0" xfId="0" applyFont="1" applyAlignment="1">
      <alignment horizontal="left" vertical="top"/>
    </xf>
    <xf numFmtId="0" fontId="9" fillId="0" borderId="0" xfId="0" applyFont="1" applyAlignment="1">
      <alignment vertical="top"/>
    </xf>
    <xf numFmtId="0" fontId="9" fillId="0" borderId="1" xfId="0" applyFont="1" applyBorder="1" applyAlignment="1">
      <alignment wrapText="1"/>
    </xf>
    <xf numFmtId="0" fontId="11" fillId="0" borderId="0" xfId="0" applyFont="1" applyAlignment="1">
      <alignment vertical="top" wrapText="1"/>
    </xf>
    <xf numFmtId="0" fontId="9" fillId="0" borderId="0" xfId="0" applyFont="1" applyAlignment="1">
      <alignment wrapText="1"/>
    </xf>
    <xf numFmtId="14" fontId="9" fillId="0" borderId="0" xfId="0" applyNumberFormat="1" applyFont="1" applyAlignment="1">
      <alignment horizontal="left" vertical="top"/>
    </xf>
    <xf numFmtId="0" fontId="10" fillId="0" borderId="2" xfId="0" applyFont="1" applyBorder="1" applyAlignment="1">
      <alignment vertical="top" wrapText="1"/>
    </xf>
    <xf numFmtId="164" fontId="1" fillId="0" borderId="1" xfId="0" applyNumberFormat="1" applyFont="1" applyBorder="1" applyAlignment="1">
      <alignment horizontal="left" vertical="top" shrinkToFit="1"/>
    </xf>
    <xf numFmtId="2" fontId="1" fillId="0" borderId="1" xfId="0" applyNumberFormat="1" applyFont="1" applyBorder="1" applyAlignment="1">
      <alignment horizontal="left" vertical="top" shrinkToFit="1"/>
    </xf>
    <xf numFmtId="164" fontId="1" fillId="0" borderId="0" xfId="0" applyNumberFormat="1" applyFont="1" applyAlignment="1">
      <alignment horizontal="left" vertical="top" shrinkToFit="1"/>
    </xf>
    <xf numFmtId="2" fontId="1" fillId="0" borderId="0" xfId="0" applyNumberFormat="1" applyFont="1" applyAlignment="1">
      <alignment horizontal="left" vertical="top" shrinkToFit="1"/>
    </xf>
    <xf numFmtId="14" fontId="2" fillId="0" borderId="0" xfId="0" applyNumberFormat="1" applyFont="1" applyAlignment="1">
      <alignment horizontal="left" vertical="top"/>
    </xf>
    <xf numFmtId="2" fontId="10" fillId="0" borderId="1" xfId="0" applyNumberFormat="1" applyFont="1" applyBorder="1" applyAlignment="1">
      <alignment horizontal="left" vertical="top" shrinkToFit="1"/>
    </xf>
    <xf numFmtId="2" fontId="10" fillId="0" borderId="0" xfId="0" applyNumberFormat="1" applyFont="1" applyAlignment="1">
      <alignment horizontal="left" vertical="top" shrinkToFit="1"/>
    </xf>
    <xf numFmtId="0" fontId="10" fillId="0" borderId="0" xfId="0" applyFont="1" applyAlignment="1">
      <alignment horizontal="left" vertical="top" wrapText="1"/>
    </xf>
    <xf numFmtId="2" fontId="10" fillId="0" borderId="2" xfId="0" applyNumberFormat="1" applyFont="1" applyBorder="1" applyAlignment="1">
      <alignment horizontal="left" vertical="top" shrinkToFit="1"/>
    </xf>
    <xf numFmtId="2" fontId="9" fillId="0" borderId="0" xfId="0" applyNumberFormat="1" applyFont="1" applyAlignment="1">
      <alignment horizontal="left" vertical="top"/>
    </xf>
    <xf numFmtId="0" fontId="10" fillId="0" borderId="0" xfId="0" applyFont="1" applyBorder="1" applyAlignment="1">
      <alignment horizontal="left" vertical="top" wrapText="1"/>
    </xf>
    <xf numFmtId="1" fontId="10" fillId="0" borderId="0" xfId="0" applyNumberFormat="1" applyFont="1" applyBorder="1" applyAlignment="1">
      <alignment horizontal="left" vertical="top" shrinkToFit="1"/>
    </xf>
    <xf numFmtId="0" fontId="9" fillId="0" borderId="0" xfId="0" applyFont="1" applyBorder="1" applyAlignment="1">
      <alignment horizontal="left" vertical="center" wrapText="1"/>
    </xf>
    <xf numFmtId="2" fontId="10" fillId="0" borderId="0" xfId="0" applyNumberFormat="1" applyFont="1" applyBorder="1" applyAlignment="1">
      <alignment horizontal="left" vertical="top" shrinkToFit="1"/>
    </xf>
    <xf numFmtId="0" fontId="19" fillId="0" borderId="0" xfId="0" applyFont="1" applyAlignment="1">
      <alignment horizontal="left" vertical="top"/>
    </xf>
    <xf numFmtId="4" fontId="10" fillId="0" borderId="1" xfId="0" applyNumberFormat="1" applyFont="1" applyBorder="1" applyAlignment="1">
      <alignment horizontal="left" vertical="top" shrinkToFit="1"/>
    </xf>
    <xf numFmtId="0" fontId="9" fillId="0" borderId="0" xfId="0" applyFont="1" applyBorder="1" applyAlignment="1">
      <alignment horizontal="left" vertical="top"/>
    </xf>
    <xf numFmtId="0" fontId="18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 vertical="top"/>
    </xf>
    <xf numFmtId="0" fontId="10" fillId="0" borderId="1" xfId="0" applyFont="1" applyBorder="1" applyAlignment="1">
      <alignment horizontal="left" vertical="top" shrinkToFit="1"/>
    </xf>
    <xf numFmtId="0" fontId="10" fillId="0" borderId="0" xfId="0" applyFont="1" applyAlignment="1">
      <alignment horizontal="left" vertical="top" shrinkToFit="1"/>
    </xf>
    <xf numFmtId="0" fontId="10" fillId="0" borderId="0" xfId="0" applyFont="1" applyBorder="1" applyAlignment="1">
      <alignment horizontal="left" vertical="top" shrinkToFit="1"/>
    </xf>
    <xf numFmtId="0" fontId="10" fillId="0" borderId="2" xfId="0" applyFont="1" applyBorder="1" applyAlignment="1">
      <alignment horizontal="left" vertical="top" shrinkToFit="1"/>
    </xf>
    <xf numFmtId="0" fontId="0" fillId="0" borderId="0" xfId="0" applyAlignment="1">
      <alignment vertical="top"/>
    </xf>
    <xf numFmtId="0" fontId="10" fillId="0" borderId="1" xfId="0" applyFont="1" applyBorder="1" applyAlignment="1">
      <alignment vertical="top" shrinkToFit="1"/>
    </xf>
    <xf numFmtId="0" fontId="10" fillId="0" borderId="0" xfId="0" applyFont="1" applyAlignment="1">
      <alignment vertical="top" shrinkToFit="1"/>
    </xf>
    <xf numFmtId="0" fontId="10" fillId="0" borderId="2" xfId="0" applyFont="1" applyBorder="1" applyAlignment="1">
      <alignment vertical="top" shrinkToFit="1"/>
    </xf>
    <xf numFmtId="0" fontId="13" fillId="2" borderId="0" xfId="0" applyFont="1" applyFill="1" applyAlignment="1">
      <alignment horizontal="left" vertical="top" wrapText="1"/>
    </xf>
    <xf numFmtId="1" fontId="10" fillId="2" borderId="0" xfId="0" applyNumberFormat="1" applyFont="1" applyFill="1" applyAlignment="1">
      <alignment vertical="top" shrinkToFit="1"/>
    </xf>
    <xf numFmtId="0" fontId="13" fillId="2" borderId="0" xfId="0" applyFont="1" applyFill="1" applyAlignment="1">
      <alignment vertical="top" wrapText="1"/>
    </xf>
    <xf numFmtId="164" fontId="10" fillId="2" borderId="0" xfId="0" applyNumberFormat="1" applyFont="1" applyFill="1" applyAlignment="1">
      <alignment horizontal="left" vertical="top" shrinkToFit="1"/>
    </xf>
    <xf numFmtId="0" fontId="13" fillId="2" borderId="0" xfId="0" applyFont="1" applyFill="1" applyAlignment="1">
      <alignment horizontal="center" vertical="top" wrapText="1"/>
    </xf>
    <xf numFmtId="0" fontId="13" fillId="2" borderId="0" xfId="0" applyFont="1" applyFill="1" applyBorder="1" applyAlignment="1">
      <alignment vertical="top" wrapText="1"/>
    </xf>
    <xf numFmtId="164" fontId="10" fillId="2" borderId="0" xfId="0" applyNumberFormat="1" applyFont="1" applyFill="1" applyAlignment="1">
      <alignment vertical="top" shrinkToFit="1"/>
    </xf>
    <xf numFmtId="2" fontId="10" fillId="2" borderId="0" xfId="0" applyNumberFormat="1" applyFont="1" applyFill="1" applyAlignment="1">
      <alignment vertical="top" shrinkToFit="1"/>
    </xf>
    <xf numFmtId="2" fontId="10" fillId="2" borderId="0" xfId="0" applyNumberFormat="1" applyFont="1" applyFill="1" applyAlignment="1">
      <alignment horizontal="right" vertical="top" indent="1" shrinkToFit="1"/>
    </xf>
    <xf numFmtId="0" fontId="13" fillId="2" borderId="0" xfId="0" applyFont="1" applyFill="1" applyAlignment="1">
      <alignment horizontal="right" vertical="top" wrapText="1"/>
    </xf>
    <xf numFmtId="0" fontId="9" fillId="2" borderId="0" xfId="0" applyFont="1" applyFill="1" applyAlignment="1">
      <alignment horizontal="left" vertical="top"/>
    </xf>
    <xf numFmtId="0" fontId="4" fillId="0" borderId="0" xfId="0" applyFont="1" applyBorder="1" applyAlignment="1">
      <alignment horizontal="left" vertical="top" wrapText="1"/>
    </xf>
    <xf numFmtId="0" fontId="2" fillId="2" borderId="0" xfId="0" applyFont="1" applyFill="1" applyAlignment="1">
      <alignment horizontal="left" vertical="top"/>
    </xf>
    <xf numFmtId="14" fontId="2" fillId="2" borderId="0" xfId="0" applyNumberFormat="1" applyFont="1" applyFill="1" applyAlignment="1">
      <alignment horizontal="left" vertical="top"/>
    </xf>
    <xf numFmtId="0" fontId="4" fillId="2" borderId="0" xfId="0" applyFont="1" applyFill="1" applyBorder="1" applyAlignment="1">
      <alignment horizontal="left" vertical="top" wrapText="1"/>
    </xf>
    <xf numFmtId="164" fontId="1" fillId="2" borderId="0" xfId="0" applyNumberFormat="1" applyFont="1" applyFill="1" applyBorder="1" applyAlignment="1">
      <alignment horizontal="left" vertical="top" shrinkToFit="1"/>
    </xf>
    <xf numFmtId="0" fontId="2" fillId="2" borderId="0" xfId="0" applyFont="1" applyFill="1" applyBorder="1" applyAlignment="1">
      <alignment horizontal="left" vertical="center" wrapText="1"/>
    </xf>
    <xf numFmtId="2" fontId="1" fillId="2" borderId="0" xfId="0" applyNumberFormat="1" applyFont="1" applyFill="1" applyBorder="1" applyAlignment="1">
      <alignment horizontal="left" vertical="top" shrinkToFit="1"/>
    </xf>
    <xf numFmtId="0" fontId="13" fillId="2" borderId="0" xfId="0" applyFont="1" applyFill="1" applyBorder="1" applyAlignment="1">
      <alignment horizontal="left" vertical="top" wrapText="1"/>
    </xf>
    <xf numFmtId="1" fontId="10" fillId="2" borderId="0" xfId="0" applyNumberFormat="1" applyFont="1" applyFill="1" applyBorder="1" applyAlignment="1">
      <alignment horizontal="left" vertical="top" shrinkToFit="1"/>
    </xf>
    <xf numFmtId="164" fontId="10" fillId="2" borderId="0" xfId="0" applyNumberFormat="1" applyFont="1" applyFill="1" applyBorder="1" applyAlignment="1">
      <alignment horizontal="left" vertical="top" shrinkToFit="1"/>
    </xf>
    <xf numFmtId="0" fontId="9" fillId="2" borderId="0" xfId="0" applyFont="1" applyFill="1" applyBorder="1" applyAlignment="1">
      <alignment horizontal="left" vertical="center" wrapText="1"/>
    </xf>
    <xf numFmtId="2" fontId="10" fillId="2" borderId="0" xfId="0" applyNumberFormat="1" applyFont="1" applyFill="1" applyBorder="1" applyAlignment="1">
      <alignment horizontal="left" vertical="top" shrinkToFit="1"/>
    </xf>
    <xf numFmtId="1" fontId="10" fillId="2" borderId="0" xfId="0" applyNumberFormat="1" applyFont="1" applyFill="1" applyAlignment="1">
      <alignment horizontal="left" vertical="top" shrinkToFit="1"/>
    </xf>
    <xf numFmtId="0" fontId="10" fillId="2" borderId="0" xfId="0" applyFont="1" applyFill="1" applyAlignment="1">
      <alignment horizontal="left" vertical="top" shrinkToFit="1"/>
    </xf>
    <xf numFmtId="0" fontId="9" fillId="2" borderId="0" xfId="0" applyFont="1" applyFill="1" applyAlignment="1">
      <alignment horizontal="left" vertical="center" wrapText="1"/>
    </xf>
    <xf numFmtId="2" fontId="10" fillId="2" borderId="0" xfId="0" applyNumberFormat="1" applyFont="1" applyFill="1" applyAlignment="1">
      <alignment horizontal="left" vertical="top" shrinkToFit="1"/>
    </xf>
    <xf numFmtId="0" fontId="10" fillId="0" borderId="0" xfId="0" applyFont="1" applyBorder="1" applyAlignment="1">
      <alignment vertical="top" shrinkToFit="1"/>
    </xf>
    <xf numFmtId="0" fontId="10" fillId="2" borderId="0" xfId="0" applyFont="1" applyFill="1" applyAlignment="1">
      <alignment vertical="top" shrinkToFit="1"/>
    </xf>
    <xf numFmtId="0" fontId="9" fillId="2" borderId="0" xfId="0" applyFont="1" applyFill="1" applyAlignment="1">
      <alignment vertical="center" wrapText="1"/>
    </xf>
    <xf numFmtId="0" fontId="0" fillId="2" borderId="0" xfId="0" applyFill="1" applyAlignment="1">
      <alignment horizontal="left" vertical="top"/>
    </xf>
    <xf numFmtId="2" fontId="10" fillId="2" borderId="0" xfId="0" applyNumberFormat="1" applyFont="1" applyFill="1" applyAlignment="1">
      <alignment horizontal="right" vertical="top" shrinkToFit="1"/>
    </xf>
    <xf numFmtId="0" fontId="10" fillId="2" borderId="0" xfId="0" applyFont="1" applyFill="1" applyAlignment="1">
      <alignment horizontal="left" vertical="top" wrapText="1"/>
    </xf>
    <xf numFmtId="0" fontId="4" fillId="2" borderId="0" xfId="0" applyFont="1" applyFill="1" applyAlignment="1">
      <alignment horizontal="left" vertical="top" wrapText="1"/>
    </xf>
    <xf numFmtId="164" fontId="1" fillId="2" borderId="0" xfId="0" applyNumberFormat="1" applyFont="1" applyFill="1" applyAlignment="1">
      <alignment horizontal="left" vertical="top" shrinkToFit="1"/>
    </xf>
    <xf numFmtId="0" fontId="2" fillId="2" borderId="0" xfId="0" applyFont="1" applyFill="1" applyAlignment="1">
      <alignment horizontal="left" vertical="center" wrapText="1"/>
    </xf>
    <xf numFmtId="2" fontId="1" fillId="2" borderId="0" xfId="0" applyNumberFormat="1" applyFont="1" applyFill="1" applyAlignment="1">
      <alignment horizontal="left" vertical="top" shrinkToFit="1"/>
    </xf>
    <xf numFmtId="0" fontId="4" fillId="2" borderId="2" xfId="0" applyFont="1" applyFill="1" applyBorder="1" applyAlignment="1">
      <alignment horizontal="left" vertical="top" wrapText="1"/>
    </xf>
    <xf numFmtId="164" fontId="1" fillId="2" borderId="2" xfId="0" applyNumberFormat="1" applyFont="1" applyFill="1" applyBorder="1" applyAlignment="1">
      <alignment horizontal="left" vertical="top" shrinkToFit="1"/>
    </xf>
    <xf numFmtId="0" fontId="2" fillId="2" borderId="2" xfId="0" applyFont="1" applyFill="1" applyBorder="1" applyAlignment="1">
      <alignment horizontal="left" vertical="center" wrapText="1"/>
    </xf>
    <xf numFmtId="2" fontId="1" fillId="2" borderId="2" xfId="0" applyNumberFormat="1" applyFont="1" applyFill="1" applyBorder="1" applyAlignment="1">
      <alignment horizontal="left" vertical="top" shrinkToFi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0" y="0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0" y="0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0" y="0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0" y="0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0" y="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45605" cy="1524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CDDB69B-A987-4BDE-868D-3A0F6A3B0421}"/>
            </a:ext>
          </a:extLst>
        </xdr:cNvPr>
        <xdr:cNvSpPr/>
      </xdr:nvSpPr>
      <xdr:spPr>
        <a:xfrm>
          <a:off x="0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2032</xdr:colOff>
      <xdr:row>0</xdr:row>
      <xdr:rowOff>0</xdr:rowOff>
    </xdr:from>
    <xdr:ext cx="286258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239CBE1C-99E8-4999-A84D-1A05A8A8EB21}"/>
            </a:ext>
          </a:extLst>
        </xdr:cNvPr>
        <xdr:cNvSpPr/>
      </xdr:nvSpPr>
      <xdr:spPr>
        <a:xfrm>
          <a:off x="2032" y="12491465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768096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FEC68DB-4823-494B-999E-1E2FCB2607B2}"/>
            </a:ext>
          </a:extLst>
        </xdr:cNvPr>
        <xdr:cNvSpPr/>
      </xdr:nvSpPr>
      <xdr:spPr>
        <a:xfrm>
          <a:off x="768096" y="573023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768095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631A241C-41DA-4A93-A91A-C74B90A2AF49}"/>
            </a:ext>
          </a:extLst>
        </xdr:cNvPr>
        <xdr:cNvSpPr/>
      </xdr:nvSpPr>
      <xdr:spPr>
        <a:xfrm>
          <a:off x="768095" y="65874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710183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77E3A143-770C-4F71-92E1-2D0E0E0A4152}"/>
            </a:ext>
          </a:extLst>
        </xdr:cNvPr>
        <xdr:cNvSpPr/>
      </xdr:nvSpPr>
      <xdr:spPr>
        <a:xfrm>
          <a:off x="710183" y="16535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BBC88AEE-981C-43BF-AB26-521CAE0F8E30}"/>
            </a:ext>
          </a:extLst>
        </xdr:cNvPr>
        <xdr:cNvSpPr/>
      </xdr:nvSpPr>
      <xdr:spPr>
        <a:xfrm>
          <a:off x="0" y="1041018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2032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ABFA074C-7AEB-4BB3-94DD-A22AD48F61C8}"/>
            </a:ext>
          </a:extLst>
        </xdr:cNvPr>
        <xdr:cNvSpPr/>
      </xdr:nvSpPr>
      <xdr:spPr>
        <a:xfrm>
          <a:off x="2032" y="2299715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595E9559-DA7E-483A-B08D-806CBD060A4B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9EAA85B-117B-49DC-A179-6BAC8E8DE286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CB4B7C91-96E6-4251-886C-C8E2D68D029B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6CE22756-6F29-49A7-80E4-2CCEFC22E440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14732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82BA4A50-F85F-4D12-9088-EF3EBDBC8282}"/>
            </a:ext>
          </a:extLst>
        </xdr:cNvPr>
        <xdr:cNvSpPr/>
      </xdr:nvSpPr>
      <xdr:spPr>
        <a:xfrm>
          <a:off x="14732" y="1135799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BD0FE89F-CACD-4710-B421-7C26CF6D8650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3BD10D15-78D8-4266-B46D-06E78F5234E2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D2ED0DE8-E65F-4929-994F-925F6C317093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2E783C12-FCF2-42F4-8D4A-6EABC9028ECE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14732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B07BD33-2C39-4160-BD2B-782F248A4B6D}"/>
            </a:ext>
          </a:extLst>
        </xdr:cNvPr>
        <xdr:cNvSpPr/>
      </xdr:nvSpPr>
      <xdr:spPr>
        <a:xfrm>
          <a:off x="14732" y="1135799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F2704903-6E12-4EF4-9FE0-F5978EE7ADE2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E1B8008C-93F8-4F04-80AD-35207B45D23F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6B07D338-B05C-4E50-916E-396111DD5E40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A1B09490-B779-406E-B060-A86B7DDB40B4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1B856C8A-CF60-4B20-B970-977DFB7EFB01}"/>
            </a:ext>
          </a:extLst>
        </xdr:cNvPr>
        <xdr:cNvSpPr/>
      </xdr:nvSpPr>
      <xdr:spPr>
        <a:xfrm>
          <a:off x="0" y="1137704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E03C2E57-7AC2-4F7D-9157-0C00B0D5F63B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55A86B32-6AAF-4342-9FB5-03914BE8D348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4F7F795B-5A1C-476A-91C8-97085352798B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4CDB4833-083D-4DEB-BAB6-323AD3C1FBC3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14732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7B3A5654-F9BB-4A58-9FB4-C3026A081B00}"/>
            </a:ext>
          </a:extLst>
        </xdr:cNvPr>
        <xdr:cNvSpPr/>
      </xdr:nvSpPr>
      <xdr:spPr>
        <a:xfrm>
          <a:off x="14732" y="1137704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AA291C55-7CFC-4BEF-BFC5-E73A07FEB03D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BF377A2A-6646-4DFC-A41D-A925120A3AEC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994E5462-589C-43BA-8C1C-5FED89CDB0F7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EB575261-FC6C-44FB-ACC3-B70BCB49B3B2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DCB108E7-9DEC-4DE7-B091-8FA632A50C1D}"/>
            </a:ext>
          </a:extLst>
        </xdr:cNvPr>
        <xdr:cNvSpPr/>
      </xdr:nvSpPr>
      <xdr:spPr>
        <a:xfrm>
          <a:off x="0" y="11405615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133096</xdr:colOff>
      <xdr:row>0</xdr:row>
      <xdr:rowOff>0</xdr:rowOff>
    </xdr:from>
    <xdr:ext cx="6687820" cy="31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38D879A5-2FB2-42D3-B2B5-CDE545785AAD}"/>
            </a:ext>
          </a:extLst>
        </xdr:cNvPr>
        <xdr:cNvSpPr/>
      </xdr:nvSpPr>
      <xdr:spPr>
        <a:xfrm>
          <a:off x="790321" y="41448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2" y="0"/>
              </a:moveTo>
              <a:lnTo>
                <a:pt x="0" y="0"/>
              </a:lnTo>
              <a:lnTo>
                <a:pt x="0" y="3048"/>
              </a:lnTo>
              <a:lnTo>
                <a:pt x="6687312" y="3048"/>
              </a:lnTo>
              <a:lnTo>
                <a:pt x="6687312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133095</xdr:colOff>
      <xdr:row>0</xdr:row>
      <xdr:rowOff>0</xdr:rowOff>
    </xdr:from>
    <xdr:ext cx="6687820" cy="317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FF97B9A1-BFF0-46D7-9BF3-B37D937466B7}"/>
            </a:ext>
          </a:extLst>
        </xdr:cNvPr>
        <xdr:cNvSpPr/>
      </xdr:nvSpPr>
      <xdr:spPr>
        <a:xfrm>
          <a:off x="790320" y="4449698"/>
          <a:ext cx="6687820" cy="3175"/>
        </a:xfrm>
        <a:custGeom>
          <a:avLst/>
          <a:gdLst/>
          <a:ahLst/>
          <a:cxnLst/>
          <a:rect l="0" t="0" r="0" b="0"/>
          <a:pathLst>
            <a:path w="6687820" h="3175">
              <a:moveTo>
                <a:pt x="6687311" y="0"/>
              </a:moveTo>
              <a:lnTo>
                <a:pt x="0" y="0"/>
              </a:lnTo>
              <a:lnTo>
                <a:pt x="0" y="3047"/>
              </a:lnTo>
              <a:lnTo>
                <a:pt x="6687311" y="3047"/>
              </a:lnTo>
              <a:lnTo>
                <a:pt x="6687311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2</xdr:col>
      <xdr:colOff>75183</xdr:colOff>
      <xdr:row>0</xdr:row>
      <xdr:rowOff>0</xdr:rowOff>
    </xdr:from>
    <xdr:ext cx="6745605" cy="1524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843F2A94-C65A-42E7-B3D7-A657CD6AB3F6}"/>
            </a:ext>
          </a:extLst>
        </xdr:cNvPr>
        <xdr:cNvSpPr/>
      </xdr:nvSpPr>
      <xdr:spPr>
        <a:xfrm>
          <a:off x="732408" y="1136903"/>
          <a:ext cx="6745605" cy="15240"/>
        </a:xfrm>
        <a:custGeom>
          <a:avLst/>
          <a:gdLst/>
          <a:ahLst/>
          <a:cxnLst/>
          <a:rect l="0" t="0" r="0" b="0"/>
          <a:pathLst>
            <a:path w="6745605" h="15240">
              <a:moveTo>
                <a:pt x="6745223" y="0"/>
              </a:moveTo>
              <a:lnTo>
                <a:pt x="0" y="0"/>
              </a:lnTo>
              <a:lnTo>
                <a:pt x="0" y="15239"/>
              </a:lnTo>
              <a:lnTo>
                <a:pt x="6745223" y="15239"/>
              </a:lnTo>
              <a:lnTo>
                <a:pt x="6745223" y="0"/>
              </a:lnTo>
              <a:close/>
            </a:path>
          </a:pathLst>
        </a:custGeom>
        <a:solidFill>
          <a:srgbClr val="231F20"/>
        </a:solidFill>
      </xdr:spPr>
    </xdr:sp>
    <xdr:clientData/>
  </xdr:oneCellAnchor>
  <xdr:oneCellAnchor>
    <xdr:from>
      <xdr:col>0</xdr:col>
      <xdr:colOff>0</xdr:colOff>
      <xdr:row>0</xdr:row>
      <xdr:rowOff>0</xdr:rowOff>
    </xdr:from>
    <xdr:ext cx="7592695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CE3BA26E-92E0-4DBF-A0B4-EC2F8506391F}"/>
            </a:ext>
          </a:extLst>
        </xdr:cNvPr>
        <xdr:cNvSpPr/>
      </xdr:nvSpPr>
      <xdr:spPr>
        <a:xfrm>
          <a:off x="0" y="6936993"/>
          <a:ext cx="7592695" cy="0"/>
        </a:xfrm>
        <a:custGeom>
          <a:avLst/>
          <a:gdLst/>
          <a:ahLst/>
          <a:cxnLst/>
          <a:rect l="0" t="0" r="0" b="0"/>
          <a:pathLst>
            <a:path w="7592695">
              <a:moveTo>
                <a:pt x="0" y="0"/>
              </a:moveTo>
              <a:lnTo>
                <a:pt x="7592567" y="0"/>
              </a:lnTo>
            </a:path>
          </a:pathLst>
        </a:custGeom>
        <a:ln w="3175">
          <a:solidFill>
            <a:srgbClr val="231F20"/>
          </a:solidFill>
          <a:prstDash val="lgDash"/>
        </a:ln>
      </xdr:spPr>
    </xdr:sp>
    <xdr:clientData/>
  </xdr:oneCellAnchor>
  <xdr:oneCellAnchor>
    <xdr:from>
      <xdr:col>0</xdr:col>
      <xdr:colOff>0</xdr:colOff>
      <xdr:row>0</xdr:row>
      <xdr:rowOff>0</xdr:rowOff>
    </xdr:from>
    <xdr:ext cx="2862580" cy="317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5E04305-1A46-4779-9858-0CF1B679D94D}"/>
            </a:ext>
          </a:extLst>
        </xdr:cNvPr>
        <xdr:cNvSpPr/>
      </xdr:nvSpPr>
      <xdr:spPr>
        <a:xfrm>
          <a:off x="0" y="11377040"/>
          <a:ext cx="2862580" cy="3175"/>
        </a:xfrm>
        <a:custGeom>
          <a:avLst/>
          <a:gdLst/>
          <a:ahLst/>
          <a:cxnLst/>
          <a:rect l="0" t="0" r="0" b="0"/>
          <a:pathLst>
            <a:path w="2862580" h="3175">
              <a:moveTo>
                <a:pt x="2862071" y="3047"/>
              </a:moveTo>
              <a:lnTo>
                <a:pt x="2862071" y="0"/>
              </a:lnTo>
              <a:lnTo>
                <a:pt x="0" y="0"/>
              </a:lnTo>
              <a:lnTo>
                <a:pt x="0" y="3047"/>
              </a:lnTo>
              <a:lnTo>
                <a:pt x="2862071" y="3047"/>
              </a:lnTo>
              <a:close/>
            </a:path>
          </a:pathLst>
        </a:custGeom>
        <a:solidFill>
          <a:srgbClr val="231F20"/>
        </a:solidFill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8"/>
  <sheetViews>
    <sheetView topLeftCell="A5" workbookViewId="0">
      <selection activeCell="G21" sqref="G21"/>
    </sheetView>
  </sheetViews>
  <sheetFormatPr defaultColWidth="12.33203125" defaultRowHeight="34.5" customHeight="1" x14ac:dyDescent="0.2"/>
  <cols>
    <col min="1" max="1" width="17.6640625" style="10" bestFit="1" customWidth="1"/>
    <col min="2" max="2" width="22.33203125" style="10" customWidth="1"/>
    <col min="3" max="3" width="16" style="10" bestFit="1" customWidth="1"/>
    <col min="4" max="4" width="12.33203125" style="10"/>
    <col min="5" max="5" width="26.5" style="10" bestFit="1" customWidth="1"/>
    <col min="6" max="8" width="12.33203125" style="10"/>
    <col min="9" max="9" width="30" style="76" bestFit="1" customWidth="1"/>
    <col min="10" max="12" width="12.33203125" style="10"/>
    <col min="13" max="13" width="12.33203125" style="10" hidden="1" customWidth="1"/>
    <col min="14" max="17" width="12.33203125" style="10"/>
    <col min="18" max="18" width="30" style="10" bestFit="1" customWidth="1"/>
    <col min="19" max="16384" width="12.33203125" style="10"/>
  </cols>
  <sheetData>
    <row r="1" spans="1:19" ht="15.75" x14ac:dyDescent="0.2">
      <c r="A1" s="13" t="s">
        <v>24</v>
      </c>
      <c r="B1" s="13"/>
      <c r="C1" s="13" t="s">
        <v>25</v>
      </c>
      <c r="D1" s="13"/>
      <c r="E1" s="11"/>
      <c r="F1" s="14" t="s">
        <v>26</v>
      </c>
      <c r="G1" s="11"/>
      <c r="H1" s="11"/>
      <c r="I1" s="51"/>
      <c r="J1" s="11"/>
      <c r="K1" s="11"/>
      <c r="L1" s="11"/>
      <c r="M1" s="11"/>
      <c r="N1" s="20" t="s">
        <v>27</v>
      </c>
      <c r="O1" s="11"/>
      <c r="P1" s="21" t="s">
        <v>28</v>
      </c>
    </row>
    <row r="2" spans="1:19" ht="15.75" customHeight="1" x14ac:dyDescent="0.2">
      <c r="A2" s="16" t="s">
        <v>29</v>
      </c>
      <c r="B2" s="16"/>
      <c r="C2" s="16" t="s">
        <v>30</v>
      </c>
      <c r="D2" s="16"/>
      <c r="E2" s="16" t="s">
        <v>31</v>
      </c>
      <c r="F2" s="22" t="s">
        <v>32</v>
      </c>
      <c r="G2" s="16" t="s">
        <v>33</v>
      </c>
      <c r="H2" s="23" t="s">
        <v>34</v>
      </c>
      <c r="I2" s="54"/>
      <c r="J2" s="24" t="s">
        <v>35</v>
      </c>
      <c r="K2" s="16" t="s">
        <v>36</v>
      </c>
      <c r="L2" s="16" t="s">
        <v>37</v>
      </c>
      <c r="M2" s="16"/>
      <c r="N2" s="25" t="s">
        <v>38</v>
      </c>
      <c r="O2" s="40" t="s">
        <v>28</v>
      </c>
      <c r="P2" s="26" t="s">
        <v>39</v>
      </c>
    </row>
    <row r="3" spans="1:19" ht="15.75" customHeight="1" x14ac:dyDescent="0.2">
      <c r="A3" s="27" t="s">
        <v>234</v>
      </c>
      <c r="B3" s="27" t="str">
        <f>CONCATENATE(A3,1)</f>
        <v>6RX9WC5XT111</v>
      </c>
      <c r="C3" s="58">
        <v>19694583601</v>
      </c>
      <c r="D3" s="58"/>
      <c r="E3" s="59" t="s">
        <v>235</v>
      </c>
      <c r="F3" s="59" t="s">
        <v>53</v>
      </c>
      <c r="G3" s="29">
        <v>45602</v>
      </c>
      <c r="H3" s="30" t="s">
        <v>163</v>
      </c>
      <c r="I3" s="59" t="s">
        <v>446</v>
      </c>
      <c r="J3" s="60">
        <v>45658</v>
      </c>
      <c r="K3" s="60">
        <v>45777</v>
      </c>
      <c r="L3" s="59" t="s">
        <v>374</v>
      </c>
      <c r="M3" s="59"/>
      <c r="N3" s="62">
        <v>2</v>
      </c>
      <c r="O3" s="41">
        <v>-1.33</v>
      </c>
      <c r="P3" s="35" t="s">
        <v>45</v>
      </c>
      <c r="Q3" s="10" t="s">
        <v>575</v>
      </c>
      <c r="R3" s="10" t="s">
        <v>577</v>
      </c>
      <c r="S3" s="10">
        <v>20411454</v>
      </c>
    </row>
    <row r="4" spans="1:19" ht="15.75" customHeight="1" x14ac:dyDescent="0.2">
      <c r="A4" s="13" t="s">
        <v>437</v>
      </c>
      <c r="B4" s="27" t="str">
        <f t="shared" ref="B4:B11" si="0">CONCATENATE(A4,1)</f>
        <v>6T34R31QF061</v>
      </c>
      <c r="C4" s="48">
        <v>20243675401</v>
      </c>
      <c r="D4" s="48"/>
      <c r="E4" s="49" t="s">
        <v>438</v>
      </c>
      <c r="F4" s="49" t="s">
        <v>53</v>
      </c>
      <c r="G4" s="37">
        <v>45770</v>
      </c>
      <c r="H4" s="38" t="s">
        <v>439</v>
      </c>
      <c r="I4" s="59" t="s">
        <v>447</v>
      </c>
      <c r="J4" s="50">
        <v>45778</v>
      </c>
      <c r="K4" s="51"/>
      <c r="L4" s="49" t="s">
        <v>62</v>
      </c>
      <c r="M4" s="49"/>
      <c r="N4" s="52">
        <v>2</v>
      </c>
      <c r="O4" s="42">
        <v>2</v>
      </c>
      <c r="P4" s="21" t="s">
        <v>45</v>
      </c>
      <c r="Q4" s="10" t="s">
        <v>575</v>
      </c>
      <c r="R4" s="10" t="s">
        <v>577</v>
      </c>
      <c r="S4" s="10">
        <v>20411454</v>
      </c>
    </row>
    <row r="5" spans="1:19" ht="15.75" customHeight="1" x14ac:dyDescent="0.2">
      <c r="A5" s="13" t="s">
        <v>435</v>
      </c>
      <c r="B5" s="27" t="str">
        <f t="shared" si="0"/>
        <v>8F42NG0WE061</v>
      </c>
      <c r="C5" s="48">
        <v>20239434201</v>
      </c>
      <c r="D5" s="48"/>
      <c r="E5" s="49" t="s">
        <v>436</v>
      </c>
      <c r="F5" s="49" t="s">
        <v>53</v>
      </c>
      <c r="G5" s="37">
        <v>45768</v>
      </c>
      <c r="H5" s="38" t="s">
        <v>54</v>
      </c>
      <c r="I5" s="49" t="s">
        <v>448</v>
      </c>
      <c r="J5" s="50">
        <v>45809</v>
      </c>
      <c r="K5" s="51"/>
      <c r="L5" s="49" t="s">
        <v>62</v>
      </c>
      <c r="M5" s="49"/>
      <c r="N5" s="52">
        <v>2</v>
      </c>
      <c r="O5" s="42">
        <v>2</v>
      </c>
      <c r="P5" s="21" t="s">
        <v>45</v>
      </c>
      <c r="Q5" s="10" t="s">
        <v>575</v>
      </c>
      <c r="R5" s="10" t="s">
        <v>577</v>
      </c>
      <c r="S5" s="10">
        <v>20411454</v>
      </c>
    </row>
    <row r="6" spans="1:19" ht="15.75" customHeight="1" x14ac:dyDescent="0.2">
      <c r="A6" s="13" t="s">
        <v>368</v>
      </c>
      <c r="B6" s="27" t="str">
        <f t="shared" si="0"/>
        <v>2NQ6H33FP721</v>
      </c>
      <c r="C6" s="48">
        <v>20124741801</v>
      </c>
      <c r="D6" s="48"/>
      <c r="E6" s="49" t="s">
        <v>369</v>
      </c>
      <c r="F6" s="49" t="s">
        <v>49</v>
      </c>
      <c r="G6" s="37">
        <v>45674</v>
      </c>
      <c r="H6" s="38" t="s">
        <v>81</v>
      </c>
      <c r="I6" s="75" t="s">
        <v>449</v>
      </c>
      <c r="J6" s="50">
        <v>45689</v>
      </c>
      <c r="K6" s="50">
        <v>45777</v>
      </c>
      <c r="L6" s="49" t="s">
        <v>363</v>
      </c>
      <c r="M6" s="49"/>
      <c r="N6" s="52">
        <v>1</v>
      </c>
      <c r="O6" s="42">
        <v>-1</v>
      </c>
      <c r="P6" s="21" t="s">
        <v>45</v>
      </c>
      <c r="Q6" s="10" t="s">
        <v>575</v>
      </c>
      <c r="R6" s="10" t="s">
        <v>577</v>
      </c>
      <c r="S6" s="10">
        <v>20411454</v>
      </c>
    </row>
    <row r="7" spans="1:19" ht="15.75" customHeight="1" x14ac:dyDescent="0.2">
      <c r="A7" s="13" t="s">
        <v>368</v>
      </c>
      <c r="B7" s="27" t="str">
        <f t="shared" si="0"/>
        <v>2NQ6H33FP721</v>
      </c>
      <c r="C7" s="48">
        <v>20124741801</v>
      </c>
      <c r="D7" s="48"/>
      <c r="E7" s="49" t="s">
        <v>369</v>
      </c>
      <c r="F7" s="49" t="s">
        <v>49</v>
      </c>
      <c r="G7" s="37">
        <v>45674</v>
      </c>
      <c r="H7" s="38" t="s">
        <v>81</v>
      </c>
      <c r="I7" s="75" t="s">
        <v>449</v>
      </c>
      <c r="J7" s="50">
        <v>45689</v>
      </c>
      <c r="K7" s="50">
        <v>45777</v>
      </c>
      <c r="L7" s="49" t="s">
        <v>363</v>
      </c>
      <c r="M7" s="49"/>
      <c r="N7" s="52">
        <v>2</v>
      </c>
      <c r="O7" s="42">
        <v>-2</v>
      </c>
      <c r="P7" s="21" t="s">
        <v>45</v>
      </c>
      <c r="Q7" s="10" t="s">
        <v>575</v>
      </c>
      <c r="R7" s="10" t="s">
        <v>577</v>
      </c>
      <c r="S7" s="10">
        <v>20411454</v>
      </c>
    </row>
    <row r="8" spans="1:19" ht="15.75" customHeight="1" x14ac:dyDescent="0.2">
      <c r="A8" s="13" t="s">
        <v>430</v>
      </c>
      <c r="B8" s="27" t="str">
        <f t="shared" si="0"/>
        <v>2FA3VD8VV151</v>
      </c>
      <c r="C8" s="48">
        <v>20246044001</v>
      </c>
      <c r="D8" s="48"/>
      <c r="E8" s="49" t="s">
        <v>431</v>
      </c>
      <c r="F8" s="49" t="s">
        <v>49</v>
      </c>
      <c r="G8" s="37">
        <v>45772</v>
      </c>
      <c r="H8" s="38" t="s">
        <v>90</v>
      </c>
      <c r="I8" s="75" t="s">
        <v>450</v>
      </c>
      <c r="J8" s="50">
        <v>45778</v>
      </c>
      <c r="K8" s="51"/>
      <c r="L8" s="49" t="s">
        <v>62</v>
      </c>
      <c r="M8" s="49"/>
      <c r="N8" s="52">
        <v>2</v>
      </c>
      <c r="O8" s="42">
        <v>2</v>
      </c>
      <c r="P8" s="21" t="s">
        <v>45</v>
      </c>
      <c r="Q8" s="10" t="s">
        <v>575</v>
      </c>
      <c r="R8" s="10" t="s">
        <v>577</v>
      </c>
      <c r="S8" s="10">
        <v>20411454</v>
      </c>
    </row>
    <row r="9" spans="1:19" ht="15.75" customHeight="1" x14ac:dyDescent="0.2">
      <c r="A9" s="13" t="s">
        <v>432</v>
      </c>
      <c r="B9" s="27" t="str">
        <f t="shared" si="0"/>
        <v>3JR9JY9DT461</v>
      </c>
      <c r="C9" s="48">
        <v>20246045701</v>
      </c>
      <c r="D9" s="48"/>
      <c r="E9" s="49" t="s">
        <v>433</v>
      </c>
      <c r="F9" s="49" t="s">
        <v>434</v>
      </c>
      <c r="G9" s="37">
        <v>45772</v>
      </c>
      <c r="H9" s="38" t="s">
        <v>90</v>
      </c>
      <c r="I9" s="75" t="s">
        <v>450</v>
      </c>
      <c r="J9" s="50">
        <v>45809</v>
      </c>
      <c r="K9" s="51"/>
      <c r="L9" s="49" t="s">
        <v>62</v>
      </c>
      <c r="M9" s="49"/>
      <c r="N9" s="52">
        <v>2</v>
      </c>
      <c r="O9" s="42">
        <v>2</v>
      </c>
      <c r="P9" s="21" t="s">
        <v>45</v>
      </c>
      <c r="Q9" s="10" t="s">
        <v>575</v>
      </c>
      <c r="R9" s="10" t="s">
        <v>577</v>
      </c>
      <c r="S9" s="10">
        <v>20411454</v>
      </c>
    </row>
    <row r="10" spans="1:19" ht="15.75" customHeight="1" x14ac:dyDescent="0.2">
      <c r="A10" s="13" t="s">
        <v>440</v>
      </c>
      <c r="B10" s="27" t="str">
        <f t="shared" si="0"/>
        <v>3Q94PA0NT721</v>
      </c>
      <c r="C10" s="48">
        <v>20246173701</v>
      </c>
      <c r="D10" s="48"/>
      <c r="E10" s="49" t="s">
        <v>441</v>
      </c>
      <c r="F10" s="49" t="s">
        <v>53</v>
      </c>
      <c r="G10" s="37">
        <v>45772</v>
      </c>
      <c r="H10" s="38" t="s">
        <v>442</v>
      </c>
      <c r="I10" s="75" t="s">
        <v>451</v>
      </c>
      <c r="J10" s="50">
        <v>45778</v>
      </c>
      <c r="K10" s="51"/>
      <c r="L10" s="49" t="s">
        <v>62</v>
      </c>
      <c r="M10" s="49"/>
      <c r="N10" s="52">
        <v>2</v>
      </c>
      <c r="O10" s="42">
        <v>2</v>
      </c>
      <c r="P10" s="21" t="s">
        <v>45</v>
      </c>
      <c r="Q10" s="10" t="s">
        <v>575</v>
      </c>
      <c r="R10" s="10" t="s">
        <v>577</v>
      </c>
      <c r="S10" s="10">
        <v>20411454</v>
      </c>
    </row>
    <row r="11" spans="1:19" ht="15.75" customHeight="1" x14ac:dyDescent="0.2">
      <c r="A11" s="13" t="s">
        <v>443</v>
      </c>
      <c r="B11" s="27" t="str">
        <f t="shared" si="0"/>
        <v>5AH6J08MR601</v>
      </c>
      <c r="C11" s="48">
        <v>20227546701</v>
      </c>
      <c r="D11" s="48"/>
      <c r="E11" s="49" t="s">
        <v>444</v>
      </c>
      <c r="F11" s="49" t="s">
        <v>49</v>
      </c>
      <c r="G11" s="37">
        <v>45755</v>
      </c>
      <c r="H11" s="38" t="s">
        <v>160</v>
      </c>
      <c r="I11" s="75" t="s">
        <v>498</v>
      </c>
      <c r="J11" s="50">
        <v>45778</v>
      </c>
      <c r="K11" s="51"/>
      <c r="L11" s="49" t="s">
        <v>62</v>
      </c>
      <c r="M11" s="49"/>
      <c r="N11" s="52">
        <v>2</v>
      </c>
      <c r="O11" s="42">
        <v>2</v>
      </c>
      <c r="P11" s="21" t="s">
        <v>45</v>
      </c>
      <c r="Q11" s="10" t="s">
        <v>575</v>
      </c>
      <c r="R11" s="10" t="s">
        <v>577</v>
      </c>
      <c r="S11" s="10">
        <v>20411454</v>
      </c>
    </row>
    <row r="12" spans="1:19" s="119" customFormat="1" ht="15.75" customHeight="1" x14ac:dyDescent="0.2">
      <c r="A12" s="109" t="s">
        <v>234</v>
      </c>
      <c r="B12" s="109" t="s">
        <v>234</v>
      </c>
      <c r="C12" s="110">
        <v>19694583601</v>
      </c>
      <c r="D12" s="110"/>
      <c r="E12" s="111" t="s">
        <v>235</v>
      </c>
      <c r="F12" s="111" t="s">
        <v>53</v>
      </c>
      <c r="G12" s="112">
        <v>45602</v>
      </c>
      <c r="H12" s="113" t="s">
        <v>163</v>
      </c>
      <c r="I12" s="114" t="s">
        <v>446</v>
      </c>
      <c r="J12" s="115">
        <v>45658</v>
      </c>
      <c r="K12" s="115">
        <v>45777</v>
      </c>
      <c r="L12" s="111" t="s">
        <v>374</v>
      </c>
      <c r="M12" s="111"/>
      <c r="N12" s="116">
        <v>12</v>
      </c>
      <c r="O12" s="117">
        <v>-8</v>
      </c>
      <c r="P12" s="118" t="s">
        <v>46</v>
      </c>
      <c r="Q12" s="119" t="s">
        <v>576</v>
      </c>
      <c r="R12" s="114" t="s">
        <v>446</v>
      </c>
      <c r="S12" s="119">
        <v>17528908</v>
      </c>
    </row>
    <row r="13" spans="1:19" ht="15.75" customHeight="1" x14ac:dyDescent="0.2">
      <c r="A13" s="13" t="s">
        <v>437</v>
      </c>
      <c r="B13" s="13" t="s">
        <v>437</v>
      </c>
      <c r="C13" s="48">
        <v>20243675401</v>
      </c>
      <c r="D13" s="48"/>
      <c r="E13" s="49" t="s">
        <v>438</v>
      </c>
      <c r="F13" s="49" t="s">
        <v>53</v>
      </c>
      <c r="G13" s="37">
        <v>45770</v>
      </c>
      <c r="H13" s="38" t="s">
        <v>439</v>
      </c>
      <c r="I13" s="49" t="s">
        <v>447</v>
      </c>
      <c r="J13" s="50">
        <v>45778</v>
      </c>
      <c r="K13" s="51"/>
      <c r="L13" s="49" t="s">
        <v>62</v>
      </c>
      <c r="M13" s="49"/>
      <c r="N13" s="52">
        <v>12</v>
      </c>
      <c r="O13" s="42">
        <v>8</v>
      </c>
      <c r="P13" s="21" t="s">
        <v>46</v>
      </c>
      <c r="Q13" s="10" t="s">
        <v>576</v>
      </c>
      <c r="R13" s="49" t="s">
        <v>447</v>
      </c>
      <c r="S13" s="10">
        <v>19278370</v>
      </c>
    </row>
    <row r="14" spans="1:19" ht="15.75" customHeight="1" x14ac:dyDescent="0.2">
      <c r="A14" s="13" t="s">
        <v>368</v>
      </c>
      <c r="B14" s="13" t="s">
        <v>368</v>
      </c>
      <c r="C14" s="48">
        <v>20124741801</v>
      </c>
      <c r="D14" s="48"/>
      <c r="E14" s="49" t="s">
        <v>369</v>
      </c>
      <c r="F14" s="49" t="s">
        <v>49</v>
      </c>
      <c r="G14" s="37">
        <v>45674</v>
      </c>
      <c r="H14" s="38" t="s">
        <v>81</v>
      </c>
      <c r="I14" s="75" t="s">
        <v>449</v>
      </c>
      <c r="J14" s="50">
        <v>45689</v>
      </c>
      <c r="K14" s="50">
        <v>45777</v>
      </c>
      <c r="L14" s="49" t="s">
        <v>363</v>
      </c>
      <c r="M14" s="49"/>
      <c r="N14" s="52">
        <v>12</v>
      </c>
      <c r="O14" s="42">
        <v>-13</v>
      </c>
      <c r="P14" s="21" t="s">
        <v>46</v>
      </c>
      <c r="Q14" s="10" t="s">
        <v>576</v>
      </c>
      <c r="R14" s="75" t="s">
        <v>449</v>
      </c>
      <c r="S14" s="10">
        <v>19200754</v>
      </c>
    </row>
    <row r="15" spans="1:19" ht="15.75" customHeight="1" x14ac:dyDescent="0.2">
      <c r="A15" s="13" t="s">
        <v>368</v>
      </c>
      <c r="B15" s="13" t="s">
        <v>368</v>
      </c>
      <c r="C15" s="48">
        <v>20124741801</v>
      </c>
      <c r="D15" s="48"/>
      <c r="E15" s="49" t="s">
        <v>369</v>
      </c>
      <c r="F15" s="49" t="s">
        <v>49</v>
      </c>
      <c r="G15" s="37">
        <v>45674</v>
      </c>
      <c r="H15" s="38" t="s">
        <v>81</v>
      </c>
      <c r="I15" s="75" t="s">
        <v>449</v>
      </c>
      <c r="J15" s="50">
        <v>45689</v>
      </c>
      <c r="K15" s="50">
        <v>45777</v>
      </c>
      <c r="L15" s="49" t="s">
        <v>363</v>
      </c>
      <c r="M15" s="49"/>
      <c r="N15" s="52">
        <v>12</v>
      </c>
      <c r="O15" s="42">
        <v>-11</v>
      </c>
      <c r="P15" s="21" t="s">
        <v>46</v>
      </c>
      <c r="Q15" s="10" t="s">
        <v>576</v>
      </c>
      <c r="R15" s="75" t="s">
        <v>449</v>
      </c>
      <c r="S15" s="10">
        <v>19200754</v>
      </c>
    </row>
    <row r="16" spans="1:19" ht="15.75" customHeight="1" x14ac:dyDescent="0.2">
      <c r="A16" s="65" t="s">
        <v>430</v>
      </c>
      <c r="B16" s="65" t="s">
        <v>430</v>
      </c>
      <c r="C16" s="66">
        <v>20246044001</v>
      </c>
      <c r="D16" s="66"/>
      <c r="E16" s="67" t="s">
        <v>431</v>
      </c>
      <c r="F16" s="67" t="s">
        <v>49</v>
      </c>
      <c r="G16" s="68">
        <v>45772</v>
      </c>
      <c r="H16" s="69" t="s">
        <v>90</v>
      </c>
      <c r="I16" s="75" t="s">
        <v>450</v>
      </c>
      <c r="J16" s="70">
        <v>45778</v>
      </c>
      <c r="K16" s="71"/>
      <c r="L16" s="67" t="s">
        <v>62</v>
      </c>
      <c r="M16" s="67"/>
      <c r="N16" s="72">
        <v>12</v>
      </c>
      <c r="O16" s="73">
        <v>8</v>
      </c>
      <c r="P16" s="74" t="s">
        <v>46</v>
      </c>
      <c r="Q16" s="10" t="s">
        <v>576</v>
      </c>
      <c r="R16" s="75" t="s">
        <v>450</v>
      </c>
      <c r="S16" s="10">
        <v>16912722</v>
      </c>
    </row>
    <row r="17" spans="1:19" ht="15.75" customHeight="1" x14ac:dyDescent="0.2">
      <c r="A17" s="13" t="s">
        <v>432</v>
      </c>
      <c r="B17" s="13" t="s">
        <v>432</v>
      </c>
      <c r="C17" s="48">
        <v>20246045701</v>
      </c>
      <c r="D17" s="48"/>
      <c r="E17" s="49" t="s">
        <v>433</v>
      </c>
      <c r="F17" s="49" t="s">
        <v>434</v>
      </c>
      <c r="G17" s="37">
        <v>45772</v>
      </c>
      <c r="H17" s="38" t="s">
        <v>90</v>
      </c>
      <c r="I17" s="75" t="s">
        <v>450</v>
      </c>
      <c r="J17" s="50">
        <v>45809</v>
      </c>
      <c r="K17" s="51"/>
      <c r="L17" s="49" t="s">
        <v>62</v>
      </c>
      <c r="M17" s="49"/>
      <c r="N17" s="52">
        <v>12</v>
      </c>
      <c r="O17" s="42">
        <v>7</v>
      </c>
      <c r="P17" s="21" t="s">
        <v>46</v>
      </c>
      <c r="Q17" s="10" t="s">
        <v>576</v>
      </c>
      <c r="R17" s="75" t="s">
        <v>450</v>
      </c>
      <c r="S17" s="10">
        <v>16912722</v>
      </c>
    </row>
    <row r="18" spans="1:19" ht="15.75" customHeight="1" x14ac:dyDescent="0.2">
      <c r="A18" s="13" t="s">
        <v>440</v>
      </c>
      <c r="B18" s="13" t="s">
        <v>440</v>
      </c>
      <c r="C18" s="48">
        <v>20246173701</v>
      </c>
      <c r="D18" s="48"/>
      <c r="E18" s="49" t="s">
        <v>441</v>
      </c>
      <c r="F18" s="49" t="s">
        <v>53</v>
      </c>
      <c r="G18" s="37">
        <v>45772</v>
      </c>
      <c r="H18" s="38" t="s">
        <v>442</v>
      </c>
      <c r="I18" s="75" t="s">
        <v>451</v>
      </c>
      <c r="J18" s="50">
        <v>45778</v>
      </c>
      <c r="K18" s="51"/>
      <c r="L18" s="49" t="s">
        <v>62</v>
      </c>
      <c r="M18" s="49"/>
      <c r="N18" s="52">
        <v>12</v>
      </c>
      <c r="O18" s="42">
        <v>8</v>
      </c>
      <c r="P18" s="21" t="s">
        <v>46</v>
      </c>
      <c r="Q18" s="10" t="s">
        <v>576</v>
      </c>
      <c r="R18" s="75" t="s">
        <v>451</v>
      </c>
      <c r="S18" s="10">
        <v>20253958</v>
      </c>
    </row>
    <row r="19" spans="1:19" ht="15.75" customHeight="1" x14ac:dyDescent="0.2">
      <c r="A19" s="16" t="s">
        <v>443</v>
      </c>
      <c r="B19" s="16" t="s">
        <v>443</v>
      </c>
      <c r="C19" s="53">
        <v>20227546701</v>
      </c>
      <c r="D19" s="53"/>
      <c r="E19" s="54" t="s">
        <v>444</v>
      </c>
      <c r="F19" s="54" t="s">
        <v>49</v>
      </c>
      <c r="G19" s="43">
        <v>45755</v>
      </c>
      <c r="H19" s="23" t="s">
        <v>160</v>
      </c>
      <c r="I19" s="75" t="s">
        <v>498</v>
      </c>
      <c r="J19" s="55">
        <v>45778</v>
      </c>
      <c r="K19" s="56"/>
      <c r="L19" s="54" t="s">
        <v>62</v>
      </c>
      <c r="M19" s="54"/>
      <c r="N19" s="57">
        <v>12</v>
      </c>
      <c r="O19" s="46">
        <v>8</v>
      </c>
      <c r="P19" s="26" t="s">
        <v>46</v>
      </c>
      <c r="Q19" s="10" t="s">
        <v>576</v>
      </c>
      <c r="R19" s="75" t="s">
        <v>498</v>
      </c>
      <c r="S19" s="10">
        <v>6375605</v>
      </c>
    </row>
    <row r="20" spans="1:19" ht="50.25" customHeight="1" x14ac:dyDescent="0.2">
      <c r="A20" s="64" t="s">
        <v>445</v>
      </c>
      <c r="B20" s="64"/>
      <c r="C20" s="64"/>
      <c r="D20" s="64"/>
      <c r="E20" s="63"/>
      <c r="O20" s="91">
        <f>SUM(O3:O19)</f>
        <v>14.670000000000002</v>
      </c>
    </row>
    <row r="21" spans="1:19" ht="34.5" customHeight="1" x14ac:dyDescent="0.2">
      <c r="O21" s="10">
        <v>29</v>
      </c>
    </row>
    <row r="22" spans="1:19" ht="34.5" customHeight="1" x14ac:dyDescent="0.2">
      <c r="O22" s="10">
        <v>11</v>
      </c>
    </row>
    <row r="23" spans="1:19" ht="34.5" customHeight="1" x14ac:dyDescent="0.2">
      <c r="O23" s="41">
        <v>291.17</v>
      </c>
    </row>
    <row r="24" spans="1:19" ht="34.5" customHeight="1" x14ac:dyDescent="0.2">
      <c r="O24" s="10">
        <v>28</v>
      </c>
    </row>
    <row r="25" spans="1:19" ht="34.5" customHeight="1" x14ac:dyDescent="0.2">
      <c r="O25" s="10">
        <v>1586</v>
      </c>
    </row>
    <row r="26" spans="1:19" ht="34.5" customHeight="1" x14ac:dyDescent="0.2">
      <c r="O26" s="10">
        <v>379.5</v>
      </c>
    </row>
    <row r="27" spans="1:19" ht="34.5" customHeight="1" x14ac:dyDescent="0.2">
      <c r="O27" s="10">
        <v>133</v>
      </c>
    </row>
    <row r="28" spans="1:19" ht="34.5" customHeight="1" x14ac:dyDescent="0.2">
      <c r="O28" s="10">
        <v>4</v>
      </c>
    </row>
  </sheetData>
  <sortState xmlns:xlrd2="http://schemas.microsoft.com/office/spreadsheetml/2017/richdata2" ref="A3:AE19">
    <sortCondition ref="P3:P19"/>
  </sortState>
  <mergeCells count="1">
    <mergeCell ref="A20:D2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7CE3A-5CA2-4940-AF2E-7BA94DD8C110}">
  <dimension ref="A1:R6"/>
  <sheetViews>
    <sheetView workbookViewId="0">
      <selection activeCell="F9" sqref="F9"/>
    </sheetView>
  </sheetViews>
  <sheetFormatPr defaultColWidth="9.1640625" defaultRowHeight="15.75" x14ac:dyDescent="0.2"/>
  <cols>
    <col min="1" max="1" width="31.83203125" style="10" customWidth="1"/>
    <col min="2" max="2" width="21.6640625" style="10" customWidth="1"/>
    <col min="3" max="3" width="16" style="10" bestFit="1" customWidth="1"/>
    <col min="4" max="4" width="13.83203125" style="10" bestFit="1" customWidth="1"/>
    <col min="5" max="5" width="10.6640625" style="10" bestFit="1" customWidth="1"/>
    <col min="6" max="6" width="18.6640625" style="10" bestFit="1" customWidth="1"/>
    <col min="7" max="7" width="15" style="10" customWidth="1"/>
    <col min="8" max="8" width="19.83203125" style="10" customWidth="1"/>
    <col min="9" max="10" width="18.33203125" style="10" customWidth="1"/>
    <col min="11" max="11" width="22" style="10" customWidth="1"/>
    <col min="12" max="12" width="23.33203125" style="10" customWidth="1"/>
    <col min="13" max="13" width="13.1640625" style="10" customWidth="1"/>
    <col min="14" max="14" width="9.1640625" style="10"/>
    <col min="15" max="15" width="13" style="10" customWidth="1"/>
    <col min="16" max="16" width="11.6640625" style="10" bestFit="1" customWidth="1"/>
    <col min="17" max="17" width="20.33203125" style="10" bestFit="1" customWidth="1"/>
    <col min="18" max="18" width="11.83203125" style="10" bestFit="1" customWidth="1"/>
    <col min="19" max="16384" width="9.1640625" style="10"/>
  </cols>
  <sheetData>
    <row r="1" spans="1:18" ht="31.5" customHeight="1" x14ac:dyDescent="0.2">
      <c r="A1" s="81" t="s">
        <v>464</v>
      </c>
      <c r="B1" s="81"/>
      <c r="C1" s="54" t="s">
        <v>463</v>
      </c>
      <c r="D1" s="54" t="s">
        <v>462</v>
      </c>
      <c r="E1" s="54" t="s">
        <v>461</v>
      </c>
      <c r="F1" s="54"/>
      <c r="G1" s="54" t="s">
        <v>460</v>
      </c>
      <c r="H1" s="54" t="s">
        <v>459</v>
      </c>
      <c r="I1" s="23" t="s">
        <v>34</v>
      </c>
      <c r="J1" s="23"/>
      <c r="K1" s="24" t="s">
        <v>35</v>
      </c>
      <c r="L1" s="54" t="s">
        <v>406</v>
      </c>
      <c r="M1" s="25" t="s">
        <v>38</v>
      </c>
      <c r="N1" s="40" t="s">
        <v>28</v>
      </c>
      <c r="O1" s="26" t="s">
        <v>39</v>
      </c>
    </row>
    <row r="2" spans="1:18" ht="31.5" customHeight="1" x14ac:dyDescent="0.2">
      <c r="A2" s="59" t="s">
        <v>452</v>
      </c>
      <c r="B2" s="67" t="str">
        <f>CONCATENATE(A2,1)</f>
        <v>7UQ1AP8CV271</v>
      </c>
      <c r="C2" s="10">
        <v>20186920301</v>
      </c>
      <c r="D2" s="10" t="s">
        <v>453</v>
      </c>
      <c r="E2" s="10" t="s">
        <v>454</v>
      </c>
      <c r="F2" s="10" t="str">
        <f>CONCATENATE(D2, " ",E2)</f>
        <v>ELDER, MARK</v>
      </c>
      <c r="G2" s="10" t="s">
        <v>455</v>
      </c>
      <c r="H2" s="80">
        <v>45721</v>
      </c>
      <c r="I2" s="30" t="s">
        <v>54</v>
      </c>
      <c r="J2" s="75" t="s">
        <v>448</v>
      </c>
      <c r="K2" s="31">
        <v>45748</v>
      </c>
      <c r="L2" s="59" t="s">
        <v>62</v>
      </c>
      <c r="M2" s="33">
        <v>2</v>
      </c>
      <c r="N2" s="41">
        <v>2</v>
      </c>
      <c r="O2" s="35" t="s">
        <v>45</v>
      </c>
      <c r="P2" s="10" t="s">
        <v>575</v>
      </c>
      <c r="Q2" s="10" t="s">
        <v>577</v>
      </c>
      <c r="R2" s="10">
        <v>20411454</v>
      </c>
    </row>
    <row r="3" spans="1:18" ht="31.5" customHeight="1" x14ac:dyDescent="0.2">
      <c r="A3" s="54" t="s">
        <v>456</v>
      </c>
      <c r="B3" s="67" t="str">
        <f>CONCATENATE(A3,1)</f>
        <v>1K09XV8CY471</v>
      </c>
      <c r="C3" s="10">
        <v>20198484601</v>
      </c>
      <c r="D3" s="10" t="s">
        <v>457</v>
      </c>
      <c r="E3" s="10" t="s">
        <v>458</v>
      </c>
      <c r="F3" s="10" t="str">
        <f t="shared" ref="F3:F6" si="0">CONCATENATE(D3, " ",E3)</f>
        <v>GEORGES, NANCY</v>
      </c>
      <c r="G3" s="10" t="s">
        <v>455</v>
      </c>
      <c r="H3" s="80">
        <v>45733</v>
      </c>
      <c r="I3" s="23" t="s">
        <v>54</v>
      </c>
      <c r="J3" s="75" t="s">
        <v>448</v>
      </c>
      <c r="K3" s="44">
        <v>45748</v>
      </c>
      <c r="L3" s="54" t="s">
        <v>62</v>
      </c>
      <c r="M3" s="45">
        <v>2</v>
      </c>
      <c r="N3" s="46">
        <v>2</v>
      </c>
      <c r="O3" s="26" t="s">
        <v>45</v>
      </c>
      <c r="P3" s="10" t="s">
        <v>575</v>
      </c>
      <c r="Q3" s="10" t="s">
        <v>577</v>
      </c>
      <c r="R3" s="10">
        <v>20411454</v>
      </c>
    </row>
    <row r="4" spans="1:18" ht="15.75" customHeight="1" x14ac:dyDescent="0.25">
      <c r="A4" s="59" t="s">
        <v>139</v>
      </c>
      <c r="B4" s="59"/>
      <c r="C4" s="59"/>
      <c r="D4" s="59"/>
      <c r="E4" s="59"/>
      <c r="F4" s="10" t="str">
        <f t="shared" si="0"/>
        <v xml:space="preserve"> </v>
      </c>
      <c r="G4" s="59"/>
      <c r="H4" s="59"/>
      <c r="I4" s="17"/>
      <c r="J4" s="17"/>
      <c r="K4" s="17"/>
      <c r="L4" s="77"/>
      <c r="M4" s="17"/>
      <c r="N4" s="41">
        <v>4</v>
      </c>
      <c r="O4" s="17"/>
    </row>
    <row r="5" spans="1:18" ht="15.75" customHeight="1" x14ac:dyDescent="0.25">
      <c r="A5" s="78" t="s">
        <v>140</v>
      </c>
      <c r="B5" s="78"/>
      <c r="C5" s="78"/>
      <c r="D5" s="78"/>
      <c r="E5" s="78"/>
      <c r="F5" s="10" t="str">
        <f t="shared" si="0"/>
        <v xml:space="preserve"> </v>
      </c>
      <c r="G5" s="78"/>
      <c r="H5" s="78"/>
      <c r="I5" s="12"/>
      <c r="J5" s="12"/>
      <c r="K5" s="12"/>
      <c r="L5" s="79"/>
      <c r="M5" s="12"/>
      <c r="N5" s="12"/>
      <c r="O5" s="12"/>
    </row>
    <row r="6" spans="1:18" ht="15.75" customHeight="1" x14ac:dyDescent="0.2">
      <c r="A6" s="63" t="s">
        <v>445</v>
      </c>
      <c r="B6" s="63"/>
      <c r="C6" s="63"/>
      <c r="D6" s="63"/>
      <c r="E6" s="63"/>
      <c r="F6" s="10" t="str">
        <f t="shared" si="0"/>
        <v xml:space="preserve"> </v>
      </c>
      <c r="G6" s="63"/>
      <c r="H6" s="63"/>
      <c r="I6" s="11"/>
      <c r="J6" s="11"/>
      <c r="K6" s="11"/>
      <c r="L6" s="51"/>
      <c r="M6" s="11"/>
      <c r="N6" s="11"/>
      <c r="O6" s="1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A39DA-A8A4-4527-9587-388DA63B98DC}">
  <dimension ref="A1:S26"/>
  <sheetViews>
    <sheetView tabSelected="1" workbookViewId="0">
      <selection activeCell="Q28" sqref="Q28"/>
    </sheetView>
  </sheetViews>
  <sheetFormatPr defaultRowHeight="12.75" x14ac:dyDescent="0.2"/>
  <cols>
    <col min="1" max="2" width="21" style="1" customWidth="1"/>
    <col min="3" max="3" width="12.1640625" style="1" bestFit="1" customWidth="1"/>
    <col min="4" max="4" width="14.6640625" style="1" bestFit="1" customWidth="1"/>
    <col min="5" max="5" width="15.33203125" style="1" bestFit="1" customWidth="1"/>
    <col min="6" max="6" width="15.33203125" style="1" customWidth="1"/>
    <col min="7" max="7" width="10.83203125" style="1" bestFit="1" customWidth="1"/>
    <col min="8" max="8" width="10.5" style="1" bestFit="1" customWidth="1"/>
    <col min="9" max="9" width="12.33203125" style="1" customWidth="1"/>
    <col min="10" max="10" width="21.83203125" style="1" bestFit="1" customWidth="1"/>
    <col min="11" max="11" width="9.33203125" style="1"/>
    <col min="12" max="12" width="5.83203125" style="1" customWidth="1"/>
    <col min="13" max="13" width="16.6640625" style="1" customWidth="1"/>
    <col min="14" max="14" width="8.83203125" style="1" customWidth="1"/>
    <col min="15" max="15" width="9" style="1" bestFit="1" customWidth="1"/>
    <col min="16" max="16" width="7.33203125" style="1" customWidth="1"/>
    <col min="17" max="17" width="10.6640625" style="1" bestFit="1" customWidth="1"/>
    <col min="18" max="18" width="21.83203125" style="1" bestFit="1" customWidth="1"/>
    <col min="19" max="19" width="16" style="1" customWidth="1"/>
    <col min="20" max="16384" width="9.33203125" style="1"/>
  </cols>
  <sheetData>
    <row r="1" spans="1:19" ht="25.5" customHeight="1" x14ac:dyDescent="0.2">
      <c r="A1" s="6" t="s">
        <v>0</v>
      </c>
      <c r="B1" s="6"/>
      <c r="C1" s="6"/>
      <c r="D1" s="6"/>
      <c r="E1" s="6"/>
      <c r="F1" s="6"/>
      <c r="G1" s="6"/>
      <c r="H1" s="6"/>
      <c r="I1" s="6" t="s">
        <v>1</v>
      </c>
      <c r="J1" s="6"/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  <c r="P1" s="6" t="s">
        <v>7</v>
      </c>
    </row>
    <row r="2" spans="1:19" ht="12.75" customHeight="1" x14ac:dyDescent="0.2">
      <c r="A2" s="1" t="s">
        <v>465</v>
      </c>
      <c r="B2" s="1" t="str">
        <f>CONCATENATE(A2,1)</f>
        <v>5G61UM5HP361</v>
      </c>
      <c r="C2" s="1">
        <v>20170581101</v>
      </c>
      <c r="D2" s="1" t="s">
        <v>466</v>
      </c>
      <c r="E2" s="1" t="s">
        <v>467</v>
      </c>
      <c r="F2" s="1" t="str">
        <f>CONCATENATE(D2, " ",E2)</f>
        <v>BOVA, JUDITH</v>
      </c>
      <c r="G2" s="1" t="s">
        <v>468</v>
      </c>
      <c r="H2" s="86">
        <v>45710</v>
      </c>
      <c r="I2" s="8" t="s">
        <v>8</v>
      </c>
      <c r="J2" s="8" t="s">
        <v>494</v>
      </c>
      <c r="K2" s="82">
        <v>45717</v>
      </c>
      <c r="L2" s="9"/>
      <c r="M2" s="8" t="s">
        <v>11</v>
      </c>
      <c r="N2" s="83">
        <v>1</v>
      </c>
      <c r="O2" s="83">
        <v>1</v>
      </c>
      <c r="P2" s="8" t="s">
        <v>12</v>
      </c>
      <c r="Q2" s="1" t="s">
        <v>575</v>
      </c>
      <c r="R2" s="1" t="s">
        <v>577</v>
      </c>
      <c r="S2" s="1">
        <v>20411454</v>
      </c>
    </row>
    <row r="3" spans="1:19" ht="12.75" customHeight="1" x14ac:dyDescent="0.2">
      <c r="A3" s="1" t="s">
        <v>465</v>
      </c>
      <c r="B3" s="1" t="str">
        <f t="shared" ref="B3:B13" si="0">CONCATENATE(A3,1)</f>
        <v>5G61UM5HP361</v>
      </c>
      <c r="C3" s="1">
        <v>20170581101</v>
      </c>
      <c r="D3" s="1" t="s">
        <v>466</v>
      </c>
      <c r="E3" s="1" t="s">
        <v>467</v>
      </c>
      <c r="F3" s="1" t="str">
        <f t="shared" ref="F3:F26" si="1">CONCATENATE(D3, " ",E3)</f>
        <v>BOVA, JUDITH</v>
      </c>
      <c r="G3" s="1" t="s">
        <v>468</v>
      </c>
      <c r="H3" s="86">
        <v>45710</v>
      </c>
      <c r="I3" s="4" t="s">
        <v>8</v>
      </c>
      <c r="J3" s="8" t="s">
        <v>494</v>
      </c>
      <c r="K3" s="84">
        <v>45717</v>
      </c>
      <c r="L3" s="2"/>
      <c r="M3" s="4" t="s">
        <v>9</v>
      </c>
      <c r="N3" s="85">
        <v>2</v>
      </c>
      <c r="O3" s="85">
        <v>2</v>
      </c>
      <c r="P3" s="4" t="s">
        <v>12</v>
      </c>
      <c r="Q3" s="1" t="s">
        <v>575</v>
      </c>
      <c r="R3" s="1" t="s">
        <v>577</v>
      </c>
      <c r="S3" s="1">
        <v>20411454</v>
      </c>
    </row>
    <row r="4" spans="1:19" ht="12.75" customHeight="1" x14ac:dyDescent="0.2">
      <c r="A4" s="1" t="s">
        <v>469</v>
      </c>
      <c r="B4" s="1" t="str">
        <f t="shared" si="0"/>
        <v>8FP8Y42VH361</v>
      </c>
      <c r="C4" s="1">
        <v>20156341801</v>
      </c>
      <c r="D4" s="1" t="s">
        <v>470</v>
      </c>
      <c r="E4" s="1" t="s">
        <v>471</v>
      </c>
      <c r="F4" s="1" t="str">
        <f t="shared" si="1"/>
        <v>CARTER, LORI</v>
      </c>
      <c r="G4" s="1" t="s">
        <v>455</v>
      </c>
      <c r="H4" s="86">
        <v>45699</v>
      </c>
      <c r="I4" s="4" t="s">
        <v>13</v>
      </c>
      <c r="J4" s="8" t="s">
        <v>446</v>
      </c>
      <c r="K4" s="84">
        <v>45717</v>
      </c>
      <c r="L4" s="2"/>
      <c r="M4" s="4" t="s">
        <v>11</v>
      </c>
      <c r="N4" s="85">
        <v>1</v>
      </c>
      <c r="O4" s="85">
        <v>1</v>
      </c>
      <c r="P4" s="4" t="s">
        <v>12</v>
      </c>
      <c r="Q4" s="1" t="s">
        <v>575</v>
      </c>
      <c r="R4" s="1" t="s">
        <v>577</v>
      </c>
      <c r="S4" s="1">
        <v>20411454</v>
      </c>
    </row>
    <row r="5" spans="1:19" ht="12.75" customHeight="1" x14ac:dyDescent="0.2">
      <c r="A5" s="1" t="s">
        <v>472</v>
      </c>
      <c r="B5" s="1" t="str">
        <f t="shared" si="0"/>
        <v>2E50JP0UM231</v>
      </c>
      <c r="C5" s="1">
        <v>20147591001</v>
      </c>
      <c r="D5" s="1" t="s">
        <v>473</v>
      </c>
      <c r="E5" s="1" t="s">
        <v>474</v>
      </c>
      <c r="F5" s="1" t="str">
        <f t="shared" si="1"/>
        <v>CASHEN, CHRISTOPHER</v>
      </c>
      <c r="G5" s="1" t="s">
        <v>468</v>
      </c>
      <c r="H5" s="86">
        <v>45691</v>
      </c>
      <c r="I5" s="4" t="s">
        <v>14</v>
      </c>
      <c r="J5" s="8" t="s">
        <v>495</v>
      </c>
      <c r="K5" s="84">
        <v>45717</v>
      </c>
      <c r="L5" s="2"/>
      <c r="M5" s="4" t="s">
        <v>11</v>
      </c>
      <c r="N5" s="85">
        <v>1</v>
      </c>
      <c r="O5" s="85">
        <v>1</v>
      </c>
      <c r="P5" s="4" t="s">
        <v>12</v>
      </c>
      <c r="Q5" s="1" t="s">
        <v>575</v>
      </c>
      <c r="R5" s="1" t="s">
        <v>577</v>
      </c>
      <c r="S5" s="1">
        <v>20411454</v>
      </c>
    </row>
    <row r="6" spans="1:19" ht="12.75" customHeight="1" x14ac:dyDescent="0.2">
      <c r="A6" s="1" t="s">
        <v>475</v>
      </c>
      <c r="B6" s="1" t="str">
        <f t="shared" si="0"/>
        <v>1F00FM5DD011</v>
      </c>
      <c r="C6" s="1">
        <v>20127266301</v>
      </c>
      <c r="D6" s="1" t="s">
        <v>493</v>
      </c>
      <c r="E6" s="1" t="s">
        <v>476</v>
      </c>
      <c r="F6" s="1" t="str">
        <f t="shared" si="1"/>
        <v>DE FRANCESCO, ANTONIO</v>
      </c>
      <c r="G6" s="1" t="s">
        <v>468</v>
      </c>
      <c r="H6" s="86">
        <v>45678</v>
      </c>
      <c r="I6" s="4" t="s">
        <v>15</v>
      </c>
      <c r="J6" s="4" t="s">
        <v>496</v>
      </c>
      <c r="K6" s="84">
        <v>45717</v>
      </c>
      <c r="L6" s="2"/>
      <c r="M6" s="4" t="s">
        <v>11</v>
      </c>
      <c r="N6" s="85">
        <v>1</v>
      </c>
      <c r="O6" s="85">
        <v>1</v>
      </c>
      <c r="P6" s="4" t="s">
        <v>12</v>
      </c>
      <c r="Q6" s="1" t="s">
        <v>575</v>
      </c>
      <c r="R6" s="1" t="s">
        <v>577</v>
      </c>
      <c r="S6" s="1">
        <v>20411454</v>
      </c>
    </row>
    <row r="7" spans="1:19" s="121" customFormat="1" ht="12.75" customHeight="1" x14ac:dyDescent="0.2">
      <c r="A7" s="121" t="s">
        <v>477</v>
      </c>
      <c r="B7" s="121" t="str">
        <f t="shared" si="0"/>
        <v>9N91EK6WW151</v>
      </c>
      <c r="C7" s="121">
        <v>18550123601</v>
      </c>
      <c r="D7" s="121" t="s">
        <v>478</v>
      </c>
      <c r="E7" s="121" t="s">
        <v>479</v>
      </c>
      <c r="F7" s="121" t="str">
        <f t="shared" si="1"/>
        <v>HOFFMANN, RONALD</v>
      </c>
      <c r="G7" s="121" t="s">
        <v>480</v>
      </c>
      <c r="H7" s="122">
        <v>45616</v>
      </c>
      <c r="I7" s="142" t="s">
        <v>16</v>
      </c>
      <c r="J7" s="142" t="s">
        <v>497</v>
      </c>
      <c r="K7" s="143">
        <v>45627</v>
      </c>
      <c r="L7" s="144"/>
      <c r="M7" s="142" t="s">
        <v>9</v>
      </c>
      <c r="N7" s="145">
        <v>2</v>
      </c>
      <c r="O7" s="145">
        <v>2</v>
      </c>
      <c r="P7" s="142" t="s">
        <v>12</v>
      </c>
      <c r="Q7" s="121" t="s">
        <v>575</v>
      </c>
      <c r="R7" s="121" t="s">
        <v>577</v>
      </c>
      <c r="S7" s="121">
        <v>20411454</v>
      </c>
    </row>
    <row r="8" spans="1:19" ht="12.75" customHeight="1" x14ac:dyDescent="0.2">
      <c r="A8" s="1" t="s">
        <v>481</v>
      </c>
      <c r="B8" s="1" t="str">
        <f t="shared" si="0"/>
        <v>7JX4EC9EY661</v>
      </c>
      <c r="C8" s="1">
        <v>20142871101</v>
      </c>
      <c r="D8" s="1" t="s">
        <v>482</v>
      </c>
      <c r="E8" s="1" t="s">
        <v>483</v>
      </c>
      <c r="F8" s="1" t="str">
        <f t="shared" si="1"/>
        <v>JOHNSON, WILLIAM</v>
      </c>
      <c r="G8" s="1" t="s">
        <v>468</v>
      </c>
      <c r="H8" s="86">
        <v>45688</v>
      </c>
      <c r="I8" s="4" t="s">
        <v>14</v>
      </c>
      <c r="J8" s="4" t="s">
        <v>495</v>
      </c>
      <c r="K8" s="84">
        <v>45717</v>
      </c>
      <c r="L8" s="2"/>
      <c r="M8" s="4" t="s">
        <v>11</v>
      </c>
      <c r="N8" s="85">
        <v>1</v>
      </c>
      <c r="O8" s="85">
        <v>1</v>
      </c>
      <c r="P8" s="4" t="s">
        <v>12</v>
      </c>
      <c r="Q8" s="1" t="s">
        <v>575</v>
      </c>
      <c r="R8" s="1" t="s">
        <v>577</v>
      </c>
      <c r="S8" s="1">
        <v>20411454</v>
      </c>
    </row>
    <row r="9" spans="1:19" ht="12.75" customHeight="1" x14ac:dyDescent="0.2">
      <c r="A9" s="1" t="s">
        <v>484</v>
      </c>
      <c r="B9" s="1" t="str">
        <f t="shared" si="0"/>
        <v>9NW5WK0JN651</v>
      </c>
      <c r="C9" s="1">
        <v>20165989301</v>
      </c>
      <c r="D9" s="1" t="s">
        <v>485</v>
      </c>
      <c r="E9" s="1" t="s">
        <v>486</v>
      </c>
      <c r="F9" s="1" t="str">
        <f t="shared" si="1"/>
        <v>KLOMFAR, PAULETTE</v>
      </c>
      <c r="G9" s="1" t="s">
        <v>468</v>
      </c>
      <c r="H9" s="86">
        <v>45707</v>
      </c>
      <c r="I9" s="4" t="s">
        <v>17</v>
      </c>
      <c r="J9" s="4" t="s">
        <v>498</v>
      </c>
      <c r="K9" s="84">
        <v>45717</v>
      </c>
      <c r="L9" s="2"/>
      <c r="M9" s="4" t="s">
        <v>9</v>
      </c>
      <c r="N9" s="85">
        <v>2</v>
      </c>
      <c r="O9" s="85">
        <v>2</v>
      </c>
      <c r="P9" s="4" t="s">
        <v>12</v>
      </c>
      <c r="Q9" s="1" t="s">
        <v>575</v>
      </c>
      <c r="R9" s="1" t="s">
        <v>577</v>
      </c>
      <c r="S9" s="1">
        <v>20411454</v>
      </c>
    </row>
    <row r="10" spans="1:19" ht="12.75" customHeight="1" x14ac:dyDescent="0.2">
      <c r="A10" s="1" t="s">
        <v>484</v>
      </c>
      <c r="B10" s="1" t="str">
        <f t="shared" si="0"/>
        <v>9NW5WK0JN651</v>
      </c>
      <c r="C10" s="1">
        <v>20165989301</v>
      </c>
      <c r="D10" s="1" t="s">
        <v>485</v>
      </c>
      <c r="E10" s="1" t="s">
        <v>486</v>
      </c>
      <c r="F10" s="1" t="str">
        <f t="shared" si="1"/>
        <v>KLOMFAR, PAULETTE</v>
      </c>
      <c r="G10" s="1" t="s">
        <v>468</v>
      </c>
      <c r="H10" s="86">
        <v>45707</v>
      </c>
      <c r="I10" s="4" t="s">
        <v>17</v>
      </c>
      <c r="J10" s="4" t="s">
        <v>498</v>
      </c>
      <c r="K10" s="84">
        <v>45717</v>
      </c>
      <c r="L10" s="2"/>
      <c r="M10" s="4" t="s">
        <v>11</v>
      </c>
      <c r="N10" s="85">
        <v>1</v>
      </c>
      <c r="O10" s="85">
        <v>1</v>
      </c>
      <c r="P10" s="4" t="s">
        <v>12</v>
      </c>
      <c r="Q10" s="1" t="s">
        <v>575</v>
      </c>
      <c r="R10" s="1" t="s">
        <v>577</v>
      </c>
      <c r="S10" s="1">
        <v>20411454</v>
      </c>
    </row>
    <row r="11" spans="1:19" ht="12.75" customHeight="1" x14ac:dyDescent="0.2">
      <c r="A11" s="1" t="s">
        <v>487</v>
      </c>
      <c r="B11" s="1" t="str">
        <f t="shared" si="0"/>
        <v>5K76W51HV621</v>
      </c>
      <c r="C11" s="1">
        <v>20152572201</v>
      </c>
      <c r="D11" s="1" t="s">
        <v>488</v>
      </c>
      <c r="E11" s="1" t="s">
        <v>489</v>
      </c>
      <c r="F11" s="1" t="str">
        <f t="shared" si="1"/>
        <v>STEINHEISER, TERRY</v>
      </c>
      <c r="G11" s="1" t="s">
        <v>455</v>
      </c>
      <c r="H11" s="86">
        <v>45694</v>
      </c>
      <c r="I11" s="4" t="s">
        <v>18</v>
      </c>
      <c r="J11" s="4" t="s">
        <v>448</v>
      </c>
      <c r="K11" s="84">
        <v>45778</v>
      </c>
      <c r="L11" s="2"/>
      <c r="M11" s="4" t="s">
        <v>11</v>
      </c>
      <c r="N11" s="85">
        <v>1</v>
      </c>
      <c r="O11" s="85">
        <v>1</v>
      </c>
      <c r="P11" s="4" t="s">
        <v>12</v>
      </c>
      <c r="Q11" s="1" t="s">
        <v>575</v>
      </c>
      <c r="R11" s="1" t="s">
        <v>577</v>
      </c>
      <c r="S11" s="1">
        <v>20411454</v>
      </c>
    </row>
    <row r="12" spans="1:19" ht="12.75" customHeight="1" x14ac:dyDescent="0.2">
      <c r="A12" s="1" t="s">
        <v>490</v>
      </c>
      <c r="B12" s="1" t="str">
        <f t="shared" si="0"/>
        <v>6YA0QM0VM471</v>
      </c>
      <c r="C12" s="1">
        <v>20158987601</v>
      </c>
      <c r="D12" s="1" t="s">
        <v>491</v>
      </c>
      <c r="E12" s="1" t="s">
        <v>492</v>
      </c>
      <c r="F12" s="1" t="str">
        <f t="shared" si="1"/>
        <v>WILLIAMS, DEBRA</v>
      </c>
      <c r="G12" s="1" t="s">
        <v>455</v>
      </c>
      <c r="H12" s="86">
        <v>45701</v>
      </c>
      <c r="I12" s="4" t="s">
        <v>18</v>
      </c>
      <c r="J12" s="4" t="s">
        <v>448</v>
      </c>
      <c r="K12" s="84">
        <v>45717</v>
      </c>
      <c r="L12" s="2"/>
      <c r="M12" s="4" t="s">
        <v>11</v>
      </c>
      <c r="N12" s="85">
        <v>1</v>
      </c>
      <c r="O12" s="85">
        <v>1</v>
      </c>
      <c r="P12" s="4" t="s">
        <v>12</v>
      </c>
      <c r="Q12" s="1" t="s">
        <v>575</v>
      </c>
      <c r="R12" s="1" t="s">
        <v>577</v>
      </c>
      <c r="S12" s="1">
        <v>20411454</v>
      </c>
    </row>
    <row r="13" spans="1:19" s="121" customFormat="1" ht="12.75" customHeight="1" x14ac:dyDescent="0.2">
      <c r="A13" s="121" t="s">
        <v>477</v>
      </c>
      <c r="B13" s="121" t="str">
        <f t="shared" si="0"/>
        <v>9N91EK6WW151</v>
      </c>
      <c r="C13" s="121">
        <v>18550123601</v>
      </c>
      <c r="D13" s="121" t="s">
        <v>478</v>
      </c>
      <c r="E13" s="121" t="s">
        <v>479</v>
      </c>
      <c r="F13" s="121" t="str">
        <f t="shared" si="1"/>
        <v>HOFFMANN, RONALD</v>
      </c>
      <c r="G13" s="121" t="s">
        <v>480</v>
      </c>
      <c r="I13" s="123" t="s">
        <v>16</v>
      </c>
      <c r="J13" s="142" t="s">
        <v>497</v>
      </c>
      <c r="K13" s="124">
        <v>45627</v>
      </c>
      <c r="L13" s="125"/>
      <c r="M13" s="125"/>
      <c r="N13" s="126">
        <v>2</v>
      </c>
      <c r="O13" s="126">
        <v>2</v>
      </c>
      <c r="P13" s="123" t="s">
        <v>20</v>
      </c>
      <c r="Q13" s="121" t="s">
        <v>575</v>
      </c>
      <c r="R13" s="121" t="s">
        <v>577</v>
      </c>
      <c r="S13" s="121">
        <v>20411454</v>
      </c>
    </row>
    <row r="14" spans="1:19" s="121" customFormat="1" ht="12.75" customHeight="1" x14ac:dyDescent="0.2">
      <c r="A14" s="121" t="s">
        <v>465</v>
      </c>
      <c r="B14" s="121" t="s">
        <v>465</v>
      </c>
      <c r="C14" s="121">
        <v>20170581101</v>
      </c>
      <c r="D14" s="121" t="s">
        <v>466</v>
      </c>
      <c r="E14" s="121" t="s">
        <v>467</v>
      </c>
      <c r="F14" s="1" t="str">
        <f t="shared" si="1"/>
        <v>BOVA, JUDITH</v>
      </c>
      <c r="G14" s="121" t="s">
        <v>468</v>
      </c>
      <c r="H14" s="122">
        <v>45710</v>
      </c>
      <c r="I14" s="123" t="s">
        <v>8</v>
      </c>
      <c r="J14" s="123" t="s">
        <v>494</v>
      </c>
      <c r="K14" s="124">
        <v>45717</v>
      </c>
      <c r="L14" s="125"/>
      <c r="M14" s="123" t="s">
        <v>9</v>
      </c>
      <c r="N14" s="126">
        <v>12</v>
      </c>
      <c r="O14" s="126">
        <v>10</v>
      </c>
      <c r="P14" s="123" t="s">
        <v>10</v>
      </c>
      <c r="Q14" s="121" t="s">
        <v>576</v>
      </c>
      <c r="R14" s="123" t="s">
        <v>494</v>
      </c>
      <c r="S14" s="121">
        <v>17094718</v>
      </c>
    </row>
    <row r="15" spans="1:19" ht="12.75" customHeight="1" x14ac:dyDescent="0.2">
      <c r="A15" s="1" t="s">
        <v>465</v>
      </c>
      <c r="B15" s="1" t="s">
        <v>465</v>
      </c>
      <c r="C15" s="1">
        <v>20170581101</v>
      </c>
      <c r="D15" s="1" t="s">
        <v>466</v>
      </c>
      <c r="E15" s="1" t="s">
        <v>467</v>
      </c>
      <c r="F15" s="1" t="str">
        <f t="shared" si="1"/>
        <v>BOVA, JUDITH</v>
      </c>
      <c r="G15" s="1" t="s">
        <v>468</v>
      </c>
      <c r="H15" s="86">
        <v>45710</v>
      </c>
      <c r="I15" s="4" t="s">
        <v>8</v>
      </c>
      <c r="J15" s="120" t="s">
        <v>494</v>
      </c>
      <c r="K15" s="84">
        <v>45717</v>
      </c>
      <c r="L15" s="2"/>
      <c r="M15" s="4" t="s">
        <v>11</v>
      </c>
      <c r="N15" s="85">
        <v>12</v>
      </c>
      <c r="O15" s="85">
        <v>14</v>
      </c>
      <c r="P15" s="4" t="s">
        <v>10</v>
      </c>
      <c r="Q15" s="1" t="s">
        <v>576</v>
      </c>
      <c r="R15" s="120" t="s">
        <v>494</v>
      </c>
      <c r="S15" s="121">
        <v>17094718</v>
      </c>
    </row>
    <row r="16" spans="1:19" ht="12.75" customHeight="1" x14ac:dyDescent="0.2">
      <c r="A16" s="1" t="s">
        <v>469</v>
      </c>
      <c r="B16" s="1" t="s">
        <v>469</v>
      </c>
      <c r="C16" s="1">
        <v>20156341801</v>
      </c>
      <c r="D16" s="1" t="s">
        <v>470</v>
      </c>
      <c r="E16" s="1" t="s">
        <v>471</v>
      </c>
      <c r="F16" s="1" t="str">
        <f t="shared" si="1"/>
        <v>CARTER, LORI</v>
      </c>
      <c r="G16" s="1" t="s">
        <v>455</v>
      </c>
      <c r="H16" s="86">
        <v>45699</v>
      </c>
      <c r="I16" s="4" t="s">
        <v>13</v>
      </c>
      <c r="J16" s="4" t="s">
        <v>446</v>
      </c>
      <c r="K16" s="84">
        <v>45717</v>
      </c>
      <c r="L16" s="2"/>
      <c r="M16" s="4" t="s">
        <v>11</v>
      </c>
      <c r="N16" s="85">
        <v>12</v>
      </c>
      <c r="O16" s="85">
        <v>14</v>
      </c>
      <c r="P16" s="4" t="s">
        <v>10</v>
      </c>
      <c r="Q16" s="1" t="s">
        <v>576</v>
      </c>
      <c r="R16" s="4" t="s">
        <v>446</v>
      </c>
      <c r="S16" s="1" t="s">
        <v>667</v>
      </c>
    </row>
    <row r="17" spans="1:19" ht="12.75" customHeight="1" x14ac:dyDescent="0.2">
      <c r="A17" s="1" t="s">
        <v>472</v>
      </c>
      <c r="B17" s="1" t="s">
        <v>472</v>
      </c>
      <c r="C17" s="1">
        <v>20147591001</v>
      </c>
      <c r="D17" s="1" t="s">
        <v>473</v>
      </c>
      <c r="E17" s="1" t="s">
        <v>474</v>
      </c>
      <c r="F17" s="1" t="str">
        <f t="shared" si="1"/>
        <v>CASHEN, CHRISTOPHER</v>
      </c>
      <c r="G17" s="1" t="s">
        <v>468</v>
      </c>
      <c r="H17" s="86">
        <v>45691</v>
      </c>
      <c r="I17" s="4" t="s">
        <v>14</v>
      </c>
      <c r="J17" s="4" t="s">
        <v>495</v>
      </c>
      <c r="K17" s="84">
        <v>45717</v>
      </c>
      <c r="L17" s="2"/>
      <c r="M17" s="4" t="s">
        <v>11</v>
      </c>
      <c r="N17" s="85">
        <v>12</v>
      </c>
      <c r="O17" s="85">
        <v>14</v>
      </c>
      <c r="P17" s="4" t="s">
        <v>10</v>
      </c>
      <c r="Q17" s="1" t="s">
        <v>576</v>
      </c>
      <c r="R17" s="4" t="s">
        <v>495</v>
      </c>
      <c r="S17" s="1" t="s">
        <v>664</v>
      </c>
    </row>
    <row r="18" spans="1:19" ht="12.75" customHeight="1" x14ac:dyDescent="0.2">
      <c r="A18" s="1" t="s">
        <v>475</v>
      </c>
      <c r="B18" s="1" t="s">
        <v>475</v>
      </c>
      <c r="C18" s="1">
        <v>20127266301</v>
      </c>
      <c r="D18" s="1" t="s">
        <v>493</v>
      </c>
      <c r="E18" s="1" t="s">
        <v>476</v>
      </c>
      <c r="F18" s="1" t="str">
        <f t="shared" si="1"/>
        <v>DE FRANCESCO, ANTONIO</v>
      </c>
      <c r="G18" s="1" t="s">
        <v>468</v>
      </c>
      <c r="H18" s="86">
        <v>45678</v>
      </c>
      <c r="I18" s="4" t="s">
        <v>15</v>
      </c>
      <c r="J18" s="4" t="s">
        <v>496</v>
      </c>
      <c r="K18" s="84">
        <v>45717</v>
      </c>
      <c r="L18" s="2"/>
      <c r="M18" s="4" t="s">
        <v>11</v>
      </c>
      <c r="N18" s="85">
        <v>12</v>
      </c>
      <c r="O18" s="85">
        <v>14</v>
      </c>
      <c r="P18" s="4" t="s">
        <v>10</v>
      </c>
      <c r="Q18" s="1" t="s">
        <v>576</v>
      </c>
      <c r="R18" s="4" t="s">
        <v>496</v>
      </c>
      <c r="S18" s="1">
        <v>8325282</v>
      </c>
    </row>
    <row r="19" spans="1:19" s="121" customFormat="1" ht="12.75" customHeight="1" x14ac:dyDescent="0.2">
      <c r="A19" s="121" t="s">
        <v>477</v>
      </c>
      <c r="B19" s="121" t="s">
        <v>477</v>
      </c>
      <c r="C19" s="121">
        <v>18550123601</v>
      </c>
      <c r="D19" s="121" t="s">
        <v>478</v>
      </c>
      <c r="E19" s="121" t="s">
        <v>479</v>
      </c>
      <c r="F19" s="121" t="str">
        <f t="shared" si="1"/>
        <v>HOFFMANN, RONALD</v>
      </c>
      <c r="G19" s="121" t="s">
        <v>480</v>
      </c>
      <c r="H19" s="122">
        <v>45616</v>
      </c>
      <c r="I19" s="142" t="s">
        <v>16</v>
      </c>
      <c r="J19" s="142" t="s">
        <v>497</v>
      </c>
      <c r="K19" s="143">
        <v>45627</v>
      </c>
      <c r="L19" s="144"/>
      <c r="M19" s="142" t="s">
        <v>9</v>
      </c>
      <c r="N19" s="145">
        <v>12</v>
      </c>
      <c r="O19" s="145">
        <v>1</v>
      </c>
      <c r="P19" s="142" t="s">
        <v>10</v>
      </c>
      <c r="Q19" s="121" t="s">
        <v>576</v>
      </c>
      <c r="R19" s="142" t="s">
        <v>497</v>
      </c>
      <c r="S19" s="121">
        <v>15278437</v>
      </c>
    </row>
    <row r="20" spans="1:19" ht="12.75" customHeight="1" x14ac:dyDescent="0.2">
      <c r="A20" s="1" t="s">
        <v>481</v>
      </c>
      <c r="B20" s="1" t="s">
        <v>481</v>
      </c>
      <c r="C20" s="1">
        <v>20142871101</v>
      </c>
      <c r="D20" s="1" t="s">
        <v>482</v>
      </c>
      <c r="E20" s="1" t="s">
        <v>483</v>
      </c>
      <c r="F20" s="1" t="str">
        <f t="shared" si="1"/>
        <v>JOHNSON, WILLIAM</v>
      </c>
      <c r="G20" s="1" t="s">
        <v>468</v>
      </c>
      <c r="H20" s="86">
        <v>45688</v>
      </c>
      <c r="I20" s="4" t="s">
        <v>14</v>
      </c>
      <c r="J20" s="4" t="s">
        <v>495</v>
      </c>
      <c r="K20" s="84">
        <v>45717</v>
      </c>
      <c r="L20" s="2"/>
      <c r="M20" s="4" t="s">
        <v>11</v>
      </c>
      <c r="N20" s="85">
        <v>12</v>
      </c>
      <c r="O20" s="85">
        <v>14</v>
      </c>
      <c r="P20" s="4" t="s">
        <v>10</v>
      </c>
      <c r="Q20" s="1" t="s">
        <v>576</v>
      </c>
      <c r="R20" s="4" t="s">
        <v>495</v>
      </c>
      <c r="S20" s="1" t="s">
        <v>664</v>
      </c>
    </row>
    <row r="21" spans="1:19" ht="12.75" customHeight="1" x14ac:dyDescent="0.2">
      <c r="A21" s="1" t="s">
        <v>484</v>
      </c>
      <c r="B21" s="1" t="s">
        <v>484</v>
      </c>
      <c r="C21" s="1">
        <v>20165989301</v>
      </c>
      <c r="D21" s="1" t="s">
        <v>485</v>
      </c>
      <c r="E21" s="1" t="s">
        <v>486</v>
      </c>
      <c r="F21" s="1" t="str">
        <f t="shared" si="1"/>
        <v>KLOMFAR, PAULETTE</v>
      </c>
      <c r="G21" s="1" t="s">
        <v>468</v>
      </c>
      <c r="H21" s="86">
        <v>45707</v>
      </c>
      <c r="I21" s="4" t="s">
        <v>17</v>
      </c>
      <c r="J21" s="4" t="s">
        <v>498</v>
      </c>
      <c r="K21" s="84">
        <v>45717</v>
      </c>
      <c r="L21" s="2"/>
      <c r="M21" s="4" t="s">
        <v>11</v>
      </c>
      <c r="N21" s="85">
        <v>12</v>
      </c>
      <c r="O21" s="85">
        <v>14</v>
      </c>
      <c r="P21" s="4" t="s">
        <v>10</v>
      </c>
      <c r="Q21" s="1" t="s">
        <v>576</v>
      </c>
      <c r="R21" s="4" t="s">
        <v>498</v>
      </c>
      <c r="S21" s="1">
        <v>6375605</v>
      </c>
    </row>
    <row r="22" spans="1:19" ht="12.75" customHeight="1" x14ac:dyDescent="0.2">
      <c r="A22" s="1" t="s">
        <v>484</v>
      </c>
      <c r="B22" s="1" t="s">
        <v>484</v>
      </c>
      <c r="C22" s="1">
        <v>20165989301</v>
      </c>
      <c r="D22" s="1" t="s">
        <v>485</v>
      </c>
      <c r="E22" s="1" t="s">
        <v>486</v>
      </c>
      <c r="F22" s="1" t="str">
        <f t="shared" si="1"/>
        <v>KLOMFAR, PAULETTE</v>
      </c>
      <c r="G22" s="1" t="s">
        <v>468</v>
      </c>
      <c r="H22" s="86">
        <v>45707</v>
      </c>
      <c r="I22" s="4" t="s">
        <v>17</v>
      </c>
      <c r="J22" s="4" t="s">
        <v>498</v>
      </c>
      <c r="K22" s="84">
        <v>45717</v>
      </c>
      <c r="L22" s="2"/>
      <c r="M22" s="4" t="s">
        <v>9</v>
      </c>
      <c r="N22" s="85">
        <v>12</v>
      </c>
      <c r="O22" s="85">
        <v>10</v>
      </c>
      <c r="P22" s="4" t="s">
        <v>10</v>
      </c>
      <c r="Q22" s="1" t="s">
        <v>576</v>
      </c>
      <c r="R22" s="4" t="s">
        <v>498</v>
      </c>
      <c r="S22" s="1">
        <v>6375605</v>
      </c>
    </row>
    <row r="23" spans="1:19" s="121" customFormat="1" ht="12.75" customHeight="1" x14ac:dyDescent="0.2">
      <c r="A23" s="121" t="s">
        <v>477</v>
      </c>
      <c r="B23" s="121" t="s">
        <v>477</v>
      </c>
      <c r="C23" s="121">
        <v>18550123601</v>
      </c>
      <c r="D23" s="121" t="s">
        <v>478</v>
      </c>
      <c r="E23" s="121" t="s">
        <v>479</v>
      </c>
      <c r="F23" s="121" t="str">
        <f t="shared" si="1"/>
        <v>HOFFMANN, RONALD</v>
      </c>
      <c r="G23" s="121" t="s">
        <v>480</v>
      </c>
      <c r="I23" s="146" t="s">
        <v>16</v>
      </c>
      <c r="J23" s="142" t="s">
        <v>497</v>
      </c>
      <c r="K23" s="147">
        <v>45627</v>
      </c>
      <c r="L23" s="148"/>
      <c r="M23" s="148"/>
      <c r="N23" s="149">
        <v>12</v>
      </c>
      <c r="O23" s="149">
        <v>12</v>
      </c>
      <c r="P23" s="146" t="s">
        <v>19</v>
      </c>
      <c r="Q23" s="121" t="s">
        <v>576</v>
      </c>
      <c r="R23" s="142" t="s">
        <v>497</v>
      </c>
      <c r="S23" s="121">
        <v>15278437</v>
      </c>
    </row>
    <row r="24" spans="1:19" ht="12.75" customHeight="1" x14ac:dyDescent="0.2">
      <c r="A24" s="8" t="s">
        <v>21</v>
      </c>
      <c r="B24" s="8"/>
      <c r="C24" s="8"/>
      <c r="D24" s="8"/>
      <c r="E24" s="8"/>
      <c r="F24" s="1" t="str">
        <f t="shared" si="1"/>
        <v xml:space="preserve"> </v>
      </c>
      <c r="G24" s="8"/>
      <c r="H24" s="8"/>
      <c r="I24" s="9"/>
      <c r="J24" s="9"/>
      <c r="K24" s="9"/>
      <c r="L24" s="9"/>
      <c r="M24" s="9"/>
      <c r="N24" s="9"/>
      <c r="O24" s="83">
        <v>133</v>
      </c>
      <c r="P24" s="9"/>
    </row>
    <row r="25" spans="1:19" x14ac:dyDescent="0.2">
      <c r="A25" s="7" t="s">
        <v>22</v>
      </c>
      <c r="B25" s="7"/>
      <c r="C25" s="7"/>
      <c r="D25" s="7"/>
      <c r="E25" s="7"/>
      <c r="F25" s="1" t="str">
        <f t="shared" si="1"/>
        <v xml:space="preserve"> </v>
      </c>
      <c r="G25" s="7"/>
      <c r="H25" s="7"/>
      <c r="I25" s="3"/>
      <c r="J25" s="3"/>
      <c r="K25" s="3"/>
      <c r="L25" s="3"/>
      <c r="M25" s="3"/>
      <c r="N25" s="3"/>
      <c r="O25" s="3"/>
      <c r="P25" s="3"/>
    </row>
    <row r="26" spans="1:19" ht="12.75" customHeight="1" x14ac:dyDescent="0.2">
      <c r="A26" s="5" t="s">
        <v>23</v>
      </c>
      <c r="B26" s="5"/>
      <c r="C26" s="5"/>
      <c r="D26" s="5"/>
      <c r="E26" s="5"/>
      <c r="F26" s="1" t="str">
        <f t="shared" si="1"/>
        <v xml:space="preserve"> </v>
      </c>
      <c r="G26" s="5"/>
      <c r="H26" s="5"/>
      <c r="I26" s="2"/>
      <c r="J26" s="2"/>
      <c r="K26" s="2"/>
      <c r="L26" s="2"/>
      <c r="M26" s="2"/>
      <c r="N26" s="2"/>
      <c r="O26" s="2"/>
      <c r="P26" s="2"/>
    </row>
  </sheetData>
  <sortState xmlns:xlrd2="http://schemas.microsoft.com/office/spreadsheetml/2017/richdata2" ref="A2:AA23">
    <sortCondition ref="P2:P23"/>
  </sortState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D87F-4FE8-4D17-B036-954B6B7A0A8A}">
  <dimension ref="A1:Q79"/>
  <sheetViews>
    <sheetView topLeftCell="A40" workbookViewId="0">
      <selection activeCell="D68" sqref="D68"/>
    </sheetView>
  </sheetViews>
  <sheetFormatPr defaultColWidth="26.6640625" defaultRowHeight="15" customHeight="1" x14ac:dyDescent="0.2"/>
  <cols>
    <col min="1" max="2" width="25.83203125" style="10" customWidth="1"/>
    <col min="3" max="3" width="19.6640625" style="10" customWidth="1"/>
    <col min="4" max="4" width="31.5" style="10" bestFit="1" customWidth="1"/>
    <col min="5" max="5" width="5.5" style="10" bestFit="1" customWidth="1"/>
    <col min="6" max="6" width="11.1640625" style="10" bestFit="1" customWidth="1"/>
    <col min="7" max="7" width="10.6640625" style="10" bestFit="1" customWidth="1"/>
    <col min="8" max="8" width="28.5" style="10" customWidth="1"/>
    <col min="9" max="9" width="16.33203125" style="10" bestFit="1" customWidth="1"/>
    <col min="10" max="10" width="17.5" style="10" bestFit="1" customWidth="1"/>
    <col min="11" max="11" width="35.5" style="10" bestFit="1" customWidth="1"/>
    <col min="12" max="12" width="7.33203125" style="10" bestFit="1" customWidth="1"/>
    <col min="13" max="14" width="10.5" style="10" bestFit="1" customWidth="1"/>
    <col min="15" max="15" width="13.33203125" style="10" customWidth="1"/>
    <col min="16" max="16" width="27.6640625" style="10" customWidth="1"/>
    <col min="17" max="16384" width="26.6640625" style="10"/>
  </cols>
  <sheetData>
    <row r="1" spans="1:17" ht="15" customHeight="1" x14ac:dyDescent="0.2">
      <c r="A1" s="13" t="s">
        <v>24</v>
      </c>
      <c r="B1" s="13"/>
      <c r="C1" s="13" t="s">
        <v>25</v>
      </c>
      <c r="D1" s="11"/>
      <c r="E1" s="13" t="s">
        <v>26</v>
      </c>
      <c r="F1" s="11"/>
      <c r="G1" s="11"/>
      <c r="H1" s="11"/>
      <c r="I1" s="11"/>
      <c r="J1" s="11"/>
      <c r="K1" s="11"/>
      <c r="L1" s="13" t="s">
        <v>27</v>
      </c>
      <c r="M1" s="11"/>
      <c r="N1" s="13" t="s">
        <v>28</v>
      </c>
    </row>
    <row r="2" spans="1:17" ht="15" customHeight="1" x14ac:dyDescent="0.2">
      <c r="A2" s="16" t="s">
        <v>29</v>
      </c>
      <c r="B2" s="16"/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/>
      <c r="I2" s="16" t="s">
        <v>35</v>
      </c>
      <c r="J2" s="16" t="s">
        <v>36</v>
      </c>
      <c r="K2" s="16" t="s">
        <v>37</v>
      </c>
      <c r="L2" s="16" t="s">
        <v>38</v>
      </c>
      <c r="M2" s="16" t="s">
        <v>28</v>
      </c>
      <c r="N2" s="16" t="s">
        <v>39</v>
      </c>
    </row>
    <row r="3" spans="1:17" ht="15" customHeight="1" x14ac:dyDescent="0.2">
      <c r="A3" s="27" t="s">
        <v>74</v>
      </c>
      <c r="B3" s="27" t="str">
        <f>CONCATENATE(A3,1)</f>
        <v>9J44A13ER861</v>
      </c>
      <c r="C3" s="28">
        <v>20111561501</v>
      </c>
      <c r="D3" s="27" t="s">
        <v>75</v>
      </c>
      <c r="E3" s="27" t="s">
        <v>49</v>
      </c>
      <c r="F3" s="29">
        <v>45665</v>
      </c>
      <c r="G3" s="27" t="s">
        <v>76</v>
      </c>
      <c r="H3" s="27" t="s">
        <v>494</v>
      </c>
      <c r="I3" s="29">
        <v>45689</v>
      </c>
      <c r="J3" s="32"/>
      <c r="K3" s="27" t="s">
        <v>62</v>
      </c>
      <c r="L3" s="87">
        <v>2</v>
      </c>
      <c r="M3" s="87">
        <v>2</v>
      </c>
      <c r="N3" s="27" t="s">
        <v>45</v>
      </c>
      <c r="O3" s="10" t="s">
        <v>575</v>
      </c>
      <c r="P3" s="10" t="s">
        <v>577</v>
      </c>
      <c r="Q3" s="10">
        <v>20411454</v>
      </c>
    </row>
    <row r="4" spans="1:17" ht="15" customHeight="1" x14ac:dyDescent="0.2">
      <c r="A4" s="13" t="s">
        <v>71</v>
      </c>
      <c r="B4" s="27" t="str">
        <f t="shared" ref="B4:B48" si="0">CONCATENATE(A4,1)</f>
        <v>3AK9F80MU321</v>
      </c>
      <c r="C4" s="36">
        <v>19922388401</v>
      </c>
      <c r="D4" s="13" t="s">
        <v>72</v>
      </c>
      <c r="E4" s="13" t="s">
        <v>53</v>
      </c>
      <c r="F4" s="37">
        <v>45628</v>
      </c>
      <c r="G4" s="13" t="s">
        <v>73</v>
      </c>
      <c r="H4" s="27" t="s">
        <v>497</v>
      </c>
      <c r="I4" s="37">
        <v>45658</v>
      </c>
      <c r="J4" s="11"/>
      <c r="K4" s="13" t="s">
        <v>44</v>
      </c>
      <c r="L4" s="88">
        <v>1</v>
      </c>
      <c r="M4" s="88">
        <v>1</v>
      </c>
      <c r="N4" s="13" t="s">
        <v>45</v>
      </c>
      <c r="O4" s="10" t="s">
        <v>575</v>
      </c>
      <c r="P4" s="10" t="s">
        <v>577</v>
      </c>
      <c r="Q4" s="10">
        <v>20411454</v>
      </c>
    </row>
    <row r="5" spans="1:17" ht="15" customHeight="1" x14ac:dyDescent="0.2">
      <c r="A5" s="13" t="s">
        <v>125</v>
      </c>
      <c r="B5" s="27" t="str">
        <f t="shared" si="0"/>
        <v>3VN3FG0WH751</v>
      </c>
      <c r="C5" s="36">
        <v>20111583901</v>
      </c>
      <c r="D5" s="13" t="s">
        <v>126</v>
      </c>
      <c r="E5" s="13" t="s">
        <v>53</v>
      </c>
      <c r="F5" s="37">
        <v>45665</v>
      </c>
      <c r="G5" s="13" t="s">
        <v>127</v>
      </c>
      <c r="H5" s="96" t="s">
        <v>515</v>
      </c>
      <c r="I5" s="37">
        <v>45689</v>
      </c>
      <c r="J5" s="11"/>
      <c r="K5" s="13" t="s">
        <v>62</v>
      </c>
      <c r="L5" s="88">
        <v>2</v>
      </c>
      <c r="M5" s="88">
        <v>2</v>
      </c>
      <c r="N5" s="13" t="s">
        <v>45</v>
      </c>
      <c r="O5" s="10" t="s">
        <v>575</v>
      </c>
      <c r="P5" s="10" t="s">
        <v>577</v>
      </c>
      <c r="Q5" s="10">
        <v>20411454</v>
      </c>
    </row>
    <row r="6" spans="1:17" ht="15" customHeight="1" x14ac:dyDescent="0.2">
      <c r="A6" s="13" t="s">
        <v>102</v>
      </c>
      <c r="B6" s="27" t="str">
        <f t="shared" si="0"/>
        <v>8KK3WA6WP801</v>
      </c>
      <c r="C6" s="36">
        <v>20079748801</v>
      </c>
      <c r="D6" s="13" t="s">
        <v>103</v>
      </c>
      <c r="E6" s="13" t="s">
        <v>49</v>
      </c>
      <c r="F6" s="37">
        <v>45645</v>
      </c>
      <c r="G6" s="13" t="s">
        <v>104</v>
      </c>
      <c r="H6" s="13" t="s">
        <v>496</v>
      </c>
      <c r="I6" s="37">
        <v>45658</v>
      </c>
      <c r="J6" s="11"/>
      <c r="K6" s="13" t="s">
        <v>44</v>
      </c>
      <c r="L6" s="88">
        <v>1</v>
      </c>
      <c r="M6" s="88">
        <v>1</v>
      </c>
      <c r="N6" s="13" t="s">
        <v>45</v>
      </c>
      <c r="O6" s="10" t="s">
        <v>575</v>
      </c>
      <c r="P6" s="10" t="s">
        <v>577</v>
      </c>
      <c r="Q6" s="10">
        <v>20411454</v>
      </c>
    </row>
    <row r="7" spans="1:17" ht="15" customHeight="1" x14ac:dyDescent="0.2">
      <c r="A7" s="13" t="s">
        <v>128</v>
      </c>
      <c r="B7" s="27" t="str">
        <f t="shared" si="0"/>
        <v>6GE1Q66QC031</v>
      </c>
      <c r="C7" s="36">
        <v>19652007601</v>
      </c>
      <c r="D7" s="13" t="s">
        <v>129</v>
      </c>
      <c r="E7" s="13" t="s">
        <v>130</v>
      </c>
      <c r="F7" s="37">
        <v>45596</v>
      </c>
      <c r="G7" s="13" t="s">
        <v>104</v>
      </c>
      <c r="H7" s="13" t="s">
        <v>496</v>
      </c>
      <c r="I7" s="37">
        <v>45658</v>
      </c>
      <c r="J7" s="11"/>
      <c r="K7" s="13" t="s">
        <v>44</v>
      </c>
      <c r="L7" s="88">
        <v>1</v>
      </c>
      <c r="M7" s="88">
        <v>1</v>
      </c>
      <c r="N7" s="13" t="s">
        <v>45</v>
      </c>
      <c r="O7" s="10" t="s">
        <v>575</v>
      </c>
      <c r="P7" s="10" t="s">
        <v>577</v>
      </c>
      <c r="Q7" s="10">
        <v>20411454</v>
      </c>
    </row>
    <row r="8" spans="1:17" ht="15" customHeight="1" x14ac:dyDescent="0.2">
      <c r="A8" s="13" t="s">
        <v>47</v>
      </c>
      <c r="B8" s="27" t="str">
        <f t="shared" si="0"/>
        <v>1P39R56PM211</v>
      </c>
      <c r="C8" s="36">
        <v>20072350001</v>
      </c>
      <c r="D8" s="13" t="s">
        <v>48</v>
      </c>
      <c r="E8" s="13" t="s">
        <v>49</v>
      </c>
      <c r="F8" s="37">
        <v>45642</v>
      </c>
      <c r="G8" s="13" t="s">
        <v>50</v>
      </c>
      <c r="H8" s="13" t="s">
        <v>516</v>
      </c>
      <c r="I8" s="37">
        <v>45689</v>
      </c>
      <c r="J8" s="11"/>
      <c r="K8" s="13" t="s">
        <v>44</v>
      </c>
      <c r="L8" s="88">
        <v>1</v>
      </c>
      <c r="M8" s="88">
        <v>1</v>
      </c>
      <c r="N8" s="13" t="s">
        <v>45</v>
      </c>
      <c r="O8" s="10" t="s">
        <v>575</v>
      </c>
      <c r="P8" s="10" t="s">
        <v>577</v>
      </c>
      <c r="Q8" s="10">
        <v>20411454</v>
      </c>
    </row>
    <row r="9" spans="1:17" ht="15" customHeight="1" x14ac:dyDescent="0.2">
      <c r="A9" s="13" t="s">
        <v>100</v>
      </c>
      <c r="B9" s="27" t="str">
        <f t="shared" si="0"/>
        <v>6D68PX9QF381</v>
      </c>
      <c r="C9" s="36">
        <v>19826874001</v>
      </c>
      <c r="D9" s="13" t="s">
        <v>101</v>
      </c>
      <c r="E9" s="13" t="s">
        <v>49</v>
      </c>
      <c r="F9" s="37">
        <v>45616</v>
      </c>
      <c r="G9" s="13" t="s">
        <v>50</v>
      </c>
      <c r="H9" s="13" t="s">
        <v>516</v>
      </c>
      <c r="I9" s="37">
        <v>45658</v>
      </c>
      <c r="J9" s="11"/>
      <c r="K9" s="13" t="s">
        <v>44</v>
      </c>
      <c r="L9" s="88">
        <v>1</v>
      </c>
      <c r="M9" s="88">
        <v>1</v>
      </c>
      <c r="N9" s="13" t="s">
        <v>45</v>
      </c>
      <c r="O9" s="10" t="s">
        <v>575</v>
      </c>
      <c r="P9" s="10" t="s">
        <v>577</v>
      </c>
      <c r="Q9" s="10">
        <v>20411454</v>
      </c>
    </row>
    <row r="10" spans="1:17" ht="15" customHeight="1" x14ac:dyDescent="0.2">
      <c r="A10" s="13" t="s">
        <v>117</v>
      </c>
      <c r="B10" s="27" t="str">
        <f t="shared" si="0"/>
        <v>3CD5QG0TJ781</v>
      </c>
      <c r="C10" s="36">
        <v>19691452701</v>
      </c>
      <c r="D10" s="13" t="s">
        <v>118</v>
      </c>
      <c r="E10" s="13" t="s">
        <v>49</v>
      </c>
      <c r="F10" s="37">
        <v>45601</v>
      </c>
      <c r="G10" s="13" t="s">
        <v>50</v>
      </c>
      <c r="H10" s="13" t="s">
        <v>516</v>
      </c>
      <c r="I10" s="37">
        <v>45658</v>
      </c>
      <c r="J10" s="11"/>
      <c r="K10" s="13" t="s">
        <v>44</v>
      </c>
      <c r="L10" s="88">
        <v>1</v>
      </c>
      <c r="M10" s="88">
        <v>1</v>
      </c>
      <c r="N10" s="13" t="s">
        <v>45</v>
      </c>
      <c r="O10" s="10" t="s">
        <v>575</v>
      </c>
      <c r="P10" s="10" t="s">
        <v>577</v>
      </c>
      <c r="Q10" s="10">
        <v>20411454</v>
      </c>
    </row>
    <row r="11" spans="1:17" ht="15" customHeight="1" x14ac:dyDescent="0.2">
      <c r="A11" s="89" t="s">
        <v>507</v>
      </c>
      <c r="B11" s="27" t="str">
        <f t="shared" si="0"/>
        <v>8AW0KY1TE481</v>
      </c>
      <c r="C11" s="13">
        <v>19735550601</v>
      </c>
      <c r="D11" s="13" t="s">
        <v>508</v>
      </c>
      <c r="E11" s="13" t="s">
        <v>49</v>
      </c>
      <c r="F11" s="37">
        <v>45607</v>
      </c>
      <c r="G11" s="13" t="s">
        <v>50</v>
      </c>
      <c r="H11" s="13" t="s">
        <v>516</v>
      </c>
      <c r="I11" s="37">
        <v>45658</v>
      </c>
      <c r="J11" s="11"/>
      <c r="K11" s="13" t="s">
        <v>44</v>
      </c>
      <c r="L11" s="88">
        <v>1</v>
      </c>
      <c r="M11" s="88">
        <v>1</v>
      </c>
      <c r="N11" s="13" t="s">
        <v>45</v>
      </c>
      <c r="O11" s="10" t="s">
        <v>575</v>
      </c>
      <c r="P11" s="10" t="s">
        <v>577</v>
      </c>
      <c r="Q11" s="10">
        <v>20411454</v>
      </c>
    </row>
    <row r="12" spans="1:17" ht="15" customHeight="1" x14ac:dyDescent="0.2">
      <c r="A12" s="89" t="s">
        <v>509</v>
      </c>
      <c r="B12" s="27" t="str">
        <f t="shared" si="0"/>
        <v>5RQ8MD3AC221</v>
      </c>
      <c r="C12" s="13">
        <v>19887825801</v>
      </c>
      <c r="D12" s="13" t="s">
        <v>510</v>
      </c>
      <c r="E12" s="13" t="s">
        <v>49</v>
      </c>
      <c r="F12" s="37">
        <v>45622</v>
      </c>
      <c r="G12" s="13" t="s">
        <v>50</v>
      </c>
      <c r="H12" s="13" t="s">
        <v>516</v>
      </c>
      <c r="I12" s="37">
        <v>45658</v>
      </c>
      <c r="J12" s="11"/>
      <c r="K12" s="13" t="s">
        <v>44</v>
      </c>
      <c r="L12" s="88">
        <v>1</v>
      </c>
      <c r="M12" s="88">
        <v>1</v>
      </c>
      <c r="N12" s="13" t="s">
        <v>45</v>
      </c>
      <c r="O12" s="10" t="s">
        <v>575</v>
      </c>
      <c r="P12" s="10" t="s">
        <v>577</v>
      </c>
      <c r="Q12" s="10">
        <v>20411454</v>
      </c>
    </row>
    <row r="13" spans="1:17" ht="15" customHeight="1" x14ac:dyDescent="0.2">
      <c r="A13" s="92" t="s">
        <v>513</v>
      </c>
      <c r="B13" s="27" t="str">
        <f t="shared" si="0"/>
        <v>1QF9PD9WV581</v>
      </c>
      <c r="C13" s="65">
        <v>20052376901</v>
      </c>
      <c r="D13" s="65" t="s">
        <v>514</v>
      </c>
      <c r="E13" s="65" t="s">
        <v>49</v>
      </c>
      <c r="F13" s="68">
        <v>45633</v>
      </c>
      <c r="G13" s="65" t="s">
        <v>50</v>
      </c>
      <c r="H13" s="13" t="s">
        <v>516</v>
      </c>
      <c r="I13" s="68">
        <v>45658</v>
      </c>
      <c r="J13" s="94"/>
      <c r="K13" s="65" t="s">
        <v>44</v>
      </c>
      <c r="L13" s="95">
        <v>1</v>
      </c>
      <c r="M13" s="95">
        <v>1</v>
      </c>
      <c r="N13" s="65" t="s">
        <v>45</v>
      </c>
      <c r="O13" s="10" t="s">
        <v>575</v>
      </c>
      <c r="P13" s="10" t="s">
        <v>577</v>
      </c>
      <c r="Q13" s="10">
        <v>20411454</v>
      </c>
    </row>
    <row r="14" spans="1:17" ht="15" customHeight="1" x14ac:dyDescent="0.2">
      <c r="A14" s="13" t="s">
        <v>64</v>
      </c>
      <c r="B14" s="27" t="str">
        <f t="shared" si="0"/>
        <v>7XT2W99YH091</v>
      </c>
      <c r="C14" s="36">
        <v>19827569501</v>
      </c>
      <c r="D14" s="13" t="s">
        <v>65</v>
      </c>
      <c r="E14" s="13" t="s">
        <v>66</v>
      </c>
      <c r="F14" s="37">
        <v>45616</v>
      </c>
      <c r="G14" s="13" t="s">
        <v>67</v>
      </c>
      <c r="H14" s="75" t="s">
        <v>517</v>
      </c>
      <c r="I14" s="37">
        <v>45658</v>
      </c>
      <c r="J14" s="11"/>
      <c r="K14" s="13" t="s">
        <v>44</v>
      </c>
      <c r="L14" s="88">
        <v>1</v>
      </c>
      <c r="M14" s="88">
        <v>1</v>
      </c>
      <c r="N14" s="13" t="s">
        <v>45</v>
      </c>
      <c r="O14" s="10" t="s">
        <v>575</v>
      </c>
      <c r="P14" s="10" t="s">
        <v>577</v>
      </c>
      <c r="Q14" s="10">
        <v>20411454</v>
      </c>
    </row>
    <row r="15" spans="1:17" ht="15" customHeight="1" x14ac:dyDescent="0.2">
      <c r="A15" s="65" t="s">
        <v>59</v>
      </c>
      <c r="B15" s="27" t="str">
        <f t="shared" si="0"/>
        <v>2F07KU0JY471</v>
      </c>
      <c r="C15" s="93">
        <v>20108793901</v>
      </c>
      <c r="D15" s="65" t="s">
        <v>60</v>
      </c>
      <c r="E15" s="65" t="s">
        <v>49</v>
      </c>
      <c r="F15" s="68">
        <v>45664</v>
      </c>
      <c r="G15" s="65" t="s">
        <v>61</v>
      </c>
      <c r="H15" s="13" t="s">
        <v>495</v>
      </c>
      <c r="I15" s="68">
        <v>45689</v>
      </c>
      <c r="J15" s="94"/>
      <c r="K15" s="65" t="s">
        <v>62</v>
      </c>
      <c r="L15" s="95">
        <v>2</v>
      </c>
      <c r="M15" s="95">
        <v>2</v>
      </c>
      <c r="N15" s="65" t="s">
        <v>45</v>
      </c>
      <c r="O15" s="10" t="s">
        <v>575</v>
      </c>
      <c r="P15" s="10" t="s">
        <v>577</v>
      </c>
      <c r="Q15" s="10">
        <v>20411454</v>
      </c>
    </row>
    <row r="16" spans="1:17" ht="15" customHeight="1" x14ac:dyDescent="0.2">
      <c r="A16" s="13" t="s">
        <v>137</v>
      </c>
      <c r="B16" s="27" t="str">
        <f t="shared" si="0"/>
        <v>9UM6EP4JF821</v>
      </c>
      <c r="C16" s="36">
        <v>20057871401</v>
      </c>
      <c r="D16" s="13" t="s">
        <v>138</v>
      </c>
      <c r="E16" s="13" t="s">
        <v>49</v>
      </c>
      <c r="F16" s="37">
        <v>45635</v>
      </c>
      <c r="G16" s="13" t="s">
        <v>61</v>
      </c>
      <c r="H16" s="13" t="s">
        <v>495</v>
      </c>
      <c r="I16" s="37">
        <v>45689</v>
      </c>
      <c r="J16" s="11"/>
      <c r="K16" s="13" t="s">
        <v>44</v>
      </c>
      <c r="L16" s="88">
        <v>1</v>
      </c>
      <c r="M16" s="88">
        <v>1</v>
      </c>
      <c r="N16" s="13" t="s">
        <v>45</v>
      </c>
      <c r="O16" s="10" t="s">
        <v>575</v>
      </c>
      <c r="P16" s="10" t="s">
        <v>577</v>
      </c>
      <c r="Q16" s="10">
        <v>20411454</v>
      </c>
    </row>
    <row r="17" spans="1:17" ht="15" customHeight="1" x14ac:dyDescent="0.2">
      <c r="A17" s="13" t="s">
        <v>51</v>
      </c>
      <c r="B17" s="27" t="str">
        <f t="shared" si="0"/>
        <v>4YX2Q36MU011</v>
      </c>
      <c r="C17" s="36">
        <v>20080762601</v>
      </c>
      <c r="D17" s="13" t="s">
        <v>52</v>
      </c>
      <c r="E17" s="13" t="s">
        <v>53</v>
      </c>
      <c r="F17" s="37">
        <v>45646</v>
      </c>
      <c r="G17" s="13" t="s">
        <v>54</v>
      </c>
      <c r="H17" s="13" t="s">
        <v>448</v>
      </c>
      <c r="I17" s="37">
        <v>45658</v>
      </c>
      <c r="J17" s="11"/>
      <c r="K17" s="13" t="s">
        <v>44</v>
      </c>
      <c r="L17" s="88">
        <v>1</v>
      </c>
      <c r="M17" s="88">
        <v>1</v>
      </c>
      <c r="N17" s="13" t="s">
        <v>45</v>
      </c>
      <c r="O17" s="10" t="s">
        <v>575</v>
      </c>
      <c r="P17" s="10" t="s">
        <v>577</v>
      </c>
      <c r="Q17" s="10">
        <v>20411454</v>
      </c>
    </row>
    <row r="18" spans="1:17" ht="15" customHeight="1" x14ac:dyDescent="0.2">
      <c r="A18" s="13" t="s">
        <v>55</v>
      </c>
      <c r="B18" s="27" t="str">
        <f t="shared" si="0"/>
        <v>6Q62KK4NR801</v>
      </c>
      <c r="C18" s="36">
        <v>20057926601</v>
      </c>
      <c r="D18" s="13" t="s">
        <v>56</v>
      </c>
      <c r="E18" s="13" t="s">
        <v>53</v>
      </c>
      <c r="F18" s="37">
        <v>45635</v>
      </c>
      <c r="G18" s="13" t="s">
        <v>54</v>
      </c>
      <c r="H18" s="13" t="s">
        <v>448</v>
      </c>
      <c r="I18" s="37">
        <v>45658</v>
      </c>
      <c r="J18" s="11"/>
      <c r="K18" s="13" t="s">
        <v>44</v>
      </c>
      <c r="L18" s="88">
        <v>2.5</v>
      </c>
      <c r="M18" s="88">
        <v>2.5</v>
      </c>
      <c r="N18" s="13" t="s">
        <v>45</v>
      </c>
      <c r="O18" s="10" t="s">
        <v>575</v>
      </c>
      <c r="P18" s="10" t="s">
        <v>577</v>
      </c>
      <c r="Q18" s="10">
        <v>20411454</v>
      </c>
    </row>
    <row r="19" spans="1:17" ht="15" customHeight="1" x14ac:dyDescent="0.2">
      <c r="A19" s="13" t="s">
        <v>57</v>
      </c>
      <c r="B19" s="27" t="str">
        <f t="shared" si="0"/>
        <v>9PU1JT6JR171</v>
      </c>
      <c r="C19" s="36">
        <v>20057951401</v>
      </c>
      <c r="D19" s="13" t="s">
        <v>58</v>
      </c>
      <c r="E19" s="13" t="s">
        <v>53</v>
      </c>
      <c r="F19" s="37">
        <v>45635</v>
      </c>
      <c r="G19" s="13" t="s">
        <v>54</v>
      </c>
      <c r="H19" s="13" t="s">
        <v>448</v>
      </c>
      <c r="I19" s="37">
        <v>45717</v>
      </c>
      <c r="J19" s="11"/>
      <c r="K19" s="13" t="s">
        <v>44</v>
      </c>
      <c r="L19" s="88">
        <v>1</v>
      </c>
      <c r="M19" s="88">
        <v>1</v>
      </c>
      <c r="N19" s="13" t="s">
        <v>45</v>
      </c>
      <c r="O19" s="10" t="s">
        <v>575</v>
      </c>
      <c r="P19" s="10" t="s">
        <v>577</v>
      </c>
      <c r="Q19" s="10">
        <v>20411454</v>
      </c>
    </row>
    <row r="20" spans="1:17" ht="15" customHeight="1" x14ac:dyDescent="0.2">
      <c r="A20" s="13" t="s">
        <v>77</v>
      </c>
      <c r="B20" s="27" t="str">
        <f t="shared" si="0"/>
        <v>9KX6DG5KH731</v>
      </c>
      <c r="C20" s="36">
        <v>19971481701</v>
      </c>
      <c r="D20" s="13" t="s">
        <v>78</v>
      </c>
      <c r="E20" s="13" t="s">
        <v>53</v>
      </c>
      <c r="F20" s="37">
        <v>45630</v>
      </c>
      <c r="G20" s="13" t="s">
        <v>54</v>
      </c>
      <c r="H20" s="13" t="s">
        <v>448</v>
      </c>
      <c r="I20" s="37">
        <v>45658</v>
      </c>
      <c r="J20" s="11"/>
      <c r="K20" s="13" t="s">
        <v>44</v>
      </c>
      <c r="L20" s="88">
        <v>1</v>
      </c>
      <c r="M20" s="88">
        <v>1</v>
      </c>
      <c r="N20" s="13" t="s">
        <v>45</v>
      </c>
      <c r="O20" s="10" t="s">
        <v>575</v>
      </c>
      <c r="P20" s="10" t="s">
        <v>577</v>
      </c>
      <c r="Q20" s="10">
        <v>20411454</v>
      </c>
    </row>
    <row r="21" spans="1:17" ht="15" customHeight="1" x14ac:dyDescent="0.2">
      <c r="A21" s="13" t="s">
        <v>94</v>
      </c>
      <c r="B21" s="27" t="str">
        <f t="shared" si="0"/>
        <v>1A31U76QE151</v>
      </c>
      <c r="C21" s="36">
        <v>19684864201</v>
      </c>
      <c r="D21" s="13" t="s">
        <v>95</v>
      </c>
      <c r="E21" s="13" t="s">
        <v>53</v>
      </c>
      <c r="F21" s="37">
        <v>45601</v>
      </c>
      <c r="G21" s="13" t="s">
        <v>54</v>
      </c>
      <c r="H21" s="13" t="s">
        <v>448</v>
      </c>
      <c r="I21" s="37">
        <v>45658</v>
      </c>
      <c r="J21" s="11"/>
      <c r="K21" s="13" t="s">
        <v>44</v>
      </c>
      <c r="L21" s="88">
        <v>1</v>
      </c>
      <c r="M21" s="88">
        <v>1</v>
      </c>
      <c r="N21" s="13" t="s">
        <v>45</v>
      </c>
      <c r="O21" s="10" t="s">
        <v>575</v>
      </c>
      <c r="P21" s="10" t="s">
        <v>577</v>
      </c>
      <c r="Q21" s="10">
        <v>20411454</v>
      </c>
    </row>
    <row r="22" spans="1:17" ht="15" customHeight="1" x14ac:dyDescent="0.2">
      <c r="A22" s="13" t="s">
        <v>501</v>
      </c>
      <c r="B22" s="27" t="str">
        <f t="shared" si="0"/>
        <v>3NM2HF9GH841</v>
      </c>
      <c r="C22" s="13">
        <v>19684520001</v>
      </c>
      <c r="D22" s="13" t="s">
        <v>502</v>
      </c>
      <c r="E22" s="13" t="s">
        <v>53</v>
      </c>
      <c r="F22" s="37">
        <v>45601</v>
      </c>
      <c r="G22" s="13" t="s">
        <v>54</v>
      </c>
      <c r="H22" s="13" t="s">
        <v>448</v>
      </c>
      <c r="I22" s="37">
        <v>45658</v>
      </c>
      <c r="J22" s="11"/>
      <c r="K22" s="13" t="s">
        <v>44</v>
      </c>
      <c r="L22" s="88">
        <v>1</v>
      </c>
      <c r="M22" s="88">
        <v>1</v>
      </c>
      <c r="N22" s="13" t="s">
        <v>45</v>
      </c>
      <c r="O22" s="10" t="s">
        <v>575</v>
      </c>
      <c r="P22" s="10" t="s">
        <v>577</v>
      </c>
      <c r="Q22" s="10">
        <v>20411454</v>
      </c>
    </row>
    <row r="23" spans="1:17" ht="15" customHeight="1" x14ac:dyDescent="0.2">
      <c r="A23" s="13" t="s">
        <v>96</v>
      </c>
      <c r="B23" s="27" t="str">
        <f t="shared" si="0"/>
        <v>6G00AG9VM471</v>
      </c>
      <c r="C23" s="36">
        <v>20071283401</v>
      </c>
      <c r="D23" s="13" t="s">
        <v>97</v>
      </c>
      <c r="E23" s="13" t="s">
        <v>53</v>
      </c>
      <c r="F23" s="37">
        <v>45642</v>
      </c>
      <c r="G23" s="13" t="s">
        <v>54</v>
      </c>
      <c r="H23" s="13" t="s">
        <v>448</v>
      </c>
      <c r="I23" s="37">
        <v>45658</v>
      </c>
      <c r="J23" s="11"/>
      <c r="K23" s="13" t="s">
        <v>44</v>
      </c>
      <c r="L23" s="88">
        <v>1</v>
      </c>
      <c r="M23" s="88">
        <v>1</v>
      </c>
      <c r="N23" s="13" t="s">
        <v>45</v>
      </c>
      <c r="O23" s="10" t="s">
        <v>575</v>
      </c>
      <c r="P23" s="10" t="s">
        <v>577</v>
      </c>
      <c r="Q23" s="10">
        <v>20411454</v>
      </c>
    </row>
    <row r="24" spans="1:17" ht="15" customHeight="1" x14ac:dyDescent="0.2">
      <c r="A24" s="13" t="s">
        <v>98</v>
      </c>
      <c r="B24" s="27" t="str">
        <f t="shared" si="0"/>
        <v>4KK7R72XJ641</v>
      </c>
      <c r="C24" s="36">
        <v>20071371701</v>
      </c>
      <c r="D24" s="13" t="s">
        <v>99</v>
      </c>
      <c r="E24" s="13" t="s">
        <v>53</v>
      </c>
      <c r="F24" s="37">
        <v>45642</v>
      </c>
      <c r="G24" s="13" t="s">
        <v>54</v>
      </c>
      <c r="H24" s="13" t="s">
        <v>448</v>
      </c>
      <c r="I24" s="37">
        <v>45658</v>
      </c>
      <c r="J24" s="11"/>
      <c r="K24" s="13" t="s">
        <v>44</v>
      </c>
      <c r="L24" s="88">
        <v>1</v>
      </c>
      <c r="M24" s="88">
        <v>1</v>
      </c>
      <c r="N24" s="13" t="s">
        <v>45</v>
      </c>
      <c r="O24" s="10" t="s">
        <v>575</v>
      </c>
      <c r="P24" s="10" t="s">
        <v>577</v>
      </c>
      <c r="Q24" s="10">
        <v>20411454</v>
      </c>
    </row>
    <row r="25" spans="1:17" ht="15" customHeight="1" x14ac:dyDescent="0.2">
      <c r="A25" s="13" t="s">
        <v>107</v>
      </c>
      <c r="B25" s="27" t="str">
        <f t="shared" si="0"/>
        <v>6V30Q31CW091</v>
      </c>
      <c r="C25" s="36">
        <v>19674387601</v>
      </c>
      <c r="D25" s="13" t="s">
        <v>108</v>
      </c>
      <c r="E25" s="13" t="s">
        <v>53</v>
      </c>
      <c r="F25" s="37">
        <v>45600</v>
      </c>
      <c r="G25" s="13" t="s">
        <v>54</v>
      </c>
      <c r="H25" s="13" t="s">
        <v>448</v>
      </c>
      <c r="I25" s="37">
        <v>45658</v>
      </c>
      <c r="J25" s="11"/>
      <c r="K25" s="13" t="s">
        <v>44</v>
      </c>
      <c r="L25" s="88">
        <v>1</v>
      </c>
      <c r="M25" s="88">
        <v>1</v>
      </c>
      <c r="N25" s="13" t="s">
        <v>45</v>
      </c>
      <c r="O25" s="10" t="s">
        <v>575</v>
      </c>
      <c r="P25" s="10" t="s">
        <v>577</v>
      </c>
      <c r="Q25" s="10">
        <v>20411454</v>
      </c>
    </row>
    <row r="26" spans="1:17" ht="15" customHeight="1" x14ac:dyDescent="0.2">
      <c r="A26" s="13" t="s">
        <v>503</v>
      </c>
      <c r="B26" s="27" t="str">
        <f t="shared" si="0"/>
        <v>5MQ3WV4GX001</v>
      </c>
      <c r="C26" s="13">
        <v>20117986801</v>
      </c>
      <c r="D26" s="13" t="s">
        <v>504</v>
      </c>
      <c r="E26" s="13" t="s">
        <v>53</v>
      </c>
      <c r="F26" s="37">
        <v>45670</v>
      </c>
      <c r="G26" s="13" t="s">
        <v>54</v>
      </c>
      <c r="H26" s="13" t="s">
        <v>448</v>
      </c>
      <c r="I26" s="37">
        <v>45689</v>
      </c>
      <c r="J26" s="11"/>
      <c r="K26" s="13" t="s">
        <v>62</v>
      </c>
      <c r="L26" s="88">
        <v>2</v>
      </c>
      <c r="M26" s="88">
        <v>2</v>
      </c>
      <c r="N26" s="13" t="s">
        <v>45</v>
      </c>
      <c r="O26" s="10" t="s">
        <v>575</v>
      </c>
      <c r="P26" s="10" t="s">
        <v>577</v>
      </c>
      <c r="Q26" s="10">
        <v>20411454</v>
      </c>
    </row>
    <row r="27" spans="1:17" ht="15" customHeight="1" x14ac:dyDescent="0.2">
      <c r="A27" s="13" t="s">
        <v>111</v>
      </c>
      <c r="B27" s="27" t="str">
        <f t="shared" si="0"/>
        <v>8F21R35DW801</v>
      </c>
      <c r="C27" s="36">
        <v>20118050201</v>
      </c>
      <c r="D27" s="13" t="s">
        <v>112</v>
      </c>
      <c r="E27" s="13" t="s">
        <v>53</v>
      </c>
      <c r="F27" s="37">
        <v>45670</v>
      </c>
      <c r="G27" s="13" t="s">
        <v>54</v>
      </c>
      <c r="H27" s="13" t="s">
        <v>448</v>
      </c>
      <c r="I27" s="37">
        <v>45689</v>
      </c>
      <c r="J27" s="11"/>
      <c r="K27" s="13" t="s">
        <v>62</v>
      </c>
      <c r="L27" s="88">
        <v>2</v>
      </c>
      <c r="M27" s="88">
        <v>2</v>
      </c>
      <c r="N27" s="13" t="s">
        <v>45</v>
      </c>
      <c r="O27" s="10" t="s">
        <v>575</v>
      </c>
      <c r="P27" s="10" t="s">
        <v>577</v>
      </c>
      <c r="Q27" s="10">
        <v>20411454</v>
      </c>
    </row>
    <row r="28" spans="1:17" ht="15" customHeight="1" x14ac:dyDescent="0.2">
      <c r="A28" s="27" t="s">
        <v>113</v>
      </c>
      <c r="B28" s="27" t="str">
        <f t="shared" si="0"/>
        <v>7U92Q73FP191</v>
      </c>
      <c r="C28" s="28">
        <v>20071445901</v>
      </c>
      <c r="D28" s="27" t="s">
        <v>114</v>
      </c>
      <c r="E28" s="27" t="s">
        <v>53</v>
      </c>
      <c r="F28" s="29">
        <v>45642</v>
      </c>
      <c r="G28" s="27" t="s">
        <v>54</v>
      </c>
      <c r="H28" s="13" t="s">
        <v>448</v>
      </c>
      <c r="I28" s="29">
        <v>45658</v>
      </c>
      <c r="J28" s="32"/>
      <c r="K28" s="27" t="s">
        <v>44</v>
      </c>
      <c r="L28" s="87">
        <v>1</v>
      </c>
      <c r="M28" s="87">
        <v>1</v>
      </c>
      <c r="N28" s="27" t="s">
        <v>45</v>
      </c>
      <c r="O28" s="10" t="s">
        <v>575</v>
      </c>
      <c r="P28" s="10" t="s">
        <v>577</v>
      </c>
      <c r="Q28" s="10">
        <v>20411454</v>
      </c>
    </row>
    <row r="29" spans="1:17" ht="15" customHeight="1" x14ac:dyDescent="0.2">
      <c r="A29" s="13" t="s">
        <v>115</v>
      </c>
      <c r="B29" s="27" t="str">
        <f t="shared" si="0"/>
        <v>1R93P84GM971</v>
      </c>
      <c r="C29" s="36">
        <v>20085209301</v>
      </c>
      <c r="D29" s="13" t="s">
        <v>116</v>
      </c>
      <c r="E29" s="13" t="s">
        <v>53</v>
      </c>
      <c r="F29" s="37">
        <v>45649</v>
      </c>
      <c r="G29" s="13" t="s">
        <v>54</v>
      </c>
      <c r="H29" s="13" t="s">
        <v>448</v>
      </c>
      <c r="I29" s="37">
        <v>45658</v>
      </c>
      <c r="J29" s="11"/>
      <c r="K29" s="13" t="s">
        <v>44</v>
      </c>
      <c r="L29" s="88">
        <v>1</v>
      </c>
      <c r="M29" s="88">
        <v>1</v>
      </c>
      <c r="N29" s="13" t="s">
        <v>45</v>
      </c>
      <c r="O29" s="10" t="s">
        <v>575</v>
      </c>
      <c r="P29" s="10" t="s">
        <v>577</v>
      </c>
      <c r="Q29" s="10">
        <v>20411454</v>
      </c>
    </row>
    <row r="30" spans="1:17" ht="15" customHeight="1" x14ac:dyDescent="0.2">
      <c r="A30" s="13" t="s">
        <v>119</v>
      </c>
      <c r="B30" s="27" t="str">
        <f t="shared" si="0"/>
        <v>9GT6QC2JU881</v>
      </c>
      <c r="C30" s="36">
        <v>19415463901</v>
      </c>
      <c r="D30" s="13" t="s">
        <v>120</v>
      </c>
      <c r="E30" s="13" t="s">
        <v>53</v>
      </c>
      <c r="F30" s="37">
        <v>45582</v>
      </c>
      <c r="G30" s="13" t="s">
        <v>54</v>
      </c>
      <c r="H30" s="13" t="s">
        <v>448</v>
      </c>
      <c r="I30" s="37">
        <v>45658</v>
      </c>
      <c r="J30" s="11"/>
      <c r="K30" s="13" t="s">
        <v>44</v>
      </c>
      <c r="L30" s="88">
        <v>1</v>
      </c>
      <c r="M30" s="88">
        <v>1</v>
      </c>
      <c r="N30" s="13" t="s">
        <v>45</v>
      </c>
      <c r="O30" s="10" t="s">
        <v>575</v>
      </c>
      <c r="P30" s="10" t="s">
        <v>577</v>
      </c>
      <c r="Q30" s="10">
        <v>20411454</v>
      </c>
    </row>
    <row r="31" spans="1:17" ht="15" customHeight="1" x14ac:dyDescent="0.25">
      <c r="A31" s="13" t="s">
        <v>121</v>
      </c>
      <c r="B31" s="27" t="str">
        <f t="shared" si="0"/>
        <v>5PX9E30WP571</v>
      </c>
      <c r="C31" s="36">
        <v>20100074201</v>
      </c>
      <c r="D31" s="13" t="s">
        <v>122</v>
      </c>
      <c r="E31" s="13" t="s">
        <v>53</v>
      </c>
      <c r="F31" s="37">
        <v>45659</v>
      </c>
      <c r="G31" s="13" t="s">
        <v>54</v>
      </c>
      <c r="H31" s="13" t="s">
        <v>448</v>
      </c>
      <c r="I31" s="37">
        <v>45689</v>
      </c>
      <c r="J31" s="12"/>
      <c r="K31" s="13" t="s">
        <v>62</v>
      </c>
      <c r="L31" s="88">
        <v>2</v>
      </c>
      <c r="M31" s="88">
        <v>2</v>
      </c>
      <c r="N31" s="13" t="s">
        <v>45</v>
      </c>
      <c r="O31" s="10" t="s">
        <v>575</v>
      </c>
      <c r="P31" s="10" t="s">
        <v>577</v>
      </c>
      <c r="Q31" s="10">
        <v>20411454</v>
      </c>
    </row>
    <row r="32" spans="1:17" ht="15" customHeight="1" x14ac:dyDescent="0.2">
      <c r="A32" s="65" t="s">
        <v>123</v>
      </c>
      <c r="B32" s="27" t="str">
        <f t="shared" si="0"/>
        <v>5EJ3RW2GH721</v>
      </c>
      <c r="C32" s="93">
        <v>19972186101</v>
      </c>
      <c r="D32" s="65" t="s">
        <v>124</v>
      </c>
      <c r="E32" s="65" t="s">
        <v>53</v>
      </c>
      <c r="F32" s="68">
        <v>45630</v>
      </c>
      <c r="G32" s="65" t="s">
        <v>54</v>
      </c>
      <c r="H32" s="13" t="s">
        <v>448</v>
      </c>
      <c r="I32" s="68">
        <v>45658</v>
      </c>
      <c r="J32" s="94"/>
      <c r="K32" s="65" t="s">
        <v>44</v>
      </c>
      <c r="L32" s="95">
        <v>1</v>
      </c>
      <c r="M32" s="95">
        <v>1</v>
      </c>
      <c r="N32" s="65" t="s">
        <v>45</v>
      </c>
      <c r="O32" s="10" t="s">
        <v>575</v>
      </c>
      <c r="P32" s="10" t="s">
        <v>577</v>
      </c>
      <c r="Q32" s="10">
        <v>20411454</v>
      </c>
    </row>
    <row r="33" spans="1:17" ht="15" customHeight="1" x14ac:dyDescent="0.2">
      <c r="A33" s="13" t="s">
        <v>131</v>
      </c>
      <c r="B33" s="27" t="str">
        <f t="shared" si="0"/>
        <v>9P06W18ET731</v>
      </c>
      <c r="C33" s="36">
        <v>20110579801</v>
      </c>
      <c r="D33" s="13" t="s">
        <v>132</v>
      </c>
      <c r="E33" s="13" t="s">
        <v>53</v>
      </c>
      <c r="F33" s="37">
        <v>45665</v>
      </c>
      <c r="G33" s="13" t="s">
        <v>54</v>
      </c>
      <c r="H33" s="13" t="s">
        <v>448</v>
      </c>
      <c r="I33" s="37">
        <v>45717</v>
      </c>
      <c r="J33" s="11"/>
      <c r="K33" s="13" t="s">
        <v>62</v>
      </c>
      <c r="L33" s="88">
        <v>2</v>
      </c>
      <c r="M33" s="88">
        <v>2</v>
      </c>
      <c r="N33" s="13" t="s">
        <v>45</v>
      </c>
      <c r="O33" s="10" t="s">
        <v>575</v>
      </c>
      <c r="P33" s="10" t="s">
        <v>577</v>
      </c>
      <c r="Q33" s="10">
        <v>20411454</v>
      </c>
    </row>
    <row r="34" spans="1:17" ht="15" customHeight="1" x14ac:dyDescent="0.2">
      <c r="A34" s="89" t="s">
        <v>505</v>
      </c>
      <c r="B34" s="27" t="str">
        <f t="shared" si="0"/>
        <v>6KM0X16DM071</v>
      </c>
      <c r="C34" s="13">
        <v>18757587301</v>
      </c>
      <c r="D34" s="13" t="s">
        <v>506</v>
      </c>
      <c r="E34" s="13" t="s">
        <v>53</v>
      </c>
      <c r="F34" s="37">
        <v>45616</v>
      </c>
      <c r="G34" s="13" t="s">
        <v>54</v>
      </c>
      <c r="H34" s="13" t="s">
        <v>448</v>
      </c>
      <c r="I34" s="37">
        <v>45658</v>
      </c>
      <c r="J34" s="11"/>
      <c r="K34" s="13" t="s">
        <v>62</v>
      </c>
      <c r="L34" s="88">
        <v>2</v>
      </c>
      <c r="M34" s="88">
        <v>2</v>
      </c>
      <c r="N34" s="13" t="s">
        <v>45</v>
      </c>
      <c r="O34" s="10" t="s">
        <v>575</v>
      </c>
      <c r="P34" s="10" t="s">
        <v>577</v>
      </c>
      <c r="Q34" s="10">
        <v>20411454</v>
      </c>
    </row>
    <row r="35" spans="1:17" ht="15" customHeight="1" x14ac:dyDescent="0.2">
      <c r="A35" s="89" t="s">
        <v>511</v>
      </c>
      <c r="B35" s="27" t="str">
        <f t="shared" si="0"/>
        <v>5E98E53KM661</v>
      </c>
      <c r="C35" s="13">
        <v>19971654901</v>
      </c>
      <c r="D35" s="13" t="s">
        <v>512</v>
      </c>
      <c r="E35" s="13" t="s">
        <v>53</v>
      </c>
      <c r="F35" s="37">
        <v>45630</v>
      </c>
      <c r="G35" s="13" t="s">
        <v>54</v>
      </c>
      <c r="H35" s="13" t="s">
        <v>448</v>
      </c>
      <c r="I35" s="37">
        <v>45658</v>
      </c>
      <c r="J35" s="11"/>
      <c r="K35" s="13" t="s">
        <v>44</v>
      </c>
      <c r="L35" s="88">
        <v>1</v>
      </c>
      <c r="M35" s="88">
        <v>1</v>
      </c>
      <c r="N35" s="13" t="s">
        <v>45</v>
      </c>
      <c r="O35" s="10" t="s">
        <v>575</v>
      </c>
      <c r="P35" s="10" t="s">
        <v>577</v>
      </c>
      <c r="Q35" s="10">
        <v>20411454</v>
      </c>
    </row>
    <row r="36" spans="1:17" ht="15" customHeight="1" x14ac:dyDescent="0.2">
      <c r="A36" s="13" t="s">
        <v>79</v>
      </c>
      <c r="B36" s="27" t="str">
        <f t="shared" si="0"/>
        <v>5N68VP8QV411</v>
      </c>
      <c r="C36" s="36">
        <v>20009666701</v>
      </c>
      <c r="D36" s="13" t="s">
        <v>80</v>
      </c>
      <c r="E36" s="13" t="s">
        <v>49</v>
      </c>
      <c r="F36" s="37">
        <v>45631</v>
      </c>
      <c r="G36" s="13" t="s">
        <v>81</v>
      </c>
      <c r="H36" s="13" t="s">
        <v>449</v>
      </c>
      <c r="I36" s="37">
        <v>45658</v>
      </c>
      <c r="J36" s="11"/>
      <c r="K36" s="13" t="s">
        <v>44</v>
      </c>
      <c r="L36" s="88">
        <v>1</v>
      </c>
      <c r="M36" s="88">
        <v>1</v>
      </c>
      <c r="N36" s="13" t="s">
        <v>45</v>
      </c>
      <c r="O36" s="10" t="s">
        <v>575</v>
      </c>
      <c r="P36" s="10" t="s">
        <v>577</v>
      </c>
      <c r="Q36" s="10">
        <v>20411454</v>
      </c>
    </row>
    <row r="37" spans="1:17" ht="15" customHeight="1" x14ac:dyDescent="0.2">
      <c r="A37" s="13" t="s">
        <v>109</v>
      </c>
      <c r="B37" s="27" t="str">
        <f t="shared" si="0"/>
        <v>6RA9D36VM281</v>
      </c>
      <c r="C37" s="36">
        <v>19935736901</v>
      </c>
      <c r="D37" s="13" t="s">
        <v>110</v>
      </c>
      <c r="E37" s="13" t="s">
        <v>49</v>
      </c>
      <c r="F37" s="37">
        <v>45628</v>
      </c>
      <c r="G37" s="13" t="s">
        <v>81</v>
      </c>
      <c r="H37" s="13" t="s">
        <v>449</v>
      </c>
      <c r="I37" s="37">
        <v>45658</v>
      </c>
      <c r="J37" s="11"/>
      <c r="K37" s="13" t="s">
        <v>44</v>
      </c>
      <c r="L37" s="88">
        <v>1</v>
      </c>
      <c r="M37" s="88">
        <v>1</v>
      </c>
      <c r="N37" s="13" t="s">
        <v>45</v>
      </c>
      <c r="O37" s="10" t="s">
        <v>575</v>
      </c>
      <c r="P37" s="10" t="s">
        <v>577</v>
      </c>
      <c r="Q37" s="10">
        <v>20411454</v>
      </c>
    </row>
    <row r="38" spans="1:17" ht="15" customHeight="1" x14ac:dyDescent="0.2">
      <c r="A38" s="13" t="s">
        <v>135</v>
      </c>
      <c r="B38" s="27" t="str">
        <f t="shared" si="0"/>
        <v>8CJ1TK9PA161</v>
      </c>
      <c r="C38" s="36">
        <v>20117221001</v>
      </c>
      <c r="D38" s="13" t="s">
        <v>136</v>
      </c>
      <c r="E38" s="13" t="s">
        <v>49</v>
      </c>
      <c r="F38" s="37">
        <v>45670</v>
      </c>
      <c r="G38" s="13" t="s">
        <v>81</v>
      </c>
      <c r="H38" s="13" t="s">
        <v>449</v>
      </c>
      <c r="I38" s="37">
        <v>45717</v>
      </c>
      <c r="J38" s="11"/>
      <c r="K38" s="13" t="s">
        <v>62</v>
      </c>
      <c r="L38" s="88">
        <v>2</v>
      </c>
      <c r="M38" s="88">
        <v>2</v>
      </c>
      <c r="N38" s="13" t="s">
        <v>45</v>
      </c>
      <c r="O38" s="10" t="s">
        <v>575</v>
      </c>
      <c r="P38" s="10" t="s">
        <v>577</v>
      </c>
      <c r="Q38" s="10">
        <v>20411454</v>
      </c>
    </row>
    <row r="39" spans="1:17" ht="15" customHeight="1" x14ac:dyDescent="0.2">
      <c r="A39" s="13" t="s">
        <v>88</v>
      </c>
      <c r="B39" s="27" t="str">
        <f t="shared" si="0"/>
        <v>4CX2YY1YV831</v>
      </c>
      <c r="C39" s="36">
        <v>20113136401</v>
      </c>
      <c r="D39" s="13" t="s">
        <v>89</v>
      </c>
      <c r="E39" s="13" t="s">
        <v>49</v>
      </c>
      <c r="F39" s="37">
        <v>45666</v>
      </c>
      <c r="G39" s="13" t="s">
        <v>90</v>
      </c>
      <c r="H39" s="65" t="s">
        <v>450</v>
      </c>
      <c r="I39" s="37">
        <v>45689</v>
      </c>
      <c r="J39" s="11"/>
      <c r="K39" s="13" t="s">
        <v>62</v>
      </c>
      <c r="L39" s="88">
        <v>2</v>
      </c>
      <c r="M39" s="88">
        <v>2</v>
      </c>
      <c r="N39" s="13" t="s">
        <v>45</v>
      </c>
      <c r="O39" s="10" t="s">
        <v>575</v>
      </c>
      <c r="P39" s="10" t="s">
        <v>577</v>
      </c>
      <c r="Q39" s="10">
        <v>20411454</v>
      </c>
    </row>
    <row r="40" spans="1:17" ht="15" customHeight="1" x14ac:dyDescent="0.2">
      <c r="A40" s="13" t="s">
        <v>91</v>
      </c>
      <c r="B40" s="27" t="str">
        <f t="shared" si="0"/>
        <v>3JK5D49XF911</v>
      </c>
      <c r="C40" s="36">
        <v>19827038101</v>
      </c>
      <c r="D40" s="13" t="s">
        <v>92</v>
      </c>
      <c r="E40" s="13" t="s">
        <v>49</v>
      </c>
      <c r="F40" s="37">
        <v>45616</v>
      </c>
      <c r="G40" s="13" t="s">
        <v>93</v>
      </c>
      <c r="H40" s="13" t="s">
        <v>518</v>
      </c>
      <c r="I40" s="37">
        <v>45658</v>
      </c>
      <c r="J40" s="11"/>
      <c r="K40" s="13" t="s">
        <v>44</v>
      </c>
      <c r="L40" s="88">
        <v>1</v>
      </c>
      <c r="M40" s="88">
        <v>1</v>
      </c>
      <c r="N40" s="13" t="s">
        <v>45</v>
      </c>
      <c r="O40" s="10" t="s">
        <v>575</v>
      </c>
      <c r="P40" s="10" t="s">
        <v>577</v>
      </c>
      <c r="Q40" s="10">
        <v>20411454</v>
      </c>
    </row>
    <row r="41" spans="1:17" ht="15" customHeight="1" x14ac:dyDescent="0.2">
      <c r="A41" s="13" t="s">
        <v>105</v>
      </c>
      <c r="B41" s="27" t="str">
        <f t="shared" si="0"/>
        <v>4GM6NU0TX651</v>
      </c>
      <c r="C41" s="36">
        <v>20013729701</v>
      </c>
      <c r="D41" s="13" t="s">
        <v>106</v>
      </c>
      <c r="E41" s="13" t="s">
        <v>49</v>
      </c>
      <c r="F41" s="37">
        <v>45631</v>
      </c>
      <c r="G41" s="13" t="s">
        <v>93</v>
      </c>
      <c r="H41" s="13" t="s">
        <v>518</v>
      </c>
      <c r="I41" s="37">
        <v>45658</v>
      </c>
      <c r="J41" s="11"/>
      <c r="K41" s="13" t="s">
        <v>44</v>
      </c>
      <c r="L41" s="88">
        <v>1</v>
      </c>
      <c r="M41" s="88">
        <v>1</v>
      </c>
      <c r="N41" s="13" t="s">
        <v>45</v>
      </c>
      <c r="O41" s="10" t="s">
        <v>575</v>
      </c>
      <c r="P41" s="10" t="s">
        <v>577</v>
      </c>
      <c r="Q41" s="10">
        <v>20411454</v>
      </c>
    </row>
    <row r="42" spans="1:17" ht="15" customHeight="1" x14ac:dyDescent="0.2">
      <c r="A42" s="13" t="s">
        <v>133</v>
      </c>
      <c r="B42" s="27" t="str">
        <f t="shared" si="0"/>
        <v>5KF9TC6CR361</v>
      </c>
      <c r="C42" s="36">
        <v>19838931401</v>
      </c>
      <c r="D42" s="13" t="s">
        <v>134</v>
      </c>
      <c r="E42" s="13" t="s">
        <v>49</v>
      </c>
      <c r="F42" s="37">
        <v>45617</v>
      </c>
      <c r="G42" s="13" t="s">
        <v>93</v>
      </c>
      <c r="H42" s="13" t="s">
        <v>518</v>
      </c>
      <c r="I42" s="37">
        <v>45658</v>
      </c>
      <c r="J42" s="11"/>
      <c r="K42" s="13" t="s">
        <v>44</v>
      </c>
      <c r="L42" s="88">
        <v>1</v>
      </c>
      <c r="M42" s="88">
        <v>1</v>
      </c>
      <c r="N42" s="13" t="s">
        <v>45</v>
      </c>
      <c r="O42" s="10" t="s">
        <v>575</v>
      </c>
      <c r="P42" s="10" t="s">
        <v>577</v>
      </c>
      <c r="Q42" s="10">
        <v>20411454</v>
      </c>
    </row>
    <row r="43" spans="1:17" ht="15" customHeight="1" x14ac:dyDescent="0.2">
      <c r="A43" s="65" t="s">
        <v>40</v>
      </c>
      <c r="B43" s="27" t="str">
        <f t="shared" si="0"/>
        <v>1HH4H40VR881</v>
      </c>
      <c r="C43" s="93">
        <v>19410657101</v>
      </c>
      <c r="D43" s="65" t="s">
        <v>41</v>
      </c>
      <c r="E43" s="65" t="s">
        <v>42</v>
      </c>
      <c r="F43" s="68">
        <v>45581</v>
      </c>
      <c r="G43" s="65" t="s">
        <v>43</v>
      </c>
      <c r="H43" s="65" t="s">
        <v>519</v>
      </c>
      <c r="I43" s="68">
        <v>45658</v>
      </c>
      <c r="J43" s="94"/>
      <c r="K43" s="65" t="s">
        <v>44</v>
      </c>
      <c r="L43" s="95">
        <v>1</v>
      </c>
      <c r="M43" s="95">
        <v>1</v>
      </c>
      <c r="N43" s="65" t="s">
        <v>45</v>
      </c>
      <c r="O43" s="10" t="s">
        <v>575</v>
      </c>
      <c r="P43" s="10" t="s">
        <v>577</v>
      </c>
      <c r="Q43" s="10">
        <v>20411454</v>
      </c>
    </row>
    <row r="44" spans="1:17" ht="15" customHeight="1" x14ac:dyDescent="0.2">
      <c r="A44" s="13" t="s">
        <v>82</v>
      </c>
      <c r="B44" s="27" t="str">
        <f t="shared" si="0"/>
        <v>3CX9MK8MV531</v>
      </c>
      <c r="C44" s="36">
        <v>19462303901</v>
      </c>
      <c r="D44" s="13" t="s">
        <v>83</v>
      </c>
      <c r="E44" s="13" t="s">
        <v>49</v>
      </c>
      <c r="F44" s="37">
        <v>45588</v>
      </c>
      <c r="G44" s="13" t="s">
        <v>43</v>
      </c>
      <c r="H44" s="65" t="s">
        <v>519</v>
      </c>
      <c r="I44" s="37">
        <v>45658</v>
      </c>
      <c r="J44" s="11"/>
      <c r="K44" s="13" t="s">
        <v>44</v>
      </c>
      <c r="L44" s="88">
        <v>1</v>
      </c>
      <c r="M44" s="88">
        <v>1</v>
      </c>
      <c r="N44" s="13" t="s">
        <v>45</v>
      </c>
      <c r="O44" s="10" t="s">
        <v>575</v>
      </c>
      <c r="P44" s="10" t="s">
        <v>577</v>
      </c>
      <c r="Q44" s="10">
        <v>20411454</v>
      </c>
    </row>
    <row r="45" spans="1:17" ht="15" customHeight="1" x14ac:dyDescent="0.2">
      <c r="A45" s="65" t="s">
        <v>84</v>
      </c>
      <c r="B45" s="27" t="str">
        <f t="shared" si="0"/>
        <v>4AH0PT0YT301</v>
      </c>
      <c r="C45" s="93">
        <v>19463494501</v>
      </c>
      <c r="D45" s="65" t="s">
        <v>85</v>
      </c>
      <c r="E45" s="65" t="s">
        <v>49</v>
      </c>
      <c r="F45" s="68">
        <v>45588</v>
      </c>
      <c r="G45" s="65" t="s">
        <v>43</v>
      </c>
      <c r="H45" s="65" t="s">
        <v>519</v>
      </c>
      <c r="I45" s="68">
        <v>45658</v>
      </c>
      <c r="J45" s="94"/>
      <c r="K45" s="65" t="s">
        <v>44</v>
      </c>
      <c r="L45" s="95">
        <v>1</v>
      </c>
      <c r="M45" s="95">
        <v>1</v>
      </c>
      <c r="N45" s="65" t="s">
        <v>45</v>
      </c>
      <c r="O45" s="10" t="s">
        <v>575</v>
      </c>
      <c r="P45" s="10" t="s">
        <v>577</v>
      </c>
      <c r="Q45" s="10">
        <v>20411454</v>
      </c>
    </row>
    <row r="46" spans="1:17" ht="15" customHeight="1" x14ac:dyDescent="0.2">
      <c r="A46" s="13" t="s">
        <v>86</v>
      </c>
      <c r="B46" s="27" t="str">
        <f t="shared" si="0"/>
        <v>8H48NR3AY321</v>
      </c>
      <c r="C46" s="36">
        <v>19691483201</v>
      </c>
      <c r="D46" s="13" t="s">
        <v>87</v>
      </c>
      <c r="E46" s="13" t="s">
        <v>49</v>
      </c>
      <c r="F46" s="37">
        <v>45601</v>
      </c>
      <c r="G46" s="13" t="s">
        <v>43</v>
      </c>
      <c r="H46" s="65" t="s">
        <v>519</v>
      </c>
      <c r="I46" s="37">
        <v>45658</v>
      </c>
      <c r="J46" s="11"/>
      <c r="K46" s="13" t="s">
        <v>44</v>
      </c>
      <c r="L46" s="88">
        <v>1</v>
      </c>
      <c r="M46" s="88">
        <v>1</v>
      </c>
      <c r="N46" s="13" t="s">
        <v>45</v>
      </c>
      <c r="O46" s="10" t="s">
        <v>575</v>
      </c>
      <c r="P46" s="10" t="s">
        <v>577</v>
      </c>
      <c r="Q46" s="10">
        <v>20411454</v>
      </c>
    </row>
    <row r="47" spans="1:17" ht="15" customHeight="1" x14ac:dyDescent="0.2">
      <c r="A47" s="89" t="s">
        <v>499</v>
      </c>
      <c r="B47" s="27" t="str">
        <f t="shared" si="0"/>
        <v>6MW7MR5AP371</v>
      </c>
      <c r="C47" s="13">
        <v>20077328101</v>
      </c>
      <c r="D47" s="13" t="s">
        <v>500</v>
      </c>
      <c r="E47" s="13" t="s">
        <v>49</v>
      </c>
      <c r="F47" s="37">
        <v>45644</v>
      </c>
      <c r="G47" s="13" t="s">
        <v>63</v>
      </c>
      <c r="H47" s="13" t="s">
        <v>520</v>
      </c>
      <c r="I47" s="37">
        <v>45717</v>
      </c>
      <c r="J47" s="11"/>
      <c r="K47" s="13" t="s">
        <v>44</v>
      </c>
      <c r="L47" s="88">
        <v>1</v>
      </c>
      <c r="M47" s="88">
        <v>1</v>
      </c>
      <c r="N47" s="13" t="s">
        <v>45</v>
      </c>
      <c r="O47" s="10" t="s">
        <v>575</v>
      </c>
      <c r="P47" s="10" t="s">
        <v>577</v>
      </c>
      <c r="Q47" s="10">
        <v>20411454</v>
      </c>
    </row>
    <row r="48" spans="1:17" ht="15" customHeight="1" x14ac:dyDescent="0.2">
      <c r="A48" s="65" t="s">
        <v>68</v>
      </c>
      <c r="B48" s="27" t="str">
        <f t="shared" si="0"/>
        <v>8TP1CC6YR931</v>
      </c>
      <c r="C48" s="93">
        <v>20055281801</v>
      </c>
      <c r="D48" s="65" t="s">
        <v>69</v>
      </c>
      <c r="E48" s="65" t="s">
        <v>49</v>
      </c>
      <c r="F48" s="68">
        <v>45633</v>
      </c>
      <c r="G48" s="65" t="s">
        <v>70</v>
      </c>
      <c r="H48" s="13" t="s">
        <v>521</v>
      </c>
      <c r="I48" s="68">
        <v>45658</v>
      </c>
      <c r="J48" s="94"/>
      <c r="K48" s="65" t="s">
        <v>44</v>
      </c>
      <c r="L48" s="95">
        <v>1</v>
      </c>
      <c r="M48" s="95">
        <v>1</v>
      </c>
      <c r="N48" s="65" t="s">
        <v>45</v>
      </c>
      <c r="O48" s="10" t="s">
        <v>575</v>
      </c>
      <c r="P48" s="10" t="s">
        <v>577</v>
      </c>
      <c r="Q48" s="10">
        <v>20411454</v>
      </c>
    </row>
    <row r="49" spans="1:17" s="119" customFormat="1" ht="15" customHeight="1" x14ac:dyDescent="0.2">
      <c r="A49" s="127" t="s">
        <v>74</v>
      </c>
      <c r="B49" s="127" t="s">
        <v>74</v>
      </c>
      <c r="C49" s="128">
        <v>20111561501</v>
      </c>
      <c r="D49" s="127" t="s">
        <v>75</v>
      </c>
      <c r="E49" s="127" t="s">
        <v>49</v>
      </c>
      <c r="F49" s="129">
        <v>45665</v>
      </c>
      <c r="G49" s="127" t="s">
        <v>76</v>
      </c>
      <c r="H49" s="127" t="s">
        <v>494</v>
      </c>
      <c r="I49" s="129">
        <v>45689</v>
      </c>
      <c r="J49" s="130"/>
      <c r="K49" s="127" t="s">
        <v>62</v>
      </c>
      <c r="L49" s="131">
        <v>12</v>
      </c>
      <c r="M49" s="131">
        <v>11</v>
      </c>
      <c r="N49" s="127" t="s">
        <v>46</v>
      </c>
      <c r="O49" s="119" t="s">
        <v>576</v>
      </c>
      <c r="P49" s="127" t="s">
        <v>494</v>
      </c>
      <c r="Q49" s="119">
        <v>17094718</v>
      </c>
    </row>
    <row r="50" spans="1:17" ht="15" customHeight="1" x14ac:dyDescent="0.2">
      <c r="A50" s="13" t="s">
        <v>71</v>
      </c>
      <c r="B50" s="13" t="s">
        <v>71</v>
      </c>
      <c r="C50" s="36">
        <v>19922388401</v>
      </c>
      <c r="D50" s="13" t="s">
        <v>72</v>
      </c>
      <c r="E50" s="13" t="s">
        <v>53</v>
      </c>
      <c r="F50" s="37">
        <v>45628</v>
      </c>
      <c r="G50" s="13" t="s">
        <v>73</v>
      </c>
      <c r="H50" s="13" t="s">
        <v>497</v>
      </c>
      <c r="I50" s="37">
        <v>45658</v>
      </c>
      <c r="J50" s="11"/>
      <c r="K50" s="13" t="s">
        <v>44</v>
      </c>
      <c r="L50" s="88">
        <v>12</v>
      </c>
      <c r="M50" s="88">
        <v>12</v>
      </c>
      <c r="N50" s="13" t="s">
        <v>46</v>
      </c>
      <c r="O50" s="10" t="s">
        <v>576</v>
      </c>
      <c r="P50" s="13" t="s">
        <v>497</v>
      </c>
      <c r="Q50" s="10">
        <v>15278437</v>
      </c>
    </row>
    <row r="51" spans="1:17" ht="15" customHeight="1" x14ac:dyDescent="0.2">
      <c r="A51" s="13" t="s">
        <v>125</v>
      </c>
      <c r="B51" s="13" t="s">
        <v>125</v>
      </c>
      <c r="C51" s="36">
        <v>20111583901</v>
      </c>
      <c r="D51" s="13" t="s">
        <v>126</v>
      </c>
      <c r="E51" s="13" t="s">
        <v>53</v>
      </c>
      <c r="F51" s="37">
        <v>45665</v>
      </c>
      <c r="G51" s="13" t="s">
        <v>127</v>
      </c>
      <c r="H51" s="96" t="s">
        <v>515</v>
      </c>
      <c r="I51" s="37">
        <v>45689</v>
      </c>
      <c r="J51" s="11"/>
      <c r="K51" s="13" t="s">
        <v>62</v>
      </c>
      <c r="L51" s="88">
        <v>12</v>
      </c>
      <c r="M51" s="88">
        <v>11</v>
      </c>
      <c r="N51" s="13" t="s">
        <v>46</v>
      </c>
      <c r="O51" s="10" t="s">
        <v>576</v>
      </c>
      <c r="P51" s="96" t="s">
        <v>515</v>
      </c>
      <c r="Q51" s="10">
        <v>16202925</v>
      </c>
    </row>
    <row r="52" spans="1:17" ht="15" customHeight="1" x14ac:dyDescent="0.2">
      <c r="A52" s="13" t="s">
        <v>102</v>
      </c>
      <c r="B52" s="13" t="s">
        <v>102</v>
      </c>
      <c r="C52" s="36">
        <v>20079748801</v>
      </c>
      <c r="D52" s="13" t="s">
        <v>103</v>
      </c>
      <c r="E52" s="13" t="s">
        <v>49</v>
      </c>
      <c r="F52" s="37">
        <v>45645</v>
      </c>
      <c r="G52" s="13" t="s">
        <v>104</v>
      </c>
      <c r="H52" s="13" t="s">
        <v>496</v>
      </c>
      <c r="I52" s="37">
        <v>45658</v>
      </c>
      <c r="J52" s="11"/>
      <c r="K52" s="13" t="s">
        <v>44</v>
      </c>
      <c r="L52" s="88">
        <v>12</v>
      </c>
      <c r="M52" s="88">
        <v>12</v>
      </c>
      <c r="N52" s="13" t="s">
        <v>46</v>
      </c>
      <c r="O52" s="10" t="s">
        <v>576</v>
      </c>
      <c r="P52" s="13" t="s">
        <v>496</v>
      </c>
      <c r="Q52" s="10">
        <v>8325282</v>
      </c>
    </row>
    <row r="53" spans="1:17" ht="15" customHeight="1" x14ac:dyDescent="0.2">
      <c r="A53" s="13" t="s">
        <v>128</v>
      </c>
      <c r="B53" s="13" t="s">
        <v>128</v>
      </c>
      <c r="C53" s="36">
        <v>19652007601</v>
      </c>
      <c r="D53" s="13" t="s">
        <v>129</v>
      </c>
      <c r="E53" s="13" t="s">
        <v>130</v>
      </c>
      <c r="F53" s="37">
        <v>45596</v>
      </c>
      <c r="G53" s="13" t="s">
        <v>104</v>
      </c>
      <c r="H53" s="13" t="s">
        <v>496</v>
      </c>
      <c r="I53" s="37">
        <v>45658</v>
      </c>
      <c r="J53" s="11"/>
      <c r="K53" s="13" t="s">
        <v>44</v>
      </c>
      <c r="L53" s="88">
        <v>12</v>
      </c>
      <c r="M53" s="88">
        <v>12</v>
      </c>
      <c r="N53" s="13" t="s">
        <v>46</v>
      </c>
      <c r="O53" s="10" t="s">
        <v>576</v>
      </c>
      <c r="P53" s="13" t="s">
        <v>496</v>
      </c>
      <c r="Q53" s="10">
        <v>8325282</v>
      </c>
    </row>
    <row r="54" spans="1:17" ht="15" customHeight="1" x14ac:dyDescent="0.2">
      <c r="A54" s="13" t="s">
        <v>47</v>
      </c>
      <c r="B54" s="13" t="s">
        <v>47</v>
      </c>
      <c r="C54" s="36">
        <v>20072350001</v>
      </c>
      <c r="D54" s="13" t="s">
        <v>48</v>
      </c>
      <c r="E54" s="13" t="s">
        <v>49</v>
      </c>
      <c r="F54" s="37">
        <v>45642</v>
      </c>
      <c r="G54" s="13" t="s">
        <v>50</v>
      </c>
      <c r="H54" s="13" t="s">
        <v>516</v>
      </c>
      <c r="I54" s="37">
        <v>45689</v>
      </c>
      <c r="J54" s="11"/>
      <c r="K54" s="13" t="s">
        <v>44</v>
      </c>
      <c r="L54" s="88">
        <v>12</v>
      </c>
      <c r="M54" s="88">
        <v>13</v>
      </c>
      <c r="N54" s="13" t="s">
        <v>46</v>
      </c>
      <c r="O54" s="10" t="s">
        <v>576</v>
      </c>
      <c r="P54" s="13" t="s">
        <v>516</v>
      </c>
      <c r="Q54" s="10">
        <v>9213293</v>
      </c>
    </row>
    <row r="55" spans="1:17" ht="15" customHeight="1" x14ac:dyDescent="0.2">
      <c r="A55" s="13" t="s">
        <v>100</v>
      </c>
      <c r="B55" s="13" t="s">
        <v>100</v>
      </c>
      <c r="C55" s="36">
        <v>19826874001</v>
      </c>
      <c r="D55" s="13" t="s">
        <v>101</v>
      </c>
      <c r="E55" s="13" t="s">
        <v>49</v>
      </c>
      <c r="F55" s="37">
        <v>45616</v>
      </c>
      <c r="G55" s="13" t="s">
        <v>50</v>
      </c>
      <c r="H55" s="13" t="s">
        <v>516</v>
      </c>
      <c r="I55" s="37">
        <v>45658</v>
      </c>
      <c r="J55" s="11"/>
      <c r="K55" s="13" t="s">
        <v>44</v>
      </c>
      <c r="L55" s="88">
        <v>12</v>
      </c>
      <c r="M55" s="88">
        <v>12</v>
      </c>
      <c r="N55" s="13" t="s">
        <v>46</v>
      </c>
      <c r="O55" s="10" t="s">
        <v>576</v>
      </c>
      <c r="P55" s="13" t="s">
        <v>516</v>
      </c>
      <c r="Q55" s="10">
        <v>9213293</v>
      </c>
    </row>
    <row r="56" spans="1:17" ht="15" customHeight="1" x14ac:dyDescent="0.2">
      <c r="A56" s="27" t="s">
        <v>117</v>
      </c>
      <c r="B56" s="27" t="s">
        <v>117</v>
      </c>
      <c r="C56" s="28">
        <v>19691452701</v>
      </c>
      <c r="D56" s="27" t="s">
        <v>118</v>
      </c>
      <c r="E56" s="27" t="s">
        <v>49</v>
      </c>
      <c r="F56" s="29">
        <v>45601</v>
      </c>
      <c r="G56" s="27" t="s">
        <v>50</v>
      </c>
      <c r="H56" s="27" t="s">
        <v>516</v>
      </c>
      <c r="I56" s="29">
        <v>45658</v>
      </c>
      <c r="J56" s="32"/>
      <c r="K56" s="27" t="s">
        <v>44</v>
      </c>
      <c r="L56" s="87">
        <v>12</v>
      </c>
      <c r="M56" s="87">
        <v>12</v>
      </c>
      <c r="N56" s="27" t="s">
        <v>46</v>
      </c>
      <c r="O56" s="10" t="s">
        <v>576</v>
      </c>
      <c r="P56" s="27" t="s">
        <v>516</v>
      </c>
      <c r="Q56" s="10">
        <v>9213293</v>
      </c>
    </row>
    <row r="57" spans="1:17" ht="15" customHeight="1" x14ac:dyDescent="0.2">
      <c r="A57" s="89" t="s">
        <v>507</v>
      </c>
      <c r="B57" s="89" t="s">
        <v>507</v>
      </c>
      <c r="C57" s="13">
        <v>19735550601</v>
      </c>
      <c r="D57" s="13" t="s">
        <v>508</v>
      </c>
      <c r="E57" s="13" t="s">
        <v>49</v>
      </c>
      <c r="F57" s="37">
        <v>45607</v>
      </c>
      <c r="G57" s="13" t="s">
        <v>50</v>
      </c>
      <c r="H57" s="27" t="s">
        <v>516</v>
      </c>
      <c r="I57" s="37">
        <v>45658</v>
      </c>
      <c r="J57" s="11"/>
      <c r="K57" s="13" t="s">
        <v>44</v>
      </c>
      <c r="L57" s="88">
        <v>12</v>
      </c>
      <c r="M57" s="88">
        <v>12</v>
      </c>
      <c r="N57" s="13" t="s">
        <v>46</v>
      </c>
      <c r="O57" s="10" t="s">
        <v>576</v>
      </c>
      <c r="P57" s="27" t="s">
        <v>516</v>
      </c>
      <c r="Q57" s="10">
        <v>9213293</v>
      </c>
    </row>
    <row r="58" spans="1:17" ht="15" customHeight="1" x14ac:dyDescent="0.2">
      <c r="A58" s="89" t="s">
        <v>509</v>
      </c>
      <c r="B58" s="89" t="s">
        <v>509</v>
      </c>
      <c r="C58" s="13">
        <v>19887825801</v>
      </c>
      <c r="D58" s="13" t="s">
        <v>510</v>
      </c>
      <c r="E58" s="13" t="s">
        <v>49</v>
      </c>
      <c r="F58" s="37">
        <v>45622</v>
      </c>
      <c r="G58" s="13" t="s">
        <v>50</v>
      </c>
      <c r="H58" s="13" t="s">
        <v>516</v>
      </c>
      <c r="I58" s="37">
        <v>45658</v>
      </c>
      <c r="J58" s="11"/>
      <c r="K58" s="13" t="s">
        <v>44</v>
      </c>
      <c r="L58" s="88">
        <v>12</v>
      </c>
      <c r="M58" s="88">
        <v>12</v>
      </c>
      <c r="N58" s="13" t="s">
        <v>46</v>
      </c>
      <c r="O58" s="10" t="s">
        <v>576</v>
      </c>
      <c r="P58" s="13" t="s">
        <v>516</v>
      </c>
      <c r="Q58" s="10">
        <v>9213293</v>
      </c>
    </row>
    <row r="59" spans="1:17" ht="15" customHeight="1" x14ac:dyDescent="0.2">
      <c r="A59" s="89" t="s">
        <v>513</v>
      </c>
      <c r="B59" s="89" t="s">
        <v>513</v>
      </c>
      <c r="C59" s="13">
        <v>20052376901</v>
      </c>
      <c r="D59" s="13" t="s">
        <v>514</v>
      </c>
      <c r="E59" s="13" t="s">
        <v>49</v>
      </c>
      <c r="F59" s="37">
        <v>45633</v>
      </c>
      <c r="G59" s="13" t="s">
        <v>50</v>
      </c>
      <c r="H59" s="13" t="s">
        <v>516</v>
      </c>
      <c r="I59" s="37">
        <v>45658</v>
      </c>
      <c r="J59" s="11"/>
      <c r="K59" s="13" t="s">
        <v>44</v>
      </c>
      <c r="L59" s="88">
        <v>12</v>
      </c>
      <c r="M59" s="88">
        <v>12</v>
      </c>
      <c r="N59" s="13" t="s">
        <v>46</v>
      </c>
      <c r="O59" s="10" t="s">
        <v>576</v>
      </c>
      <c r="P59" s="13" t="s">
        <v>516</v>
      </c>
      <c r="Q59" s="10">
        <v>9213293</v>
      </c>
    </row>
    <row r="60" spans="1:17" ht="15" customHeight="1" x14ac:dyDescent="0.2">
      <c r="A60" s="13" t="s">
        <v>64</v>
      </c>
      <c r="B60" s="13" t="s">
        <v>64</v>
      </c>
      <c r="C60" s="36">
        <v>19827569501</v>
      </c>
      <c r="D60" s="13" t="s">
        <v>65</v>
      </c>
      <c r="E60" s="13" t="s">
        <v>66</v>
      </c>
      <c r="F60" s="37">
        <v>45616</v>
      </c>
      <c r="G60" s="13" t="s">
        <v>67</v>
      </c>
      <c r="H60" s="75" t="s">
        <v>517</v>
      </c>
      <c r="I60" s="37">
        <v>45658</v>
      </c>
      <c r="J60" s="11"/>
      <c r="K60" s="13" t="s">
        <v>44</v>
      </c>
      <c r="L60" s="88">
        <v>12</v>
      </c>
      <c r="M60" s="88">
        <v>12</v>
      </c>
      <c r="N60" s="13" t="s">
        <v>46</v>
      </c>
      <c r="O60" s="10" t="s">
        <v>576</v>
      </c>
      <c r="P60" s="75" t="s">
        <v>517</v>
      </c>
      <c r="Q60" s="10">
        <v>18754354</v>
      </c>
    </row>
    <row r="61" spans="1:17" ht="15" customHeight="1" x14ac:dyDescent="0.2">
      <c r="A61" s="13" t="s">
        <v>59</v>
      </c>
      <c r="B61" s="13" t="s">
        <v>59</v>
      </c>
      <c r="C61" s="36">
        <v>20108793901</v>
      </c>
      <c r="D61" s="13" t="s">
        <v>60</v>
      </c>
      <c r="E61" s="13" t="s">
        <v>49</v>
      </c>
      <c r="F61" s="37">
        <v>45664</v>
      </c>
      <c r="G61" s="13" t="s">
        <v>61</v>
      </c>
      <c r="H61" s="13" t="s">
        <v>495</v>
      </c>
      <c r="I61" s="37">
        <v>45689</v>
      </c>
      <c r="J61" s="11"/>
      <c r="K61" s="13" t="s">
        <v>62</v>
      </c>
      <c r="L61" s="88">
        <v>12</v>
      </c>
      <c r="M61" s="88">
        <v>11</v>
      </c>
      <c r="N61" s="13" t="s">
        <v>46</v>
      </c>
      <c r="O61" s="10" t="s">
        <v>576</v>
      </c>
      <c r="P61" s="13" t="s">
        <v>495</v>
      </c>
      <c r="Q61" s="10" t="s">
        <v>665</v>
      </c>
    </row>
    <row r="62" spans="1:17" ht="15" customHeight="1" x14ac:dyDescent="0.2">
      <c r="A62" s="13" t="s">
        <v>137</v>
      </c>
      <c r="B62" s="13" t="s">
        <v>137</v>
      </c>
      <c r="C62" s="36">
        <v>20057871401</v>
      </c>
      <c r="D62" s="13" t="s">
        <v>138</v>
      </c>
      <c r="E62" s="13" t="s">
        <v>49</v>
      </c>
      <c r="F62" s="37">
        <v>45635</v>
      </c>
      <c r="G62" s="13" t="s">
        <v>61</v>
      </c>
      <c r="H62" s="13" t="s">
        <v>495</v>
      </c>
      <c r="I62" s="37">
        <v>45689</v>
      </c>
      <c r="J62" s="11"/>
      <c r="K62" s="13" t="s">
        <v>44</v>
      </c>
      <c r="L62" s="88">
        <v>12</v>
      </c>
      <c r="M62" s="88">
        <v>13</v>
      </c>
      <c r="N62" s="13" t="s">
        <v>46</v>
      </c>
      <c r="O62" s="10" t="s">
        <v>576</v>
      </c>
      <c r="P62" s="13" t="s">
        <v>495</v>
      </c>
      <c r="Q62" s="10" t="s">
        <v>665</v>
      </c>
    </row>
    <row r="63" spans="1:17" ht="15" customHeight="1" x14ac:dyDescent="0.2">
      <c r="A63" s="13" t="s">
        <v>79</v>
      </c>
      <c r="B63" s="13" t="s">
        <v>79</v>
      </c>
      <c r="C63" s="36">
        <v>20009666701</v>
      </c>
      <c r="D63" s="13" t="s">
        <v>80</v>
      </c>
      <c r="E63" s="13" t="s">
        <v>49</v>
      </c>
      <c r="F63" s="37">
        <v>45631</v>
      </c>
      <c r="G63" s="13" t="s">
        <v>81</v>
      </c>
      <c r="H63" s="13" t="s">
        <v>449</v>
      </c>
      <c r="I63" s="37">
        <v>45658</v>
      </c>
      <c r="J63" s="11"/>
      <c r="K63" s="13" t="s">
        <v>44</v>
      </c>
      <c r="L63" s="88">
        <v>12</v>
      </c>
      <c r="M63" s="88">
        <v>12</v>
      </c>
      <c r="N63" s="13" t="s">
        <v>46</v>
      </c>
      <c r="O63" s="10" t="s">
        <v>576</v>
      </c>
      <c r="P63" s="13" t="s">
        <v>449</v>
      </c>
      <c r="Q63" s="10">
        <v>19200754</v>
      </c>
    </row>
    <row r="64" spans="1:17" ht="15" customHeight="1" x14ac:dyDescent="0.2">
      <c r="A64" s="13" t="s">
        <v>109</v>
      </c>
      <c r="B64" s="13" t="s">
        <v>109</v>
      </c>
      <c r="C64" s="36">
        <v>19935736901</v>
      </c>
      <c r="D64" s="13" t="s">
        <v>110</v>
      </c>
      <c r="E64" s="13" t="s">
        <v>49</v>
      </c>
      <c r="F64" s="37">
        <v>45628</v>
      </c>
      <c r="G64" s="13" t="s">
        <v>81</v>
      </c>
      <c r="H64" s="13" t="s">
        <v>449</v>
      </c>
      <c r="I64" s="37">
        <v>45658</v>
      </c>
      <c r="J64" s="11"/>
      <c r="K64" s="13" t="s">
        <v>44</v>
      </c>
      <c r="L64" s="88">
        <v>12</v>
      </c>
      <c r="M64" s="88">
        <v>12</v>
      </c>
      <c r="N64" s="13" t="s">
        <v>46</v>
      </c>
      <c r="O64" s="10" t="s">
        <v>576</v>
      </c>
      <c r="P64" s="13" t="s">
        <v>449</v>
      </c>
      <c r="Q64" s="10">
        <v>19200754</v>
      </c>
    </row>
    <row r="65" spans="1:17" ht="15" customHeight="1" x14ac:dyDescent="0.2">
      <c r="A65" s="13" t="s">
        <v>135</v>
      </c>
      <c r="B65" s="13" t="s">
        <v>135</v>
      </c>
      <c r="C65" s="36">
        <v>20117221001</v>
      </c>
      <c r="D65" s="13" t="s">
        <v>136</v>
      </c>
      <c r="E65" s="13" t="s">
        <v>49</v>
      </c>
      <c r="F65" s="37">
        <v>45670</v>
      </c>
      <c r="G65" s="13" t="s">
        <v>81</v>
      </c>
      <c r="H65" s="13" t="s">
        <v>449</v>
      </c>
      <c r="I65" s="37">
        <v>45717</v>
      </c>
      <c r="J65" s="11"/>
      <c r="K65" s="13" t="s">
        <v>62</v>
      </c>
      <c r="L65" s="88">
        <v>12</v>
      </c>
      <c r="M65" s="88">
        <v>10</v>
      </c>
      <c r="N65" s="13" t="s">
        <v>46</v>
      </c>
      <c r="O65" s="10" t="s">
        <v>576</v>
      </c>
      <c r="P65" s="13" t="s">
        <v>449</v>
      </c>
      <c r="Q65" s="10">
        <v>19200754</v>
      </c>
    </row>
    <row r="66" spans="1:17" ht="15" customHeight="1" x14ac:dyDescent="0.2">
      <c r="A66" s="65" t="s">
        <v>88</v>
      </c>
      <c r="B66" s="65" t="s">
        <v>88</v>
      </c>
      <c r="C66" s="93">
        <v>20113136401</v>
      </c>
      <c r="D66" s="65" t="s">
        <v>89</v>
      </c>
      <c r="E66" s="65" t="s">
        <v>49</v>
      </c>
      <c r="F66" s="68">
        <v>45666</v>
      </c>
      <c r="G66" s="65" t="s">
        <v>90</v>
      </c>
      <c r="H66" s="65" t="s">
        <v>450</v>
      </c>
      <c r="I66" s="68">
        <v>45689</v>
      </c>
      <c r="J66" s="94"/>
      <c r="K66" s="65" t="s">
        <v>62</v>
      </c>
      <c r="L66" s="95">
        <v>12</v>
      </c>
      <c r="M66" s="95">
        <v>11</v>
      </c>
      <c r="N66" s="65" t="s">
        <v>46</v>
      </c>
      <c r="O66" s="10" t="s">
        <v>576</v>
      </c>
      <c r="P66" s="65" t="s">
        <v>450</v>
      </c>
      <c r="Q66" s="10">
        <v>16912722</v>
      </c>
    </row>
    <row r="67" spans="1:17" ht="15" customHeight="1" x14ac:dyDescent="0.2">
      <c r="A67" s="13" t="s">
        <v>91</v>
      </c>
      <c r="B67" s="13" t="s">
        <v>91</v>
      </c>
      <c r="C67" s="36">
        <v>19827038101</v>
      </c>
      <c r="D67" s="13" t="s">
        <v>92</v>
      </c>
      <c r="E67" s="13" t="s">
        <v>49</v>
      </c>
      <c r="F67" s="37">
        <v>45616</v>
      </c>
      <c r="G67" s="13" t="s">
        <v>93</v>
      </c>
      <c r="H67" s="13" t="s">
        <v>518</v>
      </c>
      <c r="I67" s="37">
        <v>45658</v>
      </c>
      <c r="J67" s="11"/>
      <c r="K67" s="13" t="s">
        <v>44</v>
      </c>
      <c r="L67" s="88">
        <v>12</v>
      </c>
      <c r="M67" s="88">
        <v>12</v>
      </c>
      <c r="N67" s="13" t="s">
        <v>46</v>
      </c>
      <c r="O67" s="10" t="s">
        <v>576</v>
      </c>
      <c r="P67" s="13" t="s">
        <v>518</v>
      </c>
      <c r="Q67" s="10">
        <v>19681796</v>
      </c>
    </row>
    <row r="68" spans="1:17" ht="15" customHeight="1" x14ac:dyDescent="0.2">
      <c r="A68" s="13" t="s">
        <v>105</v>
      </c>
      <c r="B68" s="13" t="s">
        <v>105</v>
      </c>
      <c r="C68" s="36">
        <v>20013729701</v>
      </c>
      <c r="D68" s="13" t="s">
        <v>106</v>
      </c>
      <c r="E68" s="13" t="s">
        <v>49</v>
      </c>
      <c r="F68" s="37">
        <v>45631</v>
      </c>
      <c r="G68" s="13" t="s">
        <v>93</v>
      </c>
      <c r="H68" s="13" t="s">
        <v>518</v>
      </c>
      <c r="I68" s="37">
        <v>45658</v>
      </c>
      <c r="J68" s="11"/>
      <c r="K68" s="13" t="s">
        <v>44</v>
      </c>
      <c r="L68" s="88">
        <v>12</v>
      </c>
      <c r="M68" s="88">
        <v>12</v>
      </c>
      <c r="N68" s="13" t="s">
        <v>46</v>
      </c>
      <c r="O68" s="10" t="s">
        <v>576</v>
      </c>
      <c r="P68" s="13" t="s">
        <v>518</v>
      </c>
      <c r="Q68" s="10">
        <v>19681796</v>
      </c>
    </row>
    <row r="69" spans="1:17" ht="15" customHeight="1" x14ac:dyDescent="0.2">
      <c r="A69" s="13" t="s">
        <v>133</v>
      </c>
      <c r="B69" s="13" t="s">
        <v>133</v>
      </c>
      <c r="C69" s="36">
        <v>19838931401</v>
      </c>
      <c r="D69" s="13" t="s">
        <v>134</v>
      </c>
      <c r="E69" s="13" t="s">
        <v>49</v>
      </c>
      <c r="F69" s="37">
        <v>45617</v>
      </c>
      <c r="G69" s="13" t="s">
        <v>93</v>
      </c>
      <c r="H69" s="13" t="s">
        <v>518</v>
      </c>
      <c r="I69" s="37">
        <v>45658</v>
      </c>
      <c r="J69" s="11"/>
      <c r="K69" s="13" t="s">
        <v>44</v>
      </c>
      <c r="L69" s="88">
        <v>12</v>
      </c>
      <c r="M69" s="88">
        <v>12</v>
      </c>
      <c r="N69" s="13" t="s">
        <v>46</v>
      </c>
      <c r="O69" s="10" t="s">
        <v>576</v>
      </c>
      <c r="P69" s="13" t="s">
        <v>518</v>
      </c>
      <c r="Q69" s="10">
        <v>19681796</v>
      </c>
    </row>
    <row r="70" spans="1:17" ht="15" customHeight="1" x14ac:dyDescent="0.2">
      <c r="A70" s="13" t="s">
        <v>40</v>
      </c>
      <c r="B70" s="13" t="s">
        <v>40</v>
      </c>
      <c r="C70" s="36">
        <v>19410657101</v>
      </c>
      <c r="D70" s="13" t="s">
        <v>41</v>
      </c>
      <c r="E70" s="13" t="s">
        <v>42</v>
      </c>
      <c r="F70" s="37">
        <v>45581</v>
      </c>
      <c r="G70" s="13" t="s">
        <v>43</v>
      </c>
      <c r="H70" s="65" t="s">
        <v>519</v>
      </c>
      <c r="I70" s="37">
        <v>45658</v>
      </c>
      <c r="J70" s="11"/>
      <c r="K70" s="13" t="s">
        <v>44</v>
      </c>
      <c r="L70" s="88">
        <v>12</v>
      </c>
      <c r="M70" s="88">
        <v>12</v>
      </c>
      <c r="N70" s="13" t="s">
        <v>46</v>
      </c>
      <c r="O70" s="10" t="s">
        <v>576</v>
      </c>
      <c r="P70" s="65" t="s">
        <v>519</v>
      </c>
      <c r="Q70" s="10">
        <v>19645587</v>
      </c>
    </row>
    <row r="71" spans="1:17" ht="15" customHeight="1" x14ac:dyDescent="0.2">
      <c r="A71" s="13" t="s">
        <v>82</v>
      </c>
      <c r="B71" s="13" t="s">
        <v>82</v>
      </c>
      <c r="C71" s="36">
        <v>19462303901</v>
      </c>
      <c r="D71" s="13" t="s">
        <v>83</v>
      </c>
      <c r="E71" s="13" t="s">
        <v>49</v>
      </c>
      <c r="F71" s="37">
        <v>45588</v>
      </c>
      <c r="G71" s="13" t="s">
        <v>43</v>
      </c>
      <c r="H71" s="65" t="s">
        <v>519</v>
      </c>
      <c r="I71" s="37">
        <v>45658</v>
      </c>
      <c r="J71" s="11"/>
      <c r="K71" s="13" t="s">
        <v>44</v>
      </c>
      <c r="L71" s="88">
        <v>12</v>
      </c>
      <c r="M71" s="88">
        <v>12</v>
      </c>
      <c r="N71" s="13" t="s">
        <v>46</v>
      </c>
      <c r="O71" s="10" t="s">
        <v>576</v>
      </c>
      <c r="P71" s="65" t="s">
        <v>519</v>
      </c>
      <c r="Q71" s="10">
        <v>19645587</v>
      </c>
    </row>
    <row r="72" spans="1:17" ht="15" customHeight="1" x14ac:dyDescent="0.25">
      <c r="A72" s="13" t="s">
        <v>84</v>
      </c>
      <c r="B72" s="13" t="s">
        <v>84</v>
      </c>
      <c r="C72" s="36">
        <v>19463494501</v>
      </c>
      <c r="D72" s="13" t="s">
        <v>85</v>
      </c>
      <c r="E72" s="13" t="s">
        <v>49</v>
      </c>
      <c r="F72" s="37">
        <v>45588</v>
      </c>
      <c r="G72" s="13" t="s">
        <v>43</v>
      </c>
      <c r="H72" s="65" t="s">
        <v>519</v>
      </c>
      <c r="I72" s="37">
        <v>45658</v>
      </c>
      <c r="J72" s="12"/>
      <c r="K72" s="13" t="s">
        <v>44</v>
      </c>
      <c r="L72" s="88">
        <v>12</v>
      </c>
      <c r="M72" s="88">
        <v>12</v>
      </c>
      <c r="N72" s="13" t="s">
        <v>46</v>
      </c>
      <c r="O72" s="10" t="s">
        <v>576</v>
      </c>
      <c r="P72" s="65" t="s">
        <v>519</v>
      </c>
      <c r="Q72" s="10">
        <v>19645587</v>
      </c>
    </row>
    <row r="73" spans="1:17" ht="15" customHeight="1" x14ac:dyDescent="0.2">
      <c r="A73" s="13" t="s">
        <v>86</v>
      </c>
      <c r="B73" s="13" t="s">
        <v>86</v>
      </c>
      <c r="C73" s="36">
        <v>19691483201</v>
      </c>
      <c r="D73" s="13" t="s">
        <v>87</v>
      </c>
      <c r="E73" s="13" t="s">
        <v>49</v>
      </c>
      <c r="F73" s="37">
        <v>45601</v>
      </c>
      <c r="G73" s="13" t="s">
        <v>43</v>
      </c>
      <c r="H73" s="65" t="s">
        <v>519</v>
      </c>
      <c r="I73" s="37">
        <v>45658</v>
      </c>
      <c r="J73" s="11"/>
      <c r="K73" s="13" t="s">
        <v>44</v>
      </c>
      <c r="L73" s="88">
        <v>12</v>
      </c>
      <c r="M73" s="88">
        <v>12</v>
      </c>
      <c r="N73" s="13" t="s">
        <v>46</v>
      </c>
      <c r="O73" s="10" t="s">
        <v>576</v>
      </c>
      <c r="P73" s="65" t="s">
        <v>519</v>
      </c>
      <c r="Q73" s="10">
        <v>19645587</v>
      </c>
    </row>
    <row r="74" spans="1:17" ht="15" customHeight="1" x14ac:dyDescent="0.2">
      <c r="A74" s="13" t="s">
        <v>499</v>
      </c>
      <c r="B74" s="13" t="s">
        <v>499</v>
      </c>
      <c r="C74" s="13">
        <v>20077328101</v>
      </c>
      <c r="D74" s="13" t="s">
        <v>500</v>
      </c>
      <c r="E74" s="13" t="s">
        <v>49</v>
      </c>
      <c r="F74" s="37">
        <v>45644</v>
      </c>
      <c r="G74" s="13" t="s">
        <v>63</v>
      </c>
      <c r="H74" s="13" t="s">
        <v>520</v>
      </c>
      <c r="I74" s="37">
        <v>45717</v>
      </c>
      <c r="J74" s="11"/>
      <c r="K74" s="13" t="s">
        <v>44</v>
      </c>
      <c r="L74" s="88">
        <v>12</v>
      </c>
      <c r="M74" s="88">
        <v>14</v>
      </c>
      <c r="N74" s="13" t="s">
        <v>46</v>
      </c>
      <c r="O74" s="10" t="s">
        <v>576</v>
      </c>
      <c r="P74" s="13" t="s">
        <v>520</v>
      </c>
      <c r="Q74" s="10">
        <v>19586992</v>
      </c>
    </row>
    <row r="75" spans="1:17" ht="15" customHeight="1" x14ac:dyDescent="0.2">
      <c r="A75" s="16" t="s">
        <v>68</v>
      </c>
      <c r="B75" s="16" t="s">
        <v>68</v>
      </c>
      <c r="C75" s="47">
        <v>20055281801</v>
      </c>
      <c r="D75" s="16" t="s">
        <v>69</v>
      </c>
      <c r="E75" s="16" t="s">
        <v>49</v>
      </c>
      <c r="F75" s="43">
        <v>45633</v>
      </c>
      <c r="G75" s="16" t="s">
        <v>70</v>
      </c>
      <c r="H75" s="13" t="s">
        <v>521</v>
      </c>
      <c r="I75" s="43">
        <v>45658</v>
      </c>
      <c r="J75" s="18"/>
      <c r="K75" s="16" t="s">
        <v>44</v>
      </c>
      <c r="L75" s="90">
        <v>12</v>
      </c>
      <c r="M75" s="90">
        <v>12</v>
      </c>
      <c r="N75" s="16" t="s">
        <v>46</v>
      </c>
      <c r="O75" s="10" t="s">
        <v>576</v>
      </c>
      <c r="P75" s="13" t="s">
        <v>521</v>
      </c>
      <c r="Q75" s="10">
        <v>19106640</v>
      </c>
    </row>
    <row r="76" spans="1:17" ht="15" customHeight="1" x14ac:dyDescent="0.2">
      <c r="A76" s="27" t="s">
        <v>139</v>
      </c>
      <c r="B76" s="27"/>
      <c r="C76" s="27"/>
      <c r="D76" s="27"/>
      <c r="E76" s="32"/>
      <c r="F76" s="32"/>
      <c r="G76" s="32"/>
      <c r="H76" s="32"/>
      <c r="I76" s="32"/>
      <c r="J76" s="32"/>
      <c r="K76" s="32"/>
      <c r="L76" s="32"/>
      <c r="M76" s="87">
        <v>379.5</v>
      </c>
      <c r="N76" s="32"/>
    </row>
    <row r="77" spans="1:17" ht="15" customHeight="1" x14ac:dyDescent="0.25">
      <c r="A77" s="19" t="s">
        <v>140</v>
      </c>
      <c r="B77" s="19"/>
      <c r="C77" s="19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</row>
    <row r="78" spans="1:17" ht="15" customHeight="1" x14ac:dyDescent="0.2">
      <c r="A78" s="15" t="s">
        <v>141</v>
      </c>
      <c r="B78" s="15"/>
      <c r="C78" s="15" t="s">
        <v>142</v>
      </c>
      <c r="D78" s="15"/>
      <c r="E78" s="15"/>
      <c r="F78" s="15"/>
      <c r="G78" s="15"/>
      <c r="H78" s="15"/>
      <c r="I78" s="15"/>
      <c r="J78" s="15"/>
      <c r="K78" s="15"/>
      <c r="L78" s="15"/>
      <c r="M78" s="15"/>
      <c r="N78" s="15"/>
    </row>
    <row r="79" spans="1:17" ht="15" customHeight="1" x14ac:dyDescent="0.2">
      <c r="A79" s="15" t="s">
        <v>143</v>
      </c>
      <c r="B79" s="15"/>
      <c r="C79" s="15" t="s">
        <v>144</v>
      </c>
      <c r="D79" s="15"/>
      <c r="E79" s="15"/>
      <c r="F79" s="15"/>
      <c r="G79" s="15"/>
      <c r="H79" s="15"/>
      <c r="I79" s="15"/>
      <c r="J79" s="15"/>
      <c r="K79" s="15"/>
      <c r="L79" s="15"/>
      <c r="M79" s="15"/>
      <c r="N79" s="15"/>
    </row>
  </sheetData>
  <sortState xmlns:xlrd2="http://schemas.microsoft.com/office/spreadsheetml/2017/richdata2" ref="A3:AI75">
    <sortCondition ref="N3:N75"/>
  </sortState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08C02-C316-4B21-9011-B6938DF24D0A}">
  <dimension ref="A1:Q268"/>
  <sheetViews>
    <sheetView topLeftCell="A226" workbookViewId="0">
      <selection activeCell="D246" sqref="D246"/>
    </sheetView>
  </sheetViews>
  <sheetFormatPr defaultRowHeight="15" customHeight="1" x14ac:dyDescent="0.2"/>
  <cols>
    <col min="1" max="2" width="25.5" style="10" customWidth="1"/>
    <col min="3" max="3" width="19.33203125" style="10" customWidth="1"/>
    <col min="4" max="4" width="35.6640625" style="10" bestFit="1" customWidth="1"/>
    <col min="5" max="5" width="5.5" style="10" bestFit="1" customWidth="1"/>
    <col min="6" max="6" width="11.1640625" style="10" bestFit="1" customWidth="1"/>
    <col min="7" max="7" width="12.1640625" style="10" bestFit="1" customWidth="1"/>
    <col min="8" max="8" width="16.33203125" style="10" bestFit="1" customWidth="1"/>
    <col min="9" max="9" width="27" style="10" bestFit="1" customWidth="1"/>
    <col min="10" max="10" width="20.6640625" style="10" customWidth="1"/>
    <col min="11" max="11" width="35.5" style="10" bestFit="1" customWidth="1"/>
    <col min="12" max="12" width="7.33203125" style="10" bestFit="1" customWidth="1"/>
    <col min="13" max="14" width="10.5" style="10" bestFit="1" customWidth="1"/>
    <col min="15" max="15" width="12.5" style="10" bestFit="1" customWidth="1"/>
    <col min="16" max="16" width="20.33203125" style="10" bestFit="1" customWidth="1"/>
    <col min="17" max="17" width="15.83203125" style="10" customWidth="1"/>
    <col min="18" max="16384" width="9.33203125" style="10"/>
  </cols>
  <sheetData>
    <row r="1" spans="1:17" ht="15" customHeight="1" x14ac:dyDescent="0.2">
      <c r="A1" s="13" t="s">
        <v>24</v>
      </c>
      <c r="B1" s="13"/>
      <c r="C1" s="13" t="s">
        <v>25</v>
      </c>
      <c r="D1" s="11"/>
      <c r="E1" s="13" t="s">
        <v>26</v>
      </c>
      <c r="F1" s="11"/>
      <c r="G1" s="11"/>
      <c r="H1" s="11"/>
      <c r="I1" s="11"/>
      <c r="J1" s="11"/>
      <c r="K1" s="11"/>
      <c r="L1" s="13" t="s">
        <v>27</v>
      </c>
      <c r="M1" s="11"/>
      <c r="N1" s="13" t="s">
        <v>28</v>
      </c>
    </row>
    <row r="2" spans="1:17" ht="15" customHeight="1" x14ac:dyDescent="0.2">
      <c r="A2" s="16" t="s">
        <v>29</v>
      </c>
      <c r="B2" s="16"/>
      <c r="C2" s="16" t="s">
        <v>30</v>
      </c>
      <c r="D2" s="16" t="s">
        <v>31</v>
      </c>
      <c r="E2" s="16" t="s">
        <v>32</v>
      </c>
      <c r="F2" s="16" t="s">
        <v>33</v>
      </c>
      <c r="G2" s="16" t="s">
        <v>34</v>
      </c>
      <c r="H2" s="16" t="s">
        <v>35</v>
      </c>
      <c r="I2" s="16"/>
      <c r="J2" s="16" t="s">
        <v>36</v>
      </c>
      <c r="K2" s="16" t="s">
        <v>37</v>
      </c>
      <c r="L2" s="16" t="s">
        <v>38</v>
      </c>
      <c r="M2" s="16" t="s">
        <v>28</v>
      </c>
      <c r="N2" s="16" t="s">
        <v>39</v>
      </c>
    </row>
    <row r="3" spans="1:17" ht="15" customHeight="1" x14ac:dyDescent="0.2">
      <c r="A3" s="27" t="s">
        <v>145</v>
      </c>
      <c r="B3" s="27" t="str">
        <f>CONCATENATE(A3,1)</f>
        <v>1UF1MR3HK911</v>
      </c>
      <c r="C3" s="28">
        <v>19450061701</v>
      </c>
      <c r="D3" s="27" t="s">
        <v>146</v>
      </c>
      <c r="E3" s="27" t="s">
        <v>49</v>
      </c>
      <c r="F3" s="29">
        <v>45587</v>
      </c>
      <c r="G3" s="27" t="s">
        <v>61</v>
      </c>
      <c r="H3" s="29">
        <v>45658</v>
      </c>
      <c r="I3" s="101" t="s">
        <v>495</v>
      </c>
      <c r="J3" s="32"/>
      <c r="K3" s="27" t="s">
        <v>62</v>
      </c>
      <c r="L3" s="87">
        <v>2</v>
      </c>
      <c r="M3" s="87">
        <v>2</v>
      </c>
      <c r="N3" s="27" t="s">
        <v>45</v>
      </c>
      <c r="O3" s="10" t="s">
        <v>575</v>
      </c>
      <c r="P3" s="10" t="s">
        <v>577</v>
      </c>
      <c r="Q3" s="10">
        <v>20411454</v>
      </c>
    </row>
    <row r="4" spans="1:17" ht="15" customHeight="1" x14ac:dyDescent="0.2">
      <c r="A4" s="13" t="s">
        <v>40</v>
      </c>
      <c r="B4" s="27" t="str">
        <f t="shared" ref="B4:B67" si="0">CONCATENATE(A4,1)</f>
        <v>1HH4H40VR881</v>
      </c>
      <c r="C4" s="36">
        <v>19410657101</v>
      </c>
      <c r="D4" s="13" t="s">
        <v>41</v>
      </c>
      <c r="E4" s="13" t="s">
        <v>42</v>
      </c>
      <c r="F4" s="37">
        <v>45581</v>
      </c>
      <c r="G4" s="13" t="s">
        <v>43</v>
      </c>
      <c r="H4" s="37">
        <v>45658</v>
      </c>
      <c r="I4" s="102" t="s">
        <v>519</v>
      </c>
      <c r="J4" s="11"/>
      <c r="K4" s="13" t="s">
        <v>62</v>
      </c>
      <c r="L4" s="88">
        <v>2</v>
      </c>
      <c r="M4" s="88">
        <v>2</v>
      </c>
      <c r="N4" s="13" t="s">
        <v>45</v>
      </c>
      <c r="O4" s="10" t="s">
        <v>575</v>
      </c>
      <c r="P4" s="10" t="s">
        <v>577</v>
      </c>
      <c r="Q4" s="10">
        <v>20411454</v>
      </c>
    </row>
    <row r="5" spans="1:17" ht="15" customHeight="1" x14ac:dyDescent="0.2">
      <c r="A5" s="13" t="s">
        <v>47</v>
      </c>
      <c r="B5" s="27" t="str">
        <f t="shared" si="0"/>
        <v>1P39R56PM211</v>
      </c>
      <c r="C5" s="36">
        <v>20072350001</v>
      </c>
      <c r="D5" s="13" t="s">
        <v>48</v>
      </c>
      <c r="E5" s="13" t="s">
        <v>49</v>
      </c>
      <c r="F5" s="37">
        <v>45642</v>
      </c>
      <c r="G5" s="13" t="s">
        <v>50</v>
      </c>
      <c r="H5" s="37">
        <v>45689</v>
      </c>
      <c r="I5" s="102" t="s">
        <v>516</v>
      </c>
      <c r="J5" s="11"/>
      <c r="K5" s="13" t="s">
        <v>62</v>
      </c>
      <c r="L5" s="88">
        <v>2</v>
      </c>
      <c r="M5" s="88">
        <v>2</v>
      </c>
      <c r="N5" s="13" t="s">
        <v>45</v>
      </c>
      <c r="O5" s="10" t="s">
        <v>575</v>
      </c>
      <c r="P5" s="10" t="s">
        <v>577</v>
      </c>
      <c r="Q5" s="10">
        <v>20411454</v>
      </c>
    </row>
    <row r="6" spans="1:17" ht="15" customHeight="1" x14ac:dyDescent="0.2">
      <c r="A6" s="13" t="s">
        <v>51</v>
      </c>
      <c r="B6" s="27" t="str">
        <f t="shared" si="0"/>
        <v>4YX2Q36MU011</v>
      </c>
      <c r="C6" s="36">
        <v>20080762601</v>
      </c>
      <c r="D6" s="13" t="s">
        <v>52</v>
      </c>
      <c r="E6" s="13" t="s">
        <v>53</v>
      </c>
      <c r="F6" s="37">
        <v>45646</v>
      </c>
      <c r="G6" s="13" t="s">
        <v>54</v>
      </c>
      <c r="H6" s="37">
        <v>45658</v>
      </c>
      <c r="I6" s="102" t="s">
        <v>448</v>
      </c>
      <c r="J6" s="11"/>
      <c r="K6" s="13" t="s">
        <v>62</v>
      </c>
      <c r="L6" s="88">
        <v>2</v>
      </c>
      <c r="M6" s="88">
        <v>2</v>
      </c>
      <c r="N6" s="13" t="s">
        <v>45</v>
      </c>
      <c r="O6" s="10" t="s">
        <v>575</v>
      </c>
      <c r="P6" s="10" t="s">
        <v>577</v>
      </c>
      <c r="Q6" s="10">
        <v>20411454</v>
      </c>
    </row>
    <row r="7" spans="1:17" ht="15" customHeight="1" x14ac:dyDescent="0.2">
      <c r="A7" s="13" t="s">
        <v>147</v>
      </c>
      <c r="B7" s="27" t="str">
        <f t="shared" si="0"/>
        <v>8FV3UW8VN751</v>
      </c>
      <c r="C7" s="36">
        <v>19472603001</v>
      </c>
      <c r="D7" s="13" t="s">
        <v>148</v>
      </c>
      <c r="E7" s="13" t="s">
        <v>53</v>
      </c>
      <c r="F7" s="37">
        <v>45589</v>
      </c>
      <c r="G7" s="13" t="s">
        <v>73</v>
      </c>
      <c r="H7" s="37">
        <v>45658</v>
      </c>
      <c r="I7" s="102" t="s">
        <v>497</v>
      </c>
      <c r="J7" s="11"/>
      <c r="K7" s="13" t="s">
        <v>62</v>
      </c>
      <c r="L7" s="88">
        <v>2</v>
      </c>
      <c r="M7" s="88">
        <v>2</v>
      </c>
      <c r="N7" s="13" t="s">
        <v>45</v>
      </c>
      <c r="O7" s="10" t="s">
        <v>575</v>
      </c>
      <c r="P7" s="10" t="s">
        <v>577</v>
      </c>
      <c r="Q7" s="10">
        <v>20411454</v>
      </c>
    </row>
    <row r="8" spans="1:17" ht="15" customHeight="1" x14ac:dyDescent="0.2">
      <c r="A8" s="13" t="s">
        <v>149</v>
      </c>
      <c r="B8" s="27" t="str">
        <f t="shared" si="0"/>
        <v>2YH0PK9TC061</v>
      </c>
      <c r="C8" s="36">
        <v>19850445801</v>
      </c>
      <c r="D8" s="13" t="s">
        <v>150</v>
      </c>
      <c r="E8" s="13" t="s">
        <v>49</v>
      </c>
      <c r="F8" s="37">
        <v>45618</v>
      </c>
      <c r="G8" s="13" t="s">
        <v>81</v>
      </c>
      <c r="H8" s="37">
        <v>45658</v>
      </c>
      <c r="I8" s="102" t="s">
        <v>449</v>
      </c>
      <c r="J8" s="11"/>
      <c r="K8" s="13" t="s">
        <v>62</v>
      </c>
      <c r="L8" s="88">
        <v>2</v>
      </c>
      <c r="M8" s="88">
        <v>2</v>
      </c>
      <c r="N8" s="13" t="s">
        <v>45</v>
      </c>
      <c r="O8" s="10" t="s">
        <v>575</v>
      </c>
      <c r="P8" s="10" t="s">
        <v>577</v>
      </c>
      <c r="Q8" s="10">
        <v>20411454</v>
      </c>
    </row>
    <row r="9" spans="1:17" ht="15" customHeight="1" x14ac:dyDescent="0.2">
      <c r="A9" s="13" t="s">
        <v>55</v>
      </c>
      <c r="B9" s="27" t="str">
        <f t="shared" si="0"/>
        <v>6Q62KK4NR801</v>
      </c>
      <c r="C9" s="36">
        <v>20057926601</v>
      </c>
      <c r="D9" s="13" t="s">
        <v>56</v>
      </c>
      <c r="E9" s="13" t="s">
        <v>53</v>
      </c>
      <c r="F9" s="37">
        <v>45635</v>
      </c>
      <c r="G9" s="13" t="s">
        <v>54</v>
      </c>
      <c r="H9" s="37">
        <v>45658</v>
      </c>
      <c r="I9" s="102" t="s">
        <v>448</v>
      </c>
      <c r="J9" s="11"/>
      <c r="K9" s="13" t="s">
        <v>62</v>
      </c>
      <c r="L9" s="88">
        <v>3</v>
      </c>
      <c r="M9" s="88">
        <v>3</v>
      </c>
      <c r="N9" s="13" t="s">
        <v>45</v>
      </c>
      <c r="O9" s="10" t="s">
        <v>575</v>
      </c>
      <c r="P9" s="10" t="s">
        <v>577</v>
      </c>
      <c r="Q9" s="10">
        <v>20411454</v>
      </c>
    </row>
    <row r="10" spans="1:17" ht="15" customHeight="1" x14ac:dyDescent="0.2">
      <c r="A10" s="13" t="s">
        <v>57</v>
      </c>
      <c r="B10" s="27" t="str">
        <f t="shared" si="0"/>
        <v>9PU1JT6JR171</v>
      </c>
      <c r="C10" s="36">
        <v>20057951401</v>
      </c>
      <c r="D10" s="13" t="s">
        <v>58</v>
      </c>
      <c r="E10" s="13" t="s">
        <v>53</v>
      </c>
      <c r="F10" s="37">
        <v>45635</v>
      </c>
      <c r="G10" s="13" t="s">
        <v>54</v>
      </c>
      <c r="H10" s="37">
        <v>45717</v>
      </c>
      <c r="I10" s="102" t="s">
        <v>448</v>
      </c>
      <c r="J10" s="11"/>
      <c r="K10" s="13" t="s">
        <v>62</v>
      </c>
      <c r="L10" s="88">
        <v>2</v>
      </c>
      <c r="M10" s="88">
        <v>2</v>
      </c>
      <c r="N10" s="13" t="s">
        <v>45</v>
      </c>
      <c r="O10" s="10" t="s">
        <v>575</v>
      </c>
      <c r="P10" s="10" t="s">
        <v>577</v>
      </c>
      <c r="Q10" s="10">
        <v>20411454</v>
      </c>
    </row>
    <row r="11" spans="1:17" ht="15" customHeight="1" x14ac:dyDescent="0.2">
      <c r="A11" s="13" t="s">
        <v>151</v>
      </c>
      <c r="B11" s="27" t="str">
        <f t="shared" si="0"/>
        <v>3EF8RG8TY521</v>
      </c>
      <c r="C11" s="36">
        <v>19401716601</v>
      </c>
      <c r="D11" s="13" t="s">
        <v>152</v>
      </c>
      <c r="E11" s="13" t="s">
        <v>53</v>
      </c>
      <c r="F11" s="37">
        <v>45581</v>
      </c>
      <c r="G11" s="13" t="s">
        <v>153</v>
      </c>
      <c r="H11" s="37">
        <v>45658</v>
      </c>
      <c r="I11" s="102" t="s">
        <v>581</v>
      </c>
      <c r="J11" s="11"/>
      <c r="K11" s="13" t="s">
        <v>62</v>
      </c>
      <c r="L11" s="88">
        <v>2</v>
      </c>
      <c r="M11" s="88">
        <v>2</v>
      </c>
      <c r="N11" s="13" t="s">
        <v>45</v>
      </c>
      <c r="O11" s="10" t="s">
        <v>575</v>
      </c>
      <c r="P11" s="10" t="s">
        <v>577</v>
      </c>
      <c r="Q11" s="10">
        <v>20411454</v>
      </c>
    </row>
    <row r="12" spans="1:17" ht="15" customHeight="1" x14ac:dyDescent="0.2">
      <c r="A12" s="13" t="s">
        <v>154</v>
      </c>
      <c r="B12" s="27" t="str">
        <f t="shared" si="0"/>
        <v>9GY4AR2NR811</v>
      </c>
      <c r="C12" s="36">
        <v>19439436701</v>
      </c>
      <c r="D12" s="13" t="s">
        <v>155</v>
      </c>
      <c r="E12" s="13" t="s">
        <v>53</v>
      </c>
      <c r="F12" s="37">
        <v>45586</v>
      </c>
      <c r="G12" s="13" t="s">
        <v>54</v>
      </c>
      <c r="H12" s="37">
        <v>45658</v>
      </c>
      <c r="I12" s="102" t="s">
        <v>448</v>
      </c>
      <c r="J12" s="11"/>
      <c r="K12" s="13" t="s">
        <v>62</v>
      </c>
      <c r="L12" s="88">
        <v>2</v>
      </c>
      <c r="M12" s="88">
        <v>2</v>
      </c>
      <c r="N12" s="13" t="s">
        <v>45</v>
      </c>
      <c r="O12" s="10" t="s">
        <v>575</v>
      </c>
      <c r="P12" s="10" t="s">
        <v>577</v>
      </c>
      <c r="Q12" s="10">
        <v>20411454</v>
      </c>
    </row>
    <row r="13" spans="1:17" ht="15" customHeight="1" x14ac:dyDescent="0.2">
      <c r="A13" s="13" t="s">
        <v>156</v>
      </c>
      <c r="B13" s="27" t="str">
        <f t="shared" si="0"/>
        <v>2HQ2KE5TH071</v>
      </c>
      <c r="C13" s="36">
        <v>19410553201</v>
      </c>
      <c r="D13" s="13" t="s">
        <v>157</v>
      </c>
      <c r="E13" s="13" t="s">
        <v>158</v>
      </c>
      <c r="F13" s="37">
        <v>45581</v>
      </c>
      <c r="G13" s="13" t="s">
        <v>159</v>
      </c>
      <c r="H13" s="37">
        <v>45658</v>
      </c>
      <c r="I13" s="102" t="s">
        <v>578</v>
      </c>
      <c r="J13" s="11"/>
      <c r="K13" s="13" t="s">
        <v>62</v>
      </c>
      <c r="L13" s="88">
        <v>2</v>
      </c>
      <c r="M13" s="88">
        <v>2</v>
      </c>
      <c r="N13" s="13" t="s">
        <v>45</v>
      </c>
      <c r="O13" s="10" t="s">
        <v>575</v>
      </c>
      <c r="P13" s="10" t="s">
        <v>577</v>
      </c>
      <c r="Q13" s="10">
        <v>20411454</v>
      </c>
    </row>
    <row r="14" spans="1:17" ht="15" customHeight="1" x14ac:dyDescent="0.2">
      <c r="A14" s="89" t="s">
        <v>522</v>
      </c>
      <c r="B14" s="27" t="str">
        <f t="shared" si="0"/>
        <v>5WN0R29UU241</v>
      </c>
      <c r="C14" s="13">
        <v>19832802301</v>
      </c>
      <c r="D14" s="13" t="s">
        <v>523</v>
      </c>
      <c r="E14" s="13" t="s">
        <v>53</v>
      </c>
      <c r="F14" s="37">
        <v>45617</v>
      </c>
      <c r="G14" s="13" t="s">
        <v>153</v>
      </c>
      <c r="H14" s="37">
        <v>45658</v>
      </c>
      <c r="I14" s="102" t="s">
        <v>581</v>
      </c>
      <c r="J14" s="11"/>
      <c r="K14" s="13" t="s">
        <v>62</v>
      </c>
      <c r="L14" s="88">
        <v>2</v>
      </c>
      <c r="M14" s="88">
        <v>2</v>
      </c>
      <c r="N14" s="13" t="s">
        <v>45</v>
      </c>
      <c r="O14" s="10" t="s">
        <v>575</v>
      </c>
      <c r="P14" s="10" t="s">
        <v>577</v>
      </c>
      <c r="Q14" s="10">
        <v>20411454</v>
      </c>
    </row>
    <row r="15" spans="1:17" ht="15" customHeight="1" x14ac:dyDescent="0.2">
      <c r="A15" s="89" t="s">
        <v>524</v>
      </c>
      <c r="B15" s="27" t="str">
        <f t="shared" si="0"/>
        <v>9DM4F05WH641</v>
      </c>
      <c r="C15" s="13">
        <v>19450773701</v>
      </c>
      <c r="D15" s="13" t="s">
        <v>525</v>
      </c>
      <c r="E15" s="13" t="s">
        <v>53</v>
      </c>
      <c r="F15" s="37">
        <v>45587</v>
      </c>
      <c r="G15" s="13" t="s">
        <v>54</v>
      </c>
      <c r="H15" s="37">
        <v>45658</v>
      </c>
      <c r="I15" s="102" t="s">
        <v>448</v>
      </c>
      <c r="J15" s="11"/>
      <c r="K15" s="13" t="s">
        <v>62</v>
      </c>
      <c r="L15" s="88">
        <v>2</v>
      </c>
      <c r="M15" s="88">
        <v>2</v>
      </c>
      <c r="N15" s="13" t="s">
        <v>45</v>
      </c>
      <c r="O15" s="10" t="s">
        <v>575</v>
      </c>
      <c r="P15" s="10" t="s">
        <v>577</v>
      </c>
      <c r="Q15" s="10">
        <v>20411454</v>
      </c>
    </row>
    <row r="16" spans="1:17" ht="15" customHeight="1" x14ac:dyDescent="0.2">
      <c r="A16" s="89" t="s">
        <v>526</v>
      </c>
      <c r="B16" s="27" t="str">
        <f t="shared" si="0"/>
        <v>9MN9UG1QA191</v>
      </c>
      <c r="C16" s="13">
        <v>19389032401</v>
      </c>
      <c r="D16" s="13" t="s">
        <v>527</v>
      </c>
      <c r="E16" s="13" t="s">
        <v>53</v>
      </c>
      <c r="F16" s="37">
        <v>45580</v>
      </c>
      <c r="G16" s="13" t="s">
        <v>54</v>
      </c>
      <c r="H16" s="37">
        <v>45658</v>
      </c>
      <c r="I16" s="102" t="s">
        <v>448</v>
      </c>
      <c r="J16" s="11"/>
      <c r="K16" s="13" t="s">
        <v>62</v>
      </c>
      <c r="L16" s="88">
        <v>2</v>
      </c>
      <c r="M16" s="88">
        <v>2</v>
      </c>
      <c r="N16" s="13" t="s">
        <v>45</v>
      </c>
      <c r="O16" s="10" t="s">
        <v>575</v>
      </c>
      <c r="P16" s="10" t="s">
        <v>577</v>
      </c>
      <c r="Q16" s="10">
        <v>20411454</v>
      </c>
    </row>
    <row r="17" spans="1:17" ht="15" customHeight="1" x14ac:dyDescent="0.2">
      <c r="A17" s="89" t="s">
        <v>528</v>
      </c>
      <c r="B17" s="27" t="str">
        <f t="shared" si="0"/>
        <v>9AR6RU4CQ441</v>
      </c>
      <c r="C17" s="13">
        <v>19880792701</v>
      </c>
      <c r="D17" s="13" t="s">
        <v>529</v>
      </c>
      <c r="E17" s="13" t="s">
        <v>53</v>
      </c>
      <c r="F17" s="37">
        <v>45622</v>
      </c>
      <c r="G17" s="13" t="s">
        <v>54</v>
      </c>
      <c r="H17" s="37">
        <v>45658</v>
      </c>
      <c r="I17" s="102" t="s">
        <v>448</v>
      </c>
      <c r="J17" s="11"/>
      <c r="K17" s="13" t="s">
        <v>62</v>
      </c>
      <c r="L17" s="88">
        <v>2</v>
      </c>
      <c r="M17" s="88">
        <v>2</v>
      </c>
      <c r="N17" s="13" t="s">
        <v>45</v>
      </c>
      <c r="O17" s="10" t="s">
        <v>575</v>
      </c>
      <c r="P17" s="10" t="s">
        <v>577</v>
      </c>
      <c r="Q17" s="10">
        <v>20411454</v>
      </c>
    </row>
    <row r="18" spans="1:17" ht="15" customHeight="1" x14ac:dyDescent="0.2">
      <c r="A18" s="89" t="s">
        <v>530</v>
      </c>
      <c r="B18" s="27" t="str">
        <f t="shared" si="0"/>
        <v>7Q20WR6WY491</v>
      </c>
      <c r="C18" s="13">
        <v>19971396701</v>
      </c>
      <c r="D18" s="13" t="s">
        <v>531</v>
      </c>
      <c r="E18" s="13" t="s">
        <v>53</v>
      </c>
      <c r="F18" s="37">
        <v>45630</v>
      </c>
      <c r="G18" s="13" t="s">
        <v>54</v>
      </c>
      <c r="H18" s="37">
        <v>45658</v>
      </c>
      <c r="I18" s="102" t="s">
        <v>448</v>
      </c>
      <c r="J18" s="11"/>
      <c r="K18" s="13" t="s">
        <v>62</v>
      </c>
      <c r="L18" s="88">
        <v>2</v>
      </c>
      <c r="M18" s="88">
        <v>2</v>
      </c>
      <c r="N18" s="13" t="s">
        <v>45</v>
      </c>
      <c r="O18" s="10" t="s">
        <v>575</v>
      </c>
      <c r="P18" s="10" t="s">
        <v>577</v>
      </c>
      <c r="Q18" s="10">
        <v>20411454</v>
      </c>
    </row>
    <row r="19" spans="1:17" ht="15" customHeight="1" x14ac:dyDescent="0.2">
      <c r="A19" s="65" t="s">
        <v>161</v>
      </c>
      <c r="B19" s="27" t="str">
        <f t="shared" si="0"/>
        <v>8EY7GY2XW351</v>
      </c>
      <c r="C19" s="65">
        <v>20031768301</v>
      </c>
      <c r="D19" s="65" t="s">
        <v>533</v>
      </c>
      <c r="E19" s="65" t="s">
        <v>49</v>
      </c>
      <c r="F19" s="68">
        <v>45632</v>
      </c>
      <c r="G19" s="65" t="s">
        <v>160</v>
      </c>
      <c r="H19" s="68">
        <v>45658</v>
      </c>
      <c r="I19" s="103" t="s">
        <v>498</v>
      </c>
      <c r="K19" s="65" t="s">
        <v>62</v>
      </c>
      <c r="L19" s="95">
        <v>2</v>
      </c>
      <c r="M19" s="95">
        <v>2</v>
      </c>
      <c r="N19" s="65" t="s">
        <v>45</v>
      </c>
      <c r="O19" s="10" t="s">
        <v>575</v>
      </c>
      <c r="P19" s="10" t="s">
        <v>577</v>
      </c>
      <c r="Q19" s="10">
        <v>20411454</v>
      </c>
    </row>
    <row r="20" spans="1:17" ht="15" customHeight="1" x14ac:dyDescent="0.2">
      <c r="A20" s="13" t="s">
        <v>499</v>
      </c>
      <c r="B20" s="27" t="str">
        <f t="shared" si="0"/>
        <v>6MW7MR5AP371</v>
      </c>
      <c r="C20" s="13">
        <v>20077328101</v>
      </c>
      <c r="D20" s="13" t="s">
        <v>500</v>
      </c>
      <c r="E20" s="13" t="s">
        <v>49</v>
      </c>
      <c r="F20" s="37">
        <v>45644</v>
      </c>
      <c r="G20" s="13" t="s">
        <v>63</v>
      </c>
      <c r="H20" s="37">
        <v>45717</v>
      </c>
      <c r="I20" s="102" t="s">
        <v>520</v>
      </c>
      <c r="K20" s="13" t="s">
        <v>62</v>
      </c>
      <c r="L20" s="88">
        <v>2</v>
      </c>
      <c r="M20" s="88">
        <v>2</v>
      </c>
      <c r="N20" s="13" t="s">
        <v>45</v>
      </c>
      <c r="O20" s="10" t="s">
        <v>575</v>
      </c>
      <c r="P20" s="10" t="s">
        <v>577</v>
      </c>
      <c r="Q20" s="10">
        <v>20411454</v>
      </c>
    </row>
    <row r="21" spans="1:17" ht="15" customHeight="1" x14ac:dyDescent="0.2">
      <c r="A21" s="89" t="s">
        <v>534</v>
      </c>
      <c r="B21" s="27" t="str">
        <f t="shared" si="0"/>
        <v>7XT2W99YH091</v>
      </c>
      <c r="C21" s="13">
        <v>19827569501</v>
      </c>
      <c r="D21" s="13" t="s">
        <v>535</v>
      </c>
      <c r="E21" s="13" t="s">
        <v>66</v>
      </c>
      <c r="F21" s="37">
        <v>45616</v>
      </c>
      <c r="G21" s="13" t="s">
        <v>67</v>
      </c>
      <c r="H21" s="37">
        <v>45658</v>
      </c>
      <c r="I21" s="102" t="s">
        <v>517</v>
      </c>
      <c r="K21" s="13" t="s">
        <v>62</v>
      </c>
      <c r="L21" s="88">
        <v>2</v>
      </c>
      <c r="M21" s="88">
        <v>2</v>
      </c>
      <c r="N21" s="13" t="s">
        <v>45</v>
      </c>
      <c r="O21" s="10" t="s">
        <v>575</v>
      </c>
      <c r="P21" s="10" t="s">
        <v>577</v>
      </c>
      <c r="Q21" s="10">
        <v>20411454</v>
      </c>
    </row>
    <row r="22" spans="1:17" ht="15" customHeight="1" x14ac:dyDescent="0.2">
      <c r="A22" s="89" t="s">
        <v>536</v>
      </c>
      <c r="B22" s="27" t="str">
        <f t="shared" si="0"/>
        <v>8CH1W30NA151</v>
      </c>
      <c r="C22" s="13">
        <v>19893114901</v>
      </c>
      <c r="D22" s="13" t="s">
        <v>537</v>
      </c>
      <c r="E22" s="13" t="s">
        <v>53</v>
      </c>
      <c r="F22" s="37">
        <v>45623</v>
      </c>
      <c r="G22" s="13" t="s">
        <v>153</v>
      </c>
      <c r="H22" s="37">
        <v>45658</v>
      </c>
      <c r="I22" s="102" t="s">
        <v>581</v>
      </c>
      <c r="K22" s="13" t="s">
        <v>62</v>
      </c>
      <c r="L22" s="88">
        <v>2</v>
      </c>
      <c r="M22" s="88">
        <v>2</v>
      </c>
      <c r="N22" s="13" t="s">
        <v>45</v>
      </c>
      <c r="O22" s="10" t="s">
        <v>575</v>
      </c>
      <c r="P22" s="10" t="s">
        <v>577</v>
      </c>
      <c r="Q22" s="10">
        <v>20411454</v>
      </c>
    </row>
    <row r="23" spans="1:17" ht="15" customHeight="1" x14ac:dyDescent="0.2">
      <c r="A23" s="89" t="s">
        <v>538</v>
      </c>
      <c r="B23" s="27" t="str">
        <f t="shared" si="0"/>
        <v>3DH1RW9DR081</v>
      </c>
      <c r="C23" s="13">
        <v>15974919101</v>
      </c>
      <c r="D23" s="13" t="s">
        <v>539</v>
      </c>
      <c r="E23" s="13" t="s">
        <v>53</v>
      </c>
      <c r="F23" s="37">
        <v>45580</v>
      </c>
      <c r="G23" s="13" t="s">
        <v>54</v>
      </c>
      <c r="H23" s="37">
        <v>45658</v>
      </c>
      <c r="I23" s="102" t="s">
        <v>448</v>
      </c>
      <c r="K23" s="13" t="s">
        <v>62</v>
      </c>
      <c r="L23" s="88">
        <v>2</v>
      </c>
      <c r="M23" s="88">
        <v>2</v>
      </c>
      <c r="N23" s="13" t="s">
        <v>45</v>
      </c>
      <c r="O23" s="10" t="s">
        <v>575</v>
      </c>
      <c r="P23" s="10" t="s">
        <v>577</v>
      </c>
      <c r="Q23" s="10">
        <v>20411454</v>
      </c>
    </row>
    <row r="24" spans="1:17" ht="15" customHeight="1" x14ac:dyDescent="0.2">
      <c r="A24" s="13" t="s">
        <v>68</v>
      </c>
      <c r="B24" s="27" t="str">
        <f t="shared" si="0"/>
        <v>8TP1CC6YR931</v>
      </c>
      <c r="C24" s="13">
        <v>20055281801</v>
      </c>
      <c r="D24" s="13" t="s">
        <v>540</v>
      </c>
      <c r="E24" s="13" t="s">
        <v>49</v>
      </c>
      <c r="F24" s="37">
        <v>45633</v>
      </c>
      <c r="G24" s="13" t="s">
        <v>70</v>
      </c>
      <c r="H24" s="37">
        <v>45658</v>
      </c>
      <c r="I24" s="102" t="s">
        <v>521</v>
      </c>
      <c r="K24" s="13" t="s">
        <v>62</v>
      </c>
      <c r="L24" s="88">
        <v>2</v>
      </c>
      <c r="M24" s="88">
        <v>2</v>
      </c>
      <c r="N24" s="13" t="s">
        <v>45</v>
      </c>
      <c r="O24" s="10" t="s">
        <v>575</v>
      </c>
      <c r="P24" s="10" t="s">
        <v>577</v>
      </c>
      <c r="Q24" s="10">
        <v>20411454</v>
      </c>
    </row>
    <row r="25" spans="1:17" ht="15" customHeight="1" x14ac:dyDescent="0.2">
      <c r="A25" s="13" t="s">
        <v>162</v>
      </c>
      <c r="B25" s="27" t="str">
        <f t="shared" si="0"/>
        <v>4WK6H63TG621</v>
      </c>
      <c r="C25" s="13">
        <v>19472345801</v>
      </c>
      <c r="D25" s="13" t="s">
        <v>541</v>
      </c>
      <c r="E25" s="13" t="s">
        <v>53</v>
      </c>
      <c r="F25" s="37">
        <v>45589</v>
      </c>
      <c r="G25" s="13" t="s">
        <v>163</v>
      </c>
      <c r="H25" s="37">
        <v>45658</v>
      </c>
      <c r="I25" s="102" t="s">
        <v>446</v>
      </c>
      <c r="K25" s="13" t="s">
        <v>62</v>
      </c>
      <c r="L25" s="88">
        <v>2</v>
      </c>
      <c r="M25" s="88">
        <v>2</v>
      </c>
      <c r="N25" s="13" t="s">
        <v>45</v>
      </c>
      <c r="O25" s="10" t="s">
        <v>575</v>
      </c>
      <c r="P25" s="10" t="s">
        <v>577</v>
      </c>
      <c r="Q25" s="10">
        <v>20411454</v>
      </c>
    </row>
    <row r="26" spans="1:17" ht="15" customHeight="1" x14ac:dyDescent="0.2">
      <c r="A26" s="13" t="s">
        <v>71</v>
      </c>
      <c r="B26" s="27" t="str">
        <f t="shared" si="0"/>
        <v>3AK9F80MU321</v>
      </c>
      <c r="C26" s="13">
        <v>19922388401</v>
      </c>
      <c r="D26" s="13" t="s">
        <v>542</v>
      </c>
      <c r="E26" s="13" t="s">
        <v>53</v>
      </c>
      <c r="F26" s="37">
        <v>45628</v>
      </c>
      <c r="G26" s="13" t="s">
        <v>73</v>
      </c>
      <c r="H26" s="37">
        <v>45658</v>
      </c>
      <c r="I26" s="102" t="s">
        <v>497</v>
      </c>
      <c r="K26" s="13" t="s">
        <v>62</v>
      </c>
      <c r="L26" s="88">
        <v>2</v>
      </c>
      <c r="M26" s="88">
        <v>2</v>
      </c>
      <c r="N26" s="13" t="s">
        <v>45</v>
      </c>
      <c r="O26" s="10" t="s">
        <v>575</v>
      </c>
      <c r="P26" s="10" t="s">
        <v>577</v>
      </c>
      <c r="Q26" s="10">
        <v>20411454</v>
      </c>
    </row>
    <row r="27" spans="1:17" ht="15" customHeight="1" x14ac:dyDescent="0.2">
      <c r="A27" s="13" t="s">
        <v>164</v>
      </c>
      <c r="B27" s="27" t="str">
        <f t="shared" si="0"/>
        <v>2CG9QK1KY431</v>
      </c>
      <c r="C27" s="13">
        <v>19439324501</v>
      </c>
      <c r="D27" s="13" t="s">
        <v>543</v>
      </c>
      <c r="E27" s="13" t="s">
        <v>53</v>
      </c>
      <c r="F27" s="37">
        <v>45586</v>
      </c>
      <c r="G27" s="13" t="s">
        <v>54</v>
      </c>
      <c r="H27" s="37">
        <v>45658</v>
      </c>
      <c r="I27" s="102" t="s">
        <v>448</v>
      </c>
      <c r="K27" s="13" t="s">
        <v>62</v>
      </c>
      <c r="L27" s="88">
        <v>2</v>
      </c>
      <c r="M27" s="88">
        <v>2</v>
      </c>
      <c r="N27" s="13" t="s">
        <v>45</v>
      </c>
      <c r="O27" s="10" t="s">
        <v>575</v>
      </c>
      <c r="P27" s="10" t="s">
        <v>577</v>
      </c>
      <c r="Q27" s="10">
        <v>20411454</v>
      </c>
    </row>
    <row r="28" spans="1:17" ht="15" customHeight="1" x14ac:dyDescent="0.2">
      <c r="A28" s="27" t="s">
        <v>165</v>
      </c>
      <c r="B28" s="27" t="str">
        <f t="shared" si="0"/>
        <v>4GX3G39PP901</v>
      </c>
      <c r="C28" s="27">
        <v>19794184201</v>
      </c>
      <c r="D28" s="27" t="s">
        <v>544</v>
      </c>
      <c r="E28" s="27" t="s">
        <v>53</v>
      </c>
      <c r="F28" s="29">
        <v>45614</v>
      </c>
      <c r="G28" s="27" t="s">
        <v>54</v>
      </c>
      <c r="H28" s="29">
        <v>45658</v>
      </c>
      <c r="I28" s="103" t="s">
        <v>448</v>
      </c>
      <c r="K28" s="27" t="s">
        <v>62</v>
      </c>
      <c r="L28" s="87">
        <v>2</v>
      </c>
      <c r="M28" s="87">
        <v>2</v>
      </c>
      <c r="N28" s="27" t="s">
        <v>45</v>
      </c>
      <c r="O28" s="10" t="s">
        <v>575</v>
      </c>
      <c r="P28" s="10" t="s">
        <v>577</v>
      </c>
      <c r="Q28" s="10">
        <v>20411454</v>
      </c>
    </row>
    <row r="29" spans="1:17" ht="15" customHeight="1" x14ac:dyDescent="0.2">
      <c r="A29" s="13" t="s">
        <v>166</v>
      </c>
      <c r="B29" s="27" t="str">
        <f t="shared" si="0"/>
        <v>7KQ6YR4YR641</v>
      </c>
      <c r="C29" s="13">
        <v>19795020701</v>
      </c>
      <c r="D29" s="13" t="s">
        <v>545</v>
      </c>
      <c r="E29" s="13" t="s">
        <v>53</v>
      </c>
      <c r="F29" s="37">
        <v>45614</v>
      </c>
      <c r="G29" s="13" t="s">
        <v>54</v>
      </c>
      <c r="H29" s="37">
        <v>45658</v>
      </c>
      <c r="I29" s="102" t="s">
        <v>448</v>
      </c>
      <c r="K29" s="13" t="s">
        <v>62</v>
      </c>
      <c r="L29" s="88">
        <v>2</v>
      </c>
      <c r="M29" s="88">
        <v>2</v>
      </c>
      <c r="N29" s="13" t="s">
        <v>45</v>
      </c>
      <c r="O29" s="10" t="s">
        <v>575</v>
      </c>
      <c r="P29" s="10" t="s">
        <v>577</v>
      </c>
      <c r="Q29" s="10">
        <v>20411454</v>
      </c>
    </row>
    <row r="30" spans="1:17" ht="15" customHeight="1" x14ac:dyDescent="0.2">
      <c r="A30" s="13" t="s">
        <v>167</v>
      </c>
      <c r="B30" s="27" t="str">
        <f t="shared" si="0"/>
        <v>5M59VJ8DU381</v>
      </c>
      <c r="C30" s="13">
        <v>19647501601</v>
      </c>
      <c r="D30" s="13" t="s">
        <v>546</v>
      </c>
      <c r="E30" s="13" t="s">
        <v>53</v>
      </c>
      <c r="F30" s="37">
        <v>45596</v>
      </c>
      <c r="G30" s="13" t="s">
        <v>54</v>
      </c>
      <c r="H30" s="37">
        <v>45658</v>
      </c>
      <c r="I30" s="102" t="s">
        <v>448</v>
      </c>
      <c r="K30" s="13" t="s">
        <v>62</v>
      </c>
      <c r="L30" s="88">
        <v>2</v>
      </c>
      <c r="M30" s="88">
        <v>2</v>
      </c>
      <c r="N30" s="13" t="s">
        <v>45</v>
      </c>
      <c r="O30" s="10" t="s">
        <v>575</v>
      </c>
      <c r="P30" s="10" t="s">
        <v>577</v>
      </c>
      <c r="Q30" s="10">
        <v>20411454</v>
      </c>
    </row>
    <row r="31" spans="1:17" ht="15" customHeight="1" x14ac:dyDescent="0.2">
      <c r="A31" s="13" t="s">
        <v>168</v>
      </c>
      <c r="B31" s="27" t="str">
        <f t="shared" si="0"/>
        <v>6DG1H96NQ261</v>
      </c>
      <c r="C31" s="13">
        <v>16343060601</v>
      </c>
      <c r="D31" s="13" t="s">
        <v>547</v>
      </c>
      <c r="E31" s="13" t="s">
        <v>49</v>
      </c>
      <c r="F31" s="37">
        <v>45582</v>
      </c>
      <c r="G31" s="13" t="s">
        <v>104</v>
      </c>
      <c r="H31" s="37">
        <v>45658</v>
      </c>
      <c r="I31" s="102" t="s">
        <v>496</v>
      </c>
      <c r="K31" s="13" t="s">
        <v>62</v>
      </c>
      <c r="L31" s="88">
        <v>2</v>
      </c>
      <c r="M31" s="88">
        <v>2</v>
      </c>
      <c r="N31" s="13" t="s">
        <v>45</v>
      </c>
      <c r="O31" s="10" t="s">
        <v>575</v>
      </c>
      <c r="P31" s="10" t="s">
        <v>577</v>
      </c>
      <c r="Q31" s="10">
        <v>20411454</v>
      </c>
    </row>
    <row r="32" spans="1:17" ht="15" customHeight="1" x14ac:dyDescent="0.2">
      <c r="A32" s="13" t="s">
        <v>548</v>
      </c>
      <c r="B32" s="27" t="str">
        <f t="shared" si="0"/>
        <v>3M09HU6NW261</v>
      </c>
      <c r="C32" s="13">
        <v>91001065480</v>
      </c>
      <c r="D32" s="13" t="s">
        <v>549</v>
      </c>
      <c r="E32" s="13" t="s">
        <v>169</v>
      </c>
      <c r="F32" s="37">
        <v>45595</v>
      </c>
      <c r="G32" s="13" t="s">
        <v>43</v>
      </c>
      <c r="H32" s="37">
        <v>45658</v>
      </c>
      <c r="I32" s="102" t="s">
        <v>519</v>
      </c>
      <c r="K32" s="13" t="s">
        <v>62</v>
      </c>
      <c r="L32" s="88">
        <v>2</v>
      </c>
      <c r="M32" s="88">
        <v>2</v>
      </c>
      <c r="N32" s="13" t="s">
        <v>45</v>
      </c>
      <c r="O32" s="10" t="s">
        <v>575</v>
      </c>
      <c r="P32" s="10" t="s">
        <v>577</v>
      </c>
      <c r="Q32" s="10">
        <v>20411454</v>
      </c>
    </row>
    <row r="33" spans="1:17" ht="15" customHeight="1" x14ac:dyDescent="0.2">
      <c r="A33" s="13" t="s">
        <v>170</v>
      </c>
      <c r="B33" s="27" t="str">
        <f t="shared" si="0"/>
        <v>5MJ1JJ6JX241</v>
      </c>
      <c r="C33" s="13">
        <v>19505689001</v>
      </c>
      <c r="D33" s="13" t="s">
        <v>550</v>
      </c>
      <c r="E33" s="13" t="s">
        <v>53</v>
      </c>
      <c r="F33" s="37">
        <v>45594</v>
      </c>
      <c r="G33" s="13" t="s">
        <v>73</v>
      </c>
      <c r="H33" s="37">
        <v>45658</v>
      </c>
      <c r="I33" s="102" t="s">
        <v>497</v>
      </c>
      <c r="K33" s="13" t="s">
        <v>62</v>
      </c>
      <c r="L33" s="88">
        <v>2</v>
      </c>
      <c r="M33" s="88">
        <v>2</v>
      </c>
      <c r="N33" s="13" t="s">
        <v>45</v>
      </c>
      <c r="O33" s="10" t="s">
        <v>575</v>
      </c>
      <c r="P33" s="10" t="s">
        <v>577</v>
      </c>
      <c r="Q33" s="10">
        <v>20411454</v>
      </c>
    </row>
    <row r="34" spans="1:17" ht="15" customHeight="1" x14ac:dyDescent="0.2">
      <c r="A34" s="13" t="s">
        <v>171</v>
      </c>
      <c r="B34" s="27" t="str">
        <f t="shared" si="0"/>
        <v>5V70Y68FV421</v>
      </c>
      <c r="C34" s="13">
        <v>19505588401</v>
      </c>
      <c r="D34" s="13" t="s">
        <v>551</v>
      </c>
      <c r="E34" s="13" t="s">
        <v>53</v>
      </c>
      <c r="F34" s="37">
        <v>45594</v>
      </c>
      <c r="G34" s="13" t="s">
        <v>73</v>
      </c>
      <c r="H34" s="37">
        <v>45658</v>
      </c>
      <c r="I34" s="102" t="s">
        <v>497</v>
      </c>
      <c r="K34" s="13" t="s">
        <v>62</v>
      </c>
      <c r="L34" s="88">
        <v>2</v>
      </c>
      <c r="M34" s="88">
        <v>2</v>
      </c>
      <c r="N34" s="13" t="s">
        <v>45</v>
      </c>
      <c r="O34" s="10" t="s">
        <v>575</v>
      </c>
      <c r="P34" s="10" t="s">
        <v>577</v>
      </c>
      <c r="Q34" s="10">
        <v>20411454</v>
      </c>
    </row>
    <row r="35" spans="1:17" ht="15" customHeight="1" x14ac:dyDescent="0.2">
      <c r="A35" s="13" t="s">
        <v>172</v>
      </c>
      <c r="B35" s="27" t="str">
        <f t="shared" si="0"/>
        <v>7T82KU8TC881</v>
      </c>
      <c r="C35" s="13">
        <v>91001096218</v>
      </c>
      <c r="D35" s="13" t="s">
        <v>552</v>
      </c>
      <c r="E35" s="13" t="s">
        <v>49</v>
      </c>
      <c r="F35" s="37">
        <v>45628</v>
      </c>
      <c r="G35" s="13" t="s">
        <v>61</v>
      </c>
      <c r="H35" s="37">
        <v>45658</v>
      </c>
      <c r="I35" s="102" t="s">
        <v>495</v>
      </c>
      <c r="K35" s="13" t="s">
        <v>62</v>
      </c>
      <c r="L35" s="88">
        <v>2</v>
      </c>
      <c r="M35" s="88">
        <v>2</v>
      </c>
      <c r="N35" s="13" t="s">
        <v>45</v>
      </c>
      <c r="O35" s="10" t="s">
        <v>575</v>
      </c>
      <c r="P35" s="10" t="s">
        <v>577</v>
      </c>
      <c r="Q35" s="10">
        <v>20411454</v>
      </c>
    </row>
    <row r="36" spans="1:17" ht="15" customHeight="1" x14ac:dyDescent="0.2">
      <c r="A36" s="65" t="s">
        <v>173</v>
      </c>
      <c r="B36" s="27" t="str">
        <f t="shared" si="0"/>
        <v>4DH3VG5PQ871</v>
      </c>
      <c r="C36" s="93">
        <v>19472037101</v>
      </c>
      <c r="D36" s="65" t="s">
        <v>174</v>
      </c>
      <c r="E36" s="65" t="s">
        <v>53</v>
      </c>
      <c r="F36" s="68">
        <v>45589</v>
      </c>
      <c r="G36" s="65" t="s">
        <v>54</v>
      </c>
      <c r="H36" s="68">
        <v>45658</v>
      </c>
      <c r="I36" s="103" t="s">
        <v>448</v>
      </c>
      <c r="J36" s="94"/>
      <c r="K36" s="65" t="s">
        <v>62</v>
      </c>
      <c r="L36" s="95">
        <v>2</v>
      </c>
      <c r="M36" s="95">
        <v>2</v>
      </c>
      <c r="N36" s="65" t="s">
        <v>45</v>
      </c>
      <c r="O36" s="10" t="s">
        <v>575</v>
      </c>
      <c r="P36" s="10" t="s">
        <v>577</v>
      </c>
      <c r="Q36" s="10">
        <v>20411454</v>
      </c>
    </row>
    <row r="37" spans="1:17" ht="15" customHeight="1" x14ac:dyDescent="0.2">
      <c r="A37" s="13" t="s">
        <v>175</v>
      </c>
      <c r="B37" s="27" t="str">
        <f t="shared" si="0"/>
        <v>1K99M04PX361</v>
      </c>
      <c r="C37" s="36">
        <v>20017518001</v>
      </c>
      <c r="D37" s="13" t="s">
        <v>176</v>
      </c>
      <c r="E37" s="13" t="s">
        <v>53</v>
      </c>
      <c r="F37" s="37">
        <v>45632</v>
      </c>
      <c r="G37" s="13" t="s">
        <v>163</v>
      </c>
      <c r="H37" s="37">
        <v>45658</v>
      </c>
      <c r="I37" s="102" t="s">
        <v>446</v>
      </c>
      <c r="J37" s="11"/>
      <c r="K37" s="13" t="s">
        <v>62</v>
      </c>
      <c r="L37" s="88">
        <v>2</v>
      </c>
      <c r="M37" s="88">
        <v>2</v>
      </c>
      <c r="N37" s="13" t="s">
        <v>45</v>
      </c>
      <c r="O37" s="10" t="s">
        <v>575</v>
      </c>
      <c r="P37" s="10" t="s">
        <v>577</v>
      </c>
      <c r="Q37" s="10">
        <v>20411454</v>
      </c>
    </row>
    <row r="38" spans="1:17" ht="15" customHeight="1" x14ac:dyDescent="0.2">
      <c r="A38" s="13" t="s">
        <v>177</v>
      </c>
      <c r="B38" s="27" t="str">
        <f t="shared" si="0"/>
        <v>4TT6XV4RG481</v>
      </c>
      <c r="C38" s="36">
        <v>14297358501</v>
      </c>
      <c r="D38" s="13" t="s">
        <v>178</v>
      </c>
      <c r="E38" s="13" t="s">
        <v>49</v>
      </c>
      <c r="F38" s="37">
        <v>45633</v>
      </c>
      <c r="G38" s="13" t="s">
        <v>160</v>
      </c>
      <c r="H38" s="37">
        <v>45658</v>
      </c>
      <c r="I38" s="102" t="s">
        <v>498</v>
      </c>
      <c r="J38" s="11"/>
      <c r="K38" s="13" t="s">
        <v>62</v>
      </c>
      <c r="L38" s="88">
        <v>2</v>
      </c>
      <c r="M38" s="88">
        <v>2</v>
      </c>
      <c r="N38" s="13" t="s">
        <v>45</v>
      </c>
      <c r="O38" s="10" t="s">
        <v>575</v>
      </c>
      <c r="P38" s="10" t="s">
        <v>577</v>
      </c>
      <c r="Q38" s="10">
        <v>20411454</v>
      </c>
    </row>
    <row r="39" spans="1:17" ht="15" customHeight="1" x14ac:dyDescent="0.2">
      <c r="A39" s="13" t="s">
        <v>179</v>
      </c>
      <c r="B39" s="27" t="str">
        <f t="shared" si="0"/>
        <v>8ET8J26MT371</v>
      </c>
      <c r="C39" s="36">
        <v>14297352801</v>
      </c>
      <c r="D39" s="13" t="s">
        <v>180</v>
      </c>
      <c r="E39" s="13" t="s">
        <v>49</v>
      </c>
      <c r="F39" s="37">
        <v>45633</v>
      </c>
      <c r="G39" s="13" t="s">
        <v>160</v>
      </c>
      <c r="H39" s="37">
        <v>45658</v>
      </c>
      <c r="I39" s="102" t="s">
        <v>498</v>
      </c>
      <c r="J39" s="11"/>
      <c r="K39" s="13" t="s">
        <v>62</v>
      </c>
      <c r="L39" s="88">
        <v>2</v>
      </c>
      <c r="M39" s="88">
        <v>2</v>
      </c>
      <c r="N39" s="13" t="s">
        <v>45</v>
      </c>
      <c r="O39" s="10" t="s">
        <v>575</v>
      </c>
      <c r="P39" s="10" t="s">
        <v>577</v>
      </c>
      <c r="Q39" s="10">
        <v>20411454</v>
      </c>
    </row>
    <row r="40" spans="1:17" ht="15" customHeight="1" x14ac:dyDescent="0.2">
      <c r="A40" s="13" t="s">
        <v>77</v>
      </c>
      <c r="B40" s="27" t="str">
        <f t="shared" si="0"/>
        <v>9KX6DG5KH731</v>
      </c>
      <c r="C40" s="36">
        <v>19971481701</v>
      </c>
      <c r="D40" s="13" t="s">
        <v>78</v>
      </c>
      <c r="E40" s="13" t="s">
        <v>53</v>
      </c>
      <c r="F40" s="37">
        <v>45630</v>
      </c>
      <c r="G40" s="13" t="s">
        <v>54</v>
      </c>
      <c r="H40" s="37">
        <v>45658</v>
      </c>
      <c r="I40" s="102" t="s">
        <v>448</v>
      </c>
      <c r="J40" s="11"/>
      <c r="K40" s="13" t="s">
        <v>62</v>
      </c>
      <c r="L40" s="88">
        <v>2</v>
      </c>
      <c r="M40" s="88">
        <v>2</v>
      </c>
      <c r="N40" s="13" t="s">
        <v>45</v>
      </c>
      <c r="O40" s="10" t="s">
        <v>575</v>
      </c>
      <c r="P40" s="10" t="s">
        <v>577</v>
      </c>
      <c r="Q40" s="10">
        <v>20411454</v>
      </c>
    </row>
    <row r="41" spans="1:17" ht="15" customHeight="1" x14ac:dyDescent="0.2">
      <c r="A41" s="13" t="s">
        <v>79</v>
      </c>
      <c r="B41" s="27" t="str">
        <f t="shared" si="0"/>
        <v>5N68VP8QV411</v>
      </c>
      <c r="C41" s="36">
        <v>20009666701</v>
      </c>
      <c r="D41" s="13" t="s">
        <v>80</v>
      </c>
      <c r="E41" s="13" t="s">
        <v>49</v>
      </c>
      <c r="F41" s="37">
        <v>45631</v>
      </c>
      <c r="G41" s="13" t="s">
        <v>81</v>
      </c>
      <c r="H41" s="37">
        <v>45658</v>
      </c>
      <c r="I41" s="102" t="s">
        <v>449</v>
      </c>
      <c r="J41" s="11"/>
      <c r="K41" s="13" t="s">
        <v>62</v>
      </c>
      <c r="L41" s="88">
        <v>2</v>
      </c>
      <c r="M41" s="88">
        <v>2</v>
      </c>
      <c r="N41" s="13" t="s">
        <v>45</v>
      </c>
      <c r="O41" s="10" t="s">
        <v>575</v>
      </c>
      <c r="P41" s="10" t="s">
        <v>577</v>
      </c>
      <c r="Q41" s="10">
        <v>20411454</v>
      </c>
    </row>
    <row r="42" spans="1:17" ht="15" customHeight="1" x14ac:dyDescent="0.2">
      <c r="A42" s="13" t="s">
        <v>181</v>
      </c>
      <c r="B42" s="27" t="str">
        <f t="shared" si="0"/>
        <v>9XW8F96FK341</v>
      </c>
      <c r="C42" s="36">
        <v>20018144401</v>
      </c>
      <c r="D42" s="13" t="s">
        <v>182</v>
      </c>
      <c r="E42" s="13" t="s">
        <v>53</v>
      </c>
      <c r="F42" s="37">
        <v>45632</v>
      </c>
      <c r="G42" s="13" t="s">
        <v>73</v>
      </c>
      <c r="H42" s="37">
        <v>45658</v>
      </c>
      <c r="I42" s="102" t="s">
        <v>497</v>
      </c>
      <c r="J42" s="11"/>
      <c r="K42" s="13" t="s">
        <v>62</v>
      </c>
      <c r="L42" s="88">
        <v>2</v>
      </c>
      <c r="M42" s="88">
        <v>2</v>
      </c>
      <c r="N42" s="13" t="s">
        <v>45</v>
      </c>
      <c r="O42" s="10" t="s">
        <v>575</v>
      </c>
      <c r="P42" s="10" t="s">
        <v>577</v>
      </c>
      <c r="Q42" s="10">
        <v>20411454</v>
      </c>
    </row>
    <row r="43" spans="1:17" ht="15" customHeight="1" x14ac:dyDescent="0.2">
      <c r="A43" s="13" t="s">
        <v>183</v>
      </c>
      <c r="B43" s="27" t="str">
        <f t="shared" si="0"/>
        <v>4AN3CJ3HN791</v>
      </c>
      <c r="C43" s="36">
        <v>19866714901</v>
      </c>
      <c r="D43" s="13" t="s">
        <v>184</v>
      </c>
      <c r="E43" s="13" t="s">
        <v>53</v>
      </c>
      <c r="F43" s="37">
        <v>45621</v>
      </c>
      <c r="G43" s="13" t="s">
        <v>153</v>
      </c>
      <c r="H43" s="37">
        <v>45658</v>
      </c>
      <c r="I43" s="102" t="s">
        <v>581</v>
      </c>
      <c r="J43" s="11"/>
      <c r="K43" s="13" t="s">
        <v>62</v>
      </c>
      <c r="L43" s="88">
        <v>2</v>
      </c>
      <c r="M43" s="88">
        <v>2</v>
      </c>
      <c r="N43" s="13" t="s">
        <v>45</v>
      </c>
      <c r="O43" s="10" t="s">
        <v>575</v>
      </c>
      <c r="P43" s="10" t="s">
        <v>577</v>
      </c>
      <c r="Q43" s="10">
        <v>20411454</v>
      </c>
    </row>
    <row r="44" spans="1:17" ht="15" customHeight="1" x14ac:dyDescent="0.2">
      <c r="A44" s="13" t="s">
        <v>185</v>
      </c>
      <c r="B44" s="27" t="str">
        <f t="shared" si="0"/>
        <v>1RG6PP8RE661</v>
      </c>
      <c r="C44" s="36">
        <v>19843854101</v>
      </c>
      <c r="D44" s="13" t="s">
        <v>186</v>
      </c>
      <c r="E44" s="13" t="s">
        <v>53</v>
      </c>
      <c r="F44" s="37">
        <v>45618</v>
      </c>
      <c r="G44" s="13" t="s">
        <v>153</v>
      </c>
      <c r="H44" s="37">
        <v>45658</v>
      </c>
      <c r="I44" s="102" t="s">
        <v>581</v>
      </c>
      <c r="J44" s="11"/>
      <c r="K44" s="13" t="s">
        <v>62</v>
      </c>
      <c r="L44" s="88">
        <v>2</v>
      </c>
      <c r="M44" s="88">
        <v>2</v>
      </c>
      <c r="N44" s="13" t="s">
        <v>45</v>
      </c>
      <c r="O44" s="10" t="s">
        <v>575</v>
      </c>
      <c r="P44" s="10" t="s">
        <v>577</v>
      </c>
      <c r="Q44" s="10">
        <v>20411454</v>
      </c>
    </row>
    <row r="45" spans="1:17" ht="15" customHeight="1" x14ac:dyDescent="0.2">
      <c r="A45" s="13" t="s">
        <v>187</v>
      </c>
      <c r="B45" s="27" t="str">
        <f t="shared" si="0"/>
        <v>6UE1CU9JJ001</v>
      </c>
      <c r="C45" s="36">
        <v>19459876901</v>
      </c>
      <c r="D45" s="13" t="s">
        <v>188</v>
      </c>
      <c r="E45" s="13" t="s">
        <v>53</v>
      </c>
      <c r="F45" s="37">
        <v>45588</v>
      </c>
      <c r="G45" s="13" t="s">
        <v>153</v>
      </c>
      <c r="H45" s="37">
        <v>45658</v>
      </c>
      <c r="I45" s="102" t="s">
        <v>581</v>
      </c>
      <c r="J45" s="11"/>
      <c r="K45" s="13" t="s">
        <v>62</v>
      </c>
      <c r="L45" s="88">
        <v>2</v>
      </c>
      <c r="M45" s="88">
        <v>2</v>
      </c>
      <c r="N45" s="13" t="s">
        <v>45</v>
      </c>
      <c r="O45" s="10" t="s">
        <v>575</v>
      </c>
      <c r="P45" s="10" t="s">
        <v>577</v>
      </c>
      <c r="Q45" s="10">
        <v>20411454</v>
      </c>
    </row>
    <row r="46" spans="1:17" ht="15" customHeight="1" x14ac:dyDescent="0.2">
      <c r="A46" s="13" t="s">
        <v>189</v>
      </c>
      <c r="B46" s="27" t="str">
        <f t="shared" si="0"/>
        <v>5JJ1QA3YE201</v>
      </c>
      <c r="C46" s="36">
        <v>19729748401</v>
      </c>
      <c r="D46" s="13" t="s">
        <v>190</v>
      </c>
      <c r="E46" s="13" t="s">
        <v>53</v>
      </c>
      <c r="F46" s="37">
        <v>45607</v>
      </c>
      <c r="G46" s="13" t="s">
        <v>54</v>
      </c>
      <c r="H46" s="37">
        <v>45658</v>
      </c>
      <c r="I46" s="102" t="s">
        <v>448</v>
      </c>
      <c r="J46" s="11"/>
      <c r="K46" s="13" t="s">
        <v>62</v>
      </c>
      <c r="L46" s="88">
        <v>2</v>
      </c>
      <c r="M46" s="88">
        <v>2</v>
      </c>
      <c r="N46" s="13" t="s">
        <v>45</v>
      </c>
      <c r="O46" s="10" t="s">
        <v>575</v>
      </c>
      <c r="P46" s="10" t="s">
        <v>577</v>
      </c>
      <c r="Q46" s="10">
        <v>20411454</v>
      </c>
    </row>
    <row r="47" spans="1:17" ht="15" customHeight="1" x14ac:dyDescent="0.2">
      <c r="A47" s="13" t="s">
        <v>191</v>
      </c>
      <c r="B47" s="27" t="str">
        <f t="shared" si="0"/>
        <v>4R14A57FV761</v>
      </c>
      <c r="C47" s="36">
        <v>19401368601</v>
      </c>
      <c r="D47" s="13" t="s">
        <v>192</v>
      </c>
      <c r="E47" s="13" t="s">
        <v>49</v>
      </c>
      <c r="F47" s="37">
        <v>45581</v>
      </c>
      <c r="G47" s="13" t="s">
        <v>61</v>
      </c>
      <c r="H47" s="37">
        <v>45658</v>
      </c>
      <c r="I47" s="102" t="s">
        <v>495</v>
      </c>
      <c r="J47" s="11"/>
      <c r="K47" s="13" t="s">
        <v>62</v>
      </c>
      <c r="L47" s="88">
        <v>2</v>
      </c>
      <c r="M47" s="88">
        <v>2</v>
      </c>
      <c r="N47" s="13" t="s">
        <v>45</v>
      </c>
      <c r="O47" s="10" t="s">
        <v>575</v>
      </c>
      <c r="P47" s="10" t="s">
        <v>577</v>
      </c>
      <c r="Q47" s="10">
        <v>20411454</v>
      </c>
    </row>
    <row r="48" spans="1:17" ht="15" customHeight="1" x14ac:dyDescent="0.2">
      <c r="A48" s="13" t="s">
        <v>193</v>
      </c>
      <c r="B48" s="27" t="str">
        <f t="shared" si="0"/>
        <v>4W56PX5QJ711</v>
      </c>
      <c r="C48" s="36">
        <v>19491599701</v>
      </c>
      <c r="D48" s="13" t="s">
        <v>194</v>
      </c>
      <c r="E48" s="13" t="s">
        <v>49</v>
      </c>
      <c r="F48" s="37">
        <v>45593</v>
      </c>
      <c r="G48" s="13" t="s">
        <v>61</v>
      </c>
      <c r="H48" s="37">
        <v>45658</v>
      </c>
      <c r="I48" s="102" t="s">
        <v>495</v>
      </c>
      <c r="J48" s="11"/>
      <c r="K48" s="13" t="s">
        <v>62</v>
      </c>
      <c r="L48" s="88">
        <v>2</v>
      </c>
      <c r="M48" s="88">
        <v>2</v>
      </c>
      <c r="N48" s="13" t="s">
        <v>45</v>
      </c>
      <c r="O48" s="10" t="s">
        <v>575</v>
      </c>
      <c r="P48" s="10" t="s">
        <v>577</v>
      </c>
      <c r="Q48" s="10">
        <v>20411454</v>
      </c>
    </row>
    <row r="49" spans="1:17" ht="15" customHeight="1" x14ac:dyDescent="0.2">
      <c r="A49" s="13" t="s">
        <v>195</v>
      </c>
      <c r="B49" s="27" t="str">
        <f t="shared" si="0"/>
        <v>5NM8UF0RR611</v>
      </c>
      <c r="C49" s="36">
        <v>20007329401</v>
      </c>
      <c r="D49" s="13" t="s">
        <v>196</v>
      </c>
      <c r="E49" s="13" t="s">
        <v>49</v>
      </c>
      <c r="F49" s="37">
        <v>45631</v>
      </c>
      <c r="G49" s="13" t="s">
        <v>90</v>
      </c>
      <c r="H49" s="37">
        <v>45658</v>
      </c>
      <c r="I49" s="102" t="s">
        <v>450</v>
      </c>
      <c r="J49" s="11"/>
      <c r="K49" s="13" t="s">
        <v>62</v>
      </c>
      <c r="L49" s="88">
        <v>2</v>
      </c>
      <c r="M49" s="88">
        <v>2</v>
      </c>
      <c r="N49" s="13" t="s">
        <v>45</v>
      </c>
      <c r="O49" s="10" t="s">
        <v>575</v>
      </c>
      <c r="P49" s="10" t="s">
        <v>577</v>
      </c>
      <c r="Q49" s="10">
        <v>20411454</v>
      </c>
    </row>
    <row r="50" spans="1:17" ht="15" customHeight="1" x14ac:dyDescent="0.2">
      <c r="A50" s="13" t="s">
        <v>197</v>
      </c>
      <c r="B50" s="27" t="str">
        <f t="shared" si="0"/>
        <v>8HG4JK9NN931</v>
      </c>
      <c r="C50" s="36">
        <v>20007455701</v>
      </c>
      <c r="D50" s="13" t="s">
        <v>198</v>
      </c>
      <c r="E50" s="13" t="s">
        <v>49</v>
      </c>
      <c r="F50" s="37">
        <v>45631</v>
      </c>
      <c r="G50" s="13" t="s">
        <v>90</v>
      </c>
      <c r="H50" s="37">
        <v>45658</v>
      </c>
      <c r="I50" s="102" t="s">
        <v>450</v>
      </c>
      <c r="J50" s="11"/>
      <c r="K50" s="13" t="s">
        <v>62</v>
      </c>
      <c r="L50" s="88">
        <v>2</v>
      </c>
      <c r="M50" s="88">
        <v>2</v>
      </c>
      <c r="N50" s="13" t="s">
        <v>45</v>
      </c>
      <c r="O50" s="10" t="s">
        <v>575</v>
      </c>
      <c r="P50" s="10" t="s">
        <v>577</v>
      </c>
      <c r="Q50" s="10">
        <v>20411454</v>
      </c>
    </row>
    <row r="51" spans="1:17" ht="15" customHeight="1" x14ac:dyDescent="0.25">
      <c r="A51" s="13" t="s">
        <v>199</v>
      </c>
      <c r="B51" s="27" t="str">
        <f t="shared" si="0"/>
        <v>6WP0E65JV061</v>
      </c>
      <c r="C51" s="36">
        <v>19866701601</v>
      </c>
      <c r="D51" s="13" t="s">
        <v>200</v>
      </c>
      <c r="E51" s="13" t="s">
        <v>53</v>
      </c>
      <c r="F51" s="37">
        <v>45621</v>
      </c>
      <c r="G51" s="13" t="s">
        <v>54</v>
      </c>
      <c r="H51" s="37">
        <v>45658</v>
      </c>
      <c r="I51" s="102" t="s">
        <v>448</v>
      </c>
      <c r="J51" s="12"/>
      <c r="K51" s="13" t="s">
        <v>62</v>
      </c>
      <c r="L51" s="88">
        <v>2</v>
      </c>
      <c r="M51" s="88">
        <v>2</v>
      </c>
      <c r="N51" s="13" t="s">
        <v>45</v>
      </c>
      <c r="O51" s="10" t="s">
        <v>575</v>
      </c>
      <c r="P51" s="10" t="s">
        <v>577</v>
      </c>
      <c r="Q51" s="10">
        <v>20411454</v>
      </c>
    </row>
    <row r="52" spans="1:17" ht="15" customHeight="1" x14ac:dyDescent="0.2">
      <c r="A52" s="65" t="s">
        <v>201</v>
      </c>
      <c r="B52" s="27" t="str">
        <f t="shared" si="0"/>
        <v>1XF2VU3XU881</v>
      </c>
      <c r="C52" s="93">
        <v>19949017801</v>
      </c>
      <c r="D52" s="65" t="s">
        <v>202</v>
      </c>
      <c r="E52" s="65" t="s">
        <v>53</v>
      </c>
      <c r="F52" s="68">
        <v>45629</v>
      </c>
      <c r="G52" s="65" t="s">
        <v>153</v>
      </c>
      <c r="H52" s="68">
        <v>45658</v>
      </c>
      <c r="I52" s="103" t="s">
        <v>581</v>
      </c>
      <c r="J52" s="94"/>
      <c r="K52" s="65" t="s">
        <v>62</v>
      </c>
      <c r="L52" s="95">
        <v>2</v>
      </c>
      <c r="M52" s="95">
        <v>2</v>
      </c>
      <c r="N52" s="65" t="s">
        <v>45</v>
      </c>
      <c r="O52" s="10" t="s">
        <v>575</v>
      </c>
      <c r="P52" s="10" t="s">
        <v>577</v>
      </c>
      <c r="Q52" s="10">
        <v>20411454</v>
      </c>
    </row>
    <row r="53" spans="1:17" ht="15" customHeight="1" x14ac:dyDescent="0.2">
      <c r="A53" s="13" t="s">
        <v>203</v>
      </c>
      <c r="B53" s="27" t="str">
        <f t="shared" si="0"/>
        <v>6VA4MK3GU031</v>
      </c>
      <c r="C53" s="36">
        <v>19474117901</v>
      </c>
      <c r="D53" s="13" t="s">
        <v>204</v>
      </c>
      <c r="E53" s="13" t="s">
        <v>49</v>
      </c>
      <c r="F53" s="37">
        <v>45589</v>
      </c>
      <c r="G53" s="13" t="s">
        <v>43</v>
      </c>
      <c r="H53" s="37">
        <v>45658</v>
      </c>
      <c r="I53" s="102" t="s">
        <v>519</v>
      </c>
      <c r="J53" s="11"/>
      <c r="K53" s="13" t="s">
        <v>62</v>
      </c>
      <c r="L53" s="88">
        <v>2</v>
      </c>
      <c r="M53" s="88">
        <v>2</v>
      </c>
      <c r="N53" s="13" t="s">
        <v>45</v>
      </c>
      <c r="O53" s="10" t="s">
        <v>575</v>
      </c>
      <c r="P53" s="10" t="s">
        <v>577</v>
      </c>
      <c r="Q53" s="10">
        <v>20411454</v>
      </c>
    </row>
    <row r="54" spans="1:17" ht="15" customHeight="1" x14ac:dyDescent="0.2">
      <c r="A54" s="13" t="s">
        <v>205</v>
      </c>
      <c r="B54" s="27" t="str">
        <f t="shared" si="0"/>
        <v>2ET2NH5KR161</v>
      </c>
      <c r="C54" s="36">
        <v>19851930801</v>
      </c>
      <c r="D54" s="13" t="s">
        <v>206</v>
      </c>
      <c r="E54" s="13" t="s">
        <v>49</v>
      </c>
      <c r="F54" s="37">
        <v>45618</v>
      </c>
      <c r="G54" s="13" t="s">
        <v>90</v>
      </c>
      <c r="H54" s="37">
        <v>45658</v>
      </c>
      <c r="I54" s="102" t="s">
        <v>450</v>
      </c>
      <c r="J54" s="11"/>
      <c r="K54" s="13" t="s">
        <v>62</v>
      </c>
      <c r="L54" s="88">
        <v>2</v>
      </c>
      <c r="M54" s="88">
        <v>2</v>
      </c>
      <c r="N54" s="13" t="s">
        <v>45</v>
      </c>
      <c r="O54" s="10" t="s">
        <v>575</v>
      </c>
      <c r="P54" s="10" t="s">
        <v>577</v>
      </c>
      <c r="Q54" s="10">
        <v>20411454</v>
      </c>
    </row>
    <row r="55" spans="1:17" ht="15" customHeight="1" x14ac:dyDescent="0.2">
      <c r="A55" s="13" t="s">
        <v>207</v>
      </c>
      <c r="B55" s="27" t="str">
        <f t="shared" si="0"/>
        <v>7JA2EV7MF831</v>
      </c>
      <c r="C55" s="36">
        <v>19694337701</v>
      </c>
      <c r="D55" s="13" t="s">
        <v>208</v>
      </c>
      <c r="E55" s="13" t="s">
        <v>53</v>
      </c>
      <c r="F55" s="37">
        <v>45602</v>
      </c>
      <c r="G55" s="13" t="s">
        <v>54</v>
      </c>
      <c r="H55" s="37">
        <v>45658</v>
      </c>
      <c r="I55" s="102" t="s">
        <v>448</v>
      </c>
      <c r="J55" s="11"/>
      <c r="K55" s="13" t="s">
        <v>62</v>
      </c>
      <c r="L55" s="88">
        <v>2</v>
      </c>
      <c r="M55" s="88">
        <v>2</v>
      </c>
      <c r="N55" s="13" t="s">
        <v>45</v>
      </c>
      <c r="O55" s="10" t="s">
        <v>575</v>
      </c>
      <c r="P55" s="10" t="s">
        <v>577</v>
      </c>
      <c r="Q55" s="10">
        <v>20411454</v>
      </c>
    </row>
    <row r="56" spans="1:17" ht="15" customHeight="1" x14ac:dyDescent="0.2">
      <c r="A56" s="27" t="s">
        <v>82</v>
      </c>
      <c r="B56" s="27" t="str">
        <f t="shared" si="0"/>
        <v>3CX9MK8MV531</v>
      </c>
      <c r="C56" s="28">
        <v>19462303901</v>
      </c>
      <c r="D56" s="27" t="s">
        <v>83</v>
      </c>
      <c r="E56" s="27" t="s">
        <v>49</v>
      </c>
      <c r="F56" s="29">
        <v>45588</v>
      </c>
      <c r="G56" s="27" t="s">
        <v>43</v>
      </c>
      <c r="H56" s="29">
        <v>45658</v>
      </c>
      <c r="I56" s="101" t="s">
        <v>519</v>
      </c>
      <c r="J56" s="32"/>
      <c r="K56" s="27" t="s">
        <v>62</v>
      </c>
      <c r="L56" s="87">
        <v>2</v>
      </c>
      <c r="M56" s="87">
        <v>2</v>
      </c>
      <c r="N56" s="27" t="s">
        <v>45</v>
      </c>
      <c r="O56" s="10" t="s">
        <v>575</v>
      </c>
      <c r="P56" s="10" t="s">
        <v>577</v>
      </c>
      <c r="Q56" s="10">
        <v>20411454</v>
      </c>
    </row>
    <row r="57" spans="1:17" ht="15" customHeight="1" x14ac:dyDescent="0.2">
      <c r="A57" s="13" t="s">
        <v>84</v>
      </c>
      <c r="B57" s="27" t="str">
        <f t="shared" si="0"/>
        <v>4AH0PT0YT301</v>
      </c>
      <c r="C57" s="36">
        <v>19463494501</v>
      </c>
      <c r="D57" s="13" t="s">
        <v>85</v>
      </c>
      <c r="E57" s="13" t="s">
        <v>49</v>
      </c>
      <c r="F57" s="37">
        <v>45588</v>
      </c>
      <c r="G57" s="13" t="s">
        <v>43</v>
      </c>
      <c r="H57" s="37">
        <v>45658</v>
      </c>
      <c r="I57" s="102" t="s">
        <v>519</v>
      </c>
      <c r="J57" s="11"/>
      <c r="K57" s="13" t="s">
        <v>62</v>
      </c>
      <c r="L57" s="88">
        <v>2</v>
      </c>
      <c r="M57" s="88">
        <v>2</v>
      </c>
      <c r="N57" s="13" t="s">
        <v>45</v>
      </c>
      <c r="O57" s="10" t="s">
        <v>575</v>
      </c>
      <c r="P57" s="10" t="s">
        <v>577</v>
      </c>
      <c r="Q57" s="10">
        <v>20411454</v>
      </c>
    </row>
    <row r="58" spans="1:17" ht="15" customHeight="1" x14ac:dyDescent="0.2">
      <c r="A58" s="13" t="s">
        <v>86</v>
      </c>
      <c r="B58" s="27" t="str">
        <f t="shared" si="0"/>
        <v>8H48NR3AY321</v>
      </c>
      <c r="C58" s="36">
        <v>19691483201</v>
      </c>
      <c r="D58" s="13" t="s">
        <v>87</v>
      </c>
      <c r="E58" s="13" t="s">
        <v>49</v>
      </c>
      <c r="F58" s="37">
        <v>45601</v>
      </c>
      <c r="G58" s="13" t="s">
        <v>43</v>
      </c>
      <c r="H58" s="37">
        <v>45658</v>
      </c>
      <c r="I58" s="102" t="s">
        <v>519</v>
      </c>
      <c r="J58" s="11"/>
      <c r="K58" s="13" t="s">
        <v>62</v>
      </c>
      <c r="L58" s="88">
        <v>2</v>
      </c>
      <c r="M58" s="88">
        <v>2</v>
      </c>
      <c r="N58" s="13" t="s">
        <v>45</v>
      </c>
      <c r="O58" s="10" t="s">
        <v>575</v>
      </c>
      <c r="P58" s="10" t="s">
        <v>577</v>
      </c>
      <c r="Q58" s="10">
        <v>20411454</v>
      </c>
    </row>
    <row r="59" spans="1:17" ht="15" customHeight="1" x14ac:dyDescent="0.2">
      <c r="A59" s="13" t="s">
        <v>209</v>
      </c>
      <c r="B59" s="27" t="str">
        <f t="shared" si="0"/>
        <v>8NH4E85YQ871</v>
      </c>
      <c r="C59" s="36">
        <v>19647308601</v>
      </c>
      <c r="D59" s="13" t="s">
        <v>210</v>
      </c>
      <c r="E59" s="13" t="s">
        <v>53</v>
      </c>
      <c r="F59" s="37">
        <v>45596</v>
      </c>
      <c r="G59" s="13" t="s">
        <v>153</v>
      </c>
      <c r="H59" s="37">
        <v>45658</v>
      </c>
      <c r="I59" s="102" t="s">
        <v>581</v>
      </c>
      <c r="J59" s="11"/>
      <c r="K59" s="13" t="s">
        <v>62</v>
      </c>
      <c r="L59" s="88">
        <v>2</v>
      </c>
      <c r="M59" s="88">
        <v>2</v>
      </c>
      <c r="N59" s="13" t="s">
        <v>45</v>
      </c>
      <c r="O59" s="10" t="s">
        <v>575</v>
      </c>
      <c r="P59" s="10" t="s">
        <v>577</v>
      </c>
      <c r="Q59" s="10">
        <v>20411454</v>
      </c>
    </row>
    <row r="60" spans="1:17" ht="15" customHeight="1" x14ac:dyDescent="0.2">
      <c r="A60" s="13" t="s">
        <v>211</v>
      </c>
      <c r="B60" s="27" t="str">
        <f t="shared" si="0"/>
        <v>9GF5Y05HF671</v>
      </c>
      <c r="C60" s="36">
        <v>20033766501</v>
      </c>
      <c r="D60" s="13" t="s">
        <v>212</v>
      </c>
      <c r="E60" s="13" t="s">
        <v>49</v>
      </c>
      <c r="F60" s="37">
        <v>45632</v>
      </c>
      <c r="G60" s="13" t="s">
        <v>50</v>
      </c>
      <c r="H60" s="37">
        <v>45658</v>
      </c>
      <c r="I60" s="102" t="s">
        <v>516</v>
      </c>
      <c r="J60" s="11"/>
      <c r="K60" s="13" t="s">
        <v>62</v>
      </c>
      <c r="L60" s="88">
        <v>2</v>
      </c>
      <c r="M60" s="88">
        <v>2</v>
      </c>
      <c r="N60" s="13" t="s">
        <v>45</v>
      </c>
      <c r="O60" s="10" t="s">
        <v>575</v>
      </c>
      <c r="P60" s="10" t="s">
        <v>577</v>
      </c>
      <c r="Q60" s="10">
        <v>20411454</v>
      </c>
    </row>
    <row r="61" spans="1:17" ht="15" customHeight="1" x14ac:dyDescent="0.2">
      <c r="A61" s="13" t="s">
        <v>213</v>
      </c>
      <c r="B61" s="27" t="str">
        <f t="shared" si="0"/>
        <v>6CK6YW3DA771</v>
      </c>
      <c r="C61" s="36">
        <v>19674276101</v>
      </c>
      <c r="D61" s="13" t="s">
        <v>214</v>
      </c>
      <c r="E61" s="13" t="s">
        <v>49</v>
      </c>
      <c r="F61" s="37">
        <v>45600</v>
      </c>
      <c r="G61" s="13" t="s">
        <v>61</v>
      </c>
      <c r="H61" s="37">
        <v>45658</v>
      </c>
      <c r="I61" s="102" t="s">
        <v>495</v>
      </c>
      <c r="J61" s="11"/>
      <c r="K61" s="13" t="s">
        <v>62</v>
      </c>
      <c r="L61" s="88">
        <v>2</v>
      </c>
      <c r="M61" s="88">
        <v>2</v>
      </c>
      <c r="N61" s="13" t="s">
        <v>45</v>
      </c>
      <c r="O61" s="10" t="s">
        <v>575</v>
      </c>
      <c r="P61" s="10" t="s">
        <v>577</v>
      </c>
      <c r="Q61" s="10">
        <v>20411454</v>
      </c>
    </row>
    <row r="62" spans="1:17" ht="15" customHeight="1" x14ac:dyDescent="0.2">
      <c r="A62" s="13" t="s">
        <v>91</v>
      </c>
      <c r="B62" s="27" t="str">
        <f t="shared" si="0"/>
        <v>3JK5D49XF911</v>
      </c>
      <c r="C62" s="36">
        <v>19827038101</v>
      </c>
      <c r="D62" s="13" t="s">
        <v>92</v>
      </c>
      <c r="E62" s="13" t="s">
        <v>49</v>
      </c>
      <c r="F62" s="37">
        <v>45616</v>
      </c>
      <c r="G62" s="13" t="s">
        <v>93</v>
      </c>
      <c r="H62" s="37">
        <v>45658</v>
      </c>
      <c r="I62" s="102" t="s">
        <v>518</v>
      </c>
      <c r="J62" s="11"/>
      <c r="K62" s="13" t="s">
        <v>62</v>
      </c>
      <c r="L62" s="88">
        <v>2</v>
      </c>
      <c r="M62" s="88">
        <v>2</v>
      </c>
      <c r="N62" s="13" t="s">
        <v>45</v>
      </c>
      <c r="O62" s="10" t="s">
        <v>575</v>
      </c>
      <c r="P62" s="10" t="s">
        <v>577</v>
      </c>
      <c r="Q62" s="10">
        <v>20411454</v>
      </c>
    </row>
    <row r="63" spans="1:17" ht="15" customHeight="1" x14ac:dyDescent="0.2">
      <c r="A63" s="13" t="s">
        <v>215</v>
      </c>
      <c r="B63" s="27" t="str">
        <f t="shared" si="0"/>
        <v>5WX5EA4KY661</v>
      </c>
      <c r="C63" s="36">
        <v>18172874201</v>
      </c>
      <c r="D63" s="13" t="s">
        <v>216</v>
      </c>
      <c r="E63" s="13" t="s">
        <v>49</v>
      </c>
      <c r="F63" s="37">
        <v>45581</v>
      </c>
      <c r="G63" s="13" t="s">
        <v>61</v>
      </c>
      <c r="H63" s="37">
        <v>45658</v>
      </c>
      <c r="I63" s="102" t="s">
        <v>495</v>
      </c>
      <c r="J63" s="11"/>
      <c r="K63" s="13" t="s">
        <v>62</v>
      </c>
      <c r="L63" s="88">
        <v>2</v>
      </c>
      <c r="M63" s="88">
        <v>2</v>
      </c>
      <c r="N63" s="13" t="s">
        <v>45</v>
      </c>
      <c r="O63" s="10" t="s">
        <v>575</v>
      </c>
      <c r="P63" s="10" t="s">
        <v>577</v>
      </c>
      <c r="Q63" s="10">
        <v>20411454</v>
      </c>
    </row>
    <row r="64" spans="1:17" ht="15" customHeight="1" x14ac:dyDescent="0.2">
      <c r="A64" s="13" t="s">
        <v>94</v>
      </c>
      <c r="B64" s="27" t="str">
        <f t="shared" si="0"/>
        <v>1A31U76QE151</v>
      </c>
      <c r="C64" s="36">
        <v>19684864201</v>
      </c>
      <c r="D64" s="13" t="s">
        <v>95</v>
      </c>
      <c r="E64" s="13" t="s">
        <v>53</v>
      </c>
      <c r="F64" s="37">
        <v>45601</v>
      </c>
      <c r="G64" s="13" t="s">
        <v>54</v>
      </c>
      <c r="H64" s="37">
        <v>45658</v>
      </c>
      <c r="I64" s="102" t="s">
        <v>448</v>
      </c>
      <c r="J64" s="11"/>
      <c r="K64" s="13" t="s">
        <v>62</v>
      </c>
      <c r="L64" s="88">
        <v>2</v>
      </c>
      <c r="M64" s="88">
        <v>2</v>
      </c>
      <c r="N64" s="13" t="s">
        <v>45</v>
      </c>
      <c r="O64" s="10" t="s">
        <v>575</v>
      </c>
      <c r="P64" s="10" t="s">
        <v>577</v>
      </c>
      <c r="Q64" s="10">
        <v>20411454</v>
      </c>
    </row>
    <row r="65" spans="1:17" ht="15" customHeight="1" x14ac:dyDescent="0.2">
      <c r="A65" s="89" t="s">
        <v>501</v>
      </c>
      <c r="B65" s="27" t="str">
        <f t="shared" si="0"/>
        <v>3NM2HF9GH841</v>
      </c>
      <c r="C65" s="13">
        <v>19684520001</v>
      </c>
      <c r="D65" s="13" t="s">
        <v>502</v>
      </c>
      <c r="E65" s="13" t="s">
        <v>53</v>
      </c>
      <c r="F65" s="37">
        <v>45601</v>
      </c>
      <c r="G65" s="13" t="s">
        <v>54</v>
      </c>
      <c r="H65" s="37">
        <v>45658</v>
      </c>
      <c r="I65" s="102" t="s">
        <v>448</v>
      </c>
      <c r="J65" s="11"/>
      <c r="K65" s="13" t="s">
        <v>62</v>
      </c>
      <c r="L65" s="88">
        <v>2</v>
      </c>
      <c r="M65" s="88">
        <v>2</v>
      </c>
      <c r="N65" s="13" t="s">
        <v>45</v>
      </c>
      <c r="O65" s="10" t="s">
        <v>575</v>
      </c>
      <c r="P65" s="10" t="s">
        <v>577</v>
      </c>
      <c r="Q65" s="10">
        <v>20411454</v>
      </c>
    </row>
    <row r="66" spans="1:17" ht="15" customHeight="1" x14ac:dyDescent="0.2">
      <c r="A66" s="89" t="s">
        <v>553</v>
      </c>
      <c r="B66" s="27" t="str">
        <f t="shared" si="0"/>
        <v>7X46CA1RA631</v>
      </c>
      <c r="C66" s="13">
        <v>19401398301</v>
      </c>
      <c r="D66" s="13" t="s">
        <v>554</v>
      </c>
      <c r="E66" s="13" t="s">
        <v>49</v>
      </c>
      <c r="F66" s="37">
        <v>45581</v>
      </c>
      <c r="G66" s="13" t="s">
        <v>61</v>
      </c>
      <c r="H66" s="37">
        <v>45658</v>
      </c>
      <c r="I66" s="102" t="s">
        <v>495</v>
      </c>
      <c r="J66" s="11"/>
      <c r="K66" s="13" t="s">
        <v>62</v>
      </c>
      <c r="L66" s="88">
        <v>2</v>
      </c>
      <c r="M66" s="88">
        <v>2</v>
      </c>
      <c r="N66" s="13" t="s">
        <v>45</v>
      </c>
      <c r="O66" s="10" t="s">
        <v>575</v>
      </c>
      <c r="P66" s="10" t="s">
        <v>577</v>
      </c>
      <c r="Q66" s="10">
        <v>20411454</v>
      </c>
    </row>
    <row r="67" spans="1:17" ht="15" customHeight="1" x14ac:dyDescent="0.2">
      <c r="A67" s="92" t="s">
        <v>555</v>
      </c>
      <c r="B67" s="27" t="str">
        <f t="shared" si="0"/>
        <v>1MU9P13QU191</v>
      </c>
      <c r="C67" s="65">
        <v>19819782401</v>
      </c>
      <c r="D67" s="65" t="s">
        <v>556</v>
      </c>
      <c r="E67" s="65" t="s">
        <v>53</v>
      </c>
      <c r="F67" s="68">
        <v>45616</v>
      </c>
      <c r="G67" s="65" t="s">
        <v>153</v>
      </c>
      <c r="H67" s="68">
        <v>45658</v>
      </c>
      <c r="I67" s="103" t="s">
        <v>581</v>
      </c>
      <c r="J67" s="94"/>
      <c r="K67" s="65" t="s">
        <v>62</v>
      </c>
      <c r="L67" s="95">
        <v>2</v>
      </c>
      <c r="M67" s="95">
        <v>2</v>
      </c>
      <c r="N67" s="65" t="s">
        <v>45</v>
      </c>
      <c r="O67" s="10" t="s">
        <v>575</v>
      </c>
      <c r="P67" s="10" t="s">
        <v>577</v>
      </c>
      <c r="Q67" s="10">
        <v>20411454</v>
      </c>
    </row>
    <row r="68" spans="1:17" ht="15" customHeight="1" x14ac:dyDescent="0.2">
      <c r="A68" s="13" t="s">
        <v>217</v>
      </c>
      <c r="B68" s="27" t="str">
        <f t="shared" ref="B68:B131" si="1">CONCATENATE(A68,1)</f>
        <v>4RK6WC5DY751</v>
      </c>
      <c r="C68" s="36">
        <v>19820373901</v>
      </c>
      <c r="D68" s="13" t="s">
        <v>218</v>
      </c>
      <c r="E68" s="13" t="s">
        <v>53</v>
      </c>
      <c r="F68" s="37">
        <v>45616</v>
      </c>
      <c r="G68" s="13" t="s">
        <v>153</v>
      </c>
      <c r="H68" s="37">
        <v>45658</v>
      </c>
      <c r="I68" s="102" t="s">
        <v>581</v>
      </c>
      <c r="J68" s="11"/>
      <c r="K68" s="13" t="s">
        <v>62</v>
      </c>
      <c r="L68" s="88">
        <v>2</v>
      </c>
      <c r="M68" s="88">
        <v>2</v>
      </c>
      <c r="N68" s="13" t="s">
        <v>45</v>
      </c>
      <c r="O68" s="10" t="s">
        <v>575</v>
      </c>
      <c r="P68" s="10" t="s">
        <v>577</v>
      </c>
      <c r="Q68" s="10">
        <v>20411454</v>
      </c>
    </row>
    <row r="69" spans="1:17" ht="15" customHeight="1" x14ac:dyDescent="0.2">
      <c r="A69" s="13" t="s">
        <v>219</v>
      </c>
      <c r="B69" s="27" t="str">
        <f t="shared" si="1"/>
        <v>7X48QW0EA331</v>
      </c>
      <c r="C69" s="36">
        <v>19915003801</v>
      </c>
      <c r="D69" s="13" t="s">
        <v>220</v>
      </c>
      <c r="E69" s="13" t="s">
        <v>49</v>
      </c>
      <c r="F69" s="37">
        <v>45626</v>
      </c>
      <c r="G69" s="13" t="s">
        <v>221</v>
      </c>
      <c r="H69" s="37">
        <v>45658</v>
      </c>
      <c r="I69" s="102" t="s">
        <v>582</v>
      </c>
      <c r="J69" s="11"/>
      <c r="K69" s="13" t="s">
        <v>62</v>
      </c>
      <c r="L69" s="88">
        <v>2</v>
      </c>
      <c r="M69" s="88">
        <v>2</v>
      </c>
      <c r="N69" s="13" t="s">
        <v>45</v>
      </c>
      <c r="O69" s="10" t="s">
        <v>575</v>
      </c>
      <c r="P69" s="10" t="s">
        <v>577</v>
      </c>
      <c r="Q69" s="10">
        <v>20411454</v>
      </c>
    </row>
    <row r="70" spans="1:17" ht="15" customHeight="1" x14ac:dyDescent="0.2">
      <c r="A70" s="13" t="s">
        <v>222</v>
      </c>
      <c r="B70" s="27" t="str">
        <f t="shared" si="1"/>
        <v>7TP0D78NG351</v>
      </c>
      <c r="C70" s="36">
        <v>19460855001</v>
      </c>
      <c r="D70" s="13" t="s">
        <v>223</v>
      </c>
      <c r="E70" s="13" t="s">
        <v>53</v>
      </c>
      <c r="F70" s="37">
        <v>45588</v>
      </c>
      <c r="G70" s="13" t="s">
        <v>153</v>
      </c>
      <c r="H70" s="37">
        <v>45658</v>
      </c>
      <c r="I70" s="102" t="s">
        <v>581</v>
      </c>
      <c r="J70" s="11"/>
      <c r="K70" s="13" t="s">
        <v>62</v>
      </c>
      <c r="L70" s="88">
        <v>2</v>
      </c>
      <c r="M70" s="88">
        <v>2</v>
      </c>
      <c r="N70" s="13" t="s">
        <v>45</v>
      </c>
      <c r="O70" s="10" t="s">
        <v>575</v>
      </c>
      <c r="P70" s="10" t="s">
        <v>577</v>
      </c>
      <c r="Q70" s="10">
        <v>20411454</v>
      </c>
    </row>
    <row r="71" spans="1:17" ht="15" customHeight="1" x14ac:dyDescent="0.2">
      <c r="A71" s="13" t="s">
        <v>224</v>
      </c>
      <c r="B71" s="27" t="str">
        <f t="shared" si="1"/>
        <v>7FF6R71AV791</v>
      </c>
      <c r="C71" s="36">
        <v>19459985801</v>
      </c>
      <c r="D71" s="13" t="s">
        <v>225</v>
      </c>
      <c r="E71" s="13" t="s">
        <v>53</v>
      </c>
      <c r="F71" s="37">
        <v>45588</v>
      </c>
      <c r="G71" s="13" t="s">
        <v>153</v>
      </c>
      <c r="H71" s="37">
        <v>45658</v>
      </c>
      <c r="I71" s="102" t="s">
        <v>581</v>
      </c>
      <c r="J71" s="11"/>
      <c r="K71" s="13" t="s">
        <v>62</v>
      </c>
      <c r="L71" s="88">
        <v>2</v>
      </c>
      <c r="M71" s="88">
        <v>2</v>
      </c>
      <c r="N71" s="13" t="s">
        <v>45</v>
      </c>
      <c r="O71" s="10" t="s">
        <v>575</v>
      </c>
      <c r="P71" s="10" t="s">
        <v>577</v>
      </c>
      <c r="Q71" s="10">
        <v>20411454</v>
      </c>
    </row>
    <row r="72" spans="1:17" ht="15" customHeight="1" x14ac:dyDescent="0.2">
      <c r="A72" s="13" t="s">
        <v>226</v>
      </c>
      <c r="B72" s="27" t="str">
        <f t="shared" si="1"/>
        <v>7AG1PJ4VU091</v>
      </c>
      <c r="C72" s="36">
        <v>19636660301</v>
      </c>
      <c r="D72" s="13" t="s">
        <v>227</v>
      </c>
      <c r="E72" s="13" t="s">
        <v>53</v>
      </c>
      <c r="F72" s="37">
        <v>45595</v>
      </c>
      <c r="G72" s="13" t="s">
        <v>54</v>
      </c>
      <c r="H72" s="37">
        <v>45658</v>
      </c>
      <c r="I72" s="102" t="s">
        <v>448</v>
      </c>
      <c r="J72" s="11"/>
      <c r="K72" s="13" t="s">
        <v>62</v>
      </c>
      <c r="L72" s="88">
        <v>2</v>
      </c>
      <c r="M72" s="88">
        <v>2</v>
      </c>
      <c r="N72" s="13" t="s">
        <v>45</v>
      </c>
      <c r="O72" s="10" t="s">
        <v>575</v>
      </c>
      <c r="P72" s="10" t="s">
        <v>577</v>
      </c>
      <c r="Q72" s="10">
        <v>20411454</v>
      </c>
    </row>
    <row r="73" spans="1:17" ht="15" customHeight="1" x14ac:dyDescent="0.2">
      <c r="A73" s="13" t="s">
        <v>228</v>
      </c>
      <c r="B73" s="27" t="str">
        <f t="shared" si="1"/>
        <v>5YT4KH7UT871</v>
      </c>
      <c r="C73" s="36">
        <v>19401887501</v>
      </c>
      <c r="D73" s="13" t="s">
        <v>229</v>
      </c>
      <c r="E73" s="13" t="s">
        <v>53</v>
      </c>
      <c r="F73" s="37">
        <v>45581</v>
      </c>
      <c r="G73" s="13" t="s">
        <v>54</v>
      </c>
      <c r="H73" s="37">
        <v>45658</v>
      </c>
      <c r="I73" s="102" t="s">
        <v>448</v>
      </c>
      <c r="J73" s="11"/>
      <c r="K73" s="13" t="s">
        <v>62</v>
      </c>
      <c r="L73" s="88">
        <v>2</v>
      </c>
      <c r="M73" s="88">
        <v>2</v>
      </c>
      <c r="N73" s="13" t="s">
        <v>45</v>
      </c>
      <c r="O73" s="10" t="s">
        <v>575</v>
      </c>
      <c r="P73" s="10" t="s">
        <v>577</v>
      </c>
      <c r="Q73" s="10">
        <v>20411454</v>
      </c>
    </row>
    <row r="74" spans="1:17" ht="15" customHeight="1" x14ac:dyDescent="0.2">
      <c r="A74" s="13" t="s">
        <v>96</v>
      </c>
      <c r="B74" s="27" t="str">
        <f t="shared" si="1"/>
        <v>6G00AG9VM471</v>
      </c>
      <c r="C74" s="36">
        <v>20071283401</v>
      </c>
      <c r="D74" s="13" t="s">
        <v>97</v>
      </c>
      <c r="E74" s="13" t="s">
        <v>53</v>
      </c>
      <c r="F74" s="37">
        <v>45642</v>
      </c>
      <c r="G74" s="13" t="s">
        <v>54</v>
      </c>
      <c r="H74" s="37">
        <v>45658</v>
      </c>
      <c r="I74" s="102" t="s">
        <v>448</v>
      </c>
      <c r="J74" s="11"/>
      <c r="K74" s="13" t="s">
        <v>62</v>
      </c>
      <c r="L74" s="88">
        <v>2</v>
      </c>
      <c r="M74" s="88">
        <v>2</v>
      </c>
      <c r="N74" s="13" t="s">
        <v>45</v>
      </c>
      <c r="O74" s="10" t="s">
        <v>575</v>
      </c>
      <c r="P74" s="10" t="s">
        <v>577</v>
      </c>
      <c r="Q74" s="10">
        <v>20411454</v>
      </c>
    </row>
    <row r="75" spans="1:17" ht="15" customHeight="1" x14ac:dyDescent="0.2">
      <c r="A75" s="13" t="s">
        <v>98</v>
      </c>
      <c r="B75" s="27" t="str">
        <f t="shared" si="1"/>
        <v>4KK7R72XJ641</v>
      </c>
      <c r="C75" s="36">
        <v>20071371701</v>
      </c>
      <c r="D75" s="13" t="s">
        <v>99</v>
      </c>
      <c r="E75" s="13" t="s">
        <v>53</v>
      </c>
      <c r="F75" s="37">
        <v>45642</v>
      </c>
      <c r="G75" s="13" t="s">
        <v>54</v>
      </c>
      <c r="H75" s="37">
        <v>45658</v>
      </c>
      <c r="I75" s="102" t="s">
        <v>448</v>
      </c>
      <c r="J75" s="11"/>
      <c r="K75" s="13" t="s">
        <v>62</v>
      </c>
      <c r="L75" s="88">
        <v>2</v>
      </c>
      <c r="M75" s="88">
        <v>2</v>
      </c>
      <c r="N75" s="13" t="s">
        <v>45</v>
      </c>
      <c r="O75" s="10" t="s">
        <v>575</v>
      </c>
      <c r="P75" s="10" t="s">
        <v>577</v>
      </c>
      <c r="Q75" s="10">
        <v>20411454</v>
      </c>
    </row>
    <row r="76" spans="1:17" ht="15" customHeight="1" x14ac:dyDescent="0.2">
      <c r="A76" s="13" t="s">
        <v>230</v>
      </c>
      <c r="B76" s="27" t="str">
        <f t="shared" si="1"/>
        <v>2Q37N26HV581</v>
      </c>
      <c r="C76" s="36">
        <v>19694624801</v>
      </c>
      <c r="D76" s="13" t="s">
        <v>231</v>
      </c>
      <c r="E76" s="13" t="s">
        <v>53</v>
      </c>
      <c r="F76" s="37">
        <v>45602</v>
      </c>
      <c r="G76" s="13" t="s">
        <v>163</v>
      </c>
      <c r="H76" s="37">
        <v>45658</v>
      </c>
      <c r="I76" s="102" t="s">
        <v>446</v>
      </c>
      <c r="J76" s="11"/>
      <c r="K76" s="13" t="s">
        <v>62</v>
      </c>
      <c r="L76" s="88">
        <v>2</v>
      </c>
      <c r="M76" s="88">
        <v>2</v>
      </c>
      <c r="N76" s="13" t="s">
        <v>45</v>
      </c>
      <c r="O76" s="10" t="s">
        <v>575</v>
      </c>
      <c r="P76" s="10" t="s">
        <v>577</v>
      </c>
      <c r="Q76" s="10">
        <v>20411454</v>
      </c>
    </row>
    <row r="77" spans="1:17" ht="15" customHeight="1" x14ac:dyDescent="0.2">
      <c r="A77" s="13" t="s">
        <v>232</v>
      </c>
      <c r="B77" s="27" t="str">
        <f t="shared" si="1"/>
        <v>6UE5NG1JH401</v>
      </c>
      <c r="C77" s="36">
        <v>19460545701</v>
      </c>
      <c r="D77" s="13" t="s">
        <v>233</v>
      </c>
      <c r="E77" s="13" t="s">
        <v>53</v>
      </c>
      <c r="F77" s="37">
        <v>45588</v>
      </c>
      <c r="G77" s="13" t="s">
        <v>163</v>
      </c>
      <c r="H77" s="37">
        <v>45658</v>
      </c>
      <c r="I77" s="102" t="s">
        <v>446</v>
      </c>
      <c r="J77" s="11"/>
      <c r="K77" s="13" t="s">
        <v>62</v>
      </c>
      <c r="L77" s="88">
        <v>2</v>
      </c>
      <c r="M77" s="88">
        <v>2</v>
      </c>
      <c r="N77" s="13" t="s">
        <v>45</v>
      </c>
      <c r="O77" s="10" t="s">
        <v>575</v>
      </c>
      <c r="P77" s="10" t="s">
        <v>577</v>
      </c>
      <c r="Q77" s="10">
        <v>20411454</v>
      </c>
    </row>
    <row r="78" spans="1:17" ht="15" customHeight="1" x14ac:dyDescent="0.2">
      <c r="A78" s="13" t="s">
        <v>234</v>
      </c>
      <c r="B78" s="27" t="str">
        <f t="shared" si="1"/>
        <v>6RX9WC5XT111</v>
      </c>
      <c r="C78" s="36">
        <v>19694583601</v>
      </c>
      <c r="D78" s="13" t="s">
        <v>235</v>
      </c>
      <c r="E78" s="13" t="s">
        <v>53</v>
      </c>
      <c r="F78" s="37">
        <v>45602</v>
      </c>
      <c r="G78" s="13" t="s">
        <v>163</v>
      </c>
      <c r="H78" s="37">
        <v>45658</v>
      </c>
      <c r="I78" s="102" t="s">
        <v>446</v>
      </c>
      <c r="J78" s="11"/>
      <c r="K78" s="13" t="s">
        <v>62</v>
      </c>
      <c r="L78" s="88">
        <v>2</v>
      </c>
      <c r="M78" s="88">
        <v>2</v>
      </c>
      <c r="N78" s="13" t="s">
        <v>45</v>
      </c>
      <c r="O78" s="10" t="s">
        <v>575</v>
      </c>
      <c r="P78" s="10" t="s">
        <v>577</v>
      </c>
      <c r="Q78" s="10">
        <v>20411454</v>
      </c>
    </row>
    <row r="79" spans="1:17" ht="15" customHeight="1" x14ac:dyDescent="0.2">
      <c r="A79" s="13" t="s">
        <v>236</v>
      </c>
      <c r="B79" s="27" t="str">
        <f t="shared" si="1"/>
        <v>8YE9HR3PH101</v>
      </c>
      <c r="C79" s="36">
        <v>91000725043</v>
      </c>
      <c r="D79" s="13" t="s">
        <v>237</v>
      </c>
      <c r="E79" s="13" t="s">
        <v>53</v>
      </c>
      <c r="F79" s="37">
        <v>45618</v>
      </c>
      <c r="G79" s="13" t="s">
        <v>153</v>
      </c>
      <c r="H79" s="37">
        <v>45658</v>
      </c>
      <c r="I79" s="102" t="s">
        <v>581</v>
      </c>
      <c r="J79" s="11"/>
      <c r="K79" s="13" t="s">
        <v>62</v>
      </c>
      <c r="L79" s="88">
        <v>2</v>
      </c>
      <c r="M79" s="88">
        <v>2</v>
      </c>
      <c r="N79" s="13" t="s">
        <v>45</v>
      </c>
      <c r="O79" s="10" t="s">
        <v>575</v>
      </c>
      <c r="P79" s="10" t="s">
        <v>577</v>
      </c>
      <c r="Q79" s="10">
        <v>20411454</v>
      </c>
    </row>
    <row r="80" spans="1:17" ht="15" customHeight="1" x14ac:dyDescent="0.2">
      <c r="A80" s="13" t="s">
        <v>238</v>
      </c>
      <c r="B80" s="27" t="str">
        <f t="shared" si="1"/>
        <v>3WC5DE9VH851</v>
      </c>
      <c r="C80" s="36">
        <v>19459996501</v>
      </c>
      <c r="D80" s="13" t="s">
        <v>239</v>
      </c>
      <c r="E80" s="13" t="s">
        <v>53</v>
      </c>
      <c r="F80" s="37">
        <v>45588</v>
      </c>
      <c r="G80" s="13" t="s">
        <v>163</v>
      </c>
      <c r="H80" s="37">
        <v>45658</v>
      </c>
      <c r="I80" s="102" t="s">
        <v>446</v>
      </c>
      <c r="J80" s="11"/>
      <c r="K80" s="13" t="s">
        <v>62</v>
      </c>
      <c r="L80" s="88">
        <v>2</v>
      </c>
      <c r="M80" s="88">
        <v>2</v>
      </c>
      <c r="N80" s="13" t="s">
        <v>45</v>
      </c>
      <c r="O80" s="10" t="s">
        <v>575</v>
      </c>
      <c r="P80" s="10" t="s">
        <v>577</v>
      </c>
      <c r="Q80" s="10">
        <v>20411454</v>
      </c>
    </row>
    <row r="81" spans="1:17" ht="15" customHeight="1" x14ac:dyDescent="0.2">
      <c r="A81" s="89" t="s">
        <v>557</v>
      </c>
      <c r="B81" s="27" t="str">
        <f t="shared" si="1"/>
        <v>4DG2UW9RV291</v>
      </c>
      <c r="C81" s="13">
        <v>16491124001</v>
      </c>
      <c r="D81" s="13" t="s">
        <v>558</v>
      </c>
      <c r="E81" s="13" t="s">
        <v>53</v>
      </c>
      <c r="F81" s="37">
        <v>45616</v>
      </c>
      <c r="G81" s="13" t="s">
        <v>240</v>
      </c>
      <c r="H81" s="37">
        <v>45658</v>
      </c>
      <c r="I81" s="102" t="s">
        <v>579</v>
      </c>
      <c r="J81" s="11"/>
      <c r="K81" s="13" t="s">
        <v>62</v>
      </c>
      <c r="L81" s="88">
        <v>2</v>
      </c>
      <c r="M81" s="88">
        <v>2</v>
      </c>
      <c r="N81" s="13" t="s">
        <v>45</v>
      </c>
      <c r="O81" s="10" t="s">
        <v>575</v>
      </c>
      <c r="P81" s="10" t="s">
        <v>577</v>
      </c>
      <c r="Q81" s="10">
        <v>20411454</v>
      </c>
    </row>
    <row r="82" spans="1:17" ht="15" customHeight="1" x14ac:dyDescent="0.2">
      <c r="A82" s="89" t="s">
        <v>559</v>
      </c>
      <c r="B82" s="27" t="str">
        <f t="shared" si="1"/>
        <v>2UW9T27UU511</v>
      </c>
      <c r="C82" s="13">
        <v>19277105301</v>
      </c>
      <c r="D82" s="13" t="s">
        <v>560</v>
      </c>
      <c r="E82" s="13" t="s">
        <v>53</v>
      </c>
      <c r="F82" s="37">
        <v>45580</v>
      </c>
      <c r="G82" s="13" t="s">
        <v>163</v>
      </c>
      <c r="H82" s="37">
        <v>45658</v>
      </c>
      <c r="I82" s="102" t="s">
        <v>446</v>
      </c>
      <c r="J82" s="11"/>
      <c r="K82" s="13" t="s">
        <v>62</v>
      </c>
      <c r="L82" s="88">
        <v>2</v>
      </c>
      <c r="M82" s="88">
        <v>2</v>
      </c>
      <c r="N82" s="13" t="s">
        <v>45</v>
      </c>
      <c r="O82" s="10" t="s">
        <v>575</v>
      </c>
      <c r="P82" s="10" t="s">
        <v>577</v>
      </c>
      <c r="Q82" s="10">
        <v>20411454</v>
      </c>
    </row>
    <row r="83" spans="1:17" ht="15" customHeight="1" x14ac:dyDescent="0.2">
      <c r="A83" s="65" t="s">
        <v>241</v>
      </c>
      <c r="B83" s="27" t="str">
        <f t="shared" si="1"/>
        <v>3VK9AG2UH531</v>
      </c>
      <c r="C83" s="93">
        <v>19636658701</v>
      </c>
      <c r="D83" s="65" t="s">
        <v>242</v>
      </c>
      <c r="E83" s="65" t="s">
        <v>49</v>
      </c>
      <c r="F83" s="68">
        <v>45595</v>
      </c>
      <c r="G83" s="65" t="s">
        <v>61</v>
      </c>
      <c r="H83" s="68">
        <v>45658</v>
      </c>
      <c r="I83" s="103" t="s">
        <v>495</v>
      </c>
      <c r="J83" s="94"/>
      <c r="K83" s="65" t="s">
        <v>62</v>
      </c>
      <c r="L83" s="95">
        <v>2</v>
      </c>
      <c r="M83" s="95">
        <v>2</v>
      </c>
      <c r="N83" s="65" t="s">
        <v>45</v>
      </c>
      <c r="O83" s="10" t="s">
        <v>575</v>
      </c>
      <c r="P83" s="10" t="s">
        <v>577</v>
      </c>
      <c r="Q83" s="10">
        <v>20411454</v>
      </c>
    </row>
    <row r="84" spans="1:17" ht="15" customHeight="1" x14ac:dyDescent="0.2">
      <c r="A84" s="27" t="s">
        <v>243</v>
      </c>
      <c r="B84" s="27" t="str">
        <f t="shared" si="1"/>
        <v>4JT6Y22DT861</v>
      </c>
      <c r="C84" s="28">
        <v>19401485801</v>
      </c>
      <c r="D84" s="27" t="s">
        <v>244</v>
      </c>
      <c r="E84" s="27" t="s">
        <v>49</v>
      </c>
      <c r="F84" s="29">
        <v>45581</v>
      </c>
      <c r="G84" s="27" t="s">
        <v>61</v>
      </c>
      <c r="H84" s="29">
        <v>45658</v>
      </c>
      <c r="I84" s="101" t="s">
        <v>495</v>
      </c>
      <c r="J84" s="32"/>
      <c r="K84" s="27" t="s">
        <v>62</v>
      </c>
      <c r="L84" s="87">
        <v>2</v>
      </c>
      <c r="M84" s="87">
        <v>2</v>
      </c>
      <c r="N84" s="27" t="s">
        <v>45</v>
      </c>
      <c r="O84" s="10" t="s">
        <v>575</v>
      </c>
      <c r="P84" s="10" t="s">
        <v>577</v>
      </c>
      <c r="Q84" s="10">
        <v>20411454</v>
      </c>
    </row>
    <row r="85" spans="1:17" ht="15" customHeight="1" x14ac:dyDescent="0.2">
      <c r="A85" s="13" t="s">
        <v>100</v>
      </c>
      <c r="B85" s="27" t="str">
        <f t="shared" si="1"/>
        <v>6D68PX9QF381</v>
      </c>
      <c r="C85" s="36">
        <v>19826874001</v>
      </c>
      <c r="D85" s="13" t="s">
        <v>101</v>
      </c>
      <c r="E85" s="13" t="s">
        <v>49</v>
      </c>
      <c r="F85" s="37">
        <v>45616</v>
      </c>
      <c r="G85" s="13" t="s">
        <v>50</v>
      </c>
      <c r="H85" s="37">
        <v>45658</v>
      </c>
      <c r="I85" s="102" t="s">
        <v>516</v>
      </c>
      <c r="J85" s="11"/>
      <c r="K85" s="13" t="s">
        <v>62</v>
      </c>
      <c r="L85" s="88">
        <v>2</v>
      </c>
      <c r="M85" s="88">
        <v>2</v>
      </c>
      <c r="N85" s="13" t="s">
        <v>45</v>
      </c>
      <c r="O85" s="10" t="s">
        <v>575</v>
      </c>
      <c r="P85" s="10" t="s">
        <v>577</v>
      </c>
      <c r="Q85" s="10">
        <v>20411454</v>
      </c>
    </row>
    <row r="86" spans="1:17" ht="15" customHeight="1" x14ac:dyDescent="0.2">
      <c r="A86" s="13" t="s">
        <v>102</v>
      </c>
      <c r="B86" s="27" t="str">
        <f t="shared" si="1"/>
        <v>8KK3WA6WP801</v>
      </c>
      <c r="C86" s="36">
        <v>20079748801</v>
      </c>
      <c r="D86" s="13" t="s">
        <v>103</v>
      </c>
      <c r="E86" s="13" t="s">
        <v>49</v>
      </c>
      <c r="F86" s="37">
        <v>45645</v>
      </c>
      <c r="G86" s="13" t="s">
        <v>104</v>
      </c>
      <c r="H86" s="37">
        <v>45658</v>
      </c>
      <c r="I86" s="102" t="s">
        <v>496</v>
      </c>
      <c r="J86" s="11"/>
      <c r="K86" s="13" t="s">
        <v>62</v>
      </c>
      <c r="L86" s="88">
        <v>2</v>
      </c>
      <c r="M86" s="88">
        <v>2</v>
      </c>
      <c r="N86" s="13" t="s">
        <v>45</v>
      </c>
      <c r="O86" s="10" t="s">
        <v>575</v>
      </c>
      <c r="P86" s="10" t="s">
        <v>577</v>
      </c>
      <c r="Q86" s="10">
        <v>20411454</v>
      </c>
    </row>
    <row r="87" spans="1:17" ht="15" customHeight="1" x14ac:dyDescent="0.2">
      <c r="A87" s="13" t="s">
        <v>245</v>
      </c>
      <c r="B87" s="27" t="str">
        <f t="shared" si="1"/>
        <v>8MP3NE8DY191</v>
      </c>
      <c r="C87" s="36">
        <v>20096701601</v>
      </c>
      <c r="D87" s="13" t="s">
        <v>246</v>
      </c>
      <c r="E87" s="13" t="s">
        <v>53</v>
      </c>
      <c r="F87" s="37">
        <v>45657</v>
      </c>
      <c r="G87" s="13" t="s">
        <v>73</v>
      </c>
      <c r="H87" s="37">
        <v>45689</v>
      </c>
      <c r="I87" s="102" t="s">
        <v>497</v>
      </c>
      <c r="J87" s="11"/>
      <c r="K87" s="13" t="s">
        <v>62</v>
      </c>
      <c r="L87" s="88">
        <v>2</v>
      </c>
      <c r="M87" s="88">
        <v>2</v>
      </c>
      <c r="N87" s="13" t="s">
        <v>45</v>
      </c>
      <c r="O87" s="10" t="s">
        <v>575</v>
      </c>
      <c r="P87" s="10" t="s">
        <v>577</v>
      </c>
      <c r="Q87" s="10">
        <v>20411454</v>
      </c>
    </row>
    <row r="88" spans="1:17" ht="15" customHeight="1" x14ac:dyDescent="0.2">
      <c r="A88" s="13" t="s">
        <v>247</v>
      </c>
      <c r="B88" s="27" t="str">
        <f t="shared" si="1"/>
        <v>3YU6T79GR571</v>
      </c>
      <c r="C88" s="36">
        <v>19915540901</v>
      </c>
      <c r="D88" s="13" t="s">
        <v>248</v>
      </c>
      <c r="E88" s="13" t="s">
        <v>49</v>
      </c>
      <c r="F88" s="37">
        <v>45626</v>
      </c>
      <c r="G88" s="13" t="s">
        <v>63</v>
      </c>
      <c r="H88" s="37">
        <v>45658</v>
      </c>
      <c r="I88" s="102" t="s">
        <v>520</v>
      </c>
      <c r="J88" s="11"/>
      <c r="K88" s="13" t="s">
        <v>62</v>
      </c>
      <c r="L88" s="88">
        <v>2</v>
      </c>
      <c r="M88" s="88">
        <v>2</v>
      </c>
      <c r="N88" s="13" t="s">
        <v>45</v>
      </c>
      <c r="O88" s="10" t="s">
        <v>575</v>
      </c>
      <c r="P88" s="10" t="s">
        <v>577</v>
      </c>
      <c r="Q88" s="10">
        <v>20411454</v>
      </c>
    </row>
    <row r="89" spans="1:17" ht="15" customHeight="1" x14ac:dyDescent="0.2">
      <c r="A89" s="13" t="s">
        <v>105</v>
      </c>
      <c r="B89" s="27" t="str">
        <f t="shared" si="1"/>
        <v>4GM6NU0TX651</v>
      </c>
      <c r="C89" s="36">
        <v>20013729701</v>
      </c>
      <c r="D89" s="13" t="s">
        <v>106</v>
      </c>
      <c r="E89" s="13" t="s">
        <v>49</v>
      </c>
      <c r="F89" s="37">
        <v>45631</v>
      </c>
      <c r="G89" s="13" t="s">
        <v>93</v>
      </c>
      <c r="H89" s="37">
        <v>45658</v>
      </c>
      <c r="I89" s="102" t="s">
        <v>518</v>
      </c>
      <c r="J89" s="11"/>
      <c r="K89" s="13" t="s">
        <v>62</v>
      </c>
      <c r="L89" s="88">
        <v>2</v>
      </c>
      <c r="M89" s="88">
        <v>2</v>
      </c>
      <c r="N89" s="13" t="s">
        <v>45</v>
      </c>
      <c r="O89" s="10" t="s">
        <v>575</v>
      </c>
      <c r="P89" s="10" t="s">
        <v>577</v>
      </c>
      <c r="Q89" s="10">
        <v>20411454</v>
      </c>
    </row>
    <row r="90" spans="1:17" ht="15" customHeight="1" x14ac:dyDescent="0.2">
      <c r="A90" s="13" t="s">
        <v>107</v>
      </c>
      <c r="B90" s="27" t="str">
        <f t="shared" si="1"/>
        <v>6V30Q31CW091</v>
      </c>
      <c r="C90" s="36">
        <v>19674387601</v>
      </c>
      <c r="D90" s="13" t="s">
        <v>108</v>
      </c>
      <c r="E90" s="13" t="s">
        <v>53</v>
      </c>
      <c r="F90" s="37">
        <v>45600</v>
      </c>
      <c r="G90" s="13" t="s">
        <v>54</v>
      </c>
      <c r="H90" s="37">
        <v>45658</v>
      </c>
      <c r="I90" s="102" t="s">
        <v>448</v>
      </c>
      <c r="J90" s="11"/>
      <c r="K90" s="13" t="s">
        <v>62</v>
      </c>
      <c r="L90" s="88">
        <v>2</v>
      </c>
      <c r="M90" s="88">
        <v>2</v>
      </c>
      <c r="N90" s="13" t="s">
        <v>45</v>
      </c>
      <c r="O90" s="10" t="s">
        <v>575</v>
      </c>
      <c r="P90" s="10" t="s">
        <v>577</v>
      </c>
      <c r="Q90" s="10">
        <v>20411454</v>
      </c>
    </row>
    <row r="91" spans="1:17" ht="15" customHeight="1" x14ac:dyDescent="0.2">
      <c r="A91" s="13" t="s">
        <v>249</v>
      </c>
      <c r="B91" s="27" t="str">
        <f t="shared" si="1"/>
        <v>8DJ7E82HJ331</v>
      </c>
      <c r="C91" s="36">
        <v>19646812801</v>
      </c>
      <c r="D91" s="13" t="s">
        <v>250</v>
      </c>
      <c r="E91" s="13" t="s">
        <v>53</v>
      </c>
      <c r="F91" s="37">
        <v>45596</v>
      </c>
      <c r="G91" s="13" t="s">
        <v>54</v>
      </c>
      <c r="H91" s="37">
        <v>45658</v>
      </c>
      <c r="I91" s="102" t="s">
        <v>448</v>
      </c>
      <c r="J91" s="11"/>
      <c r="K91" s="13" t="s">
        <v>62</v>
      </c>
      <c r="L91" s="88">
        <v>2</v>
      </c>
      <c r="M91" s="88">
        <v>2</v>
      </c>
      <c r="N91" s="13" t="s">
        <v>45</v>
      </c>
      <c r="O91" s="10" t="s">
        <v>575</v>
      </c>
      <c r="P91" s="10" t="s">
        <v>577</v>
      </c>
      <c r="Q91" s="10">
        <v>20411454</v>
      </c>
    </row>
    <row r="92" spans="1:17" ht="15" customHeight="1" x14ac:dyDescent="0.2">
      <c r="A92" s="13" t="s">
        <v>251</v>
      </c>
      <c r="B92" s="27" t="str">
        <f t="shared" si="1"/>
        <v>5FK9N98YQ581</v>
      </c>
      <c r="C92" s="36">
        <v>19455795501</v>
      </c>
      <c r="D92" s="13" t="s">
        <v>252</v>
      </c>
      <c r="E92" s="13" t="s">
        <v>49</v>
      </c>
      <c r="F92" s="37">
        <v>45587</v>
      </c>
      <c r="G92" s="13" t="s">
        <v>76</v>
      </c>
      <c r="H92" s="37">
        <v>45658</v>
      </c>
      <c r="I92" s="102" t="s">
        <v>494</v>
      </c>
      <c r="J92" s="11"/>
      <c r="K92" s="13" t="s">
        <v>62</v>
      </c>
      <c r="L92" s="88">
        <v>2</v>
      </c>
      <c r="M92" s="88">
        <v>2</v>
      </c>
      <c r="N92" s="13" t="s">
        <v>45</v>
      </c>
      <c r="O92" s="10" t="s">
        <v>575</v>
      </c>
      <c r="P92" s="10" t="s">
        <v>577</v>
      </c>
      <c r="Q92" s="10">
        <v>20411454</v>
      </c>
    </row>
    <row r="93" spans="1:17" ht="15" customHeight="1" x14ac:dyDescent="0.2">
      <c r="A93" s="13" t="s">
        <v>253</v>
      </c>
      <c r="B93" s="27" t="str">
        <f t="shared" si="1"/>
        <v>2PG5F41UC551</v>
      </c>
      <c r="C93" s="36">
        <v>19866999601</v>
      </c>
      <c r="D93" s="13" t="s">
        <v>254</v>
      </c>
      <c r="E93" s="13" t="s">
        <v>53</v>
      </c>
      <c r="F93" s="37">
        <v>45621</v>
      </c>
      <c r="G93" s="13" t="s">
        <v>73</v>
      </c>
      <c r="H93" s="37">
        <v>45658</v>
      </c>
      <c r="I93" s="102" t="s">
        <v>497</v>
      </c>
      <c r="J93" s="11"/>
      <c r="K93" s="13" t="s">
        <v>62</v>
      </c>
      <c r="L93" s="88">
        <v>2</v>
      </c>
      <c r="M93" s="88">
        <v>2</v>
      </c>
      <c r="N93" s="13" t="s">
        <v>45</v>
      </c>
      <c r="O93" s="10" t="s">
        <v>575</v>
      </c>
      <c r="P93" s="10" t="s">
        <v>577</v>
      </c>
      <c r="Q93" s="10">
        <v>20411454</v>
      </c>
    </row>
    <row r="94" spans="1:17" ht="15" customHeight="1" x14ac:dyDescent="0.2">
      <c r="A94" s="13" t="s">
        <v>255</v>
      </c>
      <c r="B94" s="27" t="str">
        <f t="shared" si="1"/>
        <v>1QR2UJ4EE951</v>
      </c>
      <c r="C94" s="36">
        <v>19841089601</v>
      </c>
      <c r="D94" s="13" t="s">
        <v>256</v>
      </c>
      <c r="E94" s="13" t="s">
        <v>49</v>
      </c>
      <c r="F94" s="37">
        <v>45617</v>
      </c>
      <c r="G94" s="13" t="s">
        <v>160</v>
      </c>
      <c r="H94" s="37">
        <v>45658</v>
      </c>
      <c r="I94" s="102" t="s">
        <v>498</v>
      </c>
      <c r="J94" s="11"/>
      <c r="K94" s="13" t="s">
        <v>62</v>
      </c>
      <c r="L94" s="88">
        <v>2</v>
      </c>
      <c r="M94" s="88">
        <v>2</v>
      </c>
      <c r="N94" s="13" t="s">
        <v>45</v>
      </c>
      <c r="O94" s="10" t="s">
        <v>575</v>
      </c>
      <c r="P94" s="10" t="s">
        <v>577</v>
      </c>
      <c r="Q94" s="10">
        <v>20411454</v>
      </c>
    </row>
    <row r="95" spans="1:17" ht="15" customHeight="1" x14ac:dyDescent="0.2">
      <c r="A95" s="13" t="s">
        <v>257</v>
      </c>
      <c r="B95" s="27" t="str">
        <f t="shared" si="1"/>
        <v>6QN0F11FJ261</v>
      </c>
      <c r="C95" s="36">
        <v>19842000201</v>
      </c>
      <c r="D95" s="13" t="s">
        <v>258</v>
      </c>
      <c r="E95" s="13" t="s">
        <v>49</v>
      </c>
      <c r="F95" s="37">
        <v>45617</v>
      </c>
      <c r="G95" s="13" t="s">
        <v>160</v>
      </c>
      <c r="H95" s="37">
        <v>45658</v>
      </c>
      <c r="I95" s="102" t="s">
        <v>498</v>
      </c>
      <c r="J95" s="11"/>
      <c r="K95" s="13" t="s">
        <v>62</v>
      </c>
      <c r="L95" s="88">
        <v>2</v>
      </c>
      <c r="M95" s="88">
        <v>2</v>
      </c>
      <c r="N95" s="13" t="s">
        <v>45</v>
      </c>
      <c r="O95" s="10" t="s">
        <v>575</v>
      </c>
      <c r="P95" s="10" t="s">
        <v>577</v>
      </c>
      <c r="Q95" s="10">
        <v>20411454</v>
      </c>
    </row>
    <row r="96" spans="1:17" ht="15" customHeight="1" x14ac:dyDescent="0.2">
      <c r="A96" s="13" t="s">
        <v>109</v>
      </c>
      <c r="B96" s="27" t="str">
        <f t="shared" si="1"/>
        <v>6RA9D36VM281</v>
      </c>
      <c r="C96" s="36">
        <v>19935736901</v>
      </c>
      <c r="D96" s="13" t="s">
        <v>110</v>
      </c>
      <c r="E96" s="13" t="s">
        <v>49</v>
      </c>
      <c r="F96" s="37">
        <v>45628</v>
      </c>
      <c r="G96" s="13" t="s">
        <v>81</v>
      </c>
      <c r="H96" s="37">
        <v>45658</v>
      </c>
      <c r="I96" s="102" t="s">
        <v>449</v>
      </c>
      <c r="J96" s="11"/>
      <c r="K96" s="13" t="s">
        <v>62</v>
      </c>
      <c r="L96" s="88">
        <v>2</v>
      </c>
      <c r="M96" s="88">
        <v>2</v>
      </c>
      <c r="N96" s="13" t="s">
        <v>45</v>
      </c>
      <c r="O96" s="10" t="s">
        <v>575</v>
      </c>
      <c r="P96" s="10" t="s">
        <v>577</v>
      </c>
      <c r="Q96" s="10">
        <v>20411454</v>
      </c>
    </row>
    <row r="97" spans="1:17" ht="15" customHeight="1" x14ac:dyDescent="0.2">
      <c r="A97" s="89" t="s">
        <v>563</v>
      </c>
      <c r="B97" s="27" t="str">
        <f t="shared" si="1"/>
        <v>4DR9HH2WP231</v>
      </c>
      <c r="C97" s="13">
        <v>19734704001</v>
      </c>
      <c r="D97" s="13" t="s">
        <v>564</v>
      </c>
      <c r="E97" s="13" t="s">
        <v>49</v>
      </c>
      <c r="F97" s="37">
        <v>45607</v>
      </c>
      <c r="G97" s="13" t="s">
        <v>104</v>
      </c>
      <c r="H97" s="37">
        <v>45658</v>
      </c>
      <c r="I97" s="102" t="s">
        <v>496</v>
      </c>
      <c r="J97" s="11"/>
      <c r="K97" s="13" t="s">
        <v>62</v>
      </c>
      <c r="L97" s="88">
        <v>2</v>
      </c>
      <c r="M97" s="88">
        <v>2</v>
      </c>
      <c r="N97" s="13" t="s">
        <v>45</v>
      </c>
      <c r="O97" s="10" t="s">
        <v>575</v>
      </c>
      <c r="P97" s="10" t="s">
        <v>577</v>
      </c>
      <c r="Q97" s="10">
        <v>20411454</v>
      </c>
    </row>
    <row r="98" spans="1:17" ht="15" customHeight="1" x14ac:dyDescent="0.2">
      <c r="A98" s="65" t="s">
        <v>259</v>
      </c>
      <c r="B98" s="27" t="str">
        <f t="shared" si="1"/>
        <v>3TP5YK8DJ971</v>
      </c>
      <c r="C98" s="93">
        <v>19736799801</v>
      </c>
      <c r="D98" s="65" t="s">
        <v>260</v>
      </c>
      <c r="E98" s="65" t="s">
        <v>49</v>
      </c>
      <c r="F98" s="68">
        <v>45607</v>
      </c>
      <c r="G98" s="65" t="s">
        <v>104</v>
      </c>
      <c r="H98" s="68">
        <v>45658</v>
      </c>
      <c r="I98" s="103" t="s">
        <v>496</v>
      </c>
      <c r="J98" s="94"/>
      <c r="K98" s="65" t="s">
        <v>62</v>
      </c>
      <c r="L98" s="95">
        <v>2</v>
      </c>
      <c r="M98" s="95">
        <v>2</v>
      </c>
      <c r="N98" s="65" t="s">
        <v>45</v>
      </c>
      <c r="O98" s="10" t="s">
        <v>575</v>
      </c>
      <c r="P98" s="10" t="s">
        <v>577</v>
      </c>
      <c r="Q98" s="10">
        <v>20411454</v>
      </c>
    </row>
    <row r="99" spans="1:17" ht="15" customHeight="1" x14ac:dyDescent="0.2">
      <c r="A99" s="13" t="s">
        <v>261</v>
      </c>
      <c r="B99" s="27" t="str">
        <f t="shared" si="1"/>
        <v>3UX4JD7KW931</v>
      </c>
      <c r="C99" s="36">
        <v>19439230401</v>
      </c>
      <c r="D99" s="13" t="s">
        <v>262</v>
      </c>
      <c r="E99" s="13" t="s">
        <v>53</v>
      </c>
      <c r="F99" s="37">
        <v>45586</v>
      </c>
      <c r="G99" s="13" t="s">
        <v>54</v>
      </c>
      <c r="H99" s="37">
        <v>45658</v>
      </c>
      <c r="I99" s="102" t="s">
        <v>448</v>
      </c>
      <c r="J99" s="11"/>
      <c r="K99" s="13" t="s">
        <v>62</v>
      </c>
      <c r="L99" s="88">
        <v>2</v>
      </c>
      <c r="M99" s="88">
        <v>2</v>
      </c>
      <c r="N99" s="13" t="s">
        <v>45</v>
      </c>
      <c r="O99" s="10" t="s">
        <v>575</v>
      </c>
      <c r="P99" s="10" t="s">
        <v>577</v>
      </c>
      <c r="Q99" s="10">
        <v>20411454</v>
      </c>
    </row>
    <row r="100" spans="1:17" ht="15" customHeight="1" x14ac:dyDescent="0.2">
      <c r="A100" s="13" t="s">
        <v>263</v>
      </c>
      <c r="B100" s="27" t="str">
        <f t="shared" si="1"/>
        <v>1AC6UT4DU551</v>
      </c>
      <c r="C100" s="36">
        <v>19439224701</v>
      </c>
      <c r="D100" s="13" t="s">
        <v>264</v>
      </c>
      <c r="E100" s="13" t="s">
        <v>53</v>
      </c>
      <c r="F100" s="37">
        <v>45586</v>
      </c>
      <c r="G100" s="13" t="s">
        <v>54</v>
      </c>
      <c r="H100" s="37">
        <v>45658</v>
      </c>
      <c r="I100" s="102" t="s">
        <v>448</v>
      </c>
      <c r="J100" s="11"/>
      <c r="K100" s="13" t="s">
        <v>62</v>
      </c>
      <c r="L100" s="88">
        <v>2</v>
      </c>
      <c r="M100" s="88">
        <v>2</v>
      </c>
      <c r="N100" s="13" t="s">
        <v>45</v>
      </c>
      <c r="O100" s="10" t="s">
        <v>575</v>
      </c>
      <c r="P100" s="10" t="s">
        <v>577</v>
      </c>
      <c r="Q100" s="10">
        <v>20411454</v>
      </c>
    </row>
    <row r="101" spans="1:17" ht="15" customHeight="1" x14ac:dyDescent="0.2">
      <c r="A101" s="13" t="s">
        <v>265</v>
      </c>
      <c r="B101" s="27" t="str">
        <f t="shared" si="1"/>
        <v>2X61AC5TY041</v>
      </c>
      <c r="C101" s="36">
        <v>19389733701</v>
      </c>
      <c r="D101" s="13" t="s">
        <v>266</v>
      </c>
      <c r="E101" s="13" t="s">
        <v>53</v>
      </c>
      <c r="F101" s="37">
        <v>45580</v>
      </c>
      <c r="G101" s="13" t="s">
        <v>54</v>
      </c>
      <c r="H101" s="37">
        <v>45658</v>
      </c>
      <c r="I101" s="102" t="s">
        <v>448</v>
      </c>
      <c r="J101" s="11"/>
      <c r="K101" s="13" t="s">
        <v>62</v>
      </c>
      <c r="L101" s="88">
        <v>2</v>
      </c>
      <c r="M101" s="88">
        <v>2</v>
      </c>
      <c r="N101" s="13" t="s">
        <v>45</v>
      </c>
      <c r="O101" s="10" t="s">
        <v>575</v>
      </c>
      <c r="P101" s="10" t="s">
        <v>577</v>
      </c>
      <c r="Q101" s="10">
        <v>20411454</v>
      </c>
    </row>
    <row r="102" spans="1:17" ht="15" customHeight="1" x14ac:dyDescent="0.2">
      <c r="A102" s="13" t="s">
        <v>267</v>
      </c>
      <c r="B102" s="27" t="str">
        <f t="shared" si="1"/>
        <v>9E07UT9YK371</v>
      </c>
      <c r="C102" s="36">
        <v>19921956901</v>
      </c>
      <c r="D102" s="13" t="s">
        <v>268</v>
      </c>
      <c r="E102" s="13" t="s">
        <v>49</v>
      </c>
      <c r="F102" s="37">
        <v>45628</v>
      </c>
      <c r="G102" s="13" t="s">
        <v>61</v>
      </c>
      <c r="H102" s="37">
        <v>45658</v>
      </c>
      <c r="I102" s="102" t="s">
        <v>495</v>
      </c>
      <c r="J102" s="11"/>
      <c r="K102" s="13" t="s">
        <v>62</v>
      </c>
      <c r="L102" s="88">
        <v>2</v>
      </c>
      <c r="M102" s="88">
        <v>2</v>
      </c>
      <c r="N102" s="13" t="s">
        <v>45</v>
      </c>
      <c r="O102" s="10" t="s">
        <v>575</v>
      </c>
      <c r="P102" s="10" t="s">
        <v>577</v>
      </c>
      <c r="Q102" s="10">
        <v>20411454</v>
      </c>
    </row>
    <row r="103" spans="1:17" ht="15" customHeight="1" x14ac:dyDescent="0.2">
      <c r="A103" s="13" t="s">
        <v>269</v>
      </c>
      <c r="B103" s="27" t="str">
        <f t="shared" si="1"/>
        <v>3JQ7Q79QU461</v>
      </c>
      <c r="C103" s="36">
        <v>19987462901</v>
      </c>
      <c r="D103" s="13" t="s">
        <v>270</v>
      </c>
      <c r="E103" s="13" t="s">
        <v>49</v>
      </c>
      <c r="F103" s="37">
        <v>45630</v>
      </c>
      <c r="G103" s="13" t="s">
        <v>221</v>
      </c>
      <c r="H103" s="37">
        <v>45658</v>
      </c>
      <c r="I103" s="102" t="s">
        <v>582</v>
      </c>
      <c r="J103" s="11"/>
      <c r="K103" s="13" t="s">
        <v>62</v>
      </c>
      <c r="L103" s="88">
        <v>2</v>
      </c>
      <c r="M103" s="88">
        <v>2</v>
      </c>
      <c r="N103" s="13" t="s">
        <v>45</v>
      </c>
      <c r="O103" s="10" t="s">
        <v>575</v>
      </c>
      <c r="P103" s="10" t="s">
        <v>577</v>
      </c>
      <c r="Q103" s="10">
        <v>20411454</v>
      </c>
    </row>
    <row r="104" spans="1:17" ht="15" customHeight="1" x14ac:dyDescent="0.2">
      <c r="A104" s="13" t="s">
        <v>271</v>
      </c>
      <c r="B104" s="27" t="str">
        <f t="shared" si="1"/>
        <v>7YK3V60VC181</v>
      </c>
      <c r="C104" s="36">
        <v>19839668101</v>
      </c>
      <c r="D104" s="13" t="s">
        <v>272</v>
      </c>
      <c r="E104" s="13" t="s">
        <v>49</v>
      </c>
      <c r="F104" s="37">
        <v>45617</v>
      </c>
      <c r="G104" s="13" t="s">
        <v>104</v>
      </c>
      <c r="H104" s="37">
        <v>45658</v>
      </c>
      <c r="I104" s="102" t="s">
        <v>496</v>
      </c>
      <c r="J104" s="11"/>
      <c r="K104" s="13" t="s">
        <v>62</v>
      </c>
      <c r="L104" s="88">
        <v>2</v>
      </c>
      <c r="M104" s="88">
        <v>2</v>
      </c>
      <c r="N104" s="13" t="s">
        <v>45</v>
      </c>
      <c r="O104" s="10" t="s">
        <v>575</v>
      </c>
      <c r="P104" s="10" t="s">
        <v>577</v>
      </c>
      <c r="Q104" s="10">
        <v>20411454</v>
      </c>
    </row>
    <row r="105" spans="1:17" ht="15" customHeight="1" x14ac:dyDescent="0.2">
      <c r="A105" s="13" t="s">
        <v>273</v>
      </c>
      <c r="B105" s="27" t="str">
        <f t="shared" si="1"/>
        <v>3HP9E78UK471</v>
      </c>
      <c r="C105" s="36">
        <v>19840814801</v>
      </c>
      <c r="D105" s="13" t="s">
        <v>274</v>
      </c>
      <c r="E105" s="13" t="s">
        <v>49</v>
      </c>
      <c r="F105" s="37">
        <v>45617</v>
      </c>
      <c r="G105" s="13" t="s">
        <v>104</v>
      </c>
      <c r="H105" s="37">
        <v>45658</v>
      </c>
      <c r="I105" s="102" t="s">
        <v>496</v>
      </c>
      <c r="J105" s="11"/>
      <c r="K105" s="13" t="s">
        <v>62</v>
      </c>
      <c r="L105" s="88">
        <v>2</v>
      </c>
      <c r="M105" s="88">
        <v>2</v>
      </c>
      <c r="N105" s="13" t="s">
        <v>45</v>
      </c>
      <c r="O105" s="10" t="s">
        <v>575</v>
      </c>
      <c r="P105" s="10" t="s">
        <v>577</v>
      </c>
      <c r="Q105" s="10">
        <v>20411454</v>
      </c>
    </row>
    <row r="106" spans="1:17" ht="15" customHeight="1" x14ac:dyDescent="0.2">
      <c r="A106" s="13" t="s">
        <v>275</v>
      </c>
      <c r="B106" s="27" t="str">
        <f t="shared" si="1"/>
        <v>7CD3W50YE741</v>
      </c>
      <c r="C106" s="36">
        <v>19694336901</v>
      </c>
      <c r="D106" s="13" t="s">
        <v>276</v>
      </c>
      <c r="E106" s="13" t="s">
        <v>53</v>
      </c>
      <c r="F106" s="37">
        <v>45602</v>
      </c>
      <c r="G106" s="13" t="s">
        <v>163</v>
      </c>
      <c r="H106" s="37">
        <v>45658</v>
      </c>
      <c r="I106" s="102" t="s">
        <v>446</v>
      </c>
      <c r="J106" s="11"/>
      <c r="K106" s="13" t="s">
        <v>62</v>
      </c>
      <c r="L106" s="88">
        <v>2</v>
      </c>
      <c r="M106" s="88">
        <v>2</v>
      </c>
      <c r="N106" s="13" t="s">
        <v>45</v>
      </c>
      <c r="O106" s="10" t="s">
        <v>575</v>
      </c>
      <c r="P106" s="10" t="s">
        <v>577</v>
      </c>
      <c r="Q106" s="10">
        <v>20411454</v>
      </c>
    </row>
    <row r="107" spans="1:17" ht="15" customHeight="1" x14ac:dyDescent="0.2">
      <c r="A107" s="13" t="s">
        <v>277</v>
      </c>
      <c r="B107" s="27" t="str">
        <f t="shared" si="1"/>
        <v>8P74P67TM941</v>
      </c>
      <c r="C107" s="36">
        <v>20017376301</v>
      </c>
      <c r="D107" s="13" t="s">
        <v>278</v>
      </c>
      <c r="E107" s="13" t="s">
        <v>53</v>
      </c>
      <c r="F107" s="37">
        <v>45632</v>
      </c>
      <c r="G107" s="13" t="s">
        <v>163</v>
      </c>
      <c r="H107" s="37">
        <v>45658</v>
      </c>
      <c r="I107" s="102" t="s">
        <v>446</v>
      </c>
      <c r="J107" s="11"/>
      <c r="K107" s="13" t="s">
        <v>62</v>
      </c>
      <c r="L107" s="88">
        <v>2</v>
      </c>
      <c r="M107" s="88">
        <v>2</v>
      </c>
      <c r="N107" s="13" t="s">
        <v>45</v>
      </c>
      <c r="O107" s="10" t="s">
        <v>575</v>
      </c>
      <c r="P107" s="10" t="s">
        <v>577</v>
      </c>
      <c r="Q107" s="10">
        <v>20411454</v>
      </c>
    </row>
    <row r="108" spans="1:17" ht="15" customHeight="1" x14ac:dyDescent="0.2">
      <c r="A108" s="13" t="s">
        <v>567</v>
      </c>
      <c r="B108" s="27" t="str">
        <f t="shared" si="1"/>
        <v>5FV4CM8WD071</v>
      </c>
      <c r="C108" s="13">
        <v>19832491501</v>
      </c>
      <c r="D108" s="13" t="s">
        <v>568</v>
      </c>
      <c r="E108" s="13" t="s">
        <v>53</v>
      </c>
      <c r="F108" s="37">
        <v>45617</v>
      </c>
      <c r="G108" s="13" t="s">
        <v>73</v>
      </c>
      <c r="H108" s="37">
        <v>45658</v>
      </c>
      <c r="I108" s="102" t="s">
        <v>497</v>
      </c>
      <c r="J108" s="11"/>
      <c r="K108" s="13" t="s">
        <v>62</v>
      </c>
      <c r="L108" s="88">
        <v>2</v>
      </c>
      <c r="M108" s="88">
        <v>2</v>
      </c>
      <c r="N108" s="13" t="s">
        <v>45</v>
      </c>
      <c r="O108" s="10" t="s">
        <v>575</v>
      </c>
      <c r="P108" s="10" t="s">
        <v>577</v>
      </c>
      <c r="Q108" s="10">
        <v>20411454</v>
      </c>
    </row>
    <row r="109" spans="1:17" ht="15" customHeight="1" x14ac:dyDescent="0.2">
      <c r="A109" s="13" t="s">
        <v>279</v>
      </c>
      <c r="B109" s="27" t="str">
        <f t="shared" si="1"/>
        <v>7HD2K92UV971</v>
      </c>
      <c r="C109" s="36">
        <v>19674255501</v>
      </c>
      <c r="D109" s="13" t="s">
        <v>280</v>
      </c>
      <c r="E109" s="13" t="s">
        <v>53</v>
      </c>
      <c r="F109" s="37">
        <v>45600</v>
      </c>
      <c r="G109" s="13" t="s">
        <v>73</v>
      </c>
      <c r="H109" s="37">
        <v>45658</v>
      </c>
      <c r="I109" s="102" t="s">
        <v>497</v>
      </c>
      <c r="J109" s="11"/>
      <c r="K109" s="13" t="s">
        <v>62</v>
      </c>
      <c r="L109" s="88">
        <v>2</v>
      </c>
      <c r="M109" s="88">
        <v>2</v>
      </c>
      <c r="N109" s="13" t="s">
        <v>45</v>
      </c>
      <c r="O109" s="10" t="s">
        <v>575</v>
      </c>
      <c r="P109" s="10" t="s">
        <v>577</v>
      </c>
      <c r="Q109" s="10">
        <v>20411454</v>
      </c>
    </row>
    <row r="110" spans="1:17" ht="15" customHeight="1" x14ac:dyDescent="0.2">
      <c r="A110" s="13" t="s">
        <v>113</v>
      </c>
      <c r="B110" s="27" t="str">
        <f t="shared" si="1"/>
        <v>7U92Q73FP191</v>
      </c>
      <c r="C110" s="36">
        <v>20071445901</v>
      </c>
      <c r="D110" s="13" t="s">
        <v>114</v>
      </c>
      <c r="E110" s="13" t="s">
        <v>53</v>
      </c>
      <c r="F110" s="37">
        <v>45642</v>
      </c>
      <c r="G110" s="13" t="s">
        <v>54</v>
      </c>
      <c r="H110" s="37">
        <v>45658</v>
      </c>
      <c r="I110" s="102" t="s">
        <v>448</v>
      </c>
      <c r="J110" s="11"/>
      <c r="K110" s="13" t="s">
        <v>62</v>
      </c>
      <c r="L110" s="88">
        <v>2</v>
      </c>
      <c r="M110" s="88">
        <v>2</v>
      </c>
      <c r="N110" s="13" t="s">
        <v>45</v>
      </c>
      <c r="O110" s="10" t="s">
        <v>575</v>
      </c>
      <c r="P110" s="10" t="s">
        <v>577</v>
      </c>
      <c r="Q110" s="10">
        <v>20411454</v>
      </c>
    </row>
    <row r="111" spans="1:17" ht="15" customHeight="1" x14ac:dyDescent="0.2">
      <c r="A111" s="13" t="s">
        <v>115</v>
      </c>
      <c r="B111" s="27" t="str">
        <f t="shared" si="1"/>
        <v>1R93P84GM971</v>
      </c>
      <c r="C111" s="36">
        <v>20085209301</v>
      </c>
      <c r="D111" s="13" t="s">
        <v>116</v>
      </c>
      <c r="E111" s="13" t="s">
        <v>53</v>
      </c>
      <c r="F111" s="37">
        <v>45649</v>
      </c>
      <c r="G111" s="13" t="s">
        <v>54</v>
      </c>
      <c r="H111" s="37">
        <v>45658</v>
      </c>
      <c r="I111" s="102" t="s">
        <v>448</v>
      </c>
      <c r="J111" s="11"/>
      <c r="K111" s="13" t="s">
        <v>62</v>
      </c>
      <c r="L111" s="88">
        <v>2</v>
      </c>
      <c r="M111" s="88">
        <v>2</v>
      </c>
      <c r="N111" s="13" t="s">
        <v>45</v>
      </c>
      <c r="O111" s="10" t="s">
        <v>575</v>
      </c>
      <c r="P111" s="10" t="s">
        <v>577</v>
      </c>
      <c r="Q111" s="10">
        <v>20411454</v>
      </c>
    </row>
    <row r="112" spans="1:17" ht="15" customHeight="1" x14ac:dyDescent="0.2">
      <c r="A112" s="27" t="s">
        <v>281</v>
      </c>
      <c r="B112" s="27" t="str">
        <f t="shared" si="1"/>
        <v>2VH8CF2CT681</v>
      </c>
      <c r="C112" s="28">
        <v>19722584001</v>
      </c>
      <c r="D112" s="27" t="s">
        <v>282</v>
      </c>
      <c r="E112" s="27" t="s">
        <v>53</v>
      </c>
      <c r="F112" s="29">
        <v>45605</v>
      </c>
      <c r="G112" s="27" t="s">
        <v>163</v>
      </c>
      <c r="H112" s="29">
        <v>45658</v>
      </c>
      <c r="I112" s="101" t="s">
        <v>446</v>
      </c>
      <c r="J112" s="32"/>
      <c r="K112" s="27" t="s">
        <v>62</v>
      </c>
      <c r="L112" s="87">
        <v>2</v>
      </c>
      <c r="M112" s="87">
        <v>2</v>
      </c>
      <c r="N112" s="27" t="s">
        <v>45</v>
      </c>
      <c r="O112" s="10" t="s">
        <v>575</v>
      </c>
      <c r="P112" s="10" t="s">
        <v>577</v>
      </c>
      <c r="Q112" s="10">
        <v>20411454</v>
      </c>
    </row>
    <row r="113" spans="1:17" ht="15" customHeight="1" x14ac:dyDescent="0.2">
      <c r="A113" s="13" t="s">
        <v>283</v>
      </c>
      <c r="B113" s="27" t="str">
        <f t="shared" si="1"/>
        <v>6U48NU4NQ551</v>
      </c>
      <c r="C113" s="36">
        <v>19722556801</v>
      </c>
      <c r="D113" s="13" t="s">
        <v>284</v>
      </c>
      <c r="E113" s="13" t="s">
        <v>53</v>
      </c>
      <c r="F113" s="37">
        <v>45605</v>
      </c>
      <c r="G113" s="13" t="s">
        <v>163</v>
      </c>
      <c r="H113" s="37">
        <v>45658</v>
      </c>
      <c r="I113" s="102" t="s">
        <v>446</v>
      </c>
      <c r="J113" s="11"/>
      <c r="K113" s="13" t="s">
        <v>62</v>
      </c>
      <c r="L113" s="88">
        <v>2</v>
      </c>
      <c r="M113" s="88">
        <v>2</v>
      </c>
      <c r="N113" s="13" t="s">
        <v>45</v>
      </c>
      <c r="O113" s="10" t="s">
        <v>575</v>
      </c>
      <c r="P113" s="10" t="s">
        <v>577</v>
      </c>
      <c r="Q113" s="10">
        <v>20411454</v>
      </c>
    </row>
    <row r="114" spans="1:17" ht="15" customHeight="1" x14ac:dyDescent="0.2">
      <c r="A114" s="13" t="s">
        <v>117</v>
      </c>
      <c r="B114" s="27" t="str">
        <f t="shared" si="1"/>
        <v>3CD5QG0TJ781</v>
      </c>
      <c r="C114" s="36">
        <v>19691452701</v>
      </c>
      <c r="D114" s="13" t="s">
        <v>118</v>
      </c>
      <c r="E114" s="13" t="s">
        <v>49</v>
      </c>
      <c r="F114" s="37">
        <v>45601</v>
      </c>
      <c r="G114" s="13" t="s">
        <v>50</v>
      </c>
      <c r="H114" s="37">
        <v>45658</v>
      </c>
      <c r="I114" s="102" t="s">
        <v>516</v>
      </c>
      <c r="J114" s="11"/>
      <c r="K114" s="13" t="s">
        <v>62</v>
      </c>
      <c r="L114" s="88">
        <v>2</v>
      </c>
      <c r="M114" s="88">
        <v>2</v>
      </c>
      <c r="N114" s="13" t="s">
        <v>45</v>
      </c>
      <c r="O114" s="10" t="s">
        <v>575</v>
      </c>
      <c r="P114" s="10" t="s">
        <v>577</v>
      </c>
      <c r="Q114" s="10">
        <v>20411454</v>
      </c>
    </row>
    <row r="115" spans="1:17" ht="15" customHeight="1" x14ac:dyDescent="0.2">
      <c r="A115" s="65" t="s">
        <v>119</v>
      </c>
      <c r="B115" s="27" t="str">
        <f t="shared" si="1"/>
        <v>9GT6QC2JU881</v>
      </c>
      <c r="C115" s="93">
        <v>19415463901</v>
      </c>
      <c r="D115" s="65" t="s">
        <v>120</v>
      </c>
      <c r="E115" s="65" t="s">
        <v>53</v>
      </c>
      <c r="F115" s="68">
        <v>45582</v>
      </c>
      <c r="G115" s="65" t="s">
        <v>54</v>
      </c>
      <c r="H115" s="68">
        <v>45658</v>
      </c>
      <c r="I115" s="103" t="s">
        <v>448</v>
      </c>
      <c r="J115" s="94"/>
      <c r="K115" s="65" t="s">
        <v>62</v>
      </c>
      <c r="L115" s="95">
        <v>2</v>
      </c>
      <c r="M115" s="95">
        <v>2</v>
      </c>
      <c r="N115" s="65" t="s">
        <v>45</v>
      </c>
      <c r="O115" s="10" t="s">
        <v>575</v>
      </c>
      <c r="P115" s="10" t="s">
        <v>577</v>
      </c>
      <c r="Q115" s="10">
        <v>20411454</v>
      </c>
    </row>
    <row r="116" spans="1:17" ht="15" customHeight="1" x14ac:dyDescent="0.2">
      <c r="A116" s="13" t="s">
        <v>285</v>
      </c>
      <c r="B116" s="27" t="str">
        <f t="shared" si="1"/>
        <v>4YW1EX9TY251</v>
      </c>
      <c r="C116" s="36">
        <v>19388801301</v>
      </c>
      <c r="D116" s="13" t="s">
        <v>286</v>
      </c>
      <c r="E116" s="13" t="s">
        <v>53</v>
      </c>
      <c r="F116" s="37">
        <v>45580</v>
      </c>
      <c r="G116" s="13" t="s">
        <v>54</v>
      </c>
      <c r="H116" s="37">
        <v>45658</v>
      </c>
      <c r="I116" s="102" t="s">
        <v>448</v>
      </c>
      <c r="J116" s="11"/>
      <c r="K116" s="13" t="s">
        <v>62</v>
      </c>
      <c r="L116" s="88">
        <v>2</v>
      </c>
      <c r="M116" s="88">
        <v>2</v>
      </c>
      <c r="N116" s="13" t="s">
        <v>45</v>
      </c>
      <c r="O116" s="10" t="s">
        <v>575</v>
      </c>
      <c r="P116" s="10" t="s">
        <v>577</v>
      </c>
      <c r="Q116" s="10">
        <v>20411454</v>
      </c>
    </row>
    <row r="117" spans="1:17" ht="15" customHeight="1" x14ac:dyDescent="0.2">
      <c r="A117" s="13" t="s">
        <v>287</v>
      </c>
      <c r="B117" s="27" t="str">
        <f t="shared" si="1"/>
        <v>2DG4VA3UK821</v>
      </c>
      <c r="C117" s="36">
        <v>19922514501</v>
      </c>
      <c r="D117" s="13" t="s">
        <v>288</v>
      </c>
      <c r="E117" s="13" t="s">
        <v>53</v>
      </c>
      <c r="F117" s="37">
        <v>45628</v>
      </c>
      <c r="G117" s="13" t="s">
        <v>153</v>
      </c>
      <c r="H117" s="37">
        <v>45658</v>
      </c>
      <c r="I117" s="102" t="s">
        <v>581</v>
      </c>
      <c r="J117" s="11"/>
      <c r="K117" s="13" t="s">
        <v>62</v>
      </c>
      <c r="L117" s="88">
        <v>2</v>
      </c>
      <c r="M117" s="88">
        <v>2</v>
      </c>
      <c r="N117" s="13" t="s">
        <v>45</v>
      </c>
      <c r="O117" s="10" t="s">
        <v>575</v>
      </c>
      <c r="P117" s="10" t="s">
        <v>577</v>
      </c>
      <c r="Q117" s="10">
        <v>20411454</v>
      </c>
    </row>
    <row r="118" spans="1:17" ht="15" customHeight="1" x14ac:dyDescent="0.2">
      <c r="A118" s="13" t="s">
        <v>289</v>
      </c>
      <c r="B118" s="27" t="str">
        <f t="shared" si="1"/>
        <v>8P18YV7VU451</v>
      </c>
      <c r="C118" s="36">
        <v>19684308001</v>
      </c>
      <c r="D118" s="13" t="s">
        <v>290</v>
      </c>
      <c r="E118" s="13" t="s">
        <v>53</v>
      </c>
      <c r="F118" s="37">
        <v>45601</v>
      </c>
      <c r="G118" s="13" t="s">
        <v>54</v>
      </c>
      <c r="H118" s="37">
        <v>45658</v>
      </c>
      <c r="I118" s="102" t="s">
        <v>448</v>
      </c>
      <c r="J118" s="11"/>
      <c r="K118" s="13" t="s">
        <v>62</v>
      </c>
      <c r="L118" s="88">
        <v>2</v>
      </c>
      <c r="M118" s="88">
        <v>2</v>
      </c>
      <c r="N118" s="13" t="s">
        <v>45</v>
      </c>
      <c r="O118" s="10" t="s">
        <v>575</v>
      </c>
      <c r="P118" s="10" t="s">
        <v>577</v>
      </c>
      <c r="Q118" s="10">
        <v>20411454</v>
      </c>
    </row>
    <row r="119" spans="1:17" ht="15" customHeight="1" x14ac:dyDescent="0.2">
      <c r="A119" s="13" t="s">
        <v>291</v>
      </c>
      <c r="B119" s="27" t="str">
        <f t="shared" si="1"/>
        <v>8RU6YV2RR861</v>
      </c>
      <c r="C119" s="36">
        <v>19419806501</v>
      </c>
      <c r="D119" s="13" t="s">
        <v>292</v>
      </c>
      <c r="E119" s="13" t="s">
        <v>49</v>
      </c>
      <c r="F119" s="37">
        <v>45582</v>
      </c>
      <c r="G119" s="13" t="s">
        <v>43</v>
      </c>
      <c r="H119" s="37">
        <v>45658</v>
      </c>
      <c r="I119" s="102" t="s">
        <v>519</v>
      </c>
      <c r="J119" s="11"/>
      <c r="K119" s="13" t="s">
        <v>62</v>
      </c>
      <c r="L119" s="88">
        <v>2</v>
      </c>
      <c r="M119" s="88">
        <v>2</v>
      </c>
      <c r="N119" s="13" t="s">
        <v>45</v>
      </c>
      <c r="O119" s="10" t="s">
        <v>575</v>
      </c>
      <c r="P119" s="10" t="s">
        <v>577</v>
      </c>
      <c r="Q119" s="10">
        <v>20411454</v>
      </c>
    </row>
    <row r="120" spans="1:17" ht="15" customHeight="1" x14ac:dyDescent="0.2">
      <c r="A120" s="13" t="s">
        <v>293</v>
      </c>
      <c r="B120" s="27" t="str">
        <f t="shared" si="1"/>
        <v>5WD0A81KH171</v>
      </c>
      <c r="C120" s="36">
        <v>19951013201</v>
      </c>
      <c r="D120" s="13" t="s">
        <v>294</v>
      </c>
      <c r="E120" s="13" t="s">
        <v>49</v>
      </c>
      <c r="F120" s="37">
        <v>45629</v>
      </c>
      <c r="G120" s="13" t="s">
        <v>160</v>
      </c>
      <c r="H120" s="37">
        <v>45658</v>
      </c>
      <c r="I120" s="102" t="s">
        <v>498</v>
      </c>
      <c r="J120" s="11"/>
      <c r="K120" s="13" t="s">
        <v>62</v>
      </c>
      <c r="L120" s="88">
        <v>2</v>
      </c>
      <c r="M120" s="88">
        <v>2</v>
      </c>
      <c r="N120" s="13" t="s">
        <v>45</v>
      </c>
      <c r="O120" s="10" t="s">
        <v>575</v>
      </c>
      <c r="P120" s="10" t="s">
        <v>577</v>
      </c>
      <c r="Q120" s="10">
        <v>20411454</v>
      </c>
    </row>
    <row r="121" spans="1:17" ht="15" customHeight="1" x14ac:dyDescent="0.2">
      <c r="A121" s="13" t="s">
        <v>295</v>
      </c>
      <c r="B121" s="27" t="str">
        <f t="shared" si="1"/>
        <v>1HQ4K76WK991</v>
      </c>
      <c r="C121" s="36">
        <v>19451051701</v>
      </c>
      <c r="D121" s="13" t="s">
        <v>296</v>
      </c>
      <c r="E121" s="13" t="s">
        <v>53</v>
      </c>
      <c r="F121" s="37">
        <v>45587</v>
      </c>
      <c r="G121" s="13" t="s">
        <v>54</v>
      </c>
      <c r="H121" s="37">
        <v>45658</v>
      </c>
      <c r="I121" s="102" t="s">
        <v>448</v>
      </c>
      <c r="J121" s="11"/>
      <c r="K121" s="13" t="s">
        <v>62</v>
      </c>
      <c r="L121" s="88">
        <v>2</v>
      </c>
      <c r="M121" s="88">
        <v>2</v>
      </c>
      <c r="N121" s="13" t="s">
        <v>45</v>
      </c>
      <c r="O121" s="10" t="s">
        <v>575</v>
      </c>
      <c r="P121" s="10" t="s">
        <v>577</v>
      </c>
      <c r="Q121" s="10">
        <v>20411454</v>
      </c>
    </row>
    <row r="122" spans="1:17" ht="15" customHeight="1" x14ac:dyDescent="0.2">
      <c r="A122" s="13" t="s">
        <v>297</v>
      </c>
      <c r="B122" s="27" t="str">
        <f t="shared" si="1"/>
        <v>4ED5K25XG661</v>
      </c>
      <c r="C122" s="36">
        <v>19450355301</v>
      </c>
      <c r="D122" s="13" t="s">
        <v>298</v>
      </c>
      <c r="E122" s="13" t="s">
        <v>158</v>
      </c>
      <c r="F122" s="37">
        <v>45587</v>
      </c>
      <c r="G122" s="13" t="s">
        <v>159</v>
      </c>
      <c r="H122" s="37">
        <v>45658</v>
      </c>
      <c r="I122" s="102" t="s">
        <v>578</v>
      </c>
      <c r="J122" s="11"/>
      <c r="K122" s="13" t="s">
        <v>62</v>
      </c>
      <c r="L122" s="88">
        <v>2</v>
      </c>
      <c r="M122" s="88">
        <v>2</v>
      </c>
      <c r="N122" s="13" t="s">
        <v>45</v>
      </c>
      <c r="O122" s="10" t="s">
        <v>575</v>
      </c>
      <c r="P122" s="10" t="s">
        <v>577</v>
      </c>
      <c r="Q122" s="10">
        <v>20411454</v>
      </c>
    </row>
    <row r="123" spans="1:17" ht="15" customHeight="1" x14ac:dyDescent="0.2">
      <c r="A123" s="13" t="s">
        <v>299</v>
      </c>
      <c r="B123" s="27" t="str">
        <f t="shared" si="1"/>
        <v>8HK4VX0VP781</v>
      </c>
      <c r="C123" s="36">
        <v>19727958101</v>
      </c>
      <c r="D123" s="13" t="s">
        <v>300</v>
      </c>
      <c r="E123" s="13" t="s">
        <v>53</v>
      </c>
      <c r="F123" s="37">
        <v>45606</v>
      </c>
      <c r="G123" s="13" t="s">
        <v>301</v>
      </c>
      <c r="H123" s="37">
        <v>45658</v>
      </c>
      <c r="I123" s="102" t="s">
        <v>652</v>
      </c>
      <c r="J123" s="11"/>
      <c r="K123" s="13" t="s">
        <v>62</v>
      </c>
      <c r="L123" s="88">
        <v>2</v>
      </c>
      <c r="M123" s="88">
        <v>2</v>
      </c>
      <c r="N123" s="13" t="s">
        <v>45</v>
      </c>
      <c r="O123" s="10" t="s">
        <v>575</v>
      </c>
      <c r="P123" s="10" t="s">
        <v>577</v>
      </c>
      <c r="Q123" s="10">
        <v>20411454</v>
      </c>
    </row>
    <row r="124" spans="1:17" ht="15" customHeight="1" x14ac:dyDescent="0.2">
      <c r="A124" s="13" t="s">
        <v>302</v>
      </c>
      <c r="B124" s="27" t="str">
        <f t="shared" si="1"/>
        <v>4H78UK0XU411</v>
      </c>
      <c r="C124" s="36">
        <v>19806737301</v>
      </c>
      <c r="D124" s="13" t="s">
        <v>303</v>
      </c>
      <c r="E124" s="13" t="s">
        <v>53</v>
      </c>
      <c r="F124" s="37">
        <v>45615</v>
      </c>
      <c r="G124" s="13" t="s">
        <v>54</v>
      </c>
      <c r="H124" s="37">
        <v>45658</v>
      </c>
      <c r="I124" s="102" t="s">
        <v>448</v>
      </c>
      <c r="J124" s="11"/>
      <c r="K124" s="13" t="s">
        <v>62</v>
      </c>
      <c r="L124" s="88">
        <v>2</v>
      </c>
      <c r="M124" s="88">
        <v>2</v>
      </c>
      <c r="N124" s="13" t="s">
        <v>45</v>
      </c>
      <c r="O124" s="10" t="s">
        <v>575</v>
      </c>
      <c r="P124" s="10" t="s">
        <v>577</v>
      </c>
      <c r="Q124" s="10">
        <v>20411454</v>
      </c>
    </row>
    <row r="125" spans="1:17" ht="15" customHeight="1" x14ac:dyDescent="0.2">
      <c r="A125" s="13" t="s">
        <v>123</v>
      </c>
      <c r="B125" s="27" t="str">
        <f t="shared" si="1"/>
        <v>5EJ3RW2GH721</v>
      </c>
      <c r="C125" s="36">
        <v>19972186101</v>
      </c>
      <c r="D125" s="13" t="s">
        <v>124</v>
      </c>
      <c r="E125" s="13" t="s">
        <v>53</v>
      </c>
      <c r="F125" s="37">
        <v>45630</v>
      </c>
      <c r="G125" s="13" t="s">
        <v>54</v>
      </c>
      <c r="H125" s="37">
        <v>45658</v>
      </c>
      <c r="I125" s="102" t="s">
        <v>448</v>
      </c>
      <c r="J125" s="11"/>
      <c r="K125" s="13" t="s">
        <v>62</v>
      </c>
      <c r="L125" s="88">
        <v>2</v>
      </c>
      <c r="M125" s="88">
        <v>2</v>
      </c>
      <c r="N125" s="13" t="s">
        <v>45</v>
      </c>
      <c r="O125" s="10" t="s">
        <v>575</v>
      </c>
      <c r="P125" s="10" t="s">
        <v>577</v>
      </c>
      <c r="Q125" s="10">
        <v>20411454</v>
      </c>
    </row>
    <row r="126" spans="1:17" ht="15" customHeight="1" x14ac:dyDescent="0.2">
      <c r="A126" s="13" t="s">
        <v>304</v>
      </c>
      <c r="B126" s="27" t="str">
        <f t="shared" si="1"/>
        <v>5J69QD9MK331</v>
      </c>
      <c r="C126" s="36">
        <v>19389581001</v>
      </c>
      <c r="D126" s="13" t="s">
        <v>305</v>
      </c>
      <c r="E126" s="13" t="s">
        <v>53</v>
      </c>
      <c r="F126" s="37">
        <v>45580</v>
      </c>
      <c r="G126" s="13" t="s">
        <v>54</v>
      </c>
      <c r="H126" s="37">
        <v>45658</v>
      </c>
      <c r="I126" s="102" t="s">
        <v>448</v>
      </c>
      <c r="J126" s="11"/>
      <c r="K126" s="13" t="s">
        <v>62</v>
      </c>
      <c r="L126" s="88">
        <v>2</v>
      </c>
      <c r="M126" s="88">
        <v>2</v>
      </c>
      <c r="N126" s="13" t="s">
        <v>45</v>
      </c>
      <c r="O126" s="10" t="s">
        <v>575</v>
      </c>
      <c r="P126" s="10" t="s">
        <v>577</v>
      </c>
      <c r="Q126" s="10">
        <v>20411454</v>
      </c>
    </row>
    <row r="127" spans="1:17" ht="15" customHeight="1" x14ac:dyDescent="0.2">
      <c r="A127" s="13" t="s">
        <v>306</v>
      </c>
      <c r="B127" s="27" t="str">
        <f t="shared" si="1"/>
        <v>4F39VA2GD341</v>
      </c>
      <c r="C127" s="36">
        <v>19763126001</v>
      </c>
      <c r="D127" s="13" t="s">
        <v>307</v>
      </c>
      <c r="E127" s="13" t="s">
        <v>53</v>
      </c>
      <c r="F127" s="37">
        <v>45610</v>
      </c>
      <c r="G127" s="13" t="s">
        <v>153</v>
      </c>
      <c r="H127" s="37">
        <v>45658</v>
      </c>
      <c r="I127" s="102" t="s">
        <v>581</v>
      </c>
      <c r="J127" s="11"/>
      <c r="K127" s="13" t="s">
        <v>62</v>
      </c>
      <c r="L127" s="88">
        <v>2</v>
      </c>
      <c r="M127" s="88">
        <v>2</v>
      </c>
      <c r="N127" s="13" t="s">
        <v>45</v>
      </c>
      <c r="O127" s="10" t="s">
        <v>575</v>
      </c>
      <c r="P127" s="10" t="s">
        <v>577</v>
      </c>
      <c r="Q127" s="10">
        <v>20411454</v>
      </c>
    </row>
    <row r="128" spans="1:17" ht="15" customHeight="1" x14ac:dyDescent="0.2">
      <c r="A128" s="13" t="s">
        <v>308</v>
      </c>
      <c r="B128" s="27" t="str">
        <f t="shared" si="1"/>
        <v>9TQ8VH0FK481</v>
      </c>
      <c r="C128" s="36">
        <v>19740354601</v>
      </c>
      <c r="D128" s="13" t="s">
        <v>309</v>
      </c>
      <c r="E128" s="13" t="s">
        <v>53</v>
      </c>
      <c r="F128" s="37">
        <v>45608</v>
      </c>
      <c r="G128" s="13" t="s">
        <v>153</v>
      </c>
      <c r="H128" s="37">
        <v>45658</v>
      </c>
      <c r="I128" s="102" t="s">
        <v>581</v>
      </c>
      <c r="J128" s="11"/>
      <c r="K128" s="13" t="s">
        <v>62</v>
      </c>
      <c r="L128" s="88">
        <v>2</v>
      </c>
      <c r="M128" s="88">
        <v>2</v>
      </c>
      <c r="N128" s="13" t="s">
        <v>45</v>
      </c>
      <c r="O128" s="10" t="s">
        <v>575</v>
      </c>
      <c r="P128" s="10" t="s">
        <v>577</v>
      </c>
      <c r="Q128" s="10">
        <v>20411454</v>
      </c>
    </row>
    <row r="129" spans="1:17" ht="15" customHeight="1" x14ac:dyDescent="0.2">
      <c r="A129" s="13" t="s">
        <v>128</v>
      </c>
      <c r="B129" s="27" t="str">
        <f t="shared" si="1"/>
        <v>6GE1Q66QC031</v>
      </c>
      <c r="C129" s="36">
        <v>19652007601</v>
      </c>
      <c r="D129" s="13" t="s">
        <v>129</v>
      </c>
      <c r="E129" s="13" t="s">
        <v>130</v>
      </c>
      <c r="F129" s="37">
        <v>45596</v>
      </c>
      <c r="G129" s="13" t="s">
        <v>104</v>
      </c>
      <c r="H129" s="37">
        <v>45658</v>
      </c>
      <c r="I129" s="102" t="s">
        <v>496</v>
      </c>
      <c r="J129" s="11"/>
      <c r="K129" s="13" t="s">
        <v>62</v>
      </c>
      <c r="L129" s="88">
        <v>2</v>
      </c>
      <c r="M129" s="88">
        <v>2</v>
      </c>
      <c r="N129" s="13" t="s">
        <v>45</v>
      </c>
      <c r="O129" s="10" t="s">
        <v>575</v>
      </c>
      <c r="P129" s="10" t="s">
        <v>577</v>
      </c>
      <c r="Q129" s="10">
        <v>20411454</v>
      </c>
    </row>
    <row r="130" spans="1:17" ht="15" customHeight="1" x14ac:dyDescent="0.2">
      <c r="A130" s="13" t="s">
        <v>310</v>
      </c>
      <c r="B130" s="27" t="str">
        <f t="shared" si="1"/>
        <v>3N29PA5WF251</v>
      </c>
      <c r="C130" s="36">
        <v>19750687601</v>
      </c>
      <c r="D130" s="13" t="s">
        <v>311</v>
      </c>
      <c r="E130" s="13" t="s">
        <v>53</v>
      </c>
      <c r="F130" s="37">
        <v>45609</v>
      </c>
      <c r="G130" s="13" t="s">
        <v>153</v>
      </c>
      <c r="H130" s="37">
        <v>45658</v>
      </c>
      <c r="I130" s="102" t="s">
        <v>581</v>
      </c>
      <c r="J130" s="11"/>
      <c r="K130" s="13" t="s">
        <v>62</v>
      </c>
      <c r="L130" s="88">
        <v>2</v>
      </c>
      <c r="M130" s="88">
        <v>2</v>
      </c>
      <c r="N130" s="13" t="s">
        <v>45</v>
      </c>
      <c r="O130" s="10" t="s">
        <v>575</v>
      </c>
      <c r="P130" s="10" t="s">
        <v>577</v>
      </c>
      <c r="Q130" s="10">
        <v>20411454</v>
      </c>
    </row>
    <row r="131" spans="1:17" ht="15" customHeight="1" x14ac:dyDescent="0.2">
      <c r="A131" s="13" t="s">
        <v>312</v>
      </c>
      <c r="B131" s="27" t="str">
        <f t="shared" si="1"/>
        <v>1D81CP9CA371</v>
      </c>
      <c r="C131" s="36">
        <v>19984386301</v>
      </c>
      <c r="D131" s="13" t="s">
        <v>313</v>
      </c>
      <c r="E131" s="13" t="s">
        <v>49</v>
      </c>
      <c r="F131" s="37">
        <v>45630</v>
      </c>
      <c r="G131" s="13" t="s">
        <v>90</v>
      </c>
      <c r="H131" s="37">
        <v>45658</v>
      </c>
      <c r="I131" s="102" t="s">
        <v>450</v>
      </c>
      <c r="J131" s="11"/>
      <c r="K131" s="13" t="s">
        <v>62</v>
      </c>
      <c r="L131" s="88">
        <v>2</v>
      </c>
      <c r="M131" s="88">
        <v>2</v>
      </c>
      <c r="N131" s="13" t="s">
        <v>45</v>
      </c>
      <c r="O131" s="10" t="s">
        <v>575</v>
      </c>
      <c r="P131" s="10" t="s">
        <v>577</v>
      </c>
      <c r="Q131" s="10">
        <v>20411454</v>
      </c>
    </row>
    <row r="132" spans="1:17" ht="15" customHeight="1" x14ac:dyDescent="0.2">
      <c r="A132" s="13" t="s">
        <v>314</v>
      </c>
      <c r="B132" s="27" t="str">
        <f t="shared" ref="B132:B156" si="2">CONCATENATE(A132,1)</f>
        <v>7HE0UR1CQ241</v>
      </c>
      <c r="C132" s="36">
        <v>19694917601</v>
      </c>
      <c r="D132" s="13" t="s">
        <v>315</v>
      </c>
      <c r="E132" s="13" t="s">
        <v>158</v>
      </c>
      <c r="F132" s="37">
        <v>45602</v>
      </c>
      <c r="G132" s="13" t="s">
        <v>159</v>
      </c>
      <c r="H132" s="37">
        <v>45658</v>
      </c>
      <c r="I132" s="102" t="s">
        <v>578</v>
      </c>
      <c r="J132" s="11"/>
      <c r="K132" s="13" t="s">
        <v>62</v>
      </c>
      <c r="L132" s="88">
        <v>2</v>
      </c>
      <c r="M132" s="88">
        <v>2</v>
      </c>
      <c r="N132" s="13" t="s">
        <v>45</v>
      </c>
      <c r="O132" s="10" t="s">
        <v>575</v>
      </c>
      <c r="P132" s="10" t="s">
        <v>577</v>
      </c>
      <c r="Q132" s="10">
        <v>20411454</v>
      </c>
    </row>
    <row r="133" spans="1:17" ht="15" customHeight="1" x14ac:dyDescent="0.2">
      <c r="A133" s="13" t="s">
        <v>571</v>
      </c>
      <c r="B133" s="27" t="str">
        <f t="shared" si="2"/>
        <v>6YM5HM9RW551</v>
      </c>
      <c r="C133" s="13">
        <v>19674572301</v>
      </c>
      <c r="D133" s="13" t="s">
        <v>569</v>
      </c>
      <c r="E133" s="13" t="s">
        <v>49</v>
      </c>
      <c r="F133" s="37">
        <v>45600</v>
      </c>
      <c r="G133" s="13" t="s">
        <v>61</v>
      </c>
      <c r="H133" s="37">
        <v>45658</v>
      </c>
      <c r="I133" s="102" t="s">
        <v>495</v>
      </c>
      <c r="J133" s="11"/>
      <c r="K133" s="13" t="s">
        <v>62</v>
      </c>
      <c r="L133" s="88">
        <v>2</v>
      </c>
      <c r="M133" s="88">
        <v>2</v>
      </c>
      <c r="N133" s="13" t="s">
        <v>45</v>
      </c>
      <c r="O133" s="10" t="s">
        <v>575</v>
      </c>
      <c r="P133" s="10" t="s">
        <v>577</v>
      </c>
      <c r="Q133" s="10">
        <v>20411454</v>
      </c>
    </row>
    <row r="134" spans="1:17" ht="15" customHeight="1" x14ac:dyDescent="0.2">
      <c r="A134" s="13" t="s">
        <v>572</v>
      </c>
      <c r="B134" s="27" t="str">
        <f t="shared" si="2"/>
        <v>1U12GW7HQ821</v>
      </c>
      <c r="C134" s="13">
        <v>19782338801</v>
      </c>
      <c r="D134" s="13" t="s">
        <v>570</v>
      </c>
      <c r="E134" s="13" t="s">
        <v>316</v>
      </c>
      <c r="F134" s="37">
        <v>45611</v>
      </c>
      <c r="G134" s="13" t="s">
        <v>317</v>
      </c>
      <c r="H134" s="37">
        <v>45658</v>
      </c>
      <c r="I134" s="102" t="s">
        <v>580</v>
      </c>
      <c r="J134" s="11"/>
      <c r="K134" s="13" t="s">
        <v>62</v>
      </c>
      <c r="L134" s="88">
        <v>0</v>
      </c>
      <c r="M134" s="88">
        <v>0</v>
      </c>
      <c r="N134" s="13" t="s">
        <v>45</v>
      </c>
      <c r="O134" s="10" t="s">
        <v>575</v>
      </c>
      <c r="P134" s="10" t="s">
        <v>577</v>
      </c>
      <c r="Q134" s="10">
        <v>20411454</v>
      </c>
    </row>
    <row r="135" spans="1:17" ht="15" customHeight="1" x14ac:dyDescent="0.2">
      <c r="A135" s="13" t="s">
        <v>133</v>
      </c>
      <c r="B135" s="27" t="str">
        <f t="shared" si="2"/>
        <v>5KF9TC6CR361</v>
      </c>
      <c r="C135" s="36">
        <v>19838931401</v>
      </c>
      <c r="D135" s="13" t="s">
        <v>134</v>
      </c>
      <c r="E135" s="13" t="s">
        <v>49</v>
      </c>
      <c r="F135" s="37">
        <v>45617</v>
      </c>
      <c r="G135" s="13" t="s">
        <v>93</v>
      </c>
      <c r="H135" s="37">
        <v>45658</v>
      </c>
      <c r="I135" s="102" t="s">
        <v>518</v>
      </c>
      <c r="J135" s="11"/>
      <c r="K135" s="13" t="s">
        <v>62</v>
      </c>
      <c r="L135" s="88">
        <v>2</v>
      </c>
      <c r="M135" s="88">
        <v>2</v>
      </c>
      <c r="N135" s="13" t="s">
        <v>45</v>
      </c>
      <c r="O135" s="10" t="s">
        <v>575</v>
      </c>
      <c r="P135" s="10" t="s">
        <v>577</v>
      </c>
      <c r="Q135" s="10">
        <v>20411454</v>
      </c>
    </row>
    <row r="136" spans="1:17" ht="15" customHeight="1" x14ac:dyDescent="0.2">
      <c r="A136" s="13" t="s">
        <v>318</v>
      </c>
      <c r="B136" s="27" t="str">
        <f t="shared" si="2"/>
        <v>6VT0DQ1FK111</v>
      </c>
      <c r="C136" s="36">
        <v>15739433901</v>
      </c>
      <c r="D136" s="13" t="s">
        <v>319</v>
      </c>
      <c r="E136" s="13" t="s">
        <v>53</v>
      </c>
      <c r="F136" s="37">
        <v>45596</v>
      </c>
      <c r="G136" s="13" t="s">
        <v>54</v>
      </c>
      <c r="H136" s="37">
        <v>45658</v>
      </c>
      <c r="I136" s="102" t="s">
        <v>448</v>
      </c>
      <c r="J136" s="11"/>
      <c r="K136" s="13" t="s">
        <v>62</v>
      </c>
      <c r="L136" s="88">
        <v>2</v>
      </c>
      <c r="M136" s="88">
        <v>2</v>
      </c>
      <c r="N136" s="13" t="s">
        <v>45</v>
      </c>
      <c r="O136" s="10" t="s">
        <v>575</v>
      </c>
      <c r="P136" s="10" t="s">
        <v>577</v>
      </c>
      <c r="Q136" s="10">
        <v>20411454</v>
      </c>
    </row>
    <row r="137" spans="1:17" ht="15" customHeight="1" x14ac:dyDescent="0.2">
      <c r="A137" s="13" t="s">
        <v>320</v>
      </c>
      <c r="B137" s="27" t="str">
        <f t="shared" si="2"/>
        <v>5GR5QJ2HU771</v>
      </c>
      <c r="C137" s="36">
        <v>15788423001</v>
      </c>
      <c r="D137" s="13" t="s">
        <v>321</v>
      </c>
      <c r="E137" s="13" t="s">
        <v>53</v>
      </c>
      <c r="F137" s="37">
        <v>45596</v>
      </c>
      <c r="G137" s="13" t="s">
        <v>54</v>
      </c>
      <c r="H137" s="37">
        <v>45658</v>
      </c>
      <c r="I137" s="102" t="s">
        <v>448</v>
      </c>
      <c r="J137" s="11"/>
      <c r="K137" s="13" t="s">
        <v>62</v>
      </c>
      <c r="L137" s="88">
        <v>2</v>
      </c>
      <c r="M137" s="88">
        <v>2</v>
      </c>
      <c r="N137" s="13" t="s">
        <v>45</v>
      </c>
      <c r="O137" s="10" t="s">
        <v>575</v>
      </c>
      <c r="P137" s="10" t="s">
        <v>577</v>
      </c>
      <c r="Q137" s="10">
        <v>20411454</v>
      </c>
    </row>
    <row r="138" spans="1:17" ht="15" customHeight="1" x14ac:dyDescent="0.2">
      <c r="A138" s="13" t="s">
        <v>137</v>
      </c>
      <c r="B138" s="27" t="str">
        <f t="shared" si="2"/>
        <v>9UM6EP4JF821</v>
      </c>
      <c r="C138" s="36">
        <v>20057871401</v>
      </c>
      <c r="D138" s="13" t="s">
        <v>138</v>
      </c>
      <c r="E138" s="13" t="s">
        <v>49</v>
      </c>
      <c r="F138" s="37">
        <v>45635</v>
      </c>
      <c r="G138" s="13" t="s">
        <v>61</v>
      </c>
      <c r="H138" s="37">
        <v>45689</v>
      </c>
      <c r="I138" s="102" t="s">
        <v>495</v>
      </c>
      <c r="J138" s="11"/>
      <c r="K138" s="13" t="s">
        <v>62</v>
      </c>
      <c r="L138" s="88">
        <v>2</v>
      </c>
      <c r="M138" s="88">
        <v>2</v>
      </c>
      <c r="N138" s="13" t="s">
        <v>45</v>
      </c>
      <c r="O138" s="10" t="s">
        <v>575</v>
      </c>
      <c r="P138" s="10" t="s">
        <v>577</v>
      </c>
      <c r="Q138" s="10">
        <v>20411454</v>
      </c>
    </row>
    <row r="139" spans="1:17" ht="15" customHeight="1" x14ac:dyDescent="0.2">
      <c r="A139" s="13" t="s">
        <v>322</v>
      </c>
      <c r="B139" s="27" t="str">
        <f t="shared" si="2"/>
        <v>3G43EM3UQ151</v>
      </c>
      <c r="C139" s="36">
        <v>19684471601</v>
      </c>
      <c r="D139" s="13" t="s">
        <v>323</v>
      </c>
      <c r="E139" s="13" t="s">
        <v>53</v>
      </c>
      <c r="F139" s="37">
        <v>45601</v>
      </c>
      <c r="G139" s="13" t="s">
        <v>163</v>
      </c>
      <c r="H139" s="37">
        <v>45658</v>
      </c>
      <c r="I139" s="102" t="s">
        <v>446</v>
      </c>
      <c r="J139" s="11"/>
      <c r="K139" s="13" t="s">
        <v>62</v>
      </c>
      <c r="L139" s="88">
        <v>2</v>
      </c>
      <c r="M139" s="88">
        <v>2</v>
      </c>
      <c r="N139" s="13" t="s">
        <v>45</v>
      </c>
      <c r="O139" s="10" t="s">
        <v>575</v>
      </c>
      <c r="P139" s="10" t="s">
        <v>577</v>
      </c>
      <c r="Q139" s="10">
        <v>20411454</v>
      </c>
    </row>
    <row r="140" spans="1:17" ht="15" customHeight="1" x14ac:dyDescent="0.2">
      <c r="A140" s="27" t="s">
        <v>324</v>
      </c>
      <c r="B140" s="27" t="str">
        <f t="shared" si="2"/>
        <v>1AH9NE2FR571</v>
      </c>
      <c r="C140" s="28">
        <v>17992823901</v>
      </c>
      <c r="D140" s="27" t="s">
        <v>325</v>
      </c>
      <c r="E140" s="27" t="s">
        <v>53</v>
      </c>
      <c r="F140" s="29">
        <v>45629</v>
      </c>
      <c r="G140" s="27" t="s">
        <v>54</v>
      </c>
      <c r="H140" s="29">
        <v>45658</v>
      </c>
      <c r="I140" s="101" t="s">
        <v>448</v>
      </c>
      <c r="J140" s="32"/>
      <c r="K140" s="27" t="s">
        <v>62</v>
      </c>
      <c r="L140" s="87">
        <v>2</v>
      </c>
      <c r="M140" s="87">
        <v>2</v>
      </c>
      <c r="N140" s="27" t="s">
        <v>45</v>
      </c>
      <c r="O140" s="10" t="s">
        <v>575</v>
      </c>
      <c r="P140" s="10" t="s">
        <v>577</v>
      </c>
      <c r="Q140" s="10">
        <v>20411454</v>
      </c>
    </row>
    <row r="141" spans="1:17" ht="15" customHeight="1" x14ac:dyDescent="0.2">
      <c r="A141" s="13" t="s">
        <v>326</v>
      </c>
      <c r="B141" s="27" t="str">
        <f t="shared" si="2"/>
        <v>6W29H72MJ281</v>
      </c>
      <c r="C141" s="36">
        <v>19751460701</v>
      </c>
      <c r="D141" s="13" t="s">
        <v>327</v>
      </c>
      <c r="E141" s="13" t="s">
        <v>53</v>
      </c>
      <c r="F141" s="37">
        <v>45609</v>
      </c>
      <c r="G141" s="13" t="s">
        <v>163</v>
      </c>
      <c r="H141" s="37">
        <v>45658</v>
      </c>
      <c r="I141" s="102" t="s">
        <v>446</v>
      </c>
      <c r="J141" s="11"/>
      <c r="K141" s="13" t="s">
        <v>62</v>
      </c>
      <c r="L141" s="88">
        <v>2</v>
      </c>
      <c r="M141" s="88">
        <v>2</v>
      </c>
      <c r="N141" s="13" t="s">
        <v>45</v>
      </c>
      <c r="O141" s="10" t="s">
        <v>575</v>
      </c>
      <c r="P141" s="10" t="s">
        <v>577</v>
      </c>
      <c r="Q141" s="10">
        <v>20411454</v>
      </c>
    </row>
    <row r="142" spans="1:17" ht="15" customHeight="1" x14ac:dyDescent="0.2">
      <c r="A142" s="13" t="s">
        <v>328</v>
      </c>
      <c r="B142" s="27" t="str">
        <f t="shared" si="2"/>
        <v>6C43H04TU081</v>
      </c>
      <c r="C142" s="36">
        <v>19751399701</v>
      </c>
      <c r="D142" s="13" t="s">
        <v>329</v>
      </c>
      <c r="E142" s="13" t="s">
        <v>53</v>
      </c>
      <c r="F142" s="37">
        <v>45609</v>
      </c>
      <c r="G142" s="13" t="s">
        <v>163</v>
      </c>
      <c r="H142" s="37">
        <v>45658</v>
      </c>
      <c r="I142" s="102" t="s">
        <v>446</v>
      </c>
      <c r="J142" s="11"/>
      <c r="K142" s="13" t="s">
        <v>62</v>
      </c>
      <c r="L142" s="88">
        <v>2</v>
      </c>
      <c r="M142" s="88">
        <v>2</v>
      </c>
      <c r="N142" s="13" t="s">
        <v>45</v>
      </c>
      <c r="O142" s="10" t="s">
        <v>575</v>
      </c>
      <c r="P142" s="10" t="s">
        <v>577</v>
      </c>
      <c r="Q142" s="10">
        <v>20411454</v>
      </c>
    </row>
    <row r="143" spans="1:17" ht="15" customHeight="1" x14ac:dyDescent="0.2">
      <c r="A143" s="13" t="s">
        <v>330</v>
      </c>
      <c r="B143" s="27" t="str">
        <f t="shared" si="2"/>
        <v>9UQ7GK1EX391</v>
      </c>
      <c r="C143" s="36">
        <v>18083863301</v>
      </c>
      <c r="D143" s="13" t="s">
        <v>331</v>
      </c>
      <c r="E143" s="13" t="s">
        <v>53</v>
      </c>
      <c r="F143" s="37">
        <v>45582</v>
      </c>
      <c r="G143" s="13" t="s">
        <v>153</v>
      </c>
      <c r="H143" s="37">
        <v>45658</v>
      </c>
      <c r="I143" s="102" t="s">
        <v>581</v>
      </c>
      <c r="J143" s="11"/>
      <c r="K143" s="13" t="s">
        <v>62</v>
      </c>
      <c r="L143" s="88">
        <v>2</v>
      </c>
      <c r="M143" s="88">
        <v>2</v>
      </c>
      <c r="N143" s="13" t="s">
        <v>45</v>
      </c>
      <c r="O143" s="10" t="s">
        <v>575</v>
      </c>
      <c r="P143" s="10" t="s">
        <v>577</v>
      </c>
      <c r="Q143" s="10">
        <v>20411454</v>
      </c>
    </row>
    <row r="144" spans="1:17" ht="15" customHeight="1" x14ac:dyDescent="0.2">
      <c r="A144" s="13" t="s">
        <v>332</v>
      </c>
      <c r="B144" s="27" t="str">
        <f t="shared" si="2"/>
        <v>8AW0KY1TE481</v>
      </c>
      <c r="C144" s="36">
        <v>19735550601</v>
      </c>
      <c r="D144" s="13" t="s">
        <v>333</v>
      </c>
      <c r="E144" s="13" t="s">
        <v>49</v>
      </c>
      <c r="F144" s="37">
        <v>45607</v>
      </c>
      <c r="G144" s="13" t="s">
        <v>50</v>
      </c>
      <c r="H144" s="37">
        <v>45658</v>
      </c>
      <c r="I144" s="102" t="s">
        <v>516</v>
      </c>
      <c r="J144" s="11"/>
      <c r="K144" s="13" t="s">
        <v>62</v>
      </c>
      <c r="L144" s="88">
        <v>2</v>
      </c>
      <c r="M144" s="88">
        <v>2</v>
      </c>
      <c r="N144" s="13" t="s">
        <v>45</v>
      </c>
      <c r="O144" s="10" t="s">
        <v>575</v>
      </c>
      <c r="P144" s="10" t="s">
        <v>577</v>
      </c>
      <c r="Q144" s="10">
        <v>20411454</v>
      </c>
    </row>
    <row r="145" spans="1:17" ht="15" customHeight="1" x14ac:dyDescent="0.2">
      <c r="A145" s="13" t="s">
        <v>509</v>
      </c>
      <c r="B145" s="27" t="str">
        <f t="shared" si="2"/>
        <v>5RQ8MD3AC221</v>
      </c>
      <c r="C145" s="13">
        <v>19887825801</v>
      </c>
      <c r="D145" s="13" t="s">
        <v>510</v>
      </c>
      <c r="E145" s="13" t="s">
        <v>49</v>
      </c>
      <c r="F145" s="37">
        <v>45622</v>
      </c>
      <c r="G145" s="13" t="s">
        <v>50</v>
      </c>
      <c r="H145" s="37">
        <v>45658</v>
      </c>
      <c r="I145" s="102" t="s">
        <v>516</v>
      </c>
      <c r="J145" s="11"/>
      <c r="K145" s="13" t="s">
        <v>62</v>
      </c>
      <c r="L145" s="88">
        <v>2</v>
      </c>
      <c r="M145" s="88">
        <v>2</v>
      </c>
      <c r="N145" s="13" t="s">
        <v>45</v>
      </c>
      <c r="O145" s="10" t="s">
        <v>575</v>
      </c>
      <c r="P145" s="10" t="s">
        <v>577</v>
      </c>
      <c r="Q145" s="10">
        <v>20411454</v>
      </c>
    </row>
    <row r="146" spans="1:17" ht="15" customHeight="1" x14ac:dyDescent="0.2">
      <c r="A146" s="13" t="s">
        <v>334</v>
      </c>
      <c r="B146" s="27" t="str">
        <f t="shared" si="2"/>
        <v>7HJ6WK1VQ481</v>
      </c>
      <c r="C146" s="36">
        <v>19909285901</v>
      </c>
      <c r="D146" s="13" t="s">
        <v>335</v>
      </c>
      <c r="E146" s="13" t="s">
        <v>316</v>
      </c>
      <c r="F146" s="37">
        <v>45625</v>
      </c>
      <c r="G146" s="13" t="s">
        <v>317</v>
      </c>
      <c r="H146" s="37">
        <v>45658</v>
      </c>
      <c r="I146" s="102" t="s">
        <v>580</v>
      </c>
      <c r="J146" s="11"/>
      <c r="K146" s="13" t="s">
        <v>62</v>
      </c>
      <c r="L146" s="88">
        <v>2</v>
      </c>
      <c r="M146" s="88">
        <v>2</v>
      </c>
      <c r="N146" s="13" t="s">
        <v>45</v>
      </c>
      <c r="O146" s="10" t="s">
        <v>575</v>
      </c>
      <c r="P146" s="10" t="s">
        <v>577</v>
      </c>
      <c r="Q146" s="10">
        <v>20411454</v>
      </c>
    </row>
    <row r="147" spans="1:17" ht="15" customHeight="1" x14ac:dyDescent="0.2">
      <c r="A147" s="13" t="s">
        <v>336</v>
      </c>
      <c r="B147" s="27" t="str">
        <f t="shared" si="2"/>
        <v>8M14JY5QM091</v>
      </c>
      <c r="C147" s="36">
        <v>19838692201</v>
      </c>
      <c r="D147" s="13" t="s">
        <v>337</v>
      </c>
      <c r="E147" s="13" t="s">
        <v>49</v>
      </c>
      <c r="F147" s="37">
        <v>45617</v>
      </c>
      <c r="G147" s="13" t="s">
        <v>160</v>
      </c>
      <c r="H147" s="37">
        <v>45658</v>
      </c>
      <c r="I147" s="102" t="s">
        <v>498</v>
      </c>
      <c r="J147" s="11"/>
      <c r="K147" s="13" t="s">
        <v>62</v>
      </c>
      <c r="L147" s="88">
        <v>2</v>
      </c>
      <c r="M147" s="88">
        <v>2</v>
      </c>
      <c r="N147" s="13" t="s">
        <v>45</v>
      </c>
      <c r="O147" s="10" t="s">
        <v>575</v>
      </c>
      <c r="P147" s="10" t="s">
        <v>577</v>
      </c>
      <c r="Q147" s="10">
        <v>20411454</v>
      </c>
    </row>
    <row r="148" spans="1:17" ht="15" customHeight="1" x14ac:dyDescent="0.25">
      <c r="A148" s="13" t="s">
        <v>338</v>
      </c>
      <c r="B148" s="27" t="str">
        <f t="shared" si="2"/>
        <v>3XN3N30TH851</v>
      </c>
      <c r="C148" s="36">
        <v>19484383501</v>
      </c>
      <c r="D148" s="13" t="s">
        <v>339</v>
      </c>
      <c r="E148" s="13" t="s">
        <v>53</v>
      </c>
      <c r="F148" s="37">
        <v>45590</v>
      </c>
      <c r="G148" s="13" t="s">
        <v>54</v>
      </c>
      <c r="H148" s="37">
        <v>45658</v>
      </c>
      <c r="I148" s="102" t="s">
        <v>448</v>
      </c>
      <c r="J148" s="12"/>
      <c r="K148" s="13" t="s">
        <v>62</v>
      </c>
      <c r="L148" s="88">
        <v>2</v>
      </c>
      <c r="M148" s="88">
        <v>2</v>
      </c>
      <c r="N148" s="13" t="s">
        <v>45</v>
      </c>
      <c r="O148" s="10" t="s">
        <v>575</v>
      </c>
      <c r="P148" s="10" t="s">
        <v>577</v>
      </c>
      <c r="Q148" s="10">
        <v>20411454</v>
      </c>
    </row>
    <row r="149" spans="1:17" ht="15" customHeight="1" x14ac:dyDescent="0.2">
      <c r="A149" s="65" t="s">
        <v>573</v>
      </c>
      <c r="B149" s="27" t="str">
        <f t="shared" si="2"/>
        <v>7WC2M68PM991</v>
      </c>
      <c r="C149" s="65">
        <v>19483716701</v>
      </c>
      <c r="D149" s="65" t="s">
        <v>574</v>
      </c>
      <c r="E149" s="65" t="s">
        <v>53</v>
      </c>
      <c r="F149" s="68">
        <v>45590</v>
      </c>
      <c r="G149" s="65" t="s">
        <v>54</v>
      </c>
      <c r="H149" s="68">
        <v>45658</v>
      </c>
      <c r="I149" s="103" t="s">
        <v>448</v>
      </c>
      <c r="J149" s="94"/>
      <c r="K149" s="65" t="s">
        <v>62</v>
      </c>
      <c r="L149" s="95">
        <v>2</v>
      </c>
      <c r="M149" s="95">
        <v>2</v>
      </c>
      <c r="N149" s="65" t="s">
        <v>45</v>
      </c>
      <c r="O149" s="10" t="s">
        <v>575</v>
      </c>
      <c r="P149" s="10" t="s">
        <v>577</v>
      </c>
      <c r="Q149" s="10">
        <v>20411454</v>
      </c>
    </row>
    <row r="150" spans="1:17" ht="15" customHeight="1" x14ac:dyDescent="0.2">
      <c r="A150" s="13" t="s">
        <v>340</v>
      </c>
      <c r="B150" s="27" t="str">
        <f t="shared" si="2"/>
        <v>8DE4EK9VV701</v>
      </c>
      <c r="C150" s="36">
        <v>19915225701</v>
      </c>
      <c r="D150" s="13" t="s">
        <v>341</v>
      </c>
      <c r="E150" s="13" t="s">
        <v>49</v>
      </c>
      <c r="F150" s="37">
        <v>45626</v>
      </c>
      <c r="G150" s="13" t="s">
        <v>50</v>
      </c>
      <c r="H150" s="37">
        <v>45658</v>
      </c>
      <c r="I150" s="102" t="s">
        <v>516</v>
      </c>
      <c r="J150" s="11"/>
      <c r="K150" s="13" t="s">
        <v>62</v>
      </c>
      <c r="L150" s="88">
        <v>2</v>
      </c>
      <c r="M150" s="88">
        <v>2</v>
      </c>
      <c r="N150" s="13" t="s">
        <v>45</v>
      </c>
      <c r="O150" s="10" t="s">
        <v>575</v>
      </c>
      <c r="P150" s="10" t="s">
        <v>577</v>
      </c>
      <c r="Q150" s="10">
        <v>20411454</v>
      </c>
    </row>
    <row r="151" spans="1:17" ht="15" customHeight="1" x14ac:dyDescent="0.2">
      <c r="A151" s="13" t="s">
        <v>342</v>
      </c>
      <c r="B151" s="27" t="str">
        <f t="shared" si="2"/>
        <v>5E98E53KM661</v>
      </c>
      <c r="C151" s="36">
        <v>19971654901</v>
      </c>
      <c r="D151" s="13" t="s">
        <v>343</v>
      </c>
      <c r="E151" s="13" t="s">
        <v>53</v>
      </c>
      <c r="F151" s="37">
        <v>45630</v>
      </c>
      <c r="G151" s="13" t="s">
        <v>54</v>
      </c>
      <c r="H151" s="37">
        <v>45658</v>
      </c>
      <c r="I151" s="102" t="s">
        <v>448</v>
      </c>
      <c r="J151" s="11"/>
      <c r="K151" s="13" t="s">
        <v>62</v>
      </c>
      <c r="L151" s="88">
        <v>2</v>
      </c>
      <c r="M151" s="88">
        <v>2</v>
      </c>
      <c r="N151" s="13" t="s">
        <v>45</v>
      </c>
      <c r="O151" s="10" t="s">
        <v>575</v>
      </c>
      <c r="P151" s="10" t="s">
        <v>577</v>
      </c>
      <c r="Q151" s="10">
        <v>20411454</v>
      </c>
    </row>
    <row r="152" spans="1:17" ht="15" customHeight="1" x14ac:dyDescent="0.2">
      <c r="A152" s="13" t="s">
        <v>344</v>
      </c>
      <c r="B152" s="27" t="str">
        <f t="shared" si="2"/>
        <v>4RU7X03AX521</v>
      </c>
      <c r="C152" s="36">
        <v>19674353801</v>
      </c>
      <c r="D152" s="13" t="s">
        <v>345</v>
      </c>
      <c r="E152" s="13" t="s">
        <v>53</v>
      </c>
      <c r="F152" s="37">
        <v>45600</v>
      </c>
      <c r="G152" s="13" t="s">
        <v>54</v>
      </c>
      <c r="H152" s="37">
        <v>45658</v>
      </c>
      <c r="I152" s="102" t="s">
        <v>448</v>
      </c>
      <c r="J152" s="11"/>
      <c r="K152" s="13" t="s">
        <v>62</v>
      </c>
      <c r="L152" s="88">
        <v>2</v>
      </c>
      <c r="M152" s="88">
        <v>2</v>
      </c>
      <c r="N152" s="13" t="s">
        <v>45</v>
      </c>
      <c r="O152" s="10" t="s">
        <v>575</v>
      </c>
      <c r="P152" s="10" t="s">
        <v>577</v>
      </c>
      <c r="Q152" s="10">
        <v>20411454</v>
      </c>
    </row>
    <row r="153" spans="1:17" ht="15" customHeight="1" x14ac:dyDescent="0.2">
      <c r="A153" s="13" t="s">
        <v>346</v>
      </c>
      <c r="B153" s="27" t="str">
        <f t="shared" si="2"/>
        <v>2QM3NK2FK061</v>
      </c>
      <c r="C153" s="36">
        <v>19903351501</v>
      </c>
      <c r="D153" s="13" t="s">
        <v>347</v>
      </c>
      <c r="E153" s="13" t="s">
        <v>316</v>
      </c>
      <c r="F153" s="37">
        <v>45624</v>
      </c>
      <c r="G153" s="13" t="s">
        <v>317</v>
      </c>
      <c r="H153" s="37">
        <v>45658</v>
      </c>
      <c r="I153" s="102" t="s">
        <v>580</v>
      </c>
      <c r="J153" s="11"/>
      <c r="K153" s="13" t="s">
        <v>62</v>
      </c>
      <c r="L153" s="88">
        <v>2</v>
      </c>
      <c r="M153" s="88">
        <v>2</v>
      </c>
      <c r="N153" s="13" t="s">
        <v>45</v>
      </c>
      <c r="O153" s="10" t="s">
        <v>575</v>
      </c>
      <c r="P153" s="10" t="s">
        <v>577</v>
      </c>
      <c r="Q153" s="10">
        <v>20411454</v>
      </c>
    </row>
    <row r="154" spans="1:17" ht="15" customHeight="1" x14ac:dyDescent="0.2">
      <c r="A154" s="13" t="s">
        <v>348</v>
      </c>
      <c r="B154" s="27" t="str">
        <f t="shared" si="2"/>
        <v>4YP0EK1UW371</v>
      </c>
      <c r="C154" s="36">
        <v>19903516301</v>
      </c>
      <c r="D154" s="13" t="s">
        <v>349</v>
      </c>
      <c r="E154" s="13" t="s">
        <v>316</v>
      </c>
      <c r="F154" s="37">
        <v>45624</v>
      </c>
      <c r="G154" s="13" t="s">
        <v>317</v>
      </c>
      <c r="H154" s="37">
        <v>45658</v>
      </c>
      <c r="I154" s="102" t="s">
        <v>580</v>
      </c>
      <c r="J154" s="11"/>
      <c r="K154" s="13" t="s">
        <v>62</v>
      </c>
      <c r="L154" s="88">
        <v>2</v>
      </c>
      <c r="M154" s="88">
        <v>2</v>
      </c>
      <c r="N154" s="13" t="s">
        <v>45</v>
      </c>
      <c r="O154" s="10" t="s">
        <v>575</v>
      </c>
      <c r="P154" s="10" t="s">
        <v>577</v>
      </c>
      <c r="Q154" s="10">
        <v>20411454</v>
      </c>
    </row>
    <row r="155" spans="1:17" ht="15" customHeight="1" x14ac:dyDescent="0.2">
      <c r="A155" s="13" t="s">
        <v>350</v>
      </c>
      <c r="B155" s="27" t="str">
        <f t="shared" si="2"/>
        <v>5QR2KQ3PJ001</v>
      </c>
      <c r="C155" s="36">
        <v>19970940301</v>
      </c>
      <c r="D155" s="13" t="s">
        <v>351</v>
      </c>
      <c r="E155" s="13" t="s">
        <v>53</v>
      </c>
      <c r="F155" s="37">
        <v>45630</v>
      </c>
      <c r="G155" s="13" t="s">
        <v>153</v>
      </c>
      <c r="H155" s="37">
        <v>45658</v>
      </c>
      <c r="I155" s="102" t="s">
        <v>581</v>
      </c>
      <c r="J155" s="11"/>
      <c r="K155" s="13" t="s">
        <v>62</v>
      </c>
      <c r="L155" s="88">
        <v>2</v>
      </c>
      <c r="M155" s="88">
        <v>2</v>
      </c>
      <c r="N155" s="13" t="s">
        <v>45</v>
      </c>
      <c r="O155" s="10" t="s">
        <v>575</v>
      </c>
      <c r="P155" s="10" t="s">
        <v>577</v>
      </c>
      <c r="Q155" s="10">
        <v>20411454</v>
      </c>
    </row>
    <row r="156" spans="1:17" ht="15" customHeight="1" x14ac:dyDescent="0.2">
      <c r="A156" s="65" t="s">
        <v>352</v>
      </c>
      <c r="B156" s="27" t="str">
        <f t="shared" si="2"/>
        <v>1QF9PD9WV581</v>
      </c>
      <c r="C156" s="93">
        <v>20052376901</v>
      </c>
      <c r="D156" s="65" t="s">
        <v>353</v>
      </c>
      <c r="E156" s="65" t="s">
        <v>49</v>
      </c>
      <c r="F156" s="68">
        <v>45633</v>
      </c>
      <c r="G156" s="65" t="s">
        <v>50</v>
      </c>
      <c r="H156" s="68">
        <v>45658</v>
      </c>
      <c r="I156" s="103" t="s">
        <v>516</v>
      </c>
      <c r="J156" s="94"/>
      <c r="K156" s="65" t="s">
        <v>62</v>
      </c>
      <c r="L156" s="95">
        <v>2</v>
      </c>
      <c r="M156" s="95">
        <v>2</v>
      </c>
      <c r="N156" s="65" t="s">
        <v>45</v>
      </c>
      <c r="O156" s="10" t="s">
        <v>575</v>
      </c>
      <c r="P156" s="10" t="s">
        <v>577</v>
      </c>
      <c r="Q156" s="10">
        <v>20411454</v>
      </c>
    </row>
    <row r="157" spans="1:17" s="119" customFormat="1" ht="15" customHeight="1" x14ac:dyDescent="0.2">
      <c r="A157" s="109" t="s">
        <v>251</v>
      </c>
      <c r="B157" s="109" t="s">
        <v>251</v>
      </c>
      <c r="C157" s="132">
        <v>19455795501</v>
      </c>
      <c r="D157" s="109" t="s">
        <v>252</v>
      </c>
      <c r="E157" s="109" t="s">
        <v>49</v>
      </c>
      <c r="F157" s="112">
        <v>45587</v>
      </c>
      <c r="G157" s="109" t="s">
        <v>76</v>
      </c>
      <c r="H157" s="112">
        <v>45658</v>
      </c>
      <c r="I157" s="133" t="s">
        <v>494</v>
      </c>
      <c r="J157" s="134"/>
      <c r="K157" s="109" t="s">
        <v>62</v>
      </c>
      <c r="L157" s="135">
        <v>12</v>
      </c>
      <c r="M157" s="135">
        <v>12</v>
      </c>
      <c r="N157" s="109" t="s">
        <v>46</v>
      </c>
      <c r="O157" s="119" t="s">
        <v>576</v>
      </c>
      <c r="P157" s="119" t="s">
        <v>494</v>
      </c>
      <c r="Q157" s="119">
        <v>17094718</v>
      </c>
    </row>
    <row r="158" spans="1:17" ht="15" customHeight="1" x14ac:dyDescent="0.2">
      <c r="A158" s="13" t="s">
        <v>147</v>
      </c>
      <c r="B158" s="13" t="s">
        <v>147</v>
      </c>
      <c r="C158" s="36">
        <v>19472603001</v>
      </c>
      <c r="D158" s="13" t="s">
        <v>148</v>
      </c>
      <c r="E158" s="13" t="s">
        <v>53</v>
      </c>
      <c r="F158" s="37">
        <v>45589</v>
      </c>
      <c r="G158" s="13" t="s">
        <v>73</v>
      </c>
      <c r="H158" s="37">
        <v>45658</v>
      </c>
      <c r="I158" s="102" t="s">
        <v>497</v>
      </c>
      <c r="J158" s="11"/>
      <c r="K158" s="13" t="s">
        <v>62</v>
      </c>
      <c r="L158" s="88">
        <v>12</v>
      </c>
      <c r="M158" s="88">
        <v>12</v>
      </c>
      <c r="N158" s="13" t="s">
        <v>46</v>
      </c>
      <c r="O158" s="10" t="s">
        <v>576</v>
      </c>
      <c r="P158" s="10" t="s">
        <v>497</v>
      </c>
      <c r="Q158" s="10">
        <v>15278437</v>
      </c>
    </row>
    <row r="159" spans="1:17" ht="15" customHeight="1" x14ac:dyDescent="0.2">
      <c r="A159" s="13" t="s">
        <v>71</v>
      </c>
      <c r="B159" s="13" t="s">
        <v>71</v>
      </c>
      <c r="C159" s="13">
        <v>19922388401</v>
      </c>
      <c r="D159" s="13" t="s">
        <v>542</v>
      </c>
      <c r="E159" s="13" t="s">
        <v>53</v>
      </c>
      <c r="F159" s="37">
        <v>45628</v>
      </c>
      <c r="G159" s="13" t="s">
        <v>73</v>
      </c>
      <c r="H159" s="37">
        <v>45658</v>
      </c>
      <c r="I159" s="102" t="s">
        <v>497</v>
      </c>
      <c r="K159" s="13" t="s">
        <v>62</v>
      </c>
      <c r="L159" s="88">
        <v>12</v>
      </c>
      <c r="M159" s="88">
        <v>12</v>
      </c>
      <c r="N159" s="13" t="s">
        <v>46</v>
      </c>
      <c r="O159" s="10" t="s">
        <v>576</v>
      </c>
      <c r="P159" s="10" t="s">
        <v>497</v>
      </c>
      <c r="Q159" s="10">
        <v>15278437</v>
      </c>
    </row>
    <row r="160" spans="1:17" ht="15" customHeight="1" x14ac:dyDescent="0.2">
      <c r="A160" s="13" t="s">
        <v>170</v>
      </c>
      <c r="B160" s="13" t="s">
        <v>170</v>
      </c>
      <c r="C160" s="13">
        <v>19505689001</v>
      </c>
      <c r="D160" s="13" t="s">
        <v>550</v>
      </c>
      <c r="E160" s="13" t="s">
        <v>53</v>
      </c>
      <c r="F160" s="37">
        <v>45594</v>
      </c>
      <c r="G160" s="13" t="s">
        <v>73</v>
      </c>
      <c r="H160" s="37">
        <v>45658</v>
      </c>
      <c r="I160" s="102" t="s">
        <v>497</v>
      </c>
      <c r="K160" s="13" t="s">
        <v>62</v>
      </c>
      <c r="L160" s="88">
        <v>12</v>
      </c>
      <c r="M160" s="88">
        <v>12</v>
      </c>
      <c r="N160" s="13" t="s">
        <v>46</v>
      </c>
      <c r="O160" s="10" t="s">
        <v>576</v>
      </c>
      <c r="P160" s="10" t="s">
        <v>497</v>
      </c>
      <c r="Q160" s="10">
        <v>15278437</v>
      </c>
    </row>
    <row r="161" spans="1:17" ht="15" customHeight="1" x14ac:dyDescent="0.2">
      <c r="A161" s="13" t="s">
        <v>171</v>
      </c>
      <c r="B161" s="13" t="s">
        <v>171</v>
      </c>
      <c r="C161" s="13">
        <v>19505588401</v>
      </c>
      <c r="D161" s="13" t="s">
        <v>551</v>
      </c>
      <c r="E161" s="13" t="s">
        <v>53</v>
      </c>
      <c r="F161" s="37">
        <v>45594</v>
      </c>
      <c r="G161" s="13" t="s">
        <v>73</v>
      </c>
      <c r="H161" s="37">
        <v>45658</v>
      </c>
      <c r="I161" s="102" t="s">
        <v>497</v>
      </c>
      <c r="K161" s="13" t="s">
        <v>62</v>
      </c>
      <c r="L161" s="88">
        <v>12</v>
      </c>
      <c r="M161" s="88">
        <v>12</v>
      </c>
      <c r="N161" s="13" t="s">
        <v>46</v>
      </c>
      <c r="O161" s="10" t="s">
        <v>576</v>
      </c>
      <c r="P161" s="10" t="s">
        <v>497</v>
      </c>
      <c r="Q161" s="10">
        <v>15278437</v>
      </c>
    </row>
    <row r="162" spans="1:17" ht="15" customHeight="1" x14ac:dyDescent="0.2">
      <c r="A162" s="13" t="s">
        <v>181</v>
      </c>
      <c r="B162" s="13" t="s">
        <v>181</v>
      </c>
      <c r="C162" s="36">
        <v>20018144401</v>
      </c>
      <c r="D162" s="13" t="s">
        <v>182</v>
      </c>
      <c r="E162" s="13" t="s">
        <v>53</v>
      </c>
      <c r="F162" s="37">
        <v>45632</v>
      </c>
      <c r="G162" s="13" t="s">
        <v>73</v>
      </c>
      <c r="H162" s="37">
        <v>45658</v>
      </c>
      <c r="I162" s="102" t="s">
        <v>497</v>
      </c>
      <c r="J162" s="11"/>
      <c r="K162" s="13" t="s">
        <v>62</v>
      </c>
      <c r="L162" s="88">
        <v>12</v>
      </c>
      <c r="M162" s="88">
        <v>12</v>
      </c>
      <c r="N162" s="13" t="s">
        <v>46</v>
      </c>
      <c r="O162" s="10" t="s">
        <v>576</v>
      </c>
      <c r="P162" s="10" t="s">
        <v>497</v>
      </c>
      <c r="Q162" s="10">
        <v>15278437</v>
      </c>
    </row>
    <row r="163" spans="1:17" ht="15" customHeight="1" x14ac:dyDescent="0.2">
      <c r="A163" s="13" t="s">
        <v>245</v>
      </c>
      <c r="B163" s="13" t="s">
        <v>245</v>
      </c>
      <c r="C163" s="36">
        <v>20096701601</v>
      </c>
      <c r="D163" s="13" t="s">
        <v>246</v>
      </c>
      <c r="E163" s="13" t="s">
        <v>53</v>
      </c>
      <c r="F163" s="37">
        <v>45657</v>
      </c>
      <c r="G163" s="13" t="s">
        <v>73</v>
      </c>
      <c r="H163" s="37">
        <v>45689</v>
      </c>
      <c r="I163" s="102" t="s">
        <v>497</v>
      </c>
      <c r="J163" s="11"/>
      <c r="K163" s="13" t="s">
        <v>62</v>
      </c>
      <c r="L163" s="88">
        <v>12</v>
      </c>
      <c r="M163" s="88">
        <v>11</v>
      </c>
      <c r="N163" s="13" t="s">
        <v>46</v>
      </c>
      <c r="O163" s="10" t="s">
        <v>576</v>
      </c>
      <c r="P163" s="10" t="s">
        <v>497</v>
      </c>
      <c r="Q163" s="10">
        <v>15278437</v>
      </c>
    </row>
    <row r="164" spans="1:17" ht="15" customHeight="1" x14ac:dyDescent="0.2">
      <c r="A164" s="13" t="s">
        <v>253</v>
      </c>
      <c r="B164" s="13" t="s">
        <v>253</v>
      </c>
      <c r="C164" s="36">
        <v>19866999601</v>
      </c>
      <c r="D164" s="13" t="s">
        <v>254</v>
      </c>
      <c r="E164" s="13" t="s">
        <v>53</v>
      </c>
      <c r="F164" s="37">
        <v>45621</v>
      </c>
      <c r="G164" s="13" t="s">
        <v>73</v>
      </c>
      <c r="H164" s="37">
        <v>45658</v>
      </c>
      <c r="I164" s="102" t="s">
        <v>497</v>
      </c>
      <c r="J164" s="11"/>
      <c r="K164" s="13" t="s">
        <v>62</v>
      </c>
      <c r="L164" s="88">
        <v>12</v>
      </c>
      <c r="M164" s="88">
        <v>12</v>
      </c>
      <c r="N164" s="13" t="s">
        <v>46</v>
      </c>
      <c r="O164" s="10" t="s">
        <v>576</v>
      </c>
      <c r="P164" s="10" t="s">
        <v>497</v>
      </c>
      <c r="Q164" s="10">
        <v>15278437</v>
      </c>
    </row>
    <row r="165" spans="1:17" ht="15" customHeight="1" x14ac:dyDescent="0.2">
      <c r="A165" s="13" t="s">
        <v>567</v>
      </c>
      <c r="B165" s="13" t="s">
        <v>567</v>
      </c>
      <c r="C165" s="13">
        <v>19832491501</v>
      </c>
      <c r="D165" s="13" t="s">
        <v>568</v>
      </c>
      <c r="E165" s="13" t="s">
        <v>53</v>
      </c>
      <c r="F165" s="37">
        <v>45617</v>
      </c>
      <c r="G165" s="13" t="s">
        <v>73</v>
      </c>
      <c r="H165" s="37">
        <v>45658</v>
      </c>
      <c r="I165" s="102" t="s">
        <v>497</v>
      </c>
      <c r="J165" s="11"/>
      <c r="K165" s="13" t="s">
        <v>62</v>
      </c>
      <c r="L165" s="88">
        <v>12</v>
      </c>
      <c r="M165" s="88">
        <v>12</v>
      </c>
      <c r="N165" s="13" t="s">
        <v>46</v>
      </c>
      <c r="O165" s="10" t="s">
        <v>576</v>
      </c>
      <c r="P165" s="10" t="s">
        <v>497</v>
      </c>
      <c r="Q165" s="10">
        <v>15278437</v>
      </c>
    </row>
    <row r="166" spans="1:17" ht="15" customHeight="1" x14ac:dyDescent="0.2">
      <c r="A166" s="13" t="s">
        <v>279</v>
      </c>
      <c r="B166" s="13" t="s">
        <v>279</v>
      </c>
      <c r="C166" s="36">
        <v>19674255501</v>
      </c>
      <c r="D166" s="13" t="s">
        <v>280</v>
      </c>
      <c r="E166" s="13" t="s">
        <v>53</v>
      </c>
      <c r="F166" s="37">
        <v>45600</v>
      </c>
      <c r="G166" s="13" t="s">
        <v>73</v>
      </c>
      <c r="H166" s="37">
        <v>45658</v>
      </c>
      <c r="I166" s="102" t="s">
        <v>497</v>
      </c>
      <c r="J166" s="11"/>
      <c r="K166" s="13" t="s">
        <v>62</v>
      </c>
      <c r="L166" s="88">
        <v>12</v>
      </c>
      <c r="M166" s="88">
        <v>12</v>
      </c>
      <c r="N166" s="13" t="s">
        <v>46</v>
      </c>
      <c r="O166" s="10" t="s">
        <v>576</v>
      </c>
      <c r="P166" s="10" t="s">
        <v>497</v>
      </c>
      <c r="Q166" s="10">
        <v>15278437</v>
      </c>
    </row>
    <row r="167" spans="1:17" ht="15" customHeight="1" x14ac:dyDescent="0.2">
      <c r="A167" s="13" t="s">
        <v>156</v>
      </c>
      <c r="B167" s="13" t="s">
        <v>156</v>
      </c>
      <c r="C167" s="36">
        <v>19410553201</v>
      </c>
      <c r="D167" s="13" t="s">
        <v>157</v>
      </c>
      <c r="E167" s="13" t="s">
        <v>158</v>
      </c>
      <c r="F167" s="37">
        <v>45581</v>
      </c>
      <c r="G167" s="13" t="s">
        <v>159</v>
      </c>
      <c r="H167" s="37">
        <v>45658</v>
      </c>
      <c r="I167" s="102" t="s">
        <v>578</v>
      </c>
      <c r="J167" s="11"/>
      <c r="K167" s="13" t="s">
        <v>62</v>
      </c>
      <c r="L167" s="88">
        <v>12</v>
      </c>
      <c r="M167" s="88">
        <v>12</v>
      </c>
      <c r="N167" s="13" t="s">
        <v>46</v>
      </c>
      <c r="O167" s="10" t="s">
        <v>576</v>
      </c>
      <c r="P167" s="10" t="s">
        <v>578</v>
      </c>
      <c r="Q167" s="10">
        <v>16212649</v>
      </c>
    </row>
    <row r="168" spans="1:17" ht="15" customHeight="1" x14ac:dyDescent="0.2">
      <c r="A168" s="27" t="s">
        <v>297</v>
      </c>
      <c r="B168" s="27" t="s">
        <v>297</v>
      </c>
      <c r="C168" s="28">
        <v>19450355301</v>
      </c>
      <c r="D168" s="27" t="s">
        <v>298</v>
      </c>
      <c r="E168" s="27" t="s">
        <v>158</v>
      </c>
      <c r="F168" s="29">
        <v>45587</v>
      </c>
      <c r="G168" s="27" t="s">
        <v>159</v>
      </c>
      <c r="H168" s="29">
        <v>45658</v>
      </c>
      <c r="I168" s="101" t="s">
        <v>578</v>
      </c>
      <c r="J168" s="32"/>
      <c r="K168" s="27" t="s">
        <v>62</v>
      </c>
      <c r="L168" s="87">
        <v>12</v>
      </c>
      <c r="M168" s="87">
        <v>12</v>
      </c>
      <c r="N168" s="27" t="s">
        <v>46</v>
      </c>
      <c r="O168" s="10" t="s">
        <v>576</v>
      </c>
      <c r="P168" s="10" t="s">
        <v>578</v>
      </c>
      <c r="Q168" s="10">
        <v>16212649</v>
      </c>
    </row>
    <row r="169" spans="1:17" ht="15" customHeight="1" x14ac:dyDescent="0.25">
      <c r="A169" s="13" t="s">
        <v>314</v>
      </c>
      <c r="B169" s="13" t="s">
        <v>314</v>
      </c>
      <c r="C169" s="36">
        <v>19694917601</v>
      </c>
      <c r="D169" s="13" t="s">
        <v>315</v>
      </c>
      <c r="E169" s="13" t="s">
        <v>158</v>
      </c>
      <c r="F169" s="37">
        <v>45602</v>
      </c>
      <c r="G169" s="13" t="s">
        <v>159</v>
      </c>
      <c r="H169" s="37">
        <v>45658</v>
      </c>
      <c r="I169" s="102" t="s">
        <v>578</v>
      </c>
      <c r="J169" s="12"/>
      <c r="K169" s="13" t="s">
        <v>62</v>
      </c>
      <c r="L169" s="88">
        <v>12</v>
      </c>
      <c r="M169" s="88">
        <v>12</v>
      </c>
      <c r="N169" s="13" t="s">
        <v>46</v>
      </c>
      <c r="O169" s="10" t="s">
        <v>576</v>
      </c>
      <c r="P169" s="10" t="s">
        <v>578</v>
      </c>
      <c r="Q169" s="10">
        <v>16212649</v>
      </c>
    </row>
    <row r="170" spans="1:17" ht="15" customHeight="1" x14ac:dyDescent="0.2">
      <c r="A170" s="13" t="s">
        <v>168</v>
      </c>
      <c r="B170" s="13" t="s">
        <v>168</v>
      </c>
      <c r="C170" s="13">
        <v>16343060601</v>
      </c>
      <c r="D170" s="13" t="s">
        <v>547</v>
      </c>
      <c r="E170" s="13" t="s">
        <v>49</v>
      </c>
      <c r="F170" s="37">
        <v>45582</v>
      </c>
      <c r="G170" s="13" t="s">
        <v>104</v>
      </c>
      <c r="H170" s="37">
        <v>45658</v>
      </c>
      <c r="I170" s="102" t="s">
        <v>496</v>
      </c>
      <c r="K170" s="13" t="s">
        <v>62</v>
      </c>
      <c r="L170" s="88">
        <v>12</v>
      </c>
      <c r="M170" s="88">
        <v>12</v>
      </c>
      <c r="N170" s="13" t="s">
        <v>46</v>
      </c>
      <c r="O170" s="10" t="s">
        <v>576</v>
      </c>
      <c r="P170" s="10" t="s">
        <v>496</v>
      </c>
      <c r="Q170" s="10">
        <v>8325282</v>
      </c>
    </row>
    <row r="171" spans="1:17" ht="15" customHeight="1" x14ac:dyDescent="0.2">
      <c r="A171" s="13" t="s">
        <v>102</v>
      </c>
      <c r="B171" s="13" t="s">
        <v>102</v>
      </c>
      <c r="C171" s="36">
        <v>20079748801</v>
      </c>
      <c r="D171" s="13" t="s">
        <v>103</v>
      </c>
      <c r="E171" s="13" t="s">
        <v>49</v>
      </c>
      <c r="F171" s="37">
        <v>45645</v>
      </c>
      <c r="G171" s="13" t="s">
        <v>104</v>
      </c>
      <c r="H171" s="37">
        <v>45658</v>
      </c>
      <c r="I171" s="102" t="s">
        <v>496</v>
      </c>
      <c r="J171" s="11"/>
      <c r="K171" s="13" t="s">
        <v>62</v>
      </c>
      <c r="L171" s="88">
        <v>12</v>
      </c>
      <c r="M171" s="88">
        <v>12</v>
      </c>
      <c r="N171" s="13" t="s">
        <v>46</v>
      </c>
      <c r="O171" s="10" t="s">
        <v>576</v>
      </c>
      <c r="P171" s="10" t="s">
        <v>496</v>
      </c>
      <c r="Q171" s="10">
        <v>8325282</v>
      </c>
    </row>
    <row r="172" spans="1:17" ht="15" customHeight="1" x14ac:dyDescent="0.2">
      <c r="A172" s="89" t="s">
        <v>563</v>
      </c>
      <c r="B172" s="89" t="s">
        <v>563</v>
      </c>
      <c r="C172" s="13">
        <v>19734704001</v>
      </c>
      <c r="D172" s="13" t="s">
        <v>564</v>
      </c>
      <c r="E172" s="13" t="s">
        <v>49</v>
      </c>
      <c r="F172" s="37">
        <v>45607</v>
      </c>
      <c r="G172" s="13" t="s">
        <v>104</v>
      </c>
      <c r="H172" s="37">
        <v>45658</v>
      </c>
      <c r="I172" s="102" t="s">
        <v>496</v>
      </c>
      <c r="J172" s="11"/>
      <c r="K172" s="13" t="s">
        <v>62</v>
      </c>
      <c r="L172" s="88">
        <v>12</v>
      </c>
      <c r="M172" s="88">
        <v>12</v>
      </c>
      <c r="N172" s="13" t="s">
        <v>46</v>
      </c>
      <c r="O172" s="10" t="s">
        <v>576</v>
      </c>
      <c r="P172" s="10" t="s">
        <v>496</v>
      </c>
      <c r="Q172" s="10">
        <v>8325282</v>
      </c>
    </row>
    <row r="173" spans="1:17" ht="15" customHeight="1" x14ac:dyDescent="0.25">
      <c r="A173" s="89" t="s">
        <v>565</v>
      </c>
      <c r="B173" s="89" t="s">
        <v>565</v>
      </c>
      <c r="C173" s="13">
        <v>19736799801</v>
      </c>
      <c r="D173" s="13" t="s">
        <v>566</v>
      </c>
      <c r="E173" s="13" t="s">
        <v>49</v>
      </c>
      <c r="F173" s="37">
        <v>45607</v>
      </c>
      <c r="G173" s="13" t="s">
        <v>104</v>
      </c>
      <c r="H173" s="37">
        <v>45658</v>
      </c>
      <c r="I173" s="102" t="s">
        <v>496</v>
      </c>
      <c r="J173" s="12"/>
      <c r="K173" s="13" t="s">
        <v>62</v>
      </c>
      <c r="L173" s="88">
        <v>12</v>
      </c>
      <c r="M173" s="88">
        <v>12</v>
      </c>
      <c r="N173" s="13" t="s">
        <v>46</v>
      </c>
      <c r="O173" s="10" t="s">
        <v>576</v>
      </c>
      <c r="P173" s="10" t="s">
        <v>496</v>
      </c>
      <c r="Q173" s="10">
        <v>8325282</v>
      </c>
    </row>
    <row r="174" spans="1:17" ht="15" customHeight="1" x14ac:dyDescent="0.2">
      <c r="A174" s="13" t="s">
        <v>271</v>
      </c>
      <c r="B174" s="13" t="s">
        <v>271</v>
      </c>
      <c r="C174" s="36">
        <v>19839668101</v>
      </c>
      <c r="D174" s="13" t="s">
        <v>272</v>
      </c>
      <c r="E174" s="13" t="s">
        <v>49</v>
      </c>
      <c r="F174" s="37">
        <v>45617</v>
      </c>
      <c r="G174" s="13" t="s">
        <v>104</v>
      </c>
      <c r="H174" s="37">
        <v>45658</v>
      </c>
      <c r="I174" s="102" t="s">
        <v>496</v>
      </c>
      <c r="J174" s="11"/>
      <c r="K174" s="13" t="s">
        <v>62</v>
      </c>
      <c r="L174" s="88">
        <v>12</v>
      </c>
      <c r="M174" s="88">
        <v>12</v>
      </c>
      <c r="N174" s="13" t="s">
        <v>46</v>
      </c>
      <c r="O174" s="10" t="s">
        <v>576</v>
      </c>
      <c r="P174" s="10" t="s">
        <v>496</v>
      </c>
      <c r="Q174" s="10">
        <v>8325282</v>
      </c>
    </row>
    <row r="175" spans="1:17" ht="15" customHeight="1" x14ac:dyDescent="0.2">
      <c r="A175" s="13" t="s">
        <v>273</v>
      </c>
      <c r="B175" s="13" t="s">
        <v>273</v>
      </c>
      <c r="C175" s="36">
        <v>19840814801</v>
      </c>
      <c r="D175" s="13" t="s">
        <v>274</v>
      </c>
      <c r="E175" s="13" t="s">
        <v>49</v>
      </c>
      <c r="F175" s="37">
        <v>45617</v>
      </c>
      <c r="G175" s="13" t="s">
        <v>104</v>
      </c>
      <c r="H175" s="37">
        <v>45658</v>
      </c>
      <c r="I175" s="102" t="s">
        <v>496</v>
      </c>
      <c r="J175" s="11"/>
      <c r="K175" s="13" t="s">
        <v>62</v>
      </c>
      <c r="L175" s="88">
        <v>12</v>
      </c>
      <c r="M175" s="88">
        <v>12</v>
      </c>
      <c r="N175" s="13" t="s">
        <v>46</v>
      </c>
      <c r="O175" s="10" t="s">
        <v>576</v>
      </c>
      <c r="P175" s="10" t="s">
        <v>496</v>
      </c>
      <c r="Q175" s="10">
        <v>8325282</v>
      </c>
    </row>
    <row r="176" spans="1:17" ht="15" customHeight="1" x14ac:dyDescent="0.2">
      <c r="A176" s="13" t="s">
        <v>128</v>
      </c>
      <c r="B176" s="13" t="s">
        <v>128</v>
      </c>
      <c r="C176" s="36">
        <v>19652007601</v>
      </c>
      <c r="D176" s="13" t="s">
        <v>129</v>
      </c>
      <c r="E176" s="13" t="s">
        <v>130</v>
      </c>
      <c r="F176" s="37">
        <v>45596</v>
      </c>
      <c r="G176" s="13" t="s">
        <v>104</v>
      </c>
      <c r="H176" s="37">
        <v>45658</v>
      </c>
      <c r="I176" s="102" t="s">
        <v>496</v>
      </c>
      <c r="J176" s="11"/>
      <c r="K176" s="13" t="s">
        <v>62</v>
      </c>
      <c r="L176" s="88">
        <v>12</v>
      </c>
      <c r="M176" s="88">
        <v>12</v>
      </c>
      <c r="N176" s="13" t="s">
        <v>46</v>
      </c>
      <c r="O176" s="10" t="s">
        <v>576</v>
      </c>
      <c r="P176" s="10" t="s">
        <v>496</v>
      </c>
      <c r="Q176" s="10">
        <v>8325282</v>
      </c>
    </row>
    <row r="177" spans="1:17" ht="15" customHeight="1" x14ac:dyDescent="0.2">
      <c r="A177" s="13" t="s">
        <v>162</v>
      </c>
      <c r="B177" s="13" t="s">
        <v>162</v>
      </c>
      <c r="C177" s="13">
        <v>19472345801</v>
      </c>
      <c r="D177" s="13" t="s">
        <v>541</v>
      </c>
      <c r="E177" s="13" t="s">
        <v>53</v>
      </c>
      <c r="F177" s="37">
        <v>45589</v>
      </c>
      <c r="G177" s="13" t="s">
        <v>163</v>
      </c>
      <c r="H177" s="37">
        <v>45658</v>
      </c>
      <c r="I177" s="102" t="s">
        <v>446</v>
      </c>
      <c r="K177" s="13" t="s">
        <v>62</v>
      </c>
      <c r="L177" s="88">
        <v>12</v>
      </c>
      <c r="M177" s="88">
        <v>12</v>
      </c>
      <c r="N177" s="13" t="s">
        <v>46</v>
      </c>
      <c r="O177" s="10" t="s">
        <v>576</v>
      </c>
      <c r="P177" s="10" t="s">
        <v>446</v>
      </c>
      <c r="Q177" s="10">
        <v>17528908</v>
      </c>
    </row>
    <row r="178" spans="1:17" ht="15" customHeight="1" x14ac:dyDescent="0.2">
      <c r="A178" s="13" t="s">
        <v>175</v>
      </c>
      <c r="B178" s="13" t="s">
        <v>175</v>
      </c>
      <c r="C178" s="36">
        <v>20017518001</v>
      </c>
      <c r="D178" s="13" t="s">
        <v>176</v>
      </c>
      <c r="E178" s="13" t="s">
        <v>53</v>
      </c>
      <c r="F178" s="37">
        <v>45632</v>
      </c>
      <c r="G178" s="13" t="s">
        <v>163</v>
      </c>
      <c r="H178" s="37">
        <v>45658</v>
      </c>
      <c r="I178" s="102" t="s">
        <v>446</v>
      </c>
      <c r="J178" s="11"/>
      <c r="K178" s="13" t="s">
        <v>62</v>
      </c>
      <c r="L178" s="88">
        <v>12</v>
      </c>
      <c r="M178" s="88">
        <v>12</v>
      </c>
      <c r="N178" s="13" t="s">
        <v>46</v>
      </c>
      <c r="O178" s="10" t="s">
        <v>576</v>
      </c>
      <c r="P178" s="10" t="s">
        <v>446</v>
      </c>
      <c r="Q178" s="10">
        <v>17528908</v>
      </c>
    </row>
    <row r="179" spans="1:17" ht="15" customHeight="1" x14ac:dyDescent="0.2">
      <c r="A179" s="13" t="s">
        <v>230</v>
      </c>
      <c r="B179" s="13" t="s">
        <v>230</v>
      </c>
      <c r="C179" s="36">
        <v>19694624801</v>
      </c>
      <c r="D179" s="13" t="s">
        <v>231</v>
      </c>
      <c r="E179" s="13" t="s">
        <v>53</v>
      </c>
      <c r="F179" s="37">
        <v>45602</v>
      </c>
      <c r="G179" s="13" t="s">
        <v>163</v>
      </c>
      <c r="H179" s="37">
        <v>45658</v>
      </c>
      <c r="I179" s="102" t="s">
        <v>446</v>
      </c>
      <c r="J179" s="11"/>
      <c r="K179" s="13" t="s">
        <v>62</v>
      </c>
      <c r="L179" s="88">
        <v>12</v>
      </c>
      <c r="M179" s="88">
        <v>12</v>
      </c>
      <c r="N179" s="13" t="s">
        <v>46</v>
      </c>
      <c r="O179" s="10" t="s">
        <v>576</v>
      </c>
      <c r="P179" s="10" t="s">
        <v>446</v>
      </c>
      <c r="Q179" s="10">
        <v>17528908</v>
      </c>
    </row>
    <row r="180" spans="1:17" ht="15" customHeight="1" x14ac:dyDescent="0.2">
      <c r="A180" s="13" t="s">
        <v>232</v>
      </c>
      <c r="B180" s="13" t="s">
        <v>232</v>
      </c>
      <c r="C180" s="36">
        <v>19460545701</v>
      </c>
      <c r="D180" s="13" t="s">
        <v>233</v>
      </c>
      <c r="E180" s="13" t="s">
        <v>53</v>
      </c>
      <c r="F180" s="37">
        <v>45588</v>
      </c>
      <c r="G180" s="13" t="s">
        <v>163</v>
      </c>
      <c r="H180" s="37">
        <v>45658</v>
      </c>
      <c r="I180" s="102" t="s">
        <v>446</v>
      </c>
      <c r="J180" s="11"/>
      <c r="K180" s="13" t="s">
        <v>62</v>
      </c>
      <c r="L180" s="88">
        <v>12</v>
      </c>
      <c r="M180" s="88">
        <v>12</v>
      </c>
      <c r="N180" s="13" t="s">
        <v>46</v>
      </c>
      <c r="O180" s="10" t="s">
        <v>576</v>
      </c>
      <c r="P180" s="10" t="s">
        <v>446</v>
      </c>
      <c r="Q180" s="10">
        <v>17528908</v>
      </c>
    </row>
    <row r="181" spans="1:17" ht="15" customHeight="1" x14ac:dyDescent="0.2">
      <c r="A181" s="13" t="s">
        <v>234</v>
      </c>
      <c r="B181" s="13" t="s">
        <v>234</v>
      </c>
      <c r="C181" s="36">
        <v>19694583601</v>
      </c>
      <c r="D181" s="13" t="s">
        <v>235</v>
      </c>
      <c r="E181" s="13" t="s">
        <v>53</v>
      </c>
      <c r="F181" s="37">
        <v>45602</v>
      </c>
      <c r="G181" s="13" t="s">
        <v>163</v>
      </c>
      <c r="H181" s="37">
        <v>45658</v>
      </c>
      <c r="I181" s="102" t="s">
        <v>446</v>
      </c>
      <c r="J181" s="11"/>
      <c r="K181" s="13" t="s">
        <v>62</v>
      </c>
      <c r="L181" s="88">
        <v>12</v>
      </c>
      <c r="M181" s="88">
        <v>12</v>
      </c>
      <c r="N181" s="13" t="s">
        <v>46</v>
      </c>
      <c r="O181" s="10" t="s">
        <v>576</v>
      </c>
      <c r="P181" s="10" t="s">
        <v>446</v>
      </c>
      <c r="Q181" s="10">
        <v>17528908</v>
      </c>
    </row>
    <row r="182" spans="1:17" ht="15" customHeight="1" x14ac:dyDescent="0.2">
      <c r="A182" s="13" t="s">
        <v>238</v>
      </c>
      <c r="B182" s="13" t="s">
        <v>238</v>
      </c>
      <c r="C182" s="36">
        <v>19459996501</v>
      </c>
      <c r="D182" s="13" t="s">
        <v>239</v>
      </c>
      <c r="E182" s="13" t="s">
        <v>53</v>
      </c>
      <c r="F182" s="37">
        <v>45588</v>
      </c>
      <c r="G182" s="13" t="s">
        <v>163</v>
      </c>
      <c r="H182" s="37">
        <v>45658</v>
      </c>
      <c r="I182" s="102" t="s">
        <v>446</v>
      </c>
      <c r="J182" s="11"/>
      <c r="K182" s="13" t="s">
        <v>62</v>
      </c>
      <c r="L182" s="88">
        <v>12</v>
      </c>
      <c r="M182" s="88">
        <v>12</v>
      </c>
      <c r="N182" s="13" t="s">
        <v>46</v>
      </c>
      <c r="O182" s="10" t="s">
        <v>576</v>
      </c>
      <c r="P182" s="10" t="s">
        <v>446</v>
      </c>
      <c r="Q182" s="10">
        <v>17528908</v>
      </c>
    </row>
    <row r="183" spans="1:17" ht="15" customHeight="1" x14ac:dyDescent="0.2">
      <c r="A183" s="89" t="s">
        <v>559</v>
      </c>
      <c r="B183" s="89" t="s">
        <v>559</v>
      </c>
      <c r="C183" s="13">
        <v>19277105301</v>
      </c>
      <c r="D183" s="13" t="s">
        <v>560</v>
      </c>
      <c r="E183" s="13" t="s">
        <v>53</v>
      </c>
      <c r="F183" s="37">
        <v>45580</v>
      </c>
      <c r="G183" s="13" t="s">
        <v>163</v>
      </c>
      <c r="H183" s="37">
        <v>45658</v>
      </c>
      <c r="I183" s="102" t="s">
        <v>446</v>
      </c>
      <c r="J183" s="11"/>
      <c r="K183" s="13" t="s">
        <v>62</v>
      </c>
      <c r="L183" s="88">
        <v>12</v>
      </c>
      <c r="M183" s="88">
        <v>12</v>
      </c>
      <c r="N183" s="13" t="s">
        <v>46</v>
      </c>
      <c r="O183" s="10" t="s">
        <v>576</v>
      </c>
      <c r="P183" s="10" t="s">
        <v>446</v>
      </c>
      <c r="Q183" s="10">
        <v>17528908</v>
      </c>
    </row>
    <row r="184" spans="1:17" ht="15" customHeight="1" x14ac:dyDescent="0.2">
      <c r="A184" s="13" t="s">
        <v>275</v>
      </c>
      <c r="B184" s="13" t="s">
        <v>275</v>
      </c>
      <c r="C184" s="36">
        <v>19694336901</v>
      </c>
      <c r="D184" s="13" t="s">
        <v>276</v>
      </c>
      <c r="E184" s="13" t="s">
        <v>53</v>
      </c>
      <c r="F184" s="37">
        <v>45602</v>
      </c>
      <c r="G184" s="13" t="s">
        <v>163</v>
      </c>
      <c r="H184" s="37">
        <v>45658</v>
      </c>
      <c r="I184" s="102" t="s">
        <v>446</v>
      </c>
      <c r="J184" s="11"/>
      <c r="K184" s="13" t="s">
        <v>62</v>
      </c>
      <c r="L184" s="88">
        <v>12</v>
      </c>
      <c r="M184" s="88">
        <v>12</v>
      </c>
      <c r="N184" s="13" t="s">
        <v>46</v>
      </c>
      <c r="O184" s="10" t="s">
        <v>576</v>
      </c>
      <c r="P184" s="10" t="s">
        <v>446</v>
      </c>
      <c r="Q184" s="10">
        <v>17528908</v>
      </c>
    </row>
    <row r="185" spans="1:17" ht="15" customHeight="1" x14ac:dyDescent="0.2">
      <c r="A185" s="13" t="s">
        <v>277</v>
      </c>
      <c r="B185" s="13" t="s">
        <v>277</v>
      </c>
      <c r="C185" s="36">
        <v>20017376301</v>
      </c>
      <c r="D185" s="13" t="s">
        <v>278</v>
      </c>
      <c r="E185" s="13" t="s">
        <v>53</v>
      </c>
      <c r="F185" s="37">
        <v>45632</v>
      </c>
      <c r="G185" s="13" t="s">
        <v>163</v>
      </c>
      <c r="H185" s="37">
        <v>45658</v>
      </c>
      <c r="I185" s="102" t="s">
        <v>446</v>
      </c>
      <c r="J185" s="11"/>
      <c r="K185" s="13" t="s">
        <v>62</v>
      </c>
      <c r="L185" s="88">
        <v>12</v>
      </c>
      <c r="M185" s="88">
        <v>12</v>
      </c>
      <c r="N185" s="13" t="s">
        <v>46</v>
      </c>
      <c r="O185" s="10" t="s">
        <v>576</v>
      </c>
      <c r="P185" s="10" t="s">
        <v>446</v>
      </c>
      <c r="Q185" s="10">
        <v>17528908</v>
      </c>
    </row>
    <row r="186" spans="1:17" ht="15" customHeight="1" x14ac:dyDescent="0.2">
      <c r="A186" s="13" t="s">
        <v>281</v>
      </c>
      <c r="B186" s="13" t="s">
        <v>281</v>
      </c>
      <c r="C186" s="36">
        <v>19722584001</v>
      </c>
      <c r="D186" s="13" t="s">
        <v>282</v>
      </c>
      <c r="E186" s="13" t="s">
        <v>53</v>
      </c>
      <c r="F186" s="37">
        <v>45605</v>
      </c>
      <c r="G186" s="13" t="s">
        <v>163</v>
      </c>
      <c r="H186" s="37">
        <v>45658</v>
      </c>
      <c r="I186" s="102" t="s">
        <v>446</v>
      </c>
      <c r="J186" s="11"/>
      <c r="K186" s="13" t="s">
        <v>62</v>
      </c>
      <c r="L186" s="88">
        <v>12</v>
      </c>
      <c r="M186" s="88">
        <v>12</v>
      </c>
      <c r="N186" s="13" t="s">
        <v>46</v>
      </c>
      <c r="O186" s="10" t="s">
        <v>576</v>
      </c>
      <c r="P186" s="10" t="s">
        <v>446</v>
      </c>
      <c r="Q186" s="10">
        <v>17528908</v>
      </c>
    </row>
    <row r="187" spans="1:17" ht="15" customHeight="1" x14ac:dyDescent="0.2">
      <c r="A187" s="13" t="s">
        <v>283</v>
      </c>
      <c r="B187" s="13" t="s">
        <v>283</v>
      </c>
      <c r="C187" s="36">
        <v>19722556801</v>
      </c>
      <c r="D187" s="13" t="s">
        <v>284</v>
      </c>
      <c r="E187" s="13" t="s">
        <v>53</v>
      </c>
      <c r="F187" s="37">
        <v>45605</v>
      </c>
      <c r="G187" s="13" t="s">
        <v>163</v>
      </c>
      <c r="H187" s="37">
        <v>45658</v>
      </c>
      <c r="I187" s="102" t="s">
        <v>446</v>
      </c>
      <c r="J187" s="11"/>
      <c r="K187" s="13" t="s">
        <v>62</v>
      </c>
      <c r="L187" s="88">
        <v>12</v>
      </c>
      <c r="M187" s="88">
        <v>12</v>
      </c>
      <c r="N187" s="13" t="s">
        <v>46</v>
      </c>
      <c r="O187" s="10" t="s">
        <v>576</v>
      </c>
      <c r="P187" s="10" t="s">
        <v>446</v>
      </c>
      <c r="Q187" s="10">
        <v>17528908</v>
      </c>
    </row>
    <row r="188" spans="1:17" ht="15" customHeight="1" x14ac:dyDescent="0.2">
      <c r="A188" s="65" t="s">
        <v>322</v>
      </c>
      <c r="B188" s="65" t="s">
        <v>322</v>
      </c>
      <c r="C188" s="93">
        <v>19684471601</v>
      </c>
      <c r="D188" s="65" t="s">
        <v>323</v>
      </c>
      <c r="E188" s="65" t="s">
        <v>53</v>
      </c>
      <c r="F188" s="68">
        <v>45601</v>
      </c>
      <c r="G188" s="65" t="s">
        <v>163</v>
      </c>
      <c r="H188" s="68">
        <v>45658</v>
      </c>
      <c r="I188" s="103" t="s">
        <v>446</v>
      </c>
      <c r="J188" s="94"/>
      <c r="K188" s="65" t="s">
        <v>62</v>
      </c>
      <c r="L188" s="95">
        <v>12</v>
      </c>
      <c r="M188" s="95">
        <v>12</v>
      </c>
      <c r="N188" s="65" t="s">
        <v>46</v>
      </c>
      <c r="O188" s="10" t="s">
        <v>576</v>
      </c>
      <c r="P188" s="10" t="s">
        <v>446</v>
      </c>
      <c r="Q188" s="10">
        <v>17528908</v>
      </c>
    </row>
    <row r="189" spans="1:17" ht="15" customHeight="1" x14ac:dyDescent="0.2">
      <c r="A189" s="13" t="s">
        <v>326</v>
      </c>
      <c r="B189" s="13" t="s">
        <v>326</v>
      </c>
      <c r="C189" s="36">
        <v>19751460701</v>
      </c>
      <c r="D189" s="13" t="s">
        <v>327</v>
      </c>
      <c r="E189" s="13" t="s">
        <v>53</v>
      </c>
      <c r="F189" s="37">
        <v>45609</v>
      </c>
      <c r="G189" s="13" t="s">
        <v>163</v>
      </c>
      <c r="H189" s="37">
        <v>45658</v>
      </c>
      <c r="I189" s="102" t="s">
        <v>446</v>
      </c>
      <c r="J189" s="11"/>
      <c r="K189" s="13" t="s">
        <v>62</v>
      </c>
      <c r="L189" s="88">
        <v>12</v>
      </c>
      <c r="M189" s="88">
        <v>12</v>
      </c>
      <c r="N189" s="13" t="s">
        <v>46</v>
      </c>
      <c r="O189" s="10" t="s">
        <v>576</v>
      </c>
      <c r="P189" s="10" t="s">
        <v>446</v>
      </c>
      <c r="Q189" s="10">
        <v>17528908</v>
      </c>
    </row>
    <row r="190" spans="1:17" ht="15" customHeight="1" x14ac:dyDescent="0.2">
      <c r="A190" s="13" t="s">
        <v>328</v>
      </c>
      <c r="B190" s="13" t="s">
        <v>328</v>
      </c>
      <c r="C190" s="36">
        <v>19751399701</v>
      </c>
      <c r="D190" s="13" t="s">
        <v>329</v>
      </c>
      <c r="E190" s="13" t="s">
        <v>53</v>
      </c>
      <c r="F190" s="37">
        <v>45609</v>
      </c>
      <c r="G190" s="13" t="s">
        <v>163</v>
      </c>
      <c r="H190" s="37">
        <v>45658</v>
      </c>
      <c r="I190" s="102" t="s">
        <v>446</v>
      </c>
      <c r="J190" s="11"/>
      <c r="K190" s="13" t="s">
        <v>62</v>
      </c>
      <c r="L190" s="88">
        <v>12</v>
      </c>
      <c r="M190" s="88">
        <v>12</v>
      </c>
      <c r="N190" s="13" t="s">
        <v>46</v>
      </c>
      <c r="O190" s="10" t="s">
        <v>576</v>
      </c>
      <c r="P190" s="10" t="s">
        <v>446</v>
      </c>
      <c r="Q190" s="10">
        <v>17528908</v>
      </c>
    </row>
    <row r="191" spans="1:17" ht="15" customHeight="1" x14ac:dyDescent="0.2">
      <c r="A191" s="89" t="s">
        <v>557</v>
      </c>
      <c r="B191" s="89" t="s">
        <v>557</v>
      </c>
      <c r="C191" s="13">
        <v>16491124001</v>
      </c>
      <c r="D191" s="13" t="s">
        <v>558</v>
      </c>
      <c r="E191" s="13" t="s">
        <v>53</v>
      </c>
      <c r="F191" s="37">
        <v>45616</v>
      </c>
      <c r="G191" s="13" t="s">
        <v>240</v>
      </c>
      <c r="H191" s="37">
        <v>45658</v>
      </c>
      <c r="I191" s="102" t="s">
        <v>579</v>
      </c>
      <c r="J191" s="11"/>
      <c r="K191" s="13" t="s">
        <v>62</v>
      </c>
      <c r="L191" s="88">
        <v>12</v>
      </c>
      <c r="M191" s="88">
        <v>12</v>
      </c>
      <c r="N191" s="13" t="s">
        <v>46</v>
      </c>
      <c r="O191" s="10" t="s">
        <v>576</v>
      </c>
      <c r="P191" s="10" t="s">
        <v>579</v>
      </c>
      <c r="Q191" s="10">
        <v>18710070</v>
      </c>
    </row>
    <row r="192" spans="1:17" ht="15" customHeight="1" x14ac:dyDescent="0.2">
      <c r="A192" s="13" t="s">
        <v>47</v>
      </c>
      <c r="B192" s="13" t="s">
        <v>47</v>
      </c>
      <c r="C192" s="36">
        <v>20072350001</v>
      </c>
      <c r="D192" s="13" t="s">
        <v>48</v>
      </c>
      <c r="E192" s="13" t="s">
        <v>49</v>
      </c>
      <c r="F192" s="37">
        <v>45642</v>
      </c>
      <c r="G192" s="13" t="s">
        <v>50</v>
      </c>
      <c r="H192" s="37">
        <v>45689</v>
      </c>
      <c r="I192" s="102" t="s">
        <v>516</v>
      </c>
      <c r="J192" s="11"/>
      <c r="K192" s="13" t="s">
        <v>62</v>
      </c>
      <c r="L192" s="88">
        <v>12</v>
      </c>
      <c r="M192" s="88">
        <v>11</v>
      </c>
      <c r="N192" s="13" t="s">
        <v>46</v>
      </c>
      <c r="O192" s="10" t="s">
        <v>576</v>
      </c>
      <c r="P192" s="10" t="s">
        <v>516</v>
      </c>
      <c r="Q192" s="10">
        <v>9213293</v>
      </c>
    </row>
    <row r="193" spans="1:17" ht="15" customHeight="1" x14ac:dyDescent="0.2">
      <c r="A193" s="65" t="s">
        <v>211</v>
      </c>
      <c r="B193" s="65" t="s">
        <v>211</v>
      </c>
      <c r="C193" s="93">
        <v>20033766501</v>
      </c>
      <c r="D193" s="65" t="s">
        <v>212</v>
      </c>
      <c r="E193" s="65" t="s">
        <v>49</v>
      </c>
      <c r="F193" s="68">
        <v>45632</v>
      </c>
      <c r="G193" s="65" t="s">
        <v>50</v>
      </c>
      <c r="H193" s="68">
        <v>45658</v>
      </c>
      <c r="I193" s="103" t="s">
        <v>516</v>
      </c>
      <c r="J193" s="94"/>
      <c r="K193" s="65" t="s">
        <v>62</v>
      </c>
      <c r="L193" s="95">
        <v>12</v>
      </c>
      <c r="M193" s="95">
        <v>12</v>
      </c>
      <c r="N193" s="65" t="s">
        <v>46</v>
      </c>
      <c r="O193" s="10" t="s">
        <v>576</v>
      </c>
      <c r="P193" s="10" t="s">
        <v>516</v>
      </c>
      <c r="Q193" s="10">
        <v>9213293</v>
      </c>
    </row>
    <row r="194" spans="1:17" ht="15" customHeight="1" x14ac:dyDescent="0.2">
      <c r="A194" s="13" t="s">
        <v>100</v>
      </c>
      <c r="B194" s="13" t="s">
        <v>100</v>
      </c>
      <c r="C194" s="36">
        <v>19826874001</v>
      </c>
      <c r="D194" s="13" t="s">
        <v>101</v>
      </c>
      <c r="E194" s="13" t="s">
        <v>49</v>
      </c>
      <c r="F194" s="37">
        <v>45616</v>
      </c>
      <c r="G194" s="13" t="s">
        <v>50</v>
      </c>
      <c r="H194" s="37">
        <v>45658</v>
      </c>
      <c r="I194" s="102" t="s">
        <v>516</v>
      </c>
      <c r="J194" s="11"/>
      <c r="K194" s="13" t="s">
        <v>62</v>
      </c>
      <c r="L194" s="88">
        <v>12</v>
      </c>
      <c r="M194" s="88">
        <v>12</v>
      </c>
      <c r="N194" s="13" t="s">
        <v>46</v>
      </c>
      <c r="O194" s="10" t="s">
        <v>576</v>
      </c>
      <c r="P194" s="10" t="s">
        <v>516</v>
      </c>
      <c r="Q194" s="10">
        <v>9213293</v>
      </c>
    </row>
    <row r="195" spans="1:17" ht="15" customHeight="1" x14ac:dyDescent="0.25">
      <c r="A195" s="13" t="s">
        <v>117</v>
      </c>
      <c r="B195" s="13" t="s">
        <v>117</v>
      </c>
      <c r="C195" s="36">
        <v>19691452701</v>
      </c>
      <c r="D195" s="13" t="s">
        <v>118</v>
      </c>
      <c r="E195" s="13" t="s">
        <v>49</v>
      </c>
      <c r="F195" s="37">
        <v>45601</v>
      </c>
      <c r="G195" s="13" t="s">
        <v>50</v>
      </c>
      <c r="H195" s="37">
        <v>45658</v>
      </c>
      <c r="I195" s="102" t="s">
        <v>516</v>
      </c>
      <c r="J195" s="12"/>
      <c r="K195" s="13" t="s">
        <v>62</v>
      </c>
      <c r="L195" s="88">
        <v>12</v>
      </c>
      <c r="M195" s="88">
        <v>12</v>
      </c>
      <c r="N195" s="13" t="s">
        <v>46</v>
      </c>
      <c r="O195" s="10" t="s">
        <v>576</v>
      </c>
      <c r="P195" s="10" t="s">
        <v>516</v>
      </c>
      <c r="Q195" s="10">
        <v>9213293</v>
      </c>
    </row>
    <row r="196" spans="1:17" ht="15" customHeight="1" x14ac:dyDescent="0.2">
      <c r="A196" s="27" t="s">
        <v>332</v>
      </c>
      <c r="B196" s="27" t="s">
        <v>332</v>
      </c>
      <c r="C196" s="28">
        <v>19735550601</v>
      </c>
      <c r="D196" s="27" t="s">
        <v>333</v>
      </c>
      <c r="E196" s="27" t="s">
        <v>49</v>
      </c>
      <c r="F196" s="29">
        <v>45607</v>
      </c>
      <c r="G196" s="27" t="s">
        <v>50</v>
      </c>
      <c r="H196" s="29">
        <v>45658</v>
      </c>
      <c r="I196" s="101" t="s">
        <v>516</v>
      </c>
      <c r="J196" s="32"/>
      <c r="K196" s="27" t="s">
        <v>62</v>
      </c>
      <c r="L196" s="87">
        <v>12</v>
      </c>
      <c r="M196" s="87">
        <v>12</v>
      </c>
      <c r="N196" s="27" t="s">
        <v>46</v>
      </c>
      <c r="O196" s="10" t="s">
        <v>576</v>
      </c>
      <c r="P196" s="10" t="s">
        <v>516</v>
      </c>
      <c r="Q196" s="10">
        <v>9213293</v>
      </c>
    </row>
    <row r="197" spans="1:17" ht="15" customHeight="1" x14ac:dyDescent="0.2">
      <c r="A197" s="13" t="s">
        <v>509</v>
      </c>
      <c r="B197" s="13" t="s">
        <v>509</v>
      </c>
      <c r="C197" s="13">
        <v>19887825801</v>
      </c>
      <c r="D197" s="13" t="s">
        <v>510</v>
      </c>
      <c r="E197" s="13" t="s">
        <v>49</v>
      </c>
      <c r="F197" s="37">
        <v>45622</v>
      </c>
      <c r="G197" s="13" t="s">
        <v>50</v>
      </c>
      <c r="H197" s="37">
        <v>45658</v>
      </c>
      <c r="I197" s="102" t="s">
        <v>516</v>
      </c>
      <c r="J197" s="11"/>
      <c r="K197" s="13" t="s">
        <v>62</v>
      </c>
      <c r="L197" s="88">
        <v>12</v>
      </c>
      <c r="M197" s="88">
        <v>12</v>
      </c>
      <c r="N197" s="13" t="s">
        <v>46</v>
      </c>
      <c r="O197" s="10" t="s">
        <v>576</v>
      </c>
      <c r="P197" s="10" t="s">
        <v>516</v>
      </c>
      <c r="Q197" s="10">
        <v>9213293</v>
      </c>
    </row>
    <row r="198" spans="1:17" ht="15" customHeight="1" x14ac:dyDescent="0.2">
      <c r="A198" s="13" t="s">
        <v>340</v>
      </c>
      <c r="B198" s="13" t="s">
        <v>340</v>
      </c>
      <c r="C198" s="36">
        <v>19915225701</v>
      </c>
      <c r="D198" s="13" t="s">
        <v>341</v>
      </c>
      <c r="E198" s="13" t="s">
        <v>49</v>
      </c>
      <c r="F198" s="37">
        <v>45626</v>
      </c>
      <c r="G198" s="13" t="s">
        <v>50</v>
      </c>
      <c r="H198" s="37">
        <v>45658</v>
      </c>
      <c r="I198" s="102" t="s">
        <v>516</v>
      </c>
      <c r="J198" s="11"/>
      <c r="K198" s="13" t="s">
        <v>62</v>
      </c>
      <c r="L198" s="88">
        <v>12</v>
      </c>
      <c r="M198" s="88">
        <v>12</v>
      </c>
      <c r="N198" s="13" t="s">
        <v>46</v>
      </c>
      <c r="O198" s="10" t="s">
        <v>576</v>
      </c>
      <c r="P198" s="10" t="s">
        <v>516</v>
      </c>
      <c r="Q198" s="10">
        <v>9213293</v>
      </c>
    </row>
    <row r="199" spans="1:17" ht="15" customHeight="1" x14ac:dyDescent="0.2">
      <c r="A199" s="65" t="s">
        <v>352</v>
      </c>
      <c r="B199" s="65" t="s">
        <v>352</v>
      </c>
      <c r="C199" s="93">
        <v>20052376901</v>
      </c>
      <c r="D199" s="65" t="s">
        <v>353</v>
      </c>
      <c r="E199" s="65" t="s">
        <v>49</v>
      </c>
      <c r="F199" s="68">
        <v>45633</v>
      </c>
      <c r="G199" s="65" t="s">
        <v>50</v>
      </c>
      <c r="H199" s="68">
        <v>45658</v>
      </c>
      <c r="I199" s="103" t="s">
        <v>516</v>
      </c>
      <c r="J199" s="94"/>
      <c r="K199" s="65" t="s">
        <v>62</v>
      </c>
      <c r="L199" s="95">
        <v>12</v>
      </c>
      <c r="M199" s="95">
        <v>12</v>
      </c>
      <c r="N199" s="65" t="s">
        <v>46</v>
      </c>
      <c r="O199" s="10" t="s">
        <v>576</v>
      </c>
      <c r="P199" s="10" t="s">
        <v>516</v>
      </c>
      <c r="Q199" s="10">
        <v>9213293</v>
      </c>
    </row>
    <row r="200" spans="1:17" ht="15" customHeight="1" x14ac:dyDescent="0.2">
      <c r="A200" s="13" t="s">
        <v>572</v>
      </c>
      <c r="B200" s="13" t="s">
        <v>572</v>
      </c>
      <c r="C200" s="13">
        <v>19782338801</v>
      </c>
      <c r="D200" s="13" t="s">
        <v>570</v>
      </c>
      <c r="E200" s="13" t="s">
        <v>316</v>
      </c>
      <c r="F200" s="37">
        <v>45611</v>
      </c>
      <c r="G200" s="13" t="s">
        <v>317</v>
      </c>
      <c r="H200" s="37">
        <v>45658</v>
      </c>
      <c r="I200" s="102" t="s">
        <v>580</v>
      </c>
      <c r="J200" s="11"/>
      <c r="K200" s="13" t="s">
        <v>62</v>
      </c>
      <c r="L200" s="88">
        <v>0</v>
      </c>
      <c r="M200" s="88">
        <v>0</v>
      </c>
      <c r="N200" s="13" t="s">
        <v>46</v>
      </c>
      <c r="O200" s="10" t="s">
        <v>576</v>
      </c>
      <c r="P200" s="10" t="s">
        <v>580</v>
      </c>
      <c r="Q200" s="10">
        <v>6634327</v>
      </c>
    </row>
    <row r="201" spans="1:17" ht="15" customHeight="1" x14ac:dyDescent="0.2">
      <c r="A201" s="13" t="s">
        <v>334</v>
      </c>
      <c r="B201" s="13" t="s">
        <v>334</v>
      </c>
      <c r="C201" s="36">
        <v>19909285901</v>
      </c>
      <c r="D201" s="13" t="s">
        <v>335</v>
      </c>
      <c r="E201" s="13" t="s">
        <v>316</v>
      </c>
      <c r="F201" s="37">
        <v>45625</v>
      </c>
      <c r="G201" s="13" t="s">
        <v>317</v>
      </c>
      <c r="H201" s="37">
        <v>45658</v>
      </c>
      <c r="I201" s="102" t="s">
        <v>580</v>
      </c>
      <c r="J201" s="11"/>
      <c r="K201" s="13" t="s">
        <v>62</v>
      </c>
      <c r="L201" s="88">
        <v>12</v>
      </c>
      <c r="M201" s="88">
        <v>12</v>
      </c>
      <c r="N201" s="13" t="s">
        <v>46</v>
      </c>
      <c r="O201" s="10" t="s">
        <v>576</v>
      </c>
      <c r="P201" s="10" t="s">
        <v>580</v>
      </c>
      <c r="Q201" s="10">
        <v>6634327</v>
      </c>
    </row>
    <row r="202" spans="1:17" ht="15" customHeight="1" x14ac:dyDescent="0.2">
      <c r="A202" s="13" t="s">
        <v>346</v>
      </c>
      <c r="B202" s="13" t="s">
        <v>346</v>
      </c>
      <c r="C202" s="36">
        <v>19903351501</v>
      </c>
      <c r="D202" s="13" t="s">
        <v>347</v>
      </c>
      <c r="E202" s="13" t="s">
        <v>316</v>
      </c>
      <c r="F202" s="37">
        <v>45624</v>
      </c>
      <c r="G202" s="13" t="s">
        <v>317</v>
      </c>
      <c r="H202" s="37">
        <v>45658</v>
      </c>
      <c r="I202" s="102" t="s">
        <v>580</v>
      </c>
      <c r="J202" s="11"/>
      <c r="K202" s="13" t="s">
        <v>62</v>
      </c>
      <c r="L202" s="88">
        <v>12</v>
      </c>
      <c r="M202" s="88">
        <v>12</v>
      </c>
      <c r="N202" s="13" t="s">
        <v>46</v>
      </c>
      <c r="O202" s="10" t="s">
        <v>576</v>
      </c>
      <c r="P202" s="10" t="s">
        <v>580</v>
      </c>
      <c r="Q202" s="10">
        <v>6634327</v>
      </c>
    </row>
    <row r="203" spans="1:17" ht="15" customHeight="1" x14ac:dyDescent="0.2">
      <c r="A203" s="13" t="s">
        <v>348</v>
      </c>
      <c r="B203" s="13" t="s">
        <v>348</v>
      </c>
      <c r="C203" s="36">
        <v>19903516301</v>
      </c>
      <c r="D203" s="13" t="s">
        <v>349</v>
      </c>
      <c r="E203" s="13" t="s">
        <v>316</v>
      </c>
      <c r="F203" s="37">
        <v>45624</v>
      </c>
      <c r="G203" s="13" t="s">
        <v>317</v>
      </c>
      <c r="H203" s="37">
        <v>45658</v>
      </c>
      <c r="I203" s="102" t="s">
        <v>580</v>
      </c>
      <c r="J203" s="11"/>
      <c r="K203" s="13" t="s">
        <v>62</v>
      </c>
      <c r="L203" s="88">
        <v>12</v>
      </c>
      <c r="M203" s="88">
        <v>12</v>
      </c>
      <c r="N203" s="13" t="s">
        <v>46</v>
      </c>
      <c r="O203" s="10" t="s">
        <v>576</v>
      </c>
      <c r="P203" s="10" t="s">
        <v>580</v>
      </c>
      <c r="Q203" s="10">
        <v>6634327</v>
      </c>
    </row>
    <row r="204" spans="1:17" ht="15" customHeight="1" x14ac:dyDescent="0.2">
      <c r="A204" s="89" t="s">
        <v>534</v>
      </c>
      <c r="B204" s="89" t="s">
        <v>534</v>
      </c>
      <c r="C204" s="13">
        <v>19827569501</v>
      </c>
      <c r="D204" s="13" t="s">
        <v>535</v>
      </c>
      <c r="E204" s="13" t="s">
        <v>66</v>
      </c>
      <c r="F204" s="37">
        <v>45616</v>
      </c>
      <c r="G204" s="13" t="s">
        <v>67</v>
      </c>
      <c r="H204" s="37">
        <v>45658</v>
      </c>
      <c r="I204" s="102" t="s">
        <v>517</v>
      </c>
      <c r="K204" s="13" t="s">
        <v>62</v>
      </c>
      <c r="L204" s="88">
        <v>12</v>
      </c>
      <c r="M204" s="88">
        <v>12</v>
      </c>
      <c r="N204" s="13" t="s">
        <v>46</v>
      </c>
      <c r="O204" s="10" t="s">
        <v>576</v>
      </c>
      <c r="P204" s="10" t="s">
        <v>517</v>
      </c>
      <c r="Q204" s="10">
        <v>18754354</v>
      </c>
    </row>
    <row r="205" spans="1:17" ht="15" customHeight="1" x14ac:dyDescent="0.2">
      <c r="A205" s="65" t="s">
        <v>145</v>
      </c>
      <c r="B205" s="65" t="s">
        <v>145</v>
      </c>
      <c r="C205" s="93">
        <v>19450061701</v>
      </c>
      <c r="D205" s="65" t="s">
        <v>146</v>
      </c>
      <c r="E205" s="65" t="s">
        <v>49</v>
      </c>
      <c r="F205" s="68">
        <v>45587</v>
      </c>
      <c r="G205" s="65" t="s">
        <v>61</v>
      </c>
      <c r="H205" s="68">
        <v>45658</v>
      </c>
      <c r="I205" s="103" t="s">
        <v>495</v>
      </c>
      <c r="J205" s="94"/>
      <c r="K205" s="65" t="s">
        <v>62</v>
      </c>
      <c r="L205" s="95">
        <v>12</v>
      </c>
      <c r="M205" s="95">
        <v>12</v>
      </c>
      <c r="N205" s="65" t="s">
        <v>46</v>
      </c>
      <c r="O205" s="10" t="s">
        <v>576</v>
      </c>
      <c r="P205" s="10" t="s">
        <v>495</v>
      </c>
      <c r="Q205" s="10" t="s">
        <v>665</v>
      </c>
    </row>
    <row r="206" spans="1:17" ht="15" customHeight="1" x14ac:dyDescent="0.2">
      <c r="A206" s="13" t="s">
        <v>172</v>
      </c>
      <c r="B206" s="13" t="s">
        <v>172</v>
      </c>
      <c r="C206" s="13">
        <v>91001096218</v>
      </c>
      <c r="D206" s="13" t="s">
        <v>552</v>
      </c>
      <c r="E206" s="13" t="s">
        <v>49</v>
      </c>
      <c r="F206" s="37">
        <v>45628</v>
      </c>
      <c r="G206" s="13" t="s">
        <v>61</v>
      </c>
      <c r="H206" s="37">
        <v>45658</v>
      </c>
      <c r="I206" s="102" t="s">
        <v>495</v>
      </c>
      <c r="K206" s="13" t="s">
        <v>62</v>
      </c>
      <c r="L206" s="88">
        <v>12</v>
      </c>
      <c r="M206" s="88">
        <v>12</v>
      </c>
      <c r="N206" s="13" t="s">
        <v>46</v>
      </c>
      <c r="O206" s="10" t="s">
        <v>576</v>
      </c>
      <c r="P206" s="10" t="s">
        <v>495</v>
      </c>
      <c r="Q206" s="10" t="s">
        <v>665</v>
      </c>
    </row>
    <row r="207" spans="1:17" ht="15" customHeight="1" x14ac:dyDescent="0.2">
      <c r="A207" s="13" t="s">
        <v>191</v>
      </c>
      <c r="B207" s="13" t="s">
        <v>191</v>
      </c>
      <c r="C207" s="36">
        <v>19401368601</v>
      </c>
      <c r="D207" s="13" t="s">
        <v>192</v>
      </c>
      <c r="E207" s="13" t="s">
        <v>49</v>
      </c>
      <c r="F207" s="37">
        <v>45581</v>
      </c>
      <c r="G207" s="13" t="s">
        <v>61</v>
      </c>
      <c r="H207" s="37">
        <v>45658</v>
      </c>
      <c r="I207" s="102" t="s">
        <v>495</v>
      </c>
      <c r="J207" s="11"/>
      <c r="K207" s="13" t="s">
        <v>62</v>
      </c>
      <c r="L207" s="88">
        <v>12</v>
      </c>
      <c r="M207" s="88">
        <v>12</v>
      </c>
      <c r="N207" s="13" t="s">
        <v>46</v>
      </c>
      <c r="O207" s="10" t="s">
        <v>576</v>
      </c>
      <c r="P207" s="10" t="s">
        <v>495</v>
      </c>
      <c r="Q207" s="10" t="s">
        <v>665</v>
      </c>
    </row>
    <row r="208" spans="1:17" ht="15" customHeight="1" x14ac:dyDescent="0.2">
      <c r="A208" s="13" t="s">
        <v>193</v>
      </c>
      <c r="B208" s="13" t="s">
        <v>193</v>
      </c>
      <c r="C208" s="36">
        <v>19491599701</v>
      </c>
      <c r="D208" s="13" t="s">
        <v>194</v>
      </c>
      <c r="E208" s="13" t="s">
        <v>49</v>
      </c>
      <c r="F208" s="37">
        <v>45593</v>
      </c>
      <c r="G208" s="13" t="s">
        <v>61</v>
      </c>
      <c r="H208" s="37">
        <v>45658</v>
      </c>
      <c r="I208" s="102" t="s">
        <v>495</v>
      </c>
      <c r="J208" s="11"/>
      <c r="K208" s="13" t="s">
        <v>62</v>
      </c>
      <c r="L208" s="88">
        <v>12</v>
      </c>
      <c r="M208" s="88">
        <v>12</v>
      </c>
      <c r="N208" s="13" t="s">
        <v>46</v>
      </c>
      <c r="O208" s="10" t="s">
        <v>576</v>
      </c>
      <c r="P208" s="10" t="s">
        <v>495</v>
      </c>
      <c r="Q208" s="10" t="s">
        <v>665</v>
      </c>
    </row>
    <row r="209" spans="1:17" ht="15" customHeight="1" x14ac:dyDescent="0.2">
      <c r="A209" s="13" t="s">
        <v>213</v>
      </c>
      <c r="B209" s="13" t="s">
        <v>213</v>
      </c>
      <c r="C209" s="36">
        <v>19674276101</v>
      </c>
      <c r="D209" s="13" t="s">
        <v>214</v>
      </c>
      <c r="E209" s="13" t="s">
        <v>49</v>
      </c>
      <c r="F209" s="37">
        <v>45600</v>
      </c>
      <c r="G209" s="13" t="s">
        <v>61</v>
      </c>
      <c r="H209" s="37">
        <v>45658</v>
      </c>
      <c r="I209" s="102" t="s">
        <v>495</v>
      </c>
      <c r="J209" s="11"/>
      <c r="K209" s="13" t="s">
        <v>62</v>
      </c>
      <c r="L209" s="88">
        <v>12</v>
      </c>
      <c r="M209" s="88">
        <v>12</v>
      </c>
      <c r="N209" s="13" t="s">
        <v>46</v>
      </c>
      <c r="O209" s="10" t="s">
        <v>576</v>
      </c>
      <c r="P209" s="10" t="s">
        <v>495</v>
      </c>
      <c r="Q209" s="10" t="s">
        <v>665</v>
      </c>
    </row>
    <row r="210" spans="1:17" ht="15" customHeight="1" x14ac:dyDescent="0.2">
      <c r="A210" s="13" t="s">
        <v>215</v>
      </c>
      <c r="B210" s="13" t="s">
        <v>215</v>
      </c>
      <c r="C210" s="36">
        <v>18172874201</v>
      </c>
      <c r="D210" s="13" t="s">
        <v>216</v>
      </c>
      <c r="E210" s="13" t="s">
        <v>49</v>
      </c>
      <c r="F210" s="37">
        <v>45581</v>
      </c>
      <c r="G210" s="13" t="s">
        <v>61</v>
      </c>
      <c r="H210" s="37">
        <v>45658</v>
      </c>
      <c r="I210" s="102" t="s">
        <v>495</v>
      </c>
      <c r="J210" s="11"/>
      <c r="K210" s="13" t="s">
        <v>62</v>
      </c>
      <c r="L210" s="88">
        <v>12</v>
      </c>
      <c r="M210" s="88">
        <v>12</v>
      </c>
      <c r="N210" s="13" t="s">
        <v>46</v>
      </c>
      <c r="O210" s="10" t="s">
        <v>576</v>
      </c>
      <c r="P210" s="10" t="s">
        <v>495</v>
      </c>
      <c r="Q210" s="10" t="s">
        <v>665</v>
      </c>
    </row>
    <row r="211" spans="1:17" ht="15" customHeight="1" x14ac:dyDescent="0.2">
      <c r="A211" s="89" t="s">
        <v>553</v>
      </c>
      <c r="B211" s="89" t="s">
        <v>553</v>
      </c>
      <c r="C211" s="13">
        <v>19401398301</v>
      </c>
      <c r="D211" s="13" t="s">
        <v>554</v>
      </c>
      <c r="E211" s="13" t="s">
        <v>49</v>
      </c>
      <c r="F211" s="37">
        <v>45581</v>
      </c>
      <c r="G211" s="13" t="s">
        <v>61</v>
      </c>
      <c r="H211" s="37">
        <v>45658</v>
      </c>
      <c r="I211" s="102" t="s">
        <v>495</v>
      </c>
      <c r="J211" s="11"/>
      <c r="K211" s="13" t="s">
        <v>62</v>
      </c>
      <c r="L211" s="88">
        <v>12</v>
      </c>
      <c r="M211" s="88">
        <v>12</v>
      </c>
      <c r="N211" s="13" t="s">
        <v>46</v>
      </c>
      <c r="O211" s="10" t="s">
        <v>576</v>
      </c>
      <c r="P211" s="10" t="s">
        <v>495</v>
      </c>
      <c r="Q211" s="10" t="s">
        <v>665</v>
      </c>
    </row>
    <row r="212" spans="1:17" ht="15" customHeight="1" x14ac:dyDescent="0.25">
      <c r="A212" s="89" t="s">
        <v>561</v>
      </c>
      <c r="B212" s="89" t="s">
        <v>561</v>
      </c>
      <c r="C212" s="13">
        <v>19636658701</v>
      </c>
      <c r="D212" s="13" t="s">
        <v>562</v>
      </c>
      <c r="E212" s="13" t="s">
        <v>49</v>
      </c>
      <c r="F212" s="37">
        <v>45595</v>
      </c>
      <c r="G212" s="13" t="s">
        <v>61</v>
      </c>
      <c r="H212" s="37">
        <v>45658</v>
      </c>
      <c r="I212" s="102" t="s">
        <v>495</v>
      </c>
      <c r="J212" s="12"/>
      <c r="K212" s="13" t="s">
        <v>62</v>
      </c>
      <c r="L212" s="88">
        <v>12</v>
      </c>
      <c r="M212" s="88">
        <v>12</v>
      </c>
      <c r="N212" s="13" t="s">
        <v>46</v>
      </c>
      <c r="O212" s="10" t="s">
        <v>576</v>
      </c>
      <c r="P212" s="10" t="s">
        <v>495</v>
      </c>
      <c r="Q212" s="10" t="s">
        <v>665</v>
      </c>
    </row>
    <row r="213" spans="1:17" ht="15" customHeight="1" x14ac:dyDescent="0.2">
      <c r="A213" s="13" t="s">
        <v>243</v>
      </c>
      <c r="B213" s="13" t="s">
        <v>243</v>
      </c>
      <c r="C213" s="36">
        <v>19401485801</v>
      </c>
      <c r="D213" s="13" t="s">
        <v>244</v>
      </c>
      <c r="E213" s="13" t="s">
        <v>49</v>
      </c>
      <c r="F213" s="37">
        <v>45581</v>
      </c>
      <c r="G213" s="13" t="s">
        <v>61</v>
      </c>
      <c r="H213" s="37">
        <v>45658</v>
      </c>
      <c r="I213" s="102" t="s">
        <v>495</v>
      </c>
      <c r="J213" s="11"/>
      <c r="K213" s="13" t="s">
        <v>62</v>
      </c>
      <c r="L213" s="88">
        <v>12</v>
      </c>
      <c r="M213" s="88">
        <v>12</v>
      </c>
      <c r="N213" s="13" t="s">
        <v>46</v>
      </c>
      <c r="O213" s="10" t="s">
        <v>576</v>
      </c>
      <c r="P213" s="10" t="s">
        <v>495</v>
      </c>
      <c r="Q213" s="10" t="s">
        <v>665</v>
      </c>
    </row>
    <row r="214" spans="1:17" ht="15" customHeight="1" x14ac:dyDescent="0.2">
      <c r="A214" s="13" t="s">
        <v>267</v>
      </c>
      <c r="B214" s="13" t="s">
        <v>267</v>
      </c>
      <c r="C214" s="36">
        <v>19921956901</v>
      </c>
      <c r="D214" s="13" t="s">
        <v>268</v>
      </c>
      <c r="E214" s="13" t="s">
        <v>49</v>
      </c>
      <c r="F214" s="37">
        <v>45628</v>
      </c>
      <c r="G214" s="13" t="s">
        <v>61</v>
      </c>
      <c r="H214" s="37">
        <v>45658</v>
      </c>
      <c r="I214" s="102" t="s">
        <v>495</v>
      </c>
      <c r="J214" s="11"/>
      <c r="K214" s="13" t="s">
        <v>62</v>
      </c>
      <c r="L214" s="88">
        <v>12</v>
      </c>
      <c r="M214" s="88">
        <v>12</v>
      </c>
      <c r="N214" s="13" t="s">
        <v>46</v>
      </c>
      <c r="O214" s="10" t="s">
        <v>576</v>
      </c>
      <c r="P214" s="10" t="s">
        <v>495</v>
      </c>
      <c r="Q214" s="10" t="s">
        <v>665</v>
      </c>
    </row>
    <row r="215" spans="1:17" ht="15" customHeight="1" x14ac:dyDescent="0.2">
      <c r="A215" s="65" t="s">
        <v>571</v>
      </c>
      <c r="B215" s="65" t="s">
        <v>571</v>
      </c>
      <c r="C215" s="65">
        <v>19674572301</v>
      </c>
      <c r="D215" s="65" t="s">
        <v>569</v>
      </c>
      <c r="E215" s="65" t="s">
        <v>49</v>
      </c>
      <c r="F215" s="68">
        <v>45600</v>
      </c>
      <c r="G215" s="65" t="s">
        <v>61</v>
      </c>
      <c r="H215" s="68">
        <v>45658</v>
      </c>
      <c r="I215" s="103" t="s">
        <v>495</v>
      </c>
      <c r="J215" s="94"/>
      <c r="K215" s="65" t="s">
        <v>62</v>
      </c>
      <c r="L215" s="95">
        <v>12</v>
      </c>
      <c r="M215" s="95">
        <v>12</v>
      </c>
      <c r="N215" s="65" t="s">
        <v>46</v>
      </c>
      <c r="O215" s="10" t="s">
        <v>576</v>
      </c>
      <c r="P215" s="10" t="s">
        <v>495</v>
      </c>
      <c r="Q215" s="10" t="s">
        <v>665</v>
      </c>
    </row>
    <row r="216" spans="1:17" ht="15" customHeight="1" x14ac:dyDescent="0.2">
      <c r="A216" s="13" t="s">
        <v>137</v>
      </c>
      <c r="B216" s="13" t="s">
        <v>137</v>
      </c>
      <c r="C216" s="36">
        <v>20057871401</v>
      </c>
      <c r="D216" s="13" t="s">
        <v>138</v>
      </c>
      <c r="E216" s="13" t="s">
        <v>49</v>
      </c>
      <c r="F216" s="37">
        <v>45635</v>
      </c>
      <c r="G216" s="13" t="s">
        <v>61</v>
      </c>
      <c r="H216" s="37">
        <v>45689</v>
      </c>
      <c r="I216" s="102" t="s">
        <v>495</v>
      </c>
      <c r="J216" s="11"/>
      <c r="K216" s="13" t="s">
        <v>62</v>
      </c>
      <c r="L216" s="88">
        <v>12</v>
      </c>
      <c r="M216" s="88">
        <v>11</v>
      </c>
      <c r="N216" s="13" t="s">
        <v>46</v>
      </c>
      <c r="O216" s="10" t="s">
        <v>576</v>
      </c>
      <c r="P216" s="10" t="s">
        <v>495</v>
      </c>
      <c r="Q216" s="10" t="s">
        <v>665</v>
      </c>
    </row>
    <row r="217" spans="1:17" ht="15" customHeight="1" x14ac:dyDescent="0.2">
      <c r="A217" s="13" t="s">
        <v>149</v>
      </c>
      <c r="B217" s="13" t="s">
        <v>149</v>
      </c>
      <c r="C217" s="36">
        <v>19850445801</v>
      </c>
      <c r="D217" s="13" t="s">
        <v>150</v>
      </c>
      <c r="E217" s="13" t="s">
        <v>49</v>
      </c>
      <c r="F217" s="37">
        <v>45618</v>
      </c>
      <c r="G217" s="13" t="s">
        <v>81</v>
      </c>
      <c r="H217" s="37">
        <v>45658</v>
      </c>
      <c r="I217" s="102" t="s">
        <v>449</v>
      </c>
      <c r="J217" s="11"/>
      <c r="K217" s="13" t="s">
        <v>62</v>
      </c>
      <c r="L217" s="88">
        <v>12</v>
      </c>
      <c r="M217" s="88">
        <v>12</v>
      </c>
      <c r="N217" s="13" t="s">
        <v>46</v>
      </c>
      <c r="O217" s="10" t="s">
        <v>576</v>
      </c>
      <c r="P217" s="10" t="s">
        <v>449</v>
      </c>
      <c r="Q217" s="10">
        <v>19200754</v>
      </c>
    </row>
    <row r="218" spans="1:17" ht="15" customHeight="1" x14ac:dyDescent="0.2">
      <c r="A218" s="13" t="s">
        <v>79</v>
      </c>
      <c r="B218" s="13" t="s">
        <v>79</v>
      </c>
      <c r="C218" s="36">
        <v>20009666701</v>
      </c>
      <c r="D218" s="13" t="s">
        <v>80</v>
      </c>
      <c r="E218" s="13" t="s">
        <v>49</v>
      </c>
      <c r="F218" s="37">
        <v>45631</v>
      </c>
      <c r="G218" s="13" t="s">
        <v>81</v>
      </c>
      <c r="H218" s="37">
        <v>45658</v>
      </c>
      <c r="I218" s="102" t="s">
        <v>449</v>
      </c>
      <c r="J218" s="11"/>
      <c r="K218" s="13" t="s">
        <v>62</v>
      </c>
      <c r="L218" s="88">
        <v>12</v>
      </c>
      <c r="M218" s="88">
        <v>12</v>
      </c>
      <c r="N218" s="13" t="s">
        <v>46</v>
      </c>
      <c r="O218" s="10" t="s">
        <v>576</v>
      </c>
      <c r="P218" s="10" t="s">
        <v>449</v>
      </c>
      <c r="Q218" s="10">
        <v>19200754</v>
      </c>
    </row>
    <row r="219" spans="1:17" ht="15" customHeight="1" x14ac:dyDescent="0.2">
      <c r="A219" s="65" t="s">
        <v>109</v>
      </c>
      <c r="B219" s="65" t="s">
        <v>109</v>
      </c>
      <c r="C219" s="93">
        <v>19935736901</v>
      </c>
      <c r="D219" s="65" t="s">
        <v>110</v>
      </c>
      <c r="E219" s="65" t="s">
        <v>49</v>
      </c>
      <c r="F219" s="68">
        <v>45628</v>
      </c>
      <c r="G219" s="65" t="s">
        <v>81</v>
      </c>
      <c r="H219" s="68">
        <v>45658</v>
      </c>
      <c r="I219" s="103" t="s">
        <v>449</v>
      </c>
      <c r="J219" s="94"/>
      <c r="K219" s="65" t="s">
        <v>62</v>
      </c>
      <c r="L219" s="95">
        <v>12</v>
      </c>
      <c r="M219" s="95">
        <v>12</v>
      </c>
      <c r="N219" s="65" t="s">
        <v>46</v>
      </c>
      <c r="O219" s="10" t="s">
        <v>576</v>
      </c>
      <c r="P219" s="10" t="s">
        <v>449</v>
      </c>
      <c r="Q219" s="10">
        <v>19200754</v>
      </c>
    </row>
    <row r="220" spans="1:17" ht="15" customHeight="1" x14ac:dyDescent="0.2">
      <c r="A220" s="13" t="s">
        <v>195</v>
      </c>
      <c r="B220" s="13" t="s">
        <v>195</v>
      </c>
      <c r="C220" s="36">
        <v>20007329401</v>
      </c>
      <c r="D220" s="13" t="s">
        <v>196</v>
      </c>
      <c r="E220" s="13" t="s">
        <v>49</v>
      </c>
      <c r="F220" s="37">
        <v>45631</v>
      </c>
      <c r="G220" s="13" t="s">
        <v>90</v>
      </c>
      <c r="H220" s="37">
        <v>45658</v>
      </c>
      <c r="I220" s="102" t="s">
        <v>450</v>
      </c>
      <c r="J220" s="11"/>
      <c r="K220" s="13" t="s">
        <v>62</v>
      </c>
      <c r="L220" s="88">
        <v>12</v>
      </c>
      <c r="M220" s="88">
        <v>12</v>
      </c>
      <c r="N220" s="13" t="s">
        <v>46</v>
      </c>
      <c r="O220" s="10" t="s">
        <v>576</v>
      </c>
      <c r="P220" s="10" t="s">
        <v>450</v>
      </c>
      <c r="Q220" s="10">
        <v>16912722</v>
      </c>
    </row>
    <row r="221" spans="1:17" ht="15" customHeight="1" x14ac:dyDescent="0.2">
      <c r="A221" s="13" t="s">
        <v>197</v>
      </c>
      <c r="B221" s="13" t="s">
        <v>197</v>
      </c>
      <c r="C221" s="36">
        <v>20007455701</v>
      </c>
      <c r="D221" s="13" t="s">
        <v>198</v>
      </c>
      <c r="E221" s="13" t="s">
        <v>49</v>
      </c>
      <c r="F221" s="37">
        <v>45631</v>
      </c>
      <c r="G221" s="13" t="s">
        <v>90</v>
      </c>
      <c r="H221" s="37">
        <v>45658</v>
      </c>
      <c r="I221" s="102" t="s">
        <v>450</v>
      </c>
      <c r="J221" s="11"/>
      <c r="K221" s="13" t="s">
        <v>62</v>
      </c>
      <c r="L221" s="88">
        <v>12</v>
      </c>
      <c r="M221" s="88">
        <v>12</v>
      </c>
      <c r="N221" s="13" t="s">
        <v>46</v>
      </c>
      <c r="O221" s="10" t="s">
        <v>576</v>
      </c>
      <c r="P221" s="10" t="s">
        <v>450</v>
      </c>
      <c r="Q221" s="10">
        <v>16912722</v>
      </c>
    </row>
    <row r="222" spans="1:17" ht="15" customHeight="1" x14ac:dyDescent="0.2">
      <c r="A222" s="13" t="s">
        <v>205</v>
      </c>
      <c r="B222" s="13" t="s">
        <v>205</v>
      </c>
      <c r="C222" s="36">
        <v>19851930801</v>
      </c>
      <c r="D222" s="13" t="s">
        <v>206</v>
      </c>
      <c r="E222" s="13" t="s">
        <v>49</v>
      </c>
      <c r="F222" s="37">
        <v>45618</v>
      </c>
      <c r="G222" s="13" t="s">
        <v>90</v>
      </c>
      <c r="H222" s="37">
        <v>45658</v>
      </c>
      <c r="I222" s="102" t="s">
        <v>450</v>
      </c>
      <c r="J222" s="11"/>
      <c r="K222" s="13" t="s">
        <v>62</v>
      </c>
      <c r="L222" s="88">
        <v>12</v>
      </c>
      <c r="M222" s="88">
        <v>12</v>
      </c>
      <c r="N222" s="13" t="s">
        <v>46</v>
      </c>
      <c r="O222" s="10" t="s">
        <v>576</v>
      </c>
      <c r="P222" s="10" t="s">
        <v>450</v>
      </c>
      <c r="Q222" s="10">
        <v>16912722</v>
      </c>
    </row>
    <row r="223" spans="1:17" ht="15" customHeight="1" x14ac:dyDescent="0.2">
      <c r="A223" s="13" t="s">
        <v>312</v>
      </c>
      <c r="B223" s="13" t="s">
        <v>312</v>
      </c>
      <c r="C223" s="36">
        <v>19984386301</v>
      </c>
      <c r="D223" s="13" t="s">
        <v>313</v>
      </c>
      <c r="E223" s="13" t="s">
        <v>49</v>
      </c>
      <c r="F223" s="37">
        <v>45630</v>
      </c>
      <c r="G223" s="13" t="s">
        <v>90</v>
      </c>
      <c r="H223" s="37">
        <v>45658</v>
      </c>
      <c r="I223" s="102" t="s">
        <v>450</v>
      </c>
      <c r="J223" s="11"/>
      <c r="K223" s="13" t="s">
        <v>62</v>
      </c>
      <c r="L223" s="88">
        <v>12</v>
      </c>
      <c r="M223" s="88">
        <v>12</v>
      </c>
      <c r="N223" s="13" t="s">
        <v>46</v>
      </c>
      <c r="O223" s="10" t="s">
        <v>576</v>
      </c>
      <c r="P223" s="10" t="s">
        <v>450</v>
      </c>
      <c r="Q223" s="10">
        <v>16912722</v>
      </c>
    </row>
    <row r="224" spans="1:17" ht="15" customHeight="1" x14ac:dyDescent="0.2">
      <c r="A224" s="27" t="s">
        <v>91</v>
      </c>
      <c r="B224" s="27" t="s">
        <v>91</v>
      </c>
      <c r="C224" s="28">
        <v>19827038101</v>
      </c>
      <c r="D224" s="27" t="s">
        <v>92</v>
      </c>
      <c r="E224" s="27" t="s">
        <v>49</v>
      </c>
      <c r="F224" s="29">
        <v>45616</v>
      </c>
      <c r="G224" s="27" t="s">
        <v>93</v>
      </c>
      <c r="H224" s="29">
        <v>45658</v>
      </c>
      <c r="I224" s="101" t="s">
        <v>518</v>
      </c>
      <c r="J224" s="32"/>
      <c r="K224" s="27" t="s">
        <v>62</v>
      </c>
      <c r="L224" s="87">
        <v>12</v>
      </c>
      <c r="M224" s="87">
        <v>12</v>
      </c>
      <c r="N224" s="27" t="s">
        <v>46</v>
      </c>
      <c r="O224" s="10" t="s">
        <v>576</v>
      </c>
      <c r="P224" s="10" t="s">
        <v>518</v>
      </c>
      <c r="Q224" s="10">
        <v>19681796</v>
      </c>
    </row>
    <row r="225" spans="1:17" ht="15" customHeight="1" x14ac:dyDescent="0.2">
      <c r="A225" s="13" t="s">
        <v>105</v>
      </c>
      <c r="B225" s="13" t="s">
        <v>105</v>
      </c>
      <c r="C225" s="36">
        <v>20013729701</v>
      </c>
      <c r="D225" s="13" t="s">
        <v>106</v>
      </c>
      <c r="E225" s="13" t="s">
        <v>49</v>
      </c>
      <c r="F225" s="37">
        <v>45631</v>
      </c>
      <c r="G225" s="13" t="s">
        <v>93</v>
      </c>
      <c r="H225" s="37">
        <v>45658</v>
      </c>
      <c r="I225" s="102" t="s">
        <v>518</v>
      </c>
      <c r="J225" s="11"/>
      <c r="K225" s="13" t="s">
        <v>62</v>
      </c>
      <c r="L225" s="88">
        <v>12</v>
      </c>
      <c r="M225" s="88">
        <v>12</v>
      </c>
      <c r="N225" s="13" t="s">
        <v>46</v>
      </c>
      <c r="O225" s="10" t="s">
        <v>576</v>
      </c>
      <c r="P225" s="10" t="s">
        <v>518</v>
      </c>
      <c r="Q225" s="10">
        <v>19681796</v>
      </c>
    </row>
    <row r="226" spans="1:17" ht="15" customHeight="1" x14ac:dyDescent="0.2">
      <c r="A226" s="13" t="s">
        <v>133</v>
      </c>
      <c r="B226" s="13" t="s">
        <v>133</v>
      </c>
      <c r="C226" s="36">
        <v>19838931401</v>
      </c>
      <c r="D226" s="13" t="s">
        <v>134</v>
      </c>
      <c r="E226" s="13" t="s">
        <v>49</v>
      </c>
      <c r="F226" s="37">
        <v>45617</v>
      </c>
      <c r="G226" s="13" t="s">
        <v>93</v>
      </c>
      <c r="H226" s="37">
        <v>45658</v>
      </c>
      <c r="I226" s="102" t="s">
        <v>518</v>
      </c>
      <c r="J226" s="11"/>
      <c r="K226" s="13" t="s">
        <v>62</v>
      </c>
      <c r="L226" s="88">
        <v>12</v>
      </c>
      <c r="M226" s="88">
        <v>12</v>
      </c>
      <c r="N226" s="13" t="s">
        <v>46</v>
      </c>
      <c r="O226" s="10" t="s">
        <v>576</v>
      </c>
      <c r="P226" s="10" t="s">
        <v>518</v>
      </c>
      <c r="Q226" s="10">
        <v>19681796</v>
      </c>
    </row>
    <row r="227" spans="1:17" ht="15" customHeight="1" x14ac:dyDescent="0.2">
      <c r="A227" s="13" t="s">
        <v>40</v>
      </c>
      <c r="B227" s="13" t="s">
        <v>40</v>
      </c>
      <c r="C227" s="36">
        <v>19410657101</v>
      </c>
      <c r="D227" s="13" t="s">
        <v>41</v>
      </c>
      <c r="E227" s="13" t="s">
        <v>42</v>
      </c>
      <c r="F227" s="37">
        <v>45581</v>
      </c>
      <c r="G227" s="13" t="s">
        <v>43</v>
      </c>
      <c r="H227" s="37">
        <v>45658</v>
      </c>
      <c r="I227" s="102" t="s">
        <v>519</v>
      </c>
      <c r="J227" s="11"/>
      <c r="K227" s="13" t="s">
        <v>62</v>
      </c>
      <c r="L227" s="88">
        <v>12</v>
      </c>
      <c r="M227" s="88">
        <v>12</v>
      </c>
      <c r="N227" s="13" t="s">
        <v>46</v>
      </c>
      <c r="O227" s="10" t="s">
        <v>576</v>
      </c>
      <c r="P227" s="10" t="s">
        <v>519</v>
      </c>
      <c r="Q227" s="10">
        <v>19645587</v>
      </c>
    </row>
    <row r="228" spans="1:17" ht="15" customHeight="1" x14ac:dyDescent="0.2">
      <c r="A228" s="13" t="s">
        <v>548</v>
      </c>
      <c r="B228" s="13" t="s">
        <v>548</v>
      </c>
      <c r="C228" s="13">
        <v>91001065480</v>
      </c>
      <c r="D228" s="13" t="s">
        <v>549</v>
      </c>
      <c r="E228" s="13" t="s">
        <v>169</v>
      </c>
      <c r="F228" s="37">
        <v>45595</v>
      </c>
      <c r="G228" s="13" t="s">
        <v>43</v>
      </c>
      <c r="H228" s="37">
        <v>45658</v>
      </c>
      <c r="I228" s="102" t="s">
        <v>519</v>
      </c>
      <c r="K228" s="13" t="s">
        <v>62</v>
      </c>
      <c r="L228" s="88">
        <v>12</v>
      </c>
      <c r="M228" s="88">
        <v>12</v>
      </c>
      <c r="N228" s="13" t="s">
        <v>46</v>
      </c>
      <c r="O228" s="10" t="s">
        <v>576</v>
      </c>
      <c r="P228" s="10" t="s">
        <v>519</v>
      </c>
      <c r="Q228" s="10">
        <v>19645587</v>
      </c>
    </row>
    <row r="229" spans="1:17" ht="15" customHeight="1" x14ac:dyDescent="0.2">
      <c r="A229" s="13" t="s">
        <v>203</v>
      </c>
      <c r="B229" s="13" t="s">
        <v>203</v>
      </c>
      <c r="C229" s="36">
        <v>19474117901</v>
      </c>
      <c r="D229" s="13" t="s">
        <v>204</v>
      </c>
      <c r="E229" s="13" t="s">
        <v>49</v>
      </c>
      <c r="F229" s="37">
        <v>45589</v>
      </c>
      <c r="G229" s="13" t="s">
        <v>43</v>
      </c>
      <c r="H229" s="37">
        <v>45658</v>
      </c>
      <c r="I229" s="102" t="s">
        <v>519</v>
      </c>
      <c r="J229" s="11"/>
      <c r="K229" s="13" t="s">
        <v>62</v>
      </c>
      <c r="L229" s="88">
        <v>12</v>
      </c>
      <c r="M229" s="88">
        <v>12</v>
      </c>
      <c r="N229" s="13" t="s">
        <v>46</v>
      </c>
      <c r="O229" s="10" t="s">
        <v>576</v>
      </c>
      <c r="P229" s="10" t="s">
        <v>519</v>
      </c>
      <c r="Q229" s="10">
        <v>19645587</v>
      </c>
    </row>
    <row r="230" spans="1:17" ht="15" customHeight="1" x14ac:dyDescent="0.2">
      <c r="A230" s="13" t="s">
        <v>82</v>
      </c>
      <c r="B230" s="13" t="s">
        <v>82</v>
      </c>
      <c r="C230" s="36">
        <v>19462303901</v>
      </c>
      <c r="D230" s="13" t="s">
        <v>83</v>
      </c>
      <c r="E230" s="13" t="s">
        <v>49</v>
      </c>
      <c r="F230" s="37">
        <v>45588</v>
      </c>
      <c r="G230" s="13" t="s">
        <v>43</v>
      </c>
      <c r="H230" s="37">
        <v>45658</v>
      </c>
      <c r="I230" s="102" t="s">
        <v>519</v>
      </c>
      <c r="J230" s="11"/>
      <c r="K230" s="13" t="s">
        <v>62</v>
      </c>
      <c r="L230" s="88">
        <v>12</v>
      </c>
      <c r="M230" s="88">
        <v>12</v>
      </c>
      <c r="N230" s="13" t="s">
        <v>46</v>
      </c>
      <c r="O230" s="10" t="s">
        <v>576</v>
      </c>
      <c r="P230" s="10" t="s">
        <v>519</v>
      </c>
      <c r="Q230" s="10">
        <v>19645587</v>
      </c>
    </row>
    <row r="231" spans="1:17" ht="15" customHeight="1" x14ac:dyDescent="0.2">
      <c r="A231" s="13" t="s">
        <v>84</v>
      </c>
      <c r="B231" s="13" t="s">
        <v>84</v>
      </c>
      <c r="C231" s="36">
        <v>19463494501</v>
      </c>
      <c r="D231" s="13" t="s">
        <v>85</v>
      </c>
      <c r="E231" s="13" t="s">
        <v>49</v>
      </c>
      <c r="F231" s="37">
        <v>45588</v>
      </c>
      <c r="G231" s="13" t="s">
        <v>43</v>
      </c>
      <c r="H231" s="37">
        <v>45658</v>
      </c>
      <c r="I231" s="102" t="s">
        <v>519</v>
      </c>
      <c r="J231" s="11"/>
      <c r="K231" s="13" t="s">
        <v>62</v>
      </c>
      <c r="L231" s="88">
        <v>12</v>
      </c>
      <c r="M231" s="88">
        <v>12</v>
      </c>
      <c r="N231" s="13" t="s">
        <v>46</v>
      </c>
      <c r="O231" s="10" t="s">
        <v>576</v>
      </c>
      <c r="P231" s="10" t="s">
        <v>519</v>
      </c>
      <c r="Q231" s="10">
        <v>19645587</v>
      </c>
    </row>
    <row r="232" spans="1:17" ht="15" customHeight="1" x14ac:dyDescent="0.2">
      <c r="A232" s="13" t="s">
        <v>86</v>
      </c>
      <c r="B232" s="13" t="s">
        <v>86</v>
      </c>
      <c r="C232" s="36">
        <v>19691483201</v>
      </c>
      <c r="D232" s="13" t="s">
        <v>87</v>
      </c>
      <c r="E232" s="13" t="s">
        <v>49</v>
      </c>
      <c r="F232" s="37">
        <v>45601</v>
      </c>
      <c r="G232" s="13" t="s">
        <v>43</v>
      </c>
      <c r="H232" s="37">
        <v>45658</v>
      </c>
      <c r="I232" s="102" t="s">
        <v>519</v>
      </c>
      <c r="J232" s="11"/>
      <c r="K232" s="13" t="s">
        <v>62</v>
      </c>
      <c r="L232" s="88">
        <v>12</v>
      </c>
      <c r="M232" s="88">
        <v>12</v>
      </c>
      <c r="N232" s="13" t="s">
        <v>46</v>
      </c>
      <c r="O232" s="10" t="s">
        <v>576</v>
      </c>
      <c r="P232" s="10" t="s">
        <v>519</v>
      </c>
      <c r="Q232" s="10">
        <v>19645587</v>
      </c>
    </row>
    <row r="233" spans="1:17" ht="15" customHeight="1" x14ac:dyDescent="0.2">
      <c r="A233" s="13" t="s">
        <v>291</v>
      </c>
      <c r="B233" s="13" t="s">
        <v>291</v>
      </c>
      <c r="C233" s="36">
        <v>19419806501</v>
      </c>
      <c r="D233" s="13" t="s">
        <v>292</v>
      </c>
      <c r="E233" s="13" t="s">
        <v>49</v>
      </c>
      <c r="F233" s="37">
        <v>45582</v>
      </c>
      <c r="G233" s="13" t="s">
        <v>43</v>
      </c>
      <c r="H233" s="37">
        <v>45658</v>
      </c>
      <c r="I233" s="102" t="s">
        <v>519</v>
      </c>
      <c r="J233" s="11"/>
      <c r="K233" s="13" t="s">
        <v>62</v>
      </c>
      <c r="L233" s="88">
        <v>12</v>
      </c>
      <c r="M233" s="88">
        <v>12</v>
      </c>
      <c r="N233" s="13" t="s">
        <v>46</v>
      </c>
      <c r="O233" s="10" t="s">
        <v>576</v>
      </c>
      <c r="P233" s="10" t="s">
        <v>519</v>
      </c>
      <c r="Q233" s="10">
        <v>19645587</v>
      </c>
    </row>
    <row r="234" spans="1:17" ht="15" customHeight="1" x14ac:dyDescent="0.2">
      <c r="A234" s="13" t="s">
        <v>151</v>
      </c>
      <c r="B234" s="13" t="s">
        <v>151</v>
      </c>
      <c r="C234" s="36">
        <v>19401716601</v>
      </c>
      <c r="D234" s="13" t="s">
        <v>152</v>
      </c>
      <c r="E234" s="13" t="s">
        <v>53</v>
      </c>
      <c r="F234" s="37">
        <v>45581</v>
      </c>
      <c r="G234" s="13" t="s">
        <v>153</v>
      </c>
      <c r="H234" s="37">
        <v>45658</v>
      </c>
      <c r="I234" s="102" t="s">
        <v>581</v>
      </c>
      <c r="J234" s="11"/>
      <c r="K234" s="13" t="s">
        <v>62</v>
      </c>
      <c r="L234" s="88">
        <v>12</v>
      </c>
      <c r="M234" s="88">
        <v>12</v>
      </c>
      <c r="N234" s="13" t="s">
        <v>46</v>
      </c>
      <c r="O234" s="10" t="s">
        <v>576</v>
      </c>
      <c r="P234" s="10" t="s">
        <v>497</v>
      </c>
      <c r="Q234" s="10">
        <v>15278437</v>
      </c>
    </row>
    <row r="235" spans="1:17" ht="15" customHeight="1" x14ac:dyDescent="0.2">
      <c r="A235" s="89" t="s">
        <v>522</v>
      </c>
      <c r="B235" s="89" t="s">
        <v>522</v>
      </c>
      <c r="C235" s="13">
        <v>19832802301</v>
      </c>
      <c r="D235" s="13" t="s">
        <v>523</v>
      </c>
      <c r="E235" s="13" t="s">
        <v>53</v>
      </c>
      <c r="F235" s="37">
        <v>45617</v>
      </c>
      <c r="G235" s="13" t="s">
        <v>153</v>
      </c>
      <c r="H235" s="37">
        <v>45658</v>
      </c>
      <c r="I235" s="102" t="s">
        <v>581</v>
      </c>
      <c r="J235" s="11"/>
      <c r="K235" s="13" t="s">
        <v>62</v>
      </c>
      <c r="L235" s="88">
        <v>12</v>
      </c>
      <c r="M235" s="88">
        <v>12</v>
      </c>
      <c r="N235" s="13" t="s">
        <v>46</v>
      </c>
      <c r="O235" s="10" t="s">
        <v>576</v>
      </c>
      <c r="P235" s="10" t="s">
        <v>497</v>
      </c>
      <c r="Q235" s="10">
        <v>15278437</v>
      </c>
    </row>
    <row r="236" spans="1:17" ht="15" customHeight="1" x14ac:dyDescent="0.2">
      <c r="A236" s="92" t="s">
        <v>536</v>
      </c>
      <c r="B236" s="92" t="s">
        <v>536</v>
      </c>
      <c r="C236" s="65">
        <v>19893114901</v>
      </c>
      <c r="D236" s="65" t="s">
        <v>537</v>
      </c>
      <c r="E236" s="65" t="s">
        <v>53</v>
      </c>
      <c r="F236" s="68">
        <v>45623</v>
      </c>
      <c r="G236" s="92" t="s">
        <v>604</v>
      </c>
      <c r="H236" s="68">
        <v>45658</v>
      </c>
      <c r="I236" s="103" t="s">
        <v>581</v>
      </c>
      <c r="J236" s="98"/>
      <c r="K236" s="65" t="s">
        <v>62</v>
      </c>
      <c r="L236" s="95">
        <v>12</v>
      </c>
      <c r="M236" s="95">
        <v>12</v>
      </c>
      <c r="N236" s="65" t="s">
        <v>46</v>
      </c>
      <c r="O236" s="10" t="s">
        <v>576</v>
      </c>
      <c r="P236" s="10" t="s">
        <v>497</v>
      </c>
      <c r="Q236" s="10">
        <v>15278437</v>
      </c>
    </row>
    <row r="237" spans="1:17" ht="15" customHeight="1" x14ac:dyDescent="0.2">
      <c r="A237" s="13" t="s">
        <v>183</v>
      </c>
      <c r="B237" s="13" t="s">
        <v>183</v>
      </c>
      <c r="C237" s="36">
        <v>19866714901</v>
      </c>
      <c r="D237" s="13" t="s">
        <v>184</v>
      </c>
      <c r="E237" s="13" t="s">
        <v>53</v>
      </c>
      <c r="F237" s="37">
        <v>45621</v>
      </c>
      <c r="G237" s="13" t="s">
        <v>153</v>
      </c>
      <c r="H237" s="37">
        <v>45658</v>
      </c>
      <c r="I237" s="102" t="s">
        <v>581</v>
      </c>
      <c r="J237" s="11"/>
      <c r="K237" s="13" t="s">
        <v>62</v>
      </c>
      <c r="L237" s="88">
        <v>12</v>
      </c>
      <c r="M237" s="88">
        <v>12</v>
      </c>
      <c r="N237" s="13" t="s">
        <v>46</v>
      </c>
      <c r="O237" s="10" t="s">
        <v>576</v>
      </c>
      <c r="P237" s="10" t="s">
        <v>497</v>
      </c>
      <c r="Q237" s="10">
        <v>15278437</v>
      </c>
    </row>
    <row r="238" spans="1:17" ht="15" customHeight="1" x14ac:dyDescent="0.2">
      <c r="A238" s="13" t="s">
        <v>185</v>
      </c>
      <c r="B238" s="13" t="s">
        <v>185</v>
      </c>
      <c r="C238" s="36">
        <v>19843854101</v>
      </c>
      <c r="D238" s="13" t="s">
        <v>186</v>
      </c>
      <c r="E238" s="13" t="s">
        <v>53</v>
      </c>
      <c r="F238" s="37">
        <v>45618</v>
      </c>
      <c r="G238" s="13" t="s">
        <v>153</v>
      </c>
      <c r="H238" s="37">
        <v>45658</v>
      </c>
      <c r="I238" s="102" t="s">
        <v>581</v>
      </c>
      <c r="J238" s="11"/>
      <c r="K238" s="13" t="s">
        <v>62</v>
      </c>
      <c r="L238" s="88">
        <v>12</v>
      </c>
      <c r="M238" s="88">
        <v>12</v>
      </c>
      <c r="N238" s="13" t="s">
        <v>46</v>
      </c>
      <c r="O238" s="10" t="s">
        <v>576</v>
      </c>
      <c r="P238" s="10" t="s">
        <v>497</v>
      </c>
      <c r="Q238" s="10">
        <v>15278437</v>
      </c>
    </row>
    <row r="239" spans="1:17" ht="15" customHeight="1" x14ac:dyDescent="0.2">
      <c r="A239" s="13" t="s">
        <v>187</v>
      </c>
      <c r="B239" s="13" t="s">
        <v>187</v>
      </c>
      <c r="C239" s="36">
        <v>19459876901</v>
      </c>
      <c r="D239" s="13" t="s">
        <v>188</v>
      </c>
      <c r="E239" s="13" t="s">
        <v>53</v>
      </c>
      <c r="F239" s="37">
        <v>45588</v>
      </c>
      <c r="G239" s="13" t="s">
        <v>153</v>
      </c>
      <c r="H239" s="37">
        <v>45658</v>
      </c>
      <c r="I239" s="102" t="s">
        <v>581</v>
      </c>
      <c r="J239" s="11"/>
      <c r="K239" s="13" t="s">
        <v>62</v>
      </c>
      <c r="L239" s="88">
        <v>12</v>
      </c>
      <c r="M239" s="88">
        <v>12</v>
      </c>
      <c r="N239" s="13" t="s">
        <v>46</v>
      </c>
      <c r="O239" s="10" t="s">
        <v>576</v>
      </c>
      <c r="P239" s="10" t="s">
        <v>497</v>
      </c>
      <c r="Q239" s="10">
        <v>15278437</v>
      </c>
    </row>
    <row r="240" spans="1:17" ht="15" customHeight="1" x14ac:dyDescent="0.2">
      <c r="A240" s="13" t="s">
        <v>201</v>
      </c>
      <c r="B240" s="13" t="s">
        <v>201</v>
      </c>
      <c r="C240" s="36">
        <v>19949017801</v>
      </c>
      <c r="D240" s="13" t="s">
        <v>202</v>
      </c>
      <c r="E240" s="13" t="s">
        <v>53</v>
      </c>
      <c r="F240" s="37">
        <v>45629</v>
      </c>
      <c r="G240" s="13" t="s">
        <v>153</v>
      </c>
      <c r="H240" s="37">
        <v>45658</v>
      </c>
      <c r="I240" s="102" t="s">
        <v>581</v>
      </c>
      <c r="J240" s="11"/>
      <c r="K240" s="13" t="s">
        <v>62</v>
      </c>
      <c r="L240" s="88">
        <v>12</v>
      </c>
      <c r="M240" s="88">
        <v>12</v>
      </c>
      <c r="N240" s="13" t="s">
        <v>46</v>
      </c>
      <c r="O240" s="10" t="s">
        <v>576</v>
      </c>
      <c r="P240" s="10" t="s">
        <v>497</v>
      </c>
      <c r="Q240" s="10">
        <v>15278437</v>
      </c>
    </row>
    <row r="241" spans="1:17" ht="15" customHeight="1" x14ac:dyDescent="0.2">
      <c r="A241" s="13" t="s">
        <v>209</v>
      </c>
      <c r="B241" s="13" t="s">
        <v>209</v>
      </c>
      <c r="C241" s="36">
        <v>19647308601</v>
      </c>
      <c r="D241" s="13" t="s">
        <v>210</v>
      </c>
      <c r="E241" s="13" t="s">
        <v>53</v>
      </c>
      <c r="F241" s="37">
        <v>45596</v>
      </c>
      <c r="G241" s="13" t="s">
        <v>153</v>
      </c>
      <c r="H241" s="37">
        <v>45658</v>
      </c>
      <c r="I241" s="102" t="s">
        <v>581</v>
      </c>
      <c r="J241" s="11"/>
      <c r="K241" s="13" t="s">
        <v>62</v>
      </c>
      <c r="L241" s="88">
        <v>12</v>
      </c>
      <c r="M241" s="88">
        <v>12</v>
      </c>
      <c r="N241" s="13" t="s">
        <v>46</v>
      </c>
      <c r="O241" s="10" t="s">
        <v>576</v>
      </c>
      <c r="P241" s="10" t="s">
        <v>497</v>
      </c>
      <c r="Q241" s="10">
        <v>15278437</v>
      </c>
    </row>
    <row r="242" spans="1:17" ht="15" customHeight="1" x14ac:dyDescent="0.25">
      <c r="A242" s="89" t="s">
        <v>555</v>
      </c>
      <c r="B242" s="89" t="s">
        <v>555</v>
      </c>
      <c r="C242" s="13">
        <v>19819782401</v>
      </c>
      <c r="D242" s="13" t="s">
        <v>556</v>
      </c>
      <c r="E242" s="13" t="s">
        <v>53</v>
      </c>
      <c r="F242" s="37">
        <v>45616</v>
      </c>
      <c r="G242" s="13" t="s">
        <v>153</v>
      </c>
      <c r="H242" s="37">
        <v>45658</v>
      </c>
      <c r="I242" s="102" t="s">
        <v>581</v>
      </c>
      <c r="J242" s="12"/>
      <c r="K242" s="13" t="s">
        <v>62</v>
      </c>
      <c r="L242" s="88">
        <v>12</v>
      </c>
      <c r="M242" s="88">
        <v>12</v>
      </c>
      <c r="N242" s="13" t="s">
        <v>46</v>
      </c>
      <c r="O242" s="10" t="s">
        <v>576</v>
      </c>
      <c r="P242" s="10" t="s">
        <v>497</v>
      </c>
      <c r="Q242" s="10">
        <v>15278437</v>
      </c>
    </row>
    <row r="243" spans="1:17" ht="15" customHeight="1" x14ac:dyDescent="0.2">
      <c r="A243" s="13" t="s">
        <v>217</v>
      </c>
      <c r="B243" s="13" t="s">
        <v>217</v>
      </c>
      <c r="C243" s="36">
        <v>19820373901</v>
      </c>
      <c r="D243" s="13" t="s">
        <v>218</v>
      </c>
      <c r="E243" s="13" t="s">
        <v>53</v>
      </c>
      <c r="F243" s="37">
        <v>45616</v>
      </c>
      <c r="G243" s="13" t="s">
        <v>153</v>
      </c>
      <c r="H243" s="37">
        <v>45658</v>
      </c>
      <c r="I243" s="102" t="s">
        <v>581</v>
      </c>
      <c r="J243" s="11"/>
      <c r="K243" s="13" t="s">
        <v>62</v>
      </c>
      <c r="L243" s="88">
        <v>12</v>
      </c>
      <c r="M243" s="88">
        <v>12</v>
      </c>
      <c r="N243" s="13" t="s">
        <v>46</v>
      </c>
      <c r="O243" s="10" t="s">
        <v>576</v>
      </c>
      <c r="P243" s="10" t="s">
        <v>497</v>
      </c>
      <c r="Q243" s="10">
        <v>15278437</v>
      </c>
    </row>
    <row r="244" spans="1:17" ht="15" customHeight="1" x14ac:dyDescent="0.2">
      <c r="A244" s="13" t="s">
        <v>222</v>
      </c>
      <c r="B244" s="13" t="s">
        <v>222</v>
      </c>
      <c r="C244" s="36">
        <v>19460855001</v>
      </c>
      <c r="D244" s="13" t="s">
        <v>223</v>
      </c>
      <c r="E244" s="13" t="s">
        <v>53</v>
      </c>
      <c r="F244" s="37">
        <v>45588</v>
      </c>
      <c r="G244" s="13" t="s">
        <v>153</v>
      </c>
      <c r="H244" s="37">
        <v>45658</v>
      </c>
      <c r="I244" s="102" t="s">
        <v>581</v>
      </c>
      <c r="J244" s="11"/>
      <c r="K244" s="13" t="s">
        <v>62</v>
      </c>
      <c r="L244" s="88">
        <v>12</v>
      </c>
      <c r="M244" s="88">
        <v>12</v>
      </c>
      <c r="N244" s="13" t="s">
        <v>46</v>
      </c>
      <c r="O244" s="10" t="s">
        <v>576</v>
      </c>
      <c r="P244" s="10" t="s">
        <v>497</v>
      </c>
      <c r="Q244" s="10">
        <v>15278437</v>
      </c>
    </row>
    <row r="245" spans="1:17" ht="15" customHeight="1" x14ac:dyDescent="0.2">
      <c r="A245" s="13" t="s">
        <v>224</v>
      </c>
      <c r="B245" s="13" t="s">
        <v>224</v>
      </c>
      <c r="C245" s="36">
        <v>19459985801</v>
      </c>
      <c r="D245" s="13" t="s">
        <v>225</v>
      </c>
      <c r="E245" s="13" t="s">
        <v>53</v>
      </c>
      <c r="F245" s="37">
        <v>45588</v>
      </c>
      <c r="G245" s="13" t="s">
        <v>153</v>
      </c>
      <c r="H245" s="37">
        <v>45658</v>
      </c>
      <c r="I245" s="102" t="s">
        <v>581</v>
      </c>
      <c r="J245" s="11"/>
      <c r="K245" s="13" t="s">
        <v>62</v>
      </c>
      <c r="L245" s="88">
        <v>12</v>
      </c>
      <c r="M245" s="88">
        <v>12</v>
      </c>
      <c r="N245" s="13" t="s">
        <v>46</v>
      </c>
      <c r="O245" s="10" t="s">
        <v>576</v>
      </c>
      <c r="P245" s="10" t="s">
        <v>497</v>
      </c>
      <c r="Q245" s="10">
        <v>15278437</v>
      </c>
    </row>
    <row r="246" spans="1:17" ht="15" customHeight="1" x14ac:dyDescent="0.2">
      <c r="A246" s="13" t="s">
        <v>236</v>
      </c>
      <c r="B246" s="13" t="s">
        <v>236</v>
      </c>
      <c r="C246" s="36">
        <v>91000725043</v>
      </c>
      <c r="D246" s="13" t="s">
        <v>237</v>
      </c>
      <c r="E246" s="13" t="s">
        <v>53</v>
      </c>
      <c r="F246" s="37">
        <v>45618</v>
      </c>
      <c r="G246" s="13" t="s">
        <v>153</v>
      </c>
      <c r="H246" s="37">
        <v>45658</v>
      </c>
      <c r="I246" s="102" t="s">
        <v>581</v>
      </c>
      <c r="J246" s="11"/>
      <c r="K246" s="13" t="s">
        <v>62</v>
      </c>
      <c r="L246" s="88">
        <v>12</v>
      </c>
      <c r="M246" s="88">
        <v>12</v>
      </c>
      <c r="N246" s="13" t="s">
        <v>46</v>
      </c>
      <c r="O246" s="10" t="s">
        <v>576</v>
      </c>
      <c r="P246" s="10" t="s">
        <v>497</v>
      </c>
      <c r="Q246" s="10">
        <v>15278437</v>
      </c>
    </row>
    <row r="247" spans="1:17" ht="15" customHeight="1" x14ac:dyDescent="0.2">
      <c r="A247" s="13" t="s">
        <v>287</v>
      </c>
      <c r="B247" s="13" t="s">
        <v>287</v>
      </c>
      <c r="C247" s="36">
        <v>19922514501</v>
      </c>
      <c r="D247" s="13" t="s">
        <v>288</v>
      </c>
      <c r="E247" s="13" t="s">
        <v>53</v>
      </c>
      <c r="F247" s="37">
        <v>45628</v>
      </c>
      <c r="G247" s="13" t="s">
        <v>153</v>
      </c>
      <c r="H247" s="37">
        <v>45658</v>
      </c>
      <c r="I247" s="102" t="s">
        <v>581</v>
      </c>
      <c r="J247" s="11"/>
      <c r="K247" s="13" t="s">
        <v>62</v>
      </c>
      <c r="L247" s="88">
        <v>12</v>
      </c>
      <c r="M247" s="88">
        <v>12</v>
      </c>
      <c r="N247" s="13" t="s">
        <v>46</v>
      </c>
      <c r="O247" s="10" t="s">
        <v>576</v>
      </c>
      <c r="P247" s="10" t="s">
        <v>497</v>
      </c>
      <c r="Q247" s="10">
        <v>15278437</v>
      </c>
    </row>
    <row r="248" spans="1:17" ht="15" customHeight="1" x14ac:dyDescent="0.2">
      <c r="A248" s="13" t="s">
        <v>306</v>
      </c>
      <c r="B248" s="13" t="s">
        <v>306</v>
      </c>
      <c r="C248" s="36">
        <v>19763126001</v>
      </c>
      <c r="D248" s="13" t="s">
        <v>307</v>
      </c>
      <c r="E248" s="13" t="s">
        <v>53</v>
      </c>
      <c r="F248" s="37">
        <v>45610</v>
      </c>
      <c r="G248" s="13" t="s">
        <v>153</v>
      </c>
      <c r="H248" s="37">
        <v>45658</v>
      </c>
      <c r="I248" s="102" t="s">
        <v>581</v>
      </c>
      <c r="J248" s="11"/>
      <c r="K248" s="13" t="s">
        <v>62</v>
      </c>
      <c r="L248" s="88">
        <v>12</v>
      </c>
      <c r="M248" s="88">
        <v>12</v>
      </c>
      <c r="N248" s="13" t="s">
        <v>46</v>
      </c>
      <c r="O248" s="10" t="s">
        <v>576</v>
      </c>
      <c r="P248" s="10" t="s">
        <v>497</v>
      </c>
      <c r="Q248" s="10">
        <v>15278437</v>
      </c>
    </row>
    <row r="249" spans="1:17" ht="15" customHeight="1" x14ac:dyDescent="0.2">
      <c r="A249" s="13" t="s">
        <v>308</v>
      </c>
      <c r="B249" s="13" t="s">
        <v>308</v>
      </c>
      <c r="C249" s="36">
        <v>19740354601</v>
      </c>
      <c r="D249" s="13" t="s">
        <v>309</v>
      </c>
      <c r="E249" s="13" t="s">
        <v>53</v>
      </c>
      <c r="F249" s="37">
        <v>45608</v>
      </c>
      <c r="G249" s="13" t="s">
        <v>153</v>
      </c>
      <c r="H249" s="37">
        <v>45658</v>
      </c>
      <c r="I249" s="102" t="s">
        <v>581</v>
      </c>
      <c r="J249" s="11"/>
      <c r="K249" s="13" t="s">
        <v>62</v>
      </c>
      <c r="L249" s="88">
        <v>12</v>
      </c>
      <c r="M249" s="88">
        <v>12</v>
      </c>
      <c r="N249" s="13" t="s">
        <v>46</v>
      </c>
      <c r="O249" s="10" t="s">
        <v>576</v>
      </c>
      <c r="P249" s="10" t="s">
        <v>497</v>
      </c>
      <c r="Q249" s="10">
        <v>15278437</v>
      </c>
    </row>
    <row r="250" spans="1:17" ht="15" customHeight="1" x14ac:dyDescent="0.2">
      <c r="A250" s="13" t="s">
        <v>310</v>
      </c>
      <c r="B250" s="13" t="s">
        <v>310</v>
      </c>
      <c r="C250" s="36">
        <v>19750687601</v>
      </c>
      <c r="D250" s="13" t="s">
        <v>311</v>
      </c>
      <c r="E250" s="13" t="s">
        <v>53</v>
      </c>
      <c r="F250" s="37">
        <v>45609</v>
      </c>
      <c r="G250" s="13" t="s">
        <v>153</v>
      </c>
      <c r="H250" s="37">
        <v>45658</v>
      </c>
      <c r="I250" s="102" t="s">
        <v>581</v>
      </c>
      <c r="J250" s="11"/>
      <c r="K250" s="13" t="s">
        <v>62</v>
      </c>
      <c r="L250" s="88">
        <v>12</v>
      </c>
      <c r="M250" s="88">
        <v>12</v>
      </c>
      <c r="N250" s="13" t="s">
        <v>46</v>
      </c>
      <c r="O250" s="10" t="s">
        <v>576</v>
      </c>
      <c r="P250" s="10" t="s">
        <v>497</v>
      </c>
      <c r="Q250" s="10">
        <v>15278437</v>
      </c>
    </row>
    <row r="251" spans="1:17" ht="15" customHeight="1" x14ac:dyDescent="0.2">
      <c r="A251" s="13" t="s">
        <v>330</v>
      </c>
      <c r="B251" s="13" t="s">
        <v>330</v>
      </c>
      <c r="C251" s="36">
        <v>18083863301</v>
      </c>
      <c r="D251" s="13" t="s">
        <v>331</v>
      </c>
      <c r="E251" s="13" t="s">
        <v>53</v>
      </c>
      <c r="F251" s="37">
        <v>45582</v>
      </c>
      <c r="G251" s="13" t="s">
        <v>153</v>
      </c>
      <c r="H251" s="37">
        <v>45658</v>
      </c>
      <c r="I251" s="102" t="s">
        <v>581</v>
      </c>
      <c r="J251" s="11"/>
      <c r="K251" s="13" t="s">
        <v>62</v>
      </c>
      <c r="L251" s="88">
        <v>12</v>
      </c>
      <c r="M251" s="88">
        <v>12</v>
      </c>
      <c r="N251" s="13" t="s">
        <v>46</v>
      </c>
      <c r="O251" s="10" t="s">
        <v>576</v>
      </c>
      <c r="P251" s="10" t="s">
        <v>497</v>
      </c>
      <c r="Q251" s="10">
        <v>15278437</v>
      </c>
    </row>
    <row r="252" spans="1:17" ht="15" customHeight="1" x14ac:dyDescent="0.2">
      <c r="A252" s="27" t="s">
        <v>350</v>
      </c>
      <c r="B252" s="27" t="s">
        <v>350</v>
      </c>
      <c r="C252" s="28">
        <v>19970940301</v>
      </c>
      <c r="D252" s="27" t="s">
        <v>351</v>
      </c>
      <c r="E252" s="27" t="s">
        <v>53</v>
      </c>
      <c r="F252" s="29">
        <v>45630</v>
      </c>
      <c r="G252" s="27" t="s">
        <v>153</v>
      </c>
      <c r="H252" s="29">
        <v>45658</v>
      </c>
      <c r="I252" s="101" t="s">
        <v>581</v>
      </c>
      <c r="J252" s="32"/>
      <c r="K252" s="27" t="s">
        <v>62</v>
      </c>
      <c r="L252" s="87">
        <v>12</v>
      </c>
      <c r="M252" s="87">
        <v>12</v>
      </c>
      <c r="N252" s="27" t="s">
        <v>46</v>
      </c>
      <c r="O252" s="10" t="s">
        <v>576</v>
      </c>
      <c r="P252" s="10" t="s">
        <v>497</v>
      </c>
      <c r="Q252" s="10">
        <v>15278437</v>
      </c>
    </row>
    <row r="253" spans="1:17" ht="15" customHeight="1" x14ac:dyDescent="0.2">
      <c r="A253" s="13" t="s">
        <v>219</v>
      </c>
      <c r="B253" s="13" t="s">
        <v>219</v>
      </c>
      <c r="C253" s="36">
        <v>19915003801</v>
      </c>
      <c r="D253" s="13" t="s">
        <v>220</v>
      </c>
      <c r="E253" s="13" t="s">
        <v>49</v>
      </c>
      <c r="F253" s="37">
        <v>45626</v>
      </c>
      <c r="G253" s="13" t="s">
        <v>221</v>
      </c>
      <c r="H253" s="37">
        <v>45658</v>
      </c>
      <c r="I253" s="102" t="s">
        <v>582</v>
      </c>
      <c r="J253" s="11"/>
      <c r="K253" s="13" t="s">
        <v>62</v>
      </c>
      <c r="L253" s="88">
        <v>12</v>
      </c>
      <c r="M253" s="88">
        <v>12</v>
      </c>
      <c r="N253" s="13" t="s">
        <v>46</v>
      </c>
      <c r="O253" s="10" t="s">
        <v>576</v>
      </c>
      <c r="P253" s="10" t="s">
        <v>582</v>
      </c>
      <c r="Q253" s="10">
        <v>19396223</v>
      </c>
    </row>
    <row r="254" spans="1:17" ht="15" customHeight="1" x14ac:dyDescent="0.2">
      <c r="A254" s="13" t="s">
        <v>269</v>
      </c>
      <c r="B254" s="13" t="s">
        <v>269</v>
      </c>
      <c r="C254" s="36">
        <v>19987462901</v>
      </c>
      <c r="D254" s="13" t="s">
        <v>270</v>
      </c>
      <c r="E254" s="13" t="s">
        <v>49</v>
      </c>
      <c r="F254" s="37">
        <v>45630</v>
      </c>
      <c r="G254" s="13" t="s">
        <v>221</v>
      </c>
      <c r="H254" s="37">
        <v>45658</v>
      </c>
      <c r="I254" s="102" t="s">
        <v>582</v>
      </c>
      <c r="J254" s="11"/>
      <c r="K254" s="13" t="s">
        <v>62</v>
      </c>
      <c r="L254" s="88">
        <v>12</v>
      </c>
      <c r="M254" s="88">
        <v>12</v>
      </c>
      <c r="N254" s="13" t="s">
        <v>46</v>
      </c>
      <c r="O254" s="10" t="s">
        <v>576</v>
      </c>
      <c r="P254" s="10" t="s">
        <v>582</v>
      </c>
      <c r="Q254" s="10">
        <v>19396223</v>
      </c>
    </row>
    <row r="255" spans="1:17" ht="15" customHeight="1" x14ac:dyDescent="0.2">
      <c r="A255" s="89" t="s">
        <v>499</v>
      </c>
      <c r="B255" s="89" t="s">
        <v>499</v>
      </c>
      <c r="C255" s="13">
        <v>20077328101</v>
      </c>
      <c r="D255" s="13" t="s">
        <v>500</v>
      </c>
      <c r="E255" s="13" t="s">
        <v>49</v>
      </c>
      <c r="F255" s="37">
        <v>45644</v>
      </c>
      <c r="G255" s="13" t="s">
        <v>63</v>
      </c>
      <c r="H255" s="37">
        <v>45717</v>
      </c>
      <c r="I255" s="102" t="s">
        <v>520</v>
      </c>
      <c r="K255" s="13" t="s">
        <v>62</v>
      </c>
      <c r="L255" s="88">
        <v>12</v>
      </c>
      <c r="M255" s="88">
        <v>10</v>
      </c>
      <c r="N255" s="13" t="s">
        <v>46</v>
      </c>
      <c r="O255" s="10" t="s">
        <v>576</v>
      </c>
      <c r="P255" s="10" t="s">
        <v>520</v>
      </c>
      <c r="Q255" s="10">
        <v>19586992</v>
      </c>
    </row>
    <row r="256" spans="1:17" ht="15" customHeight="1" x14ac:dyDescent="0.2">
      <c r="A256" s="13" t="s">
        <v>247</v>
      </c>
      <c r="B256" s="13" t="s">
        <v>247</v>
      </c>
      <c r="C256" s="36">
        <v>19915540901</v>
      </c>
      <c r="D256" s="13" t="s">
        <v>248</v>
      </c>
      <c r="E256" s="13" t="s">
        <v>49</v>
      </c>
      <c r="F256" s="37">
        <v>45626</v>
      </c>
      <c r="G256" s="13" t="s">
        <v>63</v>
      </c>
      <c r="H256" s="37">
        <v>45658</v>
      </c>
      <c r="I256" s="102" t="s">
        <v>520</v>
      </c>
      <c r="J256" s="11"/>
      <c r="K256" s="13" t="s">
        <v>62</v>
      </c>
      <c r="L256" s="88">
        <v>12</v>
      </c>
      <c r="M256" s="88">
        <v>12</v>
      </c>
      <c r="N256" s="13" t="s">
        <v>46</v>
      </c>
      <c r="O256" s="10" t="s">
        <v>576</v>
      </c>
      <c r="P256" s="10" t="s">
        <v>520</v>
      </c>
      <c r="Q256" s="10">
        <v>19586992</v>
      </c>
    </row>
    <row r="257" spans="1:17" ht="15" customHeight="1" x14ac:dyDescent="0.2">
      <c r="A257" s="13" t="s">
        <v>68</v>
      </c>
      <c r="B257" s="13" t="s">
        <v>68</v>
      </c>
      <c r="C257" s="13">
        <v>20055281801</v>
      </c>
      <c r="D257" s="13" t="s">
        <v>540</v>
      </c>
      <c r="E257" s="13" t="s">
        <v>49</v>
      </c>
      <c r="F257" s="37">
        <v>45633</v>
      </c>
      <c r="G257" s="89" t="s">
        <v>583</v>
      </c>
      <c r="H257" s="37">
        <v>45658</v>
      </c>
      <c r="I257" s="102" t="s">
        <v>521</v>
      </c>
      <c r="K257" s="13" t="s">
        <v>62</v>
      </c>
      <c r="L257" s="88">
        <v>12</v>
      </c>
      <c r="M257" s="88">
        <v>12</v>
      </c>
      <c r="N257" s="13" t="s">
        <v>46</v>
      </c>
      <c r="O257" s="10" t="s">
        <v>576</v>
      </c>
      <c r="P257" s="10" t="s">
        <v>521</v>
      </c>
      <c r="Q257" s="10">
        <v>19106640</v>
      </c>
    </row>
    <row r="258" spans="1:17" ht="15" customHeight="1" x14ac:dyDescent="0.25">
      <c r="A258" s="89" t="s">
        <v>532</v>
      </c>
      <c r="B258" s="89" t="s">
        <v>532</v>
      </c>
      <c r="C258" s="13">
        <v>20031768301</v>
      </c>
      <c r="D258" s="13" t="s">
        <v>533</v>
      </c>
      <c r="E258" s="13" t="s">
        <v>49</v>
      </c>
      <c r="F258" s="37">
        <v>45632</v>
      </c>
      <c r="G258" s="13" t="s">
        <v>160</v>
      </c>
      <c r="H258" s="37">
        <v>45658</v>
      </c>
      <c r="I258" s="102" t="s">
        <v>498</v>
      </c>
      <c r="J258" s="12"/>
      <c r="K258" s="13" t="s">
        <v>62</v>
      </c>
      <c r="L258" s="88">
        <v>12</v>
      </c>
      <c r="M258" s="88">
        <v>12</v>
      </c>
      <c r="N258" s="13" t="s">
        <v>46</v>
      </c>
      <c r="O258" s="10" t="s">
        <v>576</v>
      </c>
      <c r="P258" s="10" t="s">
        <v>498</v>
      </c>
      <c r="Q258" s="10">
        <v>6375605</v>
      </c>
    </row>
    <row r="259" spans="1:17" ht="15" customHeight="1" x14ac:dyDescent="0.2">
      <c r="A259" s="13" t="s">
        <v>177</v>
      </c>
      <c r="B259" s="13" t="s">
        <v>177</v>
      </c>
      <c r="C259" s="36">
        <v>14297358501</v>
      </c>
      <c r="D259" s="13" t="s">
        <v>178</v>
      </c>
      <c r="E259" s="13" t="s">
        <v>49</v>
      </c>
      <c r="F259" s="37">
        <v>45633</v>
      </c>
      <c r="G259" s="13" t="s">
        <v>160</v>
      </c>
      <c r="H259" s="37">
        <v>45658</v>
      </c>
      <c r="I259" s="102" t="s">
        <v>498</v>
      </c>
      <c r="J259" s="11"/>
      <c r="K259" s="13" t="s">
        <v>62</v>
      </c>
      <c r="L259" s="88">
        <v>12</v>
      </c>
      <c r="M259" s="88">
        <v>12</v>
      </c>
      <c r="N259" s="13" t="s">
        <v>46</v>
      </c>
      <c r="O259" s="10" t="s">
        <v>576</v>
      </c>
      <c r="P259" s="10" t="s">
        <v>498</v>
      </c>
      <c r="Q259" s="10">
        <v>6375605</v>
      </c>
    </row>
    <row r="260" spans="1:17" ht="15" customHeight="1" x14ac:dyDescent="0.2">
      <c r="A260" s="13" t="s">
        <v>179</v>
      </c>
      <c r="B260" s="13" t="s">
        <v>179</v>
      </c>
      <c r="C260" s="36">
        <v>14297352801</v>
      </c>
      <c r="D260" s="13" t="s">
        <v>180</v>
      </c>
      <c r="E260" s="13" t="s">
        <v>49</v>
      </c>
      <c r="F260" s="37">
        <v>45633</v>
      </c>
      <c r="G260" s="13" t="s">
        <v>160</v>
      </c>
      <c r="H260" s="37">
        <v>45658</v>
      </c>
      <c r="I260" s="102" t="s">
        <v>498</v>
      </c>
      <c r="J260" s="11"/>
      <c r="K260" s="13" t="s">
        <v>62</v>
      </c>
      <c r="L260" s="88">
        <v>12</v>
      </c>
      <c r="M260" s="88">
        <v>12</v>
      </c>
      <c r="N260" s="13" t="s">
        <v>46</v>
      </c>
      <c r="O260" s="10" t="s">
        <v>576</v>
      </c>
      <c r="P260" s="10" t="s">
        <v>498</v>
      </c>
      <c r="Q260" s="10">
        <v>6375605</v>
      </c>
    </row>
    <row r="261" spans="1:17" ht="15" customHeight="1" x14ac:dyDescent="0.2">
      <c r="A261" s="13" t="s">
        <v>255</v>
      </c>
      <c r="B261" s="13" t="s">
        <v>255</v>
      </c>
      <c r="C261" s="36">
        <v>19841089601</v>
      </c>
      <c r="D261" s="13" t="s">
        <v>256</v>
      </c>
      <c r="E261" s="13" t="s">
        <v>49</v>
      </c>
      <c r="F261" s="37">
        <v>45617</v>
      </c>
      <c r="G261" s="13" t="s">
        <v>160</v>
      </c>
      <c r="H261" s="37">
        <v>45658</v>
      </c>
      <c r="I261" s="102" t="s">
        <v>498</v>
      </c>
      <c r="J261" s="11"/>
      <c r="K261" s="13" t="s">
        <v>62</v>
      </c>
      <c r="L261" s="88">
        <v>12</v>
      </c>
      <c r="M261" s="88">
        <v>12</v>
      </c>
      <c r="N261" s="13" t="s">
        <v>46</v>
      </c>
      <c r="O261" s="10" t="s">
        <v>576</v>
      </c>
      <c r="P261" s="10" t="s">
        <v>498</v>
      </c>
      <c r="Q261" s="10">
        <v>6375605</v>
      </c>
    </row>
    <row r="262" spans="1:17" ht="15" customHeight="1" x14ac:dyDescent="0.2">
      <c r="A262" s="13" t="s">
        <v>257</v>
      </c>
      <c r="B262" s="13" t="s">
        <v>257</v>
      </c>
      <c r="C262" s="36">
        <v>19842000201</v>
      </c>
      <c r="D262" s="13" t="s">
        <v>258</v>
      </c>
      <c r="E262" s="13" t="s">
        <v>49</v>
      </c>
      <c r="F262" s="37">
        <v>45617</v>
      </c>
      <c r="G262" s="13" t="s">
        <v>160</v>
      </c>
      <c r="H262" s="37">
        <v>45658</v>
      </c>
      <c r="I262" s="102" t="s">
        <v>498</v>
      </c>
      <c r="J262" s="11"/>
      <c r="K262" s="13" t="s">
        <v>62</v>
      </c>
      <c r="L262" s="88">
        <v>12</v>
      </c>
      <c r="M262" s="88">
        <v>12</v>
      </c>
      <c r="N262" s="13" t="s">
        <v>46</v>
      </c>
      <c r="O262" s="10" t="s">
        <v>576</v>
      </c>
      <c r="P262" s="10" t="s">
        <v>498</v>
      </c>
      <c r="Q262" s="10">
        <v>6375605</v>
      </c>
    </row>
    <row r="263" spans="1:17" ht="15" customHeight="1" x14ac:dyDescent="0.2">
      <c r="A263" s="13" t="s">
        <v>293</v>
      </c>
      <c r="B263" s="13" t="s">
        <v>293</v>
      </c>
      <c r="C263" s="36">
        <v>19951013201</v>
      </c>
      <c r="D263" s="13" t="s">
        <v>294</v>
      </c>
      <c r="E263" s="13" t="s">
        <v>49</v>
      </c>
      <c r="F263" s="37">
        <v>45629</v>
      </c>
      <c r="G263" s="13" t="s">
        <v>160</v>
      </c>
      <c r="H263" s="37">
        <v>45658</v>
      </c>
      <c r="I263" s="102" t="s">
        <v>498</v>
      </c>
      <c r="J263" s="11"/>
      <c r="K263" s="13" t="s">
        <v>62</v>
      </c>
      <c r="L263" s="88">
        <v>12</v>
      </c>
      <c r="M263" s="88">
        <v>12</v>
      </c>
      <c r="N263" s="13" t="s">
        <v>46</v>
      </c>
      <c r="O263" s="10" t="s">
        <v>576</v>
      </c>
      <c r="P263" s="10" t="s">
        <v>498</v>
      </c>
      <c r="Q263" s="10">
        <v>6375605</v>
      </c>
    </row>
    <row r="264" spans="1:17" ht="15" customHeight="1" x14ac:dyDescent="0.2">
      <c r="A264" s="16" t="s">
        <v>336</v>
      </c>
      <c r="B264" s="16" t="s">
        <v>336</v>
      </c>
      <c r="C264" s="47">
        <v>19838692201</v>
      </c>
      <c r="D264" s="16" t="s">
        <v>337</v>
      </c>
      <c r="E264" s="16" t="s">
        <v>49</v>
      </c>
      <c r="F264" s="43">
        <v>45617</v>
      </c>
      <c r="G264" s="16" t="s">
        <v>160</v>
      </c>
      <c r="H264" s="43">
        <v>45658</v>
      </c>
      <c r="I264" s="104" t="s">
        <v>498</v>
      </c>
      <c r="J264" s="18"/>
      <c r="K264" s="16" t="s">
        <v>62</v>
      </c>
      <c r="L264" s="90">
        <v>12</v>
      </c>
      <c r="M264" s="90">
        <v>12</v>
      </c>
      <c r="N264" s="16" t="s">
        <v>46</v>
      </c>
      <c r="O264" s="10" t="s">
        <v>576</v>
      </c>
      <c r="P264" s="10" t="s">
        <v>498</v>
      </c>
      <c r="Q264" s="10">
        <v>6375605</v>
      </c>
    </row>
    <row r="265" spans="1:17" ht="15" customHeight="1" x14ac:dyDescent="0.2">
      <c r="A265" s="27" t="s">
        <v>139</v>
      </c>
      <c r="B265" s="27"/>
      <c r="C265" s="27"/>
      <c r="D265" s="27"/>
      <c r="E265" s="32"/>
      <c r="F265" s="32"/>
      <c r="G265" s="32"/>
      <c r="H265" s="32"/>
      <c r="I265" s="32"/>
      <c r="J265" s="32"/>
      <c r="K265" s="32"/>
      <c r="L265" s="32"/>
      <c r="M265" s="97">
        <v>1586</v>
      </c>
      <c r="N265" s="32"/>
    </row>
    <row r="266" spans="1:17" ht="15" customHeight="1" x14ac:dyDescent="0.25">
      <c r="A266" s="19" t="s">
        <v>140</v>
      </c>
      <c r="B266" s="19"/>
      <c r="C266" s="19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</row>
    <row r="267" spans="1:17" ht="15" customHeight="1" x14ac:dyDescent="0.2">
      <c r="A267" s="15" t="s">
        <v>141</v>
      </c>
      <c r="B267" s="15"/>
      <c r="C267" s="15" t="s">
        <v>142</v>
      </c>
      <c r="D267" s="15"/>
      <c r="E267" s="15"/>
      <c r="F267" s="15"/>
      <c r="G267" s="15"/>
      <c r="H267" s="15"/>
      <c r="I267" s="15"/>
      <c r="J267" s="15"/>
      <c r="K267" s="15"/>
      <c r="L267" s="15"/>
      <c r="M267" s="15"/>
      <c r="N267" s="15"/>
    </row>
    <row r="268" spans="1:17" ht="15" customHeight="1" x14ac:dyDescent="0.2">
      <c r="A268" s="15" t="s">
        <v>143</v>
      </c>
      <c r="B268" s="15"/>
      <c r="C268" s="15" t="s">
        <v>144</v>
      </c>
      <c r="D268" s="15"/>
      <c r="E268" s="15"/>
      <c r="F268" s="15"/>
      <c r="G268" s="15"/>
      <c r="H268" s="15"/>
      <c r="I268" s="15"/>
      <c r="J268" s="15"/>
      <c r="K268" s="15"/>
      <c r="L268" s="15"/>
      <c r="M268" s="15"/>
      <c r="N268" s="15"/>
    </row>
  </sheetData>
  <sortState xmlns:xlrd2="http://schemas.microsoft.com/office/spreadsheetml/2017/richdata2" ref="A157:AH264">
    <sortCondition ref="G157:G264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AFECEC-695A-435E-92BF-B6E907DCE20B}">
  <dimension ref="A1:Q19"/>
  <sheetViews>
    <sheetView workbookViewId="0">
      <selection activeCell="H8" sqref="H8"/>
    </sheetView>
  </sheetViews>
  <sheetFormatPr defaultRowHeight="15" customHeight="1" x14ac:dyDescent="0.2"/>
  <cols>
    <col min="1" max="2" width="28.33203125" customWidth="1"/>
    <col min="3" max="3" width="29.83203125" customWidth="1"/>
    <col min="4" max="4" width="27.5" bestFit="1" customWidth="1"/>
    <col min="5" max="5" width="4.33203125" bestFit="1" customWidth="1"/>
    <col min="6" max="6" width="11.1640625" bestFit="1" customWidth="1"/>
    <col min="7" max="7" width="10.6640625" bestFit="1" customWidth="1"/>
    <col min="8" max="8" width="16.33203125" bestFit="1" customWidth="1"/>
    <col min="9" max="9" width="24.83203125" bestFit="1" customWidth="1"/>
    <col min="10" max="10" width="17.5" bestFit="1" customWidth="1"/>
    <col min="11" max="11" width="35.5" bestFit="1" customWidth="1"/>
    <col min="12" max="12" width="7.1640625" bestFit="1" customWidth="1"/>
    <col min="13" max="13" width="12" bestFit="1" customWidth="1"/>
    <col min="14" max="14" width="5.83203125" bestFit="1" customWidth="1"/>
    <col min="15" max="15" width="12.5" bestFit="1" customWidth="1"/>
    <col min="16" max="16" width="20.33203125" bestFit="1" customWidth="1"/>
    <col min="17" max="17" width="19.1640625" bestFit="1" customWidth="1"/>
  </cols>
  <sheetData>
    <row r="1" spans="1:17" ht="15" customHeight="1" x14ac:dyDescent="0.2">
      <c r="A1" s="16" t="s">
        <v>29</v>
      </c>
      <c r="B1" s="16"/>
      <c r="C1" s="54" t="s">
        <v>30</v>
      </c>
      <c r="D1" s="54" t="s">
        <v>31</v>
      </c>
      <c r="E1" s="54" t="s">
        <v>32</v>
      </c>
      <c r="F1" s="54" t="s">
        <v>33</v>
      </c>
      <c r="G1" s="23" t="s">
        <v>34</v>
      </c>
      <c r="H1" s="54" t="s">
        <v>35</v>
      </c>
      <c r="I1" s="54"/>
      <c r="J1" s="54" t="s">
        <v>36</v>
      </c>
      <c r="K1" s="54" t="s">
        <v>37</v>
      </c>
      <c r="L1" s="54" t="s">
        <v>38</v>
      </c>
      <c r="M1" s="40" t="s">
        <v>28</v>
      </c>
      <c r="N1" s="26" t="s">
        <v>39</v>
      </c>
      <c r="O1" s="10"/>
      <c r="P1" s="10"/>
    </row>
    <row r="2" spans="1:17" ht="15" customHeight="1" x14ac:dyDescent="0.2">
      <c r="A2" s="27" t="s">
        <v>354</v>
      </c>
      <c r="B2" s="27" t="str">
        <f>CONCATENATE(A2,1)</f>
        <v>8FP8Y42VH361</v>
      </c>
      <c r="C2" s="58">
        <v>20156341801</v>
      </c>
      <c r="D2" s="59" t="s">
        <v>355</v>
      </c>
      <c r="E2" s="59" t="s">
        <v>53</v>
      </c>
      <c r="F2" s="60">
        <v>45699</v>
      </c>
      <c r="G2" s="30" t="s">
        <v>163</v>
      </c>
      <c r="H2" s="60">
        <v>45717</v>
      </c>
      <c r="I2" s="106" t="s">
        <v>446</v>
      </c>
      <c r="J2" s="61"/>
      <c r="K2" s="59" t="s">
        <v>62</v>
      </c>
      <c r="L2" s="62">
        <v>2</v>
      </c>
      <c r="M2" s="41">
        <v>2</v>
      </c>
      <c r="N2" s="35" t="s">
        <v>45</v>
      </c>
      <c r="O2" s="10" t="s">
        <v>575</v>
      </c>
      <c r="P2" s="10" t="s">
        <v>577</v>
      </c>
      <c r="Q2" s="10">
        <v>20411454</v>
      </c>
    </row>
    <row r="3" spans="1:17" ht="15" customHeight="1" x14ac:dyDescent="0.2">
      <c r="A3" s="13" t="s">
        <v>356</v>
      </c>
      <c r="B3" s="27" t="str">
        <f t="shared" ref="B3:B9" si="0">CONCATENATE(A3,1)</f>
        <v>2E50JP0UM231</v>
      </c>
      <c r="C3" s="48">
        <v>20147591001</v>
      </c>
      <c r="D3" s="49" t="s">
        <v>357</v>
      </c>
      <c r="E3" s="49" t="s">
        <v>49</v>
      </c>
      <c r="F3" s="50">
        <v>45691</v>
      </c>
      <c r="G3" s="38" t="s">
        <v>61</v>
      </c>
      <c r="H3" s="50">
        <v>45717</v>
      </c>
      <c r="I3" s="107" t="s">
        <v>495</v>
      </c>
      <c r="J3" s="51"/>
      <c r="K3" s="49" t="s">
        <v>62</v>
      </c>
      <c r="L3" s="52">
        <v>2</v>
      </c>
      <c r="M3" s="42">
        <v>2</v>
      </c>
      <c r="N3" s="21" t="s">
        <v>45</v>
      </c>
      <c r="O3" s="10" t="s">
        <v>575</v>
      </c>
      <c r="P3" s="10" t="s">
        <v>577</v>
      </c>
      <c r="Q3" s="10">
        <v>20411454</v>
      </c>
    </row>
    <row r="4" spans="1:17" ht="15" customHeight="1" x14ac:dyDescent="0.2">
      <c r="A4" s="13" t="s">
        <v>358</v>
      </c>
      <c r="B4" s="27" t="str">
        <f t="shared" si="0"/>
        <v>2RX1XM9HR391</v>
      </c>
      <c r="C4" s="48">
        <v>19899881701</v>
      </c>
      <c r="D4" s="49" t="s">
        <v>359</v>
      </c>
      <c r="E4" s="49" t="s">
        <v>360</v>
      </c>
      <c r="F4" s="50">
        <v>45623</v>
      </c>
      <c r="G4" s="38" t="s">
        <v>63</v>
      </c>
      <c r="H4" s="50">
        <v>45658</v>
      </c>
      <c r="I4" s="107" t="s">
        <v>520</v>
      </c>
      <c r="J4" s="51"/>
      <c r="K4" s="49" t="s">
        <v>62</v>
      </c>
      <c r="L4" s="52">
        <v>2</v>
      </c>
      <c r="M4" s="42">
        <v>2</v>
      </c>
      <c r="N4" s="21" t="s">
        <v>45</v>
      </c>
      <c r="O4" s="10" t="s">
        <v>575</v>
      </c>
      <c r="P4" s="10" t="s">
        <v>577</v>
      </c>
      <c r="Q4" s="10">
        <v>20411454</v>
      </c>
    </row>
    <row r="5" spans="1:17" ht="15" customHeight="1" x14ac:dyDescent="0.2">
      <c r="A5" s="13" t="s">
        <v>358</v>
      </c>
      <c r="B5" s="27" t="str">
        <f t="shared" si="0"/>
        <v>2RX1XM9HR391</v>
      </c>
      <c r="C5" s="48">
        <v>19899881701</v>
      </c>
      <c r="D5" s="49" t="s">
        <v>359</v>
      </c>
      <c r="E5" s="49" t="s">
        <v>360</v>
      </c>
      <c r="F5" s="50">
        <v>45623</v>
      </c>
      <c r="G5" s="38" t="s">
        <v>63</v>
      </c>
      <c r="H5" s="50">
        <v>45658</v>
      </c>
      <c r="I5" s="107" t="s">
        <v>520</v>
      </c>
      <c r="J5" s="51"/>
      <c r="K5" s="49" t="s">
        <v>44</v>
      </c>
      <c r="L5" s="52">
        <v>1</v>
      </c>
      <c r="M5" s="42">
        <v>1</v>
      </c>
      <c r="N5" s="21" t="s">
        <v>45</v>
      </c>
      <c r="O5" s="10" t="s">
        <v>575</v>
      </c>
      <c r="P5" s="10" t="s">
        <v>577</v>
      </c>
      <c r="Q5" s="10">
        <v>20411454</v>
      </c>
    </row>
    <row r="6" spans="1:17" ht="15" customHeight="1" x14ac:dyDescent="0.2">
      <c r="A6" s="13" t="s">
        <v>361</v>
      </c>
      <c r="B6" s="27" t="str">
        <f t="shared" si="0"/>
        <v>5K76W51HV621</v>
      </c>
      <c r="C6" s="48">
        <v>20152572201</v>
      </c>
      <c r="D6" s="49" t="s">
        <v>362</v>
      </c>
      <c r="E6" s="49" t="s">
        <v>53</v>
      </c>
      <c r="F6" s="50">
        <v>45694</v>
      </c>
      <c r="G6" s="38" t="s">
        <v>54</v>
      </c>
      <c r="H6" s="50">
        <v>45778</v>
      </c>
      <c r="I6" s="107" t="s">
        <v>448</v>
      </c>
      <c r="J6" s="51"/>
      <c r="K6" s="49" t="s">
        <v>62</v>
      </c>
      <c r="L6" s="52">
        <v>2</v>
      </c>
      <c r="M6" s="42">
        <v>2</v>
      </c>
      <c r="N6" s="21" t="s">
        <v>45</v>
      </c>
      <c r="O6" s="10" t="s">
        <v>575</v>
      </c>
      <c r="P6" s="10" t="s">
        <v>577</v>
      </c>
      <c r="Q6" s="10">
        <v>20411454</v>
      </c>
    </row>
    <row r="7" spans="1:17" ht="15" customHeight="1" x14ac:dyDescent="0.2">
      <c r="A7" s="13" t="s">
        <v>135</v>
      </c>
      <c r="B7" s="27" t="str">
        <f t="shared" si="0"/>
        <v>8CJ1TK9PA161</v>
      </c>
      <c r="C7" s="48">
        <v>20117221001</v>
      </c>
      <c r="D7" s="49" t="s">
        <v>136</v>
      </c>
      <c r="E7" s="49" t="s">
        <v>49</v>
      </c>
      <c r="F7" s="50">
        <v>45670</v>
      </c>
      <c r="G7" s="38" t="s">
        <v>81</v>
      </c>
      <c r="H7" s="50">
        <v>45717</v>
      </c>
      <c r="I7" s="107" t="s">
        <v>449</v>
      </c>
      <c r="J7" s="50">
        <v>45717</v>
      </c>
      <c r="K7" s="49" t="s">
        <v>363</v>
      </c>
      <c r="L7" s="52">
        <v>2</v>
      </c>
      <c r="M7" s="42">
        <v>-2</v>
      </c>
      <c r="N7" s="21" t="s">
        <v>45</v>
      </c>
      <c r="O7" s="10" t="s">
        <v>575</v>
      </c>
      <c r="P7" s="10" t="s">
        <v>577</v>
      </c>
      <c r="Q7" s="10">
        <v>20411454</v>
      </c>
    </row>
    <row r="8" spans="1:17" ht="15" customHeight="1" x14ac:dyDescent="0.2">
      <c r="A8" s="13" t="s">
        <v>135</v>
      </c>
      <c r="B8" s="27" t="str">
        <f t="shared" si="0"/>
        <v>8CJ1TK9PA161</v>
      </c>
      <c r="C8" s="48">
        <v>20117221001</v>
      </c>
      <c r="D8" s="49" t="s">
        <v>136</v>
      </c>
      <c r="E8" s="49" t="s">
        <v>49</v>
      </c>
      <c r="F8" s="50">
        <v>45670</v>
      </c>
      <c r="G8" s="38" t="s">
        <v>81</v>
      </c>
      <c r="H8" s="50">
        <v>45717</v>
      </c>
      <c r="I8" s="107" t="s">
        <v>449</v>
      </c>
      <c r="J8" s="50">
        <v>45717</v>
      </c>
      <c r="K8" s="49" t="s">
        <v>363</v>
      </c>
      <c r="L8" s="52">
        <v>1</v>
      </c>
      <c r="M8" s="42">
        <v>-1</v>
      </c>
      <c r="N8" s="21" t="s">
        <v>45</v>
      </c>
      <c r="O8" s="10" t="s">
        <v>575</v>
      </c>
      <c r="P8" s="10" t="s">
        <v>577</v>
      </c>
      <c r="Q8" s="10">
        <v>20411454</v>
      </c>
    </row>
    <row r="9" spans="1:17" ht="15" customHeight="1" x14ac:dyDescent="0.2">
      <c r="A9" s="67" t="s">
        <v>490</v>
      </c>
      <c r="B9" s="27" t="str">
        <f t="shared" si="0"/>
        <v>6YA0QM0VM471</v>
      </c>
      <c r="C9" s="67">
        <v>20158987601</v>
      </c>
      <c r="D9" s="67" t="s">
        <v>658</v>
      </c>
      <c r="E9" s="67" t="s">
        <v>53</v>
      </c>
      <c r="F9" s="70">
        <v>45701</v>
      </c>
      <c r="G9" s="69" t="s">
        <v>54</v>
      </c>
      <c r="H9" s="70">
        <v>45717</v>
      </c>
      <c r="I9" s="136" t="s">
        <v>448</v>
      </c>
      <c r="J9" s="71"/>
      <c r="K9" s="67" t="s">
        <v>62</v>
      </c>
      <c r="L9" s="72">
        <v>2</v>
      </c>
      <c r="M9" s="73">
        <v>2</v>
      </c>
      <c r="N9" s="74" t="s">
        <v>45</v>
      </c>
      <c r="O9" s="10" t="s">
        <v>575</v>
      </c>
      <c r="P9" s="10" t="s">
        <v>577</v>
      </c>
      <c r="Q9" s="10">
        <v>20411454</v>
      </c>
    </row>
    <row r="10" spans="1:17" s="139" customFormat="1" ht="15" customHeight="1" x14ac:dyDescent="0.2">
      <c r="A10" s="109" t="s">
        <v>354</v>
      </c>
      <c r="B10" s="109" t="s">
        <v>354</v>
      </c>
      <c r="C10" s="110">
        <v>20156341801</v>
      </c>
      <c r="D10" s="111" t="s">
        <v>355</v>
      </c>
      <c r="E10" s="111" t="s">
        <v>53</v>
      </c>
      <c r="F10" s="115">
        <v>45699</v>
      </c>
      <c r="G10" s="113" t="s">
        <v>163</v>
      </c>
      <c r="H10" s="115">
        <v>45717</v>
      </c>
      <c r="I10" s="137" t="s">
        <v>446</v>
      </c>
      <c r="J10" s="138"/>
      <c r="K10" s="111" t="s">
        <v>62</v>
      </c>
      <c r="L10" s="116">
        <v>12</v>
      </c>
      <c r="M10" s="117">
        <v>10</v>
      </c>
      <c r="N10" s="118" t="s">
        <v>46</v>
      </c>
      <c r="O10" s="119" t="s">
        <v>576</v>
      </c>
      <c r="P10" s="137" t="s">
        <v>446</v>
      </c>
      <c r="Q10" s="119" t="s">
        <v>666</v>
      </c>
    </row>
    <row r="11" spans="1:17" ht="15" customHeight="1" x14ac:dyDescent="0.2">
      <c r="A11" s="13" t="s">
        <v>356</v>
      </c>
      <c r="B11" s="13" t="s">
        <v>356</v>
      </c>
      <c r="C11" s="48">
        <v>20147591001</v>
      </c>
      <c r="D11" s="49" t="s">
        <v>357</v>
      </c>
      <c r="E11" s="49" t="s">
        <v>49</v>
      </c>
      <c r="F11" s="50">
        <v>45691</v>
      </c>
      <c r="G11" s="38" t="s">
        <v>61</v>
      </c>
      <c r="H11" s="50">
        <v>45717</v>
      </c>
      <c r="I11" s="107" t="s">
        <v>495</v>
      </c>
      <c r="J11" s="51"/>
      <c r="K11" s="49" t="s">
        <v>62</v>
      </c>
      <c r="L11" s="52">
        <v>12</v>
      </c>
      <c r="M11" s="42">
        <v>10</v>
      </c>
      <c r="N11" s="21" t="s">
        <v>46</v>
      </c>
      <c r="O11" s="10" t="s">
        <v>576</v>
      </c>
      <c r="P11" s="107" t="s">
        <v>495</v>
      </c>
      <c r="Q11" s="10" t="s">
        <v>665</v>
      </c>
    </row>
    <row r="12" spans="1:17" ht="15" customHeight="1" x14ac:dyDescent="0.2">
      <c r="A12" s="13" t="s">
        <v>358</v>
      </c>
      <c r="B12" s="13" t="s">
        <v>358</v>
      </c>
      <c r="C12" s="48">
        <v>19899881701</v>
      </c>
      <c r="D12" s="49" t="s">
        <v>359</v>
      </c>
      <c r="E12" s="49" t="s">
        <v>360</v>
      </c>
      <c r="F12" s="50">
        <v>45623</v>
      </c>
      <c r="G12" s="38" t="s">
        <v>63</v>
      </c>
      <c r="H12" s="50">
        <v>45658</v>
      </c>
      <c r="I12" s="107" t="s">
        <v>520</v>
      </c>
      <c r="J12" s="51"/>
      <c r="K12" s="49" t="s">
        <v>44</v>
      </c>
      <c r="L12" s="52">
        <v>12</v>
      </c>
      <c r="M12" s="42">
        <v>12</v>
      </c>
      <c r="N12" s="21" t="s">
        <v>46</v>
      </c>
      <c r="O12" s="10" t="s">
        <v>576</v>
      </c>
      <c r="P12" s="107" t="s">
        <v>520</v>
      </c>
      <c r="Q12" s="10">
        <v>19586992</v>
      </c>
    </row>
    <row r="13" spans="1:17" ht="15" customHeight="1" x14ac:dyDescent="0.2">
      <c r="A13" s="13" t="s">
        <v>358</v>
      </c>
      <c r="B13" s="13" t="s">
        <v>358</v>
      </c>
      <c r="C13" s="48">
        <v>19899881701</v>
      </c>
      <c r="D13" s="49" t="s">
        <v>359</v>
      </c>
      <c r="E13" s="49" t="s">
        <v>360</v>
      </c>
      <c r="F13" s="50">
        <v>45623</v>
      </c>
      <c r="G13" s="38" t="s">
        <v>63</v>
      </c>
      <c r="H13" s="50">
        <v>45658</v>
      </c>
      <c r="I13" s="107" t="s">
        <v>520</v>
      </c>
      <c r="J13" s="51"/>
      <c r="K13" s="49" t="s">
        <v>62</v>
      </c>
      <c r="L13" s="52">
        <v>12</v>
      </c>
      <c r="M13" s="42">
        <v>12</v>
      </c>
      <c r="N13" s="21" t="s">
        <v>46</v>
      </c>
      <c r="O13" s="10" t="s">
        <v>576</v>
      </c>
      <c r="P13" s="107" t="s">
        <v>520</v>
      </c>
      <c r="Q13" s="10">
        <v>19586992</v>
      </c>
    </row>
    <row r="14" spans="1:17" ht="15" customHeight="1" x14ac:dyDescent="0.2">
      <c r="A14" s="13" t="s">
        <v>135</v>
      </c>
      <c r="B14" s="13" t="s">
        <v>135</v>
      </c>
      <c r="C14" s="48">
        <v>20117221001</v>
      </c>
      <c r="D14" s="49" t="s">
        <v>136</v>
      </c>
      <c r="E14" s="49" t="s">
        <v>49</v>
      </c>
      <c r="F14" s="50">
        <v>45670</v>
      </c>
      <c r="G14" s="38" t="s">
        <v>81</v>
      </c>
      <c r="H14" s="50">
        <v>45717</v>
      </c>
      <c r="I14" s="107" t="s">
        <v>449</v>
      </c>
      <c r="J14" s="50">
        <v>45717</v>
      </c>
      <c r="K14" s="49" t="s">
        <v>363</v>
      </c>
      <c r="L14" s="52">
        <v>12</v>
      </c>
      <c r="M14" s="42">
        <v>-14</v>
      </c>
      <c r="N14" s="21" t="s">
        <v>46</v>
      </c>
      <c r="O14" s="10" t="s">
        <v>576</v>
      </c>
      <c r="P14" s="107" t="s">
        <v>449</v>
      </c>
      <c r="Q14" s="10">
        <v>19200754</v>
      </c>
    </row>
    <row r="15" spans="1:17" ht="15" customHeight="1" x14ac:dyDescent="0.2">
      <c r="A15" s="16" t="s">
        <v>135</v>
      </c>
      <c r="B15" s="16" t="s">
        <v>135</v>
      </c>
      <c r="C15" s="53">
        <v>20117221001</v>
      </c>
      <c r="D15" s="54" t="s">
        <v>136</v>
      </c>
      <c r="E15" s="54" t="s">
        <v>49</v>
      </c>
      <c r="F15" s="55">
        <v>45670</v>
      </c>
      <c r="G15" s="23" t="s">
        <v>81</v>
      </c>
      <c r="H15" s="55">
        <v>45717</v>
      </c>
      <c r="I15" s="108" t="s">
        <v>449</v>
      </c>
      <c r="J15" s="55">
        <v>45717</v>
      </c>
      <c r="K15" s="54" t="s">
        <v>363</v>
      </c>
      <c r="L15" s="57">
        <v>12</v>
      </c>
      <c r="M15" s="46">
        <v>-10</v>
      </c>
      <c r="N15" s="26" t="s">
        <v>46</v>
      </c>
      <c r="O15" s="10" t="s">
        <v>576</v>
      </c>
      <c r="P15" s="108" t="s">
        <v>449</v>
      </c>
      <c r="Q15" s="10">
        <v>19200754</v>
      </c>
    </row>
    <row r="16" spans="1:17" ht="15" customHeight="1" x14ac:dyDescent="0.2">
      <c r="A16" s="59" t="s">
        <v>139</v>
      </c>
      <c r="B16" s="59"/>
      <c r="C16" s="59"/>
      <c r="D16" s="59"/>
      <c r="E16" s="61"/>
      <c r="F16" s="61"/>
      <c r="G16" s="32"/>
      <c r="H16" s="61"/>
      <c r="I16" s="61"/>
      <c r="J16" s="61"/>
      <c r="K16" s="61"/>
      <c r="L16" s="61"/>
      <c r="M16" s="41">
        <v>28</v>
      </c>
      <c r="N16" s="32"/>
      <c r="O16" s="10"/>
      <c r="P16" s="10"/>
    </row>
    <row r="17" spans="1:16" ht="15" customHeight="1" x14ac:dyDescent="0.25">
      <c r="A17" s="78" t="s">
        <v>140</v>
      </c>
      <c r="B17" s="78"/>
      <c r="C17" s="78"/>
      <c r="D17" s="79"/>
      <c r="E17" s="79"/>
      <c r="F17" s="79"/>
      <c r="G17" s="12"/>
      <c r="H17" s="79"/>
      <c r="I17" s="79"/>
      <c r="J17" s="79"/>
      <c r="K17" s="79"/>
      <c r="L17" s="79"/>
      <c r="M17" s="12"/>
      <c r="N17" s="12"/>
      <c r="O17" s="10"/>
      <c r="P17" s="10"/>
    </row>
    <row r="18" spans="1:16" ht="15" customHeight="1" x14ac:dyDescent="0.2">
      <c r="A18" s="63" t="s">
        <v>141</v>
      </c>
      <c r="B18" s="63"/>
      <c r="C18" s="63" t="s">
        <v>142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0"/>
      <c r="P18" s="10"/>
    </row>
    <row r="19" spans="1:16" ht="15" customHeight="1" x14ac:dyDescent="0.2">
      <c r="A19" s="63" t="s">
        <v>143</v>
      </c>
      <c r="B19" s="63"/>
      <c r="C19" s="63" t="s">
        <v>144</v>
      </c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10"/>
      <c r="P19" s="10"/>
    </row>
  </sheetData>
  <sortState xmlns:xlrd2="http://schemas.microsoft.com/office/spreadsheetml/2017/richdata2" ref="A2:AG15">
    <sortCondition ref="N2:N15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46D73F-1C33-4C7C-899A-6970A82B6332}">
  <dimension ref="A1:Q62"/>
  <sheetViews>
    <sheetView topLeftCell="A4" workbookViewId="0">
      <selection activeCell="D14" sqref="D14"/>
    </sheetView>
  </sheetViews>
  <sheetFormatPr defaultRowHeight="15" customHeight="1" x14ac:dyDescent="0.2"/>
  <cols>
    <col min="1" max="1" width="20.33203125" customWidth="1"/>
    <col min="2" max="2" width="24.33203125" style="105" customWidth="1"/>
    <col min="3" max="3" width="16" bestFit="1" customWidth="1"/>
    <col min="4" max="4" width="32.33203125" customWidth="1"/>
    <col min="8" max="8" width="28" customWidth="1"/>
    <col min="9" max="10" width="11.1640625" bestFit="1" customWidth="1"/>
    <col min="15" max="15" width="12.5" bestFit="1" customWidth="1"/>
    <col min="16" max="16" width="26.1640625" customWidth="1"/>
    <col min="17" max="17" width="15.5" customWidth="1"/>
  </cols>
  <sheetData>
    <row r="1" spans="1:17" ht="15" customHeight="1" x14ac:dyDescent="0.2">
      <c r="A1" s="16" t="s">
        <v>29</v>
      </c>
      <c r="B1" s="54"/>
      <c r="C1" s="54" t="s">
        <v>30</v>
      </c>
      <c r="D1" s="54" t="s">
        <v>31</v>
      </c>
      <c r="E1" s="54" t="s">
        <v>32</v>
      </c>
      <c r="F1" s="16" t="s">
        <v>33</v>
      </c>
      <c r="G1" s="54" t="s">
        <v>34</v>
      </c>
      <c r="H1" s="54"/>
      <c r="I1" s="54" t="s">
        <v>35</v>
      </c>
      <c r="J1" s="54" t="s">
        <v>36</v>
      </c>
      <c r="K1" s="54" t="s">
        <v>37</v>
      </c>
      <c r="L1" s="54" t="s">
        <v>38</v>
      </c>
      <c r="M1" s="26" t="s">
        <v>28</v>
      </c>
      <c r="N1" s="26" t="s">
        <v>39</v>
      </c>
      <c r="O1" s="10"/>
      <c r="P1" s="10"/>
    </row>
    <row r="2" spans="1:17" ht="15" customHeight="1" x14ac:dyDescent="0.2">
      <c r="A2" s="27" t="s">
        <v>59</v>
      </c>
      <c r="B2" s="59" t="str">
        <f>CONCATENATE(A2,1)</f>
        <v>2F07KU0JY471</v>
      </c>
      <c r="C2" s="58">
        <v>20108793901</v>
      </c>
      <c r="D2" s="59" t="s">
        <v>60</v>
      </c>
      <c r="E2" s="59" t="s">
        <v>49</v>
      </c>
      <c r="F2" s="29">
        <v>45664</v>
      </c>
      <c r="G2" s="59" t="s">
        <v>61</v>
      </c>
      <c r="H2" s="59" t="s">
        <v>495</v>
      </c>
      <c r="I2" s="60">
        <v>45689</v>
      </c>
      <c r="J2" s="61"/>
      <c r="K2" s="59" t="s">
        <v>44</v>
      </c>
      <c r="L2" s="62">
        <v>1</v>
      </c>
      <c r="M2" s="34">
        <v>1</v>
      </c>
      <c r="N2" s="35" t="s">
        <v>45</v>
      </c>
      <c r="O2" s="10" t="s">
        <v>575</v>
      </c>
      <c r="P2" s="10" t="s">
        <v>577</v>
      </c>
      <c r="Q2" s="10">
        <v>20411454</v>
      </c>
    </row>
    <row r="3" spans="1:17" ht="15" customHeight="1" x14ac:dyDescent="0.2">
      <c r="A3" s="13" t="s">
        <v>659</v>
      </c>
      <c r="B3" s="59" t="str">
        <f t="shared" ref="B3:B35" si="0">CONCATENATE(A3,1)</f>
        <v>9UJ5QW6MA851</v>
      </c>
      <c r="C3" s="49">
        <v>19923342001</v>
      </c>
      <c r="D3" s="49" t="s">
        <v>660</v>
      </c>
      <c r="E3" s="49" t="s">
        <v>364</v>
      </c>
      <c r="F3" s="37">
        <v>45628</v>
      </c>
      <c r="G3" s="49" t="s">
        <v>365</v>
      </c>
      <c r="H3" s="49" t="s">
        <v>636</v>
      </c>
      <c r="I3" s="50">
        <v>45658</v>
      </c>
      <c r="J3" s="51"/>
      <c r="K3" s="49" t="s">
        <v>62</v>
      </c>
      <c r="L3" s="52">
        <v>2</v>
      </c>
      <c r="M3" s="39">
        <v>2</v>
      </c>
      <c r="N3" s="21" t="s">
        <v>45</v>
      </c>
      <c r="O3" s="10" t="s">
        <v>575</v>
      </c>
      <c r="P3" s="10" t="s">
        <v>577</v>
      </c>
      <c r="Q3" s="10">
        <v>20411454</v>
      </c>
    </row>
    <row r="4" spans="1:17" ht="15" customHeight="1" x14ac:dyDescent="0.2">
      <c r="A4" s="13" t="s">
        <v>366</v>
      </c>
      <c r="B4" s="59" t="str">
        <f t="shared" si="0"/>
        <v>6WD9M26JG461</v>
      </c>
      <c r="C4" s="48">
        <v>19922542601</v>
      </c>
      <c r="D4" s="49" t="s">
        <v>367</v>
      </c>
      <c r="E4" s="49" t="s">
        <v>364</v>
      </c>
      <c r="F4" s="37">
        <v>45628</v>
      </c>
      <c r="G4" s="49" t="s">
        <v>365</v>
      </c>
      <c r="H4" s="49" t="s">
        <v>636</v>
      </c>
      <c r="I4" s="50">
        <v>45658</v>
      </c>
      <c r="J4" s="51"/>
      <c r="K4" s="49" t="s">
        <v>62</v>
      </c>
      <c r="L4" s="52">
        <v>2</v>
      </c>
      <c r="M4" s="39">
        <v>2</v>
      </c>
      <c r="N4" s="21" t="s">
        <v>45</v>
      </c>
      <c r="O4" s="10" t="s">
        <v>575</v>
      </c>
      <c r="P4" s="10" t="s">
        <v>577</v>
      </c>
      <c r="Q4" s="10">
        <v>20411454</v>
      </c>
    </row>
    <row r="5" spans="1:17" ht="15" customHeight="1" x14ac:dyDescent="0.2">
      <c r="A5" s="13" t="s">
        <v>368</v>
      </c>
      <c r="B5" s="59" t="str">
        <f t="shared" si="0"/>
        <v>2NQ6H33FP721</v>
      </c>
      <c r="C5" s="48">
        <v>20124741801</v>
      </c>
      <c r="D5" s="49" t="s">
        <v>369</v>
      </c>
      <c r="E5" s="49" t="s">
        <v>49</v>
      </c>
      <c r="F5" s="37">
        <v>45674</v>
      </c>
      <c r="G5" s="49" t="s">
        <v>81</v>
      </c>
      <c r="H5" s="49" t="s">
        <v>449</v>
      </c>
      <c r="I5" s="50">
        <v>45689</v>
      </c>
      <c r="J5" s="51"/>
      <c r="K5" s="49" t="s">
        <v>44</v>
      </c>
      <c r="L5" s="52">
        <v>1</v>
      </c>
      <c r="M5" s="39">
        <v>1</v>
      </c>
      <c r="N5" s="21" t="s">
        <v>45</v>
      </c>
      <c r="O5" s="10" t="s">
        <v>575</v>
      </c>
      <c r="P5" s="10" t="s">
        <v>577</v>
      </c>
      <c r="Q5" s="10">
        <v>20411454</v>
      </c>
    </row>
    <row r="6" spans="1:17" ht="15" customHeight="1" x14ac:dyDescent="0.2">
      <c r="A6" s="13" t="s">
        <v>368</v>
      </c>
      <c r="B6" s="59" t="str">
        <f t="shared" si="0"/>
        <v>2NQ6H33FP721</v>
      </c>
      <c r="C6" s="48">
        <v>20124741801</v>
      </c>
      <c r="D6" s="49" t="s">
        <v>369</v>
      </c>
      <c r="E6" s="49" t="s">
        <v>49</v>
      </c>
      <c r="F6" s="37">
        <v>45674</v>
      </c>
      <c r="G6" s="49" t="s">
        <v>81</v>
      </c>
      <c r="H6" s="49" t="s">
        <v>449</v>
      </c>
      <c r="I6" s="50">
        <v>45689</v>
      </c>
      <c r="J6" s="51"/>
      <c r="K6" s="49" t="s">
        <v>62</v>
      </c>
      <c r="L6" s="52">
        <v>2</v>
      </c>
      <c r="M6" s="39">
        <v>2</v>
      </c>
      <c r="N6" s="21" t="s">
        <v>45</v>
      </c>
      <c r="O6" s="10" t="s">
        <v>575</v>
      </c>
      <c r="P6" s="10" t="s">
        <v>577</v>
      </c>
      <c r="Q6" s="10">
        <v>20411454</v>
      </c>
    </row>
    <row r="7" spans="1:17" ht="15" customHeight="1" x14ac:dyDescent="0.2">
      <c r="A7" s="13" t="s">
        <v>370</v>
      </c>
      <c r="B7" s="59" t="str">
        <f t="shared" si="0"/>
        <v>1F00FM5DD011</v>
      </c>
      <c r="C7" s="48">
        <v>20127266301</v>
      </c>
      <c r="D7" s="49" t="s">
        <v>371</v>
      </c>
      <c r="E7" s="49" t="s">
        <v>49</v>
      </c>
      <c r="F7" s="37">
        <v>45678</v>
      </c>
      <c r="G7" s="49" t="s">
        <v>104</v>
      </c>
      <c r="H7" s="49" t="s">
        <v>496</v>
      </c>
      <c r="I7" s="50">
        <v>45717</v>
      </c>
      <c r="J7" s="51"/>
      <c r="K7" s="49" t="s">
        <v>62</v>
      </c>
      <c r="L7" s="52">
        <v>2</v>
      </c>
      <c r="M7" s="39">
        <v>2</v>
      </c>
      <c r="N7" s="21" t="s">
        <v>45</v>
      </c>
      <c r="O7" s="10" t="s">
        <v>575</v>
      </c>
      <c r="P7" s="10" t="s">
        <v>577</v>
      </c>
      <c r="Q7" s="10">
        <v>20411454</v>
      </c>
    </row>
    <row r="8" spans="1:17" ht="15" customHeight="1" x14ac:dyDescent="0.2">
      <c r="A8" s="13" t="s">
        <v>372</v>
      </c>
      <c r="B8" s="59" t="str">
        <f t="shared" si="0"/>
        <v>1KA4AH5FA991</v>
      </c>
      <c r="C8" s="48">
        <v>19636649601</v>
      </c>
      <c r="D8" s="49" t="s">
        <v>373</v>
      </c>
      <c r="E8" s="49" t="s">
        <v>364</v>
      </c>
      <c r="F8" s="37">
        <v>45595</v>
      </c>
      <c r="G8" s="49" t="s">
        <v>73</v>
      </c>
      <c r="H8" s="49" t="s">
        <v>497</v>
      </c>
      <c r="I8" s="50">
        <v>45658</v>
      </c>
      <c r="J8" s="51"/>
      <c r="K8" s="49" t="s">
        <v>62</v>
      </c>
      <c r="L8" s="52">
        <v>0</v>
      </c>
      <c r="M8" s="39">
        <v>0</v>
      </c>
      <c r="N8" s="21" t="s">
        <v>45</v>
      </c>
      <c r="O8" s="10" t="s">
        <v>575</v>
      </c>
      <c r="P8" s="10" t="s">
        <v>577</v>
      </c>
      <c r="Q8" s="10">
        <v>20411454</v>
      </c>
    </row>
    <row r="9" spans="1:17" ht="15" customHeight="1" x14ac:dyDescent="0.2">
      <c r="A9" s="13" t="s">
        <v>74</v>
      </c>
      <c r="B9" s="59" t="str">
        <f t="shared" si="0"/>
        <v>9J44A13ER861</v>
      </c>
      <c r="C9" s="48">
        <v>20111561501</v>
      </c>
      <c r="D9" s="49" t="s">
        <v>75</v>
      </c>
      <c r="E9" s="49" t="s">
        <v>49</v>
      </c>
      <c r="F9" s="37">
        <v>45665</v>
      </c>
      <c r="G9" s="49" t="s">
        <v>76</v>
      </c>
      <c r="H9" s="49" t="s">
        <v>494</v>
      </c>
      <c r="I9" s="50">
        <v>45689</v>
      </c>
      <c r="J9" s="51"/>
      <c r="K9" s="49" t="s">
        <v>44</v>
      </c>
      <c r="L9" s="52">
        <v>1</v>
      </c>
      <c r="M9" s="39">
        <v>1</v>
      </c>
      <c r="N9" s="21" t="s">
        <v>45</v>
      </c>
      <c r="O9" s="10" t="s">
        <v>575</v>
      </c>
      <c r="P9" s="10" t="s">
        <v>577</v>
      </c>
      <c r="Q9" s="10">
        <v>20411454</v>
      </c>
    </row>
    <row r="10" spans="1:17" ht="15" customHeight="1" x14ac:dyDescent="0.2">
      <c r="A10" s="13" t="s">
        <v>183</v>
      </c>
      <c r="B10" s="59" t="str">
        <f t="shared" si="0"/>
        <v>4AN3CJ3HN791</v>
      </c>
      <c r="C10" s="48">
        <v>19866714901</v>
      </c>
      <c r="D10" s="49" t="s">
        <v>184</v>
      </c>
      <c r="E10" s="49" t="s">
        <v>53</v>
      </c>
      <c r="F10" s="37">
        <v>45621</v>
      </c>
      <c r="G10" s="49" t="s">
        <v>153</v>
      </c>
      <c r="H10" s="49" t="s">
        <v>581</v>
      </c>
      <c r="I10" s="50">
        <v>45658</v>
      </c>
      <c r="J10" s="50">
        <v>45688</v>
      </c>
      <c r="K10" s="49" t="s">
        <v>374</v>
      </c>
      <c r="L10" s="52">
        <v>2</v>
      </c>
      <c r="M10" s="39">
        <v>-1.83</v>
      </c>
      <c r="N10" s="21" t="s">
        <v>45</v>
      </c>
      <c r="O10" s="10" t="s">
        <v>575</v>
      </c>
      <c r="P10" s="10" t="s">
        <v>577</v>
      </c>
      <c r="Q10" s="10">
        <v>20411454</v>
      </c>
    </row>
    <row r="11" spans="1:17" ht="15" customHeight="1" x14ac:dyDescent="0.2">
      <c r="A11" s="13" t="s">
        <v>375</v>
      </c>
      <c r="B11" s="59" t="str">
        <f t="shared" si="0"/>
        <v>2K85GF1YX841</v>
      </c>
      <c r="C11" s="48">
        <v>20066975201</v>
      </c>
      <c r="D11" s="49" t="s">
        <v>376</v>
      </c>
      <c r="E11" s="49" t="s">
        <v>364</v>
      </c>
      <c r="F11" s="37">
        <v>45639</v>
      </c>
      <c r="G11" s="49" t="s">
        <v>73</v>
      </c>
      <c r="H11" s="49" t="s">
        <v>497</v>
      </c>
      <c r="I11" s="50">
        <v>45658</v>
      </c>
      <c r="J11" s="51"/>
      <c r="K11" s="49" t="s">
        <v>62</v>
      </c>
      <c r="L11" s="52">
        <v>2</v>
      </c>
      <c r="M11" s="39">
        <v>2</v>
      </c>
      <c r="N11" s="21" t="s">
        <v>45</v>
      </c>
      <c r="O11" s="10" t="s">
        <v>575</v>
      </c>
      <c r="P11" s="10" t="s">
        <v>577</v>
      </c>
      <c r="Q11" s="10">
        <v>20411454</v>
      </c>
    </row>
    <row r="12" spans="1:17" ht="15" customHeight="1" x14ac:dyDescent="0.2">
      <c r="A12" s="13" t="s">
        <v>375</v>
      </c>
      <c r="B12" s="59" t="str">
        <f t="shared" si="0"/>
        <v>2K85GF1YX841</v>
      </c>
      <c r="C12" s="48">
        <v>20066975201</v>
      </c>
      <c r="D12" s="49" t="s">
        <v>376</v>
      </c>
      <c r="E12" s="49" t="s">
        <v>364</v>
      </c>
      <c r="F12" s="37">
        <v>45639</v>
      </c>
      <c r="G12" s="49" t="s">
        <v>73</v>
      </c>
      <c r="H12" s="49" t="s">
        <v>497</v>
      </c>
      <c r="I12" s="50">
        <v>45658</v>
      </c>
      <c r="J12" s="51"/>
      <c r="K12" s="49" t="s">
        <v>44</v>
      </c>
      <c r="L12" s="52">
        <v>1</v>
      </c>
      <c r="M12" s="39">
        <v>1</v>
      </c>
      <c r="N12" s="21" t="s">
        <v>45</v>
      </c>
      <c r="O12" s="10" t="s">
        <v>575</v>
      </c>
      <c r="P12" s="10" t="s">
        <v>577</v>
      </c>
      <c r="Q12" s="10">
        <v>20411454</v>
      </c>
    </row>
    <row r="13" spans="1:17" ht="15" customHeight="1" x14ac:dyDescent="0.2">
      <c r="A13" s="13" t="s">
        <v>377</v>
      </c>
      <c r="B13" s="59" t="str">
        <f t="shared" si="0"/>
        <v>7JX4EC9EY661</v>
      </c>
      <c r="C13" s="48">
        <v>20142871101</v>
      </c>
      <c r="D13" s="49" t="s">
        <v>378</v>
      </c>
      <c r="E13" s="49" t="s">
        <v>49</v>
      </c>
      <c r="F13" s="37">
        <v>45688</v>
      </c>
      <c r="G13" s="49" t="s">
        <v>61</v>
      </c>
      <c r="H13" s="49" t="s">
        <v>495</v>
      </c>
      <c r="I13" s="50">
        <v>45717</v>
      </c>
      <c r="J13" s="51"/>
      <c r="K13" s="49" t="s">
        <v>62</v>
      </c>
      <c r="L13" s="52">
        <v>2</v>
      </c>
      <c r="M13" s="39">
        <v>2</v>
      </c>
      <c r="N13" s="21" t="s">
        <v>45</v>
      </c>
      <c r="O13" s="10" t="s">
        <v>575</v>
      </c>
      <c r="P13" s="10" t="s">
        <v>577</v>
      </c>
      <c r="Q13" s="10">
        <v>20411454</v>
      </c>
    </row>
    <row r="14" spans="1:17" ht="15" customHeight="1" x14ac:dyDescent="0.2">
      <c r="A14" s="65" t="s">
        <v>379</v>
      </c>
      <c r="B14" s="59" t="str">
        <f t="shared" si="0"/>
        <v>4RA5RC4VM881</v>
      </c>
      <c r="C14" s="66">
        <v>20113671001</v>
      </c>
      <c r="D14" s="67" t="s">
        <v>380</v>
      </c>
      <c r="E14" s="67" t="s">
        <v>364</v>
      </c>
      <c r="F14" s="68">
        <v>45667</v>
      </c>
      <c r="G14" s="67" t="s">
        <v>365</v>
      </c>
      <c r="H14" s="67" t="s">
        <v>636</v>
      </c>
      <c r="I14" s="70">
        <v>45717</v>
      </c>
      <c r="J14" s="71"/>
      <c r="K14" s="67" t="s">
        <v>62</v>
      </c>
      <c r="L14" s="72">
        <v>2</v>
      </c>
      <c r="M14" s="73">
        <v>2</v>
      </c>
      <c r="N14" s="74" t="s">
        <v>45</v>
      </c>
      <c r="O14" s="10" t="s">
        <v>575</v>
      </c>
      <c r="P14" s="10" t="s">
        <v>577</v>
      </c>
      <c r="Q14" s="10">
        <v>20411454</v>
      </c>
    </row>
    <row r="15" spans="1:17" ht="15" customHeight="1" x14ac:dyDescent="0.2">
      <c r="A15" s="13" t="s">
        <v>379</v>
      </c>
      <c r="B15" s="59" t="str">
        <f t="shared" si="0"/>
        <v>4RA5RC4VM881</v>
      </c>
      <c r="C15" s="48">
        <v>20113671001</v>
      </c>
      <c r="D15" s="49" t="s">
        <v>380</v>
      </c>
      <c r="E15" s="49" t="s">
        <v>364</v>
      </c>
      <c r="F15" s="37">
        <v>45667</v>
      </c>
      <c r="G15" s="49" t="s">
        <v>365</v>
      </c>
      <c r="H15" s="49" t="s">
        <v>636</v>
      </c>
      <c r="I15" s="50">
        <v>45717</v>
      </c>
      <c r="J15" s="51"/>
      <c r="K15" s="49" t="s">
        <v>44</v>
      </c>
      <c r="L15" s="52">
        <v>1</v>
      </c>
      <c r="M15" s="42">
        <v>1</v>
      </c>
      <c r="N15" s="21" t="s">
        <v>45</v>
      </c>
      <c r="O15" s="10" t="s">
        <v>575</v>
      </c>
      <c r="P15" s="10" t="s">
        <v>577</v>
      </c>
      <c r="Q15" s="10">
        <v>20411454</v>
      </c>
    </row>
    <row r="16" spans="1:17" ht="15" customHeight="1" x14ac:dyDescent="0.2">
      <c r="A16" s="13" t="s">
        <v>245</v>
      </c>
      <c r="B16" s="59" t="str">
        <f t="shared" si="0"/>
        <v>8MP3NE8DY191</v>
      </c>
      <c r="C16" s="48">
        <v>20096701601</v>
      </c>
      <c r="D16" s="49" t="s">
        <v>246</v>
      </c>
      <c r="E16" s="49" t="s">
        <v>53</v>
      </c>
      <c r="F16" s="37">
        <v>45657</v>
      </c>
      <c r="G16" s="49" t="s">
        <v>73</v>
      </c>
      <c r="H16" s="49" t="s">
        <v>497</v>
      </c>
      <c r="I16" s="50">
        <v>45689</v>
      </c>
      <c r="J16" s="51"/>
      <c r="K16" s="49" t="s">
        <v>44</v>
      </c>
      <c r="L16" s="52">
        <v>1</v>
      </c>
      <c r="M16" s="42">
        <v>1</v>
      </c>
      <c r="N16" s="21" t="s">
        <v>45</v>
      </c>
      <c r="O16" s="10" t="s">
        <v>575</v>
      </c>
      <c r="P16" s="10" t="s">
        <v>577</v>
      </c>
      <c r="Q16" s="10">
        <v>20411454</v>
      </c>
    </row>
    <row r="17" spans="1:17" ht="15" customHeight="1" x14ac:dyDescent="0.2">
      <c r="A17" s="13" t="s">
        <v>381</v>
      </c>
      <c r="B17" s="59" t="str">
        <f t="shared" si="0"/>
        <v>5MQ3WV4GX001</v>
      </c>
      <c r="C17" s="48">
        <v>20117986801</v>
      </c>
      <c r="D17" s="49" t="s">
        <v>382</v>
      </c>
      <c r="E17" s="49" t="s">
        <v>53</v>
      </c>
      <c r="F17" s="37">
        <v>45670</v>
      </c>
      <c r="G17" s="49" t="s">
        <v>54</v>
      </c>
      <c r="H17" s="49" t="s">
        <v>448</v>
      </c>
      <c r="I17" s="50">
        <v>45689</v>
      </c>
      <c r="J17" s="51"/>
      <c r="K17" s="49" t="s">
        <v>44</v>
      </c>
      <c r="L17" s="52">
        <v>1</v>
      </c>
      <c r="M17" s="42">
        <v>1</v>
      </c>
      <c r="N17" s="21" t="s">
        <v>45</v>
      </c>
      <c r="O17" s="10" t="s">
        <v>575</v>
      </c>
      <c r="P17" s="10" t="s">
        <v>577</v>
      </c>
      <c r="Q17" s="10">
        <v>20411454</v>
      </c>
    </row>
    <row r="18" spans="1:17" ht="15" customHeight="1" x14ac:dyDescent="0.2">
      <c r="A18" s="13" t="s">
        <v>111</v>
      </c>
      <c r="B18" s="59" t="str">
        <f t="shared" si="0"/>
        <v>8F21R35DW801</v>
      </c>
      <c r="C18" s="48">
        <v>20118050201</v>
      </c>
      <c r="D18" s="49" t="s">
        <v>112</v>
      </c>
      <c r="E18" s="49" t="s">
        <v>53</v>
      </c>
      <c r="F18" s="37">
        <v>45670</v>
      </c>
      <c r="G18" s="49" t="s">
        <v>54</v>
      </c>
      <c r="H18" s="49" t="s">
        <v>448</v>
      </c>
      <c r="I18" s="50">
        <v>45689</v>
      </c>
      <c r="J18" s="51"/>
      <c r="K18" s="49" t="s">
        <v>44</v>
      </c>
      <c r="L18" s="52">
        <v>1</v>
      </c>
      <c r="M18" s="42">
        <v>1</v>
      </c>
      <c r="N18" s="21" t="s">
        <v>45</v>
      </c>
      <c r="O18" s="10" t="s">
        <v>575</v>
      </c>
      <c r="P18" s="10" t="s">
        <v>577</v>
      </c>
      <c r="Q18" s="10">
        <v>20411454</v>
      </c>
    </row>
    <row r="19" spans="1:17" ht="15" customHeight="1" x14ac:dyDescent="0.2">
      <c r="A19" s="13" t="s">
        <v>383</v>
      </c>
      <c r="B19" s="59" t="str">
        <f t="shared" si="0"/>
        <v>5Q40FK8PY421</v>
      </c>
      <c r="C19" s="48">
        <v>19921743101</v>
      </c>
      <c r="D19" s="49" t="s">
        <v>384</v>
      </c>
      <c r="E19" s="49" t="s">
        <v>364</v>
      </c>
      <c r="F19" s="37">
        <v>45628</v>
      </c>
      <c r="G19" s="49" t="s">
        <v>73</v>
      </c>
      <c r="H19" s="49" t="s">
        <v>497</v>
      </c>
      <c r="I19" s="50">
        <v>45658</v>
      </c>
      <c r="J19" s="51"/>
      <c r="K19" s="49" t="s">
        <v>62</v>
      </c>
      <c r="L19" s="52">
        <v>2</v>
      </c>
      <c r="M19" s="42">
        <v>2</v>
      </c>
      <c r="N19" s="21" t="s">
        <v>45</v>
      </c>
      <c r="O19" s="10" t="s">
        <v>575</v>
      </c>
      <c r="P19" s="10" t="s">
        <v>577</v>
      </c>
      <c r="Q19" s="10">
        <v>20411454</v>
      </c>
    </row>
    <row r="20" spans="1:17" ht="15" customHeight="1" x14ac:dyDescent="0.2">
      <c r="A20" s="13" t="s">
        <v>121</v>
      </c>
      <c r="B20" s="59" t="str">
        <f t="shared" si="0"/>
        <v>5PX9E30WP571</v>
      </c>
      <c r="C20" s="48">
        <v>20100074201</v>
      </c>
      <c r="D20" s="49" t="s">
        <v>122</v>
      </c>
      <c r="E20" s="49" t="s">
        <v>53</v>
      </c>
      <c r="F20" s="37">
        <v>45659</v>
      </c>
      <c r="G20" s="49" t="s">
        <v>54</v>
      </c>
      <c r="H20" s="49" t="s">
        <v>448</v>
      </c>
      <c r="I20" s="50">
        <v>45689</v>
      </c>
      <c r="J20" s="51"/>
      <c r="K20" s="49" t="s">
        <v>44</v>
      </c>
      <c r="L20" s="52">
        <v>1</v>
      </c>
      <c r="M20" s="42">
        <v>1</v>
      </c>
      <c r="N20" s="21" t="s">
        <v>45</v>
      </c>
      <c r="O20" s="10" t="s">
        <v>575</v>
      </c>
      <c r="P20" s="10" t="s">
        <v>577</v>
      </c>
      <c r="Q20" s="10">
        <v>20411454</v>
      </c>
    </row>
    <row r="21" spans="1:17" ht="15" customHeight="1" x14ac:dyDescent="0.2">
      <c r="A21" s="13" t="s">
        <v>125</v>
      </c>
      <c r="B21" s="59" t="str">
        <f t="shared" si="0"/>
        <v>3VN3FG0WH751</v>
      </c>
      <c r="C21" s="48">
        <v>20111583901</v>
      </c>
      <c r="D21" s="49" t="s">
        <v>126</v>
      </c>
      <c r="E21" s="49" t="s">
        <v>53</v>
      </c>
      <c r="F21" s="37">
        <v>45665</v>
      </c>
      <c r="G21" s="49" t="s">
        <v>127</v>
      </c>
      <c r="H21" s="49" t="s">
        <v>515</v>
      </c>
      <c r="I21" s="50">
        <v>45689</v>
      </c>
      <c r="J21" s="51"/>
      <c r="K21" s="49" t="s">
        <v>44</v>
      </c>
      <c r="L21" s="52">
        <v>1</v>
      </c>
      <c r="M21" s="42">
        <v>1</v>
      </c>
      <c r="N21" s="21" t="s">
        <v>45</v>
      </c>
      <c r="O21" s="10" t="s">
        <v>575</v>
      </c>
      <c r="P21" s="10" t="s">
        <v>577</v>
      </c>
      <c r="Q21" s="10">
        <v>20411454</v>
      </c>
    </row>
    <row r="22" spans="1:17" ht="15" customHeight="1" x14ac:dyDescent="0.2">
      <c r="A22" s="13" t="s">
        <v>131</v>
      </c>
      <c r="B22" s="59" t="str">
        <f t="shared" si="0"/>
        <v>9P06W18ET731</v>
      </c>
      <c r="C22" s="48">
        <v>20110579801</v>
      </c>
      <c r="D22" s="49" t="s">
        <v>132</v>
      </c>
      <c r="E22" s="49" t="s">
        <v>53</v>
      </c>
      <c r="F22" s="37">
        <v>45665</v>
      </c>
      <c r="G22" s="49" t="s">
        <v>54</v>
      </c>
      <c r="H22" s="49" t="s">
        <v>448</v>
      </c>
      <c r="I22" s="50">
        <v>45717</v>
      </c>
      <c r="J22" s="51"/>
      <c r="K22" s="49" t="s">
        <v>44</v>
      </c>
      <c r="L22" s="52">
        <v>1</v>
      </c>
      <c r="M22" s="42">
        <v>1</v>
      </c>
      <c r="N22" s="21" t="s">
        <v>45</v>
      </c>
      <c r="O22" s="10" t="s">
        <v>575</v>
      </c>
      <c r="P22" s="10" t="s">
        <v>577</v>
      </c>
      <c r="Q22" s="10">
        <v>20411454</v>
      </c>
    </row>
    <row r="23" spans="1:17" ht="15" customHeight="1" x14ac:dyDescent="0.2">
      <c r="A23" s="13" t="s">
        <v>135</v>
      </c>
      <c r="B23" s="59" t="str">
        <f t="shared" si="0"/>
        <v>8CJ1TK9PA161</v>
      </c>
      <c r="C23" s="48">
        <v>20117221001</v>
      </c>
      <c r="D23" s="49" t="s">
        <v>136</v>
      </c>
      <c r="E23" s="49" t="s">
        <v>49</v>
      </c>
      <c r="F23" s="37">
        <v>45670</v>
      </c>
      <c r="G23" s="49" t="s">
        <v>81</v>
      </c>
      <c r="H23" s="49" t="s">
        <v>449</v>
      </c>
      <c r="I23" s="50">
        <v>45717</v>
      </c>
      <c r="J23" s="51"/>
      <c r="K23" s="49" t="s">
        <v>44</v>
      </c>
      <c r="L23" s="52">
        <v>1</v>
      </c>
      <c r="M23" s="42">
        <v>1</v>
      </c>
      <c r="N23" s="21" t="s">
        <v>45</v>
      </c>
      <c r="O23" s="10" t="s">
        <v>575</v>
      </c>
      <c r="P23" s="10" t="s">
        <v>577</v>
      </c>
      <c r="Q23" s="10">
        <v>20411454</v>
      </c>
    </row>
    <row r="24" spans="1:17" ht="15" customHeight="1" x14ac:dyDescent="0.2">
      <c r="A24" s="13" t="s">
        <v>385</v>
      </c>
      <c r="B24" s="59" t="str">
        <f t="shared" si="0"/>
        <v>7WW8JG4YQ281</v>
      </c>
      <c r="C24" s="48">
        <v>19370978901</v>
      </c>
      <c r="D24" s="49" t="s">
        <v>386</v>
      </c>
      <c r="E24" s="49" t="s">
        <v>53</v>
      </c>
      <c r="F24" s="11"/>
      <c r="G24" s="49" t="s">
        <v>54</v>
      </c>
      <c r="H24" s="49" t="s">
        <v>448</v>
      </c>
      <c r="I24" s="50">
        <v>45597</v>
      </c>
      <c r="J24" s="51"/>
      <c r="K24" s="51"/>
      <c r="L24" s="52">
        <v>2</v>
      </c>
      <c r="M24" s="42">
        <v>2</v>
      </c>
      <c r="N24" s="21" t="s">
        <v>387</v>
      </c>
      <c r="O24" s="10" t="s">
        <v>575</v>
      </c>
      <c r="P24" s="10" t="s">
        <v>577</v>
      </c>
      <c r="Q24" s="10">
        <v>20411454</v>
      </c>
    </row>
    <row r="25" spans="1:17" ht="15" customHeight="1" x14ac:dyDescent="0.2">
      <c r="A25" s="13" t="s">
        <v>388</v>
      </c>
      <c r="B25" s="59" t="str">
        <f t="shared" si="0"/>
        <v>9DF0T66DU281</v>
      </c>
      <c r="C25" s="48">
        <v>19472219501</v>
      </c>
      <c r="D25" s="49" t="s">
        <v>389</v>
      </c>
      <c r="E25" s="49" t="s">
        <v>53</v>
      </c>
      <c r="F25" s="11"/>
      <c r="G25" s="49" t="s">
        <v>54</v>
      </c>
      <c r="H25" s="49" t="s">
        <v>448</v>
      </c>
      <c r="I25" s="50">
        <v>45597</v>
      </c>
      <c r="J25" s="51"/>
      <c r="K25" s="51"/>
      <c r="L25" s="52">
        <v>2</v>
      </c>
      <c r="M25" s="42">
        <v>2</v>
      </c>
      <c r="N25" s="21" t="s">
        <v>387</v>
      </c>
      <c r="O25" s="10" t="s">
        <v>575</v>
      </c>
      <c r="P25" s="10" t="s">
        <v>577</v>
      </c>
      <c r="Q25" s="10">
        <v>20411454</v>
      </c>
    </row>
    <row r="26" spans="1:17" ht="15" customHeight="1" x14ac:dyDescent="0.2">
      <c r="A26" s="13" t="s">
        <v>390</v>
      </c>
      <c r="B26" s="59" t="str">
        <f t="shared" si="0"/>
        <v>9AC1DX1RV261</v>
      </c>
      <c r="C26" s="48">
        <v>19374016401</v>
      </c>
      <c r="D26" s="49" t="s">
        <v>391</v>
      </c>
      <c r="E26" s="49" t="s">
        <v>53</v>
      </c>
      <c r="F26" s="11"/>
      <c r="G26" s="49" t="s">
        <v>54</v>
      </c>
      <c r="H26" s="49" t="s">
        <v>448</v>
      </c>
      <c r="I26" s="50">
        <v>45627</v>
      </c>
      <c r="J26" s="51"/>
      <c r="K26" s="51"/>
      <c r="L26" s="52">
        <v>2</v>
      </c>
      <c r="M26" s="42">
        <v>2</v>
      </c>
      <c r="N26" s="21" t="s">
        <v>387</v>
      </c>
      <c r="O26" s="10" t="s">
        <v>575</v>
      </c>
      <c r="P26" s="10" t="s">
        <v>577</v>
      </c>
      <c r="Q26" s="10">
        <v>20411454</v>
      </c>
    </row>
    <row r="27" spans="1:17" ht="15" customHeight="1" x14ac:dyDescent="0.2">
      <c r="A27" s="27" t="s">
        <v>392</v>
      </c>
      <c r="B27" s="59" t="str">
        <f t="shared" si="0"/>
        <v>4PF7NK9JG671</v>
      </c>
      <c r="C27" s="58">
        <v>19374030501</v>
      </c>
      <c r="D27" s="59" t="s">
        <v>393</v>
      </c>
      <c r="E27" s="59" t="s">
        <v>53</v>
      </c>
      <c r="F27" s="32"/>
      <c r="G27" s="59" t="s">
        <v>54</v>
      </c>
      <c r="H27" s="59" t="s">
        <v>448</v>
      </c>
      <c r="I27" s="60">
        <v>45597</v>
      </c>
      <c r="J27" s="61"/>
      <c r="K27" s="61"/>
      <c r="L27" s="62">
        <v>2</v>
      </c>
      <c r="M27" s="41">
        <v>2</v>
      </c>
      <c r="N27" s="35" t="s">
        <v>387</v>
      </c>
      <c r="O27" s="10" t="s">
        <v>575</v>
      </c>
      <c r="P27" s="10" t="s">
        <v>577</v>
      </c>
      <c r="Q27" s="10">
        <v>20411454</v>
      </c>
    </row>
    <row r="28" spans="1:17" ht="15" customHeight="1" x14ac:dyDescent="0.2">
      <c r="A28" s="13" t="s">
        <v>394</v>
      </c>
      <c r="B28" s="59" t="str">
        <f t="shared" si="0"/>
        <v>6YU6AP7GR571</v>
      </c>
      <c r="C28" s="48">
        <v>19385991501</v>
      </c>
      <c r="D28" s="49" t="s">
        <v>395</v>
      </c>
      <c r="E28" s="49" t="s">
        <v>53</v>
      </c>
      <c r="F28" s="11"/>
      <c r="G28" s="49" t="s">
        <v>73</v>
      </c>
      <c r="H28" s="49" t="s">
        <v>497</v>
      </c>
      <c r="I28" s="50">
        <v>45597</v>
      </c>
      <c r="J28" s="51"/>
      <c r="K28" s="51"/>
      <c r="L28" s="52">
        <v>2</v>
      </c>
      <c r="M28" s="42">
        <v>2</v>
      </c>
      <c r="N28" s="21" t="s">
        <v>387</v>
      </c>
      <c r="O28" s="10" t="s">
        <v>575</v>
      </c>
      <c r="P28" s="10" t="s">
        <v>577</v>
      </c>
      <c r="Q28" s="10">
        <v>20411454</v>
      </c>
    </row>
    <row r="29" spans="1:17" ht="15" customHeight="1" x14ac:dyDescent="0.2">
      <c r="A29" s="13" t="s">
        <v>397</v>
      </c>
      <c r="B29" s="59" t="str">
        <f t="shared" si="0"/>
        <v>7WJ5XX8RG511</v>
      </c>
      <c r="C29" s="48">
        <v>19824983101</v>
      </c>
      <c r="D29" s="49" t="s">
        <v>398</v>
      </c>
      <c r="E29" s="49" t="s">
        <v>316</v>
      </c>
      <c r="F29" s="11"/>
      <c r="G29" s="49" t="s">
        <v>317</v>
      </c>
      <c r="H29" s="49" t="s">
        <v>580</v>
      </c>
      <c r="I29" s="50">
        <v>45627</v>
      </c>
      <c r="J29" s="51"/>
      <c r="K29" s="51"/>
      <c r="L29" s="52">
        <v>2</v>
      </c>
      <c r="M29" s="42">
        <v>2</v>
      </c>
      <c r="N29" s="21" t="s">
        <v>387</v>
      </c>
      <c r="O29" s="10" t="s">
        <v>575</v>
      </c>
      <c r="P29" s="10" t="s">
        <v>577</v>
      </c>
      <c r="Q29" s="10">
        <v>20411454</v>
      </c>
    </row>
    <row r="30" spans="1:17" ht="15" customHeight="1" x14ac:dyDescent="0.2">
      <c r="A30" s="13" t="s">
        <v>399</v>
      </c>
      <c r="B30" s="59" t="str">
        <f t="shared" si="0"/>
        <v>8C76CQ8JH721</v>
      </c>
      <c r="C30" s="48">
        <v>19650923601</v>
      </c>
      <c r="D30" s="49" t="s">
        <v>400</v>
      </c>
      <c r="E30" s="49" t="s">
        <v>49</v>
      </c>
      <c r="F30" s="11"/>
      <c r="G30" s="49" t="s">
        <v>43</v>
      </c>
      <c r="H30" s="49" t="s">
        <v>519</v>
      </c>
      <c r="I30" s="50">
        <v>45597</v>
      </c>
      <c r="J30" s="51"/>
      <c r="K30" s="51"/>
      <c r="L30" s="52">
        <v>2</v>
      </c>
      <c r="M30" s="42">
        <v>2</v>
      </c>
      <c r="N30" s="21" t="s">
        <v>387</v>
      </c>
      <c r="O30" s="10" t="s">
        <v>575</v>
      </c>
      <c r="P30" s="10" t="s">
        <v>577</v>
      </c>
      <c r="Q30" s="10">
        <v>20411454</v>
      </c>
    </row>
    <row r="31" spans="1:17" ht="15" customHeight="1" x14ac:dyDescent="0.2">
      <c r="A31" s="13" t="s">
        <v>401</v>
      </c>
      <c r="B31" s="59" t="str">
        <f t="shared" si="0"/>
        <v>4YA3N62KN991</v>
      </c>
      <c r="C31" s="48">
        <v>19374228501</v>
      </c>
      <c r="D31" s="49" t="s">
        <v>402</v>
      </c>
      <c r="E31" s="49" t="s">
        <v>49</v>
      </c>
      <c r="F31" s="11"/>
      <c r="G31" s="49" t="s">
        <v>76</v>
      </c>
      <c r="H31" s="49" t="s">
        <v>494</v>
      </c>
      <c r="I31" s="50">
        <v>45627</v>
      </c>
      <c r="J31" s="51"/>
      <c r="K31" s="51"/>
      <c r="L31" s="52">
        <v>2</v>
      </c>
      <c r="M31" s="42">
        <v>2</v>
      </c>
      <c r="N31" s="21" t="s">
        <v>387</v>
      </c>
      <c r="O31" s="10" t="s">
        <v>575</v>
      </c>
      <c r="P31" s="10" t="s">
        <v>577</v>
      </c>
      <c r="Q31" s="10">
        <v>20411454</v>
      </c>
    </row>
    <row r="32" spans="1:17" ht="15" customHeight="1" x14ac:dyDescent="0.25">
      <c r="A32" s="13" t="s">
        <v>403</v>
      </c>
      <c r="B32" s="59" t="str">
        <f t="shared" si="0"/>
        <v>1Y47XU7NM621</v>
      </c>
      <c r="C32" s="48">
        <v>19104355301</v>
      </c>
      <c r="D32" s="49" t="s">
        <v>404</v>
      </c>
      <c r="E32" s="49" t="s">
        <v>53</v>
      </c>
      <c r="F32" s="12"/>
      <c r="G32" s="49" t="s">
        <v>405</v>
      </c>
      <c r="H32" s="49" t="s">
        <v>635</v>
      </c>
      <c r="I32" s="50">
        <v>45292</v>
      </c>
      <c r="J32" s="79"/>
      <c r="K32" s="79"/>
      <c r="L32" s="52">
        <v>2</v>
      </c>
      <c r="M32" s="42">
        <v>2</v>
      </c>
      <c r="N32" s="21" t="s">
        <v>387</v>
      </c>
      <c r="O32" s="10" t="s">
        <v>575</v>
      </c>
      <c r="P32" s="10" t="s">
        <v>577</v>
      </c>
      <c r="Q32" s="10">
        <v>20411454</v>
      </c>
    </row>
    <row r="33" spans="1:17" ht="15" customHeight="1" x14ac:dyDescent="0.2">
      <c r="A33" s="65" t="s">
        <v>407</v>
      </c>
      <c r="B33" s="59" t="str">
        <f t="shared" si="0"/>
        <v>8QD1G14XX991</v>
      </c>
      <c r="C33" s="67">
        <v>19374017201</v>
      </c>
      <c r="D33" s="67" t="s">
        <v>661</v>
      </c>
      <c r="E33" s="67" t="s">
        <v>53</v>
      </c>
      <c r="G33" s="67" t="s">
        <v>54</v>
      </c>
      <c r="H33" s="67" t="s">
        <v>448</v>
      </c>
      <c r="I33" s="70">
        <v>45627</v>
      </c>
      <c r="K33" s="72"/>
      <c r="L33" s="72">
        <v>2</v>
      </c>
      <c r="M33" s="73">
        <v>2</v>
      </c>
      <c r="N33" s="74" t="s">
        <v>387</v>
      </c>
      <c r="O33" s="10" t="s">
        <v>575</v>
      </c>
      <c r="P33" s="10" t="s">
        <v>577</v>
      </c>
      <c r="Q33" s="10">
        <v>20411454</v>
      </c>
    </row>
    <row r="34" spans="1:17" ht="15" customHeight="1" x14ac:dyDescent="0.2">
      <c r="A34" s="13" t="s">
        <v>408</v>
      </c>
      <c r="B34" s="59" t="str">
        <f t="shared" si="0"/>
        <v>9FX4XK6RC901</v>
      </c>
      <c r="C34" s="49">
        <v>19370977101</v>
      </c>
      <c r="D34" s="49" t="s">
        <v>662</v>
      </c>
      <c r="E34" s="49" t="s">
        <v>53</v>
      </c>
      <c r="G34" s="49" t="s">
        <v>54</v>
      </c>
      <c r="H34" s="49" t="s">
        <v>448</v>
      </c>
      <c r="I34" s="50">
        <v>45597</v>
      </c>
      <c r="K34" s="52"/>
      <c r="L34" s="52">
        <v>2</v>
      </c>
      <c r="M34" s="42">
        <v>2</v>
      </c>
      <c r="N34" s="21" t="s">
        <v>387</v>
      </c>
      <c r="O34" s="10" t="s">
        <v>575</v>
      </c>
      <c r="P34" s="10" t="s">
        <v>577</v>
      </c>
      <c r="Q34" s="10">
        <v>20411454</v>
      </c>
    </row>
    <row r="35" spans="1:17" ht="15" customHeight="1" x14ac:dyDescent="0.2">
      <c r="A35" s="13" t="s">
        <v>409</v>
      </c>
      <c r="B35" s="59" t="str">
        <f t="shared" si="0"/>
        <v>9WF8K20RY621</v>
      </c>
      <c r="C35" s="49">
        <v>19496012601</v>
      </c>
      <c r="D35" s="49" t="s">
        <v>663</v>
      </c>
      <c r="E35" s="49" t="s">
        <v>316</v>
      </c>
      <c r="G35" s="49" t="s">
        <v>317</v>
      </c>
      <c r="H35" s="49" t="s">
        <v>580</v>
      </c>
      <c r="I35" s="50">
        <v>45627</v>
      </c>
      <c r="K35" s="52"/>
      <c r="L35" s="52">
        <v>2</v>
      </c>
      <c r="M35" s="42">
        <v>2</v>
      </c>
      <c r="N35" s="21" t="s">
        <v>387</v>
      </c>
      <c r="O35" s="10" t="s">
        <v>575</v>
      </c>
      <c r="P35" s="10" t="s">
        <v>577</v>
      </c>
      <c r="Q35" s="10">
        <v>20411454</v>
      </c>
    </row>
    <row r="36" spans="1:17" s="139" customFormat="1" ht="15" customHeight="1" x14ac:dyDescent="0.2">
      <c r="A36" s="109" t="s">
        <v>659</v>
      </c>
      <c r="B36" s="111" t="s">
        <v>659</v>
      </c>
      <c r="C36" s="111">
        <v>19923342001</v>
      </c>
      <c r="D36" s="111" t="s">
        <v>660</v>
      </c>
      <c r="E36" s="111" t="s">
        <v>364</v>
      </c>
      <c r="F36" s="112">
        <v>45628</v>
      </c>
      <c r="G36" s="111" t="s">
        <v>365</v>
      </c>
      <c r="H36" s="111" t="s">
        <v>636</v>
      </c>
      <c r="I36" s="115">
        <v>45658</v>
      </c>
      <c r="J36" s="138"/>
      <c r="K36" s="111" t="s">
        <v>62</v>
      </c>
      <c r="L36" s="116">
        <v>12</v>
      </c>
      <c r="M36" s="140">
        <v>12</v>
      </c>
      <c r="N36" s="118" t="s">
        <v>46</v>
      </c>
      <c r="O36" s="119" t="s">
        <v>576</v>
      </c>
      <c r="P36" s="111" t="s">
        <v>636</v>
      </c>
      <c r="Q36" s="119">
        <v>9079571</v>
      </c>
    </row>
    <row r="37" spans="1:17" ht="15" customHeight="1" x14ac:dyDescent="0.2">
      <c r="A37" s="13" t="s">
        <v>366</v>
      </c>
      <c r="B37" s="49" t="s">
        <v>366</v>
      </c>
      <c r="C37" s="48">
        <v>19922542601</v>
      </c>
      <c r="D37" s="49" t="s">
        <v>367</v>
      </c>
      <c r="E37" s="49" t="s">
        <v>364</v>
      </c>
      <c r="F37" s="37">
        <v>45628</v>
      </c>
      <c r="G37" s="49" t="s">
        <v>365</v>
      </c>
      <c r="H37" s="49" t="s">
        <v>636</v>
      </c>
      <c r="I37" s="50">
        <v>45658</v>
      </c>
      <c r="J37" s="51"/>
      <c r="K37" s="49" t="s">
        <v>62</v>
      </c>
      <c r="L37" s="52">
        <v>12</v>
      </c>
      <c r="M37" s="39">
        <v>12</v>
      </c>
      <c r="N37" s="21" t="s">
        <v>46</v>
      </c>
      <c r="O37" s="10" t="s">
        <v>576</v>
      </c>
      <c r="P37" s="49" t="s">
        <v>636</v>
      </c>
      <c r="Q37" s="10">
        <v>9079571</v>
      </c>
    </row>
    <row r="38" spans="1:17" ht="15" customHeight="1" x14ac:dyDescent="0.25">
      <c r="A38" s="13" t="s">
        <v>379</v>
      </c>
      <c r="B38" s="49" t="s">
        <v>379</v>
      </c>
      <c r="C38" s="48">
        <v>20113671001</v>
      </c>
      <c r="D38" s="49" t="s">
        <v>380</v>
      </c>
      <c r="E38" s="49" t="s">
        <v>364</v>
      </c>
      <c r="F38" s="37">
        <v>45667</v>
      </c>
      <c r="G38" s="49" t="s">
        <v>365</v>
      </c>
      <c r="H38" s="49" t="s">
        <v>636</v>
      </c>
      <c r="I38" s="50">
        <v>45717</v>
      </c>
      <c r="J38" s="79"/>
      <c r="K38" s="49" t="s">
        <v>62</v>
      </c>
      <c r="L38" s="52">
        <v>12</v>
      </c>
      <c r="M38" s="39">
        <v>10</v>
      </c>
      <c r="N38" s="21" t="s">
        <v>46</v>
      </c>
      <c r="O38" s="10" t="s">
        <v>576</v>
      </c>
      <c r="P38" s="49" t="s">
        <v>636</v>
      </c>
      <c r="Q38" s="10">
        <v>9079571</v>
      </c>
    </row>
    <row r="39" spans="1:17" ht="15" customHeight="1" x14ac:dyDescent="0.2">
      <c r="A39" s="13" t="s">
        <v>379</v>
      </c>
      <c r="B39" s="49" t="s">
        <v>379</v>
      </c>
      <c r="C39" s="48">
        <v>20113671001</v>
      </c>
      <c r="D39" s="49" t="s">
        <v>380</v>
      </c>
      <c r="E39" s="49" t="s">
        <v>364</v>
      </c>
      <c r="F39" s="37">
        <v>45667</v>
      </c>
      <c r="G39" s="49" t="s">
        <v>365</v>
      </c>
      <c r="H39" s="49" t="s">
        <v>636</v>
      </c>
      <c r="I39" s="50">
        <v>45717</v>
      </c>
      <c r="J39" s="51"/>
      <c r="K39" s="49" t="s">
        <v>44</v>
      </c>
      <c r="L39" s="52">
        <v>12</v>
      </c>
      <c r="M39" s="42">
        <v>14</v>
      </c>
      <c r="N39" s="21" t="s">
        <v>46</v>
      </c>
      <c r="O39" s="10" t="s">
        <v>576</v>
      </c>
      <c r="P39" s="49" t="s">
        <v>636</v>
      </c>
      <c r="Q39" s="10">
        <v>9079571</v>
      </c>
    </row>
    <row r="40" spans="1:17" ht="15" customHeight="1" x14ac:dyDescent="0.2">
      <c r="A40" s="13" t="s">
        <v>370</v>
      </c>
      <c r="B40" s="49" t="s">
        <v>370</v>
      </c>
      <c r="C40" s="48">
        <v>20127266301</v>
      </c>
      <c r="D40" s="49" t="s">
        <v>371</v>
      </c>
      <c r="E40" s="49" t="s">
        <v>49</v>
      </c>
      <c r="F40" s="37">
        <v>45678</v>
      </c>
      <c r="G40" s="49" t="s">
        <v>104</v>
      </c>
      <c r="H40" s="49" t="s">
        <v>496</v>
      </c>
      <c r="I40" s="50">
        <v>45717</v>
      </c>
      <c r="J40" s="51"/>
      <c r="K40" s="49" t="s">
        <v>62</v>
      </c>
      <c r="L40" s="52">
        <v>12</v>
      </c>
      <c r="M40" s="39">
        <v>10</v>
      </c>
      <c r="N40" s="21" t="s">
        <v>46</v>
      </c>
      <c r="O40" s="10" t="s">
        <v>576</v>
      </c>
      <c r="P40" s="49" t="s">
        <v>496</v>
      </c>
      <c r="Q40" s="10">
        <v>8325282</v>
      </c>
    </row>
    <row r="41" spans="1:17" ht="15" customHeight="1" x14ac:dyDescent="0.2">
      <c r="A41" s="13" t="s">
        <v>74</v>
      </c>
      <c r="B41" s="49" t="s">
        <v>74</v>
      </c>
      <c r="C41" s="48">
        <v>20111561501</v>
      </c>
      <c r="D41" s="49" t="s">
        <v>75</v>
      </c>
      <c r="E41" s="49" t="s">
        <v>49</v>
      </c>
      <c r="F41" s="37">
        <v>45665</v>
      </c>
      <c r="G41" s="49" t="s">
        <v>76</v>
      </c>
      <c r="H41" s="49" t="s">
        <v>494</v>
      </c>
      <c r="I41" s="50">
        <v>45689</v>
      </c>
      <c r="J41" s="51"/>
      <c r="K41" s="49" t="s">
        <v>44</v>
      </c>
      <c r="L41" s="52">
        <v>12</v>
      </c>
      <c r="M41" s="39">
        <v>11</v>
      </c>
      <c r="N41" s="21" t="s">
        <v>46</v>
      </c>
      <c r="O41" s="10" t="s">
        <v>576</v>
      </c>
      <c r="P41" s="49" t="s">
        <v>494</v>
      </c>
      <c r="Q41" s="10">
        <v>17094718</v>
      </c>
    </row>
    <row r="42" spans="1:17" ht="15" customHeight="1" x14ac:dyDescent="0.2">
      <c r="A42" s="13" t="s">
        <v>401</v>
      </c>
      <c r="B42" s="49" t="s">
        <v>401</v>
      </c>
      <c r="C42" s="48">
        <v>19374228501</v>
      </c>
      <c r="D42" s="49" t="s">
        <v>402</v>
      </c>
      <c r="E42" s="49" t="s">
        <v>49</v>
      </c>
      <c r="F42" s="11"/>
      <c r="G42" s="49" t="s">
        <v>76</v>
      </c>
      <c r="H42" s="49" t="s">
        <v>494</v>
      </c>
      <c r="I42" s="50">
        <v>45627</v>
      </c>
      <c r="J42" s="51"/>
      <c r="K42" s="51"/>
      <c r="L42" s="52">
        <v>12</v>
      </c>
      <c r="M42" s="42">
        <v>12</v>
      </c>
      <c r="N42" s="21" t="s">
        <v>396</v>
      </c>
      <c r="O42" s="10" t="s">
        <v>576</v>
      </c>
      <c r="P42" s="49" t="s">
        <v>494</v>
      </c>
      <c r="Q42" s="10">
        <v>17094718</v>
      </c>
    </row>
    <row r="43" spans="1:17" ht="15" customHeight="1" x14ac:dyDescent="0.2">
      <c r="A43" s="13" t="s">
        <v>372</v>
      </c>
      <c r="B43" s="49" t="s">
        <v>372</v>
      </c>
      <c r="C43" s="48">
        <v>19636649601</v>
      </c>
      <c r="D43" s="49" t="s">
        <v>373</v>
      </c>
      <c r="E43" s="49" t="s">
        <v>364</v>
      </c>
      <c r="F43" s="37">
        <v>45595</v>
      </c>
      <c r="G43" s="49" t="s">
        <v>73</v>
      </c>
      <c r="H43" s="49" t="s">
        <v>497</v>
      </c>
      <c r="I43" s="50">
        <v>45658</v>
      </c>
      <c r="J43" s="51"/>
      <c r="K43" s="49" t="s">
        <v>62</v>
      </c>
      <c r="L43" s="52">
        <v>0</v>
      </c>
      <c r="M43" s="39">
        <v>0</v>
      </c>
      <c r="N43" s="21" t="s">
        <v>46</v>
      </c>
      <c r="O43" s="10" t="s">
        <v>576</v>
      </c>
      <c r="P43" s="49" t="s">
        <v>497</v>
      </c>
      <c r="Q43" s="10">
        <v>15278437</v>
      </c>
    </row>
    <row r="44" spans="1:17" ht="15" customHeight="1" x14ac:dyDescent="0.2">
      <c r="A44" s="13" t="s">
        <v>375</v>
      </c>
      <c r="B44" s="49" t="s">
        <v>375</v>
      </c>
      <c r="C44" s="48">
        <v>20066975201</v>
      </c>
      <c r="D44" s="49" t="s">
        <v>376</v>
      </c>
      <c r="E44" s="49" t="s">
        <v>364</v>
      </c>
      <c r="F44" s="37">
        <v>45639</v>
      </c>
      <c r="G44" s="49" t="s">
        <v>73</v>
      </c>
      <c r="H44" s="49" t="s">
        <v>497</v>
      </c>
      <c r="I44" s="50">
        <v>45658</v>
      </c>
      <c r="J44" s="51"/>
      <c r="K44" s="49" t="s">
        <v>44</v>
      </c>
      <c r="L44" s="52">
        <v>12</v>
      </c>
      <c r="M44" s="39">
        <v>12</v>
      </c>
      <c r="N44" s="21" t="s">
        <v>46</v>
      </c>
      <c r="O44" s="10" t="s">
        <v>576</v>
      </c>
      <c r="P44" s="49" t="s">
        <v>497</v>
      </c>
      <c r="Q44" s="10">
        <v>15278437</v>
      </c>
    </row>
    <row r="45" spans="1:17" ht="15" customHeight="1" x14ac:dyDescent="0.2">
      <c r="A45" s="13" t="s">
        <v>375</v>
      </c>
      <c r="B45" s="49" t="s">
        <v>375</v>
      </c>
      <c r="C45" s="48">
        <v>20066975201</v>
      </c>
      <c r="D45" s="49" t="s">
        <v>376</v>
      </c>
      <c r="E45" s="49" t="s">
        <v>364</v>
      </c>
      <c r="F45" s="37">
        <v>45639</v>
      </c>
      <c r="G45" s="49" t="s">
        <v>73</v>
      </c>
      <c r="H45" s="49" t="s">
        <v>497</v>
      </c>
      <c r="I45" s="50">
        <v>45658</v>
      </c>
      <c r="J45" s="51"/>
      <c r="K45" s="49" t="s">
        <v>62</v>
      </c>
      <c r="L45" s="52">
        <v>12</v>
      </c>
      <c r="M45" s="39">
        <v>12</v>
      </c>
      <c r="N45" s="21" t="s">
        <v>46</v>
      </c>
      <c r="O45" s="10" t="s">
        <v>576</v>
      </c>
      <c r="P45" s="49" t="s">
        <v>497</v>
      </c>
      <c r="Q45" s="10">
        <v>15278437</v>
      </c>
    </row>
    <row r="46" spans="1:17" ht="15" customHeight="1" x14ac:dyDescent="0.2">
      <c r="A46" s="13" t="s">
        <v>245</v>
      </c>
      <c r="B46" s="49" t="s">
        <v>245</v>
      </c>
      <c r="C46" s="48">
        <v>20096701601</v>
      </c>
      <c r="D46" s="49" t="s">
        <v>246</v>
      </c>
      <c r="E46" s="49" t="s">
        <v>53</v>
      </c>
      <c r="F46" s="37">
        <v>45657</v>
      </c>
      <c r="G46" s="49" t="s">
        <v>73</v>
      </c>
      <c r="H46" s="49" t="s">
        <v>497</v>
      </c>
      <c r="I46" s="50">
        <v>45689</v>
      </c>
      <c r="J46" s="51"/>
      <c r="K46" s="49" t="s">
        <v>44</v>
      </c>
      <c r="L46" s="52">
        <v>12</v>
      </c>
      <c r="M46" s="42">
        <v>13</v>
      </c>
      <c r="N46" s="21" t="s">
        <v>46</v>
      </c>
      <c r="O46" s="10" t="s">
        <v>576</v>
      </c>
      <c r="P46" s="49" t="s">
        <v>497</v>
      </c>
      <c r="Q46" s="10">
        <v>15278437</v>
      </c>
    </row>
    <row r="47" spans="1:17" ht="15" customHeight="1" x14ac:dyDescent="0.2">
      <c r="A47" s="13" t="s">
        <v>383</v>
      </c>
      <c r="B47" s="49" t="s">
        <v>383</v>
      </c>
      <c r="C47" s="48">
        <v>19921743101</v>
      </c>
      <c r="D47" s="49" t="s">
        <v>384</v>
      </c>
      <c r="E47" s="49" t="s">
        <v>364</v>
      </c>
      <c r="F47" s="37">
        <v>45628</v>
      </c>
      <c r="G47" s="49" t="s">
        <v>73</v>
      </c>
      <c r="H47" s="49" t="s">
        <v>497</v>
      </c>
      <c r="I47" s="50">
        <v>45658</v>
      </c>
      <c r="J47" s="51"/>
      <c r="K47" s="49" t="s">
        <v>62</v>
      </c>
      <c r="L47" s="52">
        <v>12</v>
      </c>
      <c r="M47" s="42">
        <v>12</v>
      </c>
      <c r="N47" s="21" t="s">
        <v>46</v>
      </c>
      <c r="O47" s="10" t="s">
        <v>576</v>
      </c>
      <c r="P47" s="49" t="s">
        <v>497</v>
      </c>
      <c r="Q47" s="10">
        <v>15278437</v>
      </c>
    </row>
    <row r="48" spans="1:17" ht="15" customHeight="1" x14ac:dyDescent="0.2">
      <c r="A48" s="13" t="s">
        <v>394</v>
      </c>
      <c r="B48" s="49" t="s">
        <v>394</v>
      </c>
      <c r="C48" s="48">
        <v>19385991501</v>
      </c>
      <c r="D48" s="49" t="s">
        <v>395</v>
      </c>
      <c r="E48" s="49" t="s">
        <v>53</v>
      </c>
      <c r="F48" s="11"/>
      <c r="G48" s="49" t="s">
        <v>73</v>
      </c>
      <c r="H48" s="49" t="s">
        <v>497</v>
      </c>
      <c r="I48" s="50">
        <v>45597</v>
      </c>
      <c r="J48" s="51"/>
      <c r="K48" s="51"/>
      <c r="L48" s="52">
        <v>12</v>
      </c>
      <c r="M48" s="42">
        <v>12</v>
      </c>
      <c r="N48" s="21" t="s">
        <v>396</v>
      </c>
      <c r="O48" s="10" t="s">
        <v>576</v>
      </c>
      <c r="P48" s="49" t="s">
        <v>497</v>
      </c>
      <c r="Q48" s="10">
        <v>15278437</v>
      </c>
    </row>
    <row r="49" spans="1:17" ht="15" customHeight="1" x14ac:dyDescent="0.2">
      <c r="A49" s="65" t="s">
        <v>397</v>
      </c>
      <c r="B49" s="67" t="s">
        <v>397</v>
      </c>
      <c r="C49" s="66">
        <v>19824983101</v>
      </c>
      <c r="D49" s="67" t="s">
        <v>398</v>
      </c>
      <c r="E49" s="67" t="s">
        <v>316</v>
      </c>
      <c r="F49" s="11"/>
      <c r="G49" s="67" t="s">
        <v>317</v>
      </c>
      <c r="H49" s="67" t="s">
        <v>580</v>
      </c>
      <c r="I49" s="70">
        <v>45627</v>
      </c>
      <c r="J49" s="51"/>
      <c r="K49" s="71"/>
      <c r="L49" s="72">
        <v>12</v>
      </c>
      <c r="M49" s="73">
        <v>12</v>
      </c>
      <c r="N49" s="74" t="s">
        <v>396</v>
      </c>
      <c r="O49" s="10" t="s">
        <v>576</v>
      </c>
      <c r="P49" s="67" t="s">
        <v>580</v>
      </c>
      <c r="Q49" s="10">
        <v>6634327</v>
      </c>
    </row>
    <row r="50" spans="1:17" ht="15" customHeight="1" x14ac:dyDescent="0.2">
      <c r="A50" s="65" t="s">
        <v>409</v>
      </c>
      <c r="B50" s="67" t="s">
        <v>409</v>
      </c>
      <c r="C50" s="67">
        <v>19496012601</v>
      </c>
      <c r="D50" s="67" t="s">
        <v>663</v>
      </c>
      <c r="E50" s="67" t="s">
        <v>316</v>
      </c>
      <c r="G50" s="67" t="s">
        <v>317</v>
      </c>
      <c r="H50" s="67" t="s">
        <v>580</v>
      </c>
      <c r="I50" s="70">
        <v>45627</v>
      </c>
      <c r="K50" s="72"/>
      <c r="L50" s="72">
        <v>12</v>
      </c>
      <c r="M50" s="73">
        <v>12</v>
      </c>
      <c r="N50" s="74" t="s">
        <v>396</v>
      </c>
      <c r="O50" s="10" t="s">
        <v>576</v>
      </c>
      <c r="P50" s="67" t="s">
        <v>580</v>
      </c>
      <c r="Q50" s="10">
        <v>6634327</v>
      </c>
    </row>
    <row r="51" spans="1:17" ht="15" customHeight="1" x14ac:dyDescent="0.2">
      <c r="A51" s="13" t="s">
        <v>183</v>
      </c>
      <c r="B51" s="49" t="s">
        <v>183</v>
      </c>
      <c r="C51" s="48">
        <v>19866714901</v>
      </c>
      <c r="D51" s="49" t="s">
        <v>184</v>
      </c>
      <c r="E51" s="49" t="s">
        <v>53</v>
      </c>
      <c r="F51" s="37">
        <v>45621</v>
      </c>
      <c r="G51" s="49" t="s">
        <v>153</v>
      </c>
      <c r="H51" s="49" t="s">
        <v>581</v>
      </c>
      <c r="I51" s="50">
        <v>45658</v>
      </c>
      <c r="J51" s="50">
        <v>45688</v>
      </c>
      <c r="K51" s="49" t="s">
        <v>374</v>
      </c>
      <c r="L51" s="52">
        <v>12</v>
      </c>
      <c r="M51" s="39">
        <v>-11</v>
      </c>
      <c r="N51" s="21" t="s">
        <v>46</v>
      </c>
      <c r="O51" s="10" t="s">
        <v>576</v>
      </c>
      <c r="P51" s="49" t="s">
        <v>497</v>
      </c>
      <c r="Q51" s="10">
        <v>15278437</v>
      </c>
    </row>
    <row r="52" spans="1:17" ht="15" customHeight="1" x14ac:dyDescent="0.2">
      <c r="A52" s="13" t="s">
        <v>59</v>
      </c>
      <c r="B52" s="49" t="s">
        <v>59</v>
      </c>
      <c r="C52" s="48">
        <v>20108793901</v>
      </c>
      <c r="D52" s="49" t="s">
        <v>60</v>
      </c>
      <c r="E52" s="49" t="s">
        <v>49</v>
      </c>
      <c r="F52" s="37">
        <v>45664</v>
      </c>
      <c r="G52" s="49" t="s">
        <v>61</v>
      </c>
      <c r="H52" s="49" t="s">
        <v>495</v>
      </c>
      <c r="I52" s="50">
        <v>45689</v>
      </c>
      <c r="J52" s="51"/>
      <c r="K52" s="49" t="s">
        <v>44</v>
      </c>
      <c r="L52" s="52">
        <v>12</v>
      </c>
      <c r="M52" s="39">
        <v>13</v>
      </c>
      <c r="N52" s="21" t="s">
        <v>46</v>
      </c>
      <c r="O52" s="10" t="s">
        <v>576</v>
      </c>
      <c r="P52" s="49" t="s">
        <v>495</v>
      </c>
      <c r="Q52" s="10" t="s">
        <v>665</v>
      </c>
    </row>
    <row r="53" spans="1:17" ht="15" customHeight="1" x14ac:dyDescent="0.2">
      <c r="A53" s="13" t="s">
        <v>377</v>
      </c>
      <c r="B53" s="49" t="s">
        <v>377</v>
      </c>
      <c r="C53" s="48">
        <v>20142871101</v>
      </c>
      <c r="D53" s="49" t="s">
        <v>378</v>
      </c>
      <c r="E53" s="49" t="s">
        <v>49</v>
      </c>
      <c r="F53" s="37">
        <v>45688</v>
      </c>
      <c r="G53" s="49" t="s">
        <v>61</v>
      </c>
      <c r="H53" s="49" t="s">
        <v>495</v>
      </c>
      <c r="I53" s="50">
        <v>45717</v>
      </c>
      <c r="J53" s="51"/>
      <c r="K53" s="49" t="s">
        <v>62</v>
      </c>
      <c r="L53" s="52">
        <v>12</v>
      </c>
      <c r="M53" s="39">
        <v>10</v>
      </c>
      <c r="N53" s="21" t="s">
        <v>46</v>
      </c>
      <c r="O53" s="10" t="s">
        <v>576</v>
      </c>
      <c r="P53" s="49" t="s">
        <v>495</v>
      </c>
      <c r="Q53" s="10" t="s">
        <v>665</v>
      </c>
    </row>
    <row r="54" spans="1:17" ht="15" customHeight="1" x14ac:dyDescent="0.2">
      <c r="A54" s="13" t="s">
        <v>368</v>
      </c>
      <c r="B54" s="49" t="s">
        <v>368</v>
      </c>
      <c r="C54" s="48">
        <v>20124741801</v>
      </c>
      <c r="D54" s="49" t="s">
        <v>369</v>
      </c>
      <c r="E54" s="49" t="s">
        <v>49</v>
      </c>
      <c r="F54" s="37">
        <v>45674</v>
      </c>
      <c r="G54" s="49" t="s">
        <v>81</v>
      </c>
      <c r="H54" s="49" t="s">
        <v>449</v>
      </c>
      <c r="I54" s="50">
        <v>45689</v>
      </c>
      <c r="J54" s="51"/>
      <c r="K54" s="49" t="s">
        <v>62</v>
      </c>
      <c r="L54" s="52">
        <v>12</v>
      </c>
      <c r="M54" s="39">
        <v>11</v>
      </c>
      <c r="N54" s="21" t="s">
        <v>46</v>
      </c>
      <c r="O54" s="10" t="s">
        <v>576</v>
      </c>
      <c r="P54" s="49" t="s">
        <v>449</v>
      </c>
      <c r="Q54" s="10">
        <v>19200754</v>
      </c>
    </row>
    <row r="55" spans="1:17" ht="15" customHeight="1" x14ac:dyDescent="0.2">
      <c r="A55" s="27" t="s">
        <v>368</v>
      </c>
      <c r="B55" s="59" t="s">
        <v>368</v>
      </c>
      <c r="C55" s="58">
        <v>20124741801</v>
      </c>
      <c r="D55" s="59" t="s">
        <v>369</v>
      </c>
      <c r="E55" s="59" t="s">
        <v>49</v>
      </c>
      <c r="F55" s="37">
        <v>45674</v>
      </c>
      <c r="G55" s="59" t="s">
        <v>81</v>
      </c>
      <c r="H55" s="59" t="s">
        <v>449</v>
      </c>
      <c r="I55" s="60">
        <v>45689</v>
      </c>
      <c r="J55" s="51"/>
      <c r="K55" s="59" t="s">
        <v>44</v>
      </c>
      <c r="L55" s="62">
        <v>12</v>
      </c>
      <c r="M55" s="34">
        <v>13</v>
      </c>
      <c r="N55" s="35" t="s">
        <v>46</v>
      </c>
      <c r="O55" s="10" t="s">
        <v>576</v>
      </c>
      <c r="P55" s="59" t="s">
        <v>449</v>
      </c>
      <c r="Q55" s="10">
        <v>19200754</v>
      </c>
    </row>
    <row r="56" spans="1:17" ht="15" customHeight="1" x14ac:dyDescent="0.2">
      <c r="A56" s="13" t="s">
        <v>135</v>
      </c>
      <c r="B56" s="49" t="s">
        <v>135</v>
      </c>
      <c r="C56" s="48">
        <v>20117221001</v>
      </c>
      <c r="D56" s="49" t="s">
        <v>136</v>
      </c>
      <c r="E56" s="49" t="s">
        <v>49</v>
      </c>
      <c r="F56" s="37">
        <v>45670</v>
      </c>
      <c r="G56" s="49" t="s">
        <v>81</v>
      </c>
      <c r="H56" s="49" t="s">
        <v>449</v>
      </c>
      <c r="I56" s="50">
        <v>45717</v>
      </c>
      <c r="J56" s="51"/>
      <c r="K56" s="49" t="s">
        <v>44</v>
      </c>
      <c r="L56" s="52">
        <v>12</v>
      </c>
      <c r="M56" s="42">
        <v>14</v>
      </c>
      <c r="N56" s="21" t="s">
        <v>46</v>
      </c>
      <c r="O56" s="10" t="s">
        <v>576</v>
      </c>
      <c r="P56" s="49" t="s">
        <v>449</v>
      </c>
      <c r="Q56" s="10">
        <v>19200754</v>
      </c>
    </row>
    <row r="57" spans="1:17" ht="15" customHeight="1" x14ac:dyDescent="0.2">
      <c r="A57" s="13" t="s">
        <v>399</v>
      </c>
      <c r="B57" s="49" t="s">
        <v>399</v>
      </c>
      <c r="C57" s="48">
        <v>19650923601</v>
      </c>
      <c r="D57" s="49" t="s">
        <v>400</v>
      </c>
      <c r="E57" s="49" t="s">
        <v>49</v>
      </c>
      <c r="F57" s="11"/>
      <c r="G57" s="49" t="s">
        <v>43</v>
      </c>
      <c r="H57" s="49" t="s">
        <v>519</v>
      </c>
      <c r="I57" s="50">
        <v>45597</v>
      </c>
      <c r="J57" s="51"/>
      <c r="K57" s="51"/>
      <c r="L57" s="52">
        <v>12</v>
      </c>
      <c r="M57" s="42">
        <v>12</v>
      </c>
      <c r="N57" s="21" t="s">
        <v>396</v>
      </c>
      <c r="O57" s="10" t="s">
        <v>576</v>
      </c>
      <c r="P57" s="49" t="s">
        <v>519</v>
      </c>
      <c r="Q57" s="10">
        <v>19645587</v>
      </c>
    </row>
    <row r="58" spans="1:17" ht="15" customHeight="1" x14ac:dyDescent="0.2">
      <c r="A58" s="16" t="s">
        <v>125</v>
      </c>
      <c r="B58" s="54" t="s">
        <v>125</v>
      </c>
      <c r="C58" s="53">
        <v>20111583901</v>
      </c>
      <c r="D58" s="54" t="s">
        <v>126</v>
      </c>
      <c r="E58" s="54" t="s">
        <v>53</v>
      </c>
      <c r="F58" s="37">
        <v>45665</v>
      </c>
      <c r="G58" s="54" t="s">
        <v>127</v>
      </c>
      <c r="H58" s="54" t="s">
        <v>515</v>
      </c>
      <c r="I58" s="55">
        <v>45689</v>
      </c>
      <c r="J58" s="51"/>
      <c r="K58" s="54" t="s">
        <v>44</v>
      </c>
      <c r="L58" s="57">
        <v>12</v>
      </c>
      <c r="M58" s="46">
        <v>13</v>
      </c>
      <c r="N58" s="26" t="s">
        <v>46</v>
      </c>
      <c r="O58" s="10" t="s">
        <v>576</v>
      </c>
      <c r="P58" s="54" t="s">
        <v>515</v>
      </c>
      <c r="Q58" s="10">
        <v>16202925</v>
      </c>
    </row>
    <row r="59" spans="1:17" ht="15" customHeight="1" x14ac:dyDescent="0.2">
      <c r="A59" s="27" t="s">
        <v>139</v>
      </c>
      <c r="B59" s="59"/>
      <c r="C59" s="59"/>
      <c r="D59" s="59"/>
      <c r="E59" s="61"/>
      <c r="F59" s="61"/>
      <c r="G59" s="61"/>
      <c r="H59" s="61"/>
      <c r="I59" s="61"/>
      <c r="J59" s="61"/>
      <c r="K59" s="61"/>
      <c r="L59" s="61"/>
      <c r="M59" s="41">
        <v>291.17</v>
      </c>
      <c r="N59" s="32"/>
      <c r="O59" s="10"/>
      <c r="P59" s="10"/>
    </row>
    <row r="60" spans="1:17" ht="15" customHeight="1" x14ac:dyDescent="0.25">
      <c r="A60" s="19" t="s">
        <v>140</v>
      </c>
      <c r="B60" s="78"/>
      <c r="C60" s="78"/>
      <c r="D60" s="78"/>
      <c r="E60" s="79"/>
      <c r="F60" s="79"/>
      <c r="G60" s="79"/>
      <c r="H60" s="79"/>
      <c r="I60" s="79"/>
      <c r="J60" s="79"/>
      <c r="K60" s="79"/>
      <c r="L60" s="79"/>
      <c r="M60" s="12"/>
      <c r="N60" s="12"/>
      <c r="O60" s="10"/>
      <c r="P60" s="10"/>
    </row>
    <row r="61" spans="1:17" ht="15" customHeight="1" x14ac:dyDescent="0.2">
      <c r="A61" s="15" t="s">
        <v>141</v>
      </c>
      <c r="B61" s="63"/>
      <c r="C61" s="63" t="s">
        <v>142</v>
      </c>
      <c r="D61" s="63"/>
      <c r="E61" s="63"/>
      <c r="F61" s="63"/>
      <c r="G61" s="63"/>
      <c r="H61" s="63"/>
      <c r="I61" s="63"/>
      <c r="J61" s="63"/>
      <c r="K61" s="63"/>
      <c r="L61" s="63"/>
      <c r="M61" s="63"/>
      <c r="N61" s="63"/>
      <c r="O61" s="10"/>
      <c r="P61" s="10"/>
    </row>
    <row r="62" spans="1:17" ht="15" customHeight="1" x14ac:dyDescent="0.25">
      <c r="A62" s="15" t="s">
        <v>410</v>
      </c>
      <c r="B62" s="63"/>
      <c r="C62" s="63"/>
      <c r="D62" s="63"/>
      <c r="E62" s="63"/>
      <c r="F62" s="63"/>
      <c r="G62" s="79"/>
      <c r="H62" s="79"/>
      <c r="I62" s="79"/>
      <c r="J62" s="79"/>
      <c r="K62" s="79"/>
      <c r="L62" s="79"/>
      <c r="M62" s="12"/>
      <c r="N62" s="12"/>
      <c r="O62" s="10"/>
      <c r="P62" s="10"/>
    </row>
  </sheetData>
  <sortState xmlns:xlrd2="http://schemas.microsoft.com/office/spreadsheetml/2017/richdata2" ref="A36:AH58">
    <sortCondition ref="H36:H58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5ECA8-736C-4E8C-8EE0-26F8C88F6780}">
  <dimension ref="A1:Q18"/>
  <sheetViews>
    <sheetView workbookViewId="0">
      <selection activeCell="G15" sqref="G15"/>
    </sheetView>
  </sheetViews>
  <sheetFormatPr defaultRowHeight="15" customHeight="1" x14ac:dyDescent="0.2"/>
  <cols>
    <col min="1" max="1" width="17" customWidth="1"/>
    <col min="2" max="2" width="23" customWidth="1"/>
    <col min="3" max="3" width="13.6640625" customWidth="1"/>
    <col min="4" max="4" width="30.1640625" customWidth="1"/>
    <col min="6" max="6" width="11.1640625" bestFit="1" customWidth="1"/>
    <col min="8" max="8" width="21.83203125" customWidth="1"/>
    <col min="9" max="10" width="11.1640625" bestFit="1" customWidth="1"/>
    <col min="15" max="15" width="12.5" bestFit="1" customWidth="1"/>
    <col min="16" max="16" width="20.33203125" bestFit="1" customWidth="1"/>
    <col min="17" max="17" width="12.33203125" customWidth="1"/>
  </cols>
  <sheetData>
    <row r="1" spans="1:17" ht="15" customHeight="1" x14ac:dyDescent="0.2">
      <c r="A1" s="16" t="s">
        <v>29</v>
      </c>
      <c r="B1" s="16"/>
      <c r="C1" s="54" t="s">
        <v>30</v>
      </c>
      <c r="D1" s="54" t="s">
        <v>31</v>
      </c>
      <c r="E1" s="54" t="s">
        <v>32</v>
      </c>
      <c r="F1" s="16" t="s">
        <v>33</v>
      </c>
      <c r="G1" s="23" t="s">
        <v>34</v>
      </c>
      <c r="H1" s="23"/>
      <c r="I1" s="54" t="s">
        <v>35</v>
      </c>
      <c r="J1" s="54" t="s">
        <v>36</v>
      </c>
      <c r="K1" s="54" t="s">
        <v>37</v>
      </c>
      <c r="L1" s="54" t="s">
        <v>38</v>
      </c>
      <c r="M1" s="40" t="s">
        <v>28</v>
      </c>
      <c r="N1" s="26" t="s">
        <v>39</v>
      </c>
      <c r="O1" s="10"/>
      <c r="P1" s="10"/>
    </row>
    <row r="2" spans="1:17" ht="15" customHeight="1" x14ac:dyDescent="0.2">
      <c r="A2" s="27" t="s">
        <v>411</v>
      </c>
      <c r="B2" s="27" t="str">
        <f>CONCATENATE(A2,1)</f>
        <v>2T76M87DC561</v>
      </c>
      <c r="C2" s="58">
        <v>20211284301</v>
      </c>
      <c r="D2" s="59" t="s">
        <v>412</v>
      </c>
      <c r="E2" s="59" t="s">
        <v>53</v>
      </c>
      <c r="F2" s="29">
        <v>45743</v>
      </c>
      <c r="G2" s="30" t="s">
        <v>54</v>
      </c>
      <c r="H2" s="27" t="s">
        <v>448</v>
      </c>
      <c r="I2" s="60">
        <v>45778</v>
      </c>
      <c r="J2" s="61"/>
      <c r="K2" s="59" t="s">
        <v>44</v>
      </c>
      <c r="L2" s="62">
        <v>1</v>
      </c>
      <c r="M2" s="41">
        <v>1</v>
      </c>
      <c r="N2" s="35" t="s">
        <v>45</v>
      </c>
      <c r="O2" s="10" t="s">
        <v>575</v>
      </c>
      <c r="P2" s="10" t="s">
        <v>577</v>
      </c>
      <c r="Q2" s="10">
        <v>20411454</v>
      </c>
    </row>
    <row r="3" spans="1:17" ht="15" customHeight="1" x14ac:dyDescent="0.2">
      <c r="A3" s="13" t="s">
        <v>68</v>
      </c>
      <c r="B3" s="27" t="str">
        <f t="shared" ref="B3:B10" si="0">CONCATENATE(A3,1)</f>
        <v>8TP1CC6YR931</v>
      </c>
      <c r="C3" s="48">
        <v>20055281801</v>
      </c>
      <c r="D3" s="49" t="s">
        <v>69</v>
      </c>
      <c r="E3" s="49" t="s">
        <v>49</v>
      </c>
      <c r="F3" s="37">
        <v>45633</v>
      </c>
      <c r="G3" s="38" t="s">
        <v>70</v>
      </c>
      <c r="H3" s="13" t="s">
        <v>521</v>
      </c>
      <c r="I3" s="50">
        <v>45658</v>
      </c>
      <c r="J3" s="50">
        <v>45777</v>
      </c>
      <c r="K3" s="49" t="s">
        <v>413</v>
      </c>
      <c r="L3" s="52">
        <v>2</v>
      </c>
      <c r="M3" s="42">
        <v>-1.33</v>
      </c>
      <c r="N3" s="21" t="s">
        <v>45</v>
      </c>
      <c r="O3" s="10" t="s">
        <v>575</v>
      </c>
      <c r="P3" s="10" t="s">
        <v>577</v>
      </c>
      <c r="Q3" s="10">
        <v>20411454</v>
      </c>
    </row>
    <row r="4" spans="1:17" ht="15" customHeight="1" x14ac:dyDescent="0.2">
      <c r="A4" s="13" t="s">
        <v>68</v>
      </c>
      <c r="B4" s="27" t="str">
        <f t="shared" si="0"/>
        <v>8TP1CC6YR931</v>
      </c>
      <c r="C4" s="48">
        <v>20055281801</v>
      </c>
      <c r="D4" s="49" t="s">
        <v>69</v>
      </c>
      <c r="E4" s="49" t="s">
        <v>49</v>
      </c>
      <c r="F4" s="37">
        <v>45633</v>
      </c>
      <c r="G4" s="38" t="s">
        <v>70</v>
      </c>
      <c r="H4" s="13" t="s">
        <v>521</v>
      </c>
      <c r="I4" s="50">
        <v>45658</v>
      </c>
      <c r="J4" s="50">
        <v>45777</v>
      </c>
      <c r="K4" s="49" t="s">
        <v>413</v>
      </c>
      <c r="L4" s="52">
        <v>1</v>
      </c>
      <c r="M4" s="42">
        <v>-0.67</v>
      </c>
      <c r="N4" s="21" t="s">
        <v>45</v>
      </c>
      <c r="O4" s="10" t="s">
        <v>575</v>
      </c>
      <c r="P4" s="10" t="s">
        <v>577</v>
      </c>
      <c r="Q4" s="10">
        <v>20411454</v>
      </c>
    </row>
    <row r="5" spans="1:17" ht="15" customHeight="1" x14ac:dyDescent="0.2">
      <c r="A5" s="13" t="s">
        <v>414</v>
      </c>
      <c r="B5" s="27" t="str">
        <f t="shared" si="0"/>
        <v>7UQ1AP8CV271</v>
      </c>
      <c r="C5" s="48">
        <v>20186920301</v>
      </c>
      <c r="D5" s="49" t="s">
        <v>415</v>
      </c>
      <c r="E5" s="49" t="s">
        <v>53</v>
      </c>
      <c r="F5" s="37">
        <v>45721</v>
      </c>
      <c r="G5" s="38" t="s">
        <v>54</v>
      </c>
      <c r="H5" s="13" t="s">
        <v>448</v>
      </c>
      <c r="I5" s="50">
        <v>45748</v>
      </c>
      <c r="J5" s="51"/>
      <c r="K5" s="49" t="s">
        <v>44</v>
      </c>
      <c r="L5" s="52">
        <v>1</v>
      </c>
      <c r="M5" s="42">
        <v>1</v>
      </c>
      <c r="N5" s="21" t="s">
        <v>45</v>
      </c>
      <c r="O5" s="10" t="s">
        <v>575</v>
      </c>
      <c r="P5" s="10" t="s">
        <v>577</v>
      </c>
      <c r="Q5" s="10">
        <v>20411454</v>
      </c>
    </row>
    <row r="6" spans="1:17" ht="15" customHeight="1" x14ac:dyDescent="0.2">
      <c r="A6" s="13" t="s">
        <v>416</v>
      </c>
      <c r="B6" s="27" t="str">
        <f t="shared" si="0"/>
        <v>6MJ6A43VD601</v>
      </c>
      <c r="C6" s="48">
        <v>20202414701</v>
      </c>
      <c r="D6" s="49" t="s">
        <v>417</v>
      </c>
      <c r="E6" s="49" t="s">
        <v>53</v>
      </c>
      <c r="F6" s="37">
        <v>45736</v>
      </c>
      <c r="G6" s="38" t="s">
        <v>54</v>
      </c>
      <c r="H6" s="13" t="s">
        <v>448</v>
      </c>
      <c r="I6" s="50">
        <v>45809</v>
      </c>
      <c r="J6" s="51"/>
      <c r="K6" s="49" t="s">
        <v>44</v>
      </c>
      <c r="L6" s="52">
        <v>1</v>
      </c>
      <c r="M6" s="42">
        <v>1</v>
      </c>
      <c r="N6" s="21" t="s">
        <v>45</v>
      </c>
      <c r="O6" s="10" t="s">
        <v>575</v>
      </c>
      <c r="P6" s="10" t="s">
        <v>577</v>
      </c>
      <c r="Q6" s="10">
        <v>20411454</v>
      </c>
    </row>
    <row r="7" spans="1:17" ht="15" customHeight="1" x14ac:dyDescent="0.2">
      <c r="A7" s="13" t="s">
        <v>418</v>
      </c>
      <c r="B7" s="27" t="str">
        <f t="shared" si="0"/>
        <v>1K09XV8CY471</v>
      </c>
      <c r="C7" s="48">
        <v>20198484601</v>
      </c>
      <c r="D7" s="49" t="s">
        <v>419</v>
      </c>
      <c r="E7" s="49" t="s">
        <v>53</v>
      </c>
      <c r="F7" s="37">
        <v>45733</v>
      </c>
      <c r="G7" s="38" t="s">
        <v>54</v>
      </c>
      <c r="H7" s="13" t="s">
        <v>448</v>
      </c>
      <c r="I7" s="50">
        <v>45748</v>
      </c>
      <c r="J7" s="51"/>
      <c r="K7" s="49" t="s">
        <v>44</v>
      </c>
      <c r="L7" s="52">
        <v>1</v>
      </c>
      <c r="M7" s="42">
        <v>1</v>
      </c>
      <c r="N7" s="21" t="s">
        <v>45</v>
      </c>
      <c r="O7" s="10" t="s">
        <v>575</v>
      </c>
      <c r="P7" s="10" t="s">
        <v>577</v>
      </c>
      <c r="Q7" s="10">
        <v>20411454</v>
      </c>
    </row>
    <row r="8" spans="1:17" ht="15" customHeight="1" x14ac:dyDescent="0.2">
      <c r="A8" s="13" t="s">
        <v>420</v>
      </c>
      <c r="B8" s="27" t="str">
        <f t="shared" si="0"/>
        <v>2J12F45WQ211</v>
      </c>
      <c r="C8" s="48">
        <v>20201251401</v>
      </c>
      <c r="D8" s="49" t="s">
        <v>421</v>
      </c>
      <c r="E8" s="49" t="s">
        <v>158</v>
      </c>
      <c r="F8" s="37">
        <v>45735</v>
      </c>
      <c r="G8" s="38" t="s">
        <v>159</v>
      </c>
      <c r="H8" s="13" t="s">
        <v>578</v>
      </c>
      <c r="I8" s="50">
        <v>45748</v>
      </c>
      <c r="J8" s="51"/>
      <c r="K8" s="49" t="s">
        <v>44</v>
      </c>
      <c r="L8" s="52">
        <v>1</v>
      </c>
      <c r="M8" s="42">
        <v>1</v>
      </c>
      <c r="N8" s="21" t="s">
        <v>45</v>
      </c>
      <c r="O8" s="10" t="s">
        <v>575</v>
      </c>
      <c r="P8" s="10" t="s">
        <v>577</v>
      </c>
      <c r="Q8" s="10">
        <v>20411454</v>
      </c>
    </row>
    <row r="9" spans="1:17" ht="15" customHeight="1" x14ac:dyDescent="0.2">
      <c r="A9" s="13" t="s">
        <v>422</v>
      </c>
      <c r="B9" s="27" t="str">
        <f t="shared" si="0"/>
        <v>9AU9DN0CN441</v>
      </c>
      <c r="C9" s="48">
        <v>20201157301</v>
      </c>
      <c r="D9" s="49" t="s">
        <v>423</v>
      </c>
      <c r="E9" s="49" t="s">
        <v>53</v>
      </c>
      <c r="F9" s="37">
        <v>45735</v>
      </c>
      <c r="G9" s="38" t="s">
        <v>54</v>
      </c>
      <c r="H9" s="13" t="s">
        <v>448</v>
      </c>
      <c r="I9" s="50">
        <v>45748</v>
      </c>
      <c r="J9" s="51"/>
      <c r="K9" s="49" t="s">
        <v>44</v>
      </c>
      <c r="L9" s="52">
        <v>1</v>
      </c>
      <c r="M9" s="42">
        <v>1</v>
      </c>
      <c r="N9" s="21" t="s">
        <v>45</v>
      </c>
      <c r="O9" s="10" t="s">
        <v>575</v>
      </c>
      <c r="P9" s="10" t="s">
        <v>577</v>
      </c>
      <c r="Q9" s="10">
        <v>20411454</v>
      </c>
    </row>
    <row r="10" spans="1:17" ht="15" customHeight="1" x14ac:dyDescent="0.2">
      <c r="A10" s="65" t="s">
        <v>424</v>
      </c>
      <c r="B10" s="27" t="str">
        <f t="shared" si="0"/>
        <v>2TJ4F79KQ801</v>
      </c>
      <c r="C10" s="66">
        <v>20218149101</v>
      </c>
      <c r="D10" s="67" t="s">
        <v>425</v>
      </c>
      <c r="E10" s="67" t="s">
        <v>53</v>
      </c>
      <c r="F10" s="68">
        <v>45749</v>
      </c>
      <c r="G10" s="69" t="s">
        <v>163</v>
      </c>
      <c r="H10" s="65" t="s">
        <v>446</v>
      </c>
      <c r="I10" s="70">
        <v>45839</v>
      </c>
      <c r="J10" s="71"/>
      <c r="K10" s="67" t="s">
        <v>62</v>
      </c>
      <c r="L10" s="72">
        <v>2</v>
      </c>
      <c r="M10" s="73">
        <v>2</v>
      </c>
      <c r="N10" s="74" t="s">
        <v>45</v>
      </c>
      <c r="O10" s="10" t="s">
        <v>575</v>
      </c>
      <c r="P10" s="10" t="s">
        <v>577</v>
      </c>
      <c r="Q10" s="10">
        <v>20411454</v>
      </c>
    </row>
    <row r="11" spans="1:17" s="139" customFormat="1" ht="15" customHeight="1" x14ac:dyDescent="0.2">
      <c r="A11" s="141" t="s">
        <v>668</v>
      </c>
      <c r="B11" s="141" t="s">
        <v>668</v>
      </c>
      <c r="C11" s="110">
        <v>20055281801</v>
      </c>
      <c r="D11" s="111" t="s">
        <v>69</v>
      </c>
      <c r="E11" s="111" t="s">
        <v>49</v>
      </c>
      <c r="F11" s="112">
        <v>45633</v>
      </c>
      <c r="G11" s="113" t="s">
        <v>70</v>
      </c>
      <c r="H11" s="109" t="s">
        <v>521</v>
      </c>
      <c r="I11" s="115">
        <v>45658</v>
      </c>
      <c r="J11" s="115">
        <v>45777</v>
      </c>
      <c r="K11" s="111" t="s">
        <v>413</v>
      </c>
      <c r="L11" s="116">
        <v>12</v>
      </c>
      <c r="M11" s="117">
        <v>-8</v>
      </c>
      <c r="N11" s="118" t="s">
        <v>46</v>
      </c>
      <c r="O11" s="119" t="s">
        <v>576</v>
      </c>
      <c r="P11" s="109" t="s">
        <v>521</v>
      </c>
      <c r="Q11" s="119">
        <v>19106640</v>
      </c>
    </row>
    <row r="12" spans="1:17" ht="15" customHeight="1" x14ac:dyDescent="0.2">
      <c r="A12" s="13" t="s">
        <v>68</v>
      </c>
      <c r="B12" s="13" t="s">
        <v>68</v>
      </c>
      <c r="C12" s="48">
        <v>20055281801</v>
      </c>
      <c r="D12" s="49" t="s">
        <v>69</v>
      </c>
      <c r="E12" s="49" t="s">
        <v>49</v>
      </c>
      <c r="F12" s="37">
        <v>45633</v>
      </c>
      <c r="G12" s="38" t="s">
        <v>70</v>
      </c>
      <c r="H12" s="13" t="s">
        <v>521</v>
      </c>
      <c r="I12" s="50">
        <v>45658</v>
      </c>
      <c r="J12" s="50">
        <v>45777</v>
      </c>
      <c r="K12" s="49" t="s">
        <v>413</v>
      </c>
      <c r="L12" s="52">
        <v>12</v>
      </c>
      <c r="M12" s="42">
        <v>-8</v>
      </c>
      <c r="N12" s="21" t="s">
        <v>46</v>
      </c>
      <c r="O12" s="10" t="s">
        <v>576</v>
      </c>
      <c r="P12" s="13" t="s">
        <v>521</v>
      </c>
      <c r="Q12" s="10">
        <v>19106640</v>
      </c>
    </row>
    <row r="13" spans="1:17" ht="15" customHeight="1" x14ac:dyDescent="0.2">
      <c r="A13" s="13" t="s">
        <v>420</v>
      </c>
      <c r="B13" s="13" t="s">
        <v>420</v>
      </c>
      <c r="C13" s="48">
        <v>20201251401</v>
      </c>
      <c r="D13" s="49" t="s">
        <v>421</v>
      </c>
      <c r="E13" s="49" t="s">
        <v>158</v>
      </c>
      <c r="F13" s="37">
        <v>45735</v>
      </c>
      <c r="G13" s="38" t="s">
        <v>159</v>
      </c>
      <c r="H13" s="13" t="s">
        <v>578</v>
      </c>
      <c r="I13" s="50">
        <v>45748</v>
      </c>
      <c r="J13" s="51"/>
      <c r="K13" s="49" t="s">
        <v>44</v>
      </c>
      <c r="L13" s="52">
        <v>12</v>
      </c>
      <c r="M13" s="42">
        <v>15</v>
      </c>
      <c r="N13" s="21" t="s">
        <v>46</v>
      </c>
      <c r="O13" s="10" t="s">
        <v>576</v>
      </c>
      <c r="P13" s="13" t="s">
        <v>578</v>
      </c>
      <c r="Q13" s="10">
        <v>16212649</v>
      </c>
    </row>
    <row r="14" spans="1:17" ht="15" customHeight="1" x14ac:dyDescent="0.2">
      <c r="A14" s="16" t="s">
        <v>424</v>
      </c>
      <c r="B14" s="16" t="s">
        <v>424</v>
      </c>
      <c r="C14" s="53">
        <v>20218149101</v>
      </c>
      <c r="D14" s="54" t="s">
        <v>425</v>
      </c>
      <c r="E14" s="54" t="s">
        <v>53</v>
      </c>
      <c r="F14" s="43">
        <v>45749</v>
      </c>
      <c r="G14" s="23" t="s">
        <v>163</v>
      </c>
      <c r="H14" s="16" t="s">
        <v>446</v>
      </c>
      <c r="I14" s="55">
        <v>45839</v>
      </c>
      <c r="J14" s="56"/>
      <c r="K14" s="54" t="s">
        <v>62</v>
      </c>
      <c r="L14" s="57">
        <v>12</v>
      </c>
      <c r="M14" s="46">
        <v>6</v>
      </c>
      <c r="N14" s="26" t="s">
        <v>46</v>
      </c>
      <c r="O14" s="10" t="s">
        <v>576</v>
      </c>
      <c r="P14" s="16" t="s">
        <v>446</v>
      </c>
      <c r="Q14" s="10" t="s">
        <v>667</v>
      </c>
    </row>
    <row r="15" spans="1:17" ht="15" customHeight="1" x14ac:dyDescent="0.2">
      <c r="A15" s="59" t="s">
        <v>139</v>
      </c>
      <c r="B15" s="59"/>
      <c r="C15" s="59"/>
      <c r="D15" s="59"/>
      <c r="E15" s="61"/>
      <c r="F15" s="32"/>
      <c r="G15" s="32"/>
      <c r="H15" s="32"/>
      <c r="I15" s="61"/>
      <c r="J15" s="61"/>
      <c r="K15" s="61"/>
      <c r="L15" s="61"/>
      <c r="M15" s="41">
        <v>11</v>
      </c>
      <c r="N15" s="32"/>
      <c r="O15" s="10"/>
      <c r="P15" s="10"/>
    </row>
    <row r="16" spans="1:17" ht="15" customHeight="1" x14ac:dyDescent="0.25">
      <c r="A16" s="78" t="s">
        <v>140</v>
      </c>
      <c r="B16" s="78"/>
      <c r="C16" s="78"/>
      <c r="D16" s="79"/>
      <c r="E16" s="79"/>
      <c r="F16" s="12"/>
      <c r="G16" s="12"/>
      <c r="H16" s="12"/>
      <c r="I16" s="79"/>
      <c r="J16" s="79"/>
      <c r="K16" s="79"/>
      <c r="L16" s="79"/>
      <c r="M16" s="12"/>
      <c r="N16" s="12"/>
      <c r="O16" s="10"/>
      <c r="P16" s="10"/>
    </row>
    <row r="17" spans="1:16" ht="15" customHeight="1" x14ac:dyDescent="0.2">
      <c r="A17" s="63" t="s">
        <v>141</v>
      </c>
      <c r="B17" s="63"/>
      <c r="C17" s="63" t="s">
        <v>142</v>
      </c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10"/>
      <c r="P17" s="10"/>
    </row>
    <row r="18" spans="1:16" ht="15" customHeight="1" x14ac:dyDescent="0.2">
      <c r="A18" s="63" t="s">
        <v>143</v>
      </c>
      <c r="B18" s="63"/>
      <c r="C18" s="63" t="s">
        <v>144</v>
      </c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10"/>
      <c r="P18" s="10"/>
    </row>
  </sheetData>
  <sortState xmlns:xlrd2="http://schemas.microsoft.com/office/spreadsheetml/2017/richdata2" ref="A2:AG14">
    <sortCondition ref="N2:N14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9D00D-6D70-4BDF-B63F-A7A7B5007360}">
  <dimension ref="A1:P13"/>
  <sheetViews>
    <sheetView workbookViewId="0">
      <selection activeCell="E19" sqref="E19"/>
    </sheetView>
  </sheetViews>
  <sheetFormatPr defaultRowHeight="15" customHeight="1" x14ac:dyDescent="0.2"/>
  <cols>
    <col min="1" max="1" width="9.33203125" style="10"/>
    <col min="2" max="2" width="22.6640625" style="10" customWidth="1"/>
    <col min="3" max="3" width="16" style="10" bestFit="1" customWidth="1"/>
    <col min="4" max="4" width="27.5" style="10" customWidth="1"/>
    <col min="5" max="5" width="9.33203125" style="10"/>
    <col min="6" max="6" width="11.1640625" style="10" bestFit="1" customWidth="1"/>
    <col min="7" max="7" width="9.33203125" style="10"/>
    <col min="8" max="8" width="26.5" style="10" customWidth="1"/>
    <col min="9" max="9" width="11.1640625" style="10" bestFit="1" customWidth="1"/>
    <col min="10" max="13" width="9.33203125" style="10"/>
    <col min="14" max="14" width="12.5" style="10" bestFit="1" customWidth="1"/>
    <col min="15" max="15" width="24.5" style="76" customWidth="1"/>
    <col min="16" max="16" width="13.33203125" style="10" customWidth="1"/>
    <col min="17" max="16384" width="9.33203125" style="10"/>
  </cols>
  <sheetData>
    <row r="1" spans="1:16" ht="15" customHeight="1" x14ac:dyDescent="0.2">
      <c r="A1" s="16" t="s">
        <v>29</v>
      </c>
      <c r="B1" s="16"/>
      <c r="C1" s="54" t="s">
        <v>30</v>
      </c>
      <c r="D1" s="54" t="s">
        <v>31</v>
      </c>
      <c r="E1" s="54" t="s">
        <v>32</v>
      </c>
      <c r="F1" s="16" t="s">
        <v>33</v>
      </c>
      <c r="G1" s="23" t="s">
        <v>34</v>
      </c>
      <c r="H1" s="16"/>
      <c r="I1" s="54" t="s">
        <v>35</v>
      </c>
      <c r="J1" s="54" t="s">
        <v>406</v>
      </c>
      <c r="K1" s="54" t="s">
        <v>38</v>
      </c>
      <c r="L1" s="40" t="s">
        <v>28</v>
      </c>
      <c r="M1" s="26" t="s">
        <v>39</v>
      </c>
    </row>
    <row r="2" spans="1:16" ht="15" customHeight="1" x14ac:dyDescent="0.2">
      <c r="A2" s="27" t="s">
        <v>411</v>
      </c>
      <c r="B2" s="27" t="str">
        <f>CONCATENATE(A2,1)</f>
        <v>2T76M87DC561</v>
      </c>
      <c r="C2" s="58">
        <v>20211284301</v>
      </c>
      <c r="D2" s="59" t="s">
        <v>412</v>
      </c>
      <c r="E2" s="59" t="s">
        <v>53</v>
      </c>
      <c r="F2" s="29">
        <v>45743</v>
      </c>
      <c r="G2" s="30" t="s">
        <v>54</v>
      </c>
      <c r="H2" s="27" t="s">
        <v>448</v>
      </c>
      <c r="I2" s="60">
        <v>45778</v>
      </c>
      <c r="J2" s="59" t="s">
        <v>62</v>
      </c>
      <c r="K2" s="62">
        <v>2</v>
      </c>
      <c r="L2" s="41">
        <v>2</v>
      </c>
      <c r="M2" s="35" t="s">
        <v>45</v>
      </c>
      <c r="N2" s="10" t="s">
        <v>575</v>
      </c>
      <c r="O2" s="76" t="s">
        <v>577</v>
      </c>
      <c r="P2" s="10">
        <v>20411454</v>
      </c>
    </row>
    <row r="3" spans="1:16" ht="15" customHeight="1" x14ac:dyDescent="0.2">
      <c r="A3" s="13" t="s">
        <v>426</v>
      </c>
      <c r="B3" s="27" t="str">
        <f t="shared" ref="B3:B7" si="0">CONCATENATE(A3,1)</f>
        <v>1TT0WT5DF271</v>
      </c>
      <c r="C3" s="48">
        <v>20216697101</v>
      </c>
      <c r="D3" s="49" t="s">
        <v>427</v>
      </c>
      <c r="E3" s="49" t="s">
        <v>53</v>
      </c>
      <c r="F3" s="37">
        <v>45748</v>
      </c>
      <c r="G3" s="38" t="s">
        <v>54</v>
      </c>
      <c r="H3" s="13" t="s">
        <v>448</v>
      </c>
      <c r="I3" s="50">
        <v>45778</v>
      </c>
      <c r="J3" s="49" t="s">
        <v>62</v>
      </c>
      <c r="K3" s="52">
        <v>2</v>
      </c>
      <c r="L3" s="42">
        <v>2</v>
      </c>
      <c r="M3" s="21" t="s">
        <v>45</v>
      </c>
      <c r="N3" s="10" t="s">
        <v>575</v>
      </c>
      <c r="O3" s="76" t="s">
        <v>577</v>
      </c>
      <c r="P3" s="10">
        <v>20411454</v>
      </c>
    </row>
    <row r="4" spans="1:16" ht="15" customHeight="1" x14ac:dyDescent="0.2">
      <c r="A4" s="13" t="s">
        <v>416</v>
      </c>
      <c r="B4" s="27" t="str">
        <f t="shared" si="0"/>
        <v>6MJ6A43VD601</v>
      </c>
      <c r="C4" s="48">
        <v>20202414701</v>
      </c>
      <c r="D4" s="49" t="s">
        <v>417</v>
      </c>
      <c r="E4" s="49" t="s">
        <v>53</v>
      </c>
      <c r="F4" s="37">
        <v>45736</v>
      </c>
      <c r="G4" s="38" t="s">
        <v>54</v>
      </c>
      <c r="H4" s="13" t="s">
        <v>448</v>
      </c>
      <c r="I4" s="50">
        <v>45809</v>
      </c>
      <c r="J4" s="49" t="s">
        <v>62</v>
      </c>
      <c r="K4" s="52">
        <v>2</v>
      </c>
      <c r="L4" s="42">
        <v>2</v>
      </c>
      <c r="M4" s="21" t="s">
        <v>45</v>
      </c>
      <c r="N4" s="10" t="s">
        <v>575</v>
      </c>
      <c r="O4" s="76" t="s">
        <v>577</v>
      </c>
      <c r="P4" s="10">
        <v>20411454</v>
      </c>
    </row>
    <row r="5" spans="1:16" ht="15" customHeight="1" x14ac:dyDescent="0.2">
      <c r="A5" s="13" t="s">
        <v>420</v>
      </c>
      <c r="B5" s="27" t="str">
        <f t="shared" si="0"/>
        <v>2J12F45WQ211</v>
      </c>
      <c r="C5" s="48">
        <v>20201251401</v>
      </c>
      <c r="D5" s="49" t="s">
        <v>421</v>
      </c>
      <c r="E5" s="49" t="s">
        <v>158</v>
      </c>
      <c r="F5" s="37">
        <v>45735</v>
      </c>
      <c r="G5" s="38" t="s">
        <v>159</v>
      </c>
      <c r="H5" s="13" t="s">
        <v>578</v>
      </c>
      <c r="I5" s="50">
        <v>45748</v>
      </c>
      <c r="J5" s="49" t="s">
        <v>62</v>
      </c>
      <c r="K5" s="52">
        <v>2</v>
      </c>
      <c r="L5" s="42">
        <v>2</v>
      </c>
      <c r="M5" s="21" t="s">
        <v>45</v>
      </c>
      <c r="N5" s="10" t="s">
        <v>575</v>
      </c>
      <c r="O5" s="76" t="s">
        <v>577</v>
      </c>
      <c r="P5" s="10">
        <v>20411454</v>
      </c>
    </row>
    <row r="6" spans="1:16" ht="15" customHeight="1" x14ac:dyDescent="0.2">
      <c r="A6" s="13" t="s">
        <v>422</v>
      </c>
      <c r="B6" s="27" t="str">
        <f t="shared" si="0"/>
        <v>9AU9DN0CN441</v>
      </c>
      <c r="C6" s="48">
        <v>20201157301</v>
      </c>
      <c r="D6" s="49" t="s">
        <v>423</v>
      </c>
      <c r="E6" s="49" t="s">
        <v>53</v>
      </c>
      <c r="F6" s="37">
        <v>45735</v>
      </c>
      <c r="G6" s="38" t="s">
        <v>54</v>
      </c>
      <c r="H6" s="13" t="s">
        <v>448</v>
      </c>
      <c r="I6" s="50">
        <v>45748</v>
      </c>
      <c r="J6" s="49" t="s">
        <v>62</v>
      </c>
      <c r="K6" s="52">
        <v>2</v>
      </c>
      <c r="L6" s="42">
        <v>2</v>
      </c>
      <c r="M6" s="21" t="s">
        <v>45</v>
      </c>
      <c r="N6" s="10" t="s">
        <v>575</v>
      </c>
      <c r="O6" s="76" t="s">
        <v>577</v>
      </c>
      <c r="P6" s="10">
        <v>20411454</v>
      </c>
    </row>
    <row r="7" spans="1:16" ht="15" customHeight="1" x14ac:dyDescent="0.2">
      <c r="A7" s="13" t="s">
        <v>428</v>
      </c>
      <c r="B7" s="27" t="str">
        <f t="shared" si="0"/>
        <v>3HH4G97CN841</v>
      </c>
      <c r="C7" s="48">
        <v>20215938001</v>
      </c>
      <c r="D7" s="49" t="s">
        <v>429</v>
      </c>
      <c r="E7" s="49" t="s">
        <v>53</v>
      </c>
      <c r="F7" s="37">
        <v>45747</v>
      </c>
      <c r="G7" s="38" t="s">
        <v>127</v>
      </c>
      <c r="H7" s="13" t="s">
        <v>515</v>
      </c>
      <c r="I7" s="50">
        <v>45778</v>
      </c>
      <c r="J7" s="49" t="s">
        <v>62</v>
      </c>
      <c r="K7" s="52">
        <v>2</v>
      </c>
      <c r="L7" s="42">
        <v>2</v>
      </c>
      <c r="M7" s="21" t="s">
        <v>45</v>
      </c>
      <c r="N7" s="10" t="s">
        <v>575</v>
      </c>
      <c r="O7" s="76" t="s">
        <v>577</v>
      </c>
      <c r="P7" s="10">
        <v>20411454</v>
      </c>
    </row>
    <row r="8" spans="1:16" s="119" customFormat="1" ht="15" customHeight="1" x14ac:dyDescent="0.2">
      <c r="A8" s="109" t="s">
        <v>420</v>
      </c>
      <c r="B8" s="109" t="s">
        <v>420</v>
      </c>
      <c r="C8" s="110">
        <v>20201251401</v>
      </c>
      <c r="D8" s="111" t="s">
        <v>421</v>
      </c>
      <c r="E8" s="111" t="s">
        <v>158</v>
      </c>
      <c r="F8" s="112">
        <v>45735</v>
      </c>
      <c r="G8" s="113" t="s">
        <v>159</v>
      </c>
      <c r="H8" s="109" t="s">
        <v>578</v>
      </c>
      <c r="I8" s="115">
        <v>45748</v>
      </c>
      <c r="J8" s="111" t="s">
        <v>62</v>
      </c>
      <c r="K8" s="116">
        <v>12</v>
      </c>
      <c r="L8" s="117">
        <v>9</v>
      </c>
      <c r="M8" s="118" t="s">
        <v>46</v>
      </c>
      <c r="N8" s="119" t="s">
        <v>576</v>
      </c>
      <c r="O8" s="111" t="s">
        <v>578</v>
      </c>
      <c r="P8" s="119">
        <v>16212649</v>
      </c>
    </row>
    <row r="9" spans="1:16" ht="15" customHeight="1" x14ac:dyDescent="0.2">
      <c r="A9" s="16" t="s">
        <v>428</v>
      </c>
      <c r="B9" s="16" t="s">
        <v>428</v>
      </c>
      <c r="C9" s="53">
        <v>20215938001</v>
      </c>
      <c r="D9" s="54" t="s">
        <v>429</v>
      </c>
      <c r="E9" s="54" t="s">
        <v>53</v>
      </c>
      <c r="F9" s="43">
        <v>45747</v>
      </c>
      <c r="G9" s="23" t="s">
        <v>127</v>
      </c>
      <c r="H9" s="16" t="s">
        <v>515</v>
      </c>
      <c r="I9" s="55">
        <v>45778</v>
      </c>
      <c r="J9" s="54" t="s">
        <v>62</v>
      </c>
      <c r="K9" s="57">
        <v>12</v>
      </c>
      <c r="L9" s="46">
        <v>8</v>
      </c>
      <c r="M9" s="26" t="s">
        <v>46</v>
      </c>
      <c r="N9" s="10" t="s">
        <v>576</v>
      </c>
      <c r="O9" s="54" t="s">
        <v>515</v>
      </c>
      <c r="P9" s="10">
        <v>16202925</v>
      </c>
    </row>
    <row r="10" spans="1:16" ht="15" customHeight="1" x14ac:dyDescent="0.2">
      <c r="A10" s="59" t="s">
        <v>139</v>
      </c>
      <c r="B10" s="59"/>
      <c r="C10" s="59"/>
      <c r="D10" s="59"/>
      <c r="E10" s="61"/>
      <c r="F10" s="32"/>
      <c r="G10" s="32"/>
      <c r="H10" s="32"/>
      <c r="I10" s="61"/>
      <c r="J10" s="61"/>
      <c r="K10" s="61"/>
      <c r="L10" s="41">
        <v>29</v>
      </c>
      <c r="M10" s="32"/>
    </row>
    <row r="11" spans="1:16" ht="15" customHeight="1" x14ac:dyDescent="0.25">
      <c r="A11" s="78" t="s">
        <v>140</v>
      </c>
      <c r="B11" s="78"/>
      <c r="C11" s="78"/>
      <c r="D11" s="79"/>
      <c r="E11" s="79"/>
      <c r="F11" s="12"/>
      <c r="G11" s="12"/>
      <c r="H11" s="12"/>
      <c r="I11" s="79"/>
      <c r="J11" s="79"/>
      <c r="K11" s="79"/>
      <c r="L11" s="12"/>
      <c r="M11" s="12"/>
    </row>
    <row r="12" spans="1:16" ht="15" customHeight="1" x14ac:dyDescent="0.2">
      <c r="A12" s="63" t="s">
        <v>141</v>
      </c>
      <c r="B12" s="63"/>
      <c r="C12" s="63" t="s">
        <v>142</v>
      </c>
      <c r="D12" s="63"/>
      <c r="E12" s="63"/>
      <c r="F12" s="63"/>
      <c r="G12" s="63"/>
      <c r="H12" s="15"/>
      <c r="I12" s="63"/>
      <c r="J12" s="63"/>
      <c r="K12" s="63"/>
      <c r="L12" s="63"/>
      <c r="M12" s="63"/>
    </row>
    <row r="13" spans="1:16" ht="15" customHeight="1" x14ac:dyDescent="0.2">
      <c r="A13" s="63" t="s">
        <v>143</v>
      </c>
      <c r="B13" s="63"/>
      <c r="C13" s="63" t="s">
        <v>144</v>
      </c>
      <c r="D13" s="63"/>
      <c r="E13" s="63"/>
      <c r="F13" s="63"/>
      <c r="G13" s="63"/>
      <c r="H13" s="15"/>
      <c r="I13" s="63"/>
      <c r="J13" s="63"/>
      <c r="K13" s="63"/>
      <c r="L13" s="63"/>
      <c r="M13" s="63"/>
    </row>
  </sheetData>
  <sortState xmlns:xlrd2="http://schemas.microsoft.com/office/spreadsheetml/2017/richdata2" ref="A2:AE9">
    <sortCondition ref="M2:M9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42A96-9518-4844-BA92-1BC7AAB72C35}">
  <dimension ref="A1:E263"/>
  <sheetViews>
    <sheetView workbookViewId="0">
      <selection activeCell="I14" sqref="I14"/>
    </sheetView>
  </sheetViews>
  <sheetFormatPr defaultRowHeight="15" customHeight="1" x14ac:dyDescent="0.2"/>
  <cols>
    <col min="1" max="1" width="23.5" style="100" customWidth="1"/>
    <col min="2" max="2" width="30.33203125" style="100" customWidth="1"/>
    <col min="3" max="4" width="9.33203125" style="100"/>
    <col min="5" max="5" width="20" style="100" bestFit="1" customWidth="1"/>
    <col min="6" max="16384" width="9.33203125" style="100"/>
  </cols>
  <sheetData>
    <row r="1" spans="1:5" ht="15" customHeight="1" x14ac:dyDescent="0.25">
      <c r="A1" s="99" t="s">
        <v>584</v>
      </c>
      <c r="B1" s="99" t="s">
        <v>632</v>
      </c>
    </row>
    <row r="2" spans="1:5" ht="15" customHeight="1" x14ac:dyDescent="0.25">
      <c r="A2" s="99" t="s">
        <v>585</v>
      </c>
      <c r="B2" s="99" t="s">
        <v>633</v>
      </c>
      <c r="D2" s="30" t="s">
        <v>54</v>
      </c>
      <c r="E2" s="100" t="str">
        <f>VLOOKUP(D2,A:B,2,FALSE)</f>
        <v>TIMOTHY POWERS</v>
      </c>
    </row>
    <row r="3" spans="1:5" ht="15" customHeight="1" x14ac:dyDescent="0.25">
      <c r="A3" s="99" t="s">
        <v>586</v>
      </c>
      <c r="B3" s="99" t="s">
        <v>634</v>
      </c>
      <c r="D3" s="38" t="s">
        <v>54</v>
      </c>
      <c r="E3" s="100" t="str">
        <f t="shared" ref="E3:E66" si="0">VLOOKUP(D3,A:B,2,FALSE)</f>
        <v>TIMOTHY POWERS</v>
      </c>
    </row>
    <row r="4" spans="1:5" ht="15" customHeight="1" x14ac:dyDescent="0.25">
      <c r="A4" s="99" t="s">
        <v>587</v>
      </c>
      <c r="B4" s="99" t="s">
        <v>515</v>
      </c>
      <c r="D4" s="38" t="s">
        <v>54</v>
      </c>
      <c r="E4" s="100" t="str">
        <f t="shared" si="0"/>
        <v>TIMOTHY POWERS</v>
      </c>
    </row>
    <row r="5" spans="1:5" ht="15" customHeight="1" x14ac:dyDescent="0.25">
      <c r="A5" s="99" t="s">
        <v>588</v>
      </c>
      <c r="B5" s="99" t="s">
        <v>579</v>
      </c>
      <c r="D5" s="38" t="s">
        <v>159</v>
      </c>
      <c r="E5" s="100" t="str">
        <f t="shared" si="0"/>
        <v>MURRAY STERNER</v>
      </c>
    </row>
    <row r="6" spans="1:5" ht="15" customHeight="1" x14ac:dyDescent="0.25">
      <c r="A6" s="99" t="s">
        <v>589</v>
      </c>
      <c r="B6" s="99" t="s">
        <v>635</v>
      </c>
      <c r="D6" s="38" t="s">
        <v>159</v>
      </c>
      <c r="E6" s="100" t="str">
        <f t="shared" si="0"/>
        <v>MURRAY STERNER</v>
      </c>
    </row>
    <row r="7" spans="1:5" ht="15" customHeight="1" x14ac:dyDescent="0.25">
      <c r="A7" s="99" t="s">
        <v>590</v>
      </c>
      <c r="B7" s="99" t="s">
        <v>448</v>
      </c>
      <c r="D7" s="38" t="s">
        <v>54</v>
      </c>
      <c r="E7" s="100" t="str">
        <f t="shared" si="0"/>
        <v>TIMOTHY POWERS</v>
      </c>
    </row>
    <row r="8" spans="1:5" ht="15" customHeight="1" x14ac:dyDescent="0.25">
      <c r="A8" s="99" t="s">
        <v>591</v>
      </c>
      <c r="B8" s="99" t="s">
        <v>636</v>
      </c>
      <c r="D8" s="38" t="s">
        <v>127</v>
      </c>
      <c r="E8" s="100" t="str">
        <f t="shared" si="0"/>
        <v>THOMAS KUCAN</v>
      </c>
    </row>
    <row r="9" spans="1:5" ht="15" customHeight="1" x14ac:dyDescent="0.25">
      <c r="A9" s="99" t="s">
        <v>592</v>
      </c>
      <c r="B9" s="99" t="s">
        <v>637</v>
      </c>
      <c r="D9" s="23" t="s">
        <v>127</v>
      </c>
      <c r="E9" s="100" t="str">
        <f t="shared" si="0"/>
        <v>THOMAS KUCAN</v>
      </c>
    </row>
    <row r="10" spans="1:5" ht="15" customHeight="1" x14ac:dyDescent="0.25">
      <c r="A10" s="99" t="s">
        <v>593</v>
      </c>
      <c r="B10" s="99" t="s">
        <v>578</v>
      </c>
      <c r="D10" s="38"/>
    </row>
    <row r="11" spans="1:5" ht="15" customHeight="1" x14ac:dyDescent="0.25">
      <c r="A11" s="99" t="s">
        <v>594</v>
      </c>
      <c r="B11" s="99" t="s">
        <v>497</v>
      </c>
      <c r="D11" s="38"/>
    </row>
    <row r="12" spans="1:5" ht="15" customHeight="1" x14ac:dyDescent="0.25">
      <c r="A12" s="99" t="s">
        <v>595</v>
      </c>
      <c r="B12" s="99" t="s">
        <v>495</v>
      </c>
      <c r="D12" s="38"/>
    </row>
    <row r="13" spans="1:5" ht="15" customHeight="1" x14ac:dyDescent="0.25">
      <c r="A13" s="99" t="s">
        <v>596</v>
      </c>
      <c r="B13" s="99" t="s">
        <v>638</v>
      </c>
      <c r="D13" s="38"/>
    </row>
    <row r="14" spans="1:5" ht="15" customHeight="1" x14ac:dyDescent="0.25">
      <c r="A14" s="99" t="s">
        <v>597</v>
      </c>
      <c r="B14" s="99" t="s">
        <v>450</v>
      </c>
      <c r="D14" s="23"/>
    </row>
    <row r="15" spans="1:5" ht="15" customHeight="1" x14ac:dyDescent="0.25">
      <c r="A15" s="99" t="s">
        <v>598</v>
      </c>
      <c r="B15" s="99" t="s">
        <v>639</v>
      </c>
      <c r="D15" s="49"/>
    </row>
    <row r="16" spans="1:5" ht="15" customHeight="1" x14ac:dyDescent="0.25">
      <c r="A16" s="99" t="s">
        <v>599</v>
      </c>
      <c r="B16" s="99" t="s">
        <v>518</v>
      </c>
      <c r="D16" s="49"/>
    </row>
    <row r="17" spans="1:4" ht="15" customHeight="1" x14ac:dyDescent="0.25">
      <c r="A17" s="99" t="s">
        <v>600</v>
      </c>
      <c r="B17" s="99" t="s">
        <v>519</v>
      </c>
      <c r="D17" s="49"/>
    </row>
    <row r="18" spans="1:4" ht="15" customHeight="1" x14ac:dyDescent="0.25">
      <c r="A18" s="99" t="s">
        <v>601</v>
      </c>
      <c r="B18" s="99" t="s">
        <v>446</v>
      </c>
      <c r="D18" s="49"/>
    </row>
    <row r="19" spans="1:4" ht="15" customHeight="1" x14ac:dyDescent="0.25">
      <c r="A19" s="99" t="s">
        <v>602</v>
      </c>
      <c r="B19" s="99" t="s">
        <v>640</v>
      </c>
      <c r="D19" s="49"/>
    </row>
    <row r="20" spans="1:4" ht="15" customHeight="1" x14ac:dyDescent="0.25">
      <c r="A20" s="99" t="s">
        <v>603</v>
      </c>
      <c r="B20" s="99" t="s">
        <v>641</v>
      </c>
      <c r="D20" s="49"/>
    </row>
    <row r="21" spans="1:4" ht="15" customHeight="1" x14ac:dyDescent="0.25">
      <c r="A21" s="99" t="s">
        <v>604</v>
      </c>
      <c r="B21" s="99" t="s">
        <v>581</v>
      </c>
      <c r="D21" s="49"/>
    </row>
    <row r="22" spans="1:4" ht="15" customHeight="1" x14ac:dyDescent="0.25">
      <c r="A22" s="99" t="s">
        <v>605</v>
      </c>
      <c r="B22" s="99" t="s">
        <v>642</v>
      </c>
      <c r="D22" s="49"/>
    </row>
    <row r="23" spans="1:4" ht="15" customHeight="1" x14ac:dyDescent="0.25">
      <c r="A23" s="99" t="s">
        <v>606</v>
      </c>
      <c r="B23" s="99" t="s">
        <v>582</v>
      </c>
      <c r="D23" s="49"/>
    </row>
    <row r="24" spans="1:4" ht="15" customHeight="1" x14ac:dyDescent="0.25">
      <c r="A24" s="99" t="s">
        <v>607</v>
      </c>
      <c r="B24" s="99" t="s">
        <v>643</v>
      </c>
      <c r="D24" s="49"/>
    </row>
    <row r="25" spans="1:4" ht="15" customHeight="1" x14ac:dyDescent="0.25">
      <c r="A25" s="99" t="s">
        <v>608</v>
      </c>
      <c r="B25" s="99" t="s">
        <v>496</v>
      </c>
      <c r="D25" s="49"/>
    </row>
    <row r="26" spans="1:4" ht="15" customHeight="1" x14ac:dyDescent="0.25">
      <c r="A26" s="99" t="s">
        <v>609</v>
      </c>
      <c r="B26" s="99" t="s">
        <v>494</v>
      </c>
      <c r="D26" s="49"/>
    </row>
    <row r="27" spans="1:4" ht="15" customHeight="1" x14ac:dyDescent="0.25">
      <c r="A27" s="99" t="s">
        <v>610</v>
      </c>
      <c r="B27" s="99" t="s">
        <v>517</v>
      </c>
      <c r="D27" s="59"/>
    </row>
    <row r="28" spans="1:4" ht="15" customHeight="1" x14ac:dyDescent="0.25">
      <c r="A28" s="99" t="s">
        <v>611</v>
      </c>
      <c r="B28" s="99" t="s">
        <v>644</v>
      </c>
      <c r="D28" s="49"/>
    </row>
    <row r="29" spans="1:4" ht="15" customHeight="1" x14ac:dyDescent="0.25">
      <c r="A29" s="99" t="s">
        <v>612</v>
      </c>
      <c r="B29" s="99" t="s">
        <v>645</v>
      </c>
      <c r="D29" s="49"/>
    </row>
    <row r="30" spans="1:4" ht="15" customHeight="1" x14ac:dyDescent="0.25">
      <c r="A30" s="99" t="s">
        <v>613</v>
      </c>
      <c r="B30" s="99" t="s">
        <v>646</v>
      </c>
      <c r="D30" s="49"/>
    </row>
    <row r="31" spans="1:4" ht="15" customHeight="1" x14ac:dyDescent="0.25">
      <c r="A31" s="99" t="s">
        <v>614</v>
      </c>
      <c r="B31" s="99" t="s">
        <v>647</v>
      </c>
      <c r="D31" s="49"/>
    </row>
    <row r="32" spans="1:4" ht="15" customHeight="1" x14ac:dyDescent="0.25">
      <c r="A32" s="99" t="s">
        <v>615</v>
      </c>
      <c r="B32" s="99" t="s">
        <v>520</v>
      </c>
      <c r="D32" s="49"/>
    </row>
    <row r="33" spans="1:4" ht="15" customHeight="1" x14ac:dyDescent="0.25">
      <c r="A33" s="99" t="s">
        <v>616</v>
      </c>
      <c r="B33" s="99" t="s">
        <v>580</v>
      </c>
      <c r="D33" s="49"/>
    </row>
    <row r="34" spans="1:4" ht="15" customHeight="1" x14ac:dyDescent="0.25">
      <c r="A34" s="99" t="s">
        <v>617</v>
      </c>
      <c r="B34" s="99" t="s">
        <v>451</v>
      </c>
      <c r="D34" s="49"/>
    </row>
    <row r="35" spans="1:4" ht="15" customHeight="1" x14ac:dyDescent="0.25">
      <c r="A35" s="99" t="s">
        <v>583</v>
      </c>
      <c r="B35" s="99" t="s">
        <v>521</v>
      </c>
      <c r="D35" s="49"/>
    </row>
    <row r="36" spans="1:4" ht="15" customHeight="1" x14ac:dyDescent="0.25">
      <c r="A36" s="99" t="s">
        <v>618</v>
      </c>
      <c r="B36" s="99" t="s">
        <v>648</v>
      </c>
      <c r="D36" s="49"/>
    </row>
    <row r="37" spans="1:4" ht="15" customHeight="1" x14ac:dyDescent="0.25">
      <c r="A37" s="99" t="s">
        <v>619</v>
      </c>
      <c r="B37" s="99" t="s">
        <v>649</v>
      </c>
      <c r="D37" s="49"/>
    </row>
    <row r="38" spans="1:4" ht="15" customHeight="1" x14ac:dyDescent="0.25">
      <c r="A38" s="99" t="s">
        <v>620</v>
      </c>
      <c r="B38" s="99" t="s">
        <v>516</v>
      </c>
      <c r="D38" s="49"/>
    </row>
    <row r="39" spans="1:4" ht="15" customHeight="1" x14ac:dyDescent="0.25">
      <c r="A39" s="99" t="s">
        <v>621</v>
      </c>
      <c r="B39" s="99" t="s">
        <v>650</v>
      </c>
      <c r="D39" s="49"/>
    </row>
    <row r="40" spans="1:4" ht="15" customHeight="1" x14ac:dyDescent="0.25">
      <c r="A40" s="99" t="s">
        <v>622</v>
      </c>
      <c r="B40" s="99" t="s">
        <v>651</v>
      </c>
      <c r="D40" s="49"/>
    </row>
    <row r="41" spans="1:4" ht="15" customHeight="1" x14ac:dyDescent="0.25">
      <c r="A41" s="99" t="s">
        <v>623</v>
      </c>
      <c r="B41" s="99" t="s">
        <v>449</v>
      </c>
      <c r="D41" s="49"/>
    </row>
    <row r="42" spans="1:4" ht="15" customHeight="1" x14ac:dyDescent="0.25">
      <c r="A42" s="99" t="s">
        <v>624</v>
      </c>
      <c r="B42" s="99" t="s">
        <v>652</v>
      </c>
      <c r="D42" s="49"/>
    </row>
    <row r="43" spans="1:4" ht="15" customHeight="1" x14ac:dyDescent="0.25">
      <c r="A43" s="99" t="s">
        <v>625</v>
      </c>
      <c r="B43" s="99" t="s">
        <v>498</v>
      </c>
      <c r="D43" s="49"/>
    </row>
    <row r="44" spans="1:4" ht="15" customHeight="1" x14ac:dyDescent="0.25">
      <c r="A44" s="99" t="s">
        <v>626</v>
      </c>
      <c r="B44" s="99" t="s">
        <v>447</v>
      </c>
      <c r="D44" s="49"/>
    </row>
    <row r="45" spans="1:4" ht="15" customHeight="1" x14ac:dyDescent="0.25">
      <c r="A45" s="99" t="s">
        <v>627</v>
      </c>
      <c r="B45" s="99" t="s">
        <v>653</v>
      </c>
      <c r="D45" s="49"/>
    </row>
    <row r="46" spans="1:4" ht="15" customHeight="1" x14ac:dyDescent="0.25">
      <c r="A46" s="99" t="s">
        <v>628</v>
      </c>
      <c r="B46" s="99" t="s">
        <v>654</v>
      </c>
      <c r="D46" s="49"/>
    </row>
    <row r="47" spans="1:4" ht="15" customHeight="1" x14ac:dyDescent="0.25">
      <c r="A47" s="99" t="s">
        <v>629</v>
      </c>
      <c r="B47" s="99" t="s">
        <v>655</v>
      </c>
      <c r="D47" s="49"/>
    </row>
    <row r="48" spans="1:4" ht="15" customHeight="1" x14ac:dyDescent="0.25">
      <c r="A48" s="99" t="s">
        <v>630</v>
      </c>
      <c r="B48" s="99" t="s">
        <v>656</v>
      </c>
      <c r="D48" s="49"/>
    </row>
    <row r="49" spans="1:4" ht="15" customHeight="1" x14ac:dyDescent="0.25">
      <c r="A49" s="99" t="s">
        <v>631</v>
      </c>
      <c r="B49" s="99" t="s">
        <v>657</v>
      </c>
      <c r="D49" s="49"/>
    </row>
    <row r="50" spans="1:4" ht="15" customHeight="1" x14ac:dyDescent="0.2">
      <c r="D50" s="49"/>
    </row>
    <row r="51" spans="1:4" ht="15" customHeight="1" x14ac:dyDescent="0.2">
      <c r="D51" s="49"/>
    </row>
    <row r="52" spans="1:4" ht="15" customHeight="1" x14ac:dyDescent="0.2">
      <c r="D52" s="49"/>
    </row>
    <row r="53" spans="1:4" ht="15" customHeight="1" x14ac:dyDescent="0.2">
      <c r="D53" s="49"/>
    </row>
    <row r="54" spans="1:4" ht="15" customHeight="1" x14ac:dyDescent="0.2">
      <c r="D54" s="49"/>
    </row>
    <row r="55" spans="1:4" ht="15" customHeight="1" x14ac:dyDescent="0.2">
      <c r="D55" s="59"/>
    </row>
    <row r="56" spans="1:4" ht="15" customHeight="1" x14ac:dyDescent="0.2">
      <c r="D56" s="49"/>
    </row>
    <row r="57" spans="1:4" ht="15" customHeight="1" x14ac:dyDescent="0.2">
      <c r="D57" s="49"/>
    </row>
    <row r="58" spans="1:4" ht="15" customHeight="1" x14ac:dyDescent="0.2">
      <c r="D58" s="54"/>
    </row>
    <row r="59" spans="1:4" ht="15" customHeight="1" x14ac:dyDescent="0.2">
      <c r="D59" s="13"/>
    </row>
    <row r="60" spans="1:4" ht="15" customHeight="1" x14ac:dyDescent="0.2">
      <c r="D60" s="13"/>
    </row>
    <row r="61" spans="1:4" ht="15" customHeight="1" x14ac:dyDescent="0.2">
      <c r="D61" s="13"/>
    </row>
    <row r="62" spans="1:4" ht="15" customHeight="1" x14ac:dyDescent="0.2">
      <c r="D62" s="13"/>
    </row>
    <row r="63" spans="1:4" ht="15" customHeight="1" x14ac:dyDescent="0.2">
      <c r="D63" s="13"/>
    </row>
    <row r="64" spans="1:4" ht="15" customHeight="1" x14ac:dyDescent="0.2">
      <c r="D64" s="13"/>
    </row>
    <row r="65" spans="4:4" ht="15" customHeight="1" x14ac:dyDescent="0.2">
      <c r="D65" s="13"/>
    </row>
    <row r="66" spans="4:4" ht="15" customHeight="1" x14ac:dyDescent="0.2">
      <c r="D66" s="65"/>
    </row>
    <row r="67" spans="4:4" ht="15" customHeight="1" x14ac:dyDescent="0.2">
      <c r="D67" s="13"/>
    </row>
    <row r="68" spans="4:4" ht="15" customHeight="1" x14ac:dyDescent="0.2">
      <c r="D68" s="13"/>
    </row>
    <row r="69" spans="4:4" ht="15" customHeight="1" x14ac:dyDescent="0.2">
      <c r="D69" s="13"/>
    </row>
    <row r="70" spans="4:4" ht="15" customHeight="1" x14ac:dyDescent="0.2">
      <c r="D70" s="13"/>
    </row>
    <row r="71" spans="4:4" ht="15" customHeight="1" x14ac:dyDescent="0.2">
      <c r="D71" s="13"/>
    </row>
    <row r="72" spans="4:4" ht="15" customHeight="1" x14ac:dyDescent="0.2">
      <c r="D72" s="13"/>
    </row>
    <row r="73" spans="4:4" ht="15" customHeight="1" x14ac:dyDescent="0.2">
      <c r="D73" s="13"/>
    </row>
    <row r="74" spans="4:4" ht="15" customHeight="1" x14ac:dyDescent="0.2">
      <c r="D74" s="13"/>
    </row>
    <row r="75" spans="4:4" ht="15" customHeight="1" x14ac:dyDescent="0.2">
      <c r="D75" s="13"/>
    </row>
    <row r="76" spans="4:4" ht="15" customHeight="1" x14ac:dyDescent="0.2">
      <c r="D76" s="13"/>
    </row>
    <row r="77" spans="4:4" ht="15" customHeight="1" x14ac:dyDescent="0.2">
      <c r="D77" s="13"/>
    </row>
    <row r="78" spans="4:4" ht="15" customHeight="1" x14ac:dyDescent="0.2">
      <c r="D78" s="13"/>
    </row>
    <row r="79" spans="4:4" ht="15" customHeight="1" x14ac:dyDescent="0.2">
      <c r="D79" s="13"/>
    </row>
    <row r="80" spans="4:4" ht="15" customHeight="1" x14ac:dyDescent="0.2">
      <c r="D80" s="13"/>
    </row>
    <row r="81" spans="4:4" ht="15" customHeight="1" x14ac:dyDescent="0.2">
      <c r="D81" s="13"/>
    </row>
    <row r="82" spans="4:4" ht="15" customHeight="1" x14ac:dyDescent="0.2">
      <c r="D82" s="65"/>
    </row>
    <row r="83" spans="4:4" ht="15" customHeight="1" x14ac:dyDescent="0.2">
      <c r="D83" s="27"/>
    </row>
    <row r="84" spans="4:4" ht="15" customHeight="1" x14ac:dyDescent="0.2">
      <c r="D84" s="13"/>
    </row>
    <row r="85" spans="4:4" ht="15" customHeight="1" x14ac:dyDescent="0.2">
      <c r="D85" s="13"/>
    </row>
    <row r="86" spans="4:4" ht="15" customHeight="1" x14ac:dyDescent="0.2">
      <c r="D86" s="13"/>
    </row>
    <row r="87" spans="4:4" ht="15" customHeight="1" x14ac:dyDescent="0.2">
      <c r="D87" s="13"/>
    </row>
    <row r="88" spans="4:4" ht="15" customHeight="1" x14ac:dyDescent="0.2">
      <c r="D88" s="13"/>
    </row>
    <row r="89" spans="4:4" ht="15" customHeight="1" x14ac:dyDescent="0.2">
      <c r="D89" s="13"/>
    </row>
    <row r="90" spans="4:4" ht="15" customHeight="1" x14ac:dyDescent="0.2">
      <c r="D90" s="13"/>
    </row>
    <row r="91" spans="4:4" ht="15" customHeight="1" x14ac:dyDescent="0.2">
      <c r="D91" s="13"/>
    </row>
    <row r="92" spans="4:4" ht="15" customHeight="1" x14ac:dyDescent="0.2">
      <c r="D92" s="13"/>
    </row>
    <row r="93" spans="4:4" ht="15" customHeight="1" x14ac:dyDescent="0.2">
      <c r="D93" s="13"/>
    </row>
    <row r="94" spans="4:4" ht="15" customHeight="1" x14ac:dyDescent="0.2">
      <c r="D94" s="13"/>
    </row>
    <row r="95" spans="4:4" ht="15" customHeight="1" x14ac:dyDescent="0.2">
      <c r="D95" s="13"/>
    </row>
    <row r="96" spans="4:4" ht="15" customHeight="1" x14ac:dyDescent="0.2">
      <c r="D96" s="13"/>
    </row>
    <row r="97" spans="4:4" ht="15" customHeight="1" x14ac:dyDescent="0.2">
      <c r="D97" s="65"/>
    </row>
    <row r="98" spans="4:4" ht="15" customHeight="1" x14ac:dyDescent="0.2">
      <c r="D98" s="13"/>
    </row>
    <row r="99" spans="4:4" ht="15" customHeight="1" x14ac:dyDescent="0.2">
      <c r="D99" s="13"/>
    </row>
    <row r="100" spans="4:4" ht="15" customHeight="1" x14ac:dyDescent="0.2">
      <c r="D100" s="13"/>
    </row>
    <row r="101" spans="4:4" ht="15" customHeight="1" x14ac:dyDescent="0.2">
      <c r="D101" s="13"/>
    </row>
    <row r="102" spans="4:4" ht="15" customHeight="1" x14ac:dyDescent="0.2">
      <c r="D102" s="13"/>
    </row>
    <row r="103" spans="4:4" ht="15" customHeight="1" x14ac:dyDescent="0.2">
      <c r="D103" s="13"/>
    </row>
    <row r="104" spans="4:4" ht="15" customHeight="1" x14ac:dyDescent="0.2">
      <c r="D104" s="13"/>
    </row>
    <row r="105" spans="4:4" ht="15" customHeight="1" x14ac:dyDescent="0.2">
      <c r="D105" s="13"/>
    </row>
    <row r="106" spans="4:4" ht="15" customHeight="1" x14ac:dyDescent="0.2">
      <c r="D106" s="13"/>
    </row>
    <row r="107" spans="4:4" ht="15" customHeight="1" x14ac:dyDescent="0.2">
      <c r="D107" s="13"/>
    </row>
    <row r="108" spans="4:4" ht="15" customHeight="1" x14ac:dyDescent="0.2">
      <c r="D108" s="13"/>
    </row>
    <row r="109" spans="4:4" ht="15" customHeight="1" x14ac:dyDescent="0.2">
      <c r="D109" s="13"/>
    </row>
    <row r="110" spans="4:4" ht="15" customHeight="1" x14ac:dyDescent="0.2">
      <c r="D110" s="13"/>
    </row>
    <row r="111" spans="4:4" ht="15" customHeight="1" x14ac:dyDescent="0.2">
      <c r="D111" s="27"/>
    </row>
    <row r="112" spans="4:4" ht="15" customHeight="1" x14ac:dyDescent="0.2">
      <c r="D112" s="13"/>
    </row>
    <row r="113" spans="4:4" ht="15" customHeight="1" x14ac:dyDescent="0.2">
      <c r="D113" s="13"/>
    </row>
    <row r="114" spans="4:4" ht="15" customHeight="1" x14ac:dyDescent="0.2">
      <c r="D114" s="65"/>
    </row>
    <row r="115" spans="4:4" ht="15" customHeight="1" x14ac:dyDescent="0.2">
      <c r="D115" s="13"/>
    </row>
    <row r="116" spans="4:4" ht="15" customHeight="1" x14ac:dyDescent="0.2">
      <c r="D116" s="13"/>
    </row>
    <row r="117" spans="4:4" ht="15" customHeight="1" x14ac:dyDescent="0.2">
      <c r="D117" s="13"/>
    </row>
    <row r="118" spans="4:4" ht="15" customHeight="1" x14ac:dyDescent="0.2">
      <c r="D118" s="13"/>
    </row>
    <row r="119" spans="4:4" ht="15" customHeight="1" x14ac:dyDescent="0.2">
      <c r="D119" s="13"/>
    </row>
    <row r="120" spans="4:4" ht="15" customHeight="1" x14ac:dyDescent="0.2">
      <c r="D120" s="13"/>
    </row>
    <row r="121" spans="4:4" ht="15" customHeight="1" x14ac:dyDescent="0.2">
      <c r="D121" s="13"/>
    </row>
    <row r="122" spans="4:4" ht="15" customHeight="1" x14ac:dyDescent="0.2">
      <c r="D122" s="13"/>
    </row>
    <row r="123" spans="4:4" ht="15" customHeight="1" x14ac:dyDescent="0.2">
      <c r="D123" s="13"/>
    </row>
    <row r="124" spans="4:4" ht="15" customHeight="1" x14ac:dyDescent="0.2">
      <c r="D124" s="13"/>
    </row>
    <row r="125" spans="4:4" ht="15" customHeight="1" x14ac:dyDescent="0.2">
      <c r="D125" s="13"/>
    </row>
    <row r="126" spans="4:4" ht="15" customHeight="1" x14ac:dyDescent="0.2">
      <c r="D126" s="13"/>
    </row>
    <row r="127" spans="4:4" ht="15" customHeight="1" x14ac:dyDescent="0.2">
      <c r="D127" s="13"/>
    </row>
    <row r="128" spans="4:4" ht="15" customHeight="1" x14ac:dyDescent="0.2">
      <c r="D128" s="13"/>
    </row>
    <row r="129" spans="4:4" ht="15" customHeight="1" x14ac:dyDescent="0.2">
      <c r="D129" s="13"/>
    </row>
    <row r="130" spans="4:4" ht="15" customHeight="1" x14ac:dyDescent="0.2">
      <c r="D130" s="13"/>
    </row>
    <row r="131" spans="4:4" ht="15" customHeight="1" x14ac:dyDescent="0.2">
      <c r="D131" s="13"/>
    </row>
    <row r="132" spans="4:4" ht="15" customHeight="1" x14ac:dyDescent="0.2">
      <c r="D132" s="13"/>
    </row>
    <row r="133" spans="4:4" ht="15" customHeight="1" x14ac:dyDescent="0.2">
      <c r="D133" s="13"/>
    </row>
    <row r="134" spans="4:4" ht="15" customHeight="1" x14ac:dyDescent="0.2">
      <c r="D134" s="13"/>
    </row>
    <row r="135" spans="4:4" ht="15" customHeight="1" x14ac:dyDescent="0.2">
      <c r="D135" s="13"/>
    </row>
    <row r="136" spans="4:4" ht="15" customHeight="1" x14ac:dyDescent="0.2">
      <c r="D136" s="13"/>
    </row>
    <row r="137" spans="4:4" ht="15" customHeight="1" x14ac:dyDescent="0.2">
      <c r="D137" s="13"/>
    </row>
    <row r="138" spans="4:4" ht="15" customHeight="1" x14ac:dyDescent="0.2">
      <c r="D138" s="13"/>
    </row>
    <row r="139" spans="4:4" ht="15" customHeight="1" x14ac:dyDescent="0.2">
      <c r="D139" s="27"/>
    </row>
    <row r="140" spans="4:4" ht="15" customHeight="1" x14ac:dyDescent="0.2">
      <c r="D140" s="13"/>
    </row>
    <row r="141" spans="4:4" ht="15" customHeight="1" x14ac:dyDescent="0.2">
      <c r="D141" s="13"/>
    </row>
    <row r="142" spans="4:4" ht="15" customHeight="1" x14ac:dyDescent="0.2">
      <c r="D142" s="13"/>
    </row>
    <row r="143" spans="4:4" ht="15" customHeight="1" x14ac:dyDescent="0.2">
      <c r="D143" s="13"/>
    </row>
    <row r="144" spans="4:4" ht="15" customHeight="1" x14ac:dyDescent="0.2">
      <c r="D144" s="13"/>
    </row>
    <row r="145" spans="4:4" ht="15" customHeight="1" x14ac:dyDescent="0.2">
      <c r="D145" s="13"/>
    </row>
    <row r="146" spans="4:4" ht="15" customHeight="1" x14ac:dyDescent="0.2">
      <c r="D146" s="13"/>
    </row>
    <row r="147" spans="4:4" ht="15" customHeight="1" x14ac:dyDescent="0.2">
      <c r="D147" s="13"/>
    </row>
    <row r="148" spans="4:4" ht="15" customHeight="1" x14ac:dyDescent="0.2">
      <c r="D148" s="65"/>
    </row>
    <row r="149" spans="4:4" ht="15" customHeight="1" x14ac:dyDescent="0.2">
      <c r="D149" s="13"/>
    </row>
    <row r="150" spans="4:4" ht="15" customHeight="1" x14ac:dyDescent="0.2">
      <c r="D150" s="13"/>
    </row>
    <row r="151" spans="4:4" ht="15" customHeight="1" x14ac:dyDescent="0.2">
      <c r="D151" s="13"/>
    </row>
    <row r="152" spans="4:4" ht="15" customHeight="1" x14ac:dyDescent="0.2">
      <c r="D152" s="13"/>
    </row>
    <row r="153" spans="4:4" ht="15" customHeight="1" x14ac:dyDescent="0.2">
      <c r="D153" s="13"/>
    </row>
    <row r="154" spans="4:4" ht="15" customHeight="1" x14ac:dyDescent="0.2">
      <c r="D154" s="13"/>
    </row>
    <row r="155" spans="4:4" ht="15" customHeight="1" x14ac:dyDescent="0.2">
      <c r="D155" s="65"/>
    </row>
    <row r="156" spans="4:4" ht="15" customHeight="1" x14ac:dyDescent="0.2">
      <c r="D156" s="13"/>
    </row>
    <row r="157" spans="4:4" ht="15" customHeight="1" x14ac:dyDescent="0.2">
      <c r="D157" s="13"/>
    </row>
    <row r="158" spans="4:4" ht="15" customHeight="1" x14ac:dyDescent="0.2">
      <c r="D158" s="13"/>
    </row>
    <row r="159" spans="4:4" ht="15" customHeight="1" x14ac:dyDescent="0.2">
      <c r="D159" s="13"/>
    </row>
    <row r="160" spans="4:4" ht="15" customHeight="1" x14ac:dyDescent="0.2">
      <c r="D160" s="13"/>
    </row>
    <row r="161" spans="4:4" ht="15" customHeight="1" x14ac:dyDescent="0.2">
      <c r="D161" s="13"/>
    </row>
    <row r="162" spans="4:4" ht="15" customHeight="1" x14ac:dyDescent="0.2">
      <c r="D162" s="13"/>
    </row>
    <row r="163" spans="4:4" ht="15" customHeight="1" x14ac:dyDescent="0.2">
      <c r="D163" s="13"/>
    </row>
    <row r="164" spans="4:4" ht="15" customHeight="1" x14ac:dyDescent="0.2">
      <c r="D164" s="13"/>
    </row>
    <row r="165" spans="4:4" ht="15" customHeight="1" x14ac:dyDescent="0.2">
      <c r="D165" s="13"/>
    </row>
    <row r="166" spans="4:4" ht="15" customHeight="1" x14ac:dyDescent="0.2">
      <c r="D166" s="13"/>
    </row>
    <row r="167" spans="4:4" ht="15" customHeight="1" x14ac:dyDescent="0.2">
      <c r="D167" s="27"/>
    </row>
    <row r="168" spans="4:4" ht="15" customHeight="1" x14ac:dyDescent="0.2">
      <c r="D168" s="13"/>
    </row>
    <row r="169" spans="4:4" ht="15" customHeight="1" x14ac:dyDescent="0.2">
      <c r="D169" s="13"/>
    </row>
    <row r="170" spans="4:4" ht="15" customHeight="1" x14ac:dyDescent="0.2">
      <c r="D170" s="13"/>
    </row>
    <row r="171" spans="4:4" ht="15" customHeight="1" x14ac:dyDescent="0.2">
      <c r="D171" s="13"/>
    </row>
    <row r="172" spans="4:4" ht="15" customHeight="1" x14ac:dyDescent="0.2">
      <c r="D172" s="13"/>
    </row>
    <row r="173" spans="4:4" ht="15" customHeight="1" x14ac:dyDescent="0.2">
      <c r="D173" s="13"/>
    </row>
    <row r="174" spans="4:4" ht="15" customHeight="1" x14ac:dyDescent="0.2">
      <c r="D174" s="13"/>
    </row>
    <row r="175" spans="4:4" ht="15" customHeight="1" x14ac:dyDescent="0.2">
      <c r="D175" s="13"/>
    </row>
    <row r="176" spans="4:4" ht="15" customHeight="1" x14ac:dyDescent="0.2">
      <c r="D176" s="13"/>
    </row>
    <row r="177" spans="4:4" ht="15" customHeight="1" x14ac:dyDescent="0.2">
      <c r="D177" s="13"/>
    </row>
    <row r="178" spans="4:4" ht="15" customHeight="1" x14ac:dyDescent="0.2">
      <c r="D178" s="13"/>
    </row>
    <row r="179" spans="4:4" ht="15" customHeight="1" x14ac:dyDescent="0.2">
      <c r="D179" s="13"/>
    </row>
    <row r="180" spans="4:4" ht="15" customHeight="1" x14ac:dyDescent="0.2">
      <c r="D180" s="13"/>
    </row>
    <row r="181" spans="4:4" ht="15" customHeight="1" x14ac:dyDescent="0.2">
      <c r="D181" s="13"/>
    </row>
    <row r="182" spans="4:4" ht="15" customHeight="1" x14ac:dyDescent="0.2">
      <c r="D182" s="13"/>
    </row>
    <row r="183" spans="4:4" ht="15" customHeight="1" x14ac:dyDescent="0.2">
      <c r="D183" s="13"/>
    </row>
    <row r="184" spans="4:4" ht="15" customHeight="1" x14ac:dyDescent="0.2">
      <c r="D184" s="13"/>
    </row>
    <row r="185" spans="4:4" ht="15" customHeight="1" x14ac:dyDescent="0.2">
      <c r="D185" s="13"/>
    </row>
    <row r="186" spans="4:4" ht="15" customHeight="1" x14ac:dyDescent="0.2">
      <c r="D186" s="13"/>
    </row>
    <row r="187" spans="4:4" ht="15" customHeight="1" x14ac:dyDescent="0.2">
      <c r="D187" s="65"/>
    </row>
    <row r="188" spans="4:4" ht="15" customHeight="1" x14ac:dyDescent="0.2">
      <c r="D188" s="13"/>
    </row>
    <row r="189" spans="4:4" ht="15" customHeight="1" x14ac:dyDescent="0.2">
      <c r="D189" s="13"/>
    </row>
    <row r="190" spans="4:4" ht="15" customHeight="1" x14ac:dyDescent="0.2">
      <c r="D190" s="13"/>
    </row>
    <row r="191" spans="4:4" ht="15" customHeight="1" x14ac:dyDescent="0.2">
      <c r="D191" s="13"/>
    </row>
    <row r="192" spans="4:4" ht="15" customHeight="1" x14ac:dyDescent="0.2">
      <c r="D192" s="65"/>
    </row>
    <row r="193" spans="4:4" ht="15" customHeight="1" x14ac:dyDescent="0.2">
      <c r="D193" s="13"/>
    </row>
    <row r="194" spans="4:4" ht="15" customHeight="1" x14ac:dyDescent="0.2">
      <c r="D194" s="13"/>
    </row>
    <row r="195" spans="4:4" ht="15" customHeight="1" x14ac:dyDescent="0.2">
      <c r="D195" s="27"/>
    </row>
    <row r="196" spans="4:4" ht="15" customHeight="1" x14ac:dyDescent="0.2">
      <c r="D196" s="13"/>
    </row>
    <row r="197" spans="4:4" ht="15" customHeight="1" x14ac:dyDescent="0.2">
      <c r="D197" s="13"/>
    </row>
    <row r="198" spans="4:4" ht="15" customHeight="1" x14ac:dyDescent="0.2">
      <c r="D198" s="65"/>
    </row>
    <row r="199" spans="4:4" ht="15" customHeight="1" x14ac:dyDescent="0.2">
      <c r="D199" s="13"/>
    </row>
    <row r="200" spans="4:4" ht="15" customHeight="1" x14ac:dyDescent="0.2">
      <c r="D200" s="13"/>
    </row>
    <row r="201" spans="4:4" ht="15" customHeight="1" x14ac:dyDescent="0.2">
      <c r="D201" s="13"/>
    </row>
    <row r="202" spans="4:4" ht="15" customHeight="1" x14ac:dyDescent="0.2">
      <c r="D202" s="13"/>
    </row>
    <row r="203" spans="4:4" ht="15" customHeight="1" x14ac:dyDescent="0.2">
      <c r="D203" s="13"/>
    </row>
    <row r="204" spans="4:4" ht="15" customHeight="1" x14ac:dyDescent="0.2">
      <c r="D204" s="65"/>
    </row>
    <row r="205" spans="4:4" ht="15" customHeight="1" x14ac:dyDescent="0.2">
      <c r="D205" s="13"/>
    </row>
    <row r="206" spans="4:4" ht="15" customHeight="1" x14ac:dyDescent="0.2">
      <c r="D206" s="13"/>
    </row>
    <row r="207" spans="4:4" ht="15" customHeight="1" x14ac:dyDescent="0.2">
      <c r="D207" s="13"/>
    </row>
    <row r="208" spans="4:4" ht="15" customHeight="1" x14ac:dyDescent="0.2">
      <c r="D208" s="13"/>
    </row>
    <row r="209" spans="4:4" ht="15" customHeight="1" x14ac:dyDescent="0.2">
      <c r="D209" s="13"/>
    </row>
    <row r="210" spans="4:4" ht="15" customHeight="1" x14ac:dyDescent="0.2">
      <c r="D210" s="13"/>
    </row>
    <row r="211" spans="4:4" ht="15" customHeight="1" x14ac:dyDescent="0.2">
      <c r="D211" s="13"/>
    </row>
    <row r="212" spans="4:4" ht="15" customHeight="1" x14ac:dyDescent="0.2">
      <c r="D212" s="13"/>
    </row>
    <row r="213" spans="4:4" ht="15" customHeight="1" x14ac:dyDescent="0.2">
      <c r="D213" s="13"/>
    </row>
    <row r="214" spans="4:4" ht="15" customHeight="1" x14ac:dyDescent="0.2">
      <c r="D214" s="65"/>
    </row>
    <row r="215" spans="4:4" ht="15" customHeight="1" x14ac:dyDescent="0.2">
      <c r="D215" s="13"/>
    </row>
    <row r="216" spans="4:4" ht="15" customHeight="1" x14ac:dyDescent="0.2">
      <c r="D216" s="13"/>
    </row>
    <row r="217" spans="4:4" ht="15" customHeight="1" x14ac:dyDescent="0.2">
      <c r="D217" s="13"/>
    </row>
    <row r="218" spans="4:4" ht="15" customHeight="1" x14ac:dyDescent="0.2">
      <c r="D218" s="65"/>
    </row>
    <row r="219" spans="4:4" ht="15" customHeight="1" x14ac:dyDescent="0.2">
      <c r="D219" s="13"/>
    </row>
    <row r="220" spans="4:4" ht="15" customHeight="1" x14ac:dyDescent="0.2">
      <c r="D220" s="13"/>
    </row>
    <row r="221" spans="4:4" ht="15" customHeight="1" x14ac:dyDescent="0.2">
      <c r="D221" s="13"/>
    </row>
    <row r="222" spans="4:4" ht="15" customHeight="1" x14ac:dyDescent="0.2">
      <c r="D222" s="13"/>
    </row>
    <row r="223" spans="4:4" ht="15" customHeight="1" x14ac:dyDescent="0.2">
      <c r="D223" s="27"/>
    </row>
    <row r="224" spans="4:4" ht="15" customHeight="1" x14ac:dyDescent="0.2">
      <c r="D224" s="13"/>
    </row>
    <row r="225" spans="4:4" ht="15" customHeight="1" x14ac:dyDescent="0.2">
      <c r="D225" s="13"/>
    </row>
    <row r="226" spans="4:4" ht="15" customHeight="1" x14ac:dyDescent="0.2">
      <c r="D226" s="13"/>
    </row>
    <row r="227" spans="4:4" ht="15" customHeight="1" x14ac:dyDescent="0.2">
      <c r="D227" s="13"/>
    </row>
    <row r="228" spans="4:4" ht="15" customHeight="1" x14ac:dyDescent="0.2">
      <c r="D228" s="13"/>
    </row>
    <row r="229" spans="4:4" ht="15" customHeight="1" x14ac:dyDescent="0.2">
      <c r="D229" s="13"/>
    </row>
    <row r="230" spans="4:4" ht="15" customHeight="1" x14ac:dyDescent="0.2">
      <c r="D230" s="13"/>
    </row>
    <row r="231" spans="4:4" ht="15" customHeight="1" x14ac:dyDescent="0.2">
      <c r="D231" s="13"/>
    </row>
    <row r="232" spans="4:4" ht="15" customHeight="1" x14ac:dyDescent="0.2">
      <c r="D232" s="13"/>
    </row>
    <row r="233" spans="4:4" ht="15" customHeight="1" x14ac:dyDescent="0.2">
      <c r="D233" s="13"/>
    </row>
    <row r="234" spans="4:4" ht="15" customHeight="1" x14ac:dyDescent="0.2">
      <c r="D234" s="13"/>
    </row>
    <row r="235" spans="4:4" ht="15" customHeight="1" x14ac:dyDescent="0.2">
      <c r="D235" s="65"/>
    </row>
    <row r="236" spans="4:4" ht="15" customHeight="1" x14ac:dyDescent="0.2">
      <c r="D236" s="13"/>
    </row>
    <row r="237" spans="4:4" ht="15" customHeight="1" x14ac:dyDescent="0.2">
      <c r="D237" s="13"/>
    </row>
    <row r="238" spans="4:4" ht="15" customHeight="1" x14ac:dyDescent="0.2">
      <c r="D238" s="13"/>
    </row>
    <row r="239" spans="4:4" ht="15" customHeight="1" x14ac:dyDescent="0.2">
      <c r="D239" s="13"/>
    </row>
    <row r="240" spans="4:4" ht="15" customHeight="1" x14ac:dyDescent="0.2">
      <c r="D240" s="13"/>
    </row>
    <row r="241" spans="4:4" ht="15" customHeight="1" x14ac:dyDescent="0.2">
      <c r="D241" s="13"/>
    </row>
    <row r="242" spans="4:4" ht="15" customHeight="1" x14ac:dyDescent="0.2">
      <c r="D242" s="13"/>
    </row>
    <row r="243" spans="4:4" ht="15" customHeight="1" x14ac:dyDescent="0.2">
      <c r="D243" s="13"/>
    </row>
    <row r="244" spans="4:4" ht="15" customHeight="1" x14ac:dyDescent="0.2">
      <c r="D244" s="13"/>
    </row>
    <row r="245" spans="4:4" ht="15" customHeight="1" x14ac:dyDescent="0.2">
      <c r="D245" s="13"/>
    </row>
    <row r="246" spans="4:4" ht="15" customHeight="1" x14ac:dyDescent="0.2">
      <c r="D246" s="13"/>
    </row>
    <row r="247" spans="4:4" ht="15" customHeight="1" x14ac:dyDescent="0.2">
      <c r="D247" s="13"/>
    </row>
    <row r="248" spans="4:4" ht="15" customHeight="1" x14ac:dyDescent="0.2">
      <c r="D248" s="13"/>
    </row>
    <row r="249" spans="4:4" ht="15" customHeight="1" x14ac:dyDescent="0.2">
      <c r="D249" s="13"/>
    </row>
    <row r="250" spans="4:4" ht="15" customHeight="1" x14ac:dyDescent="0.2">
      <c r="D250" s="13"/>
    </row>
    <row r="251" spans="4:4" ht="15" customHeight="1" x14ac:dyDescent="0.2">
      <c r="D251" s="27"/>
    </row>
    <row r="252" spans="4:4" ht="15" customHeight="1" x14ac:dyDescent="0.2">
      <c r="D252" s="13"/>
    </row>
    <row r="253" spans="4:4" ht="15" customHeight="1" x14ac:dyDescent="0.2">
      <c r="D253" s="13"/>
    </row>
    <row r="254" spans="4:4" ht="15" customHeight="1" x14ac:dyDescent="0.2">
      <c r="D254" s="13"/>
    </row>
    <row r="255" spans="4:4" ht="15" customHeight="1" x14ac:dyDescent="0.2">
      <c r="D255" s="13"/>
    </row>
    <row r="256" spans="4:4" ht="15" customHeight="1" x14ac:dyDescent="0.2">
      <c r="D256" s="89"/>
    </row>
    <row r="257" spans="4:4" ht="15" customHeight="1" x14ac:dyDescent="0.2">
      <c r="D257" s="13"/>
    </row>
    <row r="258" spans="4:4" ht="15" customHeight="1" x14ac:dyDescent="0.2">
      <c r="D258" s="13"/>
    </row>
    <row r="259" spans="4:4" ht="15" customHeight="1" x14ac:dyDescent="0.2">
      <c r="D259" s="13"/>
    </row>
    <row r="260" spans="4:4" ht="15" customHeight="1" x14ac:dyDescent="0.2">
      <c r="D260" s="13"/>
    </row>
    <row r="261" spans="4:4" ht="15" customHeight="1" x14ac:dyDescent="0.2">
      <c r="D261" s="13"/>
    </row>
    <row r="262" spans="4:4" ht="15" customHeight="1" x14ac:dyDescent="0.2">
      <c r="D262" s="13"/>
    </row>
    <row r="263" spans="4:4" ht="15" customHeight="1" x14ac:dyDescent="0.2">
      <c r="D263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May 22</vt:lpstr>
      <vt:lpstr>March</vt:lpstr>
      <vt:lpstr>march 8</vt:lpstr>
      <vt:lpstr>jan 22</vt:lpstr>
      <vt:lpstr>jan 4</vt:lpstr>
      <vt:lpstr>feb 22</vt:lpstr>
      <vt:lpstr>feb 8</vt:lpstr>
      <vt:lpstr>april 22</vt:lpstr>
      <vt:lpstr>april 5</vt:lpstr>
      <vt:lpstr>vlookup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TargetStream Technologies</dc:creator>
  <cp:lastModifiedBy>Cabel, Denisse Raeka</cp:lastModifiedBy>
  <dcterms:created xsi:type="dcterms:W3CDTF">2025-05-09T16:40:22Z</dcterms:created>
  <dcterms:modified xsi:type="dcterms:W3CDTF">2025-05-22T19:20:02Z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2025-05-09T00:00:00Z</vt:filetime>
  </property>
  <property fmtid="{D5CDD505-2E9C-101B-9397-08002B2CF9AE}" pid="3" name="Creator">
    <vt:lpwstr>TargetStream Technologies</vt:lpwstr>
  </property>
  <property fmtid="{D5CDD505-2E9C-101B-9397-08002B2CF9AE}" pid="4" name="Producer">
    <vt:lpwstr>TargetStream StreamEDS rv1.7.174 for CIGNA</vt:lpwstr>
  </property>
  <property fmtid="{D5CDD505-2E9C-101B-9397-08002B2CF9AE}" pid="5" name="LastSaved">
    <vt:filetime>2025-05-09T00:00:00Z</vt:filetime>
  </property>
</Properties>
</file>