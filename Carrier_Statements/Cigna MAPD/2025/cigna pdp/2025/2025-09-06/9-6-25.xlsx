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G:\Shared drives\Main Line Benefits Office\Commissions\Commission Processing\Carrier Statements\cigna pdp\9-6-25\"/>
    </mc:Choice>
  </mc:AlternateContent>
  <xr:revisionPtr revIDLastSave="0" documentId="13_ncr:1_{5215CB5A-5F75-4D2C-BDC7-B49CA631867D}" xr6:coauthVersionLast="47" xr6:coauthVersionMax="47" xr10:uidLastSave="{00000000-0000-0000-0000-000000000000}"/>
  <bookViews>
    <workbookView xWindow="28680" yWindow="-120" windowWidth="29040" windowHeight="16440" firstSheet="5" activeTab="18"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Sheet1" sheetId="19" r:id="rId19"/>
  </sheets>
  <calcPr calcId="181029"/>
</workbook>
</file>

<file path=xl/calcChain.xml><?xml version="1.0" encoding="utf-8"?>
<calcChain xmlns="http://schemas.openxmlformats.org/spreadsheetml/2006/main">
  <c r="B8" i="19" l="1"/>
  <c r="B7" i="19"/>
  <c r="B6" i="19"/>
  <c r="B5" i="19"/>
  <c r="B4" i="19"/>
  <c r="B3" i="19"/>
</calcChain>
</file>

<file path=xl/sharedStrings.xml><?xml version="1.0" encoding="utf-8"?>
<sst xmlns="http://schemas.openxmlformats.org/spreadsheetml/2006/main" count="193" uniqueCount="90">
  <si>
    <r>
      <rPr>
        <sz val="7.5"/>
        <color rgb="FF231F20"/>
        <rFont val="Calibri"/>
        <family val="2"/>
      </rPr>
      <t xml:space="preserve">Cigna Healthcare C7COM
</t>
    </r>
    <r>
      <rPr>
        <sz val="7.5"/>
        <color rgb="FF231F20"/>
        <rFont val="Calibri"/>
        <family val="2"/>
      </rPr>
      <t xml:space="preserve">Hartford, CT 06152
</t>
    </r>
    <r>
      <rPr>
        <sz val="8.5"/>
        <color rgb="FF231F20"/>
        <rFont val="Calibri"/>
        <family val="2"/>
      </rPr>
      <t xml:space="preserve">MAIN LINE BENEFITS LLC 232 E KING ST.
</t>
    </r>
    <r>
      <rPr>
        <sz val="8.5"/>
        <color rgb="FF231F20"/>
        <rFont val="Calibri"/>
        <family val="2"/>
      </rPr>
      <t>MALVERN PA  19355-2518</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</si>
  <si>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
</t>
    </r>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September 6, 2025
</t>
    </r>
    <r>
      <rPr>
        <sz val="9.5"/>
        <color rgb="FF231F20"/>
        <rFont val="Tahoma"/>
        <family val="2"/>
      </rPr>
      <t xml:space="preserve">Producer code/ Office code </t>
    </r>
    <r>
      <rPr>
        <sz val="9.5"/>
        <color rgb="FF231F20"/>
        <rFont val="Calibri"/>
        <family val="2"/>
      </rPr>
      <t>578672/ P08</t>
    </r>
  </si>
  <si>
    <r>
      <rPr>
        <sz val="17"/>
        <color rgb="FF231F20"/>
        <rFont val="Cambria"/>
        <family val="1"/>
      </rPr>
      <t>Compensation - Direct Deposit Payment</t>
    </r>
  </si>
  <si>
    <r>
      <rPr>
        <sz val="8.5"/>
        <color rgb="FF231F20"/>
        <rFont val="Book Antiqua"/>
        <family val="1"/>
      </rPr>
      <t>Payment for</t>
    </r>
  </si>
  <si>
    <r>
      <rPr>
        <sz val="8.5"/>
        <color rgb="FF231F20"/>
        <rFont val="Book Antiqua"/>
        <family val="1"/>
      </rPr>
      <t xml:space="preserve">Total payment
</t>
    </r>
    <r>
      <rPr>
        <sz val="8.5"/>
        <color rgb="FF231F20"/>
        <rFont val="Book Antiqua"/>
        <family val="1"/>
      </rPr>
      <t>this period</t>
    </r>
  </si>
  <si>
    <r>
      <rPr>
        <sz val="8.5"/>
        <color rgb="FF231F20"/>
        <rFont val="Book Antiqua"/>
        <family val="1"/>
      </rPr>
      <t xml:space="preserve">Total payment year
</t>
    </r>
    <r>
      <rPr>
        <sz val="8.5"/>
        <color rgb="FF231F20"/>
        <rFont val="Book Antiqua"/>
        <family val="1"/>
      </rPr>
      <t>to date</t>
    </r>
  </si>
  <si>
    <r>
      <rPr>
        <sz val="8.5"/>
        <color rgb="FF231F20"/>
        <rFont val="Calibri"/>
        <family val="2"/>
      </rPr>
      <t xml:space="preserve">MAIN LINE BENEFITS LLC
</t>
    </r>
    <r>
      <rPr>
        <sz val="8.5"/>
        <color rgb="FF231F20"/>
        <rFont val="Calibri"/>
        <family val="2"/>
      </rPr>
      <t xml:space="preserve">Commissions                                                                                                                                                                                      16.33                                    3,105.34
</t>
    </r>
    <r>
      <rPr>
        <sz val="9"/>
        <color rgb="FF231F20"/>
        <rFont val="Cambria"/>
        <family val="1"/>
      </rPr>
      <t>Total                                                                                                                                                                                               16.33                                 3,105.34</t>
    </r>
  </si>
  <si>
    <r>
      <rPr>
        <sz val="8.5"/>
        <color rgb="FF231F20"/>
        <rFont val="Calibri"/>
        <family val="2"/>
      </rPr>
      <t xml:space="preserve">This payment is contingent upon all disclosures required by your Cigna Producer Agreement (including
</t>
    </r>
    <r>
      <rPr>
        <sz val="8.5"/>
        <color rgb="FF231F20"/>
        <rFont val="Calibri"/>
        <family val="2"/>
      </rPr>
      <t>any disclosures required by applicable law) having been made to the customer's to which the payment applies. By accepting this payment you represent that all such required disclosures have been made public.</t>
    </r>
  </si>
  <si>
    <r>
      <rPr>
        <vertAlign val="superscript"/>
        <sz val="6.5"/>
        <color rgb="FF231F20"/>
        <rFont val="Calibri"/>
        <family val="2"/>
      </rPr>
      <t xml:space="preserve">Detach at perforation                                                                                                                                                                                          </t>
    </r>
    <r>
      <rPr>
        <sz val="7.5"/>
        <color rgb="FF231F20"/>
        <rFont val="Calibri"/>
        <family val="2"/>
      </rPr>
      <t>Page 1 of 4</t>
    </r>
  </si>
  <si>
    <r>
      <rPr>
        <vertAlign val="superscript"/>
        <sz val="6.5"/>
        <color rgb="FF231F20"/>
        <rFont val="Calibri"/>
        <family val="2"/>
      </rPr>
      <t xml:space="preserve">DATE:                                </t>
    </r>
    <r>
      <rPr>
        <sz val="9"/>
        <color rgb="FF231F20"/>
        <rFont val="Calibri"/>
        <family val="2"/>
      </rPr>
      <t>September 6, 2025</t>
    </r>
  </si>
  <si>
    <r>
      <rPr>
        <sz val="6.5"/>
        <color rgb="FF231F20"/>
        <rFont val="Calibri"/>
        <family val="2"/>
      </rPr>
      <t xml:space="preserve">PRODUCER/
</t>
    </r>
    <r>
      <rPr>
        <sz val="6.5"/>
        <color rgb="FF231F20"/>
        <rFont val="Calibri"/>
        <family val="2"/>
      </rPr>
      <t>OFFICE CODE</t>
    </r>
  </si>
  <si>
    <r>
      <rPr>
        <sz val="9.5"/>
        <color rgb="FF231F20"/>
        <rFont val="Calibri"/>
        <family val="2"/>
      </rPr>
      <t>578672/P08</t>
    </r>
  </si>
  <si>
    <r>
      <rPr>
        <vertAlign val="superscript"/>
        <sz val="6.5"/>
        <color rgb="FF231F20"/>
        <rFont val="Calibri"/>
        <family val="2"/>
      </rPr>
      <t xml:space="preserve">PAY:                               </t>
    </r>
    <r>
      <rPr>
        <sz val="11"/>
        <color rgb="FF231F20"/>
        <rFont val="Calibri"/>
        <family val="2"/>
      </rPr>
      <t>Sixteen and 33/100 Dollars</t>
    </r>
  </si>
  <si>
    <r>
      <rPr>
        <sz val="6.5"/>
        <color rgb="FF231F20"/>
        <rFont val="Calibri"/>
        <family val="2"/>
      </rPr>
      <t xml:space="preserve">TO THE
</t>
    </r>
    <r>
      <rPr>
        <sz val="6.5"/>
        <color rgb="FF231F20"/>
        <rFont val="Calibri"/>
        <family val="2"/>
      </rPr>
      <t>ORDER OF:</t>
    </r>
  </si>
  <si>
    <r>
      <rPr>
        <sz val="8.5"/>
        <color rgb="FF231F20"/>
        <rFont val="Calibri"/>
        <family val="2"/>
      </rPr>
      <t xml:space="preserve">MAIN LINE BENEFITS LLC
</t>
    </r>
    <r>
      <rPr>
        <sz val="8.5"/>
        <color rgb="FF231F20"/>
        <rFont val="Calibri"/>
        <family val="2"/>
      </rPr>
      <t xml:space="preserve">232 E KING ST.
</t>
    </r>
    <r>
      <rPr>
        <sz val="8.5"/>
        <color rgb="FF231F20"/>
        <rFont val="Calibri"/>
        <family val="2"/>
      </rPr>
      <t>MALVERN PA 19355</t>
    </r>
  </si>
  <si>
    <r>
      <rPr>
        <sz val="17.5"/>
        <color rgb="FFDCDFE2"/>
        <rFont val="Lucida Sans"/>
        <family val="2"/>
      </rPr>
      <t>Advice of Deposit Non-Negotiable</t>
    </r>
  </si>
  <si>
    <r>
      <rPr>
        <sz val="16"/>
        <color rgb="FF231F20"/>
        <rFont val="Cambria"/>
        <family val="1"/>
      </rPr>
      <t>Cigna Producer Statement</t>
    </r>
  </si>
  <si>
    <r>
      <rPr>
        <sz val="8.5"/>
        <color rgb="FF231F20"/>
        <rFont val="Cambria"/>
        <family val="1"/>
      </rPr>
      <t>Cigna</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</si>
  <si>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Email: ProducerCommissions@CignaHealthcare.com</t>
    </r>
  </si>
  <si>
    <r>
      <rPr>
        <sz val="8.5"/>
        <color rgb="FF231F20"/>
        <rFont val="Calibri"/>
        <family val="2"/>
      </rPr>
      <t>Previous balance:</t>
    </r>
    <r>
      <rPr>
        <sz val="9"/>
        <color rgb="FF231F20"/>
        <rFont val="Times New Roman"/>
        <family val="1"/>
      </rPr>
      <t xml:space="preserve">                                                                </t>
    </r>
    <r>
      <rPr>
        <sz val="8.5"/>
        <color rgb="FF231F20"/>
        <rFont val="Calibri"/>
        <family val="2"/>
      </rPr>
      <t xml:space="preserve">0.00
</t>
    </r>
    <r>
      <rPr>
        <sz val="8.5"/>
        <color rgb="FF231F20"/>
        <rFont val="Calibri"/>
        <family val="2"/>
      </rPr>
      <t>Earned this statement:</t>
    </r>
    <r>
      <rPr>
        <sz val="9"/>
        <color rgb="FF231F20"/>
        <rFont val="Times New Roman"/>
        <family val="1"/>
      </rPr>
      <t xml:space="preserve">                                                     </t>
    </r>
    <r>
      <rPr>
        <sz val="8.5"/>
        <color rgb="FF231F20"/>
        <rFont val="Calibri"/>
        <family val="2"/>
      </rPr>
      <t xml:space="preserve">16.33
</t>
    </r>
    <r>
      <rPr>
        <sz val="8.5"/>
        <color rgb="FF231F20"/>
        <rFont val="Calibri"/>
        <family val="2"/>
      </rPr>
      <t>Assignments:</t>
    </r>
    <r>
      <rPr>
        <sz val="9"/>
        <color rgb="FF231F20"/>
        <rFont val="Times New Roman"/>
        <family val="1"/>
      </rPr>
      <t xml:space="preserve">                                                                       </t>
    </r>
    <r>
      <rPr>
        <sz val="8.5"/>
        <color rgb="FF231F20"/>
        <rFont val="Calibri"/>
        <family val="2"/>
      </rPr>
      <t xml:space="preserve">0.00
</t>
    </r>
    <r>
      <rPr>
        <sz val="8.5"/>
        <color rgb="FF231F20"/>
        <rFont val="Calibri"/>
        <family val="2"/>
      </rPr>
      <t>Payment:</t>
    </r>
    <r>
      <rPr>
        <sz val="9"/>
        <color rgb="FF231F20"/>
        <rFont val="Times New Roman"/>
        <family val="1"/>
      </rPr>
      <t xml:space="preserve">                                                                           </t>
    </r>
    <r>
      <rPr>
        <sz val="8.5"/>
        <color rgb="FF231F20"/>
        <rFont val="Calibri"/>
        <family val="2"/>
      </rPr>
      <t xml:space="preserve">16.33
</t>
    </r>
    <r>
      <rPr>
        <sz val="8.5"/>
        <color rgb="FF231F20"/>
        <rFont val="Calibri"/>
        <family val="2"/>
      </rPr>
      <t>Closing balance:</t>
    </r>
    <r>
      <rPr>
        <sz val="9"/>
        <color rgb="FF231F20"/>
        <rFont val="Times New Roman"/>
        <family val="1"/>
      </rPr>
      <t xml:space="preserve">                                                                  </t>
    </r>
    <r>
      <rPr>
        <sz val="8.5"/>
        <color rgb="FF231F20"/>
        <rFont val="Calibri"/>
        <family val="2"/>
      </rPr>
      <t xml:space="preserve">0.00
</t>
    </r>
    <r>
      <rPr>
        <u/>
        <sz val="8.5"/>
        <color rgb="FF231F20"/>
        <rFont val="Calibri"/>
        <family val="2"/>
      </rPr>
      <t xml:space="preserve">YTD Payments:                                                                        3,105.34
</t>
    </r>
    <r>
      <rPr>
        <sz val="9.5"/>
        <color rgb="FF231F20"/>
        <rFont val="Tahoma"/>
        <family val="2"/>
      </rPr>
      <t>Total payment:</t>
    </r>
    <r>
      <rPr>
        <sz val="10"/>
        <color rgb="FF231F20"/>
        <rFont val="Times New Roman"/>
        <family val="1"/>
      </rPr>
      <t xml:space="preserve">                                                      </t>
    </r>
    <r>
      <rPr>
        <sz val="9.5"/>
        <color rgb="FF231F20"/>
        <rFont val="Tahoma"/>
        <family val="2"/>
      </rPr>
      <t>16.33</t>
    </r>
  </si>
  <si>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September 6, 2025
</t>
    </r>
    <r>
      <rPr>
        <sz val="8.5"/>
        <color rgb="FF231F20"/>
        <rFont val="Cambria"/>
        <family val="1"/>
      </rPr>
      <t xml:space="preserve">EFT Deposit date
</t>
    </r>
    <r>
      <rPr>
        <sz val="9.5"/>
        <color rgb="FF231F20"/>
        <rFont val="Calibri"/>
        <family val="2"/>
      </rPr>
      <t>September 11, 2025</t>
    </r>
  </si>
  <si>
    <r>
      <rPr>
        <sz val="7.5"/>
        <color rgb="FF231F20"/>
        <rFont val="Calibri"/>
        <family val="2"/>
      </rPr>
      <t>Account name</t>
    </r>
  </si>
  <si>
    <r>
      <rPr>
        <sz val="7.5"/>
        <color rgb="FF231F20"/>
        <rFont val="Calibri"/>
        <family val="2"/>
      </rPr>
      <t xml:space="preserve">Account
</t>
    </r>
    <r>
      <rPr>
        <sz val="7.5"/>
        <color rgb="FF231F20"/>
        <rFont val="Calibri"/>
        <family val="2"/>
      </rPr>
      <t>number  Product/Healthplan site</t>
    </r>
  </si>
  <si>
    <r>
      <rPr>
        <sz val="7.5"/>
        <color rgb="FF231F20"/>
        <rFont val="Calibri"/>
        <family val="2"/>
      </rPr>
      <t>Product number</t>
    </r>
  </si>
  <si>
    <r>
      <rPr>
        <sz val="7.5"/>
        <color rgb="FF231F20"/>
        <rFont val="Calibri"/>
        <family val="2"/>
      </rPr>
      <t xml:space="preserve">Month
</t>
    </r>
    <r>
      <rPr>
        <sz val="7.5"/>
        <color rgb="FF231F20"/>
        <rFont val="Calibri"/>
        <family val="2"/>
      </rPr>
      <t>year</t>
    </r>
  </si>
  <si>
    <r>
      <rPr>
        <sz val="7.5"/>
        <color rgb="FF231F20"/>
        <rFont val="Calibri"/>
        <family val="2"/>
      </rPr>
      <t xml:space="preserve">Customers or
</t>
    </r>
    <r>
      <rPr>
        <sz val="7.5"/>
        <color rgb="FF231F20"/>
        <rFont val="Calibri"/>
        <family val="2"/>
      </rPr>
      <t>premiums*</t>
    </r>
  </si>
  <si>
    <r>
      <rPr>
        <sz val="7.5"/>
        <color rgb="FF231F20"/>
        <rFont val="Calibri"/>
        <family val="2"/>
      </rPr>
      <t xml:space="preserve">Comp
</t>
    </r>
    <r>
      <rPr>
        <sz val="7.5"/>
        <color rgb="FF231F20"/>
        <rFont val="Calibri"/>
        <family val="2"/>
      </rPr>
      <t>rate</t>
    </r>
  </si>
  <si>
    <r>
      <rPr>
        <sz val="7.5"/>
        <color rgb="FF231F20"/>
        <rFont val="Calibri"/>
        <family val="2"/>
      </rPr>
      <t xml:space="preserve">Payment
</t>
    </r>
    <r>
      <rPr>
        <sz val="7.5"/>
        <color rgb="FF231F20"/>
        <rFont val="Calibri"/>
        <family val="2"/>
      </rPr>
      <t>amount  Type**   See notes</t>
    </r>
  </si>
  <si>
    <r>
      <rPr>
        <sz val="8.5"/>
        <color rgb="FF231F20"/>
        <rFont val="Cambria"/>
        <family val="1"/>
      </rPr>
      <t>Cigna - Previous balance</t>
    </r>
  </si>
  <si>
    <r>
      <rPr>
        <sz val="8.5"/>
        <color rgb="FF231F20"/>
        <rFont val="Calibri"/>
        <family val="2"/>
      </rPr>
      <t>CIGNA IND MEDICARE PART D</t>
    </r>
  </si>
  <si>
    <r>
      <rPr>
        <sz val="8.5"/>
        <color rgb="FF231F20"/>
        <rFont val="Calibri"/>
        <family val="2"/>
      </rPr>
      <t>2465346  PRESCRIPTION DRUG</t>
    </r>
  </si>
  <si>
    <r>
      <rPr>
        <sz val="8.5"/>
        <color rgb="FF231F20"/>
        <rFont val="Calibri"/>
        <family val="2"/>
      </rPr>
      <t>09/2025</t>
    </r>
  </si>
  <si>
    <r>
      <rPr>
        <sz val="8.5"/>
        <color rgb="FF231F20"/>
        <rFont val="Cambria"/>
        <family val="1"/>
      </rPr>
      <t>Account total</t>
    </r>
  </si>
  <si>
    <r>
      <rPr>
        <sz val="8.5"/>
        <color rgb="FF231F20"/>
        <rFont val="Calibri"/>
        <family val="2"/>
      </rPr>
      <t>Closing balance of</t>
    </r>
    <r>
      <rPr>
        <sz val="9"/>
        <color rgb="FF231F20"/>
        <rFont val="Times New Roman"/>
        <family val="1"/>
      </rPr>
      <t xml:space="preserve">                                                      </t>
    </r>
    <r>
      <rPr>
        <sz val="8.5"/>
        <color rgb="FF231F20"/>
        <rFont val="Calibri"/>
        <family val="2"/>
      </rPr>
      <t xml:space="preserve">0.00
</t>
    </r>
    <r>
      <rPr>
        <sz val="8.5"/>
        <color rgb="FF231F20"/>
        <rFont val="Calibri"/>
        <family val="2"/>
      </rPr>
      <t>Amount of Cigna payment:</t>
    </r>
    <r>
      <rPr>
        <sz val="9"/>
        <color rgb="FF231F20"/>
        <rFont val="Times New Roman"/>
        <family val="1"/>
      </rPr>
      <t xml:space="preserve">                                      </t>
    </r>
    <r>
      <rPr>
        <sz val="8.5"/>
        <color rgb="FF231F20"/>
        <rFont val="Calibri"/>
        <family val="2"/>
      </rPr>
      <t xml:space="preserve">16.33
</t>
    </r>
    <r>
      <rPr>
        <sz val="8.5"/>
        <color rgb="FF231F20"/>
        <rFont val="Calibri"/>
        <family val="2"/>
      </rPr>
      <t>Total compensation payment:</t>
    </r>
    <r>
      <rPr>
        <sz val="9"/>
        <color rgb="FF231F20"/>
        <rFont val="Times New Roman"/>
        <family val="1"/>
      </rPr>
      <t xml:space="preserve">                                  </t>
    </r>
    <r>
      <rPr>
        <sz val="8.5"/>
        <color rgb="FF231F20"/>
        <rFont val="Calibri"/>
        <family val="2"/>
      </rPr>
      <t>16.33</t>
    </r>
  </si>
  <si>
    <r>
      <rPr>
        <sz val="8.5"/>
        <color rgb="FF231F20"/>
        <rFont val="Calibri"/>
        <family val="2"/>
      </rPr>
      <t xml:space="preserve">*  Experience-rated premium for Shared Returns policies may exclude network access and UR fees
</t>
    </r>
    <r>
      <rPr>
        <sz val="8.5"/>
        <color rgb="FF231F20"/>
        <rFont val="Calibri"/>
        <family val="2"/>
      </rPr>
      <t>**  Legend for Type: (DP) Dependent  (EE) Employee  (SP) Spouse  (FM) Family  (CH) Child  (P) Premium Base  (BA) Benefit Advisor Fee</t>
    </r>
  </si>
  <si>
    <r>
      <rPr>
        <sz val="16"/>
        <color rgb="FF231F20"/>
        <rFont val="Cambria"/>
        <family val="1"/>
      </rPr>
      <t>Cigna Ind Medicare Part D</t>
    </r>
  </si>
  <si>
    <r>
      <rPr>
        <sz val="9.5"/>
        <color rgb="FF231F20"/>
        <rFont val="Tahoma"/>
        <family val="2"/>
      </rPr>
      <t xml:space="preserve">Statement date
</t>
    </r>
    <r>
      <rPr>
        <sz val="9"/>
        <color rgb="FF231F20"/>
        <rFont val="Calibri"/>
        <family val="2"/>
      </rPr>
      <t>September 6, 2025</t>
    </r>
  </si>
  <si>
    <r>
      <rPr>
        <sz val="11.5"/>
        <color rgb="FF231F20"/>
        <rFont val="Calibri"/>
        <family val="2"/>
      </rPr>
      <t>Detail report</t>
    </r>
  </si>
  <si>
    <r>
      <rPr>
        <sz val="7.5"/>
        <color rgb="FF231F20"/>
        <rFont val="Calibri"/>
        <family val="2"/>
      </rPr>
      <t>Medicare</t>
    </r>
  </si>
  <si>
    <r>
      <rPr>
        <sz val="7.5"/>
        <color rgb="FF231F20"/>
        <rFont val="Calibri"/>
        <family val="2"/>
      </rPr>
      <t>CIGNA</t>
    </r>
  </si>
  <si>
    <r>
      <rPr>
        <sz val="7.5"/>
        <color rgb="FF231F20"/>
        <rFont val="Calibri"/>
        <family val="2"/>
      </rPr>
      <t>Mbr</t>
    </r>
  </si>
  <si>
    <r>
      <rPr>
        <sz val="7.5"/>
        <color rgb="FF231F20"/>
        <rFont val="Calibri"/>
        <family val="2"/>
      </rPr>
      <t>Comp</t>
    </r>
  </si>
  <si>
    <r>
      <rPr>
        <sz val="7.5"/>
        <color rgb="FF231F20"/>
        <rFont val="Calibri"/>
        <family val="2"/>
      </rPr>
      <t>Payment</t>
    </r>
  </si>
  <si>
    <r>
      <rPr>
        <sz val="7.5"/>
        <color rgb="FF231F20"/>
        <rFont val="Calibri"/>
        <family val="2"/>
      </rPr>
      <t>number</t>
    </r>
  </si>
  <si>
    <r>
      <rPr>
        <sz val="7.5"/>
        <color rgb="FF231F20"/>
        <rFont val="Calibri"/>
        <family val="2"/>
      </rPr>
      <t>ID</t>
    </r>
  </si>
  <si>
    <r>
      <rPr>
        <sz val="7.5"/>
        <color rgb="FF231F20"/>
        <rFont val="Calibri"/>
        <family val="2"/>
      </rPr>
      <t>Member name</t>
    </r>
  </si>
  <si>
    <r>
      <rPr>
        <sz val="7.5"/>
        <color rgb="FF231F20"/>
        <rFont val="Calibri"/>
        <family val="2"/>
      </rPr>
      <t>st</t>
    </r>
  </si>
  <si>
    <r>
      <rPr>
        <sz val="7.5"/>
        <color rgb="FF231F20"/>
        <rFont val="Calibri"/>
        <family val="2"/>
      </rPr>
      <t>Sale date</t>
    </r>
  </si>
  <si>
    <r>
      <rPr>
        <sz val="7.5"/>
        <color rgb="FF231F20"/>
        <rFont val="Calibri"/>
        <family val="2"/>
      </rPr>
      <t>Agent ID</t>
    </r>
  </si>
  <si>
    <r>
      <rPr>
        <sz val="7.5"/>
        <color rgb="FF231F20"/>
        <rFont val="Calibri"/>
        <family val="2"/>
      </rPr>
      <t>Effective date</t>
    </r>
  </si>
  <si>
    <r>
      <rPr>
        <sz val="7.5"/>
        <color rgb="FF231F20"/>
        <rFont val="Calibri"/>
        <family val="2"/>
      </rPr>
      <t>Dis-enroll date   Status</t>
    </r>
  </si>
  <si>
    <r>
      <rPr>
        <sz val="7.5"/>
        <color rgb="FF231F20"/>
        <rFont val="Calibri"/>
        <family val="2"/>
      </rPr>
      <t>rate</t>
    </r>
  </si>
  <si>
    <r>
      <rPr>
        <sz val="7.5"/>
        <color rgb="FF231F20"/>
        <rFont val="Calibri"/>
        <family val="2"/>
      </rPr>
      <t>type</t>
    </r>
  </si>
  <si>
    <r>
      <rPr>
        <sz val="7.5"/>
        <color rgb="FF231F20"/>
        <rFont val="Calibri"/>
        <family val="2"/>
      </rPr>
      <t>2CG9QK1KY43</t>
    </r>
  </si>
  <si>
    <r>
      <rPr>
        <sz val="7.5"/>
        <color rgb="FF231F20"/>
        <rFont val="Calibri"/>
        <family val="2"/>
      </rPr>
      <t>19439324501 COSTA, LAWRENCE</t>
    </r>
  </si>
  <si>
    <r>
      <rPr>
        <sz val="7.5"/>
        <color rgb="FF231F20"/>
        <rFont val="Calibri"/>
        <family val="2"/>
      </rPr>
      <t>PA</t>
    </r>
  </si>
  <si>
    <r>
      <rPr>
        <sz val="7.5"/>
        <color rgb="FF231F20"/>
        <rFont val="Calibri"/>
        <family val="2"/>
      </rPr>
      <t>C550596</t>
    </r>
  </si>
  <si>
    <r>
      <rPr>
        <sz val="7.5"/>
        <color rgb="FF231F20"/>
        <rFont val="Calibri"/>
        <family val="2"/>
      </rPr>
      <t>DISENROLLMENT-DECEASED</t>
    </r>
  </si>
  <si>
    <r>
      <rPr>
        <sz val="7.5"/>
        <color rgb="FF231F20"/>
        <rFont val="Calibri"/>
        <family val="2"/>
      </rPr>
      <t>H1</t>
    </r>
  </si>
  <si>
    <r>
      <rPr>
        <sz val="7.5"/>
        <color rgb="FF231F20"/>
        <rFont val="Calibri"/>
        <family val="2"/>
      </rPr>
      <t>1WC2P97FK80</t>
    </r>
  </si>
  <si>
    <r>
      <rPr>
        <sz val="7.5"/>
        <color rgb="FF231F20"/>
        <rFont val="Calibri"/>
        <family val="2"/>
      </rPr>
      <t>20381474401 ERKENS, PAUL</t>
    </r>
  </si>
  <si>
    <r>
      <rPr>
        <sz val="7.5"/>
        <color rgb="FF231F20"/>
        <rFont val="Calibri"/>
        <family val="2"/>
      </rPr>
      <t>CMS APPROVED ENROLLMENT</t>
    </r>
  </si>
  <si>
    <r>
      <rPr>
        <sz val="7.5"/>
        <color rgb="FF231F20"/>
        <rFont val="Calibri"/>
        <family val="2"/>
      </rPr>
      <t>5RD0RQ1EG36</t>
    </r>
  </si>
  <si>
    <r>
      <rPr>
        <sz val="7.5"/>
        <color rgb="FF231F20"/>
        <rFont val="Calibri"/>
        <family val="2"/>
      </rPr>
      <t>20382998101 GILLOTT, DEWAINE</t>
    </r>
  </si>
  <si>
    <r>
      <rPr>
        <sz val="7.5"/>
        <color rgb="FF231F20"/>
        <rFont val="Calibri"/>
        <family val="2"/>
      </rPr>
      <t>2KQ9GH8WP12  20381577401 MULBAUER, MICHELLE</t>
    </r>
  </si>
  <si>
    <r>
      <rPr>
        <sz val="7.5"/>
        <color rgb="FF231F20"/>
        <rFont val="Calibri"/>
        <family val="2"/>
      </rPr>
      <t>8YJ9H55CD10</t>
    </r>
  </si>
  <si>
    <r>
      <rPr>
        <sz val="7.5"/>
        <color rgb="FF231F20"/>
        <rFont val="Calibri"/>
        <family val="2"/>
      </rPr>
      <t>20376412101 SIGMON, ROBIN</t>
    </r>
  </si>
  <si>
    <r>
      <rPr>
        <sz val="7.5"/>
        <color rgb="FF231F20"/>
        <rFont val="Calibri"/>
        <family val="2"/>
      </rPr>
      <t>MD</t>
    </r>
  </si>
  <si>
    <r>
      <rPr>
        <sz val="7.5"/>
        <color rgb="FF231F20"/>
        <rFont val="Calibri"/>
        <family val="2"/>
      </rPr>
      <t>C398389</t>
    </r>
  </si>
  <si>
    <r>
      <rPr>
        <sz val="7.5"/>
        <color rgb="FF231F20"/>
        <rFont val="Calibri"/>
        <family val="2"/>
      </rPr>
      <t>Y1</t>
    </r>
  </si>
  <si>
    <r>
      <rPr>
        <sz val="7.5"/>
        <color rgb="FF231F20"/>
        <rFont val="Calibri"/>
        <family val="2"/>
      </rPr>
      <t>6CC7FY7YF44</t>
    </r>
  </si>
  <si>
    <r>
      <rPr>
        <sz val="7.5"/>
        <color rgb="FF231F20"/>
        <rFont val="Calibri"/>
        <family val="2"/>
      </rPr>
      <t>20383917001 STEPHENSON, BONNI</t>
    </r>
  </si>
  <si>
    <r>
      <rPr>
        <sz val="7.5"/>
        <color rgb="FF231F20"/>
        <rFont val="Calibri"/>
        <family val="2"/>
      </rPr>
      <t>FL</t>
    </r>
  </si>
  <si>
    <r>
      <rPr>
        <sz val="7.5"/>
        <color rgb="FF231F20"/>
        <rFont val="Calibri"/>
        <family val="2"/>
      </rPr>
      <t>Total CIGNA IND MEDICARE PART D</t>
    </r>
  </si>
  <si>
    <r>
      <rPr>
        <sz val="7.5"/>
        <color rgb="FF4A4849"/>
        <rFont val="Cambria"/>
        <family val="1"/>
      </rPr>
      <t>*Payment type</t>
    </r>
  </si>
  <si>
    <r>
      <rPr>
        <sz val="7.5"/>
        <color rgb="FF4A4849"/>
        <rFont val="Cambria"/>
        <family val="1"/>
      </rPr>
      <t xml:space="preserve">Y1 = </t>
    </r>
    <r>
      <rPr>
        <sz val="7.5"/>
        <color rgb="FF4A4849"/>
        <rFont val="Calibri"/>
        <family val="2"/>
      </rPr>
      <t>Year 1 agent commission</t>
    </r>
    <r>
      <rPr>
        <sz val="7.5"/>
        <color rgb="FF4A4849"/>
        <rFont val="Cambria"/>
        <family val="1"/>
      </rPr>
      <t>-</t>
    </r>
  </si>
  <si>
    <r>
      <rPr>
        <sz val="7.5"/>
        <color rgb="FF231F20"/>
        <rFont val="Cambria"/>
        <family val="1"/>
      </rPr>
      <t xml:space="preserve">H1 = </t>
    </r>
    <r>
      <rPr>
        <sz val="7.5"/>
        <color rgb="FF231F20"/>
        <rFont val="Calibri"/>
        <family val="2"/>
      </rPr>
      <t>Year 1 up-line agent commission</t>
    </r>
  </si>
  <si>
    <r>
      <rPr>
        <sz val="7.5"/>
        <color rgb="FF4A4849"/>
        <rFont val="Cambria"/>
        <family val="1"/>
      </rPr>
      <t xml:space="preserve">Yn = </t>
    </r>
    <r>
      <rPr>
        <sz val="7.5"/>
        <color rgb="FF4A4849"/>
        <rFont val="Calibri"/>
        <family val="2"/>
      </rPr>
      <t>Year 2+ agent commission</t>
    </r>
  </si>
  <si>
    <r>
      <rPr>
        <sz val="7.5"/>
        <color rgb="FF231F20"/>
        <rFont val="Cambria"/>
        <family val="1"/>
      </rPr>
      <t xml:space="preserve">Hn = </t>
    </r>
    <r>
      <rPr>
        <sz val="7.5"/>
        <color rgb="FF231F20"/>
        <rFont val="Calibri"/>
        <family val="2"/>
      </rPr>
      <t>Year 2+ up-line agent commission</t>
    </r>
  </si>
  <si>
    <t>2KQ9GH8WP12</t>
  </si>
  <si>
    <t>COSTA, LAWRENCE</t>
  </si>
  <si>
    <t>ERKENS, PAUL</t>
  </si>
  <si>
    <t>GILLOTT, DEWAINE</t>
  </si>
  <si>
    <t>MULBAUER, MICHELLE</t>
  </si>
  <si>
    <t>SIGMON, ROBIN</t>
  </si>
  <si>
    <t>STEPHENSON, BONNI</t>
  </si>
  <si>
    <t>Adam Richter</t>
  </si>
  <si>
    <t>Main Line Benefits</t>
  </si>
  <si>
    <t>Cigna PDP</t>
  </si>
  <si>
    <t>Cigna Ovr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</si>
</sst>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mm/dd/yy;@"/>
  </numFmts>
  <fonts count="34" x14ac:knownFonts="1">
    <font>
      <sz val="10"/>
      <color rgb="FF000000"/>
      <name val="Times New Roman"/>
      <charset val="204"/>
    </font>
    <font>
      <sz val="17"/>
      <name val="Cambria"/>
    </font>
    <font>
      <sz val="8.5"/>
      <name val="Book Antiqua"/>
    </font>
    <font>
      <sz val="9.5"/>
      <name val="Calibri"/>
    </font>
    <font>
      <sz val="11"/>
      <color rgb="FF231F20"/>
      <name val="Calibri"/>
      <family val="2"/>
    </font>
    <font>
      <sz val="17.5"/>
      <name val="Lucida Sans"/>
    </font>
    <font>
      <sz val="16"/>
      <name val="Cambria"/>
    </font>
    <font>
      <sz val="8.5"/>
      <name val="Cambria"/>
    </font>
    <font>
      <sz val="7.5"/>
      <name val="Calibri"/>
    </font>
    <font>
      <sz val="8.5"/>
      <color rgb="FF231F20"/>
      <name val="Cambria"/>
      <family val="2"/>
    </font>
    <font>
      <sz val="8.5"/>
      <name val="Calibri"/>
    </font>
    <font>
      <sz val="8.5"/>
      <color rgb="FF231F20"/>
      <name val="Calibri"/>
      <family val="2"/>
    </font>
    <font>
      <sz val="11.5"/>
      <name val="Calibri"/>
    </font>
    <font>
      <sz val="7.5"/>
      <color rgb="FF231F20"/>
      <name val="Calibri"/>
      <family val="2"/>
    </font>
    <font>
      <sz val="7.5"/>
      <name val="Cambria"/>
    </font>
    <font>
      <u/>
      <sz val="9.5"/>
      <color rgb="FF231F20"/>
      <name val="Calibri"/>
      <family val="2"/>
    </font>
    <font>
      <sz val="9.5"/>
      <color rgb="FF231F20"/>
      <name val="Calibri"/>
      <family val="2"/>
    </font>
    <font>
      <sz val="9.5"/>
      <color rgb="FF231F20"/>
      <name val="Tahoma"/>
      <family val="2"/>
    </font>
    <font>
      <sz val="17"/>
      <color rgb="FF231F20"/>
      <name val="Cambria"/>
      <family val="1"/>
    </font>
    <font>
      <sz val="8.5"/>
      <color rgb="FF231F20"/>
      <name val="Book Antiqua"/>
      <family val="1"/>
    </font>
    <font>
      <sz val="9"/>
      <color rgb="FF231F20"/>
      <name val="Cambria"/>
      <family val="1"/>
    </font>
    <font>
      <vertAlign val="superscript"/>
      <sz val="6.5"/>
      <color rgb="FF231F20"/>
      <name val="Calibri"/>
      <family val="2"/>
    </font>
    <font>
      <sz val="9"/>
      <color rgb="FF231F20"/>
      <name val="Calibri"/>
      <family val="2"/>
    </font>
    <font>
      <sz val="6.5"/>
      <color rgb="FF231F20"/>
      <name val="Calibri"/>
      <family val="2"/>
    </font>
    <font>
      <sz val="17.5"/>
      <color rgb="FFDCDFE2"/>
      <name val="Lucida Sans"/>
      <family val="2"/>
    </font>
    <font>
      <sz val="16"/>
      <color rgb="FF231F20"/>
      <name val="Cambria"/>
      <family val="1"/>
    </font>
    <font>
      <sz val="8.5"/>
      <color rgb="FF231F20"/>
      <name val="Cambria"/>
      <family val="1"/>
    </font>
    <font>
      <sz val="9"/>
      <color rgb="FF231F20"/>
      <name val="Times New Roman"/>
      <family val="1"/>
    </font>
    <font>
      <u/>
      <sz val="8.5"/>
      <color rgb="FF231F20"/>
      <name val="Calibri"/>
      <family val="2"/>
    </font>
    <font>
      <sz val="10"/>
      <color rgb="FF231F20"/>
      <name val="Times New Roman"/>
      <family val="1"/>
    </font>
    <font>
      <sz val="11.5"/>
      <color rgb="FF231F20"/>
      <name val="Calibri"/>
      <family val="2"/>
    </font>
    <font>
      <sz val="7.5"/>
      <color rgb="FF4A4849"/>
      <name val="Cambria"/>
      <family val="1"/>
    </font>
    <font>
      <sz val="7.5"/>
      <color rgb="FF4A4849"/>
      <name val="Calibri"/>
      <family val="2"/>
    </font>
    <font>
      <sz val="7.5"/>
      <color rgb="FF231F20"/>
      <name val="Cambria"/>
      <family val="1"/>
    </font>
  </fonts>
  <fills count="2">
    <fill>
      <patternFill patternType="none"/>
    </fill>
    <fill>
      <patternFill patternType="gray125"/>
    </fill>
  </fills>
  <borders count="4">
    <border>
      <left/>
      <right/>
      <top/>
      <bottom/>
      <diagonal/>
    </border>
    <border>
      <left style="thin">
        <color rgb="FF231F20"/>
      </left>
      <right style="thin">
        <color rgb="FF231F20"/>
      </right>
      <top style="thin">
        <color rgb="FF231F20"/>
      </top>
      <bottom style="thin">
        <color rgb="FF231F20"/>
      </bottom>
      <diagonal/>
    </border>
    <border>
      <left/>
      <right/>
      <top/>
      <bottom style="thin">
        <color rgb="FF231F20"/>
      </bottom>
      <diagonal/>
    </border>
    <border>
      <left/>
      <right/>
      <top style="thin">
        <color rgb="FF231F20"/>
      </top>
      <bottom/>
      <diagonal/>
    </border>
  </borders>
  <cellStyleXfs count="1">
    <xf numFmtId="0" fontId="0" fillId="0" borderId="0"/>
  </cellStyleXfs>
  <cellXfs count="87">
    <xf numFmtId="0" fontId="0" fillId="0" borderId="0" xfId="0" applyAlignment="1">
      <alignment horizontal="left" vertical="top"/>
    </xf>
    <xf numFmtId="0" fontId="0" fillId="0" borderId="0" xfId="0" applyAlignment="1">
      <alignment horizontal="left" vertical="top" wrapText="1" indent="3"/>
    </xf>
    <xf numFmtId="0" fontId="0" fillId="0" borderId="0" xfId="0" applyAlignment="1">
      <alignment horizontal="left" vertical="top" wrapText="1" indent="13"/>
    </xf>
    <xf numFmtId="0" fontId="1" fillId="0" borderId="0" xfId="0" applyFont="1" applyAlignment="1">
      <alignment horizontal="left" vertical="top" wrapText="1" indent="1"/>
    </xf>
    <xf numFmtId="0" fontId="2" fillId="0" borderId="0" xfId="0" applyFont="1" applyAlignment="1">
      <alignment horizontal="left" vertical="top" wrapText="1" indent="1"/>
    </xf>
    <xf numFmtId="0" fontId="0" fillId="0" borderId="0" xfId="0" applyAlignment="1">
      <alignment horizontal="right" vertical="top" wrapText="1" indent="1"/>
    </xf>
    <xf numFmtId="0" fontId="0" fillId="0" borderId="0" xfId="0" applyAlignment="1">
      <alignment horizontal="left" vertical="top" wrapText="1" indent="1"/>
    </xf>
    <xf numFmtId="0" fontId="0" fillId="0" borderId="0" xfId="0" applyAlignment="1">
      <alignment horizontal="left" vertical="top" wrapText="1" indent="22"/>
    </xf>
    <xf numFmtId="0" fontId="0" fillId="0" borderId="0" xfId="0" applyAlignment="1">
      <alignment horizontal="right" vertical="top" wrapText="1" indent="3"/>
    </xf>
    <xf numFmtId="0" fontId="3" fillId="0" borderId="0" xfId="0" applyFont="1" applyAlignment="1">
      <alignment horizontal="left" vertical="top" wrapText="1" indent="3"/>
    </xf>
    <xf numFmtId="164" fontId="4" fillId="0" borderId="1" xfId="0" applyNumberFormat="1" applyFont="1" applyBorder="1" applyAlignment="1">
      <alignment horizontal="left" vertical="top" indent="8" shrinkToFit="1"/>
    </xf>
    <xf numFmtId="0" fontId="0" fillId="0" borderId="0" xfId="0" applyAlignment="1">
      <alignment horizontal="left" vertical="top" wrapText="1" indent="2"/>
    </xf>
    <xf numFmtId="0" fontId="5" fillId="0" borderId="0" xfId="0" applyFont="1" applyAlignment="1">
      <alignment horizontal="left" vertical="top" wrapText="1" indent="36"/>
    </xf>
    <xf numFmtId="0" fontId="6" fillId="0" borderId="0" xfId="0" applyFont="1" applyAlignment="1">
      <alignment horizontal="left" vertical="top" wrapText="1"/>
    </xf>
    <xf numFmtId="0" fontId="7" fillId="0" borderId="0" xfId="0" applyFont="1" applyAlignment="1">
      <alignment horizontal="left" wrapText="1"/>
    </xf>
    <xf numFmtId="0" fontId="0" fillId="0" borderId="0" xfId="0" applyAlignment="1">
      <alignment horizontal="left" vertical="top" wrapText="1" indent="20"/>
    </xf>
    <xf numFmtId="0" fontId="0" fillId="0" borderId="0" xfId="0" applyAlignment="1">
      <alignment horizontal="left" vertical="top" wrapText="1"/>
    </xf>
    <xf numFmtId="0" fontId="8" fillId="0" borderId="2" xfId="0" applyFont="1" applyBorder="1" applyAlignment="1">
      <alignment horizontal="left" vertical="top" wrapText="1"/>
    </xf>
    <xf numFmtId="0" fontId="0" fillId="0" borderId="2" xfId="0" applyBorder="1" applyAlignment="1">
      <alignment horizontal="left" vertical="top" wrapText="1" indent="6"/>
    </xf>
    <xf numFmtId="0" fontId="8" fillId="0" borderId="2" xfId="0" applyFont="1" applyBorder="1" applyAlignment="1">
      <alignment horizontal="left" vertical="top" wrapText="1" indent="9"/>
    </xf>
    <xf numFmtId="0" fontId="0" fillId="0" borderId="2" xfId="0" applyBorder="1" applyAlignment="1">
      <alignment horizontal="right" vertical="top" wrapText="1"/>
    </xf>
    <xf numFmtId="0" fontId="0" fillId="0" borderId="2" xfId="0" applyBorder="1" applyAlignment="1">
      <alignment horizontal="right" vertical="top" wrapText="1" indent="1"/>
    </xf>
    <xf numFmtId="0" fontId="0" fillId="0" borderId="2" xfId="0" applyBorder="1" applyAlignment="1">
      <alignment horizontal="left" vertical="top" wrapText="1" indent="4"/>
    </xf>
    <xf numFmtId="0" fontId="7" fillId="0" borderId="3" xfId="0" applyFont="1" applyBorder="1" applyAlignment="1">
      <alignment horizontal="left" vertical="top" wrapText="1"/>
    </xf>
    <xf numFmtId="0" fontId="0" fillId="0" borderId="3" xfId="0" applyBorder="1" applyAlignment="1">
      <alignment horizontal="left" wrapText="1"/>
    </xf>
    <xf numFmtId="2" fontId="9" fillId="0" borderId="3" xfId="0" applyNumberFormat="1" applyFont="1" applyBorder="1" applyAlignment="1">
      <alignment horizontal="left" vertical="top" indent="5" shrinkToFit="1"/>
    </xf>
    <xf numFmtId="0" fontId="10" fillId="0" borderId="2" xfId="0" applyFont="1" applyBorder="1" applyAlignment="1">
      <alignment horizontal="left" vertical="top" wrapText="1"/>
    </xf>
    <xf numFmtId="0" fontId="10" fillId="0" borderId="2" xfId="0" applyFont="1" applyBorder="1" applyAlignment="1">
      <alignment horizontal="left" vertical="top" wrapText="1" indent="6"/>
    </xf>
    <xf numFmtId="0" fontId="0" fillId="0" borderId="2" xfId="0" applyBorder="1" applyAlignment="1">
      <alignment horizontal="left" wrapText="1"/>
    </xf>
    <xf numFmtId="2" fontId="11" fillId="0" borderId="2" xfId="0" applyNumberFormat="1" applyFont="1" applyBorder="1" applyAlignment="1">
      <alignment horizontal="left" vertical="top" indent="4" shrinkToFit="1"/>
    </xf>
    <xf numFmtId="2" fontId="9" fillId="0" borderId="3" xfId="0" applyNumberFormat="1" applyFont="1" applyBorder="1" applyAlignment="1">
      <alignment horizontal="left" vertical="top" indent="4" shrinkToFit="1"/>
    </xf>
    <xf numFmtId="0" fontId="8" fillId="0" borderId="0" xfId="0" applyFont="1" applyAlignment="1">
      <alignment horizontal="left" vertical="top" wrapText="1"/>
    </xf>
    <xf numFmtId="0" fontId="8" fillId="0" borderId="0" xfId="0" applyFont="1" applyAlignment="1">
      <alignment horizontal="left" vertical="top" wrapText="1" indent="3"/>
    </xf>
    <xf numFmtId="0" fontId="0" fillId="0" borderId="0" xfId="0" applyAlignment="1">
      <alignment horizontal="left" vertical="center" wrapText="1"/>
    </xf>
    <xf numFmtId="0" fontId="8" fillId="0" borderId="0" xfId="0" applyFont="1" applyAlignment="1">
      <alignment horizontal="right" vertical="top" wrapText="1" indent="4"/>
    </xf>
    <xf numFmtId="0" fontId="8" fillId="0" borderId="0" xfId="0" applyFont="1" applyAlignment="1">
      <alignment horizontal="right" vertical="top" wrapText="1"/>
    </xf>
    <xf numFmtId="0" fontId="8" fillId="0" borderId="2" xfId="0" applyFont="1" applyBorder="1" applyAlignment="1">
      <alignment horizontal="left" vertical="top" wrapText="1" indent="3"/>
    </xf>
    <xf numFmtId="0" fontId="8" fillId="0" borderId="2" xfId="0" applyFont="1" applyBorder="1" applyAlignment="1">
      <alignment horizontal="center" vertical="top" wrapText="1"/>
    </xf>
    <xf numFmtId="0" fontId="8" fillId="0" borderId="2" xfId="0" applyFont="1" applyBorder="1" applyAlignment="1">
      <alignment horizontal="left" vertical="top" wrapText="1" indent="1"/>
    </xf>
    <xf numFmtId="0" fontId="8" fillId="0" borderId="2" xfId="0" applyFont="1" applyBorder="1" applyAlignment="1">
      <alignment horizontal="right" vertical="top" wrapText="1" indent="4"/>
    </xf>
    <xf numFmtId="0" fontId="8" fillId="0" borderId="2" xfId="0" applyFont="1" applyBorder="1" applyAlignment="1">
      <alignment horizontal="right" vertical="top" wrapText="1" indent="1"/>
    </xf>
    <xf numFmtId="0" fontId="8" fillId="0" borderId="2" xfId="0" applyFont="1" applyBorder="1" applyAlignment="1">
      <alignment horizontal="right" vertical="top" wrapText="1"/>
    </xf>
    <xf numFmtId="0" fontId="8" fillId="0" borderId="3" xfId="0" applyFont="1" applyBorder="1" applyAlignment="1">
      <alignment horizontal="left" vertical="top" wrapText="1"/>
    </xf>
    <xf numFmtId="0" fontId="8" fillId="0" borderId="3" xfId="0" applyFont="1" applyBorder="1" applyAlignment="1">
      <alignment horizontal="left" vertical="top" wrapText="1" indent="3"/>
    </xf>
    <xf numFmtId="165" fontId="13" fillId="0" borderId="3" xfId="0" applyNumberFormat="1" applyFont="1" applyBorder="1" applyAlignment="1">
      <alignment horizontal="left" vertical="top" shrinkToFit="1"/>
    </xf>
    <xf numFmtId="0" fontId="8" fillId="0" borderId="3" xfId="0" applyFont="1" applyBorder="1" applyAlignment="1">
      <alignment horizontal="center" vertical="top" wrapText="1"/>
    </xf>
    <xf numFmtId="165" fontId="13" fillId="0" borderId="3" xfId="0" applyNumberFormat="1" applyFont="1" applyBorder="1" applyAlignment="1">
      <alignment horizontal="left" vertical="top" indent="1" shrinkToFit="1"/>
    </xf>
    <xf numFmtId="2" fontId="13" fillId="0" borderId="3" xfId="0" applyNumberFormat="1" applyFont="1" applyBorder="1" applyAlignment="1">
      <alignment horizontal="right" vertical="top" indent="4" shrinkToFit="1"/>
    </xf>
    <xf numFmtId="2" fontId="13" fillId="0" borderId="3" xfId="0" applyNumberFormat="1" applyFont="1" applyBorder="1" applyAlignment="1">
      <alignment horizontal="right" vertical="top" indent="1" shrinkToFit="1"/>
    </xf>
    <xf numFmtId="0" fontId="8" fillId="0" borderId="3" xfId="0" applyFont="1" applyBorder="1" applyAlignment="1">
      <alignment horizontal="right" vertical="top" wrapText="1"/>
    </xf>
    <xf numFmtId="165" fontId="13" fillId="0" borderId="0" xfId="0" applyNumberFormat="1" applyFont="1" applyAlignment="1">
      <alignment horizontal="left" vertical="top" shrinkToFit="1"/>
    </xf>
    <xf numFmtId="0" fontId="8" fillId="0" borderId="0" xfId="0" applyFont="1" applyAlignment="1">
      <alignment horizontal="center" vertical="top" wrapText="1"/>
    </xf>
    <xf numFmtId="165" fontId="13" fillId="0" borderId="0" xfId="0" applyNumberFormat="1" applyFont="1" applyAlignment="1">
      <alignment horizontal="left" vertical="top" indent="1" shrinkToFit="1"/>
    </xf>
    <xf numFmtId="2" fontId="13" fillId="0" borderId="0" xfId="0" applyNumberFormat="1" applyFont="1" applyAlignment="1">
      <alignment horizontal="right" vertical="top" indent="4" shrinkToFit="1"/>
    </xf>
    <xf numFmtId="2" fontId="13" fillId="0" borderId="0" xfId="0" applyNumberFormat="1" applyFont="1" applyAlignment="1">
      <alignment horizontal="right" vertical="top" indent="1" shrinkToFit="1"/>
    </xf>
    <xf numFmtId="165" fontId="13" fillId="0" borderId="2" xfId="0" applyNumberFormat="1" applyFont="1" applyBorder="1" applyAlignment="1">
      <alignment horizontal="left" vertical="top" shrinkToFit="1"/>
    </xf>
    <xf numFmtId="165" fontId="13" fillId="0" borderId="2" xfId="0" applyNumberFormat="1" applyFont="1" applyBorder="1" applyAlignment="1">
      <alignment horizontal="left" vertical="top" indent="1" shrinkToFit="1"/>
    </xf>
    <xf numFmtId="0" fontId="0" fillId="0" borderId="2" xfId="0" applyBorder="1" applyAlignment="1">
      <alignment horizontal="left" vertical="center" wrapText="1"/>
    </xf>
    <xf numFmtId="2" fontId="13" fillId="0" borderId="2" xfId="0" applyNumberFormat="1" applyFont="1" applyBorder="1" applyAlignment="1">
      <alignment horizontal="right" vertical="top" indent="4" shrinkToFit="1"/>
    </xf>
    <xf numFmtId="2" fontId="13" fillId="0" borderId="2" xfId="0" applyNumberFormat="1" applyFont="1" applyBorder="1" applyAlignment="1">
      <alignment horizontal="right" vertical="top" indent="1" shrinkToFit="1"/>
    </xf>
    <xf numFmtId="0" fontId="0" fillId="0" borderId="3" xfId="0" applyBorder="1" applyAlignment="1">
      <alignment horizontal="left" vertical="center" wrapText="1"/>
    </xf>
    <xf numFmtId="0" fontId="0" fillId="0" borderId="0" xfId="0" applyAlignment="1">
      <alignment horizontal="left" wrapText="1"/>
    </xf>
    <xf numFmtId="0" fontId="6" fillId="0" borderId="0" xfId="0" applyFont="1" applyAlignment="1">
      <alignment horizontal="left" vertical="top" wrapText="1"/>
    </xf>
    <xf numFmtId="0" fontId="0" fillId="0" borderId="0" xfId="0" applyAlignment="1">
      <alignment horizontal="left" vertical="top" wrapText="1"/>
    </xf>
    <xf numFmtId="0" fontId="12" fillId="0" borderId="0" xfId="0" applyFont="1" applyAlignment="1">
      <alignment horizontal="left" vertical="top" wrapText="1"/>
    </xf>
    <xf numFmtId="0" fontId="8" fillId="0" borderId="0" xfId="0" applyFont="1" applyAlignment="1">
      <alignment horizontal="left" vertical="top" wrapText="1"/>
    </xf>
    <xf numFmtId="0" fontId="8" fillId="0" borderId="2" xfId="0" applyFont="1" applyBorder="1" applyAlignment="1">
      <alignment horizontal="left" vertical="top" wrapText="1" indent="2"/>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14" fillId="0" borderId="0" xfId="0" applyFont="1" applyAlignment="1">
      <alignment horizontal="left" vertical="top" wrapText="1"/>
    </xf>
    <xf numFmtId="0" fontId="0" fillId="0" borderId="0" xfId="0" applyAlignment="1">
      <alignment horizontal="left" vertical="top" wrapText="1" indent="1"/>
    </xf>
    <xf numFmtId="0" fontId="0" fillId="0" borderId="0" xfId="0" applyAlignment="1">
      <alignment vertical="top" wrapText="1"/>
    </xf>
    <xf numFmtId="0" fontId="8" fillId="0" borderId="0" xfId="0" applyFont="1" applyAlignment="1">
      <alignment vertical="top" wrapText="1"/>
    </xf>
    <xf numFmtId="0" fontId="8" fillId="0" borderId="2" xfId="0" applyFont="1" applyBorder="1" applyAlignment="1">
      <alignment vertical="top" wrapText="1"/>
    </xf>
    <xf numFmtId="0" fontId="14" fillId="0" borderId="0" xfId="0" applyFont="1" applyAlignment="1">
      <alignment vertical="top" wrapText="1"/>
    </xf>
    <xf numFmtId="0" fontId="8" fillId="0" borderId="3" xfId="0" applyFont="1" applyBorder="1" applyAlignment="1">
      <alignment vertical="top" wrapText="1"/>
    </xf>
    <xf numFmtId="0" fontId="0" fillId="0" borderId="0" xfId="0" applyAlignment="1">
      <alignment vertical="center" wrapText="1"/>
    </xf>
    <xf numFmtId="0" fontId="8" fillId="0" borderId="0" xfId="0" applyFont="1" applyBorder="1" applyAlignment="1">
      <alignment horizontal="left" vertical="top" wrapText="1"/>
    </xf>
    <xf numFmtId="0" fontId="8" fillId="0" borderId="0" xfId="0" applyFont="1" applyBorder="1" applyAlignment="1">
      <alignment vertical="top" wrapText="1"/>
    </xf>
    <xf numFmtId="0" fontId="8" fillId="0" borderId="0" xfId="0" applyFont="1" applyBorder="1" applyAlignment="1">
      <alignment horizontal="left" vertical="top" wrapText="1" indent="3"/>
    </xf>
    <xf numFmtId="165" fontId="13" fillId="0" borderId="0" xfId="0" applyNumberFormat="1" applyFont="1" applyBorder="1" applyAlignment="1">
      <alignment horizontal="left" vertical="top" shrinkToFit="1"/>
    </xf>
    <xf numFmtId="0" fontId="8" fillId="0" borderId="0" xfId="0" applyFont="1" applyBorder="1" applyAlignment="1">
      <alignment horizontal="center" vertical="top" wrapText="1"/>
    </xf>
    <xf numFmtId="165" fontId="13" fillId="0" borderId="0" xfId="0" applyNumberFormat="1" applyFont="1" applyBorder="1" applyAlignment="1">
      <alignment horizontal="left" vertical="top" indent="1" shrinkToFit="1"/>
    </xf>
    <xf numFmtId="0" fontId="0" fillId="0" borderId="0" xfId="0" applyBorder="1" applyAlignment="1">
      <alignment horizontal="left" vertical="center" wrapText="1"/>
    </xf>
    <xf numFmtId="2" fontId="13" fillId="0" borderId="0" xfId="0" applyNumberFormat="1" applyFont="1" applyBorder="1" applyAlignment="1">
      <alignment horizontal="right" vertical="top" indent="4" shrinkToFit="1"/>
    </xf>
    <xf numFmtId="2" fontId="13" fillId="0" borderId="0" xfId="0" applyNumberFormat="1" applyFont="1" applyBorder="1" applyAlignment="1">
      <alignment horizontal="right" vertical="top" indent="1" shrinkToFit="1"/>
    </xf>
    <xf numFmtId="0" fontId="8" fillId="0" borderId="0" xfId="0" applyFont="1" applyBorder="1" applyAlignment="1">
      <alignment horizontal="righ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1412740</xdr:colOff>
      <xdr:row>0</xdr:row>
      <xdr:rowOff>0</xdr:rowOff>
    </xdr:from>
    <xdr:ext cx="1255776" cy="68275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55776" cy="682751"/>
        </a:xfrm>
        <a:prstGeom prst="rect">
          <a:avLst/>
        </a:prstGeom>
      </xdr:spPr>
    </xdr:pic>
    <xdr:clientData/>
  </xdr:oneCellAnchor>
  <xdr:oneCellAnchor>
    <xdr:from>
      <xdr:col>0</xdr:col>
      <xdr:colOff>65023</xdr:colOff>
      <xdr:row>0</xdr:row>
      <xdr:rowOff>627887</xdr:rowOff>
    </xdr:from>
    <xdr:ext cx="6745605" cy="1524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6745605" cy="15240"/>
        </a:xfrm>
        <a:custGeom>
          <a:avLst/>
          <a:gdLst/>
          <a:ahLst/>
          <a:cxnLst/>
          <a:rect l="0" t="0" r="0" b="0"/>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122935</xdr:colOff>
      <xdr:row>0</xdr:row>
      <xdr:rowOff>256030</xdr:rowOff>
    </xdr:from>
    <xdr:ext cx="6687820" cy="3175"/>
    <xdr:sp macro="" textlink="">
      <xdr:nvSpPr>
        <xdr:cNvPr id="4" name="Shape 4">
          <a:extLst>
            <a:ext uri="{FF2B5EF4-FFF2-40B4-BE49-F238E27FC236}">
              <a16:creationId xmlns:a16="http://schemas.microsoft.com/office/drawing/2014/main" id="{00000000-0008-0000-0300-000004000000}"/>
            </a:ext>
          </a:extLst>
        </xdr:cNvPr>
        <xdr:cNvSpPr/>
      </xdr:nvSpPr>
      <xdr:spPr>
        <a:xfrm>
          <a:off x="0" y="0"/>
          <a:ext cx="6687820" cy="3175"/>
        </a:xfrm>
        <a:custGeom>
          <a:avLst/>
          <a:gdLst/>
          <a:ahLst/>
          <a:cxnLst/>
          <a:rect l="0" t="0" r="0" b="0"/>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859536</xdr:colOff>
      <xdr:row>0</xdr:row>
      <xdr:rowOff>212724</xdr:rowOff>
    </xdr:from>
    <xdr:ext cx="6687820" cy="3175"/>
    <xdr:sp macro="" textlink="">
      <xdr:nvSpPr>
        <xdr:cNvPr id="5" name="Shape 5">
          <a:extLst>
            <a:ext uri="{FF2B5EF4-FFF2-40B4-BE49-F238E27FC236}">
              <a16:creationId xmlns:a16="http://schemas.microsoft.com/office/drawing/2014/main" id="{00000000-0008-0000-0B00-000005000000}"/>
            </a:ext>
          </a:extLst>
        </xdr:cNvPr>
        <xdr:cNvSpPr/>
      </xdr:nvSpPr>
      <xdr:spPr>
        <a:xfrm>
          <a:off x="0" y="0"/>
          <a:ext cx="6687820" cy="3175"/>
        </a:xfrm>
        <a:custGeom>
          <a:avLst/>
          <a:gdLst/>
          <a:ahLst/>
          <a:cxnLst/>
          <a:rect l="0" t="0" r="0" b="0"/>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0</xdr:col>
      <xdr:colOff>91439</xdr:colOff>
      <xdr:row>0</xdr:row>
      <xdr:rowOff>226949</xdr:rowOff>
    </xdr:from>
    <xdr:ext cx="7592695" cy="0"/>
    <xdr:sp macro="" textlink="">
      <xdr:nvSpPr>
        <xdr:cNvPr id="6" name="Shape 6">
          <a:extLst>
            <a:ext uri="{FF2B5EF4-FFF2-40B4-BE49-F238E27FC236}">
              <a16:creationId xmlns:a16="http://schemas.microsoft.com/office/drawing/2014/main" id="{00000000-0008-0000-0B00-000006000000}"/>
            </a:ext>
          </a:extLst>
        </xdr:cNvPr>
        <xdr:cNvSpPr/>
      </xdr:nvSpPr>
      <xdr:spPr>
        <a:xfrm>
          <a:off x="0" y="0"/>
          <a:ext cx="7592695" cy="0"/>
        </a:xfrm>
        <a:custGeom>
          <a:avLst/>
          <a:gdLst/>
          <a:ahLst/>
          <a:cxnLst/>
          <a:rect l="0" t="0" r="0" b="0"/>
          <a:pathLst>
            <a:path w="7592695">
              <a:moveTo>
                <a:pt x="0" y="0"/>
              </a:moveTo>
              <a:lnTo>
                <a:pt x="7592567" y="0"/>
              </a:lnTo>
            </a:path>
          </a:pathLst>
        </a:custGeom>
        <a:ln w="3175">
          <a:solidFill>
            <a:srgbClr val="231F20"/>
          </a:solidFill>
          <a:prstDash val="lgDash"/>
        </a:ln>
      </xdr:spPr>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65532</xdr:colOff>
      <xdr:row>0</xdr:row>
      <xdr:rowOff>54864</xdr:rowOff>
    </xdr:from>
    <xdr:ext cx="2862580" cy="3175"/>
    <xdr:sp macro="" textlink="">
      <xdr:nvSpPr>
        <xdr:cNvPr id="7" name="Shape 7">
          <a:extLst>
            <a:ext uri="{FF2B5EF4-FFF2-40B4-BE49-F238E27FC236}">
              <a16:creationId xmlns:a16="http://schemas.microsoft.com/office/drawing/2014/main" id="{00000000-0008-0000-0D00-000007000000}"/>
            </a:ext>
          </a:extLst>
        </xdr:cNvPr>
        <xdr:cNvSpPr/>
      </xdr:nvSpPr>
      <xdr:spPr>
        <a:xfrm>
          <a:off x="0" y="0"/>
          <a:ext cx="2862580" cy="3175"/>
        </a:xfrm>
        <a:custGeom>
          <a:avLst/>
          <a:gdLst/>
          <a:ahLst/>
          <a:cxnLst/>
          <a:rect l="0" t="0" r="0" b="0"/>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ProducerCommissions@CignaHealthcare.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hyperlink" Target="mailto:ProducerCommissions@CignaHealthcare.com"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CARL@CignaHealthcar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
  <sheetViews>
    <sheetView workbookViewId="0"/>
  </sheetViews>
  <sheetFormatPr defaultRowHeight="12.75" x14ac:dyDescent="0.2"/>
  <cols>
    <col min="1" max="1" width="50.5" customWidth="1"/>
    <col min="2" max="2" width="77.33203125" customWidth="1"/>
  </cols>
  <sheetData>
    <row r="1" spans="1:2" ht="216.6" customHeight="1" x14ac:dyDescent="0.2">
      <c r="A1" s="1" t="s">
        <v>0</v>
      </c>
      <c r="B1" s="2" t="s">
        <v>1</v>
      </c>
    </row>
  </sheetData>
  <hyperlinks>
    <hyperlink ref="B1" r:id="rId1" display="mailto:ProducerCommissions@CignaHealthcare.com"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cols>
    <col min="1" max="1" width="128" customWidth="1"/>
  </cols>
  <sheetData>
    <row r="1" spans="1:1" ht="24" customHeight="1" x14ac:dyDescent="0.2">
      <c r="A1" s="3"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
  <sheetViews>
    <sheetView workbookViewId="0"/>
  </sheetViews>
  <sheetFormatPr defaultRowHeight="12.75" x14ac:dyDescent="0.2"/>
  <cols>
    <col min="1" max="1" width="50.5" customWidth="1"/>
    <col min="2" max="2" width="53.1640625" customWidth="1"/>
    <col min="3" max="3" width="24.1640625" customWidth="1"/>
  </cols>
  <sheetData>
    <row r="1" spans="1:3" ht="25.5" customHeight="1" x14ac:dyDescent="0.2">
      <c r="A1" s="4" t="s">
        <v>3</v>
      </c>
      <c r="B1" s="5" t="s">
        <v>4</v>
      </c>
      <c r="C1" s="5"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75" x14ac:dyDescent="0.2"/>
  <cols>
    <col min="1" max="1" width="128" customWidth="1"/>
  </cols>
  <sheetData>
    <row r="1" spans="1:1" ht="38.25" customHeight="1" x14ac:dyDescent="0.2">
      <c r="A1" s="6" t="s">
        <v>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75" x14ac:dyDescent="0.2"/>
  <cols>
    <col min="1" max="1" width="128" customWidth="1"/>
  </cols>
  <sheetData>
    <row r="1" spans="1:1" ht="35.85" customHeight="1" x14ac:dyDescent="0.2">
      <c r="A1" s="6" t="s">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2.75" x14ac:dyDescent="0.2"/>
  <cols>
    <col min="1" max="1" width="128" customWidth="1"/>
  </cols>
  <sheetData>
    <row r="1" spans="1:1" ht="9.75" customHeight="1" x14ac:dyDescent="0.2">
      <c r="A1" s="7" t="s">
        <v>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2.75" x14ac:dyDescent="0.2"/>
  <cols>
    <col min="1" max="1" width="128" customWidth="1"/>
  </cols>
  <sheetData>
    <row r="1" spans="1:1" ht="13.5" customHeight="1" x14ac:dyDescent="0.2">
      <c r="A1" s="5" t="s">
        <v>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defaultRowHeight="12.75" x14ac:dyDescent="0.2"/>
  <cols>
    <col min="1" max="1" width="108.1640625" customWidth="1"/>
    <col min="2" max="2" width="19.5" customWidth="1"/>
  </cols>
  <sheetData>
    <row r="1" spans="1:2" ht="18" customHeight="1" x14ac:dyDescent="0.2">
      <c r="A1" s="8" t="s">
        <v>10</v>
      </c>
      <c r="B1" s="9" t="s">
        <v>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2.75" x14ac:dyDescent="0.2"/>
  <cols>
    <col min="1" max="1" width="128" customWidth="1"/>
  </cols>
  <sheetData>
    <row r="1" spans="1:1" ht="16.5" customHeight="1" x14ac:dyDescent="0.2">
      <c r="A1" s="6" t="s">
        <v>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2.75" x14ac:dyDescent="0.2"/>
  <cols>
    <col min="1" max="1" width="22.1640625" customWidth="1"/>
  </cols>
  <sheetData>
    <row r="1" spans="1:1" ht="24.6" customHeight="1" x14ac:dyDescent="0.2">
      <c r="A1" s="10">
        <v>16.329999999999998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RowHeight="12.75" x14ac:dyDescent="0.2"/>
  <cols>
    <col min="1" max="1" width="11.83203125" customWidth="1"/>
    <col min="2" max="2" width="116" customWidth="1"/>
  </cols>
  <sheetData>
    <row r="1" spans="1:2" ht="38.25" customHeight="1" x14ac:dyDescent="0.2">
      <c r="A1" s="6" t="s">
        <v>13</v>
      </c>
      <c r="B1" s="11" t="s">
        <v>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3"/>
  <sheetViews>
    <sheetView workbookViewId="0"/>
  </sheetViews>
  <sheetFormatPr defaultRowHeight="12.75" x14ac:dyDescent="0.2"/>
  <cols>
    <col min="1" max="1" width="128" customWidth="1"/>
  </cols>
  <sheetData>
    <row r="1" spans="1:1" ht="24.75" customHeight="1" x14ac:dyDescent="0.2">
      <c r="A1" s="12" t="s">
        <v>15</v>
      </c>
    </row>
    <row r="2" spans="1:1" ht="0.95" customHeight="1" x14ac:dyDescent="0.2"/>
    <row r="3" spans="1:1" ht="0.95" customHeight="1" x14ac:dyDescent="0.2"/>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
  <sheetViews>
    <sheetView workbookViewId="0"/>
  </sheetViews>
  <sheetFormatPr defaultRowHeight="12.75" x14ac:dyDescent="0.2"/>
  <cols>
    <col min="1" max="1" width="47.33203125" customWidth="1"/>
    <col min="2" max="2" width="41.5" customWidth="1"/>
    <col min="3" max="3" width="90.1640625" customWidth="1"/>
  </cols>
  <sheetData>
    <row r="1" spans="1:3" ht="63" customHeight="1" x14ac:dyDescent="0.15">
      <c r="A1" s="13" t="s">
        <v>16</v>
      </c>
      <c r="B1" s="14" t="s">
        <v>17</v>
      </c>
      <c r="C1" s="15" t="s">
        <v>18</v>
      </c>
    </row>
  </sheetData>
  <hyperlinks>
    <hyperlink ref="C1" r:id="rId1" display="mailto:ProducerCommissions@CignaHealthcare.com"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
  <sheetViews>
    <sheetView workbookViewId="0"/>
  </sheetViews>
  <sheetFormatPr defaultRowHeight="12.75" x14ac:dyDescent="0.2"/>
  <cols>
    <col min="1" max="1" width="88.83203125" customWidth="1"/>
    <col min="2" max="2" width="90.5" customWidth="1"/>
  </cols>
  <sheetData>
    <row r="1" spans="1:2" ht="101.1" customHeight="1" x14ac:dyDescent="0.2">
      <c r="A1" s="16" t="s">
        <v>19</v>
      </c>
      <c r="B1" s="15" t="s">
        <v>20</v>
      </c>
    </row>
  </sheetData>
  <hyperlinks>
    <hyperlink ref="B1" r:id="rId1" display="mailto:CARL@CignaHealthcare.com" xr:uid="{00000000-0004-0000-0D00-000000000000}"/>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4"/>
  <sheetViews>
    <sheetView workbookViewId="0"/>
  </sheetViews>
  <sheetFormatPr defaultRowHeight="12.75" x14ac:dyDescent="0.2"/>
  <cols>
    <col min="1" max="1" width="28" customWidth="1"/>
    <col min="2" max="2" width="40.1640625" customWidth="1"/>
    <col min="3" max="3" width="30.6640625" customWidth="1"/>
    <col min="4" max="4" width="7.5" customWidth="1"/>
    <col min="5" max="5" width="17.5" customWidth="1"/>
    <col min="6" max="6" width="8.5" customWidth="1"/>
    <col min="7" max="7" width="43.1640625" customWidth="1"/>
  </cols>
  <sheetData>
    <row r="1" spans="1:7" ht="20.45" customHeight="1" x14ac:dyDescent="0.2">
      <c r="A1" s="17" t="s">
        <v>21</v>
      </c>
      <c r="B1" s="18" t="s">
        <v>22</v>
      </c>
      <c r="C1" s="19" t="s">
        <v>23</v>
      </c>
      <c r="D1" s="20" t="s">
        <v>24</v>
      </c>
      <c r="E1" s="21" t="s">
        <v>25</v>
      </c>
      <c r="F1" s="20" t="s">
        <v>26</v>
      </c>
      <c r="G1" s="22" t="s">
        <v>27</v>
      </c>
    </row>
    <row r="2" spans="1:7" ht="16.350000000000001" customHeight="1" x14ac:dyDescent="0.2">
      <c r="A2" s="23" t="s">
        <v>28</v>
      </c>
      <c r="B2" s="24"/>
      <c r="C2" s="24"/>
      <c r="D2" s="24"/>
      <c r="E2" s="24"/>
      <c r="F2" s="24"/>
      <c r="G2" s="25">
        <v>0</v>
      </c>
    </row>
    <row r="3" spans="1:7" ht="16.350000000000001" customHeight="1" x14ac:dyDescent="0.2">
      <c r="A3" s="26" t="s">
        <v>29</v>
      </c>
      <c r="B3" s="27" t="s">
        <v>30</v>
      </c>
      <c r="C3" s="28"/>
      <c r="D3" s="26" t="s">
        <v>31</v>
      </c>
      <c r="E3" s="28"/>
      <c r="F3" s="28"/>
      <c r="G3" s="29">
        <v>16.329999999999998</v>
      </c>
    </row>
    <row r="4" spans="1:7" ht="13.5" customHeight="1" x14ac:dyDescent="0.2">
      <c r="A4" s="23" t="s">
        <v>32</v>
      </c>
      <c r="B4" s="24"/>
      <c r="C4" s="24"/>
      <c r="D4" s="24"/>
      <c r="E4" s="24"/>
      <c r="F4" s="24"/>
      <c r="G4" s="30">
        <v>16.329999999999998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defaultRowHeight="12.75" x14ac:dyDescent="0.2"/>
  <cols>
    <col min="1" max="1" width="179.33203125" customWidth="1"/>
  </cols>
  <sheetData>
    <row r="1" spans="1:1" ht="38.25" customHeight="1" x14ac:dyDescent="0.2">
      <c r="A1" s="6" t="s">
        <v>33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defaultRowHeight="12.75" x14ac:dyDescent="0.2"/>
  <cols>
    <col min="1" max="1" width="179.33203125" customWidth="1"/>
  </cols>
  <sheetData>
    <row r="1" spans="1:1" ht="25.5" customHeight="1" x14ac:dyDescent="0.2">
      <c r="A1" s="6" t="s">
        <v>34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6"/>
  <sheetViews>
    <sheetView workbookViewId="0">
      <selection sqref="A1:XFD1048576"/>
    </sheetView>
  </sheetViews>
  <sheetFormatPr defaultRowHeight="12.75" x14ac:dyDescent="0.2"/>
  <cols>
    <col min="1" max="1" width="11.33203125" customWidth="1"/>
    <col min="2" max="2" width="6.6640625" customWidth="1"/>
    <col min="3" max="3" width="9.83203125" customWidth="1"/>
    <col min="4" max="4" width="21.5" customWidth="1"/>
    <col min="5" max="5" width="8.5" customWidth="1"/>
    <col min="6" max="6" width="10" customWidth="1"/>
    <col min="7" max="7" width="11.1640625" customWidth="1"/>
    <col min="8" max="8" width="13.5" customWidth="1"/>
    <col min="9" max="9" width="13.33203125" customWidth="1"/>
    <col min="10" max="10" width="26" customWidth="1"/>
    <col min="11" max="11" width="19.83203125" customWidth="1"/>
    <col min="12" max="12" width="10.5" customWidth="1"/>
    <col min="13" max="13" width="8.5" customWidth="1"/>
  </cols>
  <sheetData>
    <row r="1" spans="1:13" ht="27.75" customHeight="1" x14ac:dyDescent="0.2">
      <c r="A1" s="62" t="s">
        <v>35</v>
      </c>
      <c r="B1" s="62"/>
      <c r="C1" s="62"/>
      <c r="D1" s="62"/>
      <c r="E1" s="16"/>
      <c r="F1" s="16"/>
      <c r="G1" s="16"/>
      <c r="H1" s="16"/>
      <c r="I1" s="16"/>
      <c r="J1" s="16"/>
      <c r="K1" s="16" t="s">
        <v>36</v>
      </c>
      <c r="L1" s="63"/>
      <c r="M1" s="63"/>
    </row>
    <row r="2" spans="1:13" ht="27.2" customHeight="1" x14ac:dyDescent="0.2">
      <c r="A2" s="64" t="s">
        <v>37</v>
      </c>
      <c r="B2" s="64"/>
      <c r="C2" s="64"/>
      <c r="D2" s="64"/>
      <c r="E2" s="16"/>
      <c r="F2" s="16"/>
      <c r="G2" s="16"/>
      <c r="H2" s="16"/>
      <c r="I2" s="16"/>
      <c r="J2" s="16"/>
      <c r="K2" s="16"/>
      <c r="L2" s="63"/>
      <c r="M2" s="63"/>
    </row>
    <row r="3" spans="1:13" ht="16.7" customHeight="1" x14ac:dyDescent="0.2">
      <c r="A3" s="31" t="s">
        <v>38</v>
      </c>
      <c r="B3" s="65" t="s">
        <v>39</v>
      </c>
      <c r="C3" s="65"/>
      <c r="D3" s="65"/>
      <c r="E3" s="32" t="s">
        <v>40</v>
      </c>
      <c r="F3" s="33"/>
      <c r="G3" s="33"/>
      <c r="H3" s="33"/>
      <c r="I3" s="33"/>
      <c r="J3" s="33"/>
      <c r="K3" s="34" t="s">
        <v>41</v>
      </c>
      <c r="L3" s="33"/>
      <c r="M3" s="35" t="s">
        <v>42</v>
      </c>
    </row>
    <row r="4" spans="1:13" ht="12.2" customHeight="1" x14ac:dyDescent="0.2">
      <c r="A4" s="17" t="s">
        <v>43</v>
      </c>
      <c r="B4" s="17" t="s">
        <v>44</v>
      </c>
      <c r="C4" s="66" t="s">
        <v>45</v>
      </c>
      <c r="D4" s="66"/>
      <c r="E4" s="36" t="s">
        <v>46</v>
      </c>
      <c r="F4" s="17" t="s">
        <v>47</v>
      </c>
      <c r="G4" s="37" t="s">
        <v>48</v>
      </c>
      <c r="H4" s="38" t="s">
        <v>49</v>
      </c>
      <c r="I4" s="67" t="s">
        <v>50</v>
      </c>
      <c r="J4" s="67"/>
      <c r="K4" s="39" t="s">
        <v>51</v>
      </c>
      <c r="L4" s="40" t="s">
        <v>42</v>
      </c>
      <c r="M4" s="41" t="s">
        <v>52</v>
      </c>
    </row>
    <row r="5" spans="1:13" ht="16.5" customHeight="1" x14ac:dyDescent="0.2">
      <c r="A5" s="42" t="s">
        <v>53</v>
      </c>
      <c r="B5" s="68" t="s">
        <v>54</v>
      </c>
      <c r="C5" s="68"/>
      <c r="D5" s="68"/>
      <c r="E5" s="43" t="s">
        <v>55</v>
      </c>
      <c r="F5" s="44">
        <v>45586</v>
      </c>
      <c r="G5" s="45" t="s">
        <v>56</v>
      </c>
      <c r="H5" s="46">
        <v>45658</v>
      </c>
      <c r="I5" s="44">
        <v>45900</v>
      </c>
      <c r="J5" s="42" t="s">
        <v>57</v>
      </c>
      <c r="K5" s="47">
        <v>2</v>
      </c>
      <c r="L5" s="48">
        <v>-0.67</v>
      </c>
      <c r="M5" s="49" t="s">
        <v>58</v>
      </c>
    </row>
    <row r="6" spans="1:13" ht="15.95" customHeight="1" x14ac:dyDescent="0.2">
      <c r="A6" s="31" t="s">
        <v>59</v>
      </c>
      <c r="B6" s="65" t="s">
        <v>60</v>
      </c>
      <c r="C6" s="65"/>
      <c r="D6" s="65"/>
      <c r="E6" s="32" t="s">
        <v>55</v>
      </c>
      <c r="F6" s="50">
        <v>45894</v>
      </c>
      <c r="G6" s="51" t="s">
        <v>56</v>
      </c>
      <c r="H6" s="52">
        <v>45901</v>
      </c>
      <c r="I6" s="33"/>
      <c r="J6" s="31" t="s">
        <v>61</v>
      </c>
      <c r="K6" s="53">
        <v>2</v>
      </c>
      <c r="L6" s="54">
        <v>2</v>
      </c>
      <c r="M6" s="35" t="s">
        <v>58</v>
      </c>
    </row>
    <row r="7" spans="1:13" ht="15.95" customHeight="1" x14ac:dyDescent="0.2">
      <c r="A7" s="31" t="s">
        <v>62</v>
      </c>
      <c r="B7" s="65" t="s">
        <v>63</v>
      </c>
      <c r="C7" s="65"/>
      <c r="D7" s="65"/>
      <c r="E7" s="32" t="s">
        <v>55</v>
      </c>
      <c r="F7" s="50">
        <v>45895</v>
      </c>
      <c r="G7" s="51" t="s">
        <v>56</v>
      </c>
      <c r="H7" s="52">
        <v>45931</v>
      </c>
      <c r="I7" s="33"/>
      <c r="J7" s="31" t="s">
        <v>61</v>
      </c>
      <c r="K7" s="53">
        <v>2</v>
      </c>
      <c r="L7" s="54">
        <v>2</v>
      </c>
      <c r="M7" s="35" t="s">
        <v>58</v>
      </c>
    </row>
    <row r="8" spans="1:13" ht="15.95" customHeight="1" x14ac:dyDescent="0.2">
      <c r="A8" s="65" t="s">
        <v>64</v>
      </c>
      <c r="B8" s="65"/>
      <c r="C8" s="65"/>
      <c r="D8" s="65"/>
      <c r="E8" s="32" t="s">
        <v>55</v>
      </c>
      <c r="F8" s="50">
        <v>45894</v>
      </c>
      <c r="G8" s="51" t="s">
        <v>56</v>
      </c>
      <c r="H8" s="52">
        <v>45901</v>
      </c>
      <c r="I8" s="33"/>
      <c r="J8" s="31" t="s">
        <v>61</v>
      </c>
      <c r="K8" s="53">
        <v>2</v>
      </c>
      <c r="L8" s="54">
        <v>2</v>
      </c>
      <c r="M8" s="35" t="s">
        <v>58</v>
      </c>
    </row>
    <row r="9" spans="1:13" ht="15.95" customHeight="1" x14ac:dyDescent="0.2">
      <c r="A9" s="31" t="s">
        <v>65</v>
      </c>
      <c r="B9" s="65" t="s">
        <v>66</v>
      </c>
      <c r="C9" s="65"/>
      <c r="D9" s="65"/>
      <c r="E9" s="32" t="s">
        <v>67</v>
      </c>
      <c r="F9" s="50">
        <v>45889</v>
      </c>
      <c r="G9" s="51" t="s">
        <v>68</v>
      </c>
      <c r="H9" s="52">
        <v>45901</v>
      </c>
      <c r="I9" s="33"/>
      <c r="J9" s="31" t="s">
        <v>61</v>
      </c>
      <c r="K9" s="53">
        <v>2</v>
      </c>
      <c r="L9" s="54">
        <v>2</v>
      </c>
      <c r="M9" s="35" t="s">
        <v>58</v>
      </c>
    </row>
    <row r="10" spans="1:13" ht="15.95" customHeight="1" x14ac:dyDescent="0.2">
      <c r="A10" s="31" t="s">
        <v>65</v>
      </c>
      <c r="B10" s="65" t="s">
        <v>66</v>
      </c>
      <c r="C10" s="65"/>
      <c r="D10" s="65"/>
      <c r="E10" s="32" t="s">
        <v>67</v>
      </c>
      <c r="F10" s="50">
        <v>45889</v>
      </c>
      <c r="G10" s="51" t="s">
        <v>68</v>
      </c>
      <c r="H10" s="52">
        <v>45901</v>
      </c>
      <c r="I10" s="33"/>
      <c r="J10" s="31" t="s">
        <v>61</v>
      </c>
      <c r="K10" s="53">
        <v>12</v>
      </c>
      <c r="L10" s="54">
        <v>4</v>
      </c>
      <c r="M10" s="35" t="s">
        <v>69</v>
      </c>
    </row>
    <row r="11" spans="1:13" ht="15.95" customHeight="1" x14ac:dyDescent="0.2">
      <c r="A11" s="31" t="s">
        <v>70</v>
      </c>
      <c r="B11" s="65" t="s">
        <v>71</v>
      </c>
      <c r="C11" s="65"/>
      <c r="D11" s="65"/>
      <c r="E11" s="32" t="s">
        <v>72</v>
      </c>
      <c r="F11" s="50">
        <v>45896</v>
      </c>
      <c r="G11" s="51" t="s">
        <v>68</v>
      </c>
      <c r="H11" s="52">
        <v>45931</v>
      </c>
      <c r="I11" s="33"/>
      <c r="J11" s="31" t="s">
        <v>61</v>
      </c>
      <c r="K11" s="53">
        <v>12</v>
      </c>
      <c r="L11" s="54">
        <v>3</v>
      </c>
      <c r="M11" s="35" t="s">
        <v>69</v>
      </c>
    </row>
    <row r="12" spans="1:13" ht="15.75" customHeight="1" x14ac:dyDescent="0.2">
      <c r="A12" s="17" t="s">
        <v>70</v>
      </c>
      <c r="B12" s="67" t="s">
        <v>71</v>
      </c>
      <c r="C12" s="67"/>
      <c r="D12" s="67"/>
      <c r="E12" s="36" t="s">
        <v>72</v>
      </c>
      <c r="F12" s="55">
        <v>45896</v>
      </c>
      <c r="G12" s="37" t="s">
        <v>68</v>
      </c>
      <c r="H12" s="56">
        <v>45931</v>
      </c>
      <c r="I12" s="57"/>
      <c r="J12" s="17" t="s">
        <v>61</v>
      </c>
      <c r="K12" s="58">
        <v>2</v>
      </c>
      <c r="L12" s="59">
        <v>2</v>
      </c>
      <c r="M12" s="41" t="s">
        <v>58</v>
      </c>
    </row>
    <row r="13" spans="1:13" ht="15" customHeight="1" x14ac:dyDescent="0.2">
      <c r="A13" s="68" t="s">
        <v>73</v>
      </c>
      <c r="B13" s="68"/>
      <c r="C13" s="68"/>
      <c r="D13" s="68"/>
      <c r="E13" s="60"/>
      <c r="F13" s="60"/>
      <c r="G13" s="60"/>
      <c r="H13" s="60"/>
      <c r="I13" s="60"/>
      <c r="J13" s="60"/>
      <c r="K13" s="60"/>
      <c r="L13" s="48">
        <v>16.329999999999998</v>
      </c>
      <c r="M13" s="60"/>
    </row>
    <row r="14" spans="1:13" ht="10.7" customHeight="1" x14ac:dyDescent="0.2">
      <c r="A14" s="69" t="s">
        <v>74</v>
      </c>
      <c r="B14" s="69"/>
      <c r="C14" s="69"/>
      <c r="D14" s="69"/>
      <c r="E14" s="61"/>
      <c r="F14" s="61"/>
      <c r="G14" s="61"/>
      <c r="H14" s="61"/>
      <c r="I14" s="61"/>
      <c r="J14" s="61"/>
      <c r="K14" s="61"/>
      <c r="L14" s="61"/>
      <c r="M14" s="61"/>
    </row>
    <row r="15" spans="1:13" ht="9.75" customHeight="1" x14ac:dyDescent="0.2">
      <c r="A15" s="63" t="s">
        <v>75</v>
      </c>
      <c r="B15" s="63"/>
      <c r="C15" s="63"/>
      <c r="D15" s="70" t="s">
        <v>76</v>
      </c>
      <c r="E15" s="70"/>
      <c r="F15" s="70"/>
      <c r="G15" s="70"/>
      <c r="H15" s="70"/>
      <c r="I15" s="70"/>
      <c r="J15" s="70"/>
      <c r="K15" s="70"/>
      <c r="L15" s="70"/>
      <c r="M15" s="70"/>
    </row>
    <row r="16" spans="1:13" ht="9.75" customHeight="1" x14ac:dyDescent="0.2">
      <c r="A16" s="63" t="s">
        <v>77</v>
      </c>
      <c r="B16" s="63"/>
      <c r="C16" s="63"/>
      <c r="D16" s="70" t="s">
        <v>78</v>
      </c>
      <c r="E16" s="70"/>
      <c r="F16" s="70"/>
      <c r="G16" s="70"/>
      <c r="H16" s="70"/>
      <c r="I16" s="70"/>
      <c r="J16" s="70"/>
      <c r="K16" s="70"/>
      <c r="L16" s="70"/>
      <c r="M16" s="70"/>
    </row>
  </sheetData>
  <mergeCells count="20">
    <mergeCell ref="A15:C15"/>
    <mergeCell ref="D15:M15"/>
    <mergeCell ref="A16:C16"/>
    <mergeCell ref="D16:M16"/>
    <mergeCell ref="B10:D10"/>
    <mergeCell ref="B11:D11"/>
    <mergeCell ref="B12:D12"/>
    <mergeCell ref="A13:D13"/>
    <mergeCell ref="A14:D14"/>
    <mergeCell ref="B5:D5"/>
    <mergeCell ref="B6:D6"/>
    <mergeCell ref="B7:D7"/>
    <mergeCell ref="A8:D8"/>
    <mergeCell ref="B9:D9"/>
    <mergeCell ref="A1:D1"/>
    <mergeCell ref="L1:M2"/>
    <mergeCell ref="A2:D2"/>
    <mergeCell ref="B3:D3"/>
    <mergeCell ref="C4:D4"/>
    <mergeCell ref="I4:J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5CAEB-CEA9-41EF-B1B1-5D2727DCBD72}">
  <dimension ref="A1:P13"/>
  <sheetViews>
    <sheetView tabSelected="1" topLeftCell="B1" workbookViewId="0">
      <selection activeCell="N3" sqref="N3:N10"/>
    </sheetView>
  </sheetViews>
  <sheetFormatPr defaultRowHeight="12.75" x14ac:dyDescent="0.2"/>
  <cols>
    <col min="1" max="1" width="44.1640625" bestFit="1" customWidth="1"/>
    <col min="2" max="2" width="44.1640625" customWidth="1"/>
    <col min="3" max="3" width="30" bestFit="1" customWidth="1"/>
    <col min="4" max="6" width="30" customWidth="1"/>
    <col min="7" max="7" width="8.5" customWidth="1"/>
    <col min="8" max="8" width="10" customWidth="1"/>
    <col min="9" max="9" width="11.1640625" customWidth="1"/>
    <col min="10" max="10" width="13.5" customWidth="1"/>
    <col min="11" max="11" width="13.33203125" customWidth="1"/>
    <col min="12" max="12" width="26" customWidth="1"/>
    <col min="13" max="13" width="19.83203125" customWidth="1"/>
    <col min="14" max="14" width="10.5" customWidth="1"/>
    <col min="15" max="15" width="8.5" customWidth="1"/>
  </cols>
  <sheetData>
    <row r="1" spans="1:16" ht="16.7" customHeight="1" x14ac:dyDescent="0.2">
      <c r="A1" s="72" t="s">
        <v>38</v>
      </c>
      <c r="B1" s="72"/>
      <c r="C1" s="72" t="s">
        <v>39</v>
      </c>
      <c r="D1" s="72"/>
      <c r="E1" s="72"/>
      <c r="F1" s="72"/>
      <c r="G1" s="32" t="s">
        <v>40</v>
      </c>
      <c r="H1" s="33"/>
      <c r="I1" s="33"/>
      <c r="J1" s="33"/>
      <c r="K1" s="33"/>
      <c r="L1" s="33"/>
      <c r="M1" s="34" t="s">
        <v>41</v>
      </c>
      <c r="N1" s="76"/>
      <c r="O1" s="72" t="s">
        <v>42</v>
      </c>
    </row>
    <row r="2" spans="1:16" ht="12.2" customHeight="1" x14ac:dyDescent="0.2">
      <c r="A2" s="73" t="s">
        <v>43</v>
      </c>
      <c r="B2" s="73"/>
      <c r="C2" s="73" t="s">
        <v>44</v>
      </c>
      <c r="D2" s="73"/>
      <c r="E2" s="73"/>
      <c r="F2" s="73"/>
      <c r="G2" s="36" t="s">
        <v>46</v>
      </c>
      <c r="H2" s="17" t="s">
        <v>47</v>
      </c>
      <c r="I2" s="37" t="s">
        <v>48</v>
      </c>
      <c r="J2" s="38" t="s">
        <v>49</v>
      </c>
      <c r="K2" s="73" t="s">
        <v>50</v>
      </c>
      <c r="L2" s="73"/>
      <c r="M2" s="39" t="s">
        <v>51</v>
      </c>
      <c r="N2" s="73" t="s">
        <v>42</v>
      </c>
      <c r="O2" s="73" t="s">
        <v>52</v>
      </c>
    </row>
    <row r="3" spans="1:16" ht="16.5" customHeight="1" x14ac:dyDescent="0.2">
      <c r="A3" s="42" t="s">
        <v>53</v>
      </c>
      <c r="B3" s="42" t="str">
        <f>CONCATENATE(A3,1)</f>
        <v>2CG9QK1KY431</v>
      </c>
      <c r="C3" s="75">
        <v>19439324501</v>
      </c>
      <c r="D3" s="75" t="s">
        <v>80</v>
      </c>
      <c r="E3" s="75" t="s">
        <v>87</v>
      </c>
      <c r="F3" s="75">
        <v>20411454</v>
      </c>
      <c r="G3" s="43" t="s">
        <v>55</v>
      </c>
      <c r="H3" s="44">
        <v>45586</v>
      </c>
      <c r="I3" s="45" t="s">
        <v>56</v>
      </c>
      <c r="J3" s="46">
        <v>45658</v>
      </c>
      <c r="K3" s="44">
        <v>45900</v>
      </c>
      <c r="L3" s="42" t="s">
        <v>57</v>
      </c>
      <c r="M3" s="47">
        <v>2</v>
      </c>
      <c r="N3" s="48">
        <v>-0.67</v>
      </c>
      <c r="O3" s="49" t="s">
        <v>58</v>
      </c>
      <c r="P3" t="s">
        <v>89</v>
      </c>
    </row>
    <row r="4" spans="1:16" ht="15.95" customHeight="1" x14ac:dyDescent="0.2">
      <c r="A4" s="31" t="s">
        <v>59</v>
      </c>
      <c r="B4" s="42" t="str">
        <f t="shared" ref="B4:B8" si="0">CONCATENATE(A4,1)</f>
        <v>1WC2P97FK801</v>
      </c>
      <c r="C4" s="72">
        <v>20381474401</v>
      </c>
      <c r="D4" s="72" t="s">
        <v>81</v>
      </c>
      <c r="E4" s="75" t="s">
        <v>87</v>
      </c>
      <c r="F4" s="75">
        <v>20411454</v>
      </c>
      <c r="G4" s="32" t="s">
        <v>55</v>
      </c>
      <c r="H4" s="50">
        <v>45894</v>
      </c>
      <c r="I4" s="51" t="s">
        <v>56</v>
      </c>
      <c r="J4" s="52">
        <v>45901</v>
      </c>
      <c r="K4" s="33"/>
      <c r="L4" s="31" t="s">
        <v>61</v>
      </c>
      <c r="M4" s="53">
        <v>2</v>
      </c>
      <c r="N4" s="54">
        <v>2</v>
      </c>
      <c r="O4" s="35" t="s">
        <v>58</v>
      </c>
      <c r="P4" t="s">
        <v>89</v>
      </c>
    </row>
    <row r="5" spans="1:16" ht="15.95" customHeight="1" x14ac:dyDescent="0.2">
      <c r="A5" s="31" t="s">
        <v>62</v>
      </c>
      <c r="B5" s="42" t="str">
        <f t="shared" si="0"/>
        <v>5RD0RQ1EG361</v>
      </c>
      <c r="C5" s="72">
        <v>20382998101</v>
      </c>
      <c r="D5" s="72" t="s">
        <v>82</v>
      </c>
      <c r="E5" s="75" t="s">
        <v>87</v>
      </c>
      <c r="F5" s="75">
        <v>20411454</v>
      </c>
      <c r="G5" s="32" t="s">
        <v>55</v>
      </c>
      <c r="H5" s="50">
        <v>45895</v>
      </c>
      <c r="I5" s="51" t="s">
        <v>56</v>
      </c>
      <c r="J5" s="52">
        <v>45931</v>
      </c>
      <c r="K5" s="33"/>
      <c r="L5" s="31" t="s">
        <v>61</v>
      </c>
      <c r="M5" s="53">
        <v>2</v>
      </c>
      <c r="N5" s="54">
        <v>2</v>
      </c>
      <c r="O5" s="35" t="s">
        <v>58</v>
      </c>
      <c r="P5" t="s">
        <v>89</v>
      </c>
    </row>
    <row r="6" spans="1:16" ht="15.95" customHeight="1" x14ac:dyDescent="0.2">
      <c r="A6" s="72" t="s">
        <v>79</v>
      </c>
      <c r="B6" s="42" t="str">
        <f t="shared" si="0"/>
        <v>2KQ9GH8WP121</v>
      </c>
      <c r="C6" s="72">
        <v>20381577401</v>
      </c>
      <c r="D6" s="72" t="s">
        <v>83</v>
      </c>
      <c r="E6" s="75" t="s">
        <v>87</v>
      </c>
      <c r="F6" s="75">
        <v>20411454</v>
      </c>
      <c r="G6" s="32" t="s">
        <v>55</v>
      </c>
      <c r="H6" s="50">
        <v>45894</v>
      </c>
      <c r="I6" s="51" t="s">
        <v>56</v>
      </c>
      <c r="J6" s="52">
        <v>45901</v>
      </c>
      <c r="K6" s="33"/>
      <c r="L6" s="31" t="s">
        <v>61</v>
      </c>
      <c r="M6" s="53">
        <v>2</v>
      </c>
      <c r="N6" s="54">
        <v>2</v>
      </c>
      <c r="O6" s="35" t="s">
        <v>58</v>
      </c>
      <c r="P6" t="s">
        <v>89</v>
      </c>
    </row>
    <row r="7" spans="1:16" ht="15.95" customHeight="1" x14ac:dyDescent="0.2">
      <c r="A7" s="31" t="s">
        <v>65</v>
      </c>
      <c r="B7" s="42" t="str">
        <f t="shared" si="0"/>
        <v>8YJ9H55CD101</v>
      </c>
      <c r="C7" s="72">
        <v>20376412101</v>
      </c>
      <c r="D7" s="72" t="s">
        <v>84</v>
      </c>
      <c r="E7" s="75" t="s">
        <v>87</v>
      </c>
      <c r="F7" s="75">
        <v>20411454</v>
      </c>
      <c r="G7" s="32" t="s">
        <v>67</v>
      </c>
      <c r="H7" s="50">
        <v>45889</v>
      </c>
      <c r="I7" s="51" t="s">
        <v>68</v>
      </c>
      <c r="J7" s="52">
        <v>45901</v>
      </c>
      <c r="K7" s="33"/>
      <c r="L7" s="31" t="s">
        <v>61</v>
      </c>
      <c r="M7" s="53">
        <v>2</v>
      </c>
      <c r="N7" s="54">
        <v>2</v>
      </c>
      <c r="O7" s="35" t="s">
        <v>58</v>
      </c>
      <c r="P7" t="s">
        <v>89</v>
      </c>
    </row>
    <row r="8" spans="1:16" ht="15.95" customHeight="1" x14ac:dyDescent="0.2">
      <c r="A8" s="77" t="s">
        <v>70</v>
      </c>
      <c r="B8" s="42" t="str">
        <f t="shared" si="0"/>
        <v>6CC7FY7YF441</v>
      </c>
      <c r="C8" s="78">
        <v>20383917001</v>
      </c>
      <c r="D8" s="78" t="s">
        <v>85</v>
      </c>
      <c r="E8" s="75" t="s">
        <v>87</v>
      </c>
      <c r="F8" s="75">
        <v>20411454</v>
      </c>
      <c r="G8" s="79" t="s">
        <v>72</v>
      </c>
      <c r="H8" s="80">
        <v>45896</v>
      </c>
      <c r="I8" s="81" t="s">
        <v>68</v>
      </c>
      <c r="J8" s="82">
        <v>45931</v>
      </c>
      <c r="K8" s="83"/>
      <c r="L8" s="77" t="s">
        <v>61</v>
      </c>
      <c r="M8" s="84">
        <v>2</v>
      </c>
      <c r="N8" s="85">
        <v>2</v>
      </c>
      <c r="O8" s="86" t="s">
        <v>58</v>
      </c>
      <c r="P8" t="s">
        <v>89</v>
      </c>
    </row>
    <row r="9" spans="1:16" ht="15.95" customHeight="1" x14ac:dyDescent="0.2">
      <c r="A9" s="31" t="s">
        <v>65</v>
      </c>
      <c r="B9" s="31" t="s">
        <v>65</v>
      </c>
      <c r="C9" s="72">
        <v>20376412101</v>
      </c>
      <c r="D9" s="72" t="s">
        <v>84</v>
      </c>
      <c r="E9" s="72" t="s">
        <v>86</v>
      </c>
      <c r="F9" s="72">
        <v>9079571</v>
      </c>
      <c r="G9" s="32" t="s">
        <v>67</v>
      </c>
      <c r="H9" s="50">
        <v>45889</v>
      </c>
      <c r="I9" s="51" t="s">
        <v>68</v>
      </c>
      <c r="J9" s="52">
        <v>45901</v>
      </c>
      <c r="K9" s="33"/>
      <c r="L9" s="31" t="s">
        <v>61</v>
      </c>
      <c r="M9" s="53">
        <v>12</v>
      </c>
      <c r="N9" s="54">
        <v>4</v>
      </c>
      <c r="O9" s="35" t="s">
        <v>69</v>
      </c>
      <c r="P9" t="s">
        <v>88</v>
      </c>
    </row>
    <row r="10" spans="1:16" ht="15.75" customHeight="1" x14ac:dyDescent="0.2">
      <c r="A10" s="17" t="s">
        <v>70</v>
      </c>
      <c r="B10" s="17" t="s">
        <v>70</v>
      </c>
      <c r="C10" s="73">
        <v>20383917001</v>
      </c>
      <c r="D10" s="73" t="s">
        <v>85</v>
      </c>
      <c r="E10" s="72" t="s">
        <v>86</v>
      </c>
      <c r="F10" s="72">
        <v>9079571</v>
      </c>
      <c r="G10" s="36" t="s">
        <v>72</v>
      </c>
      <c r="H10" s="55">
        <v>45896</v>
      </c>
      <c r="I10" s="37" t="s">
        <v>68</v>
      </c>
      <c r="J10" s="56">
        <v>45931</v>
      </c>
      <c r="K10" s="57"/>
      <c r="L10" s="17" t="s">
        <v>61</v>
      </c>
      <c r="M10" s="58">
        <v>12</v>
      </c>
      <c r="N10" s="59">
        <v>3</v>
      </c>
      <c r="O10" s="41" t="s">
        <v>69</v>
      </c>
      <c r="P10" t="s">
        <v>88</v>
      </c>
    </row>
    <row r="11" spans="1:16" ht="10.7" customHeight="1" x14ac:dyDescent="0.2">
      <c r="A11" s="74" t="s">
        <v>74</v>
      </c>
      <c r="B11" s="74"/>
      <c r="C11" s="74"/>
      <c r="D11" s="74"/>
      <c r="E11" s="74"/>
      <c r="F11" s="74"/>
      <c r="G11" s="61"/>
      <c r="H11" s="61"/>
      <c r="I11" s="61"/>
      <c r="J11" s="61"/>
      <c r="K11" s="61"/>
      <c r="L11" s="61"/>
      <c r="M11" s="61"/>
      <c r="N11" s="61"/>
      <c r="O11" s="61"/>
    </row>
    <row r="12" spans="1:16" ht="9.75" customHeight="1" x14ac:dyDescent="0.2">
      <c r="A12" s="71" t="s">
        <v>75</v>
      </c>
      <c r="B12" s="71"/>
      <c r="C12" s="71" t="s">
        <v>76</v>
      </c>
      <c r="D12" s="71"/>
      <c r="E12" s="71"/>
      <c r="F12" s="71"/>
      <c r="G12" s="71"/>
      <c r="H12" s="71"/>
      <c r="I12" s="71"/>
      <c r="J12" s="71"/>
      <c r="K12" s="71"/>
      <c r="L12" s="71"/>
      <c r="M12" s="71"/>
      <c r="N12" s="71"/>
      <c r="O12" s="71"/>
    </row>
    <row r="13" spans="1:16" ht="9.75" customHeight="1" x14ac:dyDescent="0.2">
      <c r="A13" s="71" t="s">
        <v>77</v>
      </c>
      <c r="B13" s="71"/>
      <c r="C13" s="71" t="s">
        <v>78</v>
      </c>
      <c r="D13" s="71"/>
      <c r="E13" s="71"/>
      <c r="F13" s="71"/>
      <c r="G13" s="71"/>
      <c r="H13" s="71"/>
      <c r="I13" s="71"/>
      <c r="J13" s="71"/>
      <c r="K13" s="71"/>
      <c r="L13" s="71"/>
      <c r="M13" s="71"/>
      <c r="N13" s="71"/>
      <c r="O13" s="71"/>
    </row>
  </sheetData>
  <sortState xmlns:xlrd2="http://schemas.microsoft.com/office/spreadsheetml/2017/richdata2" ref="A3:Q10">
    <sortCondition ref="O3:O1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cp:lastModifiedBy>Loula Irene Cabel</cp:lastModifiedBy>
  <dcterms:created xsi:type="dcterms:W3CDTF">2025-09-17T13:31:29Z</dcterms:created>
  <dcterms:modified xsi:type="dcterms:W3CDTF">2025-09-17T14:35:28Z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2025-09-17T00:00:00Z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2025-09-17T00:00:00Z</vt:filetime>
  </property>
</Properties>
</file>