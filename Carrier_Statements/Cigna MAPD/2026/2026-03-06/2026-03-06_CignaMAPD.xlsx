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6\3-6-26\"/>
    </mc:Choice>
  </mc:AlternateContent>
  <xr:revisionPtr revIDLastSave="0" documentId="13_ncr:1_{F0EEA5E5-C470-4F47-AFE2-1DCA998AFE4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ummary" sheetId="1" r:id="rId1"/>
    <sheet name="Detail" sheetId="2" r:id="rId2"/>
    <sheet name="Legacy" sheetId="3" r:id="rId3"/>
    <sheet name="Misc" sheetId="4" r:id="rId4"/>
  </sheets>
  <calcPr calcId="181029"/>
</workbook>
</file>

<file path=xl/calcChain.xml><?xml version="1.0" encoding="utf-8"?>
<calcChain xmlns="http://schemas.openxmlformats.org/spreadsheetml/2006/main">
  <c r="H3" i="4" l="1"/>
  <c r="H4" i="4"/>
  <c r="H2" i="4"/>
</calcChain>
</file>

<file path=xl/sharedStrings.xml><?xml version="1.0" encoding="utf-8"?>
<sst xmlns="http://schemas.openxmlformats.org/spreadsheetml/2006/main" count="199" uniqueCount="81">
  <si>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</si>
  <si>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</si>
  <si>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</si>
  <si>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</si>
  <si>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</si>
  <si>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</si>
  <si>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</si>
  <si>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</si>
  <si>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</si>
  <si>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</si>
  <si>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</si>
  <si>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</si>
  <si>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</si>
  <si>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</si>
  <si>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</si>
  <si>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</si>
  <si>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</si>
  <si>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</si>
  <si>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</si>
  <si>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</si>
  <si>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</si>
  <si>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</si>
  <si>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</si>
  <si>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</si>
  <si>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</si>
  <si>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</si>
  <si>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</si>
  <si>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</si>
  <si>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</si>
  <si>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</si>
  <si>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</si>
  <si>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</si>
  <si>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</si>
  <si>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</si>
  <si>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</si>
  <si>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</si>
  <si>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</si>
  <si>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</si>
  <si>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</si>
  <si>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</si>
  <si>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</si>
  <si>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</si>
  <si>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</si>
  <si>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</si>
  <si>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Disenrollment Initial - Rapid</t>
  </si>
  <si>
    <t>Service Fee</t>
  </si>
  <si>
    <t>19645587</t>
  </si>
  <si>
    <t>STACEY PORTUGAL</t>
  </si>
  <si>
    <t>20411454</t>
  </si>
  <si>
    <t>54L3H2U31</t>
  </si>
  <si>
    <t>2FY2J30YC09</t>
  </si>
  <si>
    <t>BRENDA GIGLIO</t>
  </si>
  <si>
    <t>MAPD</t>
  </si>
  <si>
    <t>TX</t>
  </si>
  <si>
    <t>H4513</t>
  </si>
  <si>
    <t>061</t>
  </si>
  <si>
    <t>005</t>
  </si>
  <si>
    <t>Broker Level</t>
  </si>
  <si>
    <t>19586992</t>
  </si>
  <si>
    <t>BARRY SCHUMANN</t>
  </si>
  <si>
    <t>56U6F6X48</t>
  </si>
  <si>
    <t>9X59NV0QX22</t>
  </si>
  <si>
    <t>MARVA MCAFEE</t>
  </si>
  <si>
    <t>Pending</t>
  </si>
  <si>
    <t>IL</t>
  </si>
  <si>
    <t>086</t>
  </si>
  <si>
    <t>000</t>
  </si>
  <si>
    <t>Initial - NOT New to CMS</t>
  </si>
  <si>
    <t>16997303</t>
  </si>
  <si>
    <t>JEANET REYES</t>
  </si>
  <si>
    <t>64U1X9L21</t>
  </si>
  <si>
    <t>6G03W18TU84</t>
  </si>
  <si>
    <t>VICTOR RIVERA</t>
  </si>
  <si>
    <t>084</t>
  </si>
  <si>
    <t>Note</t>
  </si>
  <si>
    <t>17094718</t>
  </si>
  <si>
    <t>GREGORY HANSFORD</t>
  </si>
  <si>
    <t>HRA Activity for Member ID 38H9A6H91</t>
  </si>
  <si>
    <t>HRA Activity for Member ID 13R3H8A35</t>
  </si>
  <si>
    <t>HRA Activity for Member ID 54L3H2U31</t>
  </si>
  <si>
    <t>Cigna MAPD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</si>
</sst>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Fill="1"/>
    <xf numFmtId="165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2</v>
      </c>
      <c r="C6" s="2">
        <v>-796.17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1</v>
      </c>
      <c r="C10" s="2">
        <v>369.17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3</v>
      </c>
      <c r="C15" s="2">
        <v>150</v>
      </c>
    </row>
    <row r="16" spans="1:3" x14ac:dyDescent="0.25">
      <c r="A16" t="s">
        <v>17</v>
      </c>
      <c r="C16" s="2">
        <v>0</v>
      </c>
    </row>
    <row r="17" spans="1:3" x14ac:dyDescent="0.25">
      <c r="A17" t="s">
        <v>18</v>
      </c>
      <c r="B17">
        <v>6</v>
      </c>
      <c r="C17" s="2">
        <v>-277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"/>
  <sheetViews>
    <sheetView tabSelected="1" workbookViewId="0">
      <selection activeCell="I6" sqref="I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0.28515625" bestFit="1" customWidth="1"/>
    <col min="10" max="10" width="30.7109375" bestFit="1" customWidth="1"/>
    <col min="11" max="11" width="14.2851562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28515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1.85546875" bestFit="1" customWidth="1"/>
    <col min="22" max="22" width="4" bestFit="1" customWidth="1"/>
    <col min="23" max="23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s="3" customFormat="1" x14ac:dyDescent="0.25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</v>
      </c>
      <c r="G2" s="4">
        <v>46023</v>
      </c>
      <c r="H2" s="5">
        <v>-80</v>
      </c>
      <c r="I2" s="3" t="s">
        <v>49</v>
      </c>
      <c r="J2" s="3" t="s">
        <v>50</v>
      </c>
      <c r="K2" s="3" t="s">
        <v>51</v>
      </c>
      <c r="L2" s="4">
        <v>45968</v>
      </c>
      <c r="M2" s="4">
        <v>46023</v>
      </c>
      <c r="N2" s="4">
        <v>46081</v>
      </c>
      <c r="O2" s="3">
        <v>7</v>
      </c>
      <c r="P2" s="3" t="s">
        <v>52</v>
      </c>
      <c r="Q2" s="3" t="s">
        <v>53</v>
      </c>
      <c r="R2" s="3" t="s">
        <v>52</v>
      </c>
      <c r="S2" s="3" t="s">
        <v>0</v>
      </c>
      <c r="T2" s="4">
        <v>46023</v>
      </c>
      <c r="U2" s="3" t="s">
        <v>54</v>
      </c>
      <c r="V2" s="3" t="s">
        <v>55</v>
      </c>
      <c r="W2" s="3" t="s">
        <v>56</v>
      </c>
      <c r="X2" s="3" t="s">
        <v>0</v>
      </c>
    </row>
    <row r="3" spans="1:24" s="3" customFormat="1" x14ac:dyDescent="0.25">
      <c r="A3" s="3" t="s">
        <v>44</v>
      </c>
      <c r="B3" s="3" t="s">
        <v>57</v>
      </c>
      <c r="C3" s="3" t="s">
        <v>46</v>
      </c>
      <c r="D3" s="3" t="s">
        <v>47</v>
      </c>
      <c r="E3" s="3" t="s">
        <v>46</v>
      </c>
      <c r="F3" s="3" t="s">
        <v>47</v>
      </c>
      <c r="G3" s="4">
        <v>46023</v>
      </c>
      <c r="H3" s="5">
        <v>-347</v>
      </c>
      <c r="I3" s="3" t="s">
        <v>49</v>
      </c>
      <c r="J3" s="3" t="s">
        <v>50</v>
      </c>
      <c r="K3" s="3" t="s">
        <v>51</v>
      </c>
      <c r="L3" s="4">
        <v>45968</v>
      </c>
      <c r="M3" s="4">
        <v>46023</v>
      </c>
      <c r="N3" s="4">
        <v>46081</v>
      </c>
      <c r="O3" s="3">
        <v>7</v>
      </c>
      <c r="P3" s="3" t="s">
        <v>52</v>
      </c>
      <c r="Q3" s="3" t="s">
        <v>53</v>
      </c>
      <c r="R3" s="3" t="s">
        <v>52</v>
      </c>
      <c r="S3" s="3" t="s">
        <v>0</v>
      </c>
      <c r="T3" s="4">
        <v>46023</v>
      </c>
      <c r="U3" s="3" t="s">
        <v>54</v>
      </c>
      <c r="V3" s="3" t="s">
        <v>55</v>
      </c>
      <c r="W3" s="3" t="s">
        <v>56</v>
      </c>
      <c r="X3" s="3" t="s">
        <v>0</v>
      </c>
    </row>
    <row r="4" spans="1:24" s="3" customFormat="1" x14ac:dyDescent="0.25">
      <c r="A4" s="3" t="s">
        <v>44</v>
      </c>
      <c r="B4" s="3" t="s">
        <v>57</v>
      </c>
      <c r="C4" s="3" t="s">
        <v>58</v>
      </c>
      <c r="D4" s="3" t="s">
        <v>59</v>
      </c>
      <c r="E4" s="3" t="s">
        <v>58</v>
      </c>
      <c r="F4" s="3" t="s">
        <v>59</v>
      </c>
      <c r="G4" s="4">
        <v>46082</v>
      </c>
      <c r="H4" s="5">
        <v>-289.17</v>
      </c>
      <c r="I4" s="3" t="s">
        <v>60</v>
      </c>
      <c r="J4" s="3" t="s">
        <v>61</v>
      </c>
      <c r="K4" s="3" t="s">
        <v>62</v>
      </c>
      <c r="L4" s="4">
        <v>46061</v>
      </c>
      <c r="M4" s="4">
        <v>46082</v>
      </c>
      <c r="N4" s="4">
        <v>46082</v>
      </c>
      <c r="O4" s="3" t="s">
        <v>63</v>
      </c>
      <c r="P4" s="3" t="s">
        <v>0</v>
      </c>
      <c r="Q4" s="3" t="s">
        <v>64</v>
      </c>
      <c r="R4" s="3" t="s">
        <v>52</v>
      </c>
      <c r="S4" s="3" t="s">
        <v>0</v>
      </c>
      <c r="T4" s="4">
        <v>46082</v>
      </c>
      <c r="U4" s="3" t="s">
        <v>54</v>
      </c>
      <c r="V4" s="3" t="s">
        <v>65</v>
      </c>
      <c r="W4" s="3" t="s">
        <v>66</v>
      </c>
      <c r="X4" s="3" t="s">
        <v>0</v>
      </c>
    </row>
    <row r="5" spans="1:24" s="3" customFormat="1" x14ac:dyDescent="0.25">
      <c r="A5" s="3" t="s">
        <v>44</v>
      </c>
      <c r="B5" s="3" t="s">
        <v>45</v>
      </c>
      <c r="C5" s="3" t="s">
        <v>58</v>
      </c>
      <c r="D5" s="3" t="s">
        <v>59</v>
      </c>
      <c r="E5" s="3" t="s">
        <v>48</v>
      </c>
      <c r="F5" s="3" t="s">
        <v>4</v>
      </c>
      <c r="G5" s="4">
        <v>46082</v>
      </c>
      <c r="H5" s="5">
        <v>-80</v>
      </c>
      <c r="I5" s="3" t="s">
        <v>60</v>
      </c>
      <c r="J5" s="3" t="s">
        <v>61</v>
      </c>
      <c r="K5" s="3" t="s">
        <v>62</v>
      </c>
      <c r="L5" s="4">
        <v>46061</v>
      </c>
      <c r="M5" s="4">
        <v>46082</v>
      </c>
      <c r="N5" s="4">
        <v>46082</v>
      </c>
      <c r="O5" s="3" t="s">
        <v>63</v>
      </c>
      <c r="P5" s="3" t="s">
        <v>0</v>
      </c>
      <c r="Q5" s="3" t="s">
        <v>64</v>
      </c>
      <c r="R5" s="3" t="s">
        <v>52</v>
      </c>
      <c r="S5" s="3" t="s">
        <v>0</v>
      </c>
      <c r="T5" s="4">
        <v>46082</v>
      </c>
      <c r="U5" s="3" t="s">
        <v>54</v>
      </c>
      <c r="V5" s="3" t="s">
        <v>65</v>
      </c>
      <c r="W5" s="3" t="s">
        <v>66</v>
      </c>
      <c r="X5" s="3" t="s">
        <v>0</v>
      </c>
    </row>
    <row r="6" spans="1:24" s="3" customFormat="1" x14ac:dyDescent="0.25">
      <c r="A6" s="3" t="s">
        <v>67</v>
      </c>
      <c r="B6" s="3" t="s">
        <v>57</v>
      </c>
      <c r="C6" s="3" t="s">
        <v>68</v>
      </c>
      <c r="D6" s="3" t="s">
        <v>69</v>
      </c>
      <c r="E6" s="3" t="s">
        <v>68</v>
      </c>
      <c r="F6" s="3" t="s">
        <v>69</v>
      </c>
      <c r="G6" s="4">
        <v>46082</v>
      </c>
      <c r="H6" s="5">
        <v>289.17</v>
      </c>
      <c r="I6" s="3" t="s">
        <v>70</v>
      </c>
      <c r="J6" s="3" t="s">
        <v>71</v>
      </c>
      <c r="K6" s="3" t="s">
        <v>72</v>
      </c>
      <c r="L6" s="4">
        <v>46072</v>
      </c>
      <c r="M6" s="4">
        <v>46082</v>
      </c>
      <c r="N6" s="3" t="s">
        <v>0</v>
      </c>
      <c r="O6" s="3" t="s">
        <v>63</v>
      </c>
      <c r="P6" s="3" t="s">
        <v>0</v>
      </c>
      <c r="Q6" s="3" t="s">
        <v>64</v>
      </c>
      <c r="R6" s="3" t="s">
        <v>52</v>
      </c>
      <c r="S6" s="3" t="s">
        <v>0</v>
      </c>
      <c r="T6" s="4">
        <v>46082</v>
      </c>
      <c r="U6" s="3" t="s">
        <v>54</v>
      </c>
      <c r="V6" s="3" t="s">
        <v>73</v>
      </c>
      <c r="W6" s="3" t="s">
        <v>66</v>
      </c>
      <c r="X6" s="3" t="s">
        <v>0</v>
      </c>
    </row>
    <row r="7" spans="1:24" s="3" customFormat="1" x14ac:dyDescent="0.25">
      <c r="A7" s="3" t="s">
        <v>67</v>
      </c>
      <c r="B7" s="3" t="s">
        <v>45</v>
      </c>
      <c r="C7" s="3" t="s">
        <v>68</v>
      </c>
      <c r="D7" s="3" t="s">
        <v>69</v>
      </c>
      <c r="E7" s="3" t="s">
        <v>48</v>
      </c>
      <c r="F7" s="3" t="s">
        <v>4</v>
      </c>
      <c r="G7" s="4">
        <v>46082</v>
      </c>
      <c r="H7" s="5">
        <v>80</v>
      </c>
      <c r="I7" s="3" t="s">
        <v>70</v>
      </c>
      <c r="J7" s="3" t="s">
        <v>71</v>
      </c>
      <c r="K7" s="3" t="s">
        <v>72</v>
      </c>
      <c r="L7" s="4">
        <v>46072</v>
      </c>
      <c r="M7" s="4">
        <v>46082</v>
      </c>
      <c r="N7" s="3" t="s">
        <v>0</v>
      </c>
      <c r="O7" s="3" t="s">
        <v>63</v>
      </c>
      <c r="P7" s="3" t="s">
        <v>0</v>
      </c>
      <c r="Q7" s="3" t="s">
        <v>64</v>
      </c>
      <c r="R7" s="3" t="s">
        <v>52</v>
      </c>
      <c r="S7" s="3" t="s">
        <v>0</v>
      </c>
      <c r="T7" s="4">
        <v>46082</v>
      </c>
      <c r="U7" s="3" t="s">
        <v>54</v>
      </c>
      <c r="V7" s="3" t="s">
        <v>73</v>
      </c>
      <c r="W7" s="3" t="s">
        <v>66</v>
      </c>
      <c r="X7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28515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1.85546875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selection activeCell="H2" sqref="H2:H4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19.7109375" bestFit="1" customWidth="1"/>
    <col min="5" max="5" width="15" bestFit="1" customWidth="1"/>
    <col min="6" max="6" width="33.28515625" bestFit="1" customWidth="1"/>
    <col min="24" max="24" width="25" customWidth="1"/>
  </cols>
  <sheetData>
    <row r="1" spans="1:8" x14ac:dyDescent="0.25">
      <c r="A1" t="s">
        <v>23</v>
      </c>
      <c r="B1" t="s">
        <v>24</v>
      </c>
      <c r="C1" t="s">
        <v>25</v>
      </c>
      <c r="D1" t="s">
        <v>26</v>
      </c>
      <c r="E1" t="s">
        <v>28</v>
      </c>
      <c r="F1" t="s">
        <v>74</v>
      </c>
    </row>
    <row r="2" spans="1:8" x14ac:dyDescent="0.25">
      <c r="A2" t="s">
        <v>75</v>
      </c>
      <c r="B2" t="s">
        <v>76</v>
      </c>
      <c r="C2" t="s">
        <v>75</v>
      </c>
      <c r="D2" t="s">
        <v>76</v>
      </c>
      <c r="E2">
        <v>50</v>
      </c>
      <c r="F2" t="s">
        <v>77</v>
      </c>
      <c r="G2" t="s">
        <v>80</v>
      </c>
      <c r="H2" t="str">
        <f>CONCATENATE(G2," ",F2)</f>
        <v>Cigna MAPD HRA Activity for Member ID 38H9A6H91</v>
      </c>
    </row>
    <row r="3" spans="1:8" x14ac:dyDescent="0.25">
      <c r="A3" t="s">
        <v>46</v>
      </c>
      <c r="B3" t="s">
        <v>47</v>
      </c>
      <c r="C3" t="s">
        <v>46</v>
      </c>
      <c r="D3" t="s">
        <v>47</v>
      </c>
      <c r="E3">
        <v>50</v>
      </c>
      <c r="F3" t="s">
        <v>78</v>
      </c>
      <c r="G3" t="s">
        <v>80</v>
      </c>
      <c r="H3" t="str">
        <f t="shared" ref="H3:H4" si="0">CONCATENATE(G3," ",F3)</f>
        <v>Cigna MAPD HRA Activity for Member ID 13R3H8A35</v>
      </c>
    </row>
    <row r="4" spans="1:8" x14ac:dyDescent="0.25">
      <c r="A4" t="s">
        <v>46</v>
      </c>
      <c r="B4" t="s">
        <v>47</v>
      </c>
      <c r="C4" t="s">
        <v>46</v>
      </c>
      <c r="D4" t="s">
        <v>47</v>
      </c>
      <c r="E4">
        <v>50</v>
      </c>
      <c r="F4" t="s">
        <v>79</v>
      </c>
      <c r="G4" t="s">
        <v>80</v>
      </c>
      <c r="H4" t="str">
        <f t="shared" si="0"/>
        <v>Cigna MAPD HRA Activity for Member ID 54L3H2U31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Legacy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2026-03-06T16:00:39Z</dcterms:created>
  <dcterms:modified xsi:type="dcterms:W3CDTF">2026-03-09T20:09:21Z</dcterms:modified>
</cp:coreProperties>
</file>