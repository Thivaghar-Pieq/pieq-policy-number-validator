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igna MAPD\2026\2026-06-26\"/>
    </mc:Choice>
  </mc:AlternateContent>
  <xr:revisionPtr revIDLastSave="0" documentId="13_ncr:1_{7AB395D3-C27C-4292-B308-3D46248B0D0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3" i="4"/>
  <c r="H11" i="4"/>
  <c r="H9" i="4"/>
  <c r="H7" i="4"/>
  <c r="H5" i="4"/>
  <c r="H3" i="4"/>
  <c r="H14" i="4"/>
  <c r="H12" i="4"/>
  <c r="H10" i="4"/>
  <c r="H8" i="4"/>
  <c r="H6" i="4"/>
  <c r="H4" i="4"/>
  <c r="H2" i="4"/>
</calcChain>
</file>

<file path=xl/sharedStrings.xml><?xml version="1.0" encoding="utf-8"?>
<sst xmlns="http://schemas.openxmlformats.org/spreadsheetml/2006/main" count="443" uniqueCount="115">
  <si>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</si>
  <si>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</si>
  <si>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</si>
  <si>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</si>
  <si>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</si>
  <si>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</si>
  <si>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</si>
  <si>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</si>
  <si>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</si>
  <si>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</si>
  <si>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</si>
  <si>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</si>
  <si>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</si>
  <si>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</si>
  <si>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</si>
  <si>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</si>
  <si>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</si>
  <si>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</si>
  <si>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</si>
  <si>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</si>
  <si>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</si>
  <si>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</si>
  <si>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</si>
  <si>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</si>
  <si>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</si>
  <si>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</si>
  <si>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</si>
  <si>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</si>
  <si>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</si>
  <si>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</si>
  <si>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</si>
  <si>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</si>
  <si>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</si>
  <si>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</si>
  <si>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</si>
  <si>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</si>
  <si>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</si>
  <si>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</si>
  <si>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</si>
  <si>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</si>
  <si>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</si>
  <si>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</si>
  <si>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</si>
  <si>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</si>
  <si>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</si>
  <si>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19200754</t>
  </si>
  <si>
    <t>RICARDO SANTOS</t>
  </si>
  <si>
    <t>17A4L6R65</t>
  </si>
  <si>
    <t>6RM1MP8VC09</t>
  </si>
  <si>
    <t>FELICITAS RAMIREZ</t>
  </si>
  <si>
    <t>NONE</t>
  </si>
  <si>
    <t>IL</t>
  </si>
  <si>
    <t>MAPD</t>
  </si>
  <si>
    <t>H4513</t>
  </si>
  <si>
    <t>085</t>
  </si>
  <si>
    <t>000</t>
  </si>
  <si>
    <t>74L1L2U45</t>
  </si>
  <si>
    <t>2VC5MQ3WU84</t>
  </si>
  <si>
    <t>FRANCISCO RAMIREZ</t>
  </si>
  <si>
    <t>16633294</t>
  </si>
  <si>
    <t>RICHARD YALE</t>
  </si>
  <si>
    <t>31U3A1X56</t>
  </si>
  <si>
    <t>7T08FX6NG34</t>
  </si>
  <si>
    <t>MARY GRUBER</t>
  </si>
  <si>
    <t>17528908</t>
  </si>
  <si>
    <t>DEBORAH INSKIPT</t>
  </si>
  <si>
    <t>72H2A7X94</t>
  </si>
  <si>
    <t>9GC6E47HJ47</t>
  </si>
  <si>
    <t>JOYCE RIEHL-COSTANZO</t>
  </si>
  <si>
    <t>PA</t>
  </si>
  <si>
    <t>H3949</t>
  </si>
  <si>
    <t>048</t>
  </si>
  <si>
    <t>34H6U5L39</t>
  </si>
  <si>
    <t>3XC0V64CQ12</t>
  </si>
  <si>
    <t>JOSEPH BOSCH</t>
  </si>
  <si>
    <t>16202925</t>
  </si>
  <si>
    <t>THOMAS KUCAN</t>
  </si>
  <si>
    <t>27R4A2L96</t>
  </si>
  <si>
    <t>9VJ9MA2UV12</t>
  </si>
  <si>
    <t>OTHA HIGH</t>
  </si>
  <si>
    <t>MD</t>
  </si>
  <si>
    <t>H2108</t>
  </si>
  <si>
    <t>022</t>
  </si>
  <si>
    <t>Initial - NOT New to CMS</t>
  </si>
  <si>
    <t>18598357</t>
  </si>
  <si>
    <t>CHAD BENDER</t>
  </si>
  <si>
    <t>68F8X1F79</t>
  </si>
  <si>
    <t>7MM6E38WG63</t>
  </si>
  <si>
    <t>JOHN TREACY</t>
  </si>
  <si>
    <t>Pending</t>
  </si>
  <si>
    <t>OH</t>
  </si>
  <si>
    <t>H0672</t>
  </si>
  <si>
    <t>013</t>
  </si>
  <si>
    <t>Service Fee</t>
  </si>
  <si>
    <t>20411454</t>
  </si>
  <si>
    <t>5C44V99TH89</t>
  </si>
  <si>
    <t>ANNA ENGLAND</t>
  </si>
  <si>
    <t>PDP</t>
  </si>
  <si>
    <t>S5617</t>
  </si>
  <si>
    <t>214</t>
  </si>
  <si>
    <t>[%/$=347][prorate=8/12]</t>
  </si>
  <si>
    <t>Cigna MAPD 2026*</t>
  </si>
  <si>
    <t>[%/$=347][prorate=6/12]</t>
  </si>
  <si>
    <t>Cigna 2026 CT, PA, DC *</t>
  </si>
  <si>
    <t>[%/$=391][prorate=6/12]</t>
  </si>
  <si>
    <t>[%/$=347][prorate=7/12]</t>
  </si>
  <si>
    <t>Cigna MAPD Ovr</t>
  </si>
  <si>
    <t>18598357OVR</t>
  </si>
  <si>
    <t>17528908N</t>
  </si>
  <si>
    <t>Cigna 2026</t>
  </si>
  <si>
    <t>Cigna MAPD 2026 CT, PA, DC</t>
  </si>
  <si>
    <t>Cigna PDP</t>
  </si>
  <si>
    <t>16202925OVR</t>
  </si>
  <si>
    <t>[%/$=694]</t>
  </si>
  <si>
    <t>[%/$=781]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</si>
</sst>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NumberFormat="1" applyFill="1" applyAlignment="1">
      <alignment horizontal="left"/>
    </xf>
    <xf numFmtId="165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0" fontId="0" fillId="3" borderId="0" xfId="0" applyNumberForma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0" fontId="0" fillId="4" borderId="0" xfId="0" applyNumberFormat="1" applyFill="1" applyAlignment="1">
      <alignment horizontal="left"/>
    </xf>
    <xf numFmtId="165" fontId="0" fillId="4" borderId="0" xfId="0" applyNumberFormat="1" applyFill="1"/>
    <xf numFmtId="164" fontId="0" fillId="4" borderId="0" xfId="0" applyNumberFormat="1" applyFill="1"/>
    <xf numFmtId="4" fontId="0" fillId="4" borderId="0" xfId="0" applyNumberFormat="1" applyFill="1"/>
    <xf numFmtId="0" fontId="0" fillId="0" borderId="0" xfId="0" applyFill="1"/>
    <xf numFmtId="0" fontId="0" fillId="0" borderId="0" xfId="0" applyNumberFormat="1" applyFill="1" applyAlignment="1">
      <alignment horizontal="left"/>
    </xf>
    <xf numFmtId="165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6</v>
      </c>
      <c r="C9" s="2">
        <v>3014.5</v>
      </c>
    </row>
    <row r="10" spans="1:3" x14ac:dyDescent="0.25">
      <c r="A10" t="s">
        <v>12</v>
      </c>
      <c r="B10">
        <v>2</v>
      </c>
      <c r="C10" s="2">
        <v>313.92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8</v>
      </c>
      <c r="C17" s="2">
        <v>3328.42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1.85546875" bestFit="1" customWidth="1"/>
    <col min="10" max="10" width="30.7109375" bestFit="1" customWidth="1"/>
    <col min="11" max="11" width="20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28515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1.85546875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11</v>
      </c>
      <c r="B2" t="s">
        <v>44</v>
      </c>
      <c r="C2" t="s">
        <v>45</v>
      </c>
      <c r="D2" t="s">
        <v>46</v>
      </c>
      <c r="E2" t="s">
        <v>45</v>
      </c>
      <c r="F2" t="s">
        <v>46</v>
      </c>
      <c r="G2" s="3">
        <v>46143</v>
      </c>
      <c r="H2" s="2">
        <v>462.67</v>
      </c>
      <c r="I2" t="s">
        <v>47</v>
      </c>
      <c r="J2" t="s">
        <v>48</v>
      </c>
      <c r="K2" t="s">
        <v>49</v>
      </c>
      <c r="L2" s="3">
        <v>46141</v>
      </c>
      <c r="M2" s="3">
        <v>46143</v>
      </c>
      <c r="N2" t="s">
        <v>0</v>
      </c>
      <c r="O2">
        <v>1</v>
      </c>
      <c r="P2" t="s">
        <v>50</v>
      </c>
      <c r="Q2" t="s">
        <v>51</v>
      </c>
      <c r="R2" t="s">
        <v>52</v>
      </c>
      <c r="S2" t="s">
        <v>0</v>
      </c>
      <c r="T2" s="3">
        <v>46143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11</v>
      </c>
      <c r="B3" t="s">
        <v>44</v>
      </c>
      <c r="C3" t="s">
        <v>45</v>
      </c>
      <c r="D3" t="s">
        <v>46</v>
      </c>
      <c r="E3" t="s">
        <v>45</v>
      </c>
      <c r="F3" t="s">
        <v>46</v>
      </c>
      <c r="G3" s="3">
        <v>46143</v>
      </c>
      <c r="H3" s="2">
        <v>462.67</v>
      </c>
      <c r="I3" t="s">
        <v>56</v>
      </c>
      <c r="J3" t="s">
        <v>57</v>
      </c>
      <c r="K3" t="s">
        <v>58</v>
      </c>
      <c r="L3" s="3">
        <v>46141</v>
      </c>
      <c r="M3" s="3">
        <v>46143</v>
      </c>
      <c r="N3" t="s">
        <v>0</v>
      </c>
      <c r="O3">
        <v>1</v>
      </c>
      <c r="P3" t="s">
        <v>50</v>
      </c>
      <c r="Q3" t="s">
        <v>51</v>
      </c>
      <c r="R3" t="s">
        <v>52</v>
      </c>
      <c r="S3" t="s">
        <v>0</v>
      </c>
      <c r="T3" s="3">
        <v>46143</v>
      </c>
      <c r="U3" t="s">
        <v>53</v>
      </c>
      <c r="V3" t="s">
        <v>54</v>
      </c>
      <c r="W3" t="s">
        <v>55</v>
      </c>
      <c r="X3" t="s">
        <v>0</v>
      </c>
    </row>
    <row r="4" spans="1:24" x14ac:dyDescent="0.25">
      <c r="A4" t="s">
        <v>11</v>
      </c>
      <c r="B4" t="s">
        <v>44</v>
      </c>
      <c r="C4" t="s">
        <v>59</v>
      </c>
      <c r="D4" t="s">
        <v>60</v>
      </c>
      <c r="E4" t="s">
        <v>59</v>
      </c>
      <c r="F4" t="s">
        <v>60</v>
      </c>
      <c r="G4" s="3">
        <v>46204</v>
      </c>
      <c r="H4" s="2">
        <v>520.5</v>
      </c>
      <c r="I4" t="s">
        <v>61</v>
      </c>
      <c r="J4" t="s">
        <v>62</v>
      </c>
      <c r="K4" t="s">
        <v>63</v>
      </c>
      <c r="L4" s="3">
        <v>46154</v>
      </c>
      <c r="M4" s="3">
        <v>46204</v>
      </c>
      <c r="N4" t="s">
        <v>0</v>
      </c>
      <c r="O4">
        <v>1</v>
      </c>
      <c r="P4" t="s">
        <v>50</v>
      </c>
      <c r="Q4" t="s">
        <v>51</v>
      </c>
      <c r="R4" t="s">
        <v>52</v>
      </c>
      <c r="S4" t="s">
        <v>0</v>
      </c>
      <c r="T4" s="3">
        <v>46204</v>
      </c>
      <c r="U4" t="s">
        <v>53</v>
      </c>
      <c r="V4" t="s">
        <v>54</v>
      </c>
      <c r="W4" t="s">
        <v>55</v>
      </c>
      <c r="X4" t="s">
        <v>0</v>
      </c>
    </row>
    <row r="5" spans="1:24" x14ac:dyDescent="0.25">
      <c r="A5" t="s">
        <v>11</v>
      </c>
      <c r="B5" t="s">
        <v>44</v>
      </c>
      <c r="C5" t="s">
        <v>64</v>
      </c>
      <c r="D5" t="s">
        <v>65</v>
      </c>
      <c r="E5" t="s">
        <v>64</v>
      </c>
      <c r="F5" t="s">
        <v>65</v>
      </c>
      <c r="G5" s="3">
        <v>46204</v>
      </c>
      <c r="H5" s="2">
        <v>585.5</v>
      </c>
      <c r="I5" t="s">
        <v>66</v>
      </c>
      <c r="J5" t="s">
        <v>67</v>
      </c>
      <c r="K5" t="s">
        <v>68</v>
      </c>
      <c r="L5" s="3">
        <v>46155</v>
      </c>
      <c r="M5" s="3">
        <v>46204</v>
      </c>
      <c r="N5" t="s">
        <v>0</v>
      </c>
      <c r="O5">
        <v>1</v>
      </c>
      <c r="P5" t="s">
        <v>50</v>
      </c>
      <c r="Q5" t="s">
        <v>69</v>
      </c>
      <c r="R5" t="s">
        <v>52</v>
      </c>
      <c r="S5" t="s">
        <v>0</v>
      </c>
      <c r="T5" s="3">
        <v>46204</v>
      </c>
      <c r="U5" t="s">
        <v>70</v>
      </c>
      <c r="V5" t="s">
        <v>71</v>
      </c>
      <c r="W5" t="s">
        <v>55</v>
      </c>
      <c r="X5" t="s">
        <v>0</v>
      </c>
    </row>
    <row r="6" spans="1:24" x14ac:dyDescent="0.25">
      <c r="A6" t="s">
        <v>11</v>
      </c>
      <c r="B6" t="s">
        <v>44</v>
      </c>
      <c r="C6" t="s">
        <v>59</v>
      </c>
      <c r="D6" t="s">
        <v>60</v>
      </c>
      <c r="E6" t="s">
        <v>59</v>
      </c>
      <c r="F6" t="s">
        <v>60</v>
      </c>
      <c r="G6" s="3">
        <v>46174</v>
      </c>
      <c r="H6" s="2">
        <v>491.58</v>
      </c>
      <c r="I6" t="s">
        <v>72</v>
      </c>
      <c r="J6" t="s">
        <v>73</v>
      </c>
      <c r="K6" t="s">
        <v>74</v>
      </c>
      <c r="L6" s="3">
        <v>46155</v>
      </c>
      <c r="M6" s="3">
        <v>46174</v>
      </c>
      <c r="N6" t="s">
        <v>0</v>
      </c>
      <c r="O6">
        <v>1</v>
      </c>
      <c r="P6" t="s">
        <v>50</v>
      </c>
      <c r="Q6" t="s">
        <v>51</v>
      </c>
      <c r="R6" t="s">
        <v>52</v>
      </c>
      <c r="S6" t="s">
        <v>0</v>
      </c>
      <c r="T6" s="3">
        <v>46174</v>
      </c>
      <c r="U6" t="s">
        <v>53</v>
      </c>
      <c r="V6" t="s">
        <v>54</v>
      </c>
      <c r="W6" t="s">
        <v>55</v>
      </c>
      <c r="X6" t="s">
        <v>0</v>
      </c>
    </row>
    <row r="7" spans="1:24" x14ac:dyDescent="0.25">
      <c r="A7" t="s">
        <v>11</v>
      </c>
      <c r="B7" t="s">
        <v>44</v>
      </c>
      <c r="C7" t="s">
        <v>75</v>
      </c>
      <c r="D7" t="s">
        <v>76</v>
      </c>
      <c r="E7" t="s">
        <v>75</v>
      </c>
      <c r="F7" t="s">
        <v>76</v>
      </c>
      <c r="G7" s="3">
        <v>46174</v>
      </c>
      <c r="H7" s="2">
        <v>491.58</v>
      </c>
      <c r="I7" t="s">
        <v>77</v>
      </c>
      <c r="J7" t="s">
        <v>78</v>
      </c>
      <c r="K7" t="s">
        <v>79</v>
      </c>
      <c r="L7" s="3">
        <v>46161</v>
      </c>
      <c r="M7" s="3">
        <v>46174</v>
      </c>
      <c r="N7" t="s">
        <v>0</v>
      </c>
      <c r="O7">
        <v>1</v>
      </c>
      <c r="P7" t="s">
        <v>50</v>
      </c>
      <c r="Q7" t="s">
        <v>80</v>
      </c>
      <c r="R7" t="s">
        <v>52</v>
      </c>
      <c r="S7" t="s">
        <v>0</v>
      </c>
      <c r="T7" s="3">
        <v>46174</v>
      </c>
      <c r="U7" t="s">
        <v>81</v>
      </c>
      <c r="V7" t="s">
        <v>82</v>
      </c>
      <c r="W7" t="s">
        <v>55</v>
      </c>
      <c r="X7" t="s">
        <v>0</v>
      </c>
    </row>
    <row r="8" spans="1:24" x14ac:dyDescent="0.25">
      <c r="A8" t="s">
        <v>83</v>
      </c>
      <c r="B8" t="s">
        <v>44</v>
      </c>
      <c r="C8" t="s">
        <v>84</v>
      </c>
      <c r="D8" t="s">
        <v>85</v>
      </c>
      <c r="E8" t="s">
        <v>84</v>
      </c>
      <c r="F8" t="s">
        <v>85</v>
      </c>
      <c r="G8" s="3">
        <v>46174</v>
      </c>
      <c r="H8" s="2">
        <v>202.42</v>
      </c>
      <c r="I8" t="s">
        <v>86</v>
      </c>
      <c r="J8" t="s">
        <v>87</v>
      </c>
      <c r="K8" t="s">
        <v>88</v>
      </c>
      <c r="L8" s="3">
        <v>46171</v>
      </c>
      <c r="M8" s="3">
        <v>46174</v>
      </c>
      <c r="N8" t="s">
        <v>0</v>
      </c>
      <c r="O8" t="s">
        <v>89</v>
      </c>
      <c r="P8" t="s">
        <v>0</v>
      </c>
      <c r="Q8" t="s">
        <v>90</v>
      </c>
      <c r="R8" t="s">
        <v>52</v>
      </c>
      <c r="S8" t="s">
        <v>0</v>
      </c>
      <c r="T8" s="3">
        <v>46174</v>
      </c>
      <c r="U8" t="s">
        <v>91</v>
      </c>
      <c r="V8" t="s">
        <v>92</v>
      </c>
      <c r="W8" t="s">
        <v>55</v>
      </c>
      <c r="X8" t="s">
        <v>0</v>
      </c>
    </row>
    <row r="9" spans="1:24" x14ac:dyDescent="0.25">
      <c r="A9" t="s">
        <v>83</v>
      </c>
      <c r="B9" t="s">
        <v>93</v>
      </c>
      <c r="C9" t="s">
        <v>84</v>
      </c>
      <c r="D9" t="s">
        <v>85</v>
      </c>
      <c r="E9" t="s">
        <v>94</v>
      </c>
      <c r="F9" t="s">
        <v>4</v>
      </c>
      <c r="G9" s="3">
        <v>46174</v>
      </c>
      <c r="H9" s="2">
        <v>80</v>
      </c>
      <c r="I9" t="s">
        <v>86</v>
      </c>
      <c r="J9" t="s">
        <v>87</v>
      </c>
      <c r="K9" t="s">
        <v>88</v>
      </c>
      <c r="L9" s="3">
        <v>46171</v>
      </c>
      <c r="M9" s="3">
        <v>46174</v>
      </c>
      <c r="N9" t="s">
        <v>0</v>
      </c>
      <c r="O9" t="s">
        <v>89</v>
      </c>
      <c r="P9" t="s">
        <v>0</v>
      </c>
      <c r="Q9" t="s">
        <v>90</v>
      </c>
      <c r="R9" t="s">
        <v>52</v>
      </c>
      <c r="S9" t="s">
        <v>0</v>
      </c>
      <c r="T9" s="3">
        <v>46174</v>
      </c>
      <c r="U9" t="s">
        <v>91</v>
      </c>
      <c r="V9" t="s">
        <v>92</v>
      </c>
      <c r="W9" t="s">
        <v>55</v>
      </c>
      <c r="X9" t="s">
        <v>0</v>
      </c>
    </row>
    <row r="10" spans="1:24" x14ac:dyDescent="0.25">
      <c r="A10" t="s">
        <v>83</v>
      </c>
      <c r="B10" t="s">
        <v>93</v>
      </c>
      <c r="C10" t="s">
        <v>75</v>
      </c>
      <c r="D10" t="s">
        <v>76</v>
      </c>
      <c r="E10" t="s">
        <v>94</v>
      </c>
      <c r="F10" t="s">
        <v>4</v>
      </c>
      <c r="G10" s="3">
        <v>46204</v>
      </c>
      <c r="H10" s="2">
        <v>3</v>
      </c>
      <c r="I10">
        <v>20799524201</v>
      </c>
      <c r="J10" t="s">
        <v>95</v>
      </c>
      <c r="K10" t="s">
        <v>96</v>
      </c>
      <c r="L10" s="3">
        <v>46183</v>
      </c>
      <c r="M10" s="3">
        <v>46204</v>
      </c>
      <c r="N10" t="s">
        <v>0</v>
      </c>
      <c r="O10" t="s">
        <v>89</v>
      </c>
      <c r="P10" t="s">
        <v>0</v>
      </c>
      <c r="Q10" t="s">
        <v>80</v>
      </c>
      <c r="R10" t="s">
        <v>97</v>
      </c>
      <c r="S10" t="s">
        <v>0</v>
      </c>
      <c r="T10" s="3">
        <v>46204</v>
      </c>
      <c r="U10" t="s">
        <v>98</v>
      </c>
      <c r="V10" t="s">
        <v>99</v>
      </c>
      <c r="W10" t="s">
        <v>55</v>
      </c>
      <c r="X10" t="s">
        <v>0</v>
      </c>
    </row>
    <row r="11" spans="1:24" x14ac:dyDescent="0.25">
      <c r="A11" t="s">
        <v>83</v>
      </c>
      <c r="B11" t="s">
        <v>44</v>
      </c>
      <c r="C11" t="s">
        <v>75</v>
      </c>
      <c r="D11" t="s">
        <v>76</v>
      </c>
      <c r="E11" t="s">
        <v>75</v>
      </c>
      <c r="F11" t="s">
        <v>76</v>
      </c>
      <c r="G11" s="3">
        <v>46204</v>
      </c>
      <c r="H11" s="2">
        <v>28.5</v>
      </c>
      <c r="I11">
        <v>20799524201</v>
      </c>
      <c r="J11" t="s">
        <v>95</v>
      </c>
      <c r="K11" t="s">
        <v>96</v>
      </c>
      <c r="L11" s="3">
        <v>46183</v>
      </c>
      <c r="M11" s="3">
        <v>46204</v>
      </c>
      <c r="N11" t="s">
        <v>0</v>
      </c>
      <c r="O11" t="s">
        <v>89</v>
      </c>
      <c r="P11" t="s">
        <v>0</v>
      </c>
      <c r="Q11" t="s">
        <v>80</v>
      </c>
      <c r="R11" t="s">
        <v>97</v>
      </c>
      <c r="S11" t="s">
        <v>0</v>
      </c>
      <c r="T11" s="3">
        <v>46204</v>
      </c>
      <c r="U11" t="s">
        <v>98</v>
      </c>
      <c r="V11" t="s">
        <v>99</v>
      </c>
      <c r="W11" t="s">
        <v>55</v>
      </c>
      <c r="X1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6BAC-D0C8-4CEB-B51F-79426501DDE1}">
  <dimension ref="A1:T17"/>
  <sheetViews>
    <sheetView tabSelected="1" topLeftCell="D1" workbookViewId="0">
      <selection activeCell="G16" sqref="G16"/>
    </sheetView>
  </sheetViews>
  <sheetFormatPr defaultRowHeight="15" x14ac:dyDescent="0.25"/>
  <cols>
    <col min="1" max="1" width="20" customWidth="1"/>
    <col min="2" max="2" width="15" style="4" customWidth="1"/>
    <col min="3" max="3" width="15" customWidth="1"/>
    <col min="4" max="4" width="20.7109375" bestFit="1" customWidth="1"/>
    <col min="5" max="5" width="10.42578125" bestFit="1" customWidth="1"/>
    <col min="6" max="6" width="15" bestFit="1" customWidth="1"/>
    <col min="7" max="7" width="11.85546875" bestFit="1" customWidth="1"/>
    <col min="8" max="8" width="15.85546875" bestFit="1" customWidth="1"/>
    <col min="9" max="9" width="20.28515625" bestFit="1" customWidth="1"/>
    <col min="10" max="10" width="12.140625" bestFit="1" customWidth="1"/>
    <col min="11" max="11" width="12.140625" customWidth="1"/>
    <col min="12" max="12" width="9.28515625" bestFit="1" customWidth="1"/>
    <col min="13" max="13" width="13" bestFit="1" customWidth="1"/>
    <col min="14" max="14" width="10.28515625" bestFit="1" customWidth="1"/>
    <col min="15" max="15" width="8.7109375" bestFit="1" customWidth="1"/>
    <col min="16" max="16" width="9.5703125" bestFit="1" customWidth="1"/>
    <col min="17" max="17" width="18.85546875" bestFit="1" customWidth="1"/>
    <col min="19" max="19" width="25.85546875" bestFit="1" customWidth="1"/>
    <col min="20" max="20" width="22.140625" bestFit="1" customWidth="1"/>
  </cols>
  <sheetData>
    <row r="1" spans="1:20" x14ac:dyDescent="0.25">
      <c r="A1" t="s">
        <v>22</v>
      </c>
      <c r="B1" s="4" t="s">
        <v>23</v>
      </c>
      <c r="C1" t="s">
        <v>24</v>
      </c>
      <c r="D1" t="s">
        <v>26</v>
      </c>
      <c r="E1" t="s">
        <v>27</v>
      </c>
      <c r="F1" s="2" t="s">
        <v>28</v>
      </c>
      <c r="G1" t="s">
        <v>29</v>
      </c>
      <c r="I1" t="s">
        <v>31</v>
      </c>
      <c r="J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  <row r="2" spans="1:20" s="13" customFormat="1" x14ac:dyDescent="0.25">
      <c r="A2" s="13" t="s">
        <v>44</v>
      </c>
      <c r="B2" s="14">
        <v>19200754</v>
      </c>
      <c r="C2" s="13" t="s">
        <v>46</v>
      </c>
      <c r="D2" s="13" t="s">
        <v>46</v>
      </c>
      <c r="E2" s="15">
        <v>46143</v>
      </c>
      <c r="F2" s="16">
        <v>462.67</v>
      </c>
      <c r="G2" s="13" t="s">
        <v>47</v>
      </c>
      <c r="H2" s="13" t="str">
        <f>CONCATENATE(G2,26)</f>
        <v>17A4L6R6526</v>
      </c>
      <c r="I2" s="13" t="s">
        <v>49</v>
      </c>
      <c r="J2" s="15">
        <v>46143</v>
      </c>
      <c r="K2" s="15">
        <v>46174</v>
      </c>
      <c r="L2" s="13">
        <v>1</v>
      </c>
      <c r="M2" s="13" t="s">
        <v>50</v>
      </c>
      <c r="N2" s="13" t="s">
        <v>51</v>
      </c>
      <c r="O2" s="13" t="s">
        <v>52</v>
      </c>
      <c r="P2" s="13" t="s">
        <v>0</v>
      </c>
      <c r="Q2" s="15">
        <v>46143</v>
      </c>
      <c r="R2" s="13">
        <v>-231.33</v>
      </c>
      <c r="S2" s="17" t="s">
        <v>101</v>
      </c>
      <c r="T2" s="13" t="s">
        <v>100</v>
      </c>
    </row>
    <row r="3" spans="1:20" s="5" customFormat="1" x14ac:dyDescent="0.25">
      <c r="A3" s="5" t="s">
        <v>44</v>
      </c>
      <c r="B3" s="6">
        <v>19200754</v>
      </c>
      <c r="C3" s="5" t="s">
        <v>46</v>
      </c>
      <c r="D3" s="5" t="s">
        <v>46</v>
      </c>
      <c r="E3" s="7">
        <v>46143</v>
      </c>
      <c r="F3" s="8">
        <v>462.67</v>
      </c>
      <c r="G3" s="5" t="s">
        <v>47</v>
      </c>
      <c r="H3" s="5" t="str">
        <f>CONCATENATE(G3,88)</f>
        <v>17A4L6R6588</v>
      </c>
      <c r="I3" s="5" t="s">
        <v>49</v>
      </c>
      <c r="J3" s="7">
        <v>46143</v>
      </c>
      <c r="K3" s="7">
        <v>46387</v>
      </c>
      <c r="L3" s="5">
        <v>1</v>
      </c>
      <c r="M3" s="5" t="s">
        <v>50</v>
      </c>
      <c r="N3" s="5" t="s">
        <v>51</v>
      </c>
      <c r="O3" s="5" t="s">
        <v>52</v>
      </c>
      <c r="P3" s="5" t="s">
        <v>0</v>
      </c>
      <c r="Q3" s="7">
        <v>46143</v>
      </c>
      <c r="R3" s="5">
        <v>694</v>
      </c>
      <c r="S3" s="5" t="s">
        <v>109</v>
      </c>
      <c r="T3" s="5" t="s">
        <v>113</v>
      </c>
    </row>
    <row r="4" spans="1:20" s="13" customFormat="1" x14ac:dyDescent="0.25">
      <c r="A4" s="13" t="s">
        <v>44</v>
      </c>
      <c r="B4" s="14">
        <v>19200754</v>
      </c>
      <c r="C4" s="13" t="s">
        <v>46</v>
      </c>
      <c r="D4" s="13" t="s">
        <v>46</v>
      </c>
      <c r="E4" s="15">
        <v>46143</v>
      </c>
      <c r="F4" s="16">
        <v>462.67</v>
      </c>
      <c r="G4" s="13" t="s">
        <v>56</v>
      </c>
      <c r="H4" s="13" t="str">
        <f>CONCATENATE(G4,26)</f>
        <v>74L1L2U4526</v>
      </c>
      <c r="I4" s="13" t="s">
        <v>58</v>
      </c>
      <c r="J4" s="15">
        <v>46143</v>
      </c>
      <c r="K4" s="15">
        <v>46174</v>
      </c>
      <c r="L4" s="13">
        <v>1</v>
      </c>
      <c r="M4" s="13" t="s">
        <v>50</v>
      </c>
      <c r="N4" s="13" t="s">
        <v>51</v>
      </c>
      <c r="O4" s="13" t="s">
        <v>52</v>
      </c>
      <c r="P4" s="13" t="s">
        <v>0</v>
      </c>
      <c r="Q4" s="15">
        <v>46143</v>
      </c>
      <c r="R4" s="13">
        <v>-231.33</v>
      </c>
      <c r="S4" s="17" t="s">
        <v>101</v>
      </c>
      <c r="T4" s="13" t="s">
        <v>100</v>
      </c>
    </row>
    <row r="5" spans="1:20" s="5" customFormat="1" x14ac:dyDescent="0.25">
      <c r="A5" s="5" t="s">
        <v>44</v>
      </c>
      <c r="B5" s="6">
        <v>19200754</v>
      </c>
      <c r="C5" s="5" t="s">
        <v>46</v>
      </c>
      <c r="D5" s="5" t="s">
        <v>46</v>
      </c>
      <c r="E5" s="7">
        <v>46143</v>
      </c>
      <c r="F5" s="8">
        <v>462.67</v>
      </c>
      <c r="G5" s="5" t="s">
        <v>56</v>
      </c>
      <c r="H5" s="5" t="str">
        <f>CONCATENATE(G5,88)</f>
        <v>74L1L2U4588</v>
      </c>
      <c r="I5" s="5" t="s">
        <v>58</v>
      </c>
      <c r="J5" s="7">
        <v>46143</v>
      </c>
      <c r="K5" s="7">
        <v>46387</v>
      </c>
      <c r="L5" s="5">
        <v>1</v>
      </c>
      <c r="M5" s="5" t="s">
        <v>50</v>
      </c>
      <c r="N5" s="5" t="s">
        <v>51</v>
      </c>
      <c r="O5" s="5" t="s">
        <v>52</v>
      </c>
      <c r="P5" s="5" t="s">
        <v>0</v>
      </c>
      <c r="Q5" s="7">
        <v>46143</v>
      </c>
      <c r="R5" s="5">
        <v>694</v>
      </c>
      <c r="S5" s="5" t="s">
        <v>109</v>
      </c>
      <c r="T5" s="5" t="s">
        <v>113</v>
      </c>
    </row>
    <row r="6" spans="1:20" s="13" customFormat="1" x14ac:dyDescent="0.25">
      <c r="A6" s="13" t="s">
        <v>44</v>
      </c>
      <c r="B6" s="14">
        <v>16633294</v>
      </c>
      <c r="C6" s="13" t="s">
        <v>60</v>
      </c>
      <c r="D6" s="13" t="s">
        <v>60</v>
      </c>
      <c r="E6" s="15">
        <v>46204</v>
      </c>
      <c r="F6" s="16">
        <v>520.5</v>
      </c>
      <c r="G6" s="13" t="s">
        <v>61</v>
      </c>
      <c r="H6" s="13" t="str">
        <f>CONCATENATE(G6,26)</f>
        <v>31U3A1X5626</v>
      </c>
      <c r="I6" s="13" t="s">
        <v>63</v>
      </c>
      <c r="J6" s="15">
        <v>46204</v>
      </c>
      <c r="K6" s="15">
        <v>46235</v>
      </c>
      <c r="L6" s="13">
        <v>1</v>
      </c>
      <c r="M6" s="13" t="s">
        <v>50</v>
      </c>
      <c r="N6" s="13" t="s">
        <v>51</v>
      </c>
      <c r="O6" s="13" t="s">
        <v>52</v>
      </c>
      <c r="P6" s="13" t="s">
        <v>0</v>
      </c>
      <c r="Q6" s="15">
        <v>46204</v>
      </c>
      <c r="R6" s="13">
        <v>-173.5</v>
      </c>
      <c r="S6" s="17" t="s">
        <v>101</v>
      </c>
      <c r="T6" s="13" t="s">
        <v>102</v>
      </c>
    </row>
    <row r="7" spans="1:20" s="5" customFormat="1" x14ac:dyDescent="0.25">
      <c r="A7" s="5" t="s">
        <v>44</v>
      </c>
      <c r="B7" s="6">
        <v>16633294</v>
      </c>
      <c r="C7" s="5" t="s">
        <v>60</v>
      </c>
      <c r="D7" s="5" t="s">
        <v>60</v>
      </c>
      <c r="E7" s="7">
        <v>46204</v>
      </c>
      <c r="F7" s="8">
        <v>520.5</v>
      </c>
      <c r="G7" s="5" t="s">
        <v>61</v>
      </c>
      <c r="H7" s="5" t="str">
        <f>CONCATENATE(G7,88)</f>
        <v>31U3A1X5688</v>
      </c>
      <c r="I7" s="5" t="s">
        <v>63</v>
      </c>
      <c r="J7" s="7">
        <v>46204</v>
      </c>
      <c r="K7" s="7">
        <v>46387</v>
      </c>
      <c r="L7" s="5">
        <v>1</v>
      </c>
      <c r="M7" s="5" t="s">
        <v>50</v>
      </c>
      <c r="N7" s="5" t="s">
        <v>51</v>
      </c>
      <c r="O7" s="5" t="s">
        <v>52</v>
      </c>
      <c r="P7" s="5" t="s">
        <v>0</v>
      </c>
      <c r="Q7" s="7">
        <v>46204</v>
      </c>
      <c r="R7" s="5">
        <v>694</v>
      </c>
      <c r="S7" s="5" t="s">
        <v>109</v>
      </c>
      <c r="T7" s="5" t="s">
        <v>113</v>
      </c>
    </row>
    <row r="8" spans="1:20" s="13" customFormat="1" x14ac:dyDescent="0.25">
      <c r="A8" s="13" t="s">
        <v>44</v>
      </c>
      <c r="B8" s="14" t="s">
        <v>108</v>
      </c>
      <c r="C8" s="13" t="s">
        <v>65</v>
      </c>
      <c r="D8" s="13" t="s">
        <v>65</v>
      </c>
      <c r="E8" s="15">
        <v>46204</v>
      </c>
      <c r="F8" s="16">
        <v>585.5</v>
      </c>
      <c r="G8" s="13" t="s">
        <v>66</v>
      </c>
      <c r="H8" s="13" t="str">
        <f>CONCATENATE(G8,26)</f>
        <v>72H2A7X9426</v>
      </c>
      <c r="I8" s="13" t="s">
        <v>68</v>
      </c>
      <c r="J8" s="15">
        <v>46204</v>
      </c>
      <c r="K8" s="15">
        <v>46235</v>
      </c>
      <c r="L8" s="13">
        <v>1</v>
      </c>
      <c r="M8" s="13" t="s">
        <v>50</v>
      </c>
      <c r="N8" s="13" t="s">
        <v>69</v>
      </c>
      <c r="O8" s="13" t="s">
        <v>52</v>
      </c>
      <c r="P8" s="13" t="s">
        <v>0</v>
      </c>
      <c r="Q8" s="15">
        <v>46204</v>
      </c>
      <c r="R8" s="13">
        <v>-195.5</v>
      </c>
      <c r="S8" s="13" t="s">
        <v>103</v>
      </c>
      <c r="T8" s="13" t="s">
        <v>104</v>
      </c>
    </row>
    <row r="9" spans="1:20" s="5" customFormat="1" x14ac:dyDescent="0.25">
      <c r="A9" s="5" t="s">
        <v>44</v>
      </c>
      <c r="B9" s="6" t="s">
        <v>108</v>
      </c>
      <c r="C9" s="5" t="s">
        <v>65</v>
      </c>
      <c r="D9" s="5" t="s">
        <v>65</v>
      </c>
      <c r="E9" s="7">
        <v>46204</v>
      </c>
      <c r="F9" s="8">
        <v>585.5</v>
      </c>
      <c r="G9" s="5" t="s">
        <v>66</v>
      </c>
      <c r="H9" s="5" t="str">
        <f>CONCATENATE(G9,88)</f>
        <v>72H2A7X9488</v>
      </c>
      <c r="I9" s="5" t="s">
        <v>68</v>
      </c>
      <c r="J9" s="7">
        <v>46204</v>
      </c>
      <c r="K9" s="7">
        <v>46387</v>
      </c>
      <c r="L9" s="5">
        <v>1</v>
      </c>
      <c r="M9" s="5" t="s">
        <v>50</v>
      </c>
      <c r="N9" s="5" t="s">
        <v>69</v>
      </c>
      <c r="O9" s="5" t="s">
        <v>52</v>
      </c>
      <c r="P9" s="5" t="s">
        <v>0</v>
      </c>
      <c r="Q9" s="7">
        <v>46204</v>
      </c>
      <c r="R9" s="5">
        <v>781</v>
      </c>
      <c r="S9" s="5" t="s">
        <v>110</v>
      </c>
      <c r="T9" s="5" t="s">
        <v>114</v>
      </c>
    </row>
    <row r="10" spans="1:20" s="13" customFormat="1" x14ac:dyDescent="0.25">
      <c r="A10" s="13" t="s">
        <v>44</v>
      </c>
      <c r="B10" s="14">
        <v>16633294</v>
      </c>
      <c r="C10" s="13" t="s">
        <v>60</v>
      </c>
      <c r="D10" s="13" t="s">
        <v>60</v>
      </c>
      <c r="E10" s="15">
        <v>46174</v>
      </c>
      <c r="F10" s="16">
        <v>491.58</v>
      </c>
      <c r="G10" s="13" t="s">
        <v>72</v>
      </c>
      <c r="H10" s="13" t="str">
        <f>CONCATENATE(G10,26)</f>
        <v>34H6U5L3926</v>
      </c>
      <c r="I10" s="13" t="s">
        <v>74</v>
      </c>
      <c r="J10" s="15">
        <v>46174</v>
      </c>
      <c r="K10" s="15">
        <v>46204</v>
      </c>
      <c r="L10" s="13">
        <v>1</v>
      </c>
      <c r="M10" s="13" t="s">
        <v>50</v>
      </c>
      <c r="N10" s="13" t="s">
        <v>51</v>
      </c>
      <c r="O10" s="13" t="s">
        <v>52</v>
      </c>
      <c r="P10" s="13" t="s">
        <v>0</v>
      </c>
      <c r="Q10" s="15">
        <v>46174</v>
      </c>
      <c r="R10" s="13">
        <v>-202.42</v>
      </c>
      <c r="S10" s="17" t="s">
        <v>101</v>
      </c>
      <c r="T10" s="13" t="s">
        <v>105</v>
      </c>
    </row>
    <row r="11" spans="1:20" s="5" customFormat="1" x14ac:dyDescent="0.25">
      <c r="A11" s="5" t="s">
        <v>44</v>
      </c>
      <c r="B11" s="6">
        <v>16633294</v>
      </c>
      <c r="C11" s="5" t="s">
        <v>60</v>
      </c>
      <c r="D11" s="5" t="s">
        <v>60</v>
      </c>
      <c r="E11" s="7">
        <v>46174</v>
      </c>
      <c r="F11" s="8">
        <v>491.58</v>
      </c>
      <c r="G11" s="5" t="s">
        <v>72</v>
      </c>
      <c r="H11" s="5" t="str">
        <f>CONCATENATE(G11,88)</f>
        <v>34H6U5L3988</v>
      </c>
      <c r="I11" s="5" t="s">
        <v>74</v>
      </c>
      <c r="J11" s="7">
        <v>46174</v>
      </c>
      <c r="K11" s="7">
        <v>46387</v>
      </c>
      <c r="L11" s="5">
        <v>1</v>
      </c>
      <c r="M11" s="5" t="s">
        <v>50</v>
      </c>
      <c r="N11" s="5" t="s">
        <v>51</v>
      </c>
      <c r="O11" s="5" t="s">
        <v>52</v>
      </c>
      <c r="P11" s="5" t="s">
        <v>0</v>
      </c>
      <c r="Q11" s="7">
        <v>46174</v>
      </c>
      <c r="R11" s="5">
        <v>694</v>
      </c>
      <c r="S11" s="5" t="s">
        <v>109</v>
      </c>
      <c r="T11" s="5" t="s">
        <v>113</v>
      </c>
    </row>
    <row r="12" spans="1:20" s="13" customFormat="1" x14ac:dyDescent="0.25">
      <c r="A12" s="13" t="s">
        <v>44</v>
      </c>
      <c r="B12" s="14">
        <v>16202925</v>
      </c>
      <c r="C12" s="13" t="s">
        <v>76</v>
      </c>
      <c r="D12" s="13" t="s">
        <v>76</v>
      </c>
      <c r="E12" s="15">
        <v>46174</v>
      </c>
      <c r="F12" s="16">
        <v>491.58</v>
      </c>
      <c r="G12" s="13" t="s">
        <v>77</v>
      </c>
      <c r="H12" s="13" t="str">
        <f>CONCATENATE(G12,26)</f>
        <v>27R4A2L9626</v>
      </c>
      <c r="I12" s="13" t="s">
        <v>79</v>
      </c>
      <c r="J12" s="15">
        <v>46174</v>
      </c>
      <c r="K12" s="15">
        <v>46204</v>
      </c>
      <c r="L12" s="13">
        <v>1</v>
      </c>
      <c r="M12" s="13" t="s">
        <v>50</v>
      </c>
      <c r="N12" s="13" t="s">
        <v>80</v>
      </c>
      <c r="O12" s="13" t="s">
        <v>52</v>
      </c>
      <c r="P12" s="13" t="s">
        <v>0</v>
      </c>
      <c r="Q12" s="15">
        <v>46174</v>
      </c>
      <c r="R12" s="13">
        <v>-202.42</v>
      </c>
      <c r="S12" s="17" t="s">
        <v>101</v>
      </c>
      <c r="T12" s="13" t="s">
        <v>105</v>
      </c>
    </row>
    <row r="13" spans="1:20" s="5" customFormat="1" x14ac:dyDescent="0.25">
      <c r="A13" s="5" t="s">
        <v>44</v>
      </c>
      <c r="B13" s="6">
        <v>16202925</v>
      </c>
      <c r="C13" s="5" t="s">
        <v>76</v>
      </c>
      <c r="D13" s="5" t="s">
        <v>76</v>
      </c>
      <c r="E13" s="7">
        <v>46174</v>
      </c>
      <c r="F13" s="8">
        <v>491.58</v>
      </c>
      <c r="G13" s="5" t="s">
        <v>77</v>
      </c>
      <c r="H13" s="5" t="str">
        <f>CONCATENATE(G13,88)</f>
        <v>27R4A2L9688</v>
      </c>
      <c r="I13" s="5" t="s">
        <v>79</v>
      </c>
      <c r="J13" s="7">
        <v>46174</v>
      </c>
      <c r="K13" s="7">
        <v>46387</v>
      </c>
      <c r="L13" s="5">
        <v>1</v>
      </c>
      <c r="M13" s="5" t="s">
        <v>50</v>
      </c>
      <c r="N13" s="5" t="s">
        <v>80</v>
      </c>
      <c r="O13" s="5" t="s">
        <v>52</v>
      </c>
      <c r="P13" s="5" t="s">
        <v>0</v>
      </c>
      <c r="Q13" s="7">
        <v>46174</v>
      </c>
      <c r="R13" s="5">
        <v>694</v>
      </c>
      <c r="S13" s="5" t="s">
        <v>109</v>
      </c>
      <c r="T13" s="5" t="s">
        <v>113</v>
      </c>
    </row>
    <row r="14" spans="1:20" s="13" customFormat="1" x14ac:dyDescent="0.25">
      <c r="A14" s="13" t="s">
        <v>44</v>
      </c>
      <c r="B14" s="14">
        <v>18598357</v>
      </c>
      <c r="C14" s="13" t="s">
        <v>85</v>
      </c>
      <c r="D14" s="13" t="s">
        <v>85</v>
      </c>
      <c r="E14" s="15">
        <v>46174</v>
      </c>
      <c r="F14" s="16">
        <v>202.42</v>
      </c>
      <c r="G14" s="13" t="s">
        <v>86</v>
      </c>
      <c r="H14" s="13" t="str">
        <f>CONCATENATE(G14,26)</f>
        <v>68F8X1F7926</v>
      </c>
      <c r="I14" s="13" t="s">
        <v>88</v>
      </c>
      <c r="J14" s="15">
        <v>46174</v>
      </c>
      <c r="K14" s="15">
        <v>46387</v>
      </c>
      <c r="L14" s="13" t="s">
        <v>89</v>
      </c>
      <c r="M14" s="13" t="s">
        <v>0</v>
      </c>
      <c r="N14" s="13" t="s">
        <v>90</v>
      </c>
      <c r="O14" s="13" t="s">
        <v>52</v>
      </c>
      <c r="P14" s="13" t="s">
        <v>0</v>
      </c>
      <c r="Q14" s="15">
        <v>46174</v>
      </c>
      <c r="R14" s="13">
        <v>202.42</v>
      </c>
      <c r="S14" s="17" t="s">
        <v>101</v>
      </c>
      <c r="T14" s="13" t="s">
        <v>105</v>
      </c>
    </row>
    <row r="15" spans="1:20" s="18" customFormat="1" x14ac:dyDescent="0.25">
      <c r="A15" s="18" t="s">
        <v>93</v>
      </c>
      <c r="B15" s="19" t="s">
        <v>107</v>
      </c>
      <c r="C15" s="18" t="s">
        <v>85</v>
      </c>
      <c r="D15" s="18" t="s">
        <v>4</v>
      </c>
      <c r="E15" s="20">
        <v>46174</v>
      </c>
      <c r="F15" s="21">
        <v>80</v>
      </c>
      <c r="G15" s="18" t="s">
        <v>86</v>
      </c>
      <c r="H15" s="18" t="str">
        <f>CONCATENATE(G15,"OVR")</f>
        <v>68F8X1F79OVR</v>
      </c>
      <c r="I15" s="18" t="s">
        <v>88</v>
      </c>
      <c r="J15" s="20">
        <v>46174</v>
      </c>
      <c r="K15" s="20">
        <v>46387</v>
      </c>
      <c r="L15" s="18" t="s">
        <v>89</v>
      </c>
      <c r="M15" s="18" t="s">
        <v>0</v>
      </c>
      <c r="N15" s="18" t="s">
        <v>90</v>
      </c>
      <c r="O15" s="18" t="s">
        <v>52</v>
      </c>
      <c r="P15" s="18" t="s">
        <v>0</v>
      </c>
      <c r="Q15" s="20">
        <v>46174</v>
      </c>
      <c r="R15" s="18">
        <v>80</v>
      </c>
      <c r="S15" s="18" t="s">
        <v>106</v>
      </c>
    </row>
    <row r="16" spans="1:20" s="18" customFormat="1" x14ac:dyDescent="0.25">
      <c r="A16" s="18" t="s">
        <v>93</v>
      </c>
      <c r="B16" s="19" t="s">
        <v>112</v>
      </c>
      <c r="C16" s="18" t="s">
        <v>76</v>
      </c>
      <c r="D16" s="18" t="s">
        <v>4</v>
      </c>
      <c r="E16" s="20">
        <v>46204</v>
      </c>
      <c r="F16" s="21">
        <v>3</v>
      </c>
      <c r="G16" s="18">
        <v>20799524201</v>
      </c>
      <c r="H16" s="18" t="str">
        <f>CONCATENATE(G16,"OVR")</f>
        <v>20799524201OVR</v>
      </c>
      <c r="I16" s="18" t="s">
        <v>96</v>
      </c>
      <c r="J16" s="20">
        <v>46204</v>
      </c>
      <c r="K16" s="20">
        <v>46235</v>
      </c>
      <c r="L16" s="18" t="s">
        <v>89</v>
      </c>
      <c r="M16" s="18" t="s">
        <v>0</v>
      </c>
      <c r="N16" s="18" t="s">
        <v>80</v>
      </c>
      <c r="O16" s="18" t="s">
        <v>97</v>
      </c>
      <c r="P16" s="18" t="s">
        <v>0</v>
      </c>
      <c r="Q16" s="20">
        <v>46204</v>
      </c>
      <c r="R16" s="21">
        <v>3</v>
      </c>
      <c r="S16" s="18" t="s">
        <v>106</v>
      </c>
    </row>
    <row r="17" spans="1:19" s="9" customFormat="1" x14ac:dyDescent="0.25">
      <c r="A17" s="9" t="s">
        <v>44</v>
      </c>
      <c r="B17" s="10">
        <v>16202925</v>
      </c>
      <c r="C17" s="9" t="s">
        <v>76</v>
      </c>
      <c r="D17" s="9" t="s">
        <v>76</v>
      </c>
      <c r="E17" s="11">
        <v>46204</v>
      </c>
      <c r="F17" s="12">
        <v>28.5</v>
      </c>
      <c r="G17" s="9">
        <v>20799524201</v>
      </c>
      <c r="H17" s="9" t="str">
        <f>CONCATENATE(G17,"PDP")</f>
        <v>20799524201PDP</v>
      </c>
      <c r="I17" s="9" t="s">
        <v>96</v>
      </c>
      <c r="J17" s="11">
        <v>46204</v>
      </c>
      <c r="K17" s="11">
        <v>46235</v>
      </c>
      <c r="L17" s="9" t="s">
        <v>89</v>
      </c>
      <c r="M17" s="9" t="s">
        <v>0</v>
      </c>
      <c r="N17" s="9" t="s">
        <v>80</v>
      </c>
      <c r="O17" s="9" t="s">
        <v>97</v>
      </c>
      <c r="P17" s="9" t="s">
        <v>0</v>
      </c>
      <c r="Q17" s="11">
        <v>46204</v>
      </c>
      <c r="R17" s="12">
        <v>28.5</v>
      </c>
      <c r="S17" s="9" t="s">
        <v>111</v>
      </c>
    </row>
  </sheetData>
  <pageMargins left="0.7" right="0.7" top="0.75" bottom="0.75" header="0.3" footer="0.3"/>
  <ignoredErrors>
    <ignoredError sqref="H3:H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28515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1.85546875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2026-06-26T11:17:32Z</dcterms:created>
  <dcterms:modified xsi:type="dcterms:W3CDTF">2026-06-26T14:37:43Z</dcterms:modified>
</cp:coreProperties>
</file>