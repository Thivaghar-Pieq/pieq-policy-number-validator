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6\1-23-26\"/>
    </mc:Choice>
  </mc:AlternateContent>
  <xr:revisionPtr revIDLastSave="0" documentId="13_ncr:1_{C6976A48-7F5F-4701-9A05-BCCC44DD2791}" xr6:coauthVersionLast="47" xr6:coauthVersionMax="47" xr10:uidLastSave="{00000000-0000-0000-0000-000000000000}"/>
  <bookViews>
    <workbookView xWindow="28680" yWindow="-120" windowWidth="29040" windowHeight="16440" activeTab="3" xr2:uid="{00000000-000D-0000-FFFF-FFFF00000000}"/>
  </bookViews>
  <sheets>
    <sheet name="Summary" sheetId="1" r:id="rId1"/>
    <sheet name="Detail" sheetId="2" r:id="rId2"/>
    <sheet name="Legacy" sheetId="3" r:id="rId3"/>
    <sheet name="Sheet1" sheetId="4" r:id="rId4"/>
  </sheets>
  <calcPr calcId="181029"/>
</workbook>
</file>

<file path=xl/calcChain.xml><?xml version="1.0" encoding="utf-8"?>
<calcChain xmlns="http://schemas.openxmlformats.org/spreadsheetml/2006/main">
  <c r="N23" i="4" l="1"/>
  <c r="N22" i="4"/>
  <c r="F23" i="4"/>
  <c r="M10" i="4" l="1"/>
  <c r="M13" i="4"/>
  <c r="F28" i="4"/>
  <c r="F26" i="4"/>
  <c r="F20" i="4"/>
  <c r="F15" i="4"/>
  <c r="F11" i="4"/>
  <c r="F6" i="4"/>
  <c r="F3" i="4"/>
  <c r="F14" i="4"/>
  <c r="F17" i="4"/>
  <c r="F5" i="4"/>
  <c r="F8" i="4"/>
  <c r="F16" i="4"/>
  <c r="F27" i="4"/>
  <c r="F30" i="4"/>
  <c r="F9" i="4"/>
  <c r="F18" i="4"/>
  <c r="F24" i="4"/>
  <c r="F2" i="4"/>
  <c r="F29" i="4"/>
  <c r="F12" i="4"/>
  <c r="F21" i="4"/>
  <c r="F10" i="4"/>
  <c r="F13" i="4"/>
  <c r="F25" i="4"/>
  <c r="F4" i="4"/>
  <c r="F19" i="4"/>
  <c r="F7" i="4"/>
  <c r="F22" i="4"/>
</calcChain>
</file>

<file path=xl/sharedStrings.xml><?xml version="1.0" encoding="utf-8"?>
<sst xmlns="http://schemas.openxmlformats.org/spreadsheetml/2006/main" count="786" uniqueCount="167">
  <si>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</si>
  <si>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</si>
  <si>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</si>
  <si>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</si>
  <si>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</si>
  <si>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</si>
  <si>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</si>
  <si>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</si>
  <si>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</si>
  <si>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</si>
  <si>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</si>
  <si>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</si>
  <si>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</si>
  <si>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</si>
  <si>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</si>
  <si>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</si>
  <si>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</si>
  <si>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</si>
  <si>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</si>
  <si>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</si>
  <si>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</si>
  <si>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</si>
  <si>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</si>
  <si>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</si>
  <si>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</si>
  <si>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</si>
  <si>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</si>
  <si>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</si>
  <si>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</si>
  <si>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</si>
  <si>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</si>
  <si>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</si>
  <si>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</si>
  <si>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</si>
  <si>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</si>
  <si>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</si>
  <si>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</si>
  <si>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</si>
  <si>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</si>
  <si>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</si>
  <si>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</si>
  <si>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</si>
  <si>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</si>
  <si>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</si>
  <si>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Disenrollment Initial - Rapid</t>
  </si>
  <si>
    <t>Service Fee</t>
  </si>
  <si>
    <t>8405446</t>
  </si>
  <si>
    <t>PATSAMON THANADABOUTH</t>
  </si>
  <si>
    <t>20411454</t>
  </si>
  <si>
    <t>59X6U1A86</t>
  </si>
  <si>
    <t>7FJ7PJ4XQ47</t>
  </si>
  <si>
    <t>BONIE SOUVANNARATH</t>
  </si>
  <si>
    <t>MAPD</t>
  </si>
  <si>
    <t>IL</t>
  </si>
  <si>
    <t>H4513</t>
  </si>
  <si>
    <t>085</t>
  </si>
  <si>
    <t>000</t>
  </si>
  <si>
    <t>Broker Level</t>
  </si>
  <si>
    <t>19681796</t>
  </si>
  <si>
    <t>CHRIS TAUGNER</t>
  </si>
  <si>
    <t>64H9X7F68</t>
  </si>
  <si>
    <t>8HU0QK9EP25</t>
  </si>
  <si>
    <t>MICHAEL OMALLEY</t>
  </si>
  <si>
    <t>PDP</t>
  </si>
  <si>
    <t>086</t>
  </si>
  <si>
    <t>21435997</t>
  </si>
  <si>
    <t>CHRISTOPHER BROUSSEAU</t>
  </si>
  <si>
    <t>15U8H2A84</t>
  </si>
  <si>
    <t>6KD2JK1KR04</t>
  </si>
  <si>
    <t>DARLENE ODEN</t>
  </si>
  <si>
    <t>TX</t>
  </si>
  <si>
    <t>064</t>
  </si>
  <si>
    <t>20003537</t>
  </si>
  <si>
    <t>CHAD YALE</t>
  </si>
  <si>
    <t>54X2U5F22</t>
  </si>
  <si>
    <t>2TU5C98KK62</t>
  </si>
  <si>
    <t>RODNEY LANGE</t>
  </si>
  <si>
    <t>62R9U9R35</t>
  </si>
  <si>
    <t>6FY3PV2KA08</t>
  </si>
  <si>
    <t>MACLINH CHAN</t>
  </si>
  <si>
    <t>Initial - NOT New to CMS</t>
  </si>
  <si>
    <t>8325282</t>
  </si>
  <si>
    <t>DALE WALENGA</t>
  </si>
  <si>
    <t>25R6A4R22</t>
  </si>
  <si>
    <t>6JM1M76FA98</t>
  </si>
  <si>
    <t>CHRISTOPHER BILEK</t>
  </si>
  <si>
    <t>Pending</t>
  </si>
  <si>
    <t>19586992</t>
  </si>
  <si>
    <t>BARRY SCHUMANN</t>
  </si>
  <si>
    <t>47A7U3H98</t>
  </si>
  <si>
    <t>3WT1V14NW29</t>
  </si>
  <si>
    <t>ANDREW SCHAEFFER</t>
  </si>
  <si>
    <t>19645587</t>
  </si>
  <si>
    <t>STACEY PORTUGAL</t>
  </si>
  <si>
    <t>58R5A1U71</t>
  </si>
  <si>
    <t>4VU9U48JN34</t>
  </si>
  <si>
    <t>ALAN SEIZYS</t>
  </si>
  <si>
    <t>17126004</t>
  </si>
  <si>
    <t>STEPHANIE DRAPAC</t>
  </si>
  <si>
    <t>9XQ1JA2PP21</t>
  </si>
  <si>
    <t>POONAM DUTT</t>
  </si>
  <si>
    <t>NONE</t>
  </si>
  <si>
    <t>S5617</t>
  </si>
  <si>
    <t>367</t>
  </si>
  <si>
    <t>21R4U1R71</t>
  </si>
  <si>
    <t>7VH3HA6WN75</t>
  </si>
  <si>
    <t>PATRICIA MUDGETT</t>
  </si>
  <si>
    <t>16912722</t>
  </si>
  <si>
    <t>ANDREA PETRUNGARO</t>
  </si>
  <si>
    <t>41A5A8R78</t>
  </si>
  <si>
    <t>9PQ3JQ4KW18</t>
  </si>
  <si>
    <t>PATRICIA LOPEZ</t>
  </si>
  <si>
    <t>35U1H7U87</t>
  </si>
  <si>
    <t>7XY4PF7XC79</t>
  </si>
  <si>
    <t>KATHY ROSS</t>
  </si>
  <si>
    <t>083</t>
  </si>
  <si>
    <t>005</t>
  </si>
  <si>
    <t>64A7F1H37</t>
  </si>
  <si>
    <t>1WN7MN7WW36</t>
  </si>
  <si>
    <t>DEBRA STOUT</t>
  </si>
  <si>
    <t>5442438</t>
  </si>
  <si>
    <t>RONALD MAX</t>
  </si>
  <si>
    <t>69H7U6A93</t>
  </si>
  <si>
    <t>8NP2U32KJ87</t>
  </si>
  <si>
    <t>ELIZABETH EDWARDS</t>
  </si>
  <si>
    <t>MD</t>
  </si>
  <si>
    <t>H2108</t>
  </si>
  <si>
    <t>022</t>
  </si>
  <si>
    <t>17886092</t>
  </si>
  <si>
    <t>TIMOTHY POWERS</t>
  </si>
  <si>
    <t>5A38HC9TH47</t>
  </si>
  <si>
    <t>BERNADETTE DOLLIN</t>
  </si>
  <si>
    <t>PA</t>
  </si>
  <si>
    <t>356</t>
  </si>
  <si>
    <t>7565575</t>
  </si>
  <si>
    <t>ROBERT SHAPIRO</t>
  </si>
  <si>
    <t>75X8A6F48</t>
  </si>
  <si>
    <t>8DY0VA7NY07</t>
  </si>
  <si>
    <t>CAROLYN DAVIS</t>
  </si>
  <si>
    <t>69L8R8H33</t>
  </si>
  <si>
    <t>4RF8GN4EF66</t>
  </si>
  <si>
    <t>RONALD MCGOWAN</t>
  </si>
  <si>
    <t>21749481</t>
  </si>
  <si>
    <t>Daniel Carney</t>
  </si>
  <si>
    <t>5tc1t77uy99</t>
  </si>
  <si>
    <t>GERROD LAMBRECHT</t>
  </si>
  <si>
    <t>IN</t>
  </si>
  <si>
    <t>365</t>
  </si>
  <si>
    <t>18598357</t>
  </si>
  <si>
    <t>CHAD BENDER</t>
  </si>
  <si>
    <t>33U1R6F31</t>
  </si>
  <si>
    <t>3AG8K92AN44</t>
  </si>
  <si>
    <t>NICHOLAS CARCHIDI</t>
  </si>
  <si>
    <t>NJ</t>
  </si>
  <si>
    <t>HealthSpring Preferred (HMO)</t>
  </si>
  <si>
    <t>H3949</t>
  </si>
  <si>
    <t>054</t>
  </si>
  <si>
    <t>Cigna MAPD Ovr</t>
  </si>
  <si>
    <t>Cigna MAPD 2026*</t>
  </si>
  <si>
    <t>[%/$=347][prorate=12/12]</t>
  </si>
  <si>
    <t>[%/$=347][prorate=10/12]</t>
  </si>
  <si>
    <t>[%/$=347][prorate=11/12]</t>
  </si>
  <si>
    <t>[%/$=391][prorate=12/12]</t>
  </si>
  <si>
    <t>Cigna 2026 CT, PA, DC *</t>
  </si>
  <si>
    <t>Cigna 2026 CA, NJ*</t>
  </si>
  <si>
    <t>[%/$=432][prorate=12/12]</t>
  </si>
  <si>
    <t>Cigna PDP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</si>
</sst>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E9" sqref="E9"/>
    </sheetView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5" x14ac:dyDescent="0.25">
      <c r="A1" s="1" t="s">
        <v>1</v>
      </c>
    </row>
    <row r="2" spans="1:5" x14ac:dyDescent="0.25">
      <c r="A2" t="s">
        <v>2</v>
      </c>
      <c r="B2" t="s">
        <v>4</v>
      </c>
    </row>
    <row r="3" spans="1:5" x14ac:dyDescent="0.25">
      <c r="A3" t="s">
        <v>3</v>
      </c>
      <c r="B3">
        <v>20411454</v>
      </c>
    </row>
    <row r="5" spans="1:5" x14ac:dyDescent="0.25">
      <c r="A5" t="s">
        <v>5</v>
      </c>
      <c r="B5" t="s">
        <v>6</v>
      </c>
      <c r="C5" s="2" t="s">
        <v>7</v>
      </c>
    </row>
    <row r="6" spans="1:5" x14ac:dyDescent="0.25">
      <c r="A6" t="s">
        <v>8</v>
      </c>
      <c r="B6">
        <v>4</v>
      </c>
      <c r="C6" s="2">
        <v>-1708</v>
      </c>
    </row>
    <row r="7" spans="1:5" x14ac:dyDescent="0.25">
      <c r="A7" t="s">
        <v>9</v>
      </c>
      <c r="B7">
        <v>0</v>
      </c>
      <c r="C7" s="2">
        <v>0</v>
      </c>
    </row>
    <row r="8" spans="1:5" x14ac:dyDescent="0.25">
      <c r="A8" t="s">
        <v>10</v>
      </c>
      <c r="B8">
        <v>0</v>
      </c>
      <c r="C8" s="2">
        <v>0</v>
      </c>
    </row>
    <row r="9" spans="1:5" x14ac:dyDescent="0.25">
      <c r="A9" t="s">
        <v>11</v>
      </c>
      <c r="B9">
        <v>10</v>
      </c>
      <c r="C9" s="2">
        <v>2550.5</v>
      </c>
      <c r="E9" s="10"/>
    </row>
    <row r="10" spans="1:5" x14ac:dyDescent="0.25">
      <c r="A10" t="s">
        <v>12</v>
      </c>
      <c r="B10">
        <v>5</v>
      </c>
      <c r="C10" s="2">
        <v>1315.25</v>
      </c>
    </row>
    <row r="11" spans="1:5" x14ac:dyDescent="0.25">
      <c r="A11" t="s">
        <v>13</v>
      </c>
      <c r="B11">
        <v>0</v>
      </c>
      <c r="C11" s="2">
        <v>0</v>
      </c>
    </row>
    <row r="13" spans="1:5" x14ac:dyDescent="0.25">
      <c r="A13" t="s">
        <v>14</v>
      </c>
      <c r="B13">
        <v>0</v>
      </c>
      <c r="C13" s="2">
        <v>0</v>
      </c>
    </row>
    <row r="14" spans="1:5" x14ac:dyDescent="0.25">
      <c r="A14" t="s">
        <v>15</v>
      </c>
      <c r="B14">
        <v>0</v>
      </c>
      <c r="C14" s="2">
        <v>0</v>
      </c>
    </row>
    <row r="15" spans="1:5" x14ac:dyDescent="0.25">
      <c r="A15" t="s">
        <v>16</v>
      </c>
      <c r="B15">
        <v>0</v>
      </c>
      <c r="C15" s="2">
        <v>0</v>
      </c>
    </row>
    <row r="16" spans="1:5" x14ac:dyDescent="0.25">
      <c r="A16" t="s">
        <v>17</v>
      </c>
      <c r="C16" s="2">
        <v>-2482</v>
      </c>
    </row>
    <row r="17" spans="1:3" x14ac:dyDescent="0.25">
      <c r="A17" t="s">
        <v>18</v>
      </c>
      <c r="B17">
        <v>19</v>
      </c>
      <c r="C17" s="2">
        <v>-324.25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workbookViewId="0">
      <selection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24.7109375" bestFit="1" customWidth="1"/>
    <col min="7" max="7" width="10.42578125" bestFit="1" customWidth="1"/>
    <col min="8" max="8" width="15" bestFit="1" customWidth="1"/>
    <col min="9" max="9" width="11.85546875" bestFit="1" customWidth="1"/>
    <col min="10" max="10" width="30.7109375" bestFit="1" customWidth="1"/>
    <col min="11" max="11" width="20.28515625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28515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25.28515625" bestFit="1" customWidth="1"/>
    <col min="20" max="20" width="18.85546875" bestFit="1" customWidth="1"/>
    <col min="21" max="21" width="11.85546875" bestFit="1" customWidth="1"/>
    <col min="22" max="22" width="4" bestFit="1" customWidth="1"/>
    <col min="23" max="24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</v>
      </c>
      <c r="G2" s="3">
        <v>46023</v>
      </c>
      <c r="H2" s="2">
        <v>-80</v>
      </c>
      <c r="I2" t="s">
        <v>49</v>
      </c>
      <c r="J2" t="s">
        <v>50</v>
      </c>
      <c r="K2" t="s">
        <v>51</v>
      </c>
      <c r="L2" s="3">
        <v>45947</v>
      </c>
      <c r="M2" s="3">
        <v>46023</v>
      </c>
      <c r="N2" s="3">
        <v>46053</v>
      </c>
      <c r="O2">
        <v>8</v>
      </c>
      <c r="P2" t="s">
        <v>52</v>
      </c>
      <c r="Q2" t="s">
        <v>53</v>
      </c>
      <c r="R2" t="s">
        <v>52</v>
      </c>
      <c r="S2" t="s">
        <v>0</v>
      </c>
      <c r="T2" s="3">
        <v>46023</v>
      </c>
      <c r="U2" t="s">
        <v>54</v>
      </c>
      <c r="V2" t="s">
        <v>55</v>
      </c>
      <c r="W2" t="s">
        <v>56</v>
      </c>
      <c r="X2" t="s">
        <v>0</v>
      </c>
    </row>
    <row r="3" spans="1:24" x14ac:dyDescent="0.25">
      <c r="A3" t="s">
        <v>44</v>
      </c>
      <c r="B3" t="s">
        <v>57</v>
      </c>
      <c r="C3" t="s">
        <v>46</v>
      </c>
      <c r="D3" t="s">
        <v>47</v>
      </c>
      <c r="E3" t="s">
        <v>46</v>
      </c>
      <c r="F3" t="s">
        <v>47</v>
      </c>
      <c r="G3" s="3">
        <v>46023</v>
      </c>
      <c r="H3" s="2">
        <v>-347</v>
      </c>
      <c r="I3" t="s">
        <v>49</v>
      </c>
      <c r="J3" t="s">
        <v>50</v>
      </c>
      <c r="K3" t="s">
        <v>51</v>
      </c>
      <c r="L3" s="3">
        <v>45947</v>
      </c>
      <c r="M3" s="3">
        <v>46023</v>
      </c>
      <c r="N3" s="3">
        <v>46053</v>
      </c>
      <c r="O3">
        <v>8</v>
      </c>
      <c r="P3" t="s">
        <v>52</v>
      </c>
      <c r="Q3" t="s">
        <v>53</v>
      </c>
      <c r="R3" t="s">
        <v>52</v>
      </c>
      <c r="S3" t="s">
        <v>0</v>
      </c>
      <c r="T3" s="3">
        <v>46023</v>
      </c>
      <c r="U3" t="s">
        <v>54</v>
      </c>
      <c r="V3" t="s">
        <v>55</v>
      </c>
      <c r="W3" t="s">
        <v>56</v>
      </c>
      <c r="X3" t="s">
        <v>0</v>
      </c>
    </row>
    <row r="4" spans="1:24" x14ac:dyDescent="0.25">
      <c r="A4" t="s">
        <v>11</v>
      </c>
      <c r="B4" t="s">
        <v>57</v>
      </c>
      <c r="C4" t="s">
        <v>58</v>
      </c>
      <c r="D4" t="s">
        <v>59</v>
      </c>
      <c r="E4" t="s">
        <v>58</v>
      </c>
      <c r="F4" t="s">
        <v>59</v>
      </c>
      <c r="G4" s="3">
        <v>46023</v>
      </c>
      <c r="H4" s="2">
        <v>347</v>
      </c>
      <c r="I4" t="s">
        <v>60</v>
      </c>
      <c r="J4" t="s">
        <v>61</v>
      </c>
      <c r="K4" t="s">
        <v>62</v>
      </c>
      <c r="L4" s="3">
        <v>45993</v>
      </c>
      <c r="M4" s="3">
        <v>46023</v>
      </c>
      <c r="N4" t="s">
        <v>0</v>
      </c>
      <c r="O4">
        <v>1</v>
      </c>
      <c r="P4" t="s">
        <v>63</v>
      </c>
      <c r="Q4" t="s">
        <v>53</v>
      </c>
      <c r="R4" t="s">
        <v>52</v>
      </c>
      <c r="S4" t="s">
        <v>0</v>
      </c>
      <c r="T4" s="3">
        <v>46023</v>
      </c>
      <c r="U4" t="s">
        <v>54</v>
      </c>
      <c r="V4" t="s">
        <v>64</v>
      </c>
      <c r="W4" t="s">
        <v>56</v>
      </c>
      <c r="X4" t="s">
        <v>0</v>
      </c>
    </row>
    <row r="5" spans="1:24" x14ac:dyDescent="0.25">
      <c r="A5" t="s">
        <v>11</v>
      </c>
      <c r="B5" t="s">
        <v>57</v>
      </c>
      <c r="C5" t="s">
        <v>65</v>
      </c>
      <c r="D5" t="s">
        <v>66</v>
      </c>
      <c r="E5" t="s">
        <v>65</v>
      </c>
      <c r="F5" t="s">
        <v>66</v>
      </c>
      <c r="G5" s="3">
        <v>46023</v>
      </c>
      <c r="H5" s="2">
        <v>347</v>
      </c>
      <c r="I5" t="s">
        <v>67</v>
      </c>
      <c r="J5" t="s">
        <v>68</v>
      </c>
      <c r="K5" t="s">
        <v>69</v>
      </c>
      <c r="L5" s="3">
        <v>45998</v>
      </c>
      <c r="M5" s="3">
        <v>46023</v>
      </c>
      <c r="N5" t="s">
        <v>0</v>
      </c>
      <c r="O5">
        <v>1</v>
      </c>
      <c r="P5" t="s">
        <v>63</v>
      </c>
      <c r="Q5" t="s">
        <v>70</v>
      </c>
      <c r="R5" t="s">
        <v>52</v>
      </c>
      <c r="S5" t="s">
        <v>0</v>
      </c>
      <c r="T5" s="3">
        <v>46023</v>
      </c>
      <c r="U5" t="s">
        <v>54</v>
      </c>
      <c r="V5" t="s">
        <v>71</v>
      </c>
      <c r="W5" t="s">
        <v>56</v>
      </c>
      <c r="X5" t="s">
        <v>0</v>
      </c>
    </row>
    <row r="6" spans="1:24" x14ac:dyDescent="0.25">
      <c r="A6" t="s">
        <v>11</v>
      </c>
      <c r="B6" t="s">
        <v>57</v>
      </c>
      <c r="C6" t="s">
        <v>72</v>
      </c>
      <c r="D6" t="s">
        <v>73</v>
      </c>
      <c r="E6" t="s">
        <v>72</v>
      </c>
      <c r="F6" t="s">
        <v>73</v>
      </c>
      <c r="G6" s="3">
        <v>46023</v>
      </c>
      <c r="H6" s="2">
        <v>347</v>
      </c>
      <c r="I6" t="s">
        <v>74</v>
      </c>
      <c r="J6" t="s">
        <v>75</v>
      </c>
      <c r="K6" t="s">
        <v>76</v>
      </c>
      <c r="L6" s="3">
        <v>45998</v>
      </c>
      <c r="M6" s="3">
        <v>46023</v>
      </c>
      <c r="N6" t="s">
        <v>0</v>
      </c>
      <c r="O6">
        <v>1</v>
      </c>
      <c r="P6" t="s">
        <v>63</v>
      </c>
      <c r="Q6" t="s">
        <v>70</v>
      </c>
      <c r="R6" t="s">
        <v>52</v>
      </c>
      <c r="S6" t="s">
        <v>0</v>
      </c>
      <c r="T6" s="3">
        <v>46023</v>
      </c>
      <c r="U6" t="s">
        <v>54</v>
      </c>
      <c r="V6" t="s">
        <v>71</v>
      </c>
      <c r="W6" t="s">
        <v>56</v>
      </c>
      <c r="X6" t="s">
        <v>0</v>
      </c>
    </row>
    <row r="7" spans="1:24" x14ac:dyDescent="0.25">
      <c r="A7" t="s">
        <v>44</v>
      </c>
      <c r="B7" t="s">
        <v>57</v>
      </c>
      <c r="C7" t="s">
        <v>46</v>
      </c>
      <c r="D7" t="s">
        <v>47</v>
      </c>
      <c r="E7" t="s">
        <v>46</v>
      </c>
      <c r="F7" t="s">
        <v>47</v>
      </c>
      <c r="G7" s="3">
        <v>46023</v>
      </c>
      <c r="H7" s="2">
        <v>-347</v>
      </c>
      <c r="I7" t="s">
        <v>77</v>
      </c>
      <c r="J7" t="s">
        <v>78</v>
      </c>
      <c r="K7" t="s">
        <v>79</v>
      </c>
      <c r="L7" s="3">
        <v>45959</v>
      </c>
      <c r="M7" s="3">
        <v>46023</v>
      </c>
      <c r="N7" s="3">
        <v>46053</v>
      </c>
      <c r="O7">
        <v>7</v>
      </c>
      <c r="P7" t="s">
        <v>52</v>
      </c>
      <c r="Q7" t="s">
        <v>53</v>
      </c>
      <c r="R7" t="s">
        <v>52</v>
      </c>
      <c r="S7" t="s">
        <v>0</v>
      </c>
      <c r="T7" s="3">
        <v>46023</v>
      </c>
      <c r="U7" t="s">
        <v>54</v>
      </c>
      <c r="V7" t="s">
        <v>64</v>
      </c>
      <c r="W7" t="s">
        <v>56</v>
      </c>
      <c r="X7" t="s">
        <v>0</v>
      </c>
    </row>
    <row r="8" spans="1:24" x14ac:dyDescent="0.25">
      <c r="A8" t="s">
        <v>80</v>
      </c>
      <c r="B8" t="s">
        <v>57</v>
      </c>
      <c r="C8" t="s">
        <v>81</v>
      </c>
      <c r="D8" t="s">
        <v>82</v>
      </c>
      <c r="E8" t="s">
        <v>81</v>
      </c>
      <c r="F8" t="s">
        <v>82</v>
      </c>
      <c r="G8" s="3">
        <v>46054</v>
      </c>
      <c r="H8" s="2">
        <v>318.08</v>
      </c>
      <c r="I8" t="s">
        <v>83</v>
      </c>
      <c r="J8" t="s">
        <v>84</v>
      </c>
      <c r="K8" t="s">
        <v>85</v>
      </c>
      <c r="L8" s="3">
        <v>46035</v>
      </c>
      <c r="M8" s="3">
        <v>46054</v>
      </c>
      <c r="N8" t="s">
        <v>0</v>
      </c>
      <c r="O8" t="s">
        <v>86</v>
      </c>
      <c r="P8" t="s">
        <v>0</v>
      </c>
      <c r="Q8" t="s">
        <v>53</v>
      </c>
      <c r="R8" t="s">
        <v>52</v>
      </c>
      <c r="S8" t="s">
        <v>0</v>
      </c>
      <c r="T8" s="3">
        <v>46054</v>
      </c>
      <c r="U8" t="s">
        <v>54</v>
      </c>
      <c r="V8" t="s">
        <v>55</v>
      </c>
      <c r="W8" t="s">
        <v>56</v>
      </c>
      <c r="X8" t="s">
        <v>0</v>
      </c>
    </row>
    <row r="9" spans="1:24" x14ac:dyDescent="0.25">
      <c r="A9" t="s">
        <v>44</v>
      </c>
      <c r="B9" t="s">
        <v>57</v>
      </c>
      <c r="C9" t="s">
        <v>87</v>
      </c>
      <c r="D9" t="s">
        <v>88</v>
      </c>
      <c r="E9" t="s">
        <v>87</v>
      </c>
      <c r="F9" t="s">
        <v>88</v>
      </c>
      <c r="G9" s="3">
        <v>46023</v>
      </c>
      <c r="H9" s="2">
        <v>-347</v>
      </c>
      <c r="I9" t="s">
        <v>89</v>
      </c>
      <c r="J9" t="s">
        <v>90</v>
      </c>
      <c r="K9" t="s">
        <v>91</v>
      </c>
      <c r="L9" s="3">
        <v>45975</v>
      </c>
      <c r="M9" s="3">
        <v>46023</v>
      </c>
      <c r="N9" s="3">
        <v>46053</v>
      </c>
      <c r="O9">
        <v>5</v>
      </c>
      <c r="P9" t="s">
        <v>52</v>
      </c>
      <c r="Q9" t="s">
        <v>53</v>
      </c>
      <c r="R9" t="s">
        <v>52</v>
      </c>
      <c r="S9" t="s">
        <v>0</v>
      </c>
      <c r="T9" s="3">
        <v>46023</v>
      </c>
      <c r="U9" t="s">
        <v>54</v>
      </c>
      <c r="V9" t="s">
        <v>55</v>
      </c>
      <c r="W9" t="s">
        <v>56</v>
      </c>
      <c r="X9" t="s">
        <v>0</v>
      </c>
    </row>
    <row r="10" spans="1:24" x14ac:dyDescent="0.25">
      <c r="A10" t="s">
        <v>80</v>
      </c>
      <c r="B10" t="s">
        <v>57</v>
      </c>
      <c r="C10" t="s">
        <v>92</v>
      </c>
      <c r="D10" t="s">
        <v>93</v>
      </c>
      <c r="E10" t="s">
        <v>92</v>
      </c>
      <c r="F10" t="s">
        <v>93</v>
      </c>
      <c r="G10" s="3">
        <v>46023</v>
      </c>
      <c r="H10" s="2">
        <v>347</v>
      </c>
      <c r="I10" t="s">
        <v>94</v>
      </c>
      <c r="J10" t="s">
        <v>95</v>
      </c>
      <c r="K10" t="s">
        <v>96</v>
      </c>
      <c r="L10" s="3">
        <v>45957</v>
      </c>
      <c r="M10" s="3">
        <v>46023</v>
      </c>
      <c r="N10" t="s">
        <v>0</v>
      </c>
      <c r="O10">
        <v>2</v>
      </c>
      <c r="P10" t="s">
        <v>52</v>
      </c>
      <c r="Q10" t="s">
        <v>53</v>
      </c>
      <c r="R10" t="s">
        <v>52</v>
      </c>
      <c r="S10" t="s">
        <v>0</v>
      </c>
      <c r="T10" s="3">
        <v>46023</v>
      </c>
      <c r="U10" t="s">
        <v>54</v>
      </c>
      <c r="V10" t="s">
        <v>55</v>
      </c>
      <c r="W10" t="s">
        <v>56</v>
      </c>
      <c r="X10" t="s">
        <v>0</v>
      </c>
    </row>
    <row r="11" spans="1:24" x14ac:dyDescent="0.25">
      <c r="A11" t="s">
        <v>11</v>
      </c>
      <c r="B11" t="s">
        <v>45</v>
      </c>
      <c r="C11" t="s">
        <v>97</v>
      </c>
      <c r="D11" t="s">
        <v>98</v>
      </c>
      <c r="E11" t="s">
        <v>48</v>
      </c>
      <c r="F11" t="s">
        <v>4</v>
      </c>
      <c r="G11" s="3">
        <v>46023</v>
      </c>
      <c r="H11" s="2">
        <v>2.5</v>
      </c>
      <c r="I11">
        <v>20637646901</v>
      </c>
      <c r="J11" t="s">
        <v>99</v>
      </c>
      <c r="K11" t="s">
        <v>100</v>
      </c>
      <c r="L11" s="3">
        <v>45997</v>
      </c>
      <c r="M11" s="3">
        <v>46023</v>
      </c>
      <c r="N11" t="s">
        <v>0</v>
      </c>
      <c r="O11">
        <v>1</v>
      </c>
      <c r="P11" t="s">
        <v>101</v>
      </c>
      <c r="Q11" t="s">
        <v>53</v>
      </c>
      <c r="R11" t="s">
        <v>63</v>
      </c>
      <c r="S11" t="s">
        <v>0</v>
      </c>
      <c r="T11" s="3">
        <v>46023</v>
      </c>
      <c r="U11" t="s">
        <v>102</v>
      </c>
      <c r="V11" t="s">
        <v>103</v>
      </c>
      <c r="W11" t="s">
        <v>56</v>
      </c>
      <c r="X11" t="s">
        <v>0</v>
      </c>
    </row>
    <row r="12" spans="1:24" x14ac:dyDescent="0.25">
      <c r="A12" t="s">
        <v>11</v>
      </c>
      <c r="B12" t="s">
        <v>57</v>
      </c>
      <c r="C12" t="s">
        <v>97</v>
      </c>
      <c r="D12" t="s">
        <v>98</v>
      </c>
      <c r="E12" t="s">
        <v>97</v>
      </c>
      <c r="F12" t="s">
        <v>98</v>
      </c>
      <c r="G12" s="3">
        <v>46023</v>
      </c>
      <c r="H12" s="2">
        <v>57</v>
      </c>
      <c r="I12">
        <v>20637646901</v>
      </c>
      <c r="J12" t="s">
        <v>99</v>
      </c>
      <c r="K12" t="s">
        <v>100</v>
      </c>
      <c r="L12" s="3">
        <v>45997</v>
      </c>
      <c r="M12" s="3">
        <v>46023</v>
      </c>
      <c r="N12" t="s">
        <v>0</v>
      </c>
      <c r="O12">
        <v>1</v>
      </c>
      <c r="P12" t="s">
        <v>101</v>
      </c>
      <c r="Q12" t="s">
        <v>53</v>
      </c>
      <c r="R12" t="s">
        <v>63</v>
      </c>
      <c r="S12" t="s">
        <v>0</v>
      </c>
      <c r="T12" s="3">
        <v>46023</v>
      </c>
      <c r="U12" t="s">
        <v>102</v>
      </c>
      <c r="V12" t="s">
        <v>103</v>
      </c>
      <c r="W12" t="s">
        <v>56</v>
      </c>
      <c r="X12" t="s">
        <v>0</v>
      </c>
    </row>
    <row r="13" spans="1:24" x14ac:dyDescent="0.25">
      <c r="A13" t="s">
        <v>44</v>
      </c>
      <c r="B13" t="s">
        <v>45</v>
      </c>
      <c r="C13" t="s">
        <v>58</v>
      </c>
      <c r="D13" t="s">
        <v>59</v>
      </c>
      <c r="E13" t="s">
        <v>48</v>
      </c>
      <c r="F13" t="s">
        <v>4</v>
      </c>
      <c r="G13" s="3">
        <v>46023</v>
      </c>
      <c r="H13" s="2">
        <v>-80</v>
      </c>
      <c r="I13" t="s">
        <v>104</v>
      </c>
      <c r="J13" t="s">
        <v>105</v>
      </c>
      <c r="K13" t="s">
        <v>106</v>
      </c>
      <c r="L13" s="3">
        <v>45959</v>
      </c>
      <c r="M13" s="3">
        <v>46023</v>
      </c>
      <c r="N13" s="3">
        <v>46053</v>
      </c>
      <c r="O13">
        <v>8</v>
      </c>
      <c r="P13" t="s">
        <v>52</v>
      </c>
      <c r="Q13" t="s">
        <v>53</v>
      </c>
      <c r="R13" t="s">
        <v>52</v>
      </c>
      <c r="S13" t="s">
        <v>0</v>
      </c>
      <c r="T13" s="3">
        <v>46023</v>
      </c>
      <c r="U13" t="s">
        <v>54</v>
      </c>
      <c r="V13" t="s">
        <v>64</v>
      </c>
      <c r="W13" t="s">
        <v>56</v>
      </c>
      <c r="X13" t="s">
        <v>0</v>
      </c>
    </row>
    <row r="14" spans="1:24" x14ac:dyDescent="0.25">
      <c r="A14" t="s">
        <v>11</v>
      </c>
      <c r="B14" t="s">
        <v>57</v>
      </c>
      <c r="C14" t="s">
        <v>107</v>
      </c>
      <c r="D14" t="s">
        <v>108</v>
      </c>
      <c r="E14" t="s">
        <v>107</v>
      </c>
      <c r="F14" t="s">
        <v>108</v>
      </c>
      <c r="G14" s="3">
        <v>46023</v>
      </c>
      <c r="H14" s="2">
        <v>347</v>
      </c>
      <c r="I14" t="s">
        <v>109</v>
      </c>
      <c r="J14" t="s">
        <v>110</v>
      </c>
      <c r="K14" t="s">
        <v>111</v>
      </c>
      <c r="L14" s="3">
        <v>45994</v>
      </c>
      <c r="M14" s="3">
        <v>46023</v>
      </c>
      <c r="N14" t="s">
        <v>0</v>
      </c>
      <c r="O14">
        <v>1</v>
      </c>
      <c r="P14" t="s">
        <v>101</v>
      </c>
      <c r="Q14" t="s">
        <v>53</v>
      </c>
      <c r="R14" t="s">
        <v>52</v>
      </c>
      <c r="S14" t="s">
        <v>0</v>
      </c>
      <c r="T14" s="3">
        <v>46023</v>
      </c>
      <c r="U14" t="s">
        <v>54</v>
      </c>
      <c r="V14" t="s">
        <v>55</v>
      </c>
      <c r="W14" t="s">
        <v>56</v>
      </c>
      <c r="X14" t="s">
        <v>0</v>
      </c>
    </row>
    <row r="15" spans="1:24" x14ac:dyDescent="0.25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4</v>
      </c>
      <c r="G15" s="3">
        <v>46023</v>
      </c>
      <c r="H15" s="2">
        <v>-80</v>
      </c>
      <c r="I15" t="s">
        <v>77</v>
      </c>
      <c r="J15" t="s">
        <v>78</v>
      </c>
      <c r="K15" t="s">
        <v>79</v>
      </c>
      <c r="L15" s="3">
        <v>45959</v>
      </c>
      <c r="M15" s="3">
        <v>46023</v>
      </c>
      <c r="N15" s="3">
        <v>46053</v>
      </c>
      <c r="O15">
        <v>7</v>
      </c>
      <c r="P15" t="s">
        <v>52</v>
      </c>
      <c r="Q15" t="s">
        <v>53</v>
      </c>
      <c r="R15" t="s">
        <v>52</v>
      </c>
      <c r="S15" t="s">
        <v>0</v>
      </c>
      <c r="T15" s="3">
        <v>46023</v>
      </c>
      <c r="U15" t="s">
        <v>54</v>
      </c>
      <c r="V15" t="s">
        <v>64</v>
      </c>
      <c r="W15" t="s">
        <v>56</v>
      </c>
      <c r="X15" t="s">
        <v>0</v>
      </c>
    </row>
    <row r="16" spans="1:24" x14ac:dyDescent="0.25">
      <c r="A16" t="s">
        <v>44</v>
      </c>
      <c r="B16" t="s">
        <v>57</v>
      </c>
      <c r="C16" t="s">
        <v>58</v>
      </c>
      <c r="D16" t="s">
        <v>59</v>
      </c>
      <c r="E16" t="s">
        <v>58</v>
      </c>
      <c r="F16" t="s">
        <v>59</v>
      </c>
      <c r="G16" s="3">
        <v>46023</v>
      </c>
      <c r="H16" s="2">
        <v>-347</v>
      </c>
      <c r="I16" t="s">
        <v>104</v>
      </c>
      <c r="J16" t="s">
        <v>105</v>
      </c>
      <c r="K16" t="s">
        <v>106</v>
      </c>
      <c r="L16" s="3">
        <v>45959</v>
      </c>
      <c r="M16" s="3">
        <v>46023</v>
      </c>
      <c r="N16" s="3">
        <v>46053</v>
      </c>
      <c r="O16">
        <v>8</v>
      </c>
      <c r="P16" t="s">
        <v>52</v>
      </c>
      <c r="Q16" t="s">
        <v>53</v>
      </c>
      <c r="R16" t="s">
        <v>52</v>
      </c>
      <c r="S16" t="s">
        <v>0</v>
      </c>
      <c r="T16" s="3">
        <v>46023</v>
      </c>
      <c r="U16" t="s">
        <v>54</v>
      </c>
      <c r="V16" t="s">
        <v>64</v>
      </c>
      <c r="W16" t="s">
        <v>56</v>
      </c>
      <c r="X16" t="s">
        <v>0</v>
      </c>
    </row>
    <row r="17" spans="1:24" x14ac:dyDescent="0.25">
      <c r="A17" t="s">
        <v>11</v>
      </c>
      <c r="B17" t="s">
        <v>57</v>
      </c>
      <c r="C17" t="s">
        <v>65</v>
      </c>
      <c r="D17" t="s">
        <v>66</v>
      </c>
      <c r="E17" t="s">
        <v>65</v>
      </c>
      <c r="F17" t="s">
        <v>66</v>
      </c>
      <c r="G17" s="3">
        <v>46023</v>
      </c>
      <c r="H17" s="2">
        <v>347</v>
      </c>
      <c r="I17" t="s">
        <v>112</v>
      </c>
      <c r="J17" t="s">
        <v>113</v>
      </c>
      <c r="K17" t="s">
        <v>114</v>
      </c>
      <c r="L17" s="3">
        <v>45995</v>
      </c>
      <c r="M17" s="3">
        <v>46023</v>
      </c>
      <c r="N17" t="s">
        <v>0</v>
      </c>
      <c r="O17">
        <v>1</v>
      </c>
      <c r="P17" t="s">
        <v>101</v>
      </c>
      <c r="Q17" t="s">
        <v>70</v>
      </c>
      <c r="R17" t="s">
        <v>52</v>
      </c>
      <c r="S17" t="s">
        <v>0</v>
      </c>
      <c r="T17" s="3">
        <v>46023</v>
      </c>
      <c r="U17" t="s">
        <v>54</v>
      </c>
      <c r="V17" t="s">
        <v>115</v>
      </c>
      <c r="W17" t="s">
        <v>116</v>
      </c>
      <c r="X17" t="s">
        <v>0</v>
      </c>
    </row>
    <row r="18" spans="1:24" x14ac:dyDescent="0.25">
      <c r="A18" t="s">
        <v>80</v>
      </c>
      <c r="B18" t="s">
        <v>57</v>
      </c>
      <c r="C18" t="s">
        <v>92</v>
      </c>
      <c r="D18" t="s">
        <v>93</v>
      </c>
      <c r="E18" t="s">
        <v>92</v>
      </c>
      <c r="F18" t="s">
        <v>93</v>
      </c>
      <c r="G18" s="3">
        <v>46082</v>
      </c>
      <c r="H18" s="2">
        <v>289.17</v>
      </c>
      <c r="I18" t="s">
        <v>117</v>
      </c>
      <c r="J18" t="s">
        <v>118</v>
      </c>
      <c r="K18" t="s">
        <v>119</v>
      </c>
      <c r="L18" s="3">
        <v>46034</v>
      </c>
      <c r="M18" s="3">
        <v>46082</v>
      </c>
      <c r="N18" t="s">
        <v>0</v>
      </c>
      <c r="O18" t="s">
        <v>86</v>
      </c>
      <c r="P18" t="s">
        <v>0</v>
      </c>
      <c r="Q18" t="s">
        <v>53</v>
      </c>
      <c r="R18" t="s">
        <v>52</v>
      </c>
      <c r="S18" t="s">
        <v>0</v>
      </c>
      <c r="T18" s="3">
        <v>46082</v>
      </c>
      <c r="U18" t="s">
        <v>54</v>
      </c>
      <c r="V18" t="s">
        <v>55</v>
      </c>
      <c r="W18" t="s">
        <v>56</v>
      </c>
      <c r="X18" t="s">
        <v>0</v>
      </c>
    </row>
    <row r="19" spans="1:24" x14ac:dyDescent="0.25">
      <c r="A19" t="s">
        <v>80</v>
      </c>
      <c r="B19" t="s">
        <v>45</v>
      </c>
      <c r="C19" t="s">
        <v>120</v>
      </c>
      <c r="D19" t="s">
        <v>121</v>
      </c>
      <c r="E19" t="s">
        <v>48</v>
      </c>
      <c r="F19" t="s">
        <v>4</v>
      </c>
      <c r="G19" s="3">
        <v>46054</v>
      </c>
      <c r="H19" s="2">
        <v>80</v>
      </c>
      <c r="I19" t="s">
        <v>122</v>
      </c>
      <c r="J19" t="s">
        <v>123</v>
      </c>
      <c r="K19" t="s">
        <v>124</v>
      </c>
      <c r="L19" s="3">
        <v>46027</v>
      </c>
      <c r="M19" s="3">
        <v>46054</v>
      </c>
      <c r="N19" t="s">
        <v>0</v>
      </c>
      <c r="O19" t="s">
        <v>86</v>
      </c>
      <c r="P19" t="s">
        <v>0</v>
      </c>
      <c r="Q19" t="s">
        <v>125</v>
      </c>
      <c r="R19" t="s">
        <v>52</v>
      </c>
      <c r="S19" t="s">
        <v>0</v>
      </c>
      <c r="T19" s="3">
        <v>46054</v>
      </c>
      <c r="U19" t="s">
        <v>126</v>
      </c>
      <c r="V19" t="s">
        <v>127</v>
      </c>
      <c r="W19" t="s">
        <v>56</v>
      </c>
      <c r="X19" t="s">
        <v>0</v>
      </c>
    </row>
    <row r="20" spans="1:24" x14ac:dyDescent="0.25">
      <c r="A20" t="s">
        <v>80</v>
      </c>
      <c r="B20" t="s">
        <v>45</v>
      </c>
      <c r="C20" t="s">
        <v>81</v>
      </c>
      <c r="D20" t="s">
        <v>82</v>
      </c>
      <c r="E20" t="s">
        <v>48</v>
      </c>
      <c r="F20" t="s">
        <v>4</v>
      </c>
      <c r="G20" s="3">
        <v>46054</v>
      </c>
      <c r="H20" s="2">
        <v>80</v>
      </c>
      <c r="I20" t="s">
        <v>83</v>
      </c>
      <c r="J20" t="s">
        <v>84</v>
      </c>
      <c r="K20" t="s">
        <v>85</v>
      </c>
      <c r="L20" s="3">
        <v>46035</v>
      </c>
      <c r="M20" s="3">
        <v>46054</v>
      </c>
      <c r="N20" t="s">
        <v>0</v>
      </c>
      <c r="O20" t="s">
        <v>86</v>
      </c>
      <c r="P20" t="s">
        <v>0</v>
      </c>
      <c r="Q20" t="s">
        <v>53</v>
      </c>
      <c r="R20" t="s">
        <v>52</v>
      </c>
      <c r="S20" t="s">
        <v>0</v>
      </c>
      <c r="T20" s="3">
        <v>46054</v>
      </c>
      <c r="U20" t="s">
        <v>54</v>
      </c>
      <c r="V20" t="s">
        <v>55</v>
      </c>
      <c r="W20" t="s">
        <v>56</v>
      </c>
      <c r="X20" t="s">
        <v>0</v>
      </c>
    </row>
    <row r="21" spans="1:24" x14ac:dyDescent="0.25">
      <c r="A21" t="s">
        <v>11</v>
      </c>
      <c r="B21" t="s">
        <v>45</v>
      </c>
      <c r="C21" t="s">
        <v>128</v>
      </c>
      <c r="D21" t="s">
        <v>129</v>
      </c>
      <c r="E21" t="s">
        <v>48</v>
      </c>
      <c r="F21" t="s">
        <v>4</v>
      </c>
      <c r="G21" s="3">
        <v>46023</v>
      </c>
      <c r="H21" s="2">
        <v>2.5</v>
      </c>
      <c r="I21">
        <v>20647825701</v>
      </c>
      <c r="J21" t="s">
        <v>130</v>
      </c>
      <c r="K21" t="s">
        <v>131</v>
      </c>
      <c r="L21" s="3">
        <v>45999</v>
      </c>
      <c r="M21" s="3">
        <v>46023</v>
      </c>
      <c r="N21" t="s">
        <v>0</v>
      </c>
      <c r="O21">
        <v>1</v>
      </c>
      <c r="P21" t="s">
        <v>101</v>
      </c>
      <c r="Q21" t="s">
        <v>132</v>
      </c>
      <c r="R21" t="s">
        <v>63</v>
      </c>
      <c r="S21" t="s">
        <v>0</v>
      </c>
      <c r="T21" s="3">
        <v>46023</v>
      </c>
      <c r="U21" t="s">
        <v>102</v>
      </c>
      <c r="V21" t="s">
        <v>133</v>
      </c>
      <c r="W21" t="s">
        <v>56</v>
      </c>
      <c r="X21" t="s">
        <v>0</v>
      </c>
    </row>
    <row r="22" spans="1:24" x14ac:dyDescent="0.25">
      <c r="A22" t="s">
        <v>11</v>
      </c>
      <c r="B22" t="s">
        <v>57</v>
      </c>
      <c r="C22" t="s">
        <v>134</v>
      </c>
      <c r="D22" t="s">
        <v>135</v>
      </c>
      <c r="E22" t="s">
        <v>134</v>
      </c>
      <c r="F22" t="s">
        <v>135</v>
      </c>
      <c r="G22" s="3">
        <v>46023</v>
      </c>
      <c r="H22" s="2">
        <v>347</v>
      </c>
      <c r="I22" t="s">
        <v>136</v>
      </c>
      <c r="J22" t="s">
        <v>137</v>
      </c>
      <c r="K22" t="s">
        <v>138</v>
      </c>
      <c r="L22" s="3">
        <v>45994</v>
      </c>
      <c r="M22" s="3">
        <v>46023</v>
      </c>
      <c r="N22" t="s">
        <v>0</v>
      </c>
      <c r="O22">
        <v>1</v>
      </c>
      <c r="P22" t="s">
        <v>63</v>
      </c>
      <c r="Q22" t="s">
        <v>53</v>
      </c>
      <c r="R22" t="s">
        <v>52</v>
      </c>
      <c r="S22" t="s">
        <v>0</v>
      </c>
      <c r="T22" s="3">
        <v>46023</v>
      </c>
      <c r="U22" t="s">
        <v>54</v>
      </c>
      <c r="V22" t="s">
        <v>64</v>
      </c>
      <c r="W22" t="s">
        <v>56</v>
      </c>
      <c r="X22" t="s">
        <v>0</v>
      </c>
    </row>
    <row r="23" spans="1:24" x14ac:dyDescent="0.25">
      <c r="A23" t="s">
        <v>11</v>
      </c>
      <c r="B23" t="s">
        <v>57</v>
      </c>
      <c r="C23" t="s">
        <v>92</v>
      </c>
      <c r="D23" t="s">
        <v>93</v>
      </c>
      <c r="E23" t="s">
        <v>92</v>
      </c>
      <c r="F23" t="s">
        <v>93</v>
      </c>
      <c r="G23" s="3">
        <v>46023</v>
      </c>
      <c r="H23" s="2">
        <v>347</v>
      </c>
      <c r="I23" t="s">
        <v>139</v>
      </c>
      <c r="J23" t="s">
        <v>140</v>
      </c>
      <c r="K23" t="s">
        <v>141</v>
      </c>
      <c r="L23" s="3">
        <v>46006</v>
      </c>
      <c r="M23" s="3">
        <v>46023</v>
      </c>
      <c r="N23" t="s">
        <v>0</v>
      </c>
      <c r="O23">
        <v>1</v>
      </c>
      <c r="P23" t="s">
        <v>101</v>
      </c>
      <c r="Q23" t="s">
        <v>70</v>
      </c>
      <c r="R23" t="s">
        <v>52</v>
      </c>
      <c r="S23" t="s">
        <v>0</v>
      </c>
      <c r="T23" s="3">
        <v>46023</v>
      </c>
      <c r="U23" t="s">
        <v>54</v>
      </c>
      <c r="V23" t="s">
        <v>71</v>
      </c>
      <c r="W23" t="s">
        <v>56</v>
      </c>
      <c r="X23" t="s">
        <v>0</v>
      </c>
    </row>
    <row r="24" spans="1:24" x14ac:dyDescent="0.25">
      <c r="A24" t="s">
        <v>80</v>
      </c>
      <c r="B24" t="s">
        <v>45</v>
      </c>
      <c r="C24" t="s">
        <v>92</v>
      </c>
      <c r="D24" t="s">
        <v>93</v>
      </c>
      <c r="E24" t="s">
        <v>48</v>
      </c>
      <c r="F24" t="s">
        <v>4</v>
      </c>
      <c r="G24" s="3">
        <v>46023</v>
      </c>
      <c r="H24" s="2">
        <v>80</v>
      </c>
      <c r="I24" t="s">
        <v>94</v>
      </c>
      <c r="J24" t="s">
        <v>95</v>
      </c>
      <c r="K24" t="s">
        <v>96</v>
      </c>
      <c r="L24" s="3">
        <v>45957</v>
      </c>
      <c r="M24" s="3">
        <v>46023</v>
      </c>
      <c r="N24" t="s">
        <v>0</v>
      </c>
      <c r="O24">
        <v>2</v>
      </c>
      <c r="P24" t="s">
        <v>52</v>
      </c>
      <c r="Q24" t="s">
        <v>53</v>
      </c>
      <c r="R24" t="s">
        <v>52</v>
      </c>
      <c r="S24" t="s">
        <v>0</v>
      </c>
      <c r="T24" s="3">
        <v>46023</v>
      </c>
      <c r="U24" t="s">
        <v>54</v>
      </c>
      <c r="V24" t="s">
        <v>55</v>
      </c>
      <c r="W24" t="s">
        <v>56</v>
      </c>
      <c r="X24" t="s">
        <v>0</v>
      </c>
    </row>
    <row r="25" spans="1:24" x14ac:dyDescent="0.25">
      <c r="A25" t="s">
        <v>80</v>
      </c>
      <c r="B25" t="s">
        <v>45</v>
      </c>
      <c r="C25" t="s">
        <v>92</v>
      </c>
      <c r="D25" t="s">
        <v>93</v>
      </c>
      <c r="E25" t="s">
        <v>48</v>
      </c>
      <c r="F25" t="s">
        <v>4</v>
      </c>
      <c r="G25" s="3">
        <v>46082</v>
      </c>
      <c r="H25" s="2">
        <v>80</v>
      </c>
      <c r="I25" t="s">
        <v>117</v>
      </c>
      <c r="J25" t="s">
        <v>118</v>
      </c>
      <c r="K25" t="s">
        <v>119</v>
      </c>
      <c r="L25" s="3">
        <v>46034</v>
      </c>
      <c r="M25" s="3">
        <v>46082</v>
      </c>
      <c r="N25" t="s">
        <v>0</v>
      </c>
      <c r="O25" t="s">
        <v>86</v>
      </c>
      <c r="P25" t="s">
        <v>0</v>
      </c>
      <c r="Q25" t="s">
        <v>53</v>
      </c>
      <c r="R25" t="s">
        <v>52</v>
      </c>
      <c r="S25" t="s">
        <v>0</v>
      </c>
      <c r="T25" s="3">
        <v>46082</v>
      </c>
      <c r="U25" t="s">
        <v>54</v>
      </c>
      <c r="V25" t="s">
        <v>55</v>
      </c>
      <c r="W25" t="s">
        <v>56</v>
      </c>
      <c r="X25" t="s">
        <v>0</v>
      </c>
    </row>
    <row r="26" spans="1:24" x14ac:dyDescent="0.25">
      <c r="A26" t="s">
        <v>11</v>
      </c>
      <c r="B26" t="s">
        <v>57</v>
      </c>
      <c r="C26" t="s">
        <v>142</v>
      </c>
      <c r="D26" t="s">
        <v>143</v>
      </c>
      <c r="E26" t="s">
        <v>142</v>
      </c>
      <c r="F26" t="s">
        <v>143</v>
      </c>
      <c r="G26" s="3">
        <v>46023</v>
      </c>
      <c r="H26" s="2">
        <v>57</v>
      </c>
      <c r="I26">
        <v>20623532701</v>
      </c>
      <c r="J26" t="s">
        <v>144</v>
      </c>
      <c r="K26" t="s">
        <v>145</v>
      </c>
      <c r="L26" s="3">
        <v>45995</v>
      </c>
      <c r="M26" s="3">
        <v>46023</v>
      </c>
      <c r="N26" t="s">
        <v>0</v>
      </c>
      <c r="O26">
        <v>1</v>
      </c>
      <c r="P26" t="s">
        <v>101</v>
      </c>
      <c r="Q26" t="s">
        <v>146</v>
      </c>
      <c r="R26" t="s">
        <v>63</v>
      </c>
      <c r="S26" t="s">
        <v>0</v>
      </c>
      <c r="T26" s="3">
        <v>46023</v>
      </c>
      <c r="U26" t="s">
        <v>102</v>
      </c>
      <c r="V26" t="s">
        <v>147</v>
      </c>
      <c r="W26" t="s">
        <v>56</v>
      </c>
      <c r="X26" t="s">
        <v>0</v>
      </c>
    </row>
    <row r="27" spans="1:24" x14ac:dyDescent="0.25">
      <c r="A27" t="s">
        <v>11</v>
      </c>
      <c r="B27" t="s">
        <v>45</v>
      </c>
      <c r="C27" t="s">
        <v>142</v>
      </c>
      <c r="D27" t="s">
        <v>143</v>
      </c>
      <c r="E27" t="s">
        <v>48</v>
      </c>
      <c r="F27" t="s">
        <v>4</v>
      </c>
      <c r="G27" s="3">
        <v>46023</v>
      </c>
      <c r="H27" s="2">
        <v>2.5</v>
      </c>
      <c r="I27">
        <v>20623532701</v>
      </c>
      <c r="J27" t="s">
        <v>144</v>
      </c>
      <c r="K27" t="s">
        <v>145</v>
      </c>
      <c r="L27" s="3">
        <v>45995</v>
      </c>
      <c r="M27" s="3">
        <v>46023</v>
      </c>
      <c r="N27" t="s">
        <v>0</v>
      </c>
      <c r="O27">
        <v>1</v>
      </c>
      <c r="P27" t="s">
        <v>101</v>
      </c>
      <c r="Q27" t="s">
        <v>146</v>
      </c>
      <c r="R27" t="s">
        <v>63</v>
      </c>
      <c r="S27" t="s">
        <v>0</v>
      </c>
      <c r="T27" s="3">
        <v>46023</v>
      </c>
      <c r="U27" t="s">
        <v>102</v>
      </c>
      <c r="V27" t="s">
        <v>147</v>
      </c>
      <c r="W27" t="s">
        <v>56</v>
      </c>
      <c r="X27" t="s">
        <v>0</v>
      </c>
    </row>
    <row r="28" spans="1:24" x14ac:dyDescent="0.25">
      <c r="A28" t="s">
        <v>44</v>
      </c>
      <c r="B28" t="s">
        <v>45</v>
      </c>
      <c r="C28" t="s">
        <v>87</v>
      </c>
      <c r="D28" t="s">
        <v>88</v>
      </c>
      <c r="E28" t="s">
        <v>48</v>
      </c>
      <c r="F28" t="s">
        <v>4</v>
      </c>
      <c r="G28" s="3">
        <v>46023</v>
      </c>
      <c r="H28" s="2">
        <v>-80</v>
      </c>
      <c r="I28" t="s">
        <v>89</v>
      </c>
      <c r="J28" t="s">
        <v>90</v>
      </c>
      <c r="K28" t="s">
        <v>91</v>
      </c>
      <c r="L28" s="3">
        <v>45975</v>
      </c>
      <c r="M28" s="3">
        <v>46023</v>
      </c>
      <c r="N28" s="3">
        <v>46053</v>
      </c>
      <c r="O28">
        <v>5</v>
      </c>
      <c r="P28" t="s">
        <v>52</v>
      </c>
      <c r="Q28" t="s">
        <v>53</v>
      </c>
      <c r="R28" t="s">
        <v>52</v>
      </c>
      <c r="S28" t="s">
        <v>0</v>
      </c>
      <c r="T28" s="3">
        <v>46023</v>
      </c>
      <c r="U28" t="s">
        <v>54</v>
      </c>
      <c r="V28" t="s">
        <v>55</v>
      </c>
      <c r="W28" t="s">
        <v>56</v>
      </c>
      <c r="X28" t="s">
        <v>0</v>
      </c>
    </row>
    <row r="29" spans="1:24" x14ac:dyDescent="0.25">
      <c r="A29" t="s">
        <v>80</v>
      </c>
      <c r="B29" t="s">
        <v>57</v>
      </c>
      <c r="C29" t="s">
        <v>148</v>
      </c>
      <c r="D29" t="s">
        <v>149</v>
      </c>
      <c r="E29" t="s">
        <v>148</v>
      </c>
      <c r="F29" t="s">
        <v>149</v>
      </c>
      <c r="G29" s="3">
        <v>46023</v>
      </c>
      <c r="H29" s="2">
        <v>41</v>
      </c>
      <c r="I29" t="s">
        <v>150</v>
      </c>
      <c r="J29" t="s">
        <v>151</v>
      </c>
      <c r="K29" t="s">
        <v>152</v>
      </c>
      <c r="L29" s="3">
        <v>45992</v>
      </c>
      <c r="M29" s="3">
        <v>46023</v>
      </c>
      <c r="N29" t="s">
        <v>0</v>
      </c>
      <c r="O29">
        <v>3</v>
      </c>
      <c r="P29" t="s">
        <v>52</v>
      </c>
      <c r="Q29" t="s">
        <v>153</v>
      </c>
      <c r="R29" t="s">
        <v>52</v>
      </c>
      <c r="S29" t="s">
        <v>154</v>
      </c>
      <c r="T29" s="3">
        <v>46023</v>
      </c>
      <c r="U29" t="s">
        <v>155</v>
      </c>
      <c r="V29" t="s">
        <v>156</v>
      </c>
      <c r="W29" t="s">
        <v>56</v>
      </c>
      <c r="X29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28515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1.85546875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6B5BA-8233-4D77-A0B3-0A35E54A9134}">
  <dimension ref="A1:Y30"/>
  <sheetViews>
    <sheetView tabSelected="1" workbookViewId="0">
      <selection activeCell="E30" sqref="E30"/>
    </sheetView>
  </sheetViews>
  <sheetFormatPr defaultRowHeight="15" x14ac:dyDescent="0.25"/>
  <cols>
    <col min="1" max="1" width="20" customWidth="1"/>
    <col min="2" max="2" width="10.28515625" bestFit="1" customWidth="1"/>
    <col min="3" max="3" width="24.7109375" bestFit="1" customWidth="1"/>
    <col min="4" max="4" width="15" bestFit="1" customWidth="1"/>
    <col min="5" max="5" width="11.85546875" bestFit="1" customWidth="1"/>
    <col min="6" max="6" width="15.7109375" bestFit="1" customWidth="1"/>
    <col min="7" max="7" width="20.28515625" bestFit="1" customWidth="1"/>
    <col min="8" max="8" width="12.140625" bestFit="1" customWidth="1"/>
    <col min="9" max="9" width="10.28515625" bestFit="1" customWidth="1"/>
    <col min="10" max="10" width="8.7109375" bestFit="1" customWidth="1"/>
    <col min="11" max="11" width="18.85546875" bestFit="1" customWidth="1"/>
    <col min="12" max="12" width="23.140625" bestFit="1" customWidth="1"/>
    <col min="13" max="14" width="10.140625" bestFit="1" customWidth="1"/>
  </cols>
  <sheetData>
    <row r="1" spans="1:25" x14ac:dyDescent="0.25">
      <c r="A1" t="s">
        <v>22</v>
      </c>
      <c r="B1" t="s">
        <v>25</v>
      </c>
      <c r="C1" t="s">
        <v>26</v>
      </c>
      <c r="D1" s="2" t="s">
        <v>28</v>
      </c>
      <c r="E1" t="s">
        <v>29</v>
      </c>
      <c r="G1" t="s">
        <v>31</v>
      </c>
      <c r="H1" t="s">
        <v>33</v>
      </c>
      <c r="I1" t="s">
        <v>37</v>
      </c>
      <c r="J1" t="s">
        <v>38</v>
      </c>
    </row>
    <row r="2" spans="1:25" x14ac:dyDescent="0.25">
      <c r="A2" t="s">
        <v>57</v>
      </c>
      <c r="B2">
        <v>19645587</v>
      </c>
      <c r="C2" t="s">
        <v>93</v>
      </c>
      <c r="D2" s="2">
        <v>347</v>
      </c>
      <c r="E2" t="s">
        <v>94</v>
      </c>
      <c r="F2" t="str">
        <f>CONCATENATE(E2,26)</f>
        <v>58R5A1U7126</v>
      </c>
      <c r="G2" t="s">
        <v>96</v>
      </c>
      <c r="H2" s="3">
        <v>46023</v>
      </c>
      <c r="I2" t="s">
        <v>53</v>
      </c>
      <c r="J2" t="s">
        <v>52</v>
      </c>
      <c r="K2" s="3" t="s">
        <v>158</v>
      </c>
      <c r="L2" t="s">
        <v>159</v>
      </c>
    </row>
    <row r="3" spans="1:25" x14ac:dyDescent="0.25">
      <c r="A3" s="4" t="s">
        <v>45</v>
      </c>
      <c r="B3" s="4">
        <v>20411454</v>
      </c>
      <c r="C3" s="4" t="s">
        <v>4</v>
      </c>
      <c r="D3" s="5">
        <v>80</v>
      </c>
      <c r="E3" s="4" t="s">
        <v>94</v>
      </c>
      <c r="F3" s="4" t="str">
        <f>CONCATENATE(E3,"OVR")</f>
        <v>58R5A1U71OVR</v>
      </c>
      <c r="G3" s="4" t="s">
        <v>96</v>
      </c>
      <c r="H3" s="6">
        <v>46023</v>
      </c>
      <c r="I3" s="4" t="s">
        <v>53</v>
      </c>
      <c r="J3" s="4" t="s">
        <v>52</v>
      </c>
      <c r="K3" s="6" t="s">
        <v>157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25">
      <c r="A4" t="s">
        <v>57</v>
      </c>
      <c r="B4">
        <v>19586992</v>
      </c>
      <c r="C4" t="s">
        <v>88</v>
      </c>
      <c r="D4" s="2">
        <v>-347</v>
      </c>
      <c r="E4" t="s">
        <v>89</v>
      </c>
      <c r="F4" t="str">
        <f>CONCATENATE(E4,26)</f>
        <v>47A7U3H9826</v>
      </c>
      <c r="G4" t="s">
        <v>91</v>
      </c>
      <c r="H4" s="3">
        <v>46023</v>
      </c>
      <c r="I4" t="s">
        <v>53</v>
      </c>
      <c r="J4" t="s">
        <v>52</v>
      </c>
      <c r="K4" s="3" t="s">
        <v>158</v>
      </c>
      <c r="L4" t="s">
        <v>159</v>
      </c>
    </row>
    <row r="5" spans="1:25" x14ac:dyDescent="0.25">
      <c r="A5" s="4" t="s">
        <v>45</v>
      </c>
      <c r="B5" s="4">
        <v>20411454</v>
      </c>
      <c r="C5" s="4" t="s">
        <v>4</v>
      </c>
      <c r="D5" s="5">
        <v>-80</v>
      </c>
      <c r="E5" s="4" t="s">
        <v>89</v>
      </c>
      <c r="F5" s="4" t="str">
        <f>CONCATENATE(E5,"OVR")</f>
        <v>47A7U3H98OVR</v>
      </c>
      <c r="G5" s="4" t="s">
        <v>91</v>
      </c>
      <c r="H5" s="6">
        <v>46023</v>
      </c>
      <c r="I5" s="4" t="s">
        <v>53</v>
      </c>
      <c r="J5" s="4" t="s">
        <v>52</v>
      </c>
      <c r="K5" s="6" t="s">
        <v>157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s="7" customFormat="1" x14ac:dyDescent="0.25">
      <c r="A6" s="4" t="s">
        <v>45</v>
      </c>
      <c r="B6" s="4">
        <v>20411454</v>
      </c>
      <c r="C6" s="4" t="s">
        <v>4</v>
      </c>
      <c r="D6" s="5">
        <v>2.5</v>
      </c>
      <c r="E6" s="4">
        <v>20647825701</v>
      </c>
      <c r="F6" s="4" t="str">
        <f>CONCATENATE(E6,"OVR")</f>
        <v>20647825701OVR</v>
      </c>
      <c r="G6" s="4" t="s">
        <v>131</v>
      </c>
      <c r="H6" s="6">
        <v>46023</v>
      </c>
      <c r="I6" s="4" t="s">
        <v>132</v>
      </c>
      <c r="J6" s="4" t="s">
        <v>63</v>
      </c>
      <c r="K6" s="6" t="s">
        <v>157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s="7" customFormat="1" x14ac:dyDescent="0.25">
      <c r="A7" t="s">
        <v>57</v>
      </c>
      <c r="B7">
        <v>8405446</v>
      </c>
      <c r="C7" t="s">
        <v>47</v>
      </c>
      <c r="D7" s="2">
        <v>-347</v>
      </c>
      <c r="E7" t="s">
        <v>49</v>
      </c>
      <c r="F7" t="str">
        <f>CONCATENATE(E7,26)</f>
        <v>59X6U1A8626</v>
      </c>
      <c r="G7" t="s">
        <v>51</v>
      </c>
      <c r="H7" s="3">
        <v>46023</v>
      </c>
      <c r="I7" t="s">
        <v>53</v>
      </c>
      <c r="J7" t="s">
        <v>52</v>
      </c>
      <c r="K7" s="3" t="s">
        <v>158</v>
      </c>
      <c r="L7" t="s">
        <v>159</v>
      </c>
      <c r="M7"/>
      <c r="N7"/>
      <c r="O7"/>
      <c r="P7"/>
      <c r="Q7"/>
      <c r="R7"/>
      <c r="S7"/>
      <c r="T7"/>
      <c r="U7"/>
      <c r="V7"/>
      <c r="W7"/>
      <c r="X7"/>
      <c r="Y7"/>
    </row>
    <row r="8" spans="1:25" x14ac:dyDescent="0.25">
      <c r="A8" s="4" t="s">
        <v>45</v>
      </c>
      <c r="B8" s="4">
        <v>20411454</v>
      </c>
      <c r="C8" s="4" t="s">
        <v>4</v>
      </c>
      <c r="D8" s="5">
        <v>-80</v>
      </c>
      <c r="E8" s="4" t="s">
        <v>49</v>
      </c>
      <c r="F8" s="4" t="str">
        <f>CONCATENATE(E8,"OVR")</f>
        <v>59X6U1A86OVR</v>
      </c>
      <c r="G8" s="4" t="s">
        <v>51</v>
      </c>
      <c r="H8" s="6">
        <v>46023</v>
      </c>
      <c r="I8" s="4" t="s">
        <v>53</v>
      </c>
      <c r="J8" s="4" t="s">
        <v>52</v>
      </c>
      <c r="K8" s="6" t="s">
        <v>157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x14ac:dyDescent="0.25">
      <c r="A9" t="s">
        <v>57</v>
      </c>
      <c r="B9">
        <v>7565575</v>
      </c>
      <c r="C9" t="s">
        <v>135</v>
      </c>
      <c r="D9" s="2">
        <v>347</v>
      </c>
      <c r="E9" t="s">
        <v>136</v>
      </c>
      <c r="F9" t="str">
        <f>CONCATENATE(E9,26)</f>
        <v>75X8A6F4826</v>
      </c>
      <c r="G9" t="s">
        <v>138</v>
      </c>
      <c r="H9" s="3">
        <v>46023</v>
      </c>
      <c r="I9" t="s">
        <v>53</v>
      </c>
      <c r="J9" t="s">
        <v>52</v>
      </c>
      <c r="K9" s="3" t="s">
        <v>158</v>
      </c>
      <c r="L9" t="s">
        <v>159</v>
      </c>
    </row>
    <row r="10" spans="1:25" x14ac:dyDescent="0.25">
      <c r="A10" t="s">
        <v>57</v>
      </c>
      <c r="B10">
        <v>8325282</v>
      </c>
      <c r="C10" t="s">
        <v>82</v>
      </c>
      <c r="D10" s="2">
        <v>318.08</v>
      </c>
      <c r="E10" t="s">
        <v>83</v>
      </c>
      <c r="F10" t="str">
        <f>CONCATENATE(E10,26)</f>
        <v>25R6A4R2226</v>
      </c>
      <c r="G10" t="s">
        <v>85</v>
      </c>
      <c r="H10" s="3">
        <v>46054</v>
      </c>
      <c r="I10" t="s">
        <v>53</v>
      </c>
      <c r="J10" t="s">
        <v>52</v>
      </c>
      <c r="K10" s="3" t="s">
        <v>158</v>
      </c>
      <c r="L10" t="s">
        <v>161</v>
      </c>
      <c r="M10">
        <f>347/12*11</f>
        <v>318.08333333333337</v>
      </c>
    </row>
    <row r="11" spans="1:25" x14ac:dyDescent="0.25">
      <c r="A11" s="4" t="s">
        <v>45</v>
      </c>
      <c r="B11" s="4">
        <v>20411454</v>
      </c>
      <c r="C11" s="4" t="s">
        <v>4</v>
      </c>
      <c r="D11" s="5">
        <v>80</v>
      </c>
      <c r="E11" s="4" t="s">
        <v>83</v>
      </c>
      <c r="F11" s="4" t="str">
        <f>CONCATENATE(E11,"OVR")</f>
        <v>25R6A4R22OVR</v>
      </c>
      <c r="G11" s="4" t="s">
        <v>85</v>
      </c>
      <c r="H11" s="6">
        <v>46054</v>
      </c>
      <c r="I11" s="4" t="s">
        <v>53</v>
      </c>
      <c r="J11" s="4" t="s">
        <v>52</v>
      </c>
      <c r="K11" s="6" t="s">
        <v>157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5">
      <c r="A12" t="s">
        <v>57</v>
      </c>
      <c r="B12">
        <v>21435997</v>
      </c>
      <c r="C12" t="s">
        <v>66</v>
      </c>
      <c r="D12" s="2">
        <v>347</v>
      </c>
      <c r="E12" t="s">
        <v>67</v>
      </c>
      <c r="F12" t="str">
        <f>CONCATENATE(E12,26)</f>
        <v>15U8H2A8426</v>
      </c>
      <c r="G12" t="s">
        <v>69</v>
      </c>
      <c r="H12" s="3">
        <v>46023</v>
      </c>
      <c r="I12" t="s">
        <v>70</v>
      </c>
      <c r="J12" t="s">
        <v>52</v>
      </c>
      <c r="K12" s="3" t="s">
        <v>158</v>
      </c>
      <c r="L12" t="s">
        <v>159</v>
      </c>
    </row>
    <row r="13" spans="1:25" x14ac:dyDescent="0.25">
      <c r="A13" t="s">
        <v>57</v>
      </c>
      <c r="B13">
        <v>19645587</v>
      </c>
      <c r="C13" t="s">
        <v>93</v>
      </c>
      <c r="D13" s="2">
        <v>289.17</v>
      </c>
      <c r="E13" t="s">
        <v>117</v>
      </c>
      <c r="F13" t="str">
        <f>CONCATENATE(E13,26)</f>
        <v>64A7F1H3726</v>
      </c>
      <c r="G13" t="s">
        <v>119</v>
      </c>
      <c r="H13" s="3">
        <v>46082</v>
      </c>
      <c r="I13" t="s">
        <v>53</v>
      </c>
      <c r="J13" t="s">
        <v>52</v>
      </c>
      <c r="K13" s="3" t="s">
        <v>158</v>
      </c>
      <c r="L13" t="s">
        <v>160</v>
      </c>
      <c r="M13">
        <f>347/12*10</f>
        <v>289.16666666666669</v>
      </c>
    </row>
    <row r="14" spans="1:25" x14ac:dyDescent="0.25">
      <c r="A14" s="4" t="s">
        <v>45</v>
      </c>
      <c r="B14" s="4">
        <v>20411454</v>
      </c>
      <c r="C14" s="4" t="s">
        <v>4</v>
      </c>
      <c r="D14" s="5">
        <v>80</v>
      </c>
      <c r="E14" s="4" t="s">
        <v>117</v>
      </c>
      <c r="F14" s="4" t="str">
        <f>CONCATENATE(E14,"OVR")</f>
        <v>64A7F1H37OVR</v>
      </c>
      <c r="G14" s="4" t="s">
        <v>119</v>
      </c>
      <c r="H14" s="6">
        <v>46082</v>
      </c>
      <c r="I14" s="4" t="s">
        <v>53</v>
      </c>
      <c r="J14" s="4" t="s">
        <v>52</v>
      </c>
      <c r="K14" s="6" t="s">
        <v>157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5">
      <c r="A15" s="4" t="s">
        <v>45</v>
      </c>
      <c r="B15" s="4">
        <v>20411454</v>
      </c>
      <c r="C15" s="4" t="s">
        <v>4</v>
      </c>
      <c r="D15" s="5">
        <v>80</v>
      </c>
      <c r="E15" s="4" t="s">
        <v>122</v>
      </c>
      <c r="F15" s="4" t="str">
        <f>CONCATENATE(E15,"OVR")</f>
        <v>69H7U6A93OVR</v>
      </c>
      <c r="G15" s="4" t="s">
        <v>124</v>
      </c>
      <c r="H15" s="6">
        <v>46054</v>
      </c>
      <c r="I15" s="4" t="s">
        <v>125</v>
      </c>
      <c r="J15" s="4" t="s">
        <v>52</v>
      </c>
      <c r="K15" s="6" t="s">
        <v>157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t="s">
        <v>57</v>
      </c>
      <c r="B16">
        <v>21749481</v>
      </c>
      <c r="C16" t="s">
        <v>143</v>
      </c>
      <c r="D16" s="2">
        <v>57</v>
      </c>
      <c r="E16">
        <v>20623532701</v>
      </c>
      <c r="F16" t="str">
        <f>CONCATENATE(E16,"PDP")</f>
        <v>20623532701PDP</v>
      </c>
      <c r="G16" t="s">
        <v>145</v>
      </c>
      <c r="H16" s="3">
        <v>46023</v>
      </c>
      <c r="I16" t="s">
        <v>146</v>
      </c>
      <c r="J16" t="s">
        <v>63</v>
      </c>
      <c r="K16" s="3" t="s">
        <v>166</v>
      </c>
    </row>
    <row r="17" spans="1:25" x14ac:dyDescent="0.25">
      <c r="A17" s="4" t="s">
        <v>45</v>
      </c>
      <c r="B17" s="4">
        <v>20411454</v>
      </c>
      <c r="C17" s="4" t="s">
        <v>4</v>
      </c>
      <c r="D17" s="5">
        <v>2.5</v>
      </c>
      <c r="E17" s="4">
        <v>20623532701</v>
      </c>
      <c r="F17" s="4" t="str">
        <f>CONCATENATE(E17,"OVR")</f>
        <v>20623532701OVR</v>
      </c>
      <c r="G17" s="4" t="s">
        <v>145</v>
      </c>
      <c r="H17" s="6">
        <v>46023</v>
      </c>
      <c r="I17" s="4" t="s">
        <v>146</v>
      </c>
      <c r="J17" s="4" t="s">
        <v>63</v>
      </c>
      <c r="K17" s="6" t="s">
        <v>157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t="s">
        <v>57</v>
      </c>
      <c r="B18">
        <v>21435997</v>
      </c>
      <c r="C18" t="s">
        <v>66</v>
      </c>
      <c r="D18" s="2">
        <v>347</v>
      </c>
      <c r="E18" t="s">
        <v>112</v>
      </c>
      <c r="F18" t="str">
        <f>CONCATENATE(E18,26)</f>
        <v>35U1H7U8726</v>
      </c>
      <c r="G18" t="s">
        <v>114</v>
      </c>
      <c r="H18" s="3">
        <v>46023</v>
      </c>
      <c r="I18" t="s">
        <v>70</v>
      </c>
      <c r="J18" t="s">
        <v>52</v>
      </c>
      <c r="K18" s="3" t="s">
        <v>158</v>
      </c>
      <c r="L18" t="s">
        <v>159</v>
      </c>
    </row>
    <row r="19" spans="1:25" x14ac:dyDescent="0.25">
      <c r="A19" t="s">
        <v>57</v>
      </c>
      <c r="B19">
        <v>8405446</v>
      </c>
      <c r="C19" t="s">
        <v>47</v>
      </c>
      <c r="D19" s="2">
        <v>-347</v>
      </c>
      <c r="E19" t="s">
        <v>77</v>
      </c>
      <c r="F19" t="str">
        <f>CONCATENATE(E19,26)</f>
        <v>62R9U9R3526</v>
      </c>
      <c r="G19" t="s">
        <v>79</v>
      </c>
      <c r="H19" s="3">
        <v>46023</v>
      </c>
      <c r="I19" t="s">
        <v>53</v>
      </c>
      <c r="J19" t="s">
        <v>52</v>
      </c>
      <c r="K19" s="3" t="s">
        <v>158</v>
      </c>
      <c r="L19" t="s">
        <v>159</v>
      </c>
    </row>
    <row r="20" spans="1:25" s="4" customFormat="1" x14ac:dyDescent="0.25">
      <c r="A20" s="4" t="s">
        <v>45</v>
      </c>
      <c r="B20" s="4">
        <v>20411454</v>
      </c>
      <c r="C20" s="4" t="s">
        <v>4</v>
      </c>
      <c r="D20" s="5">
        <v>-80</v>
      </c>
      <c r="E20" s="4" t="s">
        <v>77</v>
      </c>
      <c r="F20" s="4" t="str">
        <f>CONCATENATE(E20,"OVR")</f>
        <v>62R9U9R35OVR</v>
      </c>
      <c r="G20" s="4" t="s">
        <v>79</v>
      </c>
      <c r="H20" s="6">
        <v>46023</v>
      </c>
      <c r="I20" s="4" t="s">
        <v>53</v>
      </c>
      <c r="J20" s="4" t="s">
        <v>52</v>
      </c>
      <c r="K20" s="6" t="s">
        <v>157</v>
      </c>
    </row>
    <row r="21" spans="1:25" s="4" customFormat="1" x14ac:dyDescent="0.25">
      <c r="A21" t="s">
        <v>57</v>
      </c>
      <c r="B21">
        <v>19681796</v>
      </c>
      <c r="C21" t="s">
        <v>59</v>
      </c>
      <c r="D21" s="2">
        <v>347</v>
      </c>
      <c r="E21" t="s">
        <v>60</v>
      </c>
      <c r="F21" t="str">
        <f>CONCATENATE(E21,26)</f>
        <v>64H9X7F6826</v>
      </c>
      <c r="G21" t="s">
        <v>62</v>
      </c>
      <c r="H21" s="3">
        <v>46023</v>
      </c>
      <c r="I21" t="s">
        <v>53</v>
      </c>
      <c r="J21" t="s">
        <v>52</v>
      </c>
      <c r="K21" s="3" t="s">
        <v>158</v>
      </c>
      <c r="L21" t="s">
        <v>159</v>
      </c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1:25" s="4" customFormat="1" x14ac:dyDescent="0.25">
      <c r="A22" s="7" t="s">
        <v>57</v>
      </c>
      <c r="B22" s="7">
        <v>18598357</v>
      </c>
      <c r="C22" s="7" t="s">
        <v>149</v>
      </c>
      <c r="D22" s="8">
        <v>-391</v>
      </c>
      <c r="E22" s="7" t="s">
        <v>150</v>
      </c>
      <c r="F22" s="7" t="str">
        <f>CONCATENATE(E22,1)</f>
        <v>33U1R6F311</v>
      </c>
      <c r="G22" s="7" t="s">
        <v>152</v>
      </c>
      <c r="H22" s="9">
        <v>46023</v>
      </c>
      <c r="I22" s="7" t="s">
        <v>153</v>
      </c>
      <c r="J22" s="7" t="s">
        <v>52</v>
      </c>
      <c r="K22" s="7" t="s">
        <v>163</v>
      </c>
      <c r="L22" s="9" t="s">
        <v>162</v>
      </c>
      <c r="M22" s="7"/>
      <c r="N22" s="7">
        <f>344.08+21.8+25.12</f>
        <v>391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s="7" customFormat="1" x14ac:dyDescent="0.25">
      <c r="A23" s="7" t="s">
        <v>57</v>
      </c>
      <c r="B23" s="7">
        <v>18598357</v>
      </c>
      <c r="C23" s="7" t="s">
        <v>149</v>
      </c>
      <c r="D23" s="8">
        <v>432</v>
      </c>
      <c r="E23" s="7" t="s">
        <v>150</v>
      </c>
      <c r="F23" s="7" t="str">
        <f>CONCATENATE(E23,26)</f>
        <v>33U1R6F3126</v>
      </c>
      <c r="G23" s="7" t="s">
        <v>152</v>
      </c>
      <c r="H23" s="9">
        <v>46023</v>
      </c>
      <c r="I23" s="7" t="s">
        <v>153</v>
      </c>
      <c r="J23" s="7" t="s">
        <v>52</v>
      </c>
      <c r="K23" s="9" t="s">
        <v>164</v>
      </c>
      <c r="L23" s="9" t="s">
        <v>165</v>
      </c>
      <c r="N23" s="7">
        <f>380.16+24.08+27.76</f>
        <v>432</v>
      </c>
    </row>
    <row r="24" spans="1:25" s="4" customFormat="1" x14ac:dyDescent="0.25">
      <c r="A24" t="s">
        <v>57</v>
      </c>
      <c r="B24">
        <v>16912722</v>
      </c>
      <c r="C24" t="s">
        <v>108</v>
      </c>
      <c r="D24" s="2">
        <v>347</v>
      </c>
      <c r="E24" t="s">
        <v>109</v>
      </c>
      <c r="F24" t="str">
        <f>CONCATENATE(E24,26)</f>
        <v>41A5A8R7826</v>
      </c>
      <c r="G24" t="s">
        <v>111</v>
      </c>
      <c r="H24" s="3">
        <v>46023</v>
      </c>
      <c r="I24" t="s">
        <v>53</v>
      </c>
      <c r="J24" t="s">
        <v>52</v>
      </c>
      <c r="K24" s="3" t="s">
        <v>158</v>
      </c>
      <c r="L24" t="s">
        <v>159</v>
      </c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1:25" s="4" customFormat="1" x14ac:dyDescent="0.25">
      <c r="A25" t="s">
        <v>57</v>
      </c>
      <c r="B25">
        <v>19681796</v>
      </c>
      <c r="C25" t="s">
        <v>59</v>
      </c>
      <c r="D25" s="2">
        <v>-347</v>
      </c>
      <c r="E25" t="s">
        <v>104</v>
      </c>
      <c r="F25" t="str">
        <f>CONCATENATE(E25,26)</f>
        <v>21R4U1R7126</v>
      </c>
      <c r="G25" t="s">
        <v>106</v>
      </c>
      <c r="H25" s="3">
        <v>46023</v>
      </c>
      <c r="I25" t="s">
        <v>53</v>
      </c>
      <c r="J25" t="s">
        <v>52</v>
      </c>
      <c r="K25" s="3" t="s">
        <v>158</v>
      </c>
      <c r="L25" t="s">
        <v>159</v>
      </c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1:25" s="4" customFormat="1" x14ac:dyDescent="0.25">
      <c r="A26" s="4" t="s">
        <v>45</v>
      </c>
      <c r="B26" s="4">
        <v>20411454</v>
      </c>
      <c r="C26" s="4" t="s">
        <v>4</v>
      </c>
      <c r="D26" s="5">
        <v>-80</v>
      </c>
      <c r="E26" s="4" t="s">
        <v>104</v>
      </c>
      <c r="F26" s="4" t="str">
        <f>CONCATENATE(E26,"OVR")</f>
        <v>21R4U1R71OVR</v>
      </c>
      <c r="G26" s="4" t="s">
        <v>106</v>
      </c>
      <c r="H26" s="6">
        <v>46023</v>
      </c>
      <c r="I26" s="4" t="s">
        <v>53</v>
      </c>
      <c r="J26" s="4" t="s">
        <v>52</v>
      </c>
      <c r="K26" s="6" t="s">
        <v>157</v>
      </c>
    </row>
    <row r="27" spans="1:25" s="4" customFormat="1" x14ac:dyDescent="0.25">
      <c r="A27" t="s">
        <v>57</v>
      </c>
      <c r="B27">
        <v>17126004</v>
      </c>
      <c r="C27" t="s">
        <v>98</v>
      </c>
      <c r="D27" s="2">
        <v>57</v>
      </c>
      <c r="E27">
        <v>20637646901</v>
      </c>
      <c r="F27" t="str">
        <f>CONCATENATE(E27,"PDP")</f>
        <v>20637646901PDP</v>
      </c>
      <c r="G27" t="s">
        <v>100</v>
      </c>
      <c r="H27" s="3">
        <v>46023</v>
      </c>
      <c r="I27" t="s">
        <v>53</v>
      </c>
      <c r="J27" t="s">
        <v>63</v>
      </c>
      <c r="K27" s="3" t="s">
        <v>166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1:25" s="4" customFormat="1" x14ac:dyDescent="0.25">
      <c r="A28" s="4" t="s">
        <v>45</v>
      </c>
      <c r="B28" s="4">
        <v>20411454</v>
      </c>
      <c r="C28" s="4" t="s">
        <v>4</v>
      </c>
      <c r="D28" s="5">
        <v>2.5</v>
      </c>
      <c r="E28" s="4">
        <v>20637646901</v>
      </c>
      <c r="F28" s="4" t="str">
        <f>CONCATENATE(E28,"OVR")</f>
        <v>20637646901OVR</v>
      </c>
      <c r="G28" s="4" t="s">
        <v>100</v>
      </c>
      <c r="H28" s="6">
        <v>46023</v>
      </c>
      <c r="I28" s="4" t="s">
        <v>53</v>
      </c>
      <c r="J28" s="4" t="s">
        <v>63</v>
      </c>
      <c r="K28" s="6" t="s">
        <v>157</v>
      </c>
    </row>
    <row r="29" spans="1:25" s="4" customFormat="1" x14ac:dyDescent="0.25">
      <c r="A29" t="s">
        <v>57</v>
      </c>
      <c r="B29">
        <v>20003537</v>
      </c>
      <c r="C29" t="s">
        <v>73</v>
      </c>
      <c r="D29" s="2">
        <v>347</v>
      </c>
      <c r="E29" t="s">
        <v>74</v>
      </c>
      <c r="F29" t="str">
        <f>CONCATENATE(E29,26)</f>
        <v>54X2U5F2226</v>
      </c>
      <c r="G29" t="s">
        <v>76</v>
      </c>
      <c r="H29" s="3">
        <v>46023</v>
      </c>
      <c r="I29" t="s">
        <v>70</v>
      </c>
      <c r="J29" t="s">
        <v>52</v>
      </c>
      <c r="K29" s="3" t="s">
        <v>158</v>
      </c>
      <c r="L29" t="s">
        <v>159</v>
      </c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1:25" s="4" customFormat="1" x14ac:dyDescent="0.25">
      <c r="A30" t="s">
        <v>57</v>
      </c>
      <c r="B30">
        <v>19645587</v>
      </c>
      <c r="C30" t="s">
        <v>93</v>
      </c>
      <c r="D30" s="2">
        <v>347</v>
      </c>
      <c r="E30" t="s">
        <v>139</v>
      </c>
      <c r="F30" t="str">
        <f>CONCATENATE(E30,26)</f>
        <v>69L8R8H3326</v>
      </c>
      <c r="G30" t="s">
        <v>141</v>
      </c>
      <c r="H30" s="3">
        <v>46023</v>
      </c>
      <c r="I30" t="s">
        <v>70</v>
      </c>
      <c r="J30" t="s">
        <v>52</v>
      </c>
      <c r="K30" s="3" t="s">
        <v>158</v>
      </c>
      <c r="L30" t="s">
        <v>159</v>
      </c>
      <c r="M30"/>
      <c r="N30"/>
      <c r="O30"/>
      <c r="P30"/>
      <c r="Q30"/>
      <c r="R30"/>
      <c r="S30"/>
      <c r="T30"/>
      <c r="U30"/>
      <c r="V30"/>
      <c r="W30"/>
      <c r="X30"/>
      <c r="Y30"/>
    </row>
  </sheetData>
  <sortState xmlns:xlrd2="http://schemas.microsoft.com/office/spreadsheetml/2017/richdata2" ref="A2:Y30">
    <sortCondition ref="G2:G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Legacy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2026-01-23T12:40:03Z</dcterms:created>
  <dcterms:modified xsi:type="dcterms:W3CDTF">2026-01-27T14:49:24Z</dcterms:modified>
</cp:coreProperties>
</file>