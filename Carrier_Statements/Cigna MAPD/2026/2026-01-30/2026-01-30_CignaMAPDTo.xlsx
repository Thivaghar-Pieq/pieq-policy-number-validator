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Cigna MAPD\2026\1-30-26 to 2-6-26\"/>
    </mc:Choice>
  </mc:AlternateContent>
  <xr:revisionPtr revIDLastSave="0" documentId="13_ncr:1_{FD8390A5-6CC9-46D2-A73E-65F1450C52E5}" xr6:coauthVersionLast="47" xr6:coauthVersionMax="47" xr10:uidLastSave="{00000000-0000-0000-0000-000000000000}"/>
  <bookViews>
    <workbookView xWindow="-120" yWindow="-120" windowWidth="29040" windowHeight="16440" activeTab="2" xr2:uid="{00000000-000D-0000-FFFF-FFFF00000000}"/>
  </bookViews>
  <sheets>
    <sheet name="Summary" sheetId="1" r:id="rId1"/>
    <sheet name="Detail" sheetId="2" r:id="rId2"/>
    <sheet name="Sheet1" sheetId="4" r:id="rId3"/>
    <sheet name="Legacy" sheetId="3" r:id="rId4"/>
  </sheets>
  <calcPr calcId="181029"/>
</workbook>
</file>

<file path=xl/calcChain.xml><?xml version="1.0" encoding="utf-8"?>
<calcChain xmlns="http://schemas.openxmlformats.org/spreadsheetml/2006/main">
  <c r="R4" i="4" l="1"/>
  <c r="H9" i="4"/>
  <c r="H10" i="4"/>
  <c r="H11" i="4"/>
  <c r="H12" i="4"/>
  <c r="H13" i="4"/>
  <c r="H14" i="4"/>
  <c r="H15" i="4"/>
  <c r="H8" i="4"/>
  <c r="H5" i="4"/>
  <c r="H7" i="4"/>
  <c r="H6" i="4"/>
  <c r="H4" i="4"/>
  <c r="H3" i="4"/>
  <c r="H2" i="4"/>
</calcChain>
</file>

<file path=xl/sharedStrings.xml><?xml version="1.0" encoding="utf-8"?>
<sst xmlns="http://schemas.openxmlformats.org/spreadsheetml/2006/main" count="451" uniqueCount="99">
  <si>
    <t/>
  </si>
  <si>
    <t>HealthSping Medicare Advantage/PDP</t>
  </si>
  <si>
    <t>Payee Name</t>
  </si>
  <si>
    <t>Payee NPN</t>
  </si>
  <si>
    <t>MAIN LINE BENEFITS LLC</t>
  </si>
  <si>
    <t>Description</t>
  </si>
  <si>
    <t>Member Count</t>
  </si>
  <si>
    <t>Total</t>
  </si>
  <si>
    <t>Disenroll Initial - Rapid</t>
  </si>
  <si>
    <t>Disenroll Initial</t>
  </si>
  <si>
    <t>Disenroll Renewal</t>
  </si>
  <si>
    <t>Initial - New to CMS</t>
  </si>
  <si>
    <t>Initial - Not New to CMS</t>
  </si>
  <si>
    <t>Renewal</t>
  </si>
  <si>
    <t>Legacy</t>
  </si>
  <si>
    <t>Activity</t>
  </si>
  <si>
    <t>Miscellaneous</t>
  </si>
  <si>
    <t>Balance</t>
  </si>
  <si>
    <t>TOTAL</t>
  </si>
  <si>
    <t>When total earnings are equal to or greater than $300, a check will be issued. Customer details will be visible on the statement when check is released.</t>
  </si>
  <si>
    <t>Sign up for direct deposit to prevent payment delays. Email ARCMAPD@healthspring.com for direct deposit instructions</t>
  </si>
  <si>
    <t>Payment Type</t>
  </si>
  <si>
    <t>Payment Description</t>
  </si>
  <si>
    <t>Writing Broker NPN</t>
  </si>
  <si>
    <t>Writing Broker Name</t>
  </si>
  <si>
    <t>Earner NPN</t>
  </si>
  <si>
    <t>Earner Name</t>
  </si>
  <si>
    <t>Pay Period</t>
  </si>
  <si>
    <t>Payment Amount</t>
  </si>
  <si>
    <t>Member ID</t>
  </si>
  <si>
    <t>Medicare Beneficiary Identifier (MBI)</t>
  </si>
  <si>
    <t>Member Name</t>
  </si>
  <si>
    <t>Signed Date</t>
  </si>
  <si>
    <t>Effective Date</t>
  </si>
  <si>
    <t>Member Term Date</t>
  </si>
  <si>
    <t>Cycle Year</t>
  </si>
  <si>
    <t>Prior Plan Type</t>
  </si>
  <si>
    <t>Policy State</t>
  </si>
  <si>
    <t>Plan Type</t>
  </si>
  <si>
    <t>Plan Name</t>
  </si>
  <si>
    <t>Original Effective Date</t>
  </si>
  <si>
    <t>CMS Contract</t>
  </si>
  <si>
    <t>PBP</t>
  </si>
  <si>
    <t>Segment ID</t>
  </si>
  <si>
    <t>Disenrollment Initial - Rapid</t>
  </si>
  <si>
    <t>Broker Level</t>
  </si>
  <si>
    <t>8325282</t>
  </si>
  <si>
    <t>DALE WALENGA</t>
  </si>
  <si>
    <t>49L6A3A59</t>
  </si>
  <si>
    <t>1EU4CC9RX01</t>
  </si>
  <si>
    <t>KIM ROTHERY</t>
  </si>
  <si>
    <t>MAPD</t>
  </si>
  <si>
    <t>IL</t>
  </si>
  <si>
    <t>H7849</t>
  </si>
  <si>
    <t>080</t>
  </si>
  <si>
    <t>000</t>
  </si>
  <si>
    <t>Service Fee</t>
  </si>
  <si>
    <t>20411454</t>
  </si>
  <si>
    <t>Initial - NOT New to CMS</t>
  </si>
  <si>
    <t>19645587</t>
  </si>
  <si>
    <t>STACEY PORTUGAL</t>
  </si>
  <si>
    <t>64A7F1H37</t>
  </si>
  <si>
    <t>1WN7MN7WW36</t>
  </si>
  <si>
    <t>DEBRA STOUT</t>
  </si>
  <si>
    <t>Pending</t>
  </si>
  <si>
    <t>H4513</t>
  </si>
  <si>
    <t>085</t>
  </si>
  <si>
    <t>5442438</t>
  </si>
  <si>
    <t>RONALD MAX</t>
  </si>
  <si>
    <t>69H7U6A93</t>
  </si>
  <si>
    <t>8NP2U32KJ87</t>
  </si>
  <si>
    <t>ELIZABETH EDWARDS</t>
  </si>
  <si>
    <t>MD</t>
  </si>
  <si>
    <t>H2108</t>
  </si>
  <si>
    <t>022</t>
  </si>
  <si>
    <t>25R6A4R22</t>
  </si>
  <si>
    <t>6JM1M76FA98</t>
  </si>
  <si>
    <t>CHRISTOPHER BILEK</t>
  </si>
  <si>
    <t>8405446</t>
  </si>
  <si>
    <t>PATSAMON THANADABOUTH</t>
  </si>
  <si>
    <t>56H4X5A78</t>
  </si>
  <si>
    <t>8JF5G56PE65</t>
  </si>
  <si>
    <t>XAY XAYAKHAM</t>
  </si>
  <si>
    <t>NONE</t>
  </si>
  <si>
    <t>20003537</t>
  </si>
  <si>
    <t>CHAD YALE</t>
  </si>
  <si>
    <t>71L1A1F62</t>
  </si>
  <si>
    <t>2KE2HD0PT96</t>
  </si>
  <si>
    <t>CARMELLA MCKEEL</t>
  </si>
  <si>
    <t>TX</t>
  </si>
  <si>
    <t>083</t>
  </si>
  <si>
    <t>001</t>
  </si>
  <si>
    <t>Cigna MAPD Ovr</t>
  </si>
  <si>
    <t>Cigna MAPD 2026*</t>
  </si>
  <si>
    <t>[%/$=347][prorate=10/12]</t>
  </si>
  <si>
    <t>[%/$=347][prorate=12/12]</t>
  </si>
  <si>
    <t>[%/$=347][prorate=11/12]</t>
  </si>
  <si>
    <t>[%/$=694]</t>
  </si>
  <si>
    <t>Cigna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</si>
</sst>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#,##0.00"/>
    <numFmt numFmtId="165" formatCode="mm/dd/yyyy"/>
  </numFmts>
  <fonts count="2" x14ac:knownFonts="1">
    <font>
      <sz val="11"/>
      <color indexed="8"/>
      <name val="Calibri"/>
      <family val="2"/>
      <scheme val="minor"/>
    </font>
    <font>
      <b/>
      <sz val="11"/>
      <color indexed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164" fontId="0" fillId="0" borderId="0" xfId="0" applyNumberFormat="1"/>
    <xf numFmtId="165" fontId="0" fillId="0" borderId="0" xfId="0" applyNumberFormat="1"/>
    <xf numFmtId="0" fontId="0" fillId="0" borderId="0" xfId="0" applyNumberFormat="1"/>
    <xf numFmtId="0" fontId="0" fillId="2" borderId="0" xfId="0" applyFill="1"/>
    <xf numFmtId="0" fontId="0" fillId="2" borderId="0" xfId="0" applyNumberFormat="1" applyFill="1"/>
    <xf numFmtId="165" fontId="0" fillId="2" borderId="0" xfId="0" applyNumberFormat="1" applyFill="1"/>
    <xf numFmtId="164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0"/>
  <sheetViews>
    <sheetView workbookViewId="0"/>
  </sheetViews>
  <sheetFormatPr defaultRowHeight="15" x14ac:dyDescent="0.25"/>
  <cols>
    <col min="1" max="1" width="95" customWidth="1"/>
    <col min="2" max="2" width="35" customWidth="1"/>
    <col min="3" max="3" width="20" customWidth="1"/>
  </cols>
  <sheetData>
    <row r="1" spans="1:3" x14ac:dyDescent="0.25">
      <c r="A1" s="1" t="s">
        <v>1</v>
      </c>
    </row>
    <row r="2" spans="1:3" x14ac:dyDescent="0.25">
      <c r="A2" t="s">
        <v>2</v>
      </c>
      <c r="B2" t="s">
        <v>4</v>
      </c>
    </row>
    <row r="3" spans="1:3" x14ac:dyDescent="0.25">
      <c r="A3" t="s">
        <v>3</v>
      </c>
      <c r="B3">
        <v>20411454</v>
      </c>
    </row>
    <row r="5" spans="1:3" x14ac:dyDescent="0.25">
      <c r="A5" t="s">
        <v>5</v>
      </c>
      <c r="B5" t="s">
        <v>6</v>
      </c>
      <c r="C5" s="2" t="s">
        <v>7</v>
      </c>
    </row>
    <row r="6" spans="1:3" x14ac:dyDescent="0.25">
      <c r="A6" t="s">
        <v>8</v>
      </c>
      <c r="B6">
        <v>1</v>
      </c>
      <c r="C6" s="2">
        <v>-427</v>
      </c>
    </row>
    <row r="7" spans="1:3" x14ac:dyDescent="0.25">
      <c r="A7" t="s">
        <v>9</v>
      </c>
      <c r="B7">
        <v>0</v>
      </c>
      <c r="C7" s="2">
        <v>0</v>
      </c>
    </row>
    <row r="8" spans="1:3" x14ac:dyDescent="0.25">
      <c r="A8" t="s">
        <v>10</v>
      </c>
      <c r="B8">
        <v>0</v>
      </c>
      <c r="C8" s="2">
        <v>0</v>
      </c>
    </row>
    <row r="9" spans="1:3" x14ac:dyDescent="0.25">
      <c r="A9" t="s">
        <v>11</v>
      </c>
      <c r="B9">
        <v>0</v>
      </c>
      <c r="C9" s="2">
        <v>0</v>
      </c>
    </row>
    <row r="10" spans="1:3" x14ac:dyDescent="0.25">
      <c r="A10" t="s">
        <v>12</v>
      </c>
      <c r="B10">
        <v>3</v>
      </c>
      <c r="C10" s="2">
        <v>-847.25</v>
      </c>
    </row>
    <row r="11" spans="1:3" x14ac:dyDescent="0.25">
      <c r="A11" t="s">
        <v>13</v>
      </c>
      <c r="B11">
        <v>0</v>
      </c>
      <c r="C11" s="2">
        <v>0</v>
      </c>
    </row>
    <row r="13" spans="1:3" x14ac:dyDescent="0.25">
      <c r="A13" t="s">
        <v>14</v>
      </c>
      <c r="B13">
        <v>0</v>
      </c>
      <c r="C13" s="2">
        <v>0</v>
      </c>
    </row>
    <row r="14" spans="1:3" x14ac:dyDescent="0.25">
      <c r="A14" t="s">
        <v>15</v>
      </c>
      <c r="B14">
        <v>0</v>
      </c>
      <c r="C14" s="2">
        <v>0</v>
      </c>
    </row>
    <row r="15" spans="1:3" x14ac:dyDescent="0.25">
      <c r="A15" t="s">
        <v>16</v>
      </c>
      <c r="B15">
        <v>0</v>
      </c>
      <c r="C15" s="2">
        <v>0</v>
      </c>
    </row>
    <row r="16" spans="1:3" x14ac:dyDescent="0.25">
      <c r="A16" t="s">
        <v>17</v>
      </c>
      <c r="C16" s="2">
        <v>0</v>
      </c>
    </row>
    <row r="17" spans="1:3" x14ac:dyDescent="0.25">
      <c r="A17" t="s">
        <v>18</v>
      </c>
      <c r="B17">
        <v>4</v>
      </c>
      <c r="C17" s="2">
        <v>-1274.25</v>
      </c>
    </row>
    <row r="19" spans="1:3" x14ac:dyDescent="0.25">
      <c r="A19" t="s">
        <v>19</v>
      </c>
    </row>
    <row r="20" spans="1:3" x14ac:dyDescent="0.25">
      <c r="A20" t="s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15"/>
  <sheetViews>
    <sheetView zoomScaleNormal="100" workbookViewId="0">
      <selection sqref="A1:XFD1048576"/>
    </sheetView>
  </sheetViews>
  <sheetFormatPr defaultRowHeight="15" x14ac:dyDescent="0.25"/>
  <cols>
    <col min="1" max="1" width="25" customWidth="1"/>
    <col min="2" max="2" width="20" customWidth="1"/>
    <col min="3" max="4" width="15" customWidth="1"/>
    <col min="5" max="5" width="10.28515625" bestFit="1" customWidth="1"/>
    <col min="6" max="6" width="20.7109375" bestFit="1" customWidth="1"/>
    <col min="7" max="7" width="10.42578125" bestFit="1" customWidth="1"/>
    <col min="8" max="8" width="15" bestFit="1" customWidth="1"/>
    <col min="9" max="9" width="10.5703125" bestFit="1" customWidth="1"/>
    <col min="10" max="10" width="30.7109375" bestFit="1" customWidth="1"/>
    <col min="11" max="11" width="18.28515625" bestFit="1" customWidth="1"/>
    <col min="12" max="12" width="10.5703125" bestFit="1" customWidth="1"/>
    <col min="13" max="13" width="12.140625" bestFit="1" customWidth="1"/>
    <col min="14" max="14" width="16.7109375" bestFit="1" customWidth="1"/>
    <col min="15" max="15" width="9.140625" bestFit="1" customWidth="1"/>
    <col min="16" max="16" width="13" bestFit="1" customWidth="1"/>
    <col min="17" max="17" width="10.28515625" bestFit="1" customWidth="1"/>
    <col min="18" max="18" width="8.7109375" bestFit="1" customWidth="1"/>
    <col min="19" max="19" width="9.5703125" bestFit="1" customWidth="1"/>
    <col min="20" max="20" width="18.85546875" bestFit="1" customWidth="1"/>
    <col min="21" max="21" width="12" bestFit="1" customWidth="1"/>
    <col min="22" max="22" width="4" bestFit="1" customWidth="1"/>
    <col min="23" max="24" width="10.140625" bestFit="1" customWidth="1"/>
  </cols>
  <sheetData>
    <row r="1" spans="1:24" x14ac:dyDescent="0.25">
      <c r="A1" t="s">
        <v>21</v>
      </c>
      <c r="B1" t="s">
        <v>22</v>
      </c>
      <c r="C1" t="s">
        <v>23</v>
      </c>
      <c r="D1" t="s">
        <v>24</v>
      </c>
      <c r="E1" t="s">
        <v>25</v>
      </c>
      <c r="F1" t="s">
        <v>26</v>
      </c>
      <c r="G1" t="s">
        <v>27</v>
      </c>
      <c r="H1" s="2" t="s">
        <v>28</v>
      </c>
      <c r="I1" t="s">
        <v>29</v>
      </c>
      <c r="J1" t="s">
        <v>30</v>
      </c>
      <c r="K1" t="s">
        <v>31</v>
      </c>
      <c r="L1" t="s">
        <v>32</v>
      </c>
      <c r="M1" t="s">
        <v>33</v>
      </c>
      <c r="N1" t="s">
        <v>34</v>
      </c>
      <c r="O1" t="s">
        <v>35</v>
      </c>
      <c r="P1" t="s">
        <v>36</v>
      </c>
      <c r="Q1" t="s">
        <v>37</v>
      </c>
      <c r="R1" t="s">
        <v>38</v>
      </c>
      <c r="S1" t="s">
        <v>39</v>
      </c>
      <c r="T1" t="s">
        <v>40</v>
      </c>
      <c r="U1" t="s">
        <v>41</v>
      </c>
      <c r="V1" t="s">
        <v>42</v>
      </c>
      <c r="W1" t="s">
        <v>43</v>
      </c>
      <c r="X1" t="s">
        <v>5</v>
      </c>
    </row>
    <row r="2" spans="1:24" x14ac:dyDescent="0.25">
      <c r="A2" t="s">
        <v>44</v>
      </c>
      <c r="B2" t="s">
        <v>45</v>
      </c>
      <c r="C2" t="s">
        <v>46</v>
      </c>
      <c r="D2" t="s">
        <v>47</v>
      </c>
      <c r="E2" t="s">
        <v>46</v>
      </c>
      <c r="F2" t="s">
        <v>47</v>
      </c>
      <c r="G2" s="3">
        <v>46023</v>
      </c>
      <c r="H2" s="2">
        <v>-347</v>
      </c>
      <c r="I2" t="s">
        <v>48</v>
      </c>
      <c r="J2" t="s">
        <v>49</v>
      </c>
      <c r="K2" t="s">
        <v>50</v>
      </c>
      <c r="L2" s="3">
        <v>45992</v>
      </c>
      <c r="M2" s="3">
        <v>46023</v>
      </c>
      <c r="N2" s="3">
        <v>46053</v>
      </c>
      <c r="O2">
        <v>8</v>
      </c>
      <c r="P2" t="s">
        <v>51</v>
      </c>
      <c r="Q2" t="s">
        <v>52</v>
      </c>
      <c r="R2" t="s">
        <v>51</v>
      </c>
      <c r="S2" t="s">
        <v>0</v>
      </c>
      <c r="T2" s="3">
        <v>46023</v>
      </c>
      <c r="U2" t="s">
        <v>53</v>
      </c>
      <c r="V2" t="s">
        <v>54</v>
      </c>
      <c r="W2" t="s">
        <v>55</v>
      </c>
      <c r="X2" t="s">
        <v>0</v>
      </c>
    </row>
    <row r="3" spans="1:24" x14ac:dyDescent="0.25">
      <c r="A3" t="s">
        <v>44</v>
      </c>
      <c r="B3" t="s">
        <v>56</v>
      </c>
      <c r="C3" t="s">
        <v>46</v>
      </c>
      <c r="D3" t="s">
        <v>47</v>
      </c>
      <c r="E3" t="s">
        <v>57</v>
      </c>
      <c r="F3" t="s">
        <v>4</v>
      </c>
      <c r="G3" s="3">
        <v>46023</v>
      </c>
      <c r="H3" s="2">
        <v>-80</v>
      </c>
      <c r="I3" t="s">
        <v>48</v>
      </c>
      <c r="J3" t="s">
        <v>49</v>
      </c>
      <c r="K3" t="s">
        <v>50</v>
      </c>
      <c r="L3" s="3">
        <v>45992</v>
      </c>
      <c r="M3" s="3">
        <v>46023</v>
      </c>
      <c r="N3" s="3">
        <v>46053</v>
      </c>
      <c r="O3">
        <v>8</v>
      </c>
      <c r="P3" t="s">
        <v>51</v>
      </c>
      <c r="Q3" t="s">
        <v>52</v>
      </c>
      <c r="R3" t="s">
        <v>51</v>
      </c>
      <c r="S3" t="s">
        <v>0</v>
      </c>
      <c r="T3" s="3">
        <v>46023</v>
      </c>
      <c r="U3" t="s">
        <v>53</v>
      </c>
      <c r="V3" t="s">
        <v>54</v>
      </c>
      <c r="W3" t="s">
        <v>55</v>
      </c>
      <c r="X3" t="s">
        <v>0</v>
      </c>
    </row>
    <row r="4" spans="1:24" x14ac:dyDescent="0.25">
      <c r="A4" t="s">
        <v>58</v>
      </c>
      <c r="B4" t="s">
        <v>56</v>
      </c>
      <c r="C4" t="s">
        <v>59</v>
      </c>
      <c r="D4" t="s">
        <v>60</v>
      </c>
      <c r="E4" t="s">
        <v>57</v>
      </c>
      <c r="F4" t="s">
        <v>4</v>
      </c>
      <c r="G4" s="3">
        <v>46082</v>
      </c>
      <c r="H4" s="2">
        <v>-80</v>
      </c>
      <c r="I4" t="s">
        <v>61</v>
      </c>
      <c r="J4" t="s">
        <v>62</v>
      </c>
      <c r="K4" t="s">
        <v>63</v>
      </c>
      <c r="L4" s="3">
        <v>46034</v>
      </c>
      <c r="M4" s="3">
        <v>46082</v>
      </c>
      <c r="N4" t="s">
        <v>0</v>
      </c>
      <c r="O4" t="s">
        <v>64</v>
      </c>
      <c r="P4" t="s">
        <v>0</v>
      </c>
      <c r="Q4" t="s">
        <v>52</v>
      </c>
      <c r="R4" t="s">
        <v>51</v>
      </c>
      <c r="S4" t="s">
        <v>0</v>
      </c>
      <c r="T4" s="3">
        <v>46082</v>
      </c>
      <c r="U4" t="s">
        <v>65</v>
      </c>
      <c r="V4" t="s">
        <v>66</v>
      </c>
      <c r="W4" t="s">
        <v>55</v>
      </c>
      <c r="X4" t="s">
        <v>0</v>
      </c>
    </row>
    <row r="5" spans="1:24" x14ac:dyDescent="0.25">
      <c r="A5" t="s">
        <v>58</v>
      </c>
      <c r="B5" t="s">
        <v>45</v>
      </c>
      <c r="C5" t="s">
        <v>59</v>
      </c>
      <c r="D5" t="s">
        <v>60</v>
      </c>
      <c r="E5" t="s">
        <v>59</v>
      </c>
      <c r="F5" t="s">
        <v>60</v>
      </c>
      <c r="G5" s="3">
        <v>46082</v>
      </c>
      <c r="H5" s="2">
        <v>-289.17</v>
      </c>
      <c r="I5" t="s">
        <v>61</v>
      </c>
      <c r="J5" t="s">
        <v>62</v>
      </c>
      <c r="K5" t="s">
        <v>63</v>
      </c>
      <c r="L5" s="3">
        <v>46034</v>
      </c>
      <c r="M5" s="3">
        <v>46082</v>
      </c>
      <c r="N5" t="s">
        <v>0</v>
      </c>
      <c r="O5" t="s">
        <v>64</v>
      </c>
      <c r="P5" t="s">
        <v>0</v>
      </c>
      <c r="Q5" t="s">
        <v>52</v>
      </c>
      <c r="R5" t="s">
        <v>51</v>
      </c>
      <c r="S5" t="s">
        <v>0</v>
      </c>
      <c r="T5" s="3">
        <v>46082</v>
      </c>
      <c r="U5" t="s">
        <v>65</v>
      </c>
      <c r="V5" t="s">
        <v>66</v>
      </c>
      <c r="W5" t="s">
        <v>55</v>
      </c>
      <c r="X5" t="s">
        <v>0</v>
      </c>
    </row>
    <row r="6" spans="1:24" x14ac:dyDescent="0.25">
      <c r="A6" t="s">
        <v>58</v>
      </c>
      <c r="B6" t="s">
        <v>56</v>
      </c>
      <c r="C6" t="s">
        <v>67</v>
      </c>
      <c r="D6" t="s">
        <v>68</v>
      </c>
      <c r="E6" t="s">
        <v>57</v>
      </c>
      <c r="F6" t="s">
        <v>4</v>
      </c>
      <c r="G6" s="3">
        <v>46054</v>
      </c>
      <c r="H6" s="2">
        <v>-80</v>
      </c>
      <c r="I6" t="s">
        <v>69</v>
      </c>
      <c r="J6" t="s">
        <v>70</v>
      </c>
      <c r="K6" t="s">
        <v>71</v>
      </c>
      <c r="L6" s="3">
        <v>46027</v>
      </c>
      <c r="M6" s="3">
        <v>46054</v>
      </c>
      <c r="N6" t="s">
        <v>0</v>
      </c>
      <c r="O6" t="s">
        <v>64</v>
      </c>
      <c r="P6" t="s">
        <v>0</v>
      </c>
      <c r="Q6" t="s">
        <v>72</v>
      </c>
      <c r="R6" t="s">
        <v>51</v>
      </c>
      <c r="S6" t="s">
        <v>0</v>
      </c>
      <c r="T6" s="3">
        <v>46054</v>
      </c>
      <c r="U6" t="s">
        <v>73</v>
      </c>
      <c r="V6" t="s">
        <v>74</v>
      </c>
      <c r="W6" t="s">
        <v>55</v>
      </c>
      <c r="X6" t="s">
        <v>0</v>
      </c>
    </row>
    <row r="7" spans="1:24" x14ac:dyDescent="0.25">
      <c r="A7" t="s">
        <v>58</v>
      </c>
      <c r="B7" t="s">
        <v>45</v>
      </c>
      <c r="C7" t="s">
        <v>46</v>
      </c>
      <c r="D7" t="s">
        <v>47</v>
      </c>
      <c r="E7" t="s">
        <v>46</v>
      </c>
      <c r="F7" t="s">
        <v>47</v>
      </c>
      <c r="G7" s="3">
        <v>46054</v>
      </c>
      <c r="H7" s="2">
        <v>-318.08</v>
      </c>
      <c r="I7" t="s">
        <v>75</v>
      </c>
      <c r="J7" t="s">
        <v>76</v>
      </c>
      <c r="K7" t="s">
        <v>77</v>
      </c>
      <c r="L7" s="3">
        <v>46035</v>
      </c>
      <c r="M7" s="3">
        <v>46054</v>
      </c>
      <c r="N7" t="s">
        <v>0</v>
      </c>
      <c r="O7" t="s">
        <v>64</v>
      </c>
      <c r="P7" t="s">
        <v>0</v>
      </c>
      <c r="Q7" t="s">
        <v>52</v>
      </c>
      <c r="R7" t="s">
        <v>51</v>
      </c>
      <c r="S7" t="s">
        <v>0</v>
      </c>
      <c r="T7" s="3">
        <v>46054</v>
      </c>
      <c r="U7" t="s">
        <v>65</v>
      </c>
      <c r="V7" t="s">
        <v>66</v>
      </c>
      <c r="W7" t="s">
        <v>55</v>
      </c>
      <c r="X7" t="s">
        <v>0</v>
      </c>
    </row>
    <row r="8" spans="1:24" x14ac:dyDescent="0.25">
      <c r="A8" t="s">
        <v>58</v>
      </c>
      <c r="B8" t="s">
        <v>56</v>
      </c>
      <c r="C8" t="s">
        <v>46</v>
      </c>
      <c r="D8" t="s">
        <v>47</v>
      </c>
      <c r="E8" t="s">
        <v>57</v>
      </c>
      <c r="F8" t="s">
        <v>4</v>
      </c>
      <c r="G8" s="3">
        <v>46054</v>
      </c>
      <c r="H8" s="2">
        <v>-80</v>
      </c>
      <c r="I8" t="s">
        <v>75</v>
      </c>
      <c r="J8" t="s">
        <v>76</v>
      </c>
      <c r="K8" t="s">
        <v>77</v>
      </c>
      <c r="L8" s="3">
        <v>46035</v>
      </c>
      <c r="M8" s="3">
        <v>46054</v>
      </c>
      <c r="N8" t="s">
        <v>0</v>
      </c>
      <c r="O8" t="s">
        <v>64</v>
      </c>
      <c r="P8" t="s">
        <v>0</v>
      </c>
      <c r="Q8" t="s">
        <v>52</v>
      </c>
      <c r="R8" t="s">
        <v>51</v>
      </c>
      <c r="S8" t="s">
        <v>0</v>
      </c>
      <c r="T8" s="3">
        <v>46054</v>
      </c>
      <c r="U8" t="s">
        <v>65</v>
      </c>
      <c r="V8" t="s">
        <v>66</v>
      </c>
      <c r="W8" t="s">
        <v>55</v>
      </c>
      <c r="X8" t="s">
        <v>0</v>
      </c>
    </row>
    <row r="9" spans="1:24" x14ac:dyDescent="0.25">
      <c r="A9" t="s">
        <v>44</v>
      </c>
      <c r="B9" t="s">
        <v>56</v>
      </c>
      <c r="C9" t="s">
        <v>78</v>
      </c>
      <c r="D9" t="s">
        <v>79</v>
      </c>
      <c r="E9" t="s">
        <v>57</v>
      </c>
      <c r="F9" t="s">
        <v>4</v>
      </c>
      <c r="G9" s="3">
        <v>46023</v>
      </c>
      <c r="H9" s="2">
        <v>-80</v>
      </c>
      <c r="I9" t="s">
        <v>80</v>
      </c>
      <c r="J9" t="s">
        <v>81</v>
      </c>
      <c r="K9" t="s">
        <v>82</v>
      </c>
      <c r="L9" s="3">
        <v>45982</v>
      </c>
      <c r="M9" s="3">
        <v>46023</v>
      </c>
      <c r="N9" s="3">
        <v>46053</v>
      </c>
      <c r="O9">
        <v>1</v>
      </c>
      <c r="P9" t="s">
        <v>83</v>
      </c>
      <c r="Q9" t="s">
        <v>52</v>
      </c>
      <c r="R9" t="s">
        <v>51</v>
      </c>
      <c r="S9" t="s">
        <v>0</v>
      </c>
      <c r="T9" s="3">
        <v>46023</v>
      </c>
      <c r="U9" t="s">
        <v>65</v>
      </c>
      <c r="V9" t="s">
        <v>66</v>
      </c>
      <c r="W9" t="s">
        <v>55</v>
      </c>
      <c r="X9" t="s">
        <v>0</v>
      </c>
    </row>
    <row r="10" spans="1:24" x14ac:dyDescent="0.25">
      <c r="A10" t="s">
        <v>44</v>
      </c>
      <c r="B10" t="s">
        <v>45</v>
      </c>
      <c r="C10" t="s">
        <v>78</v>
      </c>
      <c r="D10" t="s">
        <v>79</v>
      </c>
      <c r="E10" t="s">
        <v>78</v>
      </c>
      <c r="F10" t="s">
        <v>79</v>
      </c>
      <c r="G10" s="3">
        <v>46023</v>
      </c>
      <c r="H10" s="2">
        <v>-694</v>
      </c>
      <c r="I10" t="s">
        <v>80</v>
      </c>
      <c r="J10" t="s">
        <v>81</v>
      </c>
      <c r="K10" t="s">
        <v>82</v>
      </c>
      <c r="L10" s="3">
        <v>45982</v>
      </c>
      <c r="M10" s="3">
        <v>46023</v>
      </c>
      <c r="N10" s="3">
        <v>46053</v>
      </c>
      <c r="O10">
        <v>1</v>
      </c>
      <c r="P10" t="s">
        <v>83</v>
      </c>
      <c r="Q10" t="s">
        <v>52</v>
      </c>
      <c r="R10" t="s">
        <v>51</v>
      </c>
      <c r="S10" t="s">
        <v>0</v>
      </c>
      <c r="T10" s="3">
        <v>46023</v>
      </c>
      <c r="U10" t="s">
        <v>65</v>
      </c>
      <c r="V10" t="s">
        <v>66</v>
      </c>
      <c r="W10" t="s">
        <v>55</v>
      </c>
      <c r="X10" t="s">
        <v>0</v>
      </c>
    </row>
    <row r="11" spans="1:24" x14ac:dyDescent="0.25">
      <c r="A11" t="s">
        <v>44</v>
      </c>
      <c r="B11" t="s">
        <v>45</v>
      </c>
      <c r="C11" t="s">
        <v>84</v>
      </c>
      <c r="D11" t="s">
        <v>85</v>
      </c>
      <c r="E11" t="s">
        <v>84</v>
      </c>
      <c r="F11" t="s">
        <v>85</v>
      </c>
      <c r="G11" s="3">
        <v>46023</v>
      </c>
      <c r="H11" s="2">
        <v>-347</v>
      </c>
      <c r="I11" t="s">
        <v>86</v>
      </c>
      <c r="J11" t="s">
        <v>87</v>
      </c>
      <c r="K11" t="s">
        <v>88</v>
      </c>
      <c r="L11" s="3">
        <v>45992</v>
      </c>
      <c r="M11" s="3">
        <v>46023</v>
      </c>
      <c r="N11" s="3">
        <v>46053</v>
      </c>
      <c r="O11">
        <v>16</v>
      </c>
      <c r="P11" t="s">
        <v>51</v>
      </c>
      <c r="Q11" t="s">
        <v>89</v>
      </c>
      <c r="R11" t="s">
        <v>51</v>
      </c>
      <c r="S11" t="s">
        <v>0</v>
      </c>
      <c r="T11" s="3">
        <v>46023</v>
      </c>
      <c r="U11" t="s">
        <v>65</v>
      </c>
      <c r="V11" t="s">
        <v>90</v>
      </c>
      <c r="W11" t="s">
        <v>91</v>
      </c>
      <c r="X11" t="s">
        <v>0</v>
      </c>
    </row>
    <row r="12" spans="1:24" x14ac:dyDescent="0.25">
      <c r="A12" t="s">
        <v>44</v>
      </c>
      <c r="B12" t="s">
        <v>56</v>
      </c>
      <c r="C12" t="s">
        <v>84</v>
      </c>
      <c r="D12" t="s">
        <v>85</v>
      </c>
      <c r="E12" t="s">
        <v>57</v>
      </c>
      <c r="F12" t="s">
        <v>4</v>
      </c>
      <c r="G12" s="3">
        <v>46023</v>
      </c>
      <c r="H12" s="2">
        <v>-25</v>
      </c>
      <c r="I12" t="s">
        <v>86</v>
      </c>
      <c r="J12" t="s">
        <v>87</v>
      </c>
      <c r="K12" t="s">
        <v>88</v>
      </c>
      <c r="L12" s="3">
        <v>45992</v>
      </c>
      <c r="M12" s="3">
        <v>46023</v>
      </c>
      <c r="N12" s="3">
        <v>46053</v>
      </c>
      <c r="O12">
        <v>16</v>
      </c>
      <c r="P12" t="s">
        <v>51</v>
      </c>
      <c r="Q12" t="s">
        <v>89</v>
      </c>
      <c r="R12" t="s">
        <v>51</v>
      </c>
      <c r="S12" t="s">
        <v>0</v>
      </c>
      <c r="T12" s="3">
        <v>46023</v>
      </c>
      <c r="U12" t="s">
        <v>65</v>
      </c>
      <c r="V12" t="s">
        <v>90</v>
      </c>
      <c r="W12" t="s">
        <v>91</v>
      </c>
      <c r="X12" t="s">
        <v>0</v>
      </c>
    </row>
    <row r="13" spans="1:24" x14ac:dyDescent="0.25">
      <c r="A13" t="s">
        <v>58</v>
      </c>
      <c r="B13" t="s">
        <v>56</v>
      </c>
      <c r="C13" t="s">
        <v>67</v>
      </c>
      <c r="D13" t="s">
        <v>68</v>
      </c>
      <c r="E13" t="s">
        <v>57</v>
      </c>
      <c r="F13" t="s">
        <v>4</v>
      </c>
      <c r="G13" s="3">
        <v>46054</v>
      </c>
      <c r="H13" s="2">
        <v>80</v>
      </c>
      <c r="I13" t="s">
        <v>69</v>
      </c>
      <c r="J13" t="s">
        <v>70</v>
      </c>
      <c r="K13" t="s">
        <v>71</v>
      </c>
      <c r="L13" s="3">
        <v>46027</v>
      </c>
      <c r="M13" s="3">
        <v>46054</v>
      </c>
      <c r="N13" t="s">
        <v>0</v>
      </c>
      <c r="O13" t="s">
        <v>64</v>
      </c>
      <c r="P13" t="s">
        <v>0</v>
      </c>
      <c r="Q13" t="s">
        <v>72</v>
      </c>
      <c r="R13" t="s">
        <v>51</v>
      </c>
      <c r="S13" t="s">
        <v>0</v>
      </c>
      <c r="T13" s="3">
        <v>46054</v>
      </c>
      <c r="U13" t="s">
        <v>73</v>
      </c>
      <c r="V13" t="s">
        <v>74</v>
      </c>
      <c r="W13" t="s">
        <v>55</v>
      </c>
      <c r="X13" t="s">
        <v>0</v>
      </c>
    </row>
    <row r="14" spans="1:24" x14ac:dyDescent="0.25">
      <c r="A14" t="s">
        <v>58</v>
      </c>
      <c r="B14" t="s">
        <v>45</v>
      </c>
      <c r="C14" t="s">
        <v>46</v>
      </c>
      <c r="D14" t="s">
        <v>47</v>
      </c>
      <c r="E14" t="s">
        <v>46</v>
      </c>
      <c r="F14" t="s">
        <v>47</v>
      </c>
      <c r="G14" s="3">
        <v>46054</v>
      </c>
      <c r="H14" s="2">
        <v>318.08</v>
      </c>
      <c r="I14" t="s">
        <v>75</v>
      </c>
      <c r="J14" t="s">
        <v>76</v>
      </c>
      <c r="K14" t="s">
        <v>77</v>
      </c>
      <c r="L14" s="3">
        <v>46035</v>
      </c>
      <c r="M14" s="3">
        <v>46054</v>
      </c>
      <c r="N14" t="s">
        <v>0</v>
      </c>
      <c r="O14" t="s">
        <v>64</v>
      </c>
      <c r="P14" t="s">
        <v>0</v>
      </c>
      <c r="Q14" t="s">
        <v>52</v>
      </c>
      <c r="R14" t="s">
        <v>51</v>
      </c>
      <c r="S14" t="s">
        <v>0</v>
      </c>
      <c r="T14" s="3">
        <v>46054</v>
      </c>
      <c r="U14" t="s">
        <v>65</v>
      </c>
      <c r="V14" t="s">
        <v>66</v>
      </c>
      <c r="W14" t="s">
        <v>55</v>
      </c>
      <c r="X14" t="s">
        <v>0</v>
      </c>
    </row>
    <row r="15" spans="1:24" x14ac:dyDescent="0.25">
      <c r="A15" t="s">
        <v>58</v>
      </c>
      <c r="B15" t="s">
        <v>56</v>
      </c>
      <c r="C15" t="s">
        <v>46</v>
      </c>
      <c r="D15" t="s">
        <v>47</v>
      </c>
      <c r="E15" t="s">
        <v>57</v>
      </c>
      <c r="F15" t="s">
        <v>4</v>
      </c>
      <c r="G15" s="3">
        <v>46054</v>
      </c>
      <c r="H15" s="2">
        <v>80</v>
      </c>
      <c r="I15" t="s">
        <v>75</v>
      </c>
      <c r="J15" t="s">
        <v>76</v>
      </c>
      <c r="K15" t="s">
        <v>77</v>
      </c>
      <c r="L15" s="3">
        <v>46035</v>
      </c>
      <c r="M15" s="3">
        <v>46054</v>
      </c>
      <c r="N15" t="s">
        <v>0</v>
      </c>
      <c r="O15" t="s">
        <v>64</v>
      </c>
      <c r="P15" t="s">
        <v>0</v>
      </c>
      <c r="Q15" t="s">
        <v>52</v>
      </c>
      <c r="R15" t="s">
        <v>51</v>
      </c>
      <c r="S15" t="s">
        <v>0</v>
      </c>
      <c r="T15" s="3">
        <v>46054</v>
      </c>
      <c r="U15" t="s">
        <v>65</v>
      </c>
      <c r="V15" t="s">
        <v>66</v>
      </c>
      <c r="W15" t="s">
        <v>55</v>
      </c>
      <c r="X15" t="s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9049D9-E939-4E9E-ADDE-0F4531C07F79}">
  <dimension ref="A1:R15"/>
  <sheetViews>
    <sheetView tabSelected="1" workbookViewId="0">
      <selection activeCell="R5" sqref="R5"/>
    </sheetView>
  </sheetViews>
  <sheetFormatPr defaultRowHeight="15" x14ac:dyDescent="0.25"/>
  <cols>
    <col min="1" max="1" width="25" customWidth="1"/>
    <col min="2" max="2" width="20" customWidth="1"/>
    <col min="3" max="3" width="10.28515625" bestFit="1" customWidth="1"/>
    <col min="4" max="4" width="20.7109375" bestFit="1" customWidth="1"/>
    <col min="5" max="5" width="10.42578125" bestFit="1" customWidth="1"/>
    <col min="6" max="6" width="15" bestFit="1" customWidth="1"/>
    <col min="7" max="7" width="10.5703125" bestFit="1" customWidth="1"/>
    <col min="8" max="8" width="14.42578125" bestFit="1" customWidth="1"/>
    <col min="9" max="9" width="18.28515625" bestFit="1" customWidth="1"/>
    <col min="10" max="10" width="12.140625" bestFit="1" customWidth="1"/>
    <col min="11" max="11" width="10.28515625" bestFit="1" customWidth="1"/>
    <col min="12" max="12" width="8.7109375" bestFit="1" customWidth="1"/>
    <col min="13" max="13" width="18.85546875" bestFit="1" customWidth="1"/>
    <col min="14" max="14" width="17.42578125" bestFit="1" customWidth="1"/>
  </cols>
  <sheetData>
    <row r="1" spans="1:18" x14ac:dyDescent="0.25">
      <c r="A1" t="s">
        <v>21</v>
      </c>
      <c r="B1" t="s">
        <v>22</v>
      </c>
      <c r="C1" t="s">
        <v>25</v>
      </c>
      <c r="D1" t="s">
        <v>26</v>
      </c>
      <c r="E1" t="s">
        <v>27</v>
      </c>
      <c r="F1" s="2" t="s">
        <v>28</v>
      </c>
      <c r="G1" t="s">
        <v>29</v>
      </c>
      <c r="I1" t="s">
        <v>31</v>
      </c>
      <c r="J1" t="s">
        <v>33</v>
      </c>
      <c r="K1" t="s">
        <v>37</v>
      </c>
      <c r="L1" t="s">
        <v>38</v>
      </c>
      <c r="M1" t="s">
        <v>40</v>
      </c>
    </row>
    <row r="2" spans="1:18" x14ac:dyDescent="0.25">
      <c r="A2" t="s">
        <v>44</v>
      </c>
      <c r="B2" t="s">
        <v>45</v>
      </c>
      <c r="C2" s="4">
        <v>8325282</v>
      </c>
      <c r="D2" t="s">
        <v>47</v>
      </c>
      <c r="E2" s="3">
        <v>46023</v>
      </c>
      <c r="F2" s="2">
        <v>-347</v>
      </c>
      <c r="G2" t="s">
        <v>48</v>
      </c>
      <c r="H2" t="str">
        <f>CONCATENATE(G2,26)</f>
        <v>49L6A3A5926</v>
      </c>
      <c r="I2" t="s">
        <v>50</v>
      </c>
      <c r="J2" s="3">
        <v>46023</v>
      </c>
      <c r="K2" t="s">
        <v>52</v>
      </c>
      <c r="L2" t="s">
        <v>51</v>
      </c>
      <c r="M2" s="3">
        <v>46023</v>
      </c>
      <c r="N2" t="s">
        <v>93</v>
      </c>
      <c r="O2" t="s">
        <v>95</v>
      </c>
    </row>
    <row r="3" spans="1:18" x14ac:dyDescent="0.25">
      <c r="A3" t="s">
        <v>58</v>
      </c>
      <c r="B3" t="s">
        <v>45</v>
      </c>
      <c r="C3" s="4">
        <v>19645587</v>
      </c>
      <c r="D3" t="s">
        <v>60</v>
      </c>
      <c r="E3" s="3">
        <v>46082</v>
      </c>
      <c r="F3" s="2">
        <v>-289.17</v>
      </c>
      <c r="G3" t="s">
        <v>61</v>
      </c>
      <c r="H3" t="str">
        <f t="shared" ref="H3:H4" si="0">CONCATENATE(G3,26)</f>
        <v>64A7F1H3726</v>
      </c>
      <c r="I3" t="s">
        <v>63</v>
      </c>
      <c r="J3" s="3">
        <v>46082</v>
      </c>
      <c r="K3" t="s">
        <v>52</v>
      </c>
      <c r="L3" t="s">
        <v>51</v>
      </c>
      <c r="M3" s="3">
        <v>46082</v>
      </c>
      <c r="N3" t="s">
        <v>93</v>
      </c>
      <c r="O3" t="s">
        <v>94</v>
      </c>
    </row>
    <row r="4" spans="1:18" x14ac:dyDescent="0.25">
      <c r="A4" t="s">
        <v>58</v>
      </c>
      <c r="B4" t="s">
        <v>45</v>
      </c>
      <c r="C4" s="4">
        <v>8325282</v>
      </c>
      <c r="D4" t="s">
        <v>47</v>
      </c>
      <c r="E4" s="3">
        <v>46054</v>
      </c>
      <c r="F4" s="2">
        <v>-318.08</v>
      </c>
      <c r="G4" t="s">
        <v>75</v>
      </c>
      <c r="H4" t="str">
        <f t="shared" si="0"/>
        <v>25R6A4R2226</v>
      </c>
      <c r="I4" t="s">
        <v>77</v>
      </c>
      <c r="J4" s="3">
        <v>46054</v>
      </c>
      <c r="K4" t="s">
        <v>52</v>
      </c>
      <c r="L4" t="s">
        <v>51</v>
      </c>
      <c r="M4" s="3">
        <v>46054</v>
      </c>
      <c r="N4" t="s">
        <v>93</v>
      </c>
      <c r="O4" t="s">
        <v>96</v>
      </c>
      <c r="R4">
        <f>347/12*11</f>
        <v>318.08333333333337</v>
      </c>
    </row>
    <row r="5" spans="1:18" s="5" customFormat="1" x14ac:dyDescent="0.25">
      <c r="A5" s="5" t="s">
        <v>44</v>
      </c>
      <c r="B5" s="5" t="s">
        <v>45</v>
      </c>
      <c r="C5" s="6">
        <v>8405446</v>
      </c>
      <c r="D5" s="5" t="s">
        <v>79</v>
      </c>
      <c r="E5" s="7">
        <v>46023</v>
      </c>
      <c r="F5" s="8">
        <v>-694</v>
      </c>
      <c r="G5" s="5" t="s">
        <v>80</v>
      </c>
      <c r="H5" t="str">
        <f>CONCATENATE(G5,88)</f>
        <v>56H4X5A7888</v>
      </c>
      <c r="I5" s="5" t="s">
        <v>82</v>
      </c>
      <c r="J5" s="7">
        <v>46023</v>
      </c>
      <c r="K5" s="5" t="s">
        <v>52</v>
      </c>
      <c r="L5" s="5" t="s">
        <v>51</v>
      </c>
      <c r="M5" s="7">
        <v>46023</v>
      </c>
      <c r="N5" s="5" t="s">
        <v>98</v>
      </c>
      <c r="O5" s="5" t="s">
        <v>97</v>
      </c>
    </row>
    <row r="6" spans="1:18" x14ac:dyDescent="0.25">
      <c r="A6" t="s">
        <v>44</v>
      </c>
      <c r="B6" t="s">
        <v>45</v>
      </c>
      <c r="C6" s="4">
        <v>20003537</v>
      </c>
      <c r="D6" t="s">
        <v>85</v>
      </c>
      <c r="E6" s="3">
        <v>46023</v>
      </c>
      <c r="F6" s="2">
        <v>-347</v>
      </c>
      <c r="G6" t="s">
        <v>86</v>
      </c>
      <c r="H6" t="str">
        <f t="shared" ref="H6:H7" si="1">CONCATENATE(G6,26)</f>
        <v>71L1A1F6226</v>
      </c>
      <c r="I6" t="s">
        <v>88</v>
      </c>
      <c r="J6" s="3">
        <v>46023</v>
      </c>
      <c r="K6" t="s">
        <v>89</v>
      </c>
      <c r="L6" t="s">
        <v>51</v>
      </c>
      <c r="M6" s="3">
        <v>46023</v>
      </c>
      <c r="N6" t="s">
        <v>93</v>
      </c>
      <c r="O6" t="s">
        <v>95</v>
      </c>
    </row>
    <row r="7" spans="1:18" x14ac:dyDescent="0.25">
      <c r="A7" t="s">
        <v>58</v>
      </c>
      <c r="B7" t="s">
        <v>45</v>
      </c>
      <c r="C7" s="4">
        <v>8325282</v>
      </c>
      <c r="D7" t="s">
        <v>47</v>
      </c>
      <c r="E7" s="3">
        <v>46054</v>
      </c>
      <c r="F7" s="2">
        <v>318.08</v>
      </c>
      <c r="G7" t="s">
        <v>75</v>
      </c>
      <c r="H7" t="str">
        <f t="shared" si="1"/>
        <v>25R6A4R2226</v>
      </c>
      <c r="I7" t="s">
        <v>77</v>
      </c>
      <c r="J7" s="3">
        <v>46054</v>
      </c>
      <c r="K7" t="s">
        <v>52</v>
      </c>
      <c r="L7" t="s">
        <v>51</v>
      </c>
      <c r="M7" s="3">
        <v>46054</v>
      </c>
      <c r="N7" t="s">
        <v>93</v>
      </c>
      <c r="O7" t="s">
        <v>96</v>
      </c>
    </row>
    <row r="8" spans="1:18" x14ac:dyDescent="0.25">
      <c r="A8" t="s">
        <v>44</v>
      </c>
      <c r="B8" t="s">
        <v>56</v>
      </c>
      <c r="C8" s="4">
        <v>20411454</v>
      </c>
      <c r="D8" t="s">
        <v>4</v>
      </c>
      <c r="E8" s="3">
        <v>46023</v>
      </c>
      <c r="F8" s="2">
        <v>-80</v>
      </c>
      <c r="G8" t="s">
        <v>48</v>
      </c>
      <c r="H8" t="str">
        <f>CONCATENATE(G8,"OVR")</f>
        <v>49L6A3A59OVR</v>
      </c>
      <c r="I8" t="s">
        <v>50</v>
      </c>
      <c r="J8" s="3">
        <v>46023</v>
      </c>
      <c r="K8" t="s">
        <v>52</v>
      </c>
      <c r="L8" t="s">
        <v>51</v>
      </c>
      <c r="M8" s="3">
        <v>46023</v>
      </c>
      <c r="N8" t="s">
        <v>92</v>
      </c>
    </row>
    <row r="9" spans="1:18" x14ac:dyDescent="0.25">
      <c r="A9" t="s">
        <v>58</v>
      </c>
      <c r="B9" t="s">
        <v>56</v>
      </c>
      <c r="C9" s="4">
        <v>20411454</v>
      </c>
      <c r="D9" t="s">
        <v>4</v>
      </c>
      <c r="E9" s="3">
        <v>46082</v>
      </c>
      <c r="F9" s="2">
        <v>-80</v>
      </c>
      <c r="G9" t="s">
        <v>61</v>
      </c>
      <c r="H9" t="str">
        <f t="shared" ref="H9:H15" si="2">CONCATENATE(G9,"OVR")</f>
        <v>64A7F1H37OVR</v>
      </c>
      <c r="I9" t="s">
        <v>63</v>
      </c>
      <c r="J9" s="3">
        <v>46082</v>
      </c>
      <c r="K9" t="s">
        <v>52</v>
      </c>
      <c r="L9" t="s">
        <v>51</v>
      </c>
      <c r="M9" s="3">
        <v>46082</v>
      </c>
      <c r="N9" t="s">
        <v>92</v>
      </c>
    </row>
    <row r="10" spans="1:18" x14ac:dyDescent="0.25">
      <c r="A10" t="s">
        <v>58</v>
      </c>
      <c r="B10" t="s">
        <v>56</v>
      </c>
      <c r="C10" s="4">
        <v>20411454</v>
      </c>
      <c r="D10" t="s">
        <v>4</v>
      </c>
      <c r="E10" s="3">
        <v>46054</v>
      </c>
      <c r="F10" s="2">
        <v>-80</v>
      </c>
      <c r="G10" t="s">
        <v>69</v>
      </c>
      <c r="H10" t="str">
        <f t="shared" si="2"/>
        <v>69H7U6A93OVR</v>
      </c>
      <c r="I10" t="s">
        <v>71</v>
      </c>
      <c r="J10" s="3">
        <v>46054</v>
      </c>
      <c r="K10" t="s">
        <v>72</v>
      </c>
      <c r="L10" t="s">
        <v>51</v>
      </c>
      <c r="M10" s="3">
        <v>46054</v>
      </c>
      <c r="N10" t="s">
        <v>92</v>
      </c>
    </row>
    <row r="11" spans="1:18" x14ac:dyDescent="0.25">
      <c r="A11" t="s">
        <v>58</v>
      </c>
      <c r="B11" t="s">
        <v>56</v>
      </c>
      <c r="C11" s="4">
        <v>20411454</v>
      </c>
      <c r="D11" t="s">
        <v>4</v>
      </c>
      <c r="E11" s="3">
        <v>46054</v>
      </c>
      <c r="F11" s="2">
        <v>-80</v>
      </c>
      <c r="G11" t="s">
        <v>75</v>
      </c>
      <c r="H11" t="str">
        <f t="shared" si="2"/>
        <v>25R6A4R22OVR</v>
      </c>
      <c r="I11" t="s">
        <v>77</v>
      </c>
      <c r="J11" s="3">
        <v>46054</v>
      </c>
      <c r="K11" t="s">
        <v>52</v>
      </c>
      <c r="L11" t="s">
        <v>51</v>
      </c>
      <c r="M11" s="3">
        <v>46054</v>
      </c>
      <c r="N11" t="s">
        <v>92</v>
      </c>
    </row>
    <row r="12" spans="1:18" x14ac:dyDescent="0.25">
      <c r="A12" t="s">
        <v>44</v>
      </c>
      <c r="B12" t="s">
        <v>56</v>
      </c>
      <c r="C12" s="4">
        <v>20411454</v>
      </c>
      <c r="D12" t="s">
        <v>4</v>
      </c>
      <c r="E12" s="3">
        <v>46023</v>
      </c>
      <c r="F12" s="2">
        <v>-80</v>
      </c>
      <c r="G12" t="s">
        <v>80</v>
      </c>
      <c r="H12" t="str">
        <f t="shared" si="2"/>
        <v>56H4X5A78OVR</v>
      </c>
      <c r="I12" t="s">
        <v>82</v>
      </c>
      <c r="J12" s="3">
        <v>46023</v>
      </c>
      <c r="K12" t="s">
        <v>52</v>
      </c>
      <c r="L12" t="s">
        <v>51</v>
      </c>
      <c r="M12" s="3">
        <v>46023</v>
      </c>
      <c r="N12" t="s">
        <v>92</v>
      </c>
    </row>
    <row r="13" spans="1:18" x14ac:dyDescent="0.25">
      <c r="A13" t="s">
        <v>44</v>
      </c>
      <c r="B13" t="s">
        <v>56</v>
      </c>
      <c r="C13" s="4">
        <v>20411454</v>
      </c>
      <c r="D13" t="s">
        <v>4</v>
      </c>
      <c r="E13" s="3">
        <v>46023</v>
      </c>
      <c r="F13" s="2">
        <v>-25</v>
      </c>
      <c r="G13" t="s">
        <v>86</v>
      </c>
      <c r="H13" t="str">
        <f t="shared" si="2"/>
        <v>71L1A1F62OVR</v>
      </c>
      <c r="I13" t="s">
        <v>88</v>
      </c>
      <c r="J13" s="3">
        <v>46023</v>
      </c>
      <c r="K13" t="s">
        <v>89</v>
      </c>
      <c r="L13" t="s">
        <v>51</v>
      </c>
      <c r="M13" s="3">
        <v>46023</v>
      </c>
      <c r="N13" t="s">
        <v>92</v>
      </c>
    </row>
    <row r="14" spans="1:18" x14ac:dyDescent="0.25">
      <c r="A14" t="s">
        <v>58</v>
      </c>
      <c r="B14" t="s">
        <v>56</v>
      </c>
      <c r="C14" s="4">
        <v>20411454</v>
      </c>
      <c r="D14" t="s">
        <v>4</v>
      </c>
      <c r="E14" s="3">
        <v>46054</v>
      </c>
      <c r="F14" s="2">
        <v>80</v>
      </c>
      <c r="G14" t="s">
        <v>69</v>
      </c>
      <c r="H14" t="str">
        <f t="shared" si="2"/>
        <v>69H7U6A93OVR</v>
      </c>
      <c r="I14" t="s">
        <v>71</v>
      </c>
      <c r="J14" s="3">
        <v>46054</v>
      </c>
      <c r="K14" t="s">
        <v>72</v>
      </c>
      <c r="L14" t="s">
        <v>51</v>
      </c>
      <c r="M14" s="3">
        <v>46054</v>
      </c>
      <c r="N14" t="s">
        <v>92</v>
      </c>
    </row>
    <row r="15" spans="1:18" x14ac:dyDescent="0.25">
      <c r="A15" t="s">
        <v>58</v>
      </c>
      <c r="B15" t="s">
        <v>56</v>
      </c>
      <c r="C15" s="4">
        <v>20411454</v>
      </c>
      <c r="D15" t="s">
        <v>4</v>
      </c>
      <c r="E15" s="3">
        <v>46054</v>
      </c>
      <c r="F15" s="2">
        <v>80</v>
      </c>
      <c r="G15" t="s">
        <v>75</v>
      </c>
      <c r="H15" t="str">
        <f t="shared" si="2"/>
        <v>25R6A4R22OVR</v>
      </c>
      <c r="I15" t="s">
        <v>77</v>
      </c>
      <c r="J15" s="3">
        <v>46054</v>
      </c>
      <c r="K15" t="s">
        <v>52</v>
      </c>
      <c r="L15" t="s">
        <v>51</v>
      </c>
      <c r="M15" s="3">
        <v>46054</v>
      </c>
      <c r="N15" t="s">
        <v>92</v>
      </c>
    </row>
  </sheetData>
  <sortState xmlns:xlrd2="http://schemas.microsoft.com/office/spreadsheetml/2017/richdata2" ref="A2:Y15">
    <sortCondition ref="B2:B15"/>
  </sortState>
  <pageMargins left="0.7" right="0.7" top="0.75" bottom="0.75" header="0.3" footer="0.3"/>
  <ignoredErrors>
    <ignoredError sqref="H5" formula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W1"/>
  <sheetViews>
    <sheetView workbookViewId="0"/>
  </sheetViews>
  <sheetFormatPr defaultRowHeight="15" x14ac:dyDescent="0.25"/>
  <cols>
    <col min="1" max="1" width="25" customWidth="1"/>
    <col min="2" max="2" width="20" customWidth="1"/>
    <col min="3" max="4" width="15" customWidth="1"/>
    <col min="5" max="5" width="10.28515625" bestFit="1" customWidth="1"/>
    <col min="6" max="6" width="11.42578125" bestFit="1" customWidth="1"/>
    <col min="7" max="7" width="9.42578125" bestFit="1" customWidth="1"/>
    <col min="8" max="8" width="15" bestFit="1" customWidth="1"/>
    <col min="9" max="9" width="30.7109375" bestFit="1" customWidth="1"/>
    <col min="10" max="10" width="13.140625" bestFit="1" customWidth="1"/>
    <col min="11" max="11" width="10.5703125" bestFit="1" customWidth="1"/>
    <col min="12" max="12" width="12.140625" bestFit="1" customWidth="1"/>
    <col min="13" max="13" width="9.140625" bestFit="1" customWidth="1"/>
    <col min="14" max="14" width="13" bestFit="1" customWidth="1"/>
    <col min="15" max="15" width="10.28515625" bestFit="1" customWidth="1"/>
    <col min="16" max="16" width="8.7109375" bestFit="1" customWidth="1"/>
    <col min="17" max="17" width="9.5703125" bestFit="1" customWidth="1"/>
    <col min="18" max="18" width="18.85546875" bestFit="1" customWidth="1"/>
    <col min="19" max="19" width="16.7109375" bestFit="1" customWidth="1"/>
    <col min="20" max="20" width="12" bestFit="1" customWidth="1"/>
    <col min="21" max="21" width="4" bestFit="1" customWidth="1"/>
    <col min="22" max="23" width="10.140625" bestFit="1" customWidth="1"/>
  </cols>
  <sheetData>
    <row r="1" spans="1:23" x14ac:dyDescent="0.25">
      <c r="A1" t="s">
        <v>21</v>
      </c>
      <c r="B1" t="s">
        <v>22</v>
      </c>
      <c r="C1" t="s">
        <v>23</v>
      </c>
      <c r="D1" t="s">
        <v>24</v>
      </c>
      <c r="E1" t="s">
        <v>25</v>
      </c>
      <c r="F1" t="s">
        <v>26</v>
      </c>
      <c r="G1" t="s">
        <v>27</v>
      </c>
      <c r="H1" s="2" t="s">
        <v>28</v>
      </c>
      <c r="I1" t="s">
        <v>30</v>
      </c>
      <c r="J1" t="s">
        <v>31</v>
      </c>
      <c r="K1" t="s">
        <v>32</v>
      </c>
      <c r="L1" t="s">
        <v>33</v>
      </c>
      <c r="M1" t="s">
        <v>35</v>
      </c>
      <c r="N1" t="s">
        <v>36</v>
      </c>
      <c r="O1" t="s">
        <v>37</v>
      </c>
      <c r="P1" t="s">
        <v>38</v>
      </c>
      <c r="Q1" t="s">
        <v>39</v>
      </c>
      <c r="R1" t="s">
        <v>40</v>
      </c>
      <c r="S1" t="s">
        <v>34</v>
      </c>
      <c r="T1" t="s">
        <v>41</v>
      </c>
      <c r="U1" t="s">
        <v>42</v>
      </c>
      <c r="V1" t="s">
        <v>43</v>
      </c>
      <c r="W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Detail</vt:lpstr>
      <vt:lpstr>Sheet1</vt:lpstr>
      <vt:lpstr>Legacy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Loula Irene Cabel</cp:lastModifiedBy>
  <dcterms:created xsi:type="dcterms:W3CDTF">2026-01-30T09:47:07Z</dcterms:created>
  <dcterms:modified xsi:type="dcterms:W3CDTF">2026-02-11T20:20:32Z</dcterms:modified>
</cp:coreProperties>
</file>