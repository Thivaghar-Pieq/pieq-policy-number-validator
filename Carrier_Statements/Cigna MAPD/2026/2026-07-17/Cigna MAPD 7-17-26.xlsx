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igna MAPD\2026\2026-07-17\"/>
    </mc:Choice>
  </mc:AlternateContent>
  <xr:revisionPtr revIDLastSave="0" documentId="13_ncr:1_{6B719F2C-ABA0-4134-A2FD-3F3121DDADE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/>
  <c r="K8" i="4"/>
  <c r="K9" i="4"/>
  <c r="K6" i="4"/>
  <c r="K5" i="4"/>
  <c r="K4" i="4"/>
  <c r="K3" i="4"/>
  <c r="K2" i="4"/>
  <c r="F5" i="4"/>
  <c r="F4" i="4"/>
  <c r="F3" i="4"/>
  <c r="F2" i="4"/>
  <c r="R7" i="4"/>
  <c r="R6" i="4"/>
</calcChain>
</file>

<file path=xl/sharedStrings.xml><?xml version="1.0" encoding="utf-8"?>
<sst xmlns="http://schemas.openxmlformats.org/spreadsheetml/2006/main" count="300" uniqueCount="87">
  <si>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</si>
  <si>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</si>
  <si>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</si>
  <si>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</si>
  <si>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</si>
  <si>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</si>
  <si>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</si>
  <si>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</si>
  <si>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</si>
  <si>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</si>
  <si>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</si>
  <si>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</si>
  <si>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</si>
  <si>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</si>
  <si>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</si>
  <si>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</si>
  <si>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</si>
  <si>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</si>
  <si>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</si>
  <si>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</si>
  <si>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</si>
  <si>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</si>
  <si>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</si>
  <si>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</si>
  <si>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</si>
  <si>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</si>
  <si>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</si>
  <si>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</si>
  <si>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</si>
  <si>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</si>
  <si>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</si>
  <si>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</si>
  <si>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</si>
  <si>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</si>
  <si>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</si>
  <si>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</si>
  <si>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</si>
  <si>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</si>
  <si>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</si>
  <si>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</si>
  <si>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</si>
  <si>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</si>
  <si>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</si>
  <si>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</si>
  <si>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</si>
  <si>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Service Fee</t>
  </si>
  <si>
    <t>18709232</t>
  </si>
  <si>
    <t>REBECCA JACKSON</t>
  </si>
  <si>
    <t>20411454</t>
  </si>
  <si>
    <t>46R8X7L54</t>
  </si>
  <si>
    <t>3A33DN3XA01</t>
  </si>
  <si>
    <t>DAVID DAVAL</t>
  </si>
  <si>
    <t>Pending</t>
  </si>
  <si>
    <t>TN</t>
  </si>
  <si>
    <t>MAPD</t>
  </si>
  <si>
    <t>H4513</t>
  </si>
  <si>
    <t>049</t>
  </si>
  <si>
    <t>001</t>
  </si>
  <si>
    <t>Broker Level</t>
  </si>
  <si>
    <t>21283956</t>
  </si>
  <si>
    <t>VICTOR FUENTES</t>
  </si>
  <si>
    <t>73U7R9H68</t>
  </si>
  <si>
    <t>8E84QN3FC90</t>
  </si>
  <si>
    <t>J RIVAS</t>
  </si>
  <si>
    <t>IL</t>
  </si>
  <si>
    <t>086</t>
  </si>
  <si>
    <t>000</t>
  </si>
  <si>
    <t>19200754</t>
  </si>
  <si>
    <t>RICARDO SANTOS</t>
  </si>
  <si>
    <t>37H1U9R51</t>
  </si>
  <si>
    <t>3NU2P46XE07</t>
  </si>
  <si>
    <t>BRETT BLESSEN</t>
  </si>
  <si>
    <t>H7849</t>
  </si>
  <si>
    <t>002</t>
  </si>
  <si>
    <t>16202925</t>
  </si>
  <si>
    <t>THOMAS KUCAN</t>
  </si>
  <si>
    <t>56X6X3R33</t>
  </si>
  <si>
    <t>1V44Y44VA73</t>
  </si>
  <si>
    <t>PAUL HAMM</t>
  </si>
  <si>
    <t>MD</t>
  </si>
  <si>
    <t>H2108</t>
  </si>
  <si>
    <t>036</t>
  </si>
  <si>
    <t>Paid to Date</t>
  </si>
  <si>
    <t>Cigna MAPD 2026*</t>
  </si>
  <si>
    <t>Cigna MAPD Ovr</t>
  </si>
  <si>
    <t>[%/$=347][prorate=6/12]</t>
  </si>
  <si>
    <t>[%/$=347][prorate=5/12]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</si>
</sst>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14" fontId="0" fillId="2" borderId="0" xfId="0" applyNumberFormat="1" applyFill="1"/>
    <xf numFmtId="14" fontId="0" fillId="0" borderId="0" xfId="0" applyNumberFormat="1"/>
    <xf numFmtId="0" fontId="0" fillId="0" borderId="0" xfId="0" applyFill="1"/>
    <xf numFmtId="0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4</v>
      </c>
      <c r="C10" s="2">
        <v>985.08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4</v>
      </c>
      <c r="C17" s="2">
        <v>985.08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42578125" bestFit="1" customWidth="1"/>
    <col min="10" max="10" width="30.7109375" bestFit="1" customWidth="1"/>
    <col min="11" max="11" width="13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</v>
      </c>
      <c r="G2" s="3">
        <v>46204</v>
      </c>
      <c r="H2" s="2">
        <v>80</v>
      </c>
      <c r="I2" t="s">
        <v>49</v>
      </c>
      <c r="J2" t="s">
        <v>50</v>
      </c>
      <c r="K2" t="s">
        <v>51</v>
      </c>
      <c r="L2" s="3">
        <v>46199</v>
      </c>
      <c r="M2" s="3">
        <v>46204</v>
      </c>
      <c r="N2" t="s">
        <v>0</v>
      </c>
      <c r="O2" t="s">
        <v>52</v>
      </c>
      <c r="P2" t="s">
        <v>0</v>
      </c>
      <c r="Q2" t="s">
        <v>53</v>
      </c>
      <c r="R2" t="s">
        <v>54</v>
      </c>
      <c r="S2" t="s">
        <v>0</v>
      </c>
      <c r="T2" s="3">
        <v>46204</v>
      </c>
      <c r="U2" t="s">
        <v>55</v>
      </c>
      <c r="V2" t="s">
        <v>56</v>
      </c>
      <c r="W2" t="s">
        <v>57</v>
      </c>
      <c r="X2" t="s">
        <v>0</v>
      </c>
    </row>
    <row r="3" spans="1:24" x14ac:dyDescent="0.25">
      <c r="A3" t="s">
        <v>44</v>
      </c>
      <c r="B3" t="s">
        <v>58</v>
      </c>
      <c r="C3" t="s">
        <v>46</v>
      </c>
      <c r="D3" t="s">
        <v>47</v>
      </c>
      <c r="E3" t="s">
        <v>46</v>
      </c>
      <c r="F3" t="s">
        <v>47</v>
      </c>
      <c r="G3" s="3">
        <v>46204</v>
      </c>
      <c r="H3" s="2">
        <v>173.5</v>
      </c>
      <c r="I3" t="s">
        <v>49</v>
      </c>
      <c r="J3" t="s">
        <v>50</v>
      </c>
      <c r="K3" t="s">
        <v>51</v>
      </c>
      <c r="L3" s="3">
        <v>46199</v>
      </c>
      <c r="M3" s="3">
        <v>46204</v>
      </c>
      <c r="N3" t="s">
        <v>0</v>
      </c>
      <c r="O3" t="s">
        <v>52</v>
      </c>
      <c r="P3" t="s">
        <v>0</v>
      </c>
      <c r="Q3" t="s">
        <v>53</v>
      </c>
      <c r="R3" t="s">
        <v>54</v>
      </c>
      <c r="S3" t="s">
        <v>0</v>
      </c>
      <c r="T3" s="3">
        <v>46204</v>
      </c>
      <c r="U3" t="s">
        <v>55</v>
      </c>
      <c r="V3" t="s">
        <v>56</v>
      </c>
      <c r="W3" t="s">
        <v>57</v>
      </c>
      <c r="X3" t="s">
        <v>0</v>
      </c>
    </row>
    <row r="4" spans="1:24" x14ac:dyDescent="0.25">
      <c r="A4" t="s">
        <v>44</v>
      </c>
      <c r="B4" t="s">
        <v>45</v>
      </c>
      <c r="C4" t="s">
        <v>59</v>
      </c>
      <c r="D4" t="s">
        <v>60</v>
      </c>
      <c r="E4" t="s">
        <v>48</v>
      </c>
      <c r="F4" t="s">
        <v>4</v>
      </c>
      <c r="G4" s="3">
        <v>46235</v>
      </c>
      <c r="H4" s="2">
        <v>80</v>
      </c>
      <c r="I4" t="s">
        <v>61</v>
      </c>
      <c r="J4" t="s">
        <v>62</v>
      </c>
      <c r="K4" t="s">
        <v>63</v>
      </c>
      <c r="L4" s="3">
        <v>46200</v>
      </c>
      <c r="M4" s="3">
        <v>46235</v>
      </c>
      <c r="N4" t="s">
        <v>0</v>
      </c>
      <c r="O4" t="s">
        <v>52</v>
      </c>
      <c r="P4" t="s">
        <v>0</v>
      </c>
      <c r="Q4" t="s">
        <v>64</v>
      </c>
      <c r="R4" t="s">
        <v>54</v>
      </c>
      <c r="S4" t="s">
        <v>0</v>
      </c>
      <c r="T4" s="3">
        <v>46235</v>
      </c>
      <c r="U4" t="s">
        <v>55</v>
      </c>
      <c r="V4" t="s">
        <v>65</v>
      </c>
      <c r="W4" t="s">
        <v>66</v>
      </c>
      <c r="X4" t="s">
        <v>0</v>
      </c>
    </row>
    <row r="5" spans="1:24" x14ac:dyDescent="0.25">
      <c r="A5" t="s">
        <v>44</v>
      </c>
      <c r="B5" t="s">
        <v>58</v>
      </c>
      <c r="C5" t="s">
        <v>59</v>
      </c>
      <c r="D5" t="s">
        <v>60</v>
      </c>
      <c r="E5" t="s">
        <v>59</v>
      </c>
      <c r="F5" t="s">
        <v>60</v>
      </c>
      <c r="G5" s="3">
        <v>46235</v>
      </c>
      <c r="H5" s="2">
        <v>144.58000000000001</v>
      </c>
      <c r="I5" t="s">
        <v>61</v>
      </c>
      <c r="J5" t="s">
        <v>62</v>
      </c>
      <c r="K5" t="s">
        <v>63</v>
      </c>
      <c r="L5" s="3">
        <v>46200</v>
      </c>
      <c r="M5" s="3">
        <v>46235</v>
      </c>
      <c r="N5" t="s">
        <v>0</v>
      </c>
      <c r="O5" t="s">
        <v>52</v>
      </c>
      <c r="P5" t="s">
        <v>0</v>
      </c>
      <c r="Q5" t="s">
        <v>64</v>
      </c>
      <c r="R5" t="s">
        <v>54</v>
      </c>
      <c r="S5" t="s">
        <v>0</v>
      </c>
      <c r="T5" s="3">
        <v>46235</v>
      </c>
      <c r="U5" t="s">
        <v>55</v>
      </c>
      <c r="V5" t="s">
        <v>65</v>
      </c>
      <c r="W5" t="s">
        <v>66</v>
      </c>
      <c r="X5" t="s">
        <v>0</v>
      </c>
    </row>
    <row r="6" spans="1:24" x14ac:dyDescent="0.25">
      <c r="A6" t="s">
        <v>44</v>
      </c>
      <c r="B6" t="s">
        <v>45</v>
      </c>
      <c r="C6" t="s">
        <v>67</v>
      </c>
      <c r="D6" t="s">
        <v>68</v>
      </c>
      <c r="E6" t="s">
        <v>48</v>
      </c>
      <c r="F6" t="s">
        <v>4</v>
      </c>
      <c r="G6" s="3">
        <v>46204</v>
      </c>
      <c r="H6" s="2">
        <v>80</v>
      </c>
      <c r="I6" t="s">
        <v>69</v>
      </c>
      <c r="J6" t="s">
        <v>70</v>
      </c>
      <c r="K6" t="s">
        <v>71</v>
      </c>
      <c r="L6" s="3">
        <v>46203</v>
      </c>
      <c r="M6" s="3">
        <v>46204</v>
      </c>
      <c r="N6" t="s">
        <v>0</v>
      </c>
      <c r="O6" t="s">
        <v>52</v>
      </c>
      <c r="P6" t="s">
        <v>0</v>
      </c>
      <c r="Q6" t="s">
        <v>64</v>
      </c>
      <c r="R6" t="s">
        <v>54</v>
      </c>
      <c r="S6" t="s">
        <v>0</v>
      </c>
      <c r="T6" s="3">
        <v>46204</v>
      </c>
      <c r="U6" t="s">
        <v>72</v>
      </c>
      <c r="V6" t="s">
        <v>73</v>
      </c>
      <c r="W6" t="s">
        <v>66</v>
      </c>
      <c r="X6" t="s">
        <v>0</v>
      </c>
    </row>
    <row r="7" spans="1:24" x14ac:dyDescent="0.25">
      <c r="A7" t="s">
        <v>44</v>
      </c>
      <c r="B7" t="s">
        <v>58</v>
      </c>
      <c r="C7" t="s">
        <v>67</v>
      </c>
      <c r="D7" t="s">
        <v>68</v>
      </c>
      <c r="E7" t="s">
        <v>67</v>
      </c>
      <c r="F7" t="s">
        <v>68</v>
      </c>
      <c r="G7" s="3">
        <v>46204</v>
      </c>
      <c r="H7" s="2">
        <v>173.5</v>
      </c>
      <c r="I7" t="s">
        <v>69</v>
      </c>
      <c r="J7" t="s">
        <v>70</v>
      </c>
      <c r="K7" t="s">
        <v>71</v>
      </c>
      <c r="L7" s="3">
        <v>46203</v>
      </c>
      <c r="M7" s="3">
        <v>46204</v>
      </c>
      <c r="N7" t="s">
        <v>0</v>
      </c>
      <c r="O7" t="s">
        <v>52</v>
      </c>
      <c r="P7" t="s">
        <v>0</v>
      </c>
      <c r="Q7" t="s">
        <v>64</v>
      </c>
      <c r="R7" t="s">
        <v>54</v>
      </c>
      <c r="S7" t="s">
        <v>0</v>
      </c>
      <c r="T7" s="3">
        <v>46204</v>
      </c>
      <c r="U7" t="s">
        <v>72</v>
      </c>
      <c r="V7" t="s">
        <v>73</v>
      </c>
      <c r="W7" t="s">
        <v>66</v>
      </c>
      <c r="X7" t="s">
        <v>0</v>
      </c>
    </row>
    <row r="8" spans="1:24" x14ac:dyDescent="0.25">
      <c r="A8" t="s">
        <v>44</v>
      </c>
      <c r="B8" t="s">
        <v>45</v>
      </c>
      <c r="C8" t="s">
        <v>74</v>
      </c>
      <c r="D8" t="s">
        <v>75</v>
      </c>
      <c r="E8" t="s">
        <v>48</v>
      </c>
      <c r="F8" t="s">
        <v>4</v>
      </c>
      <c r="G8" s="3">
        <v>46204</v>
      </c>
      <c r="H8" s="2">
        <v>80</v>
      </c>
      <c r="I8" t="s">
        <v>76</v>
      </c>
      <c r="J8" t="s">
        <v>77</v>
      </c>
      <c r="K8" t="s">
        <v>78</v>
      </c>
      <c r="L8" s="3">
        <v>46203</v>
      </c>
      <c r="M8" s="3">
        <v>46204</v>
      </c>
      <c r="N8" t="s">
        <v>0</v>
      </c>
      <c r="O8" t="s">
        <v>52</v>
      </c>
      <c r="P8" t="s">
        <v>0</v>
      </c>
      <c r="Q8" t="s">
        <v>79</v>
      </c>
      <c r="R8" t="s">
        <v>54</v>
      </c>
      <c r="S8" t="s">
        <v>0</v>
      </c>
      <c r="T8" s="3">
        <v>46204</v>
      </c>
      <c r="U8" t="s">
        <v>80</v>
      </c>
      <c r="V8" t="s">
        <v>81</v>
      </c>
      <c r="W8" t="s">
        <v>66</v>
      </c>
      <c r="X8" t="s">
        <v>0</v>
      </c>
    </row>
    <row r="9" spans="1:24" x14ac:dyDescent="0.25">
      <c r="A9" t="s">
        <v>44</v>
      </c>
      <c r="B9" t="s">
        <v>58</v>
      </c>
      <c r="C9" t="s">
        <v>74</v>
      </c>
      <c r="D9" t="s">
        <v>75</v>
      </c>
      <c r="E9" t="s">
        <v>74</v>
      </c>
      <c r="F9" t="s">
        <v>75</v>
      </c>
      <c r="G9" s="3">
        <v>46204</v>
      </c>
      <c r="H9" s="2">
        <v>173.5</v>
      </c>
      <c r="I9" t="s">
        <v>76</v>
      </c>
      <c r="J9" t="s">
        <v>77</v>
      </c>
      <c r="K9" t="s">
        <v>78</v>
      </c>
      <c r="L9" s="3">
        <v>46203</v>
      </c>
      <c r="M9" s="3">
        <v>46204</v>
      </c>
      <c r="N9" t="s">
        <v>0</v>
      </c>
      <c r="O9" t="s">
        <v>52</v>
      </c>
      <c r="P9" t="s">
        <v>0</v>
      </c>
      <c r="Q9" t="s">
        <v>79</v>
      </c>
      <c r="R9" t="s">
        <v>54</v>
      </c>
      <c r="S9" t="s">
        <v>0</v>
      </c>
      <c r="T9" s="3">
        <v>46204</v>
      </c>
      <c r="U9" t="s">
        <v>80</v>
      </c>
      <c r="V9" t="s">
        <v>81</v>
      </c>
      <c r="W9" t="s">
        <v>66</v>
      </c>
      <c r="X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25FE-B4AA-465F-9693-C69C914F10B3}">
  <dimension ref="A1:Z9"/>
  <sheetViews>
    <sheetView tabSelected="1" workbookViewId="0">
      <selection activeCell="J5" sqref="J5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0.28515625" customWidth="1"/>
    <col min="7" max="7" width="20.7109375" bestFit="1" customWidth="1"/>
    <col min="8" max="8" width="10.42578125" bestFit="1" customWidth="1"/>
    <col min="9" max="9" width="15" bestFit="1" customWidth="1"/>
    <col min="10" max="10" width="10.42578125" bestFit="1" customWidth="1"/>
    <col min="11" max="11" width="14.140625" bestFit="1" customWidth="1"/>
    <col min="12" max="12" width="13.28515625" bestFit="1" customWidth="1"/>
    <col min="13" max="13" width="12.140625" bestFit="1" customWidth="1"/>
    <col min="14" max="14" width="16.7109375" bestFit="1" customWidth="1"/>
    <col min="15" max="15" width="10.28515625" bestFit="1" customWidth="1"/>
    <col min="16" max="16" width="17.42578125" bestFit="1" customWidth="1"/>
    <col min="17" max="17" width="23.140625" bestFit="1" customWidth="1"/>
  </cols>
  <sheetData>
    <row r="1" spans="1:2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G1" t="s">
        <v>26</v>
      </c>
      <c r="H1" t="s">
        <v>27</v>
      </c>
      <c r="I1" s="2" t="s">
        <v>28</v>
      </c>
      <c r="J1" t="s">
        <v>29</v>
      </c>
      <c r="L1" t="s">
        <v>31</v>
      </c>
      <c r="M1" t="s">
        <v>33</v>
      </c>
      <c r="N1" t="s">
        <v>82</v>
      </c>
      <c r="O1" t="s">
        <v>37</v>
      </c>
    </row>
    <row r="2" spans="1:26" s="5" customFormat="1" x14ac:dyDescent="0.25">
      <c r="A2" s="5" t="s">
        <v>44</v>
      </c>
      <c r="B2" s="5" t="s">
        <v>45</v>
      </c>
      <c r="C2" s="6">
        <v>18709232</v>
      </c>
      <c r="D2" s="5" t="s">
        <v>47</v>
      </c>
      <c r="E2" s="6">
        <v>18709232</v>
      </c>
      <c r="F2" s="6" t="str">
        <f>CONCATENATE(E2,"OVR")</f>
        <v>18709232OVR</v>
      </c>
      <c r="G2" s="5" t="s">
        <v>4</v>
      </c>
      <c r="H2" s="7">
        <v>46204</v>
      </c>
      <c r="I2" s="8">
        <v>80</v>
      </c>
      <c r="J2" s="5" t="s">
        <v>49</v>
      </c>
      <c r="K2" s="5" t="str">
        <f>CONCATENATE(J2,"OVR")</f>
        <v>46R8X7L54OVR</v>
      </c>
      <c r="L2" s="5" t="s">
        <v>51</v>
      </c>
      <c r="M2" s="7">
        <v>46204</v>
      </c>
      <c r="N2" s="9">
        <v>46387</v>
      </c>
      <c r="O2" s="5" t="s">
        <v>53</v>
      </c>
      <c r="P2" s="5" t="s">
        <v>84</v>
      </c>
    </row>
    <row r="3" spans="1:26" x14ac:dyDescent="0.25">
      <c r="A3" s="5" t="s">
        <v>44</v>
      </c>
      <c r="B3" s="5" t="s">
        <v>45</v>
      </c>
      <c r="C3" s="6">
        <v>21283956</v>
      </c>
      <c r="D3" s="5" t="s">
        <v>60</v>
      </c>
      <c r="E3" s="6">
        <v>21283956</v>
      </c>
      <c r="F3" s="6" t="str">
        <f t="shared" ref="F3:F5" si="0">CONCATENATE(E3,"OVR")</f>
        <v>21283956OVR</v>
      </c>
      <c r="G3" s="5" t="s">
        <v>4</v>
      </c>
      <c r="H3" s="7">
        <v>46235</v>
      </c>
      <c r="I3" s="8">
        <v>80</v>
      </c>
      <c r="J3" s="5" t="s">
        <v>61</v>
      </c>
      <c r="K3" s="5" t="str">
        <f t="shared" ref="K3:K5" si="1">CONCATENATE(J3,"OVR")</f>
        <v>73U7R9H68OVR</v>
      </c>
      <c r="L3" s="5" t="s">
        <v>63</v>
      </c>
      <c r="M3" s="7">
        <v>46235</v>
      </c>
      <c r="N3" s="9">
        <v>46387</v>
      </c>
      <c r="O3" s="5" t="s">
        <v>64</v>
      </c>
      <c r="P3" s="5" t="s">
        <v>84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5" customFormat="1" x14ac:dyDescent="0.25">
      <c r="A4" s="5" t="s">
        <v>44</v>
      </c>
      <c r="B4" s="5" t="s">
        <v>45</v>
      </c>
      <c r="C4" s="6">
        <v>19200754</v>
      </c>
      <c r="D4" s="5" t="s">
        <v>68</v>
      </c>
      <c r="E4" s="6">
        <v>19200754</v>
      </c>
      <c r="F4" s="6" t="str">
        <f t="shared" si="0"/>
        <v>19200754OVR</v>
      </c>
      <c r="G4" s="5" t="s">
        <v>4</v>
      </c>
      <c r="H4" s="7">
        <v>46204</v>
      </c>
      <c r="I4" s="8">
        <v>80</v>
      </c>
      <c r="J4" s="5" t="s">
        <v>69</v>
      </c>
      <c r="K4" s="5" t="str">
        <f t="shared" si="1"/>
        <v>37H1U9R51OVR</v>
      </c>
      <c r="L4" s="5" t="s">
        <v>71</v>
      </c>
      <c r="M4" s="7">
        <v>46204</v>
      </c>
      <c r="N4" s="9">
        <v>46387</v>
      </c>
      <c r="O4" s="5" t="s">
        <v>64</v>
      </c>
      <c r="P4" s="5" t="s">
        <v>84</v>
      </c>
    </row>
    <row r="5" spans="1:26" x14ac:dyDescent="0.25">
      <c r="A5" s="5" t="s">
        <v>44</v>
      </c>
      <c r="B5" s="5" t="s">
        <v>45</v>
      </c>
      <c r="C5" s="6">
        <v>16202925</v>
      </c>
      <c r="D5" s="5" t="s">
        <v>75</v>
      </c>
      <c r="E5" s="6">
        <v>16202925</v>
      </c>
      <c r="F5" s="6" t="str">
        <f t="shared" si="0"/>
        <v>16202925OVR</v>
      </c>
      <c r="G5" s="5" t="s">
        <v>4</v>
      </c>
      <c r="H5" s="7">
        <v>46204</v>
      </c>
      <c r="I5" s="8">
        <v>80</v>
      </c>
      <c r="J5" s="5" t="s">
        <v>76</v>
      </c>
      <c r="K5" s="5" t="str">
        <f t="shared" si="1"/>
        <v>56X6X3R33OVR</v>
      </c>
      <c r="L5" s="5" t="s">
        <v>78</v>
      </c>
      <c r="M5" s="7">
        <v>46204</v>
      </c>
      <c r="N5" s="9">
        <v>46387</v>
      </c>
      <c r="O5" s="5" t="s">
        <v>79</v>
      </c>
      <c r="P5" s="5" t="s">
        <v>84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11" customFormat="1" x14ac:dyDescent="0.25">
      <c r="A6" s="11" t="s">
        <v>44</v>
      </c>
      <c r="B6" s="11" t="s">
        <v>58</v>
      </c>
      <c r="C6" s="12">
        <v>18709232</v>
      </c>
      <c r="D6" s="11" t="s">
        <v>47</v>
      </c>
      <c r="E6" s="12">
        <v>18709232</v>
      </c>
      <c r="F6" s="12">
        <v>18709232</v>
      </c>
      <c r="G6" s="11" t="s">
        <v>47</v>
      </c>
      <c r="H6" s="13">
        <v>46204</v>
      </c>
      <c r="I6" s="14">
        <v>173.5</v>
      </c>
      <c r="J6" s="11" t="s">
        <v>49</v>
      </c>
      <c r="K6" s="11" t="str">
        <f>CONCATENATE(J6,26)</f>
        <v>46R8X7L5426</v>
      </c>
      <c r="L6" s="11" t="s">
        <v>51</v>
      </c>
      <c r="M6" s="13">
        <v>46204</v>
      </c>
      <c r="N6" s="15">
        <v>46387</v>
      </c>
      <c r="O6" s="11" t="s">
        <v>53</v>
      </c>
      <c r="P6" s="11" t="s">
        <v>83</v>
      </c>
      <c r="Q6" s="11" t="s">
        <v>85</v>
      </c>
      <c r="R6" s="11">
        <f>347/12*6</f>
        <v>173.5</v>
      </c>
    </row>
    <row r="7" spans="1:26" x14ac:dyDescent="0.25">
      <c r="A7" t="s">
        <v>44</v>
      </c>
      <c r="B7" t="s">
        <v>58</v>
      </c>
      <c r="C7" s="4">
        <v>21283956</v>
      </c>
      <c r="D7" t="s">
        <v>60</v>
      </c>
      <c r="E7" s="4">
        <v>21283956</v>
      </c>
      <c r="F7" s="4">
        <v>21283956</v>
      </c>
      <c r="G7" t="s">
        <v>60</v>
      </c>
      <c r="H7" s="3">
        <v>46235</v>
      </c>
      <c r="I7" s="2">
        <v>144.58000000000001</v>
      </c>
      <c r="J7" t="s">
        <v>61</v>
      </c>
      <c r="K7" s="11" t="str">
        <f t="shared" ref="K7:K9" si="2">CONCATENATE(J7,26)</f>
        <v>73U7R9H6826</v>
      </c>
      <c r="L7" t="s">
        <v>63</v>
      </c>
      <c r="M7" s="3">
        <v>46235</v>
      </c>
      <c r="N7" s="10">
        <v>46387</v>
      </c>
      <c r="O7" t="s">
        <v>64</v>
      </c>
      <c r="P7" t="s">
        <v>83</v>
      </c>
      <c r="Q7" t="s">
        <v>86</v>
      </c>
      <c r="R7">
        <f>347/12*5</f>
        <v>144.58333333333334</v>
      </c>
    </row>
    <row r="8" spans="1:26" s="5" customFormat="1" x14ac:dyDescent="0.25">
      <c r="A8" t="s">
        <v>44</v>
      </c>
      <c r="B8" t="s">
        <v>58</v>
      </c>
      <c r="C8" s="4">
        <v>19200754</v>
      </c>
      <c r="D8" t="s">
        <v>68</v>
      </c>
      <c r="E8" s="4">
        <v>19200754</v>
      </c>
      <c r="F8" s="4">
        <v>19200754</v>
      </c>
      <c r="G8" t="s">
        <v>68</v>
      </c>
      <c r="H8" s="3">
        <v>46204</v>
      </c>
      <c r="I8" s="2">
        <v>173.5</v>
      </c>
      <c r="J8" t="s">
        <v>69</v>
      </c>
      <c r="K8" s="11" t="str">
        <f t="shared" si="2"/>
        <v>37H1U9R5126</v>
      </c>
      <c r="L8" t="s">
        <v>71</v>
      </c>
      <c r="M8" s="3">
        <v>46204</v>
      </c>
      <c r="N8" s="10">
        <v>46387</v>
      </c>
      <c r="O8" t="s">
        <v>64</v>
      </c>
      <c r="P8" t="s">
        <v>83</v>
      </c>
      <c r="Q8" t="s">
        <v>85</v>
      </c>
      <c r="R8"/>
      <c r="S8"/>
      <c r="T8"/>
      <c r="U8"/>
      <c r="V8"/>
      <c r="W8"/>
      <c r="X8"/>
      <c r="Y8"/>
      <c r="Z8"/>
    </row>
    <row r="9" spans="1:26" x14ac:dyDescent="0.25">
      <c r="A9" t="s">
        <v>44</v>
      </c>
      <c r="B9" t="s">
        <v>58</v>
      </c>
      <c r="C9" s="4">
        <v>16202925</v>
      </c>
      <c r="D9" t="s">
        <v>75</v>
      </c>
      <c r="E9" s="4">
        <v>16202925</v>
      </c>
      <c r="F9" s="4">
        <v>16202925</v>
      </c>
      <c r="G9" t="s">
        <v>75</v>
      </c>
      <c r="H9" s="3">
        <v>46204</v>
      </c>
      <c r="I9" s="2">
        <v>173.5</v>
      </c>
      <c r="J9" t="s">
        <v>76</v>
      </c>
      <c r="K9" s="11" t="str">
        <f t="shared" si="2"/>
        <v>56X6X3R3326</v>
      </c>
      <c r="L9" t="s">
        <v>78</v>
      </c>
      <c r="M9" s="3">
        <v>46204</v>
      </c>
      <c r="N9" s="10">
        <v>46387</v>
      </c>
      <c r="O9" t="s">
        <v>79</v>
      </c>
      <c r="P9" t="s">
        <v>83</v>
      </c>
      <c r="Q9" t="s">
        <v>85</v>
      </c>
    </row>
  </sheetData>
  <sortState xmlns:xlrd2="http://schemas.microsoft.com/office/spreadsheetml/2017/richdata2" ref="A2:Z9">
    <sortCondition sortBy="cellColor" ref="A2:A9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2026-07-17T07:05:54Z</dcterms:created>
  <dcterms:modified xsi:type="dcterms:W3CDTF">2026-07-17T20:02:24Z</dcterms:modified>
</cp:coreProperties>
</file>