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2-25-26\"/>
    </mc:Choice>
  </mc:AlternateContent>
  <xr:revisionPtr revIDLastSave="0" documentId="13_ncr:1_{2D906286-C1DE-4529-8F50-8AE914D1C733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81029"/>
</workbook>
</file>

<file path=xl/calcChain.xml><?xml version="1.0" encoding="utf-8"?>
<calcChain xmlns="http://schemas.openxmlformats.org/spreadsheetml/2006/main">
  <c r="G49" i="4" l="1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Q2" i="4"/>
</calcChain>
</file>

<file path=xl/sharedStrings.xml><?xml version="1.0" encoding="utf-8"?>
<sst xmlns="http://schemas.openxmlformats.org/spreadsheetml/2006/main" count="2450" uniqueCount="232">
  <si>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</si>
  <si>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</si>
  <si>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</si>
  <si>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</si>
  <si>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</si>
  <si>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</si>
  <si>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</si>
  <si>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</si>
  <si>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</si>
  <si>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</si>
  <si>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</si>
  <si>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</si>
  <si>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</si>
  <si>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</si>
  <si>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</si>
  <si>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</si>
  <si>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</si>
  <si>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</si>
  <si>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</si>
  <si>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</si>
  <si>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</si>
  <si>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</si>
  <si>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</si>
  <si>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</si>
  <si>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</si>
  <si>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</si>
  <si>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</si>
  <si>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</si>
  <si>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</si>
  <si>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</si>
  <si>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</si>
  <si>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</si>
  <si>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</si>
  <si>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</si>
  <si>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</si>
  <si>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</si>
  <si>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</si>
  <si>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</si>
  <si>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</si>
  <si>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</si>
  <si>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</si>
  <si>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</si>
  <si>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</si>
  <si>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</si>
  <si>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Service Fee</t>
  </si>
  <si>
    <t>18710070</t>
  </si>
  <si>
    <t>MICHELLE MCCORKLE</t>
  </si>
  <si>
    <t>20411454</t>
  </si>
  <si>
    <t>54L1L3X99</t>
  </si>
  <si>
    <t>6V03DF5AY08</t>
  </si>
  <si>
    <t>PATRICIA POPEK</t>
  </si>
  <si>
    <t>NONE</t>
  </si>
  <si>
    <t>PA</t>
  </si>
  <si>
    <t>MAPD</t>
  </si>
  <si>
    <t>H3949</t>
  </si>
  <si>
    <t>048</t>
  </si>
  <si>
    <t>000</t>
  </si>
  <si>
    <t>Broker Level</t>
  </si>
  <si>
    <t>9079571</t>
  </si>
  <si>
    <t>Adam Richter</t>
  </si>
  <si>
    <t>3ED2D71DK99</t>
  </si>
  <si>
    <t>JEROME HOUSE</t>
  </si>
  <si>
    <t>TX</t>
  </si>
  <si>
    <t>H4513</t>
  </si>
  <si>
    <t>061</t>
  </si>
  <si>
    <t>005</t>
  </si>
  <si>
    <t>9213293</t>
  </si>
  <si>
    <t>GARY PORTUGAL</t>
  </si>
  <si>
    <t>8E28GN6FP52</t>
  </si>
  <si>
    <t>HILDA SPENCER</t>
  </si>
  <si>
    <t>IL</t>
  </si>
  <si>
    <t>085</t>
  </si>
  <si>
    <t>17528908</t>
  </si>
  <si>
    <t>DEBORAH INSKIPT</t>
  </si>
  <si>
    <t>6M78W04VJ63</t>
  </si>
  <si>
    <t>DEBORAH PILTZ</t>
  </si>
  <si>
    <t>H7849</t>
  </si>
  <si>
    <t>106</t>
  </si>
  <si>
    <t>3DA1EX5KU94</t>
  </si>
  <si>
    <t>EUGENE HUDOCK JR</t>
  </si>
  <si>
    <t>1WD8HM3EC22</t>
  </si>
  <si>
    <t>DELENA HUDOCK</t>
  </si>
  <si>
    <t>18754354</t>
  </si>
  <si>
    <t>JACOB YALE</t>
  </si>
  <si>
    <t>3KV4X32WK92</t>
  </si>
  <si>
    <t>ROBERT DAVIS</t>
  </si>
  <si>
    <t>19615078</t>
  </si>
  <si>
    <t>RICHARD WUENSCH</t>
  </si>
  <si>
    <t>7FJ9A67QU11</t>
  </si>
  <si>
    <t>LEONID ROMANOV</t>
  </si>
  <si>
    <t>002</t>
  </si>
  <si>
    <t>3A02AR6XD81</t>
  </si>
  <si>
    <t>GLENN NAGLE</t>
  </si>
  <si>
    <t>047</t>
  </si>
  <si>
    <t>9R83NR1PJ04</t>
  </si>
  <si>
    <t>DONNA NAGLE</t>
  </si>
  <si>
    <t>1EY2Y69MX16</t>
  </si>
  <si>
    <t>HELEN BRAUN</t>
  </si>
  <si>
    <t>080</t>
  </si>
  <si>
    <t>9WT6GW8RU70</t>
  </si>
  <si>
    <t>WAYNE CASS</t>
  </si>
  <si>
    <t>2N85NK7JY85</t>
  </si>
  <si>
    <t>JANE CASS</t>
  </si>
  <si>
    <t>8QP6C22AP41</t>
  </si>
  <si>
    <t>JOHN REARDON</t>
  </si>
  <si>
    <t>8325282</t>
  </si>
  <si>
    <t>DALE WALENGA</t>
  </si>
  <si>
    <t>4WX0NT9RU42</t>
  </si>
  <si>
    <t>JOAN BEELER</t>
  </si>
  <si>
    <t>1D03UA8NJ76</t>
  </si>
  <si>
    <t>WARREN YOUNG</t>
  </si>
  <si>
    <t>111</t>
  </si>
  <si>
    <t>Disenrollment Renewal</t>
  </si>
  <si>
    <t>7MN2F03WU04</t>
  </si>
  <si>
    <t>ANTHONY DANIEL</t>
  </si>
  <si>
    <t>086</t>
  </si>
  <si>
    <t>3GM3U33UX76</t>
  </si>
  <si>
    <t>DONNA TRITTHARDT</t>
  </si>
  <si>
    <t>4DA3X25TQ91</t>
  </si>
  <si>
    <t>THOMAS TRITTHARDT</t>
  </si>
  <si>
    <t>3FR2UD2GE85</t>
  </si>
  <si>
    <t>JOHN TSOUCHLOS</t>
  </si>
  <si>
    <t>1F20D83XW28</t>
  </si>
  <si>
    <t>TIMOTHY SHEETZ</t>
  </si>
  <si>
    <t>5NX9KX3EF51</t>
  </si>
  <si>
    <t>JOHN KLEER SR</t>
  </si>
  <si>
    <t>4N38MU4WE35</t>
  </si>
  <si>
    <t>JEANNE DOUGLAS</t>
  </si>
  <si>
    <t>21104854</t>
  </si>
  <si>
    <t>BRIAN STROHMAN</t>
  </si>
  <si>
    <t>4RX1AP8YQ10</t>
  </si>
  <si>
    <t>THOMAS HALL</t>
  </si>
  <si>
    <t>5TK4PJ5AK95</t>
  </si>
  <si>
    <t>JOHN BAHLMANN</t>
  </si>
  <si>
    <t>1MP4RT8PX98</t>
  </si>
  <si>
    <t>KAUSHIKLAL SHAH</t>
  </si>
  <si>
    <t>17094718</t>
  </si>
  <si>
    <t>GREGORY HANSFORD</t>
  </si>
  <si>
    <t>8NX4EH6XA87</t>
  </si>
  <si>
    <t>RENEE HAYNIE JACKSON</t>
  </si>
  <si>
    <t>PDP</t>
  </si>
  <si>
    <t>AZ</t>
  </si>
  <si>
    <t>065</t>
  </si>
  <si>
    <t>5A54U01TE07</t>
  </si>
  <si>
    <t>JEFFREY BROWN</t>
  </si>
  <si>
    <t>8D78GU1GQ40</t>
  </si>
  <si>
    <t>DONALD WALKER</t>
  </si>
  <si>
    <t>9X71QQ7PV22</t>
  </si>
  <si>
    <t>JAMES JUNG</t>
  </si>
  <si>
    <t>3AY9T68DJ35</t>
  </si>
  <si>
    <t>RICHARD PEARSON</t>
  </si>
  <si>
    <t>18134413</t>
  </si>
  <si>
    <t>LORI TUNSTALL</t>
  </si>
  <si>
    <t>1V35DT9NV88</t>
  </si>
  <si>
    <t>TERRI JOSEPH</t>
  </si>
  <si>
    <t>031</t>
  </si>
  <si>
    <t>19200754</t>
  </si>
  <si>
    <t>RICARDO SANTOS</t>
  </si>
  <si>
    <t>11A2A7X22</t>
  </si>
  <si>
    <t>1GJ3GY5DX83</t>
  </si>
  <si>
    <t>OSCAR LINO</t>
  </si>
  <si>
    <t>16212649</t>
  </si>
  <si>
    <t>MURRAY STERNER</t>
  </si>
  <si>
    <t>18R5U3H94</t>
  </si>
  <si>
    <t>7YP7FC1WY39</t>
  </si>
  <si>
    <t>LUCYANN GREGGO</t>
  </si>
  <si>
    <t>104</t>
  </si>
  <si>
    <t>6634327</t>
  </si>
  <si>
    <t>JOEL LEE</t>
  </si>
  <si>
    <t>21X7R9U97</t>
  </si>
  <si>
    <t>8Q74H82NW02</t>
  </si>
  <si>
    <t>LISA PLANCHE</t>
  </si>
  <si>
    <t>CO</t>
  </si>
  <si>
    <t>H0672</t>
  </si>
  <si>
    <t>001</t>
  </si>
  <si>
    <t>19681796</t>
  </si>
  <si>
    <t>CHRIS TAUGNER</t>
  </si>
  <si>
    <t>31F5L5L79</t>
  </si>
  <si>
    <t>7R61JD1MF10</t>
  </si>
  <si>
    <t>SHARON PICHE</t>
  </si>
  <si>
    <t>35X3H1X41</t>
  </si>
  <si>
    <t>9FC3YJ5WV16</t>
  </si>
  <si>
    <t>KATHLEEN PEERA</t>
  </si>
  <si>
    <t>19645587</t>
  </si>
  <si>
    <t>STACEY PORTUGAL</t>
  </si>
  <si>
    <t>36A5F5R75</t>
  </si>
  <si>
    <t>7RY3NX5QV94</t>
  </si>
  <si>
    <t>NANCY BLAIR</t>
  </si>
  <si>
    <t>083</t>
  </si>
  <si>
    <t>004</t>
  </si>
  <si>
    <t>36F8L5X89</t>
  </si>
  <si>
    <t>7V19TV7KG55</t>
  </si>
  <si>
    <t>RAY STOVALL JR</t>
  </si>
  <si>
    <t>37A1R7X45</t>
  </si>
  <si>
    <t>2F23GP2HF05</t>
  </si>
  <si>
    <t>MASROOR KHAN</t>
  </si>
  <si>
    <t>44F5L7H64</t>
  </si>
  <si>
    <t>9K08C55MG54</t>
  </si>
  <si>
    <t>JEFFREY KING</t>
  </si>
  <si>
    <t>107</t>
  </si>
  <si>
    <t>19106640</t>
  </si>
  <si>
    <t>SCOTT FINE</t>
  </si>
  <si>
    <t>8TP1CC6YR93</t>
  </si>
  <si>
    <t>PATRICK COLLINS</t>
  </si>
  <si>
    <t>48L8X7R44</t>
  </si>
  <si>
    <t>2DK8DF9VU52</t>
  </si>
  <si>
    <t>MARTHA BURT</t>
  </si>
  <si>
    <t>H0354</t>
  </si>
  <si>
    <t>028</t>
  </si>
  <si>
    <t>68X8X9H74</t>
  </si>
  <si>
    <t>4HA8K49HY28</t>
  </si>
  <si>
    <t>MARIA GARIBAY</t>
  </si>
  <si>
    <t>75U2X9F11</t>
  </si>
  <si>
    <t>4MH9JM5HJ42</t>
  </si>
  <si>
    <t>ROBIN HINDES</t>
  </si>
  <si>
    <t>77U7H3F88</t>
  </si>
  <si>
    <t>2YK4PG2TY76</t>
  </si>
  <si>
    <t>PHYLLIS OSTER</t>
  </si>
  <si>
    <t>003</t>
  </si>
  <si>
    <t>19586992</t>
  </si>
  <si>
    <t>BARRY SCHUMANN</t>
  </si>
  <si>
    <t>36A3X2H39</t>
  </si>
  <si>
    <t>4W86K53GJ44</t>
  </si>
  <si>
    <t>CYNTHIA MCGOWAN</t>
  </si>
  <si>
    <t>8G64CF2DK73</t>
  </si>
  <si>
    <t>Darlene Couch</t>
  </si>
  <si>
    <t>18710070N</t>
  </si>
  <si>
    <t>Cigna 2026 CT, PA, DC *</t>
  </si>
  <si>
    <t>Cigna MAPD 2026*</t>
  </si>
  <si>
    <t>Cigna MAPD Ovr</t>
  </si>
  <si>
    <t>[%/$=391][prorate=1/12]</t>
  </si>
  <si>
    <t>[%/$=347][prorate=1/12]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</si>
</sst>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C8" sqref="C8:C11"/>
    </sheetView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5</v>
      </c>
      <c r="C8" s="2">
        <v>-162.32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43</v>
      </c>
      <c r="C11" s="2">
        <v>1333.72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-266.67</v>
      </c>
    </row>
    <row r="17" spans="1:3" x14ac:dyDescent="0.25">
      <c r="A17" t="s">
        <v>18</v>
      </c>
      <c r="B17">
        <v>48</v>
      </c>
      <c r="C17" s="2">
        <v>904.73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6"/>
  <sheetViews>
    <sheetView topLeftCell="A67" workbookViewId="0">
      <selection activeCell="D91" sqref="D91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2" bestFit="1" customWidth="1"/>
    <col min="10" max="10" width="30.7109375" bestFit="1" customWidth="1"/>
    <col min="11" max="11" width="20.425781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13</v>
      </c>
      <c r="B2" t="s">
        <v>44</v>
      </c>
      <c r="C2" t="s">
        <v>45</v>
      </c>
      <c r="D2" t="s">
        <v>46</v>
      </c>
      <c r="E2" t="s">
        <v>47</v>
      </c>
      <c r="F2" t="s">
        <v>4</v>
      </c>
      <c r="G2" s="3">
        <v>46054</v>
      </c>
      <c r="H2" s="2">
        <v>2.08</v>
      </c>
      <c r="I2" t="s">
        <v>48</v>
      </c>
      <c r="J2" t="s">
        <v>49</v>
      </c>
      <c r="K2" t="s">
        <v>50</v>
      </c>
      <c r="L2" s="3">
        <v>45785</v>
      </c>
      <c r="M2" s="3">
        <v>45870</v>
      </c>
      <c r="N2" t="s">
        <v>0</v>
      </c>
      <c r="O2">
        <v>2</v>
      </c>
      <c r="P2" t="s">
        <v>51</v>
      </c>
      <c r="Q2" t="s">
        <v>52</v>
      </c>
      <c r="R2" t="s">
        <v>53</v>
      </c>
      <c r="S2" t="s">
        <v>0</v>
      </c>
      <c r="T2" s="3">
        <v>45870</v>
      </c>
      <c r="U2" t="s">
        <v>54</v>
      </c>
      <c r="V2" t="s">
        <v>55</v>
      </c>
      <c r="W2" t="s">
        <v>56</v>
      </c>
      <c r="X2" t="s">
        <v>0</v>
      </c>
    </row>
    <row r="3" spans="1:24" x14ac:dyDescent="0.25">
      <c r="A3" t="s">
        <v>13</v>
      </c>
      <c r="B3" t="s">
        <v>57</v>
      </c>
      <c r="C3" t="s">
        <v>45</v>
      </c>
      <c r="D3" t="s">
        <v>46</v>
      </c>
      <c r="E3" t="s">
        <v>45</v>
      </c>
      <c r="F3" t="s">
        <v>46</v>
      </c>
      <c r="G3" s="3">
        <v>46054</v>
      </c>
      <c r="H3" s="2">
        <v>32.58</v>
      </c>
      <c r="I3" t="s">
        <v>48</v>
      </c>
      <c r="J3" t="s">
        <v>49</v>
      </c>
      <c r="K3" t="s">
        <v>50</v>
      </c>
      <c r="L3" s="3">
        <v>45785</v>
      </c>
      <c r="M3" s="3">
        <v>45870</v>
      </c>
      <c r="N3" t="s">
        <v>0</v>
      </c>
      <c r="O3">
        <v>2</v>
      </c>
      <c r="P3" t="s">
        <v>51</v>
      </c>
      <c r="Q3" t="s">
        <v>52</v>
      </c>
      <c r="R3" t="s">
        <v>53</v>
      </c>
      <c r="S3" t="s">
        <v>0</v>
      </c>
      <c r="T3" s="3">
        <v>45870</v>
      </c>
      <c r="U3" t="s">
        <v>54</v>
      </c>
      <c r="V3" t="s">
        <v>55</v>
      </c>
      <c r="W3" t="s">
        <v>56</v>
      </c>
      <c r="X3" t="s">
        <v>0</v>
      </c>
    </row>
    <row r="4" spans="1:24" x14ac:dyDescent="0.25">
      <c r="A4" t="s">
        <v>13</v>
      </c>
      <c r="B4" t="s">
        <v>57</v>
      </c>
      <c r="C4" t="s">
        <v>58</v>
      </c>
      <c r="D4" t="s">
        <v>59</v>
      </c>
      <c r="E4" t="s">
        <v>58</v>
      </c>
      <c r="F4" t="s">
        <v>59</v>
      </c>
      <c r="G4" s="3">
        <v>46054</v>
      </c>
      <c r="H4" s="2">
        <v>28.92</v>
      </c>
      <c r="I4">
        <v>35795594</v>
      </c>
      <c r="J4" t="s">
        <v>60</v>
      </c>
      <c r="K4" t="s">
        <v>61</v>
      </c>
      <c r="L4" s="3">
        <v>45565</v>
      </c>
      <c r="M4" s="3">
        <v>45566</v>
      </c>
      <c r="N4" t="s">
        <v>0</v>
      </c>
      <c r="O4">
        <v>11</v>
      </c>
      <c r="P4" t="s">
        <v>53</v>
      </c>
      <c r="Q4" t="s">
        <v>62</v>
      </c>
      <c r="R4" t="s">
        <v>53</v>
      </c>
      <c r="S4" t="s">
        <v>0</v>
      </c>
      <c r="T4" s="3">
        <v>45566</v>
      </c>
      <c r="U4" t="s">
        <v>63</v>
      </c>
      <c r="V4" t="s">
        <v>64</v>
      </c>
      <c r="W4" t="s">
        <v>65</v>
      </c>
      <c r="X4" t="s">
        <v>0</v>
      </c>
    </row>
    <row r="5" spans="1:24" x14ac:dyDescent="0.25">
      <c r="A5" t="s">
        <v>13</v>
      </c>
      <c r="B5" t="s">
        <v>44</v>
      </c>
      <c r="C5" t="s">
        <v>58</v>
      </c>
      <c r="D5" t="s">
        <v>59</v>
      </c>
      <c r="E5" t="s">
        <v>47</v>
      </c>
      <c r="F5" t="s">
        <v>4</v>
      </c>
      <c r="G5" s="3">
        <v>46054</v>
      </c>
      <c r="H5" s="2">
        <v>2.08</v>
      </c>
      <c r="I5">
        <v>35795594</v>
      </c>
      <c r="J5" t="s">
        <v>60</v>
      </c>
      <c r="K5" t="s">
        <v>61</v>
      </c>
      <c r="L5" s="3">
        <v>45565</v>
      </c>
      <c r="M5" s="3">
        <v>45566</v>
      </c>
      <c r="N5" t="s">
        <v>0</v>
      </c>
      <c r="O5">
        <v>11</v>
      </c>
      <c r="P5" t="s">
        <v>53</v>
      </c>
      <c r="Q5" t="s">
        <v>62</v>
      </c>
      <c r="R5" t="s">
        <v>53</v>
      </c>
      <c r="S5" t="s">
        <v>0</v>
      </c>
      <c r="T5" s="3">
        <v>45566</v>
      </c>
      <c r="U5" t="s">
        <v>63</v>
      </c>
      <c r="V5" t="s">
        <v>64</v>
      </c>
      <c r="W5" t="s">
        <v>65</v>
      </c>
      <c r="X5" t="s">
        <v>0</v>
      </c>
    </row>
    <row r="6" spans="1:24" x14ac:dyDescent="0.25">
      <c r="A6" t="s">
        <v>13</v>
      </c>
      <c r="B6" t="s">
        <v>57</v>
      </c>
      <c r="C6" t="s">
        <v>66</v>
      </c>
      <c r="D6" t="s">
        <v>67</v>
      </c>
      <c r="E6" t="s">
        <v>66</v>
      </c>
      <c r="F6" t="s">
        <v>67</v>
      </c>
      <c r="G6" s="3">
        <v>46054</v>
      </c>
      <c r="H6" s="2">
        <v>28.92</v>
      </c>
      <c r="I6">
        <v>36411842</v>
      </c>
      <c r="J6" t="s">
        <v>68</v>
      </c>
      <c r="K6" t="s">
        <v>69</v>
      </c>
      <c r="L6" s="3">
        <v>45615</v>
      </c>
      <c r="M6" s="3">
        <v>45658</v>
      </c>
      <c r="N6" t="s">
        <v>0</v>
      </c>
      <c r="O6">
        <v>9</v>
      </c>
      <c r="P6" t="s">
        <v>53</v>
      </c>
      <c r="Q6" t="s">
        <v>70</v>
      </c>
      <c r="R6" t="s">
        <v>53</v>
      </c>
      <c r="S6" t="s">
        <v>0</v>
      </c>
      <c r="T6" s="3">
        <v>45658</v>
      </c>
      <c r="U6" t="s">
        <v>63</v>
      </c>
      <c r="V6" t="s">
        <v>71</v>
      </c>
      <c r="W6" t="s">
        <v>56</v>
      </c>
      <c r="X6" t="s">
        <v>0</v>
      </c>
    </row>
    <row r="7" spans="1:24" x14ac:dyDescent="0.25">
      <c r="A7" t="s">
        <v>13</v>
      </c>
      <c r="B7" t="s">
        <v>44</v>
      </c>
      <c r="C7" t="s">
        <v>66</v>
      </c>
      <c r="D7" t="s">
        <v>67</v>
      </c>
      <c r="E7" t="s">
        <v>47</v>
      </c>
      <c r="F7" t="s">
        <v>4</v>
      </c>
      <c r="G7" s="3">
        <v>46054</v>
      </c>
      <c r="H7" s="2">
        <v>2.08</v>
      </c>
      <c r="I7">
        <v>36411842</v>
      </c>
      <c r="J7" t="s">
        <v>68</v>
      </c>
      <c r="K7" t="s">
        <v>69</v>
      </c>
      <c r="L7" s="3">
        <v>45615</v>
      </c>
      <c r="M7" s="3">
        <v>45658</v>
      </c>
      <c r="N7" t="s">
        <v>0</v>
      </c>
      <c r="O7">
        <v>9</v>
      </c>
      <c r="P7" t="s">
        <v>53</v>
      </c>
      <c r="Q7" t="s">
        <v>70</v>
      </c>
      <c r="R7" t="s">
        <v>53</v>
      </c>
      <c r="S7" t="s">
        <v>0</v>
      </c>
      <c r="T7" s="3">
        <v>45658</v>
      </c>
      <c r="U7" t="s">
        <v>63</v>
      </c>
      <c r="V7" t="s">
        <v>71</v>
      </c>
      <c r="W7" t="s">
        <v>56</v>
      </c>
      <c r="X7" t="s">
        <v>0</v>
      </c>
    </row>
    <row r="8" spans="1:24" x14ac:dyDescent="0.25">
      <c r="A8" t="s">
        <v>13</v>
      </c>
      <c r="B8" t="s">
        <v>57</v>
      </c>
      <c r="C8" t="s">
        <v>72</v>
      </c>
      <c r="D8" t="s">
        <v>73</v>
      </c>
      <c r="E8" t="s">
        <v>72</v>
      </c>
      <c r="F8" t="s">
        <v>73</v>
      </c>
      <c r="G8" s="3">
        <v>46054</v>
      </c>
      <c r="H8" s="2">
        <v>32.58</v>
      </c>
      <c r="I8">
        <v>36572120</v>
      </c>
      <c r="J8" t="s">
        <v>74</v>
      </c>
      <c r="K8" t="s">
        <v>75</v>
      </c>
      <c r="L8" s="3">
        <v>45621</v>
      </c>
      <c r="M8" s="3">
        <v>45658</v>
      </c>
      <c r="N8" t="s">
        <v>0</v>
      </c>
      <c r="O8">
        <v>9</v>
      </c>
      <c r="P8" t="s">
        <v>53</v>
      </c>
      <c r="Q8" t="s">
        <v>52</v>
      </c>
      <c r="R8" t="s">
        <v>53</v>
      </c>
      <c r="S8" t="s">
        <v>0</v>
      </c>
      <c r="T8" s="3">
        <v>45658</v>
      </c>
      <c r="U8" t="s">
        <v>76</v>
      </c>
      <c r="V8" t="s">
        <v>77</v>
      </c>
      <c r="W8" t="s">
        <v>56</v>
      </c>
      <c r="X8" t="s">
        <v>0</v>
      </c>
    </row>
    <row r="9" spans="1:24" x14ac:dyDescent="0.25">
      <c r="A9" t="s">
        <v>13</v>
      </c>
      <c r="B9" t="s">
        <v>44</v>
      </c>
      <c r="C9" t="s">
        <v>72</v>
      </c>
      <c r="D9" t="s">
        <v>73</v>
      </c>
      <c r="E9" t="s">
        <v>47</v>
      </c>
      <c r="F9" t="s">
        <v>4</v>
      </c>
      <c r="G9" s="3">
        <v>46054</v>
      </c>
      <c r="H9" s="2">
        <v>2.08</v>
      </c>
      <c r="I9">
        <v>36572120</v>
      </c>
      <c r="J9" t="s">
        <v>74</v>
      </c>
      <c r="K9" t="s">
        <v>75</v>
      </c>
      <c r="L9" s="3">
        <v>45621</v>
      </c>
      <c r="M9" s="3">
        <v>45658</v>
      </c>
      <c r="N9" t="s">
        <v>0</v>
      </c>
      <c r="O9">
        <v>9</v>
      </c>
      <c r="P9" t="s">
        <v>53</v>
      </c>
      <c r="Q9" t="s">
        <v>52</v>
      </c>
      <c r="R9" t="s">
        <v>53</v>
      </c>
      <c r="S9" t="s">
        <v>0</v>
      </c>
      <c r="T9" s="3">
        <v>45658</v>
      </c>
      <c r="U9" t="s">
        <v>76</v>
      </c>
      <c r="V9" t="s">
        <v>77</v>
      </c>
      <c r="W9" t="s">
        <v>56</v>
      </c>
      <c r="X9" t="s">
        <v>0</v>
      </c>
    </row>
    <row r="10" spans="1:24" x14ac:dyDescent="0.25">
      <c r="A10" t="s">
        <v>13</v>
      </c>
      <c r="B10" t="s">
        <v>44</v>
      </c>
      <c r="C10" t="s">
        <v>45</v>
      </c>
      <c r="D10" t="s">
        <v>46</v>
      </c>
      <c r="E10" t="s">
        <v>47</v>
      </c>
      <c r="F10" t="s">
        <v>4</v>
      </c>
      <c r="G10" s="3">
        <v>46054</v>
      </c>
      <c r="H10" s="2">
        <v>2.08</v>
      </c>
      <c r="I10">
        <v>37083379</v>
      </c>
      <c r="J10" t="s">
        <v>78</v>
      </c>
      <c r="K10" t="s">
        <v>79</v>
      </c>
      <c r="L10" s="3">
        <v>45583</v>
      </c>
      <c r="M10" s="3">
        <v>45658</v>
      </c>
      <c r="N10" t="s">
        <v>0</v>
      </c>
      <c r="O10">
        <v>4</v>
      </c>
      <c r="P10" t="s">
        <v>53</v>
      </c>
      <c r="Q10" t="s">
        <v>52</v>
      </c>
      <c r="R10" t="s">
        <v>53</v>
      </c>
      <c r="S10" t="s">
        <v>0</v>
      </c>
      <c r="T10" s="3">
        <v>45658</v>
      </c>
      <c r="U10" t="s">
        <v>54</v>
      </c>
      <c r="V10" t="s">
        <v>55</v>
      </c>
      <c r="W10" t="s">
        <v>56</v>
      </c>
      <c r="X10" t="s">
        <v>0</v>
      </c>
    </row>
    <row r="11" spans="1:24" x14ac:dyDescent="0.25">
      <c r="A11" t="s">
        <v>13</v>
      </c>
      <c r="B11" t="s">
        <v>57</v>
      </c>
      <c r="C11" t="s">
        <v>45</v>
      </c>
      <c r="D11" t="s">
        <v>46</v>
      </c>
      <c r="E11" t="s">
        <v>45</v>
      </c>
      <c r="F11" t="s">
        <v>46</v>
      </c>
      <c r="G11" s="3">
        <v>46054</v>
      </c>
      <c r="H11" s="2">
        <v>32.58</v>
      </c>
      <c r="I11">
        <v>37083379</v>
      </c>
      <c r="J11" t="s">
        <v>78</v>
      </c>
      <c r="K11" t="s">
        <v>79</v>
      </c>
      <c r="L11" s="3">
        <v>45583</v>
      </c>
      <c r="M11" s="3">
        <v>45658</v>
      </c>
      <c r="N11" t="s">
        <v>0</v>
      </c>
      <c r="O11">
        <v>4</v>
      </c>
      <c r="P11" t="s">
        <v>53</v>
      </c>
      <c r="Q11" t="s">
        <v>52</v>
      </c>
      <c r="R11" t="s">
        <v>53</v>
      </c>
      <c r="S11" t="s">
        <v>0</v>
      </c>
      <c r="T11" s="3">
        <v>45658</v>
      </c>
      <c r="U11" t="s">
        <v>54</v>
      </c>
      <c r="V11" t="s">
        <v>55</v>
      </c>
      <c r="W11" t="s">
        <v>56</v>
      </c>
      <c r="X11" t="s">
        <v>0</v>
      </c>
    </row>
    <row r="12" spans="1:24" x14ac:dyDescent="0.25">
      <c r="A12" t="s">
        <v>13</v>
      </c>
      <c r="B12" t="s">
        <v>44</v>
      </c>
      <c r="C12" t="s">
        <v>45</v>
      </c>
      <c r="D12" t="s">
        <v>46</v>
      </c>
      <c r="E12" t="s">
        <v>47</v>
      </c>
      <c r="F12" t="s">
        <v>4</v>
      </c>
      <c r="G12" s="3">
        <v>46054</v>
      </c>
      <c r="H12" s="2">
        <v>2.08</v>
      </c>
      <c r="I12">
        <v>37084890</v>
      </c>
      <c r="J12" t="s">
        <v>80</v>
      </c>
      <c r="K12" t="s">
        <v>81</v>
      </c>
      <c r="L12" s="3">
        <v>45583</v>
      </c>
      <c r="M12" s="3">
        <v>45658</v>
      </c>
      <c r="N12" t="s">
        <v>0</v>
      </c>
      <c r="O12">
        <v>3</v>
      </c>
      <c r="P12" t="s">
        <v>53</v>
      </c>
      <c r="Q12" t="s">
        <v>52</v>
      </c>
      <c r="R12" t="s">
        <v>53</v>
      </c>
      <c r="S12" t="s">
        <v>0</v>
      </c>
      <c r="T12" s="3">
        <v>45658</v>
      </c>
      <c r="U12" t="s">
        <v>54</v>
      </c>
      <c r="V12" t="s">
        <v>55</v>
      </c>
      <c r="W12" t="s">
        <v>56</v>
      </c>
      <c r="X12" t="s">
        <v>0</v>
      </c>
    </row>
    <row r="13" spans="1:24" x14ac:dyDescent="0.25">
      <c r="A13" t="s">
        <v>13</v>
      </c>
      <c r="B13" t="s">
        <v>57</v>
      </c>
      <c r="C13" t="s">
        <v>45</v>
      </c>
      <c r="D13" t="s">
        <v>46</v>
      </c>
      <c r="E13" t="s">
        <v>45</v>
      </c>
      <c r="F13" t="s">
        <v>46</v>
      </c>
      <c r="G13" s="3">
        <v>46054</v>
      </c>
      <c r="H13" s="2">
        <v>32.58</v>
      </c>
      <c r="I13">
        <v>37084890</v>
      </c>
      <c r="J13" t="s">
        <v>80</v>
      </c>
      <c r="K13" t="s">
        <v>81</v>
      </c>
      <c r="L13" s="3">
        <v>45583</v>
      </c>
      <c r="M13" s="3">
        <v>45658</v>
      </c>
      <c r="N13" t="s">
        <v>0</v>
      </c>
      <c r="O13">
        <v>3</v>
      </c>
      <c r="P13" t="s">
        <v>53</v>
      </c>
      <c r="Q13" t="s">
        <v>52</v>
      </c>
      <c r="R13" t="s">
        <v>53</v>
      </c>
      <c r="S13" t="s">
        <v>0</v>
      </c>
      <c r="T13" s="3">
        <v>45658</v>
      </c>
      <c r="U13" t="s">
        <v>54</v>
      </c>
      <c r="V13" t="s">
        <v>55</v>
      </c>
      <c r="W13" t="s">
        <v>56</v>
      </c>
      <c r="X13" t="s">
        <v>0</v>
      </c>
    </row>
    <row r="14" spans="1:24" x14ac:dyDescent="0.25">
      <c r="A14" t="s">
        <v>13</v>
      </c>
      <c r="B14" t="s">
        <v>57</v>
      </c>
      <c r="C14" t="s">
        <v>82</v>
      </c>
      <c r="D14" t="s">
        <v>83</v>
      </c>
      <c r="E14" t="s">
        <v>82</v>
      </c>
      <c r="F14" t="s">
        <v>83</v>
      </c>
      <c r="G14" s="3">
        <v>46054</v>
      </c>
      <c r="H14" s="2">
        <v>28.92</v>
      </c>
      <c r="I14">
        <v>37085598</v>
      </c>
      <c r="J14" t="s">
        <v>84</v>
      </c>
      <c r="K14" t="s">
        <v>85</v>
      </c>
      <c r="L14" s="3">
        <v>45583</v>
      </c>
      <c r="M14" s="3">
        <v>45658</v>
      </c>
      <c r="N14" t="s">
        <v>0</v>
      </c>
      <c r="O14">
        <v>6</v>
      </c>
      <c r="P14" t="s">
        <v>53</v>
      </c>
      <c r="Q14" t="s">
        <v>70</v>
      </c>
      <c r="R14" t="s">
        <v>53</v>
      </c>
      <c r="S14" t="s">
        <v>0</v>
      </c>
      <c r="T14" s="3">
        <v>45658</v>
      </c>
      <c r="U14" t="s">
        <v>63</v>
      </c>
      <c r="V14" t="s">
        <v>71</v>
      </c>
      <c r="W14" t="s">
        <v>56</v>
      </c>
      <c r="X14" t="s">
        <v>0</v>
      </c>
    </row>
    <row r="15" spans="1:24" x14ac:dyDescent="0.25">
      <c r="A15" t="s">
        <v>13</v>
      </c>
      <c r="B15" t="s">
        <v>44</v>
      </c>
      <c r="C15" t="s">
        <v>82</v>
      </c>
      <c r="D15" t="s">
        <v>83</v>
      </c>
      <c r="E15" t="s">
        <v>47</v>
      </c>
      <c r="F15" t="s">
        <v>4</v>
      </c>
      <c r="G15" s="3">
        <v>46054</v>
      </c>
      <c r="H15" s="2">
        <v>2.08</v>
      </c>
      <c r="I15">
        <v>37085598</v>
      </c>
      <c r="J15" t="s">
        <v>84</v>
      </c>
      <c r="K15" t="s">
        <v>85</v>
      </c>
      <c r="L15" s="3">
        <v>45583</v>
      </c>
      <c r="M15" s="3">
        <v>45658</v>
      </c>
      <c r="N15" t="s">
        <v>0</v>
      </c>
      <c r="O15">
        <v>6</v>
      </c>
      <c r="P15" t="s">
        <v>53</v>
      </c>
      <c r="Q15" t="s">
        <v>70</v>
      </c>
      <c r="R15" t="s">
        <v>53</v>
      </c>
      <c r="S15" t="s">
        <v>0</v>
      </c>
      <c r="T15" s="3">
        <v>45658</v>
      </c>
      <c r="U15" t="s">
        <v>63</v>
      </c>
      <c r="V15" t="s">
        <v>71</v>
      </c>
      <c r="W15" t="s">
        <v>56</v>
      </c>
      <c r="X15" t="s">
        <v>0</v>
      </c>
    </row>
    <row r="16" spans="1:24" x14ac:dyDescent="0.25">
      <c r="A16" t="s">
        <v>13</v>
      </c>
      <c r="B16" t="s">
        <v>44</v>
      </c>
      <c r="C16" t="s">
        <v>86</v>
      </c>
      <c r="D16" t="s">
        <v>87</v>
      </c>
      <c r="E16" t="s">
        <v>47</v>
      </c>
      <c r="F16" t="s">
        <v>4</v>
      </c>
      <c r="G16" s="3">
        <v>46054</v>
      </c>
      <c r="H16" s="2">
        <v>2.08</v>
      </c>
      <c r="I16">
        <v>37088787</v>
      </c>
      <c r="J16" t="s">
        <v>88</v>
      </c>
      <c r="K16" t="s">
        <v>89</v>
      </c>
      <c r="L16" s="3">
        <v>45583</v>
      </c>
      <c r="M16" s="3">
        <v>45658</v>
      </c>
      <c r="N16" t="s">
        <v>0</v>
      </c>
      <c r="O16">
        <v>3</v>
      </c>
      <c r="P16" t="s">
        <v>53</v>
      </c>
      <c r="Q16" t="s">
        <v>70</v>
      </c>
      <c r="R16" t="s">
        <v>53</v>
      </c>
      <c r="S16" t="s">
        <v>0</v>
      </c>
      <c r="T16" s="3">
        <v>45658</v>
      </c>
      <c r="U16" t="s">
        <v>76</v>
      </c>
      <c r="V16" t="s">
        <v>90</v>
      </c>
      <c r="W16" t="s">
        <v>56</v>
      </c>
      <c r="X16" t="s">
        <v>0</v>
      </c>
    </row>
    <row r="17" spans="1:24" x14ac:dyDescent="0.25">
      <c r="A17" t="s">
        <v>13</v>
      </c>
      <c r="B17" t="s">
        <v>57</v>
      </c>
      <c r="C17" t="s">
        <v>86</v>
      </c>
      <c r="D17" t="s">
        <v>87</v>
      </c>
      <c r="E17" t="s">
        <v>86</v>
      </c>
      <c r="F17" t="s">
        <v>87</v>
      </c>
      <c r="G17" s="3">
        <v>46054</v>
      </c>
      <c r="H17" s="2">
        <v>28.92</v>
      </c>
      <c r="I17">
        <v>37088787</v>
      </c>
      <c r="J17" t="s">
        <v>88</v>
      </c>
      <c r="K17" t="s">
        <v>89</v>
      </c>
      <c r="L17" s="3">
        <v>45583</v>
      </c>
      <c r="M17" s="3">
        <v>45658</v>
      </c>
      <c r="N17" t="s">
        <v>0</v>
      </c>
      <c r="O17">
        <v>3</v>
      </c>
      <c r="P17" t="s">
        <v>53</v>
      </c>
      <c r="Q17" t="s">
        <v>70</v>
      </c>
      <c r="R17" t="s">
        <v>53</v>
      </c>
      <c r="S17" t="s">
        <v>0</v>
      </c>
      <c r="T17" s="3">
        <v>45658</v>
      </c>
      <c r="U17" t="s">
        <v>76</v>
      </c>
      <c r="V17" t="s">
        <v>90</v>
      </c>
      <c r="W17" t="s">
        <v>56</v>
      </c>
      <c r="X17" t="s">
        <v>0</v>
      </c>
    </row>
    <row r="18" spans="1:24" x14ac:dyDescent="0.25">
      <c r="A18" t="s">
        <v>13</v>
      </c>
      <c r="B18" t="s">
        <v>44</v>
      </c>
      <c r="C18" t="s">
        <v>45</v>
      </c>
      <c r="D18" t="s">
        <v>46</v>
      </c>
      <c r="E18" t="s">
        <v>47</v>
      </c>
      <c r="F18" t="s">
        <v>4</v>
      </c>
      <c r="G18" s="3">
        <v>46054</v>
      </c>
      <c r="H18" s="2">
        <v>2.08</v>
      </c>
      <c r="I18">
        <v>37096700</v>
      </c>
      <c r="J18" t="s">
        <v>91</v>
      </c>
      <c r="K18" t="s">
        <v>92</v>
      </c>
      <c r="L18" s="3">
        <v>45587</v>
      </c>
      <c r="M18" s="3">
        <v>45658</v>
      </c>
      <c r="N18" t="s">
        <v>0</v>
      </c>
      <c r="O18">
        <v>5</v>
      </c>
      <c r="P18" t="s">
        <v>53</v>
      </c>
      <c r="Q18" t="s">
        <v>52</v>
      </c>
      <c r="R18" t="s">
        <v>53</v>
      </c>
      <c r="S18" t="s">
        <v>0</v>
      </c>
      <c r="T18" s="3">
        <v>45658</v>
      </c>
      <c r="U18" t="s">
        <v>54</v>
      </c>
      <c r="V18" t="s">
        <v>93</v>
      </c>
      <c r="W18" t="s">
        <v>56</v>
      </c>
      <c r="X18" t="s">
        <v>0</v>
      </c>
    </row>
    <row r="19" spans="1:24" x14ac:dyDescent="0.25">
      <c r="A19" t="s">
        <v>13</v>
      </c>
      <c r="B19" t="s">
        <v>57</v>
      </c>
      <c r="C19" t="s">
        <v>45</v>
      </c>
      <c r="D19" t="s">
        <v>46</v>
      </c>
      <c r="E19" t="s">
        <v>45</v>
      </c>
      <c r="F19" t="s">
        <v>46</v>
      </c>
      <c r="G19" s="3">
        <v>46054</v>
      </c>
      <c r="H19" s="2">
        <v>32.58</v>
      </c>
      <c r="I19">
        <v>37096700</v>
      </c>
      <c r="J19" t="s">
        <v>91</v>
      </c>
      <c r="K19" t="s">
        <v>92</v>
      </c>
      <c r="L19" s="3">
        <v>45587</v>
      </c>
      <c r="M19" s="3">
        <v>45658</v>
      </c>
      <c r="N19" t="s">
        <v>0</v>
      </c>
      <c r="O19">
        <v>5</v>
      </c>
      <c r="P19" t="s">
        <v>53</v>
      </c>
      <c r="Q19" t="s">
        <v>52</v>
      </c>
      <c r="R19" t="s">
        <v>53</v>
      </c>
      <c r="S19" t="s">
        <v>0</v>
      </c>
      <c r="T19" s="3">
        <v>45658</v>
      </c>
      <c r="U19" t="s">
        <v>54</v>
      </c>
      <c r="V19" t="s">
        <v>93</v>
      </c>
      <c r="W19" t="s">
        <v>56</v>
      </c>
      <c r="X19" t="s">
        <v>0</v>
      </c>
    </row>
    <row r="20" spans="1:24" x14ac:dyDescent="0.25">
      <c r="A20" t="s">
        <v>13</v>
      </c>
      <c r="B20" t="s">
        <v>44</v>
      </c>
      <c r="C20" t="s">
        <v>45</v>
      </c>
      <c r="D20" t="s">
        <v>46</v>
      </c>
      <c r="E20" t="s">
        <v>47</v>
      </c>
      <c r="F20" t="s">
        <v>4</v>
      </c>
      <c r="G20" s="3">
        <v>46054</v>
      </c>
      <c r="H20" s="2">
        <v>2.08</v>
      </c>
      <c r="I20">
        <v>37096744</v>
      </c>
      <c r="J20" t="s">
        <v>94</v>
      </c>
      <c r="K20" t="s">
        <v>95</v>
      </c>
      <c r="L20" s="3">
        <v>45587</v>
      </c>
      <c r="M20" s="3">
        <v>45658</v>
      </c>
      <c r="N20" t="s">
        <v>0</v>
      </c>
      <c r="O20">
        <v>3</v>
      </c>
      <c r="P20" t="s">
        <v>53</v>
      </c>
      <c r="Q20" t="s">
        <v>52</v>
      </c>
      <c r="R20" t="s">
        <v>53</v>
      </c>
      <c r="S20" t="s">
        <v>0</v>
      </c>
      <c r="T20" s="3">
        <v>45658</v>
      </c>
      <c r="U20" t="s">
        <v>54</v>
      </c>
      <c r="V20" t="s">
        <v>93</v>
      </c>
      <c r="W20" t="s">
        <v>56</v>
      </c>
      <c r="X20" t="s">
        <v>0</v>
      </c>
    </row>
    <row r="21" spans="1:24" x14ac:dyDescent="0.25">
      <c r="A21" t="s">
        <v>13</v>
      </c>
      <c r="B21" t="s">
        <v>57</v>
      </c>
      <c r="C21" t="s">
        <v>45</v>
      </c>
      <c r="D21" t="s">
        <v>46</v>
      </c>
      <c r="E21" t="s">
        <v>45</v>
      </c>
      <c r="F21" t="s">
        <v>46</v>
      </c>
      <c r="G21" s="3">
        <v>46054</v>
      </c>
      <c r="H21" s="2">
        <v>32.58</v>
      </c>
      <c r="I21">
        <v>37096744</v>
      </c>
      <c r="J21" t="s">
        <v>94</v>
      </c>
      <c r="K21" t="s">
        <v>95</v>
      </c>
      <c r="L21" s="3">
        <v>45587</v>
      </c>
      <c r="M21" s="3">
        <v>45658</v>
      </c>
      <c r="N21" t="s">
        <v>0</v>
      </c>
      <c r="O21">
        <v>3</v>
      </c>
      <c r="P21" t="s">
        <v>53</v>
      </c>
      <c r="Q21" t="s">
        <v>52</v>
      </c>
      <c r="R21" t="s">
        <v>53</v>
      </c>
      <c r="S21" t="s">
        <v>0</v>
      </c>
      <c r="T21" s="3">
        <v>45658</v>
      </c>
      <c r="U21" t="s">
        <v>54</v>
      </c>
      <c r="V21" t="s">
        <v>93</v>
      </c>
      <c r="W21" t="s">
        <v>56</v>
      </c>
      <c r="X21" t="s">
        <v>0</v>
      </c>
    </row>
    <row r="22" spans="1:24" x14ac:dyDescent="0.25">
      <c r="A22" t="s">
        <v>13</v>
      </c>
      <c r="B22" t="s">
        <v>57</v>
      </c>
      <c r="C22" t="s">
        <v>66</v>
      </c>
      <c r="D22" t="s">
        <v>67</v>
      </c>
      <c r="E22" t="s">
        <v>66</v>
      </c>
      <c r="F22" t="s">
        <v>67</v>
      </c>
      <c r="G22" s="3">
        <v>46054</v>
      </c>
      <c r="H22" s="2">
        <v>28.92</v>
      </c>
      <c r="I22">
        <v>37103758</v>
      </c>
      <c r="J22" t="s">
        <v>96</v>
      </c>
      <c r="K22" t="s">
        <v>97</v>
      </c>
      <c r="L22" s="3">
        <v>45589</v>
      </c>
      <c r="M22" s="3">
        <v>45658</v>
      </c>
      <c r="N22" t="s">
        <v>0</v>
      </c>
      <c r="O22">
        <v>2</v>
      </c>
      <c r="P22" t="s">
        <v>51</v>
      </c>
      <c r="Q22" t="s">
        <v>70</v>
      </c>
      <c r="R22" t="s">
        <v>53</v>
      </c>
      <c r="S22" t="s">
        <v>0</v>
      </c>
      <c r="T22" s="3">
        <v>45658</v>
      </c>
      <c r="U22" t="s">
        <v>76</v>
      </c>
      <c r="V22" t="s">
        <v>98</v>
      </c>
      <c r="W22" t="s">
        <v>56</v>
      </c>
      <c r="X22" t="s">
        <v>0</v>
      </c>
    </row>
    <row r="23" spans="1:24" x14ac:dyDescent="0.25">
      <c r="A23" t="s">
        <v>13</v>
      </c>
      <c r="B23" t="s">
        <v>44</v>
      </c>
      <c r="C23" t="s">
        <v>66</v>
      </c>
      <c r="D23" t="s">
        <v>67</v>
      </c>
      <c r="E23" t="s">
        <v>47</v>
      </c>
      <c r="F23" t="s">
        <v>4</v>
      </c>
      <c r="G23" s="3">
        <v>46054</v>
      </c>
      <c r="H23" s="2">
        <v>2.08</v>
      </c>
      <c r="I23">
        <v>37103758</v>
      </c>
      <c r="J23" t="s">
        <v>96</v>
      </c>
      <c r="K23" t="s">
        <v>97</v>
      </c>
      <c r="L23" s="3">
        <v>45589</v>
      </c>
      <c r="M23" s="3">
        <v>45658</v>
      </c>
      <c r="N23" t="s">
        <v>0</v>
      </c>
      <c r="O23">
        <v>2</v>
      </c>
      <c r="P23" t="s">
        <v>51</v>
      </c>
      <c r="Q23" t="s">
        <v>70</v>
      </c>
      <c r="R23" t="s">
        <v>53</v>
      </c>
      <c r="S23" t="s">
        <v>0</v>
      </c>
      <c r="T23" s="3">
        <v>45658</v>
      </c>
      <c r="U23" t="s">
        <v>76</v>
      </c>
      <c r="V23" t="s">
        <v>98</v>
      </c>
      <c r="W23" t="s">
        <v>56</v>
      </c>
      <c r="X23" t="s">
        <v>0</v>
      </c>
    </row>
    <row r="24" spans="1:24" x14ac:dyDescent="0.25">
      <c r="A24" t="s">
        <v>13</v>
      </c>
      <c r="B24" t="s">
        <v>44</v>
      </c>
      <c r="C24" t="s">
        <v>45</v>
      </c>
      <c r="D24" t="s">
        <v>46</v>
      </c>
      <c r="E24" t="s">
        <v>47</v>
      </c>
      <c r="F24" t="s">
        <v>4</v>
      </c>
      <c r="G24" s="3">
        <v>46054</v>
      </c>
      <c r="H24" s="2">
        <v>2.08</v>
      </c>
      <c r="I24">
        <v>37113514</v>
      </c>
      <c r="J24" t="s">
        <v>99</v>
      </c>
      <c r="K24" t="s">
        <v>100</v>
      </c>
      <c r="L24" s="3">
        <v>45594</v>
      </c>
      <c r="M24" s="3">
        <v>45658</v>
      </c>
      <c r="N24" t="s">
        <v>0</v>
      </c>
      <c r="O24">
        <v>3</v>
      </c>
      <c r="P24" t="s">
        <v>53</v>
      </c>
      <c r="Q24" t="s">
        <v>52</v>
      </c>
      <c r="R24" t="s">
        <v>53</v>
      </c>
      <c r="S24" t="s">
        <v>0</v>
      </c>
      <c r="T24" s="3">
        <v>45658</v>
      </c>
      <c r="U24" t="s">
        <v>76</v>
      </c>
      <c r="V24" t="s">
        <v>77</v>
      </c>
      <c r="W24" t="s">
        <v>56</v>
      </c>
      <c r="X24" t="s">
        <v>0</v>
      </c>
    </row>
    <row r="25" spans="1:24" x14ac:dyDescent="0.25">
      <c r="A25" t="s">
        <v>13</v>
      </c>
      <c r="B25" t="s">
        <v>57</v>
      </c>
      <c r="C25" t="s">
        <v>45</v>
      </c>
      <c r="D25" t="s">
        <v>46</v>
      </c>
      <c r="E25" t="s">
        <v>45</v>
      </c>
      <c r="F25" t="s">
        <v>46</v>
      </c>
      <c r="G25" s="3">
        <v>46054</v>
      </c>
      <c r="H25" s="2">
        <v>32.58</v>
      </c>
      <c r="I25">
        <v>37113514</v>
      </c>
      <c r="J25" t="s">
        <v>99</v>
      </c>
      <c r="K25" t="s">
        <v>100</v>
      </c>
      <c r="L25" s="3">
        <v>45594</v>
      </c>
      <c r="M25" s="3">
        <v>45658</v>
      </c>
      <c r="N25" t="s">
        <v>0</v>
      </c>
      <c r="O25">
        <v>3</v>
      </c>
      <c r="P25" t="s">
        <v>53</v>
      </c>
      <c r="Q25" t="s">
        <v>52</v>
      </c>
      <c r="R25" t="s">
        <v>53</v>
      </c>
      <c r="S25" t="s">
        <v>0</v>
      </c>
      <c r="T25" s="3">
        <v>45658</v>
      </c>
      <c r="U25" t="s">
        <v>76</v>
      </c>
      <c r="V25" t="s">
        <v>77</v>
      </c>
      <c r="W25" t="s">
        <v>56</v>
      </c>
      <c r="X25" t="s">
        <v>0</v>
      </c>
    </row>
    <row r="26" spans="1:24" x14ac:dyDescent="0.25">
      <c r="A26" t="s">
        <v>13</v>
      </c>
      <c r="B26" t="s">
        <v>44</v>
      </c>
      <c r="C26" t="s">
        <v>45</v>
      </c>
      <c r="D26" t="s">
        <v>46</v>
      </c>
      <c r="E26" t="s">
        <v>47</v>
      </c>
      <c r="F26" t="s">
        <v>4</v>
      </c>
      <c r="G26" s="3">
        <v>46054</v>
      </c>
      <c r="H26" s="2">
        <v>2.08</v>
      </c>
      <c r="I26">
        <v>37115398</v>
      </c>
      <c r="J26" t="s">
        <v>101</v>
      </c>
      <c r="K26" t="s">
        <v>102</v>
      </c>
      <c r="L26" s="3">
        <v>45594</v>
      </c>
      <c r="M26" s="3">
        <v>45658</v>
      </c>
      <c r="N26" t="s">
        <v>0</v>
      </c>
      <c r="O26">
        <v>3</v>
      </c>
      <c r="P26" t="s">
        <v>53</v>
      </c>
      <c r="Q26" t="s">
        <v>52</v>
      </c>
      <c r="R26" t="s">
        <v>53</v>
      </c>
      <c r="S26" t="s">
        <v>0</v>
      </c>
      <c r="T26" s="3">
        <v>45658</v>
      </c>
      <c r="U26" t="s">
        <v>76</v>
      </c>
      <c r="V26" t="s">
        <v>77</v>
      </c>
      <c r="W26" t="s">
        <v>56</v>
      </c>
      <c r="X26" t="s">
        <v>0</v>
      </c>
    </row>
    <row r="27" spans="1:24" x14ac:dyDescent="0.25">
      <c r="A27" t="s">
        <v>13</v>
      </c>
      <c r="B27" t="s">
        <v>57</v>
      </c>
      <c r="C27" t="s">
        <v>45</v>
      </c>
      <c r="D27" t="s">
        <v>46</v>
      </c>
      <c r="E27" t="s">
        <v>45</v>
      </c>
      <c r="F27" t="s">
        <v>46</v>
      </c>
      <c r="G27" s="3">
        <v>46054</v>
      </c>
      <c r="H27" s="2">
        <v>32.58</v>
      </c>
      <c r="I27">
        <v>37115398</v>
      </c>
      <c r="J27" t="s">
        <v>101</v>
      </c>
      <c r="K27" t="s">
        <v>102</v>
      </c>
      <c r="L27" s="3">
        <v>45594</v>
      </c>
      <c r="M27" s="3">
        <v>45658</v>
      </c>
      <c r="N27" t="s">
        <v>0</v>
      </c>
      <c r="O27">
        <v>3</v>
      </c>
      <c r="P27" t="s">
        <v>53</v>
      </c>
      <c r="Q27" t="s">
        <v>52</v>
      </c>
      <c r="R27" t="s">
        <v>53</v>
      </c>
      <c r="S27" t="s">
        <v>0</v>
      </c>
      <c r="T27" s="3">
        <v>45658</v>
      </c>
      <c r="U27" t="s">
        <v>76</v>
      </c>
      <c r="V27" t="s">
        <v>77</v>
      </c>
      <c r="W27" t="s">
        <v>56</v>
      </c>
      <c r="X27" t="s">
        <v>0</v>
      </c>
    </row>
    <row r="28" spans="1:24" x14ac:dyDescent="0.25">
      <c r="A28" t="s">
        <v>13</v>
      </c>
      <c r="B28" t="s">
        <v>57</v>
      </c>
      <c r="C28" t="s">
        <v>66</v>
      </c>
      <c r="D28" t="s">
        <v>67</v>
      </c>
      <c r="E28" t="s">
        <v>66</v>
      </c>
      <c r="F28" t="s">
        <v>67</v>
      </c>
      <c r="G28" s="3">
        <v>46054</v>
      </c>
      <c r="H28" s="2">
        <v>28.92</v>
      </c>
      <c r="I28">
        <v>37116482</v>
      </c>
      <c r="J28" t="s">
        <v>103</v>
      </c>
      <c r="K28" t="s">
        <v>104</v>
      </c>
      <c r="L28" s="3">
        <v>45594</v>
      </c>
      <c r="M28" s="3">
        <v>45658</v>
      </c>
      <c r="N28" t="s">
        <v>0</v>
      </c>
      <c r="O28">
        <v>5</v>
      </c>
      <c r="P28" t="s">
        <v>53</v>
      </c>
      <c r="Q28" t="s">
        <v>70</v>
      </c>
      <c r="R28" t="s">
        <v>53</v>
      </c>
      <c r="S28" t="s">
        <v>0</v>
      </c>
      <c r="T28" s="3">
        <v>45658</v>
      </c>
      <c r="U28" t="s">
        <v>63</v>
      </c>
      <c r="V28" t="s">
        <v>71</v>
      </c>
      <c r="W28" t="s">
        <v>56</v>
      </c>
      <c r="X28" t="s">
        <v>0</v>
      </c>
    </row>
    <row r="29" spans="1:24" x14ac:dyDescent="0.25">
      <c r="A29" t="s">
        <v>13</v>
      </c>
      <c r="B29" t="s">
        <v>44</v>
      </c>
      <c r="C29" t="s">
        <v>66</v>
      </c>
      <c r="D29" t="s">
        <v>67</v>
      </c>
      <c r="E29" t="s">
        <v>47</v>
      </c>
      <c r="F29" t="s">
        <v>4</v>
      </c>
      <c r="G29" s="3">
        <v>46054</v>
      </c>
      <c r="H29" s="2">
        <v>2.08</v>
      </c>
      <c r="I29">
        <v>37116482</v>
      </c>
      <c r="J29" t="s">
        <v>103</v>
      </c>
      <c r="K29" t="s">
        <v>104</v>
      </c>
      <c r="L29" s="3">
        <v>45594</v>
      </c>
      <c r="M29" s="3">
        <v>45658</v>
      </c>
      <c r="N29" t="s">
        <v>0</v>
      </c>
      <c r="O29">
        <v>5</v>
      </c>
      <c r="P29" t="s">
        <v>53</v>
      </c>
      <c r="Q29" t="s">
        <v>70</v>
      </c>
      <c r="R29" t="s">
        <v>53</v>
      </c>
      <c r="S29" t="s">
        <v>0</v>
      </c>
      <c r="T29" s="3">
        <v>45658</v>
      </c>
      <c r="U29" t="s">
        <v>63</v>
      </c>
      <c r="V29" t="s">
        <v>71</v>
      </c>
      <c r="W29" t="s">
        <v>56</v>
      </c>
      <c r="X29" t="s">
        <v>0</v>
      </c>
    </row>
    <row r="30" spans="1:24" x14ac:dyDescent="0.25">
      <c r="A30" t="s">
        <v>13</v>
      </c>
      <c r="B30" t="s">
        <v>57</v>
      </c>
      <c r="C30" t="s">
        <v>105</v>
      </c>
      <c r="D30" t="s">
        <v>106</v>
      </c>
      <c r="E30" t="s">
        <v>105</v>
      </c>
      <c r="F30" t="s">
        <v>106</v>
      </c>
      <c r="G30" s="3">
        <v>46054</v>
      </c>
      <c r="H30" s="2">
        <v>28.92</v>
      </c>
      <c r="I30">
        <v>37116847</v>
      </c>
      <c r="J30" t="s">
        <v>107</v>
      </c>
      <c r="K30" t="s">
        <v>108</v>
      </c>
      <c r="L30" s="3">
        <v>45595</v>
      </c>
      <c r="M30" s="3">
        <v>45658</v>
      </c>
      <c r="N30" t="s">
        <v>0</v>
      </c>
      <c r="O30">
        <v>3</v>
      </c>
      <c r="P30" t="s">
        <v>53</v>
      </c>
      <c r="Q30" t="s">
        <v>70</v>
      </c>
      <c r="R30" t="s">
        <v>53</v>
      </c>
      <c r="S30" t="s">
        <v>0</v>
      </c>
      <c r="T30" s="3">
        <v>45658</v>
      </c>
      <c r="U30" t="s">
        <v>76</v>
      </c>
      <c r="V30" t="s">
        <v>90</v>
      </c>
      <c r="W30" t="s">
        <v>56</v>
      </c>
      <c r="X30" t="s">
        <v>0</v>
      </c>
    </row>
    <row r="31" spans="1:24" x14ac:dyDescent="0.25">
      <c r="A31" t="s">
        <v>13</v>
      </c>
      <c r="B31" t="s">
        <v>44</v>
      </c>
      <c r="C31" t="s">
        <v>105</v>
      </c>
      <c r="D31" t="s">
        <v>106</v>
      </c>
      <c r="E31" t="s">
        <v>47</v>
      </c>
      <c r="F31" t="s">
        <v>4</v>
      </c>
      <c r="G31" s="3">
        <v>46054</v>
      </c>
      <c r="H31" s="2">
        <v>2.08</v>
      </c>
      <c r="I31">
        <v>37116847</v>
      </c>
      <c r="J31" t="s">
        <v>107</v>
      </c>
      <c r="K31" t="s">
        <v>108</v>
      </c>
      <c r="L31" s="3">
        <v>45595</v>
      </c>
      <c r="M31" s="3">
        <v>45658</v>
      </c>
      <c r="N31" t="s">
        <v>0</v>
      </c>
      <c r="O31">
        <v>3</v>
      </c>
      <c r="P31" t="s">
        <v>53</v>
      </c>
      <c r="Q31" t="s">
        <v>70</v>
      </c>
      <c r="R31" t="s">
        <v>53</v>
      </c>
      <c r="S31" t="s">
        <v>0</v>
      </c>
      <c r="T31" s="3">
        <v>45658</v>
      </c>
      <c r="U31" t="s">
        <v>76</v>
      </c>
      <c r="V31" t="s">
        <v>90</v>
      </c>
      <c r="W31" t="s">
        <v>56</v>
      </c>
      <c r="X31" t="s">
        <v>0</v>
      </c>
    </row>
    <row r="32" spans="1:24" x14ac:dyDescent="0.25">
      <c r="A32" t="s">
        <v>13</v>
      </c>
      <c r="B32" t="s">
        <v>44</v>
      </c>
      <c r="C32" t="s">
        <v>45</v>
      </c>
      <c r="D32" t="s">
        <v>46</v>
      </c>
      <c r="E32" t="s">
        <v>47</v>
      </c>
      <c r="F32" t="s">
        <v>4</v>
      </c>
      <c r="G32" s="3">
        <v>46054</v>
      </c>
      <c r="H32" s="2">
        <v>2.08</v>
      </c>
      <c r="I32">
        <v>37119416</v>
      </c>
      <c r="J32" t="s">
        <v>109</v>
      </c>
      <c r="K32" t="s">
        <v>110</v>
      </c>
      <c r="L32" s="3">
        <v>45595</v>
      </c>
      <c r="M32" s="3">
        <v>45597</v>
      </c>
      <c r="N32" t="s">
        <v>0</v>
      </c>
      <c r="O32">
        <v>3</v>
      </c>
      <c r="P32" t="s">
        <v>51</v>
      </c>
      <c r="Q32" t="s">
        <v>52</v>
      </c>
      <c r="R32" t="s">
        <v>53</v>
      </c>
      <c r="S32" t="s">
        <v>0</v>
      </c>
      <c r="T32" s="3">
        <v>45597</v>
      </c>
      <c r="U32" t="s">
        <v>76</v>
      </c>
      <c r="V32" t="s">
        <v>111</v>
      </c>
      <c r="W32" t="s">
        <v>56</v>
      </c>
      <c r="X32" t="s">
        <v>0</v>
      </c>
    </row>
    <row r="33" spans="1:24" x14ac:dyDescent="0.25">
      <c r="A33" t="s">
        <v>13</v>
      </c>
      <c r="B33" t="s">
        <v>57</v>
      </c>
      <c r="C33" t="s">
        <v>45</v>
      </c>
      <c r="D33" t="s">
        <v>46</v>
      </c>
      <c r="E33" t="s">
        <v>45</v>
      </c>
      <c r="F33" t="s">
        <v>46</v>
      </c>
      <c r="G33" s="3">
        <v>46054</v>
      </c>
      <c r="H33" s="2">
        <v>32.58</v>
      </c>
      <c r="I33">
        <v>37119416</v>
      </c>
      <c r="J33" t="s">
        <v>109</v>
      </c>
      <c r="K33" t="s">
        <v>110</v>
      </c>
      <c r="L33" s="3">
        <v>45595</v>
      </c>
      <c r="M33" s="3">
        <v>45597</v>
      </c>
      <c r="N33" t="s">
        <v>0</v>
      </c>
      <c r="O33">
        <v>3</v>
      </c>
      <c r="P33" t="s">
        <v>51</v>
      </c>
      <c r="Q33" t="s">
        <v>52</v>
      </c>
      <c r="R33" t="s">
        <v>53</v>
      </c>
      <c r="S33" t="s">
        <v>0</v>
      </c>
      <c r="T33" s="3">
        <v>45597</v>
      </c>
      <c r="U33" t="s">
        <v>76</v>
      </c>
      <c r="V33" t="s">
        <v>111</v>
      </c>
      <c r="W33" t="s">
        <v>56</v>
      </c>
      <c r="X33" t="s">
        <v>0</v>
      </c>
    </row>
    <row r="34" spans="1:24" x14ac:dyDescent="0.25">
      <c r="A34" t="s">
        <v>112</v>
      </c>
      <c r="B34" t="s">
        <v>57</v>
      </c>
      <c r="C34" t="s">
        <v>66</v>
      </c>
      <c r="D34" t="s">
        <v>67</v>
      </c>
      <c r="E34" t="s">
        <v>66</v>
      </c>
      <c r="F34" t="s">
        <v>67</v>
      </c>
      <c r="G34" s="3">
        <v>46023</v>
      </c>
      <c r="H34" s="2">
        <v>-28.92</v>
      </c>
      <c r="I34">
        <v>37143152</v>
      </c>
      <c r="J34" t="s">
        <v>113</v>
      </c>
      <c r="K34" t="s">
        <v>114</v>
      </c>
      <c r="L34" s="3">
        <v>45606</v>
      </c>
      <c r="M34" s="3">
        <v>45658</v>
      </c>
      <c r="N34" s="3">
        <v>45961</v>
      </c>
      <c r="O34">
        <v>5</v>
      </c>
      <c r="P34" t="s">
        <v>53</v>
      </c>
      <c r="Q34" t="s">
        <v>70</v>
      </c>
      <c r="R34" t="s">
        <v>53</v>
      </c>
      <c r="S34" t="s">
        <v>0</v>
      </c>
      <c r="T34" s="3">
        <v>45658</v>
      </c>
      <c r="U34" t="s">
        <v>63</v>
      </c>
      <c r="V34" t="s">
        <v>115</v>
      </c>
      <c r="W34" t="s">
        <v>56</v>
      </c>
      <c r="X34" t="s">
        <v>0</v>
      </c>
    </row>
    <row r="35" spans="1:24" x14ac:dyDescent="0.25">
      <c r="A35" t="s">
        <v>112</v>
      </c>
      <c r="B35" t="s">
        <v>44</v>
      </c>
      <c r="C35" t="s">
        <v>66</v>
      </c>
      <c r="D35" t="s">
        <v>67</v>
      </c>
      <c r="E35" t="s">
        <v>47</v>
      </c>
      <c r="F35" t="s">
        <v>4</v>
      </c>
      <c r="G35" s="3">
        <v>46023</v>
      </c>
      <c r="H35" s="2">
        <v>-2.08</v>
      </c>
      <c r="I35">
        <v>37143152</v>
      </c>
      <c r="J35" t="s">
        <v>113</v>
      </c>
      <c r="K35" t="s">
        <v>114</v>
      </c>
      <c r="L35" s="3">
        <v>45606</v>
      </c>
      <c r="M35" s="3">
        <v>45658</v>
      </c>
      <c r="N35" s="3">
        <v>45961</v>
      </c>
      <c r="O35">
        <v>5</v>
      </c>
      <c r="P35" t="s">
        <v>53</v>
      </c>
      <c r="Q35" t="s">
        <v>70</v>
      </c>
      <c r="R35" t="s">
        <v>53</v>
      </c>
      <c r="S35" t="s">
        <v>0</v>
      </c>
      <c r="T35" s="3">
        <v>45658</v>
      </c>
      <c r="U35" t="s">
        <v>63</v>
      </c>
      <c r="V35" t="s">
        <v>115</v>
      </c>
      <c r="W35" t="s">
        <v>56</v>
      </c>
      <c r="X35" t="s">
        <v>0</v>
      </c>
    </row>
    <row r="36" spans="1:24" x14ac:dyDescent="0.25">
      <c r="A36" t="s">
        <v>13</v>
      </c>
      <c r="B36" t="s">
        <v>44</v>
      </c>
      <c r="C36" t="s">
        <v>86</v>
      </c>
      <c r="D36" t="s">
        <v>87</v>
      </c>
      <c r="E36" t="s">
        <v>47</v>
      </c>
      <c r="F36" t="s">
        <v>4</v>
      </c>
      <c r="G36" s="3">
        <v>46054</v>
      </c>
      <c r="H36" s="2">
        <v>2.08</v>
      </c>
      <c r="I36">
        <v>37156525</v>
      </c>
      <c r="J36" t="s">
        <v>116</v>
      </c>
      <c r="K36" t="s">
        <v>117</v>
      </c>
      <c r="L36" s="3">
        <v>45609</v>
      </c>
      <c r="M36" s="3">
        <v>45658</v>
      </c>
      <c r="N36" t="s">
        <v>0</v>
      </c>
      <c r="O36">
        <v>6</v>
      </c>
      <c r="P36" t="s">
        <v>53</v>
      </c>
      <c r="Q36" t="s">
        <v>70</v>
      </c>
      <c r="R36" t="s">
        <v>53</v>
      </c>
      <c r="S36" t="s">
        <v>0</v>
      </c>
      <c r="T36" s="3">
        <v>45658</v>
      </c>
      <c r="U36" t="s">
        <v>76</v>
      </c>
      <c r="V36" t="s">
        <v>90</v>
      </c>
      <c r="W36" t="s">
        <v>56</v>
      </c>
      <c r="X36" t="s">
        <v>0</v>
      </c>
    </row>
    <row r="37" spans="1:24" x14ac:dyDescent="0.25">
      <c r="A37" t="s">
        <v>13</v>
      </c>
      <c r="B37" t="s">
        <v>57</v>
      </c>
      <c r="C37" t="s">
        <v>86</v>
      </c>
      <c r="D37" t="s">
        <v>87</v>
      </c>
      <c r="E37" t="s">
        <v>86</v>
      </c>
      <c r="F37" t="s">
        <v>87</v>
      </c>
      <c r="G37" s="3">
        <v>46054</v>
      </c>
      <c r="H37" s="2">
        <v>28.92</v>
      </c>
      <c r="I37">
        <v>37156525</v>
      </c>
      <c r="J37" t="s">
        <v>116</v>
      </c>
      <c r="K37" t="s">
        <v>117</v>
      </c>
      <c r="L37" s="3">
        <v>45609</v>
      </c>
      <c r="M37" s="3">
        <v>45658</v>
      </c>
      <c r="N37" t="s">
        <v>0</v>
      </c>
      <c r="O37">
        <v>6</v>
      </c>
      <c r="P37" t="s">
        <v>53</v>
      </c>
      <c r="Q37" t="s">
        <v>70</v>
      </c>
      <c r="R37" t="s">
        <v>53</v>
      </c>
      <c r="S37" t="s">
        <v>0</v>
      </c>
      <c r="T37" s="3">
        <v>45658</v>
      </c>
      <c r="U37" t="s">
        <v>76</v>
      </c>
      <c r="V37" t="s">
        <v>90</v>
      </c>
      <c r="W37" t="s">
        <v>56</v>
      </c>
      <c r="X37" t="s">
        <v>0</v>
      </c>
    </row>
    <row r="38" spans="1:24" x14ac:dyDescent="0.25">
      <c r="A38" t="s">
        <v>13</v>
      </c>
      <c r="B38" t="s">
        <v>44</v>
      </c>
      <c r="C38" t="s">
        <v>86</v>
      </c>
      <c r="D38" t="s">
        <v>87</v>
      </c>
      <c r="E38" t="s">
        <v>47</v>
      </c>
      <c r="F38" t="s">
        <v>4</v>
      </c>
      <c r="G38" s="3">
        <v>46054</v>
      </c>
      <c r="H38" s="2">
        <v>2.08</v>
      </c>
      <c r="I38">
        <v>37156527</v>
      </c>
      <c r="J38" t="s">
        <v>118</v>
      </c>
      <c r="K38" t="s">
        <v>119</v>
      </c>
      <c r="L38" s="3">
        <v>45609</v>
      </c>
      <c r="M38" s="3">
        <v>45658</v>
      </c>
      <c r="N38" t="s">
        <v>0</v>
      </c>
      <c r="O38">
        <v>6</v>
      </c>
      <c r="P38" t="s">
        <v>53</v>
      </c>
      <c r="Q38" t="s">
        <v>70</v>
      </c>
      <c r="R38" t="s">
        <v>53</v>
      </c>
      <c r="S38" t="s">
        <v>0</v>
      </c>
      <c r="T38" s="3">
        <v>45658</v>
      </c>
      <c r="U38" t="s">
        <v>76</v>
      </c>
      <c r="V38" t="s">
        <v>90</v>
      </c>
      <c r="W38" t="s">
        <v>56</v>
      </c>
      <c r="X38" t="s">
        <v>0</v>
      </c>
    </row>
    <row r="39" spans="1:24" x14ac:dyDescent="0.25">
      <c r="A39" t="s">
        <v>13</v>
      </c>
      <c r="B39" t="s">
        <v>57</v>
      </c>
      <c r="C39" t="s">
        <v>86</v>
      </c>
      <c r="D39" t="s">
        <v>87</v>
      </c>
      <c r="E39" t="s">
        <v>86</v>
      </c>
      <c r="F39" t="s">
        <v>87</v>
      </c>
      <c r="G39" s="3">
        <v>46054</v>
      </c>
      <c r="H39" s="2">
        <v>28.92</v>
      </c>
      <c r="I39">
        <v>37156527</v>
      </c>
      <c r="J39" t="s">
        <v>118</v>
      </c>
      <c r="K39" t="s">
        <v>119</v>
      </c>
      <c r="L39" s="3">
        <v>45609</v>
      </c>
      <c r="M39" s="3">
        <v>45658</v>
      </c>
      <c r="N39" t="s">
        <v>0</v>
      </c>
      <c r="O39">
        <v>6</v>
      </c>
      <c r="P39" t="s">
        <v>53</v>
      </c>
      <c r="Q39" t="s">
        <v>70</v>
      </c>
      <c r="R39" t="s">
        <v>53</v>
      </c>
      <c r="S39" t="s">
        <v>0</v>
      </c>
      <c r="T39" s="3">
        <v>45658</v>
      </c>
      <c r="U39" t="s">
        <v>76</v>
      </c>
      <c r="V39" t="s">
        <v>90</v>
      </c>
      <c r="W39" t="s">
        <v>56</v>
      </c>
      <c r="X39" t="s">
        <v>0</v>
      </c>
    </row>
    <row r="40" spans="1:24" x14ac:dyDescent="0.25">
      <c r="A40" t="s">
        <v>13</v>
      </c>
      <c r="B40" t="s">
        <v>57</v>
      </c>
      <c r="C40" t="s">
        <v>82</v>
      </c>
      <c r="D40" t="s">
        <v>83</v>
      </c>
      <c r="E40" t="s">
        <v>82</v>
      </c>
      <c r="F40" t="s">
        <v>83</v>
      </c>
      <c r="G40" s="3">
        <v>46054</v>
      </c>
      <c r="H40" s="2">
        <v>28.92</v>
      </c>
      <c r="I40">
        <v>37169229</v>
      </c>
      <c r="J40" t="s">
        <v>120</v>
      </c>
      <c r="K40" t="s">
        <v>121</v>
      </c>
      <c r="L40" s="3">
        <v>45616</v>
      </c>
      <c r="M40" s="3">
        <v>45658</v>
      </c>
      <c r="N40" t="s">
        <v>0</v>
      </c>
      <c r="O40">
        <v>6</v>
      </c>
      <c r="P40" t="s">
        <v>53</v>
      </c>
      <c r="Q40" t="s">
        <v>70</v>
      </c>
      <c r="R40" t="s">
        <v>53</v>
      </c>
      <c r="S40" t="s">
        <v>0</v>
      </c>
      <c r="T40" s="3">
        <v>45658</v>
      </c>
      <c r="U40" t="s">
        <v>63</v>
      </c>
      <c r="V40" t="s">
        <v>71</v>
      </c>
      <c r="W40" t="s">
        <v>56</v>
      </c>
      <c r="X40" t="s">
        <v>0</v>
      </c>
    </row>
    <row r="41" spans="1:24" x14ac:dyDescent="0.25">
      <c r="A41" t="s">
        <v>13</v>
      </c>
      <c r="B41" t="s">
        <v>44</v>
      </c>
      <c r="C41" t="s">
        <v>82</v>
      </c>
      <c r="D41" t="s">
        <v>83</v>
      </c>
      <c r="E41" t="s">
        <v>47</v>
      </c>
      <c r="F41" t="s">
        <v>4</v>
      </c>
      <c r="G41" s="3">
        <v>46054</v>
      </c>
      <c r="H41" s="2">
        <v>2.08</v>
      </c>
      <c r="I41">
        <v>37169229</v>
      </c>
      <c r="J41" t="s">
        <v>120</v>
      </c>
      <c r="K41" t="s">
        <v>121</v>
      </c>
      <c r="L41" s="3">
        <v>45616</v>
      </c>
      <c r="M41" s="3">
        <v>45658</v>
      </c>
      <c r="N41" t="s">
        <v>0</v>
      </c>
      <c r="O41">
        <v>6</v>
      </c>
      <c r="P41" t="s">
        <v>53</v>
      </c>
      <c r="Q41" t="s">
        <v>70</v>
      </c>
      <c r="R41" t="s">
        <v>53</v>
      </c>
      <c r="S41" t="s">
        <v>0</v>
      </c>
      <c r="T41" s="3">
        <v>45658</v>
      </c>
      <c r="U41" t="s">
        <v>63</v>
      </c>
      <c r="V41" t="s">
        <v>71</v>
      </c>
      <c r="W41" t="s">
        <v>56</v>
      </c>
      <c r="X41" t="s">
        <v>0</v>
      </c>
    </row>
    <row r="42" spans="1:24" x14ac:dyDescent="0.25">
      <c r="A42" t="s">
        <v>13</v>
      </c>
      <c r="B42" t="s">
        <v>57</v>
      </c>
      <c r="C42" t="s">
        <v>72</v>
      </c>
      <c r="D42" t="s">
        <v>73</v>
      </c>
      <c r="E42" t="s">
        <v>72</v>
      </c>
      <c r="F42" t="s">
        <v>73</v>
      </c>
      <c r="G42" s="3">
        <v>46054</v>
      </c>
      <c r="H42" s="2">
        <v>32.58</v>
      </c>
      <c r="I42">
        <v>37169649</v>
      </c>
      <c r="J42" t="s">
        <v>122</v>
      </c>
      <c r="K42" t="s">
        <v>123</v>
      </c>
      <c r="L42" s="3">
        <v>45616</v>
      </c>
      <c r="M42" s="3">
        <v>45658</v>
      </c>
      <c r="N42" t="s">
        <v>0</v>
      </c>
      <c r="O42">
        <v>4</v>
      </c>
      <c r="P42" t="s">
        <v>53</v>
      </c>
      <c r="Q42" t="s">
        <v>52</v>
      </c>
      <c r="R42" t="s">
        <v>53</v>
      </c>
      <c r="S42" t="s">
        <v>0</v>
      </c>
      <c r="T42" s="3">
        <v>45658</v>
      </c>
      <c r="U42" t="s">
        <v>54</v>
      </c>
      <c r="V42" t="s">
        <v>55</v>
      </c>
      <c r="W42" t="s">
        <v>56</v>
      </c>
      <c r="X42" t="s">
        <v>0</v>
      </c>
    </row>
    <row r="43" spans="1:24" x14ac:dyDescent="0.25">
      <c r="A43" t="s">
        <v>13</v>
      </c>
      <c r="B43" t="s">
        <v>44</v>
      </c>
      <c r="C43" t="s">
        <v>72</v>
      </c>
      <c r="D43" t="s">
        <v>73</v>
      </c>
      <c r="E43" t="s">
        <v>47</v>
      </c>
      <c r="F43" t="s">
        <v>4</v>
      </c>
      <c r="G43" s="3">
        <v>46054</v>
      </c>
      <c r="H43" s="2">
        <v>2.08</v>
      </c>
      <c r="I43">
        <v>37169649</v>
      </c>
      <c r="J43" t="s">
        <v>122</v>
      </c>
      <c r="K43" t="s">
        <v>123</v>
      </c>
      <c r="L43" s="3">
        <v>45616</v>
      </c>
      <c r="M43" s="3">
        <v>45658</v>
      </c>
      <c r="N43" t="s">
        <v>0</v>
      </c>
      <c r="O43">
        <v>4</v>
      </c>
      <c r="P43" t="s">
        <v>53</v>
      </c>
      <c r="Q43" t="s">
        <v>52</v>
      </c>
      <c r="R43" t="s">
        <v>53</v>
      </c>
      <c r="S43" t="s">
        <v>0</v>
      </c>
      <c r="T43" s="3">
        <v>45658</v>
      </c>
      <c r="U43" t="s">
        <v>54</v>
      </c>
      <c r="V43" t="s">
        <v>55</v>
      </c>
      <c r="W43" t="s">
        <v>56</v>
      </c>
      <c r="X43" t="s">
        <v>0</v>
      </c>
    </row>
    <row r="44" spans="1:24" x14ac:dyDescent="0.25">
      <c r="A44" t="s">
        <v>13</v>
      </c>
      <c r="B44" t="s">
        <v>57</v>
      </c>
      <c r="C44" t="s">
        <v>72</v>
      </c>
      <c r="D44" t="s">
        <v>73</v>
      </c>
      <c r="E44" t="s">
        <v>72</v>
      </c>
      <c r="F44" t="s">
        <v>73</v>
      </c>
      <c r="G44" s="3">
        <v>46054</v>
      </c>
      <c r="H44" s="2">
        <v>32.58</v>
      </c>
      <c r="I44">
        <v>37179535</v>
      </c>
      <c r="J44" t="s">
        <v>124</v>
      </c>
      <c r="K44" t="s">
        <v>125</v>
      </c>
      <c r="L44" s="3">
        <v>45617</v>
      </c>
      <c r="M44" s="3">
        <v>45658</v>
      </c>
      <c r="N44" t="s">
        <v>0</v>
      </c>
      <c r="O44">
        <v>7</v>
      </c>
      <c r="P44" t="s">
        <v>53</v>
      </c>
      <c r="Q44" t="s">
        <v>52</v>
      </c>
      <c r="R44" t="s">
        <v>53</v>
      </c>
      <c r="S44" t="s">
        <v>0</v>
      </c>
      <c r="T44" s="3">
        <v>45658</v>
      </c>
      <c r="U44" t="s">
        <v>54</v>
      </c>
      <c r="V44" t="s">
        <v>55</v>
      </c>
      <c r="W44" t="s">
        <v>56</v>
      </c>
      <c r="X44" t="s">
        <v>0</v>
      </c>
    </row>
    <row r="45" spans="1:24" x14ac:dyDescent="0.25">
      <c r="A45" t="s">
        <v>13</v>
      </c>
      <c r="B45" t="s">
        <v>44</v>
      </c>
      <c r="C45" t="s">
        <v>72</v>
      </c>
      <c r="D45" t="s">
        <v>73</v>
      </c>
      <c r="E45" t="s">
        <v>47</v>
      </c>
      <c r="F45" t="s">
        <v>4</v>
      </c>
      <c r="G45" s="3">
        <v>46054</v>
      </c>
      <c r="H45" s="2">
        <v>2.08</v>
      </c>
      <c r="I45">
        <v>37179535</v>
      </c>
      <c r="J45" t="s">
        <v>124</v>
      </c>
      <c r="K45" t="s">
        <v>125</v>
      </c>
      <c r="L45" s="3">
        <v>45617</v>
      </c>
      <c r="M45" s="3">
        <v>45658</v>
      </c>
      <c r="N45" t="s">
        <v>0</v>
      </c>
      <c r="O45">
        <v>7</v>
      </c>
      <c r="P45" t="s">
        <v>53</v>
      </c>
      <c r="Q45" t="s">
        <v>52</v>
      </c>
      <c r="R45" t="s">
        <v>53</v>
      </c>
      <c r="S45" t="s">
        <v>0</v>
      </c>
      <c r="T45" s="3">
        <v>45658</v>
      </c>
      <c r="U45" t="s">
        <v>54</v>
      </c>
      <c r="V45" t="s">
        <v>55</v>
      </c>
      <c r="W45" t="s">
        <v>56</v>
      </c>
      <c r="X45" t="s">
        <v>0</v>
      </c>
    </row>
    <row r="46" spans="1:24" x14ac:dyDescent="0.25">
      <c r="A46" t="s">
        <v>13</v>
      </c>
      <c r="B46" t="s">
        <v>44</v>
      </c>
      <c r="C46" t="s">
        <v>86</v>
      </c>
      <c r="D46" t="s">
        <v>87</v>
      </c>
      <c r="E46" t="s">
        <v>47</v>
      </c>
      <c r="F46" t="s">
        <v>4</v>
      </c>
      <c r="G46" s="3">
        <v>46054</v>
      </c>
      <c r="H46" s="2">
        <v>2.08</v>
      </c>
      <c r="I46">
        <v>37179870</v>
      </c>
      <c r="J46" t="s">
        <v>126</v>
      </c>
      <c r="K46" t="s">
        <v>127</v>
      </c>
      <c r="L46" s="3">
        <v>45619</v>
      </c>
      <c r="M46" s="3">
        <v>45658</v>
      </c>
      <c r="N46" t="s">
        <v>0</v>
      </c>
      <c r="O46">
        <v>5</v>
      </c>
      <c r="P46" t="s">
        <v>53</v>
      </c>
      <c r="Q46" t="s">
        <v>70</v>
      </c>
      <c r="R46" t="s">
        <v>53</v>
      </c>
      <c r="S46" t="s">
        <v>0</v>
      </c>
      <c r="T46" s="3">
        <v>45658</v>
      </c>
      <c r="U46" t="s">
        <v>63</v>
      </c>
      <c r="V46" t="s">
        <v>71</v>
      </c>
      <c r="W46" t="s">
        <v>56</v>
      </c>
      <c r="X46" t="s">
        <v>0</v>
      </c>
    </row>
    <row r="47" spans="1:24" x14ac:dyDescent="0.25">
      <c r="A47" t="s">
        <v>13</v>
      </c>
      <c r="B47" t="s">
        <v>57</v>
      </c>
      <c r="C47" t="s">
        <v>86</v>
      </c>
      <c r="D47" t="s">
        <v>87</v>
      </c>
      <c r="E47" t="s">
        <v>86</v>
      </c>
      <c r="F47" t="s">
        <v>87</v>
      </c>
      <c r="G47" s="3">
        <v>46054</v>
      </c>
      <c r="H47" s="2">
        <v>28.92</v>
      </c>
      <c r="I47">
        <v>37179870</v>
      </c>
      <c r="J47" t="s">
        <v>126</v>
      </c>
      <c r="K47" t="s">
        <v>127</v>
      </c>
      <c r="L47" s="3">
        <v>45619</v>
      </c>
      <c r="M47" s="3">
        <v>45658</v>
      </c>
      <c r="N47" t="s">
        <v>0</v>
      </c>
      <c r="O47">
        <v>5</v>
      </c>
      <c r="P47" t="s">
        <v>53</v>
      </c>
      <c r="Q47" t="s">
        <v>70</v>
      </c>
      <c r="R47" t="s">
        <v>53</v>
      </c>
      <c r="S47" t="s">
        <v>0</v>
      </c>
      <c r="T47" s="3">
        <v>45658</v>
      </c>
      <c r="U47" t="s">
        <v>63</v>
      </c>
      <c r="V47" t="s">
        <v>71</v>
      </c>
      <c r="W47" t="s">
        <v>56</v>
      </c>
      <c r="X47" t="s">
        <v>0</v>
      </c>
    </row>
    <row r="48" spans="1:24" x14ac:dyDescent="0.25">
      <c r="A48" t="s">
        <v>112</v>
      </c>
      <c r="B48" t="s">
        <v>57</v>
      </c>
      <c r="C48" t="s">
        <v>128</v>
      </c>
      <c r="D48" t="s">
        <v>129</v>
      </c>
      <c r="E48" t="s">
        <v>128</v>
      </c>
      <c r="F48" t="s">
        <v>129</v>
      </c>
      <c r="G48" s="3">
        <v>46023</v>
      </c>
      <c r="H48" s="2">
        <v>-28.92</v>
      </c>
      <c r="I48">
        <v>37180412</v>
      </c>
      <c r="J48" t="s">
        <v>130</v>
      </c>
      <c r="K48" t="s">
        <v>131</v>
      </c>
      <c r="L48" s="3">
        <v>45621</v>
      </c>
      <c r="M48" s="3">
        <v>45658</v>
      </c>
      <c r="N48" s="3">
        <v>46022</v>
      </c>
      <c r="O48">
        <v>5</v>
      </c>
      <c r="P48" t="s">
        <v>53</v>
      </c>
      <c r="Q48" t="s">
        <v>70</v>
      </c>
      <c r="R48" t="s">
        <v>53</v>
      </c>
      <c r="S48" t="s">
        <v>0</v>
      </c>
      <c r="T48" s="3">
        <v>45658</v>
      </c>
      <c r="U48" t="s">
        <v>63</v>
      </c>
      <c r="V48" t="s">
        <v>71</v>
      </c>
      <c r="W48" t="s">
        <v>56</v>
      </c>
      <c r="X48" t="s">
        <v>0</v>
      </c>
    </row>
    <row r="49" spans="1:24" x14ac:dyDescent="0.25">
      <c r="A49" t="s">
        <v>112</v>
      </c>
      <c r="B49" t="s">
        <v>44</v>
      </c>
      <c r="C49" t="s">
        <v>128</v>
      </c>
      <c r="D49" t="s">
        <v>129</v>
      </c>
      <c r="E49" t="s">
        <v>47</v>
      </c>
      <c r="F49" t="s">
        <v>4</v>
      </c>
      <c r="G49" s="3">
        <v>46023</v>
      </c>
      <c r="H49" s="2">
        <v>-2.08</v>
      </c>
      <c r="I49">
        <v>37180412</v>
      </c>
      <c r="J49" t="s">
        <v>130</v>
      </c>
      <c r="K49" t="s">
        <v>131</v>
      </c>
      <c r="L49" s="3">
        <v>45621</v>
      </c>
      <c r="M49" s="3">
        <v>45658</v>
      </c>
      <c r="N49" s="3">
        <v>46022</v>
      </c>
      <c r="O49">
        <v>5</v>
      </c>
      <c r="P49" t="s">
        <v>53</v>
      </c>
      <c r="Q49" t="s">
        <v>70</v>
      </c>
      <c r="R49" t="s">
        <v>53</v>
      </c>
      <c r="S49" t="s">
        <v>0</v>
      </c>
      <c r="T49" s="3">
        <v>45658</v>
      </c>
      <c r="U49" t="s">
        <v>63</v>
      </c>
      <c r="V49" t="s">
        <v>71</v>
      </c>
      <c r="W49" t="s">
        <v>56</v>
      </c>
      <c r="X49" t="s">
        <v>0</v>
      </c>
    </row>
    <row r="50" spans="1:24" x14ac:dyDescent="0.25">
      <c r="A50" t="s">
        <v>13</v>
      </c>
      <c r="B50" t="s">
        <v>44</v>
      </c>
      <c r="C50" t="s">
        <v>86</v>
      </c>
      <c r="D50" t="s">
        <v>87</v>
      </c>
      <c r="E50" t="s">
        <v>47</v>
      </c>
      <c r="F50" t="s">
        <v>4</v>
      </c>
      <c r="G50" s="3">
        <v>46054</v>
      </c>
      <c r="H50" s="2">
        <v>2.08</v>
      </c>
      <c r="I50">
        <v>37193407</v>
      </c>
      <c r="J50" t="s">
        <v>132</v>
      </c>
      <c r="K50" t="s">
        <v>133</v>
      </c>
      <c r="L50" s="3">
        <v>45623</v>
      </c>
      <c r="M50" s="3">
        <v>45658</v>
      </c>
      <c r="N50" t="s">
        <v>0</v>
      </c>
      <c r="O50">
        <v>6</v>
      </c>
      <c r="P50" t="s">
        <v>53</v>
      </c>
      <c r="Q50" t="s">
        <v>70</v>
      </c>
      <c r="R50" t="s">
        <v>53</v>
      </c>
      <c r="S50" t="s">
        <v>0</v>
      </c>
      <c r="T50" s="3">
        <v>45658</v>
      </c>
      <c r="U50" t="s">
        <v>76</v>
      </c>
      <c r="V50" t="s">
        <v>90</v>
      </c>
      <c r="W50" t="s">
        <v>56</v>
      </c>
      <c r="X50" t="s">
        <v>0</v>
      </c>
    </row>
    <row r="51" spans="1:24" x14ac:dyDescent="0.25">
      <c r="A51" t="s">
        <v>13</v>
      </c>
      <c r="B51" t="s">
        <v>57</v>
      </c>
      <c r="C51" t="s">
        <v>86</v>
      </c>
      <c r="D51" t="s">
        <v>87</v>
      </c>
      <c r="E51" t="s">
        <v>86</v>
      </c>
      <c r="F51" t="s">
        <v>87</v>
      </c>
      <c r="G51" s="3">
        <v>46054</v>
      </c>
      <c r="H51" s="2">
        <v>28.92</v>
      </c>
      <c r="I51">
        <v>37193407</v>
      </c>
      <c r="J51" t="s">
        <v>132</v>
      </c>
      <c r="K51" t="s">
        <v>133</v>
      </c>
      <c r="L51" s="3">
        <v>45623</v>
      </c>
      <c r="M51" s="3">
        <v>45658</v>
      </c>
      <c r="N51" t="s">
        <v>0</v>
      </c>
      <c r="O51">
        <v>6</v>
      </c>
      <c r="P51" t="s">
        <v>53</v>
      </c>
      <c r="Q51" t="s">
        <v>70</v>
      </c>
      <c r="R51" t="s">
        <v>53</v>
      </c>
      <c r="S51" t="s">
        <v>0</v>
      </c>
      <c r="T51" s="3">
        <v>45658</v>
      </c>
      <c r="U51" t="s">
        <v>76</v>
      </c>
      <c r="V51" t="s">
        <v>90</v>
      </c>
      <c r="W51" t="s">
        <v>56</v>
      </c>
      <c r="X51" t="s">
        <v>0</v>
      </c>
    </row>
    <row r="52" spans="1:24" x14ac:dyDescent="0.25">
      <c r="A52" t="s">
        <v>13</v>
      </c>
      <c r="B52" t="s">
        <v>57</v>
      </c>
      <c r="C52" t="s">
        <v>105</v>
      </c>
      <c r="D52" t="s">
        <v>106</v>
      </c>
      <c r="E52" t="s">
        <v>105</v>
      </c>
      <c r="F52" t="s">
        <v>106</v>
      </c>
      <c r="G52" s="3">
        <v>46054</v>
      </c>
      <c r="H52" s="2">
        <v>28.92</v>
      </c>
      <c r="I52">
        <v>37196328</v>
      </c>
      <c r="J52" t="s">
        <v>134</v>
      </c>
      <c r="K52" t="s">
        <v>135</v>
      </c>
      <c r="L52" s="3">
        <v>45628</v>
      </c>
      <c r="M52" s="3">
        <v>45658</v>
      </c>
      <c r="N52" t="s">
        <v>0</v>
      </c>
      <c r="O52">
        <v>9</v>
      </c>
      <c r="P52" t="s">
        <v>53</v>
      </c>
      <c r="Q52" t="s">
        <v>70</v>
      </c>
      <c r="R52" t="s">
        <v>53</v>
      </c>
      <c r="S52" t="s">
        <v>0</v>
      </c>
      <c r="T52" s="3">
        <v>45658</v>
      </c>
      <c r="U52" t="s">
        <v>63</v>
      </c>
      <c r="V52" t="s">
        <v>115</v>
      </c>
      <c r="W52" t="s">
        <v>56</v>
      </c>
      <c r="X52" t="s">
        <v>0</v>
      </c>
    </row>
    <row r="53" spans="1:24" x14ac:dyDescent="0.25">
      <c r="A53" t="s">
        <v>13</v>
      </c>
      <c r="B53" t="s">
        <v>44</v>
      </c>
      <c r="C53" t="s">
        <v>105</v>
      </c>
      <c r="D53" t="s">
        <v>106</v>
      </c>
      <c r="E53" t="s">
        <v>47</v>
      </c>
      <c r="F53" t="s">
        <v>4</v>
      </c>
      <c r="G53" s="3">
        <v>46054</v>
      </c>
      <c r="H53" s="2">
        <v>2.08</v>
      </c>
      <c r="I53">
        <v>37196328</v>
      </c>
      <c r="J53" t="s">
        <v>134</v>
      </c>
      <c r="K53" t="s">
        <v>135</v>
      </c>
      <c r="L53" s="3">
        <v>45628</v>
      </c>
      <c r="M53" s="3">
        <v>45658</v>
      </c>
      <c r="N53" t="s">
        <v>0</v>
      </c>
      <c r="O53">
        <v>9</v>
      </c>
      <c r="P53" t="s">
        <v>53</v>
      </c>
      <c r="Q53" t="s">
        <v>70</v>
      </c>
      <c r="R53" t="s">
        <v>53</v>
      </c>
      <c r="S53" t="s">
        <v>0</v>
      </c>
      <c r="T53" s="3">
        <v>45658</v>
      </c>
      <c r="U53" t="s">
        <v>63</v>
      </c>
      <c r="V53" t="s">
        <v>115</v>
      </c>
      <c r="W53" t="s">
        <v>56</v>
      </c>
      <c r="X53" t="s">
        <v>0</v>
      </c>
    </row>
    <row r="54" spans="1:24" x14ac:dyDescent="0.25">
      <c r="A54" t="s">
        <v>13</v>
      </c>
      <c r="B54" t="s">
        <v>57</v>
      </c>
      <c r="C54" t="s">
        <v>136</v>
      </c>
      <c r="D54" t="s">
        <v>137</v>
      </c>
      <c r="E54" t="s">
        <v>136</v>
      </c>
      <c r="F54" t="s">
        <v>137</v>
      </c>
      <c r="G54" s="3">
        <v>46054</v>
      </c>
      <c r="H54" s="2">
        <v>28.92</v>
      </c>
      <c r="I54">
        <v>37198754</v>
      </c>
      <c r="J54" t="s">
        <v>138</v>
      </c>
      <c r="K54" t="s">
        <v>139</v>
      </c>
      <c r="L54" s="3">
        <v>45628</v>
      </c>
      <c r="M54" s="3">
        <v>45658</v>
      </c>
      <c r="N54" t="s">
        <v>0</v>
      </c>
      <c r="O54">
        <v>2</v>
      </c>
      <c r="P54" t="s">
        <v>140</v>
      </c>
      <c r="Q54" t="s">
        <v>141</v>
      </c>
      <c r="R54" t="s">
        <v>53</v>
      </c>
      <c r="S54" t="s">
        <v>0</v>
      </c>
      <c r="T54" s="3">
        <v>45658</v>
      </c>
      <c r="U54" t="s">
        <v>76</v>
      </c>
      <c r="V54" t="s">
        <v>142</v>
      </c>
      <c r="W54" t="s">
        <v>56</v>
      </c>
      <c r="X54" t="s">
        <v>0</v>
      </c>
    </row>
    <row r="55" spans="1:24" x14ac:dyDescent="0.25">
      <c r="A55" t="s">
        <v>13</v>
      </c>
      <c r="B55" t="s">
        <v>44</v>
      </c>
      <c r="C55" t="s">
        <v>136</v>
      </c>
      <c r="D55" t="s">
        <v>137</v>
      </c>
      <c r="E55" t="s">
        <v>47</v>
      </c>
      <c r="F55" t="s">
        <v>4</v>
      </c>
      <c r="G55" s="3">
        <v>46054</v>
      </c>
      <c r="H55" s="2">
        <v>2.08</v>
      </c>
      <c r="I55">
        <v>37198754</v>
      </c>
      <c r="J55" t="s">
        <v>138</v>
      </c>
      <c r="K55" t="s">
        <v>139</v>
      </c>
      <c r="L55" s="3">
        <v>45628</v>
      </c>
      <c r="M55" s="3">
        <v>45658</v>
      </c>
      <c r="N55" t="s">
        <v>0</v>
      </c>
      <c r="O55">
        <v>2</v>
      </c>
      <c r="P55" t="s">
        <v>140</v>
      </c>
      <c r="Q55" t="s">
        <v>141</v>
      </c>
      <c r="R55" t="s">
        <v>53</v>
      </c>
      <c r="S55" t="s">
        <v>0</v>
      </c>
      <c r="T55" s="3">
        <v>45658</v>
      </c>
      <c r="U55" t="s">
        <v>76</v>
      </c>
      <c r="V55" t="s">
        <v>142</v>
      </c>
      <c r="W55" t="s">
        <v>56</v>
      </c>
      <c r="X55" t="s">
        <v>0</v>
      </c>
    </row>
    <row r="56" spans="1:24" x14ac:dyDescent="0.25">
      <c r="A56" t="s">
        <v>13</v>
      </c>
      <c r="B56" t="s">
        <v>57</v>
      </c>
      <c r="C56" t="s">
        <v>72</v>
      </c>
      <c r="D56" t="s">
        <v>73</v>
      </c>
      <c r="E56" t="s">
        <v>72</v>
      </c>
      <c r="F56" t="s">
        <v>73</v>
      </c>
      <c r="G56" s="3">
        <v>46054</v>
      </c>
      <c r="H56" s="2">
        <v>32.58</v>
      </c>
      <c r="I56">
        <v>37214258</v>
      </c>
      <c r="J56" t="s">
        <v>143</v>
      </c>
      <c r="K56" t="s">
        <v>144</v>
      </c>
      <c r="L56" s="3">
        <v>45631</v>
      </c>
      <c r="M56" s="3">
        <v>45658</v>
      </c>
      <c r="N56" t="s">
        <v>0</v>
      </c>
      <c r="O56">
        <v>4</v>
      </c>
      <c r="P56" t="s">
        <v>53</v>
      </c>
      <c r="Q56" t="s">
        <v>52</v>
      </c>
      <c r="R56" t="s">
        <v>53</v>
      </c>
      <c r="S56" t="s">
        <v>0</v>
      </c>
      <c r="T56" s="3">
        <v>45658</v>
      </c>
      <c r="U56" t="s">
        <v>54</v>
      </c>
      <c r="V56" t="s">
        <v>55</v>
      </c>
      <c r="W56" t="s">
        <v>56</v>
      </c>
      <c r="X56" t="s">
        <v>0</v>
      </c>
    </row>
    <row r="57" spans="1:24" x14ac:dyDescent="0.25">
      <c r="A57" t="s">
        <v>13</v>
      </c>
      <c r="B57" t="s">
        <v>44</v>
      </c>
      <c r="C57" t="s">
        <v>72</v>
      </c>
      <c r="D57" t="s">
        <v>73</v>
      </c>
      <c r="E57" t="s">
        <v>47</v>
      </c>
      <c r="F57" t="s">
        <v>4</v>
      </c>
      <c r="G57" s="3">
        <v>46054</v>
      </c>
      <c r="H57" s="2">
        <v>2.08</v>
      </c>
      <c r="I57">
        <v>37214258</v>
      </c>
      <c r="J57" t="s">
        <v>143</v>
      </c>
      <c r="K57" t="s">
        <v>144</v>
      </c>
      <c r="L57" s="3">
        <v>45631</v>
      </c>
      <c r="M57" s="3">
        <v>45658</v>
      </c>
      <c r="N57" t="s">
        <v>0</v>
      </c>
      <c r="O57">
        <v>4</v>
      </c>
      <c r="P57" t="s">
        <v>53</v>
      </c>
      <c r="Q57" t="s">
        <v>52</v>
      </c>
      <c r="R57" t="s">
        <v>53</v>
      </c>
      <c r="S57" t="s">
        <v>0</v>
      </c>
      <c r="T57" s="3">
        <v>45658</v>
      </c>
      <c r="U57" t="s">
        <v>54</v>
      </c>
      <c r="V57" t="s">
        <v>55</v>
      </c>
      <c r="W57" t="s">
        <v>56</v>
      </c>
      <c r="X57" t="s">
        <v>0</v>
      </c>
    </row>
    <row r="58" spans="1:24" x14ac:dyDescent="0.25">
      <c r="A58" t="s">
        <v>13</v>
      </c>
      <c r="B58" t="s">
        <v>44</v>
      </c>
      <c r="C58" t="s">
        <v>45</v>
      </c>
      <c r="D58" t="s">
        <v>46</v>
      </c>
      <c r="E58" t="s">
        <v>47</v>
      </c>
      <c r="F58" t="s">
        <v>4</v>
      </c>
      <c r="G58" s="3">
        <v>46054</v>
      </c>
      <c r="H58" s="2">
        <v>2.08</v>
      </c>
      <c r="I58">
        <v>37219598</v>
      </c>
      <c r="J58" t="s">
        <v>145</v>
      </c>
      <c r="K58" t="s">
        <v>146</v>
      </c>
      <c r="L58" s="3">
        <v>45632</v>
      </c>
      <c r="M58" s="3">
        <v>45658</v>
      </c>
      <c r="N58" t="s">
        <v>0</v>
      </c>
      <c r="O58">
        <v>3</v>
      </c>
      <c r="P58" t="s">
        <v>53</v>
      </c>
      <c r="Q58" t="s">
        <v>52</v>
      </c>
      <c r="R58" t="s">
        <v>53</v>
      </c>
      <c r="S58" t="s">
        <v>0</v>
      </c>
      <c r="T58" s="3">
        <v>45658</v>
      </c>
      <c r="U58" t="s">
        <v>54</v>
      </c>
      <c r="V58" t="s">
        <v>55</v>
      </c>
      <c r="W58" t="s">
        <v>56</v>
      </c>
      <c r="X58" t="s">
        <v>0</v>
      </c>
    </row>
    <row r="59" spans="1:24" x14ac:dyDescent="0.25">
      <c r="A59" t="s">
        <v>13</v>
      </c>
      <c r="B59" t="s">
        <v>57</v>
      </c>
      <c r="C59" t="s">
        <v>45</v>
      </c>
      <c r="D59" t="s">
        <v>46</v>
      </c>
      <c r="E59" t="s">
        <v>45</v>
      </c>
      <c r="F59" t="s">
        <v>46</v>
      </c>
      <c r="G59" s="3">
        <v>46054</v>
      </c>
      <c r="H59" s="2">
        <v>32.58</v>
      </c>
      <c r="I59">
        <v>37219598</v>
      </c>
      <c r="J59" t="s">
        <v>145</v>
      </c>
      <c r="K59" t="s">
        <v>146</v>
      </c>
      <c r="L59" s="3">
        <v>45632</v>
      </c>
      <c r="M59" s="3">
        <v>45658</v>
      </c>
      <c r="N59" t="s">
        <v>0</v>
      </c>
      <c r="O59">
        <v>3</v>
      </c>
      <c r="P59" t="s">
        <v>53</v>
      </c>
      <c r="Q59" t="s">
        <v>52</v>
      </c>
      <c r="R59" t="s">
        <v>53</v>
      </c>
      <c r="S59" t="s">
        <v>0</v>
      </c>
      <c r="T59" s="3">
        <v>45658</v>
      </c>
      <c r="U59" t="s">
        <v>54</v>
      </c>
      <c r="V59" t="s">
        <v>55</v>
      </c>
      <c r="W59" t="s">
        <v>56</v>
      </c>
      <c r="X59" t="s">
        <v>0</v>
      </c>
    </row>
    <row r="60" spans="1:24" x14ac:dyDescent="0.25">
      <c r="A60" t="s">
        <v>13</v>
      </c>
      <c r="B60" t="s">
        <v>44</v>
      </c>
      <c r="C60" t="s">
        <v>86</v>
      </c>
      <c r="D60" t="s">
        <v>87</v>
      </c>
      <c r="E60" t="s">
        <v>47</v>
      </c>
      <c r="F60" t="s">
        <v>4</v>
      </c>
      <c r="G60" s="3">
        <v>46054</v>
      </c>
      <c r="H60" s="2">
        <v>2.08</v>
      </c>
      <c r="I60">
        <v>37220075</v>
      </c>
      <c r="J60" t="s">
        <v>147</v>
      </c>
      <c r="K60" t="s">
        <v>148</v>
      </c>
      <c r="L60" s="3">
        <v>45632</v>
      </c>
      <c r="M60" s="3">
        <v>45658</v>
      </c>
      <c r="N60" t="s">
        <v>0</v>
      </c>
      <c r="O60">
        <v>5</v>
      </c>
      <c r="P60" t="s">
        <v>53</v>
      </c>
      <c r="Q60" t="s">
        <v>70</v>
      </c>
      <c r="R60" t="s">
        <v>53</v>
      </c>
      <c r="S60" t="s">
        <v>0</v>
      </c>
      <c r="T60" s="3">
        <v>45658</v>
      </c>
      <c r="U60" t="s">
        <v>63</v>
      </c>
      <c r="V60" t="s">
        <v>71</v>
      </c>
      <c r="W60" t="s">
        <v>56</v>
      </c>
      <c r="X60" t="s">
        <v>0</v>
      </c>
    </row>
    <row r="61" spans="1:24" x14ac:dyDescent="0.25">
      <c r="A61" t="s">
        <v>13</v>
      </c>
      <c r="B61" t="s">
        <v>57</v>
      </c>
      <c r="C61" t="s">
        <v>86</v>
      </c>
      <c r="D61" t="s">
        <v>87</v>
      </c>
      <c r="E61" t="s">
        <v>86</v>
      </c>
      <c r="F61" t="s">
        <v>87</v>
      </c>
      <c r="G61" s="3">
        <v>46054</v>
      </c>
      <c r="H61" s="2">
        <v>28.92</v>
      </c>
      <c r="I61">
        <v>37220075</v>
      </c>
      <c r="J61" t="s">
        <v>147</v>
      </c>
      <c r="K61" t="s">
        <v>148</v>
      </c>
      <c r="L61" s="3">
        <v>45632</v>
      </c>
      <c r="M61" s="3">
        <v>45658</v>
      </c>
      <c r="N61" t="s">
        <v>0</v>
      </c>
      <c r="O61">
        <v>5</v>
      </c>
      <c r="P61" t="s">
        <v>53</v>
      </c>
      <c r="Q61" t="s">
        <v>70</v>
      </c>
      <c r="R61" t="s">
        <v>53</v>
      </c>
      <c r="S61" t="s">
        <v>0</v>
      </c>
      <c r="T61" s="3">
        <v>45658</v>
      </c>
      <c r="U61" t="s">
        <v>63</v>
      </c>
      <c r="V61" t="s">
        <v>71</v>
      </c>
      <c r="W61" t="s">
        <v>56</v>
      </c>
      <c r="X61" t="s">
        <v>0</v>
      </c>
    </row>
    <row r="62" spans="1:24" x14ac:dyDescent="0.25">
      <c r="A62" t="s">
        <v>13</v>
      </c>
      <c r="B62" t="s">
        <v>44</v>
      </c>
      <c r="C62" t="s">
        <v>45</v>
      </c>
      <c r="D62" t="s">
        <v>46</v>
      </c>
      <c r="E62" t="s">
        <v>47</v>
      </c>
      <c r="F62" t="s">
        <v>4</v>
      </c>
      <c r="G62" s="3">
        <v>46054</v>
      </c>
      <c r="H62" s="2">
        <v>2.08</v>
      </c>
      <c r="I62">
        <v>37226550</v>
      </c>
      <c r="J62" t="s">
        <v>149</v>
      </c>
      <c r="K62" t="s">
        <v>150</v>
      </c>
      <c r="L62" s="3">
        <v>45633</v>
      </c>
      <c r="M62" s="3">
        <v>45658</v>
      </c>
      <c r="N62" t="s">
        <v>0</v>
      </c>
      <c r="O62">
        <v>11</v>
      </c>
      <c r="P62" t="s">
        <v>53</v>
      </c>
      <c r="Q62" t="s">
        <v>52</v>
      </c>
      <c r="R62" t="s">
        <v>53</v>
      </c>
      <c r="S62" t="s">
        <v>0</v>
      </c>
      <c r="T62" s="3">
        <v>45658</v>
      </c>
      <c r="U62" t="s">
        <v>54</v>
      </c>
      <c r="V62" t="s">
        <v>55</v>
      </c>
      <c r="W62" t="s">
        <v>56</v>
      </c>
      <c r="X62" t="s">
        <v>0</v>
      </c>
    </row>
    <row r="63" spans="1:24" x14ac:dyDescent="0.25">
      <c r="A63" t="s">
        <v>13</v>
      </c>
      <c r="B63" t="s">
        <v>57</v>
      </c>
      <c r="C63" t="s">
        <v>45</v>
      </c>
      <c r="D63" t="s">
        <v>46</v>
      </c>
      <c r="E63" t="s">
        <v>45</v>
      </c>
      <c r="F63" t="s">
        <v>46</v>
      </c>
      <c r="G63" s="3">
        <v>46054</v>
      </c>
      <c r="H63" s="2">
        <v>32.58</v>
      </c>
      <c r="I63">
        <v>37226550</v>
      </c>
      <c r="J63" t="s">
        <v>149</v>
      </c>
      <c r="K63" t="s">
        <v>150</v>
      </c>
      <c r="L63" s="3">
        <v>45633</v>
      </c>
      <c r="M63" s="3">
        <v>45658</v>
      </c>
      <c r="N63" t="s">
        <v>0</v>
      </c>
      <c r="O63">
        <v>11</v>
      </c>
      <c r="P63" t="s">
        <v>53</v>
      </c>
      <c r="Q63" t="s">
        <v>52</v>
      </c>
      <c r="R63" t="s">
        <v>53</v>
      </c>
      <c r="S63" t="s">
        <v>0</v>
      </c>
      <c r="T63" s="3">
        <v>45658</v>
      </c>
      <c r="U63" t="s">
        <v>54</v>
      </c>
      <c r="V63" t="s">
        <v>55</v>
      </c>
      <c r="W63" t="s">
        <v>56</v>
      </c>
      <c r="X63" t="s">
        <v>0</v>
      </c>
    </row>
    <row r="64" spans="1:24" x14ac:dyDescent="0.25">
      <c r="A64" t="s">
        <v>13</v>
      </c>
      <c r="B64" t="s">
        <v>44</v>
      </c>
      <c r="C64" t="s">
        <v>151</v>
      </c>
      <c r="D64" t="s">
        <v>152</v>
      </c>
      <c r="E64" t="s">
        <v>47</v>
      </c>
      <c r="F64" t="s">
        <v>4</v>
      </c>
      <c r="G64" s="3">
        <v>46054</v>
      </c>
      <c r="H64" s="2">
        <v>2.08</v>
      </c>
      <c r="I64">
        <v>37231715</v>
      </c>
      <c r="J64" t="s">
        <v>153</v>
      </c>
      <c r="K64" t="s">
        <v>154</v>
      </c>
      <c r="L64" s="3">
        <v>45631</v>
      </c>
      <c r="M64" s="3">
        <v>45658</v>
      </c>
      <c r="N64" t="s">
        <v>0</v>
      </c>
      <c r="O64">
        <v>4</v>
      </c>
      <c r="P64" t="s">
        <v>53</v>
      </c>
      <c r="Q64" t="s">
        <v>52</v>
      </c>
      <c r="R64" t="s">
        <v>53</v>
      </c>
      <c r="S64" t="s">
        <v>0</v>
      </c>
      <c r="T64" s="3">
        <v>45658</v>
      </c>
      <c r="U64" t="s">
        <v>76</v>
      </c>
      <c r="V64" t="s">
        <v>155</v>
      </c>
      <c r="W64" t="s">
        <v>56</v>
      </c>
      <c r="X64" t="s">
        <v>0</v>
      </c>
    </row>
    <row r="65" spans="1:24" x14ac:dyDescent="0.25">
      <c r="A65" t="s">
        <v>13</v>
      </c>
      <c r="B65" t="s">
        <v>44</v>
      </c>
      <c r="C65" t="s">
        <v>156</v>
      </c>
      <c r="D65" t="s">
        <v>157</v>
      </c>
      <c r="E65" t="s">
        <v>47</v>
      </c>
      <c r="F65" t="s">
        <v>4</v>
      </c>
      <c r="G65" s="3">
        <v>46054</v>
      </c>
      <c r="H65" s="2">
        <v>2.08</v>
      </c>
      <c r="I65" t="s">
        <v>158</v>
      </c>
      <c r="J65" t="s">
        <v>159</v>
      </c>
      <c r="K65" t="s">
        <v>160</v>
      </c>
      <c r="L65" s="3">
        <v>45918</v>
      </c>
      <c r="M65" s="3">
        <v>45931</v>
      </c>
      <c r="N65" t="s">
        <v>0</v>
      </c>
      <c r="O65">
        <v>2</v>
      </c>
      <c r="P65" t="s">
        <v>51</v>
      </c>
      <c r="Q65" t="s">
        <v>70</v>
      </c>
      <c r="R65" t="s">
        <v>53</v>
      </c>
      <c r="S65" t="s">
        <v>0</v>
      </c>
      <c r="T65" s="3">
        <v>45931</v>
      </c>
      <c r="U65" t="s">
        <v>63</v>
      </c>
      <c r="V65" t="s">
        <v>71</v>
      </c>
      <c r="W65" t="s">
        <v>56</v>
      </c>
      <c r="X65" t="s">
        <v>0</v>
      </c>
    </row>
    <row r="66" spans="1:24" x14ac:dyDescent="0.25">
      <c r="A66" t="s">
        <v>13</v>
      </c>
      <c r="B66" t="s">
        <v>57</v>
      </c>
      <c r="C66" t="s">
        <v>156</v>
      </c>
      <c r="D66" t="s">
        <v>157</v>
      </c>
      <c r="E66" t="s">
        <v>156</v>
      </c>
      <c r="F66" t="s">
        <v>157</v>
      </c>
      <c r="G66" s="3">
        <v>46054</v>
      </c>
      <c r="H66" s="2">
        <v>28.92</v>
      </c>
      <c r="I66" t="s">
        <v>158</v>
      </c>
      <c r="J66" t="s">
        <v>159</v>
      </c>
      <c r="K66" t="s">
        <v>160</v>
      </c>
      <c r="L66" s="3">
        <v>45918</v>
      </c>
      <c r="M66" s="3">
        <v>45931</v>
      </c>
      <c r="N66" t="s">
        <v>0</v>
      </c>
      <c r="O66">
        <v>2</v>
      </c>
      <c r="P66" t="s">
        <v>51</v>
      </c>
      <c r="Q66" t="s">
        <v>70</v>
      </c>
      <c r="R66" t="s">
        <v>53</v>
      </c>
      <c r="S66" t="s">
        <v>0</v>
      </c>
      <c r="T66" s="3">
        <v>45931</v>
      </c>
      <c r="U66" t="s">
        <v>63</v>
      </c>
      <c r="V66" t="s">
        <v>71</v>
      </c>
      <c r="W66" t="s">
        <v>56</v>
      </c>
      <c r="X66" t="s">
        <v>0</v>
      </c>
    </row>
    <row r="67" spans="1:24" x14ac:dyDescent="0.25">
      <c r="A67" t="s">
        <v>13</v>
      </c>
      <c r="B67" t="s">
        <v>44</v>
      </c>
      <c r="C67" t="s">
        <v>161</v>
      </c>
      <c r="D67" t="s">
        <v>162</v>
      </c>
      <c r="E67" t="s">
        <v>47</v>
      </c>
      <c r="F67" t="s">
        <v>4</v>
      </c>
      <c r="G67" s="3">
        <v>46054</v>
      </c>
      <c r="H67" s="2">
        <v>2.08</v>
      </c>
      <c r="I67" t="s">
        <v>163</v>
      </c>
      <c r="J67" t="s">
        <v>164</v>
      </c>
      <c r="K67" t="s">
        <v>165</v>
      </c>
      <c r="L67" s="3">
        <v>45713</v>
      </c>
      <c r="M67" s="3">
        <v>45717</v>
      </c>
      <c r="N67" t="s">
        <v>0</v>
      </c>
      <c r="O67">
        <v>2</v>
      </c>
      <c r="P67" t="s">
        <v>140</v>
      </c>
      <c r="Q67" t="s">
        <v>52</v>
      </c>
      <c r="R67" t="s">
        <v>53</v>
      </c>
      <c r="S67" t="s">
        <v>0</v>
      </c>
      <c r="T67" s="3">
        <v>45717</v>
      </c>
      <c r="U67" t="s">
        <v>76</v>
      </c>
      <c r="V67" t="s">
        <v>166</v>
      </c>
      <c r="W67" t="s">
        <v>56</v>
      </c>
      <c r="X67" t="s">
        <v>0</v>
      </c>
    </row>
    <row r="68" spans="1:24" x14ac:dyDescent="0.25">
      <c r="A68" t="s">
        <v>13</v>
      </c>
      <c r="B68" t="s">
        <v>57</v>
      </c>
      <c r="C68" t="s">
        <v>161</v>
      </c>
      <c r="D68" t="s">
        <v>162</v>
      </c>
      <c r="E68" t="s">
        <v>161</v>
      </c>
      <c r="F68" t="s">
        <v>162</v>
      </c>
      <c r="G68" s="3">
        <v>46054</v>
      </c>
      <c r="H68" s="2">
        <v>32.58</v>
      </c>
      <c r="I68" t="s">
        <v>163</v>
      </c>
      <c r="J68" t="s">
        <v>164</v>
      </c>
      <c r="K68" t="s">
        <v>165</v>
      </c>
      <c r="L68" s="3">
        <v>45713</v>
      </c>
      <c r="M68" s="3">
        <v>45717</v>
      </c>
      <c r="N68" t="s">
        <v>0</v>
      </c>
      <c r="O68">
        <v>2</v>
      </c>
      <c r="P68" t="s">
        <v>140</v>
      </c>
      <c r="Q68" t="s">
        <v>52</v>
      </c>
      <c r="R68" t="s">
        <v>53</v>
      </c>
      <c r="S68" t="s">
        <v>0</v>
      </c>
      <c r="T68" s="3">
        <v>45717</v>
      </c>
      <c r="U68" t="s">
        <v>76</v>
      </c>
      <c r="V68" t="s">
        <v>166</v>
      </c>
      <c r="W68" t="s">
        <v>56</v>
      </c>
      <c r="X68" t="s">
        <v>0</v>
      </c>
    </row>
    <row r="69" spans="1:24" x14ac:dyDescent="0.25">
      <c r="A69" t="s">
        <v>13</v>
      </c>
      <c r="B69" t="s">
        <v>57</v>
      </c>
      <c r="C69" t="s">
        <v>167</v>
      </c>
      <c r="D69" t="s">
        <v>168</v>
      </c>
      <c r="E69" t="s">
        <v>167</v>
      </c>
      <c r="F69" t="s">
        <v>168</v>
      </c>
      <c r="G69" s="3">
        <v>46054</v>
      </c>
      <c r="H69" s="2">
        <v>28.92</v>
      </c>
      <c r="I69" t="s">
        <v>169</v>
      </c>
      <c r="J69" t="s">
        <v>170</v>
      </c>
      <c r="K69" t="s">
        <v>171</v>
      </c>
      <c r="L69" s="3">
        <v>45716</v>
      </c>
      <c r="M69" s="3">
        <v>45717</v>
      </c>
      <c r="N69" t="s">
        <v>0</v>
      </c>
      <c r="O69">
        <v>7</v>
      </c>
      <c r="P69" t="s">
        <v>53</v>
      </c>
      <c r="Q69" t="s">
        <v>172</v>
      </c>
      <c r="R69" t="s">
        <v>53</v>
      </c>
      <c r="S69" t="s">
        <v>0</v>
      </c>
      <c r="T69" s="3">
        <v>45717</v>
      </c>
      <c r="U69" t="s">
        <v>173</v>
      </c>
      <c r="V69" t="s">
        <v>174</v>
      </c>
      <c r="W69" t="s">
        <v>56</v>
      </c>
      <c r="X69" t="s">
        <v>0</v>
      </c>
    </row>
    <row r="70" spans="1:24" x14ac:dyDescent="0.25">
      <c r="A70" t="s">
        <v>13</v>
      </c>
      <c r="B70" t="s">
        <v>44</v>
      </c>
      <c r="C70" t="s">
        <v>167</v>
      </c>
      <c r="D70" t="s">
        <v>168</v>
      </c>
      <c r="E70" t="s">
        <v>47</v>
      </c>
      <c r="F70" t="s">
        <v>4</v>
      </c>
      <c r="G70" s="3">
        <v>46054</v>
      </c>
      <c r="H70" s="2">
        <v>2.08</v>
      </c>
      <c r="I70" t="s">
        <v>169</v>
      </c>
      <c r="J70" t="s">
        <v>170</v>
      </c>
      <c r="K70" t="s">
        <v>171</v>
      </c>
      <c r="L70" s="3">
        <v>45716</v>
      </c>
      <c r="M70" s="3">
        <v>45717</v>
      </c>
      <c r="N70" t="s">
        <v>0</v>
      </c>
      <c r="O70">
        <v>7</v>
      </c>
      <c r="P70" t="s">
        <v>53</v>
      </c>
      <c r="Q70" t="s">
        <v>172</v>
      </c>
      <c r="R70" t="s">
        <v>53</v>
      </c>
      <c r="S70" t="s">
        <v>0</v>
      </c>
      <c r="T70" s="3">
        <v>45717</v>
      </c>
      <c r="U70" t="s">
        <v>173</v>
      </c>
      <c r="V70" t="s">
        <v>174</v>
      </c>
      <c r="W70" t="s">
        <v>56</v>
      </c>
      <c r="X70" t="s">
        <v>0</v>
      </c>
    </row>
    <row r="71" spans="1:24" x14ac:dyDescent="0.25">
      <c r="A71" t="s">
        <v>13</v>
      </c>
      <c r="B71" t="s">
        <v>57</v>
      </c>
      <c r="C71" t="s">
        <v>175</v>
      </c>
      <c r="D71" t="s">
        <v>176</v>
      </c>
      <c r="E71" t="s">
        <v>175</v>
      </c>
      <c r="F71" t="s">
        <v>176</v>
      </c>
      <c r="G71" s="3">
        <v>46054</v>
      </c>
      <c r="H71" s="2">
        <v>28.92</v>
      </c>
      <c r="I71" t="s">
        <v>177</v>
      </c>
      <c r="J71" t="s">
        <v>178</v>
      </c>
      <c r="K71" t="s">
        <v>179</v>
      </c>
      <c r="L71" s="3">
        <v>45838</v>
      </c>
      <c r="M71" s="3">
        <v>45839</v>
      </c>
      <c r="N71" t="s">
        <v>0</v>
      </c>
      <c r="O71">
        <v>2</v>
      </c>
      <c r="P71" t="s">
        <v>51</v>
      </c>
      <c r="Q71" t="s">
        <v>70</v>
      </c>
      <c r="R71" t="s">
        <v>53</v>
      </c>
      <c r="S71" t="s">
        <v>0</v>
      </c>
      <c r="T71" s="3">
        <v>45839</v>
      </c>
      <c r="U71" t="s">
        <v>63</v>
      </c>
      <c r="V71" t="s">
        <v>71</v>
      </c>
      <c r="W71" t="s">
        <v>56</v>
      </c>
      <c r="X71" t="s">
        <v>0</v>
      </c>
    </row>
    <row r="72" spans="1:24" x14ac:dyDescent="0.25">
      <c r="A72" t="s">
        <v>13</v>
      </c>
      <c r="B72" t="s">
        <v>44</v>
      </c>
      <c r="C72" t="s">
        <v>175</v>
      </c>
      <c r="D72" t="s">
        <v>176</v>
      </c>
      <c r="E72" t="s">
        <v>47</v>
      </c>
      <c r="F72" t="s">
        <v>4</v>
      </c>
      <c r="G72" s="3">
        <v>46054</v>
      </c>
      <c r="H72" s="2">
        <v>2.08</v>
      </c>
      <c r="I72" t="s">
        <v>177</v>
      </c>
      <c r="J72" t="s">
        <v>178</v>
      </c>
      <c r="K72" t="s">
        <v>179</v>
      </c>
      <c r="L72" s="3">
        <v>45838</v>
      </c>
      <c r="M72" s="3">
        <v>45839</v>
      </c>
      <c r="N72" t="s">
        <v>0</v>
      </c>
      <c r="O72">
        <v>2</v>
      </c>
      <c r="P72" t="s">
        <v>51</v>
      </c>
      <c r="Q72" t="s">
        <v>70</v>
      </c>
      <c r="R72" t="s">
        <v>53</v>
      </c>
      <c r="S72" t="s">
        <v>0</v>
      </c>
      <c r="T72" s="3">
        <v>45839</v>
      </c>
      <c r="U72" t="s">
        <v>63</v>
      </c>
      <c r="V72" t="s">
        <v>71</v>
      </c>
      <c r="W72" t="s">
        <v>56</v>
      </c>
      <c r="X72" t="s">
        <v>0</v>
      </c>
    </row>
    <row r="73" spans="1:24" x14ac:dyDescent="0.25">
      <c r="A73" t="s">
        <v>13</v>
      </c>
      <c r="B73" t="s">
        <v>57</v>
      </c>
      <c r="C73" t="s">
        <v>66</v>
      </c>
      <c r="D73" t="s">
        <v>67</v>
      </c>
      <c r="E73" t="s">
        <v>66</v>
      </c>
      <c r="F73" t="s">
        <v>67</v>
      </c>
      <c r="G73" s="3">
        <v>46054</v>
      </c>
      <c r="H73" s="2">
        <v>28.92</v>
      </c>
      <c r="I73" t="s">
        <v>180</v>
      </c>
      <c r="J73" t="s">
        <v>181</v>
      </c>
      <c r="K73" t="s">
        <v>182</v>
      </c>
      <c r="L73" s="3">
        <v>45859</v>
      </c>
      <c r="M73" s="3">
        <v>45870</v>
      </c>
      <c r="N73" t="s">
        <v>0</v>
      </c>
      <c r="O73">
        <v>2</v>
      </c>
      <c r="P73" t="s">
        <v>51</v>
      </c>
      <c r="Q73" t="s">
        <v>70</v>
      </c>
      <c r="R73" t="s">
        <v>53</v>
      </c>
      <c r="S73" t="s">
        <v>0</v>
      </c>
      <c r="T73" s="3">
        <v>45870</v>
      </c>
      <c r="U73" t="s">
        <v>63</v>
      </c>
      <c r="V73" t="s">
        <v>115</v>
      </c>
      <c r="W73" t="s">
        <v>56</v>
      </c>
      <c r="X73" t="s">
        <v>0</v>
      </c>
    </row>
    <row r="74" spans="1:24" x14ac:dyDescent="0.25">
      <c r="A74" t="s">
        <v>13</v>
      </c>
      <c r="B74" t="s">
        <v>44</v>
      </c>
      <c r="C74" t="s">
        <v>66</v>
      </c>
      <c r="D74" t="s">
        <v>67</v>
      </c>
      <c r="E74" t="s">
        <v>47</v>
      </c>
      <c r="F74" t="s">
        <v>4</v>
      </c>
      <c r="G74" s="3">
        <v>46054</v>
      </c>
      <c r="H74" s="2">
        <v>2.08</v>
      </c>
      <c r="I74" t="s">
        <v>180</v>
      </c>
      <c r="J74" t="s">
        <v>181</v>
      </c>
      <c r="K74" t="s">
        <v>182</v>
      </c>
      <c r="L74" s="3">
        <v>45859</v>
      </c>
      <c r="M74" s="3">
        <v>45870</v>
      </c>
      <c r="N74" t="s">
        <v>0</v>
      </c>
      <c r="O74">
        <v>2</v>
      </c>
      <c r="P74" t="s">
        <v>51</v>
      </c>
      <c r="Q74" t="s">
        <v>70</v>
      </c>
      <c r="R74" t="s">
        <v>53</v>
      </c>
      <c r="S74" t="s">
        <v>0</v>
      </c>
      <c r="T74" s="3">
        <v>45870</v>
      </c>
      <c r="U74" t="s">
        <v>63</v>
      </c>
      <c r="V74" t="s">
        <v>115</v>
      </c>
      <c r="W74" t="s">
        <v>56</v>
      </c>
      <c r="X74" t="s">
        <v>0</v>
      </c>
    </row>
    <row r="75" spans="1:24" x14ac:dyDescent="0.25">
      <c r="A75" t="s">
        <v>13</v>
      </c>
      <c r="B75" t="s">
        <v>44</v>
      </c>
      <c r="C75" t="s">
        <v>183</v>
      </c>
      <c r="D75" t="s">
        <v>184</v>
      </c>
      <c r="E75" t="s">
        <v>47</v>
      </c>
      <c r="F75" t="s">
        <v>4</v>
      </c>
      <c r="G75" s="3">
        <v>46054</v>
      </c>
      <c r="H75" s="2">
        <v>2.08</v>
      </c>
      <c r="I75" t="s">
        <v>185</v>
      </c>
      <c r="J75" t="s">
        <v>186</v>
      </c>
      <c r="K75" t="s">
        <v>187</v>
      </c>
      <c r="L75" s="3">
        <v>45661</v>
      </c>
      <c r="M75" s="3">
        <v>45689</v>
      </c>
      <c r="N75" t="s">
        <v>0</v>
      </c>
      <c r="O75">
        <v>2</v>
      </c>
      <c r="P75" t="s">
        <v>51</v>
      </c>
      <c r="Q75" t="s">
        <v>62</v>
      </c>
      <c r="R75" t="s">
        <v>53</v>
      </c>
      <c r="S75" t="s">
        <v>0</v>
      </c>
      <c r="T75" s="3">
        <v>45689</v>
      </c>
      <c r="U75" t="s">
        <v>63</v>
      </c>
      <c r="V75" t="s">
        <v>188</v>
      </c>
      <c r="W75" t="s">
        <v>189</v>
      </c>
      <c r="X75" t="s">
        <v>0</v>
      </c>
    </row>
    <row r="76" spans="1:24" x14ac:dyDescent="0.25">
      <c r="A76" t="s">
        <v>13</v>
      </c>
      <c r="B76" t="s">
        <v>57</v>
      </c>
      <c r="C76" t="s">
        <v>183</v>
      </c>
      <c r="D76" t="s">
        <v>184</v>
      </c>
      <c r="E76" t="s">
        <v>183</v>
      </c>
      <c r="F76" t="s">
        <v>184</v>
      </c>
      <c r="G76" s="3">
        <v>46054</v>
      </c>
      <c r="H76" s="2">
        <v>28.92</v>
      </c>
      <c r="I76" t="s">
        <v>185</v>
      </c>
      <c r="J76" t="s">
        <v>186</v>
      </c>
      <c r="K76" t="s">
        <v>187</v>
      </c>
      <c r="L76" s="3">
        <v>45661</v>
      </c>
      <c r="M76" s="3">
        <v>45689</v>
      </c>
      <c r="N76" t="s">
        <v>0</v>
      </c>
      <c r="O76">
        <v>2</v>
      </c>
      <c r="P76" t="s">
        <v>51</v>
      </c>
      <c r="Q76" t="s">
        <v>62</v>
      </c>
      <c r="R76" t="s">
        <v>53</v>
      </c>
      <c r="S76" t="s">
        <v>0</v>
      </c>
      <c r="T76" s="3">
        <v>45689</v>
      </c>
      <c r="U76" t="s">
        <v>63</v>
      </c>
      <c r="V76" t="s">
        <v>188</v>
      </c>
      <c r="W76" t="s">
        <v>189</v>
      </c>
      <c r="X76" t="s">
        <v>0</v>
      </c>
    </row>
    <row r="77" spans="1:24" x14ac:dyDescent="0.25">
      <c r="A77" t="s">
        <v>13</v>
      </c>
      <c r="B77" t="s">
        <v>57</v>
      </c>
      <c r="C77" t="s">
        <v>175</v>
      </c>
      <c r="D77" t="s">
        <v>176</v>
      </c>
      <c r="E77" t="s">
        <v>175</v>
      </c>
      <c r="F77" t="s">
        <v>176</v>
      </c>
      <c r="G77" s="3">
        <v>46054</v>
      </c>
      <c r="H77" s="2">
        <v>28.92</v>
      </c>
      <c r="I77" t="s">
        <v>190</v>
      </c>
      <c r="J77" t="s">
        <v>191</v>
      </c>
      <c r="K77" t="s">
        <v>192</v>
      </c>
      <c r="L77" s="3">
        <v>45862</v>
      </c>
      <c r="M77" s="3">
        <v>45870</v>
      </c>
      <c r="N77" t="s">
        <v>0</v>
      </c>
      <c r="O77">
        <v>2</v>
      </c>
      <c r="P77" t="s">
        <v>51</v>
      </c>
      <c r="Q77" t="s">
        <v>62</v>
      </c>
      <c r="R77" t="s">
        <v>53</v>
      </c>
      <c r="S77" t="s">
        <v>0</v>
      </c>
      <c r="T77" s="3">
        <v>45870</v>
      </c>
      <c r="U77" t="s">
        <v>63</v>
      </c>
      <c r="V77" t="s">
        <v>64</v>
      </c>
      <c r="W77" t="s">
        <v>65</v>
      </c>
      <c r="X77" t="s">
        <v>0</v>
      </c>
    </row>
    <row r="78" spans="1:24" x14ac:dyDescent="0.25">
      <c r="A78" t="s">
        <v>13</v>
      </c>
      <c r="B78" t="s">
        <v>44</v>
      </c>
      <c r="C78" t="s">
        <v>175</v>
      </c>
      <c r="D78" t="s">
        <v>176</v>
      </c>
      <c r="E78" t="s">
        <v>47</v>
      </c>
      <c r="F78" t="s">
        <v>4</v>
      </c>
      <c r="G78" s="3">
        <v>46054</v>
      </c>
      <c r="H78" s="2">
        <v>2.08</v>
      </c>
      <c r="I78" t="s">
        <v>190</v>
      </c>
      <c r="J78" t="s">
        <v>191</v>
      </c>
      <c r="K78" t="s">
        <v>192</v>
      </c>
      <c r="L78" s="3">
        <v>45862</v>
      </c>
      <c r="M78" s="3">
        <v>45870</v>
      </c>
      <c r="N78" t="s">
        <v>0</v>
      </c>
      <c r="O78">
        <v>2</v>
      </c>
      <c r="P78" t="s">
        <v>51</v>
      </c>
      <c r="Q78" t="s">
        <v>62</v>
      </c>
      <c r="R78" t="s">
        <v>53</v>
      </c>
      <c r="S78" t="s">
        <v>0</v>
      </c>
      <c r="T78" s="3">
        <v>45870</v>
      </c>
      <c r="U78" t="s">
        <v>63</v>
      </c>
      <c r="V78" t="s">
        <v>64</v>
      </c>
      <c r="W78" t="s">
        <v>65</v>
      </c>
      <c r="X78" t="s">
        <v>0</v>
      </c>
    </row>
    <row r="79" spans="1:24" x14ac:dyDescent="0.25">
      <c r="A79" t="s">
        <v>13</v>
      </c>
      <c r="B79" t="s">
        <v>57</v>
      </c>
      <c r="C79" t="s">
        <v>175</v>
      </c>
      <c r="D79" t="s">
        <v>176</v>
      </c>
      <c r="E79" t="s">
        <v>175</v>
      </c>
      <c r="F79" t="s">
        <v>176</v>
      </c>
      <c r="G79" s="3">
        <v>46054</v>
      </c>
      <c r="H79" s="2">
        <v>28.92</v>
      </c>
      <c r="I79" t="s">
        <v>193</v>
      </c>
      <c r="J79" t="s">
        <v>194</v>
      </c>
      <c r="K79" t="s">
        <v>195</v>
      </c>
      <c r="L79" s="3">
        <v>45857</v>
      </c>
      <c r="M79" s="3">
        <v>45870</v>
      </c>
      <c r="N79" t="s">
        <v>0</v>
      </c>
      <c r="O79">
        <v>2</v>
      </c>
      <c r="P79" t="s">
        <v>53</v>
      </c>
      <c r="Q79" t="s">
        <v>70</v>
      </c>
      <c r="R79" t="s">
        <v>53</v>
      </c>
      <c r="S79" t="s">
        <v>0</v>
      </c>
      <c r="T79" s="3">
        <v>45870</v>
      </c>
      <c r="U79" t="s">
        <v>63</v>
      </c>
      <c r="V79" t="s">
        <v>71</v>
      </c>
      <c r="W79" t="s">
        <v>56</v>
      </c>
      <c r="X79" t="s">
        <v>0</v>
      </c>
    </row>
    <row r="80" spans="1:24" x14ac:dyDescent="0.25">
      <c r="A80" t="s">
        <v>13</v>
      </c>
      <c r="B80" t="s">
        <v>44</v>
      </c>
      <c r="C80" t="s">
        <v>175</v>
      </c>
      <c r="D80" t="s">
        <v>176</v>
      </c>
      <c r="E80" t="s">
        <v>47</v>
      </c>
      <c r="F80" t="s">
        <v>4</v>
      </c>
      <c r="G80" s="3">
        <v>46054</v>
      </c>
      <c r="H80" s="2">
        <v>2.08</v>
      </c>
      <c r="I80" t="s">
        <v>193</v>
      </c>
      <c r="J80" t="s">
        <v>194</v>
      </c>
      <c r="K80" t="s">
        <v>195</v>
      </c>
      <c r="L80" s="3">
        <v>45857</v>
      </c>
      <c r="M80" s="3">
        <v>45870</v>
      </c>
      <c r="N80" t="s">
        <v>0</v>
      </c>
      <c r="O80">
        <v>2</v>
      </c>
      <c r="P80" t="s">
        <v>53</v>
      </c>
      <c r="Q80" t="s">
        <v>70</v>
      </c>
      <c r="R80" t="s">
        <v>53</v>
      </c>
      <c r="S80" t="s">
        <v>0</v>
      </c>
      <c r="T80" s="3">
        <v>45870</v>
      </c>
      <c r="U80" t="s">
        <v>63</v>
      </c>
      <c r="V80" t="s">
        <v>71</v>
      </c>
      <c r="W80" t="s">
        <v>56</v>
      </c>
      <c r="X80" t="s">
        <v>0</v>
      </c>
    </row>
    <row r="81" spans="1:24" x14ac:dyDescent="0.25">
      <c r="A81" t="s">
        <v>112</v>
      </c>
      <c r="B81" t="s">
        <v>44</v>
      </c>
      <c r="C81" t="s">
        <v>45</v>
      </c>
      <c r="D81" t="s">
        <v>46</v>
      </c>
      <c r="E81" t="s">
        <v>47</v>
      </c>
      <c r="F81" t="s">
        <v>4</v>
      </c>
      <c r="G81" s="3">
        <v>46023</v>
      </c>
      <c r="H81" s="2">
        <v>-2.08</v>
      </c>
      <c r="I81" t="s">
        <v>196</v>
      </c>
      <c r="J81" t="s">
        <v>197</v>
      </c>
      <c r="K81" t="s">
        <v>198</v>
      </c>
      <c r="L81" s="3">
        <v>45925</v>
      </c>
      <c r="M81" s="3">
        <v>45992</v>
      </c>
      <c r="N81" s="3">
        <v>46022</v>
      </c>
      <c r="O81">
        <v>2</v>
      </c>
      <c r="P81" t="s">
        <v>51</v>
      </c>
      <c r="Q81" t="s">
        <v>52</v>
      </c>
      <c r="R81" t="s">
        <v>53</v>
      </c>
      <c r="S81" t="s">
        <v>0</v>
      </c>
      <c r="T81" s="3">
        <v>45992</v>
      </c>
      <c r="U81" t="s">
        <v>76</v>
      </c>
      <c r="V81" t="s">
        <v>199</v>
      </c>
      <c r="W81" t="s">
        <v>56</v>
      </c>
      <c r="X81" t="s">
        <v>0</v>
      </c>
    </row>
    <row r="82" spans="1:24" x14ac:dyDescent="0.25">
      <c r="A82" t="s">
        <v>112</v>
      </c>
      <c r="B82" t="s">
        <v>57</v>
      </c>
      <c r="C82" t="s">
        <v>45</v>
      </c>
      <c r="D82" t="s">
        <v>46</v>
      </c>
      <c r="E82" t="s">
        <v>45</v>
      </c>
      <c r="F82" t="s">
        <v>46</v>
      </c>
      <c r="G82" s="3">
        <v>46023</v>
      </c>
      <c r="H82" s="2">
        <v>-32.58</v>
      </c>
      <c r="I82" t="s">
        <v>196</v>
      </c>
      <c r="J82" t="s">
        <v>197</v>
      </c>
      <c r="K82" t="s">
        <v>198</v>
      </c>
      <c r="L82" s="3">
        <v>45925</v>
      </c>
      <c r="M82" s="3">
        <v>45992</v>
      </c>
      <c r="N82" s="3">
        <v>46022</v>
      </c>
      <c r="O82">
        <v>2</v>
      </c>
      <c r="P82" t="s">
        <v>51</v>
      </c>
      <c r="Q82" t="s">
        <v>52</v>
      </c>
      <c r="R82" t="s">
        <v>53</v>
      </c>
      <c r="S82" t="s">
        <v>0</v>
      </c>
      <c r="T82" s="3">
        <v>45992</v>
      </c>
      <c r="U82" t="s">
        <v>76</v>
      </c>
      <c r="V82" t="s">
        <v>199</v>
      </c>
      <c r="W82" t="s">
        <v>56</v>
      </c>
      <c r="X82" t="s">
        <v>0</v>
      </c>
    </row>
    <row r="83" spans="1:24" x14ac:dyDescent="0.25">
      <c r="A83" t="s">
        <v>13</v>
      </c>
      <c r="B83" t="s">
        <v>44</v>
      </c>
      <c r="C83" t="s">
        <v>200</v>
      </c>
      <c r="D83" t="s">
        <v>201</v>
      </c>
      <c r="E83" t="s">
        <v>47</v>
      </c>
      <c r="F83" t="s">
        <v>4</v>
      </c>
      <c r="G83" s="3">
        <v>46054</v>
      </c>
      <c r="H83" s="2">
        <v>2.08</v>
      </c>
      <c r="I83">
        <v>20055281801</v>
      </c>
      <c r="J83" t="s">
        <v>202</v>
      </c>
      <c r="K83" t="s">
        <v>203</v>
      </c>
      <c r="L83" s="3">
        <v>45756</v>
      </c>
      <c r="M83" s="3">
        <v>45778</v>
      </c>
      <c r="N83" t="s">
        <v>0</v>
      </c>
      <c r="O83">
        <v>2</v>
      </c>
      <c r="P83" t="s">
        <v>140</v>
      </c>
      <c r="Q83" t="s">
        <v>70</v>
      </c>
      <c r="R83" t="s">
        <v>53</v>
      </c>
      <c r="S83" t="s">
        <v>0</v>
      </c>
      <c r="T83" s="3">
        <v>45778</v>
      </c>
      <c r="U83" t="s">
        <v>63</v>
      </c>
      <c r="V83" t="s">
        <v>71</v>
      </c>
      <c r="W83" t="s">
        <v>56</v>
      </c>
      <c r="X83" t="s">
        <v>0</v>
      </c>
    </row>
    <row r="84" spans="1:24" x14ac:dyDescent="0.25">
      <c r="A84" t="s">
        <v>13</v>
      </c>
      <c r="B84" t="s">
        <v>57</v>
      </c>
      <c r="C84" t="s">
        <v>200</v>
      </c>
      <c r="D84" t="s">
        <v>201</v>
      </c>
      <c r="E84" t="s">
        <v>200</v>
      </c>
      <c r="F84" t="s">
        <v>201</v>
      </c>
      <c r="G84" s="3">
        <v>46054</v>
      </c>
      <c r="H84" s="2">
        <v>0</v>
      </c>
      <c r="I84">
        <v>20055281801</v>
      </c>
      <c r="J84" t="s">
        <v>202</v>
      </c>
      <c r="K84" t="s">
        <v>203</v>
      </c>
      <c r="L84" s="3">
        <v>45756</v>
      </c>
      <c r="M84" s="3">
        <v>45778</v>
      </c>
      <c r="N84" t="s">
        <v>0</v>
      </c>
      <c r="O84">
        <v>2</v>
      </c>
      <c r="P84" t="s">
        <v>140</v>
      </c>
      <c r="Q84" t="s">
        <v>70</v>
      </c>
      <c r="R84" t="s">
        <v>53</v>
      </c>
      <c r="S84" t="s">
        <v>0</v>
      </c>
      <c r="T84" s="3">
        <v>45778</v>
      </c>
      <c r="U84" t="s">
        <v>63</v>
      </c>
      <c r="V84" t="s">
        <v>71</v>
      </c>
      <c r="W84" t="s">
        <v>56</v>
      </c>
      <c r="X84" t="s">
        <v>0</v>
      </c>
    </row>
    <row r="85" spans="1:24" x14ac:dyDescent="0.25">
      <c r="A85" t="s">
        <v>13</v>
      </c>
      <c r="B85" t="s">
        <v>44</v>
      </c>
      <c r="C85" t="s">
        <v>86</v>
      </c>
      <c r="D85" t="s">
        <v>87</v>
      </c>
      <c r="E85" t="s">
        <v>47</v>
      </c>
      <c r="F85" t="s">
        <v>4</v>
      </c>
      <c r="G85" s="3">
        <v>46054</v>
      </c>
      <c r="H85" s="2">
        <v>2.08</v>
      </c>
      <c r="I85" t="s">
        <v>204</v>
      </c>
      <c r="J85" t="s">
        <v>205</v>
      </c>
      <c r="K85" t="s">
        <v>206</v>
      </c>
      <c r="L85" s="3">
        <v>45614</v>
      </c>
      <c r="M85" s="3">
        <v>45658</v>
      </c>
      <c r="N85" t="s">
        <v>0</v>
      </c>
      <c r="O85">
        <v>6</v>
      </c>
      <c r="P85" t="s">
        <v>53</v>
      </c>
      <c r="Q85" t="s">
        <v>141</v>
      </c>
      <c r="R85" t="s">
        <v>53</v>
      </c>
      <c r="S85" t="s">
        <v>0</v>
      </c>
      <c r="T85" s="3">
        <v>45658</v>
      </c>
      <c r="U85" t="s">
        <v>207</v>
      </c>
      <c r="V85" t="s">
        <v>208</v>
      </c>
      <c r="W85" t="s">
        <v>56</v>
      </c>
      <c r="X85" t="s">
        <v>0</v>
      </c>
    </row>
    <row r="86" spans="1:24" x14ac:dyDescent="0.25">
      <c r="A86" t="s">
        <v>13</v>
      </c>
      <c r="B86" t="s">
        <v>57</v>
      </c>
      <c r="C86" t="s">
        <v>86</v>
      </c>
      <c r="D86" t="s">
        <v>87</v>
      </c>
      <c r="E86" t="s">
        <v>86</v>
      </c>
      <c r="F86" t="s">
        <v>87</v>
      </c>
      <c r="G86" s="3">
        <v>46054</v>
      </c>
      <c r="H86" s="2">
        <v>28.92</v>
      </c>
      <c r="I86" t="s">
        <v>204</v>
      </c>
      <c r="J86" t="s">
        <v>205</v>
      </c>
      <c r="K86" t="s">
        <v>206</v>
      </c>
      <c r="L86" s="3">
        <v>45614</v>
      </c>
      <c r="M86" s="3">
        <v>45658</v>
      </c>
      <c r="N86" t="s">
        <v>0</v>
      </c>
      <c r="O86">
        <v>6</v>
      </c>
      <c r="P86" t="s">
        <v>53</v>
      </c>
      <c r="Q86" t="s">
        <v>141</v>
      </c>
      <c r="R86" t="s">
        <v>53</v>
      </c>
      <c r="S86" t="s">
        <v>0</v>
      </c>
      <c r="T86" s="3">
        <v>45658</v>
      </c>
      <c r="U86" t="s">
        <v>207</v>
      </c>
      <c r="V86" t="s">
        <v>208</v>
      </c>
      <c r="W86" t="s">
        <v>56</v>
      </c>
      <c r="X86" t="s">
        <v>0</v>
      </c>
    </row>
    <row r="87" spans="1:24" x14ac:dyDescent="0.25">
      <c r="A87" t="s">
        <v>13</v>
      </c>
      <c r="B87" t="s">
        <v>57</v>
      </c>
      <c r="C87" t="s">
        <v>66</v>
      </c>
      <c r="D87" t="s">
        <v>67</v>
      </c>
      <c r="E87" t="s">
        <v>66</v>
      </c>
      <c r="F87" t="s">
        <v>67</v>
      </c>
      <c r="G87" s="3">
        <v>46054</v>
      </c>
      <c r="H87" s="2">
        <v>28.92</v>
      </c>
      <c r="I87" t="s">
        <v>209</v>
      </c>
      <c r="J87" t="s">
        <v>210</v>
      </c>
      <c r="K87" t="s">
        <v>211</v>
      </c>
      <c r="L87" s="3">
        <v>45678</v>
      </c>
      <c r="M87" s="3">
        <v>45689</v>
      </c>
      <c r="N87" t="s">
        <v>0</v>
      </c>
      <c r="O87">
        <v>6</v>
      </c>
      <c r="P87" t="s">
        <v>53</v>
      </c>
      <c r="Q87" t="s">
        <v>70</v>
      </c>
      <c r="R87" t="s">
        <v>53</v>
      </c>
      <c r="S87" t="s">
        <v>0</v>
      </c>
      <c r="T87" s="3">
        <v>45689</v>
      </c>
      <c r="U87" t="s">
        <v>63</v>
      </c>
      <c r="V87" t="s">
        <v>71</v>
      </c>
      <c r="W87" t="s">
        <v>56</v>
      </c>
      <c r="X87" t="s">
        <v>0</v>
      </c>
    </row>
    <row r="88" spans="1:24" x14ac:dyDescent="0.25">
      <c r="A88" t="s">
        <v>13</v>
      </c>
      <c r="B88" t="s">
        <v>44</v>
      </c>
      <c r="C88" t="s">
        <v>66</v>
      </c>
      <c r="D88" t="s">
        <v>67</v>
      </c>
      <c r="E88" t="s">
        <v>47</v>
      </c>
      <c r="F88" t="s">
        <v>4</v>
      </c>
      <c r="G88" s="3">
        <v>46054</v>
      </c>
      <c r="H88" s="2">
        <v>2.08</v>
      </c>
      <c r="I88" t="s">
        <v>209</v>
      </c>
      <c r="J88" t="s">
        <v>210</v>
      </c>
      <c r="K88" t="s">
        <v>211</v>
      </c>
      <c r="L88" s="3">
        <v>45678</v>
      </c>
      <c r="M88" s="3">
        <v>45689</v>
      </c>
      <c r="N88" t="s">
        <v>0</v>
      </c>
      <c r="O88">
        <v>6</v>
      </c>
      <c r="P88" t="s">
        <v>53</v>
      </c>
      <c r="Q88" t="s">
        <v>70</v>
      </c>
      <c r="R88" t="s">
        <v>53</v>
      </c>
      <c r="S88" t="s">
        <v>0</v>
      </c>
      <c r="T88" s="3">
        <v>45689</v>
      </c>
      <c r="U88" t="s">
        <v>63</v>
      </c>
      <c r="V88" t="s">
        <v>71</v>
      </c>
      <c r="W88" t="s">
        <v>56</v>
      </c>
      <c r="X88" t="s">
        <v>0</v>
      </c>
    </row>
    <row r="89" spans="1:24" x14ac:dyDescent="0.25">
      <c r="A89" t="s">
        <v>13</v>
      </c>
      <c r="B89" t="s">
        <v>57</v>
      </c>
      <c r="C89" t="s">
        <v>72</v>
      </c>
      <c r="D89" t="s">
        <v>73</v>
      </c>
      <c r="E89" t="s">
        <v>72</v>
      </c>
      <c r="F89" t="s">
        <v>73</v>
      </c>
      <c r="G89" s="3">
        <v>46054</v>
      </c>
      <c r="H89" s="2">
        <v>32.58</v>
      </c>
      <c r="I89" t="s">
        <v>212</v>
      </c>
      <c r="J89" t="s">
        <v>213</v>
      </c>
      <c r="K89" t="s">
        <v>214</v>
      </c>
      <c r="L89" s="3">
        <v>45681</v>
      </c>
      <c r="M89" s="3">
        <v>45689</v>
      </c>
      <c r="N89" t="s">
        <v>0</v>
      </c>
      <c r="O89">
        <v>2</v>
      </c>
      <c r="P89" t="s">
        <v>140</v>
      </c>
      <c r="Q89" t="s">
        <v>52</v>
      </c>
      <c r="R89" t="s">
        <v>53</v>
      </c>
      <c r="S89" t="s">
        <v>0</v>
      </c>
      <c r="T89" s="3">
        <v>45689</v>
      </c>
      <c r="U89" t="s">
        <v>54</v>
      </c>
      <c r="V89" t="s">
        <v>55</v>
      </c>
      <c r="W89" t="s">
        <v>56</v>
      </c>
      <c r="X89" t="s">
        <v>0</v>
      </c>
    </row>
    <row r="90" spans="1:24" x14ac:dyDescent="0.25">
      <c r="A90" t="s">
        <v>13</v>
      </c>
      <c r="B90" t="s">
        <v>44</v>
      </c>
      <c r="C90" t="s">
        <v>72</v>
      </c>
      <c r="D90" t="s">
        <v>73</v>
      </c>
      <c r="E90" t="s">
        <v>47</v>
      </c>
      <c r="F90" t="s">
        <v>4</v>
      </c>
      <c r="G90" s="3">
        <v>46054</v>
      </c>
      <c r="H90" s="2">
        <v>2.08</v>
      </c>
      <c r="I90" t="s">
        <v>212</v>
      </c>
      <c r="J90" t="s">
        <v>213</v>
      </c>
      <c r="K90" t="s">
        <v>214</v>
      </c>
      <c r="L90" s="3">
        <v>45681</v>
      </c>
      <c r="M90" s="3">
        <v>45689</v>
      </c>
      <c r="N90" t="s">
        <v>0</v>
      </c>
      <c r="O90">
        <v>2</v>
      </c>
      <c r="P90" t="s">
        <v>140</v>
      </c>
      <c r="Q90" t="s">
        <v>52</v>
      </c>
      <c r="R90" t="s">
        <v>53</v>
      </c>
      <c r="S90" t="s">
        <v>0</v>
      </c>
      <c r="T90" s="3">
        <v>45689</v>
      </c>
      <c r="U90" t="s">
        <v>54</v>
      </c>
      <c r="V90" t="s">
        <v>55</v>
      </c>
      <c r="W90" t="s">
        <v>56</v>
      </c>
      <c r="X90" t="s">
        <v>0</v>
      </c>
    </row>
    <row r="91" spans="1:24" x14ac:dyDescent="0.25">
      <c r="A91" t="s">
        <v>112</v>
      </c>
      <c r="B91" t="s">
        <v>57</v>
      </c>
      <c r="C91" t="s">
        <v>167</v>
      </c>
      <c r="D91" t="s">
        <v>168</v>
      </c>
      <c r="E91" t="s">
        <v>167</v>
      </c>
      <c r="F91" t="s">
        <v>168</v>
      </c>
      <c r="G91" s="3">
        <v>46023</v>
      </c>
      <c r="H91" s="2">
        <v>-28.92</v>
      </c>
      <c r="I91" t="s">
        <v>215</v>
      </c>
      <c r="J91" t="s">
        <v>216</v>
      </c>
      <c r="K91" t="s">
        <v>217</v>
      </c>
      <c r="L91" s="3">
        <v>45645</v>
      </c>
      <c r="M91" s="3">
        <v>45658</v>
      </c>
      <c r="N91" s="3">
        <v>46022</v>
      </c>
      <c r="O91">
        <v>6</v>
      </c>
      <c r="P91" t="s">
        <v>53</v>
      </c>
      <c r="Q91" t="s">
        <v>172</v>
      </c>
      <c r="R91" t="s">
        <v>53</v>
      </c>
      <c r="S91" t="s">
        <v>0</v>
      </c>
      <c r="T91" s="3">
        <v>45658</v>
      </c>
      <c r="U91" t="s">
        <v>173</v>
      </c>
      <c r="V91" t="s">
        <v>218</v>
      </c>
      <c r="W91" t="s">
        <v>56</v>
      </c>
      <c r="X91" t="s">
        <v>0</v>
      </c>
    </row>
    <row r="92" spans="1:24" x14ac:dyDescent="0.25">
      <c r="A92" t="s">
        <v>112</v>
      </c>
      <c r="B92" t="s">
        <v>44</v>
      </c>
      <c r="C92" t="s">
        <v>167</v>
      </c>
      <c r="D92" t="s">
        <v>168</v>
      </c>
      <c r="E92" t="s">
        <v>47</v>
      </c>
      <c r="F92" t="s">
        <v>4</v>
      </c>
      <c r="G92" s="3">
        <v>46023</v>
      </c>
      <c r="H92" s="2">
        <v>-2.08</v>
      </c>
      <c r="I92" t="s">
        <v>215</v>
      </c>
      <c r="J92" t="s">
        <v>216</v>
      </c>
      <c r="K92" t="s">
        <v>217</v>
      </c>
      <c r="L92" s="3">
        <v>45645</v>
      </c>
      <c r="M92" s="3">
        <v>45658</v>
      </c>
      <c r="N92" s="3">
        <v>46022</v>
      </c>
      <c r="O92">
        <v>6</v>
      </c>
      <c r="P92" t="s">
        <v>53</v>
      </c>
      <c r="Q92" t="s">
        <v>172</v>
      </c>
      <c r="R92" t="s">
        <v>53</v>
      </c>
      <c r="S92" t="s">
        <v>0</v>
      </c>
      <c r="T92" s="3">
        <v>45658</v>
      </c>
      <c r="U92" t="s">
        <v>173</v>
      </c>
      <c r="V92" t="s">
        <v>218</v>
      </c>
      <c r="W92" t="s">
        <v>56</v>
      </c>
      <c r="X92" t="s">
        <v>0</v>
      </c>
    </row>
    <row r="93" spans="1:24" x14ac:dyDescent="0.25">
      <c r="A93" t="s">
        <v>13</v>
      </c>
      <c r="B93" t="s">
        <v>57</v>
      </c>
      <c r="C93" t="s">
        <v>219</v>
      </c>
      <c r="D93" t="s">
        <v>220</v>
      </c>
      <c r="E93" t="s">
        <v>219</v>
      </c>
      <c r="F93" t="s">
        <v>220</v>
      </c>
      <c r="G93" s="3">
        <v>46054</v>
      </c>
      <c r="H93" s="2">
        <v>28.92</v>
      </c>
      <c r="I93" t="s">
        <v>221</v>
      </c>
      <c r="J93" t="s">
        <v>222</v>
      </c>
      <c r="K93" t="s">
        <v>223</v>
      </c>
      <c r="L93" s="3">
        <v>45951</v>
      </c>
      <c r="M93" s="3">
        <v>45962</v>
      </c>
      <c r="N93" t="s">
        <v>0</v>
      </c>
      <c r="O93">
        <v>2</v>
      </c>
      <c r="P93" t="s">
        <v>51</v>
      </c>
      <c r="Q93" t="s">
        <v>70</v>
      </c>
      <c r="R93" t="s">
        <v>53</v>
      </c>
      <c r="S93" t="s">
        <v>0</v>
      </c>
      <c r="T93" s="3">
        <v>45962</v>
      </c>
      <c r="U93" t="s">
        <v>63</v>
      </c>
      <c r="V93" t="s">
        <v>71</v>
      </c>
      <c r="W93" t="s">
        <v>56</v>
      </c>
      <c r="X93" t="s">
        <v>0</v>
      </c>
    </row>
    <row r="94" spans="1:24" x14ac:dyDescent="0.25">
      <c r="A94" t="s">
        <v>13</v>
      </c>
      <c r="B94" t="s">
        <v>44</v>
      </c>
      <c r="C94" t="s">
        <v>219</v>
      </c>
      <c r="D94" t="s">
        <v>220</v>
      </c>
      <c r="E94" t="s">
        <v>47</v>
      </c>
      <c r="F94" t="s">
        <v>4</v>
      </c>
      <c r="G94" s="3">
        <v>46054</v>
      </c>
      <c r="H94" s="2">
        <v>2.08</v>
      </c>
      <c r="I94" t="s">
        <v>221</v>
      </c>
      <c r="J94" t="s">
        <v>222</v>
      </c>
      <c r="K94" t="s">
        <v>223</v>
      </c>
      <c r="L94" s="3">
        <v>45951</v>
      </c>
      <c r="M94" s="3">
        <v>45962</v>
      </c>
      <c r="N94" t="s">
        <v>0</v>
      </c>
      <c r="O94">
        <v>2</v>
      </c>
      <c r="P94" t="s">
        <v>51</v>
      </c>
      <c r="Q94" t="s">
        <v>70</v>
      </c>
      <c r="R94" t="s">
        <v>53</v>
      </c>
      <c r="S94" t="s">
        <v>0</v>
      </c>
      <c r="T94" s="3">
        <v>45962</v>
      </c>
      <c r="U94" t="s">
        <v>63</v>
      </c>
      <c r="V94" t="s">
        <v>71</v>
      </c>
      <c r="W94" t="s">
        <v>56</v>
      </c>
      <c r="X94" t="s">
        <v>0</v>
      </c>
    </row>
    <row r="95" spans="1:24" x14ac:dyDescent="0.25">
      <c r="A95" t="s">
        <v>112</v>
      </c>
      <c r="B95" t="s">
        <v>57</v>
      </c>
      <c r="C95" t="s">
        <v>72</v>
      </c>
      <c r="D95" t="s">
        <v>73</v>
      </c>
      <c r="E95" t="s">
        <v>72</v>
      </c>
      <c r="F95" t="s">
        <v>73</v>
      </c>
      <c r="G95" s="3">
        <v>46023</v>
      </c>
      <c r="H95" s="2">
        <v>-32.58</v>
      </c>
      <c r="I95">
        <v>37221945</v>
      </c>
      <c r="J95" t="s">
        <v>224</v>
      </c>
      <c r="K95" t="s">
        <v>225</v>
      </c>
      <c r="L95" s="3">
        <v>45632</v>
      </c>
      <c r="M95" s="3">
        <v>45658</v>
      </c>
      <c r="N95" s="3">
        <v>46022</v>
      </c>
      <c r="O95">
        <v>11</v>
      </c>
      <c r="P95" t="s">
        <v>53</v>
      </c>
      <c r="Q95" t="s">
        <v>52</v>
      </c>
      <c r="R95" t="s">
        <v>53</v>
      </c>
      <c r="S95" t="s">
        <v>0</v>
      </c>
      <c r="T95" s="3">
        <v>45658</v>
      </c>
      <c r="U95" t="s">
        <v>54</v>
      </c>
      <c r="V95" t="s">
        <v>55</v>
      </c>
      <c r="W95" t="s">
        <v>56</v>
      </c>
      <c r="X95" t="s">
        <v>0</v>
      </c>
    </row>
    <row r="96" spans="1:24" x14ac:dyDescent="0.25">
      <c r="A96" t="s">
        <v>112</v>
      </c>
      <c r="B96" t="s">
        <v>44</v>
      </c>
      <c r="C96" t="s">
        <v>72</v>
      </c>
      <c r="D96" t="s">
        <v>73</v>
      </c>
      <c r="E96" t="s">
        <v>47</v>
      </c>
      <c r="F96" t="s">
        <v>4</v>
      </c>
      <c r="G96" s="3">
        <v>46023</v>
      </c>
      <c r="H96" s="2">
        <v>-2.08</v>
      </c>
      <c r="I96">
        <v>37221945</v>
      </c>
      <c r="J96" t="s">
        <v>224</v>
      </c>
      <c r="K96" t="s">
        <v>225</v>
      </c>
      <c r="L96" s="3">
        <v>45632</v>
      </c>
      <c r="M96" s="3">
        <v>45658</v>
      </c>
      <c r="N96" s="3">
        <v>46022</v>
      </c>
      <c r="O96">
        <v>11</v>
      </c>
      <c r="P96" t="s">
        <v>53</v>
      </c>
      <c r="Q96" t="s">
        <v>52</v>
      </c>
      <c r="R96" t="s">
        <v>53</v>
      </c>
      <c r="S96" t="s">
        <v>0</v>
      </c>
      <c r="T96" s="3">
        <v>45658</v>
      </c>
      <c r="U96" t="s">
        <v>54</v>
      </c>
      <c r="V96" t="s">
        <v>55</v>
      </c>
      <c r="W96" t="s">
        <v>56</v>
      </c>
      <c r="X9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914B-AE91-489A-B847-97DDCF05684A}">
  <dimension ref="A1:Y95"/>
  <sheetViews>
    <sheetView tabSelected="1" topLeftCell="A71" workbookViewId="0">
      <selection activeCell="O2" sqref="O2:O47"/>
    </sheetView>
  </sheetViews>
  <sheetFormatPr defaultRowHeight="15" x14ac:dyDescent="0.25"/>
  <cols>
    <col min="1" max="1" width="20" customWidth="1"/>
    <col min="2" max="2" width="10.28515625" bestFit="1" customWidth="1"/>
    <col min="3" max="3" width="20.7109375" bestFit="1" customWidth="1"/>
    <col min="4" max="4" width="10.42578125" bestFit="1" customWidth="1"/>
    <col min="5" max="5" width="15" bestFit="1" customWidth="1"/>
    <col min="6" max="6" width="12" style="9" bestFit="1" customWidth="1"/>
    <col min="7" max="7" width="12.85546875" style="9" bestFit="1" customWidth="1"/>
    <col min="8" max="8" width="20.42578125" bestFit="1" customWidth="1"/>
    <col min="9" max="9" width="12.140625" bestFit="1" customWidth="1"/>
    <col min="10" max="10" width="13" bestFit="1" customWidth="1"/>
    <col min="11" max="11" width="10.28515625" bestFit="1" customWidth="1"/>
    <col min="12" max="12" width="8.7109375" bestFit="1" customWidth="1"/>
    <col min="13" max="13" width="18.85546875" bestFit="1" customWidth="1"/>
    <col min="14" max="14" width="21.5703125" bestFit="1" customWidth="1"/>
    <col min="15" max="15" width="23.140625" bestFit="1" customWidth="1"/>
  </cols>
  <sheetData>
    <row r="1" spans="1:17" x14ac:dyDescent="0.25">
      <c r="A1" t="s">
        <v>22</v>
      </c>
      <c r="B1" t="s">
        <v>25</v>
      </c>
      <c r="C1" t="s">
        <v>26</v>
      </c>
      <c r="D1" t="s">
        <v>27</v>
      </c>
      <c r="E1" s="2" t="s">
        <v>28</v>
      </c>
      <c r="F1" s="9" t="s">
        <v>29</v>
      </c>
      <c r="H1" t="s">
        <v>31</v>
      </c>
      <c r="I1" t="s">
        <v>33</v>
      </c>
      <c r="J1" t="s">
        <v>36</v>
      </c>
      <c r="K1" t="s">
        <v>37</v>
      </c>
      <c r="L1" t="s">
        <v>38</v>
      </c>
      <c r="M1" t="s">
        <v>40</v>
      </c>
    </row>
    <row r="2" spans="1:17" x14ac:dyDescent="0.25">
      <c r="A2" t="s">
        <v>57</v>
      </c>
      <c r="B2" s="4">
        <v>17528908</v>
      </c>
      <c r="C2" t="s">
        <v>73</v>
      </c>
      <c r="D2" s="3">
        <v>46023</v>
      </c>
      <c r="E2" s="2">
        <v>-32.58</v>
      </c>
      <c r="F2" s="9">
        <v>37221945</v>
      </c>
      <c r="G2" s="9" t="str">
        <f>CONCATENATE(F2,26)</f>
        <v>3722194526</v>
      </c>
      <c r="H2" t="s">
        <v>225</v>
      </c>
      <c r="I2" s="3">
        <v>45658</v>
      </c>
      <c r="J2" t="s">
        <v>53</v>
      </c>
      <c r="K2" t="s">
        <v>52</v>
      </c>
      <c r="L2" t="s">
        <v>53</v>
      </c>
      <c r="M2" s="3">
        <v>45658</v>
      </c>
      <c r="N2" t="s">
        <v>227</v>
      </c>
      <c r="O2" t="s">
        <v>230</v>
      </c>
      <c r="Q2">
        <f>391/12</f>
        <v>32.583333333333336</v>
      </c>
    </row>
    <row r="3" spans="1:17" x14ac:dyDescent="0.25">
      <c r="A3" t="s">
        <v>57</v>
      </c>
      <c r="B3" s="4" t="s">
        <v>226</v>
      </c>
      <c r="C3" t="s">
        <v>46</v>
      </c>
      <c r="D3" s="3">
        <v>46023</v>
      </c>
      <c r="E3" s="2">
        <v>-32.58</v>
      </c>
      <c r="F3" s="9" t="s">
        <v>196</v>
      </c>
      <c r="G3" s="9" t="str">
        <f t="shared" ref="G3:G47" si="0">CONCATENATE(F3,26)</f>
        <v>44F5L7H6426</v>
      </c>
      <c r="H3" t="s">
        <v>198</v>
      </c>
      <c r="I3" s="3">
        <v>45992</v>
      </c>
      <c r="J3" t="s">
        <v>51</v>
      </c>
      <c r="K3" t="s">
        <v>52</v>
      </c>
      <c r="L3" t="s">
        <v>53</v>
      </c>
      <c r="M3" s="3">
        <v>45992</v>
      </c>
      <c r="N3" t="s">
        <v>227</v>
      </c>
      <c r="O3" t="s">
        <v>230</v>
      </c>
    </row>
    <row r="4" spans="1:17" x14ac:dyDescent="0.25">
      <c r="A4" t="s">
        <v>57</v>
      </c>
      <c r="B4" s="4">
        <v>17528908</v>
      </c>
      <c r="C4" t="s">
        <v>73</v>
      </c>
      <c r="D4" s="3">
        <v>46054</v>
      </c>
      <c r="E4" s="2">
        <v>32.58</v>
      </c>
      <c r="F4" s="9">
        <v>36572120</v>
      </c>
      <c r="G4" s="9" t="str">
        <f t="shared" si="0"/>
        <v>3657212026</v>
      </c>
      <c r="H4" t="s">
        <v>75</v>
      </c>
      <c r="I4" s="3">
        <v>45658</v>
      </c>
      <c r="J4" t="s">
        <v>53</v>
      </c>
      <c r="K4" t="s">
        <v>52</v>
      </c>
      <c r="L4" t="s">
        <v>53</v>
      </c>
      <c r="M4" s="3">
        <v>45658</v>
      </c>
      <c r="N4" t="s">
        <v>227</v>
      </c>
      <c r="O4" t="s">
        <v>230</v>
      </c>
    </row>
    <row r="5" spans="1:17" x14ac:dyDescent="0.25">
      <c r="A5" t="s">
        <v>57</v>
      </c>
      <c r="B5" s="4">
        <v>17528908</v>
      </c>
      <c r="C5" t="s">
        <v>73</v>
      </c>
      <c r="D5" s="3">
        <v>46054</v>
      </c>
      <c r="E5" s="2">
        <v>32.58</v>
      </c>
      <c r="F5" s="9">
        <v>37169649</v>
      </c>
      <c r="G5" s="9" t="str">
        <f t="shared" si="0"/>
        <v>3716964926</v>
      </c>
      <c r="H5" t="s">
        <v>123</v>
      </c>
      <c r="I5" s="3">
        <v>45658</v>
      </c>
      <c r="J5" t="s">
        <v>53</v>
      </c>
      <c r="K5" t="s">
        <v>52</v>
      </c>
      <c r="L5" t="s">
        <v>53</v>
      </c>
      <c r="M5" s="3">
        <v>45658</v>
      </c>
      <c r="N5" t="s">
        <v>227</v>
      </c>
      <c r="O5" t="s">
        <v>230</v>
      </c>
    </row>
    <row r="6" spans="1:17" x14ac:dyDescent="0.25">
      <c r="A6" t="s">
        <v>57</v>
      </c>
      <c r="B6" s="4">
        <v>17528908</v>
      </c>
      <c r="C6" t="s">
        <v>73</v>
      </c>
      <c r="D6" s="3">
        <v>46054</v>
      </c>
      <c r="E6" s="2">
        <v>32.58</v>
      </c>
      <c r="F6" s="9">
        <v>37179535</v>
      </c>
      <c r="G6" s="9" t="str">
        <f t="shared" si="0"/>
        <v>3717953526</v>
      </c>
      <c r="H6" t="s">
        <v>125</v>
      </c>
      <c r="I6" s="3">
        <v>45658</v>
      </c>
      <c r="J6" t="s">
        <v>53</v>
      </c>
      <c r="K6" t="s">
        <v>52</v>
      </c>
      <c r="L6" t="s">
        <v>53</v>
      </c>
      <c r="M6" s="3">
        <v>45658</v>
      </c>
      <c r="N6" t="s">
        <v>227</v>
      </c>
      <c r="O6" t="s">
        <v>230</v>
      </c>
    </row>
    <row r="7" spans="1:17" x14ac:dyDescent="0.25">
      <c r="A7" t="s">
        <v>57</v>
      </c>
      <c r="B7" s="4">
        <v>17528908</v>
      </c>
      <c r="C7" t="s">
        <v>73</v>
      </c>
      <c r="D7" s="3">
        <v>46054</v>
      </c>
      <c r="E7" s="2">
        <v>32.58</v>
      </c>
      <c r="F7" s="9">
        <v>37214258</v>
      </c>
      <c r="G7" s="9" t="str">
        <f t="shared" si="0"/>
        <v>3721425826</v>
      </c>
      <c r="H7" t="s">
        <v>144</v>
      </c>
      <c r="I7" s="3">
        <v>45658</v>
      </c>
      <c r="J7" t="s">
        <v>53</v>
      </c>
      <c r="K7" t="s">
        <v>52</v>
      </c>
      <c r="L7" t="s">
        <v>53</v>
      </c>
      <c r="M7" s="3">
        <v>45658</v>
      </c>
      <c r="N7" t="s">
        <v>227</v>
      </c>
      <c r="O7" t="s">
        <v>230</v>
      </c>
    </row>
    <row r="8" spans="1:17" x14ac:dyDescent="0.25">
      <c r="A8" t="s">
        <v>57</v>
      </c>
      <c r="B8" s="4">
        <v>17528908</v>
      </c>
      <c r="C8" t="s">
        <v>73</v>
      </c>
      <c r="D8" s="3">
        <v>46054</v>
      </c>
      <c r="E8" s="2">
        <v>32.58</v>
      </c>
      <c r="F8" s="9" t="s">
        <v>212</v>
      </c>
      <c r="G8" s="9" t="str">
        <f t="shared" si="0"/>
        <v>75U2X9F1126</v>
      </c>
      <c r="H8" t="s">
        <v>214</v>
      </c>
      <c r="I8" s="3">
        <v>45689</v>
      </c>
      <c r="J8" t="s">
        <v>140</v>
      </c>
      <c r="K8" t="s">
        <v>52</v>
      </c>
      <c r="L8" t="s">
        <v>53</v>
      </c>
      <c r="M8" s="3">
        <v>45689</v>
      </c>
      <c r="N8" t="s">
        <v>227</v>
      </c>
      <c r="O8" t="s">
        <v>230</v>
      </c>
    </row>
    <row r="9" spans="1:17" x14ac:dyDescent="0.25">
      <c r="A9" t="s">
        <v>57</v>
      </c>
      <c r="B9" s="4" t="s">
        <v>226</v>
      </c>
      <c r="C9" t="s">
        <v>46</v>
      </c>
      <c r="D9" s="3">
        <v>46054</v>
      </c>
      <c r="E9" s="2">
        <v>32.58</v>
      </c>
      <c r="F9" s="9" t="s">
        <v>48</v>
      </c>
      <c r="G9" s="9" t="str">
        <f t="shared" si="0"/>
        <v>54L1L3X9926</v>
      </c>
      <c r="H9" t="s">
        <v>50</v>
      </c>
      <c r="I9" s="3">
        <v>45870</v>
      </c>
      <c r="J9" t="s">
        <v>51</v>
      </c>
      <c r="K9" t="s">
        <v>52</v>
      </c>
      <c r="L9" t="s">
        <v>53</v>
      </c>
      <c r="M9" s="3">
        <v>45870</v>
      </c>
      <c r="N9" t="s">
        <v>227</v>
      </c>
      <c r="O9" t="s">
        <v>230</v>
      </c>
    </row>
    <row r="10" spans="1:17" x14ac:dyDescent="0.25">
      <c r="A10" t="s">
        <v>57</v>
      </c>
      <c r="B10" s="4">
        <v>18710070</v>
      </c>
      <c r="C10" t="s">
        <v>46</v>
      </c>
      <c r="D10" s="3">
        <v>46054</v>
      </c>
      <c r="E10" s="2">
        <v>32.58</v>
      </c>
      <c r="F10" s="9">
        <v>37083379</v>
      </c>
      <c r="G10" s="9" t="str">
        <f t="shared" si="0"/>
        <v>3708337926</v>
      </c>
      <c r="H10" t="s">
        <v>79</v>
      </c>
      <c r="I10" s="3">
        <v>45658</v>
      </c>
      <c r="J10" t="s">
        <v>53</v>
      </c>
      <c r="K10" t="s">
        <v>52</v>
      </c>
      <c r="L10" t="s">
        <v>53</v>
      </c>
      <c r="M10" s="3">
        <v>45658</v>
      </c>
      <c r="N10" t="s">
        <v>227</v>
      </c>
      <c r="O10" t="s">
        <v>230</v>
      </c>
    </row>
    <row r="11" spans="1:17" x14ac:dyDescent="0.25">
      <c r="A11" t="s">
        <v>57</v>
      </c>
      <c r="B11" s="4">
        <v>18710070</v>
      </c>
      <c r="C11" t="s">
        <v>46</v>
      </c>
      <c r="D11" s="3">
        <v>46054</v>
      </c>
      <c r="E11" s="2">
        <v>32.58</v>
      </c>
      <c r="F11" s="9">
        <v>37084890</v>
      </c>
      <c r="G11" s="9" t="str">
        <f t="shared" si="0"/>
        <v>3708489026</v>
      </c>
      <c r="H11" t="s">
        <v>81</v>
      </c>
      <c r="I11" s="3">
        <v>45658</v>
      </c>
      <c r="J11" t="s">
        <v>53</v>
      </c>
      <c r="K11" t="s">
        <v>52</v>
      </c>
      <c r="L11" t="s">
        <v>53</v>
      </c>
      <c r="M11" s="3">
        <v>45658</v>
      </c>
      <c r="N11" t="s">
        <v>227</v>
      </c>
      <c r="O11" t="s">
        <v>230</v>
      </c>
    </row>
    <row r="12" spans="1:17" x14ac:dyDescent="0.25">
      <c r="A12" t="s">
        <v>57</v>
      </c>
      <c r="B12" s="4">
        <v>18710070</v>
      </c>
      <c r="C12" t="s">
        <v>46</v>
      </c>
      <c r="D12" s="3">
        <v>46054</v>
      </c>
      <c r="E12" s="2">
        <v>32.58</v>
      </c>
      <c r="F12" s="9">
        <v>37096700</v>
      </c>
      <c r="G12" s="9" t="str">
        <f t="shared" si="0"/>
        <v>3709670026</v>
      </c>
      <c r="H12" t="s">
        <v>92</v>
      </c>
      <c r="I12" s="3">
        <v>45658</v>
      </c>
      <c r="J12" t="s">
        <v>53</v>
      </c>
      <c r="K12" t="s">
        <v>52</v>
      </c>
      <c r="L12" t="s">
        <v>53</v>
      </c>
      <c r="M12" s="3">
        <v>45658</v>
      </c>
      <c r="N12" t="s">
        <v>227</v>
      </c>
      <c r="O12" t="s">
        <v>230</v>
      </c>
    </row>
    <row r="13" spans="1:17" x14ac:dyDescent="0.25">
      <c r="A13" t="s">
        <v>57</v>
      </c>
      <c r="B13" s="4">
        <v>18710070</v>
      </c>
      <c r="C13" t="s">
        <v>46</v>
      </c>
      <c r="D13" s="3">
        <v>46054</v>
      </c>
      <c r="E13" s="2">
        <v>32.58</v>
      </c>
      <c r="F13" s="9">
        <v>37096744</v>
      </c>
      <c r="G13" s="9" t="str">
        <f t="shared" si="0"/>
        <v>3709674426</v>
      </c>
      <c r="H13" t="s">
        <v>95</v>
      </c>
      <c r="I13" s="3">
        <v>45658</v>
      </c>
      <c r="J13" t="s">
        <v>53</v>
      </c>
      <c r="K13" t="s">
        <v>52</v>
      </c>
      <c r="L13" t="s">
        <v>53</v>
      </c>
      <c r="M13" s="3">
        <v>45658</v>
      </c>
      <c r="N13" t="s">
        <v>227</v>
      </c>
      <c r="O13" t="s">
        <v>230</v>
      </c>
    </row>
    <row r="14" spans="1:17" x14ac:dyDescent="0.25">
      <c r="A14" t="s">
        <v>57</v>
      </c>
      <c r="B14" s="4">
        <v>18710070</v>
      </c>
      <c r="C14" t="s">
        <v>46</v>
      </c>
      <c r="D14" s="3">
        <v>46054</v>
      </c>
      <c r="E14" s="2">
        <v>32.58</v>
      </c>
      <c r="F14" s="9">
        <v>37113514</v>
      </c>
      <c r="G14" s="9" t="str">
        <f t="shared" si="0"/>
        <v>3711351426</v>
      </c>
      <c r="H14" t="s">
        <v>100</v>
      </c>
      <c r="I14" s="3">
        <v>45658</v>
      </c>
      <c r="J14" t="s">
        <v>53</v>
      </c>
      <c r="K14" t="s">
        <v>52</v>
      </c>
      <c r="L14" t="s">
        <v>53</v>
      </c>
      <c r="M14" s="3">
        <v>45658</v>
      </c>
      <c r="N14" t="s">
        <v>227</v>
      </c>
      <c r="O14" t="s">
        <v>230</v>
      </c>
    </row>
    <row r="15" spans="1:17" x14ac:dyDescent="0.25">
      <c r="A15" t="s">
        <v>57</v>
      </c>
      <c r="B15" s="4">
        <v>18710070</v>
      </c>
      <c r="C15" t="s">
        <v>46</v>
      </c>
      <c r="D15" s="3">
        <v>46054</v>
      </c>
      <c r="E15" s="2">
        <v>32.58</v>
      </c>
      <c r="F15" s="9">
        <v>37115398</v>
      </c>
      <c r="G15" s="9" t="str">
        <f t="shared" si="0"/>
        <v>3711539826</v>
      </c>
      <c r="H15" t="s">
        <v>102</v>
      </c>
      <c r="I15" s="3">
        <v>45658</v>
      </c>
      <c r="J15" t="s">
        <v>53</v>
      </c>
      <c r="K15" t="s">
        <v>52</v>
      </c>
      <c r="L15" t="s">
        <v>53</v>
      </c>
      <c r="M15" s="3">
        <v>45658</v>
      </c>
      <c r="N15" t="s">
        <v>227</v>
      </c>
      <c r="O15" t="s">
        <v>230</v>
      </c>
    </row>
    <row r="16" spans="1:17" x14ac:dyDescent="0.25">
      <c r="A16" t="s">
        <v>57</v>
      </c>
      <c r="B16" s="4">
        <v>18710070</v>
      </c>
      <c r="C16" t="s">
        <v>46</v>
      </c>
      <c r="D16" s="3">
        <v>46054</v>
      </c>
      <c r="E16" s="2">
        <v>32.58</v>
      </c>
      <c r="F16" s="9">
        <v>37219598</v>
      </c>
      <c r="G16" s="9" t="str">
        <f t="shared" si="0"/>
        <v>3721959826</v>
      </c>
      <c r="H16" t="s">
        <v>146</v>
      </c>
      <c r="I16" s="3">
        <v>45658</v>
      </c>
      <c r="J16" t="s">
        <v>53</v>
      </c>
      <c r="K16" t="s">
        <v>52</v>
      </c>
      <c r="L16" t="s">
        <v>53</v>
      </c>
      <c r="M16" s="3">
        <v>45658</v>
      </c>
      <c r="N16" t="s">
        <v>227</v>
      </c>
      <c r="O16" t="s">
        <v>230</v>
      </c>
    </row>
    <row r="17" spans="1:25" x14ac:dyDescent="0.25">
      <c r="A17" t="s">
        <v>57</v>
      </c>
      <c r="B17" s="4">
        <v>18710070</v>
      </c>
      <c r="C17" t="s">
        <v>46</v>
      </c>
      <c r="D17" s="3">
        <v>46054</v>
      </c>
      <c r="E17" s="2">
        <v>32.58</v>
      </c>
      <c r="F17" s="9">
        <v>37226550</v>
      </c>
      <c r="G17" s="9" t="str">
        <f t="shared" si="0"/>
        <v>3722655026</v>
      </c>
      <c r="H17" t="s">
        <v>150</v>
      </c>
      <c r="I17" s="3">
        <v>45658</v>
      </c>
      <c r="J17" t="s">
        <v>53</v>
      </c>
      <c r="K17" t="s">
        <v>52</v>
      </c>
      <c r="L17" t="s">
        <v>53</v>
      </c>
      <c r="M17" s="3">
        <v>45658</v>
      </c>
      <c r="N17" t="s">
        <v>227</v>
      </c>
      <c r="O17" t="s">
        <v>230</v>
      </c>
    </row>
    <row r="18" spans="1:25" x14ac:dyDescent="0.25">
      <c r="A18" t="s">
        <v>57</v>
      </c>
      <c r="B18" s="4">
        <v>18710070</v>
      </c>
      <c r="C18" t="s">
        <v>46</v>
      </c>
      <c r="D18" s="3">
        <v>46054</v>
      </c>
      <c r="E18" s="2">
        <v>32.58</v>
      </c>
      <c r="F18" s="9">
        <v>37119416</v>
      </c>
      <c r="G18" s="9" t="str">
        <f t="shared" si="0"/>
        <v>3711941626</v>
      </c>
      <c r="H18" t="s">
        <v>110</v>
      </c>
      <c r="I18" s="3">
        <v>45597</v>
      </c>
      <c r="J18" t="s">
        <v>51</v>
      </c>
      <c r="K18" t="s">
        <v>52</v>
      </c>
      <c r="L18" t="s">
        <v>53</v>
      </c>
      <c r="M18" s="3">
        <v>45597</v>
      </c>
      <c r="N18" t="s">
        <v>227</v>
      </c>
      <c r="O18" t="s">
        <v>230</v>
      </c>
    </row>
    <row r="19" spans="1:25" x14ac:dyDescent="0.25">
      <c r="A19" t="s">
        <v>57</v>
      </c>
      <c r="B19" s="4">
        <v>16212649</v>
      </c>
      <c r="C19" t="s">
        <v>162</v>
      </c>
      <c r="D19" s="3">
        <v>46054</v>
      </c>
      <c r="E19" s="2">
        <v>32.58</v>
      </c>
      <c r="F19" s="9" t="s">
        <v>163</v>
      </c>
      <c r="G19" s="9" t="str">
        <f t="shared" si="0"/>
        <v>18R5U3H9426</v>
      </c>
      <c r="H19" t="s">
        <v>165</v>
      </c>
      <c r="I19" s="3">
        <v>45717</v>
      </c>
      <c r="J19" t="s">
        <v>140</v>
      </c>
      <c r="K19" t="s">
        <v>52</v>
      </c>
      <c r="L19" t="s">
        <v>53</v>
      </c>
      <c r="M19" s="3">
        <v>45717</v>
      </c>
      <c r="N19" t="s">
        <v>227</v>
      </c>
      <c r="O19" t="s">
        <v>230</v>
      </c>
    </row>
    <row r="20" spans="1:25" x14ac:dyDescent="0.25">
      <c r="A20" t="s">
        <v>57</v>
      </c>
      <c r="B20" s="4">
        <v>21104854</v>
      </c>
      <c r="C20" t="s">
        <v>129</v>
      </c>
      <c r="D20" s="3">
        <v>46023</v>
      </c>
      <c r="E20" s="2">
        <v>-28.92</v>
      </c>
      <c r="F20" s="9">
        <v>37180412</v>
      </c>
      <c r="G20" s="9" t="str">
        <f t="shared" si="0"/>
        <v>3718041226</v>
      </c>
      <c r="H20" t="s">
        <v>131</v>
      </c>
      <c r="I20" s="3">
        <v>45658</v>
      </c>
      <c r="J20" t="s">
        <v>53</v>
      </c>
      <c r="K20" t="s">
        <v>70</v>
      </c>
      <c r="L20" t="s">
        <v>53</v>
      </c>
      <c r="M20" s="3">
        <v>45658</v>
      </c>
      <c r="N20" t="s">
        <v>228</v>
      </c>
      <c r="O20" t="s">
        <v>231</v>
      </c>
    </row>
    <row r="21" spans="1:25" x14ac:dyDescent="0.25">
      <c r="A21" t="s">
        <v>57</v>
      </c>
      <c r="B21" s="4">
        <v>9213293</v>
      </c>
      <c r="C21" t="s">
        <v>67</v>
      </c>
      <c r="D21" s="3">
        <v>46023</v>
      </c>
      <c r="E21" s="2">
        <v>-28.92</v>
      </c>
      <c r="F21" s="9">
        <v>37143152</v>
      </c>
      <c r="G21" s="9" t="str">
        <f t="shared" si="0"/>
        <v>3714315226</v>
      </c>
      <c r="H21" t="s">
        <v>114</v>
      </c>
      <c r="I21" s="3">
        <v>45658</v>
      </c>
      <c r="J21" t="s">
        <v>53</v>
      </c>
      <c r="K21" t="s">
        <v>70</v>
      </c>
      <c r="L21" t="s">
        <v>53</v>
      </c>
      <c r="M21" s="3">
        <v>45658</v>
      </c>
      <c r="N21" t="s">
        <v>228</v>
      </c>
      <c r="O21" t="s">
        <v>231</v>
      </c>
    </row>
    <row r="22" spans="1:25" x14ac:dyDescent="0.25">
      <c r="A22" t="s">
        <v>57</v>
      </c>
      <c r="B22" s="4">
        <v>6634327</v>
      </c>
      <c r="C22" t="s">
        <v>168</v>
      </c>
      <c r="D22" s="3">
        <v>46023</v>
      </c>
      <c r="E22" s="2">
        <v>-28.92</v>
      </c>
      <c r="F22" s="9" t="s">
        <v>215</v>
      </c>
      <c r="G22" s="9" t="str">
        <f t="shared" si="0"/>
        <v>77U7H3F8826</v>
      </c>
      <c r="H22" t="s">
        <v>217</v>
      </c>
      <c r="I22" s="3">
        <v>45658</v>
      </c>
      <c r="J22" t="s">
        <v>53</v>
      </c>
      <c r="K22" t="s">
        <v>172</v>
      </c>
      <c r="L22" t="s">
        <v>53</v>
      </c>
      <c r="M22" s="3">
        <v>45658</v>
      </c>
      <c r="N22" t="s">
        <v>228</v>
      </c>
      <c r="O22" t="s">
        <v>231</v>
      </c>
    </row>
    <row r="23" spans="1:25" x14ac:dyDescent="0.25">
      <c r="A23" t="s">
        <v>57</v>
      </c>
      <c r="B23" s="4">
        <v>9079571</v>
      </c>
      <c r="C23" t="s">
        <v>59</v>
      </c>
      <c r="D23" s="3">
        <v>46054</v>
      </c>
      <c r="E23" s="2">
        <v>28.92</v>
      </c>
      <c r="F23" s="9">
        <v>35795594</v>
      </c>
      <c r="G23" s="9" t="str">
        <f t="shared" si="0"/>
        <v>3579559426</v>
      </c>
      <c r="H23" t="s">
        <v>61</v>
      </c>
      <c r="I23" s="3">
        <v>45566</v>
      </c>
      <c r="J23" t="s">
        <v>53</v>
      </c>
      <c r="K23" t="s">
        <v>62</v>
      </c>
      <c r="L23" t="s">
        <v>53</v>
      </c>
      <c r="M23" s="3">
        <v>45566</v>
      </c>
      <c r="N23" t="s">
        <v>228</v>
      </c>
      <c r="O23" t="s">
        <v>231</v>
      </c>
    </row>
    <row r="24" spans="1:25" x14ac:dyDescent="0.25">
      <c r="A24" t="s">
        <v>57</v>
      </c>
      <c r="B24" s="4">
        <v>19586992</v>
      </c>
      <c r="C24" t="s">
        <v>220</v>
      </c>
      <c r="D24" s="3">
        <v>46054</v>
      </c>
      <c r="E24" s="2">
        <v>28.92</v>
      </c>
      <c r="F24" s="9" t="s">
        <v>221</v>
      </c>
      <c r="G24" s="9" t="str">
        <f t="shared" si="0"/>
        <v>36A3X2H3926</v>
      </c>
      <c r="H24" t="s">
        <v>223</v>
      </c>
      <c r="I24" s="3">
        <v>45962</v>
      </c>
      <c r="J24" t="s">
        <v>51</v>
      </c>
      <c r="K24" t="s">
        <v>70</v>
      </c>
      <c r="L24" t="s">
        <v>53</v>
      </c>
      <c r="M24" s="3">
        <v>45962</v>
      </c>
      <c r="N24" t="s">
        <v>228</v>
      </c>
      <c r="O24" t="s">
        <v>231</v>
      </c>
    </row>
    <row r="25" spans="1:25" x14ac:dyDescent="0.25">
      <c r="A25" t="s">
        <v>57</v>
      </c>
      <c r="B25" s="4">
        <v>19681796</v>
      </c>
      <c r="C25" t="s">
        <v>176</v>
      </c>
      <c r="D25" s="3">
        <v>46054</v>
      </c>
      <c r="E25" s="2">
        <v>28.92</v>
      </c>
      <c r="F25" s="9" t="s">
        <v>177</v>
      </c>
      <c r="G25" s="9" t="str">
        <f t="shared" si="0"/>
        <v>31F5L5L7926</v>
      </c>
      <c r="H25" t="s">
        <v>179</v>
      </c>
      <c r="I25" s="3">
        <v>45839</v>
      </c>
      <c r="J25" t="s">
        <v>51</v>
      </c>
      <c r="K25" t="s">
        <v>70</v>
      </c>
      <c r="L25" t="s">
        <v>53</v>
      </c>
      <c r="M25" s="3">
        <v>45839</v>
      </c>
      <c r="N25" t="s">
        <v>228</v>
      </c>
      <c r="O25" t="s">
        <v>231</v>
      </c>
    </row>
    <row r="26" spans="1:25" x14ac:dyDescent="0.25">
      <c r="A26" t="s">
        <v>57</v>
      </c>
      <c r="B26" s="4">
        <v>19681796</v>
      </c>
      <c r="C26" t="s">
        <v>176</v>
      </c>
      <c r="D26" s="3">
        <v>46054</v>
      </c>
      <c r="E26" s="2">
        <v>28.92</v>
      </c>
      <c r="F26" s="9" t="s">
        <v>190</v>
      </c>
      <c r="G26" s="9" t="str">
        <f t="shared" si="0"/>
        <v>36F8L5X8926</v>
      </c>
      <c r="H26" t="s">
        <v>192</v>
      </c>
      <c r="I26" s="3">
        <v>45870</v>
      </c>
      <c r="J26" t="s">
        <v>51</v>
      </c>
      <c r="K26" t="s">
        <v>62</v>
      </c>
      <c r="L26" t="s">
        <v>53</v>
      </c>
      <c r="M26" s="3">
        <v>45870</v>
      </c>
      <c r="N26" t="s">
        <v>228</v>
      </c>
      <c r="O26" t="s">
        <v>231</v>
      </c>
    </row>
    <row r="27" spans="1:25" s="5" customFormat="1" x14ac:dyDescent="0.25">
      <c r="A27" t="s">
        <v>57</v>
      </c>
      <c r="B27" s="4">
        <v>19681796</v>
      </c>
      <c r="C27" t="s">
        <v>176</v>
      </c>
      <c r="D27" s="3">
        <v>46054</v>
      </c>
      <c r="E27" s="2">
        <v>28.92</v>
      </c>
      <c r="F27" s="9" t="s">
        <v>193</v>
      </c>
      <c r="G27" s="9" t="str">
        <f t="shared" si="0"/>
        <v>37A1R7X4526</v>
      </c>
      <c r="H27" t="s">
        <v>195</v>
      </c>
      <c r="I27" s="3">
        <v>45870</v>
      </c>
      <c r="J27" t="s">
        <v>53</v>
      </c>
      <c r="K27" t="s">
        <v>70</v>
      </c>
      <c r="L27" t="s">
        <v>53</v>
      </c>
      <c r="M27" s="3">
        <v>45870</v>
      </c>
      <c r="N27" t="s">
        <v>228</v>
      </c>
      <c r="O27" t="s">
        <v>231</v>
      </c>
      <c r="P27"/>
      <c r="Q27"/>
      <c r="R27"/>
      <c r="S27"/>
      <c r="T27"/>
      <c r="U27"/>
      <c r="V27"/>
      <c r="W27"/>
      <c r="X27"/>
      <c r="Y27"/>
    </row>
    <row r="28" spans="1:25" s="5" customFormat="1" x14ac:dyDescent="0.25">
      <c r="A28" t="s">
        <v>57</v>
      </c>
      <c r="B28" s="4">
        <v>8325282</v>
      </c>
      <c r="C28" t="s">
        <v>106</v>
      </c>
      <c r="D28" s="3">
        <v>46054</v>
      </c>
      <c r="E28" s="2">
        <v>28.92</v>
      </c>
      <c r="F28" s="9">
        <v>37116847</v>
      </c>
      <c r="G28" s="9" t="str">
        <f t="shared" si="0"/>
        <v>3711684726</v>
      </c>
      <c r="H28" t="s">
        <v>108</v>
      </c>
      <c r="I28" s="3">
        <v>45658</v>
      </c>
      <c r="J28" t="s">
        <v>53</v>
      </c>
      <c r="K28" t="s">
        <v>70</v>
      </c>
      <c r="L28" t="s">
        <v>53</v>
      </c>
      <c r="M28" s="3">
        <v>45658</v>
      </c>
      <c r="N28" t="s">
        <v>228</v>
      </c>
      <c r="O28" t="s">
        <v>231</v>
      </c>
      <c r="P28"/>
      <c r="Q28"/>
      <c r="R28"/>
      <c r="S28"/>
      <c r="T28"/>
      <c r="U28"/>
      <c r="V28"/>
      <c r="W28"/>
      <c r="X28"/>
      <c r="Y28"/>
    </row>
    <row r="29" spans="1:25" s="5" customFormat="1" x14ac:dyDescent="0.25">
      <c r="A29" t="s">
        <v>57</v>
      </c>
      <c r="B29" s="4">
        <v>8325282</v>
      </c>
      <c r="C29" t="s">
        <v>106</v>
      </c>
      <c r="D29" s="3">
        <v>46054</v>
      </c>
      <c r="E29" s="2">
        <v>28.92</v>
      </c>
      <c r="F29" s="9">
        <v>37196328</v>
      </c>
      <c r="G29" s="9" t="str">
        <f t="shared" si="0"/>
        <v>3719632826</v>
      </c>
      <c r="H29" t="s">
        <v>135</v>
      </c>
      <c r="I29" s="3">
        <v>45658</v>
      </c>
      <c r="J29" t="s">
        <v>53</v>
      </c>
      <c r="K29" t="s">
        <v>70</v>
      </c>
      <c r="L29" t="s">
        <v>53</v>
      </c>
      <c r="M29" s="3">
        <v>45658</v>
      </c>
      <c r="N29" t="s">
        <v>228</v>
      </c>
      <c r="O29" t="s">
        <v>231</v>
      </c>
      <c r="P29"/>
      <c r="Q29"/>
      <c r="R29"/>
      <c r="S29"/>
      <c r="T29"/>
      <c r="U29"/>
      <c r="V29"/>
      <c r="W29"/>
      <c r="X29"/>
      <c r="Y29"/>
    </row>
    <row r="30" spans="1:25" s="5" customFormat="1" x14ac:dyDescent="0.25">
      <c r="A30" t="s">
        <v>57</v>
      </c>
      <c r="B30" s="4">
        <v>9213293</v>
      </c>
      <c r="C30" t="s">
        <v>67</v>
      </c>
      <c r="D30" s="3">
        <v>46054</v>
      </c>
      <c r="E30" s="2">
        <v>28.92</v>
      </c>
      <c r="F30" s="9">
        <v>36411842</v>
      </c>
      <c r="G30" s="9" t="str">
        <f t="shared" si="0"/>
        <v>3641184226</v>
      </c>
      <c r="H30" t="s">
        <v>69</v>
      </c>
      <c r="I30" s="3">
        <v>45658</v>
      </c>
      <c r="J30" t="s">
        <v>53</v>
      </c>
      <c r="K30" t="s">
        <v>70</v>
      </c>
      <c r="L30" t="s">
        <v>53</v>
      </c>
      <c r="M30" s="3">
        <v>45658</v>
      </c>
      <c r="N30" t="s">
        <v>228</v>
      </c>
      <c r="O30" t="s">
        <v>231</v>
      </c>
      <c r="P30"/>
      <c r="Q30"/>
      <c r="R30"/>
      <c r="S30"/>
      <c r="T30"/>
      <c r="U30"/>
      <c r="V30"/>
      <c r="W30"/>
      <c r="X30"/>
      <c r="Y30"/>
    </row>
    <row r="31" spans="1:25" s="5" customFormat="1" x14ac:dyDescent="0.25">
      <c r="A31" t="s">
        <v>57</v>
      </c>
      <c r="B31" s="4">
        <v>9213293</v>
      </c>
      <c r="C31" t="s">
        <v>67</v>
      </c>
      <c r="D31" s="3">
        <v>46054</v>
      </c>
      <c r="E31" s="2">
        <v>28.92</v>
      </c>
      <c r="F31" s="9">
        <v>37103758</v>
      </c>
      <c r="G31" s="9" t="str">
        <f t="shared" si="0"/>
        <v>3710375826</v>
      </c>
      <c r="H31" t="s">
        <v>97</v>
      </c>
      <c r="I31" s="3">
        <v>45658</v>
      </c>
      <c r="J31" t="s">
        <v>51</v>
      </c>
      <c r="K31" t="s">
        <v>70</v>
      </c>
      <c r="L31" t="s">
        <v>53</v>
      </c>
      <c r="M31" s="3">
        <v>45658</v>
      </c>
      <c r="N31" t="s">
        <v>228</v>
      </c>
      <c r="O31" t="s">
        <v>231</v>
      </c>
      <c r="P31"/>
      <c r="Q31"/>
      <c r="R31"/>
      <c r="S31"/>
      <c r="T31"/>
      <c r="U31"/>
      <c r="V31"/>
      <c r="W31"/>
      <c r="X31"/>
      <c r="Y31"/>
    </row>
    <row r="32" spans="1:25" s="5" customFormat="1" x14ac:dyDescent="0.25">
      <c r="A32" t="s">
        <v>57</v>
      </c>
      <c r="B32" s="4">
        <v>9213293</v>
      </c>
      <c r="C32" t="s">
        <v>67</v>
      </c>
      <c r="D32" s="3">
        <v>46054</v>
      </c>
      <c r="E32" s="2">
        <v>28.92</v>
      </c>
      <c r="F32" s="9">
        <v>37116482</v>
      </c>
      <c r="G32" s="9" t="str">
        <f t="shared" si="0"/>
        <v>3711648226</v>
      </c>
      <c r="H32" t="s">
        <v>104</v>
      </c>
      <c r="I32" s="3">
        <v>45658</v>
      </c>
      <c r="J32" t="s">
        <v>53</v>
      </c>
      <c r="K32" t="s">
        <v>70</v>
      </c>
      <c r="L32" t="s">
        <v>53</v>
      </c>
      <c r="M32" s="3">
        <v>45658</v>
      </c>
      <c r="N32" t="s">
        <v>228</v>
      </c>
      <c r="O32" t="s">
        <v>231</v>
      </c>
      <c r="P32"/>
      <c r="Q32"/>
      <c r="R32"/>
      <c r="S32"/>
      <c r="T32"/>
      <c r="U32"/>
      <c r="V32"/>
      <c r="W32"/>
      <c r="X32"/>
      <c r="Y32"/>
    </row>
    <row r="33" spans="1:25" s="5" customFormat="1" x14ac:dyDescent="0.25">
      <c r="A33" t="s">
        <v>57</v>
      </c>
      <c r="B33" s="4">
        <v>9213293</v>
      </c>
      <c r="C33" t="s">
        <v>67</v>
      </c>
      <c r="D33" s="3">
        <v>46054</v>
      </c>
      <c r="E33" s="2">
        <v>28.92</v>
      </c>
      <c r="F33" s="9" t="s">
        <v>180</v>
      </c>
      <c r="G33" s="9" t="str">
        <f t="shared" si="0"/>
        <v>35X3H1X4126</v>
      </c>
      <c r="H33" t="s">
        <v>182</v>
      </c>
      <c r="I33" s="3">
        <v>45870</v>
      </c>
      <c r="J33" t="s">
        <v>51</v>
      </c>
      <c r="K33" t="s">
        <v>70</v>
      </c>
      <c r="L33" t="s">
        <v>53</v>
      </c>
      <c r="M33" s="3">
        <v>45870</v>
      </c>
      <c r="N33" t="s">
        <v>228</v>
      </c>
      <c r="O33" t="s">
        <v>231</v>
      </c>
      <c r="P33"/>
      <c r="Q33"/>
      <c r="R33"/>
      <c r="S33"/>
      <c r="T33"/>
      <c r="U33"/>
      <c r="V33"/>
      <c r="W33"/>
      <c r="X33"/>
      <c r="Y33"/>
    </row>
    <row r="34" spans="1:25" s="5" customFormat="1" x14ac:dyDescent="0.25">
      <c r="A34" t="s">
        <v>57</v>
      </c>
      <c r="B34" s="4">
        <v>9213293</v>
      </c>
      <c r="C34" t="s">
        <v>67</v>
      </c>
      <c r="D34" s="3">
        <v>46054</v>
      </c>
      <c r="E34" s="2">
        <v>28.92</v>
      </c>
      <c r="F34" s="9" t="s">
        <v>209</v>
      </c>
      <c r="G34" s="9" t="str">
        <f t="shared" si="0"/>
        <v>68X8X9H7426</v>
      </c>
      <c r="H34" t="s">
        <v>211</v>
      </c>
      <c r="I34" s="3">
        <v>45689</v>
      </c>
      <c r="J34" t="s">
        <v>53</v>
      </c>
      <c r="K34" t="s">
        <v>70</v>
      </c>
      <c r="L34" t="s">
        <v>53</v>
      </c>
      <c r="M34" s="3">
        <v>45689</v>
      </c>
      <c r="N34" t="s">
        <v>228</v>
      </c>
      <c r="O34" t="s">
        <v>231</v>
      </c>
      <c r="P34"/>
      <c r="Q34"/>
      <c r="R34"/>
      <c r="S34"/>
      <c r="T34"/>
      <c r="U34"/>
      <c r="V34"/>
      <c r="W34"/>
      <c r="X34"/>
      <c r="Y34"/>
    </row>
    <row r="35" spans="1:25" s="5" customFormat="1" x14ac:dyDescent="0.25">
      <c r="A35" t="s">
        <v>57</v>
      </c>
      <c r="B35" s="4">
        <v>17094718</v>
      </c>
      <c r="C35" t="s">
        <v>137</v>
      </c>
      <c r="D35" s="3">
        <v>46054</v>
      </c>
      <c r="E35" s="2">
        <v>28.92</v>
      </c>
      <c r="F35" s="9">
        <v>37198754</v>
      </c>
      <c r="G35" s="9" t="str">
        <f t="shared" si="0"/>
        <v>3719875426</v>
      </c>
      <c r="H35" t="s">
        <v>139</v>
      </c>
      <c r="I35" s="3">
        <v>45658</v>
      </c>
      <c r="J35" t="s">
        <v>140</v>
      </c>
      <c r="K35" t="s">
        <v>141</v>
      </c>
      <c r="L35" t="s">
        <v>53</v>
      </c>
      <c r="M35" s="3">
        <v>45658</v>
      </c>
      <c r="N35" t="s">
        <v>228</v>
      </c>
      <c r="O35" t="s">
        <v>231</v>
      </c>
      <c r="P35"/>
      <c r="Q35"/>
      <c r="R35"/>
      <c r="S35"/>
      <c r="T35"/>
      <c r="U35"/>
      <c r="V35"/>
      <c r="W35"/>
      <c r="X35"/>
      <c r="Y35"/>
    </row>
    <row r="36" spans="1:25" s="5" customFormat="1" x14ac:dyDescent="0.25">
      <c r="A36" t="s">
        <v>57</v>
      </c>
      <c r="B36" s="4">
        <v>18754354</v>
      </c>
      <c r="C36" t="s">
        <v>83</v>
      </c>
      <c r="D36" s="3">
        <v>46054</v>
      </c>
      <c r="E36" s="2">
        <v>28.92</v>
      </c>
      <c r="F36" s="9">
        <v>37085598</v>
      </c>
      <c r="G36" s="9" t="str">
        <f t="shared" si="0"/>
        <v>3708559826</v>
      </c>
      <c r="H36" t="s">
        <v>85</v>
      </c>
      <c r="I36" s="3">
        <v>45658</v>
      </c>
      <c r="J36" t="s">
        <v>53</v>
      </c>
      <c r="K36" t="s">
        <v>70</v>
      </c>
      <c r="L36" t="s">
        <v>53</v>
      </c>
      <c r="M36" s="3">
        <v>45658</v>
      </c>
      <c r="N36" t="s">
        <v>228</v>
      </c>
      <c r="O36" t="s">
        <v>231</v>
      </c>
      <c r="P36"/>
      <c r="Q36"/>
      <c r="R36"/>
      <c r="S36"/>
      <c r="T36"/>
      <c r="U36"/>
      <c r="V36"/>
      <c r="W36"/>
      <c r="X36"/>
      <c r="Y36"/>
    </row>
    <row r="37" spans="1:25" s="5" customFormat="1" x14ac:dyDescent="0.25">
      <c r="A37" t="s">
        <v>57</v>
      </c>
      <c r="B37" s="4">
        <v>18754354</v>
      </c>
      <c r="C37" t="s">
        <v>83</v>
      </c>
      <c r="D37" s="3">
        <v>46054</v>
      </c>
      <c r="E37" s="2">
        <v>28.92</v>
      </c>
      <c r="F37" s="9">
        <v>37169229</v>
      </c>
      <c r="G37" s="9" t="str">
        <f t="shared" si="0"/>
        <v>3716922926</v>
      </c>
      <c r="H37" t="s">
        <v>121</v>
      </c>
      <c r="I37" s="3">
        <v>45658</v>
      </c>
      <c r="J37" t="s">
        <v>53</v>
      </c>
      <c r="K37" t="s">
        <v>70</v>
      </c>
      <c r="L37" t="s">
        <v>53</v>
      </c>
      <c r="M37" s="3">
        <v>45658</v>
      </c>
      <c r="N37" t="s">
        <v>228</v>
      </c>
      <c r="O37" t="s">
        <v>231</v>
      </c>
      <c r="P37"/>
      <c r="Q37"/>
      <c r="R37"/>
      <c r="S37"/>
      <c r="T37"/>
      <c r="U37"/>
      <c r="V37"/>
      <c r="W37"/>
      <c r="X37"/>
      <c r="Y37"/>
    </row>
    <row r="38" spans="1:25" s="5" customFormat="1" x14ac:dyDescent="0.25">
      <c r="A38" t="s">
        <v>57</v>
      </c>
      <c r="B38" s="4">
        <v>6634327</v>
      </c>
      <c r="C38" t="s">
        <v>168</v>
      </c>
      <c r="D38" s="3">
        <v>46054</v>
      </c>
      <c r="E38" s="2">
        <v>28.92</v>
      </c>
      <c r="F38" s="9" t="s">
        <v>169</v>
      </c>
      <c r="G38" s="9" t="str">
        <f t="shared" si="0"/>
        <v>21X7R9U9726</v>
      </c>
      <c r="H38" t="s">
        <v>171</v>
      </c>
      <c r="I38" s="3">
        <v>45717</v>
      </c>
      <c r="J38" t="s">
        <v>53</v>
      </c>
      <c r="K38" t="s">
        <v>172</v>
      </c>
      <c r="L38" t="s">
        <v>53</v>
      </c>
      <c r="M38" s="3">
        <v>45717</v>
      </c>
      <c r="N38" t="s">
        <v>228</v>
      </c>
      <c r="O38" t="s">
        <v>231</v>
      </c>
      <c r="P38"/>
      <c r="Q38"/>
      <c r="R38"/>
      <c r="S38"/>
      <c r="T38"/>
      <c r="U38"/>
      <c r="V38"/>
      <c r="W38"/>
      <c r="X38"/>
      <c r="Y38"/>
    </row>
    <row r="39" spans="1:25" s="5" customFormat="1" x14ac:dyDescent="0.25">
      <c r="A39" t="s">
        <v>57</v>
      </c>
      <c r="B39" s="4">
        <v>19200754</v>
      </c>
      <c r="C39" t="s">
        <v>157</v>
      </c>
      <c r="D39" s="3">
        <v>46054</v>
      </c>
      <c r="E39" s="2">
        <v>28.92</v>
      </c>
      <c r="F39" s="9" t="s">
        <v>158</v>
      </c>
      <c r="G39" s="9" t="str">
        <f t="shared" si="0"/>
        <v>11A2A7X2226</v>
      </c>
      <c r="H39" t="s">
        <v>160</v>
      </c>
      <c r="I39" s="3">
        <v>45931</v>
      </c>
      <c r="J39" t="s">
        <v>51</v>
      </c>
      <c r="K39" t="s">
        <v>70</v>
      </c>
      <c r="L39" t="s">
        <v>53</v>
      </c>
      <c r="M39" s="3">
        <v>45931</v>
      </c>
      <c r="N39" t="s">
        <v>228</v>
      </c>
      <c r="O39" t="s">
        <v>231</v>
      </c>
      <c r="P39"/>
      <c r="Q39"/>
      <c r="R39"/>
      <c r="S39"/>
      <c r="T39"/>
      <c r="U39"/>
      <c r="V39"/>
      <c r="W39"/>
      <c r="X39"/>
      <c r="Y39"/>
    </row>
    <row r="40" spans="1:25" s="5" customFormat="1" x14ac:dyDescent="0.25">
      <c r="A40" t="s">
        <v>57</v>
      </c>
      <c r="B40" s="4">
        <v>19615078</v>
      </c>
      <c r="C40" t="s">
        <v>87</v>
      </c>
      <c r="D40" s="3">
        <v>46054</v>
      </c>
      <c r="E40" s="2">
        <v>28.92</v>
      </c>
      <c r="F40" s="9">
        <v>37088787</v>
      </c>
      <c r="G40" s="9" t="str">
        <f t="shared" si="0"/>
        <v>3708878726</v>
      </c>
      <c r="H40" t="s">
        <v>89</v>
      </c>
      <c r="I40" s="3">
        <v>45658</v>
      </c>
      <c r="J40" t="s">
        <v>53</v>
      </c>
      <c r="K40" t="s">
        <v>70</v>
      </c>
      <c r="L40" t="s">
        <v>53</v>
      </c>
      <c r="M40" s="3">
        <v>45658</v>
      </c>
      <c r="N40" t="s">
        <v>228</v>
      </c>
      <c r="O40" t="s">
        <v>231</v>
      </c>
      <c r="P40"/>
      <c r="Q40"/>
      <c r="R40"/>
      <c r="S40"/>
      <c r="T40"/>
      <c r="U40"/>
      <c r="V40"/>
      <c r="W40"/>
      <c r="X40"/>
      <c r="Y40"/>
    </row>
    <row r="41" spans="1:25" s="5" customFormat="1" x14ac:dyDescent="0.25">
      <c r="A41" t="s">
        <v>57</v>
      </c>
      <c r="B41" s="4">
        <v>19615078</v>
      </c>
      <c r="C41" t="s">
        <v>87</v>
      </c>
      <c r="D41" s="3">
        <v>46054</v>
      </c>
      <c r="E41" s="2">
        <v>28.92</v>
      </c>
      <c r="F41" s="9">
        <v>37156525</v>
      </c>
      <c r="G41" s="9" t="str">
        <f t="shared" si="0"/>
        <v>3715652526</v>
      </c>
      <c r="H41" t="s">
        <v>117</v>
      </c>
      <c r="I41" s="3">
        <v>45658</v>
      </c>
      <c r="J41" t="s">
        <v>53</v>
      </c>
      <c r="K41" t="s">
        <v>70</v>
      </c>
      <c r="L41" t="s">
        <v>53</v>
      </c>
      <c r="M41" s="3">
        <v>45658</v>
      </c>
      <c r="N41" t="s">
        <v>228</v>
      </c>
      <c r="O41" t="s">
        <v>231</v>
      </c>
      <c r="P41"/>
      <c r="Q41"/>
      <c r="R41"/>
      <c r="S41"/>
      <c r="T41"/>
      <c r="U41"/>
      <c r="V41"/>
      <c r="W41"/>
      <c r="X41"/>
      <c r="Y41"/>
    </row>
    <row r="42" spans="1:25" s="5" customFormat="1" x14ac:dyDescent="0.25">
      <c r="A42" t="s">
        <v>57</v>
      </c>
      <c r="B42" s="4">
        <v>19615078</v>
      </c>
      <c r="C42" t="s">
        <v>87</v>
      </c>
      <c r="D42" s="3">
        <v>46054</v>
      </c>
      <c r="E42" s="2">
        <v>28.92</v>
      </c>
      <c r="F42" s="9">
        <v>37156527</v>
      </c>
      <c r="G42" s="9" t="str">
        <f t="shared" si="0"/>
        <v>3715652726</v>
      </c>
      <c r="H42" t="s">
        <v>119</v>
      </c>
      <c r="I42" s="3">
        <v>45658</v>
      </c>
      <c r="J42" t="s">
        <v>53</v>
      </c>
      <c r="K42" t="s">
        <v>70</v>
      </c>
      <c r="L42" t="s">
        <v>53</v>
      </c>
      <c r="M42" s="3">
        <v>45658</v>
      </c>
      <c r="N42" t="s">
        <v>228</v>
      </c>
      <c r="O42" t="s">
        <v>231</v>
      </c>
      <c r="P42"/>
      <c r="Q42"/>
      <c r="R42"/>
      <c r="S42"/>
      <c r="T42"/>
      <c r="U42"/>
      <c r="V42"/>
      <c r="W42"/>
      <c r="X42"/>
      <c r="Y42"/>
    </row>
    <row r="43" spans="1:25" s="5" customFormat="1" x14ac:dyDescent="0.25">
      <c r="A43" t="s">
        <v>57</v>
      </c>
      <c r="B43" s="4">
        <v>19615078</v>
      </c>
      <c r="C43" t="s">
        <v>87</v>
      </c>
      <c r="D43" s="3">
        <v>46054</v>
      </c>
      <c r="E43" s="2">
        <v>28.92</v>
      </c>
      <c r="F43" s="9">
        <v>37179870</v>
      </c>
      <c r="G43" s="9" t="str">
        <f t="shared" si="0"/>
        <v>3717987026</v>
      </c>
      <c r="H43" t="s">
        <v>127</v>
      </c>
      <c r="I43" s="3">
        <v>45658</v>
      </c>
      <c r="J43" t="s">
        <v>53</v>
      </c>
      <c r="K43" t="s">
        <v>70</v>
      </c>
      <c r="L43" t="s">
        <v>53</v>
      </c>
      <c r="M43" s="3">
        <v>45658</v>
      </c>
      <c r="N43" t="s">
        <v>228</v>
      </c>
      <c r="O43" t="s">
        <v>231</v>
      </c>
      <c r="P43"/>
      <c r="Q43"/>
      <c r="R43"/>
      <c r="S43"/>
      <c r="T43"/>
      <c r="U43"/>
      <c r="V43"/>
      <c r="W43"/>
      <c r="X43"/>
      <c r="Y43"/>
    </row>
    <row r="44" spans="1:25" s="5" customFormat="1" x14ac:dyDescent="0.25">
      <c r="A44" t="s">
        <v>57</v>
      </c>
      <c r="B44" s="4">
        <v>19615078</v>
      </c>
      <c r="C44" t="s">
        <v>87</v>
      </c>
      <c r="D44" s="3">
        <v>46054</v>
      </c>
      <c r="E44" s="2">
        <v>28.92</v>
      </c>
      <c r="F44" s="9">
        <v>37193407</v>
      </c>
      <c r="G44" s="9" t="str">
        <f t="shared" si="0"/>
        <v>3719340726</v>
      </c>
      <c r="H44" t="s">
        <v>133</v>
      </c>
      <c r="I44" s="3">
        <v>45658</v>
      </c>
      <c r="J44" t="s">
        <v>53</v>
      </c>
      <c r="K44" t="s">
        <v>70</v>
      </c>
      <c r="L44" t="s">
        <v>53</v>
      </c>
      <c r="M44" s="3">
        <v>45658</v>
      </c>
      <c r="N44" t="s">
        <v>228</v>
      </c>
      <c r="O44" t="s">
        <v>231</v>
      </c>
      <c r="P44"/>
      <c r="Q44"/>
      <c r="R44"/>
      <c r="S44"/>
      <c r="T44"/>
      <c r="U44"/>
      <c r="V44"/>
      <c r="W44"/>
      <c r="X44"/>
      <c r="Y44"/>
    </row>
    <row r="45" spans="1:25" s="5" customFormat="1" x14ac:dyDescent="0.25">
      <c r="A45" t="s">
        <v>57</v>
      </c>
      <c r="B45" s="4">
        <v>19615078</v>
      </c>
      <c r="C45" t="s">
        <v>87</v>
      </c>
      <c r="D45" s="3">
        <v>46054</v>
      </c>
      <c r="E45" s="2">
        <v>28.92</v>
      </c>
      <c r="F45" s="9">
        <v>37220075</v>
      </c>
      <c r="G45" s="9" t="str">
        <f t="shared" si="0"/>
        <v>3722007526</v>
      </c>
      <c r="H45" t="s">
        <v>148</v>
      </c>
      <c r="I45" s="3">
        <v>45658</v>
      </c>
      <c r="J45" t="s">
        <v>53</v>
      </c>
      <c r="K45" t="s">
        <v>70</v>
      </c>
      <c r="L45" t="s">
        <v>53</v>
      </c>
      <c r="M45" s="3">
        <v>45658</v>
      </c>
      <c r="N45" t="s">
        <v>228</v>
      </c>
      <c r="O45" t="s">
        <v>231</v>
      </c>
      <c r="P45"/>
      <c r="Q45"/>
      <c r="R45"/>
      <c r="S45"/>
      <c r="T45"/>
      <c r="U45"/>
      <c r="V45"/>
      <c r="W45"/>
      <c r="X45"/>
      <c r="Y45"/>
    </row>
    <row r="46" spans="1:25" s="5" customFormat="1" x14ac:dyDescent="0.25">
      <c r="A46" t="s">
        <v>57</v>
      </c>
      <c r="B46" s="4">
        <v>19615078</v>
      </c>
      <c r="C46" t="s">
        <v>87</v>
      </c>
      <c r="D46" s="3">
        <v>46054</v>
      </c>
      <c r="E46" s="2">
        <v>28.92</v>
      </c>
      <c r="F46" s="9" t="s">
        <v>204</v>
      </c>
      <c r="G46" s="9" t="str">
        <f t="shared" si="0"/>
        <v>48L8X7R4426</v>
      </c>
      <c r="H46" t="s">
        <v>206</v>
      </c>
      <c r="I46" s="3">
        <v>45658</v>
      </c>
      <c r="J46" t="s">
        <v>53</v>
      </c>
      <c r="K46" t="s">
        <v>141</v>
      </c>
      <c r="L46" t="s">
        <v>53</v>
      </c>
      <c r="M46" s="3">
        <v>45658</v>
      </c>
      <c r="N46" t="s">
        <v>228</v>
      </c>
      <c r="O46" t="s">
        <v>231</v>
      </c>
      <c r="P46"/>
      <c r="Q46"/>
      <c r="R46"/>
      <c r="S46"/>
      <c r="T46"/>
      <c r="U46"/>
      <c r="V46"/>
      <c r="W46"/>
      <c r="X46"/>
      <c r="Y46"/>
    </row>
    <row r="47" spans="1:25" s="5" customFormat="1" x14ac:dyDescent="0.25">
      <c r="A47" t="s">
        <v>57</v>
      </c>
      <c r="B47" s="4">
        <v>19645587</v>
      </c>
      <c r="C47" t="s">
        <v>184</v>
      </c>
      <c r="D47" s="3">
        <v>46054</v>
      </c>
      <c r="E47" s="2">
        <v>28.92</v>
      </c>
      <c r="F47" s="9" t="s">
        <v>185</v>
      </c>
      <c r="G47" s="9" t="str">
        <f t="shared" si="0"/>
        <v>36A5F5R7526</v>
      </c>
      <c r="H47" t="s">
        <v>187</v>
      </c>
      <c r="I47" s="3">
        <v>45689</v>
      </c>
      <c r="J47" t="s">
        <v>51</v>
      </c>
      <c r="K47" t="s">
        <v>62</v>
      </c>
      <c r="L47" t="s">
        <v>53</v>
      </c>
      <c r="M47" s="3">
        <v>45689</v>
      </c>
      <c r="N47" t="s">
        <v>228</v>
      </c>
      <c r="O47" t="s">
        <v>231</v>
      </c>
      <c r="P47"/>
      <c r="Q47"/>
      <c r="R47"/>
      <c r="S47"/>
      <c r="T47"/>
      <c r="U47"/>
      <c r="V47"/>
      <c r="W47"/>
      <c r="X47"/>
      <c r="Y47"/>
    </row>
    <row r="48" spans="1:25" s="5" customFormat="1" x14ac:dyDescent="0.25">
      <c r="A48" s="5" t="s">
        <v>44</v>
      </c>
      <c r="B48" s="6">
        <v>20411454</v>
      </c>
      <c r="C48" s="5" t="s">
        <v>4</v>
      </c>
      <c r="D48" s="7">
        <v>46023</v>
      </c>
      <c r="E48" s="8">
        <v>-2.08</v>
      </c>
      <c r="F48" s="10">
        <v>37143152</v>
      </c>
      <c r="G48" s="10" t="str">
        <f>CONCATENATE(F48,"OVR")</f>
        <v>37143152OVR</v>
      </c>
      <c r="H48" s="5" t="s">
        <v>114</v>
      </c>
      <c r="I48" s="7">
        <v>45658</v>
      </c>
      <c r="J48" s="5" t="s">
        <v>53</v>
      </c>
      <c r="K48" s="5" t="s">
        <v>70</v>
      </c>
      <c r="L48" s="5" t="s">
        <v>53</v>
      </c>
      <c r="M48" s="7">
        <v>45658</v>
      </c>
      <c r="N48" s="5" t="s">
        <v>229</v>
      </c>
    </row>
    <row r="49" spans="1:14" s="5" customFormat="1" x14ac:dyDescent="0.25">
      <c r="A49" s="5" t="s">
        <v>44</v>
      </c>
      <c r="B49" s="6">
        <v>20411454</v>
      </c>
      <c r="C49" s="5" t="s">
        <v>4</v>
      </c>
      <c r="D49" s="7">
        <v>46023</v>
      </c>
      <c r="E49" s="8">
        <v>-2.08</v>
      </c>
      <c r="F49" s="10">
        <v>37180412</v>
      </c>
      <c r="G49" s="10" t="str">
        <f t="shared" ref="G49:G95" si="1">CONCATENATE(F49,"OVR")</f>
        <v>37180412OVR</v>
      </c>
      <c r="H49" s="5" t="s">
        <v>131</v>
      </c>
      <c r="I49" s="7">
        <v>45658</v>
      </c>
      <c r="J49" s="5" t="s">
        <v>53</v>
      </c>
      <c r="K49" s="5" t="s">
        <v>70</v>
      </c>
      <c r="L49" s="5" t="s">
        <v>53</v>
      </c>
      <c r="M49" s="7">
        <v>45658</v>
      </c>
      <c r="N49" s="5" t="s">
        <v>229</v>
      </c>
    </row>
    <row r="50" spans="1:14" s="5" customFormat="1" x14ac:dyDescent="0.25">
      <c r="A50" s="5" t="s">
        <v>44</v>
      </c>
      <c r="B50" s="6">
        <v>20411454</v>
      </c>
      <c r="C50" s="5" t="s">
        <v>4</v>
      </c>
      <c r="D50" s="7">
        <v>46023</v>
      </c>
      <c r="E50" s="8">
        <v>-2.08</v>
      </c>
      <c r="F50" s="10" t="s">
        <v>196</v>
      </c>
      <c r="G50" s="10" t="str">
        <f t="shared" si="1"/>
        <v>44F5L7H64OVR</v>
      </c>
      <c r="H50" s="5" t="s">
        <v>198</v>
      </c>
      <c r="I50" s="7">
        <v>45992</v>
      </c>
      <c r="J50" s="5" t="s">
        <v>51</v>
      </c>
      <c r="K50" s="5" t="s">
        <v>52</v>
      </c>
      <c r="L50" s="5" t="s">
        <v>53</v>
      </c>
      <c r="M50" s="7">
        <v>45992</v>
      </c>
      <c r="N50" s="5" t="s">
        <v>229</v>
      </c>
    </row>
    <row r="51" spans="1:14" s="5" customFormat="1" x14ac:dyDescent="0.25">
      <c r="A51" s="5" t="s">
        <v>44</v>
      </c>
      <c r="B51" s="6">
        <v>20411454</v>
      </c>
      <c r="C51" s="5" t="s">
        <v>4</v>
      </c>
      <c r="D51" s="7">
        <v>46023</v>
      </c>
      <c r="E51" s="8">
        <v>-2.08</v>
      </c>
      <c r="F51" s="10" t="s">
        <v>215</v>
      </c>
      <c r="G51" s="10" t="str">
        <f t="shared" si="1"/>
        <v>77U7H3F88OVR</v>
      </c>
      <c r="H51" s="5" t="s">
        <v>217</v>
      </c>
      <c r="I51" s="7">
        <v>45658</v>
      </c>
      <c r="J51" s="5" t="s">
        <v>53</v>
      </c>
      <c r="K51" s="5" t="s">
        <v>172</v>
      </c>
      <c r="L51" s="5" t="s">
        <v>53</v>
      </c>
      <c r="M51" s="7">
        <v>45658</v>
      </c>
      <c r="N51" s="5" t="s">
        <v>229</v>
      </c>
    </row>
    <row r="52" spans="1:14" s="5" customFormat="1" x14ac:dyDescent="0.25">
      <c r="A52" s="5" t="s">
        <v>44</v>
      </c>
      <c r="B52" s="6">
        <v>20411454</v>
      </c>
      <c r="C52" s="5" t="s">
        <v>4</v>
      </c>
      <c r="D52" s="7">
        <v>46023</v>
      </c>
      <c r="E52" s="8">
        <v>-2.08</v>
      </c>
      <c r="F52" s="10">
        <v>37221945</v>
      </c>
      <c r="G52" s="10" t="str">
        <f t="shared" si="1"/>
        <v>37221945OVR</v>
      </c>
      <c r="H52" s="5" t="s">
        <v>225</v>
      </c>
      <c r="I52" s="7">
        <v>45658</v>
      </c>
      <c r="J52" s="5" t="s">
        <v>53</v>
      </c>
      <c r="K52" s="5" t="s">
        <v>52</v>
      </c>
      <c r="L52" s="5" t="s">
        <v>53</v>
      </c>
      <c r="M52" s="7">
        <v>45658</v>
      </c>
      <c r="N52" s="5" t="s">
        <v>229</v>
      </c>
    </row>
    <row r="53" spans="1:14" s="5" customFormat="1" x14ac:dyDescent="0.25">
      <c r="A53" s="5" t="s">
        <v>44</v>
      </c>
      <c r="B53" s="6">
        <v>20411454</v>
      </c>
      <c r="C53" s="5" t="s">
        <v>4</v>
      </c>
      <c r="D53" s="7">
        <v>46054</v>
      </c>
      <c r="E53" s="8">
        <v>2.08</v>
      </c>
      <c r="F53" s="10" t="s">
        <v>48</v>
      </c>
      <c r="G53" s="10" t="str">
        <f t="shared" si="1"/>
        <v>54L1L3X99OVR</v>
      </c>
      <c r="H53" s="5" t="s">
        <v>50</v>
      </c>
      <c r="I53" s="7">
        <v>45870</v>
      </c>
      <c r="J53" s="5" t="s">
        <v>51</v>
      </c>
      <c r="K53" s="5" t="s">
        <v>52</v>
      </c>
      <c r="L53" s="5" t="s">
        <v>53</v>
      </c>
      <c r="M53" s="7">
        <v>45870</v>
      </c>
      <c r="N53" s="5" t="s">
        <v>229</v>
      </c>
    </row>
    <row r="54" spans="1:14" s="5" customFormat="1" x14ac:dyDescent="0.25">
      <c r="A54" s="5" t="s">
        <v>44</v>
      </c>
      <c r="B54" s="6">
        <v>20411454</v>
      </c>
      <c r="C54" s="5" t="s">
        <v>4</v>
      </c>
      <c r="D54" s="7">
        <v>46054</v>
      </c>
      <c r="E54" s="8">
        <v>2.08</v>
      </c>
      <c r="F54" s="10">
        <v>35795594</v>
      </c>
      <c r="G54" s="10" t="str">
        <f t="shared" si="1"/>
        <v>35795594OVR</v>
      </c>
      <c r="H54" s="5" t="s">
        <v>61</v>
      </c>
      <c r="I54" s="7">
        <v>45566</v>
      </c>
      <c r="J54" s="5" t="s">
        <v>53</v>
      </c>
      <c r="K54" s="5" t="s">
        <v>62</v>
      </c>
      <c r="L54" s="5" t="s">
        <v>53</v>
      </c>
      <c r="M54" s="7">
        <v>45566</v>
      </c>
      <c r="N54" s="5" t="s">
        <v>229</v>
      </c>
    </row>
    <row r="55" spans="1:14" s="5" customFormat="1" x14ac:dyDescent="0.25">
      <c r="A55" s="5" t="s">
        <v>44</v>
      </c>
      <c r="B55" s="6">
        <v>20411454</v>
      </c>
      <c r="C55" s="5" t="s">
        <v>4</v>
      </c>
      <c r="D55" s="7">
        <v>46054</v>
      </c>
      <c r="E55" s="8">
        <v>2.08</v>
      </c>
      <c r="F55" s="10">
        <v>36411842</v>
      </c>
      <c r="G55" s="10" t="str">
        <f t="shared" si="1"/>
        <v>36411842OVR</v>
      </c>
      <c r="H55" s="5" t="s">
        <v>69</v>
      </c>
      <c r="I55" s="7">
        <v>45658</v>
      </c>
      <c r="J55" s="5" t="s">
        <v>53</v>
      </c>
      <c r="K55" s="5" t="s">
        <v>70</v>
      </c>
      <c r="L55" s="5" t="s">
        <v>53</v>
      </c>
      <c r="M55" s="7">
        <v>45658</v>
      </c>
      <c r="N55" s="5" t="s">
        <v>229</v>
      </c>
    </row>
    <row r="56" spans="1:14" s="5" customFormat="1" x14ac:dyDescent="0.25">
      <c r="A56" s="5" t="s">
        <v>44</v>
      </c>
      <c r="B56" s="6">
        <v>20411454</v>
      </c>
      <c r="C56" s="5" t="s">
        <v>4</v>
      </c>
      <c r="D56" s="7">
        <v>46054</v>
      </c>
      <c r="E56" s="8">
        <v>2.08</v>
      </c>
      <c r="F56" s="10">
        <v>36572120</v>
      </c>
      <c r="G56" s="10" t="str">
        <f t="shared" si="1"/>
        <v>36572120OVR</v>
      </c>
      <c r="H56" s="5" t="s">
        <v>75</v>
      </c>
      <c r="I56" s="7">
        <v>45658</v>
      </c>
      <c r="J56" s="5" t="s">
        <v>53</v>
      </c>
      <c r="K56" s="5" t="s">
        <v>52</v>
      </c>
      <c r="L56" s="5" t="s">
        <v>53</v>
      </c>
      <c r="M56" s="7">
        <v>45658</v>
      </c>
      <c r="N56" s="5" t="s">
        <v>229</v>
      </c>
    </row>
    <row r="57" spans="1:14" s="5" customFormat="1" x14ac:dyDescent="0.25">
      <c r="A57" s="5" t="s">
        <v>44</v>
      </c>
      <c r="B57" s="6">
        <v>20411454</v>
      </c>
      <c r="C57" s="5" t="s">
        <v>4</v>
      </c>
      <c r="D57" s="7">
        <v>46054</v>
      </c>
      <c r="E57" s="8">
        <v>2.08</v>
      </c>
      <c r="F57" s="10">
        <v>37083379</v>
      </c>
      <c r="G57" s="10" t="str">
        <f t="shared" si="1"/>
        <v>37083379OVR</v>
      </c>
      <c r="H57" s="5" t="s">
        <v>79</v>
      </c>
      <c r="I57" s="7">
        <v>45658</v>
      </c>
      <c r="J57" s="5" t="s">
        <v>53</v>
      </c>
      <c r="K57" s="5" t="s">
        <v>52</v>
      </c>
      <c r="L57" s="5" t="s">
        <v>53</v>
      </c>
      <c r="M57" s="7">
        <v>45658</v>
      </c>
      <c r="N57" s="5" t="s">
        <v>229</v>
      </c>
    </row>
    <row r="58" spans="1:14" s="5" customFormat="1" x14ac:dyDescent="0.25">
      <c r="A58" s="5" t="s">
        <v>44</v>
      </c>
      <c r="B58" s="6">
        <v>20411454</v>
      </c>
      <c r="C58" s="5" t="s">
        <v>4</v>
      </c>
      <c r="D58" s="7">
        <v>46054</v>
      </c>
      <c r="E58" s="8">
        <v>2.08</v>
      </c>
      <c r="F58" s="10">
        <v>37084890</v>
      </c>
      <c r="G58" s="10" t="str">
        <f t="shared" si="1"/>
        <v>37084890OVR</v>
      </c>
      <c r="H58" s="5" t="s">
        <v>81</v>
      </c>
      <c r="I58" s="7">
        <v>45658</v>
      </c>
      <c r="J58" s="5" t="s">
        <v>53</v>
      </c>
      <c r="K58" s="5" t="s">
        <v>52</v>
      </c>
      <c r="L58" s="5" t="s">
        <v>53</v>
      </c>
      <c r="M58" s="7">
        <v>45658</v>
      </c>
      <c r="N58" s="5" t="s">
        <v>229</v>
      </c>
    </row>
    <row r="59" spans="1:14" s="5" customFormat="1" x14ac:dyDescent="0.25">
      <c r="A59" s="5" t="s">
        <v>44</v>
      </c>
      <c r="B59" s="6">
        <v>20411454</v>
      </c>
      <c r="C59" s="5" t="s">
        <v>4</v>
      </c>
      <c r="D59" s="7">
        <v>46054</v>
      </c>
      <c r="E59" s="8">
        <v>2.08</v>
      </c>
      <c r="F59" s="10">
        <v>37085598</v>
      </c>
      <c r="G59" s="10" t="str">
        <f t="shared" si="1"/>
        <v>37085598OVR</v>
      </c>
      <c r="H59" s="5" t="s">
        <v>85</v>
      </c>
      <c r="I59" s="7">
        <v>45658</v>
      </c>
      <c r="J59" s="5" t="s">
        <v>53</v>
      </c>
      <c r="K59" s="5" t="s">
        <v>70</v>
      </c>
      <c r="L59" s="5" t="s">
        <v>53</v>
      </c>
      <c r="M59" s="7">
        <v>45658</v>
      </c>
      <c r="N59" s="5" t="s">
        <v>229</v>
      </c>
    </row>
    <row r="60" spans="1:14" s="5" customFormat="1" x14ac:dyDescent="0.25">
      <c r="A60" s="5" t="s">
        <v>44</v>
      </c>
      <c r="B60" s="6">
        <v>20411454</v>
      </c>
      <c r="C60" s="5" t="s">
        <v>4</v>
      </c>
      <c r="D60" s="7">
        <v>46054</v>
      </c>
      <c r="E60" s="8">
        <v>2.08</v>
      </c>
      <c r="F60" s="10">
        <v>37088787</v>
      </c>
      <c r="G60" s="10" t="str">
        <f t="shared" si="1"/>
        <v>37088787OVR</v>
      </c>
      <c r="H60" s="5" t="s">
        <v>89</v>
      </c>
      <c r="I60" s="7">
        <v>45658</v>
      </c>
      <c r="J60" s="5" t="s">
        <v>53</v>
      </c>
      <c r="K60" s="5" t="s">
        <v>70</v>
      </c>
      <c r="L60" s="5" t="s">
        <v>53</v>
      </c>
      <c r="M60" s="7">
        <v>45658</v>
      </c>
      <c r="N60" s="5" t="s">
        <v>229</v>
      </c>
    </row>
    <row r="61" spans="1:14" s="5" customFormat="1" x14ac:dyDescent="0.25">
      <c r="A61" s="5" t="s">
        <v>44</v>
      </c>
      <c r="B61" s="6">
        <v>20411454</v>
      </c>
      <c r="C61" s="5" t="s">
        <v>4</v>
      </c>
      <c r="D61" s="7">
        <v>46054</v>
      </c>
      <c r="E61" s="8">
        <v>2.08</v>
      </c>
      <c r="F61" s="10">
        <v>37096700</v>
      </c>
      <c r="G61" s="10" t="str">
        <f t="shared" si="1"/>
        <v>37096700OVR</v>
      </c>
      <c r="H61" s="5" t="s">
        <v>92</v>
      </c>
      <c r="I61" s="7">
        <v>45658</v>
      </c>
      <c r="J61" s="5" t="s">
        <v>53</v>
      </c>
      <c r="K61" s="5" t="s">
        <v>52</v>
      </c>
      <c r="L61" s="5" t="s">
        <v>53</v>
      </c>
      <c r="M61" s="7">
        <v>45658</v>
      </c>
      <c r="N61" s="5" t="s">
        <v>229</v>
      </c>
    </row>
    <row r="62" spans="1:14" s="5" customFormat="1" x14ac:dyDescent="0.25">
      <c r="A62" s="5" t="s">
        <v>44</v>
      </c>
      <c r="B62" s="6">
        <v>20411454</v>
      </c>
      <c r="C62" s="5" t="s">
        <v>4</v>
      </c>
      <c r="D62" s="7">
        <v>46054</v>
      </c>
      <c r="E62" s="8">
        <v>2.08</v>
      </c>
      <c r="F62" s="10">
        <v>37096744</v>
      </c>
      <c r="G62" s="10" t="str">
        <f t="shared" si="1"/>
        <v>37096744OVR</v>
      </c>
      <c r="H62" s="5" t="s">
        <v>95</v>
      </c>
      <c r="I62" s="7">
        <v>45658</v>
      </c>
      <c r="J62" s="5" t="s">
        <v>53</v>
      </c>
      <c r="K62" s="5" t="s">
        <v>52</v>
      </c>
      <c r="L62" s="5" t="s">
        <v>53</v>
      </c>
      <c r="M62" s="7">
        <v>45658</v>
      </c>
      <c r="N62" s="5" t="s">
        <v>229</v>
      </c>
    </row>
    <row r="63" spans="1:14" s="5" customFormat="1" x14ac:dyDescent="0.25">
      <c r="A63" s="5" t="s">
        <v>44</v>
      </c>
      <c r="B63" s="6">
        <v>20411454</v>
      </c>
      <c r="C63" s="5" t="s">
        <v>4</v>
      </c>
      <c r="D63" s="7">
        <v>46054</v>
      </c>
      <c r="E63" s="8">
        <v>2.08</v>
      </c>
      <c r="F63" s="10">
        <v>37103758</v>
      </c>
      <c r="G63" s="10" t="str">
        <f t="shared" si="1"/>
        <v>37103758OVR</v>
      </c>
      <c r="H63" s="5" t="s">
        <v>97</v>
      </c>
      <c r="I63" s="7">
        <v>45658</v>
      </c>
      <c r="J63" s="5" t="s">
        <v>51</v>
      </c>
      <c r="K63" s="5" t="s">
        <v>70</v>
      </c>
      <c r="L63" s="5" t="s">
        <v>53</v>
      </c>
      <c r="M63" s="7">
        <v>45658</v>
      </c>
      <c r="N63" s="5" t="s">
        <v>229</v>
      </c>
    </row>
    <row r="64" spans="1:14" s="5" customFormat="1" x14ac:dyDescent="0.25">
      <c r="A64" s="5" t="s">
        <v>44</v>
      </c>
      <c r="B64" s="6">
        <v>20411454</v>
      </c>
      <c r="C64" s="5" t="s">
        <v>4</v>
      </c>
      <c r="D64" s="7">
        <v>46054</v>
      </c>
      <c r="E64" s="8">
        <v>2.08</v>
      </c>
      <c r="F64" s="10">
        <v>37113514</v>
      </c>
      <c r="G64" s="10" t="str">
        <f t="shared" si="1"/>
        <v>37113514OVR</v>
      </c>
      <c r="H64" s="5" t="s">
        <v>100</v>
      </c>
      <c r="I64" s="7">
        <v>45658</v>
      </c>
      <c r="J64" s="5" t="s">
        <v>53</v>
      </c>
      <c r="K64" s="5" t="s">
        <v>52</v>
      </c>
      <c r="L64" s="5" t="s">
        <v>53</v>
      </c>
      <c r="M64" s="7">
        <v>45658</v>
      </c>
      <c r="N64" s="5" t="s">
        <v>229</v>
      </c>
    </row>
    <row r="65" spans="1:25" s="5" customFormat="1" x14ac:dyDescent="0.25">
      <c r="A65" s="5" t="s">
        <v>44</v>
      </c>
      <c r="B65" s="6">
        <v>20411454</v>
      </c>
      <c r="C65" s="5" t="s">
        <v>4</v>
      </c>
      <c r="D65" s="7">
        <v>46054</v>
      </c>
      <c r="E65" s="8">
        <v>2.08</v>
      </c>
      <c r="F65" s="10">
        <v>37115398</v>
      </c>
      <c r="G65" s="10" t="str">
        <f t="shared" si="1"/>
        <v>37115398OVR</v>
      </c>
      <c r="H65" s="5" t="s">
        <v>102</v>
      </c>
      <c r="I65" s="7">
        <v>45658</v>
      </c>
      <c r="J65" s="5" t="s">
        <v>53</v>
      </c>
      <c r="K65" s="5" t="s">
        <v>52</v>
      </c>
      <c r="L65" s="5" t="s">
        <v>53</v>
      </c>
      <c r="M65" s="7">
        <v>45658</v>
      </c>
      <c r="N65" s="5" t="s">
        <v>229</v>
      </c>
    </row>
    <row r="66" spans="1:25" s="5" customFormat="1" x14ac:dyDescent="0.25">
      <c r="A66" s="5" t="s">
        <v>44</v>
      </c>
      <c r="B66" s="6">
        <v>20411454</v>
      </c>
      <c r="C66" s="5" t="s">
        <v>4</v>
      </c>
      <c r="D66" s="7">
        <v>46054</v>
      </c>
      <c r="E66" s="8">
        <v>2.08</v>
      </c>
      <c r="F66" s="10">
        <v>37116482</v>
      </c>
      <c r="G66" s="10" t="str">
        <f t="shared" si="1"/>
        <v>37116482OVR</v>
      </c>
      <c r="H66" s="5" t="s">
        <v>104</v>
      </c>
      <c r="I66" s="7">
        <v>45658</v>
      </c>
      <c r="J66" s="5" t="s">
        <v>53</v>
      </c>
      <c r="K66" s="5" t="s">
        <v>70</v>
      </c>
      <c r="L66" s="5" t="s">
        <v>53</v>
      </c>
      <c r="M66" s="7">
        <v>45658</v>
      </c>
      <c r="N66" s="5" t="s">
        <v>229</v>
      </c>
    </row>
    <row r="67" spans="1:25" s="5" customFormat="1" x14ac:dyDescent="0.25">
      <c r="A67" s="5" t="s">
        <v>44</v>
      </c>
      <c r="B67" s="6">
        <v>20411454</v>
      </c>
      <c r="C67" s="5" t="s">
        <v>4</v>
      </c>
      <c r="D67" s="7">
        <v>46054</v>
      </c>
      <c r="E67" s="8">
        <v>2.08</v>
      </c>
      <c r="F67" s="10">
        <v>37116847</v>
      </c>
      <c r="G67" s="10" t="str">
        <f t="shared" si="1"/>
        <v>37116847OVR</v>
      </c>
      <c r="H67" s="5" t="s">
        <v>108</v>
      </c>
      <c r="I67" s="7">
        <v>45658</v>
      </c>
      <c r="J67" s="5" t="s">
        <v>53</v>
      </c>
      <c r="K67" s="5" t="s">
        <v>70</v>
      </c>
      <c r="L67" s="5" t="s">
        <v>53</v>
      </c>
      <c r="M67" s="7">
        <v>45658</v>
      </c>
      <c r="N67" s="5" t="s">
        <v>229</v>
      </c>
    </row>
    <row r="68" spans="1:25" s="5" customFormat="1" x14ac:dyDescent="0.25">
      <c r="A68" s="5" t="s">
        <v>44</v>
      </c>
      <c r="B68" s="6">
        <v>20411454</v>
      </c>
      <c r="C68" s="5" t="s">
        <v>4</v>
      </c>
      <c r="D68" s="7">
        <v>46054</v>
      </c>
      <c r="E68" s="8">
        <v>2.08</v>
      </c>
      <c r="F68" s="10">
        <v>37119416</v>
      </c>
      <c r="G68" s="10" t="str">
        <f t="shared" si="1"/>
        <v>37119416OVR</v>
      </c>
      <c r="H68" s="5" t="s">
        <v>110</v>
      </c>
      <c r="I68" s="7">
        <v>45597</v>
      </c>
      <c r="J68" s="5" t="s">
        <v>51</v>
      </c>
      <c r="K68" s="5" t="s">
        <v>52</v>
      </c>
      <c r="L68" s="5" t="s">
        <v>53</v>
      </c>
      <c r="M68" s="7">
        <v>45597</v>
      </c>
      <c r="N68" s="5" t="s">
        <v>229</v>
      </c>
    </row>
    <row r="69" spans="1:25" s="5" customFormat="1" x14ac:dyDescent="0.25">
      <c r="A69" s="5" t="s">
        <v>44</v>
      </c>
      <c r="B69" s="6">
        <v>20411454</v>
      </c>
      <c r="C69" s="5" t="s">
        <v>4</v>
      </c>
      <c r="D69" s="7">
        <v>46054</v>
      </c>
      <c r="E69" s="8">
        <v>2.08</v>
      </c>
      <c r="F69" s="10">
        <v>37156525</v>
      </c>
      <c r="G69" s="10" t="str">
        <f t="shared" si="1"/>
        <v>37156525OVR</v>
      </c>
      <c r="H69" s="5" t="s">
        <v>117</v>
      </c>
      <c r="I69" s="7">
        <v>45658</v>
      </c>
      <c r="J69" s="5" t="s">
        <v>53</v>
      </c>
      <c r="K69" s="5" t="s">
        <v>70</v>
      </c>
      <c r="L69" s="5" t="s">
        <v>53</v>
      </c>
      <c r="M69" s="7">
        <v>45658</v>
      </c>
      <c r="N69" s="5" t="s">
        <v>229</v>
      </c>
    </row>
    <row r="70" spans="1:25" s="5" customFormat="1" x14ac:dyDescent="0.25">
      <c r="A70" s="5" t="s">
        <v>44</v>
      </c>
      <c r="B70" s="6">
        <v>20411454</v>
      </c>
      <c r="C70" s="5" t="s">
        <v>4</v>
      </c>
      <c r="D70" s="7">
        <v>46054</v>
      </c>
      <c r="E70" s="8">
        <v>2.08</v>
      </c>
      <c r="F70" s="10">
        <v>37156527</v>
      </c>
      <c r="G70" s="10" t="str">
        <f t="shared" si="1"/>
        <v>37156527OVR</v>
      </c>
      <c r="H70" s="5" t="s">
        <v>119</v>
      </c>
      <c r="I70" s="7">
        <v>45658</v>
      </c>
      <c r="J70" s="5" t="s">
        <v>53</v>
      </c>
      <c r="K70" s="5" t="s">
        <v>70</v>
      </c>
      <c r="L70" s="5" t="s">
        <v>53</v>
      </c>
      <c r="M70" s="7">
        <v>45658</v>
      </c>
      <c r="N70" s="5" t="s">
        <v>229</v>
      </c>
    </row>
    <row r="71" spans="1:25" s="5" customFormat="1" x14ac:dyDescent="0.25">
      <c r="A71" s="5" t="s">
        <v>44</v>
      </c>
      <c r="B71" s="6">
        <v>20411454</v>
      </c>
      <c r="C71" s="5" t="s">
        <v>4</v>
      </c>
      <c r="D71" s="7">
        <v>46054</v>
      </c>
      <c r="E71" s="8">
        <v>2.08</v>
      </c>
      <c r="F71" s="10">
        <v>37169229</v>
      </c>
      <c r="G71" s="10" t="str">
        <f t="shared" si="1"/>
        <v>37169229OVR</v>
      </c>
      <c r="H71" s="5" t="s">
        <v>121</v>
      </c>
      <c r="I71" s="7">
        <v>45658</v>
      </c>
      <c r="J71" s="5" t="s">
        <v>53</v>
      </c>
      <c r="K71" s="5" t="s">
        <v>70</v>
      </c>
      <c r="L71" s="5" t="s">
        <v>53</v>
      </c>
      <c r="M71" s="7">
        <v>45658</v>
      </c>
      <c r="N71" s="5" t="s">
        <v>229</v>
      </c>
    </row>
    <row r="72" spans="1:25" s="5" customFormat="1" x14ac:dyDescent="0.25">
      <c r="A72" s="5" t="s">
        <v>44</v>
      </c>
      <c r="B72" s="6">
        <v>20411454</v>
      </c>
      <c r="C72" s="5" t="s">
        <v>4</v>
      </c>
      <c r="D72" s="7">
        <v>46054</v>
      </c>
      <c r="E72" s="8">
        <v>2.08</v>
      </c>
      <c r="F72" s="10">
        <v>37169649</v>
      </c>
      <c r="G72" s="10" t="str">
        <f t="shared" si="1"/>
        <v>37169649OVR</v>
      </c>
      <c r="H72" s="5" t="s">
        <v>123</v>
      </c>
      <c r="I72" s="7">
        <v>45658</v>
      </c>
      <c r="J72" s="5" t="s">
        <v>53</v>
      </c>
      <c r="K72" s="5" t="s">
        <v>52</v>
      </c>
      <c r="L72" s="5" t="s">
        <v>53</v>
      </c>
      <c r="M72" s="7">
        <v>45658</v>
      </c>
      <c r="N72" s="5" t="s">
        <v>229</v>
      </c>
    </row>
    <row r="73" spans="1:25" s="5" customFormat="1" x14ac:dyDescent="0.25">
      <c r="A73" s="5" t="s">
        <v>44</v>
      </c>
      <c r="B73" s="6">
        <v>20411454</v>
      </c>
      <c r="C73" s="5" t="s">
        <v>4</v>
      </c>
      <c r="D73" s="7">
        <v>46054</v>
      </c>
      <c r="E73" s="8">
        <v>2.08</v>
      </c>
      <c r="F73" s="10">
        <v>37179535</v>
      </c>
      <c r="G73" s="10" t="str">
        <f t="shared" si="1"/>
        <v>37179535OVR</v>
      </c>
      <c r="H73" s="5" t="s">
        <v>125</v>
      </c>
      <c r="I73" s="7">
        <v>45658</v>
      </c>
      <c r="J73" s="5" t="s">
        <v>53</v>
      </c>
      <c r="K73" s="5" t="s">
        <v>52</v>
      </c>
      <c r="L73" s="5" t="s">
        <v>53</v>
      </c>
      <c r="M73" s="7">
        <v>45658</v>
      </c>
      <c r="N73" s="5" t="s">
        <v>229</v>
      </c>
    </row>
    <row r="74" spans="1:25" s="5" customFormat="1" x14ac:dyDescent="0.25">
      <c r="A74" s="5" t="s">
        <v>44</v>
      </c>
      <c r="B74" s="6">
        <v>20411454</v>
      </c>
      <c r="C74" s="5" t="s">
        <v>4</v>
      </c>
      <c r="D74" s="7">
        <v>46054</v>
      </c>
      <c r="E74" s="8">
        <v>2.08</v>
      </c>
      <c r="F74" s="10">
        <v>37179870</v>
      </c>
      <c r="G74" s="10" t="str">
        <f t="shared" si="1"/>
        <v>37179870OVR</v>
      </c>
      <c r="H74" s="5" t="s">
        <v>127</v>
      </c>
      <c r="I74" s="7">
        <v>45658</v>
      </c>
      <c r="J74" s="5" t="s">
        <v>53</v>
      </c>
      <c r="K74" s="5" t="s">
        <v>70</v>
      </c>
      <c r="L74" s="5" t="s">
        <v>53</v>
      </c>
      <c r="M74" s="7">
        <v>45658</v>
      </c>
      <c r="N74" s="5" t="s">
        <v>229</v>
      </c>
    </row>
    <row r="75" spans="1:25" x14ac:dyDescent="0.25">
      <c r="A75" s="5" t="s">
        <v>44</v>
      </c>
      <c r="B75" s="6">
        <v>20411454</v>
      </c>
      <c r="C75" s="5" t="s">
        <v>4</v>
      </c>
      <c r="D75" s="7">
        <v>46054</v>
      </c>
      <c r="E75" s="8">
        <v>2.08</v>
      </c>
      <c r="F75" s="10">
        <v>37193407</v>
      </c>
      <c r="G75" s="10" t="str">
        <f t="shared" si="1"/>
        <v>37193407OVR</v>
      </c>
      <c r="H75" s="5" t="s">
        <v>133</v>
      </c>
      <c r="I75" s="7">
        <v>45658</v>
      </c>
      <c r="J75" s="5" t="s">
        <v>53</v>
      </c>
      <c r="K75" s="5" t="s">
        <v>70</v>
      </c>
      <c r="L75" s="5" t="s">
        <v>53</v>
      </c>
      <c r="M75" s="7">
        <v>45658</v>
      </c>
      <c r="N75" s="5" t="s">
        <v>229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5">
      <c r="A76" s="5" t="s">
        <v>44</v>
      </c>
      <c r="B76" s="6">
        <v>20411454</v>
      </c>
      <c r="C76" s="5" t="s">
        <v>4</v>
      </c>
      <c r="D76" s="7">
        <v>46054</v>
      </c>
      <c r="E76" s="8">
        <v>2.08</v>
      </c>
      <c r="F76" s="10">
        <v>37196328</v>
      </c>
      <c r="G76" s="10" t="str">
        <f t="shared" si="1"/>
        <v>37196328OVR</v>
      </c>
      <c r="H76" s="5" t="s">
        <v>135</v>
      </c>
      <c r="I76" s="7">
        <v>45658</v>
      </c>
      <c r="J76" s="5" t="s">
        <v>53</v>
      </c>
      <c r="K76" s="5" t="s">
        <v>70</v>
      </c>
      <c r="L76" s="5" t="s">
        <v>53</v>
      </c>
      <c r="M76" s="7">
        <v>45658</v>
      </c>
      <c r="N76" s="5" t="s">
        <v>229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5" t="s">
        <v>44</v>
      </c>
      <c r="B77" s="6">
        <v>20411454</v>
      </c>
      <c r="C77" s="5" t="s">
        <v>4</v>
      </c>
      <c r="D77" s="7">
        <v>46054</v>
      </c>
      <c r="E77" s="8">
        <v>2.08</v>
      </c>
      <c r="F77" s="10">
        <v>37198754</v>
      </c>
      <c r="G77" s="10" t="str">
        <f t="shared" si="1"/>
        <v>37198754OVR</v>
      </c>
      <c r="H77" s="5" t="s">
        <v>139</v>
      </c>
      <c r="I77" s="7">
        <v>45658</v>
      </c>
      <c r="J77" s="5" t="s">
        <v>140</v>
      </c>
      <c r="K77" s="5" t="s">
        <v>141</v>
      </c>
      <c r="L77" s="5" t="s">
        <v>53</v>
      </c>
      <c r="M77" s="7">
        <v>45658</v>
      </c>
      <c r="N77" s="5" t="s">
        <v>229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5">
      <c r="A78" s="5" t="s">
        <v>44</v>
      </c>
      <c r="B78" s="6">
        <v>20411454</v>
      </c>
      <c r="C78" s="5" t="s">
        <v>4</v>
      </c>
      <c r="D78" s="7">
        <v>46054</v>
      </c>
      <c r="E78" s="8">
        <v>2.08</v>
      </c>
      <c r="F78" s="10">
        <v>37214258</v>
      </c>
      <c r="G78" s="10" t="str">
        <f t="shared" si="1"/>
        <v>37214258OVR</v>
      </c>
      <c r="H78" s="5" t="s">
        <v>144</v>
      </c>
      <c r="I78" s="7">
        <v>45658</v>
      </c>
      <c r="J78" s="5" t="s">
        <v>53</v>
      </c>
      <c r="K78" s="5" t="s">
        <v>52</v>
      </c>
      <c r="L78" s="5" t="s">
        <v>53</v>
      </c>
      <c r="M78" s="7">
        <v>45658</v>
      </c>
      <c r="N78" s="5" t="s">
        <v>229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5">
      <c r="A79" s="5" t="s">
        <v>44</v>
      </c>
      <c r="B79" s="6">
        <v>20411454</v>
      </c>
      <c r="C79" s="5" t="s">
        <v>4</v>
      </c>
      <c r="D79" s="7">
        <v>46054</v>
      </c>
      <c r="E79" s="8">
        <v>2.08</v>
      </c>
      <c r="F79" s="10">
        <v>37219598</v>
      </c>
      <c r="G79" s="10" t="str">
        <f t="shared" si="1"/>
        <v>37219598OVR</v>
      </c>
      <c r="H79" s="5" t="s">
        <v>146</v>
      </c>
      <c r="I79" s="7">
        <v>45658</v>
      </c>
      <c r="J79" s="5" t="s">
        <v>53</v>
      </c>
      <c r="K79" s="5" t="s">
        <v>52</v>
      </c>
      <c r="L79" s="5" t="s">
        <v>53</v>
      </c>
      <c r="M79" s="7">
        <v>45658</v>
      </c>
      <c r="N79" s="5" t="s">
        <v>229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5">
      <c r="A80" s="5" t="s">
        <v>44</v>
      </c>
      <c r="B80" s="6">
        <v>20411454</v>
      </c>
      <c r="C80" s="5" t="s">
        <v>4</v>
      </c>
      <c r="D80" s="7">
        <v>46054</v>
      </c>
      <c r="E80" s="8">
        <v>2.08</v>
      </c>
      <c r="F80" s="10">
        <v>37220075</v>
      </c>
      <c r="G80" s="10" t="str">
        <f t="shared" si="1"/>
        <v>37220075OVR</v>
      </c>
      <c r="H80" s="5" t="s">
        <v>148</v>
      </c>
      <c r="I80" s="7">
        <v>45658</v>
      </c>
      <c r="J80" s="5" t="s">
        <v>53</v>
      </c>
      <c r="K80" s="5" t="s">
        <v>70</v>
      </c>
      <c r="L80" s="5" t="s">
        <v>53</v>
      </c>
      <c r="M80" s="7">
        <v>45658</v>
      </c>
      <c r="N80" s="5" t="s">
        <v>229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5">
      <c r="A81" s="5" t="s">
        <v>44</v>
      </c>
      <c r="B81" s="6">
        <v>20411454</v>
      </c>
      <c r="C81" s="5" t="s">
        <v>4</v>
      </c>
      <c r="D81" s="7">
        <v>46054</v>
      </c>
      <c r="E81" s="8">
        <v>2.08</v>
      </c>
      <c r="F81" s="10">
        <v>37226550</v>
      </c>
      <c r="G81" s="10" t="str">
        <f t="shared" si="1"/>
        <v>37226550OVR</v>
      </c>
      <c r="H81" s="5" t="s">
        <v>150</v>
      </c>
      <c r="I81" s="7">
        <v>45658</v>
      </c>
      <c r="J81" s="5" t="s">
        <v>53</v>
      </c>
      <c r="K81" s="5" t="s">
        <v>52</v>
      </c>
      <c r="L81" s="5" t="s">
        <v>53</v>
      </c>
      <c r="M81" s="7">
        <v>45658</v>
      </c>
      <c r="N81" s="5" t="s">
        <v>229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5">
      <c r="A82" s="5" t="s">
        <v>44</v>
      </c>
      <c r="B82" s="6">
        <v>20411454</v>
      </c>
      <c r="C82" s="5" t="s">
        <v>4</v>
      </c>
      <c r="D82" s="7">
        <v>46054</v>
      </c>
      <c r="E82" s="8">
        <v>2.08</v>
      </c>
      <c r="F82" s="10">
        <v>37231715</v>
      </c>
      <c r="G82" s="10" t="str">
        <f t="shared" si="1"/>
        <v>37231715OVR</v>
      </c>
      <c r="H82" s="5" t="s">
        <v>154</v>
      </c>
      <c r="I82" s="7">
        <v>45658</v>
      </c>
      <c r="J82" s="5" t="s">
        <v>53</v>
      </c>
      <c r="K82" s="5" t="s">
        <v>52</v>
      </c>
      <c r="L82" s="5" t="s">
        <v>53</v>
      </c>
      <c r="M82" s="7">
        <v>45658</v>
      </c>
      <c r="N82" s="5" t="s">
        <v>229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5">
      <c r="A83" s="5" t="s">
        <v>44</v>
      </c>
      <c r="B83" s="6">
        <v>20411454</v>
      </c>
      <c r="C83" s="5" t="s">
        <v>4</v>
      </c>
      <c r="D83" s="7">
        <v>46054</v>
      </c>
      <c r="E83" s="8">
        <v>2.08</v>
      </c>
      <c r="F83" s="10" t="s">
        <v>158</v>
      </c>
      <c r="G83" s="10" t="str">
        <f t="shared" si="1"/>
        <v>11A2A7X22OVR</v>
      </c>
      <c r="H83" s="5" t="s">
        <v>160</v>
      </c>
      <c r="I83" s="7">
        <v>45931</v>
      </c>
      <c r="J83" s="5" t="s">
        <v>51</v>
      </c>
      <c r="K83" s="5" t="s">
        <v>70</v>
      </c>
      <c r="L83" s="5" t="s">
        <v>53</v>
      </c>
      <c r="M83" s="7">
        <v>45931</v>
      </c>
      <c r="N83" s="5" t="s">
        <v>229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A84" s="5" t="s">
        <v>44</v>
      </c>
      <c r="B84" s="6">
        <v>20411454</v>
      </c>
      <c r="C84" s="5" t="s">
        <v>4</v>
      </c>
      <c r="D84" s="7">
        <v>46054</v>
      </c>
      <c r="E84" s="8">
        <v>2.08</v>
      </c>
      <c r="F84" s="10" t="s">
        <v>163</v>
      </c>
      <c r="G84" s="10" t="str">
        <f t="shared" si="1"/>
        <v>18R5U3H94OVR</v>
      </c>
      <c r="H84" s="5" t="s">
        <v>165</v>
      </c>
      <c r="I84" s="7">
        <v>45717</v>
      </c>
      <c r="J84" s="5" t="s">
        <v>140</v>
      </c>
      <c r="K84" s="5" t="s">
        <v>52</v>
      </c>
      <c r="L84" s="5" t="s">
        <v>53</v>
      </c>
      <c r="M84" s="7">
        <v>45717</v>
      </c>
      <c r="N84" s="5" t="s">
        <v>229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5" t="s">
        <v>44</v>
      </c>
      <c r="B85" s="6">
        <v>20411454</v>
      </c>
      <c r="C85" s="5" t="s">
        <v>4</v>
      </c>
      <c r="D85" s="7">
        <v>46054</v>
      </c>
      <c r="E85" s="8">
        <v>2.08</v>
      </c>
      <c r="F85" s="10" t="s">
        <v>169</v>
      </c>
      <c r="G85" s="10" t="str">
        <f t="shared" si="1"/>
        <v>21X7R9U97OVR</v>
      </c>
      <c r="H85" s="5" t="s">
        <v>171</v>
      </c>
      <c r="I85" s="7">
        <v>45717</v>
      </c>
      <c r="J85" s="5" t="s">
        <v>53</v>
      </c>
      <c r="K85" s="5" t="s">
        <v>172</v>
      </c>
      <c r="L85" s="5" t="s">
        <v>53</v>
      </c>
      <c r="M85" s="7">
        <v>45717</v>
      </c>
      <c r="N85" s="5" t="s">
        <v>229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5">
      <c r="A86" s="5" t="s">
        <v>44</v>
      </c>
      <c r="B86" s="6">
        <v>20411454</v>
      </c>
      <c r="C86" s="5" t="s">
        <v>4</v>
      </c>
      <c r="D86" s="7">
        <v>46054</v>
      </c>
      <c r="E86" s="8">
        <v>2.08</v>
      </c>
      <c r="F86" s="10" t="s">
        <v>177</v>
      </c>
      <c r="G86" s="10" t="str">
        <f t="shared" si="1"/>
        <v>31F5L5L79OVR</v>
      </c>
      <c r="H86" s="5" t="s">
        <v>179</v>
      </c>
      <c r="I86" s="7">
        <v>45839</v>
      </c>
      <c r="J86" s="5" t="s">
        <v>51</v>
      </c>
      <c r="K86" s="5" t="s">
        <v>70</v>
      </c>
      <c r="L86" s="5" t="s">
        <v>53</v>
      </c>
      <c r="M86" s="7">
        <v>45839</v>
      </c>
      <c r="N86" s="5" t="s">
        <v>229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5" t="s">
        <v>44</v>
      </c>
      <c r="B87" s="6">
        <v>20411454</v>
      </c>
      <c r="C87" s="5" t="s">
        <v>4</v>
      </c>
      <c r="D87" s="7">
        <v>46054</v>
      </c>
      <c r="E87" s="8">
        <v>2.08</v>
      </c>
      <c r="F87" s="10" t="s">
        <v>180</v>
      </c>
      <c r="G87" s="10" t="str">
        <f t="shared" si="1"/>
        <v>35X3H1X41OVR</v>
      </c>
      <c r="H87" s="5" t="s">
        <v>182</v>
      </c>
      <c r="I87" s="7">
        <v>45870</v>
      </c>
      <c r="J87" s="5" t="s">
        <v>51</v>
      </c>
      <c r="K87" s="5" t="s">
        <v>70</v>
      </c>
      <c r="L87" s="5" t="s">
        <v>53</v>
      </c>
      <c r="M87" s="7">
        <v>45870</v>
      </c>
      <c r="N87" s="5" t="s">
        <v>229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A88" s="5" t="s">
        <v>44</v>
      </c>
      <c r="B88" s="6">
        <v>20411454</v>
      </c>
      <c r="C88" s="5" t="s">
        <v>4</v>
      </c>
      <c r="D88" s="7">
        <v>46054</v>
      </c>
      <c r="E88" s="8">
        <v>2.08</v>
      </c>
      <c r="F88" s="10" t="s">
        <v>185</v>
      </c>
      <c r="G88" s="10" t="str">
        <f t="shared" si="1"/>
        <v>36A5F5R75OVR</v>
      </c>
      <c r="H88" s="5" t="s">
        <v>187</v>
      </c>
      <c r="I88" s="7">
        <v>45689</v>
      </c>
      <c r="J88" s="5" t="s">
        <v>51</v>
      </c>
      <c r="K88" s="5" t="s">
        <v>62</v>
      </c>
      <c r="L88" s="5" t="s">
        <v>53</v>
      </c>
      <c r="M88" s="7">
        <v>45689</v>
      </c>
      <c r="N88" s="5" t="s">
        <v>229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5" t="s">
        <v>44</v>
      </c>
      <c r="B89" s="6">
        <v>20411454</v>
      </c>
      <c r="C89" s="5" t="s">
        <v>4</v>
      </c>
      <c r="D89" s="7">
        <v>46054</v>
      </c>
      <c r="E89" s="8">
        <v>2.08</v>
      </c>
      <c r="F89" s="10" t="s">
        <v>190</v>
      </c>
      <c r="G89" s="10" t="str">
        <f t="shared" si="1"/>
        <v>36F8L5X89OVR</v>
      </c>
      <c r="H89" s="5" t="s">
        <v>192</v>
      </c>
      <c r="I89" s="7">
        <v>45870</v>
      </c>
      <c r="J89" s="5" t="s">
        <v>51</v>
      </c>
      <c r="K89" s="5" t="s">
        <v>62</v>
      </c>
      <c r="L89" s="5" t="s">
        <v>53</v>
      </c>
      <c r="M89" s="7">
        <v>45870</v>
      </c>
      <c r="N89" s="5" t="s">
        <v>229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5">
      <c r="A90" s="5" t="s">
        <v>44</v>
      </c>
      <c r="B90" s="6">
        <v>20411454</v>
      </c>
      <c r="C90" s="5" t="s">
        <v>4</v>
      </c>
      <c r="D90" s="7">
        <v>46054</v>
      </c>
      <c r="E90" s="8">
        <v>2.08</v>
      </c>
      <c r="F90" s="10" t="s">
        <v>193</v>
      </c>
      <c r="G90" s="10" t="str">
        <f t="shared" si="1"/>
        <v>37A1R7X45OVR</v>
      </c>
      <c r="H90" s="5" t="s">
        <v>195</v>
      </c>
      <c r="I90" s="7">
        <v>45870</v>
      </c>
      <c r="J90" s="5" t="s">
        <v>53</v>
      </c>
      <c r="K90" s="5" t="s">
        <v>70</v>
      </c>
      <c r="L90" s="5" t="s">
        <v>53</v>
      </c>
      <c r="M90" s="7">
        <v>45870</v>
      </c>
      <c r="N90" s="5" t="s">
        <v>229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5">
      <c r="A91" s="5" t="s">
        <v>44</v>
      </c>
      <c r="B91" s="6">
        <v>20411454</v>
      </c>
      <c r="C91" s="5" t="s">
        <v>4</v>
      </c>
      <c r="D91" s="7">
        <v>46054</v>
      </c>
      <c r="E91" s="8">
        <v>2.08</v>
      </c>
      <c r="F91" s="10">
        <v>20055281801</v>
      </c>
      <c r="G91" s="10" t="str">
        <f t="shared" si="1"/>
        <v>20055281801OVR</v>
      </c>
      <c r="H91" s="5" t="s">
        <v>203</v>
      </c>
      <c r="I91" s="7">
        <v>45778</v>
      </c>
      <c r="J91" s="5" t="s">
        <v>140</v>
      </c>
      <c r="K91" s="5" t="s">
        <v>70</v>
      </c>
      <c r="L91" s="5" t="s">
        <v>53</v>
      </c>
      <c r="M91" s="7">
        <v>45778</v>
      </c>
      <c r="N91" s="5" t="s">
        <v>229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5">
      <c r="A92" s="5" t="s">
        <v>44</v>
      </c>
      <c r="B92" s="6">
        <v>20411454</v>
      </c>
      <c r="C92" s="5" t="s">
        <v>4</v>
      </c>
      <c r="D92" s="7">
        <v>46054</v>
      </c>
      <c r="E92" s="8">
        <v>2.08</v>
      </c>
      <c r="F92" s="10" t="s">
        <v>204</v>
      </c>
      <c r="G92" s="10" t="str">
        <f t="shared" si="1"/>
        <v>48L8X7R44OVR</v>
      </c>
      <c r="H92" s="5" t="s">
        <v>206</v>
      </c>
      <c r="I92" s="7">
        <v>45658</v>
      </c>
      <c r="J92" s="5" t="s">
        <v>53</v>
      </c>
      <c r="K92" s="5" t="s">
        <v>141</v>
      </c>
      <c r="L92" s="5" t="s">
        <v>53</v>
      </c>
      <c r="M92" s="7">
        <v>45658</v>
      </c>
      <c r="N92" s="5" t="s">
        <v>229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5">
      <c r="A93" s="5" t="s">
        <v>44</v>
      </c>
      <c r="B93" s="6">
        <v>20411454</v>
      </c>
      <c r="C93" s="5" t="s">
        <v>4</v>
      </c>
      <c r="D93" s="7">
        <v>46054</v>
      </c>
      <c r="E93" s="8">
        <v>2.08</v>
      </c>
      <c r="F93" s="10" t="s">
        <v>209</v>
      </c>
      <c r="G93" s="10" t="str">
        <f t="shared" si="1"/>
        <v>68X8X9H74OVR</v>
      </c>
      <c r="H93" s="5" t="s">
        <v>211</v>
      </c>
      <c r="I93" s="7">
        <v>45689</v>
      </c>
      <c r="J93" s="5" t="s">
        <v>53</v>
      </c>
      <c r="K93" s="5" t="s">
        <v>70</v>
      </c>
      <c r="L93" s="5" t="s">
        <v>53</v>
      </c>
      <c r="M93" s="7">
        <v>45689</v>
      </c>
      <c r="N93" s="5" t="s">
        <v>229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5">
      <c r="A94" s="5" t="s">
        <v>44</v>
      </c>
      <c r="B94" s="6">
        <v>20411454</v>
      </c>
      <c r="C94" s="5" t="s">
        <v>4</v>
      </c>
      <c r="D94" s="7">
        <v>46054</v>
      </c>
      <c r="E94" s="8">
        <v>2.08</v>
      </c>
      <c r="F94" s="10" t="s">
        <v>212</v>
      </c>
      <c r="G94" s="10" t="str">
        <f t="shared" si="1"/>
        <v>75U2X9F11OVR</v>
      </c>
      <c r="H94" s="5" t="s">
        <v>214</v>
      </c>
      <c r="I94" s="7">
        <v>45689</v>
      </c>
      <c r="J94" s="5" t="s">
        <v>140</v>
      </c>
      <c r="K94" s="5" t="s">
        <v>52</v>
      </c>
      <c r="L94" s="5" t="s">
        <v>53</v>
      </c>
      <c r="M94" s="7">
        <v>45689</v>
      </c>
      <c r="N94" s="5" t="s">
        <v>229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5">
      <c r="A95" s="5" t="s">
        <v>44</v>
      </c>
      <c r="B95" s="6">
        <v>20411454</v>
      </c>
      <c r="C95" s="5" t="s">
        <v>4</v>
      </c>
      <c r="D95" s="7">
        <v>46054</v>
      </c>
      <c r="E95" s="8">
        <v>2.08</v>
      </c>
      <c r="F95" s="10" t="s">
        <v>221</v>
      </c>
      <c r="G95" s="10" t="str">
        <f t="shared" si="1"/>
        <v>36A3X2H39OVR</v>
      </c>
      <c r="H95" s="5" t="s">
        <v>223</v>
      </c>
      <c r="I95" s="7">
        <v>45962</v>
      </c>
      <c r="J95" s="5" t="s">
        <v>51</v>
      </c>
      <c r="K95" s="5" t="s">
        <v>70</v>
      </c>
      <c r="L95" s="5" t="s">
        <v>53</v>
      </c>
      <c r="M95" s="7">
        <v>45962</v>
      </c>
      <c r="N95" s="5" t="s">
        <v>229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</sheetData>
  <sortState xmlns:xlrd2="http://schemas.microsoft.com/office/spreadsheetml/2017/richdata2" ref="A2:Y95">
    <sortCondition ref="N2:N9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2026-02-27T08:11:55Z</dcterms:created>
  <dcterms:modified xsi:type="dcterms:W3CDTF">2026-03-02T20:42:19Z</dcterms:modified>
</cp:coreProperties>
</file>