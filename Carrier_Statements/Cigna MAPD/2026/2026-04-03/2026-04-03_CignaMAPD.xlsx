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4-3-26\"/>
    </mc:Choice>
  </mc:AlternateContent>
  <xr:revisionPtr revIDLastSave="0" documentId="13_ncr:1_{61EE181B-C653-4022-908D-9DEC9A26CE02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Summary" sheetId="1" r:id="rId1"/>
    <sheet name="Detail" sheetId="2" r:id="rId2"/>
    <sheet name="Legacy" sheetId="3" r:id="rId3"/>
    <sheet name="Misc" sheetId="4" r:id="rId4"/>
  </sheets>
  <calcPr calcId="181029"/>
</workbook>
</file>

<file path=xl/calcChain.xml><?xml version="1.0" encoding="utf-8"?>
<calcChain xmlns="http://schemas.openxmlformats.org/spreadsheetml/2006/main">
  <c r="H7" i="4" l="1"/>
  <c r="H6" i="4"/>
  <c r="H3" i="1"/>
  <c r="H4" i="1"/>
  <c r="H5" i="1"/>
  <c r="H6" i="1"/>
  <c r="H7" i="1"/>
  <c r="H3" i="4"/>
  <c r="H4" i="4"/>
  <c r="H5" i="4"/>
  <c r="H2" i="1"/>
  <c r="H2" i="4"/>
</calcChain>
</file>

<file path=xl/sharedStrings.xml><?xml version="1.0" encoding="utf-8"?>
<sst xmlns="http://schemas.openxmlformats.org/spreadsheetml/2006/main" count="145" uniqueCount="76">
  <si>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</si>
  <si>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</si>
  <si>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</si>
  <si>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</si>
  <si>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</si>
  <si>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</si>
  <si>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</si>
  <si>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</si>
  <si>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</si>
  <si>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</si>
  <si>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</si>
  <si>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</si>
  <si>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</si>
  <si>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</si>
  <si>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</si>
  <si>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</si>
  <si>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</si>
  <si>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</si>
  <si>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</si>
  <si>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</si>
  <si>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</si>
  <si>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</si>
  <si>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</si>
  <si>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</si>
  <si>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</si>
  <si>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</si>
  <si>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</si>
  <si>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</si>
  <si>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</si>
  <si>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</si>
  <si>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</si>
  <si>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</si>
  <si>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</si>
  <si>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</si>
  <si>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</si>
  <si>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</si>
  <si>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</si>
  <si>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</si>
  <si>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</si>
  <si>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</si>
  <si>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</si>
  <si>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</si>
  <si>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</si>
  <si>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</si>
  <si>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Initial - NOT New to CMS</t>
  </si>
  <si>
    <t>Broker Level</t>
  </si>
  <si>
    <t>17528908</t>
  </si>
  <si>
    <t>DEBORAH INSKIPT</t>
  </si>
  <si>
    <t>42L5X3R23</t>
  </si>
  <si>
    <t>5TF4Q11JX61</t>
  </si>
  <si>
    <t>SANDRA MILLER</t>
  </si>
  <si>
    <t>MAPD</t>
  </si>
  <si>
    <t>PA</t>
  </si>
  <si>
    <t>H3949</t>
  </si>
  <si>
    <t>048</t>
  </si>
  <si>
    <t>000</t>
  </si>
  <si>
    <t>Service Fee</t>
  </si>
  <si>
    <t>20411454</t>
  </si>
  <si>
    <t>Note</t>
  </si>
  <si>
    <t>17094718</t>
  </si>
  <si>
    <t>GREGORY HANSFORD</t>
  </si>
  <si>
    <t>2026 HRA Incentive for 20260101 effective - RANDLE, CAROLYN 19H5F8L62 / 8QV3FR7C</t>
  </si>
  <si>
    <t>8405446</t>
  </si>
  <si>
    <t>PATSAMON THANADABOUTH</t>
  </si>
  <si>
    <t>2026 HRA Incentive for 20260101 effective - PHETTHONGSY, OUDONE 17H1X6X21 / 4ND2</t>
  </si>
  <si>
    <t>18710070</t>
  </si>
  <si>
    <t>MICHELLE MCCORKLE</t>
  </si>
  <si>
    <t>2026 HRA Incentive for 20260101 effective - POZZUTO, TIMOTHY 27U5L3A71 / 2FN1H25</t>
  </si>
  <si>
    <t>19681796</t>
  </si>
  <si>
    <t>CHRIS TAUGNER</t>
  </si>
  <si>
    <t>2026 HRA Incentive for 20260101 effective - ACEVEDO, JULIO 36U1A3F87 / 9JW4RG6PY</t>
  </si>
  <si>
    <t>18142208</t>
  </si>
  <si>
    <t>JILL SHEPARD</t>
  </si>
  <si>
    <t>2026 HRA Incentive for 20260101 effective - DERUBEIS, ROBERT 17U1L5R79 / 8PP7JC6</t>
  </si>
  <si>
    <t>2026 HRA Incentive for 20260101 effective - GUILL, KATHLEEN 54R1L1X82 / 6MU3AC8A</t>
  </si>
  <si>
    <t>Cigna MAPD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</si>
</sst>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H6" sqref="H6"/>
    </sheetView>
  </sheetViews>
  <sheetFormatPr defaultRowHeight="15" x14ac:dyDescent="0.25"/>
  <cols>
    <col min="1" max="1" width="95" customWidth="1"/>
    <col min="2" max="2" width="35" customWidth="1"/>
    <col min="3" max="3" width="20" customWidth="1"/>
    <col min="6" max="6" width="21.140625" customWidth="1"/>
    <col min="7" max="7" width="11.7109375" bestFit="1" customWidth="1"/>
  </cols>
  <sheetData>
    <row r="1" spans="1:8" x14ac:dyDescent="0.25">
      <c r="A1" s="1" t="s">
        <v>1</v>
      </c>
    </row>
    <row r="2" spans="1:8" x14ac:dyDescent="0.25">
      <c r="A2" t="s">
        <v>2</v>
      </c>
      <c r="B2" t="s">
        <v>4</v>
      </c>
      <c r="C2" s="4"/>
      <c r="G2" t="s">
        <v>75</v>
      </c>
      <c r="H2" t="str">
        <f>CONCATENATE(G2,"-",F2)</f>
        <v>Cigna MAPD-</v>
      </c>
    </row>
    <row r="3" spans="1:8" x14ac:dyDescent="0.25">
      <c r="A3" t="s">
        <v>3</v>
      </c>
      <c r="B3">
        <v>20411454</v>
      </c>
      <c r="C3" s="4"/>
      <c r="G3" t="s">
        <v>75</v>
      </c>
      <c r="H3" t="str">
        <f t="shared" ref="H3:H7" si="0">CONCATENATE(G3,"-",F3)</f>
        <v>Cigna MAPD-</v>
      </c>
    </row>
    <row r="4" spans="1:8" x14ac:dyDescent="0.25">
      <c r="C4" s="4"/>
      <c r="G4" t="s">
        <v>75</v>
      </c>
      <c r="H4" t="str">
        <f t="shared" si="0"/>
        <v>Cigna MAPD-</v>
      </c>
    </row>
    <row r="5" spans="1:8" x14ac:dyDescent="0.25">
      <c r="A5" t="s">
        <v>5</v>
      </c>
      <c r="B5" t="s">
        <v>6</v>
      </c>
      <c r="C5" s="4" t="s">
        <v>7</v>
      </c>
      <c r="G5" t="s">
        <v>75</v>
      </c>
      <c r="H5" t="str">
        <f t="shared" si="0"/>
        <v>Cigna MAPD-</v>
      </c>
    </row>
    <row r="6" spans="1:8" x14ac:dyDescent="0.25">
      <c r="A6" t="s">
        <v>8</v>
      </c>
      <c r="B6">
        <v>0</v>
      </c>
      <c r="C6" s="5">
        <v>16170994</v>
      </c>
      <c r="G6" t="s">
        <v>75</v>
      </c>
      <c r="H6" t="str">
        <f t="shared" si="0"/>
        <v>Cigna MAPD-</v>
      </c>
    </row>
    <row r="7" spans="1:8" x14ac:dyDescent="0.25">
      <c r="A7" t="s">
        <v>9</v>
      </c>
      <c r="B7">
        <v>0</v>
      </c>
      <c r="C7" s="5">
        <v>16170994</v>
      </c>
      <c r="G7" t="s">
        <v>75</v>
      </c>
      <c r="H7" t="str">
        <f t="shared" si="0"/>
        <v>Cigna MAPD-</v>
      </c>
    </row>
    <row r="8" spans="1:8" x14ac:dyDescent="0.25">
      <c r="A8" t="s">
        <v>10</v>
      </c>
      <c r="B8">
        <v>0</v>
      </c>
      <c r="C8" s="2">
        <v>0</v>
      </c>
    </row>
    <row r="9" spans="1:8" x14ac:dyDescent="0.25">
      <c r="A9" t="s">
        <v>11</v>
      </c>
      <c r="B9">
        <v>0</v>
      </c>
      <c r="C9" s="4"/>
    </row>
    <row r="10" spans="1:8" x14ac:dyDescent="0.25">
      <c r="A10" t="s">
        <v>12</v>
      </c>
      <c r="B10">
        <v>1</v>
      </c>
      <c r="C10" s="4"/>
    </row>
    <row r="11" spans="1:8" x14ac:dyDescent="0.25">
      <c r="A11" t="s">
        <v>13</v>
      </c>
      <c r="B11">
        <v>0</v>
      </c>
      <c r="C11" s="4"/>
    </row>
    <row r="12" spans="1:8" x14ac:dyDescent="0.25">
      <c r="C12" s="4"/>
    </row>
    <row r="13" spans="1:8" x14ac:dyDescent="0.25">
      <c r="A13" t="s">
        <v>14</v>
      </c>
      <c r="B13">
        <v>0</v>
      </c>
      <c r="C13" s="5"/>
    </row>
    <row r="14" spans="1:8" x14ac:dyDescent="0.25">
      <c r="A14" t="s">
        <v>15</v>
      </c>
      <c r="B14">
        <v>0</v>
      </c>
      <c r="C14" s="5"/>
    </row>
    <row r="15" spans="1:8" x14ac:dyDescent="0.25">
      <c r="A15" t="s">
        <v>16</v>
      </c>
      <c r="B15">
        <v>6</v>
      </c>
      <c r="C15" s="2">
        <v>300</v>
      </c>
    </row>
    <row r="16" spans="1:8" x14ac:dyDescent="0.25">
      <c r="A16" t="s">
        <v>17</v>
      </c>
      <c r="C16" s="2">
        <v>0</v>
      </c>
    </row>
    <row r="17" spans="1:3" x14ac:dyDescent="0.25">
      <c r="A17" t="s">
        <v>18</v>
      </c>
      <c r="B17">
        <v>7</v>
      </c>
      <c r="C17" s="2">
        <v>771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"/>
  <sheetViews>
    <sheetView workbookViewId="0">
      <selection activeCell="I2" sqref="I2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" bestFit="1" customWidth="1"/>
    <col min="10" max="10" width="30.7109375" bestFit="1" customWidth="1"/>
    <col min="11" max="11" width="14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3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44</v>
      </c>
      <c r="B2" t="s">
        <v>45</v>
      </c>
      <c r="C2" t="s">
        <v>46</v>
      </c>
      <c r="D2" t="s">
        <v>47</v>
      </c>
      <c r="E2" t="s">
        <v>46</v>
      </c>
      <c r="F2" t="s">
        <v>47</v>
      </c>
      <c r="G2" s="3">
        <v>46023</v>
      </c>
      <c r="H2" s="2">
        <v>391</v>
      </c>
      <c r="I2" t="s">
        <v>48</v>
      </c>
      <c r="J2" t="s">
        <v>49</v>
      </c>
      <c r="K2" t="s">
        <v>50</v>
      </c>
      <c r="L2" s="3">
        <v>45945</v>
      </c>
      <c r="M2" s="3">
        <v>46023</v>
      </c>
      <c r="N2" t="s">
        <v>0</v>
      </c>
      <c r="O2">
        <v>5</v>
      </c>
      <c r="P2" t="s">
        <v>51</v>
      </c>
      <c r="Q2" t="s">
        <v>52</v>
      </c>
      <c r="R2" t="s">
        <v>51</v>
      </c>
      <c r="S2" t="s">
        <v>0</v>
      </c>
      <c r="T2" s="3">
        <v>46023</v>
      </c>
      <c r="U2" t="s">
        <v>53</v>
      </c>
      <c r="V2" t="s">
        <v>54</v>
      </c>
      <c r="W2" t="s">
        <v>55</v>
      </c>
      <c r="X2" t="s">
        <v>0</v>
      </c>
    </row>
    <row r="3" spans="1:24" x14ac:dyDescent="0.25">
      <c r="A3" t="s">
        <v>44</v>
      </c>
      <c r="B3" t="s">
        <v>56</v>
      </c>
      <c r="C3" t="s">
        <v>46</v>
      </c>
      <c r="D3" t="s">
        <v>47</v>
      </c>
      <c r="E3" t="s">
        <v>57</v>
      </c>
      <c r="F3" t="s">
        <v>4</v>
      </c>
      <c r="G3" s="3">
        <v>46023</v>
      </c>
      <c r="H3" s="2">
        <v>80</v>
      </c>
      <c r="I3" t="s">
        <v>48</v>
      </c>
      <c r="J3" t="s">
        <v>49</v>
      </c>
      <c r="K3" t="s">
        <v>50</v>
      </c>
      <c r="L3" s="3">
        <v>45945</v>
      </c>
      <c r="M3" s="3">
        <v>46023</v>
      </c>
      <c r="N3" t="s">
        <v>0</v>
      </c>
      <c r="O3">
        <v>5</v>
      </c>
      <c r="P3" t="s">
        <v>51</v>
      </c>
      <c r="Q3" t="s">
        <v>52</v>
      </c>
      <c r="R3" t="s">
        <v>51</v>
      </c>
      <c r="S3" t="s">
        <v>0</v>
      </c>
      <c r="T3" s="3">
        <v>46023</v>
      </c>
      <c r="U3" t="s">
        <v>53</v>
      </c>
      <c r="V3" t="s">
        <v>54</v>
      </c>
      <c r="W3" t="s">
        <v>55</v>
      </c>
      <c r="X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tabSelected="1" topLeftCell="B1" workbookViewId="0">
      <selection activeCell="C9" sqref="C9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5" bestFit="1" customWidth="1"/>
    <col min="6" max="6" width="21.140625" customWidth="1"/>
    <col min="7" max="7" width="11.7109375" bestFit="1" customWidth="1"/>
    <col min="8" max="8" width="91.5703125" bestFit="1" customWidth="1"/>
    <col min="24" max="24" width="25" customWidth="1"/>
  </cols>
  <sheetData>
    <row r="1" spans="1:8" x14ac:dyDescent="0.25">
      <c r="A1" t="s">
        <v>23</v>
      </c>
      <c r="B1" t="s">
        <v>24</v>
      </c>
      <c r="C1" t="s">
        <v>25</v>
      </c>
      <c r="D1" t="s">
        <v>26</v>
      </c>
      <c r="E1" t="s">
        <v>28</v>
      </c>
      <c r="F1" t="s">
        <v>58</v>
      </c>
    </row>
    <row r="2" spans="1:8" x14ac:dyDescent="0.25">
      <c r="A2" t="s">
        <v>59</v>
      </c>
      <c r="B2" t="s">
        <v>60</v>
      </c>
      <c r="C2" s="7">
        <v>17094718</v>
      </c>
      <c r="D2" t="s">
        <v>60</v>
      </c>
      <c r="E2">
        <v>50</v>
      </c>
      <c r="F2" t="s">
        <v>61</v>
      </c>
      <c r="G2" t="s">
        <v>75</v>
      </c>
      <c r="H2" t="str">
        <f>CONCATENATE(G2,"-",F2)</f>
        <v>Cigna MAPD-2026 HRA Incentive for 20260101 effective - RANDLE, CAROLYN 19H5F8L62 / 8QV3FR7C</v>
      </c>
    </row>
    <row r="3" spans="1:8" x14ac:dyDescent="0.25">
      <c r="A3" t="s">
        <v>62</v>
      </c>
      <c r="B3" t="s">
        <v>63</v>
      </c>
      <c r="C3" s="7">
        <v>8405446</v>
      </c>
      <c r="D3" t="s">
        <v>63</v>
      </c>
      <c r="E3">
        <v>50</v>
      </c>
      <c r="F3" t="s">
        <v>64</v>
      </c>
      <c r="G3" t="s">
        <v>75</v>
      </c>
      <c r="H3" t="str">
        <f t="shared" ref="H3:H7" si="0">CONCATENATE(G3,"-",F3)</f>
        <v>Cigna MAPD-2026 HRA Incentive for 20260101 effective - PHETTHONGSY, OUDONE 17H1X6X21 / 4ND2</v>
      </c>
    </row>
    <row r="4" spans="1:8" x14ac:dyDescent="0.25">
      <c r="A4" t="s">
        <v>65</v>
      </c>
      <c r="B4" t="s">
        <v>66</v>
      </c>
      <c r="C4" s="7">
        <v>18710070</v>
      </c>
      <c r="D4" t="s">
        <v>66</v>
      </c>
      <c r="E4">
        <v>50</v>
      </c>
      <c r="F4" t="s">
        <v>67</v>
      </c>
      <c r="G4" t="s">
        <v>75</v>
      </c>
      <c r="H4" t="str">
        <f t="shared" si="0"/>
        <v>Cigna MAPD-2026 HRA Incentive for 20260101 effective - POZZUTO, TIMOTHY 27U5L3A71 / 2FN1H25</v>
      </c>
    </row>
    <row r="5" spans="1:8" x14ac:dyDescent="0.25">
      <c r="A5" t="s">
        <v>68</v>
      </c>
      <c r="B5" t="s">
        <v>69</v>
      </c>
      <c r="C5" s="7">
        <v>19681796</v>
      </c>
      <c r="D5" t="s">
        <v>69</v>
      </c>
      <c r="E5">
        <v>50</v>
      </c>
      <c r="F5" t="s">
        <v>70</v>
      </c>
      <c r="G5" t="s">
        <v>75</v>
      </c>
      <c r="H5" t="str">
        <f t="shared" si="0"/>
        <v>Cigna MAPD-2026 HRA Incentive for 20260101 effective - ACEVEDO, JULIO 36U1A3F87 / 9JW4RG6PY</v>
      </c>
    </row>
    <row r="6" spans="1:8" x14ac:dyDescent="0.25">
      <c r="A6" t="s">
        <v>71</v>
      </c>
      <c r="B6" t="s">
        <v>72</v>
      </c>
      <c r="C6" s="6">
        <v>16170994</v>
      </c>
      <c r="D6" t="s">
        <v>72</v>
      </c>
      <c r="E6">
        <v>50</v>
      </c>
      <c r="F6" t="s">
        <v>73</v>
      </c>
      <c r="G6" t="s">
        <v>75</v>
      </c>
      <c r="H6" t="str">
        <f>CONCATENATE(G6,"-",F6," ","For"," ",B6)</f>
        <v>Cigna MAPD-2026 HRA Incentive for 20260101 effective - DERUBEIS, ROBERT 17U1L5R79 / 8PP7JC6 For JILL SHEPARD</v>
      </c>
    </row>
    <row r="7" spans="1:8" x14ac:dyDescent="0.25">
      <c r="A7" t="s">
        <v>71</v>
      </c>
      <c r="B7" t="s">
        <v>72</v>
      </c>
      <c r="C7" s="6">
        <v>16170994</v>
      </c>
      <c r="D7" t="s">
        <v>72</v>
      </c>
      <c r="E7">
        <v>50</v>
      </c>
      <c r="F7" t="s">
        <v>74</v>
      </c>
      <c r="G7" t="s">
        <v>75</v>
      </c>
      <c r="H7" t="str">
        <f>CONCATENATE(G7,"-",F7," ","For"," ",B7)</f>
        <v>Cigna MAPD-2026 HRA Incentive for 20260101 effective - GUILL, KATHLEEN 54R1L1X82 / 6MU3AC8A For JILL SHEPARD</v>
      </c>
    </row>
    <row r="9" spans="1:8" x14ac:dyDescent="0.25">
      <c r="C9" s="4"/>
    </row>
    <row r="10" spans="1:8" x14ac:dyDescent="0.25">
      <c r="C10" s="4"/>
    </row>
    <row r="11" spans="1:8" x14ac:dyDescent="0.25">
      <c r="C11" s="4"/>
    </row>
    <row r="12" spans="1:8" x14ac:dyDescent="0.25">
      <c r="C12" s="4"/>
    </row>
    <row r="13" spans="1:8" x14ac:dyDescent="0.25">
      <c r="C13" s="5"/>
    </row>
    <row r="14" spans="1:8" x14ac:dyDescent="0.25">
      <c r="C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Legacy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2026-04-03T07:11:51Z</dcterms:created>
  <dcterms:modified xsi:type="dcterms:W3CDTF">2026-04-06T18:32:34Z</dcterms:modified>
</cp:coreProperties>
</file>