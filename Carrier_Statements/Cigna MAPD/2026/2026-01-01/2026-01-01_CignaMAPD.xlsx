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6\1-1-26\"/>
    </mc:Choice>
  </mc:AlternateContent>
  <xr:revisionPtr revIDLastSave="0" documentId="13_ncr:1_{745FF552-4F10-41C5-852C-5A767BEA086F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81029"/>
</workbook>
</file>

<file path=xl/calcChain.xml><?xml version="1.0" encoding="utf-8"?>
<calcChain xmlns="http://schemas.openxmlformats.org/spreadsheetml/2006/main">
  <c r="G115" i="4" l="1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89" i="4"/>
  <c r="G171" i="4"/>
  <c r="G179" i="4"/>
  <c r="G184" i="4"/>
  <c r="G196" i="4"/>
  <c r="G170" i="4"/>
  <c r="G190" i="4"/>
  <c r="G172" i="4"/>
  <c r="G187" i="4"/>
  <c r="G178" i="4"/>
  <c r="G188" i="4"/>
  <c r="G183" i="4"/>
  <c r="G186" i="4"/>
  <c r="G181" i="4"/>
  <c r="G182" i="4"/>
  <c r="G174" i="4"/>
  <c r="G177" i="4"/>
  <c r="G195" i="4"/>
  <c r="G192" i="4"/>
  <c r="G176" i="4"/>
  <c r="G191" i="4"/>
  <c r="G194" i="4"/>
  <c r="G185" i="4"/>
  <c r="G175" i="4"/>
  <c r="G173" i="4"/>
  <c r="G193" i="4"/>
  <c r="G180" i="4"/>
  <c r="G160" i="4"/>
  <c r="G132" i="4"/>
  <c r="G118" i="4"/>
  <c r="G146" i="4"/>
  <c r="G123" i="4"/>
  <c r="G169" i="4"/>
  <c r="G159" i="4"/>
  <c r="G154" i="4"/>
  <c r="G148" i="4"/>
  <c r="G158" i="4"/>
  <c r="G138" i="4"/>
  <c r="G137" i="4"/>
  <c r="G161" i="4"/>
  <c r="G145" i="4"/>
  <c r="G144" i="4"/>
  <c r="G162" i="4"/>
  <c r="G122" i="4"/>
  <c r="G168" i="4"/>
  <c r="G131" i="4"/>
  <c r="G121" i="4"/>
  <c r="G130" i="4"/>
  <c r="G141" i="4"/>
  <c r="G157" i="4"/>
  <c r="G153" i="4"/>
  <c r="G147" i="4"/>
  <c r="G143" i="4"/>
  <c r="G140" i="4"/>
  <c r="G139" i="4"/>
  <c r="G126" i="4"/>
  <c r="G152" i="4"/>
  <c r="G117" i="4"/>
  <c r="G156" i="4"/>
  <c r="G142" i="4"/>
  <c r="G125" i="4"/>
  <c r="G120" i="4"/>
  <c r="G135" i="4"/>
  <c r="G150" i="4"/>
  <c r="G149" i="4"/>
  <c r="G163" i="4"/>
  <c r="G167" i="4"/>
  <c r="G129" i="4"/>
  <c r="G116" i="4"/>
  <c r="G124" i="4"/>
  <c r="G155" i="4"/>
  <c r="G134" i="4"/>
  <c r="G166" i="4"/>
  <c r="G151" i="4"/>
  <c r="G165" i="4"/>
  <c r="G128" i="4"/>
  <c r="G136" i="4"/>
  <c r="G164" i="4"/>
  <c r="G133" i="4"/>
  <c r="G119" i="4"/>
  <c r="G127" i="4"/>
  <c r="G11" i="4"/>
  <c r="G9" i="4"/>
  <c r="G8" i="4"/>
  <c r="G13" i="4"/>
  <c r="G12" i="4"/>
  <c r="G10" i="4"/>
  <c r="G3" i="4"/>
  <c r="G7" i="4"/>
  <c r="G2" i="4"/>
  <c r="G5" i="4"/>
  <c r="G6" i="4"/>
  <c r="G4" i="4"/>
</calcChain>
</file>

<file path=xl/sharedStrings.xml><?xml version="1.0" encoding="utf-8"?>
<sst xmlns="http://schemas.openxmlformats.org/spreadsheetml/2006/main" count="5160" uniqueCount="460">
  <si>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</si>
  <si>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</si>
  <si>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</si>
  <si>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</si>
  <si>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</si>
  <si>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</si>
  <si>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</si>
  <si>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</si>
  <si>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</si>
  <si>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</si>
  <si>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</si>
  <si>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</si>
  <si>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</si>
  <si>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</si>
  <si>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</si>
  <si>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</si>
  <si>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</si>
  <si>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</si>
  <si>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</si>
  <si>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</si>
  <si>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</si>
  <si>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</si>
  <si>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</si>
  <si>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</si>
  <si>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</si>
  <si>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</si>
  <si>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</si>
  <si>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</si>
  <si>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</si>
  <si>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</si>
  <si>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</si>
  <si>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</si>
  <si>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</si>
  <si>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</si>
  <si>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</si>
  <si>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</si>
  <si>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</si>
  <si>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</si>
  <si>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</si>
  <si>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</si>
  <si>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</si>
  <si>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</si>
  <si>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</si>
  <si>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</si>
  <si>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Initial - NOT New to CMS</t>
  </si>
  <si>
    <t>Broker Level</t>
  </si>
  <si>
    <t>17094718</t>
  </si>
  <si>
    <t>GREGORY HANSFORD</t>
  </si>
  <si>
    <t>57A4U1A17</t>
  </si>
  <si>
    <t>9N39JK4KF36</t>
  </si>
  <si>
    <t>JACQUALINE JONES</t>
  </si>
  <si>
    <t>MAPD</t>
  </si>
  <si>
    <t>IL</t>
  </si>
  <si>
    <t>H4513</t>
  </si>
  <si>
    <t>086</t>
  </si>
  <si>
    <t>000</t>
  </si>
  <si>
    <t>8405446</t>
  </si>
  <si>
    <t>PATSAMON THANADABOUTH</t>
  </si>
  <si>
    <t>49X1L4U55</t>
  </si>
  <si>
    <t>9M66P93DF79</t>
  </si>
  <si>
    <t>SUKANYA PHONGSAVATH</t>
  </si>
  <si>
    <t>085</t>
  </si>
  <si>
    <t>9079571</t>
  </si>
  <si>
    <t>ADAM RICHTER</t>
  </si>
  <si>
    <t>24X4F5H49</t>
  </si>
  <si>
    <t>4RX1AW0TN37</t>
  </si>
  <si>
    <t>LINDA SCHWANDTNER</t>
  </si>
  <si>
    <t>MD</t>
  </si>
  <si>
    <t>H2108</t>
  </si>
  <si>
    <t>036</t>
  </si>
  <si>
    <t>18142208</t>
  </si>
  <si>
    <t>JILL SHEPARD</t>
  </si>
  <si>
    <t>28F5R9H65</t>
  </si>
  <si>
    <t>7QX1CP4EJ14</t>
  </si>
  <si>
    <t>IRITH HACO</t>
  </si>
  <si>
    <t>OH</t>
  </si>
  <si>
    <t>H0672</t>
  </si>
  <si>
    <t>016</t>
  </si>
  <si>
    <t>22R7F8L19</t>
  </si>
  <si>
    <t>9FF8VD7MV48</t>
  </si>
  <si>
    <t>C RATTANAVONGKOTH</t>
  </si>
  <si>
    <t>NONE</t>
  </si>
  <si>
    <t>Service Fee</t>
  </si>
  <si>
    <t>5442438</t>
  </si>
  <si>
    <t>RONALD MAX</t>
  </si>
  <si>
    <t>20411454</t>
  </si>
  <si>
    <t>53U6R8H53</t>
  </si>
  <si>
    <t>1VK6GX4MN56</t>
  </si>
  <si>
    <t>MARTIN HUNT JR</t>
  </si>
  <si>
    <t>17H1X6X21</t>
  </si>
  <si>
    <t>4ND9JT9CY49</t>
  </si>
  <si>
    <t>OUDONE PHETTHONGSY</t>
  </si>
  <si>
    <t>19586992</t>
  </si>
  <si>
    <t>BARRY SCHUMANN</t>
  </si>
  <si>
    <t>78F8F1L61</t>
  </si>
  <si>
    <t>3FN2K96RT92</t>
  </si>
  <si>
    <t>JUANDA CAMP</t>
  </si>
  <si>
    <t>7565575</t>
  </si>
  <si>
    <t>ROBERT SHAPIRO</t>
  </si>
  <si>
    <t>71X8U5A35</t>
  </si>
  <si>
    <t>2A08Y89KY30</t>
  </si>
  <si>
    <t>JAMES KOWALSKI</t>
  </si>
  <si>
    <t>H7849</t>
  </si>
  <si>
    <t>080</t>
  </si>
  <si>
    <t>58U6H8X87</t>
  </si>
  <si>
    <t>3MD7RW8VD43</t>
  </si>
  <si>
    <t>RICHARD LUGENBEEL</t>
  </si>
  <si>
    <t>022</t>
  </si>
  <si>
    <t>28H8H4L63</t>
  </si>
  <si>
    <t>8H55FQ4ED95</t>
  </si>
  <si>
    <t>VANTHONG THANADABOUTH</t>
  </si>
  <si>
    <t>Pending</t>
  </si>
  <si>
    <t>20003537</t>
  </si>
  <si>
    <t>CHAD YALE</t>
  </si>
  <si>
    <t>9UC1DV9CJ37</t>
  </si>
  <si>
    <t>DAVID LOWDER</t>
  </si>
  <si>
    <t>NC</t>
  </si>
  <si>
    <t>H9725</t>
  </si>
  <si>
    <t>009</t>
  </si>
  <si>
    <t>003</t>
  </si>
  <si>
    <t>8325282</t>
  </si>
  <si>
    <t>DALE WALENGA</t>
  </si>
  <si>
    <t>49L6A3A59</t>
  </si>
  <si>
    <t>1EU4CC9RX01</t>
  </si>
  <si>
    <t>KIM ROTHERY</t>
  </si>
  <si>
    <t>19681796</t>
  </si>
  <si>
    <t>CHRIS TAUGNER</t>
  </si>
  <si>
    <t>36U1A3F87</t>
  </si>
  <si>
    <t>9JW4RG6PY74</t>
  </si>
  <si>
    <t>JULIO ACEVEDO</t>
  </si>
  <si>
    <t>16912722</t>
  </si>
  <si>
    <t>ANDREA PETRUNGARO</t>
  </si>
  <si>
    <t>41A5A8R78</t>
  </si>
  <si>
    <t>9PQ3JQ4KW18</t>
  </si>
  <si>
    <t>PATRICIA LOPEZ</t>
  </si>
  <si>
    <t>21435997</t>
  </si>
  <si>
    <t>CHRISTOPHER BROUSSEAU</t>
  </si>
  <si>
    <t>31F5X8A86</t>
  </si>
  <si>
    <t>5HV7KN2MH71</t>
  </si>
  <si>
    <t>RICHELLE SPEIGNER GAINES</t>
  </si>
  <si>
    <t>19396223</t>
  </si>
  <si>
    <t>SAADIA ABDUL</t>
  </si>
  <si>
    <t>38L5L5R55</t>
  </si>
  <si>
    <t>7AN9TX6YR22</t>
  </si>
  <si>
    <t>ROGER POLONSKY</t>
  </si>
  <si>
    <t>54X2U5F22</t>
  </si>
  <si>
    <t>2TU5C98KK62</t>
  </si>
  <si>
    <t>RODNEY LANGE</t>
  </si>
  <si>
    <t>TX</t>
  </si>
  <si>
    <t>064</t>
  </si>
  <si>
    <t>8QJ5GR3XR89</t>
  </si>
  <si>
    <t>JOANN READ</t>
  </si>
  <si>
    <t>PDP</t>
  </si>
  <si>
    <t>S5617</t>
  </si>
  <si>
    <t>214</t>
  </si>
  <si>
    <t>8244481</t>
  </si>
  <si>
    <t>PAMELA DEATON</t>
  </si>
  <si>
    <t>8JM7MN4XE51</t>
  </si>
  <si>
    <t>NANCY BLICKENSDERFER</t>
  </si>
  <si>
    <t>367</t>
  </si>
  <si>
    <t>21646325</t>
  </si>
  <si>
    <t>Antonia Nevarez</t>
  </si>
  <si>
    <t>5RU8NG6EQ46</t>
  </si>
  <si>
    <t>AURELIA ENGLAND</t>
  </si>
  <si>
    <t>21749481</t>
  </si>
  <si>
    <t>Daniel Carney</t>
  </si>
  <si>
    <t>5tc1t77uy99</t>
  </si>
  <si>
    <t>GERROD LAMBRECHT</t>
  </si>
  <si>
    <t>IN</t>
  </si>
  <si>
    <t>365</t>
  </si>
  <si>
    <t>17554531</t>
  </si>
  <si>
    <t>BRITTANY OLIVER</t>
  </si>
  <si>
    <t>3jv7j37fr58</t>
  </si>
  <si>
    <t>DALE REAVES</t>
  </si>
  <si>
    <t>19645587</t>
  </si>
  <si>
    <t>STACEY PORTUGAL</t>
  </si>
  <si>
    <t>7H23KA7UW78</t>
  </si>
  <si>
    <t>ROBERT WILCZYNSKI</t>
  </si>
  <si>
    <t>17886092</t>
  </si>
  <si>
    <t>TIMOTHY POWERS</t>
  </si>
  <si>
    <t>5A38HC9TH47</t>
  </si>
  <si>
    <t>BERNADETTE DOLLIN</t>
  </si>
  <si>
    <t>PA</t>
  </si>
  <si>
    <t>356</t>
  </si>
  <si>
    <t>9213293</t>
  </si>
  <si>
    <t>GARY PORTUGAL</t>
  </si>
  <si>
    <t>25H5F2F22</t>
  </si>
  <si>
    <t>8MN9FR2YW26</t>
  </si>
  <si>
    <t>DAVID LOPEZ</t>
  </si>
  <si>
    <t>41U6R3X86</t>
  </si>
  <si>
    <t>1UJ4A62DD08</t>
  </si>
  <si>
    <t>MICAELA MARTINEZ</t>
  </si>
  <si>
    <t>084</t>
  </si>
  <si>
    <t>22R1L9L44</t>
  </si>
  <si>
    <t>3K76A44KW53</t>
  </si>
  <si>
    <t>CHERYLL HARRIS</t>
  </si>
  <si>
    <t>12U7F9F41</t>
  </si>
  <si>
    <t>3YJ0VY0PE30</t>
  </si>
  <si>
    <t>DURU JESWANI</t>
  </si>
  <si>
    <t>19H5F8L62</t>
  </si>
  <si>
    <t>8QV3FR7CK92</t>
  </si>
  <si>
    <t>CAROLYN RANDLE</t>
  </si>
  <si>
    <t>18754354</t>
  </si>
  <si>
    <t>JACOB YALE</t>
  </si>
  <si>
    <t>47X5A2A67</t>
  </si>
  <si>
    <t>1P10ET6DM10</t>
  </si>
  <si>
    <t>DOUGLAS TRAHAN</t>
  </si>
  <si>
    <t>TN</t>
  </si>
  <si>
    <t>090</t>
  </si>
  <si>
    <t>8JT9FY1MY22</t>
  </si>
  <si>
    <t>JEAN ALBRIGHT</t>
  </si>
  <si>
    <t>16633294</t>
  </si>
  <si>
    <t>RICHARD YALE</t>
  </si>
  <si>
    <t>25X4U8H45</t>
  </si>
  <si>
    <t>9HE8AX5JW29</t>
  </si>
  <si>
    <t>DARYL MOOTREY</t>
  </si>
  <si>
    <t>SC</t>
  </si>
  <si>
    <t>H7020</t>
  </si>
  <si>
    <t>010</t>
  </si>
  <si>
    <t>001</t>
  </si>
  <si>
    <t>36H8X3F21</t>
  </si>
  <si>
    <t>3E92V71KK06</t>
  </si>
  <si>
    <t>BLYTHE BURREN</t>
  </si>
  <si>
    <t>53X4F3H97</t>
  </si>
  <si>
    <t>5X40AN7MH48</t>
  </si>
  <si>
    <t>LARRY ECKHART</t>
  </si>
  <si>
    <t>H3949</t>
  </si>
  <si>
    <t>035</t>
  </si>
  <si>
    <t>55R2X7L49</t>
  </si>
  <si>
    <t>4QU7G42UE37</t>
  </si>
  <si>
    <t>JULIA ECKHART</t>
  </si>
  <si>
    <t>38H9A6H91</t>
  </si>
  <si>
    <t>9F84WD0CT71</t>
  </si>
  <si>
    <t>MONTRICE SHEPPARD</t>
  </si>
  <si>
    <t>083</t>
  </si>
  <si>
    <t>004</t>
  </si>
  <si>
    <t>56H4X5A78</t>
  </si>
  <si>
    <t>8JF5G56PE65</t>
  </si>
  <si>
    <t>XAY XAYAKHAM</t>
  </si>
  <si>
    <t>17528908</t>
  </si>
  <si>
    <t>DEBORAH INSKIPT</t>
  </si>
  <si>
    <t>23H2A1X17</t>
  </si>
  <si>
    <t>8YQ9J74AA11</t>
  </si>
  <si>
    <t>GAYLE ANTRAM</t>
  </si>
  <si>
    <t>048</t>
  </si>
  <si>
    <t>33U4H8R88</t>
  </si>
  <si>
    <t>5MD1PC4EM39</t>
  </si>
  <si>
    <t>MURIEL BROTHERS</t>
  </si>
  <si>
    <t>59A5U5F33</t>
  </si>
  <si>
    <t>2EC5RP8WH65</t>
  </si>
  <si>
    <t>LOUANN ACEVEDO</t>
  </si>
  <si>
    <t>58X9F1U91</t>
  </si>
  <si>
    <t>9QN2VV4WM88</t>
  </si>
  <si>
    <t>MELVIN HAY</t>
  </si>
  <si>
    <t>061</t>
  </si>
  <si>
    <t>3D93H62GN60</t>
  </si>
  <si>
    <t>PATRICIA MCELRAVY</t>
  </si>
  <si>
    <t>17126004</t>
  </si>
  <si>
    <t>STEPHANIE DRAPAC</t>
  </si>
  <si>
    <t>9KE9PH3DU17</t>
  </si>
  <si>
    <t>DENISE FLASCH</t>
  </si>
  <si>
    <t>9JP7PY0NT54</t>
  </si>
  <si>
    <t>DOROTHY PANUSKA</t>
  </si>
  <si>
    <t>355</t>
  </si>
  <si>
    <t>3A97U59HC59</t>
  </si>
  <si>
    <t>JAMES ANDERSON</t>
  </si>
  <si>
    <t>MI</t>
  </si>
  <si>
    <t>363</t>
  </si>
  <si>
    <t>4FJ6VU1JN46</t>
  </si>
  <si>
    <t>LORAINE GRIFFIN</t>
  </si>
  <si>
    <t>MS</t>
  </si>
  <si>
    <t>226</t>
  </si>
  <si>
    <t>1WX8HK1JX55</t>
  </si>
  <si>
    <t>EDISON BROWNLEE</t>
  </si>
  <si>
    <t>59X6U1A86</t>
  </si>
  <si>
    <t>7FJ7PJ4XQ47</t>
  </si>
  <si>
    <t>BONIE SOUVANNARATH</t>
  </si>
  <si>
    <t>22L3A2F76</t>
  </si>
  <si>
    <t>5MT3FC6PU98</t>
  </si>
  <si>
    <t>PAMELA LARSON</t>
  </si>
  <si>
    <t>21R4U1R71</t>
  </si>
  <si>
    <t>7VH3HA6WN75</t>
  </si>
  <si>
    <t>PATRICIA MUDGETT</t>
  </si>
  <si>
    <t>72U4R2X58</t>
  </si>
  <si>
    <t>6HV4CW0NJ62</t>
  </si>
  <si>
    <t>STEPHANIE SMITH</t>
  </si>
  <si>
    <t>17U1L5R79</t>
  </si>
  <si>
    <t>8PP7JC6YY39</t>
  </si>
  <si>
    <t>ROBERT DERUBEIS</t>
  </si>
  <si>
    <t>006</t>
  </si>
  <si>
    <t>21A1X8R95</t>
  </si>
  <si>
    <t>1J61TU1XJ02</t>
  </si>
  <si>
    <t>TIMOTHY CHADWICK</t>
  </si>
  <si>
    <t>54L3H2U31</t>
  </si>
  <si>
    <t>2FY2J30YC09</t>
  </si>
  <si>
    <t>BRENDA GIGLIO</t>
  </si>
  <si>
    <t>005</t>
  </si>
  <si>
    <t>71L1A1F62</t>
  </si>
  <si>
    <t>2KE2HD0PT96</t>
  </si>
  <si>
    <t>CARMELLA MCKEEL</t>
  </si>
  <si>
    <t>54R1L1X82</t>
  </si>
  <si>
    <t>6MU3AC8AR97</t>
  </si>
  <si>
    <t>KATHLEEN GUILL</t>
  </si>
  <si>
    <t>18710070</t>
  </si>
  <si>
    <t>MICHELLE MCCORKLE</t>
  </si>
  <si>
    <t>47X6H7U82</t>
  </si>
  <si>
    <t>4N91UV0QT11</t>
  </si>
  <si>
    <t>RONALD JONES</t>
  </si>
  <si>
    <t>13R3H8A35</t>
  </si>
  <si>
    <t>5CX2XC0TR29</t>
  </si>
  <si>
    <t>HOLLY HAY</t>
  </si>
  <si>
    <t>15U8H2A84</t>
  </si>
  <si>
    <t>6KD2JK1KR04</t>
  </si>
  <si>
    <t>DARLENE ODEN</t>
  </si>
  <si>
    <t>17301495</t>
  </si>
  <si>
    <t>ESTHER HERRERALARSEN</t>
  </si>
  <si>
    <t>6VM8HX8XK46</t>
  </si>
  <si>
    <t>CHERYL LINDQUIST</t>
  </si>
  <si>
    <t>17859093</t>
  </si>
  <si>
    <t>LENSIE GONZALES</t>
  </si>
  <si>
    <t>2DD7G83NV66</t>
  </si>
  <si>
    <t>LOUISE ISOLDI</t>
  </si>
  <si>
    <t>NY</t>
  </si>
  <si>
    <t>353</t>
  </si>
  <si>
    <t>16997303</t>
  </si>
  <si>
    <t>JEANET REYES</t>
  </si>
  <si>
    <t>1u98a43nk26</t>
  </si>
  <si>
    <t>NERINA MATERAZZO</t>
  </si>
  <si>
    <t>6634327</t>
  </si>
  <si>
    <t>JOEL LEE</t>
  </si>
  <si>
    <t>6UF5WT8NE76</t>
  </si>
  <si>
    <t>Carin Shuler</t>
  </si>
  <si>
    <t>CO</t>
  </si>
  <si>
    <t>133</t>
  </si>
  <si>
    <t>1RP4A01YC81</t>
  </si>
  <si>
    <t>EDWARD GREEN</t>
  </si>
  <si>
    <t>372</t>
  </si>
  <si>
    <t>39U6A8U79</t>
  </si>
  <si>
    <t>1W09J20DQ51</t>
  </si>
  <si>
    <t>SILAVONG KEO</t>
  </si>
  <si>
    <t>58X3L4X23</t>
  </si>
  <si>
    <t>3J75X54AM84</t>
  </si>
  <si>
    <t>DORA EASON</t>
  </si>
  <si>
    <t>44U6H6A16</t>
  </si>
  <si>
    <t>4WE9UA6FH40</t>
  </si>
  <si>
    <t>ARTHUR CAMP</t>
  </si>
  <si>
    <t>18598357</t>
  </si>
  <si>
    <t>CHAD BENDER</t>
  </si>
  <si>
    <t>33U1R6F31</t>
  </si>
  <si>
    <t>3AG8K92AN44</t>
  </si>
  <si>
    <t>NICHOLAS CARCHIDI</t>
  </si>
  <si>
    <t>NJ</t>
  </si>
  <si>
    <t>HealthSpring Preferred (HMO)</t>
  </si>
  <si>
    <t>054</t>
  </si>
  <si>
    <t>64H9X7F68</t>
  </si>
  <si>
    <t>8HU0QK9EP25</t>
  </si>
  <si>
    <t>MICHAEL OMALLEY</t>
  </si>
  <si>
    <t>75X8A6F48</t>
  </si>
  <si>
    <t>8DY0VA7NY07</t>
  </si>
  <si>
    <t>CAROLYN DAVIS</t>
  </si>
  <si>
    <t>35U1H7U87</t>
  </si>
  <si>
    <t>7XY4PF7XC79</t>
  </si>
  <si>
    <t>KATHY ROSS</t>
  </si>
  <si>
    <t>27U5L3A71</t>
  </si>
  <si>
    <t>2FN1H25MM98</t>
  </si>
  <si>
    <t>TIMOTHY POZZUTO</t>
  </si>
  <si>
    <t>69L8R8H33</t>
  </si>
  <si>
    <t>4RF8GN4EF66</t>
  </si>
  <si>
    <t>RONALD MCGOWAN</t>
  </si>
  <si>
    <t>2158366</t>
  </si>
  <si>
    <t>JEFFREY HORN</t>
  </si>
  <si>
    <t>5AW1HF8DA96</t>
  </si>
  <si>
    <t>DAWSON DAVIS</t>
  </si>
  <si>
    <t>16202925</t>
  </si>
  <si>
    <t>THOMAS KUCAN</t>
  </si>
  <si>
    <t>7hd4g57mp72</t>
  </si>
  <si>
    <t>DANIEL AMOS</t>
  </si>
  <si>
    <t>19200754</t>
  </si>
  <si>
    <t>RICARDO SANTOS</t>
  </si>
  <si>
    <t>68R9X6U25</t>
  </si>
  <si>
    <t>7K15MC3WD72</t>
  </si>
  <si>
    <t>GARY ACQUARO</t>
  </si>
  <si>
    <t>017</t>
  </si>
  <si>
    <t>35A8U1L81</t>
  </si>
  <si>
    <t>1CJ9GP6PA16</t>
  </si>
  <si>
    <t>SAMARA BOWHAY</t>
  </si>
  <si>
    <t>24A2R3A73</t>
  </si>
  <si>
    <t>1F45MV2VE85</t>
  </si>
  <si>
    <t>NORMA GAUSS</t>
  </si>
  <si>
    <t>7HY0D94RJ05</t>
  </si>
  <si>
    <t>RICKEY YARBROUGH</t>
  </si>
  <si>
    <t>15U9F1F19</t>
  </si>
  <si>
    <t>2AU4VM6QP75</t>
  </si>
  <si>
    <t>CAROL GLICER</t>
  </si>
  <si>
    <t>5X35K36NY91</t>
  </si>
  <si>
    <t>LINDA APPS</t>
  </si>
  <si>
    <t>62R9U9R35</t>
  </si>
  <si>
    <t>6FY3PV2KA08</t>
  </si>
  <si>
    <t>MACLINH CHAN</t>
  </si>
  <si>
    <t>16212649</t>
  </si>
  <si>
    <t>MURRAY STERNER</t>
  </si>
  <si>
    <t>5D33KV4UW00</t>
  </si>
  <si>
    <t>GIUSEPPE GRIGOLI</t>
  </si>
  <si>
    <t>3dg4ag5eu99</t>
  </si>
  <si>
    <t>STANLEY SMOCK</t>
  </si>
  <si>
    <t>4H12J47AE92</t>
  </si>
  <si>
    <t>JANICE CURRY</t>
  </si>
  <si>
    <t>4MG7WR5JA44</t>
  </si>
  <si>
    <t>PAUL LEISNER</t>
  </si>
  <si>
    <t>5TD2E83MR94</t>
  </si>
  <si>
    <t>SAUNDRA SULLIVAN</t>
  </si>
  <si>
    <t>4JW8M27RP37</t>
  </si>
  <si>
    <t>LEE WILCZYNSKI</t>
  </si>
  <si>
    <t>9XQ1JA2PP21</t>
  </si>
  <si>
    <t>POONAM DUTT</t>
  </si>
  <si>
    <t>24A5A1U96</t>
  </si>
  <si>
    <t>8PX8VK7UW24</t>
  </si>
  <si>
    <t>BARBARA RAYNER</t>
  </si>
  <si>
    <t>28A8R7X49</t>
  </si>
  <si>
    <t>6N86ER4MA77</t>
  </si>
  <si>
    <t>CARL BONAVOLANTO</t>
  </si>
  <si>
    <t>78F4F2F18</t>
  </si>
  <si>
    <t>3RA6AY7QJ85</t>
  </si>
  <si>
    <t>ROBERT JURAN</t>
  </si>
  <si>
    <t>7W41KY3RG80</t>
  </si>
  <si>
    <t>TERESA WRONSKI</t>
  </si>
  <si>
    <t>47A7U3H98</t>
  </si>
  <si>
    <t>3WT1V14NW29</t>
  </si>
  <si>
    <t>ANDREW SCHAEFFER</t>
  </si>
  <si>
    <t>41H9L7U75</t>
  </si>
  <si>
    <t>4GU0T34UQ06</t>
  </si>
  <si>
    <t>EDMUND BABIARZ</t>
  </si>
  <si>
    <t>011</t>
  </si>
  <si>
    <t>71H4A5U95</t>
  </si>
  <si>
    <t>6GP2QQ5ET94</t>
  </si>
  <si>
    <t>WAYNE REYNOLDS</t>
  </si>
  <si>
    <t>GA</t>
  </si>
  <si>
    <t>H0439</t>
  </si>
  <si>
    <t>21348299</t>
  </si>
  <si>
    <t>BARRY BRENNER</t>
  </si>
  <si>
    <t>1H18M46VY49</t>
  </si>
  <si>
    <t>MICHAEL GORDON</t>
  </si>
  <si>
    <t>3AU7QJ2EQ65</t>
  </si>
  <si>
    <t>VENKATARAT KOLLA</t>
  </si>
  <si>
    <t>2PD5T63EJ40</t>
  </si>
  <si>
    <t>DEBORAH WHITE WANZER</t>
  </si>
  <si>
    <t>3R61QN8ME90</t>
  </si>
  <si>
    <t>WILLARD WANZER JR</t>
  </si>
  <si>
    <t>66R4A7H95</t>
  </si>
  <si>
    <t>3D97XQ8RC49</t>
  </si>
  <si>
    <t>RONALD RAYNER</t>
  </si>
  <si>
    <t>Cigna MAPD 2025 Ovr</t>
  </si>
  <si>
    <t>Cigna MAPD 2026*</t>
  </si>
  <si>
    <t>Cigna 2026 CT, PA, DC *</t>
  </si>
  <si>
    <t>Cigna 2026</t>
  </si>
  <si>
    <t>Cigna PDP</t>
  </si>
  <si>
    <t>[%/$=347][prorate=12/12]</t>
  </si>
  <si>
    <t>[%/$=391][prorate=12/12]</t>
  </si>
  <si>
    <t>[%/$=694]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</si>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</sst>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165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13</v>
      </c>
      <c r="C9" s="2">
        <v>5252.5</v>
      </c>
    </row>
    <row r="10" spans="1:3" x14ac:dyDescent="0.25">
      <c r="A10" t="s">
        <v>12</v>
      </c>
      <c r="B10">
        <v>89</v>
      </c>
      <c r="C10" s="2">
        <v>27203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0</v>
      </c>
    </row>
    <row r="17" spans="1:3" x14ac:dyDescent="0.25">
      <c r="A17" t="s">
        <v>18</v>
      </c>
      <c r="B17">
        <v>102</v>
      </c>
      <c r="C17" s="2">
        <v>32455.5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96"/>
  <sheetViews>
    <sheetView topLeftCell="A145" workbookViewId="0">
      <selection activeCell="A145"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4.7109375" bestFit="1" customWidth="1"/>
    <col min="7" max="7" width="10.42578125" bestFit="1" customWidth="1"/>
    <col min="8" max="8" width="15" bestFit="1" customWidth="1"/>
    <col min="9" max="9" width="12" bestFit="1" customWidth="1"/>
    <col min="10" max="10" width="30.7109375" bestFit="1" customWidth="1"/>
    <col min="11" max="11" width="24.8554687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25.285156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44</v>
      </c>
      <c r="B2" t="s">
        <v>45</v>
      </c>
      <c r="C2" t="s">
        <v>46</v>
      </c>
      <c r="D2" t="s">
        <v>47</v>
      </c>
      <c r="E2" t="s">
        <v>46</v>
      </c>
      <c r="F2" t="s">
        <v>47</v>
      </c>
      <c r="G2" s="3">
        <v>46023</v>
      </c>
      <c r="H2" s="2">
        <v>347</v>
      </c>
      <c r="I2" t="s">
        <v>48</v>
      </c>
      <c r="J2" t="s">
        <v>49</v>
      </c>
      <c r="K2" t="s">
        <v>50</v>
      </c>
      <c r="L2" s="3">
        <v>45950</v>
      </c>
      <c r="M2" s="3">
        <v>46023</v>
      </c>
      <c r="N2" t="s">
        <v>0</v>
      </c>
      <c r="O2">
        <v>2</v>
      </c>
      <c r="P2" t="s">
        <v>51</v>
      </c>
      <c r="Q2" t="s">
        <v>52</v>
      </c>
      <c r="R2" t="s">
        <v>51</v>
      </c>
      <c r="S2" t="s">
        <v>0</v>
      </c>
      <c r="T2" s="3">
        <v>46023</v>
      </c>
      <c r="U2" t="s">
        <v>53</v>
      </c>
      <c r="V2" t="s">
        <v>54</v>
      </c>
      <c r="W2" t="s">
        <v>55</v>
      </c>
      <c r="X2" t="s">
        <v>0</v>
      </c>
    </row>
    <row r="3" spans="1:24" x14ac:dyDescent="0.25">
      <c r="A3" t="s">
        <v>44</v>
      </c>
      <c r="B3" t="s">
        <v>45</v>
      </c>
      <c r="C3" t="s">
        <v>56</v>
      </c>
      <c r="D3" t="s">
        <v>57</v>
      </c>
      <c r="E3" t="s">
        <v>56</v>
      </c>
      <c r="F3" t="s">
        <v>57</v>
      </c>
      <c r="G3" s="3">
        <v>46023</v>
      </c>
      <c r="H3" s="2">
        <v>347</v>
      </c>
      <c r="I3" t="s">
        <v>58</v>
      </c>
      <c r="J3" t="s">
        <v>59</v>
      </c>
      <c r="K3" t="s">
        <v>60</v>
      </c>
      <c r="L3" s="3">
        <v>45954</v>
      </c>
      <c r="M3" s="3">
        <v>46023</v>
      </c>
      <c r="N3" t="s">
        <v>0</v>
      </c>
      <c r="O3">
        <v>7</v>
      </c>
      <c r="P3" t="s">
        <v>51</v>
      </c>
      <c r="Q3" t="s">
        <v>52</v>
      </c>
      <c r="R3" t="s">
        <v>51</v>
      </c>
      <c r="S3" t="s">
        <v>0</v>
      </c>
      <c r="T3" s="3">
        <v>46023</v>
      </c>
      <c r="U3" t="s">
        <v>53</v>
      </c>
      <c r="V3" t="s">
        <v>61</v>
      </c>
      <c r="W3" t="s">
        <v>55</v>
      </c>
      <c r="X3" t="s">
        <v>0</v>
      </c>
    </row>
    <row r="4" spans="1:24" x14ac:dyDescent="0.25">
      <c r="A4" t="s">
        <v>44</v>
      </c>
      <c r="B4" t="s">
        <v>45</v>
      </c>
      <c r="C4" t="s">
        <v>62</v>
      </c>
      <c r="D4" t="s">
        <v>63</v>
      </c>
      <c r="E4" t="s">
        <v>62</v>
      </c>
      <c r="F4" t="s">
        <v>63</v>
      </c>
      <c r="G4" s="3">
        <v>46023</v>
      </c>
      <c r="H4" s="2">
        <v>347</v>
      </c>
      <c r="I4" t="s">
        <v>64</v>
      </c>
      <c r="J4" t="s">
        <v>65</v>
      </c>
      <c r="K4" t="s">
        <v>66</v>
      </c>
      <c r="L4" s="3">
        <v>45971</v>
      </c>
      <c r="M4" s="3">
        <v>46023</v>
      </c>
      <c r="N4" t="s">
        <v>0</v>
      </c>
      <c r="O4">
        <v>3</v>
      </c>
      <c r="P4" t="s">
        <v>51</v>
      </c>
      <c r="Q4" t="s">
        <v>67</v>
      </c>
      <c r="R4" t="s">
        <v>51</v>
      </c>
      <c r="S4" t="s">
        <v>0</v>
      </c>
      <c r="T4" s="3">
        <v>46023</v>
      </c>
      <c r="U4" t="s">
        <v>68</v>
      </c>
      <c r="V4" t="s">
        <v>69</v>
      </c>
      <c r="W4" t="s">
        <v>55</v>
      </c>
      <c r="X4" t="s">
        <v>0</v>
      </c>
    </row>
    <row r="5" spans="1:24" x14ac:dyDescent="0.25">
      <c r="A5" t="s">
        <v>44</v>
      </c>
      <c r="B5" t="s">
        <v>45</v>
      </c>
      <c r="C5" t="s">
        <v>70</v>
      </c>
      <c r="D5" t="s">
        <v>71</v>
      </c>
      <c r="E5" t="s">
        <v>70</v>
      </c>
      <c r="F5" t="s">
        <v>71</v>
      </c>
      <c r="G5" s="3">
        <v>46023</v>
      </c>
      <c r="H5" s="2">
        <v>347</v>
      </c>
      <c r="I5" t="s">
        <v>72</v>
      </c>
      <c r="J5" t="s">
        <v>73</v>
      </c>
      <c r="K5" t="s">
        <v>74</v>
      </c>
      <c r="L5" s="3">
        <v>45972</v>
      </c>
      <c r="M5" s="3">
        <v>46023</v>
      </c>
      <c r="N5" t="s">
        <v>0</v>
      </c>
      <c r="O5">
        <v>6</v>
      </c>
      <c r="P5" t="s">
        <v>51</v>
      </c>
      <c r="Q5" t="s">
        <v>75</v>
      </c>
      <c r="R5" t="s">
        <v>51</v>
      </c>
      <c r="S5" t="s">
        <v>0</v>
      </c>
      <c r="T5" s="3">
        <v>46023</v>
      </c>
      <c r="U5" t="s">
        <v>76</v>
      </c>
      <c r="V5" t="s">
        <v>77</v>
      </c>
      <c r="W5" t="s">
        <v>55</v>
      </c>
      <c r="X5" t="s">
        <v>0</v>
      </c>
    </row>
    <row r="6" spans="1:24" x14ac:dyDescent="0.25">
      <c r="A6" t="s">
        <v>11</v>
      </c>
      <c r="B6" t="s">
        <v>45</v>
      </c>
      <c r="C6" t="s">
        <v>56</v>
      </c>
      <c r="D6" t="s">
        <v>57</v>
      </c>
      <c r="E6" t="s">
        <v>56</v>
      </c>
      <c r="F6" t="s">
        <v>57</v>
      </c>
      <c r="G6" s="3">
        <v>46023</v>
      </c>
      <c r="H6" s="2">
        <v>694</v>
      </c>
      <c r="I6" t="s">
        <v>78</v>
      </c>
      <c r="J6" t="s">
        <v>79</v>
      </c>
      <c r="K6" t="s">
        <v>80</v>
      </c>
      <c r="L6" s="3">
        <v>45970</v>
      </c>
      <c r="M6" s="3">
        <v>46023</v>
      </c>
      <c r="N6" t="s">
        <v>0</v>
      </c>
      <c r="O6">
        <v>1</v>
      </c>
      <c r="P6" t="s">
        <v>81</v>
      </c>
      <c r="Q6" t="s">
        <v>52</v>
      </c>
      <c r="R6" t="s">
        <v>51</v>
      </c>
      <c r="S6" t="s">
        <v>0</v>
      </c>
      <c r="T6" s="3">
        <v>46023</v>
      </c>
      <c r="U6" t="s">
        <v>53</v>
      </c>
      <c r="V6" t="s">
        <v>61</v>
      </c>
      <c r="W6" t="s">
        <v>55</v>
      </c>
      <c r="X6" t="s">
        <v>0</v>
      </c>
    </row>
    <row r="7" spans="1:24" x14ac:dyDescent="0.25">
      <c r="A7" t="s">
        <v>44</v>
      </c>
      <c r="B7" t="s">
        <v>82</v>
      </c>
      <c r="C7" t="s">
        <v>83</v>
      </c>
      <c r="D7" t="s">
        <v>84</v>
      </c>
      <c r="E7" t="s">
        <v>85</v>
      </c>
      <c r="F7" t="s">
        <v>4</v>
      </c>
      <c r="G7" s="3">
        <v>46023</v>
      </c>
      <c r="H7" s="2">
        <v>80</v>
      </c>
      <c r="I7" t="s">
        <v>86</v>
      </c>
      <c r="J7" t="s">
        <v>87</v>
      </c>
      <c r="K7" t="s">
        <v>88</v>
      </c>
      <c r="L7" s="3">
        <v>45973</v>
      </c>
      <c r="M7" s="3">
        <v>46023</v>
      </c>
      <c r="N7" t="s">
        <v>0</v>
      </c>
      <c r="O7">
        <v>3</v>
      </c>
      <c r="P7" t="s">
        <v>51</v>
      </c>
      <c r="Q7" t="s">
        <v>67</v>
      </c>
      <c r="R7" t="s">
        <v>51</v>
      </c>
      <c r="S7" t="s">
        <v>0</v>
      </c>
      <c r="T7" s="3">
        <v>46023</v>
      </c>
      <c r="U7" t="s">
        <v>68</v>
      </c>
      <c r="V7" t="s">
        <v>69</v>
      </c>
      <c r="W7" t="s">
        <v>55</v>
      </c>
      <c r="X7" t="s">
        <v>0</v>
      </c>
    </row>
    <row r="8" spans="1:24" x14ac:dyDescent="0.25">
      <c r="A8" t="s">
        <v>44</v>
      </c>
      <c r="B8" t="s">
        <v>82</v>
      </c>
      <c r="C8" t="s">
        <v>56</v>
      </c>
      <c r="D8" t="s">
        <v>57</v>
      </c>
      <c r="E8" t="s">
        <v>85</v>
      </c>
      <c r="F8" t="s">
        <v>4</v>
      </c>
      <c r="G8" s="3">
        <v>46023</v>
      </c>
      <c r="H8" s="2">
        <v>80</v>
      </c>
      <c r="I8" t="s">
        <v>89</v>
      </c>
      <c r="J8" t="s">
        <v>90</v>
      </c>
      <c r="K8" t="s">
        <v>91</v>
      </c>
      <c r="L8" s="3">
        <v>45969</v>
      </c>
      <c r="M8" s="3">
        <v>46023</v>
      </c>
      <c r="N8" t="s">
        <v>0</v>
      </c>
      <c r="O8">
        <v>5</v>
      </c>
      <c r="P8" t="s">
        <v>51</v>
      </c>
      <c r="Q8" t="s">
        <v>52</v>
      </c>
      <c r="R8" t="s">
        <v>51</v>
      </c>
      <c r="S8" t="s">
        <v>0</v>
      </c>
      <c r="T8" s="3">
        <v>46023</v>
      </c>
      <c r="U8" t="s">
        <v>53</v>
      </c>
      <c r="V8" t="s">
        <v>61</v>
      </c>
      <c r="W8" t="s">
        <v>55</v>
      </c>
      <c r="X8" t="s">
        <v>0</v>
      </c>
    </row>
    <row r="9" spans="1:24" x14ac:dyDescent="0.25">
      <c r="A9" t="s">
        <v>44</v>
      </c>
      <c r="B9" t="s">
        <v>82</v>
      </c>
      <c r="C9" t="s">
        <v>92</v>
      </c>
      <c r="D9" t="s">
        <v>93</v>
      </c>
      <c r="E9" t="s">
        <v>85</v>
      </c>
      <c r="F9" t="s">
        <v>4</v>
      </c>
      <c r="G9" s="3">
        <v>46023</v>
      </c>
      <c r="H9" s="2">
        <v>80</v>
      </c>
      <c r="I9" t="s">
        <v>94</v>
      </c>
      <c r="J9" t="s">
        <v>95</v>
      </c>
      <c r="K9" t="s">
        <v>96</v>
      </c>
      <c r="L9" s="3">
        <v>45975</v>
      </c>
      <c r="M9" s="3">
        <v>46023</v>
      </c>
      <c r="N9" t="s">
        <v>0</v>
      </c>
      <c r="O9">
        <v>4</v>
      </c>
      <c r="P9" t="s">
        <v>51</v>
      </c>
      <c r="Q9" t="s">
        <v>52</v>
      </c>
      <c r="R9" t="s">
        <v>51</v>
      </c>
      <c r="S9" t="s">
        <v>0</v>
      </c>
      <c r="T9" s="3">
        <v>46023</v>
      </c>
      <c r="U9" t="s">
        <v>53</v>
      </c>
      <c r="V9" t="s">
        <v>54</v>
      </c>
      <c r="W9" t="s">
        <v>55</v>
      </c>
      <c r="X9" t="s">
        <v>0</v>
      </c>
    </row>
    <row r="10" spans="1:24" x14ac:dyDescent="0.25">
      <c r="A10" t="s">
        <v>11</v>
      </c>
      <c r="B10" t="s">
        <v>82</v>
      </c>
      <c r="C10" t="s">
        <v>97</v>
      </c>
      <c r="D10" t="s">
        <v>98</v>
      </c>
      <c r="E10" t="s">
        <v>85</v>
      </c>
      <c r="F10" t="s">
        <v>4</v>
      </c>
      <c r="G10" s="3">
        <v>46023</v>
      </c>
      <c r="H10" s="2">
        <v>80</v>
      </c>
      <c r="I10" t="s">
        <v>99</v>
      </c>
      <c r="J10" t="s">
        <v>100</v>
      </c>
      <c r="K10" t="s">
        <v>101</v>
      </c>
      <c r="L10" s="3">
        <v>45979</v>
      </c>
      <c r="M10" s="3">
        <v>46023</v>
      </c>
      <c r="N10" t="s">
        <v>0</v>
      </c>
      <c r="O10">
        <v>1</v>
      </c>
      <c r="P10" t="s">
        <v>81</v>
      </c>
      <c r="Q10" t="s">
        <v>52</v>
      </c>
      <c r="R10" t="s">
        <v>51</v>
      </c>
      <c r="S10" t="s">
        <v>0</v>
      </c>
      <c r="T10" s="3">
        <v>46023</v>
      </c>
      <c r="U10" t="s">
        <v>102</v>
      </c>
      <c r="V10" t="s">
        <v>103</v>
      </c>
      <c r="W10" t="s">
        <v>55</v>
      </c>
      <c r="X10" t="s">
        <v>0</v>
      </c>
    </row>
    <row r="11" spans="1:24" x14ac:dyDescent="0.25">
      <c r="A11" t="s">
        <v>44</v>
      </c>
      <c r="B11" t="s">
        <v>82</v>
      </c>
      <c r="C11" t="s">
        <v>62</v>
      </c>
      <c r="D11" t="s">
        <v>63</v>
      </c>
      <c r="E11" t="s">
        <v>85</v>
      </c>
      <c r="F11" t="s">
        <v>4</v>
      </c>
      <c r="G11" s="3">
        <v>46023</v>
      </c>
      <c r="H11" s="2">
        <v>80</v>
      </c>
      <c r="I11" t="s">
        <v>104</v>
      </c>
      <c r="J11" t="s">
        <v>105</v>
      </c>
      <c r="K11" t="s">
        <v>106</v>
      </c>
      <c r="L11" s="3">
        <v>45987</v>
      </c>
      <c r="M11" s="3">
        <v>46023</v>
      </c>
      <c r="N11" t="s">
        <v>0</v>
      </c>
      <c r="O11">
        <v>5</v>
      </c>
      <c r="P11" t="s">
        <v>51</v>
      </c>
      <c r="Q11" t="s">
        <v>67</v>
      </c>
      <c r="R11" t="s">
        <v>51</v>
      </c>
      <c r="S11" t="s">
        <v>0</v>
      </c>
      <c r="T11" s="3">
        <v>46023</v>
      </c>
      <c r="U11" t="s">
        <v>68</v>
      </c>
      <c r="V11" t="s">
        <v>107</v>
      </c>
      <c r="W11" t="s">
        <v>55</v>
      </c>
      <c r="X11" t="s">
        <v>0</v>
      </c>
    </row>
    <row r="12" spans="1:24" x14ac:dyDescent="0.25">
      <c r="A12" t="s">
        <v>44</v>
      </c>
      <c r="B12" t="s">
        <v>82</v>
      </c>
      <c r="C12" t="s">
        <v>56</v>
      </c>
      <c r="D12" t="s">
        <v>57</v>
      </c>
      <c r="E12" t="s">
        <v>85</v>
      </c>
      <c r="F12" t="s">
        <v>4</v>
      </c>
      <c r="G12" s="3">
        <v>46023</v>
      </c>
      <c r="H12" s="2">
        <v>80</v>
      </c>
      <c r="I12" t="s">
        <v>108</v>
      </c>
      <c r="J12" t="s">
        <v>109</v>
      </c>
      <c r="K12" t="s">
        <v>110</v>
      </c>
      <c r="L12" s="3">
        <v>45989</v>
      </c>
      <c r="M12" s="3">
        <v>46023</v>
      </c>
      <c r="N12" t="s">
        <v>0</v>
      </c>
      <c r="O12" t="s">
        <v>111</v>
      </c>
      <c r="P12" t="s">
        <v>0</v>
      </c>
      <c r="Q12" t="s">
        <v>52</v>
      </c>
      <c r="R12" t="s">
        <v>51</v>
      </c>
      <c r="S12" t="s">
        <v>0</v>
      </c>
      <c r="T12" s="3">
        <v>46023</v>
      </c>
      <c r="U12" t="s">
        <v>53</v>
      </c>
      <c r="V12" t="s">
        <v>61</v>
      </c>
      <c r="W12" t="s">
        <v>55</v>
      </c>
      <c r="X12" t="s">
        <v>0</v>
      </c>
    </row>
    <row r="13" spans="1:24" x14ac:dyDescent="0.25">
      <c r="A13" t="s">
        <v>44</v>
      </c>
      <c r="B13" t="s">
        <v>45</v>
      </c>
      <c r="C13" t="s">
        <v>112</v>
      </c>
      <c r="D13" t="s">
        <v>113</v>
      </c>
      <c r="E13" t="s">
        <v>112</v>
      </c>
      <c r="F13" t="s">
        <v>113</v>
      </c>
      <c r="G13" s="3">
        <v>46023</v>
      </c>
      <c r="H13" s="2">
        <v>347</v>
      </c>
      <c r="I13">
        <v>36545567</v>
      </c>
      <c r="J13" t="s">
        <v>114</v>
      </c>
      <c r="K13" t="s">
        <v>115</v>
      </c>
      <c r="L13" s="3">
        <v>45987</v>
      </c>
      <c r="M13" s="3">
        <v>46023</v>
      </c>
      <c r="N13" t="s">
        <v>0</v>
      </c>
      <c r="O13">
        <v>8</v>
      </c>
      <c r="P13" t="s">
        <v>51</v>
      </c>
      <c r="Q13" t="s">
        <v>116</v>
      </c>
      <c r="R13" t="s">
        <v>51</v>
      </c>
      <c r="S13" t="s">
        <v>0</v>
      </c>
      <c r="T13" s="3">
        <v>46023</v>
      </c>
      <c r="U13" t="s">
        <v>117</v>
      </c>
      <c r="V13" t="s">
        <v>118</v>
      </c>
      <c r="W13" t="s">
        <v>119</v>
      </c>
      <c r="X13" t="s">
        <v>0</v>
      </c>
    </row>
    <row r="14" spans="1:24" x14ac:dyDescent="0.25">
      <c r="A14" t="s">
        <v>44</v>
      </c>
      <c r="B14" t="s">
        <v>82</v>
      </c>
      <c r="C14" t="s">
        <v>112</v>
      </c>
      <c r="D14" t="s">
        <v>113</v>
      </c>
      <c r="E14" t="s">
        <v>85</v>
      </c>
      <c r="F14" t="s">
        <v>4</v>
      </c>
      <c r="G14" s="3">
        <v>46023</v>
      </c>
      <c r="H14" s="2">
        <v>25</v>
      </c>
      <c r="I14">
        <v>36545567</v>
      </c>
      <c r="J14" t="s">
        <v>114</v>
      </c>
      <c r="K14" t="s">
        <v>115</v>
      </c>
      <c r="L14" s="3">
        <v>45987</v>
      </c>
      <c r="M14" s="3">
        <v>46023</v>
      </c>
      <c r="N14" t="s">
        <v>0</v>
      </c>
      <c r="O14">
        <v>8</v>
      </c>
      <c r="P14" t="s">
        <v>51</v>
      </c>
      <c r="Q14" t="s">
        <v>116</v>
      </c>
      <c r="R14" t="s">
        <v>51</v>
      </c>
      <c r="S14" t="s">
        <v>0</v>
      </c>
      <c r="T14" s="3">
        <v>46023</v>
      </c>
      <c r="U14" t="s">
        <v>117</v>
      </c>
      <c r="V14" t="s">
        <v>118</v>
      </c>
      <c r="W14" t="s">
        <v>119</v>
      </c>
      <c r="X14" t="s">
        <v>0</v>
      </c>
    </row>
    <row r="15" spans="1:24" x14ac:dyDescent="0.25">
      <c r="A15" t="s">
        <v>44</v>
      </c>
      <c r="B15" t="s">
        <v>82</v>
      </c>
      <c r="C15" t="s">
        <v>120</v>
      </c>
      <c r="D15" t="s">
        <v>121</v>
      </c>
      <c r="E15" t="s">
        <v>85</v>
      </c>
      <c r="F15" t="s">
        <v>4</v>
      </c>
      <c r="G15" s="3">
        <v>46023</v>
      </c>
      <c r="H15" s="2">
        <v>80</v>
      </c>
      <c r="I15" t="s">
        <v>122</v>
      </c>
      <c r="J15" t="s">
        <v>123</v>
      </c>
      <c r="K15" t="s">
        <v>124</v>
      </c>
      <c r="L15" s="3">
        <v>45992</v>
      </c>
      <c r="M15" s="3">
        <v>46023</v>
      </c>
      <c r="N15" t="s">
        <v>0</v>
      </c>
      <c r="O15" t="s">
        <v>111</v>
      </c>
      <c r="P15" t="s">
        <v>0</v>
      </c>
      <c r="Q15" t="s">
        <v>52</v>
      </c>
      <c r="R15" t="s">
        <v>51</v>
      </c>
      <c r="S15" t="s">
        <v>0</v>
      </c>
      <c r="T15" s="3">
        <v>46023</v>
      </c>
      <c r="U15" t="s">
        <v>102</v>
      </c>
      <c r="V15" t="s">
        <v>103</v>
      </c>
      <c r="W15" t="s">
        <v>55</v>
      </c>
      <c r="X15" t="s">
        <v>0</v>
      </c>
    </row>
    <row r="16" spans="1:24" x14ac:dyDescent="0.25">
      <c r="A16" t="s">
        <v>44</v>
      </c>
      <c r="B16" t="s">
        <v>45</v>
      </c>
      <c r="C16" t="s">
        <v>125</v>
      </c>
      <c r="D16" t="s">
        <v>126</v>
      </c>
      <c r="E16" t="s">
        <v>125</v>
      </c>
      <c r="F16" t="s">
        <v>126</v>
      </c>
      <c r="G16" s="3">
        <v>46023</v>
      </c>
      <c r="H16" s="2">
        <v>347</v>
      </c>
      <c r="I16" t="s">
        <v>127</v>
      </c>
      <c r="J16" t="s">
        <v>128</v>
      </c>
      <c r="K16" t="s">
        <v>129</v>
      </c>
      <c r="L16" s="3">
        <v>45994</v>
      </c>
      <c r="M16" s="3">
        <v>46023</v>
      </c>
      <c r="N16" t="s">
        <v>0</v>
      </c>
      <c r="O16" t="s">
        <v>111</v>
      </c>
      <c r="P16" t="s">
        <v>0</v>
      </c>
      <c r="Q16" t="s">
        <v>52</v>
      </c>
      <c r="R16" t="s">
        <v>51</v>
      </c>
      <c r="S16" t="s">
        <v>0</v>
      </c>
      <c r="T16" s="3">
        <v>46023</v>
      </c>
      <c r="U16" t="s">
        <v>102</v>
      </c>
      <c r="V16" t="s">
        <v>103</v>
      </c>
      <c r="W16" t="s">
        <v>55</v>
      </c>
      <c r="X16" t="s">
        <v>0</v>
      </c>
    </row>
    <row r="17" spans="1:24" x14ac:dyDescent="0.25">
      <c r="A17" t="s">
        <v>44</v>
      </c>
      <c r="B17" t="s">
        <v>45</v>
      </c>
      <c r="C17" t="s">
        <v>130</v>
      </c>
      <c r="D17" t="s">
        <v>131</v>
      </c>
      <c r="E17" t="s">
        <v>130</v>
      </c>
      <c r="F17" t="s">
        <v>131</v>
      </c>
      <c r="G17" s="3">
        <v>46023</v>
      </c>
      <c r="H17" s="2">
        <v>347</v>
      </c>
      <c r="I17" t="s">
        <v>132</v>
      </c>
      <c r="J17" t="s">
        <v>133</v>
      </c>
      <c r="K17" t="s">
        <v>134</v>
      </c>
      <c r="L17" s="3">
        <v>45994</v>
      </c>
      <c r="M17" s="3">
        <v>46023</v>
      </c>
      <c r="N17" t="s">
        <v>0</v>
      </c>
      <c r="O17" t="s">
        <v>111</v>
      </c>
      <c r="P17" t="s">
        <v>0</v>
      </c>
      <c r="Q17" t="s">
        <v>52</v>
      </c>
      <c r="R17" t="s">
        <v>51</v>
      </c>
      <c r="S17" t="s">
        <v>0</v>
      </c>
      <c r="T17" s="3">
        <v>46023</v>
      </c>
      <c r="U17" t="s">
        <v>53</v>
      </c>
      <c r="V17" t="s">
        <v>61</v>
      </c>
      <c r="W17" t="s">
        <v>55</v>
      </c>
      <c r="X17" t="s">
        <v>0</v>
      </c>
    </row>
    <row r="18" spans="1:24" x14ac:dyDescent="0.25">
      <c r="A18" t="s">
        <v>44</v>
      </c>
      <c r="B18" t="s">
        <v>45</v>
      </c>
      <c r="C18" t="s">
        <v>135</v>
      </c>
      <c r="D18" t="s">
        <v>136</v>
      </c>
      <c r="E18" t="s">
        <v>135</v>
      </c>
      <c r="F18" t="s">
        <v>136</v>
      </c>
      <c r="G18" s="3">
        <v>46023</v>
      </c>
      <c r="H18" s="2">
        <v>347</v>
      </c>
      <c r="I18" t="s">
        <v>137</v>
      </c>
      <c r="J18" t="s">
        <v>138</v>
      </c>
      <c r="K18" t="s">
        <v>139</v>
      </c>
      <c r="L18" s="3">
        <v>45997</v>
      </c>
      <c r="M18" s="3">
        <v>46023</v>
      </c>
      <c r="N18" t="s">
        <v>0</v>
      </c>
      <c r="O18" t="s">
        <v>111</v>
      </c>
      <c r="P18" t="s">
        <v>0</v>
      </c>
      <c r="Q18" t="s">
        <v>75</v>
      </c>
      <c r="R18" t="s">
        <v>51</v>
      </c>
      <c r="S18" t="s">
        <v>0</v>
      </c>
      <c r="T18" s="3">
        <v>46023</v>
      </c>
      <c r="U18" t="s">
        <v>76</v>
      </c>
      <c r="V18" t="s">
        <v>77</v>
      </c>
      <c r="W18" t="s">
        <v>55</v>
      </c>
      <c r="X18" t="s">
        <v>0</v>
      </c>
    </row>
    <row r="19" spans="1:24" x14ac:dyDescent="0.25">
      <c r="A19" t="s">
        <v>44</v>
      </c>
      <c r="B19" t="s">
        <v>45</v>
      </c>
      <c r="C19" t="s">
        <v>140</v>
      </c>
      <c r="D19" t="s">
        <v>141</v>
      </c>
      <c r="E19" t="s">
        <v>140</v>
      </c>
      <c r="F19" t="s">
        <v>141</v>
      </c>
      <c r="G19" s="3">
        <v>46023</v>
      </c>
      <c r="H19" s="2">
        <v>347</v>
      </c>
      <c r="I19" t="s">
        <v>142</v>
      </c>
      <c r="J19" t="s">
        <v>143</v>
      </c>
      <c r="K19" t="s">
        <v>144</v>
      </c>
      <c r="L19" s="3">
        <v>45995</v>
      </c>
      <c r="M19" s="3">
        <v>46023</v>
      </c>
      <c r="N19" t="s">
        <v>0</v>
      </c>
      <c r="O19" t="s">
        <v>111</v>
      </c>
      <c r="P19" t="s">
        <v>0</v>
      </c>
      <c r="Q19" t="s">
        <v>52</v>
      </c>
      <c r="R19" t="s">
        <v>51</v>
      </c>
      <c r="S19" t="s">
        <v>0</v>
      </c>
      <c r="T19" s="3">
        <v>46023</v>
      </c>
      <c r="U19" t="s">
        <v>102</v>
      </c>
      <c r="V19" t="s">
        <v>103</v>
      </c>
      <c r="W19" t="s">
        <v>55</v>
      </c>
      <c r="X19" t="s">
        <v>0</v>
      </c>
    </row>
    <row r="20" spans="1:24" x14ac:dyDescent="0.25">
      <c r="A20" t="s">
        <v>44</v>
      </c>
      <c r="B20" t="s">
        <v>82</v>
      </c>
      <c r="C20" t="s">
        <v>112</v>
      </c>
      <c r="D20" t="s">
        <v>113</v>
      </c>
      <c r="E20" t="s">
        <v>85</v>
      </c>
      <c r="F20" t="s">
        <v>4</v>
      </c>
      <c r="G20" s="3">
        <v>46023</v>
      </c>
      <c r="H20" s="2">
        <v>80</v>
      </c>
      <c r="I20" t="s">
        <v>145</v>
      </c>
      <c r="J20" t="s">
        <v>146</v>
      </c>
      <c r="K20" t="s">
        <v>147</v>
      </c>
      <c r="L20" s="3">
        <v>45998</v>
      </c>
      <c r="M20" s="3">
        <v>46023</v>
      </c>
      <c r="N20" t="s">
        <v>0</v>
      </c>
      <c r="O20" t="s">
        <v>111</v>
      </c>
      <c r="P20" t="s">
        <v>0</v>
      </c>
      <c r="Q20" t="s">
        <v>148</v>
      </c>
      <c r="R20" t="s">
        <v>51</v>
      </c>
      <c r="S20" t="s">
        <v>0</v>
      </c>
      <c r="T20" s="3">
        <v>46023</v>
      </c>
      <c r="U20" t="s">
        <v>53</v>
      </c>
      <c r="V20" t="s">
        <v>149</v>
      </c>
      <c r="W20" t="s">
        <v>55</v>
      </c>
      <c r="X20" t="s">
        <v>0</v>
      </c>
    </row>
    <row r="21" spans="1:24" x14ac:dyDescent="0.25">
      <c r="A21" t="s">
        <v>11</v>
      </c>
      <c r="B21" t="s">
        <v>82</v>
      </c>
      <c r="C21" t="s">
        <v>83</v>
      </c>
      <c r="D21" t="s">
        <v>84</v>
      </c>
      <c r="E21" t="s">
        <v>85</v>
      </c>
      <c r="F21" t="s">
        <v>4</v>
      </c>
      <c r="G21" s="3">
        <v>46023</v>
      </c>
      <c r="H21" s="2">
        <v>5.5</v>
      </c>
      <c r="I21">
        <v>20439997601</v>
      </c>
      <c r="J21" t="s">
        <v>150</v>
      </c>
      <c r="K21" t="s">
        <v>151</v>
      </c>
      <c r="L21" s="3">
        <v>45946</v>
      </c>
      <c r="M21" s="3">
        <v>46023</v>
      </c>
      <c r="N21" t="s">
        <v>0</v>
      </c>
      <c r="O21">
        <v>1</v>
      </c>
      <c r="P21" t="s">
        <v>81</v>
      </c>
      <c r="Q21" t="s">
        <v>67</v>
      </c>
      <c r="R21" t="s">
        <v>152</v>
      </c>
      <c r="S21" t="s">
        <v>0</v>
      </c>
      <c r="T21" s="3">
        <v>46023</v>
      </c>
      <c r="U21" t="s">
        <v>153</v>
      </c>
      <c r="V21" t="s">
        <v>154</v>
      </c>
      <c r="W21" t="s">
        <v>55</v>
      </c>
      <c r="X21" t="s">
        <v>0</v>
      </c>
    </row>
    <row r="22" spans="1:24" x14ac:dyDescent="0.25">
      <c r="A22" t="s">
        <v>11</v>
      </c>
      <c r="B22" t="s">
        <v>45</v>
      </c>
      <c r="C22" t="s">
        <v>155</v>
      </c>
      <c r="D22" t="s">
        <v>156</v>
      </c>
      <c r="E22" t="s">
        <v>155</v>
      </c>
      <c r="F22" t="s">
        <v>156</v>
      </c>
      <c r="G22" s="3">
        <v>46023</v>
      </c>
      <c r="H22" s="2">
        <v>114</v>
      </c>
      <c r="I22">
        <v>20562845601</v>
      </c>
      <c r="J22" t="s">
        <v>157</v>
      </c>
      <c r="K22" t="s">
        <v>158</v>
      </c>
      <c r="L22" s="3">
        <v>45976</v>
      </c>
      <c r="M22" s="3">
        <v>46023</v>
      </c>
      <c r="N22" t="s">
        <v>0</v>
      </c>
      <c r="O22">
        <v>1</v>
      </c>
      <c r="P22" t="s">
        <v>81</v>
      </c>
      <c r="Q22" t="s">
        <v>52</v>
      </c>
      <c r="R22" t="s">
        <v>152</v>
      </c>
      <c r="S22" t="s">
        <v>0</v>
      </c>
      <c r="T22" s="3">
        <v>46023</v>
      </c>
      <c r="U22" t="s">
        <v>153</v>
      </c>
      <c r="V22" t="s">
        <v>159</v>
      </c>
      <c r="W22" t="s">
        <v>55</v>
      </c>
      <c r="X22" t="s">
        <v>0</v>
      </c>
    </row>
    <row r="23" spans="1:24" x14ac:dyDescent="0.25">
      <c r="A23" t="s">
        <v>11</v>
      </c>
      <c r="B23" t="s">
        <v>82</v>
      </c>
      <c r="C23" t="s">
        <v>160</v>
      </c>
      <c r="D23" t="s">
        <v>161</v>
      </c>
      <c r="E23" t="s">
        <v>85</v>
      </c>
      <c r="F23" t="s">
        <v>4</v>
      </c>
      <c r="G23" s="3">
        <v>46023</v>
      </c>
      <c r="H23" s="2">
        <v>5.5</v>
      </c>
      <c r="I23">
        <v>20591390801</v>
      </c>
      <c r="J23" t="s">
        <v>162</v>
      </c>
      <c r="K23" t="s">
        <v>163</v>
      </c>
      <c r="L23" s="3">
        <v>45987</v>
      </c>
      <c r="M23" s="3">
        <v>46023</v>
      </c>
      <c r="N23" t="s">
        <v>0</v>
      </c>
      <c r="O23">
        <v>1</v>
      </c>
      <c r="P23" t="s">
        <v>51</v>
      </c>
      <c r="Q23" t="s">
        <v>52</v>
      </c>
      <c r="R23" t="s">
        <v>152</v>
      </c>
      <c r="S23" t="s">
        <v>0</v>
      </c>
      <c r="T23" s="3">
        <v>46023</v>
      </c>
      <c r="U23" t="s">
        <v>153</v>
      </c>
      <c r="V23" t="s">
        <v>159</v>
      </c>
      <c r="W23" t="s">
        <v>55</v>
      </c>
      <c r="X23" t="s">
        <v>0</v>
      </c>
    </row>
    <row r="24" spans="1:24" x14ac:dyDescent="0.25">
      <c r="A24" t="s">
        <v>44</v>
      </c>
      <c r="B24" t="s">
        <v>45</v>
      </c>
      <c r="C24" t="s">
        <v>164</v>
      </c>
      <c r="D24" t="s">
        <v>165</v>
      </c>
      <c r="E24" t="s">
        <v>164</v>
      </c>
      <c r="F24" t="s">
        <v>165</v>
      </c>
      <c r="G24" s="3">
        <v>46023</v>
      </c>
      <c r="H24" s="2">
        <v>57</v>
      </c>
      <c r="I24">
        <v>20623532701</v>
      </c>
      <c r="J24" t="s">
        <v>166</v>
      </c>
      <c r="K24" t="s">
        <v>167</v>
      </c>
      <c r="L24" s="3">
        <v>45995</v>
      </c>
      <c r="M24" s="3">
        <v>46023</v>
      </c>
      <c r="N24" t="s">
        <v>0</v>
      </c>
      <c r="O24" t="s">
        <v>111</v>
      </c>
      <c r="P24" t="s">
        <v>0</v>
      </c>
      <c r="Q24" t="s">
        <v>168</v>
      </c>
      <c r="R24" t="s">
        <v>152</v>
      </c>
      <c r="S24" t="s">
        <v>0</v>
      </c>
      <c r="T24" s="3">
        <v>46023</v>
      </c>
      <c r="U24" t="s">
        <v>153</v>
      </c>
      <c r="V24" t="s">
        <v>169</v>
      </c>
      <c r="W24" t="s">
        <v>55</v>
      </c>
      <c r="X24" t="s">
        <v>0</v>
      </c>
    </row>
    <row r="25" spans="1:24" x14ac:dyDescent="0.25">
      <c r="A25" t="s">
        <v>44</v>
      </c>
      <c r="B25" t="s">
        <v>82</v>
      </c>
      <c r="C25" t="s">
        <v>170</v>
      </c>
      <c r="D25" t="s">
        <v>171</v>
      </c>
      <c r="E25" t="s">
        <v>85</v>
      </c>
      <c r="F25" t="s">
        <v>4</v>
      </c>
      <c r="G25" s="3">
        <v>46023</v>
      </c>
      <c r="H25" s="2">
        <v>3</v>
      </c>
      <c r="I25">
        <v>20623765301</v>
      </c>
      <c r="J25" t="s">
        <v>172</v>
      </c>
      <c r="K25" t="s">
        <v>173</v>
      </c>
      <c r="L25" s="3">
        <v>45995</v>
      </c>
      <c r="M25" s="3">
        <v>46023</v>
      </c>
      <c r="N25" t="s">
        <v>0</v>
      </c>
      <c r="O25" t="s">
        <v>111</v>
      </c>
      <c r="P25" t="s">
        <v>0</v>
      </c>
      <c r="Q25" t="s">
        <v>67</v>
      </c>
      <c r="R25" t="s">
        <v>152</v>
      </c>
      <c r="S25" t="s">
        <v>0</v>
      </c>
      <c r="T25" s="3">
        <v>46023</v>
      </c>
      <c r="U25" t="s">
        <v>153</v>
      </c>
      <c r="V25" t="s">
        <v>154</v>
      </c>
      <c r="W25" t="s">
        <v>55</v>
      </c>
      <c r="X25" t="s">
        <v>0</v>
      </c>
    </row>
    <row r="26" spans="1:24" x14ac:dyDescent="0.25">
      <c r="A26" t="s">
        <v>44</v>
      </c>
      <c r="B26" t="s">
        <v>82</v>
      </c>
      <c r="C26" t="s">
        <v>174</v>
      </c>
      <c r="D26" t="s">
        <v>175</v>
      </c>
      <c r="E26" t="s">
        <v>85</v>
      </c>
      <c r="F26" t="s">
        <v>4</v>
      </c>
      <c r="G26" s="3">
        <v>46023</v>
      </c>
      <c r="H26" s="2">
        <v>3</v>
      </c>
      <c r="I26">
        <v>20623263901</v>
      </c>
      <c r="J26" t="s">
        <v>176</v>
      </c>
      <c r="K26" t="s">
        <v>177</v>
      </c>
      <c r="L26" s="3">
        <v>45995</v>
      </c>
      <c r="M26" s="3">
        <v>46023</v>
      </c>
      <c r="N26" t="s">
        <v>0</v>
      </c>
      <c r="O26" t="s">
        <v>111</v>
      </c>
      <c r="P26" t="s">
        <v>0</v>
      </c>
      <c r="Q26" t="s">
        <v>52</v>
      </c>
      <c r="R26" t="s">
        <v>152</v>
      </c>
      <c r="S26" t="s">
        <v>0</v>
      </c>
      <c r="T26" s="3">
        <v>46023</v>
      </c>
      <c r="U26" t="s">
        <v>153</v>
      </c>
      <c r="V26" t="s">
        <v>159</v>
      </c>
      <c r="W26" t="s">
        <v>55</v>
      </c>
      <c r="X26" t="s">
        <v>0</v>
      </c>
    </row>
    <row r="27" spans="1:24" x14ac:dyDescent="0.25">
      <c r="A27" t="s">
        <v>44</v>
      </c>
      <c r="B27" t="s">
        <v>82</v>
      </c>
      <c r="C27" t="s">
        <v>178</v>
      </c>
      <c r="D27" t="s">
        <v>179</v>
      </c>
      <c r="E27" t="s">
        <v>85</v>
      </c>
      <c r="F27" t="s">
        <v>4</v>
      </c>
      <c r="G27" s="3">
        <v>46023</v>
      </c>
      <c r="H27" s="2">
        <v>3</v>
      </c>
      <c r="I27">
        <v>20647825701</v>
      </c>
      <c r="J27" t="s">
        <v>180</v>
      </c>
      <c r="K27" t="s">
        <v>181</v>
      </c>
      <c r="L27" s="3">
        <v>45999</v>
      </c>
      <c r="M27" s="3">
        <v>46023</v>
      </c>
      <c r="N27" t="s">
        <v>0</v>
      </c>
      <c r="O27" t="s">
        <v>111</v>
      </c>
      <c r="P27" t="s">
        <v>0</v>
      </c>
      <c r="Q27" t="s">
        <v>182</v>
      </c>
      <c r="R27" t="s">
        <v>152</v>
      </c>
      <c r="S27" t="s">
        <v>0</v>
      </c>
      <c r="T27" s="3">
        <v>46023</v>
      </c>
      <c r="U27" t="s">
        <v>153</v>
      </c>
      <c r="V27" t="s">
        <v>183</v>
      </c>
      <c r="W27" t="s">
        <v>55</v>
      </c>
      <c r="X27" t="s">
        <v>0</v>
      </c>
    </row>
    <row r="28" spans="1:24" x14ac:dyDescent="0.25">
      <c r="A28" t="s">
        <v>44</v>
      </c>
      <c r="B28" t="s">
        <v>45</v>
      </c>
      <c r="C28" t="s">
        <v>184</v>
      </c>
      <c r="D28" t="s">
        <v>185</v>
      </c>
      <c r="E28" t="s">
        <v>184</v>
      </c>
      <c r="F28" t="s">
        <v>185</v>
      </c>
      <c r="G28" s="3">
        <v>46023</v>
      </c>
      <c r="H28" s="2">
        <v>347</v>
      </c>
      <c r="I28" t="s">
        <v>186</v>
      </c>
      <c r="J28" t="s">
        <v>187</v>
      </c>
      <c r="K28" t="s">
        <v>188</v>
      </c>
      <c r="L28" s="3">
        <v>45948</v>
      </c>
      <c r="M28" s="3">
        <v>46023</v>
      </c>
      <c r="N28" t="s">
        <v>0</v>
      </c>
      <c r="O28">
        <v>3</v>
      </c>
      <c r="P28" t="s">
        <v>51</v>
      </c>
      <c r="Q28" t="s">
        <v>52</v>
      </c>
      <c r="R28" t="s">
        <v>51</v>
      </c>
      <c r="S28" t="s">
        <v>0</v>
      </c>
      <c r="T28" s="3">
        <v>46023</v>
      </c>
      <c r="U28" t="s">
        <v>53</v>
      </c>
      <c r="V28" t="s">
        <v>54</v>
      </c>
      <c r="W28" t="s">
        <v>55</v>
      </c>
      <c r="X28" t="s">
        <v>0</v>
      </c>
    </row>
    <row r="29" spans="1:24" x14ac:dyDescent="0.25">
      <c r="A29" t="s">
        <v>44</v>
      </c>
      <c r="B29" t="s">
        <v>45</v>
      </c>
      <c r="C29" t="s">
        <v>184</v>
      </c>
      <c r="D29" t="s">
        <v>185</v>
      </c>
      <c r="E29" t="s">
        <v>184</v>
      </c>
      <c r="F29" t="s">
        <v>185</v>
      </c>
      <c r="G29" s="3">
        <v>46023</v>
      </c>
      <c r="H29" s="2">
        <v>347</v>
      </c>
      <c r="I29" t="s">
        <v>189</v>
      </c>
      <c r="J29" t="s">
        <v>190</v>
      </c>
      <c r="K29" t="s">
        <v>191</v>
      </c>
      <c r="L29" s="3">
        <v>45950</v>
      </c>
      <c r="M29" s="3">
        <v>46023</v>
      </c>
      <c r="N29" t="s">
        <v>0</v>
      </c>
      <c r="O29">
        <v>7</v>
      </c>
      <c r="P29" t="s">
        <v>51</v>
      </c>
      <c r="Q29" t="s">
        <v>52</v>
      </c>
      <c r="R29" t="s">
        <v>51</v>
      </c>
      <c r="S29" t="s">
        <v>0</v>
      </c>
      <c r="T29" s="3">
        <v>46023</v>
      </c>
      <c r="U29" t="s">
        <v>53</v>
      </c>
      <c r="V29" t="s">
        <v>192</v>
      </c>
      <c r="W29" t="s">
        <v>55</v>
      </c>
      <c r="X29" t="s">
        <v>0</v>
      </c>
    </row>
    <row r="30" spans="1:24" x14ac:dyDescent="0.25">
      <c r="A30" t="s">
        <v>44</v>
      </c>
      <c r="B30" t="s">
        <v>45</v>
      </c>
      <c r="C30" t="s">
        <v>46</v>
      </c>
      <c r="D30" t="s">
        <v>47</v>
      </c>
      <c r="E30" t="s">
        <v>46</v>
      </c>
      <c r="F30" t="s">
        <v>47</v>
      </c>
      <c r="G30" s="3">
        <v>46023</v>
      </c>
      <c r="H30" s="2">
        <v>347</v>
      </c>
      <c r="I30" t="s">
        <v>193</v>
      </c>
      <c r="J30" t="s">
        <v>194</v>
      </c>
      <c r="K30" t="s">
        <v>195</v>
      </c>
      <c r="L30" s="3">
        <v>45951</v>
      </c>
      <c r="M30" s="3">
        <v>46023</v>
      </c>
      <c r="N30" t="s">
        <v>0</v>
      </c>
      <c r="O30">
        <v>8</v>
      </c>
      <c r="P30" t="s">
        <v>51</v>
      </c>
      <c r="Q30" t="s">
        <v>52</v>
      </c>
      <c r="R30" t="s">
        <v>51</v>
      </c>
      <c r="S30" t="s">
        <v>0</v>
      </c>
      <c r="T30" s="3">
        <v>46023</v>
      </c>
      <c r="U30" t="s">
        <v>53</v>
      </c>
      <c r="V30" t="s">
        <v>54</v>
      </c>
      <c r="W30" t="s">
        <v>55</v>
      </c>
      <c r="X30" t="s">
        <v>0</v>
      </c>
    </row>
    <row r="31" spans="1:24" x14ac:dyDescent="0.25">
      <c r="A31" t="s">
        <v>44</v>
      </c>
      <c r="B31" t="s">
        <v>82</v>
      </c>
      <c r="C31" t="s">
        <v>46</v>
      </c>
      <c r="D31" t="s">
        <v>47</v>
      </c>
      <c r="E31" t="s">
        <v>85</v>
      </c>
      <c r="F31" t="s">
        <v>4</v>
      </c>
      <c r="G31" s="3">
        <v>46023</v>
      </c>
      <c r="H31" s="2">
        <v>80</v>
      </c>
      <c r="I31" t="s">
        <v>193</v>
      </c>
      <c r="J31" t="s">
        <v>194</v>
      </c>
      <c r="K31" t="s">
        <v>195</v>
      </c>
      <c r="L31" s="3">
        <v>45951</v>
      </c>
      <c r="M31" s="3">
        <v>46023</v>
      </c>
      <c r="N31" t="s">
        <v>0</v>
      </c>
      <c r="O31">
        <v>8</v>
      </c>
      <c r="P31" t="s">
        <v>51</v>
      </c>
      <c r="Q31" t="s">
        <v>52</v>
      </c>
      <c r="R31" t="s">
        <v>51</v>
      </c>
      <c r="S31" t="s">
        <v>0</v>
      </c>
      <c r="T31" s="3">
        <v>46023</v>
      </c>
      <c r="U31" t="s">
        <v>53</v>
      </c>
      <c r="V31" t="s">
        <v>54</v>
      </c>
      <c r="W31" t="s">
        <v>55</v>
      </c>
      <c r="X31" t="s">
        <v>0</v>
      </c>
    </row>
    <row r="32" spans="1:24" x14ac:dyDescent="0.25">
      <c r="A32" t="s">
        <v>44</v>
      </c>
      <c r="B32" t="s">
        <v>82</v>
      </c>
      <c r="C32" t="s">
        <v>46</v>
      </c>
      <c r="D32" t="s">
        <v>47</v>
      </c>
      <c r="E32" t="s">
        <v>85</v>
      </c>
      <c r="F32" t="s">
        <v>4</v>
      </c>
      <c r="G32" s="3">
        <v>46023</v>
      </c>
      <c r="H32" s="2">
        <v>80</v>
      </c>
      <c r="I32" t="s">
        <v>196</v>
      </c>
      <c r="J32" t="s">
        <v>197</v>
      </c>
      <c r="K32" t="s">
        <v>198</v>
      </c>
      <c r="L32" s="3">
        <v>45952</v>
      </c>
      <c r="M32" s="3">
        <v>46023</v>
      </c>
      <c r="N32" t="s">
        <v>0</v>
      </c>
      <c r="O32">
        <v>18</v>
      </c>
      <c r="P32" t="s">
        <v>51</v>
      </c>
      <c r="Q32" t="s">
        <v>52</v>
      </c>
      <c r="R32" t="s">
        <v>51</v>
      </c>
      <c r="S32" t="s">
        <v>0</v>
      </c>
      <c r="T32" s="3">
        <v>46023</v>
      </c>
      <c r="U32" t="s">
        <v>53</v>
      </c>
      <c r="V32" t="s">
        <v>61</v>
      </c>
      <c r="W32" t="s">
        <v>55</v>
      </c>
      <c r="X32" t="s">
        <v>0</v>
      </c>
    </row>
    <row r="33" spans="1:24" x14ac:dyDescent="0.25">
      <c r="A33" t="s">
        <v>44</v>
      </c>
      <c r="B33" t="s">
        <v>82</v>
      </c>
      <c r="C33" t="s">
        <v>46</v>
      </c>
      <c r="D33" t="s">
        <v>47</v>
      </c>
      <c r="E33" t="s">
        <v>85</v>
      </c>
      <c r="F33" t="s">
        <v>4</v>
      </c>
      <c r="G33" s="3">
        <v>46023</v>
      </c>
      <c r="H33" s="2">
        <v>80</v>
      </c>
      <c r="I33" t="s">
        <v>199</v>
      </c>
      <c r="J33" t="s">
        <v>200</v>
      </c>
      <c r="K33" t="s">
        <v>201</v>
      </c>
      <c r="L33" s="3">
        <v>45954</v>
      </c>
      <c r="M33" s="3">
        <v>46023</v>
      </c>
      <c r="N33" t="s">
        <v>0</v>
      </c>
      <c r="O33">
        <v>2</v>
      </c>
      <c r="P33" t="s">
        <v>51</v>
      </c>
      <c r="Q33" t="s">
        <v>52</v>
      </c>
      <c r="R33" t="s">
        <v>51</v>
      </c>
      <c r="S33" t="s">
        <v>0</v>
      </c>
      <c r="T33" s="3">
        <v>46023</v>
      </c>
      <c r="U33" t="s">
        <v>102</v>
      </c>
      <c r="V33" t="s">
        <v>103</v>
      </c>
      <c r="W33" t="s">
        <v>55</v>
      </c>
      <c r="X33" t="s">
        <v>0</v>
      </c>
    </row>
    <row r="34" spans="1:24" x14ac:dyDescent="0.25">
      <c r="A34" t="s">
        <v>44</v>
      </c>
      <c r="B34" t="s">
        <v>45</v>
      </c>
      <c r="C34" t="s">
        <v>202</v>
      </c>
      <c r="D34" t="s">
        <v>203</v>
      </c>
      <c r="E34" t="s">
        <v>202</v>
      </c>
      <c r="F34" t="s">
        <v>203</v>
      </c>
      <c r="G34" s="3">
        <v>46023</v>
      </c>
      <c r="H34" s="2">
        <v>347</v>
      </c>
      <c r="I34" t="s">
        <v>204</v>
      </c>
      <c r="J34" t="s">
        <v>205</v>
      </c>
      <c r="K34" t="s">
        <v>206</v>
      </c>
      <c r="L34" s="3">
        <v>45954</v>
      </c>
      <c r="M34" s="3">
        <v>46023</v>
      </c>
      <c r="N34" t="s">
        <v>0</v>
      </c>
      <c r="O34">
        <v>5</v>
      </c>
      <c r="P34" t="s">
        <v>51</v>
      </c>
      <c r="Q34" t="s">
        <v>207</v>
      </c>
      <c r="R34" t="s">
        <v>51</v>
      </c>
      <c r="S34" t="s">
        <v>0</v>
      </c>
      <c r="T34" s="3">
        <v>46023</v>
      </c>
      <c r="U34" t="s">
        <v>53</v>
      </c>
      <c r="V34" t="s">
        <v>208</v>
      </c>
      <c r="W34" t="s">
        <v>55</v>
      </c>
      <c r="X34" t="s">
        <v>0</v>
      </c>
    </row>
    <row r="35" spans="1:24" x14ac:dyDescent="0.25">
      <c r="A35" t="s">
        <v>44</v>
      </c>
      <c r="B35" t="s">
        <v>45</v>
      </c>
      <c r="C35" t="s">
        <v>70</v>
      </c>
      <c r="D35" t="s">
        <v>71</v>
      </c>
      <c r="E35" t="s">
        <v>70</v>
      </c>
      <c r="F35" t="s">
        <v>71</v>
      </c>
      <c r="G35" s="3">
        <v>46023</v>
      </c>
      <c r="H35" s="2">
        <v>347</v>
      </c>
      <c r="I35">
        <v>37233819</v>
      </c>
      <c r="J35" t="s">
        <v>209</v>
      </c>
      <c r="K35" t="s">
        <v>210</v>
      </c>
      <c r="L35" s="3">
        <v>45950</v>
      </c>
      <c r="M35" s="3">
        <v>46023</v>
      </c>
      <c r="N35" t="s">
        <v>0</v>
      </c>
      <c r="O35">
        <v>2</v>
      </c>
      <c r="P35" t="s">
        <v>51</v>
      </c>
      <c r="Q35" t="s">
        <v>75</v>
      </c>
      <c r="R35" t="s">
        <v>51</v>
      </c>
      <c r="S35" t="s">
        <v>0</v>
      </c>
      <c r="T35" s="3">
        <v>46023</v>
      </c>
      <c r="U35" t="s">
        <v>76</v>
      </c>
      <c r="V35" t="s">
        <v>77</v>
      </c>
      <c r="W35" t="s">
        <v>55</v>
      </c>
      <c r="X35" t="s">
        <v>0</v>
      </c>
    </row>
    <row r="36" spans="1:24" x14ac:dyDescent="0.25">
      <c r="A36" t="s">
        <v>44</v>
      </c>
      <c r="B36" t="s">
        <v>82</v>
      </c>
      <c r="C36" t="s">
        <v>62</v>
      </c>
      <c r="D36" t="s">
        <v>63</v>
      </c>
      <c r="E36" t="s">
        <v>85</v>
      </c>
      <c r="F36" t="s">
        <v>4</v>
      </c>
      <c r="G36" s="3">
        <v>46023</v>
      </c>
      <c r="H36" s="2">
        <v>80</v>
      </c>
      <c r="I36" t="s">
        <v>64</v>
      </c>
      <c r="J36" t="s">
        <v>65</v>
      </c>
      <c r="K36" t="s">
        <v>66</v>
      </c>
      <c r="L36" s="3">
        <v>45971</v>
      </c>
      <c r="M36" s="3">
        <v>46023</v>
      </c>
      <c r="N36" t="s">
        <v>0</v>
      </c>
      <c r="O36">
        <v>3</v>
      </c>
      <c r="P36" t="s">
        <v>51</v>
      </c>
      <c r="Q36" t="s">
        <v>67</v>
      </c>
      <c r="R36" t="s">
        <v>51</v>
      </c>
      <c r="S36" t="s">
        <v>0</v>
      </c>
      <c r="T36" s="3">
        <v>46023</v>
      </c>
      <c r="U36" t="s">
        <v>68</v>
      </c>
      <c r="V36" t="s">
        <v>69</v>
      </c>
      <c r="W36" t="s">
        <v>55</v>
      </c>
      <c r="X36" t="s">
        <v>0</v>
      </c>
    </row>
    <row r="37" spans="1:24" x14ac:dyDescent="0.25">
      <c r="A37" t="s">
        <v>11</v>
      </c>
      <c r="B37" t="s">
        <v>45</v>
      </c>
      <c r="C37" t="s">
        <v>211</v>
      </c>
      <c r="D37" t="s">
        <v>212</v>
      </c>
      <c r="E37" t="s">
        <v>211</v>
      </c>
      <c r="F37" t="s">
        <v>212</v>
      </c>
      <c r="G37" s="3">
        <v>46023</v>
      </c>
      <c r="H37" s="2">
        <v>694</v>
      </c>
      <c r="I37" t="s">
        <v>213</v>
      </c>
      <c r="J37" t="s">
        <v>214</v>
      </c>
      <c r="K37" t="s">
        <v>215</v>
      </c>
      <c r="L37" s="3">
        <v>45971</v>
      </c>
      <c r="M37" s="3">
        <v>46023</v>
      </c>
      <c r="N37" t="s">
        <v>0</v>
      </c>
      <c r="O37">
        <v>1</v>
      </c>
      <c r="P37" t="s">
        <v>81</v>
      </c>
      <c r="Q37" t="s">
        <v>216</v>
      </c>
      <c r="R37" t="s">
        <v>51</v>
      </c>
      <c r="S37" t="s">
        <v>0</v>
      </c>
      <c r="T37" s="3">
        <v>46023</v>
      </c>
      <c r="U37" t="s">
        <v>217</v>
      </c>
      <c r="V37" t="s">
        <v>218</v>
      </c>
      <c r="W37" t="s">
        <v>219</v>
      </c>
      <c r="X37" t="s">
        <v>0</v>
      </c>
    </row>
    <row r="38" spans="1:24" x14ac:dyDescent="0.25">
      <c r="A38" t="s">
        <v>44</v>
      </c>
      <c r="B38" t="s">
        <v>82</v>
      </c>
      <c r="C38" t="s">
        <v>174</v>
      </c>
      <c r="D38" t="s">
        <v>175</v>
      </c>
      <c r="E38" t="s">
        <v>85</v>
      </c>
      <c r="F38" t="s">
        <v>4</v>
      </c>
      <c r="G38" s="3">
        <v>46023</v>
      </c>
      <c r="H38" s="2">
        <v>80</v>
      </c>
      <c r="I38" t="s">
        <v>220</v>
      </c>
      <c r="J38" t="s">
        <v>221</v>
      </c>
      <c r="K38" t="s">
        <v>222</v>
      </c>
      <c r="L38" s="3">
        <v>45972</v>
      </c>
      <c r="M38" s="3">
        <v>46023</v>
      </c>
      <c r="N38" t="s">
        <v>0</v>
      </c>
      <c r="O38">
        <v>6</v>
      </c>
      <c r="P38" t="s">
        <v>51</v>
      </c>
      <c r="Q38" t="s">
        <v>52</v>
      </c>
      <c r="R38" t="s">
        <v>51</v>
      </c>
      <c r="S38" t="s">
        <v>0</v>
      </c>
      <c r="T38" s="3">
        <v>46023</v>
      </c>
      <c r="U38" t="s">
        <v>102</v>
      </c>
      <c r="V38" t="s">
        <v>103</v>
      </c>
      <c r="W38" t="s">
        <v>55</v>
      </c>
      <c r="X38" t="s">
        <v>0</v>
      </c>
    </row>
    <row r="39" spans="1:24" x14ac:dyDescent="0.25">
      <c r="A39" t="s">
        <v>44</v>
      </c>
      <c r="B39" t="s">
        <v>82</v>
      </c>
      <c r="C39" t="s">
        <v>170</v>
      </c>
      <c r="D39" t="s">
        <v>171</v>
      </c>
      <c r="E39" t="s">
        <v>85</v>
      </c>
      <c r="F39" t="s">
        <v>4</v>
      </c>
      <c r="G39" s="3">
        <v>46023</v>
      </c>
      <c r="H39" s="2">
        <v>80</v>
      </c>
      <c r="I39" t="s">
        <v>223</v>
      </c>
      <c r="J39" t="s">
        <v>224</v>
      </c>
      <c r="K39" t="s">
        <v>225</v>
      </c>
      <c r="L39" s="3">
        <v>45968</v>
      </c>
      <c r="M39" s="3">
        <v>46023</v>
      </c>
      <c r="N39" t="s">
        <v>0</v>
      </c>
      <c r="O39">
        <v>4</v>
      </c>
      <c r="P39" t="s">
        <v>51</v>
      </c>
      <c r="Q39" t="s">
        <v>182</v>
      </c>
      <c r="R39" t="s">
        <v>51</v>
      </c>
      <c r="S39" t="s">
        <v>0</v>
      </c>
      <c r="T39" s="3">
        <v>46023</v>
      </c>
      <c r="U39" t="s">
        <v>226</v>
      </c>
      <c r="V39" t="s">
        <v>227</v>
      </c>
      <c r="W39" t="s">
        <v>55</v>
      </c>
      <c r="X39" t="s">
        <v>0</v>
      </c>
    </row>
    <row r="40" spans="1:24" x14ac:dyDescent="0.25">
      <c r="A40" t="s">
        <v>44</v>
      </c>
      <c r="B40" t="s">
        <v>82</v>
      </c>
      <c r="C40" t="s">
        <v>170</v>
      </c>
      <c r="D40" t="s">
        <v>171</v>
      </c>
      <c r="E40" t="s">
        <v>85</v>
      </c>
      <c r="F40" t="s">
        <v>4</v>
      </c>
      <c r="G40" s="3">
        <v>46023</v>
      </c>
      <c r="H40" s="2">
        <v>80</v>
      </c>
      <c r="I40" t="s">
        <v>228</v>
      </c>
      <c r="J40" t="s">
        <v>229</v>
      </c>
      <c r="K40" t="s">
        <v>230</v>
      </c>
      <c r="L40" s="3">
        <v>45968</v>
      </c>
      <c r="M40" s="3">
        <v>46023</v>
      </c>
      <c r="N40" t="s">
        <v>0</v>
      </c>
      <c r="O40">
        <v>4</v>
      </c>
      <c r="P40" t="s">
        <v>51</v>
      </c>
      <c r="Q40" t="s">
        <v>182</v>
      </c>
      <c r="R40" t="s">
        <v>51</v>
      </c>
      <c r="S40" t="s">
        <v>0</v>
      </c>
      <c r="T40" s="3">
        <v>46023</v>
      </c>
      <c r="U40" t="s">
        <v>226</v>
      </c>
      <c r="V40" t="s">
        <v>227</v>
      </c>
      <c r="W40" t="s">
        <v>55</v>
      </c>
      <c r="X40" t="s">
        <v>0</v>
      </c>
    </row>
    <row r="41" spans="1:24" x14ac:dyDescent="0.25">
      <c r="A41" t="s">
        <v>44</v>
      </c>
      <c r="B41" t="s">
        <v>82</v>
      </c>
      <c r="C41" t="s">
        <v>46</v>
      </c>
      <c r="D41" t="s">
        <v>47</v>
      </c>
      <c r="E41" t="s">
        <v>85</v>
      </c>
      <c r="F41" t="s">
        <v>4</v>
      </c>
      <c r="G41" s="3">
        <v>46023</v>
      </c>
      <c r="H41" s="2">
        <v>80</v>
      </c>
      <c r="I41" t="s">
        <v>231</v>
      </c>
      <c r="J41" t="s">
        <v>232</v>
      </c>
      <c r="K41" t="s">
        <v>233</v>
      </c>
      <c r="L41" s="3">
        <v>45982</v>
      </c>
      <c r="M41" s="3">
        <v>46023</v>
      </c>
      <c r="N41" t="s">
        <v>0</v>
      </c>
      <c r="O41">
        <v>2</v>
      </c>
      <c r="P41" t="s">
        <v>51</v>
      </c>
      <c r="Q41" t="s">
        <v>148</v>
      </c>
      <c r="R41" t="s">
        <v>51</v>
      </c>
      <c r="S41" t="s">
        <v>0</v>
      </c>
      <c r="T41" s="3">
        <v>46023</v>
      </c>
      <c r="U41" t="s">
        <v>53</v>
      </c>
      <c r="V41" t="s">
        <v>234</v>
      </c>
      <c r="W41" t="s">
        <v>235</v>
      </c>
      <c r="X41" t="s">
        <v>0</v>
      </c>
    </row>
    <row r="42" spans="1:24" x14ac:dyDescent="0.25">
      <c r="A42" t="s">
        <v>11</v>
      </c>
      <c r="B42" t="s">
        <v>45</v>
      </c>
      <c r="C42" t="s">
        <v>56</v>
      </c>
      <c r="D42" t="s">
        <v>57</v>
      </c>
      <c r="E42" t="s">
        <v>56</v>
      </c>
      <c r="F42" t="s">
        <v>57</v>
      </c>
      <c r="G42" s="3">
        <v>46023</v>
      </c>
      <c r="H42" s="2">
        <v>694</v>
      </c>
      <c r="I42" t="s">
        <v>236</v>
      </c>
      <c r="J42" t="s">
        <v>237</v>
      </c>
      <c r="K42" t="s">
        <v>238</v>
      </c>
      <c r="L42" s="3">
        <v>45982</v>
      </c>
      <c r="M42" s="3">
        <v>46023</v>
      </c>
      <c r="N42" t="s">
        <v>0</v>
      </c>
      <c r="O42">
        <v>1</v>
      </c>
      <c r="P42" t="s">
        <v>81</v>
      </c>
      <c r="Q42" t="s">
        <v>52</v>
      </c>
      <c r="R42" t="s">
        <v>51</v>
      </c>
      <c r="S42" t="s">
        <v>0</v>
      </c>
      <c r="T42" s="3">
        <v>46023</v>
      </c>
      <c r="U42" t="s">
        <v>53</v>
      </c>
      <c r="V42" t="s">
        <v>61</v>
      </c>
      <c r="W42" t="s">
        <v>55</v>
      </c>
      <c r="X42" t="s">
        <v>0</v>
      </c>
    </row>
    <row r="43" spans="1:24" x14ac:dyDescent="0.25">
      <c r="A43" t="s">
        <v>44</v>
      </c>
      <c r="B43" t="s">
        <v>82</v>
      </c>
      <c r="C43" t="s">
        <v>239</v>
      </c>
      <c r="D43" t="s">
        <v>240</v>
      </c>
      <c r="E43" t="s">
        <v>85</v>
      </c>
      <c r="F43" t="s">
        <v>4</v>
      </c>
      <c r="G43" s="3">
        <v>46023</v>
      </c>
      <c r="H43" s="2">
        <v>80</v>
      </c>
      <c r="I43" t="s">
        <v>241</v>
      </c>
      <c r="J43" t="s">
        <v>242</v>
      </c>
      <c r="K43" t="s">
        <v>243</v>
      </c>
      <c r="L43" s="3">
        <v>45982</v>
      </c>
      <c r="M43" s="3">
        <v>46023</v>
      </c>
      <c r="N43" t="s">
        <v>0</v>
      </c>
      <c r="O43">
        <v>4</v>
      </c>
      <c r="P43" t="s">
        <v>51</v>
      </c>
      <c r="Q43" t="s">
        <v>182</v>
      </c>
      <c r="R43" t="s">
        <v>51</v>
      </c>
      <c r="S43" t="s">
        <v>0</v>
      </c>
      <c r="T43" s="3">
        <v>46023</v>
      </c>
      <c r="U43" t="s">
        <v>226</v>
      </c>
      <c r="V43" t="s">
        <v>244</v>
      </c>
      <c r="W43" t="s">
        <v>55</v>
      </c>
      <c r="X43" t="s">
        <v>0</v>
      </c>
    </row>
    <row r="44" spans="1:24" x14ac:dyDescent="0.25">
      <c r="A44" t="s">
        <v>44</v>
      </c>
      <c r="B44" t="s">
        <v>82</v>
      </c>
      <c r="C44" t="s">
        <v>83</v>
      </c>
      <c r="D44" t="s">
        <v>84</v>
      </c>
      <c r="E44" t="s">
        <v>85</v>
      </c>
      <c r="F44" t="s">
        <v>4</v>
      </c>
      <c r="G44" s="3">
        <v>46023</v>
      </c>
      <c r="H44" s="2">
        <v>80</v>
      </c>
      <c r="I44" t="s">
        <v>245</v>
      </c>
      <c r="J44" t="s">
        <v>246</v>
      </c>
      <c r="K44" t="s">
        <v>247</v>
      </c>
      <c r="L44" s="3">
        <v>45989</v>
      </c>
      <c r="M44" s="3">
        <v>46023</v>
      </c>
      <c r="N44" t="s">
        <v>0</v>
      </c>
      <c r="O44" t="s">
        <v>111</v>
      </c>
      <c r="P44" t="s">
        <v>0</v>
      </c>
      <c r="Q44" t="s">
        <v>67</v>
      </c>
      <c r="R44" t="s">
        <v>51</v>
      </c>
      <c r="S44" t="s">
        <v>0</v>
      </c>
      <c r="T44" s="3">
        <v>46023</v>
      </c>
      <c r="U44" t="s">
        <v>68</v>
      </c>
      <c r="V44" t="s">
        <v>107</v>
      </c>
      <c r="W44" t="s">
        <v>55</v>
      </c>
      <c r="X44" t="s">
        <v>0</v>
      </c>
    </row>
    <row r="45" spans="1:24" x14ac:dyDescent="0.25">
      <c r="A45" t="s">
        <v>44</v>
      </c>
      <c r="B45" t="s">
        <v>45</v>
      </c>
      <c r="C45" t="s">
        <v>120</v>
      </c>
      <c r="D45" t="s">
        <v>121</v>
      </c>
      <c r="E45" t="s">
        <v>120</v>
      </c>
      <c r="F45" t="s">
        <v>121</v>
      </c>
      <c r="G45" s="3">
        <v>46023</v>
      </c>
      <c r="H45" s="2">
        <v>347</v>
      </c>
      <c r="I45" t="s">
        <v>122</v>
      </c>
      <c r="J45" t="s">
        <v>123</v>
      </c>
      <c r="K45" t="s">
        <v>124</v>
      </c>
      <c r="L45" s="3">
        <v>45992</v>
      </c>
      <c r="M45" s="3">
        <v>46023</v>
      </c>
      <c r="N45" t="s">
        <v>0</v>
      </c>
      <c r="O45" t="s">
        <v>111</v>
      </c>
      <c r="P45" t="s">
        <v>0</v>
      </c>
      <c r="Q45" t="s">
        <v>52</v>
      </c>
      <c r="R45" t="s">
        <v>51</v>
      </c>
      <c r="S45" t="s">
        <v>0</v>
      </c>
      <c r="T45" s="3">
        <v>46023</v>
      </c>
      <c r="U45" t="s">
        <v>102</v>
      </c>
      <c r="V45" t="s">
        <v>103</v>
      </c>
      <c r="W45" t="s">
        <v>55</v>
      </c>
      <c r="X45" t="s">
        <v>0</v>
      </c>
    </row>
    <row r="46" spans="1:24" x14ac:dyDescent="0.25">
      <c r="A46" t="s">
        <v>44</v>
      </c>
      <c r="B46" t="s">
        <v>45</v>
      </c>
      <c r="C46" t="s">
        <v>125</v>
      </c>
      <c r="D46" t="s">
        <v>126</v>
      </c>
      <c r="E46" t="s">
        <v>125</v>
      </c>
      <c r="F46" t="s">
        <v>126</v>
      </c>
      <c r="G46" s="3">
        <v>46023</v>
      </c>
      <c r="H46" s="2">
        <v>347</v>
      </c>
      <c r="I46" t="s">
        <v>248</v>
      </c>
      <c r="J46" t="s">
        <v>249</v>
      </c>
      <c r="K46" t="s">
        <v>250</v>
      </c>
      <c r="L46" s="3">
        <v>45994</v>
      </c>
      <c r="M46" s="3">
        <v>46023</v>
      </c>
      <c r="N46" t="s">
        <v>0</v>
      </c>
      <c r="O46" t="s">
        <v>111</v>
      </c>
      <c r="P46" t="s">
        <v>0</v>
      </c>
      <c r="Q46" t="s">
        <v>52</v>
      </c>
      <c r="R46" t="s">
        <v>51</v>
      </c>
      <c r="S46" t="s">
        <v>0</v>
      </c>
      <c r="T46" s="3">
        <v>46023</v>
      </c>
      <c r="U46" t="s">
        <v>102</v>
      </c>
      <c r="V46" t="s">
        <v>103</v>
      </c>
      <c r="W46" t="s">
        <v>55</v>
      </c>
      <c r="X46" t="s">
        <v>0</v>
      </c>
    </row>
    <row r="47" spans="1:24" x14ac:dyDescent="0.25">
      <c r="A47" t="s">
        <v>44</v>
      </c>
      <c r="B47" t="s">
        <v>82</v>
      </c>
      <c r="C47" t="s">
        <v>125</v>
      </c>
      <c r="D47" t="s">
        <v>126</v>
      </c>
      <c r="E47" t="s">
        <v>85</v>
      </c>
      <c r="F47" t="s">
        <v>4</v>
      </c>
      <c r="G47" s="3">
        <v>46023</v>
      </c>
      <c r="H47" s="2">
        <v>80</v>
      </c>
      <c r="I47" t="s">
        <v>127</v>
      </c>
      <c r="J47" t="s">
        <v>128</v>
      </c>
      <c r="K47" t="s">
        <v>129</v>
      </c>
      <c r="L47" s="3">
        <v>45994</v>
      </c>
      <c r="M47" s="3">
        <v>46023</v>
      </c>
      <c r="N47" t="s">
        <v>0</v>
      </c>
      <c r="O47" t="s">
        <v>111</v>
      </c>
      <c r="P47" t="s">
        <v>0</v>
      </c>
      <c r="Q47" t="s">
        <v>52</v>
      </c>
      <c r="R47" t="s">
        <v>51</v>
      </c>
      <c r="S47" t="s">
        <v>0</v>
      </c>
      <c r="T47" s="3">
        <v>46023</v>
      </c>
      <c r="U47" t="s">
        <v>102</v>
      </c>
      <c r="V47" t="s">
        <v>103</v>
      </c>
      <c r="W47" t="s">
        <v>55</v>
      </c>
      <c r="X47" t="s">
        <v>0</v>
      </c>
    </row>
    <row r="48" spans="1:24" x14ac:dyDescent="0.25">
      <c r="A48" t="s">
        <v>44</v>
      </c>
      <c r="B48" t="s">
        <v>45</v>
      </c>
      <c r="C48" t="s">
        <v>174</v>
      </c>
      <c r="D48" t="s">
        <v>175</v>
      </c>
      <c r="E48" t="s">
        <v>174</v>
      </c>
      <c r="F48" t="s">
        <v>175</v>
      </c>
      <c r="G48" s="3">
        <v>46023</v>
      </c>
      <c r="H48" s="2">
        <v>347</v>
      </c>
      <c r="I48" t="s">
        <v>251</v>
      </c>
      <c r="J48" t="s">
        <v>252</v>
      </c>
      <c r="K48" t="s">
        <v>253</v>
      </c>
      <c r="L48" s="3">
        <v>45996</v>
      </c>
      <c r="M48" s="3">
        <v>46023</v>
      </c>
      <c r="N48" t="s">
        <v>0</v>
      </c>
      <c r="O48" t="s">
        <v>111</v>
      </c>
      <c r="P48" t="s">
        <v>0</v>
      </c>
      <c r="Q48" t="s">
        <v>148</v>
      </c>
      <c r="R48" t="s">
        <v>51</v>
      </c>
      <c r="S48" t="s">
        <v>0</v>
      </c>
      <c r="T48" s="3">
        <v>46023</v>
      </c>
      <c r="U48" t="s">
        <v>53</v>
      </c>
      <c r="V48" t="s">
        <v>254</v>
      </c>
      <c r="W48" t="s">
        <v>235</v>
      </c>
      <c r="X48" t="s">
        <v>0</v>
      </c>
    </row>
    <row r="49" spans="1:24" x14ac:dyDescent="0.25">
      <c r="A49" t="s">
        <v>11</v>
      </c>
      <c r="B49" t="s">
        <v>82</v>
      </c>
      <c r="C49" t="s">
        <v>178</v>
      </c>
      <c r="D49" t="s">
        <v>179</v>
      </c>
      <c r="E49" t="s">
        <v>85</v>
      </c>
      <c r="F49" t="s">
        <v>4</v>
      </c>
      <c r="G49" s="3">
        <v>46023</v>
      </c>
      <c r="H49" s="2">
        <v>5.5</v>
      </c>
      <c r="I49">
        <v>20543503501</v>
      </c>
      <c r="J49" t="s">
        <v>255</v>
      </c>
      <c r="K49" t="s">
        <v>256</v>
      </c>
      <c r="L49" s="3">
        <v>45968</v>
      </c>
      <c r="M49" s="3">
        <v>46023</v>
      </c>
      <c r="N49" t="s">
        <v>0</v>
      </c>
      <c r="O49">
        <v>1</v>
      </c>
      <c r="P49" t="s">
        <v>51</v>
      </c>
      <c r="Q49" t="s">
        <v>182</v>
      </c>
      <c r="R49" t="s">
        <v>152</v>
      </c>
      <c r="S49" t="s">
        <v>0</v>
      </c>
      <c r="T49" s="3">
        <v>46023</v>
      </c>
      <c r="U49" t="s">
        <v>153</v>
      </c>
      <c r="V49" t="s">
        <v>183</v>
      </c>
      <c r="W49" t="s">
        <v>55</v>
      </c>
      <c r="X49" t="s">
        <v>0</v>
      </c>
    </row>
    <row r="50" spans="1:24" x14ac:dyDescent="0.25">
      <c r="A50" t="s">
        <v>44</v>
      </c>
      <c r="B50" t="s">
        <v>45</v>
      </c>
      <c r="C50" t="s">
        <v>257</v>
      </c>
      <c r="D50" t="s">
        <v>258</v>
      </c>
      <c r="E50" t="s">
        <v>257</v>
      </c>
      <c r="F50" t="s">
        <v>258</v>
      </c>
      <c r="G50" s="3">
        <v>46023</v>
      </c>
      <c r="H50" s="2">
        <v>57</v>
      </c>
      <c r="I50">
        <v>20617354401</v>
      </c>
      <c r="J50" t="s">
        <v>259</v>
      </c>
      <c r="K50" t="s">
        <v>260</v>
      </c>
      <c r="L50" s="3">
        <v>45994</v>
      </c>
      <c r="M50" s="3">
        <v>46023</v>
      </c>
      <c r="N50" t="s">
        <v>0</v>
      </c>
      <c r="O50" t="s">
        <v>111</v>
      </c>
      <c r="P50" t="s">
        <v>0</v>
      </c>
      <c r="Q50" t="s">
        <v>52</v>
      </c>
      <c r="R50" t="s">
        <v>152</v>
      </c>
      <c r="S50" t="s">
        <v>0</v>
      </c>
      <c r="T50" s="3">
        <v>46023</v>
      </c>
      <c r="U50" t="s">
        <v>153</v>
      </c>
      <c r="V50" t="s">
        <v>159</v>
      </c>
      <c r="W50" t="s">
        <v>55</v>
      </c>
      <c r="X50" t="s">
        <v>0</v>
      </c>
    </row>
    <row r="51" spans="1:24" x14ac:dyDescent="0.25">
      <c r="A51" t="s">
        <v>44</v>
      </c>
      <c r="B51" t="s">
        <v>45</v>
      </c>
      <c r="C51" t="s">
        <v>170</v>
      </c>
      <c r="D51" t="s">
        <v>171</v>
      </c>
      <c r="E51" t="s">
        <v>170</v>
      </c>
      <c r="F51" t="s">
        <v>171</v>
      </c>
      <c r="G51" s="3">
        <v>46023</v>
      </c>
      <c r="H51" s="2">
        <v>57</v>
      </c>
      <c r="I51">
        <v>20581996401</v>
      </c>
      <c r="J51" t="s">
        <v>261</v>
      </c>
      <c r="K51" t="s">
        <v>262</v>
      </c>
      <c r="L51" s="3">
        <v>45983</v>
      </c>
      <c r="M51" s="3">
        <v>46023</v>
      </c>
      <c r="N51" t="s">
        <v>0</v>
      </c>
      <c r="O51" t="s">
        <v>111</v>
      </c>
      <c r="P51" t="s">
        <v>0</v>
      </c>
      <c r="Q51" t="s">
        <v>67</v>
      </c>
      <c r="R51" t="s">
        <v>152</v>
      </c>
      <c r="S51" t="s">
        <v>0</v>
      </c>
      <c r="T51" s="3">
        <v>46023</v>
      </c>
      <c r="U51" t="s">
        <v>153</v>
      </c>
      <c r="V51" t="s">
        <v>263</v>
      </c>
      <c r="W51" t="s">
        <v>55</v>
      </c>
      <c r="X51" t="s">
        <v>0</v>
      </c>
    </row>
    <row r="52" spans="1:24" x14ac:dyDescent="0.25">
      <c r="A52" t="s">
        <v>44</v>
      </c>
      <c r="B52" t="s">
        <v>45</v>
      </c>
      <c r="C52" t="s">
        <v>112</v>
      </c>
      <c r="D52" t="s">
        <v>113</v>
      </c>
      <c r="E52" t="s">
        <v>112</v>
      </c>
      <c r="F52" t="s">
        <v>113</v>
      </c>
      <c r="G52" s="3">
        <v>46023</v>
      </c>
      <c r="H52" s="2">
        <v>57</v>
      </c>
      <c r="I52">
        <v>15886303501</v>
      </c>
      <c r="J52" t="s">
        <v>264</v>
      </c>
      <c r="K52" t="s">
        <v>265</v>
      </c>
      <c r="L52" s="3">
        <v>45997</v>
      </c>
      <c r="M52" s="3">
        <v>46023</v>
      </c>
      <c r="N52" t="s">
        <v>0</v>
      </c>
      <c r="O52" t="s">
        <v>111</v>
      </c>
      <c r="P52" t="s">
        <v>0</v>
      </c>
      <c r="Q52" t="s">
        <v>266</v>
      </c>
      <c r="R52" t="s">
        <v>152</v>
      </c>
      <c r="S52" t="s">
        <v>0</v>
      </c>
      <c r="T52" s="3">
        <v>46023</v>
      </c>
      <c r="U52" t="s">
        <v>153</v>
      </c>
      <c r="V52" t="s">
        <v>267</v>
      </c>
      <c r="W52" t="s">
        <v>55</v>
      </c>
      <c r="X52" t="s">
        <v>0</v>
      </c>
    </row>
    <row r="53" spans="1:24" x14ac:dyDescent="0.25">
      <c r="A53" t="s">
        <v>44</v>
      </c>
      <c r="B53" t="s">
        <v>82</v>
      </c>
      <c r="C53" t="s">
        <v>46</v>
      </c>
      <c r="D53" t="s">
        <v>47</v>
      </c>
      <c r="E53" t="s">
        <v>85</v>
      </c>
      <c r="F53" t="s">
        <v>4</v>
      </c>
      <c r="G53" s="3">
        <v>46023</v>
      </c>
      <c r="H53" s="2">
        <v>3</v>
      </c>
      <c r="I53">
        <v>20641792501</v>
      </c>
      <c r="J53" t="s">
        <v>268</v>
      </c>
      <c r="K53" t="s">
        <v>269</v>
      </c>
      <c r="L53" s="3">
        <v>45998</v>
      </c>
      <c r="M53" s="3">
        <v>46023</v>
      </c>
      <c r="N53" t="s">
        <v>0</v>
      </c>
      <c r="O53" t="s">
        <v>111</v>
      </c>
      <c r="P53" t="s">
        <v>0</v>
      </c>
      <c r="Q53" t="s">
        <v>270</v>
      </c>
      <c r="R53" t="s">
        <v>152</v>
      </c>
      <c r="S53" t="s">
        <v>0</v>
      </c>
      <c r="T53" s="3">
        <v>46023</v>
      </c>
      <c r="U53" t="s">
        <v>153</v>
      </c>
      <c r="V53" t="s">
        <v>271</v>
      </c>
      <c r="W53" t="s">
        <v>55</v>
      </c>
      <c r="X53" t="s">
        <v>0</v>
      </c>
    </row>
    <row r="54" spans="1:24" x14ac:dyDescent="0.25">
      <c r="A54" t="s">
        <v>44</v>
      </c>
      <c r="B54" t="s">
        <v>82</v>
      </c>
      <c r="C54" t="s">
        <v>112</v>
      </c>
      <c r="D54" t="s">
        <v>113</v>
      </c>
      <c r="E54" t="s">
        <v>85</v>
      </c>
      <c r="F54" t="s">
        <v>4</v>
      </c>
      <c r="G54" s="3">
        <v>46023</v>
      </c>
      <c r="H54" s="2">
        <v>3</v>
      </c>
      <c r="I54">
        <v>20631332201</v>
      </c>
      <c r="J54" t="s">
        <v>272</v>
      </c>
      <c r="K54" t="s">
        <v>273</v>
      </c>
      <c r="L54" s="3">
        <v>45996</v>
      </c>
      <c r="M54" s="3">
        <v>46023</v>
      </c>
      <c r="N54" t="s">
        <v>0</v>
      </c>
      <c r="O54" t="s">
        <v>111</v>
      </c>
      <c r="P54" t="s">
        <v>0</v>
      </c>
      <c r="Q54" t="s">
        <v>266</v>
      </c>
      <c r="R54" t="s">
        <v>152</v>
      </c>
      <c r="S54" t="s">
        <v>0</v>
      </c>
      <c r="T54" s="3">
        <v>46023</v>
      </c>
      <c r="U54" t="s">
        <v>153</v>
      </c>
      <c r="V54" t="s">
        <v>267</v>
      </c>
      <c r="W54" t="s">
        <v>55</v>
      </c>
      <c r="X54" t="s">
        <v>0</v>
      </c>
    </row>
    <row r="55" spans="1:24" x14ac:dyDescent="0.25">
      <c r="A55" t="s">
        <v>44</v>
      </c>
      <c r="B55" t="s">
        <v>45</v>
      </c>
      <c r="C55" t="s">
        <v>56</v>
      </c>
      <c r="D55" t="s">
        <v>57</v>
      </c>
      <c r="E55" t="s">
        <v>56</v>
      </c>
      <c r="F55" t="s">
        <v>57</v>
      </c>
      <c r="G55" s="3">
        <v>46023</v>
      </c>
      <c r="H55" s="2">
        <v>347</v>
      </c>
      <c r="I55" t="s">
        <v>274</v>
      </c>
      <c r="J55" t="s">
        <v>275</v>
      </c>
      <c r="K55" t="s">
        <v>276</v>
      </c>
      <c r="L55" s="3">
        <v>45947</v>
      </c>
      <c r="M55" s="3">
        <v>46023</v>
      </c>
      <c r="N55" t="s">
        <v>0</v>
      </c>
      <c r="O55">
        <v>8</v>
      </c>
      <c r="P55" t="s">
        <v>51</v>
      </c>
      <c r="Q55" t="s">
        <v>52</v>
      </c>
      <c r="R55" t="s">
        <v>51</v>
      </c>
      <c r="S55" t="s">
        <v>0</v>
      </c>
      <c r="T55" s="3">
        <v>46023</v>
      </c>
      <c r="U55" t="s">
        <v>53</v>
      </c>
      <c r="V55" t="s">
        <v>61</v>
      </c>
      <c r="W55" t="s">
        <v>55</v>
      </c>
      <c r="X55" t="s">
        <v>0</v>
      </c>
    </row>
    <row r="56" spans="1:24" x14ac:dyDescent="0.25">
      <c r="A56" t="s">
        <v>44</v>
      </c>
      <c r="B56" t="s">
        <v>82</v>
      </c>
      <c r="C56" t="s">
        <v>202</v>
      </c>
      <c r="D56" t="s">
        <v>203</v>
      </c>
      <c r="E56" t="s">
        <v>85</v>
      </c>
      <c r="F56" t="s">
        <v>4</v>
      </c>
      <c r="G56" s="3">
        <v>46023</v>
      </c>
      <c r="H56" s="2">
        <v>80</v>
      </c>
      <c r="I56" t="s">
        <v>204</v>
      </c>
      <c r="J56" t="s">
        <v>205</v>
      </c>
      <c r="K56" t="s">
        <v>206</v>
      </c>
      <c r="L56" s="3">
        <v>45954</v>
      </c>
      <c r="M56" s="3">
        <v>46023</v>
      </c>
      <c r="N56" t="s">
        <v>0</v>
      </c>
      <c r="O56">
        <v>5</v>
      </c>
      <c r="P56" t="s">
        <v>51</v>
      </c>
      <c r="Q56" t="s">
        <v>207</v>
      </c>
      <c r="R56" t="s">
        <v>51</v>
      </c>
      <c r="S56" t="s">
        <v>0</v>
      </c>
      <c r="T56" s="3">
        <v>46023</v>
      </c>
      <c r="U56" t="s">
        <v>53</v>
      </c>
      <c r="V56" t="s">
        <v>208</v>
      </c>
      <c r="W56" t="s">
        <v>55</v>
      </c>
      <c r="X56" t="s">
        <v>0</v>
      </c>
    </row>
    <row r="57" spans="1:24" x14ac:dyDescent="0.25">
      <c r="A57" t="s">
        <v>44</v>
      </c>
      <c r="B57" t="s">
        <v>45</v>
      </c>
      <c r="C57" t="s">
        <v>184</v>
      </c>
      <c r="D57" t="s">
        <v>185</v>
      </c>
      <c r="E57" t="s">
        <v>184</v>
      </c>
      <c r="F57" t="s">
        <v>185</v>
      </c>
      <c r="G57" s="3">
        <v>46023</v>
      </c>
      <c r="H57" s="2">
        <v>347</v>
      </c>
      <c r="I57" t="s">
        <v>277</v>
      </c>
      <c r="J57" t="s">
        <v>278</v>
      </c>
      <c r="K57" t="s">
        <v>279</v>
      </c>
      <c r="L57" s="3">
        <v>45951</v>
      </c>
      <c r="M57" s="3">
        <v>46023</v>
      </c>
      <c r="N57" t="s">
        <v>0</v>
      </c>
      <c r="O57">
        <v>7</v>
      </c>
      <c r="P57" t="s">
        <v>51</v>
      </c>
      <c r="Q57" t="s">
        <v>52</v>
      </c>
      <c r="R57" t="s">
        <v>51</v>
      </c>
      <c r="S57" t="s">
        <v>0</v>
      </c>
      <c r="T57" s="3">
        <v>46023</v>
      </c>
      <c r="U57" t="s">
        <v>53</v>
      </c>
      <c r="V57" t="s">
        <v>54</v>
      </c>
      <c r="W57" t="s">
        <v>55</v>
      </c>
      <c r="X57" t="s">
        <v>0</v>
      </c>
    </row>
    <row r="58" spans="1:24" x14ac:dyDescent="0.25">
      <c r="A58" t="s">
        <v>44</v>
      </c>
      <c r="B58" t="s">
        <v>82</v>
      </c>
      <c r="C58" t="s">
        <v>184</v>
      </c>
      <c r="D58" t="s">
        <v>185</v>
      </c>
      <c r="E58" t="s">
        <v>85</v>
      </c>
      <c r="F58" t="s">
        <v>4</v>
      </c>
      <c r="G58" s="3">
        <v>46023</v>
      </c>
      <c r="H58" s="2">
        <v>80</v>
      </c>
      <c r="I58" t="s">
        <v>277</v>
      </c>
      <c r="J58" t="s">
        <v>278</v>
      </c>
      <c r="K58" t="s">
        <v>279</v>
      </c>
      <c r="L58" s="3">
        <v>45951</v>
      </c>
      <c r="M58" s="3">
        <v>46023</v>
      </c>
      <c r="N58" t="s">
        <v>0</v>
      </c>
      <c r="O58">
        <v>7</v>
      </c>
      <c r="P58" t="s">
        <v>51</v>
      </c>
      <c r="Q58" t="s">
        <v>52</v>
      </c>
      <c r="R58" t="s">
        <v>51</v>
      </c>
      <c r="S58" t="s">
        <v>0</v>
      </c>
      <c r="T58" s="3">
        <v>46023</v>
      </c>
      <c r="U58" t="s">
        <v>53</v>
      </c>
      <c r="V58" t="s">
        <v>54</v>
      </c>
      <c r="W58" t="s">
        <v>55</v>
      </c>
      <c r="X58" t="s">
        <v>0</v>
      </c>
    </row>
    <row r="59" spans="1:24" x14ac:dyDescent="0.25">
      <c r="A59" t="s">
        <v>44</v>
      </c>
      <c r="B59" t="s">
        <v>45</v>
      </c>
      <c r="C59" t="s">
        <v>125</v>
      </c>
      <c r="D59" t="s">
        <v>126</v>
      </c>
      <c r="E59" t="s">
        <v>125</v>
      </c>
      <c r="F59" t="s">
        <v>126</v>
      </c>
      <c r="G59" s="3">
        <v>46023</v>
      </c>
      <c r="H59" s="2">
        <v>347</v>
      </c>
      <c r="I59" t="s">
        <v>280</v>
      </c>
      <c r="J59" t="s">
        <v>281</v>
      </c>
      <c r="K59" t="s">
        <v>282</v>
      </c>
      <c r="L59" s="3">
        <v>45959</v>
      </c>
      <c r="M59" s="3">
        <v>46023</v>
      </c>
      <c r="N59" t="s">
        <v>0</v>
      </c>
      <c r="O59">
        <v>8</v>
      </c>
      <c r="P59" t="s">
        <v>51</v>
      </c>
      <c r="Q59" t="s">
        <v>52</v>
      </c>
      <c r="R59" t="s">
        <v>51</v>
      </c>
      <c r="S59" t="s">
        <v>0</v>
      </c>
      <c r="T59" s="3">
        <v>46023</v>
      </c>
      <c r="U59" t="s">
        <v>53</v>
      </c>
      <c r="V59" t="s">
        <v>54</v>
      </c>
      <c r="W59" t="s">
        <v>55</v>
      </c>
      <c r="X59" t="s">
        <v>0</v>
      </c>
    </row>
    <row r="60" spans="1:24" x14ac:dyDescent="0.25">
      <c r="A60" t="s">
        <v>44</v>
      </c>
      <c r="B60" t="s">
        <v>45</v>
      </c>
      <c r="C60" t="s">
        <v>92</v>
      </c>
      <c r="D60" t="s">
        <v>93</v>
      </c>
      <c r="E60" t="s">
        <v>92</v>
      </c>
      <c r="F60" t="s">
        <v>93</v>
      </c>
      <c r="G60" s="3">
        <v>46023</v>
      </c>
      <c r="H60" s="2">
        <v>347</v>
      </c>
      <c r="I60" t="s">
        <v>283</v>
      </c>
      <c r="J60" t="s">
        <v>284</v>
      </c>
      <c r="K60" t="s">
        <v>285</v>
      </c>
      <c r="L60" s="3">
        <v>45962</v>
      </c>
      <c r="M60" s="3">
        <v>46023</v>
      </c>
      <c r="N60" t="s">
        <v>0</v>
      </c>
      <c r="O60">
        <v>2</v>
      </c>
      <c r="P60" t="s">
        <v>51</v>
      </c>
      <c r="Q60" t="s">
        <v>52</v>
      </c>
      <c r="R60" t="s">
        <v>51</v>
      </c>
      <c r="S60" t="s">
        <v>0</v>
      </c>
      <c r="T60" s="3">
        <v>46023</v>
      </c>
      <c r="U60" t="s">
        <v>53</v>
      </c>
      <c r="V60" t="s">
        <v>54</v>
      </c>
      <c r="W60" t="s">
        <v>55</v>
      </c>
      <c r="X60" t="s">
        <v>0</v>
      </c>
    </row>
    <row r="61" spans="1:24" x14ac:dyDescent="0.25">
      <c r="A61" t="s">
        <v>44</v>
      </c>
      <c r="B61" t="s">
        <v>82</v>
      </c>
      <c r="C61" t="s">
        <v>70</v>
      </c>
      <c r="D61" t="s">
        <v>71</v>
      </c>
      <c r="E61" t="s">
        <v>85</v>
      </c>
      <c r="F61" t="s">
        <v>4</v>
      </c>
      <c r="G61" s="3">
        <v>46023</v>
      </c>
      <c r="H61" s="2">
        <v>80</v>
      </c>
      <c r="I61" t="s">
        <v>286</v>
      </c>
      <c r="J61" t="s">
        <v>287</v>
      </c>
      <c r="K61" t="s">
        <v>288</v>
      </c>
      <c r="L61" s="3">
        <v>45973</v>
      </c>
      <c r="M61" s="3">
        <v>46023</v>
      </c>
      <c r="N61" t="s">
        <v>0</v>
      </c>
      <c r="O61">
        <v>3</v>
      </c>
      <c r="P61" t="s">
        <v>51</v>
      </c>
      <c r="Q61" t="s">
        <v>75</v>
      </c>
      <c r="R61" t="s">
        <v>51</v>
      </c>
      <c r="S61" t="s">
        <v>0</v>
      </c>
      <c r="T61" s="3">
        <v>46023</v>
      </c>
      <c r="U61" t="s">
        <v>76</v>
      </c>
      <c r="V61" t="s">
        <v>289</v>
      </c>
      <c r="W61" t="s">
        <v>55</v>
      </c>
      <c r="X61" t="s">
        <v>0</v>
      </c>
    </row>
    <row r="62" spans="1:24" x14ac:dyDescent="0.25">
      <c r="A62" t="s">
        <v>44</v>
      </c>
      <c r="B62" t="s">
        <v>45</v>
      </c>
      <c r="C62" t="s">
        <v>125</v>
      </c>
      <c r="D62" t="s">
        <v>126</v>
      </c>
      <c r="E62" t="s">
        <v>125</v>
      </c>
      <c r="F62" t="s">
        <v>126</v>
      </c>
      <c r="G62" s="3">
        <v>46023</v>
      </c>
      <c r="H62" s="2">
        <v>347</v>
      </c>
      <c r="I62" t="s">
        <v>290</v>
      </c>
      <c r="J62" t="s">
        <v>291</v>
      </c>
      <c r="K62" t="s">
        <v>292</v>
      </c>
      <c r="L62" s="3">
        <v>45967</v>
      </c>
      <c r="M62" s="3">
        <v>46023</v>
      </c>
      <c r="N62" t="s">
        <v>0</v>
      </c>
      <c r="O62">
        <v>3</v>
      </c>
      <c r="P62" t="s">
        <v>51</v>
      </c>
      <c r="Q62" t="s">
        <v>52</v>
      </c>
      <c r="R62" t="s">
        <v>51</v>
      </c>
      <c r="S62" t="s">
        <v>0</v>
      </c>
      <c r="T62" s="3">
        <v>46023</v>
      </c>
      <c r="U62" t="s">
        <v>53</v>
      </c>
      <c r="V62" t="s">
        <v>54</v>
      </c>
      <c r="W62" t="s">
        <v>55</v>
      </c>
      <c r="X62" t="s">
        <v>0</v>
      </c>
    </row>
    <row r="63" spans="1:24" x14ac:dyDescent="0.25">
      <c r="A63" t="s">
        <v>44</v>
      </c>
      <c r="B63" t="s">
        <v>45</v>
      </c>
      <c r="C63" t="s">
        <v>174</v>
      </c>
      <c r="D63" t="s">
        <v>175</v>
      </c>
      <c r="E63" t="s">
        <v>174</v>
      </c>
      <c r="F63" t="s">
        <v>175</v>
      </c>
      <c r="G63" s="3">
        <v>46023</v>
      </c>
      <c r="H63" s="2">
        <v>347</v>
      </c>
      <c r="I63" t="s">
        <v>293</v>
      </c>
      <c r="J63" t="s">
        <v>294</v>
      </c>
      <c r="K63" t="s">
        <v>295</v>
      </c>
      <c r="L63" s="3">
        <v>45968</v>
      </c>
      <c r="M63" s="3">
        <v>46023</v>
      </c>
      <c r="N63" t="s">
        <v>0</v>
      </c>
      <c r="O63">
        <v>7</v>
      </c>
      <c r="P63" t="s">
        <v>51</v>
      </c>
      <c r="Q63" t="s">
        <v>148</v>
      </c>
      <c r="R63" t="s">
        <v>51</v>
      </c>
      <c r="S63" t="s">
        <v>0</v>
      </c>
      <c r="T63" s="3">
        <v>46023</v>
      </c>
      <c r="U63" t="s">
        <v>53</v>
      </c>
      <c r="V63" t="s">
        <v>254</v>
      </c>
      <c r="W63" t="s">
        <v>296</v>
      </c>
      <c r="X63" t="s">
        <v>0</v>
      </c>
    </row>
    <row r="64" spans="1:24" x14ac:dyDescent="0.25">
      <c r="A64" t="s">
        <v>44</v>
      </c>
      <c r="B64" t="s">
        <v>82</v>
      </c>
      <c r="C64" t="s">
        <v>112</v>
      </c>
      <c r="D64" t="s">
        <v>113</v>
      </c>
      <c r="E64" t="s">
        <v>85</v>
      </c>
      <c r="F64" t="s">
        <v>4</v>
      </c>
      <c r="G64" s="3">
        <v>46023</v>
      </c>
      <c r="H64" s="2">
        <v>25</v>
      </c>
      <c r="I64" t="s">
        <v>297</v>
      </c>
      <c r="J64" t="s">
        <v>298</v>
      </c>
      <c r="K64" t="s">
        <v>299</v>
      </c>
      <c r="L64" s="3">
        <v>45992</v>
      </c>
      <c r="M64" s="3">
        <v>46023</v>
      </c>
      <c r="N64" t="s">
        <v>0</v>
      </c>
      <c r="O64" t="s">
        <v>111</v>
      </c>
      <c r="P64" t="s">
        <v>0</v>
      </c>
      <c r="Q64" t="s">
        <v>148</v>
      </c>
      <c r="R64" t="s">
        <v>51</v>
      </c>
      <c r="S64" t="s">
        <v>0</v>
      </c>
      <c r="T64" s="3">
        <v>46023</v>
      </c>
      <c r="U64" t="s">
        <v>53</v>
      </c>
      <c r="V64" t="s">
        <v>234</v>
      </c>
      <c r="W64" t="s">
        <v>219</v>
      </c>
      <c r="X64" t="s">
        <v>0</v>
      </c>
    </row>
    <row r="65" spans="1:24" x14ac:dyDescent="0.25">
      <c r="A65" t="s">
        <v>44</v>
      </c>
      <c r="B65" t="s">
        <v>45</v>
      </c>
      <c r="C65" t="s">
        <v>70</v>
      </c>
      <c r="D65" t="s">
        <v>71</v>
      </c>
      <c r="E65" t="s">
        <v>70</v>
      </c>
      <c r="F65" t="s">
        <v>71</v>
      </c>
      <c r="G65" s="3">
        <v>46023</v>
      </c>
      <c r="H65" s="2">
        <v>347</v>
      </c>
      <c r="I65" t="s">
        <v>300</v>
      </c>
      <c r="J65" t="s">
        <v>301</v>
      </c>
      <c r="K65" t="s">
        <v>302</v>
      </c>
      <c r="L65" s="3">
        <v>45994</v>
      </c>
      <c r="M65" s="3">
        <v>46023</v>
      </c>
      <c r="N65" t="s">
        <v>0</v>
      </c>
      <c r="O65" t="s">
        <v>111</v>
      </c>
      <c r="P65" t="s">
        <v>0</v>
      </c>
      <c r="Q65" t="s">
        <v>75</v>
      </c>
      <c r="R65" t="s">
        <v>51</v>
      </c>
      <c r="S65" t="s">
        <v>0</v>
      </c>
      <c r="T65" s="3">
        <v>46023</v>
      </c>
      <c r="U65" t="s">
        <v>76</v>
      </c>
      <c r="V65" t="s">
        <v>77</v>
      </c>
      <c r="W65" t="s">
        <v>55</v>
      </c>
      <c r="X65" t="s">
        <v>0</v>
      </c>
    </row>
    <row r="66" spans="1:24" x14ac:dyDescent="0.25">
      <c r="A66" t="s">
        <v>44</v>
      </c>
      <c r="B66" t="s">
        <v>82</v>
      </c>
      <c r="C66" t="s">
        <v>303</v>
      </c>
      <c r="D66" t="s">
        <v>304</v>
      </c>
      <c r="E66" t="s">
        <v>85</v>
      </c>
      <c r="F66" t="s">
        <v>4</v>
      </c>
      <c r="G66" s="3">
        <v>46023</v>
      </c>
      <c r="H66" s="2">
        <v>80</v>
      </c>
      <c r="I66" t="s">
        <v>305</v>
      </c>
      <c r="J66" t="s">
        <v>306</v>
      </c>
      <c r="K66" t="s">
        <v>307</v>
      </c>
      <c r="L66" s="3">
        <v>45997</v>
      </c>
      <c r="M66" s="3">
        <v>46023</v>
      </c>
      <c r="N66" t="s">
        <v>0</v>
      </c>
      <c r="O66" t="s">
        <v>111</v>
      </c>
      <c r="P66" t="s">
        <v>0</v>
      </c>
      <c r="Q66" t="s">
        <v>182</v>
      </c>
      <c r="R66" t="s">
        <v>51</v>
      </c>
      <c r="S66" t="s">
        <v>0</v>
      </c>
      <c r="T66" s="3">
        <v>46023</v>
      </c>
      <c r="U66" t="s">
        <v>226</v>
      </c>
      <c r="V66" t="s">
        <v>244</v>
      </c>
      <c r="W66" t="s">
        <v>55</v>
      </c>
      <c r="X66" t="s">
        <v>0</v>
      </c>
    </row>
    <row r="67" spans="1:24" x14ac:dyDescent="0.25">
      <c r="A67" t="s">
        <v>44</v>
      </c>
      <c r="B67" t="s">
        <v>82</v>
      </c>
      <c r="C67" t="s">
        <v>135</v>
      </c>
      <c r="D67" t="s">
        <v>136</v>
      </c>
      <c r="E67" t="s">
        <v>85</v>
      </c>
      <c r="F67" t="s">
        <v>4</v>
      </c>
      <c r="G67" s="3">
        <v>46023</v>
      </c>
      <c r="H67" s="2">
        <v>80</v>
      </c>
      <c r="I67" t="s">
        <v>137</v>
      </c>
      <c r="J67" t="s">
        <v>138</v>
      </c>
      <c r="K67" t="s">
        <v>139</v>
      </c>
      <c r="L67" s="3">
        <v>45997</v>
      </c>
      <c r="M67" s="3">
        <v>46023</v>
      </c>
      <c r="N67" t="s">
        <v>0</v>
      </c>
      <c r="O67" t="s">
        <v>111</v>
      </c>
      <c r="P67" t="s">
        <v>0</v>
      </c>
      <c r="Q67" t="s">
        <v>75</v>
      </c>
      <c r="R67" t="s">
        <v>51</v>
      </c>
      <c r="S67" t="s">
        <v>0</v>
      </c>
      <c r="T67" s="3">
        <v>46023</v>
      </c>
      <c r="U67" t="s">
        <v>76</v>
      </c>
      <c r="V67" t="s">
        <v>77</v>
      </c>
      <c r="W67" t="s">
        <v>55</v>
      </c>
      <c r="X67" t="s">
        <v>0</v>
      </c>
    </row>
    <row r="68" spans="1:24" x14ac:dyDescent="0.25">
      <c r="A68" t="s">
        <v>44</v>
      </c>
      <c r="B68" t="s">
        <v>82</v>
      </c>
      <c r="C68" t="s">
        <v>174</v>
      </c>
      <c r="D68" t="s">
        <v>175</v>
      </c>
      <c r="E68" t="s">
        <v>85</v>
      </c>
      <c r="F68" t="s">
        <v>4</v>
      </c>
      <c r="G68" s="3">
        <v>46023</v>
      </c>
      <c r="H68" s="2">
        <v>80</v>
      </c>
      <c r="I68" t="s">
        <v>251</v>
      </c>
      <c r="J68" t="s">
        <v>252</v>
      </c>
      <c r="K68" t="s">
        <v>253</v>
      </c>
      <c r="L68" s="3">
        <v>45996</v>
      </c>
      <c r="M68" s="3">
        <v>46023</v>
      </c>
      <c r="N68" t="s">
        <v>0</v>
      </c>
      <c r="O68" t="s">
        <v>111</v>
      </c>
      <c r="P68" t="s">
        <v>0</v>
      </c>
      <c r="Q68" t="s">
        <v>148</v>
      </c>
      <c r="R68" t="s">
        <v>51</v>
      </c>
      <c r="S68" t="s">
        <v>0</v>
      </c>
      <c r="T68" s="3">
        <v>46023</v>
      </c>
      <c r="U68" t="s">
        <v>53</v>
      </c>
      <c r="V68" t="s">
        <v>254</v>
      </c>
      <c r="W68" t="s">
        <v>235</v>
      </c>
      <c r="X68" t="s">
        <v>0</v>
      </c>
    </row>
    <row r="69" spans="1:24" x14ac:dyDescent="0.25">
      <c r="A69" t="s">
        <v>44</v>
      </c>
      <c r="B69" t="s">
        <v>45</v>
      </c>
      <c r="C69" t="s">
        <v>174</v>
      </c>
      <c r="D69" t="s">
        <v>175</v>
      </c>
      <c r="E69" t="s">
        <v>174</v>
      </c>
      <c r="F69" t="s">
        <v>175</v>
      </c>
      <c r="G69" s="3">
        <v>46023</v>
      </c>
      <c r="H69" s="2">
        <v>347</v>
      </c>
      <c r="I69" t="s">
        <v>308</v>
      </c>
      <c r="J69" t="s">
        <v>309</v>
      </c>
      <c r="K69" t="s">
        <v>310</v>
      </c>
      <c r="L69" s="3">
        <v>45996</v>
      </c>
      <c r="M69" s="3">
        <v>46023</v>
      </c>
      <c r="N69" t="s">
        <v>0</v>
      </c>
      <c r="O69" t="s">
        <v>111</v>
      </c>
      <c r="P69" t="s">
        <v>0</v>
      </c>
      <c r="Q69" t="s">
        <v>148</v>
      </c>
      <c r="R69" t="s">
        <v>51</v>
      </c>
      <c r="S69" t="s">
        <v>0</v>
      </c>
      <c r="T69" s="3">
        <v>46023</v>
      </c>
      <c r="U69" t="s">
        <v>53</v>
      </c>
      <c r="V69" t="s">
        <v>254</v>
      </c>
      <c r="W69" t="s">
        <v>235</v>
      </c>
      <c r="X69" t="s">
        <v>0</v>
      </c>
    </row>
    <row r="70" spans="1:24" x14ac:dyDescent="0.25">
      <c r="A70" t="s">
        <v>44</v>
      </c>
      <c r="B70" t="s">
        <v>45</v>
      </c>
      <c r="C70" t="s">
        <v>135</v>
      </c>
      <c r="D70" t="s">
        <v>136</v>
      </c>
      <c r="E70" t="s">
        <v>135</v>
      </c>
      <c r="F70" t="s">
        <v>136</v>
      </c>
      <c r="G70" s="3">
        <v>46023</v>
      </c>
      <c r="H70" s="2">
        <v>347</v>
      </c>
      <c r="I70" t="s">
        <v>311</v>
      </c>
      <c r="J70" t="s">
        <v>312</v>
      </c>
      <c r="K70" t="s">
        <v>313</v>
      </c>
      <c r="L70" s="3">
        <v>45998</v>
      </c>
      <c r="M70" s="3">
        <v>46023</v>
      </c>
      <c r="N70" t="s">
        <v>0</v>
      </c>
      <c r="O70" t="s">
        <v>111</v>
      </c>
      <c r="P70" t="s">
        <v>0</v>
      </c>
      <c r="Q70" t="s">
        <v>148</v>
      </c>
      <c r="R70" t="s">
        <v>51</v>
      </c>
      <c r="S70" t="s">
        <v>0</v>
      </c>
      <c r="T70" s="3">
        <v>46023</v>
      </c>
      <c r="U70" t="s">
        <v>53</v>
      </c>
      <c r="V70" t="s">
        <v>149</v>
      </c>
      <c r="W70" t="s">
        <v>55</v>
      </c>
      <c r="X70" t="s">
        <v>0</v>
      </c>
    </row>
    <row r="71" spans="1:24" x14ac:dyDescent="0.25">
      <c r="A71" t="s">
        <v>44</v>
      </c>
      <c r="B71" t="s">
        <v>45</v>
      </c>
      <c r="C71" t="s">
        <v>314</v>
      </c>
      <c r="D71" t="s">
        <v>315</v>
      </c>
      <c r="E71" t="s">
        <v>314</v>
      </c>
      <c r="F71" t="s">
        <v>315</v>
      </c>
      <c r="G71" s="3">
        <v>46023</v>
      </c>
      <c r="H71" s="2">
        <v>57</v>
      </c>
      <c r="I71">
        <v>20473608601</v>
      </c>
      <c r="J71" t="s">
        <v>316</v>
      </c>
      <c r="K71" t="s">
        <v>317</v>
      </c>
      <c r="L71" s="3">
        <v>45962</v>
      </c>
      <c r="M71" s="3">
        <v>46023</v>
      </c>
      <c r="N71" t="s">
        <v>0</v>
      </c>
      <c r="O71">
        <v>5</v>
      </c>
      <c r="P71" t="s">
        <v>152</v>
      </c>
      <c r="Q71" t="s">
        <v>52</v>
      </c>
      <c r="R71" t="s">
        <v>152</v>
      </c>
      <c r="S71" t="s">
        <v>0</v>
      </c>
      <c r="T71" s="3">
        <v>46023</v>
      </c>
      <c r="U71" t="s">
        <v>153</v>
      </c>
      <c r="V71" t="s">
        <v>159</v>
      </c>
      <c r="W71" t="s">
        <v>55</v>
      </c>
      <c r="X71" t="s">
        <v>0</v>
      </c>
    </row>
    <row r="72" spans="1:24" x14ac:dyDescent="0.25">
      <c r="A72" t="s">
        <v>44</v>
      </c>
      <c r="B72" t="s">
        <v>45</v>
      </c>
      <c r="C72" t="s">
        <v>318</v>
      </c>
      <c r="D72" t="s">
        <v>319</v>
      </c>
      <c r="E72" t="s">
        <v>318</v>
      </c>
      <c r="F72" t="s">
        <v>319</v>
      </c>
      <c r="G72" s="3">
        <v>46023</v>
      </c>
      <c r="H72" s="2">
        <v>57</v>
      </c>
      <c r="I72">
        <v>20558827001</v>
      </c>
      <c r="J72" t="s">
        <v>320</v>
      </c>
      <c r="K72" t="s">
        <v>321</v>
      </c>
      <c r="L72" s="3">
        <v>45975</v>
      </c>
      <c r="M72" s="3">
        <v>46023</v>
      </c>
      <c r="N72" t="s">
        <v>0</v>
      </c>
      <c r="O72">
        <v>2</v>
      </c>
      <c r="P72" t="s">
        <v>152</v>
      </c>
      <c r="Q72" t="s">
        <v>322</v>
      </c>
      <c r="R72" t="s">
        <v>152</v>
      </c>
      <c r="S72" t="s">
        <v>0</v>
      </c>
      <c r="T72" s="3">
        <v>46023</v>
      </c>
      <c r="U72" t="s">
        <v>153</v>
      </c>
      <c r="V72" t="s">
        <v>323</v>
      </c>
      <c r="W72" t="s">
        <v>55</v>
      </c>
      <c r="X72" t="s">
        <v>0</v>
      </c>
    </row>
    <row r="73" spans="1:24" x14ac:dyDescent="0.25">
      <c r="A73" t="s">
        <v>44</v>
      </c>
      <c r="B73" t="s">
        <v>45</v>
      </c>
      <c r="C73" t="s">
        <v>324</v>
      </c>
      <c r="D73" t="s">
        <v>325</v>
      </c>
      <c r="E73" t="s">
        <v>324</v>
      </c>
      <c r="F73" t="s">
        <v>325</v>
      </c>
      <c r="G73" s="3">
        <v>46023</v>
      </c>
      <c r="H73" s="2">
        <v>57</v>
      </c>
      <c r="I73">
        <v>20571185601</v>
      </c>
      <c r="J73" t="s">
        <v>326</v>
      </c>
      <c r="K73" t="s">
        <v>327</v>
      </c>
      <c r="L73" s="3">
        <v>45980</v>
      </c>
      <c r="M73" s="3">
        <v>46023</v>
      </c>
      <c r="N73" t="s">
        <v>0</v>
      </c>
      <c r="O73">
        <v>5</v>
      </c>
      <c r="P73" t="s">
        <v>152</v>
      </c>
      <c r="Q73" t="s">
        <v>52</v>
      </c>
      <c r="R73" t="s">
        <v>152</v>
      </c>
      <c r="S73" t="s">
        <v>0</v>
      </c>
      <c r="T73" s="3">
        <v>46023</v>
      </c>
      <c r="U73" t="s">
        <v>153</v>
      </c>
      <c r="V73" t="s">
        <v>159</v>
      </c>
      <c r="W73" t="s">
        <v>55</v>
      </c>
      <c r="X73" t="s">
        <v>0</v>
      </c>
    </row>
    <row r="74" spans="1:24" x14ac:dyDescent="0.25">
      <c r="A74" t="s">
        <v>44</v>
      </c>
      <c r="B74" t="s">
        <v>45</v>
      </c>
      <c r="C74" t="s">
        <v>328</v>
      </c>
      <c r="D74" t="s">
        <v>329</v>
      </c>
      <c r="E74" t="s">
        <v>328</v>
      </c>
      <c r="F74" t="s">
        <v>329</v>
      </c>
      <c r="G74" s="3">
        <v>46023</v>
      </c>
      <c r="H74" s="2">
        <v>57</v>
      </c>
      <c r="I74">
        <v>91000742846</v>
      </c>
      <c r="J74" t="s">
        <v>330</v>
      </c>
      <c r="K74" t="s">
        <v>331</v>
      </c>
      <c r="L74" s="3">
        <v>45994</v>
      </c>
      <c r="M74" s="3">
        <v>46023</v>
      </c>
      <c r="N74" t="s">
        <v>0</v>
      </c>
      <c r="O74" t="s">
        <v>111</v>
      </c>
      <c r="P74" t="s">
        <v>0</v>
      </c>
      <c r="Q74" t="s">
        <v>332</v>
      </c>
      <c r="R74" t="s">
        <v>152</v>
      </c>
      <c r="S74" t="s">
        <v>0</v>
      </c>
      <c r="T74" s="3">
        <v>46023</v>
      </c>
      <c r="U74" t="s">
        <v>153</v>
      </c>
      <c r="V74" t="s">
        <v>333</v>
      </c>
      <c r="W74" t="s">
        <v>55</v>
      </c>
      <c r="X74" t="s">
        <v>0</v>
      </c>
    </row>
    <row r="75" spans="1:24" x14ac:dyDescent="0.25">
      <c r="A75" t="s">
        <v>44</v>
      </c>
      <c r="B75" t="s">
        <v>82</v>
      </c>
      <c r="C75" t="s">
        <v>328</v>
      </c>
      <c r="D75" t="s">
        <v>329</v>
      </c>
      <c r="E75" t="s">
        <v>85</v>
      </c>
      <c r="F75" t="s">
        <v>4</v>
      </c>
      <c r="G75" s="3">
        <v>46023</v>
      </c>
      <c r="H75" s="2">
        <v>3</v>
      </c>
      <c r="I75">
        <v>91000742846</v>
      </c>
      <c r="J75" t="s">
        <v>330</v>
      </c>
      <c r="K75" t="s">
        <v>331</v>
      </c>
      <c r="L75" s="3">
        <v>45994</v>
      </c>
      <c r="M75" s="3">
        <v>46023</v>
      </c>
      <c r="N75" t="s">
        <v>0</v>
      </c>
      <c r="O75" t="s">
        <v>111</v>
      </c>
      <c r="P75" t="s">
        <v>0</v>
      </c>
      <c r="Q75" t="s">
        <v>332</v>
      </c>
      <c r="R75" t="s">
        <v>152</v>
      </c>
      <c r="S75" t="s">
        <v>0</v>
      </c>
      <c r="T75" s="3">
        <v>46023</v>
      </c>
      <c r="U75" t="s">
        <v>153</v>
      </c>
      <c r="V75" t="s">
        <v>333</v>
      </c>
      <c r="W75" t="s">
        <v>55</v>
      </c>
      <c r="X75" t="s">
        <v>0</v>
      </c>
    </row>
    <row r="76" spans="1:24" x14ac:dyDescent="0.25">
      <c r="A76" t="s">
        <v>44</v>
      </c>
      <c r="B76" t="s">
        <v>82</v>
      </c>
      <c r="C76" t="s">
        <v>170</v>
      </c>
      <c r="D76" t="s">
        <v>171</v>
      </c>
      <c r="E76" t="s">
        <v>85</v>
      </c>
      <c r="F76" t="s">
        <v>4</v>
      </c>
      <c r="G76" s="3">
        <v>46023</v>
      </c>
      <c r="H76" s="2">
        <v>3</v>
      </c>
      <c r="I76">
        <v>20581996401</v>
      </c>
      <c r="J76" t="s">
        <v>261</v>
      </c>
      <c r="K76" t="s">
        <v>262</v>
      </c>
      <c r="L76" s="3">
        <v>45983</v>
      </c>
      <c r="M76" s="3">
        <v>46023</v>
      </c>
      <c r="N76" t="s">
        <v>0</v>
      </c>
      <c r="O76" t="s">
        <v>111</v>
      </c>
      <c r="P76" t="s">
        <v>0</v>
      </c>
      <c r="Q76" t="s">
        <v>67</v>
      </c>
      <c r="R76" t="s">
        <v>152</v>
      </c>
      <c r="S76" t="s">
        <v>0</v>
      </c>
      <c r="T76" s="3">
        <v>46023</v>
      </c>
      <c r="U76" t="s">
        <v>153</v>
      </c>
      <c r="V76" t="s">
        <v>263</v>
      </c>
      <c r="W76" t="s">
        <v>55</v>
      </c>
      <c r="X76" t="s">
        <v>0</v>
      </c>
    </row>
    <row r="77" spans="1:24" x14ac:dyDescent="0.25">
      <c r="A77" t="s">
        <v>44</v>
      </c>
      <c r="B77" t="s">
        <v>82</v>
      </c>
      <c r="C77" t="s">
        <v>257</v>
      </c>
      <c r="D77" t="s">
        <v>258</v>
      </c>
      <c r="E77" t="s">
        <v>85</v>
      </c>
      <c r="F77" t="s">
        <v>4</v>
      </c>
      <c r="G77" s="3">
        <v>46023</v>
      </c>
      <c r="H77" s="2">
        <v>3</v>
      </c>
      <c r="I77">
        <v>20642432701</v>
      </c>
      <c r="J77" t="s">
        <v>334</v>
      </c>
      <c r="K77" t="s">
        <v>335</v>
      </c>
      <c r="L77" s="3">
        <v>45998</v>
      </c>
      <c r="M77" s="3">
        <v>46023</v>
      </c>
      <c r="N77" t="s">
        <v>0</v>
      </c>
      <c r="O77" t="s">
        <v>111</v>
      </c>
      <c r="P77" t="s">
        <v>0</v>
      </c>
      <c r="Q77" t="s">
        <v>148</v>
      </c>
      <c r="R77" t="s">
        <v>152</v>
      </c>
      <c r="S77" t="s">
        <v>0</v>
      </c>
      <c r="T77" s="3">
        <v>46023</v>
      </c>
      <c r="U77" t="s">
        <v>153</v>
      </c>
      <c r="V77" t="s">
        <v>336</v>
      </c>
      <c r="W77" t="s">
        <v>55</v>
      </c>
      <c r="X77" t="s">
        <v>0</v>
      </c>
    </row>
    <row r="78" spans="1:24" x14ac:dyDescent="0.25">
      <c r="A78" t="s">
        <v>44</v>
      </c>
      <c r="B78" t="s">
        <v>45</v>
      </c>
      <c r="C78" t="s">
        <v>257</v>
      </c>
      <c r="D78" t="s">
        <v>258</v>
      </c>
      <c r="E78" t="s">
        <v>257</v>
      </c>
      <c r="F78" t="s">
        <v>258</v>
      </c>
      <c r="G78" s="3">
        <v>46023</v>
      </c>
      <c r="H78" s="2">
        <v>57</v>
      </c>
      <c r="I78">
        <v>20642432701</v>
      </c>
      <c r="J78" t="s">
        <v>334</v>
      </c>
      <c r="K78" t="s">
        <v>335</v>
      </c>
      <c r="L78" s="3">
        <v>45998</v>
      </c>
      <c r="M78" s="3">
        <v>46023</v>
      </c>
      <c r="N78" t="s">
        <v>0</v>
      </c>
      <c r="O78" t="s">
        <v>111</v>
      </c>
      <c r="P78" t="s">
        <v>0</v>
      </c>
      <c r="Q78" t="s">
        <v>148</v>
      </c>
      <c r="R78" t="s">
        <v>152</v>
      </c>
      <c r="S78" t="s">
        <v>0</v>
      </c>
      <c r="T78" s="3">
        <v>46023</v>
      </c>
      <c r="U78" t="s">
        <v>153</v>
      </c>
      <c r="V78" t="s">
        <v>336</v>
      </c>
      <c r="W78" t="s">
        <v>55</v>
      </c>
      <c r="X78" t="s">
        <v>0</v>
      </c>
    </row>
    <row r="79" spans="1:24" x14ac:dyDescent="0.25">
      <c r="A79" t="s">
        <v>44</v>
      </c>
      <c r="B79" t="s">
        <v>82</v>
      </c>
      <c r="C79" t="s">
        <v>56</v>
      </c>
      <c r="D79" t="s">
        <v>57</v>
      </c>
      <c r="E79" t="s">
        <v>85</v>
      </c>
      <c r="F79" t="s">
        <v>4</v>
      </c>
      <c r="G79" s="3">
        <v>46023</v>
      </c>
      <c r="H79" s="2">
        <v>80</v>
      </c>
      <c r="I79" t="s">
        <v>274</v>
      </c>
      <c r="J79" t="s">
        <v>275</v>
      </c>
      <c r="K79" t="s">
        <v>276</v>
      </c>
      <c r="L79" s="3">
        <v>45947</v>
      </c>
      <c r="M79" s="3">
        <v>46023</v>
      </c>
      <c r="N79" t="s">
        <v>0</v>
      </c>
      <c r="O79">
        <v>8</v>
      </c>
      <c r="P79" t="s">
        <v>51</v>
      </c>
      <c r="Q79" t="s">
        <v>52</v>
      </c>
      <c r="R79" t="s">
        <v>51</v>
      </c>
      <c r="S79" t="s">
        <v>0</v>
      </c>
      <c r="T79" s="3">
        <v>46023</v>
      </c>
      <c r="U79" t="s">
        <v>53</v>
      </c>
      <c r="V79" t="s">
        <v>61</v>
      </c>
      <c r="W79" t="s">
        <v>55</v>
      </c>
      <c r="X79" t="s">
        <v>0</v>
      </c>
    </row>
    <row r="80" spans="1:24" x14ac:dyDescent="0.25">
      <c r="A80" t="s">
        <v>11</v>
      </c>
      <c r="B80" t="s">
        <v>82</v>
      </c>
      <c r="C80" t="s">
        <v>56</v>
      </c>
      <c r="D80" t="s">
        <v>57</v>
      </c>
      <c r="E80" t="s">
        <v>85</v>
      </c>
      <c r="F80" t="s">
        <v>4</v>
      </c>
      <c r="G80" s="3">
        <v>46023</v>
      </c>
      <c r="H80" s="2">
        <v>80</v>
      </c>
      <c r="I80" t="s">
        <v>78</v>
      </c>
      <c r="J80" t="s">
        <v>79</v>
      </c>
      <c r="K80" t="s">
        <v>80</v>
      </c>
      <c r="L80" s="3">
        <v>45970</v>
      </c>
      <c r="M80" s="3">
        <v>46023</v>
      </c>
      <c r="N80" t="s">
        <v>0</v>
      </c>
      <c r="O80">
        <v>1</v>
      </c>
      <c r="P80" t="s">
        <v>81</v>
      </c>
      <c r="Q80" t="s">
        <v>52</v>
      </c>
      <c r="R80" t="s">
        <v>51</v>
      </c>
      <c r="S80" t="s">
        <v>0</v>
      </c>
      <c r="T80" s="3">
        <v>46023</v>
      </c>
      <c r="U80" t="s">
        <v>53</v>
      </c>
      <c r="V80" t="s">
        <v>61</v>
      </c>
      <c r="W80" t="s">
        <v>55</v>
      </c>
      <c r="X80" t="s">
        <v>0</v>
      </c>
    </row>
    <row r="81" spans="1:24" x14ac:dyDescent="0.25">
      <c r="A81" t="s">
        <v>44</v>
      </c>
      <c r="B81" t="s">
        <v>82</v>
      </c>
      <c r="C81" t="s">
        <v>56</v>
      </c>
      <c r="D81" t="s">
        <v>57</v>
      </c>
      <c r="E81" t="s">
        <v>85</v>
      </c>
      <c r="F81" t="s">
        <v>4</v>
      </c>
      <c r="G81" s="3">
        <v>46023</v>
      </c>
      <c r="H81" s="2">
        <v>80</v>
      </c>
      <c r="I81" t="s">
        <v>337</v>
      </c>
      <c r="J81" t="s">
        <v>338</v>
      </c>
      <c r="K81" t="s">
        <v>339</v>
      </c>
      <c r="L81" s="3">
        <v>45965</v>
      </c>
      <c r="M81" s="3">
        <v>46023</v>
      </c>
      <c r="N81" t="s">
        <v>0</v>
      </c>
      <c r="O81">
        <v>6</v>
      </c>
      <c r="P81" t="s">
        <v>51</v>
      </c>
      <c r="Q81" t="s">
        <v>52</v>
      </c>
      <c r="R81" t="s">
        <v>51</v>
      </c>
      <c r="S81" t="s">
        <v>0</v>
      </c>
      <c r="T81" s="3">
        <v>46023</v>
      </c>
      <c r="U81" t="s">
        <v>53</v>
      </c>
      <c r="V81" t="s">
        <v>61</v>
      </c>
      <c r="W81" t="s">
        <v>55</v>
      </c>
      <c r="X81" t="s">
        <v>0</v>
      </c>
    </row>
    <row r="82" spans="1:24" x14ac:dyDescent="0.25">
      <c r="A82" t="s">
        <v>44</v>
      </c>
      <c r="B82" t="s">
        <v>45</v>
      </c>
      <c r="C82" t="s">
        <v>92</v>
      </c>
      <c r="D82" t="s">
        <v>93</v>
      </c>
      <c r="E82" t="s">
        <v>92</v>
      </c>
      <c r="F82" t="s">
        <v>93</v>
      </c>
      <c r="G82" s="3">
        <v>46023</v>
      </c>
      <c r="H82" s="2">
        <v>347</v>
      </c>
      <c r="I82" t="s">
        <v>94</v>
      </c>
      <c r="J82" t="s">
        <v>95</v>
      </c>
      <c r="K82" t="s">
        <v>96</v>
      </c>
      <c r="L82" s="3">
        <v>45975</v>
      </c>
      <c r="M82" s="3">
        <v>46023</v>
      </c>
      <c r="N82" t="s">
        <v>0</v>
      </c>
      <c r="O82">
        <v>4</v>
      </c>
      <c r="P82" t="s">
        <v>51</v>
      </c>
      <c r="Q82" t="s">
        <v>52</v>
      </c>
      <c r="R82" t="s">
        <v>51</v>
      </c>
      <c r="S82" t="s">
        <v>0</v>
      </c>
      <c r="T82" s="3">
        <v>46023</v>
      </c>
      <c r="U82" t="s">
        <v>53</v>
      </c>
      <c r="V82" t="s">
        <v>54</v>
      </c>
      <c r="W82" t="s">
        <v>55</v>
      </c>
      <c r="X82" t="s">
        <v>0</v>
      </c>
    </row>
    <row r="83" spans="1:24" x14ac:dyDescent="0.25">
      <c r="A83" t="s">
        <v>44</v>
      </c>
      <c r="B83" t="s">
        <v>45</v>
      </c>
      <c r="C83" t="s">
        <v>170</v>
      </c>
      <c r="D83" t="s">
        <v>171</v>
      </c>
      <c r="E83" t="s">
        <v>170</v>
      </c>
      <c r="F83" t="s">
        <v>171</v>
      </c>
      <c r="G83" s="3">
        <v>46023</v>
      </c>
      <c r="H83" s="2">
        <v>391</v>
      </c>
      <c r="I83" t="s">
        <v>228</v>
      </c>
      <c r="J83" t="s">
        <v>229</v>
      </c>
      <c r="K83" t="s">
        <v>230</v>
      </c>
      <c r="L83" s="3">
        <v>45968</v>
      </c>
      <c r="M83" s="3">
        <v>46023</v>
      </c>
      <c r="N83" t="s">
        <v>0</v>
      </c>
      <c r="O83">
        <v>4</v>
      </c>
      <c r="P83" t="s">
        <v>51</v>
      </c>
      <c r="Q83" t="s">
        <v>182</v>
      </c>
      <c r="R83" t="s">
        <v>51</v>
      </c>
      <c r="S83" t="s">
        <v>0</v>
      </c>
      <c r="T83" s="3">
        <v>46023</v>
      </c>
      <c r="U83" t="s">
        <v>226</v>
      </c>
      <c r="V83" t="s">
        <v>227</v>
      </c>
      <c r="W83" t="s">
        <v>55</v>
      </c>
      <c r="X83" t="s">
        <v>0</v>
      </c>
    </row>
    <row r="84" spans="1:24" x14ac:dyDescent="0.25">
      <c r="A84" t="s">
        <v>44</v>
      </c>
      <c r="B84" t="s">
        <v>45</v>
      </c>
      <c r="C84" t="s">
        <v>211</v>
      </c>
      <c r="D84" t="s">
        <v>212</v>
      </c>
      <c r="E84" t="s">
        <v>211</v>
      </c>
      <c r="F84" t="s">
        <v>212</v>
      </c>
      <c r="G84" s="3">
        <v>46023</v>
      </c>
      <c r="H84" s="2">
        <v>347</v>
      </c>
      <c r="I84" t="s">
        <v>340</v>
      </c>
      <c r="J84" t="s">
        <v>341</v>
      </c>
      <c r="K84" t="s">
        <v>342</v>
      </c>
      <c r="L84" s="3">
        <v>45978</v>
      </c>
      <c r="M84" s="3">
        <v>46023</v>
      </c>
      <c r="N84" t="s">
        <v>0</v>
      </c>
      <c r="O84">
        <v>7</v>
      </c>
      <c r="P84" t="s">
        <v>51</v>
      </c>
      <c r="Q84" t="s">
        <v>52</v>
      </c>
      <c r="R84" t="s">
        <v>51</v>
      </c>
      <c r="S84" t="s">
        <v>0</v>
      </c>
      <c r="T84" s="3">
        <v>46023</v>
      </c>
      <c r="U84" t="s">
        <v>53</v>
      </c>
      <c r="V84" t="s">
        <v>61</v>
      </c>
      <c r="W84" t="s">
        <v>55</v>
      </c>
      <c r="X84" t="s">
        <v>0</v>
      </c>
    </row>
    <row r="85" spans="1:24" x14ac:dyDescent="0.25">
      <c r="A85" t="s">
        <v>11</v>
      </c>
      <c r="B85" t="s">
        <v>45</v>
      </c>
      <c r="C85" t="s">
        <v>92</v>
      </c>
      <c r="D85" t="s">
        <v>93</v>
      </c>
      <c r="E85" t="s">
        <v>92</v>
      </c>
      <c r="F85" t="s">
        <v>93</v>
      </c>
      <c r="G85" s="3">
        <v>46023</v>
      </c>
      <c r="H85" s="2">
        <v>694</v>
      </c>
      <c r="I85" t="s">
        <v>343</v>
      </c>
      <c r="J85" t="s">
        <v>344</v>
      </c>
      <c r="K85" t="s">
        <v>345</v>
      </c>
      <c r="L85" s="3">
        <v>45978</v>
      </c>
      <c r="M85" s="3">
        <v>46023</v>
      </c>
      <c r="N85" t="s">
        <v>0</v>
      </c>
      <c r="O85">
        <v>1</v>
      </c>
      <c r="P85" t="s">
        <v>81</v>
      </c>
      <c r="Q85" t="s">
        <v>52</v>
      </c>
      <c r="R85" t="s">
        <v>51</v>
      </c>
      <c r="S85" t="s">
        <v>0</v>
      </c>
      <c r="T85" s="3">
        <v>46023</v>
      </c>
      <c r="U85" t="s">
        <v>53</v>
      </c>
      <c r="V85" t="s">
        <v>61</v>
      </c>
      <c r="W85" t="s">
        <v>55</v>
      </c>
      <c r="X85" t="s">
        <v>0</v>
      </c>
    </row>
    <row r="86" spans="1:24" x14ac:dyDescent="0.25">
      <c r="A86" t="s">
        <v>44</v>
      </c>
      <c r="B86" t="s">
        <v>45</v>
      </c>
      <c r="C86" t="s">
        <v>56</v>
      </c>
      <c r="D86" t="s">
        <v>57</v>
      </c>
      <c r="E86" t="s">
        <v>56</v>
      </c>
      <c r="F86" t="s">
        <v>57</v>
      </c>
      <c r="G86" s="3">
        <v>46023</v>
      </c>
      <c r="H86" s="2">
        <v>347</v>
      </c>
      <c r="I86" t="s">
        <v>108</v>
      </c>
      <c r="J86" t="s">
        <v>109</v>
      </c>
      <c r="K86" t="s">
        <v>110</v>
      </c>
      <c r="L86" s="3">
        <v>45989</v>
      </c>
      <c r="M86" s="3">
        <v>46023</v>
      </c>
      <c r="N86" t="s">
        <v>0</v>
      </c>
      <c r="O86" t="s">
        <v>111</v>
      </c>
      <c r="P86" t="s">
        <v>0</v>
      </c>
      <c r="Q86" t="s">
        <v>52</v>
      </c>
      <c r="R86" t="s">
        <v>51</v>
      </c>
      <c r="S86" t="s">
        <v>0</v>
      </c>
      <c r="T86" s="3">
        <v>46023</v>
      </c>
      <c r="U86" t="s">
        <v>53</v>
      </c>
      <c r="V86" t="s">
        <v>61</v>
      </c>
      <c r="W86" t="s">
        <v>55</v>
      </c>
      <c r="X86" t="s">
        <v>0</v>
      </c>
    </row>
    <row r="87" spans="1:24" x14ac:dyDescent="0.25">
      <c r="A87" t="s">
        <v>44</v>
      </c>
      <c r="B87" t="s">
        <v>45</v>
      </c>
      <c r="C87" t="s">
        <v>346</v>
      </c>
      <c r="D87" t="s">
        <v>347</v>
      </c>
      <c r="E87" t="s">
        <v>346</v>
      </c>
      <c r="F87" t="s">
        <v>347</v>
      </c>
      <c r="G87" s="3">
        <v>46023</v>
      </c>
      <c r="H87" s="2">
        <v>391</v>
      </c>
      <c r="I87" t="s">
        <v>348</v>
      </c>
      <c r="J87" t="s">
        <v>349</v>
      </c>
      <c r="K87" t="s">
        <v>350</v>
      </c>
      <c r="L87" s="3">
        <v>45992</v>
      </c>
      <c r="M87" s="3">
        <v>46023</v>
      </c>
      <c r="N87" t="s">
        <v>0</v>
      </c>
      <c r="O87" t="s">
        <v>111</v>
      </c>
      <c r="P87" t="s">
        <v>0</v>
      </c>
      <c r="Q87" t="s">
        <v>351</v>
      </c>
      <c r="R87" t="s">
        <v>51</v>
      </c>
      <c r="S87" t="s">
        <v>352</v>
      </c>
      <c r="T87" s="3">
        <v>46023</v>
      </c>
      <c r="U87" t="s">
        <v>226</v>
      </c>
      <c r="V87" t="s">
        <v>353</v>
      </c>
      <c r="W87" t="s">
        <v>55</v>
      </c>
      <c r="X87" t="s">
        <v>0</v>
      </c>
    </row>
    <row r="88" spans="1:24" x14ac:dyDescent="0.25">
      <c r="A88" t="s">
        <v>44</v>
      </c>
      <c r="B88" t="s">
        <v>45</v>
      </c>
      <c r="C88" t="s">
        <v>112</v>
      </c>
      <c r="D88" t="s">
        <v>113</v>
      </c>
      <c r="E88" t="s">
        <v>112</v>
      </c>
      <c r="F88" t="s">
        <v>113</v>
      </c>
      <c r="G88" s="3">
        <v>46023</v>
      </c>
      <c r="H88" s="2">
        <v>347</v>
      </c>
      <c r="I88" t="s">
        <v>297</v>
      </c>
      <c r="J88" t="s">
        <v>298</v>
      </c>
      <c r="K88" t="s">
        <v>299</v>
      </c>
      <c r="L88" s="3">
        <v>45992</v>
      </c>
      <c r="M88" s="3">
        <v>46023</v>
      </c>
      <c r="N88" t="s">
        <v>0</v>
      </c>
      <c r="O88" t="s">
        <v>111</v>
      </c>
      <c r="P88" t="s">
        <v>0</v>
      </c>
      <c r="Q88" t="s">
        <v>148</v>
      </c>
      <c r="R88" t="s">
        <v>51</v>
      </c>
      <c r="S88" t="s">
        <v>0</v>
      </c>
      <c r="T88" s="3">
        <v>46023</v>
      </c>
      <c r="U88" t="s">
        <v>53</v>
      </c>
      <c r="V88" t="s">
        <v>234</v>
      </c>
      <c r="W88" t="s">
        <v>219</v>
      </c>
      <c r="X88" t="s">
        <v>0</v>
      </c>
    </row>
    <row r="89" spans="1:24" x14ac:dyDescent="0.25">
      <c r="A89" t="s">
        <v>44</v>
      </c>
      <c r="B89" t="s">
        <v>82</v>
      </c>
      <c r="C89" t="s">
        <v>125</v>
      </c>
      <c r="D89" t="s">
        <v>126</v>
      </c>
      <c r="E89" t="s">
        <v>85</v>
      </c>
      <c r="F89" t="s">
        <v>4</v>
      </c>
      <c r="G89" s="3">
        <v>46023</v>
      </c>
      <c r="H89" s="2">
        <v>80</v>
      </c>
      <c r="I89" t="s">
        <v>354</v>
      </c>
      <c r="J89" t="s">
        <v>355</v>
      </c>
      <c r="K89" t="s">
        <v>356</v>
      </c>
      <c r="L89" s="3">
        <v>45993</v>
      </c>
      <c r="M89" s="3">
        <v>46023</v>
      </c>
      <c r="N89" t="s">
        <v>0</v>
      </c>
      <c r="O89" t="s">
        <v>111</v>
      </c>
      <c r="P89" t="s">
        <v>0</v>
      </c>
      <c r="Q89" t="s">
        <v>52</v>
      </c>
      <c r="R89" t="s">
        <v>51</v>
      </c>
      <c r="S89" t="s">
        <v>0</v>
      </c>
      <c r="T89" s="3">
        <v>46023</v>
      </c>
      <c r="U89" t="s">
        <v>53</v>
      </c>
      <c r="V89" t="s">
        <v>54</v>
      </c>
      <c r="W89" t="s">
        <v>55</v>
      </c>
      <c r="X89" t="s">
        <v>0</v>
      </c>
    </row>
    <row r="90" spans="1:24" x14ac:dyDescent="0.25">
      <c r="A90" t="s">
        <v>44</v>
      </c>
      <c r="B90" t="s">
        <v>82</v>
      </c>
      <c r="C90" t="s">
        <v>97</v>
      </c>
      <c r="D90" t="s">
        <v>98</v>
      </c>
      <c r="E90" t="s">
        <v>85</v>
      </c>
      <c r="F90" t="s">
        <v>4</v>
      </c>
      <c r="G90" s="3">
        <v>46023</v>
      </c>
      <c r="H90" s="2">
        <v>80</v>
      </c>
      <c r="I90" t="s">
        <v>357</v>
      </c>
      <c r="J90" t="s">
        <v>358</v>
      </c>
      <c r="K90" t="s">
        <v>359</v>
      </c>
      <c r="L90" s="3">
        <v>45994</v>
      </c>
      <c r="M90" s="3">
        <v>46023</v>
      </c>
      <c r="N90" t="s">
        <v>0</v>
      </c>
      <c r="O90" t="s">
        <v>111</v>
      </c>
      <c r="P90" t="s">
        <v>0</v>
      </c>
      <c r="Q90" t="s">
        <v>52</v>
      </c>
      <c r="R90" t="s">
        <v>51</v>
      </c>
      <c r="S90" t="s">
        <v>0</v>
      </c>
      <c r="T90" s="3">
        <v>46023</v>
      </c>
      <c r="U90" t="s">
        <v>53</v>
      </c>
      <c r="V90" t="s">
        <v>54</v>
      </c>
      <c r="W90" t="s">
        <v>55</v>
      </c>
      <c r="X90" t="s">
        <v>0</v>
      </c>
    </row>
    <row r="91" spans="1:24" x14ac:dyDescent="0.25">
      <c r="A91" t="s">
        <v>44</v>
      </c>
      <c r="B91" t="s">
        <v>82</v>
      </c>
      <c r="C91" t="s">
        <v>130</v>
      </c>
      <c r="D91" t="s">
        <v>131</v>
      </c>
      <c r="E91" t="s">
        <v>85</v>
      </c>
      <c r="F91" t="s">
        <v>4</v>
      </c>
      <c r="G91" s="3">
        <v>46023</v>
      </c>
      <c r="H91" s="2">
        <v>80</v>
      </c>
      <c r="I91" t="s">
        <v>132</v>
      </c>
      <c r="J91" t="s">
        <v>133</v>
      </c>
      <c r="K91" t="s">
        <v>134</v>
      </c>
      <c r="L91" s="3">
        <v>45994</v>
      </c>
      <c r="M91" s="3">
        <v>46023</v>
      </c>
      <c r="N91" t="s">
        <v>0</v>
      </c>
      <c r="O91" t="s">
        <v>111</v>
      </c>
      <c r="P91" t="s">
        <v>0</v>
      </c>
      <c r="Q91" t="s">
        <v>52</v>
      </c>
      <c r="R91" t="s">
        <v>51</v>
      </c>
      <c r="S91" t="s">
        <v>0</v>
      </c>
      <c r="T91" s="3">
        <v>46023</v>
      </c>
      <c r="U91" t="s">
        <v>53</v>
      </c>
      <c r="V91" t="s">
        <v>61</v>
      </c>
      <c r="W91" t="s">
        <v>55</v>
      </c>
      <c r="X91" t="s">
        <v>0</v>
      </c>
    </row>
    <row r="92" spans="1:24" x14ac:dyDescent="0.25">
      <c r="A92" t="s">
        <v>44</v>
      </c>
      <c r="B92" t="s">
        <v>82</v>
      </c>
      <c r="C92" t="s">
        <v>135</v>
      </c>
      <c r="D92" t="s">
        <v>136</v>
      </c>
      <c r="E92" t="s">
        <v>85</v>
      </c>
      <c r="F92" t="s">
        <v>4</v>
      </c>
      <c r="G92" s="3">
        <v>46023</v>
      </c>
      <c r="H92" s="2">
        <v>80</v>
      </c>
      <c r="I92" t="s">
        <v>360</v>
      </c>
      <c r="J92" t="s">
        <v>361</v>
      </c>
      <c r="K92" t="s">
        <v>362</v>
      </c>
      <c r="L92" s="3">
        <v>45995</v>
      </c>
      <c r="M92" s="3">
        <v>46023</v>
      </c>
      <c r="N92" t="s">
        <v>0</v>
      </c>
      <c r="O92" t="s">
        <v>111</v>
      </c>
      <c r="P92" t="s">
        <v>0</v>
      </c>
      <c r="Q92" t="s">
        <v>148</v>
      </c>
      <c r="R92" t="s">
        <v>51</v>
      </c>
      <c r="S92" t="s">
        <v>0</v>
      </c>
      <c r="T92" s="3">
        <v>46023</v>
      </c>
      <c r="U92" t="s">
        <v>53</v>
      </c>
      <c r="V92" t="s">
        <v>234</v>
      </c>
      <c r="W92" t="s">
        <v>296</v>
      </c>
      <c r="X92" t="s">
        <v>0</v>
      </c>
    </row>
    <row r="93" spans="1:24" x14ac:dyDescent="0.25">
      <c r="A93" t="s">
        <v>44</v>
      </c>
      <c r="B93" t="s">
        <v>45</v>
      </c>
      <c r="C93" t="s">
        <v>303</v>
      </c>
      <c r="D93" t="s">
        <v>304</v>
      </c>
      <c r="E93" t="s">
        <v>303</v>
      </c>
      <c r="F93" t="s">
        <v>304</v>
      </c>
      <c r="G93" s="3">
        <v>46023</v>
      </c>
      <c r="H93" s="2">
        <v>391</v>
      </c>
      <c r="I93" t="s">
        <v>363</v>
      </c>
      <c r="J93" t="s">
        <v>364</v>
      </c>
      <c r="K93" t="s">
        <v>365</v>
      </c>
      <c r="L93" s="3">
        <v>45998</v>
      </c>
      <c r="M93" s="3">
        <v>46023</v>
      </c>
      <c r="N93" t="s">
        <v>0</v>
      </c>
      <c r="O93" t="s">
        <v>111</v>
      </c>
      <c r="P93" t="s">
        <v>0</v>
      </c>
      <c r="Q93" t="s">
        <v>182</v>
      </c>
      <c r="R93" t="s">
        <v>51</v>
      </c>
      <c r="S93" t="s">
        <v>0</v>
      </c>
      <c r="T93" s="3">
        <v>46023</v>
      </c>
      <c r="U93" t="s">
        <v>226</v>
      </c>
      <c r="V93" t="s">
        <v>244</v>
      </c>
      <c r="W93" t="s">
        <v>55</v>
      </c>
      <c r="X93" t="s">
        <v>0</v>
      </c>
    </row>
    <row r="94" spans="1:24" x14ac:dyDescent="0.25">
      <c r="A94" t="s">
        <v>44</v>
      </c>
      <c r="B94" t="s">
        <v>82</v>
      </c>
      <c r="C94" t="s">
        <v>174</v>
      </c>
      <c r="D94" t="s">
        <v>175</v>
      </c>
      <c r="E94" t="s">
        <v>85</v>
      </c>
      <c r="F94" t="s">
        <v>4</v>
      </c>
      <c r="G94" s="3">
        <v>46023</v>
      </c>
      <c r="H94" s="2">
        <v>80</v>
      </c>
      <c r="I94" t="s">
        <v>366</v>
      </c>
      <c r="J94" t="s">
        <v>367</v>
      </c>
      <c r="K94" t="s">
        <v>368</v>
      </c>
      <c r="L94" s="3">
        <v>46006</v>
      </c>
      <c r="M94" s="3">
        <v>46023</v>
      </c>
      <c r="N94" t="s">
        <v>0</v>
      </c>
      <c r="O94" t="s">
        <v>111</v>
      </c>
      <c r="P94" t="s">
        <v>0</v>
      </c>
      <c r="Q94" t="s">
        <v>148</v>
      </c>
      <c r="R94" t="s">
        <v>51</v>
      </c>
      <c r="S94" t="s">
        <v>0</v>
      </c>
      <c r="T94" s="3">
        <v>46023</v>
      </c>
      <c r="U94" t="s">
        <v>53</v>
      </c>
      <c r="V94" t="s">
        <v>149</v>
      </c>
      <c r="W94" t="s">
        <v>55</v>
      </c>
      <c r="X94" t="s">
        <v>0</v>
      </c>
    </row>
    <row r="95" spans="1:24" x14ac:dyDescent="0.25">
      <c r="A95" t="s">
        <v>11</v>
      </c>
      <c r="B95" t="s">
        <v>82</v>
      </c>
      <c r="C95" t="s">
        <v>369</v>
      </c>
      <c r="D95" t="s">
        <v>370</v>
      </c>
      <c r="E95" t="s">
        <v>85</v>
      </c>
      <c r="F95" t="s">
        <v>4</v>
      </c>
      <c r="G95" s="3">
        <v>46023</v>
      </c>
      <c r="H95" s="2">
        <v>5.5</v>
      </c>
      <c r="I95">
        <v>20470899401</v>
      </c>
      <c r="J95" t="s">
        <v>371</v>
      </c>
      <c r="K95" t="s">
        <v>372</v>
      </c>
      <c r="L95" s="3">
        <v>45961</v>
      </c>
      <c r="M95" s="3">
        <v>46023</v>
      </c>
      <c r="N95" t="s">
        <v>0</v>
      </c>
      <c r="O95">
        <v>1</v>
      </c>
      <c r="P95" t="s">
        <v>51</v>
      </c>
      <c r="Q95" t="s">
        <v>52</v>
      </c>
      <c r="R95" t="s">
        <v>152</v>
      </c>
      <c r="S95" t="s">
        <v>0</v>
      </c>
      <c r="T95" s="3">
        <v>46023</v>
      </c>
      <c r="U95" t="s">
        <v>153</v>
      </c>
      <c r="V95" t="s">
        <v>159</v>
      </c>
      <c r="W95" t="s">
        <v>55</v>
      </c>
      <c r="X95" t="s">
        <v>0</v>
      </c>
    </row>
    <row r="96" spans="1:24" x14ac:dyDescent="0.25">
      <c r="A96" t="s">
        <v>11</v>
      </c>
      <c r="B96" t="s">
        <v>45</v>
      </c>
      <c r="C96" t="s">
        <v>373</v>
      </c>
      <c r="D96" t="s">
        <v>374</v>
      </c>
      <c r="E96" t="s">
        <v>373</v>
      </c>
      <c r="F96" t="s">
        <v>374</v>
      </c>
      <c r="G96" s="3">
        <v>46023</v>
      </c>
      <c r="H96" s="2">
        <v>114</v>
      </c>
      <c r="I96">
        <v>20571013001</v>
      </c>
      <c r="J96" t="s">
        <v>375</v>
      </c>
      <c r="K96" t="s">
        <v>376</v>
      </c>
      <c r="L96" s="3">
        <v>45980</v>
      </c>
      <c r="M96" s="3">
        <v>46023</v>
      </c>
      <c r="N96" t="s">
        <v>0</v>
      </c>
      <c r="O96">
        <v>1</v>
      </c>
      <c r="P96" t="s">
        <v>51</v>
      </c>
      <c r="Q96" t="s">
        <v>67</v>
      </c>
      <c r="R96" t="s">
        <v>152</v>
      </c>
      <c r="S96" t="s">
        <v>0</v>
      </c>
      <c r="T96" s="3">
        <v>46023</v>
      </c>
      <c r="U96" t="s">
        <v>153</v>
      </c>
      <c r="V96" t="s">
        <v>154</v>
      </c>
      <c r="W96" t="s">
        <v>55</v>
      </c>
      <c r="X96" t="s">
        <v>0</v>
      </c>
    </row>
    <row r="97" spans="1:24" x14ac:dyDescent="0.25">
      <c r="A97" t="s">
        <v>44</v>
      </c>
      <c r="B97" t="s">
        <v>45</v>
      </c>
      <c r="C97" t="s">
        <v>174</v>
      </c>
      <c r="D97" t="s">
        <v>175</v>
      </c>
      <c r="E97" t="s">
        <v>174</v>
      </c>
      <c r="F97" t="s">
        <v>175</v>
      </c>
      <c r="G97" s="3">
        <v>46023</v>
      </c>
      <c r="H97" s="2">
        <v>57</v>
      </c>
      <c r="I97">
        <v>20623263901</v>
      </c>
      <c r="J97" t="s">
        <v>176</v>
      </c>
      <c r="K97" t="s">
        <v>177</v>
      </c>
      <c r="L97" s="3">
        <v>45995</v>
      </c>
      <c r="M97" s="3">
        <v>46023</v>
      </c>
      <c r="N97" t="s">
        <v>0</v>
      </c>
      <c r="O97" t="s">
        <v>111</v>
      </c>
      <c r="P97" t="s">
        <v>0</v>
      </c>
      <c r="Q97" t="s">
        <v>52</v>
      </c>
      <c r="R97" t="s">
        <v>152</v>
      </c>
      <c r="S97" t="s">
        <v>0</v>
      </c>
      <c r="T97" s="3">
        <v>46023</v>
      </c>
      <c r="U97" t="s">
        <v>153</v>
      </c>
      <c r="V97" t="s">
        <v>159</v>
      </c>
      <c r="W97" t="s">
        <v>55</v>
      </c>
      <c r="X97" t="s">
        <v>0</v>
      </c>
    </row>
    <row r="98" spans="1:24" x14ac:dyDescent="0.25">
      <c r="A98" t="s">
        <v>44</v>
      </c>
      <c r="B98" t="s">
        <v>82</v>
      </c>
      <c r="C98" t="s">
        <v>184</v>
      </c>
      <c r="D98" t="s">
        <v>185</v>
      </c>
      <c r="E98" t="s">
        <v>85</v>
      </c>
      <c r="F98" t="s">
        <v>4</v>
      </c>
      <c r="G98" s="3">
        <v>46023</v>
      </c>
      <c r="H98" s="2">
        <v>80</v>
      </c>
      <c r="I98" t="s">
        <v>186</v>
      </c>
      <c r="J98" t="s">
        <v>187</v>
      </c>
      <c r="K98" t="s">
        <v>188</v>
      </c>
      <c r="L98" s="3">
        <v>45948</v>
      </c>
      <c r="M98" s="3">
        <v>46023</v>
      </c>
      <c r="N98" t="s">
        <v>0</v>
      </c>
      <c r="O98">
        <v>3</v>
      </c>
      <c r="P98" t="s">
        <v>51</v>
      </c>
      <c r="Q98" t="s">
        <v>52</v>
      </c>
      <c r="R98" t="s">
        <v>51</v>
      </c>
      <c r="S98" t="s">
        <v>0</v>
      </c>
      <c r="T98" s="3">
        <v>46023</v>
      </c>
      <c r="U98" t="s">
        <v>53</v>
      </c>
      <c r="V98" t="s">
        <v>54</v>
      </c>
      <c r="W98" t="s">
        <v>55</v>
      </c>
      <c r="X98" t="s">
        <v>0</v>
      </c>
    </row>
    <row r="99" spans="1:24" x14ac:dyDescent="0.25">
      <c r="A99" t="s">
        <v>44</v>
      </c>
      <c r="B99" t="s">
        <v>82</v>
      </c>
      <c r="C99" t="s">
        <v>184</v>
      </c>
      <c r="D99" t="s">
        <v>185</v>
      </c>
      <c r="E99" t="s">
        <v>85</v>
      </c>
      <c r="F99" t="s">
        <v>4</v>
      </c>
      <c r="G99" s="3">
        <v>46023</v>
      </c>
      <c r="H99" s="2">
        <v>80</v>
      </c>
      <c r="I99" t="s">
        <v>189</v>
      </c>
      <c r="J99" t="s">
        <v>190</v>
      </c>
      <c r="K99" t="s">
        <v>191</v>
      </c>
      <c r="L99" s="3">
        <v>45950</v>
      </c>
      <c r="M99" s="3">
        <v>46023</v>
      </c>
      <c r="N99" t="s">
        <v>0</v>
      </c>
      <c r="O99">
        <v>7</v>
      </c>
      <c r="P99" t="s">
        <v>51</v>
      </c>
      <c r="Q99" t="s">
        <v>52</v>
      </c>
      <c r="R99" t="s">
        <v>51</v>
      </c>
      <c r="S99" t="s">
        <v>0</v>
      </c>
      <c r="T99" s="3">
        <v>46023</v>
      </c>
      <c r="U99" t="s">
        <v>53</v>
      </c>
      <c r="V99" t="s">
        <v>192</v>
      </c>
      <c r="W99" t="s">
        <v>55</v>
      </c>
      <c r="X99" t="s">
        <v>0</v>
      </c>
    </row>
    <row r="100" spans="1:24" x14ac:dyDescent="0.25">
      <c r="A100" t="s">
        <v>44</v>
      </c>
      <c r="B100" t="s">
        <v>45</v>
      </c>
      <c r="C100" t="s">
        <v>46</v>
      </c>
      <c r="D100" t="s">
        <v>47</v>
      </c>
      <c r="E100" t="s">
        <v>46</v>
      </c>
      <c r="F100" t="s">
        <v>47</v>
      </c>
      <c r="G100" s="3">
        <v>46023</v>
      </c>
      <c r="H100" s="2">
        <v>347</v>
      </c>
      <c r="I100" t="s">
        <v>196</v>
      </c>
      <c r="J100" t="s">
        <v>197</v>
      </c>
      <c r="K100" t="s">
        <v>198</v>
      </c>
      <c r="L100" s="3">
        <v>45952</v>
      </c>
      <c r="M100" s="3">
        <v>46023</v>
      </c>
      <c r="N100" t="s">
        <v>0</v>
      </c>
      <c r="O100">
        <v>18</v>
      </c>
      <c r="P100" t="s">
        <v>51</v>
      </c>
      <c r="Q100" t="s">
        <v>52</v>
      </c>
      <c r="R100" t="s">
        <v>51</v>
      </c>
      <c r="S100" t="s">
        <v>0</v>
      </c>
      <c r="T100" s="3">
        <v>46023</v>
      </c>
      <c r="U100" t="s">
        <v>53</v>
      </c>
      <c r="V100" t="s">
        <v>61</v>
      </c>
      <c r="W100" t="s">
        <v>55</v>
      </c>
      <c r="X100" t="s">
        <v>0</v>
      </c>
    </row>
    <row r="101" spans="1:24" x14ac:dyDescent="0.25">
      <c r="A101" t="s">
        <v>44</v>
      </c>
      <c r="B101" t="s">
        <v>45</v>
      </c>
      <c r="C101" t="s">
        <v>46</v>
      </c>
      <c r="D101" t="s">
        <v>47</v>
      </c>
      <c r="E101" t="s">
        <v>46</v>
      </c>
      <c r="F101" t="s">
        <v>47</v>
      </c>
      <c r="G101" s="3">
        <v>46023</v>
      </c>
      <c r="H101" s="2">
        <v>347</v>
      </c>
      <c r="I101" t="s">
        <v>199</v>
      </c>
      <c r="J101" t="s">
        <v>200</v>
      </c>
      <c r="K101" t="s">
        <v>201</v>
      </c>
      <c r="L101" s="3">
        <v>45954</v>
      </c>
      <c r="M101" s="3">
        <v>46023</v>
      </c>
      <c r="N101" t="s">
        <v>0</v>
      </c>
      <c r="O101">
        <v>2</v>
      </c>
      <c r="P101" t="s">
        <v>51</v>
      </c>
      <c r="Q101" t="s">
        <v>52</v>
      </c>
      <c r="R101" t="s">
        <v>51</v>
      </c>
      <c r="S101" t="s">
        <v>0</v>
      </c>
      <c r="T101" s="3">
        <v>46023</v>
      </c>
      <c r="U101" t="s">
        <v>102</v>
      </c>
      <c r="V101" t="s">
        <v>103</v>
      </c>
      <c r="W101" t="s">
        <v>55</v>
      </c>
      <c r="X101" t="s">
        <v>0</v>
      </c>
    </row>
    <row r="102" spans="1:24" x14ac:dyDescent="0.25">
      <c r="A102" t="s">
        <v>44</v>
      </c>
      <c r="B102" t="s">
        <v>82</v>
      </c>
      <c r="C102" t="s">
        <v>92</v>
      </c>
      <c r="D102" t="s">
        <v>93</v>
      </c>
      <c r="E102" t="s">
        <v>85</v>
      </c>
      <c r="F102" t="s">
        <v>4</v>
      </c>
      <c r="G102" s="3">
        <v>46023</v>
      </c>
      <c r="H102" s="2">
        <v>80</v>
      </c>
      <c r="I102" t="s">
        <v>283</v>
      </c>
      <c r="J102" t="s">
        <v>284</v>
      </c>
      <c r="K102" t="s">
        <v>285</v>
      </c>
      <c r="L102" s="3">
        <v>45962</v>
      </c>
      <c r="M102" s="3">
        <v>46023</v>
      </c>
      <c r="N102" t="s">
        <v>0</v>
      </c>
      <c r="O102">
        <v>2</v>
      </c>
      <c r="P102" t="s">
        <v>51</v>
      </c>
      <c r="Q102" t="s">
        <v>52</v>
      </c>
      <c r="R102" t="s">
        <v>51</v>
      </c>
      <c r="S102" t="s">
        <v>0</v>
      </c>
      <c r="T102" s="3">
        <v>46023</v>
      </c>
      <c r="U102" t="s">
        <v>53</v>
      </c>
      <c r="V102" t="s">
        <v>54</v>
      </c>
      <c r="W102" t="s">
        <v>55</v>
      </c>
      <c r="X102" t="s">
        <v>0</v>
      </c>
    </row>
    <row r="103" spans="1:24" x14ac:dyDescent="0.25">
      <c r="A103" t="s">
        <v>44</v>
      </c>
      <c r="B103" t="s">
        <v>45</v>
      </c>
      <c r="C103" t="s">
        <v>377</v>
      </c>
      <c r="D103" t="s">
        <v>378</v>
      </c>
      <c r="E103" t="s">
        <v>377</v>
      </c>
      <c r="F103" t="s">
        <v>378</v>
      </c>
      <c r="G103" s="3">
        <v>46023</v>
      </c>
      <c r="H103" s="2">
        <v>347</v>
      </c>
      <c r="I103" t="s">
        <v>379</v>
      </c>
      <c r="J103" t="s">
        <v>380</v>
      </c>
      <c r="K103" t="s">
        <v>381</v>
      </c>
      <c r="L103" s="3">
        <v>45973</v>
      </c>
      <c r="M103" s="3">
        <v>46023</v>
      </c>
      <c r="N103" t="s">
        <v>0</v>
      </c>
      <c r="O103">
        <v>2</v>
      </c>
      <c r="P103" t="s">
        <v>51</v>
      </c>
      <c r="Q103" t="s">
        <v>75</v>
      </c>
      <c r="R103" t="s">
        <v>51</v>
      </c>
      <c r="S103" t="s">
        <v>0</v>
      </c>
      <c r="T103" s="3">
        <v>46023</v>
      </c>
      <c r="U103" t="s">
        <v>76</v>
      </c>
      <c r="V103" t="s">
        <v>382</v>
      </c>
      <c r="W103" t="s">
        <v>55</v>
      </c>
      <c r="X103" t="s">
        <v>0</v>
      </c>
    </row>
    <row r="104" spans="1:24" x14ac:dyDescent="0.25">
      <c r="A104" t="s">
        <v>44</v>
      </c>
      <c r="B104" t="s">
        <v>45</v>
      </c>
      <c r="C104" t="s">
        <v>120</v>
      </c>
      <c r="D104" t="s">
        <v>121</v>
      </c>
      <c r="E104" t="s">
        <v>120</v>
      </c>
      <c r="F104" t="s">
        <v>121</v>
      </c>
      <c r="G104" s="3">
        <v>46023</v>
      </c>
      <c r="H104" s="2">
        <v>347</v>
      </c>
      <c r="I104" t="s">
        <v>383</v>
      </c>
      <c r="J104" t="s">
        <v>384</v>
      </c>
      <c r="K104" t="s">
        <v>385</v>
      </c>
      <c r="L104" s="3">
        <v>45986</v>
      </c>
      <c r="M104" s="3">
        <v>46023</v>
      </c>
      <c r="N104" t="s">
        <v>0</v>
      </c>
      <c r="O104">
        <v>6</v>
      </c>
      <c r="P104" t="s">
        <v>51</v>
      </c>
      <c r="Q104" t="s">
        <v>52</v>
      </c>
      <c r="R104" t="s">
        <v>51</v>
      </c>
      <c r="S104" t="s">
        <v>0</v>
      </c>
      <c r="T104" s="3">
        <v>46023</v>
      </c>
      <c r="U104" t="s">
        <v>102</v>
      </c>
      <c r="V104" t="s">
        <v>103</v>
      </c>
      <c r="W104" t="s">
        <v>55</v>
      </c>
      <c r="X104" t="s">
        <v>0</v>
      </c>
    </row>
    <row r="105" spans="1:24" x14ac:dyDescent="0.25">
      <c r="A105" t="s">
        <v>44</v>
      </c>
      <c r="B105" t="s">
        <v>82</v>
      </c>
      <c r="C105" t="s">
        <v>346</v>
      </c>
      <c r="D105" t="s">
        <v>347</v>
      </c>
      <c r="E105" t="s">
        <v>85</v>
      </c>
      <c r="F105" t="s">
        <v>4</v>
      </c>
      <c r="G105" s="3">
        <v>46023</v>
      </c>
      <c r="H105" s="2">
        <v>80</v>
      </c>
      <c r="I105" t="s">
        <v>348</v>
      </c>
      <c r="J105" t="s">
        <v>349</v>
      </c>
      <c r="K105" t="s">
        <v>350</v>
      </c>
      <c r="L105" s="3">
        <v>45992</v>
      </c>
      <c r="M105" s="3">
        <v>46023</v>
      </c>
      <c r="N105" t="s">
        <v>0</v>
      </c>
      <c r="O105" t="s">
        <v>111</v>
      </c>
      <c r="P105" t="s">
        <v>0</v>
      </c>
      <c r="Q105" t="s">
        <v>351</v>
      </c>
      <c r="R105" t="s">
        <v>51</v>
      </c>
      <c r="S105" t="s">
        <v>352</v>
      </c>
      <c r="T105" s="3">
        <v>46023</v>
      </c>
      <c r="U105" t="s">
        <v>226</v>
      </c>
      <c r="V105" t="s">
        <v>353</v>
      </c>
      <c r="W105" t="s">
        <v>55</v>
      </c>
      <c r="X105" t="s">
        <v>0</v>
      </c>
    </row>
    <row r="106" spans="1:24" x14ac:dyDescent="0.25">
      <c r="A106" t="s">
        <v>44</v>
      </c>
      <c r="B106" t="s">
        <v>45</v>
      </c>
      <c r="C106" t="s">
        <v>62</v>
      </c>
      <c r="D106" t="s">
        <v>63</v>
      </c>
      <c r="E106" t="s">
        <v>62</v>
      </c>
      <c r="F106" t="s">
        <v>63</v>
      </c>
      <c r="G106" s="3">
        <v>46023</v>
      </c>
      <c r="H106" s="2">
        <v>347</v>
      </c>
      <c r="I106" t="s">
        <v>386</v>
      </c>
      <c r="J106" t="s">
        <v>387</v>
      </c>
      <c r="K106" t="s">
        <v>388</v>
      </c>
      <c r="L106" s="3">
        <v>45993</v>
      </c>
      <c r="M106" s="3">
        <v>46023</v>
      </c>
      <c r="N106" t="s">
        <v>0</v>
      </c>
      <c r="O106" t="s">
        <v>111</v>
      </c>
      <c r="P106" t="s">
        <v>0</v>
      </c>
      <c r="Q106" t="s">
        <v>67</v>
      </c>
      <c r="R106" t="s">
        <v>51</v>
      </c>
      <c r="S106" t="s">
        <v>0</v>
      </c>
      <c r="T106" s="3">
        <v>46023</v>
      </c>
      <c r="U106" t="s">
        <v>68</v>
      </c>
      <c r="V106" t="s">
        <v>107</v>
      </c>
      <c r="W106" t="s">
        <v>55</v>
      </c>
      <c r="X106" t="s">
        <v>0</v>
      </c>
    </row>
    <row r="107" spans="1:24" x14ac:dyDescent="0.25">
      <c r="A107" t="s">
        <v>44</v>
      </c>
      <c r="B107" t="s">
        <v>82</v>
      </c>
      <c r="C107" t="s">
        <v>125</v>
      </c>
      <c r="D107" t="s">
        <v>126</v>
      </c>
      <c r="E107" t="s">
        <v>85</v>
      </c>
      <c r="F107" t="s">
        <v>4</v>
      </c>
      <c r="G107" s="3">
        <v>46023</v>
      </c>
      <c r="H107" s="2">
        <v>80</v>
      </c>
      <c r="I107" t="s">
        <v>248</v>
      </c>
      <c r="J107" t="s">
        <v>249</v>
      </c>
      <c r="K107" t="s">
        <v>250</v>
      </c>
      <c r="L107" s="3">
        <v>45994</v>
      </c>
      <c r="M107" s="3">
        <v>46023</v>
      </c>
      <c r="N107" t="s">
        <v>0</v>
      </c>
      <c r="O107" t="s">
        <v>111</v>
      </c>
      <c r="P107" t="s">
        <v>0</v>
      </c>
      <c r="Q107" t="s">
        <v>52</v>
      </c>
      <c r="R107" t="s">
        <v>51</v>
      </c>
      <c r="S107" t="s">
        <v>0</v>
      </c>
      <c r="T107" s="3">
        <v>46023</v>
      </c>
      <c r="U107" t="s">
        <v>102</v>
      </c>
      <c r="V107" t="s">
        <v>103</v>
      </c>
      <c r="W107" t="s">
        <v>55</v>
      </c>
      <c r="X107" t="s">
        <v>0</v>
      </c>
    </row>
    <row r="108" spans="1:24" x14ac:dyDescent="0.25">
      <c r="A108" t="s">
        <v>44</v>
      </c>
      <c r="B108" t="s">
        <v>82</v>
      </c>
      <c r="C108" t="s">
        <v>70</v>
      </c>
      <c r="D108" t="s">
        <v>71</v>
      </c>
      <c r="E108" t="s">
        <v>85</v>
      </c>
      <c r="F108" t="s">
        <v>4</v>
      </c>
      <c r="G108" s="3">
        <v>46023</v>
      </c>
      <c r="H108" s="2">
        <v>80</v>
      </c>
      <c r="I108" t="s">
        <v>300</v>
      </c>
      <c r="J108" t="s">
        <v>301</v>
      </c>
      <c r="K108" t="s">
        <v>302</v>
      </c>
      <c r="L108" s="3">
        <v>45994</v>
      </c>
      <c r="M108" s="3">
        <v>46023</v>
      </c>
      <c r="N108" t="s">
        <v>0</v>
      </c>
      <c r="O108" t="s">
        <v>111</v>
      </c>
      <c r="P108" t="s">
        <v>0</v>
      </c>
      <c r="Q108" t="s">
        <v>75</v>
      </c>
      <c r="R108" t="s">
        <v>51</v>
      </c>
      <c r="S108" t="s">
        <v>0</v>
      </c>
      <c r="T108" s="3">
        <v>46023</v>
      </c>
      <c r="U108" t="s">
        <v>76</v>
      </c>
      <c r="V108" t="s">
        <v>77</v>
      </c>
      <c r="W108" t="s">
        <v>55</v>
      </c>
      <c r="X108" t="s">
        <v>0</v>
      </c>
    </row>
    <row r="109" spans="1:24" x14ac:dyDescent="0.25">
      <c r="A109" t="s">
        <v>44</v>
      </c>
      <c r="B109" t="s">
        <v>45</v>
      </c>
      <c r="C109" t="s">
        <v>164</v>
      </c>
      <c r="D109" t="s">
        <v>165</v>
      </c>
      <c r="E109" t="s">
        <v>164</v>
      </c>
      <c r="F109" t="s">
        <v>165</v>
      </c>
      <c r="G109" s="3">
        <v>46023</v>
      </c>
      <c r="H109" s="2">
        <v>347</v>
      </c>
      <c r="I109">
        <v>36864714</v>
      </c>
      <c r="J109" t="s">
        <v>389</v>
      </c>
      <c r="K109" t="s">
        <v>390</v>
      </c>
      <c r="L109" s="3">
        <v>45994</v>
      </c>
      <c r="M109" s="3">
        <v>46023</v>
      </c>
      <c r="N109" t="s">
        <v>0</v>
      </c>
      <c r="O109">
        <v>5</v>
      </c>
      <c r="P109" t="s">
        <v>51</v>
      </c>
      <c r="Q109" t="s">
        <v>148</v>
      </c>
      <c r="R109" t="s">
        <v>51</v>
      </c>
      <c r="S109" t="s">
        <v>0</v>
      </c>
      <c r="T109" s="3">
        <v>46023</v>
      </c>
      <c r="U109" t="s">
        <v>53</v>
      </c>
      <c r="V109" t="s">
        <v>254</v>
      </c>
      <c r="W109" t="s">
        <v>296</v>
      </c>
      <c r="X109" t="s">
        <v>0</v>
      </c>
    </row>
    <row r="110" spans="1:24" x14ac:dyDescent="0.25">
      <c r="A110" t="s">
        <v>44</v>
      </c>
      <c r="B110" t="s">
        <v>82</v>
      </c>
      <c r="C110" t="s">
        <v>164</v>
      </c>
      <c r="D110" t="s">
        <v>165</v>
      </c>
      <c r="E110" t="s">
        <v>85</v>
      </c>
      <c r="F110" t="s">
        <v>4</v>
      </c>
      <c r="G110" s="3">
        <v>46023</v>
      </c>
      <c r="H110" s="2">
        <v>25</v>
      </c>
      <c r="I110">
        <v>36864714</v>
      </c>
      <c r="J110" t="s">
        <v>389</v>
      </c>
      <c r="K110" t="s">
        <v>390</v>
      </c>
      <c r="L110" s="3">
        <v>45994</v>
      </c>
      <c r="M110" s="3">
        <v>46023</v>
      </c>
      <c r="N110" t="s">
        <v>0</v>
      </c>
      <c r="O110">
        <v>5</v>
      </c>
      <c r="P110" t="s">
        <v>51</v>
      </c>
      <c r="Q110" t="s">
        <v>148</v>
      </c>
      <c r="R110" t="s">
        <v>51</v>
      </c>
      <c r="S110" t="s">
        <v>0</v>
      </c>
      <c r="T110" s="3">
        <v>46023</v>
      </c>
      <c r="U110" t="s">
        <v>53</v>
      </c>
      <c r="V110" t="s">
        <v>254</v>
      </c>
      <c r="W110" t="s">
        <v>296</v>
      </c>
      <c r="X110" t="s">
        <v>0</v>
      </c>
    </row>
    <row r="111" spans="1:24" x14ac:dyDescent="0.25">
      <c r="A111" t="s">
        <v>44</v>
      </c>
      <c r="B111" t="s">
        <v>82</v>
      </c>
      <c r="C111" t="s">
        <v>92</v>
      </c>
      <c r="D111" t="s">
        <v>93</v>
      </c>
      <c r="E111" t="s">
        <v>85</v>
      </c>
      <c r="F111" t="s">
        <v>4</v>
      </c>
      <c r="G111" s="3">
        <v>46023</v>
      </c>
      <c r="H111" s="2">
        <v>80</v>
      </c>
      <c r="I111" t="s">
        <v>391</v>
      </c>
      <c r="J111" t="s">
        <v>392</v>
      </c>
      <c r="K111" t="s">
        <v>393</v>
      </c>
      <c r="L111" s="3">
        <v>45996</v>
      </c>
      <c r="M111" s="3">
        <v>46023</v>
      </c>
      <c r="N111" t="s">
        <v>0</v>
      </c>
      <c r="O111" t="s">
        <v>111</v>
      </c>
      <c r="P111" t="s">
        <v>0</v>
      </c>
      <c r="Q111" t="s">
        <v>148</v>
      </c>
      <c r="R111" t="s">
        <v>51</v>
      </c>
      <c r="S111" t="s">
        <v>0</v>
      </c>
      <c r="T111" s="3">
        <v>46023</v>
      </c>
      <c r="U111" t="s">
        <v>53</v>
      </c>
      <c r="V111" t="s">
        <v>254</v>
      </c>
      <c r="W111" t="s">
        <v>296</v>
      </c>
      <c r="X111" t="s">
        <v>0</v>
      </c>
    </row>
    <row r="112" spans="1:24" x14ac:dyDescent="0.25">
      <c r="A112" t="s">
        <v>44</v>
      </c>
      <c r="B112" t="s">
        <v>82</v>
      </c>
      <c r="C112" t="s">
        <v>140</v>
      </c>
      <c r="D112" t="s">
        <v>141</v>
      </c>
      <c r="E112" t="s">
        <v>85</v>
      </c>
      <c r="F112" t="s">
        <v>4</v>
      </c>
      <c r="G112" s="3">
        <v>46023</v>
      </c>
      <c r="H112" s="2">
        <v>80</v>
      </c>
      <c r="I112" t="s">
        <v>142</v>
      </c>
      <c r="J112" t="s">
        <v>143</v>
      </c>
      <c r="K112" t="s">
        <v>144</v>
      </c>
      <c r="L112" s="3">
        <v>45995</v>
      </c>
      <c r="M112" s="3">
        <v>46023</v>
      </c>
      <c r="N112" t="s">
        <v>0</v>
      </c>
      <c r="O112" t="s">
        <v>111</v>
      </c>
      <c r="P112" t="s">
        <v>0</v>
      </c>
      <c r="Q112" t="s">
        <v>52</v>
      </c>
      <c r="R112" t="s">
        <v>51</v>
      </c>
      <c r="S112" t="s">
        <v>0</v>
      </c>
      <c r="T112" s="3">
        <v>46023</v>
      </c>
      <c r="U112" t="s">
        <v>102</v>
      </c>
      <c r="V112" t="s">
        <v>103</v>
      </c>
      <c r="W112" t="s">
        <v>55</v>
      </c>
      <c r="X112" t="s">
        <v>0</v>
      </c>
    </row>
    <row r="113" spans="1:24" x14ac:dyDescent="0.25">
      <c r="A113" t="s">
        <v>44</v>
      </c>
      <c r="B113" t="s">
        <v>82</v>
      </c>
      <c r="C113" t="s">
        <v>135</v>
      </c>
      <c r="D113" t="s">
        <v>136</v>
      </c>
      <c r="E113" t="s">
        <v>85</v>
      </c>
      <c r="F113" t="s">
        <v>4</v>
      </c>
      <c r="G113" s="3">
        <v>46023</v>
      </c>
      <c r="H113" s="2">
        <v>80</v>
      </c>
      <c r="I113" t="s">
        <v>311</v>
      </c>
      <c r="J113" t="s">
        <v>312</v>
      </c>
      <c r="K113" t="s">
        <v>313</v>
      </c>
      <c r="L113" s="3">
        <v>45998</v>
      </c>
      <c r="M113" s="3">
        <v>46023</v>
      </c>
      <c r="N113" t="s">
        <v>0</v>
      </c>
      <c r="O113" t="s">
        <v>111</v>
      </c>
      <c r="P113" t="s">
        <v>0</v>
      </c>
      <c r="Q113" t="s">
        <v>148</v>
      </c>
      <c r="R113" t="s">
        <v>51</v>
      </c>
      <c r="S113" t="s">
        <v>0</v>
      </c>
      <c r="T113" s="3">
        <v>46023</v>
      </c>
      <c r="U113" t="s">
        <v>53</v>
      </c>
      <c r="V113" t="s">
        <v>149</v>
      </c>
      <c r="W113" t="s">
        <v>55</v>
      </c>
      <c r="X113" t="s">
        <v>0</v>
      </c>
    </row>
    <row r="114" spans="1:24" x14ac:dyDescent="0.25">
      <c r="A114" t="s">
        <v>44</v>
      </c>
      <c r="B114" t="s">
        <v>82</v>
      </c>
      <c r="C114" t="s">
        <v>369</v>
      </c>
      <c r="D114" t="s">
        <v>370</v>
      </c>
      <c r="E114" t="s">
        <v>85</v>
      </c>
      <c r="F114" t="s">
        <v>4</v>
      </c>
      <c r="G114" s="3">
        <v>46023</v>
      </c>
      <c r="H114" s="2">
        <v>25</v>
      </c>
      <c r="I114">
        <v>36877815</v>
      </c>
      <c r="J114" t="s">
        <v>394</v>
      </c>
      <c r="K114" t="s">
        <v>395</v>
      </c>
      <c r="L114" s="3">
        <v>45987</v>
      </c>
      <c r="M114" s="3">
        <v>46023</v>
      </c>
      <c r="N114" t="s">
        <v>0</v>
      </c>
      <c r="O114" t="s">
        <v>111</v>
      </c>
      <c r="P114" t="s">
        <v>0</v>
      </c>
      <c r="Q114" t="s">
        <v>52</v>
      </c>
      <c r="R114" t="s">
        <v>51</v>
      </c>
      <c r="S114" t="s">
        <v>0</v>
      </c>
      <c r="T114" s="3">
        <v>46023</v>
      </c>
      <c r="U114" t="s">
        <v>53</v>
      </c>
      <c r="V114" t="s">
        <v>54</v>
      </c>
      <c r="W114" t="s">
        <v>55</v>
      </c>
      <c r="X114" t="s">
        <v>0</v>
      </c>
    </row>
    <row r="115" spans="1:24" x14ac:dyDescent="0.25">
      <c r="A115" t="s">
        <v>44</v>
      </c>
      <c r="B115" t="s">
        <v>82</v>
      </c>
      <c r="C115" t="s">
        <v>56</v>
      </c>
      <c r="D115" t="s">
        <v>57</v>
      </c>
      <c r="E115" t="s">
        <v>85</v>
      </c>
      <c r="F115" t="s">
        <v>4</v>
      </c>
      <c r="G115" s="3">
        <v>46023</v>
      </c>
      <c r="H115" s="2">
        <v>80</v>
      </c>
      <c r="I115" t="s">
        <v>396</v>
      </c>
      <c r="J115" t="s">
        <v>397</v>
      </c>
      <c r="K115" t="s">
        <v>398</v>
      </c>
      <c r="L115" s="3">
        <v>45959</v>
      </c>
      <c r="M115" s="3">
        <v>46023</v>
      </c>
      <c r="N115" t="s">
        <v>0</v>
      </c>
      <c r="O115">
        <v>7</v>
      </c>
      <c r="P115" t="s">
        <v>51</v>
      </c>
      <c r="Q115" t="s">
        <v>52</v>
      </c>
      <c r="R115" t="s">
        <v>51</v>
      </c>
      <c r="S115" t="s">
        <v>0</v>
      </c>
      <c r="T115" s="3">
        <v>46023</v>
      </c>
      <c r="U115" t="s">
        <v>53</v>
      </c>
      <c r="V115" t="s">
        <v>54</v>
      </c>
      <c r="W115" t="s">
        <v>55</v>
      </c>
      <c r="X115" t="s">
        <v>0</v>
      </c>
    </row>
    <row r="116" spans="1:24" x14ac:dyDescent="0.25">
      <c r="A116" t="s">
        <v>44</v>
      </c>
      <c r="B116" t="s">
        <v>82</v>
      </c>
      <c r="C116" t="s">
        <v>399</v>
      </c>
      <c r="D116" t="s">
        <v>400</v>
      </c>
      <c r="E116" t="s">
        <v>85</v>
      </c>
      <c r="F116" t="s">
        <v>4</v>
      </c>
      <c r="G116" s="3">
        <v>46023</v>
      </c>
      <c r="H116" s="2">
        <v>3</v>
      </c>
      <c r="I116">
        <v>20446316001</v>
      </c>
      <c r="J116" t="s">
        <v>401</v>
      </c>
      <c r="K116" t="s">
        <v>402</v>
      </c>
      <c r="L116" s="3">
        <v>45950</v>
      </c>
      <c r="M116" s="3">
        <v>46023</v>
      </c>
      <c r="N116" t="s">
        <v>0</v>
      </c>
      <c r="O116">
        <v>2</v>
      </c>
      <c r="P116" t="s">
        <v>152</v>
      </c>
      <c r="Q116" t="s">
        <v>182</v>
      </c>
      <c r="R116" t="s">
        <v>152</v>
      </c>
      <c r="S116" t="s">
        <v>0</v>
      </c>
      <c r="T116" s="3">
        <v>46023</v>
      </c>
      <c r="U116" t="s">
        <v>153</v>
      </c>
      <c r="V116" t="s">
        <v>183</v>
      </c>
      <c r="W116" t="s">
        <v>55</v>
      </c>
      <c r="X116" t="s">
        <v>0</v>
      </c>
    </row>
    <row r="117" spans="1:24" x14ac:dyDescent="0.25">
      <c r="A117" t="s">
        <v>44</v>
      </c>
      <c r="B117" t="s">
        <v>45</v>
      </c>
      <c r="C117" t="s">
        <v>155</v>
      </c>
      <c r="D117" t="s">
        <v>156</v>
      </c>
      <c r="E117" t="s">
        <v>155</v>
      </c>
      <c r="F117" t="s">
        <v>156</v>
      </c>
      <c r="G117" s="3">
        <v>46023</v>
      </c>
      <c r="H117" s="2">
        <v>57</v>
      </c>
      <c r="I117">
        <v>20454014001</v>
      </c>
      <c r="J117" t="s">
        <v>403</v>
      </c>
      <c r="K117" t="s">
        <v>404</v>
      </c>
      <c r="L117" s="3">
        <v>45953</v>
      </c>
      <c r="M117" s="3">
        <v>46023</v>
      </c>
      <c r="N117" t="s">
        <v>0</v>
      </c>
      <c r="O117">
        <v>7</v>
      </c>
      <c r="P117" t="s">
        <v>152</v>
      </c>
      <c r="Q117" t="s">
        <v>52</v>
      </c>
      <c r="R117" t="s">
        <v>152</v>
      </c>
      <c r="S117" t="s">
        <v>0</v>
      </c>
      <c r="T117" s="3">
        <v>46023</v>
      </c>
      <c r="U117" t="s">
        <v>153</v>
      </c>
      <c r="V117" t="s">
        <v>159</v>
      </c>
      <c r="W117" t="s">
        <v>55</v>
      </c>
      <c r="X117" t="s">
        <v>0</v>
      </c>
    </row>
    <row r="118" spans="1:24" x14ac:dyDescent="0.25">
      <c r="A118" t="s">
        <v>44</v>
      </c>
      <c r="B118" t="s">
        <v>82</v>
      </c>
      <c r="C118" t="s">
        <v>314</v>
      </c>
      <c r="D118" t="s">
        <v>315</v>
      </c>
      <c r="E118" t="s">
        <v>85</v>
      </c>
      <c r="F118" t="s">
        <v>4</v>
      </c>
      <c r="G118" s="3">
        <v>46023</v>
      </c>
      <c r="H118" s="2">
        <v>3</v>
      </c>
      <c r="I118">
        <v>20473608601</v>
      </c>
      <c r="J118" t="s">
        <v>316</v>
      </c>
      <c r="K118" t="s">
        <v>317</v>
      </c>
      <c r="L118" s="3">
        <v>45962</v>
      </c>
      <c r="M118" s="3">
        <v>46023</v>
      </c>
      <c r="N118" t="s">
        <v>0</v>
      </c>
      <c r="O118">
        <v>5</v>
      </c>
      <c r="P118" t="s">
        <v>152</v>
      </c>
      <c r="Q118" t="s">
        <v>52</v>
      </c>
      <c r="R118" t="s">
        <v>152</v>
      </c>
      <c r="S118" t="s">
        <v>0</v>
      </c>
      <c r="T118" s="3">
        <v>46023</v>
      </c>
      <c r="U118" t="s">
        <v>153</v>
      </c>
      <c r="V118" t="s">
        <v>159</v>
      </c>
      <c r="W118" t="s">
        <v>55</v>
      </c>
      <c r="X118" t="s">
        <v>0</v>
      </c>
    </row>
    <row r="119" spans="1:24" x14ac:dyDescent="0.25">
      <c r="A119" t="s">
        <v>44</v>
      </c>
      <c r="B119" t="s">
        <v>45</v>
      </c>
      <c r="C119" t="s">
        <v>112</v>
      </c>
      <c r="D119" t="s">
        <v>113</v>
      </c>
      <c r="E119" t="s">
        <v>112</v>
      </c>
      <c r="F119" t="s">
        <v>113</v>
      </c>
      <c r="G119" s="3">
        <v>46023</v>
      </c>
      <c r="H119" s="2">
        <v>57</v>
      </c>
      <c r="I119">
        <v>20564824901</v>
      </c>
      <c r="J119" t="s">
        <v>405</v>
      </c>
      <c r="K119" t="s">
        <v>406</v>
      </c>
      <c r="L119" s="3">
        <v>45978</v>
      </c>
      <c r="M119" s="3">
        <v>46023</v>
      </c>
      <c r="N119" t="s">
        <v>0</v>
      </c>
      <c r="O119">
        <v>10</v>
      </c>
      <c r="P119" t="s">
        <v>152</v>
      </c>
      <c r="Q119" t="s">
        <v>148</v>
      </c>
      <c r="R119" t="s">
        <v>152</v>
      </c>
      <c r="S119" t="s">
        <v>0</v>
      </c>
      <c r="T119" s="3">
        <v>46023</v>
      </c>
      <c r="U119" t="s">
        <v>153</v>
      </c>
      <c r="V119" t="s">
        <v>336</v>
      </c>
      <c r="W119" t="s">
        <v>55</v>
      </c>
      <c r="X119" t="s">
        <v>0</v>
      </c>
    </row>
    <row r="120" spans="1:24" x14ac:dyDescent="0.25">
      <c r="A120" t="s">
        <v>44</v>
      </c>
      <c r="B120" t="s">
        <v>82</v>
      </c>
      <c r="C120" t="s">
        <v>112</v>
      </c>
      <c r="D120" t="s">
        <v>113</v>
      </c>
      <c r="E120" t="s">
        <v>85</v>
      </c>
      <c r="F120" t="s">
        <v>4</v>
      </c>
      <c r="G120" s="3">
        <v>46023</v>
      </c>
      <c r="H120" s="2">
        <v>3</v>
      </c>
      <c r="I120">
        <v>20564824901</v>
      </c>
      <c r="J120" t="s">
        <v>405</v>
      </c>
      <c r="K120" t="s">
        <v>406</v>
      </c>
      <c r="L120" s="3">
        <v>45978</v>
      </c>
      <c r="M120" s="3">
        <v>46023</v>
      </c>
      <c r="N120" t="s">
        <v>0</v>
      </c>
      <c r="O120">
        <v>10</v>
      </c>
      <c r="P120" t="s">
        <v>152</v>
      </c>
      <c r="Q120" t="s">
        <v>148</v>
      </c>
      <c r="R120" t="s">
        <v>152</v>
      </c>
      <c r="S120" t="s">
        <v>0</v>
      </c>
      <c r="T120" s="3">
        <v>46023</v>
      </c>
      <c r="U120" t="s">
        <v>153</v>
      </c>
      <c r="V120" t="s">
        <v>336</v>
      </c>
      <c r="W120" t="s">
        <v>55</v>
      </c>
      <c r="X120" t="s">
        <v>0</v>
      </c>
    </row>
    <row r="121" spans="1:24" x14ac:dyDescent="0.25">
      <c r="A121" t="s">
        <v>44</v>
      </c>
      <c r="B121" t="s">
        <v>82</v>
      </c>
      <c r="C121" t="s">
        <v>160</v>
      </c>
      <c r="D121" t="s">
        <v>161</v>
      </c>
      <c r="E121" t="s">
        <v>85</v>
      </c>
      <c r="F121" t="s">
        <v>4</v>
      </c>
      <c r="G121" s="3">
        <v>46023</v>
      </c>
      <c r="H121" s="2">
        <v>3</v>
      </c>
      <c r="I121">
        <v>20559133201</v>
      </c>
      <c r="J121" t="s">
        <v>407</v>
      </c>
      <c r="K121" t="s">
        <v>408</v>
      </c>
      <c r="L121" s="3">
        <v>45975</v>
      </c>
      <c r="M121" s="3">
        <v>46023</v>
      </c>
      <c r="N121" t="s">
        <v>0</v>
      </c>
      <c r="O121">
        <v>6</v>
      </c>
      <c r="P121" t="s">
        <v>152</v>
      </c>
      <c r="Q121" t="s">
        <v>52</v>
      </c>
      <c r="R121" t="s">
        <v>152</v>
      </c>
      <c r="S121" t="s">
        <v>0</v>
      </c>
      <c r="T121" s="3">
        <v>46023</v>
      </c>
      <c r="U121" t="s">
        <v>153</v>
      </c>
      <c r="V121" t="s">
        <v>159</v>
      </c>
      <c r="W121" t="s">
        <v>55</v>
      </c>
      <c r="X121" t="s">
        <v>0</v>
      </c>
    </row>
    <row r="122" spans="1:24" x14ac:dyDescent="0.25">
      <c r="A122" t="s">
        <v>44</v>
      </c>
      <c r="B122" t="s">
        <v>82</v>
      </c>
      <c r="C122" t="s">
        <v>318</v>
      </c>
      <c r="D122" t="s">
        <v>319</v>
      </c>
      <c r="E122" t="s">
        <v>85</v>
      </c>
      <c r="F122" t="s">
        <v>4</v>
      </c>
      <c r="G122" s="3">
        <v>46023</v>
      </c>
      <c r="H122" s="2">
        <v>3</v>
      </c>
      <c r="I122">
        <v>20558827001</v>
      </c>
      <c r="J122" t="s">
        <v>320</v>
      </c>
      <c r="K122" t="s">
        <v>321</v>
      </c>
      <c r="L122" s="3">
        <v>45975</v>
      </c>
      <c r="M122" s="3">
        <v>46023</v>
      </c>
      <c r="N122" t="s">
        <v>0</v>
      </c>
      <c r="O122">
        <v>2</v>
      </c>
      <c r="P122" t="s">
        <v>152</v>
      </c>
      <c r="Q122" t="s">
        <v>322</v>
      </c>
      <c r="R122" t="s">
        <v>152</v>
      </c>
      <c r="S122" t="s">
        <v>0</v>
      </c>
      <c r="T122" s="3">
        <v>46023</v>
      </c>
      <c r="U122" t="s">
        <v>153</v>
      </c>
      <c r="V122" t="s">
        <v>323</v>
      </c>
      <c r="W122" t="s">
        <v>55</v>
      </c>
      <c r="X122" t="s">
        <v>0</v>
      </c>
    </row>
    <row r="123" spans="1:24" x14ac:dyDescent="0.25">
      <c r="A123" t="s">
        <v>11</v>
      </c>
      <c r="B123" t="s">
        <v>82</v>
      </c>
      <c r="C123" t="s">
        <v>155</v>
      </c>
      <c r="D123" t="s">
        <v>156</v>
      </c>
      <c r="E123" t="s">
        <v>85</v>
      </c>
      <c r="F123" t="s">
        <v>4</v>
      </c>
      <c r="G123" s="3">
        <v>46023</v>
      </c>
      <c r="H123" s="2">
        <v>5.5</v>
      </c>
      <c r="I123">
        <v>20562845601</v>
      </c>
      <c r="J123" t="s">
        <v>157</v>
      </c>
      <c r="K123" t="s">
        <v>158</v>
      </c>
      <c r="L123" s="3">
        <v>45976</v>
      </c>
      <c r="M123" s="3">
        <v>46023</v>
      </c>
      <c r="N123" t="s">
        <v>0</v>
      </c>
      <c r="O123">
        <v>1</v>
      </c>
      <c r="P123" t="s">
        <v>81</v>
      </c>
      <c r="Q123" t="s">
        <v>52</v>
      </c>
      <c r="R123" t="s">
        <v>152</v>
      </c>
      <c r="S123" t="s">
        <v>0</v>
      </c>
      <c r="T123" s="3">
        <v>46023</v>
      </c>
      <c r="U123" t="s">
        <v>153</v>
      </c>
      <c r="V123" t="s">
        <v>159</v>
      </c>
      <c r="W123" t="s">
        <v>55</v>
      </c>
      <c r="X123" t="s">
        <v>0</v>
      </c>
    </row>
    <row r="124" spans="1:24" x14ac:dyDescent="0.25">
      <c r="A124" t="s">
        <v>44</v>
      </c>
      <c r="B124" t="s">
        <v>82</v>
      </c>
      <c r="C124" t="s">
        <v>324</v>
      </c>
      <c r="D124" t="s">
        <v>325</v>
      </c>
      <c r="E124" t="s">
        <v>85</v>
      </c>
      <c r="F124" t="s">
        <v>4</v>
      </c>
      <c r="G124" s="3">
        <v>46023</v>
      </c>
      <c r="H124" s="2">
        <v>3</v>
      </c>
      <c r="I124">
        <v>20571185601</v>
      </c>
      <c r="J124" t="s">
        <v>326</v>
      </c>
      <c r="K124" t="s">
        <v>327</v>
      </c>
      <c r="L124" s="3">
        <v>45980</v>
      </c>
      <c r="M124" s="3">
        <v>46023</v>
      </c>
      <c r="N124" t="s">
        <v>0</v>
      </c>
      <c r="O124">
        <v>5</v>
      </c>
      <c r="P124" t="s">
        <v>152</v>
      </c>
      <c r="Q124" t="s">
        <v>52</v>
      </c>
      <c r="R124" t="s">
        <v>152</v>
      </c>
      <c r="S124" t="s">
        <v>0</v>
      </c>
      <c r="T124" s="3">
        <v>46023</v>
      </c>
      <c r="U124" t="s">
        <v>153</v>
      </c>
      <c r="V124" t="s">
        <v>159</v>
      </c>
      <c r="W124" t="s">
        <v>55</v>
      </c>
      <c r="X124" t="s">
        <v>0</v>
      </c>
    </row>
    <row r="125" spans="1:24" x14ac:dyDescent="0.25">
      <c r="A125" t="s">
        <v>44</v>
      </c>
      <c r="B125" t="s">
        <v>45</v>
      </c>
      <c r="C125" t="s">
        <v>112</v>
      </c>
      <c r="D125" t="s">
        <v>113</v>
      </c>
      <c r="E125" t="s">
        <v>112</v>
      </c>
      <c r="F125" t="s">
        <v>113</v>
      </c>
      <c r="G125" s="3">
        <v>46023</v>
      </c>
      <c r="H125" s="2">
        <v>57</v>
      </c>
      <c r="I125">
        <v>20616896501</v>
      </c>
      <c r="J125" t="s">
        <v>409</v>
      </c>
      <c r="K125" t="s">
        <v>410</v>
      </c>
      <c r="L125" s="3">
        <v>45994</v>
      </c>
      <c r="M125" s="3">
        <v>46023</v>
      </c>
      <c r="N125" t="s">
        <v>0</v>
      </c>
      <c r="O125" t="s">
        <v>111</v>
      </c>
      <c r="P125" t="s">
        <v>0</v>
      </c>
      <c r="Q125" t="s">
        <v>148</v>
      </c>
      <c r="R125" t="s">
        <v>152</v>
      </c>
      <c r="S125" t="s">
        <v>0</v>
      </c>
      <c r="T125" s="3">
        <v>46023</v>
      </c>
      <c r="U125" t="s">
        <v>153</v>
      </c>
      <c r="V125" t="s">
        <v>336</v>
      </c>
      <c r="W125" t="s">
        <v>55</v>
      </c>
      <c r="X125" t="s">
        <v>0</v>
      </c>
    </row>
    <row r="126" spans="1:24" x14ac:dyDescent="0.25">
      <c r="A126" t="s">
        <v>44</v>
      </c>
      <c r="B126" t="s">
        <v>82</v>
      </c>
      <c r="C126" t="s">
        <v>112</v>
      </c>
      <c r="D126" t="s">
        <v>113</v>
      </c>
      <c r="E126" t="s">
        <v>85</v>
      </c>
      <c r="F126" t="s">
        <v>4</v>
      </c>
      <c r="G126" s="3">
        <v>46023</v>
      </c>
      <c r="H126" s="2">
        <v>3</v>
      </c>
      <c r="I126">
        <v>20616896501</v>
      </c>
      <c r="J126" t="s">
        <v>409</v>
      </c>
      <c r="K126" t="s">
        <v>410</v>
      </c>
      <c r="L126" s="3">
        <v>45994</v>
      </c>
      <c r="M126" s="3">
        <v>46023</v>
      </c>
      <c r="N126" t="s">
        <v>0</v>
      </c>
      <c r="O126" t="s">
        <v>111</v>
      </c>
      <c r="P126" t="s">
        <v>0</v>
      </c>
      <c r="Q126" t="s">
        <v>148</v>
      </c>
      <c r="R126" t="s">
        <v>152</v>
      </c>
      <c r="S126" t="s">
        <v>0</v>
      </c>
      <c r="T126" s="3">
        <v>46023</v>
      </c>
      <c r="U126" t="s">
        <v>153</v>
      </c>
      <c r="V126" t="s">
        <v>336</v>
      </c>
      <c r="W126" t="s">
        <v>55</v>
      </c>
      <c r="X126" t="s">
        <v>0</v>
      </c>
    </row>
    <row r="127" spans="1:24" x14ac:dyDescent="0.25">
      <c r="A127" t="s">
        <v>44</v>
      </c>
      <c r="B127" t="s">
        <v>45</v>
      </c>
      <c r="C127" t="s">
        <v>174</v>
      </c>
      <c r="D127" t="s">
        <v>175</v>
      </c>
      <c r="E127" t="s">
        <v>174</v>
      </c>
      <c r="F127" t="s">
        <v>175</v>
      </c>
      <c r="G127" s="3">
        <v>46023</v>
      </c>
      <c r="H127" s="2">
        <v>57</v>
      </c>
      <c r="I127">
        <v>20617283501</v>
      </c>
      <c r="J127" t="s">
        <v>411</v>
      </c>
      <c r="K127" t="s">
        <v>412</v>
      </c>
      <c r="L127" s="3">
        <v>45994</v>
      </c>
      <c r="M127" s="3">
        <v>46023</v>
      </c>
      <c r="N127" t="s">
        <v>0</v>
      </c>
      <c r="O127" t="s">
        <v>111</v>
      </c>
      <c r="P127" t="s">
        <v>0</v>
      </c>
      <c r="Q127" t="s">
        <v>52</v>
      </c>
      <c r="R127" t="s">
        <v>152</v>
      </c>
      <c r="S127" t="s">
        <v>0</v>
      </c>
      <c r="T127" s="3">
        <v>46023</v>
      </c>
      <c r="U127" t="s">
        <v>153</v>
      </c>
      <c r="V127" t="s">
        <v>159</v>
      </c>
      <c r="W127" t="s">
        <v>55</v>
      </c>
      <c r="X127" t="s">
        <v>0</v>
      </c>
    </row>
    <row r="128" spans="1:24" x14ac:dyDescent="0.25">
      <c r="A128" t="s">
        <v>44</v>
      </c>
      <c r="B128" t="s">
        <v>82</v>
      </c>
      <c r="C128" t="s">
        <v>112</v>
      </c>
      <c r="D128" t="s">
        <v>113</v>
      </c>
      <c r="E128" t="s">
        <v>85</v>
      </c>
      <c r="F128" t="s">
        <v>4</v>
      </c>
      <c r="G128" s="3">
        <v>46023</v>
      </c>
      <c r="H128" s="2">
        <v>3</v>
      </c>
      <c r="I128">
        <v>15886303501</v>
      </c>
      <c r="J128" t="s">
        <v>264</v>
      </c>
      <c r="K128" t="s">
        <v>265</v>
      </c>
      <c r="L128" s="3">
        <v>45997</v>
      </c>
      <c r="M128" s="3">
        <v>46023</v>
      </c>
      <c r="N128" t="s">
        <v>0</v>
      </c>
      <c r="O128" t="s">
        <v>111</v>
      </c>
      <c r="P128" t="s">
        <v>0</v>
      </c>
      <c r="Q128" t="s">
        <v>266</v>
      </c>
      <c r="R128" t="s">
        <v>152</v>
      </c>
      <c r="S128" t="s">
        <v>0</v>
      </c>
      <c r="T128" s="3">
        <v>46023</v>
      </c>
      <c r="U128" t="s">
        <v>153</v>
      </c>
      <c r="V128" t="s">
        <v>267</v>
      </c>
      <c r="W128" t="s">
        <v>55</v>
      </c>
      <c r="X128" t="s">
        <v>0</v>
      </c>
    </row>
    <row r="129" spans="1:24" x14ac:dyDescent="0.25">
      <c r="A129" t="s">
        <v>44</v>
      </c>
      <c r="B129" t="s">
        <v>45</v>
      </c>
      <c r="C129" t="s">
        <v>257</v>
      </c>
      <c r="D129" t="s">
        <v>258</v>
      </c>
      <c r="E129" t="s">
        <v>257</v>
      </c>
      <c r="F129" t="s">
        <v>258</v>
      </c>
      <c r="G129" s="3">
        <v>46023</v>
      </c>
      <c r="H129" s="2">
        <v>57</v>
      </c>
      <c r="I129">
        <v>20637646901</v>
      </c>
      <c r="J129" t="s">
        <v>413</v>
      </c>
      <c r="K129" t="s">
        <v>414</v>
      </c>
      <c r="L129" s="3">
        <v>45997</v>
      </c>
      <c r="M129" s="3">
        <v>46023</v>
      </c>
      <c r="N129" t="s">
        <v>0</v>
      </c>
      <c r="O129" t="s">
        <v>111</v>
      </c>
      <c r="P129" t="s">
        <v>0</v>
      </c>
      <c r="Q129" t="s">
        <v>52</v>
      </c>
      <c r="R129" t="s">
        <v>152</v>
      </c>
      <c r="S129" t="s">
        <v>0</v>
      </c>
      <c r="T129" s="3">
        <v>46023</v>
      </c>
      <c r="U129" t="s">
        <v>153</v>
      </c>
      <c r="V129" t="s">
        <v>159</v>
      </c>
      <c r="W129" t="s">
        <v>55</v>
      </c>
      <c r="X129" t="s">
        <v>0</v>
      </c>
    </row>
    <row r="130" spans="1:24" x14ac:dyDescent="0.25">
      <c r="A130" t="s">
        <v>44</v>
      </c>
      <c r="B130" t="s">
        <v>45</v>
      </c>
      <c r="C130" t="s">
        <v>112</v>
      </c>
      <c r="D130" t="s">
        <v>113</v>
      </c>
      <c r="E130" t="s">
        <v>112</v>
      </c>
      <c r="F130" t="s">
        <v>113</v>
      </c>
      <c r="G130" s="3">
        <v>46023</v>
      </c>
      <c r="H130" s="2">
        <v>57</v>
      </c>
      <c r="I130">
        <v>20631332201</v>
      </c>
      <c r="J130" t="s">
        <v>272</v>
      </c>
      <c r="K130" t="s">
        <v>273</v>
      </c>
      <c r="L130" s="3">
        <v>45996</v>
      </c>
      <c r="M130" s="3">
        <v>46023</v>
      </c>
      <c r="N130" t="s">
        <v>0</v>
      </c>
      <c r="O130" t="s">
        <v>111</v>
      </c>
      <c r="P130" t="s">
        <v>0</v>
      </c>
      <c r="Q130" t="s">
        <v>266</v>
      </c>
      <c r="R130" t="s">
        <v>152</v>
      </c>
      <c r="S130" t="s">
        <v>0</v>
      </c>
      <c r="T130" s="3">
        <v>46023</v>
      </c>
      <c r="U130" t="s">
        <v>153</v>
      </c>
      <c r="V130" t="s">
        <v>267</v>
      </c>
      <c r="W130" t="s">
        <v>55</v>
      </c>
      <c r="X130" t="s">
        <v>0</v>
      </c>
    </row>
    <row r="131" spans="1:24" x14ac:dyDescent="0.25">
      <c r="A131" t="s">
        <v>44</v>
      </c>
      <c r="B131" t="s">
        <v>82</v>
      </c>
      <c r="C131" t="s">
        <v>83</v>
      </c>
      <c r="D131" t="s">
        <v>84</v>
      </c>
      <c r="E131" t="s">
        <v>85</v>
      </c>
      <c r="F131" t="s">
        <v>4</v>
      </c>
      <c r="G131" s="3">
        <v>46023</v>
      </c>
      <c r="H131" s="2">
        <v>80</v>
      </c>
      <c r="I131" t="s">
        <v>415</v>
      </c>
      <c r="J131" t="s">
        <v>416</v>
      </c>
      <c r="K131" t="s">
        <v>417</v>
      </c>
      <c r="L131" s="3">
        <v>45951</v>
      </c>
      <c r="M131" s="3">
        <v>46023</v>
      </c>
      <c r="N131" t="s">
        <v>0</v>
      </c>
      <c r="O131">
        <v>3</v>
      </c>
      <c r="P131" t="s">
        <v>51</v>
      </c>
      <c r="Q131" t="s">
        <v>67</v>
      </c>
      <c r="R131" t="s">
        <v>51</v>
      </c>
      <c r="S131" t="s">
        <v>0</v>
      </c>
      <c r="T131" s="3">
        <v>46023</v>
      </c>
      <c r="U131" t="s">
        <v>68</v>
      </c>
      <c r="V131" t="s">
        <v>69</v>
      </c>
      <c r="W131" t="s">
        <v>55</v>
      </c>
      <c r="X131" t="s">
        <v>0</v>
      </c>
    </row>
    <row r="132" spans="1:24" x14ac:dyDescent="0.25">
      <c r="A132" t="s">
        <v>44</v>
      </c>
      <c r="B132" t="s">
        <v>82</v>
      </c>
      <c r="C132" t="s">
        <v>46</v>
      </c>
      <c r="D132" t="s">
        <v>47</v>
      </c>
      <c r="E132" t="s">
        <v>85</v>
      </c>
      <c r="F132" t="s">
        <v>4</v>
      </c>
      <c r="G132" s="3">
        <v>46023</v>
      </c>
      <c r="H132" s="2">
        <v>80</v>
      </c>
      <c r="I132" t="s">
        <v>48</v>
      </c>
      <c r="J132" t="s">
        <v>49</v>
      </c>
      <c r="K132" t="s">
        <v>50</v>
      </c>
      <c r="L132" s="3">
        <v>45950</v>
      </c>
      <c r="M132" s="3">
        <v>46023</v>
      </c>
      <c r="N132" t="s">
        <v>0</v>
      </c>
      <c r="O132">
        <v>2</v>
      </c>
      <c r="P132" t="s">
        <v>51</v>
      </c>
      <c r="Q132" t="s">
        <v>52</v>
      </c>
      <c r="R132" t="s">
        <v>51</v>
      </c>
      <c r="S132" t="s">
        <v>0</v>
      </c>
      <c r="T132" s="3">
        <v>46023</v>
      </c>
      <c r="U132" t="s">
        <v>53</v>
      </c>
      <c r="V132" t="s">
        <v>54</v>
      </c>
      <c r="W132" t="s">
        <v>55</v>
      </c>
      <c r="X132" t="s">
        <v>0</v>
      </c>
    </row>
    <row r="133" spans="1:24" x14ac:dyDescent="0.25">
      <c r="A133" t="s">
        <v>44</v>
      </c>
      <c r="B133" t="s">
        <v>82</v>
      </c>
      <c r="C133" t="s">
        <v>125</v>
      </c>
      <c r="D133" t="s">
        <v>126</v>
      </c>
      <c r="E133" t="s">
        <v>85</v>
      </c>
      <c r="F133" t="s">
        <v>4</v>
      </c>
      <c r="G133" s="3">
        <v>46023</v>
      </c>
      <c r="H133" s="2">
        <v>80</v>
      </c>
      <c r="I133" t="s">
        <v>280</v>
      </c>
      <c r="J133" t="s">
        <v>281</v>
      </c>
      <c r="K133" t="s">
        <v>282</v>
      </c>
      <c r="L133" s="3">
        <v>45959</v>
      </c>
      <c r="M133" s="3">
        <v>46023</v>
      </c>
      <c r="N133" t="s">
        <v>0</v>
      </c>
      <c r="O133">
        <v>8</v>
      </c>
      <c r="P133" t="s">
        <v>51</v>
      </c>
      <c r="Q133" t="s">
        <v>52</v>
      </c>
      <c r="R133" t="s">
        <v>51</v>
      </c>
      <c r="S133" t="s">
        <v>0</v>
      </c>
      <c r="T133" s="3">
        <v>46023</v>
      </c>
      <c r="U133" t="s">
        <v>53</v>
      </c>
      <c r="V133" t="s">
        <v>54</v>
      </c>
      <c r="W133" t="s">
        <v>55</v>
      </c>
      <c r="X133" t="s">
        <v>0</v>
      </c>
    </row>
    <row r="134" spans="1:24" x14ac:dyDescent="0.25">
      <c r="A134" t="s">
        <v>44</v>
      </c>
      <c r="B134" t="s">
        <v>82</v>
      </c>
      <c r="C134" t="s">
        <v>70</v>
      </c>
      <c r="D134" t="s">
        <v>71</v>
      </c>
      <c r="E134" t="s">
        <v>85</v>
      </c>
      <c r="F134" t="s">
        <v>4</v>
      </c>
      <c r="G134" s="3">
        <v>46023</v>
      </c>
      <c r="H134" s="2">
        <v>25</v>
      </c>
      <c r="I134">
        <v>37233819</v>
      </c>
      <c r="J134" t="s">
        <v>209</v>
      </c>
      <c r="K134" t="s">
        <v>210</v>
      </c>
      <c r="L134" s="3">
        <v>45950</v>
      </c>
      <c r="M134" s="3">
        <v>46023</v>
      </c>
      <c r="N134" t="s">
        <v>0</v>
      </c>
      <c r="O134">
        <v>2</v>
      </c>
      <c r="P134" t="s">
        <v>51</v>
      </c>
      <c r="Q134" t="s">
        <v>75</v>
      </c>
      <c r="R134" t="s">
        <v>51</v>
      </c>
      <c r="S134" t="s">
        <v>0</v>
      </c>
      <c r="T134" s="3">
        <v>46023</v>
      </c>
      <c r="U134" t="s">
        <v>76</v>
      </c>
      <c r="V134" t="s">
        <v>77</v>
      </c>
      <c r="W134" t="s">
        <v>55</v>
      </c>
      <c r="X134" t="s">
        <v>0</v>
      </c>
    </row>
    <row r="135" spans="1:24" x14ac:dyDescent="0.25">
      <c r="A135" t="s">
        <v>11</v>
      </c>
      <c r="B135" t="s">
        <v>82</v>
      </c>
      <c r="C135" t="s">
        <v>211</v>
      </c>
      <c r="D135" t="s">
        <v>212</v>
      </c>
      <c r="E135" t="s">
        <v>85</v>
      </c>
      <c r="F135" t="s">
        <v>4</v>
      </c>
      <c r="G135" s="3">
        <v>46023</v>
      </c>
      <c r="H135" s="2">
        <v>80</v>
      </c>
      <c r="I135" t="s">
        <v>213</v>
      </c>
      <c r="J135" t="s">
        <v>214</v>
      </c>
      <c r="K135" t="s">
        <v>215</v>
      </c>
      <c r="L135" s="3">
        <v>45971</v>
      </c>
      <c r="M135" s="3">
        <v>46023</v>
      </c>
      <c r="N135" t="s">
        <v>0</v>
      </c>
      <c r="O135">
        <v>1</v>
      </c>
      <c r="P135" t="s">
        <v>81</v>
      </c>
      <c r="Q135" t="s">
        <v>216</v>
      </c>
      <c r="R135" t="s">
        <v>51</v>
      </c>
      <c r="S135" t="s">
        <v>0</v>
      </c>
      <c r="T135" s="3">
        <v>46023</v>
      </c>
      <c r="U135" t="s">
        <v>217</v>
      </c>
      <c r="V135" t="s">
        <v>218</v>
      </c>
      <c r="W135" t="s">
        <v>219</v>
      </c>
      <c r="X135" t="s">
        <v>0</v>
      </c>
    </row>
    <row r="136" spans="1:24" x14ac:dyDescent="0.25">
      <c r="A136" t="s">
        <v>44</v>
      </c>
      <c r="B136" t="s">
        <v>45</v>
      </c>
      <c r="C136" t="s">
        <v>56</v>
      </c>
      <c r="D136" t="s">
        <v>57</v>
      </c>
      <c r="E136" t="s">
        <v>56</v>
      </c>
      <c r="F136" t="s">
        <v>57</v>
      </c>
      <c r="G136" s="3">
        <v>46023</v>
      </c>
      <c r="H136" s="2">
        <v>347</v>
      </c>
      <c r="I136" t="s">
        <v>337</v>
      </c>
      <c r="J136" t="s">
        <v>338</v>
      </c>
      <c r="K136" t="s">
        <v>339</v>
      </c>
      <c r="L136" s="3">
        <v>45965</v>
      </c>
      <c r="M136" s="3">
        <v>46023</v>
      </c>
      <c r="N136" t="s">
        <v>0</v>
      </c>
      <c r="O136">
        <v>6</v>
      </c>
      <c r="P136" t="s">
        <v>51</v>
      </c>
      <c r="Q136" t="s">
        <v>52</v>
      </c>
      <c r="R136" t="s">
        <v>51</v>
      </c>
      <c r="S136" t="s">
        <v>0</v>
      </c>
      <c r="T136" s="3">
        <v>46023</v>
      </c>
      <c r="U136" t="s">
        <v>53</v>
      </c>
      <c r="V136" t="s">
        <v>61</v>
      </c>
      <c r="W136" t="s">
        <v>55</v>
      </c>
      <c r="X136" t="s">
        <v>0</v>
      </c>
    </row>
    <row r="137" spans="1:24" x14ac:dyDescent="0.25">
      <c r="A137" t="s">
        <v>44</v>
      </c>
      <c r="B137" t="s">
        <v>82</v>
      </c>
      <c r="C137" t="s">
        <v>125</v>
      </c>
      <c r="D137" t="s">
        <v>126</v>
      </c>
      <c r="E137" t="s">
        <v>85</v>
      </c>
      <c r="F137" t="s">
        <v>4</v>
      </c>
      <c r="G137" s="3">
        <v>46023</v>
      </c>
      <c r="H137" s="2">
        <v>80</v>
      </c>
      <c r="I137" t="s">
        <v>418</v>
      </c>
      <c r="J137" t="s">
        <v>419</v>
      </c>
      <c r="K137" t="s">
        <v>420</v>
      </c>
      <c r="L137" s="3">
        <v>45975</v>
      </c>
      <c r="M137" s="3">
        <v>46023</v>
      </c>
      <c r="N137" t="s">
        <v>0</v>
      </c>
      <c r="O137">
        <v>4</v>
      </c>
      <c r="P137" t="s">
        <v>51</v>
      </c>
      <c r="Q137" t="s">
        <v>52</v>
      </c>
      <c r="R137" t="s">
        <v>51</v>
      </c>
      <c r="S137" t="s">
        <v>0</v>
      </c>
      <c r="T137" s="3">
        <v>46023</v>
      </c>
      <c r="U137" t="s">
        <v>53</v>
      </c>
      <c r="V137" t="s">
        <v>54</v>
      </c>
      <c r="W137" t="s">
        <v>55</v>
      </c>
      <c r="X137" t="s">
        <v>0</v>
      </c>
    </row>
    <row r="138" spans="1:24" x14ac:dyDescent="0.25">
      <c r="A138" t="s">
        <v>44</v>
      </c>
      <c r="B138" t="s">
        <v>82</v>
      </c>
      <c r="C138" t="s">
        <v>211</v>
      </c>
      <c r="D138" t="s">
        <v>212</v>
      </c>
      <c r="E138" t="s">
        <v>85</v>
      </c>
      <c r="F138" t="s">
        <v>4</v>
      </c>
      <c r="G138" s="3">
        <v>46023</v>
      </c>
      <c r="H138" s="2">
        <v>80</v>
      </c>
      <c r="I138" t="s">
        <v>340</v>
      </c>
      <c r="J138" t="s">
        <v>341</v>
      </c>
      <c r="K138" t="s">
        <v>342</v>
      </c>
      <c r="L138" s="3">
        <v>45978</v>
      </c>
      <c r="M138" s="3">
        <v>46023</v>
      </c>
      <c r="N138" t="s">
        <v>0</v>
      </c>
      <c r="O138">
        <v>7</v>
      </c>
      <c r="P138" t="s">
        <v>51</v>
      </c>
      <c r="Q138" t="s">
        <v>52</v>
      </c>
      <c r="R138" t="s">
        <v>51</v>
      </c>
      <c r="S138" t="s">
        <v>0</v>
      </c>
      <c r="T138" s="3">
        <v>46023</v>
      </c>
      <c r="U138" t="s">
        <v>53</v>
      </c>
      <c r="V138" t="s">
        <v>61</v>
      </c>
      <c r="W138" t="s">
        <v>55</v>
      </c>
      <c r="X138" t="s">
        <v>0</v>
      </c>
    </row>
    <row r="139" spans="1:24" x14ac:dyDescent="0.25">
      <c r="A139" t="s">
        <v>11</v>
      </c>
      <c r="B139" t="s">
        <v>82</v>
      </c>
      <c r="C139" t="s">
        <v>92</v>
      </c>
      <c r="D139" t="s">
        <v>93</v>
      </c>
      <c r="E139" t="s">
        <v>85</v>
      </c>
      <c r="F139" t="s">
        <v>4</v>
      </c>
      <c r="G139" s="3">
        <v>46023</v>
      </c>
      <c r="H139" s="2">
        <v>80</v>
      </c>
      <c r="I139" t="s">
        <v>343</v>
      </c>
      <c r="J139" t="s">
        <v>344</v>
      </c>
      <c r="K139" t="s">
        <v>345</v>
      </c>
      <c r="L139" s="3">
        <v>45978</v>
      </c>
      <c r="M139" s="3">
        <v>46023</v>
      </c>
      <c r="N139" t="s">
        <v>0</v>
      </c>
      <c r="O139">
        <v>1</v>
      </c>
      <c r="P139" t="s">
        <v>81</v>
      </c>
      <c r="Q139" t="s">
        <v>52</v>
      </c>
      <c r="R139" t="s">
        <v>51</v>
      </c>
      <c r="S139" t="s">
        <v>0</v>
      </c>
      <c r="T139" s="3">
        <v>46023</v>
      </c>
      <c r="U139" t="s">
        <v>53</v>
      </c>
      <c r="V139" t="s">
        <v>61</v>
      </c>
      <c r="W139" t="s">
        <v>55</v>
      </c>
      <c r="X139" t="s">
        <v>0</v>
      </c>
    </row>
    <row r="140" spans="1:24" x14ac:dyDescent="0.25">
      <c r="A140" t="s">
        <v>44</v>
      </c>
      <c r="B140" t="s">
        <v>45</v>
      </c>
      <c r="C140" t="s">
        <v>202</v>
      </c>
      <c r="D140" t="s">
        <v>203</v>
      </c>
      <c r="E140" t="s">
        <v>202</v>
      </c>
      <c r="F140" t="s">
        <v>203</v>
      </c>
      <c r="G140" s="3">
        <v>46023</v>
      </c>
      <c r="H140" s="2">
        <v>347</v>
      </c>
      <c r="I140" t="s">
        <v>421</v>
      </c>
      <c r="J140" t="s">
        <v>422</v>
      </c>
      <c r="K140" t="s">
        <v>423</v>
      </c>
      <c r="L140" s="3">
        <v>45979</v>
      </c>
      <c r="M140" s="3">
        <v>46023</v>
      </c>
      <c r="N140" t="s">
        <v>0</v>
      </c>
      <c r="O140">
        <v>4</v>
      </c>
      <c r="P140" t="s">
        <v>51</v>
      </c>
      <c r="Q140" t="s">
        <v>52</v>
      </c>
      <c r="R140" t="s">
        <v>51</v>
      </c>
      <c r="S140" t="s">
        <v>0</v>
      </c>
      <c r="T140" s="3">
        <v>46023</v>
      </c>
      <c r="U140" t="s">
        <v>53</v>
      </c>
      <c r="V140" t="s">
        <v>61</v>
      </c>
      <c r="W140" t="s">
        <v>55</v>
      </c>
      <c r="X140" t="s">
        <v>0</v>
      </c>
    </row>
    <row r="141" spans="1:24" x14ac:dyDescent="0.25">
      <c r="A141" t="s">
        <v>44</v>
      </c>
      <c r="B141" t="s">
        <v>45</v>
      </c>
      <c r="C141" t="s">
        <v>125</v>
      </c>
      <c r="D141" t="s">
        <v>126</v>
      </c>
      <c r="E141" t="s">
        <v>125</v>
      </c>
      <c r="F141" t="s">
        <v>126</v>
      </c>
      <c r="G141" s="3">
        <v>46023</v>
      </c>
      <c r="H141" s="2">
        <v>347</v>
      </c>
      <c r="I141" t="s">
        <v>354</v>
      </c>
      <c r="J141" t="s">
        <v>355</v>
      </c>
      <c r="K141" t="s">
        <v>356</v>
      </c>
      <c r="L141" s="3">
        <v>45993</v>
      </c>
      <c r="M141" s="3">
        <v>46023</v>
      </c>
      <c r="N141" t="s">
        <v>0</v>
      </c>
      <c r="O141" t="s">
        <v>111</v>
      </c>
      <c r="P141" t="s">
        <v>0</v>
      </c>
      <c r="Q141" t="s">
        <v>52</v>
      </c>
      <c r="R141" t="s">
        <v>51</v>
      </c>
      <c r="S141" t="s">
        <v>0</v>
      </c>
      <c r="T141" s="3">
        <v>46023</v>
      </c>
      <c r="U141" t="s">
        <v>53</v>
      </c>
      <c r="V141" t="s">
        <v>54</v>
      </c>
      <c r="W141" t="s">
        <v>55</v>
      </c>
      <c r="X141" t="s">
        <v>0</v>
      </c>
    </row>
    <row r="142" spans="1:24" x14ac:dyDescent="0.25">
      <c r="A142" t="s">
        <v>44</v>
      </c>
      <c r="B142" t="s">
        <v>82</v>
      </c>
      <c r="C142" t="s">
        <v>174</v>
      </c>
      <c r="D142" t="s">
        <v>175</v>
      </c>
      <c r="E142" t="s">
        <v>85</v>
      </c>
      <c r="F142" t="s">
        <v>4</v>
      </c>
      <c r="G142" s="3">
        <v>46023</v>
      </c>
      <c r="H142" s="2">
        <v>80</v>
      </c>
      <c r="I142" t="s">
        <v>308</v>
      </c>
      <c r="J142" t="s">
        <v>309</v>
      </c>
      <c r="K142" t="s">
        <v>310</v>
      </c>
      <c r="L142" s="3">
        <v>45996</v>
      </c>
      <c r="M142" s="3">
        <v>46023</v>
      </c>
      <c r="N142" t="s">
        <v>0</v>
      </c>
      <c r="O142" t="s">
        <v>111</v>
      </c>
      <c r="P142" t="s">
        <v>0</v>
      </c>
      <c r="Q142" t="s">
        <v>148</v>
      </c>
      <c r="R142" t="s">
        <v>51</v>
      </c>
      <c r="S142" t="s">
        <v>0</v>
      </c>
      <c r="T142" s="3">
        <v>46023</v>
      </c>
      <c r="U142" t="s">
        <v>53</v>
      </c>
      <c r="V142" t="s">
        <v>254</v>
      </c>
      <c r="W142" t="s">
        <v>235</v>
      </c>
      <c r="X142" t="s">
        <v>0</v>
      </c>
    </row>
    <row r="143" spans="1:24" x14ac:dyDescent="0.25">
      <c r="A143" t="s">
        <v>44</v>
      </c>
      <c r="B143" t="s">
        <v>45</v>
      </c>
      <c r="C143" t="s">
        <v>174</v>
      </c>
      <c r="D143" t="s">
        <v>175</v>
      </c>
      <c r="E143" t="s">
        <v>174</v>
      </c>
      <c r="F143" t="s">
        <v>175</v>
      </c>
      <c r="G143" s="3">
        <v>46023</v>
      </c>
      <c r="H143" s="2">
        <v>347</v>
      </c>
      <c r="I143" t="s">
        <v>366</v>
      </c>
      <c r="J143" t="s">
        <v>367</v>
      </c>
      <c r="K143" t="s">
        <v>368</v>
      </c>
      <c r="L143" s="3">
        <v>46006</v>
      </c>
      <c r="M143" s="3">
        <v>46023</v>
      </c>
      <c r="N143" t="s">
        <v>0</v>
      </c>
      <c r="O143" t="s">
        <v>111</v>
      </c>
      <c r="P143" t="s">
        <v>0</v>
      </c>
      <c r="Q143" t="s">
        <v>148</v>
      </c>
      <c r="R143" t="s">
        <v>51</v>
      </c>
      <c r="S143" t="s">
        <v>0</v>
      </c>
      <c r="T143" s="3">
        <v>46023</v>
      </c>
      <c r="U143" t="s">
        <v>53</v>
      </c>
      <c r="V143" t="s">
        <v>149</v>
      </c>
      <c r="W143" t="s">
        <v>55</v>
      </c>
      <c r="X143" t="s">
        <v>0</v>
      </c>
    </row>
    <row r="144" spans="1:24" x14ac:dyDescent="0.25">
      <c r="A144" t="s">
        <v>44</v>
      </c>
      <c r="B144" t="s">
        <v>82</v>
      </c>
      <c r="C144" t="s">
        <v>155</v>
      </c>
      <c r="D144" t="s">
        <v>156</v>
      </c>
      <c r="E144" t="s">
        <v>85</v>
      </c>
      <c r="F144" t="s">
        <v>4</v>
      </c>
      <c r="G144" s="3">
        <v>46023</v>
      </c>
      <c r="H144" s="2">
        <v>3</v>
      </c>
      <c r="I144">
        <v>20454014001</v>
      </c>
      <c r="J144" t="s">
        <v>403</v>
      </c>
      <c r="K144" t="s">
        <v>404</v>
      </c>
      <c r="L144" s="3">
        <v>45953</v>
      </c>
      <c r="M144" s="3">
        <v>46023</v>
      </c>
      <c r="N144" t="s">
        <v>0</v>
      </c>
      <c r="O144">
        <v>7</v>
      </c>
      <c r="P144" t="s">
        <v>152</v>
      </c>
      <c r="Q144" t="s">
        <v>52</v>
      </c>
      <c r="R144" t="s">
        <v>152</v>
      </c>
      <c r="S144" t="s">
        <v>0</v>
      </c>
      <c r="T144" s="3">
        <v>46023</v>
      </c>
      <c r="U144" t="s">
        <v>153</v>
      </c>
      <c r="V144" t="s">
        <v>159</v>
      </c>
      <c r="W144" t="s">
        <v>55</v>
      </c>
      <c r="X144" t="s">
        <v>0</v>
      </c>
    </row>
    <row r="145" spans="1:24" x14ac:dyDescent="0.25">
      <c r="A145" t="s">
        <v>44</v>
      </c>
      <c r="B145" t="s">
        <v>82</v>
      </c>
      <c r="C145" t="s">
        <v>140</v>
      </c>
      <c r="D145" t="s">
        <v>141</v>
      </c>
      <c r="E145" t="s">
        <v>85</v>
      </c>
      <c r="F145" t="s">
        <v>4</v>
      </c>
      <c r="G145" s="3">
        <v>46023</v>
      </c>
      <c r="H145" s="2">
        <v>3</v>
      </c>
      <c r="I145">
        <v>16251799901</v>
      </c>
      <c r="J145" t="s">
        <v>424</v>
      </c>
      <c r="K145" t="s">
        <v>425</v>
      </c>
      <c r="L145" s="3">
        <v>45986</v>
      </c>
      <c r="M145" s="3">
        <v>46023</v>
      </c>
      <c r="N145" t="s">
        <v>0</v>
      </c>
      <c r="O145">
        <v>14</v>
      </c>
      <c r="P145" t="s">
        <v>152</v>
      </c>
      <c r="Q145" t="s">
        <v>52</v>
      </c>
      <c r="R145" t="s">
        <v>152</v>
      </c>
      <c r="S145" t="s">
        <v>0</v>
      </c>
      <c r="T145" s="3">
        <v>46023</v>
      </c>
      <c r="U145" t="s">
        <v>153</v>
      </c>
      <c r="V145" t="s">
        <v>159</v>
      </c>
      <c r="W145" t="s">
        <v>55</v>
      </c>
      <c r="X145" t="s">
        <v>0</v>
      </c>
    </row>
    <row r="146" spans="1:24" x14ac:dyDescent="0.25">
      <c r="A146" t="s">
        <v>44</v>
      </c>
      <c r="B146" t="s">
        <v>82</v>
      </c>
      <c r="C146" t="s">
        <v>257</v>
      </c>
      <c r="D146" t="s">
        <v>258</v>
      </c>
      <c r="E146" t="s">
        <v>85</v>
      </c>
      <c r="F146" t="s">
        <v>4</v>
      </c>
      <c r="G146" s="3">
        <v>46023</v>
      </c>
      <c r="H146" s="2">
        <v>3</v>
      </c>
      <c r="I146">
        <v>20617354401</v>
      </c>
      <c r="J146" t="s">
        <v>259</v>
      </c>
      <c r="K146" t="s">
        <v>260</v>
      </c>
      <c r="L146" s="3">
        <v>45994</v>
      </c>
      <c r="M146" s="3">
        <v>46023</v>
      </c>
      <c r="N146" t="s">
        <v>0</v>
      </c>
      <c r="O146" t="s">
        <v>111</v>
      </c>
      <c r="P146" t="s">
        <v>0</v>
      </c>
      <c r="Q146" t="s">
        <v>52</v>
      </c>
      <c r="R146" t="s">
        <v>152</v>
      </c>
      <c r="S146" t="s">
        <v>0</v>
      </c>
      <c r="T146" s="3">
        <v>46023</v>
      </c>
      <c r="U146" t="s">
        <v>153</v>
      </c>
      <c r="V146" t="s">
        <v>159</v>
      </c>
      <c r="W146" t="s">
        <v>55</v>
      </c>
      <c r="X146" t="s">
        <v>0</v>
      </c>
    </row>
    <row r="147" spans="1:24" x14ac:dyDescent="0.25">
      <c r="A147" t="s">
        <v>44</v>
      </c>
      <c r="B147" t="s">
        <v>82</v>
      </c>
      <c r="C147" t="s">
        <v>56</v>
      </c>
      <c r="D147" t="s">
        <v>57</v>
      </c>
      <c r="E147" t="s">
        <v>85</v>
      </c>
      <c r="F147" t="s">
        <v>4</v>
      </c>
      <c r="G147" s="3">
        <v>46023</v>
      </c>
      <c r="H147" s="2">
        <v>80</v>
      </c>
      <c r="I147" t="s">
        <v>58</v>
      </c>
      <c r="J147" t="s">
        <v>59</v>
      </c>
      <c r="K147" t="s">
        <v>60</v>
      </c>
      <c r="L147" s="3">
        <v>45954</v>
      </c>
      <c r="M147" s="3">
        <v>46023</v>
      </c>
      <c r="N147" t="s">
        <v>0</v>
      </c>
      <c r="O147">
        <v>7</v>
      </c>
      <c r="P147" t="s">
        <v>51</v>
      </c>
      <c r="Q147" t="s">
        <v>52</v>
      </c>
      <c r="R147" t="s">
        <v>51</v>
      </c>
      <c r="S147" t="s">
        <v>0</v>
      </c>
      <c r="T147" s="3">
        <v>46023</v>
      </c>
      <c r="U147" t="s">
        <v>53</v>
      </c>
      <c r="V147" t="s">
        <v>61</v>
      </c>
      <c r="W147" t="s">
        <v>55</v>
      </c>
      <c r="X147" t="s">
        <v>0</v>
      </c>
    </row>
    <row r="148" spans="1:24" x14ac:dyDescent="0.25">
      <c r="A148" t="s">
        <v>44</v>
      </c>
      <c r="B148" t="s">
        <v>82</v>
      </c>
      <c r="C148" t="s">
        <v>70</v>
      </c>
      <c r="D148" t="s">
        <v>71</v>
      </c>
      <c r="E148" t="s">
        <v>85</v>
      </c>
      <c r="F148" t="s">
        <v>4</v>
      </c>
      <c r="G148" s="3">
        <v>46023</v>
      </c>
      <c r="H148" s="2">
        <v>25</v>
      </c>
      <c r="I148" t="s">
        <v>72</v>
      </c>
      <c r="J148" t="s">
        <v>73</v>
      </c>
      <c r="K148" t="s">
        <v>74</v>
      </c>
      <c r="L148" s="3">
        <v>45972</v>
      </c>
      <c r="M148" s="3">
        <v>46023</v>
      </c>
      <c r="N148" t="s">
        <v>0</v>
      </c>
      <c r="O148">
        <v>6</v>
      </c>
      <c r="P148" t="s">
        <v>51</v>
      </c>
      <c r="Q148" t="s">
        <v>75</v>
      </c>
      <c r="R148" t="s">
        <v>51</v>
      </c>
      <c r="S148" t="s">
        <v>0</v>
      </c>
      <c r="T148" s="3">
        <v>46023</v>
      </c>
      <c r="U148" t="s">
        <v>76</v>
      </c>
      <c r="V148" t="s">
        <v>77</v>
      </c>
      <c r="W148" t="s">
        <v>55</v>
      </c>
      <c r="X148" t="s">
        <v>0</v>
      </c>
    </row>
    <row r="149" spans="1:24" x14ac:dyDescent="0.25">
      <c r="A149" t="s">
        <v>44</v>
      </c>
      <c r="B149" t="s">
        <v>45</v>
      </c>
      <c r="C149" t="s">
        <v>70</v>
      </c>
      <c r="D149" t="s">
        <v>71</v>
      </c>
      <c r="E149" t="s">
        <v>70</v>
      </c>
      <c r="F149" t="s">
        <v>71</v>
      </c>
      <c r="G149" s="3">
        <v>46023</v>
      </c>
      <c r="H149" s="2">
        <v>347</v>
      </c>
      <c r="I149" t="s">
        <v>286</v>
      </c>
      <c r="J149" t="s">
        <v>287</v>
      </c>
      <c r="K149" t="s">
        <v>288</v>
      </c>
      <c r="L149" s="3">
        <v>45973</v>
      </c>
      <c r="M149" s="3">
        <v>46023</v>
      </c>
      <c r="N149" t="s">
        <v>0</v>
      </c>
      <c r="O149">
        <v>3</v>
      </c>
      <c r="P149" t="s">
        <v>51</v>
      </c>
      <c r="Q149" t="s">
        <v>75</v>
      </c>
      <c r="R149" t="s">
        <v>51</v>
      </c>
      <c r="S149" t="s">
        <v>0</v>
      </c>
      <c r="T149" s="3">
        <v>46023</v>
      </c>
      <c r="U149" t="s">
        <v>76</v>
      </c>
      <c r="V149" t="s">
        <v>289</v>
      </c>
      <c r="W149" t="s">
        <v>55</v>
      </c>
      <c r="X149" t="s">
        <v>0</v>
      </c>
    </row>
    <row r="150" spans="1:24" x14ac:dyDescent="0.25">
      <c r="A150" t="s">
        <v>44</v>
      </c>
      <c r="B150" t="s">
        <v>82</v>
      </c>
      <c r="C150" t="s">
        <v>125</v>
      </c>
      <c r="D150" t="s">
        <v>126</v>
      </c>
      <c r="E150" t="s">
        <v>85</v>
      </c>
      <c r="F150" t="s">
        <v>4</v>
      </c>
      <c r="G150" s="3">
        <v>46023</v>
      </c>
      <c r="H150" s="2">
        <v>80</v>
      </c>
      <c r="I150" t="s">
        <v>290</v>
      </c>
      <c r="J150" t="s">
        <v>291</v>
      </c>
      <c r="K150" t="s">
        <v>292</v>
      </c>
      <c r="L150" s="3">
        <v>45967</v>
      </c>
      <c r="M150" s="3">
        <v>46023</v>
      </c>
      <c r="N150" t="s">
        <v>0</v>
      </c>
      <c r="O150">
        <v>3</v>
      </c>
      <c r="P150" t="s">
        <v>51</v>
      </c>
      <c r="Q150" t="s">
        <v>52</v>
      </c>
      <c r="R150" t="s">
        <v>51</v>
      </c>
      <c r="S150" t="s">
        <v>0</v>
      </c>
      <c r="T150" s="3">
        <v>46023</v>
      </c>
      <c r="U150" t="s">
        <v>53</v>
      </c>
      <c r="V150" t="s">
        <v>54</v>
      </c>
      <c r="W150" t="s">
        <v>55</v>
      </c>
      <c r="X150" t="s">
        <v>0</v>
      </c>
    </row>
    <row r="151" spans="1:24" x14ac:dyDescent="0.25">
      <c r="A151" t="s">
        <v>44</v>
      </c>
      <c r="B151" t="s">
        <v>45</v>
      </c>
      <c r="C151" t="s">
        <v>56</v>
      </c>
      <c r="D151" t="s">
        <v>57</v>
      </c>
      <c r="E151" t="s">
        <v>56</v>
      </c>
      <c r="F151" t="s">
        <v>57</v>
      </c>
      <c r="G151" s="3">
        <v>46023</v>
      </c>
      <c r="H151" s="2">
        <v>347</v>
      </c>
      <c r="I151" t="s">
        <v>89</v>
      </c>
      <c r="J151" t="s">
        <v>90</v>
      </c>
      <c r="K151" t="s">
        <v>91</v>
      </c>
      <c r="L151" s="3">
        <v>45969</v>
      </c>
      <c r="M151" s="3">
        <v>46023</v>
      </c>
      <c r="N151" t="s">
        <v>0</v>
      </c>
      <c r="O151">
        <v>5</v>
      </c>
      <c r="P151" t="s">
        <v>51</v>
      </c>
      <c r="Q151" t="s">
        <v>52</v>
      </c>
      <c r="R151" t="s">
        <v>51</v>
      </c>
      <c r="S151" t="s">
        <v>0</v>
      </c>
      <c r="T151" s="3">
        <v>46023</v>
      </c>
      <c r="U151" t="s">
        <v>53</v>
      </c>
      <c r="V151" t="s">
        <v>61</v>
      </c>
      <c r="W151" t="s">
        <v>55</v>
      </c>
      <c r="X151" t="s">
        <v>0</v>
      </c>
    </row>
    <row r="152" spans="1:24" x14ac:dyDescent="0.25">
      <c r="A152" t="s">
        <v>44</v>
      </c>
      <c r="B152" t="s">
        <v>45</v>
      </c>
      <c r="C152" t="s">
        <v>174</v>
      </c>
      <c r="D152" t="s">
        <v>175</v>
      </c>
      <c r="E152" t="s">
        <v>174</v>
      </c>
      <c r="F152" t="s">
        <v>175</v>
      </c>
      <c r="G152" s="3">
        <v>46023</v>
      </c>
      <c r="H152" s="2">
        <v>347</v>
      </c>
      <c r="I152" t="s">
        <v>220</v>
      </c>
      <c r="J152" t="s">
        <v>221</v>
      </c>
      <c r="K152" t="s">
        <v>222</v>
      </c>
      <c r="L152" s="3">
        <v>45972</v>
      </c>
      <c r="M152" s="3">
        <v>46023</v>
      </c>
      <c r="N152" t="s">
        <v>0</v>
      </c>
      <c r="O152">
        <v>6</v>
      </c>
      <c r="P152" t="s">
        <v>51</v>
      </c>
      <c r="Q152" t="s">
        <v>52</v>
      </c>
      <c r="R152" t="s">
        <v>51</v>
      </c>
      <c r="S152" t="s">
        <v>0</v>
      </c>
      <c r="T152" s="3">
        <v>46023</v>
      </c>
      <c r="U152" t="s">
        <v>102</v>
      </c>
      <c r="V152" t="s">
        <v>103</v>
      </c>
      <c r="W152" t="s">
        <v>55</v>
      </c>
      <c r="X152" t="s">
        <v>0</v>
      </c>
    </row>
    <row r="153" spans="1:24" x14ac:dyDescent="0.25">
      <c r="A153" t="s">
        <v>44</v>
      </c>
      <c r="B153" t="s">
        <v>45</v>
      </c>
      <c r="C153" t="s">
        <v>92</v>
      </c>
      <c r="D153" t="s">
        <v>93</v>
      </c>
      <c r="E153" t="s">
        <v>92</v>
      </c>
      <c r="F153" t="s">
        <v>93</v>
      </c>
      <c r="G153" s="3">
        <v>46023</v>
      </c>
      <c r="H153" s="2">
        <v>347</v>
      </c>
      <c r="I153" t="s">
        <v>426</v>
      </c>
      <c r="J153" t="s">
        <v>427</v>
      </c>
      <c r="K153" t="s">
        <v>428</v>
      </c>
      <c r="L153" s="3">
        <v>45975</v>
      </c>
      <c r="M153" s="3">
        <v>46023</v>
      </c>
      <c r="N153" t="s">
        <v>0</v>
      </c>
      <c r="O153">
        <v>5</v>
      </c>
      <c r="P153" t="s">
        <v>51</v>
      </c>
      <c r="Q153" t="s">
        <v>52</v>
      </c>
      <c r="R153" t="s">
        <v>51</v>
      </c>
      <c r="S153" t="s">
        <v>0</v>
      </c>
      <c r="T153" s="3">
        <v>46023</v>
      </c>
      <c r="U153" t="s">
        <v>53</v>
      </c>
      <c r="V153" t="s">
        <v>61</v>
      </c>
      <c r="W153" t="s">
        <v>55</v>
      </c>
      <c r="X153" t="s">
        <v>0</v>
      </c>
    </row>
    <row r="154" spans="1:24" x14ac:dyDescent="0.25">
      <c r="A154" t="s">
        <v>44</v>
      </c>
      <c r="B154" t="s">
        <v>45</v>
      </c>
      <c r="C154" t="s">
        <v>170</v>
      </c>
      <c r="D154" t="s">
        <v>171</v>
      </c>
      <c r="E154" t="s">
        <v>170</v>
      </c>
      <c r="F154" t="s">
        <v>171</v>
      </c>
      <c r="G154" s="3">
        <v>46023</v>
      </c>
      <c r="H154" s="2">
        <v>391</v>
      </c>
      <c r="I154" t="s">
        <v>223</v>
      </c>
      <c r="J154" t="s">
        <v>224</v>
      </c>
      <c r="K154" t="s">
        <v>225</v>
      </c>
      <c r="L154" s="3">
        <v>45968</v>
      </c>
      <c r="M154" s="3">
        <v>46023</v>
      </c>
      <c r="N154" t="s">
        <v>0</v>
      </c>
      <c r="O154">
        <v>4</v>
      </c>
      <c r="P154" t="s">
        <v>51</v>
      </c>
      <c r="Q154" t="s">
        <v>182</v>
      </c>
      <c r="R154" t="s">
        <v>51</v>
      </c>
      <c r="S154" t="s">
        <v>0</v>
      </c>
      <c r="T154" s="3">
        <v>46023</v>
      </c>
      <c r="U154" t="s">
        <v>226</v>
      </c>
      <c r="V154" t="s">
        <v>227</v>
      </c>
      <c r="W154" t="s">
        <v>55</v>
      </c>
      <c r="X154" t="s">
        <v>0</v>
      </c>
    </row>
    <row r="155" spans="1:24" x14ac:dyDescent="0.25">
      <c r="A155" t="s">
        <v>44</v>
      </c>
      <c r="B155" t="s">
        <v>82</v>
      </c>
      <c r="C155" t="s">
        <v>202</v>
      </c>
      <c r="D155" t="s">
        <v>203</v>
      </c>
      <c r="E155" t="s">
        <v>85</v>
      </c>
      <c r="F155" t="s">
        <v>4</v>
      </c>
      <c r="G155" s="3">
        <v>46023</v>
      </c>
      <c r="H155" s="2">
        <v>80</v>
      </c>
      <c r="I155" t="s">
        <v>421</v>
      </c>
      <c r="J155" t="s">
        <v>422</v>
      </c>
      <c r="K155" t="s">
        <v>423</v>
      </c>
      <c r="L155" s="3">
        <v>45979</v>
      </c>
      <c r="M155" s="3">
        <v>46023</v>
      </c>
      <c r="N155" t="s">
        <v>0</v>
      </c>
      <c r="O155">
        <v>4</v>
      </c>
      <c r="P155" t="s">
        <v>51</v>
      </c>
      <c r="Q155" t="s">
        <v>52</v>
      </c>
      <c r="R155" t="s">
        <v>51</v>
      </c>
      <c r="S155" t="s">
        <v>0</v>
      </c>
      <c r="T155" s="3">
        <v>46023</v>
      </c>
      <c r="U155" t="s">
        <v>53</v>
      </c>
      <c r="V155" t="s">
        <v>61</v>
      </c>
      <c r="W155" t="s">
        <v>55</v>
      </c>
      <c r="X155" t="s">
        <v>0</v>
      </c>
    </row>
    <row r="156" spans="1:24" x14ac:dyDescent="0.25">
      <c r="A156" t="s">
        <v>44</v>
      </c>
      <c r="B156" t="s">
        <v>45</v>
      </c>
      <c r="C156" t="s">
        <v>46</v>
      </c>
      <c r="D156" t="s">
        <v>47</v>
      </c>
      <c r="E156" t="s">
        <v>46</v>
      </c>
      <c r="F156" t="s">
        <v>47</v>
      </c>
      <c r="G156" s="3">
        <v>46023</v>
      </c>
      <c r="H156" s="2">
        <v>347</v>
      </c>
      <c r="I156" t="s">
        <v>231</v>
      </c>
      <c r="J156" t="s">
        <v>232</v>
      </c>
      <c r="K156" t="s">
        <v>233</v>
      </c>
      <c r="L156" s="3">
        <v>45982</v>
      </c>
      <c r="M156" s="3">
        <v>46023</v>
      </c>
      <c r="N156" t="s">
        <v>0</v>
      </c>
      <c r="O156">
        <v>2</v>
      </c>
      <c r="P156" t="s">
        <v>51</v>
      </c>
      <c r="Q156" t="s">
        <v>148</v>
      </c>
      <c r="R156" t="s">
        <v>51</v>
      </c>
      <c r="S156" t="s">
        <v>0</v>
      </c>
      <c r="T156" s="3">
        <v>46023</v>
      </c>
      <c r="U156" t="s">
        <v>53</v>
      </c>
      <c r="V156" t="s">
        <v>234</v>
      </c>
      <c r="W156" t="s">
        <v>235</v>
      </c>
      <c r="X156" t="s">
        <v>0</v>
      </c>
    </row>
    <row r="157" spans="1:24" x14ac:dyDescent="0.25">
      <c r="A157" t="s">
        <v>11</v>
      </c>
      <c r="B157" t="s">
        <v>45</v>
      </c>
      <c r="C157" t="s">
        <v>112</v>
      </c>
      <c r="D157" t="s">
        <v>113</v>
      </c>
      <c r="E157" t="s">
        <v>112</v>
      </c>
      <c r="F157" t="s">
        <v>113</v>
      </c>
      <c r="G157" s="3">
        <v>46023</v>
      </c>
      <c r="H157" s="2">
        <v>694</v>
      </c>
      <c r="I157" t="s">
        <v>429</v>
      </c>
      <c r="J157" t="s">
        <v>430</v>
      </c>
      <c r="K157" t="s">
        <v>431</v>
      </c>
      <c r="L157" s="3">
        <v>45985</v>
      </c>
      <c r="M157" s="3">
        <v>46023</v>
      </c>
      <c r="N157" t="s">
        <v>0</v>
      </c>
      <c r="O157">
        <v>1</v>
      </c>
      <c r="P157" t="s">
        <v>152</v>
      </c>
      <c r="Q157" t="s">
        <v>216</v>
      </c>
      <c r="R157" t="s">
        <v>51</v>
      </c>
      <c r="S157" t="s">
        <v>0</v>
      </c>
      <c r="T157" s="3">
        <v>46023</v>
      </c>
      <c r="U157" t="s">
        <v>217</v>
      </c>
      <c r="V157" t="s">
        <v>432</v>
      </c>
      <c r="W157" t="s">
        <v>219</v>
      </c>
      <c r="X157" t="s">
        <v>0</v>
      </c>
    </row>
    <row r="158" spans="1:24" x14ac:dyDescent="0.25">
      <c r="A158" t="s">
        <v>11</v>
      </c>
      <c r="B158" t="s">
        <v>82</v>
      </c>
      <c r="C158" t="s">
        <v>112</v>
      </c>
      <c r="D158" t="s">
        <v>113</v>
      </c>
      <c r="E158" t="s">
        <v>85</v>
      </c>
      <c r="F158" t="s">
        <v>4</v>
      </c>
      <c r="G158" s="3">
        <v>46023</v>
      </c>
      <c r="H158" s="2">
        <v>80</v>
      </c>
      <c r="I158" t="s">
        <v>429</v>
      </c>
      <c r="J158" t="s">
        <v>430</v>
      </c>
      <c r="K158" t="s">
        <v>431</v>
      </c>
      <c r="L158" s="3">
        <v>45985</v>
      </c>
      <c r="M158" s="3">
        <v>46023</v>
      </c>
      <c r="N158" t="s">
        <v>0</v>
      </c>
      <c r="O158">
        <v>1</v>
      </c>
      <c r="P158" t="s">
        <v>152</v>
      </c>
      <c r="Q158" t="s">
        <v>216</v>
      </c>
      <c r="R158" t="s">
        <v>51</v>
      </c>
      <c r="S158" t="s">
        <v>0</v>
      </c>
      <c r="T158" s="3">
        <v>46023</v>
      </c>
      <c r="U158" t="s">
        <v>217</v>
      </c>
      <c r="V158" t="s">
        <v>432</v>
      </c>
      <c r="W158" t="s">
        <v>219</v>
      </c>
      <c r="X158" t="s">
        <v>0</v>
      </c>
    </row>
    <row r="159" spans="1:24" x14ac:dyDescent="0.25">
      <c r="A159" t="s">
        <v>11</v>
      </c>
      <c r="B159" t="s">
        <v>82</v>
      </c>
      <c r="C159" t="s">
        <v>56</v>
      </c>
      <c r="D159" t="s">
        <v>57</v>
      </c>
      <c r="E159" t="s">
        <v>85</v>
      </c>
      <c r="F159" t="s">
        <v>4</v>
      </c>
      <c r="G159" s="3">
        <v>46023</v>
      </c>
      <c r="H159" s="2">
        <v>80</v>
      </c>
      <c r="I159" t="s">
        <v>236</v>
      </c>
      <c r="J159" t="s">
        <v>237</v>
      </c>
      <c r="K159" t="s">
        <v>238</v>
      </c>
      <c r="L159" s="3">
        <v>45982</v>
      </c>
      <c r="M159" s="3">
        <v>46023</v>
      </c>
      <c r="N159" t="s">
        <v>0</v>
      </c>
      <c r="O159">
        <v>1</v>
      </c>
      <c r="P159" t="s">
        <v>81</v>
      </c>
      <c r="Q159" t="s">
        <v>52</v>
      </c>
      <c r="R159" t="s">
        <v>51</v>
      </c>
      <c r="S159" t="s">
        <v>0</v>
      </c>
      <c r="T159" s="3">
        <v>46023</v>
      </c>
      <c r="U159" t="s">
        <v>53</v>
      </c>
      <c r="V159" t="s">
        <v>61</v>
      </c>
      <c r="W159" t="s">
        <v>55</v>
      </c>
      <c r="X159" t="s">
        <v>0</v>
      </c>
    </row>
    <row r="160" spans="1:24" x14ac:dyDescent="0.25">
      <c r="A160" t="s">
        <v>44</v>
      </c>
      <c r="B160" t="s">
        <v>45</v>
      </c>
      <c r="C160" t="s">
        <v>62</v>
      </c>
      <c r="D160" t="s">
        <v>63</v>
      </c>
      <c r="E160" t="s">
        <v>62</v>
      </c>
      <c r="F160" t="s">
        <v>63</v>
      </c>
      <c r="G160" s="3">
        <v>46023</v>
      </c>
      <c r="H160" s="2">
        <v>347</v>
      </c>
      <c r="I160" t="s">
        <v>104</v>
      </c>
      <c r="J160" t="s">
        <v>105</v>
      </c>
      <c r="K160" t="s">
        <v>106</v>
      </c>
      <c r="L160" s="3">
        <v>45987</v>
      </c>
      <c r="M160" s="3">
        <v>46023</v>
      </c>
      <c r="N160" t="s">
        <v>0</v>
      </c>
      <c r="O160">
        <v>5</v>
      </c>
      <c r="P160" t="s">
        <v>51</v>
      </c>
      <c r="Q160" t="s">
        <v>67</v>
      </c>
      <c r="R160" t="s">
        <v>51</v>
      </c>
      <c r="S160" t="s">
        <v>0</v>
      </c>
      <c r="T160" s="3">
        <v>46023</v>
      </c>
      <c r="U160" t="s">
        <v>68</v>
      </c>
      <c r="V160" t="s">
        <v>107</v>
      </c>
      <c r="W160" t="s">
        <v>55</v>
      </c>
      <c r="X160" t="s">
        <v>0</v>
      </c>
    </row>
    <row r="161" spans="1:24" x14ac:dyDescent="0.25">
      <c r="A161" t="s">
        <v>44</v>
      </c>
      <c r="B161" t="s">
        <v>82</v>
      </c>
      <c r="C161" t="s">
        <v>369</v>
      </c>
      <c r="D161" t="s">
        <v>370</v>
      </c>
      <c r="E161" t="s">
        <v>85</v>
      </c>
      <c r="F161" t="s">
        <v>4</v>
      </c>
      <c r="G161" s="3">
        <v>46023</v>
      </c>
      <c r="H161" s="2">
        <v>80</v>
      </c>
      <c r="I161" t="s">
        <v>433</v>
      </c>
      <c r="J161" t="s">
        <v>434</v>
      </c>
      <c r="K161" t="s">
        <v>435</v>
      </c>
      <c r="L161" s="3">
        <v>45990</v>
      </c>
      <c r="M161" s="3">
        <v>46023</v>
      </c>
      <c r="N161" t="s">
        <v>0</v>
      </c>
      <c r="O161" t="s">
        <v>111</v>
      </c>
      <c r="P161" t="s">
        <v>0</v>
      </c>
      <c r="Q161" t="s">
        <v>436</v>
      </c>
      <c r="R161" t="s">
        <v>51</v>
      </c>
      <c r="S161" t="s">
        <v>0</v>
      </c>
      <c r="T161" s="3">
        <v>46023</v>
      </c>
      <c r="U161" t="s">
        <v>437</v>
      </c>
      <c r="V161" t="s">
        <v>119</v>
      </c>
      <c r="W161" t="s">
        <v>219</v>
      </c>
      <c r="X161" t="s">
        <v>0</v>
      </c>
    </row>
    <row r="162" spans="1:24" x14ac:dyDescent="0.25">
      <c r="A162" t="s">
        <v>44</v>
      </c>
      <c r="B162" t="s">
        <v>45</v>
      </c>
      <c r="C162" t="s">
        <v>97</v>
      </c>
      <c r="D162" t="s">
        <v>98</v>
      </c>
      <c r="E162" t="s">
        <v>97</v>
      </c>
      <c r="F162" t="s">
        <v>98</v>
      </c>
      <c r="G162" s="3">
        <v>46023</v>
      </c>
      <c r="H162" s="2">
        <v>347</v>
      </c>
      <c r="I162" t="s">
        <v>357</v>
      </c>
      <c r="J162" t="s">
        <v>358</v>
      </c>
      <c r="K162" t="s">
        <v>359</v>
      </c>
      <c r="L162" s="3">
        <v>45994</v>
      </c>
      <c r="M162" s="3">
        <v>46023</v>
      </c>
      <c r="N162" t="s">
        <v>0</v>
      </c>
      <c r="O162" t="s">
        <v>111</v>
      </c>
      <c r="P162" t="s">
        <v>0</v>
      </c>
      <c r="Q162" t="s">
        <v>52</v>
      </c>
      <c r="R162" t="s">
        <v>51</v>
      </c>
      <c r="S162" t="s">
        <v>0</v>
      </c>
      <c r="T162" s="3">
        <v>46023</v>
      </c>
      <c r="U162" t="s">
        <v>53</v>
      </c>
      <c r="V162" t="s">
        <v>54</v>
      </c>
      <c r="W162" t="s">
        <v>55</v>
      </c>
      <c r="X162" t="s">
        <v>0</v>
      </c>
    </row>
    <row r="163" spans="1:24" x14ac:dyDescent="0.25">
      <c r="A163" t="s">
        <v>44</v>
      </c>
      <c r="B163" t="s">
        <v>45</v>
      </c>
      <c r="C163" t="s">
        <v>369</v>
      </c>
      <c r="D163" t="s">
        <v>370</v>
      </c>
      <c r="E163" t="s">
        <v>369</v>
      </c>
      <c r="F163" t="s">
        <v>370</v>
      </c>
      <c r="G163" s="3">
        <v>46023</v>
      </c>
      <c r="H163" s="2">
        <v>347</v>
      </c>
      <c r="I163">
        <v>36877815</v>
      </c>
      <c r="J163" t="s">
        <v>394</v>
      </c>
      <c r="K163" t="s">
        <v>395</v>
      </c>
      <c r="L163" s="3">
        <v>45987</v>
      </c>
      <c r="M163" s="3">
        <v>46023</v>
      </c>
      <c r="N163" t="s">
        <v>0</v>
      </c>
      <c r="O163" t="s">
        <v>111</v>
      </c>
      <c r="P163" t="s">
        <v>0</v>
      </c>
      <c r="Q163" t="s">
        <v>52</v>
      </c>
      <c r="R163" t="s">
        <v>51</v>
      </c>
      <c r="S163" t="s">
        <v>0</v>
      </c>
      <c r="T163" s="3">
        <v>46023</v>
      </c>
      <c r="U163" t="s">
        <v>53</v>
      </c>
      <c r="V163" t="s">
        <v>54</v>
      </c>
      <c r="W163" t="s">
        <v>55</v>
      </c>
      <c r="X163" t="s">
        <v>0</v>
      </c>
    </row>
    <row r="164" spans="1:24" x14ac:dyDescent="0.25">
      <c r="A164" t="s">
        <v>44</v>
      </c>
      <c r="B164" t="s">
        <v>45</v>
      </c>
      <c r="C164" t="s">
        <v>399</v>
      </c>
      <c r="D164" t="s">
        <v>400</v>
      </c>
      <c r="E164" t="s">
        <v>399</v>
      </c>
      <c r="F164" t="s">
        <v>400</v>
      </c>
      <c r="G164" s="3">
        <v>46023</v>
      </c>
      <c r="H164" s="2">
        <v>57</v>
      </c>
      <c r="I164">
        <v>20446316001</v>
      </c>
      <c r="J164" t="s">
        <v>401</v>
      </c>
      <c r="K164" t="s">
        <v>402</v>
      </c>
      <c r="L164" s="3">
        <v>45950</v>
      </c>
      <c r="M164" s="3">
        <v>46023</v>
      </c>
      <c r="N164" t="s">
        <v>0</v>
      </c>
      <c r="O164">
        <v>2</v>
      </c>
      <c r="P164" t="s">
        <v>152</v>
      </c>
      <c r="Q164" t="s">
        <v>182</v>
      </c>
      <c r="R164" t="s">
        <v>152</v>
      </c>
      <c r="S164" t="s">
        <v>0</v>
      </c>
      <c r="T164" s="3">
        <v>46023</v>
      </c>
      <c r="U164" t="s">
        <v>153</v>
      </c>
      <c r="V164" t="s">
        <v>183</v>
      </c>
      <c r="W164" t="s">
        <v>55</v>
      </c>
      <c r="X164" t="s">
        <v>0</v>
      </c>
    </row>
    <row r="165" spans="1:24" x14ac:dyDescent="0.25">
      <c r="A165" t="s">
        <v>44</v>
      </c>
      <c r="B165" t="s">
        <v>45</v>
      </c>
      <c r="C165" t="s">
        <v>438</v>
      </c>
      <c r="D165" t="s">
        <v>439</v>
      </c>
      <c r="E165" t="s">
        <v>438</v>
      </c>
      <c r="F165" t="s">
        <v>439</v>
      </c>
      <c r="G165" s="3">
        <v>46023</v>
      </c>
      <c r="H165" s="2">
        <v>57</v>
      </c>
      <c r="I165">
        <v>20463533801</v>
      </c>
      <c r="J165" t="s">
        <v>440</v>
      </c>
      <c r="K165" t="s">
        <v>441</v>
      </c>
      <c r="L165" s="3">
        <v>45958</v>
      </c>
      <c r="M165" s="3">
        <v>46023</v>
      </c>
      <c r="N165" t="s">
        <v>0</v>
      </c>
      <c r="O165">
        <v>2</v>
      </c>
      <c r="P165" t="s">
        <v>152</v>
      </c>
      <c r="Q165" t="s">
        <v>52</v>
      </c>
      <c r="R165" t="s">
        <v>152</v>
      </c>
      <c r="S165" t="s">
        <v>0</v>
      </c>
      <c r="T165" s="3">
        <v>46023</v>
      </c>
      <c r="U165" t="s">
        <v>153</v>
      </c>
      <c r="V165" t="s">
        <v>159</v>
      </c>
      <c r="W165" t="s">
        <v>55</v>
      </c>
      <c r="X165" t="s">
        <v>0</v>
      </c>
    </row>
    <row r="166" spans="1:24" x14ac:dyDescent="0.25">
      <c r="A166" t="s">
        <v>44</v>
      </c>
      <c r="B166" t="s">
        <v>82</v>
      </c>
      <c r="C166" t="s">
        <v>438</v>
      </c>
      <c r="D166" t="s">
        <v>439</v>
      </c>
      <c r="E166" t="s">
        <v>85</v>
      </c>
      <c r="F166" t="s">
        <v>4</v>
      </c>
      <c r="G166" s="3">
        <v>46023</v>
      </c>
      <c r="H166" s="2">
        <v>3</v>
      </c>
      <c r="I166">
        <v>20463533801</v>
      </c>
      <c r="J166" t="s">
        <v>440</v>
      </c>
      <c r="K166" t="s">
        <v>441</v>
      </c>
      <c r="L166" s="3">
        <v>45958</v>
      </c>
      <c r="M166" s="3">
        <v>46023</v>
      </c>
      <c r="N166" t="s">
        <v>0</v>
      </c>
      <c r="O166">
        <v>2</v>
      </c>
      <c r="P166" t="s">
        <v>152</v>
      </c>
      <c r="Q166" t="s">
        <v>52</v>
      </c>
      <c r="R166" t="s">
        <v>152</v>
      </c>
      <c r="S166" t="s">
        <v>0</v>
      </c>
      <c r="T166" s="3">
        <v>46023</v>
      </c>
      <c r="U166" t="s">
        <v>153</v>
      </c>
      <c r="V166" t="s">
        <v>159</v>
      </c>
      <c r="W166" t="s">
        <v>55</v>
      </c>
      <c r="X166" t="s">
        <v>0</v>
      </c>
    </row>
    <row r="167" spans="1:24" x14ac:dyDescent="0.25">
      <c r="A167" t="s">
        <v>11</v>
      </c>
      <c r="B167" t="s">
        <v>45</v>
      </c>
      <c r="C167" t="s">
        <v>369</v>
      </c>
      <c r="D167" t="s">
        <v>370</v>
      </c>
      <c r="E167" t="s">
        <v>369</v>
      </c>
      <c r="F167" t="s">
        <v>370</v>
      </c>
      <c r="G167" s="3">
        <v>46023</v>
      </c>
      <c r="H167" s="2">
        <v>114</v>
      </c>
      <c r="I167">
        <v>20470899401</v>
      </c>
      <c r="J167" t="s">
        <v>371</v>
      </c>
      <c r="K167" t="s">
        <v>372</v>
      </c>
      <c r="L167" s="3">
        <v>45961</v>
      </c>
      <c r="M167" s="3">
        <v>46023</v>
      </c>
      <c r="N167" t="s">
        <v>0</v>
      </c>
      <c r="O167">
        <v>1</v>
      </c>
      <c r="P167" t="s">
        <v>51</v>
      </c>
      <c r="Q167" t="s">
        <v>52</v>
      </c>
      <c r="R167" t="s">
        <v>152</v>
      </c>
      <c r="S167" t="s">
        <v>0</v>
      </c>
      <c r="T167" s="3">
        <v>46023</v>
      </c>
      <c r="U167" t="s">
        <v>153</v>
      </c>
      <c r="V167" t="s">
        <v>159</v>
      </c>
      <c r="W167" t="s">
        <v>55</v>
      </c>
      <c r="X167" t="s">
        <v>0</v>
      </c>
    </row>
    <row r="168" spans="1:24" x14ac:dyDescent="0.25">
      <c r="A168" t="s">
        <v>11</v>
      </c>
      <c r="B168" t="s">
        <v>45</v>
      </c>
      <c r="C168" t="s">
        <v>112</v>
      </c>
      <c r="D168" t="s">
        <v>113</v>
      </c>
      <c r="E168" t="s">
        <v>112</v>
      </c>
      <c r="F168" t="s">
        <v>113</v>
      </c>
      <c r="G168" s="3">
        <v>46023</v>
      </c>
      <c r="H168" s="2">
        <v>114</v>
      </c>
      <c r="I168">
        <v>20562857101</v>
      </c>
      <c r="J168" t="s">
        <v>442</v>
      </c>
      <c r="K168" t="s">
        <v>443</v>
      </c>
      <c r="L168" s="3">
        <v>45976</v>
      </c>
      <c r="M168" s="3">
        <v>46023</v>
      </c>
      <c r="N168" t="s">
        <v>0</v>
      </c>
      <c r="O168">
        <v>1</v>
      </c>
      <c r="P168" t="s">
        <v>51</v>
      </c>
      <c r="Q168" t="s">
        <v>148</v>
      </c>
      <c r="R168" t="s">
        <v>152</v>
      </c>
      <c r="S168" t="s">
        <v>0</v>
      </c>
      <c r="T168" s="3">
        <v>46023</v>
      </c>
      <c r="U168" t="s">
        <v>153</v>
      </c>
      <c r="V168" t="s">
        <v>336</v>
      </c>
      <c r="W168" t="s">
        <v>55</v>
      </c>
      <c r="X168" t="s">
        <v>0</v>
      </c>
    </row>
    <row r="169" spans="1:24" x14ac:dyDescent="0.25">
      <c r="A169" t="s">
        <v>11</v>
      </c>
      <c r="B169" t="s">
        <v>82</v>
      </c>
      <c r="C169" t="s">
        <v>112</v>
      </c>
      <c r="D169" t="s">
        <v>113</v>
      </c>
      <c r="E169" t="s">
        <v>85</v>
      </c>
      <c r="F169" t="s">
        <v>4</v>
      </c>
      <c r="G169" s="3">
        <v>46023</v>
      </c>
      <c r="H169" s="2">
        <v>5.5</v>
      </c>
      <c r="I169">
        <v>20562857101</v>
      </c>
      <c r="J169" t="s">
        <v>442</v>
      </c>
      <c r="K169" t="s">
        <v>443</v>
      </c>
      <c r="L169" s="3">
        <v>45976</v>
      </c>
      <c r="M169" s="3">
        <v>46023</v>
      </c>
      <c r="N169" t="s">
        <v>0</v>
      </c>
      <c r="O169">
        <v>1</v>
      </c>
      <c r="P169" t="s">
        <v>51</v>
      </c>
      <c r="Q169" t="s">
        <v>148</v>
      </c>
      <c r="R169" t="s">
        <v>152</v>
      </c>
      <c r="S169" t="s">
        <v>0</v>
      </c>
      <c r="T169" s="3">
        <v>46023</v>
      </c>
      <c r="U169" t="s">
        <v>153</v>
      </c>
      <c r="V169" t="s">
        <v>336</v>
      </c>
      <c r="W169" t="s">
        <v>55</v>
      </c>
      <c r="X169" t="s">
        <v>0</v>
      </c>
    </row>
    <row r="170" spans="1:24" x14ac:dyDescent="0.25">
      <c r="A170" t="s">
        <v>11</v>
      </c>
      <c r="B170" t="s">
        <v>45</v>
      </c>
      <c r="C170" t="s">
        <v>160</v>
      </c>
      <c r="D170" t="s">
        <v>161</v>
      </c>
      <c r="E170" t="s">
        <v>160</v>
      </c>
      <c r="F170" t="s">
        <v>161</v>
      </c>
      <c r="G170" s="3">
        <v>46023</v>
      </c>
      <c r="H170" s="2">
        <v>114</v>
      </c>
      <c r="I170">
        <v>20591390801</v>
      </c>
      <c r="J170" t="s">
        <v>162</v>
      </c>
      <c r="K170" t="s">
        <v>163</v>
      </c>
      <c r="L170" s="3">
        <v>45987</v>
      </c>
      <c r="M170" s="3">
        <v>46023</v>
      </c>
      <c r="N170" t="s">
        <v>0</v>
      </c>
      <c r="O170">
        <v>1</v>
      </c>
      <c r="P170" t="s">
        <v>51</v>
      </c>
      <c r="Q170" t="s">
        <v>52</v>
      </c>
      <c r="R170" t="s">
        <v>152</v>
      </c>
      <c r="S170" t="s">
        <v>0</v>
      </c>
      <c r="T170" s="3">
        <v>46023</v>
      </c>
      <c r="U170" t="s">
        <v>153</v>
      </c>
      <c r="V170" t="s">
        <v>159</v>
      </c>
      <c r="W170" t="s">
        <v>55</v>
      </c>
      <c r="X170" t="s">
        <v>0</v>
      </c>
    </row>
    <row r="171" spans="1:24" x14ac:dyDescent="0.25">
      <c r="A171" t="s">
        <v>44</v>
      </c>
      <c r="B171" t="s">
        <v>82</v>
      </c>
      <c r="C171" t="s">
        <v>83</v>
      </c>
      <c r="D171" t="s">
        <v>84</v>
      </c>
      <c r="E171" t="s">
        <v>85</v>
      </c>
      <c r="F171" t="s">
        <v>4</v>
      </c>
      <c r="G171" s="3">
        <v>46023</v>
      </c>
      <c r="H171" s="2">
        <v>3</v>
      </c>
      <c r="I171">
        <v>18111515501</v>
      </c>
      <c r="J171" t="s">
        <v>444</v>
      </c>
      <c r="K171" t="s">
        <v>445</v>
      </c>
      <c r="L171" s="3">
        <v>45985</v>
      </c>
      <c r="M171" s="3">
        <v>46023</v>
      </c>
      <c r="N171" t="s">
        <v>0</v>
      </c>
      <c r="O171">
        <v>3</v>
      </c>
      <c r="P171" t="s">
        <v>152</v>
      </c>
      <c r="Q171" t="s">
        <v>67</v>
      </c>
      <c r="R171" t="s">
        <v>152</v>
      </c>
      <c r="S171" t="s">
        <v>0</v>
      </c>
      <c r="T171" s="3">
        <v>46023</v>
      </c>
      <c r="U171" t="s">
        <v>153</v>
      </c>
      <c r="V171" t="s">
        <v>154</v>
      </c>
      <c r="W171" t="s">
        <v>55</v>
      </c>
      <c r="X171" t="s">
        <v>0</v>
      </c>
    </row>
    <row r="172" spans="1:24" x14ac:dyDescent="0.25">
      <c r="A172" t="s">
        <v>44</v>
      </c>
      <c r="B172" t="s">
        <v>45</v>
      </c>
      <c r="C172" t="s">
        <v>140</v>
      </c>
      <c r="D172" t="s">
        <v>141</v>
      </c>
      <c r="E172" t="s">
        <v>140</v>
      </c>
      <c r="F172" t="s">
        <v>141</v>
      </c>
      <c r="G172" s="3">
        <v>46023</v>
      </c>
      <c r="H172" s="2">
        <v>57</v>
      </c>
      <c r="I172">
        <v>16251799901</v>
      </c>
      <c r="J172" t="s">
        <v>424</v>
      </c>
      <c r="K172" t="s">
        <v>425</v>
      </c>
      <c r="L172" s="3">
        <v>45986</v>
      </c>
      <c r="M172" s="3">
        <v>46023</v>
      </c>
      <c r="N172" t="s">
        <v>0</v>
      </c>
      <c r="O172">
        <v>14</v>
      </c>
      <c r="P172" t="s">
        <v>152</v>
      </c>
      <c r="Q172" t="s">
        <v>52</v>
      </c>
      <c r="R172" t="s">
        <v>152</v>
      </c>
      <c r="S172" t="s">
        <v>0</v>
      </c>
      <c r="T172" s="3">
        <v>46023</v>
      </c>
      <c r="U172" t="s">
        <v>153</v>
      </c>
      <c r="V172" t="s">
        <v>159</v>
      </c>
      <c r="W172" t="s">
        <v>55</v>
      </c>
      <c r="X172" t="s">
        <v>0</v>
      </c>
    </row>
    <row r="173" spans="1:24" x14ac:dyDescent="0.25">
      <c r="A173" t="s">
        <v>44</v>
      </c>
      <c r="B173" t="s">
        <v>82</v>
      </c>
      <c r="C173" t="s">
        <v>83</v>
      </c>
      <c r="D173" t="s">
        <v>84</v>
      </c>
      <c r="E173" t="s">
        <v>85</v>
      </c>
      <c r="F173" t="s">
        <v>4</v>
      </c>
      <c r="G173" s="3">
        <v>46023</v>
      </c>
      <c r="H173" s="2">
        <v>3</v>
      </c>
      <c r="I173">
        <v>20600113301</v>
      </c>
      <c r="J173" t="s">
        <v>446</v>
      </c>
      <c r="K173" t="s">
        <v>447</v>
      </c>
      <c r="L173" s="3">
        <v>45992</v>
      </c>
      <c r="M173" s="3">
        <v>46023</v>
      </c>
      <c r="N173" t="s">
        <v>0</v>
      </c>
      <c r="O173" t="s">
        <v>111</v>
      </c>
      <c r="P173" t="s">
        <v>0</v>
      </c>
      <c r="Q173" t="s">
        <v>67</v>
      </c>
      <c r="R173" t="s">
        <v>152</v>
      </c>
      <c r="S173" t="s">
        <v>0</v>
      </c>
      <c r="T173" s="3">
        <v>46023</v>
      </c>
      <c r="U173" t="s">
        <v>153</v>
      </c>
      <c r="V173" t="s">
        <v>154</v>
      </c>
      <c r="W173" t="s">
        <v>55</v>
      </c>
      <c r="X173" t="s">
        <v>0</v>
      </c>
    </row>
    <row r="174" spans="1:24" x14ac:dyDescent="0.25">
      <c r="A174" t="s">
        <v>44</v>
      </c>
      <c r="B174" t="s">
        <v>82</v>
      </c>
      <c r="C174" t="s">
        <v>174</v>
      </c>
      <c r="D174" t="s">
        <v>175</v>
      </c>
      <c r="E174" t="s">
        <v>85</v>
      </c>
      <c r="F174" t="s">
        <v>4</v>
      </c>
      <c r="G174" s="3">
        <v>46023</v>
      </c>
      <c r="H174" s="2">
        <v>3</v>
      </c>
      <c r="I174">
        <v>20617283501</v>
      </c>
      <c r="J174" t="s">
        <v>411</v>
      </c>
      <c r="K174" t="s">
        <v>412</v>
      </c>
      <c r="L174" s="3">
        <v>45994</v>
      </c>
      <c r="M174" s="3">
        <v>46023</v>
      </c>
      <c r="N174" t="s">
        <v>0</v>
      </c>
      <c r="O174" t="s">
        <v>111</v>
      </c>
      <c r="P174" t="s">
        <v>0</v>
      </c>
      <c r="Q174" t="s">
        <v>52</v>
      </c>
      <c r="R174" t="s">
        <v>152</v>
      </c>
      <c r="S174" t="s">
        <v>0</v>
      </c>
      <c r="T174" s="3">
        <v>46023</v>
      </c>
      <c r="U174" t="s">
        <v>153</v>
      </c>
      <c r="V174" t="s">
        <v>159</v>
      </c>
      <c r="W174" t="s">
        <v>55</v>
      </c>
      <c r="X174" t="s">
        <v>0</v>
      </c>
    </row>
    <row r="175" spans="1:24" x14ac:dyDescent="0.25">
      <c r="A175" t="s">
        <v>44</v>
      </c>
      <c r="B175" t="s">
        <v>45</v>
      </c>
      <c r="C175" t="s">
        <v>170</v>
      </c>
      <c r="D175" t="s">
        <v>171</v>
      </c>
      <c r="E175" t="s">
        <v>170</v>
      </c>
      <c r="F175" t="s">
        <v>171</v>
      </c>
      <c r="G175" s="3">
        <v>46023</v>
      </c>
      <c r="H175" s="2">
        <v>57</v>
      </c>
      <c r="I175">
        <v>20623765301</v>
      </c>
      <c r="J175" t="s">
        <v>172</v>
      </c>
      <c r="K175" t="s">
        <v>173</v>
      </c>
      <c r="L175" s="3">
        <v>45995</v>
      </c>
      <c r="M175" s="3">
        <v>46023</v>
      </c>
      <c r="N175" t="s">
        <v>0</v>
      </c>
      <c r="O175" t="s">
        <v>111</v>
      </c>
      <c r="P175" t="s">
        <v>0</v>
      </c>
      <c r="Q175" t="s">
        <v>67</v>
      </c>
      <c r="R175" t="s">
        <v>152</v>
      </c>
      <c r="S175" t="s">
        <v>0</v>
      </c>
      <c r="T175" s="3">
        <v>46023</v>
      </c>
      <c r="U175" t="s">
        <v>153</v>
      </c>
      <c r="V175" t="s">
        <v>154</v>
      </c>
      <c r="W175" t="s">
        <v>55</v>
      </c>
      <c r="X175" t="s">
        <v>0</v>
      </c>
    </row>
    <row r="176" spans="1:24" x14ac:dyDescent="0.25">
      <c r="A176" t="s">
        <v>44</v>
      </c>
      <c r="B176" t="s">
        <v>45</v>
      </c>
      <c r="C176" t="s">
        <v>46</v>
      </c>
      <c r="D176" t="s">
        <v>47</v>
      </c>
      <c r="E176" t="s">
        <v>46</v>
      </c>
      <c r="F176" t="s">
        <v>47</v>
      </c>
      <c r="G176" s="3">
        <v>46023</v>
      </c>
      <c r="H176" s="2">
        <v>57</v>
      </c>
      <c r="I176">
        <v>20641792501</v>
      </c>
      <c r="J176" t="s">
        <v>268</v>
      </c>
      <c r="K176" t="s">
        <v>269</v>
      </c>
      <c r="L176" s="3">
        <v>45998</v>
      </c>
      <c r="M176" s="3">
        <v>46023</v>
      </c>
      <c r="N176" t="s">
        <v>0</v>
      </c>
      <c r="O176" t="s">
        <v>111</v>
      </c>
      <c r="P176" t="s">
        <v>0</v>
      </c>
      <c r="Q176" t="s">
        <v>270</v>
      </c>
      <c r="R176" t="s">
        <v>152</v>
      </c>
      <c r="S176" t="s">
        <v>0</v>
      </c>
      <c r="T176" s="3">
        <v>46023</v>
      </c>
      <c r="U176" t="s">
        <v>153</v>
      </c>
      <c r="V176" t="s">
        <v>271</v>
      </c>
      <c r="W176" t="s">
        <v>55</v>
      </c>
      <c r="X176" t="s">
        <v>0</v>
      </c>
    </row>
    <row r="177" spans="1:24" x14ac:dyDescent="0.25">
      <c r="A177" t="s">
        <v>44</v>
      </c>
      <c r="B177" t="s">
        <v>82</v>
      </c>
      <c r="C177" t="s">
        <v>83</v>
      </c>
      <c r="D177" t="s">
        <v>84</v>
      </c>
      <c r="E177" t="s">
        <v>85</v>
      </c>
      <c r="F177" t="s">
        <v>4</v>
      </c>
      <c r="G177" s="3">
        <v>46023</v>
      </c>
      <c r="H177" s="2">
        <v>80</v>
      </c>
      <c r="I177" t="s">
        <v>448</v>
      </c>
      <c r="J177" t="s">
        <v>449</v>
      </c>
      <c r="K177" t="s">
        <v>450</v>
      </c>
      <c r="L177" s="3">
        <v>45951</v>
      </c>
      <c r="M177" s="3">
        <v>46023</v>
      </c>
      <c r="N177" t="s">
        <v>0</v>
      </c>
      <c r="O177">
        <v>2</v>
      </c>
      <c r="P177" t="s">
        <v>51</v>
      </c>
      <c r="Q177" t="s">
        <v>67</v>
      </c>
      <c r="R177" t="s">
        <v>51</v>
      </c>
      <c r="S177" t="s">
        <v>0</v>
      </c>
      <c r="T177" s="3">
        <v>46023</v>
      </c>
      <c r="U177" t="s">
        <v>68</v>
      </c>
      <c r="V177" t="s">
        <v>69</v>
      </c>
      <c r="W177" t="s">
        <v>55</v>
      </c>
      <c r="X177" t="s">
        <v>0</v>
      </c>
    </row>
    <row r="178" spans="1:24" x14ac:dyDescent="0.25">
      <c r="A178" t="s">
        <v>44</v>
      </c>
      <c r="B178" t="s">
        <v>45</v>
      </c>
      <c r="C178" t="s">
        <v>125</v>
      </c>
      <c r="D178" t="s">
        <v>126</v>
      </c>
      <c r="E178" t="s">
        <v>125</v>
      </c>
      <c r="F178" t="s">
        <v>126</v>
      </c>
      <c r="G178" s="3">
        <v>46023</v>
      </c>
      <c r="H178" s="2">
        <v>347</v>
      </c>
      <c r="I178" t="s">
        <v>418</v>
      </c>
      <c r="J178" t="s">
        <v>419</v>
      </c>
      <c r="K178" t="s">
        <v>420</v>
      </c>
      <c r="L178" s="3">
        <v>45975</v>
      </c>
      <c r="M178" s="3">
        <v>46023</v>
      </c>
      <c r="N178" t="s">
        <v>0</v>
      </c>
      <c r="O178">
        <v>4</v>
      </c>
      <c r="P178" t="s">
        <v>51</v>
      </c>
      <c r="Q178" t="s">
        <v>52</v>
      </c>
      <c r="R178" t="s">
        <v>51</v>
      </c>
      <c r="S178" t="s">
        <v>0</v>
      </c>
      <c r="T178" s="3">
        <v>46023</v>
      </c>
      <c r="U178" t="s">
        <v>53</v>
      </c>
      <c r="V178" t="s">
        <v>54</v>
      </c>
      <c r="W178" t="s">
        <v>55</v>
      </c>
      <c r="X178" t="s">
        <v>0</v>
      </c>
    </row>
    <row r="179" spans="1:24" x14ac:dyDescent="0.25">
      <c r="A179" t="s">
        <v>44</v>
      </c>
      <c r="B179" t="s">
        <v>82</v>
      </c>
      <c r="C179" t="s">
        <v>377</v>
      </c>
      <c r="D179" t="s">
        <v>378</v>
      </c>
      <c r="E179" t="s">
        <v>85</v>
      </c>
      <c r="F179" t="s">
        <v>4</v>
      </c>
      <c r="G179" s="3">
        <v>46023</v>
      </c>
      <c r="H179" s="2">
        <v>80</v>
      </c>
      <c r="I179" t="s">
        <v>379</v>
      </c>
      <c r="J179" t="s">
        <v>380</v>
      </c>
      <c r="K179" t="s">
        <v>381</v>
      </c>
      <c r="L179" s="3">
        <v>45973</v>
      </c>
      <c r="M179" s="3">
        <v>46023</v>
      </c>
      <c r="N179" t="s">
        <v>0</v>
      </c>
      <c r="O179">
        <v>2</v>
      </c>
      <c r="P179" t="s">
        <v>51</v>
      </c>
      <c r="Q179" t="s">
        <v>75</v>
      </c>
      <c r="R179" t="s">
        <v>51</v>
      </c>
      <c r="S179" t="s">
        <v>0</v>
      </c>
      <c r="T179" s="3">
        <v>46023</v>
      </c>
      <c r="U179" t="s">
        <v>76</v>
      </c>
      <c r="V179" t="s">
        <v>382</v>
      </c>
      <c r="W179" t="s">
        <v>55</v>
      </c>
      <c r="X179" t="s">
        <v>0</v>
      </c>
    </row>
    <row r="180" spans="1:24" x14ac:dyDescent="0.25">
      <c r="A180" t="s">
        <v>44</v>
      </c>
      <c r="B180" t="s">
        <v>82</v>
      </c>
      <c r="C180" t="s">
        <v>92</v>
      </c>
      <c r="D180" t="s">
        <v>93</v>
      </c>
      <c r="E180" t="s">
        <v>85</v>
      </c>
      <c r="F180" t="s">
        <v>4</v>
      </c>
      <c r="G180" s="3">
        <v>46023</v>
      </c>
      <c r="H180" s="2">
        <v>80</v>
      </c>
      <c r="I180" t="s">
        <v>426</v>
      </c>
      <c r="J180" t="s">
        <v>427</v>
      </c>
      <c r="K180" t="s">
        <v>428</v>
      </c>
      <c r="L180" s="3">
        <v>45975</v>
      </c>
      <c r="M180" s="3">
        <v>46023</v>
      </c>
      <c r="N180" t="s">
        <v>0</v>
      </c>
      <c r="O180">
        <v>5</v>
      </c>
      <c r="P180" t="s">
        <v>51</v>
      </c>
      <c r="Q180" t="s">
        <v>52</v>
      </c>
      <c r="R180" t="s">
        <v>51</v>
      </c>
      <c r="S180" t="s">
        <v>0</v>
      </c>
      <c r="T180" s="3">
        <v>46023</v>
      </c>
      <c r="U180" t="s">
        <v>53</v>
      </c>
      <c r="V180" t="s">
        <v>61</v>
      </c>
      <c r="W180" t="s">
        <v>55</v>
      </c>
      <c r="X180" t="s">
        <v>0</v>
      </c>
    </row>
    <row r="181" spans="1:24" x14ac:dyDescent="0.25">
      <c r="A181" t="s">
        <v>44</v>
      </c>
      <c r="B181" t="s">
        <v>82</v>
      </c>
      <c r="C181" t="s">
        <v>174</v>
      </c>
      <c r="D181" t="s">
        <v>175</v>
      </c>
      <c r="E181" t="s">
        <v>85</v>
      </c>
      <c r="F181" t="s">
        <v>4</v>
      </c>
      <c r="G181" s="3">
        <v>46023</v>
      </c>
      <c r="H181" s="2">
        <v>80</v>
      </c>
      <c r="I181" t="s">
        <v>293</v>
      </c>
      <c r="J181" t="s">
        <v>294</v>
      </c>
      <c r="K181" t="s">
        <v>295</v>
      </c>
      <c r="L181" s="3">
        <v>45968</v>
      </c>
      <c r="M181" s="3">
        <v>46023</v>
      </c>
      <c r="N181" t="s">
        <v>0</v>
      </c>
      <c r="O181">
        <v>7</v>
      </c>
      <c r="P181" t="s">
        <v>51</v>
      </c>
      <c r="Q181" t="s">
        <v>148</v>
      </c>
      <c r="R181" t="s">
        <v>51</v>
      </c>
      <c r="S181" t="s">
        <v>0</v>
      </c>
      <c r="T181" s="3">
        <v>46023</v>
      </c>
      <c r="U181" t="s">
        <v>53</v>
      </c>
      <c r="V181" t="s">
        <v>254</v>
      </c>
      <c r="W181" t="s">
        <v>296</v>
      </c>
      <c r="X181" t="s">
        <v>0</v>
      </c>
    </row>
    <row r="182" spans="1:24" x14ac:dyDescent="0.25">
      <c r="A182" t="s">
        <v>11</v>
      </c>
      <c r="B182" t="s">
        <v>45</v>
      </c>
      <c r="C182" t="s">
        <v>97</v>
      </c>
      <c r="D182" t="s">
        <v>98</v>
      </c>
      <c r="E182" t="s">
        <v>97</v>
      </c>
      <c r="F182" t="s">
        <v>98</v>
      </c>
      <c r="G182" s="3">
        <v>46023</v>
      </c>
      <c r="H182" s="2">
        <v>694</v>
      </c>
      <c r="I182" t="s">
        <v>99</v>
      </c>
      <c r="J182" t="s">
        <v>100</v>
      </c>
      <c r="K182" t="s">
        <v>101</v>
      </c>
      <c r="L182" s="3">
        <v>45979</v>
      </c>
      <c r="M182" s="3">
        <v>46023</v>
      </c>
      <c r="N182" t="s">
        <v>0</v>
      </c>
      <c r="O182">
        <v>1</v>
      </c>
      <c r="P182" t="s">
        <v>81</v>
      </c>
      <c r="Q182" t="s">
        <v>52</v>
      </c>
      <c r="R182" t="s">
        <v>51</v>
      </c>
      <c r="S182" t="s">
        <v>0</v>
      </c>
      <c r="T182" s="3">
        <v>46023</v>
      </c>
      <c r="U182" t="s">
        <v>102</v>
      </c>
      <c r="V182" t="s">
        <v>103</v>
      </c>
      <c r="W182" t="s">
        <v>55</v>
      </c>
      <c r="X182" t="s">
        <v>0</v>
      </c>
    </row>
    <row r="183" spans="1:24" x14ac:dyDescent="0.25">
      <c r="A183" t="s">
        <v>44</v>
      </c>
      <c r="B183" t="s">
        <v>82</v>
      </c>
      <c r="C183" t="s">
        <v>120</v>
      </c>
      <c r="D183" t="s">
        <v>121</v>
      </c>
      <c r="E183" t="s">
        <v>85</v>
      </c>
      <c r="F183" t="s">
        <v>4</v>
      </c>
      <c r="G183" s="3">
        <v>46023</v>
      </c>
      <c r="H183" s="2">
        <v>80</v>
      </c>
      <c r="I183" t="s">
        <v>383</v>
      </c>
      <c r="J183" t="s">
        <v>384</v>
      </c>
      <c r="K183" t="s">
        <v>385</v>
      </c>
      <c r="L183" s="3">
        <v>45986</v>
      </c>
      <c r="M183" s="3">
        <v>46023</v>
      </c>
      <c r="N183" t="s">
        <v>0</v>
      </c>
      <c r="O183">
        <v>6</v>
      </c>
      <c r="P183" t="s">
        <v>51</v>
      </c>
      <c r="Q183" t="s">
        <v>52</v>
      </c>
      <c r="R183" t="s">
        <v>51</v>
      </c>
      <c r="S183" t="s">
        <v>0</v>
      </c>
      <c r="T183" s="3">
        <v>46023</v>
      </c>
      <c r="U183" t="s">
        <v>102</v>
      </c>
      <c r="V183" t="s">
        <v>103</v>
      </c>
      <c r="W183" t="s">
        <v>55</v>
      </c>
      <c r="X183" t="s">
        <v>0</v>
      </c>
    </row>
    <row r="184" spans="1:24" x14ac:dyDescent="0.25">
      <c r="A184" t="s">
        <v>44</v>
      </c>
      <c r="B184" t="s">
        <v>45</v>
      </c>
      <c r="C184" t="s">
        <v>239</v>
      </c>
      <c r="D184" t="s">
        <v>240</v>
      </c>
      <c r="E184" t="s">
        <v>239</v>
      </c>
      <c r="F184" t="s">
        <v>240</v>
      </c>
      <c r="G184" s="3">
        <v>46023</v>
      </c>
      <c r="H184" s="2">
        <v>391</v>
      </c>
      <c r="I184" t="s">
        <v>241</v>
      </c>
      <c r="J184" t="s">
        <v>242</v>
      </c>
      <c r="K184" t="s">
        <v>243</v>
      </c>
      <c r="L184" s="3">
        <v>45982</v>
      </c>
      <c r="M184" s="3">
        <v>46023</v>
      </c>
      <c r="N184" t="s">
        <v>0</v>
      </c>
      <c r="O184">
        <v>4</v>
      </c>
      <c r="P184" t="s">
        <v>51</v>
      </c>
      <c r="Q184" t="s">
        <v>182</v>
      </c>
      <c r="R184" t="s">
        <v>51</v>
      </c>
      <c r="S184" t="s">
        <v>0</v>
      </c>
      <c r="T184" s="3">
        <v>46023</v>
      </c>
      <c r="U184" t="s">
        <v>226</v>
      </c>
      <c r="V184" t="s">
        <v>244</v>
      </c>
      <c r="W184" t="s">
        <v>55</v>
      </c>
      <c r="X184" t="s">
        <v>0</v>
      </c>
    </row>
    <row r="185" spans="1:24" x14ac:dyDescent="0.25">
      <c r="A185" t="s">
        <v>44</v>
      </c>
      <c r="B185" t="s">
        <v>45</v>
      </c>
      <c r="C185" t="s">
        <v>369</v>
      </c>
      <c r="D185" t="s">
        <v>370</v>
      </c>
      <c r="E185" t="s">
        <v>369</v>
      </c>
      <c r="F185" t="s">
        <v>370</v>
      </c>
      <c r="G185" s="3">
        <v>46023</v>
      </c>
      <c r="H185" s="2">
        <v>347</v>
      </c>
      <c r="I185" t="s">
        <v>433</v>
      </c>
      <c r="J185" t="s">
        <v>434</v>
      </c>
      <c r="K185" t="s">
        <v>435</v>
      </c>
      <c r="L185" s="3">
        <v>45990</v>
      </c>
      <c r="M185" s="3">
        <v>46023</v>
      </c>
      <c r="N185" t="s">
        <v>0</v>
      </c>
      <c r="O185" t="s">
        <v>111</v>
      </c>
      <c r="P185" t="s">
        <v>0</v>
      </c>
      <c r="Q185" t="s">
        <v>436</v>
      </c>
      <c r="R185" t="s">
        <v>51</v>
      </c>
      <c r="S185" t="s">
        <v>0</v>
      </c>
      <c r="T185" s="3">
        <v>46023</v>
      </c>
      <c r="U185" t="s">
        <v>437</v>
      </c>
      <c r="V185" t="s">
        <v>119</v>
      </c>
      <c r="W185" t="s">
        <v>219</v>
      </c>
      <c r="X185" t="s">
        <v>0</v>
      </c>
    </row>
    <row r="186" spans="1:24" x14ac:dyDescent="0.25">
      <c r="A186" t="s">
        <v>44</v>
      </c>
      <c r="B186" t="s">
        <v>82</v>
      </c>
      <c r="C186" t="s">
        <v>62</v>
      </c>
      <c r="D186" t="s">
        <v>63</v>
      </c>
      <c r="E186" t="s">
        <v>85</v>
      </c>
      <c r="F186" t="s">
        <v>4</v>
      </c>
      <c r="G186" s="3">
        <v>46023</v>
      </c>
      <c r="H186" s="2">
        <v>80</v>
      </c>
      <c r="I186" t="s">
        <v>386</v>
      </c>
      <c r="J186" t="s">
        <v>387</v>
      </c>
      <c r="K186" t="s">
        <v>388</v>
      </c>
      <c r="L186" s="3">
        <v>45993</v>
      </c>
      <c r="M186" s="3">
        <v>46023</v>
      </c>
      <c r="N186" t="s">
        <v>0</v>
      </c>
      <c r="O186" t="s">
        <v>111</v>
      </c>
      <c r="P186" t="s">
        <v>0</v>
      </c>
      <c r="Q186" t="s">
        <v>67</v>
      </c>
      <c r="R186" t="s">
        <v>51</v>
      </c>
      <c r="S186" t="s">
        <v>0</v>
      </c>
      <c r="T186" s="3">
        <v>46023</v>
      </c>
      <c r="U186" t="s">
        <v>68</v>
      </c>
      <c r="V186" t="s">
        <v>107</v>
      </c>
      <c r="W186" t="s">
        <v>55</v>
      </c>
      <c r="X186" t="s">
        <v>0</v>
      </c>
    </row>
    <row r="187" spans="1:24" x14ac:dyDescent="0.25">
      <c r="A187" t="s">
        <v>44</v>
      </c>
      <c r="B187" t="s">
        <v>45</v>
      </c>
      <c r="C187" t="s">
        <v>303</v>
      </c>
      <c r="D187" t="s">
        <v>304</v>
      </c>
      <c r="E187" t="s">
        <v>303</v>
      </c>
      <c r="F187" t="s">
        <v>304</v>
      </c>
      <c r="G187" s="3">
        <v>46023</v>
      </c>
      <c r="H187" s="2">
        <v>391</v>
      </c>
      <c r="I187" t="s">
        <v>305</v>
      </c>
      <c r="J187" t="s">
        <v>306</v>
      </c>
      <c r="K187" t="s">
        <v>307</v>
      </c>
      <c r="L187" s="3">
        <v>45997</v>
      </c>
      <c r="M187" s="3">
        <v>46023</v>
      </c>
      <c r="N187" t="s">
        <v>0</v>
      </c>
      <c r="O187" t="s">
        <v>111</v>
      </c>
      <c r="P187" t="s">
        <v>0</v>
      </c>
      <c r="Q187" t="s">
        <v>182</v>
      </c>
      <c r="R187" t="s">
        <v>51</v>
      </c>
      <c r="S187" t="s">
        <v>0</v>
      </c>
      <c r="T187" s="3">
        <v>46023</v>
      </c>
      <c r="U187" t="s">
        <v>226</v>
      </c>
      <c r="V187" t="s">
        <v>244</v>
      </c>
      <c r="W187" t="s">
        <v>55</v>
      </c>
      <c r="X187" t="s">
        <v>0</v>
      </c>
    </row>
    <row r="188" spans="1:24" x14ac:dyDescent="0.25">
      <c r="A188" t="s">
        <v>44</v>
      </c>
      <c r="B188" t="s">
        <v>45</v>
      </c>
      <c r="C188" t="s">
        <v>135</v>
      </c>
      <c r="D188" t="s">
        <v>136</v>
      </c>
      <c r="E188" t="s">
        <v>135</v>
      </c>
      <c r="F188" t="s">
        <v>136</v>
      </c>
      <c r="G188" s="3">
        <v>46023</v>
      </c>
      <c r="H188" s="2">
        <v>347</v>
      </c>
      <c r="I188" t="s">
        <v>360</v>
      </c>
      <c r="J188" t="s">
        <v>361</v>
      </c>
      <c r="K188" t="s">
        <v>362</v>
      </c>
      <c r="L188" s="3">
        <v>45995</v>
      </c>
      <c r="M188" s="3">
        <v>46023</v>
      </c>
      <c r="N188" t="s">
        <v>0</v>
      </c>
      <c r="O188" t="s">
        <v>111</v>
      </c>
      <c r="P188" t="s">
        <v>0</v>
      </c>
      <c r="Q188" t="s">
        <v>148</v>
      </c>
      <c r="R188" t="s">
        <v>51</v>
      </c>
      <c r="S188" t="s">
        <v>0</v>
      </c>
      <c r="T188" s="3">
        <v>46023</v>
      </c>
      <c r="U188" t="s">
        <v>53</v>
      </c>
      <c r="V188" t="s">
        <v>234</v>
      </c>
      <c r="W188" t="s">
        <v>296</v>
      </c>
      <c r="X188" t="s">
        <v>0</v>
      </c>
    </row>
    <row r="189" spans="1:24" x14ac:dyDescent="0.25">
      <c r="A189" t="s">
        <v>44</v>
      </c>
      <c r="B189" t="s">
        <v>45</v>
      </c>
      <c r="C189" t="s">
        <v>92</v>
      </c>
      <c r="D189" t="s">
        <v>93</v>
      </c>
      <c r="E189" t="s">
        <v>92</v>
      </c>
      <c r="F189" t="s">
        <v>93</v>
      </c>
      <c r="G189" s="3">
        <v>46023</v>
      </c>
      <c r="H189" s="2">
        <v>347</v>
      </c>
      <c r="I189" t="s">
        <v>391</v>
      </c>
      <c r="J189" t="s">
        <v>392</v>
      </c>
      <c r="K189" t="s">
        <v>393</v>
      </c>
      <c r="L189" s="3">
        <v>45996</v>
      </c>
      <c r="M189" s="3">
        <v>46023</v>
      </c>
      <c r="N189" t="s">
        <v>0</v>
      </c>
      <c r="O189" t="s">
        <v>111</v>
      </c>
      <c r="P189" t="s">
        <v>0</v>
      </c>
      <c r="Q189" t="s">
        <v>148</v>
      </c>
      <c r="R189" t="s">
        <v>51</v>
      </c>
      <c r="S189" t="s">
        <v>0</v>
      </c>
      <c r="T189" s="3">
        <v>46023</v>
      </c>
      <c r="U189" t="s">
        <v>53</v>
      </c>
      <c r="V189" t="s">
        <v>254</v>
      </c>
      <c r="W189" t="s">
        <v>296</v>
      </c>
      <c r="X189" t="s">
        <v>0</v>
      </c>
    </row>
    <row r="190" spans="1:24" x14ac:dyDescent="0.25">
      <c r="A190" t="s">
        <v>44</v>
      </c>
      <c r="B190" t="s">
        <v>82</v>
      </c>
      <c r="C190" t="s">
        <v>303</v>
      </c>
      <c r="D190" t="s">
        <v>304</v>
      </c>
      <c r="E190" t="s">
        <v>85</v>
      </c>
      <c r="F190" t="s">
        <v>4</v>
      </c>
      <c r="G190" s="3">
        <v>46023</v>
      </c>
      <c r="H190" s="2">
        <v>80</v>
      </c>
      <c r="I190" t="s">
        <v>363</v>
      </c>
      <c r="J190" t="s">
        <v>364</v>
      </c>
      <c r="K190" t="s">
        <v>365</v>
      </c>
      <c r="L190" s="3">
        <v>45998</v>
      </c>
      <c r="M190" s="3">
        <v>46023</v>
      </c>
      <c r="N190" t="s">
        <v>0</v>
      </c>
      <c r="O190" t="s">
        <v>111</v>
      </c>
      <c r="P190" t="s">
        <v>0</v>
      </c>
      <c r="Q190" t="s">
        <v>182</v>
      </c>
      <c r="R190" t="s">
        <v>51</v>
      </c>
      <c r="S190" t="s">
        <v>0</v>
      </c>
      <c r="T190" s="3">
        <v>46023</v>
      </c>
      <c r="U190" t="s">
        <v>226</v>
      </c>
      <c r="V190" t="s">
        <v>244</v>
      </c>
      <c r="W190" t="s">
        <v>55</v>
      </c>
      <c r="X190" t="s">
        <v>0</v>
      </c>
    </row>
    <row r="191" spans="1:24" x14ac:dyDescent="0.25">
      <c r="A191" t="s">
        <v>44</v>
      </c>
      <c r="B191" t="s">
        <v>45</v>
      </c>
      <c r="C191" t="s">
        <v>112</v>
      </c>
      <c r="D191" t="s">
        <v>113</v>
      </c>
      <c r="E191" t="s">
        <v>112</v>
      </c>
      <c r="F191" t="s">
        <v>113</v>
      </c>
      <c r="G191" s="3">
        <v>46023</v>
      </c>
      <c r="H191" s="2">
        <v>347</v>
      </c>
      <c r="I191" t="s">
        <v>145</v>
      </c>
      <c r="J191" t="s">
        <v>146</v>
      </c>
      <c r="K191" t="s">
        <v>147</v>
      </c>
      <c r="L191" s="3">
        <v>45998</v>
      </c>
      <c r="M191" s="3">
        <v>46023</v>
      </c>
      <c r="N191" t="s">
        <v>0</v>
      </c>
      <c r="O191" t="s">
        <v>111</v>
      </c>
      <c r="P191" t="s">
        <v>0</v>
      </c>
      <c r="Q191" t="s">
        <v>148</v>
      </c>
      <c r="R191" t="s">
        <v>51</v>
      </c>
      <c r="S191" t="s">
        <v>0</v>
      </c>
      <c r="T191" s="3">
        <v>46023</v>
      </c>
      <c r="U191" t="s">
        <v>53</v>
      </c>
      <c r="V191" t="s">
        <v>149</v>
      </c>
      <c r="W191" t="s">
        <v>55</v>
      </c>
      <c r="X191" t="s">
        <v>0</v>
      </c>
    </row>
    <row r="192" spans="1:24" x14ac:dyDescent="0.25">
      <c r="A192" t="s">
        <v>44</v>
      </c>
      <c r="B192" t="s">
        <v>45</v>
      </c>
      <c r="C192" t="s">
        <v>56</v>
      </c>
      <c r="D192" t="s">
        <v>57</v>
      </c>
      <c r="E192" t="s">
        <v>56</v>
      </c>
      <c r="F192" t="s">
        <v>57</v>
      </c>
      <c r="G192" s="3">
        <v>46023</v>
      </c>
      <c r="H192" s="2">
        <v>347</v>
      </c>
      <c r="I192" t="s">
        <v>396</v>
      </c>
      <c r="J192" t="s">
        <v>397</v>
      </c>
      <c r="K192" t="s">
        <v>398</v>
      </c>
      <c r="L192" s="3">
        <v>45959</v>
      </c>
      <c r="M192" s="3">
        <v>46023</v>
      </c>
      <c r="N192" t="s">
        <v>0</v>
      </c>
      <c r="O192">
        <v>7</v>
      </c>
      <c r="P192" t="s">
        <v>51</v>
      </c>
      <c r="Q192" t="s">
        <v>52</v>
      </c>
      <c r="R192" t="s">
        <v>51</v>
      </c>
      <c r="S192" t="s">
        <v>0</v>
      </c>
      <c r="T192" s="3">
        <v>46023</v>
      </c>
      <c r="U192" t="s">
        <v>53</v>
      </c>
      <c r="V192" t="s">
        <v>54</v>
      </c>
      <c r="W192" t="s">
        <v>55</v>
      </c>
      <c r="X192" t="s">
        <v>0</v>
      </c>
    </row>
    <row r="193" spans="1:24" x14ac:dyDescent="0.25">
      <c r="A193" t="s">
        <v>44</v>
      </c>
      <c r="B193" t="s">
        <v>45</v>
      </c>
      <c r="C193" t="s">
        <v>160</v>
      </c>
      <c r="D193" t="s">
        <v>161</v>
      </c>
      <c r="E193" t="s">
        <v>160</v>
      </c>
      <c r="F193" t="s">
        <v>161</v>
      </c>
      <c r="G193" s="3">
        <v>46023</v>
      </c>
      <c r="H193" s="2">
        <v>57</v>
      </c>
      <c r="I193">
        <v>20559133201</v>
      </c>
      <c r="J193" t="s">
        <v>407</v>
      </c>
      <c r="K193" t="s">
        <v>408</v>
      </c>
      <c r="L193" s="3">
        <v>45975</v>
      </c>
      <c r="M193" s="3">
        <v>46023</v>
      </c>
      <c r="N193" t="s">
        <v>0</v>
      </c>
      <c r="O193">
        <v>6</v>
      </c>
      <c r="P193" t="s">
        <v>152</v>
      </c>
      <c r="Q193" t="s">
        <v>52</v>
      </c>
      <c r="R193" t="s">
        <v>152</v>
      </c>
      <c r="S193" t="s">
        <v>0</v>
      </c>
      <c r="T193" s="3">
        <v>46023</v>
      </c>
      <c r="U193" t="s">
        <v>153</v>
      </c>
      <c r="V193" t="s">
        <v>159</v>
      </c>
      <c r="W193" t="s">
        <v>55</v>
      </c>
      <c r="X193" t="s">
        <v>0</v>
      </c>
    </row>
    <row r="194" spans="1:24" x14ac:dyDescent="0.25">
      <c r="A194" t="s">
        <v>11</v>
      </c>
      <c r="B194" t="s">
        <v>82</v>
      </c>
      <c r="C194" t="s">
        <v>373</v>
      </c>
      <c r="D194" t="s">
        <v>374</v>
      </c>
      <c r="E194" t="s">
        <v>85</v>
      </c>
      <c r="F194" t="s">
        <v>4</v>
      </c>
      <c r="G194" s="3">
        <v>46023</v>
      </c>
      <c r="H194" s="2">
        <v>5.5</v>
      </c>
      <c r="I194">
        <v>20571013001</v>
      </c>
      <c r="J194" t="s">
        <v>375</v>
      </c>
      <c r="K194" t="s">
        <v>376</v>
      </c>
      <c r="L194" s="3">
        <v>45980</v>
      </c>
      <c r="M194" s="3">
        <v>46023</v>
      </c>
      <c r="N194" t="s">
        <v>0</v>
      </c>
      <c r="O194">
        <v>1</v>
      </c>
      <c r="P194" t="s">
        <v>51</v>
      </c>
      <c r="Q194" t="s">
        <v>67</v>
      </c>
      <c r="R194" t="s">
        <v>152</v>
      </c>
      <c r="S194" t="s">
        <v>0</v>
      </c>
      <c r="T194" s="3">
        <v>46023</v>
      </c>
      <c r="U194" t="s">
        <v>153</v>
      </c>
      <c r="V194" t="s">
        <v>154</v>
      </c>
      <c r="W194" t="s">
        <v>55</v>
      </c>
      <c r="X194" t="s">
        <v>0</v>
      </c>
    </row>
    <row r="195" spans="1:24" x14ac:dyDescent="0.25">
      <c r="A195" t="s">
        <v>44</v>
      </c>
      <c r="B195" t="s">
        <v>82</v>
      </c>
      <c r="C195" t="s">
        <v>164</v>
      </c>
      <c r="D195" t="s">
        <v>165</v>
      </c>
      <c r="E195" t="s">
        <v>85</v>
      </c>
      <c r="F195" t="s">
        <v>4</v>
      </c>
      <c r="G195" s="3">
        <v>46023</v>
      </c>
      <c r="H195" s="2">
        <v>3</v>
      </c>
      <c r="I195">
        <v>20623532701</v>
      </c>
      <c r="J195" t="s">
        <v>166</v>
      </c>
      <c r="K195" t="s">
        <v>167</v>
      </c>
      <c r="L195" s="3">
        <v>45995</v>
      </c>
      <c r="M195" s="3">
        <v>46023</v>
      </c>
      <c r="N195" t="s">
        <v>0</v>
      </c>
      <c r="O195" t="s">
        <v>111</v>
      </c>
      <c r="P195" t="s">
        <v>0</v>
      </c>
      <c r="Q195" t="s">
        <v>168</v>
      </c>
      <c r="R195" t="s">
        <v>152</v>
      </c>
      <c r="S195" t="s">
        <v>0</v>
      </c>
      <c r="T195" s="3">
        <v>46023</v>
      </c>
      <c r="U195" t="s">
        <v>153</v>
      </c>
      <c r="V195" t="s">
        <v>169</v>
      </c>
      <c r="W195" t="s">
        <v>55</v>
      </c>
      <c r="X195" t="s">
        <v>0</v>
      </c>
    </row>
    <row r="196" spans="1:24" x14ac:dyDescent="0.25">
      <c r="A196" t="s">
        <v>44</v>
      </c>
      <c r="B196" t="s">
        <v>82</v>
      </c>
      <c r="C196" t="s">
        <v>257</v>
      </c>
      <c r="D196" t="s">
        <v>258</v>
      </c>
      <c r="E196" t="s">
        <v>85</v>
      </c>
      <c r="F196" t="s">
        <v>4</v>
      </c>
      <c r="G196" s="3">
        <v>46023</v>
      </c>
      <c r="H196" s="2">
        <v>3</v>
      </c>
      <c r="I196">
        <v>20637646901</v>
      </c>
      <c r="J196" t="s">
        <v>413</v>
      </c>
      <c r="K196" t="s">
        <v>414</v>
      </c>
      <c r="L196" s="3">
        <v>45997</v>
      </c>
      <c r="M196" s="3">
        <v>46023</v>
      </c>
      <c r="N196" t="s">
        <v>0</v>
      </c>
      <c r="O196" t="s">
        <v>111</v>
      </c>
      <c r="P196" t="s">
        <v>0</v>
      </c>
      <c r="Q196" t="s">
        <v>52</v>
      </c>
      <c r="R196" t="s">
        <v>152</v>
      </c>
      <c r="S196" t="s">
        <v>0</v>
      </c>
      <c r="T196" s="3">
        <v>46023</v>
      </c>
      <c r="U196" t="s">
        <v>153</v>
      </c>
      <c r="V196" t="s">
        <v>159</v>
      </c>
      <c r="W196" t="s">
        <v>55</v>
      </c>
      <c r="X19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2076E-99A7-4BC4-A1B7-7FAA3EA537D6}">
  <dimension ref="A1:Y196"/>
  <sheetViews>
    <sheetView tabSelected="1" topLeftCell="A133" zoomScaleNormal="100" workbookViewId="0">
      <selection activeCell="O2" sqref="O2:O169"/>
    </sheetView>
  </sheetViews>
  <sheetFormatPr defaultRowHeight="15" x14ac:dyDescent="0.25"/>
  <cols>
    <col min="1" max="1" width="15" customWidth="1"/>
    <col min="2" max="2" width="10.28515625" bestFit="1" customWidth="1"/>
    <col min="3" max="3" width="24.7109375" bestFit="1" customWidth="1"/>
    <col min="4" max="4" width="10.42578125" bestFit="1" customWidth="1"/>
    <col min="5" max="5" width="15" bestFit="1" customWidth="1"/>
    <col min="6" max="6" width="12" bestFit="1" customWidth="1"/>
    <col min="7" max="7" width="15.85546875" customWidth="1"/>
    <col min="8" max="8" width="24.85546875" bestFit="1" customWidth="1"/>
    <col min="9" max="9" width="12.140625" bestFit="1" customWidth="1"/>
    <col min="10" max="10" width="13" bestFit="1" customWidth="1"/>
    <col min="11" max="11" width="10.28515625" bestFit="1" customWidth="1"/>
    <col min="12" max="12" width="8.7109375" bestFit="1" customWidth="1"/>
    <col min="13" max="13" width="14.85546875" customWidth="1"/>
    <col min="14" max="14" width="21.5703125" bestFit="1" customWidth="1"/>
  </cols>
  <sheetData>
    <row r="1" spans="1:25" x14ac:dyDescent="0.25">
      <c r="A1" t="s">
        <v>24</v>
      </c>
      <c r="B1" t="s">
        <v>25</v>
      </c>
      <c r="C1" t="s">
        <v>26</v>
      </c>
      <c r="D1" t="s">
        <v>27</v>
      </c>
      <c r="E1" s="2" t="s">
        <v>28</v>
      </c>
      <c r="F1" t="s">
        <v>29</v>
      </c>
      <c r="H1" t="s">
        <v>31</v>
      </c>
      <c r="I1" t="s">
        <v>33</v>
      </c>
      <c r="J1" t="s">
        <v>36</v>
      </c>
      <c r="K1" t="s">
        <v>37</v>
      </c>
      <c r="L1" t="s">
        <v>38</v>
      </c>
      <c r="M1" t="s">
        <v>40</v>
      </c>
    </row>
    <row r="2" spans="1:25" s="5" customFormat="1" x14ac:dyDescent="0.25">
      <c r="A2" t="s">
        <v>93</v>
      </c>
      <c r="B2" s="4">
        <v>19586992</v>
      </c>
      <c r="C2" t="s">
        <v>93</v>
      </c>
      <c r="D2" s="3">
        <v>46023</v>
      </c>
      <c r="E2" s="2">
        <v>694</v>
      </c>
      <c r="F2" t="s">
        <v>343</v>
      </c>
      <c r="G2" t="str">
        <f>CONCATENATE(F2,88)</f>
        <v>44U6H6A1688</v>
      </c>
      <c r="H2" t="s">
        <v>345</v>
      </c>
      <c r="I2" s="3">
        <v>46023</v>
      </c>
      <c r="J2" t="s">
        <v>81</v>
      </c>
      <c r="K2" t="s">
        <v>52</v>
      </c>
      <c r="L2" t="s">
        <v>51</v>
      </c>
      <c r="M2" s="3">
        <v>46023</v>
      </c>
      <c r="N2" t="s">
        <v>454</v>
      </c>
      <c r="O2" t="s">
        <v>458</v>
      </c>
      <c r="P2"/>
      <c r="Q2"/>
      <c r="R2"/>
      <c r="S2"/>
      <c r="T2"/>
      <c r="U2"/>
      <c r="V2"/>
      <c r="W2"/>
      <c r="X2"/>
      <c r="Y2"/>
    </row>
    <row r="3" spans="1:25" s="5" customFormat="1" x14ac:dyDescent="0.25">
      <c r="A3" t="s">
        <v>113</v>
      </c>
      <c r="B3" s="4">
        <v>20003537</v>
      </c>
      <c r="C3" t="s">
        <v>113</v>
      </c>
      <c r="D3" s="3">
        <v>46023</v>
      </c>
      <c r="E3" s="2">
        <v>694</v>
      </c>
      <c r="F3" t="s">
        <v>429</v>
      </c>
      <c r="G3" t="str">
        <f>CONCATENATE(F3,88)</f>
        <v>41H9L7U7588</v>
      </c>
      <c r="H3" t="s">
        <v>431</v>
      </c>
      <c r="I3" s="3">
        <v>46023</v>
      </c>
      <c r="J3" t="s">
        <v>152</v>
      </c>
      <c r="K3" t="s">
        <v>216</v>
      </c>
      <c r="L3" t="s">
        <v>51</v>
      </c>
      <c r="M3" s="3">
        <v>46023</v>
      </c>
      <c r="N3" t="s">
        <v>454</v>
      </c>
      <c r="O3" t="s">
        <v>458</v>
      </c>
      <c r="P3"/>
      <c r="Q3"/>
      <c r="R3"/>
      <c r="S3"/>
      <c r="T3"/>
      <c r="U3"/>
      <c r="V3"/>
      <c r="W3"/>
      <c r="X3"/>
      <c r="Y3"/>
    </row>
    <row r="4" spans="1:25" s="5" customFormat="1" x14ac:dyDescent="0.25">
      <c r="A4" t="s">
        <v>57</v>
      </c>
      <c r="B4" s="4">
        <v>8405446</v>
      </c>
      <c r="C4" t="s">
        <v>57</v>
      </c>
      <c r="D4" s="3">
        <v>46023</v>
      </c>
      <c r="E4" s="2">
        <v>694</v>
      </c>
      <c r="F4" t="s">
        <v>78</v>
      </c>
      <c r="G4" t="str">
        <f>CONCATENATE(F4,88)</f>
        <v>22R7F8L1988</v>
      </c>
      <c r="H4" t="s">
        <v>80</v>
      </c>
      <c r="I4" s="3">
        <v>46023</v>
      </c>
      <c r="J4" t="s">
        <v>81</v>
      </c>
      <c r="K4" t="s">
        <v>52</v>
      </c>
      <c r="L4" t="s">
        <v>51</v>
      </c>
      <c r="M4" s="3">
        <v>46023</v>
      </c>
      <c r="N4" t="s">
        <v>454</v>
      </c>
      <c r="O4" t="s">
        <v>458</v>
      </c>
      <c r="P4"/>
      <c r="Q4"/>
      <c r="R4"/>
      <c r="S4"/>
      <c r="T4"/>
      <c r="U4"/>
      <c r="V4"/>
      <c r="W4"/>
      <c r="X4"/>
      <c r="Y4"/>
    </row>
    <row r="5" spans="1:25" s="5" customFormat="1" x14ac:dyDescent="0.25">
      <c r="A5" t="s">
        <v>57</v>
      </c>
      <c r="B5" s="4">
        <v>8405446</v>
      </c>
      <c r="C5" t="s">
        <v>57</v>
      </c>
      <c r="D5" s="3">
        <v>46023</v>
      </c>
      <c r="E5" s="2">
        <v>694</v>
      </c>
      <c r="F5" t="s">
        <v>236</v>
      </c>
      <c r="G5" t="str">
        <f>CONCATENATE(F5,88)</f>
        <v>56H4X5A7888</v>
      </c>
      <c r="H5" t="s">
        <v>238</v>
      </c>
      <c r="I5" s="3">
        <v>46023</v>
      </c>
      <c r="J5" t="s">
        <v>81</v>
      </c>
      <c r="K5" t="s">
        <v>52</v>
      </c>
      <c r="L5" t="s">
        <v>51</v>
      </c>
      <c r="M5" s="3">
        <v>46023</v>
      </c>
      <c r="N5" t="s">
        <v>454</v>
      </c>
      <c r="O5" t="s">
        <v>458</v>
      </c>
      <c r="P5"/>
      <c r="Q5"/>
      <c r="R5"/>
      <c r="S5"/>
      <c r="T5"/>
      <c r="U5"/>
      <c r="V5"/>
      <c r="W5"/>
      <c r="X5"/>
      <c r="Y5"/>
    </row>
    <row r="6" spans="1:25" s="5" customFormat="1" x14ac:dyDescent="0.25">
      <c r="A6" t="s">
        <v>212</v>
      </c>
      <c r="B6" s="4">
        <v>16633294</v>
      </c>
      <c r="C6" t="s">
        <v>212</v>
      </c>
      <c r="D6" s="3">
        <v>46023</v>
      </c>
      <c r="E6" s="2">
        <v>694</v>
      </c>
      <c r="F6" t="s">
        <v>213</v>
      </c>
      <c r="G6" t="str">
        <f>CONCATENATE(F6,88)</f>
        <v>25X4U8H4588</v>
      </c>
      <c r="H6" t="s">
        <v>215</v>
      </c>
      <c r="I6" s="3">
        <v>46023</v>
      </c>
      <c r="J6" t="s">
        <v>81</v>
      </c>
      <c r="K6" t="s">
        <v>216</v>
      </c>
      <c r="L6" t="s">
        <v>51</v>
      </c>
      <c r="M6" s="3">
        <v>46023</v>
      </c>
      <c r="N6" t="s">
        <v>454</v>
      </c>
      <c r="O6" t="s">
        <v>458</v>
      </c>
      <c r="P6"/>
      <c r="Q6"/>
      <c r="R6"/>
      <c r="S6"/>
      <c r="T6"/>
      <c r="U6"/>
      <c r="V6"/>
      <c r="W6"/>
      <c r="X6"/>
      <c r="Y6"/>
    </row>
    <row r="7" spans="1:25" s="5" customFormat="1" x14ac:dyDescent="0.25">
      <c r="A7" t="s">
        <v>98</v>
      </c>
      <c r="B7" s="4">
        <v>7565575</v>
      </c>
      <c r="C7" t="s">
        <v>98</v>
      </c>
      <c r="D7" s="3">
        <v>46023</v>
      </c>
      <c r="E7" s="2">
        <v>694</v>
      </c>
      <c r="F7" t="s">
        <v>99</v>
      </c>
      <c r="G7" t="str">
        <f>CONCATENATE(F7,88)</f>
        <v>71X8U5A3588</v>
      </c>
      <c r="H7" t="s">
        <v>101</v>
      </c>
      <c r="I7" s="3">
        <v>46023</v>
      </c>
      <c r="J7" t="s">
        <v>81</v>
      </c>
      <c r="K7" t="s">
        <v>52</v>
      </c>
      <c r="L7" t="s">
        <v>51</v>
      </c>
      <c r="M7" s="3">
        <v>46023</v>
      </c>
      <c r="N7" t="s">
        <v>454</v>
      </c>
      <c r="O7" t="s">
        <v>458</v>
      </c>
      <c r="P7"/>
      <c r="Q7"/>
      <c r="R7"/>
      <c r="S7"/>
      <c r="T7"/>
      <c r="U7"/>
      <c r="V7"/>
      <c r="W7"/>
      <c r="X7"/>
      <c r="Y7"/>
    </row>
    <row r="8" spans="1:25" s="5" customFormat="1" x14ac:dyDescent="0.25">
      <c r="A8" t="s">
        <v>171</v>
      </c>
      <c r="B8" s="4">
        <v>17554531</v>
      </c>
      <c r="C8" t="s">
        <v>171</v>
      </c>
      <c r="D8" s="3">
        <v>46023</v>
      </c>
      <c r="E8" s="2">
        <v>391</v>
      </c>
      <c r="F8" t="s">
        <v>228</v>
      </c>
      <c r="G8" t="str">
        <f>CONCATENATE(F8,26)</f>
        <v>55R2X7L4926</v>
      </c>
      <c r="H8" t="s">
        <v>230</v>
      </c>
      <c r="I8" s="3">
        <v>46023</v>
      </c>
      <c r="J8" t="s">
        <v>51</v>
      </c>
      <c r="K8" t="s">
        <v>182</v>
      </c>
      <c r="L8" t="s">
        <v>51</v>
      </c>
      <c r="M8" s="3">
        <v>46023</v>
      </c>
      <c r="N8" t="s">
        <v>453</v>
      </c>
      <c r="O8" t="s">
        <v>457</v>
      </c>
      <c r="P8"/>
      <c r="Q8"/>
      <c r="R8"/>
      <c r="S8"/>
      <c r="T8"/>
      <c r="U8"/>
      <c r="V8"/>
      <c r="W8"/>
      <c r="X8"/>
      <c r="Y8"/>
    </row>
    <row r="9" spans="1:25" s="5" customFormat="1" x14ac:dyDescent="0.25">
      <c r="A9" t="s">
        <v>171</v>
      </c>
      <c r="B9" s="4">
        <v>17554531</v>
      </c>
      <c r="C9" t="s">
        <v>171</v>
      </c>
      <c r="D9" s="3">
        <v>46023</v>
      </c>
      <c r="E9" s="2">
        <v>391</v>
      </c>
      <c r="F9" t="s">
        <v>223</v>
      </c>
      <c r="G9" t="str">
        <f>CONCATENATE(F9,26)</f>
        <v>53X4F3H9726</v>
      </c>
      <c r="H9" t="s">
        <v>225</v>
      </c>
      <c r="I9" s="3">
        <v>46023</v>
      </c>
      <c r="J9" t="s">
        <v>51</v>
      </c>
      <c r="K9" t="s">
        <v>182</v>
      </c>
      <c r="L9" t="s">
        <v>51</v>
      </c>
      <c r="M9" s="3">
        <v>46023</v>
      </c>
      <c r="N9" t="s">
        <v>453</v>
      </c>
      <c r="O9" t="s">
        <v>457</v>
      </c>
      <c r="P9"/>
      <c r="Q9"/>
      <c r="R9"/>
      <c r="S9"/>
      <c r="T9"/>
      <c r="U9"/>
      <c r="V9"/>
      <c r="W9"/>
      <c r="X9"/>
      <c r="Y9"/>
    </row>
    <row r="10" spans="1:25" s="5" customFormat="1" x14ac:dyDescent="0.25">
      <c r="A10" t="s">
        <v>347</v>
      </c>
      <c r="B10" s="4">
        <v>18598357</v>
      </c>
      <c r="C10" t="s">
        <v>347</v>
      </c>
      <c r="D10" s="3">
        <v>46023</v>
      </c>
      <c r="E10" s="2">
        <v>391</v>
      </c>
      <c r="F10" t="s">
        <v>348</v>
      </c>
      <c r="G10" t="str">
        <f>CONCATENATE(F10,26)</f>
        <v>33U1R6F3126</v>
      </c>
      <c r="H10" t="s">
        <v>350</v>
      </c>
      <c r="I10" s="3">
        <v>46023</v>
      </c>
      <c r="J10" t="s">
        <v>0</v>
      </c>
      <c r="K10" t="s">
        <v>351</v>
      </c>
      <c r="L10" t="s">
        <v>51</v>
      </c>
      <c r="M10" s="3">
        <v>46023</v>
      </c>
      <c r="N10" t="s">
        <v>453</v>
      </c>
      <c r="O10" t="s">
        <v>457</v>
      </c>
      <c r="P10"/>
      <c r="Q10"/>
      <c r="R10"/>
      <c r="S10"/>
      <c r="T10"/>
      <c r="U10"/>
      <c r="V10"/>
      <c r="W10"/>
      <c r="X10"/>
      <c r="Y10"/>
    </row>
    <row r="11" spans="1:25" s="5" customFormat="1" x14ac:dyDescent="0.25">
      <c r="A11" t="s">
        <v>240</v>
      </c>
      <c r="B11" s="4">
        <v>17528908</v>
      </c>
      <c r="C11" t="s">
        <v>240</v>
      </c>
      <c r="D11" s="3">
        <v>46023</v>
      </c>
      <c r="E11" s="2">
        <v>391</v>
      </c>
      <c r="F11" t="s">
        <v>241</v>
      </c>
      <c r="G11" t="str">
        <f>CONCATENATE(F11,26)</f>
        <v>23H2A1X1726</v>
      </c>
      <c r="H11" t="s">
        <v>243</v>
      </c>
      <c r="I11" s="3">
        <v>46023</v>
      </c>
      <c r="J11" t="s">
        <v>51</v>
      </c>
      <c r="K11" t="s">
        <v>182</v>
      </c>
      <c r="L11" t="s">
        <v>51</v>
      </c>
      <c r="M11" s="3">
        <v>46023</v>
      </c>
      <c r="N11" t="s">
        <v>453</v>
      </c>
      <c r="O11" t="s">
        <v>457</v>
      </c>
      <c r="P11"/>
      <c r="Q11"/>
      <c r="R11"/>
      <c r="S11"/>
      <c r="T11"/>
      <c r="U11"/>
      <c r="V11"/>
      <c r="W11"/>
      <c r="X11"/>
      <c r="Y11"/>
    </row>
    <row r="12" spans="1:25" s="5" customFormat="1" x14ac:dyDescent="0.25">
      <c r="A12" t="s">
        <v>304</v>
      </c>
      <c r="B12" s="4" t="s">
        <v>459</v>
      </c>
      <c r="C12" t="s">
        <v>304</v>
      </c>
      <c r="D12" s="3">
        <v>46023</v>
      </c>
      <c r="E12" s="2">
        <v>391</v>
      </c>
      <c r="F12" t="s">
        <v>363</v>
      </c>
      <c r="G12" t="str">
        <f>CONCATENATE(F12,26)</f>
        <v>27U5L3A7126</v>
      </c>
      <c r="H12" t="s">
        <v>365</v>
      </c>
      <c r="I12" s="3">
        <v>46023</v>
      </c>
      <c r="J12" t="s">
        <v>0</v>
      </c>
      <c r="K12" t="s">
        <v>182</v>
      </c>
      <c r="L12" t="s">
        <v>51</v>
      </c>
      <c r="M12" s="3">
        <v>46023</v>
      </c>
      <c r="N12" t="s">
        <v>453</v>
      </c>
      <c r="O12" t="s">
        <v>457</v>
      </c>
      <c r="P12"/>
      <c r="Q12"/>
      <c r="R12"/>
      <c r="S12"/>
      <c r="T12"/>
      <c r="U12"/>
      <c r="V12"/>
      <c r="W12"/>
      <c r="X12"/>
      <c r="Y12"/>
    </row>
    <row r="13" spans="1:25" s="5" customFormat="1" x14ac:dyDescent="0.25">
      <c r="A13" t="s">
        <v>304</v>
      </c>
      <c r="B13" s="4" t="s">
        <v>459</v>
      </c>
      <c r="C13" t="s">
        <v>304</v>
      </c>
      <c r="D13" s="3">
        <v>46023</v>
      </c>
      <c r="E13" s="2">
        <v>391</v>
      </c>
      <c r="F13" t="s">
        <v>305</v>
      </c>
      <c r="G13" t="str">
        <f>CONCATENATE(F13,26)</f>
        <v>47X6H7U8226</v>
      </c>
      <c r="H13" t="s">
        <v>307</v>
      </c>
      <c r="I13" s="3">
        <v>46023</v>
      </c>
      <c r="J13" t="s">
        <v>0</v>
      </c>
      <c r="K13" t="s">
        <v>182</v>
      </c>
      <c r="L13" t="s">
        <v>51</v>
      </c>
      <c r="M13" s="3">
        <v>46023</v>
      </c>
      <c r="N13" t="s">
        <v>453</v>
      </c>
      <c r="O13" t="s">
        <v>457</v>
      </c>
      <c r="P13"/>
      <c r="Q13"/>
      <c r="R13"/>
      <c r="S13"/>
      <c r="T13"/>
      <c r="U13"/>
      <c r="V13"/>
      <c r="W13"/>
      <c r="X13"/>
      <c r="Y13"/>
    </row>
    <row r="14" spans="1:25" s="5" customFormat="1" x14ac:dyDescent="0.25">
      <c r="A14" s="5" t="s">
        <v>171</v>
      </c>
      <c r="B14" s="6">
        <v>20411454</v>
      </c>
      <c r="C14" s="5" t="s">
        <v>4</v>
      </c>
      <c r="D14" s="7">
        <v>46023</v>
      </c>
      <c r="E14" s="8">
        <v>3</v>
      </c>
      <c r="F14" s="5">
        <v>20623765301</v>
      </c>
      <c r="G14" s="5" t="str">
        <f>CONCATENATE(F14,"OVR")</f>
        <v>20623765301OVR</v>
      </c>
      <c r="H14" s="5" t="s">
        <v>173</v>
      </c>
      <c r="I14" s="7">
        <v>46023</v>
      </c>
      <c r="J14" s="5" t="s">
        <v>0</v>
      </c>
      <c r="K14" s="5" t="s">
        <v>67</v>
      </c>
      <c r="L14" s="5" t="s">
        <v>152</v>
      </c>
      <c r="M14" s="7">
        <v>46023</v>
      </c>
      <c r="N14" s="5" t="s">
        <v>451</v>
      </c>
    </row>
    <row r="15" spans="1:25" s="5" customFormat="1" x14ac:dyDescent="0.25">
      <c r="A15" s="5" t="s">
        <v>175</v>
      </c>
      <c r="B15" s="6">
        <v>20411454</v>
      </c>
      <c r="C15" s="5" t="s">
        <v>4</v>
      </c>
      <c r="D15" s="7">
        <v>46023</v>
      </c>
      <c r="E15" s="8">
        <v>3</v>
      </c>
      <c r="F15" s="5">
        <v>20623263901</v>
      </c>
      <c r="G15" s="5" t="str">
        <f>CONCATENATE(F15,"OVR")</f>
        <v>20623263901OVR</v>
      </c>
      <c r="H15" s="5" t="s">
        <v>177</v>
      </c>
      <c r="I15" s="7">
        <v>46023</v>
      </c>
      <c r="J15" s="5" t="s">
        <v>0</v>
      </c>
      <c r="K15" s="5" t="s">
        <v>52</v>
      </c>
      <c r="L15" s="5" t="s">
        <v>152</v>
      </c>
      <c r="M15" s="7">
        <v>46023</v>
      </c>
      <c r="N15" s="5" t="s">
        <v>451</v>
      </c>
    </row>
    <row r="16" spans="1:25" s="5" customFormat="1" x14ac:dyDescent="0.25">
      <c r="A16" s="5" t="s">
        <v>179</v>
      </c>
      <c r="B16" s="6">
        <v>20411454</v>
      </c>
      <c r="C16" s="5" t="s">
        <v>4</v>
      </c>
      <c r="D16" s="7">
        <v>46023</v>
      </c>
      <c r="E16" s="8">
        <v>3</v>
      </c>
      <c r="F16" s="5">
        <v>20647825701</v>
      </c>
      <c r="G16" s="5" t="str">
        <f>CONCATENATE(F16,"OVR")</f>
        <v>20647825701OVR</v>
      </c>
      <c r="H16" s="5" t="s">
        <v>181</v>
      </c>
      <c r="I16" s="7">
        <v>46023</v>
      </c>
      <c r="J16" s="5" t="s">
        <v>0</v>
      </c>
      <c r="K16" s="5" t="s">
        <v>182</v>
      </c>
      <c r="L16" s="5" t="s">
        <v>152</v>
      </c>
      <c r="M16" s="7">
        <v>46023</v>
      </c>
      <c r="N16" s="5" t="s">
        <v>451</v>
      </c>
    </row>
    <row r="17" spans="1:14" s="5" customFormat="1" x14ac:dyDescent="0.25">
      <c r="A17" s="5" t="s">
        <v>47</v>
      </c>
      <c r="B17" s="6">
        <v>20411454</v>
      </c>
      <c r="C17" s="5" t="s">
        <v>4</v>
      </c>
      <c r="D17" s="7">
        <v>46023</v>
      </c>
      <c r="E17" s="8">
        <v>3</v>
      </c>
      <c r="F17" s="5">
        <v>20641792501</v>
      </c>
      <c r="G17" s="5" t="str">
        <f>CONCATENATE(F17,"OVR")</f>
        <v>20641792501OVR</v>
      </c>
      <c r="H17" s="5" t="s">
        <v>269</v>
      </c>
      <c r="I17" s="7">
        <v>46023</v>
      </c>
      <c r="J17" s="5" t="s">
        <v>0</v>
      </c>
      <c r="K17" s="5" t="s">
        <v>270</v>
      </c>
      <c r="L17" s="5" t="s">
        <v>152</v>
      </c>
      <c r="M17" s="7">
        <v>46023</v>
      </c>
      <c r="N17" s="5" t="s">
        <v>451</v>
      </c>
    </row>
    <row r="18" spans="1:14" s="5" customFormat="1" x14ac:dyDescent="0.25">
      <c r="A18" s="5" t="s">
        <v>113</v>
      </c>
      <c r="B18" s="6">
        <v>20411454</v>
      </c>
      <c r="C18" s="5" t="s">
        <v>4</v>
      </c>
      <c r="D18" s="7">
        <v>46023</v>
      </c>
      <c r="E18" s="8">
        <v>3</v>
      </c>
      <c r="F18" s="5">
        <v>20631332201</v>
      </c>
      <c r="G18" s="5" t="str">
        <f>CONCATENATE(F18,"OVR")</f>
        <v>20631332201OVR</v>
      </c>
      <c r="H18" s="5" t="s">
        <v>273</v>
      </c>
      <c r="I18" s="7">
        <v>46023</v>
      </c>
      <c r="J18" s="5" t="s">
        <v>0</v>
      </c>
      <c r="K18" s="5" t="s">
        <v>266</v>
      </c>
      <c r="L18" s="5" t="s">
        <v>152</v>
      </c>
      <c r="M18" s="7">
        <v>46023</v>
      </c>
      <c r="N18" s="5" t="s">
        <v>451</v>
      </c>
    </row>
    <row r="19" spans="1:14" s="5" customFormat="1" x14ac:dyDescent="0.25">
      <c r="A19" s="5" t="s">
        <v>329</v>
      </c>
      <c r="B19" s="6">
        <v>20411454</v>
      </c>
      <c r="C19" s="5" t="s">
        <v>4</v>
      </c>
      <c r="D19" s="7">
        <v>46023</v>
      </c>
      <c r="E19" s="8">
        <v>3</v>
      </c>
      <c r="F19" s="5">
        <v>91000742846</v>
      </c>
      <c r="G19" s="5" t="str">
        <f>CONCATENATE(F19,"OVR")</f>
        <v>91000742846OVR</v>
      </c>
      <c r="H19" s="5" t="s">
        <v>331</v>
      </c>
      <c r="I19" s="7">
        <v>46023</v>
      </c>
      <c r="J19" s="5" t="s">
        <v>0</v>
      </c>
      <c r="K19" s="5" t="s">
        <v>332</v>
      </c>
      <c r="L19" s="5" t="s">
        <v>152</v>
      </c>
      <c r="M19" s="7">
        <v>46023</v>
      </c>
      <c r="N19" s="5" t="s">
        <v>451</v>
      </c>
    </row>
    <row r="20" spans="1:14" s="5" customFormat="1" x14ac:dyDescent="0.25">
      <c r="A20" s="5" t="s">
        <v>171</v>
      </c>
      <c r="B20" s="6">
        <v>20411454</v>
      </c>
      <c r="C20" s="5" t="s">
        <v>4</v>
      </c>
      <c r="D20" s="7">
        <v>46023</v>
      </c>
      <c r="E20" s="8">
        <v>3</v>
      </c>
      <c r="F20" s="5">
        <v>20581996401</v>
      </c>
      <c r="G20" s="5" t="str">
        <f>CONCATENATE(F20,"OVR")</f>
        <v>20581996401OVR</v>
      </c>
      <c r="H20" s="5" t="s">
        <v>262</v>
      </c>
      <c r="I20" s="7">
        <v>46023</v>
      </c>
      <c r="J20" s="5" t="s">
        <v>0</v>
      </c>
      <c r="K20" s="5" t="s">
        <v>67</v>
      </c>
      <c r="L20" s="5" t="s">
        <v>152</v>
      </c>
      <c r="M20" s="7">
        <v>46023</v>
      </c>
      <c r="N20" s="5" t="s">
        <v>451</v>
      </c>
    </row>
    <row r="21" spans="1:14" s="5" customFormat="1" x14ac:dyDescent="0.25">
      <c r="A21" s="5" t="s">
        <v>258</v>
      </c>
      <c r="B21" s="6">
        <v>20411454</v>
      </c>
      <c r="C21" s="5" t="s">
        <v>4</v>
      </c>
      <c r="D21" s="7">
        <v>46023</v>
      </c>
      <c r="E21" s="8">
        <v>3</v>
      </c>
      <c r="F21" s="5">
        <v>20642432701</v>
      </c>
      <c r="G21" s="5" t="str">
        <f>CONCATENATE(F21,"OVR")</f>
        <v>20642432701OVR</v>
      </c>
      <c r="H21" s="5" t="s">
        <v>335</v>
      </c>
      <c r="I21" s="7">
        <v>46023</v>
      </c>
      <c r="J21" s="5" t="s">
        <v>0</v>
      </c>
      <c r="K21" s="5" t="s">
        <v>148</v>
      </c>
      <c r="L21" s="5" t="s">
        <v>152</v>
      </c>
      <c r="M21" s="7">
        <v>46023</v>
      </c>
      <c r="N21" s="5" t="s">
        <v>451</v>
      </c>
    </row>
    <row r="22" spans="1:14" s="5" customFormat="1" x14ac:dyDescent="0.25">
      <c r="A22" s="5" t="s">
        <v>113</v>
      </c>
      <c r="B22" s="6">
        <v>20411454</v>
      </c>
      <c r="C22" s="5" t="s">
        <v>4</v>
      </c>
      <c r="D22" s="7">
        <v>46023</v>
      </c>
      <c r="E22" s="8">
        <v>3</v>
      </c>
      <c r="F22" s="5">
        <v>20616896501</v>
      </c>
      <c r="G22" s="5" t="str">
        <f>CONCATENATE(F22,"OVR")</f>
        <v>20616896501OVR</v>
      </c>
      <c r="H22" s="5" t="s">
        <v>410</v>
      </c>
      <c r="I22" s="7">
        <v>46023</v>
      </c>
      <c r="J22" s="5" t="s">
        <v>0</v>
      </c>
      <c r="K22" s="5" t="s">
        <v>148</v>
      </c>
      <c r="L22" s="5" t="s">
        <v>152</v>
      </c>
      <c r="M22" s="7">
        <v>46023</v>
      </c>
      <c r="N22" s="5" t="s">
        <v>451</v>
      </c>
    </row>
    <row r="23" spans="1:14" s="5" customFormat="1" x14ac:dyDescent="0.25">
      <c r="A23" s="5" t="s">
        <v>113</v>
      </c>
      <c r="B23" s="6">
        <v>20411454</v>
      </c>
      <c r="C23" s="5" t="s">
        <v>4</v>
      </c>
      <c r="D23" s="7">
        <v>46023</v>
      </c>
      <c r="E23" s="8">
        <v>3</v>
      </c>
      <c r="F23" s="5">
        <v>15886303501</v>
      </c>
      <c r="G23" s="5" t="str">
        <f>CONCATENATE(F23,"OVR")</f>
        <v>15886303501OVR</v>
      </c>
      <c r="H23" s="5" t="s">
        <v>265</v>
      </c>
      <c r="I23" s="7">
        <v>46023</v>
      </c>
      <c r="J23" s="5" t="s">
        <v>0</v>
      </c>
      <c r="K23" s="5" t="s">
        <v>266</v>
      </c>
      <c r="L23" s="5" t="s">
        <v>152</v>
      </c>
      <c r="M23" s="7">
        <v>46023</v>
      </c>
      <c r="N23" s="5" t="s">
        <v>451</v>
      </c>
    </row>
    <row r="24" spans="1:14" s="5" customFormat="1" x14ac:dyDescent="0.25">
      <c r="A24" s="5" t="s">
        <v>258</v>
      </c>
      <c r="B24" s="6">
        <v>20411454</v>
      </c>
      <c r="C24" s="5" t="s">
        <v>4</v>
      </c>
      <c r="D24" s="7">
        <v>46023</v>
      </c>
      <c r="E24" s="8">
        <v>3</v>
      </c>
      <c r="F24" s="5">
        <v>20617354401</v>
      </c>
      <c r="G24" s="5" t="str">
        <f>CONCATENATE(F24,"OVR")</f>
        <v>20617354401OVR</v>
      </c>
      <c r="H24" s="5" t="s">
        <v>260</v>
      </c>
      <c r="I24" s="7">
        <v>46023</v>
      </c>
      <c r="J24" s="5" t="s">
        <v>0</v>
      </c>
      <c r="K24" s="5" t="s">
        <v>52</v>
      </c>
      <c r="L24" s="5" t="s">
        <v>152</v>
      </c>
      <c r="M24" s="7">
        <v>46023</v>
      </c>
      <c r="N24" s="5" t="s">
        <v>451</v>
      </c>
    </row>
    <row r="25" spans="1:14" s="5" customFormat="1" x14ac:dyDescent="0.25">
      <c r="A25" s="5" t="s">
        <v>84</v>
      </c>
      <c r="B25" s="6">
        <v>20411454</v>
      </c>
      <c r="C25" s="5" t="s">
        <v>4</v>
      </c>
      <c r="D25" s="7">
        <v>46023</v>
      </c>
      <c r="E25" s="8">
        <v>3</v>
      </c>
      <c r="F25" s="5">
        <v>20600113301</v>
      </c>
      <c r="G25" s="5" t="str">
        <f>CONCATENATE(F25,"OVR")</f>
        <v>20600113301OVR</v>
      </c>
      <c r="H25" s="5" t="s">
        <v>447</v>
      </c>
      <c r="I25" s="7">
        <v>46023</v>
      </c>
      <c r="J25" s="5" t="s">
        <v>0</v>
      </c>
      <c r="K25" s="5" t="s">
        <v>67</v>
      </c>
      <c r="L25" s="5" t="s">
        <v>152</v>
      </c>
      <c r="M25" s="7">
        <v>46023</v>
      </c>
      <c r="N25" s="5" t="s">
        <v>451</v>
      </c>
    </row>
    <row r="26" spans="1:14" s="5" customFormat="1" x14ac:dyDescent="0.25">
      <c r="A26" s="5" t="s">
        <v>175</v>
      </c>
      <c r="B26" s="6">
        <v>20411454</v>
      </c>
      <c r="C26" s="5" t="s">
        <v>4</v>
      </c>
      <c r="D26" s="7">
        <v>46023</v>
      </c>
      <c r="E26" s="8">
        <v>3</v>
      </c>
      <c r="F26" s="5">
        <v>20617283501</v>
      </c>
      <c r="G26" s="5" t="str">
        <f>CONCATENATE(F26,"OVR")</f>
        <v>20617283501OVR</v>
      </c>
      <c r="H26" s="5" t="s">
        <v>412</v>
      </c>
      <c r="I26" s="7">
        <v>46023</v>
      </c>
      <c r="J26" s="5" t="s">
        <v>0</v>
      </c>
      <c r="K26" s="5" t="s">
        <v>52</v>
      </c>
      <c r="L26" s="5" t="s">
        <v>152</v>
      </c>
      <c r="M26" s="7">
        <v>46023</v>
      </c>
      <c r="N26" s="5" t="s">
        <v>451</v>
      </c>
    </row>
    <row r="27" spans="1:14" s="5" customFormat="1" x14ac:dyDescent="0.25">
      <c r="A27" s="5" t="s">
        <v>165</v>
      </c>
      <c r="B27" s="6">
        <v>20411454</v>
      </c>
      <c r="C27" s="5" t="s">
        <v>4</v>
      </c>
      <c r="D27" s="7">
        <v>46023</v>
      </c>
      <c r="E27" s="8">
        <v>3</v>
      </c>
      <c r="F27" s="5">
        <v>20623532701</v>
      </c>
      <c r="G27" s="5" t="str">
        <f>CONCATENATE(F27,"OVR")</f>
        <v>20623532701OVR</v>
      </c>
      <c r="H27" s="5" t="s">
        <v>167</v>
      </c>
      <c r="I27" s="7">
        <v>46023</v>
      </c>
      <c r="J27" s="5" t="s">
        <v>0</v>
      </c>
      <c r="K27" s="5" t="s">
        <v>168</v>
      </c>
      <c r="L27" s="5" t="s">
        <v>152</v>
      </c>
      <c r="M27" s="7">
        <v>46023</v>
      </c>
      <c r="N27" s="5" t="s">
        <v>451</v>
      </c>
    </row>
    <row r="28" spans="1:14" s="5" customFormat="1" x14ac:dyDescent="0.25">
      <c r="A28" s="5" t="s">
        <v>258</v>
      </c>
      <c r="B28" s="6">
        <v>20411454</v>
      </c>
      <c r="C28" s="5" t="s">
        <v>4</v>
      </c>
      <c r="D28" s="7">
        <v>46023</v>
      </c>
      <c r="E28" s="8">
        <v>3</v>
      </c>
      <c r="F28" s="5">
        <v>20637646901</v>
      </c>
      <c r="G28" s="5" t="str">
        <f>CONCATENATE(F28,"OVR")</f>
        <v>20637646901OVR</v>
      </c>
      <c r="H28" s="5" t="s">
        <v>414</v>
      </c>
      <c r="I28" s="7">
        <v>46023</v>
      </c>
      <c r="J28" s="5" t="s">
        <v>0</v>
      </c>
      <c r="K28" s="5" t="s">
        <v>52</v>
      </c>
      <c r="L28" s="5" t="s">
        <v>152</v>
      </c>
      <c r="M28" s="7">
        <v>46023</v>
      </c>
      <c r="N28" s="5" t="s">
        <v>451</v>
      </c>
    </row>
    <row r="29" spans="1:14" s="5" customFormat="1" x14ac:dyDescent="0.25">
      <c r="A29" s="5" t="s">
        <v>400</v>
      </c>
      <c r="B29" s="6">
        <v>20411454</v>
      </c>
      <c r="C29" s="5" t="s">
        <v>4</v>
      </c>
      <c r="D29" s="7">
        <v>46023</v>
      </c>
      <c r="E29" s="8">
        <v>3</v>
      </c>
      <c r="F29" s="5">
        <v>20446316001</v>
      </c>
      <c r="G29" s="5" t="str">
        <f>CONCATENATE(F29,"OVR")</f>
        <v>20446316001OVR</v>
      </c>
      <c r="H29" s="5" t="s">
        <v>402</v>
      </c>
      <c r="I29" s="7">
        <v>46023</v>
      </c>
      <c r="J29" s="5" t="s">
        <v>152</v>
      </c>
      <c r="K29" s="5" t="s">
        <v>182</v>
      </c>
      <c r="L29" s="5" t="s">
        <v>152</v>
      </c>
      <c r="M29" s="7">
        <v>46023</v>
      </c>
      <c r="N29" s="5" t="s">
        <v>451</v>
      </c>
    </row>
    <row r="30" spans="1:14" s="5" customFormat="1" x14ac:dyDescent="0.25">
      <c r="A30" s="5" t="s">
        <v>315</v>
      </c>
      <c r="B30" s="6">
        <v>20411454</v>
      </c>
      <c r="C30" s="5" t="s">
        <v>4</v>
      </c>
      <c r="D30" s="7">
        <v>46023</v>
      </c>
      <c r="E30" s="8">
        <v>3</v>
      </c>
      <c r="F30" s="5">
        <v>20473608601</v>
      </c>
      <c r="G30" s="5" t="str">
        <f>CONCATENATE(F30,"OVR")</f>
        <v>20473608601OVR</v>
      </c>
      <c r="H30" s="5" t="s">
        <v>317</v>
      </c>
      <c r="I30" s="7">
        <v>46023</v>
      </c>
      <c r="J30" s="5" t="s">
        <v>152</v>
      </c>
      <c r="K30" s="5" t="s">
        <v>52</v>
      </c>
      <c r="L30" s="5" t="s">
        <v>152</v>
      </c>
      <c r="M30" s="7">
        <v>46023</v>
      </c>
      <c r="N30" s="5" t="s">
        <v>451</v>
      </c>
    </row>
    <row r="31" spans="1:14" s="5" customFormat="1" x14ac:dyDescent="0.25">
      <c r="A31" s="5" t="s">
        <v>113</v>
      </c>
      <c r="B31" s="6">
        <v>20411454</v>
      </c>
      <c r="C31" s="5" t="s">
        <v>4</v>
      </c>
      <c r="D31" s="7">
        <v>46023</v>
      </c>
      <c r="E31" s="8">
        <v>3</v>
      </c>
      <c r="F31" s="5">
        <v>20564824901</v>
      </c>
      <c r="G31" s="5" t="str">
        <f>CONCATENATE(F31,"OVR")</f>
        <v>20564824901OVR</v>
      </c>
      <c r="H31" s="5" t="s">
        <v>406</v>
      </c>
      <c r="I31" s="7">
        <v>46023</v>
      </c>
      <c r="J31" s="5" t="s">
        <v>152</v>
      </c>
      <c r="K31" s="5" t="s">
        <v>148</v>
      </c>
      <c r="L31" s="5" t="s">
        <v>152</v>
      </c>
      <c r="M31" s="7">
        <v>46023</v>
      </c>
      <c r="N31" s="5" t="s">
        <v>451</v>
      </c>
    </row>
    <row r="32" spans="1:14" s="5" customFormat="1" x14ac:dyDescent="0.25">
      <c r="A32" s="5" t="s">
        <v>161</v>
      </c>
      <c r="B32" s="6">
        <v>20411454</v>
      </c>
      <c r="C32" s="5" t="s">
        <v>4</v>
      </c>
      <c r="D32" s="7">
        <v>46023</v>
      </c>
      <c r="E32" s="8">
        <v>3</v>
      </c>
      <c r="F32" s="5">
        <v>20559133201</v>
      </c>
      <c r="G32" s="5" t="str">
        <f>CONCATENATE(F32,"OVR")</f>
        <v>20559133201OVR</v>
      </c>
      <c r="H32" s="5" t="s">
        <v>408</v>
      </c>
      <c r="I32" s="7">
        <v>46023</v>
      </c>
      <c r="J32" s="5" t="s">
        <v>152</v>
      </c>
      <c r="K32" s="5" t="s">
        <v>52</v>
      </c>
      <c r="L32" s="5" t="s">
        <v>152</v>
      </c>
      <c r="M32" s="7">
        <v>46023</v>
      </c>
      <c r="N32" s="5" t="s">
        <v>451</v>
      </c>
    </row>
    <row r="33" spans="1:14" s="5" customFormat="1" x14ac:dyDescent="0.25">
      <c r="A33" s="5" t="s">
        <v>319</v>
      </c>
      <c r="B33" s="6">
        <v>20411454</v>
      </c>
      <c r="C33" s="5" t="s">
        <v>4</v>
      </c>
      <c r="D33" s="7">
        <v>46023</v>
      </c>
      <c r="E33" s="8">
        <v>3</v>
      </c>
      <c r="F33" s="5">
        <v>20558827001</v>
      </c>
      <c r="G33" s="5" t="str">
        <f>CONCATENATE(F33,"OVR")</f>
        <v>20558827001OVR</v>
      </c>
      <c r="H33" s="5" t="s">
        <v>321</v>
      </c>
      <c r="I33" s="7">
        <v>46023</v>
      </c>
      <c r="J33" s="5" t="s">
        <v>152</v>
      </c>
      <c r="K33" s="5" t="s">
        <v>322</v>
      </c>
      <c r="L33" s="5" t="s">
        <v>152</v>
      </c>
      <c r="M33" s="7">
        <v>46023</v>
      </c>
      <c r="N33" s="5" t="s">
        <v>451</v>
      </c>
    </row>
    <row r="34" spans="1:14" s="5" customFormat="1" x14ac:dyDescent="0.25">
      <c r="A34" s="5" t="s">
        <v>325</v>
      </c>
      <c r="B34" s="6">
        <v>20411454</v>
      </c>
      <c r="C34" s="5" t="s">
        <v>4</v>
      </c>
      <c r="D34" s="7">
        <v>46023</v>
      </c>
      <c r="E34" s="8">
        <v>3</v>
      </c>
      <c r="F34" s="5">
        <v>20571185601</v>
      </c>
      <c r="G34" s="5" t="str">
        <f>CONCATENATE(F34,"OVR")</f>
        <v>20571185601OVR</v>
      </c>
      <c r="H34" s="5" t="s">
        <v>327</v>
      </c>
      <c r="I34" s="7">
        <v>46023</v>
      </c>
      <c r="J34" s="5" t="s">
        <v>152</v>
      </c>
      <c r="K34" s="5" t="s">
        <v>52</v>
      </c>
      <c r="L34" s="5" t="s">
        <v>152</v>
      </c>
      <c r="M34" s="7">
        <v>46023</v>
      </c>
      <c r="N34" s="5" t="s">
        <v>451</v>
      </c>
    </row>
    <row r="35" spans="1:14" s="5" customFormat="1" x14ac:dyDescent="0.25">
      <c r="A35" s="5" t="s">
        <v>156</v>
      </c>
      <c r="B35" s="6">
        <v>20411454</v>
      </c>
      <c r="C35" s="5" t="s">
        <v>4</v>
      </c>
      <c r="D35" s="7">
        <v>46023</v>
      </c>
      <c r="E35" s="8">
        <v>3</v>
      </c>
      <c r="F35" s="5">
        <v>20454014001</v>
      </c>
      <c r="G35" s="5" t="str">
        <f>CONCATENATE(F35,"OVR")</f>
        <v>20454014001OVR</v>
      </c>
      <c r="H35" s="5" t="s">
        <v>404</v>
      </c>
      <c r="I35" s="7">
        <v>46023</v>
      </c>
      <c r="J35" s="5" t="s">
        <v>152</v>
      </c>
      <c r="K35" s="5" t="s">
        <v>52</v>
      </c>
      <c r="L35" s="5" t="s">
        <v>152</v>
      </c>
      <c r="M35" s="7">
        <v>46023</v>
      </c>
      <c r="N35" s="5" t="s">
        <v>451</v>
      </c>
    </row>
    <row r="36" spans="1:14" s="5" customFormat="1" x14ac:dyDescent="0.25">
      <c r="A36" s="5" t="s">
        <v>141</v>
      </c>
      <c r="B36" s="6">
        <v>20411454</v>
      </c>
      <c r="C36" s="5" t="s">
        <v>4</v>
      </c>
      <c r="D36" s="7">
        <v>46023</v>
      </c>
      <c r="E36" s="8">
        <v>3</v>
      </c>
      <c r="F36" s="5">
        <v>16251799901</v>
      </c>
      <c r="G36" s="5" t="str">
        <f>CONCATENATE(F36,"OVR")</f>
        <v>16251799901OVR</v>
      </c>
      <c r="H36" s="5" t="s">
        <v>425</v>
      </c>
      <c r="I36" s="7">
        <v>46023</v>
      </c>
      <c r="J36" s="5" t="s">
        <v>152</v>
      </c>
      <c r="K36" s="5" t="s">
        <v>52</v>
      </c>
      <c r="L36" s="5" t="s">
        <v>152</v>
      </c>
      <c r="M36" s="7">
        <v>46023</v>
      </c>
      <c r="N36" s="5" t="s">
        <v>451</v>
      </c>
    </row>
    <row r="37" spans="1:14" s="5" customFormat="1" x14ac:dyDescent="0.25">
      <c r="A37" s="5" t="s">
        <v>439</v>
      </c>
      <c r="B37" s="6">
        <v>20411454</v>
      </c>
      <c r="C37" s="5" t="s">
        <v>4</v>
      </c>
      <c r="D37" s="7">
        <v>46023</v>
      </c>
      <c r="E37" s="8">
        <v>3</v>
      </c>
      <c r="F37" s="5">
        <v>20463533801</v>
      </c>
      <c r="G37" s="5" t="str">
        <f>CONCATENATE(F37,"OVR")</f>
        <v>20463533801OVR</v>
      </c>
      <c r="H37" s="5" t="s">
        <v>441</v>
      </c>
      <c r="I37" s="7">
        <v>46023</v>
      </c>
      <c r="J37" s="5" t="s">
        <v>152</v>
      </c>
      <c r="K37" s="5" t="s">
        <v>52</v>
      </c>
      <c r="L37" s="5" t="s">
        <v>152</v>
      </c>
      <c r="M37" s="7">
        <v>46023</v>
      </c>
      <c r="N37" s="5" t="s">
        <v>451</v>
      </c>
    </row>
    <row r="38" spans="1:14" s="5" customFormat="1" x14ac:dyDescent="0.25">
      <c r="A38" s="5" t="s">
        <v>84</v>
      </c>
      <c r="B38" s="6">
        <v>20411454</v>
      </c>
      <c r="C38" s="5" t="s">
        <v>4</v>
      </c>
      <c r="D38" s="7">
        <v>46023</v>
      </c>
      <c r="E38" s="8">
        <v>3</v>
      </c>
      <c r="F38" s="5">
        <v>18111515501</v>
      </c>
      <c r="G38" s="5" t="str">
        <f>CONCATENATE(F38,"OVR")</f>
        <v>18111515501OVR</v>
      </c>
      <c r="H38" s="5" t="s">
        <v>445</v>
      </c>
      <c r="I38" s="7">
        <v>46023</v>
      </c>
      <c r="J38" s="5" t="s">
        <v>152</v>
      </c>
      <c r="K38" s="5" t="s">
        <v>67</v>
      </c>
      <c r="L38" s="5" t="s">
        <v>152</v>
      </c>
      <c r="M38" s="7">
        <v>46023</v>
      </c>
      <c r="N38" s="5" t="s">
        <v>451</v>
      </c>
    </row>
    <row r="39" spans="1:14" s="5" customFormat="1" x14ac:dyDescent="0.25">
      <c r="A39" s="5" t="s">
        <v>161</v>
      </c>
      <c r="B39" s="6">
        <v>20411454</v>
      </c>
      <c r="C39" s="5" t="s">
        <v>4</v>
      </c>
      <c r="D39" s="7">
        <v>46023</v>
      </c>
      <c r="E39" s="8">
        <v>5.5</v>
      </c>
      <c r="F39" s="5">
        <v>20591390801</v>
      </c>
      <c r="G39" s="5" t="str">
        <f>CONCATENATE(F39,"OVR")</f>
        <v>20591390801OVR</v>
      </c>
      <c r="H39" s="5" t="s">
        <v>163</v>
      </c>
      <c r="I39" s="7">
        <v>46023</v>
      </c>
      <c r="J39" s="5" t="s">
        <v>51</v>
      </c>
      <c r="K39" s="5" t="s">
        <v>52</v>
      </c>
      <c r="L39" s="5" t="s">
        <v>152</v>
      </c>
      <c r="M39" s="7">
        <v>46023</v>
      </c>
      <c r="N39" s="5" t="s">
        <v>451</v>
      </c>
    </row>
    <row r="40" spans="1:14" s="5" customFormat="1" x14ac:dyDescent="0.25">
      <c r="A40" s="5" t="s">
        <v>179</v>
      </c>
      <c r="B40" s="6">
        <v>20411454</v>
      </c>
      <c r="C40" s="5" t="s">
        <v>4</v>
      </c>
      <c r="D40" s="7">
        <v>46023</v>
      </c>
      <c r="E40" s="8">
        <v>5.5</v>
      </c>
      <c r="F40" s="5">
        <v>20543503501</v>
      </c>
      <c r="G40" s="5" t="str">
        <f>CONCATENATE(F40,"OVR")</f>
        <v>20543503501OVR</v>
      </c>
      <c r="H40" s="5" t="s">
        <v>256</v>
      </c>
      <c r="I40" s="7">
        <v>46023</v>
      </c>
      <c r="J40" s="5" t="s">
        <v>51</v>
      </c>
      <c r="K40" s="5" t="s">
        <v>182</v>
      </c>
      <c r="L40" s="5" t="s">
        <v>152</v>
      </c>
      <c r="M40" s="7">
        <v>46023</v>
      </c>
      <c r="N40" s="5" t="s">
        <v>451</v>
      </c>
    </row>
    <row r="41" spans="1:14" s="5" customFormat="1" x14ac:dyDescent="0.25">
      <c r="A41" s="5" t="s">
        <v>370</v>
      </c>
      <c r="B41" s="6">
        <v>20411454</v>
      </c>
      <c r="C41" s="5" t="s">
        <v>4</v>
      </c>
      <c r="D41" s="7">
        <v>46023</v>
      </c>
      <c r="E41" s="8">
        <v>5.5</v>
      </c>
      <c r="F41" s="5">
        <v>20470899401</v>
      </c>
      <c r="G41" s="5" t="str">
        <f>CONCATENATE(F41,"OVR")</f>
        <v>20470899401OVR</v>
      </c>
      <c r="H41" s="5" t="s">
        <v>372</v>
      </c>
      <c r="I41" s="7">
        <v>46023</v>
      </c>
      <c r="J41" s="5" t="s">
        <v>51</v>
      </c>
      <c r="K41" s="5" t="s">
        <v>52</v>
      </c>
      <c r="L41" s="5" t="s">
        <v>152</v>
      </c>
      <c r="M41" s="7">
        <v>46023</v>
      </c>
      <c r="N41" s="5" t="s">
        <v>451</v>
      </c>
    </row>
    <row r="42" spans="1:14" s="5" customFormat="1" x14ac:dyDescent="0.25">
      <c r="A42" s="5" t="s">
        <v>113</v>
      </c>
      <c r="B42" s="6">
        <v>20411454</v>
      </c>
      <c r="C42" s="5" t="s">
        <v>4</v>
      </c>
      <c r="D42" s="7">
        <v>46023</v>
      </c>
      <c r="E42" s="8">
        <v>5.5</v>
      </c>
      <c r="F42" s="5">
        <v>20562857101</v>
      </c>
      <c r="G42" s="5" t="str">
        <f>CONCATENATE(F42,"OVR")</f>
        <v>20562857101OVR</v>
      </c>
      <c r="H42" s="5" t="s">
        <v>443</v>
      </c>
      <c r="I42" s="7">
        <v>46023</v>
      </c>
      <c r="J42" s="5" t="s">
        <v>51</v>
      </c>
      <c r="K42" s="5" t="s">
        <v>148</v>
      </c>
      <c r="L42" s="5" t="s">
        <v>152</v>
      </c>
      <c r="M42" s="7">
        <v>46023</v>
      </c>
      <c r="N42" s="5" t="s">
        <v>451</v>
      </c>
    </row>
    <row r="43" spans="1:14" s="5" customFormat="1" x14ac:dyDescent="0.25">
      <c r="A43" s="5" t="s">
        <v>374</v>
      </c>
      <c r="B43" s="6">
        <v>20411454</v>
      </c>
      <c r="C43" s="5" t="s">
        <v>4</v>
      </c>
      <c r="D43" s="7">
        <v>46023</v>
      </c>
      <c r="E43" s="8">
        <v>5.5</v>
      </c>
      <c r="F43" s="5">
        <v>20571013001</v>
      </c>
      <c r="G43" s="5" t="str">
        <f>CONCATENATE(F43,"OVR")</f>
        <v>20571013001OVR</v>
      </c>
      <c r="H43" s="5" t="s">
        <v>376</v>
      </c>
      <c r="I43" s="7">
        <v>46023</v>
      </c>
      <c r="J43" s="5" t="s">
        <v>51</v>
      </c>
      <c r="K43" s="5" t="s">
        <v>67</v>
      </c>
      <c r="L43" s="5" t="s">
        <v>152</v>
      </c>
      <c r="M43" s="7">
        <v>46023</v>
      </c>
      <c r="N43" s="5" t="s">
        <v>451</v>
      </c>
    </row>
    <row r="44" spans="1:14" s="5" customFormat="1" x14ac:dyDescent="0.25">
      <c r="A44" s="5" t="s">
        <v>84</v>
      </c>
      <c r="B44" s="6">
        <v>20411454</v>
      </c>
      <c r="C44" s="5" t="s">
        <v>4</v>
      </c>
      <c r="D44" s="7">
        <v>46023</v>
      </c>
      <c r="E44" s="8">
        <v>5.5</v>
      </c>
      <c r="F44" s="5">
        <v>20439997601</v>
      </c>
      <c r="G44" s="5" t="str">
        <f>CONCATENATE(F44,"OVR")</f>
        <v>20439997601OVR</v>
      </c>
      <c r="H44" s="5" t="s">
        <v>151</v>
      </c>
      <c r="I44" s="7">
        <v>46023</v>
      </c>
      <c r="J44" s="5" t="s">
        <v>81</v>
      </c>
      <c r="K44" s="5" t="s">
        <v>67</v>
      </c>
      <c r="L44" s="5" t="s">
        <v>152</v>
      </c>
      <c r="M44" s="7">
        <v>46023</v>
      </c>
      <c r="N44" s="5" t="s">
        <v>451</v>
      </c>
    </row>
    <row r="45" spans="1:14" s="5" customFormat="1" x14ac:dyDescent="0.25">
      <c r="A45" s="5" t="s">
        <v>156</v>
      </c>
      <c r="B45" s="6">
        <v>20411454</v>
      </c>
      <c r="C45" s="5" t="s">
        <v>4</v>
      </c>
      <c r="D45" s="7">
        <v>46023</v>
      </c>
      <c r="E45" s="8">
        <v>5.5</v>
      </c>
      <c r="F45" s="5">
        <v>20562845601</v>
      </c>
      <c r="G45" s="5" t="str">
        <f>CONCATENATE(F45,"OVR")</f>
        <v>20562845601OVR</v>
      </c>
      <c r="H45" s="5" t="s">
        <v>158</v>
      </c>
      <c r="I45" s="7">
        <v>46023</v>
      </c>
      <c r="J45" s="5" t="s">
        <v>81</v>
      </c>
      <c r="K45" s="5" t="s">
        <v>52</v>
      </c>
      <c r="L45" s="5" t="s">
        <v>152</v>
      </c>
      <c r="M45" s="7">
        <v>46023</v>
      </c>
      <c r="N45" s="5" t="s">
        <v>451</v>
      </c>
    </row>
    <row r="46" spans="1:14" s="5" customFormat="1" x14ac:dyDescent="0.25">
      <c r="A46" s="5" t="s">
        <v>113</v>
      </c>
      <c r="B46" s="6">
        <v>20411454</v>
      </c>
      <c r="C46" s="5" t="s">
        <v>4</v>
      </c>
      <c r="D46" s="7">
        <v>46023</v>
      </c>
      <c r="E46" s="8">
        <v>25</v>
      </c>
      <c r="F46" s="5" t="s">
        <v>297</v>
      </c>
      <c r="G46" s="5" t="str">
        <f>CONCATENATE(F46,"OVR")</f>
        <v>71L1A1F62OVR</v>
      </c>
      <c r="H46" s="5" t="s">
        <v>299</v>
      </c>
      <c r="I46" s="7">
        <v>46023</v>
      </c>
      <c r="J46" s="5" t="s">
        <v>0</v>
      </c>
      <c r="K46" s="5" t="s">
        <v>148</v>
      </c>
      <c r="L46" s="5" t="s">
        <v>51</v>
      </c>
      <c r="M46" s="7">
        <v>46023</v>
      </c>
      <c r="N46" s="5" t="s">
        <v>451</v>
      </c>
    </row>
    <row r="47" spans="1:14" s="5" customFormat="1" x14ac:dyDescent="0.25">
      <c r="A47" s="5" t="s">
        <v>370</v>
      </c>
      <c r="B47" s="6">
        <v>20411454</v>
      </c>
      <c r="C47" s="5" t="s">
        <v>4</v>
      </c>
      <c r="D47" s="7">
        <v>46023</v>
      </c>
      <c r="E47" s="8">
        <v>25</v>
      </c>
      <c r="F47" s="5">
        <v>36877815</v>
      </c>
      <c r="G47" s="5" t="str">
        <f>CONCATENATE(F47,"OVR")</f>
        <v>36877815OVR</v>
      </c>
      <c r="H47" s="5" t="s">
        <v>395</v>
      </c>
      <c r="I47" s="7">
        <v>46023</v>
      </c>
      <c r="J47" s="5" t="s">
        <v>0</v>
      </c>
      <c r="K47" s="5" t="s">
        <v>52</v>
      </c>
      <c r="L47" s="5" t="s">
        <v>51</v>
      </c>
      <c r="M47" s="7">
        <v>46023</v>
      </c>
      <c r="N47" s="5" t="s">
        <v>451</v>
      </c>
    </row>
    <row r="48" spans="1:14" s="5" customFormat="1" x14ac:dyDescent="0.25">
      <c r="A48" s="5" t="s">
        <v>113</v>
      </c>
      <c r="B48" s="6">
        <v>20411454</v>
      </c>
      <c r="C48" s="5" t="s">
        <v>4</v>
      </c>
      <c r="D48" s="7">
        <v>46023</v>
      </c>
      <c r="E48" s="8">
        <v>25</v>
      </c>
      <c r="F48" s="5">
        <v>36545567</v>
      </c>
      <c r="G48" s="5" t="str">
        <f>CONCATENATE(F48,"OVR")</f>
        <v>36545567OVR</v>
      </c>
      <c r="H48" s="5" t="s">
        <v>115</v>
      </c>
      <c r="I48" s="7">
        <v>46023</v>
      </c>
      <c r="J48" s="5" t="s">
        <v>51</v>
      </c>
      <c r="K48" s="5" t="s">
        <v>116</v>
      </c>
      <c r="L48" s="5" t="s">
        <v>51</v>
      </c>
      <c r="M48" s="7">
        <v>46023</v>
      </c>
      <c r="N48" s="5" t="s">
        <v>451</v>
      </c>
    </row>
    <row r="49" spans="1:14" s="5" customFormat="1" x14ac:dyDescent="0.25">
      <c r="A49" s="5" t="s">
        <v>165</v>
      </c>
      <c r="B49" s="6">
        <v>20411454</v>
      </c>
      <c r="C49" s="5" t="s">
        <v>4</v>
      </c>
      <c r="D49" s="7">
        <v>46023</v>
      </c>
      <c r="E49" s="8">
        <v>25</v>
      </c>
      <c r="F49" s="5">
        <v>36864714</v>
      </c>
      <c r="G49" s="5" t="str">
        <f>CONCATENATE(F49,"OVR")</f>
        <v>36864714OVR</v>
      </c>
      <c r="H49" s="5" t="s">
        <v>390</v>
      </c>
      <c r="I49" s="7">
        <v>46023</v>
      </c>
      <c r="J49" s="5" t="s">
        <v>51</v>
      </c>
      <c r="K49" s="5" t="s">
        <v>148</v>
      </c>
      <c r="L49" s="5" t="s">
        <v>51</v>
      </c>
      <c r="M49" s="7">
        <v>46023</v>
      </c>
      <c r="N49" s="5" t="s">
        <v>451</v>
      </c>
    </row>
    <row r="50" spans="1:14" s="5" customFormat="1" x14ac:dyDescent="0.25">
      <c r="A50" s="5" t="s">
        <v>71</v>
      </c>
      <c r="B50" s="6">
        <v>20411454</v>
      </c>
      <c r="C50" s="5" t="s">
        <v>4</v>
      </c>
      <c r="D50" s="7">
        <v>46023</v>
      </c>
      <c r="E50" s="8">
        <v>25</v>
      </c>
      <c r="F50" s="5">
        <v>37233819</v>
      </c>
      <c r="G50" s="5" t="str">
        <f>CONCATENATE(F50,"OVR")</f>
        <v>37233819OVR</v>
      </c>
      <c r="H50" s="5" t="s">
        <v>210</v>
      </c>
      <c r="I50" s="7">
        <v>46023</v>
      </c>
      <c r="J50" s="5" t="s">
        <v>51</v>
      </c>
      <c r="K50" s="5" t="s">
        <v>75</v>
      </c>
      <c r="L50" s="5" t="s">
        <v>51</v>
      </c>
      <c r="M50" s="7">
        <v>46023</v>
      </c>
      <c r="N50" s="5" t="s">
        <v>451</v>
      </c>
    </row>
    <row r="51" spans="1:14" s="5" customFormat="1" x14ac:dyDescent="0.25">
      <c r="A51" s="5" t="s">
        <v>71</v>
      </c>
      <c r="B51" s="6">
        <v>20411454</v>
      </c>
      <c r="C51" s="5" t="s">
        <v>4</v>
      </c>
      <c r="D51" s="7">
        <v>46023</v>
      </c>
      <c r="E51" s="8">
        <v>25</v>
      </c>
      <c r="F51" s="5" t="s">
        <v>72</v>
      </c>
      <c r="G51" s="5" t="str">
        <f>CONCATENATE(F51,"OVR")</f>
        <v>28F5R9H65OVR</v>
      </c>
      <c r="H51" s="5" t="s">
        <v>74</v>
      </c>
      <c r="I51" s="7">
        <v>46023</v>
      </c>
      <c r="J51" s="5" t="s">
        <v>51</v>
      </c>
      <c r="K51" s="5" t="s">
        <v>75</v>
      </c>
      <c r="L51" s="5" t="s">
        <v>51</v>
      </c>
      <c r="M51" s="7">
        <v>46023</v>
      </c>
      <c r="N51" s="5" t="s">
        <v>451</v>
      </c>
    </row>
    <row r="52" spans="1:14" s="5" customFormat="1" x14ac:dyDescent="0.25">
      <c r="A52" s="5" t="s">
        <v>57</v>
      </c>
      <c r="B52" s="6">
        <v>20411454</v>
      </c>
      <c r="C52" s="5" t="s">
        <v>4</v>
      </c>
      <c r="D52" s="7">
        <v>46023</v>
      </c>
      <c r="E52" s="8">
        <v>80</v>
      </c>
      <c r="F52" s="5" t="s">
        <v>108</v>
      </c>
      <c r="G52" s="5" t="str">
        <f>CONCATENATE(F52,"OVR")</f>
        <v>28H8H4L63OVR</v>
      </c>
      <c r="H52" s="5" t="s">
        <v>110</v>
      </c>
      <c r="I52" s="7">
        <v>46023</v>
      </c>
      <c r="J52" s="5" t="s">
        <v>0</v>
      </c>
      <c r="K52" s="5" t="s">
        <v>52</v>
      </c>
      <c r="L52" s="5" t="s">
        <v>51</v>
      </c>
      <c r="M52" s="7">
        <v>46023</v>
      </c>
      <c r="N52" s="5" t="s">
        <v>451</v>
      </c>
    </row>
    <row r="53" spans="1:14" s="5" customFormat="1" x14ac:dyDescent="0.25">
      <c r="A53" s="5" t="s">
        <v>121</v>
      </c>
      <c r="B53" s="6">
        <v>20411454</v>
      </c>
      <c r="C53" s="5" t="s">
        <v>4</v>
      </c>
      <c r="D53" s="7">
        <v>46023</v>
      </c>
      <c r="E53" s="8">
        <v>80</v>
      </c>
      <c r="F53" s="5" t="s">
        <v>122</v>
      </c>
      <c r="G53" s="5" t="str">
        <f>CONCATENATE(F53,"OVR")</f>
        <v>49L6A3A59OVR</v>
      </c>
      <c r="H53" s="5" t="s">
        <v>124</v>
      </c>
      <c r="I53" s="7">
        <v>46023</v>
      </c>
      <c r="J53" s="5" t="s">
        <v>0</v>
      </c>
      <c r="K53" s="5" t="s">
        <v>52</v>
      </c>
      <c r="L53" s="5" t="s">
        <v>51</v>
      </c>
      <c r="M53" s="7">
        <v>46023</v>
      </c>
      <c r="N53" s="5" t="s">
        <v>451</v>
      </c>
    </row>
    <row r="54" spans="1:14" s="5" customFormat="1" x14ac:dyDescent="0.25">
      <c r="A54" s="5" t="s">
        <v>113</v>
      </c>
      <c r="B54" s="6">
        <v>20411454</v>
      </c>
      <c r="C54" s="5" t="s">
        <v>4</v>
      </c>
      <c r="D54" s="7">
        <v>46023</v>
      </c>
      <c r="E54" s="8">
        <v>80</v>
      </c>
      <c r="F54" s="5" t="s">
        <v>145</v>
      </c>
      <c r="G54" s="5" t="str">
        <f>CONCATENATE(F54,"OVR")</f>
        <v>54X2U5F22OVR</v>
      </c>
      <c r="H54" s="5" t="s">
        <v>147</v>
      </c>
      <c r="I54" s="7">
        <v>46023</v>
      </c>
      <c r="J54" s="5" t="s">
        <v>0</v>
      </c>
      <c r="K54" s="5" t="s">
        <v>148</v>
      </c>
      <c r="L54" s="5" t="s">
        <v>51</v>
      </c>
      <c r="M54" s="7">
        <v>46023</v>
      </c>
      <c r="N54" s="5" t="s">
        <v>451</v>
      </c>
    </row>
    <row r="55" spans="1:14" s="5" customFormat="1" x14ac:dyDescent="0.25">
      <c r="A55" s="5" t="s">
        <v>84</v>
      </c>
      <c r="B55" s="6">
        <v>20411454</v>
      </c>
      <c r="C55" s="5" t="s">
        <v>4</v>
      </c>
      <c r="D55" s="7">
        <v>46023</v>
      </c>
      <c r="E55" s="8">
        <v>80</v>
      </c>
      <c r="F55" s="5" t="s">
        <v>245</v>
      </c>
      <c r="G55" s="5" t="str">
        <f>CONCATENATE(F55,"OVR")</f>
        <v>33U4H8R88OVR</v>
      </c>
      <c r="H55" s="5" t="s">
        <v>247</v>
      </c>
      <c r="I55" s="7">
        <v>46023</v>
      </c>
      <c r="J55" s="5" t="s">
        <v>0</v>
      </c>
      <c r="K55" s="5" t="s">
        <v>67</v>
      </c>
      <c r="L55" s="5" t="s">
        <v>51</v>
      </c>
      <c r="M55" s="7">
        <v>46023</v>
      </c>
      <c r="N55" s="5" t="s">
        <v>451</v>
      </c>
    </row>
    <row r="56" spans="1:14" s="5" customFormat="1" x14ac:dyDescent="0.25">
      <c r="A56" s="5" t="s">
        <v>126</v>
      </c>
      <c r="B56" s="6">
        <v>20411454</v>
      </c>
      <c r="C56" s="5" t="s">
        <v>4</v>
      </c>
      <c r="D56" s="7">
        <v>46023</v>
      </c>
      <c r="E56" s="8">
        <v>80</v>
      </c>
      <c r="F56" s="5" t="s">
        <v>127</v>
      </c>
      <c r="G56" s="5" t="str">
        <f>CONCATENATE(F56,"OVR")</f>
        <v>36U1A3F87OVR</v>
      </c>
      <c r="H56" s="5" t="s">
        <v>129</v>
      </c>
      <c r="I56" s="7">
        <v>46023</v>
      </c>
      <c r="J56" s="5" t="s">
        <v>0</v>
      </c>
      <c r="K56" s="5" t="s">
        <v>52</v>
      </c>
      <c r="L56" s="5" t="s">
        <v>51</v>
      </c>
      <c r="M56" s="7">
        <v>46023</v>
      </c>
      <c r="N56" s="5" t="s">
        <v>451</v>
      </c>
    </row>
    <row r="57" spans="1:14" s="5" customFormat="1" x14ac:dyDescent="0.25">
      <c r="A57" s="5" t="s">
        <v>304</v>
      </c>
      <c r="B57" s="6">
        <v>20411454</v>
      </c>
      <c r="C57" s="5" t="s">
        <v>4</v>
      </c>
      <c r="D57" s="7">
        <v>46023</v>
      </c>
      <c r="E57" s="8">
        <v>80</v>
      </c>
      <c r="F57" s="5" t="s">
        <v>305</v>
      </c>
      <c r="G57" s="5" t="str">
        <f>CONCATENATE(F57,"OVR")</f>
        <v>47X6H7U82OVR</v>
      </c>
      <c r="H57" s="5" t="s">
        <v>307</v>
      </c>
      <c r="I57" s="7">
        <v>46023</v>
      </c>
      <c r="J57" s="5" t="s">
        <v>0</v>
      </c>
      <c r="K57" s="5" t="s">
        <v>182</v>
      </c>
      <c r="L57" s="5" t="s">
        <v>51</v>
      </c>
      <c r="M57" s="7">
        <v>46023</v>
      </c>
      <c r="N57" s="5" t="s">
        <v>451</v>
      </c>
    </row>
    <row r="58" spans="1:14" s="5" customFormat="1" x14ac:dyDescent="0.25">
      <c r="A58" s="5" t="s">
        <v>136</v>
      </c>
      <c r="B58" s="6">
        <v>20411454</v>
      </c>
      <c r="C58" s="5" t="s">
        <v>4</v>
      </c>
      <c r="D58" s="7">
        <v>46023</v>
      </c>
      <c r="E58" s="8">
        <v>80</v>
      </c>
      <c r="F58" s="5" t="s">
        <v>137</v>
      </c>
      <c r="G58" s="5" t="str">
        <f>CONCATENATE(F58,"OVR")</f>
        <v>31F5X8A86OVR</v>
      </c>
      <c r="H58" s="5" t="s">
        <v>139</v>
      </c>
      <c r="I58" s="7">
        <v>46023</v>
      </c>
      <c r="J58" s="5" t="s">
        <v>0</v>
      </c>
      <c r="K58" s="5" t="s">
        <v>75</v>
      </c>
      <c r="L58" s="5" t="s">
        <v>51</v>
      </c>
      <c r="M58" s="7">
        <v>46023</v>
      </c>
      <c r="N58" s="5" t="s">
        <v>451</v>
      </c>
    </row>
    <row r="59" spans="1:14" s="5" customFormat="1" x14ac:dyDescent="0.25">
      <c r="A59" s="5" t="s">
        <v>175</v>
      </c>
      <c r="B59" s="6">
        <v>20411454</v>
      </c>
      <c r="C59" s="5" t="s">
        <v>4</v>
      </c>
      <c r="D59" s="7">
        <v>46023</v>
      </c>
      <c r="E59" s="8">
        <v>80</v>
      </c>
      <c r="F59" s="5" t="s">
        <v>251</v>
      </c>
      <c r="G59" s="5" t="str">
        <f>CONCATENATE(F59,"OVR")</f>
        <v>58X9F1U91OVR</v>
      </c>
      <c r="H59" s="5" t="s">
        <v>253</v>
      </c>
      <c r="I59" s="7">
        <v>46023</v>
      </c>
      <c r="J59" s="5" t="s">
        <v>0</v>
      </c>
      <c r="K59" s="5" t="s">
        <v>148</v>
      </c>
      <c r="L59" s="5" t="s">
        <v>51</v>
      </c>
      <c r="M59" s="7">
        <v>46023</v>
      </c>
      <c r="N59" s="5" t="s">
        <v>451</v>
      </c>
    </row>
    <row r="60" spans="1:14" s="5" customFormat="1" x14ac:dyDescent="0.25">
      <c r="A60" s="5" t="s">
        <v>126</v>
      </c>
      <c r="B60" s="6">
        <v>20411454</v>
      </c>
      <c r="C60" s="5" t="s">
        <v>4</v>
      </c>
      <c r="D60" s="7">
        <v>46023</v>
      </c>
      <c r="E60" s="8">
        <v>80</v>
      </c>
      <c r="F60" s="5" t="s">
        <v>354</v>
      </c>
      <c r="G60" s="5" t="str">
        <f>CONCATENATE(F60,"OVR")</f>
        <v>64H9X7F68OVR</v>
      </c>
      <c r="H60" s="5" t="s">
        <v>356</v>
      </c>
      <c r="I60" s="7">
        <v>46023</v>
      </c>
      <c r="J60" s="5" t="s">
        <v>0</v>
      </c>
      <c r="K60" s="5" t="s">
        <v>52</v>
      </c>
      <c r="L60" s="5" t="s">
        <v>51</v>
      </c>
      <c r="M60" s="7">
        <v>46023</v>
      </c>
      <c r="N60" s="5" t="s">
        <v>451</v>
      </c>
    </row>
    <row r="61" spans="1:14" s="5" customFormat="1" x14ac:dyDescent="0.25">
      <c r="A61" s="5" t="s">
        <v>98</v>
      </c>
      <c r="B61" s="6">
        <v>20411454</v>
      </c>
      <c r="C61" s="5" t="s">
        <v>4</v>
      </c>
      <c r="D61" s="7">
        <v>46023</v>
      </c>
      <c r="E61" s="8">
        <v>80</v>
      </c>
      <c r="F61" s="5" t="s">
        <v>357</v>
      </c>
      <c r="G61" s="5" t="str">
        <f>CONCATENATE(F61,"OVR")</f>
        <v>75X8A6F48OVR</v>
      </c>
      <c r="H61" s="5" t="s">
        <v>359</v>
      </c>
      <c r="I61" s="7">
        <v>46023</v>
      </c>
      <c r="J61" s="5" t="s">
        <v>0</v>
      </c>
      <c r="K61" s="5" t="s">
        <v>52</v>
      </c>
      <c r="L61" s="5" t="s">
        <v>51</v>
      </c>
      <c r="M61" s="7">
        <v>46023</v>
      </c>
      <c r="N61" s="5" t="s">
        <v>451</v>
      </c>
    </row>
    <row r="62" spans="1:14" s="5" customFormat="1" x14ac:dyDescent="0.25">
      <c r="A62" s="5" t="s">
        <v>131</v>
      </c>
      <c r="B62" s="6">
        <v>20411454</v>
      </c>
      <c r="C62" s="5" t="s">
        <v>4</v>
      </c>
      <c r="D62" s="7">
        <v>46023</v>
      </c>
      <c r="E62" s="8">
        <v>80</v>
      </c>
      <c r="F62" s="5" t="s">
        <v>132</v>
      </c>
      <c r="G62" s="5" t="str">
        <f>CONCATENATE(F62,"OVR")</f>
        <v>41A5A8R78OVR</v>
      </c>
      <c r="H62" s="5" t="s">
        <v>134</v>
      </c>
      <c r="I62" s="7">
        <v>46023</v>
      </c>
      <c r="J62" s="5" t="s">
        <v>0</v>
      </c>
      <c r="K62" s="5" t="s">
        <v>52</v>
      </c>
      <c r="L62" s="5" t="s">
        <v>51</v>
      </c>
      <c r="M62" s="7">
        <v>46023</v>
      </c>
      <c r="N62" s="5" t="s">
        <v>451</v>
      </c>
    </row>
    <row r="63" spans="1:14" s="5" customFormat="1" x14ac:dyDescent="0.25">
      <c r="A63" s="5" t="s">
        <v>136</v>
      </c>
      <c r="B63" s="6">
        <v>20411454</v>
      </c>
      <c r="C63" s="5" t="s">
        <v>4</v>
      </c>
      <c r="D63" s="7">
        <v>46023</v>
      </c>
      <c r="E63" s="8">
        <v>80</v>
      </c>
      <c r="F63" s="5" t="s">
        <v>360</v>
      </c>
      <c r="G63" s="5" t="str">
        <f>CONCATENATE(F63,"OVR")</f>
        <v>35U1H7U87OVR</v>
      </c>
      <c r="H63" s="5" t="s">
        <v>362</v>
      </c>
      <c r="I63" s="7">
        <v>46023</v>
      </c>
      <c r="J63" s="5" t="s">
        <v>0</v>
      </c>
      <c r="K63" s="5" t="s">
        <v>148</v>
      </c>
      <c r="L63" s="5" t="s">
        <v>51</v>
      </c>
      <c r="M63" s="7">
        <v>46023</v>
      </c>
      <c r="N63" s="5" t="s">
        <v>451</v>
      </c>
    </row>
    <row r="64" spans="1:14" s="5" customFormat="1" x14ac:dyDescent="0.25">
      <c r="A64" s="5" t="s">
        <v>175</v>
      </c>
      <c r="B64" s="6">
        <v>20411454</v>
      </c>
      <c r="C64" s="5" t="s">
        <v>4</v>
      </c>
      <c r="D64" s="7">
        <v>46023</v>
      </c>
      <c r="E64" s="8">
        <v>80</v>
      </c>
      <c r="F64" s="5" t="s">
        <v>366</v>
      </c>
      <c r="G64" s="5" t="str">
        <f>CONCATENATE(F64,"OVR")</f>
        <v>69L8R8H33OVR</v>
      </c>
      <c r="H64" s="5" t="s">
        <v>368</v>
      </c>
      <c r="I64" s="7">
        <v>46023</v>
      </c>
      <c r="J64" s="5" t="s">
        <v>0</v>
      </c>
      <c r="K64" s="5" t="s">
        <v>148</v>
      </c>
      <c r="L64" s="5" t="s">
        <v>51</v>
      </c>
      <c r="M64" s="7">
        <v>46023</v>
      </c>
      <c r="N64" s="5" t="s">
        <v>451</v>
      </c>
    </row>
    <row r="65" spans="1:25" s="5" customFormat="1" x14ac:dyDescent="0.25">
      <c r="A65" s="5" t="s">
        <v>347</v>
      </c>
      <c r="B65" s="6">
        <v>20411454</v>
      </c>
      <c r="C65" s="5" t="s">
        <v>4</v>
      </c>
      <c r="D65" s="7">
        <v>46023</v>
      </c>
      <c r="E65" s="8">
        <v>80</v>
      </c>
      <c r="F65" s="5" t="s">
        <v>348</v>
      </c>
      <c r="G65" s="5" t="str">
        <f>CONCATENATE(F65,"OVR")</f>
        <v>33U1R6F31OVR</v>
      </c>
      <c r="H65" s="5" t="s">
        <v>350</v>
      </c>
      <c r="I65" s="7">
        <v>46023</v>
      </c>
      <c r="J65" s="5" t="s">
        <v>0</v>
      </c>
      <c r="K65" s="5" t="s">
        <v>351</v>
      </c>
      <c r="L65" s="5" t="s">
        <v>51</v>
      </c>
      <c r="M65" s="7">
        <v>46023</v>
      </c>
      <c r="N65" s="5" t="s">
        <v>451</v>
      </c>
    </row>
    <row r="66" spans="1:25" s="5" customFormat="1" x14ac:dyDescent="0.25">
      <c r="A66" s="5" t="s">
        <v>126</v>
      </c>
      <c r="B66" s="6">
        <v>20411454</v>
      </c>
      <c r="C66" s="5" t="s">
        <v>4</v>
      </c>
      <c r="D66" s="7">
        <v>46023</v>
      </c>
      <c r="E66" s="8">
        <v>80</v>
      </c>
      <c r="F66" s="5" t="s">
        <v>248</v>
      </c>
      <c r="G66" s="5" t="str">
        <f>CONCATENATE(F66,"OVR")</f>
        <v>59A5U5F33OVR</v>
      </c>
      <c r="H66" s="5" t="s">
        <v>250</v>
      </c>
      <c r="I66" s="7">
        <v>46023</v>
      </c>
      <c r="J66" s="5" t="s">
        <v>0</v>
      </c>
      <c r="K66" s="5" t="s">
        <v>52</v>
      </c>
      <c r="L66" s="5" t="s">
        <v>51</v>
      </c>
      <c r="M66" s="7">
        <v>46023</v>
      </c>
      <c r="N66" s="5" t="s">
        <v>451</v>
      </c>
    </row>
    <row r="67" spans="1:25" s="5" customFormat="1" x14ac:dyDescent="0.25">
      <c r="A67" s="5" t="s">
        <v>71</v>
      </c>
      <c r="B67" s="6">
        <v>20411454</v>
      </c>
      <c r="C67" s="5" t="s">
        <v>4</v>
      </c>
      <c r="D67" s="7">
        <v>46023</v>
      </c>
      <c r="E67" s="8">
        <v>80</v>
      </c>
      <c r="F67" s="5" t="s">
        <v>300</v>
      </c>
      <c r="G67" s="5" t="str">
        <f>CONCATENATE(F67,"OVR")</f>
        <v>54R1L1X82OVR</v>
      </c>
      <c r="H67" s="5" t="s">
        <v>302</v>
      </c>
      <c r="I67" s="7">
        <v>46023</v>
      </c>
      <c r="J67" s="5" t="s">
        <v>0</v>
      </c>
      <c r="K67" s="5" t="s">
        <v>75</v>
      </c>
      <c r="L67" s="5" t="s">
        <v>51</v>
      </c>
      <c r="M67" s="7">
        <v>46023</v>
      </c>
      <c r="N67" s="5" t="s">
        <v>451</v>
      </c>
    </row>
    <row r="68" spans="1:25" s="5" customFormat="1" x14ac:dyDescent="0.25">
      <c r="A68" s="5" t="s">
        <v>93</v>
      </c>
      <c r="B68" s="6">
        <v>20411454</v>
      </c>
      <c r="C68" s="5" t="s">
        <v>4</v>
      </c>
      <c r="D68" s="7">
        <v>46023</v>
      </c>
      <c r="E68" s="8">
        <v>80</v>
      </c>
      <c r="F68" s="5" t="s">
        <v>391</v>
      </c>
      <c r="G68" s="5" t="str">
        <f>CONCATENATE(F68,"OVR")</f>
        <v>15U9F1F19OVR</v>
      </c>
      <c r="H68" s="5" t="s">
        <v>393</v>
      </c>
      <c r="I68" s="7">
        <v>46023</v>
      </c>
      <c r="J68" s="5" t="s">
        <v>0</v>
      </c>
      <c r="K68" s="5" t="s">
        <v>148</v>
      </c>
      <c r="L68" s="5" t="s">
        <v>51</v>
      </c>
      <c r="M68" s="7">
        <v>46023</v>
      </c>
      <c r="N68" s="5" t="s">
        <v>451</v>
      </c>
    </row>
    <row r="69" spans="1:25" s="5" customFormat="1" x14ac:dyDescent="0.25">
      <c r="A69" s="5" t="s">
        <v>141</v>
      </c>
      <c r="B69" s="6">
        <v>20411454</v>
      </c>
      <c r="C69" s="5" t="s">
        <v>4</v>
      </c>
      <c r="D69" s="7">
        <v>46023</v>
      </c>
      <c r="E69" s="8">
        <v>80</v>
      </c>
      <c r="F69" s="5" t="s">
        <v>142</v>
      </c>
      <c r="G69" s="5" t="str">
        <f>CONCATENATE(F69,"OVR")</f>
        <v>38L5L5R55OVR</v>
      </c>
      <c r="H69" s="5" t="s">
        <v>144</v>
      </c>
      <c r="I69" s="7">
        <v>46023</v>
      </c>
      <c r="J69" s="5" t="s">
        <v>0</v>
      </c>
      <c r="K69" s="5" t="s">
        <v>52</v>
      </c>
      <c r="L69" s="5" t="s">
        <v>51</v>
      </c>
      <c r="M69" s="7">
        <v>46023</v>
      </c>
      <c r="N69" s="5" t="s">
        <v>451</v>
      </c>
    </row>
    <row r="70" spans="1:25" s="5" customFormat="1" x14ac:dyDescent="0.25">
      <c r="A70" s="5" t="s">
        <v>136</v>
      </c>
      <c r="B70" s="6">
        <v>20411454</v>
      </c>
      <c r="C70" s="5" t="s">
        <v>4</v>
      </c>
      <c r="D70" s="7">
        <v>46023</v>
      </c>
      <c r="E70" s="8">
        <v>80</v>
      </c>
      <c r="F70" s="5" t="s">
        <v>311</v>
      </c>
      <c r="G70" s="5" t="str">
        <f>CONCATENATE(F70,"OVR")</f>
        <v>15U8H2A84OVR</v>
      </c>
      <c r="H70" s="5" t="s">
        <v>313</v>
      </c>
      <c r="I70" s="7">
        <v>46023</v>
      </c>
      <c r="J70" s="5" t="s">
        <v>0</v>
      </c>
      <c r="K70" s="5" t="s">
        <v>148</v>
      </c>
      <c r="L70" s="5" t="s">
        <v>51</v>
      </c>
      <c r="M70" s="7">
        <v>46023</v>
      </c>
      <c r="N70" s="5" t="s">
        <v>451</v>
      </c>
    </row>
    <row r="71" spans="1:25" s="5" customFormat="1" x14ac:dyDescent="0.25">
      <c r="A71" s="5" t="s">
        <v>175</v>
      </c>
      <c r="B71" s="6">
        <v>20411454</v>
      </c>
      <c r="C71" s="5" t="s">
        <v>4</v>
      </c>
      <c r="D71" s="7">
        <v>46023</v>
      </c>
      <c r="E71" s="8">
        <v>80</v>
      </c>
      <c r="F71" s="5" t="s">
        <v>308</v>
      </c>
      <c r="G71" s="5" t="str">
        <f>CONCATENATE(F71,"OVR")</f>
        <v>13R3H8A35OVR</v>
      </c>
      <c r="H71" s="5" t="s">
        <v>310</v>
      </c>
      <c r="I71" s="7">
        <v>46023</v>
      </c>
      <c r="J71" s="5" t="s">
        <v>0</v>
      </c>
      <c r="K71" s="5" t="s">
        <v>148</v>
      </c>
      <c r="L71" s="5" t="s">
        <v>51</v>
      </c>
      <c r="M71" s="7">
        <v>46023</v>
      </c>
      <c r="N71" s="5" t="s">
        <v>451</v>
      </c>
    </row>
    <row r="72" spans="1:25" x14ac:dyDescent="0.25">
      <c r="A72" s="5" t="s">
        <v>370</v>
      </c>
      <c r="B72" s="6">
        <v>20411454</v>
      </c>
      <c r="C72" s="5" t="s">
        <v>4</v>
      </c>
      <c r="D72" s="7">
        <v>46023</v>
      </c>
      <c r="E72" s="8">
        <v>80</v>
      </c>
      <c r="F72" s="5" t="s">
        <v>433</v>
      </c>
      <c r="G72" s="5" t="str">
        <f>CONCATENATE(F72,"OVR")</f>
        <v>71H4A5U95OVR</v>
      </c>
      <c r="H72" s="5" t="s">
        <v>435</v>
      </c>
      <c r="I72" s="7">
        <v>46023</v>
      </c>
      <c r="J72" s="5" t="s">
        <v>0</v>
      </c>
      <c r="K72" s="5" t="s">
        <v>436</v>
      </c>
      <c r="L72" s="5" t="s">
        <v>51</v>
      </c>
      <c r="M72" s="7">
        <v>46023</v>
      </c>
      <c r="N72" s="5" t="s">
        <v>451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x14ac:dyDescent="0.25">
      <c r="A73" s="5" t="s">
        <v>63</v>
      </c>
      <c r="B73" s="6">
        <v>20411454</v>
      </c>
      <c r="C73" s="5" t="s">
        <v>4</v>
      </c>
      <c r="D73" s="7">
        <v>46023</v>
      </c>
      <c r="E73" s="8">
        <v>80</v>
      </c>
      <c r="F73" s="5" t="s">
        <v>386</v>
      </c>
      <c r="G73" s="5" t="str">
        <f>CONCATENATE(F73,"OVR")</f>
        <v>24A2R3A73OVR</v>
      </c>
      <c r="H73" s="5" t="s">
        <v>388</v>
      </c>
      <c r="I73" s="7">
        <v>46023</v>
      </c>
      <c r="J73" s="5" t="s">
        <v>0</v>
      </c>
      <c r="K73" s="5" t="s">
        <v>67</v>
      </c>
      <c r="L73" s="5" t="s">
        <v>51</v>
      </c>
      <c r="M73" s="7">
        <v>46023</v>
      </c>
      <c r="N73" s="5" t="s">
        <v>451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25">
      <c r="A74" s="5" t="s">
        <v>304</v>
      </c>
      <c r="B74" s="6">
        <v>20411454</v>
      </c>
      <c r="C74" s="5" t="s">
        <v>4</v>
      </c>
      <c r="D74" s="7">
        <v>46023</v>
      </c>
      <c r="E74" s="8">
        <v>80</v>
      </c>
      <c r="F74" s="5" t="s">
        <v>363</v>
      </c>
      <c r="G74" s="5" t="str">
        <f>CONCATENATE(F74,"OVR")</f>
        <v>27U5L3A71OVR</v>
      </c>
      <c r="H74" s="5" t="s">
        <v>365</v>
      </c>
      <c r="I74" s="7">
        <v>46023</v>
      </c>
      <c r="J74" s="5" t="s">
        <v>0</v>
      </c>
      <c r="K74" s="5" t="s">
        <v>182</v>
      </c>
      <c r="L74" s="5" t="s">
        <v>51</v>
      </c>
      <c r="M74" s="7">
        <v>46023</v>
      </c>
      <c r="N74" s="5" t="s">
        <v>451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25">
      <c r="A75" s="5" t="s">
        <v>84</v>
      </c>
      <c r="B75" s="6">
        <v>20411454</v>
      </c>
      <c r="C75" s="5" t="s">
        <v>4</v>
      </c>
      <c r="D75" s="7">
        <v>46023</v>
      </c>
      <c r="E75" s="8">
        <v>80</v>
      </c>
      <c r="F75" s="5" t="s">
        <v>86</v>
      </c>
      <c r="G75" s="5" t="str">
        <f>CONCATENATE(F75,"OVR")</f>
        <v>53U6R8H53OVR</v>
      </c>
      <c r="H75" s="5" t="s">
        <v>88</v>
      </c>
      <c r="I75" s="7">
        <v>46023</v>
      </c>
      <c r="J75" s="5" t="s">
        <v>51</v>
      </c>
      <c r="K75" s="5" t="s">
        <v>67</v>
      </c>
      <c r="L75" s="5" t="s">
        <v>51</v>
      </c>
      <c r="M75" s="7">
        <v>46023</v>
      </c>
      <c r="N75" s="5" t="s">
        <v>451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5">
      <c r="A76" s="5" t="s">
        <v>57</v>
      </c>
      <c r="B76" s="6">
        <v>20411454</v>
      </c>
      <c r="C76" s="5" t="s">
        <v>4</v>
      </c>
      <c r="D76" s="7">
        <v>46023</v>
      </c>
      <c r="E76" s="8">
        <v>80</v>
      </c>
      <c r="F76" s="5" t="s">
        <v>89</v>
      </c>
      <c r="G76" s="5" t="str">
        <f>CONCATENATE(F76,"OVR")</f>
        <v>17H1X6X21OVR</v>
      </c>
      <c r="H76" s="5" t="s">
        <v>91</v>
      </c>
      <c r="I76" s="7">
        <v>46023</v>
      </c>
      <c r="J76" s="5" t="s">
        <v>51</v>
      </c>
      <c r="K76" s="5" t="s">
        <v>52</v>
      </c>
      <c r="L76" s="5" t="s">
        <v>51</v>
      </c>
      <c r="M76" s="7">
        <v>46023</v>
      </c>
      <c r="N76" s="5" t="s">
        <v>451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5">
      <c r="A77" s="5" t="s">
        <v>93</v>
      </c>
      <c r="B77" s="6">
        <v>20411454</v>
      </c>
      <c r="C77" s="5" t="s">
        <v>4</v>
      </c>
      <c r="D77" s="7">
        <v>46023</v>
      </c>
      <c r="E77" s="8">
        <v>80</v>
      </c>
      <c r="F77" s="5" t="s">
        <v>94</v>
      </c>
      <c r="G77" s="5" t="str">
        <f>CONCATENATE(F77,"OVR")</f>
        <v>78F8F1L61OVR</v>
      </c>
      <c r="H77" s="5" t="s">
        <v>96</v>
      </c>
      <c r="I77" s="7">
        <v>46023</v>
      </c>
      <c r="J77" s="5" t="s">
        <v>51</v>
      </c>
      <c r="K77" s="5" t="s">
        <v>52</v>
      </c>
      <c r="L77" s="5" t="s">
        <v>51</v>
      </c>
      <c r="M77" s="7">
        <v>46023</v>
      </c>
      <c r="N77" s="5" t="s">
        <v>451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25">
      <c r="A78" s="5" t="s">
        <v>63</v>
      </c>
      <c r="B78" s="6">
        <v>20411454</v>
      </c>
      <c r="C78" s="5" t="s">
        <v>4</v>
      </c>
      <c r="D78" s="7">
        <v>46023</v>
      </c>
      <c r="E78" s="8">
        <v>80</v>
      </c>
      <c r="F78" s="5" t="s">
        <v>104</v>
      </c>
      <c r="G78" s="5" t="str">
        <f>CONCATENATE(F78,"OVR")</f>
        <v>58U6H8X87OVR</v>
      </c>
      <c r="H78" s="5" t="s">
        <v>106</v>
      </c>
      <c r="I78" s="7">
        <v>46023</v>
      </c>
      <c r="J78" s="5" t="s">
        <v>51</v>
      </c>
      <c r="K78" s="5" t="s">
        <v>67</v>
      </c>
      <c r="L78" s="5" t="s">
        <v>51</v>
      </c>
      <c r="M78" s="7">
        <v>46023</v>
      </c>
      <c r="N78" s="5" t="s">
        <v>451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5">
      <c r="A79" s="5" t="s">
        <v>47</v>
      </c>
      <c r="B79" s="6">
        <v>20411454</v>
      </c>
      <c r="C79" s="5" t="s">
        <v>4</v>
      </c>
      <c r="D79" s="7">
        <v>46023</v>
      </c>
      <c r="E79" s="8">
        <v>80</v>
      </c>
      <c r="F79" s="5" t="s">
        <v>193</v>
      </c>
      <c r="G79" s="5" t="str">
        <f>CONCATENATE(F79,"OVR")</f>
        <v>22R1L9L44OVR</v>
      </c>
      <c r="H79" s="5" t="s">
        <v>195</v>
      </c>
      <c r="I79" s="7">
        <v>46023</v>
      </c>
      <c r="J79" s="5" t="s">
        <v>51</v>
      </c>
      <c r="K79" s="5" t="s">
        <v>52</v>
      </c>
      <c r="L79" s="5" t="s">
        <v>51</v>
      </c>
      <c r="M79" s="7">
        <v>46023</v>
      </c>
      <c r="N79" s="5" t="s">
        <v>451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25">
      <c r="A80" s="5" t="s">
        <v>47</v>
      </c>
      <c r="B80" s="6">
        <v>20411454</v>
      </c>
      <c r="C80" s="5" t="s">
        <v>4</v>
      </c>
      <c r="D80" s="7">
        <v>46023</v>
      </c>
      <c r="E80" s="8">
        <v>80</v>
      </c>
      <c r="F80" s="5" t="s">
        <v>196</v>
      </c>
      <c r="G80" s="5" t="str">
        <f>CONCATENATE(F80,"OVR")</f>
        <v>12U7F9F41OVR</v>
      </c>
      <c r="H80" s="5" t="s">
        <v>198</v>
      </c>
      <c r="I80" s="7">
        <v>46023</v>
      </c>
      <c r="J80" s="5" t="s">
        <v>51</v>
      </c>
      <c r="K80" s="5" t="s">
        <v>52</v>
      </c>
      <c r="L80" s="5" t="s">
        <v>51</v>
      </c>
      <c r="M80" s="7">
        <v>46023</v>
      </c>
      <c r="N80" s="5" t="s">
        <v>451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5">
      <c r="A81" s="5" t="s">
        <v>47</v>
      </c>
      <c r="B81" s="6">
        <v>20411454</v>
      </c>
      <c r="C81" s="5" t="s">
        <v>4</v>
      </c>
      <c r="D81" s="7">
        <v>46023</v>
      </c>
      <c r="E81" s="8">
        <v>80</v>
      </c>
      <c r="F81" s="5" t="s">
        <v>199</v>
      </c>
      <c r="G81" s="5" t="str">
        <f>CONCATENATE(F81,"OVR")</f>
        <v>19H5F8L62OVR</v>
      </c>
      <c r="H81" s="5" t="s">
        <v>201</v>
      </c>
      <c r="I81" s="7">
        <v>46023</v>
      </c>
      <c r="J81" s="5" t="s">
        <v>51</v>
      </c>
      <c r="K81" s="5" t="s">
        <v>52</v>
      </c>
      <c r="L81" s="5" t="s">
        <v>51</v>
      </c>
      <c r="M81" s="7">
        <v>46023</v>
      </c>
      <c r="N81" s="5" t="s">
        <v>451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5">
      <c r="A82" s="5" t="s">
        <v>63</v>
      </c>
      <c r="B82" s="6">
        <v>20411454</v>
      </c>
      <c r="C82" s="5" t="s">
        <v>4</v>
      </c>
      <c r="D82" s="7">
        <v>46023</v>
      </c>
      <c r="E82" s="8">
        <v>80</v>
      </c>
      <c r="F82" s="5" t="s">
        <v>64</v>
      </c>
      <c r="G82" s="5" t="str">
        <f>CONCATENATE(F82,"OVR")</f>
        <v>24X4F5H49OVR</v>
      </c>
      <c r="H82" s="5" t="s">
        <v>66</v>
      </c>
      <c r="I82" s="7">
        <v>46023</v>
      </c>
      <c r="J82" s="5" t="s">
        <v>51</v>
      </c>
      <c r="K82" s="5" t="s">
        <v>67</v>
      </c>
      <c r="L82" s="5" t="s">
        <v>51</v>
      </c>
      <c r="M82" s="7">
        <v>46023</v>
      </c>
      <c r="N82" s="5" t="s">
        <v>451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5">
      <c r="A83" s="5" t="s">
        <v>175</v>
      </c>
      <c r="B83" s="6">
        <v>20411454</v>
      </c>
      <c r="C83" s="5" t="s">
        <v>4</v>
      </c>
      <c r="D83" s="7">
        <v>46023</v>
      </c>
      <c r="E83" s="8">
        <v>80</v>
      </c>
      <c r="F83" s="5" t="s">
        <v>220</v>
      </c>
      <c r="G83" s="5" t="str">
        <f>CONCATENATE(F83,"OVR")</f>
        <v>36H8X3F21OVR</v>
      </c>
      <c r="H83" s="5" t="s">
        <v>222</v>
      </c>
      <c r="I83" s="7">
        <v>46023</v>
      </c>
      <c r="J83" s="5" t="s">
        <v>51</v>
      </c>
      <c r="K83" s="5" t="s">
        <v>52</v>
      </c>
      <c r="L83" s="5" t="s">
        <v>51</v>
      </c>
      <c r="M83" s="7">
        <v>46023</v>
      </c>
      <c r="N83" s="5" t="s">
        <v>451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5">
      <c r="A84" s="5" t="s">
        <v>171</v>
      </c>
      <c r="B84" s="6">
        <v>20411454</v>
      </c>
      <c r="C84" s="5" t="s">
        <v>4</v>
      </c>
      <c r="D84" s="7">
        <v>46023</v>
      </c>
      <c r="E84" s="8">
        <v>80</v>
      </c>
      <c r="F84" s="5" t="s">
        <v>223</v>
      </c>
      <c r="G84" s="5" t="str">
        <f>CONCATENATE(F84,"OVR")</f>
        <v>53X4F3H97OVR</v>
      </c>
      <c r="H84" s="5" t="s">
        <v>225</v>
      </c>
      <c r="I84" s="7">
        <v>46023</v>
      </c>
      <c r="J84" s="5" t="s">
        <v>51</v>
      </c>
      <c r="K84" s="5" t="s">
        <v>182</v>
      </c>
      <c r="L84" s="5" t="s">
        <v>51</v>
      </c>
      <c r="M84" s="7">
        <v>46023</v>
      </c>
      <c r="N84" s="5" t="s">
        <v>451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5">
      <c r="A85" s="5" t="s">
        <v>171</v>
      </c>
      <c r="B85" s="6">
        <v>20411454</v>
      </c>
      <c r="C85" s="5" t="s">
        <v>4</v>
      </c>
      <c r="D85" s="7">
        <v>46023</v>
      </c>
      <c r="E85" s="8">
        <v>80</v>
      </c>
      <c r="F85" s="5" t="s">
        <v>228</v>
      </c>
      <c r="G85" s="5" t="str">
        <f>CONCATENATE(F85,"OVR")</f>
        <v>55R2X7L49OVR</v>
      </c>
      <c r="H85" s="5" t="s">
        <v>230</v>
      </c>
      <c r="I85" s="7">
        <v>46023</v>
      </c>
      <c r="J85" s="5" t="s">
        <v>51</v>
      </c>
      <c r="K85" s="5" t="s">
        <v>182</v>
      </c>
      <c r="L85" s="5" t="s">
        <v>51</v>
      </c>
      <c r="M85" s="7">
        <v>46023</v>
      </c>
      <c r="N85" s="5" t="s">
        <v>451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5">
      <c r="A86" s="5" t="s">
        <v>47</v>
      </c>
      <c r="B86" s="6">
        <v>20411454</v>
      </c>
      <c r="C86" s="5" t="s">
        <v>4</v>
      </c>
      <c r="D86" s="7">
        <v>46023</v>
      </c>
      <c r="E86" s="8">
        <v>80</v>
      </c>
      <c r="F86" s="5" t="s">
        <v>231</v>
      </c>
      <c r="G86" s="5" t="str">
        <f>CONCATENATE(F86,"OVR")</f>
        <v>38H9A6H91OVR</v>
      </c>
      <c r="H86" s="5" t="s">
        <v>233</v>
      </c>
      <c r="I86" s="7">
        <v>46023</v>
      </c>
      <c r="J86" s="5" t="s">
        <v>51</v>
      </c>
      <c r="K86" s="5" t="s">
        <v>148</v>
      </c>
      <c r="L86" s="5" t="s">
        <v>51</v>
      </c>
      <c r="M86" s="7">
        <v>46023</v>
      </c>
      <c r="N86" s="5" t="s">
        <v>451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5">
      <c r="A87" s="5" t="s">
        <v>240</v>
      </c>
      <c r="B87" s="6">
        <v>20411454</v>
      </c>
      <c r="C87" s="5" t="s">
        <v>4</v>
      </c>
      <c r="D87" s="7">
        <v>46023</v>
      </c>
      <c r="E87" s="8">
        <v>80</v>
      </c>
      <c r="F87" s="5" t="s">
        <v>241</v>
      </c>
      <c r="G87" s="5" t="str">
        <f>CONCATENATE(F87,"OVR")</f>
        <v>23H2A1X17OVR</v>
      </c>
      <c r="H87" s="5" t="s">
        <v>243</v>
      </c>
      <c r="I87" s="7">
        <v>46023</v>
      </c>
      <c r="J87" s="5" t="s">
        <v>51</v>
      </c>
      <c r="K87" s="5" t="s">
        <v>182</v>
      </c>
      <c r="L87" s="5" t="s">
        <v>51</v>
      </c>
      <c r="M87" s="7">
        <v>46023</v>
      </c>
      <c r="N87" s="5" t="s">
        <v>451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5">
      <c r="A88" s="5" t="s">
        <v>203</v>
      </c>
      <c r="B88" s="6">
        <v>20411454</v>
      </c>
      <c r="C88" s="5" t="s">
        <v>4</v>
      </c>
      <c r="D88" s="7">
        <v>46023</v>
      </c>
      <c r="E88" s="8">
        <v>80</v>
      </c>
      <c r="F88" s="5" t="s">
        <v>204</v>
      </c>
      <c r="G88" s="5" t="str">
        <f>CONCATENATE(F88,"OVR")</f>
        <v>47X5A2A67OVR</v>
      </c>
      <c r="H88" s="5" t="s">
        <v>206</v>
      </c>
      <c r="I88" s="7">
        <v>46023</v>
      </c>
      <c r="J88" s="5" t="s">
        <v>51</v>
      </c>
      <c r="K88" s="5" t="s">
        <v>207</v>
      </c>
      <c r="L88" s="5" t="s">
        <v>51</v>
      </c>
      <c r="M88" s="7">
        <v>46023</v>
      </c>
      <c r="N88" s="5" t="s">
        <v>451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5">
      <c r="A89" s="5" t="s">
        <v>185</v>
      </c>
      <c r="B89" s="6">
        <v>20411454</v>
      </c>
      <c r="C89" s="5" t="s">
        <v>4</v>
      </c>
      <c r="D89" s="7">
        <v>46023</v>
      </c>
      <c r="E89" s="8">
        <v>80</v>
      </c>
      <c r="F89" s="5" t="s">
        <v>277</v>
      </c>
      <c r="G89" s="5" t="str">
        <f>CONCATENATE(F89,"OVR")</f>
        <v>22L3A2F76OVR</v>
      </c>
      <c r="H89" s="5" t="s">
        <v>279</v>
      </c>
      <c r="I89" s="7">
        <v>46023</v>
      </c>
      <c r="J89" s="5" t="s">
        <v>51</v>
      </c>
      <c r="K89" s="5" t="s">
        <v>52</v>
      </c>
      <c r="L89" s="5" t="s">
        <v>51</v>
      </c>
      <c r="M89" s="7">
        <v>46023</v>
      </c>
      <c r="N89" s="5" t="s">
        <v>451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5">
      <c r="A90" s="5" t="s">
        <v>71</v>
      </c>
      <c r="B90" s="6">
        <v>20411454</v>
      </c>
      <c r="C90" s="5" t="s">
        <v>4</v>
      </c>
      <c r="D90" s="7">
        <v>46023</v>
      </c>
      <c r="E90" s="8">
        <v>80</v>
      </c>
      <c r="F90" s="5" t="s">
        <v>286</v>
      </c>
      <c r="G90" s="5" t="str">
        <f>CONCATENATE(F90,"OVR")</f>
        <v>17U1L5R79OVR</v>
      </c>
      <c r="H90" s="5" t="s">
        <v>288</v>
      </c>
      <c r="I90" s="7">
        <v>46023</v>
      </c>
      <c r="J90" s="5" t="s">
        <v>51</v>
      </c>
      <c r="K90" s="5" t="s">
        <v>75</v>
      </c>
      <c r="L90" s="5" t="s">
        <v>51</v>
      </c>
      <c r="M90" s="7">
        <v>46023</v>
      </c>
      <c r="N90" s="5" t="s">
        <v>451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5">
      <c r="A91" s="5" t="s">
        <v>57</v>
      </c>
      <c r="B91" s="6">
        <v>20411454</v>
      </c>
      <c r="C91" s="5" t="s">
        <v>4</v>
      </c>
      <c r="D91" s="7">
        <v>46023</v>
      </c>
      <c r="E91" s="8">
        <v>80</v>
      </c>
      <c r="F91" s="5" t="s">
        <v>274</v>
      </c>
      <c r="G91" s="5" t="str">
        <f>CONCATENATE(F91,"OVR")</f>
        <v>59X6U1A86OVR</v>
      </c>
      <c r="H91" s="5" t="s">
        <v>276</v>
      </c>
      <c r="I91" s="7">
        <v>46023</v>
      </c>
      <c r="J91" s="5" t="s">
        <v>51</v>
      </c>
      <c r="K91" s="5" t="s">
        <v>52</v>
      </c>
      <c r="L91" s="5" t="s">
        <v>51</v>
      </c>
      <c r="M91" s="7">
        <v>46023</v>
      </c>
      <c r="N91" s="5" t="s">
        <v>451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25">
      <c r="A92" s="5" t="s">
        <v>57</v>
      </c>
      <c r="B92" s="6">
        <v>20411454</v>
      </c>
      <c r="C92" s="5" t="s">
        <v>4</v>
      </c>
      <c r="D92" s="7">
        <v>46023</v>
      </c>
      <c r="E92" s="8">
        <v>80</v>
      </c>
      <c r="F92" s="5" t="s">
        <v>337</v>
      </c>
      <c r="G92" s="5" t="str">
        <f>CONCATENATE(F92,"OVR")</f>
        <v>39U6A8U79OVR</v>
      </c>
      <c r="H92" s="5" t="s">
        <v>339</v>
      </c>
      <c r="I92" s="7">
        <v>46023</v>
      </c>
      <c r="J92" s="5" t="s">
        <v>51</v>
      </c>
      <c r="K92" s="5" t="s">
        <v>52</v>
      </c>
      <c r="L92" s="5" t="s">
        <v>51</v>
      </c>
      <c r="M92" s="7">
        <v>46023</v>
      </c>
      <c r="N92" s="5" t="s">
        <v>451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25">
      <c r="A93" s="5" t="s">
        <v>185</v>
      </c>
      <c r="B93" s="6">
        <v>20411454</v>
      </c>
      <c r="C93" s="5" t="s">
        <v>4</v>
      </c>
      <c r="D93" s="7">
        <v>46023</v>
      </c>
      <c r="E93" s="8">
        <v>80</v>
      </c>
      <c r="F93" s="5" t="s">
        <v>186</v>
      </c>
      <c r="G93" s="5" t="str">
        <f>CONCATENATE(F93,"OVR")</f>
        <v>25H5F2F22OVR</v>
      </c>
      <c r="H93" s="5" t="s">
        <v>188</v>
      </c>
      <c r="I93" s="7">
        <v>46023</v>
      </c>
      <c r="J93" s="5" t="s">
        <v>51</v>
      </c>
      <c r="K93" s="5" t="s">
        <v>52</v>
      </c>
      <c r="L93" s="5" t="s">
        <v>51</v>
      </c>
      <c r="M93" s="7">
        <v>46023</v>
      </c>
      <c r="N93" s="5" t="s">
        <v>451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25">
      <c r="A94" s="5" t="s">
        <v>185</v>
      </c>
      <c r="B94" s="6">
        <v>20411454</v>
      </c>
      <c r="C94" s="5" t="s">
        <v>4</v>
      </c>
      <c r="D94" s="7">
        <v>46023</v>
      </c>
      <c r="E94" s="8">
        <v>80</v>
      </c>
      <c r="F94" s="5" t="s">
        <v>189</v>
      </c>
      <c r="G94" s="5" t="str">
        <f>CONCATENATE(F94,"OVR")</f>
        <v>41U6R3X86OVR</v>
      </c>
      <c r="H94" s="5" t="s">
        <v>191</v>
      </c>
      <c r="I94" s="7">
        <v>46023</v>
      </c>
      <c r="J94" s="5" t="s">
        <v>51</v>
      </c>
      <c r="K94" s="5" t="s">
        <v>52</v>
      </c>
      <c r="L94" s="5" t="s">
        <v>51</v>
      </c>
      <c r="M94" s="7">
        <v>46023</v>
      </c>
      <c r="N94" s="5" t="s">
        <v>451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25">
      <c r="A95" s="5" t="s">
        <v>93</v>
      </c>
      <c r="B95" s="6">
        <v>20411454</v>
      </c>
      <c r="C95" s="5" t="s">
        <v>4</v>
      </c>
      <c r="D95" s="7">
        <v>46023</v>
      </c>
      <c r="E95" s="8">
        <v>80</v>
      </c>
      <c r="F95" s="5" t="s">
        <v>283</v>
      </c>
      <c r="G95" s="5" t="str">
        <f>CONCATENATE(F95,"OVR")</f>
        <v>72U4R2X58OVR</v>
      </c>
      <c r="H95" s="5" t="s">
        <v>285</v>
      </c>
      <c r="I95" s="7">
        <v>46023</v>
      </c>
      <c r="J95" s="5" t="s">
        <v>51</v>
      </c>
      <c r="K95" s="5" t="s">
        <v>52</v>
      </c>
      <c r="L95" s="5" t="s">
        <v>51</v>
      </c>
      <c r="M95" s="7">
        <v>46023</v>
      </c>
      <c r="N95" s="5" t="s">
        <v>451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x14ac:dyDescent="0.25">
      <c r="A96" s="5" t="s">
        <v>57</v>
      </c>
      <c r="B96" s="6">
        <v>20411454</v>
      </c>
      <c r="C96" s="5" t="s">
        <v>4</v>
      </c>
      <c r="D96" s="7">
        <v>46023</v>
      </c>
      <c r="E96" s="8">
        <v>80</v>
      </c>
      <c r="F96" s="5" t="s">
        <v>396</v>
      </c>
      <c r="G96" s="5" t="str">
        <f>CONCATENATE(F96,"OVR")</f>
        <v>62R9U9R35OVR</v>
      </c>
      <c r="H96" s="5" t="s">
        <v>398</v>
      </c>
      <c r="I96" s="7">
        <v>46023</v>
      </c>
      <c r="J96" s="5" t="s">
        <v>51</v>
      </c>
      <c r="K96" s="5" t="s">
        <v>52</v>
      </c>
      <c r="L96" s="5" t="s">
        <v>51</v>
      </c>
      <c r="M96" s="7">
        <v>46023</v>
      </c>
      <c r="N96" s="5" t="s">
        <v>451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25">
      <c r="A97" s="5" t="s">
        <v>84</v>
      </c>
      <c r="B97" s="6">
        <v>20411454</v>
      </c>
      <c r="C97" s="5" t="s">
        <v>4</v>
      </c>
      <c r="D97" s="7">
        <v>46023</v>
      </c>
      <c r="E97" s="8">
        <v>80</v>
      </c>
      <c r="F97" s="5" t="s">
        <v>415</v>
      </c>
      <c r="G97" s="5" t="str">
        <f>CONCATENATE(F97,"OVR")</f>
        <v>24A5A1U96OVR</v>
      </c>
      <c r="H97" s="5" t="s">
        <v>417</v>
      </c>
      <c r="I97" s="7">
        <v>46023</v>
      </c>
      <c r="J97" s="5" t="s">
        <v>51</v>
      </c>
      <c r="K97" s="5" t="s">
        <v>67</v>
      </c>
      <c r="L97" s="5" t="s">
        <v>51</v>
      </c>
      <c r="M97" s="7">
        <v>46023</v>
      </c>
      <c r="N97" s="5" t="s">
        <v>451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x14ac:dyDescent="0.25">
      <c r="A98" s="5" t="s">
        <v>47</v>
      </c>
      <c r="B98" s="6">
        <v>20411454</v>
      </c>
      <c r="C98" s="5" t="s">
        <v>4</v>
      </c>
      <c r="D98" s="7">
        <v>46023</v>
      </c>
      <c r="E98" s="8">
        <v>80</v>
      </c>
      <c r="F98" s="5" t="s">
        <v>48</v>
      </c>
      <c r="G98" s="5" t="str">
        <f>CONCATENATE(F98,"OVR")</f>
        <v>57A4U1A17OVR</v>
      </c>
      <c r="H98" s="5" t="s">
        <v>50</v>
      </c>
      <c r="I98" s="7">
        <v>46023</v>
      </c>
      <c r="J98" s="5" t="s">
        <v>51</v>
      </c>
      <c r="K98" s="5" t="s">
        <v>52</v>
      </c>
      <c r="L98" s="5" t="s">
        <v>51</v>
      </c>
      <c r="M98" s="7">
        <v>46023</v>
      </c>
      <c r="N98" s="5" t="s">
        <v>451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x14ac:dyDescent="0.25">
      <c r="A99" s="5" t="s">
        <v>126</v>
      </c>
      <c r="B99" s="6">
        <v>20411454</v>
      </c>
      <c r="C99" s="5" t="s">
        <v>4</v>
      </c>
      <c r="D99" s="7">
        <v>46023</v>
      </c>
      <c r="E99" s="8">
        <v>80</v>
      </c>
      <c r="F99" s="5" t="s">
        <v>280</v>
      </c>
      <c r="G99" s="5" t="str">
        <f>CONCATENATE(F99,"OVR")</f>
        <v>21R4U1R71OVR</v>
      </c>
      <c r="H99" s="5" t="s">
        <v>282</v>
      </c>
      <c r="I99" s="7">
        <v>46023</v>
      </c>
      <c r="J99" s="5" t="s">
        <v>51</v>
      </c>
      <c r="K99" s="5" t="s">
        <v>52</v>
      </c>
      <c r="L99" s="5" t="s">
        <v>51</v>
      </c>
      <c r="M99" s="7">
        <v>46023</v>
      </c>
      <c r="N99" s="5" t="s">
        <v>451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x14ac:dyDescent="0.25">
      <c r="A100" s="5" t="s">
        <v>126</v>
      </c>
      <c r="B100" s="6">
        <v>20411454</v>
      </c>
      <c r="C100" s="5" t="s">
        <v>4</v>
      </c>
      <c r="D100" s="7">
        <v>46023</v>
      </c>
      <c r="E100" s="8">
        <v>80</v>
      </c>
      <c r="F100" s="5" t="s">
        <v>418</v>
      </c>
      <c r="G100" s="5" t="str">
        <f>CONCATENATE(F100,"OVR")</f>
        <v>28A8R7X49OVR</v>
      </c>
      <c r="H100" s="5" t="s">
        <v>420</v>
      </c>
      <c r="I100" s="7">
        <v>46023</v>
      </c>
      <c r="J100" s="5" t="s">
        <v>51</v>
      </c>
      <c r="K100" s="5" t="s">
        <v>52</v>
      </c>
      <c r="L100" s="5" t="s">
        <v>51</v>
      </c>
      <c r="M100" s="7">
        <v>46023</v>
      </c>
      <c r="N100" s="5" t="s">
        <v>451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25">
      <c r="A101" s="5" t="s">
        <v>212</v>
      </c>
      <c r="B101" s="6">
        <v>20411454</v>
      </c>
      <c r="C101" s="5" t="s">
        <v>4</v>
      </c>
      <c r="D101" s="7">
        <v>46023</v>
      </c>
      <c r="E101" s="8">
        <v>80</v>
      </c>
      <c r="F101" s="5" t="s">
        <v>340</v>
      </c>
      <c r="G101" s="5" t="str">
        <f>CONCATENATE(F101,"OVR")</f>
        <v>58X3L4X23OVR</v>
      </c>
      <c r="H101" s="5" t="s">
        <v>342</v>
      </c>
      <c r="I101" s="7">
        <v>46023</v>
      </c>
      <c r="J101" s="5" t="s">
        <v>51</v>
      </c>
      <c r="K101" s="5" t="s">
        <v>52</v>
      </c>
      <c r="L101" s="5" t="s">
        <v>51</v>
      </c>
      <c r="M101" s="7">
        <v>46023</v>
      </c>
      <c r="N101" s="5" t="s">
        <v>451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x14ac:dyDescent="0.25">
      <c r="A102" s="5" t="s">
        <v>57</v>
      </c>
      <c r="B102" s="6">
        <v>20411454</v>
      </c>
      <c r="C102" s="5" t="s">
        <v>4</v>
      </c>
      <c r="D102" s="7">
        <v>46023</v>
      </c>
      <c r="E102" s="8">
        <v>80</v>
      </c>
      <c r="F102" s="5" t="s">
        <v>58</v>
      </c>
      <c r="G102" s="5" t="str">
        <f>CONCATENATE(F102,"OVR")</f>
        <v>49X1L4U55OVR</v>
      </c>
      <c r="H102" s="5" t="s">
        <v>60</v>
      </c>
      <c r="I102" s="7">
        <v>46023</v>
      </c>
      <c r="J102" s="5" t="s">
        <v>51</v>
      </c>
      <c r="K102" s="5" t="s">
        <v>52</v>
      </c>
      <c r="L102" s="5" t="s">
        <v>51</v>
      </c>
      <c r="M102" s="7">
        <v>46023</v>
      </c>
      <c r="N102" s="5" t="s">
        <v>451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x14ac:dyDescent="0.25">
      <c r="A103" s="5" t="s">
        <v>126</v>
      </c>
      <c r="B103" s="6">
        <v>20411454</v>
      </c>
      <c r="C103" s="5" t="s">
        <v>4</v>
      </c>
      <c r="D103" s="7">
        <v>46023</v>
      </c>
      <c r="E103" s="8">
        <v>80</v>
      </c>
      <c r="F103" s="5" t="s">
        <v>290</v>
      </c>
      <c r="G103" s="5" t="str">
        <f>CONCATENATE(F103,"OVR")</f>
        <v>21A1X8R95OVR</v>
      </c>
      <c r="H103" s="5" t="s">
        <v>292</v>
      </c>
      <c r="I103" s="7">
        <v>46023</v>
      </c>
      <c r="J103" s="5" t="s">
        <v>51</v>
      </c>
      <c r="K103" s="5" t="s">
        <v>52</v>
      </c>
      <c r="L103" s="5" t="s">
        <v>51</v>
      </c>
      <c r="M103" s="7">
        <v>46023</v>
      </c>
      <c r="N103" s="5" t="s">
        <v>451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x14ac:dyDescent="0.25">
      <c r="A104" s="5" t="s">
        <v>203</v>
      </c>
      <c r="B104" s="6">
        <v>20411454</v>
      </c>
      <c r="C104" s="5" t="s">
        <v>4</v>
      </c>
      <c r="D104" s="7">
        <v>46023</v>
      </c>
      <c r="E104" s="8">
        <v>80</v>
      </c>
      <c r="F104" s="5" t="s">
        <v>421</v>
      </c>
      <c r="G104" s="5" t="str">
        <f>CONCATENATE(F104,"OVR")</f>
        <v>78F4F2F18OVR</v>
      </c>
      <c r="H104" s="5" t="s">
        <v>423</v>
      </c>
      <c r="I104" s="7">
        <v>46023</v>
      </c>
      <c r="J104" s="5" t="s">
        <v>51</v>
      </c>
      <c r="K104" s="5" t="s">
        <v>52</v>
      </c>
      <c r="L104" s="5" t="s">
        <v>51</v>
      </c>
      <c r="M104" s="7">
        <v>46023</v>
      </c>
      <c r="N104" s="5" t="s">
        <v>451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x14ac:dyDescent="0.25">
      <c r="A105" s="5" t="s">
        <v>84</v>
      </c>
      <c r="B105" s="6">
        <v>20411454</v>
      </c>
      <c r="C105" s="5" t="s">
        <v>4</v>
      </c>
      <c r="D105" s="7">
        <v>46023</v>
      </c>
      <c r="E105" s="8">
        <v>80</v>
      </c>
      <c r="F105" s="5" t="s">
        <v>448</v>
      </c>
      <c r="G105" s="5" t="str">
        <f>CONCATENATE(F105,"OVR")</f>
        <v>66R4A7H95OVR</v>
      </c>
      <c r="H105" s="5" t="s">
        <v>450</v>
      </c>
      <c r="I105" s="7">
        <v>46023</v>
      </c>
      <c r="J105" s="5" t="s">
        <v>51</v>
      </c>
      <c r="K105" s="5" t="s">
        <v>67</v>
      </c>
      <c r="L105" s="5" t="s">
        <v>51</v>
      </c>
      <c r="M105" s="7">
        <v>46023</v>
      </c>
      <c r="N105" s="5" t="s">
        <v>451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x14ac:dyDescent="0.25">
      <c r="A106" s="5" t="s">
        <v>378</v>
      </c>
      <c r="B106" s="6">
        <v>20411454</v>
      </c>
      <c r="C106" s="5" t="s">
        <v>4</v>
      </c>
      <c r="D106" s="7">
        <v>46023</v>
      </c>
      <c r="E106" s="8">
        <v>80</v>
      </c>
      <c r="F106" s="5" t="s">
        <v>379</v>
      </c>
      <c r="G106" s="5" t="str">
        <f>CONCATENATE(F106,"OVR")</f>
        <v>68R9X6U25OVR</v>
      </c>
      <c r="H106" s="5" t="s">
        <v>381</v>
      </c>
      <c r="I106" s="7">
        <v>46023</v>
      </c>
      <c r="J106" s="5" t="s">
        <v>51</v>
      </c>
      <c r="K106" s="5" t="s">
        <v>75</v>
      </c>
      <c r="L106" s="5" t="s">
        <v>51</v>
      </c>
      <c r="M106" s="7">
        <v>46023</v>
      </c>
      <c r="N106" s="5" t="s">
        <v>451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x14ac:dyDescent="0.25">
      <c r="A107" s="5" t="s">
        <v>93</v>
      </c>
      <c r="B107" s="6">
        <v>20411454</v>
      </c>
      <c r="C107" s="5" t="s">
        <v>4</v>
      </c>
      <c r="D107" s="7">
        <v>46023</v>
      </c>
      <c r="E107" s="8">
        <v>80</v>
      </c>
      <c r="F107" s="5" t="s">
        <v>426</v>
      </c>
      <c r="G107" s="5" t="str">
        <f>CONCATENATE(F107,"OVR")</f>
        <v>47A7U3H98OVR</v>
      </c>
      <c r="H107" s="5" t="s">
        <v>428</v>
      </c>
      <c r="I107" s="7">
        <v>46023</v>
      </c>
      <c r="J107" s="5" t="s">
        <v>51</v>
      </c>
      <c r="K107" s="5" t="s">
        <v>52</v>
      </c>
      <c r="L107" s="5" t="s">
        <v>51</v>
      </c>
      <c r="M107" s="7">
        <v>46023</v>
      </c>
      <c r="N107" s="5" t="s">
        <v>451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x14ac:dyDescent="0.25">
      <c r="A108" s="5" t="s">
        <v>175</v>
      </c>
      <c r="B108" s="6">
        <v>20411454</v>
      </c>
      <c r="C108" s="5" t="s">
        <v>4</v>
      </c>
      <c r="D108" s="7">
        <v>46023</v>
      </c>
      <c r="E108" s="8">
        <v>80</v>
      </c>
      <c r="F108" s="5" t="s">
        <v>293</v>
      </c>
      <c r="G108" s="5" t="str">
        <f>CONCATENATE(F108,"OVR")</f>
        <v>54L3H2U31OVR</v>
      </c>
      <c r="H108" s="5" t="s">
        <v>295</v>
      </c>
      <c r="I108" s="7">
        <v>46023</v>
      </c>
      <c r="J108" s="5" t="s">
        <v>51</v>
      </c>
      <c r="K108" s="5" t="s">
        <v>148</v>
      </c>
      <c r="L108" s="5" t="s">
        <v>51</v>
      </c>
      <c r="M108" s="7">
        <v>46023</v>
      </c>
      <c r="N108" s="5" t="s">
        <v>451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25">
      <c r="A109" s="5" t="s">
        <v>121</v>
      </c>
      <c r="B109" s="6">
        <v>20411454</v>
      </c>
      <c r="C109" s="5" t="s">
        <v>4</v>
      </c>
      <c r="D109" s="7">
        <v>46023</v>
      </c>
      <c r="E109" s="8">
        <v>80</v>
      </c>
      <c r="F109" s="5" t="s">
        <v>383</v>
      </c>
      <c r="G109" s="5" t="str">
        <f>CONCATENATE(F109,"OVR")</f>
        <v>35A8U1L81OVR</v>
      </c>
      <c r="H109" s="5" t="s">
        <v>385</v>
      </c>
      <c r="I109" s="7">
        <v>46023</v>
      </c>
      <c r="J109" s="5" t="s">
        <v>51</v>
      </c>
      <c r="K109" s="5" t="s">
        <v>52</v>
      </c>
      <c r="L109" s="5" t="s">
        <v>51</v>
      </c>
      <c r="M109" s="7">
        <v>46023</v>
      </c>
      <c r="N109" s="5" t="s">
        <v>451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x14ac:dyDescent="0.25">
      <c r="A110" s="5" t="s">
        <v>98</v>
      </c>
      <c r="B110" s="6">
        <v>20411454</v>
      </c>
      <c r="C110" s="5" t="s">
        <v>4</v>
      </c>
      <c r="D110" s="7">
        <v>46023</v>
      </c>
      <c r="E110" s="8">
        <v>80</v>
      </c>
      <c r="F110" s="5" t="s">
        <v>99</v>
      </c>
      <c r="G110" s="5" t="str">
        <f>CONCATENATE(F110,"OVR")</f>
        <v>71X8U5A35OVR</v>
      </c>
      <c r="H110" s="5" t="s">
        <v>101</v>
      </c>
      <c r="I110" s="7">
        <v>46023</v>
      </c>
      <c r="J110" s="5" t="s">
        <v>81</v>
      </c>
      <c r="K110" s="5" t="s">
        <v>52</v>
      </c>
      <c r="L110" s="5" t="s">
        <v>51</v>
      </c>
      <c r="M110" s="7">
        <v>46023</v>
      </c>
      <c r="N110" s="5" t="s">
        <v>451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x14ac:dyDescent="0.25">
      <c r="A111" s="5" t="s">
        <v>57</v>
      </c>
      <c r="B111" s="6">
        <v>20411454</v>
      </c>
      <c r="C111" s="5" t="s">
        <v>4</v>
      </c>
      <c r="D111" s="7">
        <v>46023</v>
      </c>
      <c r="E111" s="8">
        <v>80</v>
      </c>
      <c r="F111" s="5" t="s">
        <v>78</v>
      </c>
      <c r="G111" s="5" t="str">
        <f>CONCATENATE(F111,"OVR")</f>
        <v>22R7F8L19OVR</v>
      </c>
      <c r="H111" s="5" t="s">
        <v>80</v>
      </c>
      <c r="I111" s="7">
        <v>46023</v>
      </c>
      <c r="J111" s="5" t="s">
        <v>81</v>
      </c>
      <c r="K111" s="5" t="s">
        <v>52</v>
      </c>
      <c r="L111" s="5" t="s">
        <v>51</v>
      </c>
      <c r="M111" s="7">
        <v>46023</v>
      </c>
      <c r="N111" s="5" t="s">
        <v>451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x14ac:dyDescent="0.25">
      <c r="A112" s="5" t="s">
        <v>212</v>
      </c>
      <c r="B112" s="6">
        <v>20411454</v>
      </c>
      <c r="C112" s="5" t="s">
        <v>4</v>
      </c>
      <c r="D112" s="7">
        <v>46023</v>
      </c>
      <c r="E112" s="8">
        <v>80</v>
      </c>
      <c r="F112" s="5" t="s">
        <v>213</v>
      </c>
      <c r="G112" s="5" t="str">
        <f>CONCATENATE(F112,"OVR")</f>
        <v>25X4U8H45OVR</v>
      </c>
      <c r="H112" s="5" t="s">
        <v>215</v>
      </c>
      <c r="I112" s="7">
        <v>46023</v>
      </c>
      <c r="J112" s="5" t="s">
        <v>81</v>
      </c>
      <c r="K112" s="5" t="s">
        <v>216</v>
      </c>
      <c r="L112" s="5" t="s">
        <v>51</v>
      </c>
      <c r="M112" s="7">
        <v>46023</v>
      </c>
      <c r="N112" s="5" t="s">
        <v>451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x14ac:dyDescent="0.25">
      <c r="A113" s="5" t="s">
        <v>93</v>
      </c>
      <c r="B113" s="6">
        <v>20411454</v>
      </c>
      <c r="C113" s="5" t="s">
        <v>4</v>
      </c>
      <c r="D113" s="7">
        <v>46023</v>
      </c>
      <c r="E113" s="8">
        <v>80</v>
      </c>
      <c r="F113" s="5" t="s">
        <v>343</v>
      </c>
      <c r="G113" s="5" t="str">
        <f>CONCATENATE(F113,"OVR")</f>
        <v>44U6H6A16OVR</v>
      </c>
      <c r="H113" s="5" t="s">
        <v>345</v>
      </c>
      <c r="I113" s="7">
        <v>46023</v>
      </c>
      <c r="J113" s="5" t="s">
        <v>81</v>
      </c>
      <c r="K113" s="5" t="s">
        <v>52</v>
      </c>
      <c r="L113" s="5" t="s">
        <v>51</v>
      </c>
      <c r="M113" s="7">
        <v>46023</v>
      </c>
      <c r="N113" s="5" t="s">
        <v>451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x14ac:dyDescent="0.25">
      <c r="A114" s="5" t="s">
        <v>57</v>
      </c>
      <c r="B114" s="6">
        <v>20411454</v>
      </c>
      <c r="C114" s="5" t="s">
        <v>4</v>
      </c>
      <c r="D114" s="7">
        <v>46023</v>
      </c>
      <c r="E114" s="8">
        <v>80</v>
      </c>
      <c r="F114" s="5" t="s">
        <v>236</v>
      </c>
      <c r="G114" s="5" t="str">
        <f>CONCATENATE(F114,"OVR")</f>
        <v>56H4X5A78OVR</v>
      </c>
      <c r="H114" s="5" t="s">
        <v>238</v>
      </c>
      <c r="I114" s="7">
        <v>46023</v>
      </c>
      <c r="J114" s="5" t="s">
        <v>81</v>
      </c>
      <c r="K114" s="5" t="s">
        <v>52</v>
      </c>
      <c r="L114" s="5" t="s">
        <v>51</v>
      </c>
      <c r="M114" s="7">
        <v>46023</v>
      </c>
      <c r="N114" s="5" t="s">
        <v>451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x14ac:dyDescent="0.25">
      <c r="A115" s="5" t="s">
        <v>113</v>
      </c>
      <c r="B115" s="6">
        <v>20411454</v>
      </c>
      <c r="C115" s="5" t="s">
        <v>4</v>
      </c>
      <c r="D115" s="7">
        <v>46023</v>
      </c>
      <c r="E115" s="8">
        <v>80</v>
      </c>
      <c r="F115" s="5" t="s">
        <v>429</v>
      </c>
      <c r="G115" s="5" t="str">
        <f>CONCATENATE(F115,"OVR")</f>
        <v>41H9L7U75OVR</v>
      </c>
      <c r="H115" s="5" t="s">
        <v>431</v>
      </c>
      <c r="I115" s="7">
        <v>46023</v>
      </c>
      <c r="J115" s="5" t="s">
        <v>152</v>
      </c>
      <c r="K115" s="5" t="s">
        <v>216</v>
      </c>
      <c r="L115" s="5" t="s">
        <v>51</v>
      </c>
      <c r="M115" s="7">
        <v>46023</v>
      </c>
      <c r="N115" s="5" t="s">
        <v>451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25">
      <c r="A116" t="s">
        <v>63</v>
      </c>
      <c r="B116" s="4">
        <v>9079571</v>
      </c>
      <c r="C116" t="s">
        <v>63</v>
      </c>
      <c r="D116" s="3">
        <v>46023</v>
      </c>
      <c r="E116" s="2">
        <v>347</v>
      </c>
      <c r="F116" t="s">
        <v>386</v>
      </c>
      <c r="G116" t="str">
        <f>CONCATENATE(F116,26)</f>
        <v>24A2R3A7326</v>
      </c>
      <c r="H116" t="s">
        <v>388</v>
      </c>
      <c r="I116" s="3">
        <v>46023</v>
      </c>
      <c r="J116" t="s">
        <v>0</v>
      </c>
      <c r="K116" t="s">
        <v>67</v>
      </c>
      <c r="L116" t="s">
        <v>51</v>
      </c>
      <c r="M116" s="3">
        <v>46023</v>
      </c>
      <c r="N116" t="s">
        <v>452</v>
      </c>
      <c r="O116" t="s">
        <v>456</v>
      </c>
    </row>
    <row r="117" spans="1:25" x14ac:dyDescent="0.25">
      <c r="A117" t="s">
        <v>63</v>
      </c>
      <c r="B117" s="4">
        <v>9079571</v>
      </c>
      <c r="C117" t="s">
        <v>63</v>
      </c>
      <c r="D117" s="3">
        <v>46023</v>
      </c>
      <c r="E117" s="2">
        <v>347</v>
      </c>
      <c r="F117" t="s">
        <v>64</v>
      </c>
      <c r="G117" t="str">
        <f>CONCATENATE(F117,26)</f>
        <v>24X4F5H4926</v>
      </c>
      <c r="H117" t="s">
        <v>66</v>
      </c>
      <c r="I117" s="3">
        <v>46023</v>
      </c>
      <c r="J117" t="s">
        <v>51</v>
      </c>
      <c r="K117" t="s">
        <v>67</v>
      </c>
      <c r="L117" t="s">
        <v>51</v>
      </c>
      <c r="M117" s="3">
        <v>46023</v>
      </c>
      <c r="N117" t="s">
        <v>452</v>
      </c>
      <c r="O117" t="s">
        <v>456</v>
      </c>
    </row>
    <row r="118" spans="1:25" x14ac:dyDescent="0.25">
      <c r="A118" t="s">
        <v>63</v>
      </c>
      <c r="B118" s="4">
        <v>9079571</v>
      </c>
      <c r="C118" t="s">
        <v>63</v>
      </c>
      <c r="D118" s="3">
        <v>46023</v>
      </c>
      <c r="E118" s="2">
        <v>347</v>
      </c>
      <c r="F118" t="s">
        <v>104</v>
      </c>
      <c r="G118" t="str">
        <f>CONCATENATE(F118,26)</f>
        <v>58U6H8X8726</v>
      </c>
      <c r="H118" t="s">
        <v>106</v>
      </c>
      <c r="I118" s="3">
        <v>46023</v>
      </c>
      <c r="J118" t="s">
        <v>51</v>
      </c>
      <c r="K118" t="s">
        <v>67</v>
      </c>
      <c r="L118" t="s">
        <v>51</v>
      </c>
      <c r="M118" s="3">
        <v>46023</v>
      </c>
      <c r="N118" t="s">
        <v>452</v>
      </c>
      <c r="O118" t="s">
        <v>456</v>
      </c>
    </row>
    <row r="119" spans="1:25" x14ac:dyDescent="0.25">
      <c r="A119" t="s">
        <v>131</v>
      </c>
      <c r="B119" s="4">
        <v>16912722</v>
      </c>
      <c r="C119" t="s">
        <v>131</v>
      </c>
      <c r="D119" s="3">
        <v>46023</v>
      </c>
      <c r="E119" s="2">
        <v>347</v>
      </c>
      <c r="F119" t="s">
        <v>132</v>
      </c>
      <c r="G119" t="str">
        <f>CONCATENATE(F119,26)</f>
        <v>41A5A8R7826</v>
      </c>
      <c r="H119" t="s">
        <v>134</v>
      </c>
      <c r="I119" s="3">
        <v>46023</v>
      </c>
      <c r="J119" t="s">
        <v>0</v>
      </c>
      <c r="K119" t="s">
        <v>52</v>
      </c>
      <c r="L119" t="s">
        <v>51</v>
      </c>
      <c r="M119" s="3">
        <v>46023</v>
      </c>
      <c r="N119" t="s">
        <v>452</v>
      </c>
      <c r="O119" t="s">
        <v>456</v>
      </c>
    </row>
    <row r="120" spans="1:25" x14ac:dyDescent="0.25">
      <c r="A120" t="s">
        <v>93</v>
      </c>
      <c r="B120" s="4">
        <v>19586992</v>
      </c>
      <c r="C120" t="s">
        <v>93</v>
      </c>
      <c r="D120" s="3">
        <v>46023</v>
      </c>
      <c r="E120" s="2">
        <v>347</v>
      </c>
      <c r="F120" t="s">
        <v>391</v>
      </c>
      <c r="G120" t="str">
        <f>CONCATENATE(F120,26)</f>
        <v>15U9F1F1926</v>
      </c>
      <c r="H120" t="s">
        <v>393</v>
      </c>
      <c r="I120" s="3">
        <v>46023</v>
      </c>
      <c r="J120" t="s">
        <v>0</v>
      </c>
      <c r="K120" t="s">
        <v>148</v>
      </c>
      <c r="L120" t="s">
        <v>51</v>
      </c>
      <c r="M120" s="3">
        <v>46023</v>
      </c>
      <c r="N120" t="s">
        <v>452</v>
      </c>
      <c r="O120" t="s">
        <v>456</v>
      </c>
    </row>
    <row r="121" spans="1:25" x14ac:dyDescent="0.25">
      <c r="A121" t="s">
        <v>93</v>
      </c>
      <c r="B121" s="4">
        <v>19586992</v>
      </c>
      <c r="C121" t="s">
        <v>93</v>
      </c>
      <c r="D121" s="3">
        <v>46023</v>
      </c>
      <c r="E121" s="2">
        <v>347</v>
      </c>
      <c r="F121" t="s">
        <v>283</v>
      </c>
      <c r="G121" t="str">
        <f>CONCATENATE(F121,26)</f>
        <v>72U4R2X5826</v>
      </c>
      <c r="H121" t="s">
        <v>285</v>
      </c>
      <c r="I121" s="3">
        <v>46023</v>
      </c>
      <c r="J121" t="s">
        <v>51</v>
      </c>
      <c r="K121" t="s">
        <v>52</v>
      </c>
      <c r="L121" t="s">
        <v>51</v>
      </c>
      <c r="M121" s="3">
        <v>46023</v>
      </c>
      <c r="N121" t="s">
        <v>452</v>
      </c>
      <c r="O121" t="s">
        <v>456</v>
      </c>
    </row>
    <row r="122" spans="1:25" x14ac:dyDescent="0.25">
      <c r="A122" t="s">
        <v>93</v>
      </c>
      <c r="B122" s="4">
        <v>19586992</v>
      </c>
      <c r="C122" t="s">
        <v>93</v>
      </c>
      <c r="D122" s="3">
        <v>46023</v>
      </c>
      <c r="E122" s="2">
        <v>347</v>
      </c>
      <c r="F122" t="s">
        <v>94</v>
      </c>
      <c r="G122" t="str">
        <f>CONCATENATE(F122,26)</f>
        <v>78F8F1L6126</v>
      </c>
      <c r="H122" t="s">
        <v>96</v>
      </c>
      <c r="I122" s="3">
        <v>46023</v>
      </c>
      <c r="J122" t="s">
        <v>51</v>
      </c>
      <c r="K122" t="s">
        <v>52</v>
      </c>
      <c r="L122" t="s">
        <v>51</v>
      </c>
      <c r="M122" s="3">
        <v>46023</v>
      </c>
      <c r="N122" t="s">
        <v>452</v>
      </c>
      <c r="O122" t="s">
        <v>456</v>
      </c>
    </row>
    <row r="123" spans="1:25" x14ac:dyDescent="0.25">
      <c r="A123" t="s">
        <v>93</v>
      </c>
      <c r="B123" s="4">
        <v>19586992</v>
      </c>
      <c r="C123" t="s">
        <v>93</v>
      </c>
      <c r="D123" s="3">
        <v>46023</v>
      </c>
      <c r="E123" s="2">
        <v>347</v>
      </c>
      <c r="F123" t="s">
        <v>426</v>
      </c>
      <c r="G123" t="str">
        <f>CONCATENATE(F123,26)</f>
        <v>47A7U3H9826</v>
      </c>
      <c r="H123" t="s">
        <v>428</v>
      </c>
      <c r="I123" s="3">
        <v>46023</v>
      </c>
      <c r="J123" t="s">
        <v>51</v>
      </c>
      <c r="K123" t="s">
        <v>52</v>
      </c>
      <c r="L123" t="s">
        <v>51</v>
      </c>
      <c r="M123" s="3">
        <v>46023</v>
      </c>
      <c r="N123" t="s">
        <v>452</v>
      </c>
      <c r="O123" t="s">
        <v>456</v>
      </c>
    </row>
    <row r="124" spans="1:25" x14ac:dyDescent="0.25">
      <c r="A124" t="s">
        <v>113</v>
      </c>
      <c r="B124" s="4">
        <v>20003537</v>
      </c>
      <c r="C124" t="s">
        <v>113</v>
      </c>
      <c r="D124" s="3">
        <v>46023</v>
      </c>
      <c r="E124" s="2">
        <v>347</v>
      </c>
      <c r="F124" t="s">
        <v>297</v>
      </c>
      <c r="G124" t="str">
        <f>CONCATENATE(F124,26)</f>
        <v>71L1A1F6226</v>
      </c>
      <c r="H124" t="s">
        <v>299</v>
      </c>
      <c r="I124" s="3">
        <v>46023</v>
      </c>
      <c r="J124" t="s">
        <v>0</v>
      </c>
      <c r="K124" t="s">
        <v>148</v>
      </c>
      <c r="L124" t="s">
        <v>51</v>
      </c>
      <c r="M124" s="3">
        <v>46023</v>
      </c>
      <c r="N124" t="s">
        <v>452</v>
      </c>
      <c r="O124" t="s">
        <v>456</v>
      </c>
    </row>
    <row r="125" spans="1:25" x14ac:dyDescent="0.25">
      <c r="A125" t="s">
        <v>113</v>
      </c>
      <c r="B125" s="4">
        <v>20003537</v>
      </c>
      <c r="C125" t="s">
        <v>113</v>
      </c>
      <c r="D125" s="3">
        <v>46023</v>
      </c>
      <c r="E125" s="2">
        <v>347</v>
      </c>
      <c r="F125" t="s">
        <v>145</v>
      </c>
      <c r="G125" t="str">
        <f>CONCATENATE(F125,26)</f>
        <v>54X2U5F2226</v>
      </c>
      <c r="H125" t="s">
        <v>147</v>
      </c>
      <c r="I125" s="3">
        <v>46023</v>
      </c>
      <c r="J125" t="s">
        <v>0</v>
      </c>
      <c r="K125" t="s">
        <v>148</v>
      </c>
      <c r="L125" t="s">
        <v>51</v>
      </c>
      <c r="M125" s="3">
        <v>46023</v>
      </c>
      <c r="N125" t="s">
        <v>452</v>
      </c>
      <c r="O125" t="s">
        <v>456</v>
      </c>
    </row>
    <row r="126" spans="1:25" x14ac:dyDescent="0.25">
      <c r="A126" t="s">
        <v>113</v>
      </c>
      <c r="B126" s="4">
        <v>20003537</v>
      </c>
      <c r="C126" t="s">
        <v>113</v>
      </c>
      <c r="D126" s="3">
        <v>46023</v>
      </c>
      <c r="E126" s="2">
        <v>347</v>
      </c>
      <c r="F126">
        <v>36545567</v>
      </c>
      <c r="G126" t="str">
        <f>CONCATENATE(F126,26)</f>
        <v>3654556726</v>
      </c>
      <c r="H126" t="s">
        <v>115</v>
      </c>
      <c r="I126" s="3">
        <v>46023</v>
      </c>
      <c r="J126" t="s">
        <v>51</v>
      </c>
      <c r="K126" t="s">
        <v>116</v>
      </c>
      <c r="L126" t="s">
        <v>51</v>
      </c>
      <c r="M126" s="3">
        <v>46023</v>
      </c>
      <c r="N126" t="s">
        <v>452</v>
      </c>
      <c r="O126" t="s">
        <v>456</v>
      </c>
    </row>
    <row r="127" spans="1:25" x14ac:dyDescent="0.25">
      <c r="A127" t="s">
        <v>126</v>
      </c>
      <c r="B127" s="4">
        <v>19681796</v>
      </c>
      <c r="C127" t="s">
        <v>126</v>
      </c>
      <c r="D127" s="3">
        <v>46023</v>
      </c>
      <c r="E127" s="2">
        <v>347</v>
      </c>
      <c r="F127" t="s">
        <v>127</v>
      </c>
      <c r="G127" t="str">
        <f>CONCATENATE(F127,26)</f>
        <v>36U1A3F8726</v>
      </c>
      <c r="H127" t="s">
        <v>129</v>
      </c>
      <c r="I127" s="3">
        <v>46023</v>
      </c>
      <c r="J127" t="s">
        <v>0</v>
      </c>
      <c r="K127" t="s">
        <v>52</v>
      </c>
      <c r="L127" t="s">
        <v>51</v>
      </c>
      <c r="M127" s="3">
        <v>46023</v>
      </c>
      <c r="N127" t="s">
        <v>452</v>
      </c>
      <c r="O127" t="s">
        <v>456</v>
      </c>
    </row>
    <row r="128" spans="1:25" x14ac:dyDescent="0.25">
      <c r="A128" t="s">
        <v>126</v>
      </c>
      <c r="B128" s="4">
        <v>19681796</v>
      </c>
      <c r="C128" t="s">
        <v>126</v>
      </c>
      <c r="D128" s="3">
        <v>46023</v>
      </c>
      <c r="E128" s="2">
        <v>347</v>
      </c>
      <c r="F128" t="s">
        <v>248</v>
      </c>
      <c r="G128" t="str">
        <f>CONCATENATE(F128,26)</f>
        <v>59A5U5F3326</v>
      </c>
      <c r="H128" t="s">
        <v>250</v>
      </c>
      <c r="I128" s="3">
        <v>46023</v>
      </c>
      <c r="J128" t="s">
        <v>0</v>
      </c>
      <c r="K128" t="s">
        <v>52</v>
      </c>
      <c r="L128" t="s">
        <v>51</v>
      </c>
      <c r="M128" s="3">
        <v>46023</v>
      </c>
      <c r="N128" t="s">
        <v>452</v>
      </c>
      <c r="O128" t="s">
        <v>456</v>
      </c>
    </row>
    <row r="129" spans="1:25" x14ac:dyDescent="0.25">
      <c r="A129" t="s">
        <v>126</v>
      </c>
      <c r="B129" s="4">
        <v>19681796</v>
      </c>
      <c r="C129" t="s">
        <v>126</v>
      </c>
      <c r="D129" s="3">
        <v>46023</v>
      </c>
      <c r="E129" s="2">
        <v>347</v>
      </c>
      <c r="F129" t="s">
        <v>354</v>
      </c>
      <c r="G129" t="str">
        <f>CONCATENATE(F129,26)</f>
        <v>64H9X7F6826</v>
      </c>
      <c r="H129" t="s">
        <v>356</v>
      </c>
      <c r="I129" s="3">
        <v>46023</v>
      </c>
      <c r="J129" t="s">
        <v>0</v>
      </c>
      <c r="K129" t="s">
        <v>52</v>
      </c>
      <c r="L129" t="s">
        <v>51</v>
      </c>
      <c r="M129" s="3">
        <v>46023</v>
      </c>
      <c r="N129" t="s">
        <v>452</v>
      </c>
      <c r="O129" t="s">
        <v>456</v>
      </c>
    </row>
    <row r="130" spans="1:25" x14ac:dyDescent="0.25">
      <c r="A130" t="s">
        <v>126</v>
      </c>
      <c r="B130" s="4">
        <v>19681796</v>
      </c>
      <c r="C130" t="s">
        <v>126</v>
      </c>
      <c r="D130" s="3">
        <v>46023</v>
      </c>
      <c r="E130" s="2">
        <v>347</v>
      </c>
      <c r="F130" t="s">
        <v>280</v>
      </c>
      <c r="G130" t="str">
        <f>CONCATENATE(F130,26)</f>
        <v>21R4U1R7126</v>
      </c>
      <c r="H130" t="s">
        <v>282</v>
      </c>
      <c r="I130" s="3">
        <v>46023</v>
      </c>
      <c r="J130" t="s">
        <v>51</v>
      </c>
      <c r="K130" t="s">
        <v>52</v>
      </c>
      <c r="L130" t="s">
        <v>51</v>
      </c>
      <c r="M130" s="3">
        <v>46023</v>
      </c>
      <c r="N130" t="s">
        <v>452</v>
      </c>
      <c r="O130" t="s">
        <v>456</v>
      </c>
    </row>
    <row r="131" spans="1:25" x14ac:dyDescent="0.25">
      <c r="A131" t="s">
        <v>126</v>
      </c>
      <c r="B131" s="4">
        <v>19681796</v>
      </c>
      <c r="C131" t="s">
        <v>126</v>
      </c>
      <c r="D131" s="3">
        <v>46023</v>
      </c>
      <c r="E131" s="2">
        <v>347</v>
      </c>
      <c r="F131" t="s">
        <v>290</v>
      </c>
      <c r="G131" t="str">
        <f>CONCATENATE(F131,26)</f>
        <v>21A1X8R9526</v>
      </c>
      <c r="H131" t="s">
        <v>292</v>
      </c>
      <c r="I131" s="3">
        <v>46023</v>
      </c>
      <c r="J131" t="s">
        <v>51</v>
      </c>
      <c r="K131" t="s">
        <v>52</v>
      </c>
      <c r="L131" t="s">
        <v>51</v>
      </c>
      <c r="M131" s="3">
        <v>46023</v>
      </c>
      <c r="N131" t="s">
        <v>452</v>
      </c>
      <c r="O131" t="s">
        <v>456</v>
      </c>
    </row>
    <row r="132" spans="1:25" x14ac:dyDescent="0.25">
      <c r="A132" t="s">
        <v>126</v>
      </c>
      <c r="B132" s="4">
        <v>19681796</v>
      </c>
      <c r="C132" t="s">
        <v>126</v>
      </c>
      <c r="D132" s="3">
        <v>46023</v>
      </c>
      <c r="E132" s="2">
        <v>347</v>
      </c>
      <c r="F132" t="s">
        <v>418</v>
      </c>
      <c r="G132" t="str">
        <f>CONCATENATE(F132,26)</f>
        <v>28A8R7X4926</v>
      </c>
      <c r="H132" t="s">
        <v>420</v>
      </c>
      <c r="I132" s="3">
        <v>46023</v>
      </c>
      <c r="J132" t="s">
        <v>51</v>
      </c>
      <c r="K132" t="s">
        <v>52</v>
      </c>
      <c r="L132" t="s">
        <v>51</v>
      </c>
      <c r="M132" s="3">
        <v>46023</v>
      </c>
      <c r="N132" t="s">
        <v>452</v>
      </c>
      <c r="O132" t="s">
        <v>456</v>
      </c>
    </row>
    <row r="133" spans="1:25" x14ac:dyDescent="0.25">
      <c r="A133" t="s">
        <v>136</v>
      </c>
      <c r="B133" s="4">
        <v>21435997</v>
      </c>
      <c r="C133" t="s">
        <v>136</v>
      </c>
      <c r="D133" s="3">
        <v>46023</v>
      </c>
      <c r="E133" s="2">
        <v>347</v>
      </c>
      <c r="F133" t="s">
        <v>137</v>
      </c>
      <c r="G133" t="str">
        <f>CONCATENATE(F133,26)</f>
        <v>31F5X8A8626</v>
      </c>
      <c r="H133" t="s">
        <v>139</v>
      </c>
      <c r="I133" s="3">
        <v>46023</v>
      </c>
      <c r="J133" t="s">
        <v>0</v>
      </c>
      <c r="K133" t="s">
        <v>75</v>
      </c>
      <c r="L133" t="s">
        <v>51</v>
      </c>
      <c r="M133" s="3">
        <v>46023</v>
      </c>
      <c r="N133" t="s">
        <v>452</v>
      </c>
      <c r="O133" t="s">
        <v>456</v>
      </c>
    </row>
    <row r="134" spans="1:25" x14ac:dyDescent="0.25">
      <c r="A134" t="s">
        <v>136</v>
      </c>
      <c r="B134" s="4">
        <v>21435997</v>
      </c>
      <c r="C134" t="s">
        <v>136</v>
      </c>
      <c r="D134" s="3">
        <v>46023</v>
      </c>
      <c r="E134" s="2">
        <v>347</v>
      </c>
      <c r="F134" t="s">
        <v>311</v>
      </c>
      <c r="G134" t="str">
        <f>CONCATENATE(F134,26)</f>
        <v>15U8H2A8426</v>
      </c>
      <c r="H134" t="s">
        <v>313</v>
      </c>
      <c r="I134" s="3">
        <v>46023</v>
      </c>
      <c r="J134" t="s">
        <v>0</v>
      </c>
      <c r="K134" t="s">
        <v>148</v>
      </c>
      <c r="L134" t="s">
        <v>51</v>
      </c>
      <c r="M134" s="3">
        <v>46023</v>
      </c>
      <c r="N134" t="s">
        <v>452</v>
      </c>
      <c r="O134" t="s">
        <v>456</v>
      </c>
    </row>
    <row r="135" spans="1:25" x14ac:dyDescent="0.25">
      <c r="A135" t="s">
        <v>136</v>
      </c>
      <c r="B135" s="4">
        <v>21435997</v>
      </c>
      <c r="C135" t="s">
        <v>136</v>
      </c>
      <c r="D135" s="3">
        <v>46023</v>
      </c>
      <c r="E135" s="2">
        <v>347</v>
      </c>
      <c r="F135" t="s">
        <v>360</v>
      </c>
      <c r="G135" t="str">
        <f>CONCATENATE(F135,26)</f>
        <v>35U1H7U8726</v>
      </c>
      <c r="H135" t="s">
        <v>362</v>
      </c>
      <c r="I135" s="3">
        <v>46023</v>
      </c>
      <c r="J135" t="s">
        <v>0</v>
      </c>
      <c r="K135" t="s">
        <v>148</v>
      </c>
      <c r="L135" t="s">
        <v>51</v>
      </c>
      <c r="M135" s="3">
        <v>46023</v>
      </c>
      <c r="N135" t="s">
        <v>452</v>
      </c>
      <c r="O135" t="s">
        <v>456</v>
      </c>
    </row>
    <row r="136" spans="1:25" x14ac:dyDescent="0.25">
      <c r="A136" t="s">
        <v>121</v>
      </c>
      <c r="B136" s="4">
        <v>8325282</v>
      </c>
      <c r="C136" t="s">
        <v>121</v>
      </c>
      <c r="D136" s="3">
        <v>46023</v>
      </c>
      <c r="E136" s="2">
        <v>347</v>
      </c>
      <c r="F136" t="s">
        <v>122</v>
      </c>
      <c r="G136" t="str">
        <f>CONCATENATE(F136,26)</f>
        <v>49L6A3A5926</v>
      </c>
      <c r="H136" t="s">
        <v>124</v>
      </c>
      <c r="I136" s="3">
        <v>46023</v>
      </c>
      <c r="J136" t="s">
        <v>0</v>
      </c>
      <c r="K136" t="s">
        <v>52</v>
      </c>
      <c r="L136" t="s">
        <v>51</v>
      </c>
      <c r="M136" s="3">
        <v>46023</v>
      </c>
      <c r="N136" t="s">
        <v>452</v>
      </c>
      <c r="O136" t="s">
        <v>456</v>
      </c>
    </row>
    <row r="137" spans="1:25" x14ac:dyDescent="0.25">
      <c r="A137" t="s">
        <v>121</v>
      </c>
      <c r="B137" s="4">
        <v>8325282</v>
      </c>
      <c r="C137" t="s">
        <v>121</v>
      </c>
      <c r="D137" s="3">
        <v>46023</v>
      </c>
      <c r="E137" s="2">
        <v>347</v>
      </c>
      <c r="F137" t="s">
        <v>383</v>
      </c>
      <c r="G137" t="str">
        <f>CONCATENATE(F137,26)</f>
        <v>35A8U1L8126</v>
      </c>
      <c r="H137" t="s">
        <v>385</v>
      </c>
      <c r="I137" s="3">
        <v>46023</v>
      </c>
      <c r="J137" t="s">
        <v>51</v>
      </c>
      <c r="K137" t="s">
        <v>52</v>
      </c>
      <c r="L137" t="s">
        <v>51</v>
      </c>
      <c r="M137" s="3">
        <v>46023</v>
      </c>
      <c r="N137" t="s">
        <v>452</v>
      </c>
      <c r="O137" t="s">
        <v>456</v>
      </c>
    </row>
    <row r="138" spans="1:25" s="5" customFormat="1" x14ac:dyDescent="0.25">
      <c r="A138" t="s">
        <v>165</v>
      </c>
      <c r="B138" s="4">
        <v>21749481</v>
      </c>
      <c r="C138" t="s">
        <v>165</v>
      </c>
      <c r="D138" s="3">
        <v>46023</v>
      </c>
      <c r="E138" s="2">
        <v>347</v>
      </c>
      <c r="F138">
        <v>36864714</v>
      </c>
      <c r="G138" t="str">
        <f>CONCATENATE(F138,26)</f>
        <v>3686471426</v>
      </c>
      <c r="H138" t="s">
        <v>390</v>
      </c>
      <c r="I138" s="3">
        <v>46023</v>
      </c>
      <c r="J138" t="s">
        <v>51</v>
      </c>
      <c r="K138" t="s">
        <v>148</v>
      </c>
      <c r="L138" t="s">
        <v>51</v>
      </c>
      <c r="M138" s="3">
        <v>46023</v>
      </c>
      <c r="N138" t="s">
        <v>452</v>
      </c>
      <c r="O138" t="s">
        <v>456</v>
      </c>
      <c r="P138"/>
      <c r="Q138"/>
      <c r="R138"/>
      <c r="S138"/>
      <c r="T138"/>
      <c r="U138"/>
      <c r="V138"/>
      <c r="W138"/>
      <c r="X138"/>
      <c r="Y138"/>
    </row>
    <row r="139" spans="1:25" s="5" customFormat="1" x14ac:dyDescent="0.25">
      <c r="A139" t="s">
        <v>185</v>
      </c>
      <c r="B139" s="4">
        <v>9213293</v>
      </c>
      <c r="C139" t="s">
        <v>185</v>
      </c>
      <c r="D139" s="3">
        <v>46023</v>
      </c>
      <c r="E139" s="2">
        <v>347</v>
      </c>
      <c r="F139" t="s">
        <v>186</v>
      </c>
      <c r="G139" t="str">
        <f>CONCATENATE(F139,26)</f>
        <v>25H5F2F2226</v>
      </c>
      <c r="H139" t="s">
        <v>188</v>
      </c>
      <c r="I139" s="3">
        <v>46023</v>
      </c>
      <c r="J139" t="s">
        <v>51</v>
      </c>
      <c r="K139" t="s">
        <v>52</v>
      </c>
      <c r="L139" t="s">
        <v>51</v>
      </c>
      <c r="M139" s="3">
        <v>46023</v>
      </c>
      <c r="N139" t="s">
        <v>452</v>
      </c>
      <c r="O139" t="s">
        <v>456</v>
      </c>
      <c r="P139"/>
      <c r="Q139"/>
      <c r="R139"/>
      <c r="S139"/>
      <c r="T139"/>
      <c r="U139"/>
      <c r="V139"/>
      <c r="W139"/>
      <c r="X139"/>
      <c r="Y139"/>
    </row>
    <row r="140" spans="1:25" s="5" customFormat="1" x14ac:dyDescent="0.25">
      <c r="A140" t="s">
        <v>185</v>
      </c>
      <c r="B140" s="4">
        <v>9213293</v>
      </c>
      <c r="C140" t="s">
        <v>185</v>
      </c>
      <c r="D140" s="3">
        <v>46023</v>
      </c>
      <c r="E140" s="2">
        <v>347</v>
      </c>
      <c r="F140" t="s">
        <v>189</v>
      </c>
      <c r="G140" t="str">
        <f>CONCATENATE(F140,26)</f>
        <v>41U6R3X8626</v>
      </c>
      <c r="H140" t="s">
        <v>191</v>
      </c>
      <c r="I140" s="3">
        <v>46023</v>
      </c>
      <c r="J140" t="s">
        <v>51</v>
      </c>
      <c r="K140" t="s">
        <v>52</v>
      </c>
      <c r="L140" t="s">
        <v>51</v>
      </c>
      <c r="M140" s="3">
        <v>46023</v>
      </c>
      <c r="N140" t="s">
        <v>452</v>
      </c>
      <c r="O140" t="s">
        <v>456</v>
      </c>
      <c r="P140"/>
      <c r="Q140"/>
      <c r="R140"/>
      <c r="S140"/>
      <c r="T140"/>
      <c r="U140"/>
      <c r="V140"/>
      <c r="W140"/>
      <c r="X140"/>
      <c r="Y140"/>
    </row>
    <row r="141" spans="1:25" s="5" customFormat="1" x14ac:dyDescent="0.25">
      <c r="A141" t="s">
        <v>185</v>
      </c>
      <c r="B141" s="4">
        <v>9213293</v>
      </c>
      <c r="C141" t="s">
        <v>185</v>
      </c>
      <c r="D141" s="3">
        <v>46023</v>
      </c>
      <c r="E141" s="2">
        <v>347</v>
      </c>
      <c r="F141" t="s">
        <v>277</v>
      </c>
      <c r="G141" t="str">
        <f>CONCATENATE(F141,26)</f>
        <v>22L3A2F7626</v>
      </c>
      <c r="H141" t="s">
        <v>279</v>
      </c>
      <c r="I141" s="3">
        <v>46023</v>
      </c>
      <c r="J141" t="s">
        <v>51</v>
      </c>
      <c r="K141" t="s">
        <v>52</v>
      </c>
      <c r="L141" t="s">
        <v>51</v>
      </c>
      <c r="M141" s="3">
        <v>46023</v>
      </c>
      <c r="N141" t="s">
        <v>452</v>
      </c>
      <c r="O141" t="s">
        <v>456</v>
      </c>
      <c r="P141"/>
      <c r="Q141"/>
      <c r="R141"/>
      <c r="S141"/>
      <c r="T141"/>
      <c r="U141"/>
      <c r="V141"/>
      <c r="W141"/>
      <c r="X141"/>
      <c r="Y141"/>
    </row>
    <row r="142" spans="1:25" s="5" customFormat="1" x14ac:dyDescent="0.25">
      <c r="A142" t="s">
        <v>47</v>
      </c>
      <c r="B142" s="4">
        <v>17094718</v>
      </c>
      <c r="C142" t="s">
        <v>47</v>
      </c>
      <c r="D142" s="3">
        <v>46023</v>
      </c>
      <c r="E142" s="2">
        <v>347</v>
      </c>
      <c r="F142" t="s">
        <v>48</v>
      </c>
      <c r="G142" t="str">
        <f>CONCATENATE(F142,26)</f>
        <v>57A4U1A1726</v>
      </c>
      <c r="H142" t="s">
        <v>50</v>
      </c>
      <c r="I142" s="3">
        <v>46023</v>
      </c>
      <c r="J142" t="s">
        <v>51</v>
      </c>
      <c r="K142" t="s">
        <v>52</v>
      </c>
      <c r="L142" t="s">
        <v>51</v>
      </c>
      <c r="M142" s="3">
        <v>46023</v>
      </c>
      <c r="N142" t="s">
        <v>452</v>
      </c>
      <c r="O142" t="s">
        <v>456</v>
      </c>
      <c r="P142"/>
      <c r="Q142"/>
      <c r="R142"/>
      <c r="S142"/>
      <c r="T142"/>
      <c r="U142"/>
      <c r="V142"/>
      <c r="W142"/>
      <c r="X142"/>
      <c r="Y142"/>
    </row>
    <row r="143" spans="1:25" s="5" customFormat="1" x14ac:dyDescent="0.25">
      <c r="A143" t="s">
        <v>47</v>
      </c>
      <c r="B143" s="4">
        <v>17094718</v>
      </c>
      <c r="C143" t="s">
        <v>47</v>
      </c>
      <c r="D143" s="3">
        <v>46023</v>
      </c>
      <c r="E143" s="2">
        <v>347</v>
      </c>
      <c r="F143" t="s">
        <v>193</v>
      </c>
      <c r="G143" t="str">
        <f>CONCATENATE(F143,26)</f>
        <v>22R1L9L4426</v>
      </c>
      <c r="H143" t="s">
        <v>195</v>
      </c>
      <c r="I143" s="3">
        <v>46023</v>
      </c>
      <c r="J143" t="s">
        <v>51</v>
      </c>
      <c r="K143" t="s">
        <v>52</v>
      </c>
      <c r="L143" t="s">
        <v>51</v>
      </c>
      <c r="M143" s="3">
        <v>46023</v>
      </c>
      <c r="N143" t="s">
        <v>452</v>
      </c>
      <c r="O143" t="s">
        <v>456</v>
      </c>
      <c r="P143"/>
      <c r="Q143"/>
      <c r="R143"/>
      <c r="S143"/>
      <c r="T143"/>
      <c r="U143"/>
      <c r="V143"/>
      <c r="W143"/>
      <c r="X143"/>
      <c r="Y143"/>
    </row>
    <row r="144" spans="1:25" s="5" customFormat="1" x14ac:dyDescent="0.25">
      <c r="A144" t="s">
        <v>47</v>
      </c>
      <c r="B144" s="4">
        <v>17094718</v>
      </c>
      <c r="C144" t="s">
        <v>47</v>
      </c>
      <c r="D144" s="3">
        <v>46023</v>
      </c>
      <c r="E144" s="2">
        <v>347</v>
      </c>
      <c r="F144" t="s">
        <v>196</v>
      </c>
      <c r="G144" t="str">
        <f>CONCATENATE(F144,26)</f>
        <v>12U7F9F4126</v>
      </c>
      <c r="H144" t="s">
        <v>198</v>
      </c>
      <c r="I144" s="3">
        <v>46023</v>
      </c>
      <c r="J144" t="s">
        <v>51</v>
      </c>
      <c r="K144" t="s">
        <v>52</v>
      </c>
      <c r="L144" t="s">
        <v>51</v>
      </c>
      <c r="M144" s="3">
        <v>46023</v>
      </c>
      <c r="N144" t="s">
        <v>452</v>
      </c>
      <c r="O144" t="s">
        <v>456</v>
      </c>
      <c r="P144"/>
      <c r="Q144"/>
      <c r="R144"/>
      <c r="S144"/>
      <c r="T144"/>
      <c r="U144"/>
      <c r="V144"/>
      <c r="W144"/>
      <c r="X144"/>
      <c r="Y144"/>
    </row>
    <row r="145" spans="1:25" s="5" customFormat="1" x14ac:dyDescent="0.25">
      <c r="A145" t="s">
        <v>47</v>
      </c>
      <c r="B145" s="4">
        <v>17094718</v>
      </c>
      <c r="C145" t="s">
        <v>47</v>
      </c>
      <c r="D145" s="3">
        <v>46023</v>
      </c>
      <c r="E145" s="2">
        <v>347</v>
      </c>
      <c r="F145" t="s">
        <v>199</v>
      </c>
      <c r="G145" t="str">
        <f>CONCATENATE(F145,26)</f>
        <v>19H5F8L6226</v>
      </c>
      <c r="H145" t="s">
        <v>201</v>
      </c>
      <c r="I145" s="3">
        <v>46023</v>
      </c>
      <c r="J145" t="s">
        <v>51</v>
      </c>
      <c r="K145" t="s">
        <v>52</v>
      </c>
      <c r="L145" t="s">
        <v>51</v>
      </c>
      <c r="M145" s="3">
        <v>46023</v>
      </c>
      <c r="N145" t="s">
        <v>452</v>
      </c>
      <c r="O145" t="s">
        <v>456</v>
      </c>
      <c r="P145"/>
      <c r="Q145"/>
      <c r="R145"/>
      <c r="S145"/>
      <c r="T145"/>
      <c r="U145"/>
      <c r="V145"/>
      <c r="W145"/>
      <c r="X145"/>
      <c r="Y145"/>
    </row>
    <row r="146" spans="1:25" s="5" customFormat="1" x14ac:dyDescent="0.25">
      <c r="A146" t="s">
        <v>47</v>
      </c>
      <c r="B146" s="4">
        <v>17094718</v>
      </c>
      <c r="C146" t="s">
        <v>47</v>
      </c>
      <c r="D146" s="3">
        <v>46023</v>
      </c>
      <c r="E146" s="2">
        <v>347</v>
      </c>
      <c r="F146" t="s">
        <v>231</v>
      </c>
      <c r="G146" t="str">
        <f>CONCATENATE(F146,26)</f>
        <v>38H9A6H9126</v>
      </c>
      <c r="H146" t="s">
        <v>233</v>
      </c>
      <c r="I146" s="3">
        <v>46023</v>
      </c>
      <c r="J146" t="s">
        <v>51</v>
      </c>
      <c r="K146" t="s">
        <v>148</v>
      </c>
      <c r="L146" t="s">
        <v>51</v>
      </c>
      <c r="M146" s="3">
        <v>46023</v>
      </c>
      <c r="N146" t="s">
        <v>452</v>
      </c>
      <c r="O146" t="s">
        <v>456</v>
      </c>
      <c r="P146"/>
      <c r="Q146"/>
      <c r="R146"/>
      <c r="S146"/>
      <c r="T146"/>
      <c r="U146"/>
      <c r="V146"/>
      <c r="W146"/>
      <c r="X146"/>
      <c r="Y146"/>
    </row>
    <row r="147" spans="1:25" s="5" customFormat="1" x14ac:dyDescent="0.25">
      <c r="A147" t="s">
        <v>203</v>
      </c>
      <c r="B147" s="4">
        <v>18754354</v>
      </c>
      <c r="C147" t="s">
        <v>203</v>
      </c>
      <c r="D147" s="3">
        <v>46023</v>
      </c>
      <c r="E147" s="2">
        <v>347</v>
      </c>
      <c r="F147" t="s">
        <v>204</v>
      </c>
      <c r="G147" t="str">
        <f>CONCATENATE(F147,26)</f>
        <v>47X5A2A6726</v>
      </c>
      <c r="H147" t="s">
        <v>206</v>
      </c>
      <c r="I147" s="3">
        <v>46023</v>
      </c>
      <c r="J147" t="s">
        <v>51</v>
      </c>
      <c r="K147" t="s">
        <v>207</v>
      </c>
      <c r="L147" t="s">
        <v>51</v>
      </c>
      <c r="M147" s="3">
        <v>46023</v>
      </c>
      <c r="N147" t="s">
        <v>452</v>
      </c>
      <c r="O147" t="s">
        <v>456</v>
      </c>
      <c r="P147"/>
      <c r="Q147"/>
      <c r="R147"/>
      <c r="S147"/>
      <c r="T147"/>
      <c r="U147"/>
      <c r="V147"/>
      <c r="W147"/>
      <c r="X147"/>
      <c r="Y147"/>
    </row>
    <row r="148" spans="1:25" s="5" customFormat="1" x14ac:dyDescent="0.25">
      <c r="A148" t="s">
        <v>203</v>
      </c>
      <c r="B148" s="4">
        <v>18754354</v>
      </c>
      <c r="C148" t="s">
        <v>203</v>
      </c>
      <c r="D148" s="3">
        <v>46023</v>
      </c>
      <c r="E148" s="2">
        <v>347</v>
      </c>
      <c r="F148" t="s">
        <v>421</v>
      </c>
      <c r="G148" t="str">
        <f>CONCATENATE(F148,26)</f>
        <v>78F4F2F1826</v>
      </c>
      <c r="H148" t="s">
        <v>423</v>
      </c>
      <c r="I148" s="3">
        <v>46023</v>
      </c>
      <c r="J148" t="s">
        <v>51</v>
      </c>
      <c r="K148" t="s">
        <v>52</v>
      </c>
      <c r="L148" t="s">
        <v>51</v>
      </c>
      <c r="M148" s="3">
        <v>46023</v>
      </c>
      <c r="N148" t="s">
        <v>452</v>
      </c>
      <c r="O148" t="s">
        <v>456</v>
      </c>
      <c r="P148"/>
      <c r="Q148"/>
      <c r="R148"/>
      <c r="S148"/>
      <c r="T148"/>
      <c r="U148"/>
      <c r="V148"/>
      <c r="W148"/>
      <c r="X148"/>
      <c r="Y148"/>
    </row>
    <row r="149" spans="1:25" s="5" customFormat="1" x14ac:dyDescent="0.25">
      <c r="A149" t="s">
        <v>370</v>
      </c>
      <c r="B149" s="4">
        <v>2158366</v>
      </c>
      <c r="C149" t="s">
        <v>370</v>
      </c>
      <c r="D149" s="3">
        <v>46023</v>
      </c>
      <c r="E149" s="2">
        <v>347</v>
      </c>
      <c r="F149">
        <v>36877815</v>
      </c>
      <c r="G149" t="str">
        <f>CONCATENATE(F149,26)</f>
        <v>3687781526</v>
      </c>
      <c r="H149" t="s">
        <v>395</v>
      </c>
      <c r="I149" s="3">
        <v>46023</v>
      </c>
      <c r="J149" t="s">
        <v>0</v>
      </c>
      <c r="K149" t="s">
        <v>52</v>
      </c>
      <c r="L149" t="s">
        <v>51</v>
      </c>
      <c r="M149" s="3">
        <v>46023</v>
      </c>
      <c r="N149" t="s">
        <v>452</v>
      </c>
      <c r="O149" t="s">
        <v>456</v>
      </c>
      <c r="P149"/>
      <c r="Q149"/>
      <c r="R149"/>
      <c r="S149"/>
      <c r="T149"/>
      <c r="U149"/>
      <c r="V149"/>
      <c r="W149"/>
      <c r="X149"/>
      <c r="Y149"/>
    </row>
    <row r="150" spans="1:25" s="5" customFormat="1" x14ac:dyDescent="0.25">
      <c r="A150" t="s">
        <v>370</v>
      </c>
      <c r="B150" s="4">
        <v>2158366</v>
      </c>
      <c r="C150" t="s">
        <v>370</v>
      </c>
      <c r="D150" s="3">
        <v>46023</v>
      </c>
      <c r="E150" s="2">
        <v>347</v>
      </c>
      <c r="F150" t="s">
        <v>433</v>
      </c>
      <c r="G150" t="str">
        <f>CONCATENATE(F150,26)</f>
        <v>71H4A5U9526</v>
      </c>
      <c r="H150" t="s">
        <v>435</v>
      </c>
      <c r="I150" s="3">
        <v>46023</v>
      </c>
      <c r="J150" t="s">
        <v>0</v>
      </c>
      <c r="K150" t="s">
        <v>436</v>
      </c>
      <c r="L150" t="s">
        <v>51</v>
      </c>
      <c r="M150" s="3">
        <v>46023</v>
      </c>
      <c r="N150" t="s">
        <v>452</v>
      </c>
      <c r="O150" t="s">
        <v>456</v>
      </c>
      <c r="P150"/>
      <c r="Q150"/>
      <c r="R150"/>
      <c r="S150"/>
      <c r="T150"/>
      <c r="U150"/>
      <c r="V150"/>
      <c r="W150"/>
      <c r="X150"/>
      <c r="Y150"/>
    </row>
    <row r="151" spans="1:25" s="5" customFormat="1" x14ac:dyDescent="0.25">
      <c r="A151" t="s">
        <v>71</v>
      </c>
      <c r="B151" s="4">
        <v>18142208</v>
      </c>
      <c r="C151" t="s">
        <v>71</v>
      </c>
      <c r="D151" s="3">
        <v>46023</v>
      </c>
      <c r="E151" s="2">
        <v>347</v>
      </c>
      <c r="F151" t="s">
        <v>300</v>
      </c>
      <c r="G151" t="str">
        <f>CONCATENATE(F151,26)</f>
        <v>54R1L1X8226</v>
      </c>
      <c r="H151" t="s">
        <v>302</v>
      </c>
      <c r="I151" s="3">
        <v>46023</v>
      </c>
      <c r="J151" t="s">
        <v>0</v>
      </c>
      <c r="K151" t="s">
        <v>75</v>
      </c>
      <c r="L151" t="s">
        <v>51</v>
      </c>
      <c r="M151" s="3">
        <v>46023</v>
      </c>
      <c r="N151" t="s">
        <v>452</v>
      </c>
      <c r="O151" t="s">
        <v>456</v>
      </c>
      <c r="P151"/>
      <c r="Q151"/>
      <c r="R151"/>
      <c r="S151"/>
      <c r="T151"/>
      <c r="U151"/>
      <c r="V151"/>
      <c r="W151"/>
      <c r="X151"/>
      <c r="Y151"/>
    </row>
    <row r="152" spans="1:25" s="5" customFormat="1" x14ac:dyDescent="0.25">
      <c r="A152" t="s">
        <v>71</v>
      </c>
      <c r="B152" s="4">
        <v>18142208</v>
      </c>
      <c r="C152" t="s">
        <v>71</v>
      </c>
      <c r="D152" s="3">
        <v>46023</v>
      </c>
      <c r="E152" s="2">
        <v>347</v>
      </c>
      <c r="F152" t="s">
        <v>72</v>
      </c>
      <c r="G152" t="str">
        <f>CONCATENATE(F152,26)</f>
        <v>28F5R9H6526</v>
      </c>
      <c r="H152" t="s">
        <v>74</v>
      </c>
      <c r="I152" s="3">
        <v>46023</v>
      </c>
      <c r="J152" t="s">
        <v>51</v>
      </c>
      <c r="K152" t="s">
        <v>75</v>
      </c>
      <c r="L152" t="s">
        <v>51</v>
      </c>
      <c r="M152" s="3">
        <v>46023</v>
      </c>
      <c r="N152" t="s">
        <v>452</v>
      </c>
      <c r="O152" t="s">
        <v>456</v>
      </c>
      <c r="P152"/>
      <c r="Q152"/>
      <c r="R152"/>
      <c r="S152"/>
      <c r="T152"/>
      <c r="U152"/>
      <c r="V152"/>
      <c r="W152"/>
      <c r="X152"/>
      <c r="Y152"/>
    </row>
    <row r="153" spans="1:25" s="5" customFormat="1" x14ac:dyDescent="0.25">
      <c r="A153" t="s">
        <v>71</v>
      </c>
      <c r="B153" s="4">
        <v>18142208</v>
      </c>
      <c r="C153" t="s">
        <v>71</v>
      </c>
      <c r="D153" s="3">
        <v>46023</v>
      </c>
      <c r="E153" s="2">
        <v>347</v>
      </c>
      <c r="F153">
        <v>37233819</v>
      </c>
      <c r="G153" t="str">
        <f>CONCATENATE(F153,26)</f>
        <v>3723381926</v>
      </c>
      <c r="H153" t="s">
        <v>210</v>
      </c>
      <c r="I153" s="3">
        <v>46023</v>
      </c>
      <c r="J153" t="s">
        <v>51</v>
      </c>
      <c r="K153" t="s">
        <v>75</v>
      </c>
      <c r="L153" t="s">
        <v>51</v>
      </c>
      <c r="M153" s="3">
        <v>46023</v>
      </c>
      <c r="N153" t="s">
        <v>452</v>
      </c>
      <c r="O153" t="s">
        <v>456</v>
      </c>
      <c r="P153"/>
      <c r="Q153"/>
      <c r="R153"/>
      <c r="S153"/>
      <c r="T153"/>
      <c r="U153"/>
      <c r="V153"/>
      <c r="W153"/>
      <c r="X153"/>
      <c r="Y153"/>
    </row>
    <row r="154" spans="1:25" s="5" customFormat="1" x14ac:dyDescent="0.25">
      <c r="A154" t="s">
        <v>71</v>
      </c>
      <c r="B154" s="4">
        <v>18142208</v>
      </c>
      <c r="C154" t="s">
        <v>71</v>
      </c>
      <c r="D154" s="3">
        <v>46023</v>
      </c>
      <c r="E154" s="2">
        <v>347</v>
      </c>
      <c r="F154" t="s">
        <v>286</v>
      </c>
      <c r="G154" t="str">
        <f>CONCATENATE(F154,26)</f>
        <v>17U1L5R7926</v>
      </c>
      <c r="H154" t="s">
        <v>288</v>
      </c>
      <c r="I154" s="3">
        <v>46023</v>
      </c>
      <c r="J154" t="s">
        <v>51</v>
      </c>
      <c r="K154" t="s">
        <v>75</v>
      </c>
      <c r="L154" t="s">
        <v>51</v>
      </c>
      <c r="M154" s="3">
        <v>46023</v>
      </c>
      <c r="N154" t="s">
        <v>452</v>
      </c>
      <c r="O154" t="s">
        <v>456</v>
      </c>
      <c r="P154"/>
      <c r="Q154"/>
      <c r="R154"/>
      <c r="S154"/>
      <c r="T154"/>
      <c r="U154"/>
      <c r="V154"/>
      <c r="W154"/>
      <c r="X154"/>
      <c r="Y154"/>
    </row>
    <row r="155" spans="1:25" s="5" customFormat="1" x14ac:dyDescent="0.25">
      <c r="A155" t="s">
        <v>57</v>
      </c>
      <c r="B155" s="4">
        <v>8405446</v>
      </c>
      <c r="C155" t="s">
        <v>57</v>
      </c>
      <c r="D155" s="3">
        <v>46023</v>
      </c>
      <c r="E155" s="2">
        <v>347</v>
      </c>
      <c r="F155" t="s">
        <v>108</v>
      </c>
      <c r="G155" t="str">
        <f>CONCATENATE(F155,26)</f>
        <v>28H8H4L6326</v>
      </c>
      <c r="H155" t="s">
        <v>110</v>
      </c>
      <c r="I155" s="3">
        <v>46023</v>
      </c>
      <c r="J155" t="s">
        <v>0</v>
      </c>
      <c r="K155" t="s">
        <v>52</v>
      </c>
      <c r="L155" t="s">
        <v>51</v>
      </c>
      <c r="M155" s="3">
        <v>46023</v>
      </c>
      <c r="N155" t="s">
        <v>452</v>
      </c>
      <c r="O155" t="s">
        <v>456</v>
      </c>
      <c r="P155"/>
      <c r="Q155"/>
      <c r="R155"/>
      <c r="S155"/>
      <c r="T155"/>
      <c r="U155"/>
      <c r="V155"/>
      <c r="W155"/>
      <c r="X155"/>
      <c r="Y155"/>
    </row>
    <row r="156" spans="1:25" s="5" customFormat="1" x14ac:dyDescent="0.25">
      <c r="A156" t="s">
        <v>57</v>
      </c>
      <c r="B156" s="4">
        <v>8405446</v>
      </c>
      <c r="C156" t="s">
        <v>57</v>
      </c>
      <c r="D156" s="3">
        <v>46023</v>
      </c>
      <c r="E156" s="2">
        <v>347</v>
      </c>
      <c r="F156" t="s">
        <v>58</v>
      </c>
      <c r="G156" t="str">
        <f>CONCATENATE(F156,26)</f>
        <v>49X1L4U5526</v>
      </c>
      <c r="H156" t="s">
        <v>60</v>
      </c>
      <c r="I156" s="3">
        <v>46023</v>
      </c>
      <c r="J156" t="s">
        <v>51</v>
      </c>
      <c r="K156" t="s">
        <v>52</v>
      </c>
      <c r="L156" t="s">
        <v>51</v>
      </c>
      <c r="M156" s="3">
        <v>46023</v>
      </c>
      <c r="N156" t="s">
        <v>452</v>
      </c>
      <c r="O156" t="s">
        <v>456</v>
      </c>
      <c r="P156"/>
      <c r="Q156"/>
      <c r="R156"/>
      <c r="S156"/>
      <c r="T156"/>
      <c r="U156"/>
      <c r="V156"/>
      <c r="W156"/>
      <c r="X156"/>
      <c r="Y156"/>
    </row>
    <row r="157" spans="1:25" s="5" customFormat="1" x14ac:dyDescent="0.25">
      <c r="A157" t="s">
        <v>57</v>
      </c>
      <c r="B157" s="4">
        <v>8405446</v>
      </c>
      <c r="C157" t="s">
        <v>57</v>
      </c>
      <c r="D157" s="3">
        <v>46023</v>
      </c>
      <c r="E157" s="2">
        <v>347</v>
      </c>
      <c r="F157" t="s">
        <v>274</v>
      </c>
      <c r="G157" t="str">
        <f>CONCATENATE(F157,26)</f>
        <v>59X6U1A8626</v>
      </c>
      <c r="H157" t="s">
        <v>276</v>
      </c>
      <c r="I157" s="3">
        <v>46023</v>
      </c>
      <c r="J157" t="s">
        <v>51</v>
      </c>
      <c r="K157" t="s">
        <v>52</v>
      </c>
      <c r="L157" t="s">
        <v>51</v>
      </c>
      <c r="M157" s="3">
        <v>46023</v>
      </c>
      <c r="N157" t="s">
        <v>452</v>
      </c>
      <c r="O157" t="s">
        <v>456</v>
      </c>
      <c r="P157"/>
      <c r="Q157"/>
      <c r="R157"/>
      <c r="S157"/>
      <c r="T157"/>
      <c r="U157"/>
      <c r="V157"/>
      <c r="W157"/>
      <c r="X157"/>
      <c r="Y157"/>
    </row>
    <row r="158" spans="1:25" s="5" customFormat="1" x14ac:dyDescent="0.25">
      <c r="A158" t="s">
        <v>57</v>
      </c>
      <c r="B158" s="4">
        <v>8405446</v>
      </c>
      <c r="C158" t="s">
        <v>57</v>
      </c>
      <c r="D158" s="3">
        <v>46023</v>
      </c>
      <c r="E158" s="2">
        <v>347</v>
      </c>
      <c r="F158" t="s">
        <v>337</v>
      </c>
      <c r="G158" t="str">
        <f>CONCATENATE(F158,26)</f>
        <v>39U6A8U7926</v>
      </c>
      <c r="H158" t="s">
        <v>339</v>
      </c>
      <c r="I158" s="3">
        <v>46023</v>
      </c>
      <c r="J158" t="s">
        <v>51</v>
      </c>
      <c r="K158" t="s">
        <v>52</v>
      </c>
      <c r="L158" t="s">
        <v>51</v>
      </c>
      <c r="M158" s="3">
        <v>46023</v>
      </c>
      <c r="N158" t="s">
        <v>452</v>
      </c>
      <c r="O158" t="s">
        <v>456</v>
      </c>
      <c r="P158"/>
      <c r="Q158"/>
      <c r="R158"/>
      <c r="S158"/>
      <c r="T158"/>
      <c r="U158"/>
      <c r="V158"/>
      <c r="W158"/>
      <c r="X158"/>
      <c r="Y158"/>
    </row>
    <row r="159" spans="1:25" s="5" customFormat="1" x14ac:dyDescent="0.25">
      <c r="A159" t="s">
        <v>57</v>
      </c>
      <c r="B159" s="4">
        <v>8405446</v>
      </c>
      <c r="C159" t="s">
        <v>57</v>
      </c>
      <c r="D159" s="3">
        <v>46023</v>
      </c>
      <c r="E159" s="2">
        <v>347</v>
      </c>
      <c r="F159" t="s">
        <v>89</v>
      </c>
      <c r="G159" t="str">
        <f>CONCATENATE(F159,26)</f>
        <v>17H1X6X2126</v>
      </c>
      <c r="H159" t="s">
        <v>91</v>
      </c>
      <c r="I159" s="3">
        <v>46023</v>
      </c>
      <c r="J159" t="s">
        <v>51</v>
      </c>
      <c r="K159" t="s">
        <v>52</v>
      </c>
      <c r="L159" t="s">
        <v>51</v>
      </c>
      <c r="M159" s="3">
        <v>46023</v>
      </c>
      <c r="N159" t="s">
        <v>452</v>
      </c>
      <c r="O159" t="s">
        <v>456</v>
      </c>
      <c r="P159"/>
      <c r="Q159"/>
      <c r="R159"/>
      <c r="S159"/>
      <c r="T159"/>
      <c r="U159"/>
      <c r="V159"/>
      <c r="W159"/>
      <c r="X159"/>
      <c r="Y159"/>
    </row>
    <row r="160" spans="1:25" s="5" customFormat="1" x14ac:dyDescent="0.25">
      <c r="A160" t="s">
        <v>57</v>
      </c>
      <c r="B160" s="4">
        <v>8405446</v>
      </c>
      <c r="C160" t="s">
        <v>57</v>
      </c>
      <c r="D160" s="3">
        <v>46023</v>
      </c>
      <c r="E160" s="2">
        <v>347</v>
      </c>
      <c r="F160" t="s">
        <v>396</v>
      </c>
      <c r="G160" t="str">
        <f>CONCATENATE(F160,26)</f>
        <v>62R9U9R3526</v>
      </c>
      <c r="H160" t="s">
        <v>398</v>
      </c>
      <c r="I160" s="3">
        <v>46023</v>
      </c>
      <c r="J160" t="s">
        <v>51</v>
      </c>
      <c r="K160" t="s">
        <v>52</v>
      </c>
      <c r="L160" t="s">
        <v>51</v>
      </c>
      <c r="M160" s="3">
        <v>46023</v>
      </c>
      <c r="N160" t="s">
        <v>452</v>
      </c>
      <c r="O160" t="s">
        <v>456</v>
      </c>
      <c r="P160"/>
      <c r="Q160"/>
      <c r="R160"/>
      <c r="S160"/>
      <c r="T160"/>
      <c r="U160"/>
      <c r="V160"/>
      <c r="W160"/>
      <c r="X160"/>
      <c r="Y160"/>
    </row>
    <row r="161" spans="1:25" s="5" customFormat="1" x14ac:dyDescent="0.25">
      <c r="A161" t="s">
        <v>378</v>
      </c>
      <c r="B161" s="4">
        <v>19200754</v>
      </c>
      <c r="C161" t="s">
        <v>378</v>
      </c>
      <c r="D161" s="3">
        <v>46023</v>
      </c>
      <c r="E161" s="2">
        <v>347</v>
      </c>
      <c r="F161" t="s">
        <v>379</v>
      </c>
      <c r="G161" t="str">
        <f>CONCATENATE(F161,26)</f>
        <v>68R9X6U2526</v>
      </c>
      <c r="H161" t="s">
        <v>381</v>
      </c>
      <c r="I161" s="3">
        <v>46023</v>
      </c>
      <c r="J161" t="s">
        <v>51</v>
      </c>
      <c r="K161" t="s">
        <v>75</v>
      </c>
      <c r="L161" t="s">
        <v>51</v>
      </c>
      <c r="M161" s="3">
        <v>46023</v>
      </c>
      <c r="N161" t="s">
        <v>452</v>
      </c>
      <c r="O161" t="s">
        <v>456</v>
      </c>
      <c r="P161"/>
      <c r="Q161"/>
      <c r="R161"/>
      <c r="S161"/>
      <c r="T161"/>
      <c r="U161"/>
      <c r="V161"/>
      <c r="W161"/>
      <c r="X161"/>
      <c r="Y161"/>
    </row>
    <row r="162" spans="1:25" s="5" customFormat="1" x14ac:dyDescent="0.25">
      <c r="A162" t="s">
        <v>212</v>
      </c>
      <c r="B162" s="4">
        <v>16633294</v>
      </c>
      <c r="C162" t="s">
        <v>212</v>
      </c>
      <c r="D162" s="3">
        <v>46023</v>
      </c>
      <c r="E162" s="2">
        <v>347</v>
      </c>
      <c r="F162" t="s">
        <v>340</v>
      </c>
      <c r="G162" t="str">
        <f>CONCATENATE(F162,26)</f>
        <v>58X3L4X2326</v>
      </c>
      <c r="H162" t="s">
        <v>342</v>
      </c>
      <c r="I162" s="3">
        <v>46023</v>
      </c>
      <c r="J162" t="s">
        <v>51</v>
      </c>
      <c r="K162" t="s">
        <v>52</v>
      </c>
      <c r="L162" t="s">
        <v>51</v>
      </c>
      <c r="M162" s="3">
        <v>46023</v>
      </c>
      <c r="N162" t="s">
        <v>452</v>
      </c>
      <c r="O162" t="s">
        <v>456</v>
      </c>
      <c r="P162"/>
      <c r="Q162"/>
      <c r="R162"/>
      <c r="S162"/>
      <c r="T162"/>
      <c r="U162"/>
      <c r="V162"/>
      <c r="W162"/>
      <c r="X162"/>
      <c r="Y162"/>
    </row>
    <row r="163" spans="1:25" s="5" customFormat="1" x14ac:dyDescent="0.25">
      <c r="A163" t="s">
        <v>98</v>
      </c>
      <c r="B163" s="4">
        <v>7565575</v>
      </c>
      <c r="C163" t="s">
        <v>98</v>
      </c>
      <c r="D163" s="3">
        <v>46023</v>
      </c>
      <c r="E163" s="2">
        <v>347</v>
      </c>
      <c r="F163" t="s">
        <v>357</v>
      </c>
      <c r="G163" t="str">
        <f>CONCATENATE(F163,26)</f>
        <v>75X8A6F4826</v>
      </c>
      <c r="H163" t="s">
        <v>359</v>
      </c>
      <c r="I163" s="3">
        <v>46023</v>
      </c>
      <c r="J163" t="s">
        <v>0</v>
      </c>
      <c r="K163" t="s">
        <v>52</v>
      </c>
      <c r="L163" t="s">
        <v>51</v>
      </c>
      <c r="M163" s="3">
        <v>46023</v>
      </c>
      <c r="N163" t="s">
        <v>452</v>
      </c>
      <c r="O163" t="s">
        <v>456</v>
      </c>
      <c r="P163"/>
      <c r="Q163"/>
      <c r="R163"/>
      <c r="S163"/>
      <c r="T163"/>
      <c r="U163"/>
      <c r="V163"/>
      <c r="W163"/>
      <c r="X163"/>
      <c r="Y163"/>
    </row>
    <row r="164" spans="1:25" s="5" customFormat="1" x14ac:dyDescent="0.25">
      <c r="A164" t="s">
        <v>141</v>
      </c>
      <c r="B164" s="4">
        <v>19396223</v>
      </c>
      <c r="C164" t="s">
        <v>141</v>
      </c>
      <c r="D164" s="3">
        <v>46023</v>
      </c>
      <c r="E164" s="2">
        <v>347</v>
      </c>
      <c r="F164" t="s">
        <v>142</v>
      </c>
      <c r="G164" t="str">
        <f>CONCATENATE(F164,26)</f>
        <v>38L5L5R5526</v>
      </c>
      <c r="H164" t="s">
        <v>144</v>
      </c>
      <c r="I164" s="3">
        <v>46023</v>
      </c>
      <c r="J164" t="s">
        <v>0</v>
      </c>
      <c r="K164" t="s">
        <v>52</v>
      </c>
      <c r="L164" t="s">
        <v>51</v>
      </c>
      <c r="M164" s="3">
        <v>46023</v>
      </c>
      <c r="N164" t="s">
        <v>452</v>
      </c>
      <c r="O164" t="s">
        <v>456</v>
      </c>
      <c r="P164"/>
      <c r="Q164"/>
      <c r="R164"/>
      <c r="S164"/>
      <c r="T164"/>
      <c r="U164"/>
      <c r="V164"/>
      <c r="W164"/>
      <c r="X164"/>
      <c r="Y164"/>
    </row>
    <row r="165" spans="1:25" s="5" customFormat="1" x14ac:dyDescent="0.25">
      <c r="A165" t="s">
        <v>175</v>
      </c>
      <c r="B165" s="4">
        <v>19645587</v>
      </c>
      <c r="C165" t="s">
        <v>175</v>
      </c>
      <c r="D165" s="3">
        <v>46023</v>
      </c>
      <c r="E165" s="2">
        <v>347</v>
      </c>
      <c r="F165" t="s">
        <v>251</v>
      </c>
      <c r="G165" t="str">
        <f>CONCATENATE(F165,26)</f>
        <v>58X9F1U9126</v>
      </c>
      <c r="H165" t="s">
        <v>253</v>
      </c>
      <c r="I165" s="3">
        <v>46023</v>
      </c>
      <c r="J165" t="s">
        <v>0</v>
      </c>
      <c r="K165" t="s">
        <v>148</v>
      </c>
      <c r="L165" t="s">
        <v>51</v>
      </c>
      <c r="M165" s="3">
        <v>46023</v>
      </c>
      <c r="N165" t="s">
        <v>452</v>
      </c>
      <c r="O165" t="s">
        <v>456</v>
      </c>
      <c r="P165"/>
      <c r="Q165"/>
      <c r="R165"/>
      <c r="S165"/>
      <c r="T165"/>
      <c r="U165"/>
      <c r="V165"/>
      <c r="W165"/>
      <c r="X165"/>
      <c r="Y165"/>
    </row>
    <row r="166" spans="1:25" s="5" customFormat="1" x14ac:dyDescent="0.25">
      <c r="A166" t="s">
        <v>175</v>
      </c>
      <c r="B166" s="4">
        <v>19645587</v>
      </c>
      <c r="C166" t="s">
        <v>175</v>
      </c>
      <c r="D166" s="3">
        <v>46023</v>
      </c>
      <c r="E166" s="2">
        <v>347</v>
      </c>
      <c r="F166" t="s">
        <v>308</v>
      </c>
      <c r="G166" t="str">
        <f>CONCATENATE(F166,26)</f>
        <v>13R3H8A3526</v>
      </c>
      <c r="H166" t="s">
        <v>310</v>
      </c>
      <c r="I166" s="3">
        <v>46023</v>
      </c>
      <c r="J166" t="s">
        <v>0</v>
      </c>
      <c r="K166" t="s">
        <v>148</v>
      </c>
      <c r="L166" t="s">
        <v>51</v>
      </c>
      <c r="M166" s="3">
        <v>46023</v>
      </c>
      <c r="N166" t="s">
        <v>452</v>
      </c>
      <c r="O166" t="s">
        <v>456</v>
      </c>
      <c r="P166"/>
      <c r="Q166"/>
      <c r="R166"/>
      <c r="S166"/>
      <c r="T166"/>
      <c r="U166"/>
      <c r="V166"/>
      <c r="W166"/>
      <c r="X166"/>
      <c r="Y166"/>
    </row>
    <row r="167" spans="1:25" s="5" customFormat="1" x14ac:dyDescent="0.25">
      <c r="A167" t="s">
        <v>175</v>
      </c>
      <c r="B167" s="4">
        <v>19645587</v>
      </c>
      <c r="C167" t="s">
        <v>175</v>
      </c>
      <c r="D167" s="3">
        <v>46023</v>
      </c>
      <c r="E167" s="2">
        <v>347</v>
      </c>
      <c r="F167" t="s">
        <v>366</v>
      </c>
      <c r="G167" t="str">
        <f>CONCATENATE(F167,26)</f>
        <v>69L8R8H3326</v>
      </c>
      <c r="H167" t="s">
        <v>368</v>
      </c>
      <c r="I167" s="3">
        <v>46023</v>
      </c>
      <c r="J167" t="s">
        <v>0</v>
      </c>
      <c r="K167" t="s">
        <v>148</v>
      </c>
      <c r="L167" t="s">
        <v>51</v>
      </c>
      <c r="M167" s="3">
        <v>46023</v>
      </c>
      <c r="N167" t="s">
        <v>452</v>
      </c>
      <c r="O167" t="s">
        <v>456</v>
      </c>
      <c r="P167"/>
      <c r="Q167"/>
      <c r="R167"/>
      <c r="S167"/>
      <c r="T167"/>
      <c r="U167"/>
      <c r="V167"/>
      <c r="W167"/>
      <c r="X167"/>
      <c r="Y167"/>
    </row>
    <row r="168" spans="1:25" s="5" customFormat="1" x14ac:dyDescent="0.25">
      <c r="A168" t="s">
        <v>175</v>
      </c>
      <c r="B168" s="4">
        <v>19645587</v>
      </c>
      <c r="C168" t="s">
        <v>175</v>
      </c>
      <c r="D168" s="3">
        <v>46023</v>
      </c>
      <c r="E168" s="2">
        <v>347</v>
      </c>
      <c r="F168" t="s">
        <v>293</v>
      </c>
      <c r="G168" t="str">
        <f>CONCATENATE(F168,26)</f>
        <v>54L3H2U3126</v>
      </c>
      <c r="H168" t="s">
        <v>295</v>
      </c>
      <c r="I168" s="3">
        <v>46023</v>
      </c>
      <c r="J168" t="s">
        <v>51</v>
      </c>
      <c r="K168" t="s">
        <v>148</v>
      </c>
      <c r="L168" t="s">
        <v>51</v>
      </c>
      <c r="M168" s="3">
        <v>46023</v>
      </c>
      <c r="N168" t="s">
        <v>452</v>
      </c>
      <c r="O168" t="s">
        <v>456</v>
      </c>
      <c r="P168"/>
      <c r="Q168"/>
      <c r="R168"/>
      <c r="S168"/>
      <c r="T168"/>
      <c r="U168"/>
      <c r="V168"/>
      <c r="W168"/>
      <c r="X168"/>
      <c r="Y168"/>
    </row>
    <row r="169" spans="1:25" s="5" customFormat="1" x14ac:dyDescent="0.25">
      <c r="A169" t="s">
        <v>175</v>
      </c>
      <c r="B169" s="4">
        <v>19645587</v>
      </c>
      <c r="C169" t="s">
        <v>175</v>
      </c>
      <c r="D169" s="3">
        <v>46023</v>
      </c>
      <c r="E169" s="2">
        <v>347</v>
      </c>
      <c r="F169" t="s">
        <v>220</v>
      </c>
      <c r="G169" t="str">
        <f>CONCATENATE(F169,26)</f>
        <v>36H8X3F2126</v>
      </c>
      <c r="H169" t="s">
        <v>222</v>
      </c>
      <c r="I169" s="3">
        <v>46023</v>
      </c>
      <c r="J169" t="s">
        <v>51</v>
      </c>
      <c r="K169" t="s">
        <v>52</v>
      </c>
      <c r="L169" t="s">
        <v>51</v>
      </c>
      <c r="M169" s="3">
        <v>46023</v>
      </c>
      <c r="N169" t="s">
        <v>452</v>
      </c>
      <c r="O169" t="s">
        <v>456</v>
      </c>
      <c r="P169"/>
      <c r="Q169"/>
      <c r="R169"/>
      <c r="S169"/>
      <c r="T169"/>
      <c r="U169"/>
      <c r="V169"/>
      <c r="W169"/>
      <c r="X169"/>
      <c r="Y169"/>
    </row>
    <row r="170" spans="1:25" x14ac:dyDescent="0.25">
      <c r="A170" t="s">
        <v>161</v>
      </c>
      <c r="B170" s="4">
        <v>21646325</v>
      </c>
      <c r="C170" t="s">
        <v>161</v>
      </c>
      <c r="D170" s="3">
        <v>46023</v>
      </c>
      <c r="E170" s="2">
        <v>57</v>
      </c>
      <c r="F170">
        <v>20559133201</v>
      </c>
      <c r="G170" t="str">
        <f>CONCATENATE(F170,0)</f>
        <v>205591332010</v>
      </c>
      <c r="H170" t="s">
        <v>408</v>
      </c>
      <c r="I170" s="3">
        <v>46023</v>
      </c>
      <c r="J170" t="s">
        <v>152</v>
      </c>
      <c r="K170" t="s">
        <v>52</v>
      </c>
      <c r="L170" t="s">
        <v>152</v>
      </c>
      <c r="M170" s="3">
        <v>46023</v>
      </c>
      <c r="N170" t="s">
        <v>455</v>
      </c>
    </row>
    <row r="171" spans="1:25" x14ac:dyDescent="0.25">
      <c r="A171" t="s">
        <v>161</v>
      </c>
      <c r="B171" s="4">
        <v>21646325</v>
      </c>
      <c r="C171" t="s">
        <v>161</v>
      </c>
      <c r="D171" s="3">
        <v>46023</v>
      </c>
      <c r="E171" s="2">
        <v>114</v>
      </c>
      <c r="F171">
        <v>20591390801</v>
      </c>
      <c r="G171" t="str">
        <f>CONCATENATE(F171,0)</f>
        <v>205913908010</v>
      </c>
      <c r="H171" t="s">
        <v>163</v>
      </c>
      <c r="I171" s="3">
        <v>46023</v>
      </c>
      <c r="J171" t="s">
        <v>51</v>
      </c>
      <c r="K171" t="s">
        <v>52</v>
      </c>
      <c r="L171" t="s">
        <v>152</v>
      </c>
      <c r="M171" s="3">
        <v>46023</v>
      </c>
      <c r="N171" t="s">
        <v>455</v>
      </c>
    </row>
    <row r="172" spans="1:25" x14ac:dyDescent="0.25">
      <c r="A172" t="s">
        <v>439</v>
      </c>
      <c r="B172" s="4">
        <v>21348299</v>
      </c>
      <c r="C172" t="s">
        <v>439</v>
      </c>
      <c r="D172" s="3">
        <v>46023</v>
      </c>
      <c r="E172" s="2">
        <v>57</v>
      </c>
      <c r="F172">
        <v>20463533801</v>
      </c>
      <c r="G172" t="str">
        <f>CONCATENATE(F172,0)</f>
        <v>204635338010</v>
      </c>
      <c r="H172" t="s">
        <v>441</v>
      </c>
      <c r="I172" s="3">
        <v>46023</v>
      </c>
      <c r="J172" t="s">
        <v>152</v>
      </c>
      <c r="K172" t="s">
        <v>52</v>
      </c>
      <c r="L172" t="s">
        <v>152</v>
      </c>
      <c r="M172" s="3">
        <v>46023</v>
      </c>
      <c r="N172" t="s">
        <v>455</v>
      </c>
    </row>
    <row r="173" spans="1:25" x14ac:dyDescent="0.25">
      <c r="A173" t="s">
        <v>171</v>
      </c>
      <c r="B173" s="4">
        <v>17554531</v>
      </c>
      <c r="C173" t="s">
        <v>171</v>
      </c>
      <c r="D173" s="3">
        <v>46023</v>
      </c>
      <c r="E173" s="2">
        <v>57</v>
      </c>
      <c r="F173">
        <v>20581996401</v>
      </c>
      <c r="G173" t="str">
        <f>CONCATENATE(F173,0)</f>
        <v>205819964010</v>
      </c>
      <c r="H173" t="s">
        <v>262</v>
      </c>
      <c r="I173" s="3">
        <v>46023</v>
      </c>
      <c r="J173" t="s">
        <v>0</v>
      </c>
      <c r="K173" t="s">
        <v>67</v>
      </c>
      <c r="L173" t="s">
        <v>152</v>
      </c>
      <c r="M173" s="3">
        <v>46023</v>
      </c>
      <c r="N173" t="s">
        <v>455</v>
      </c>
    </row>
    <row r="174" spans="1:25" x14ac:dyDescent="0.25">
      <c r="A174" t="s">
        <v>171</v>
      </c>
      <c r="B174" s="4">
        <v>17554531</v>
      </c>
      <c r="C174" t="s">
        <v>171</v>
      </c>
      <c r="D174" s="3">
        <v>46023</v>
      </c>
      <c r="E174" s="2">
        <v>57</v>
      </c>
      <c r="F174">
        <v>20623765301</v>
      </c>
      <c r="G174" t="str">
        <f>CONCATENATE(F174,0)</f>
        <v>206237653010</v>
      </c>
      <c r="H174" t="s">
        <v>173</v>
      </c>
      <c r="I174" s="3">
        <v>46023</v>
      </c>
      <c r="J174" t="s">
        <v>0</v>
      </c>
      <c r="K174" t="s">
        <v>67</v>
      </c>
      <c r="L174" t="s">
        <v>152</v>
      </c>
      <c r="M174" s="3">
        <v>46023</v>
      </c>
      <c r="N174" t="s">
        <v>455</v>
      </c>
    </row>
    <row r="175" spans="1:25" x14ac:dyDescent="0.25">
      <c r="A175" t="s">
        <v>113</v>
      </c>
      <c r="B175" s="4">
        <v>20003537</v>
      </c>
      <c r="C175" t="s">
        <v>113</v>
      </c>
      <c r="D175" s="3">
        <v>46023</v>
      </c>
      <c r="E175" s="2">
        <v>57</v>
      </c>
      <c r="F175">
        <v>15886303501</v>
      </c>
      <c r="G175" t="str">
        <f>CONCATENATE(F175,0)</f>
        <v>158863035010</v>
      </c>
      <c r="H175" t="s">
        <v>265</v>
      </c>
      <c r="I175" s="3">
        <v>46023</v>
      </c>
      <c r="J175" t="s">
        <v>0</v>
      </c>
      <c r="K175" t="s">
        <v>266</v>
      </c>
      <c r="L175" t="s">
        <v>152</v>
      </c>
      <c r="M175" s="3">
        <v>46023</v>
      </c>
      <c r="N175" t="s">
        <v>455</v>
      </c>
    </row>
    <row r="176" spans="1:25" x14ac:dyDescent="0.25">
      <c r="A176" t="s">
        <v>113</v>
      </c>
      <c r="B176" s="4">
        <v>20003537</v>
      </c>
      <c r="C176" t="s">
        <v>113</v>
      </c>
      <c r="D176" s="3">
        <v>46023</v>
      </c>
      <c r="E176" s="2">
        <v>57</v>
      </c>
      <c r="F176">
        <v>20616896501</v>
      </c>
      <c r="G176" t="str">
        <f>CONCATENATE(F176,0)</f>
        <v>206168965010</v>
      </c>
      <c r="H176" t="s">
        <v>410</v>
      </c>
      <c r="I176" s="3">
        <v>46023</v>
      </c>
      <c r="J176" t="s">
        <v>0</v>
      </c>
      <c r="K176" t="s">
        <v>148</v>
      </c>
      <c r="L176" t="s">
        <v>152</v>
      </c>
      <c r="M176" s="3">
        <v>46023</v>
      </c>
      <c r="N176" t="s">
        <v>455</v>
      </c>
    </row>
    <row r="177" spans="1:14" x14ac:dyDescent="0.25">
      <c r="A177" t="s">
        <v>113</v>
      </c>
      <c r="B177" s="4">
        <v>20003537</v>
      </c>
      <c r="C177" t="s">
        <v>113</v>
      </c>
      <c r="D177" s="3">
        <v>46023</v>
      </c>
      <c r="E177" s="2">
        <v>57</v>
      </c>
      <c r="F177">
        <v>20631332201</v>
      </c>
      <c r="G177" t="str">
        <f>CONCATENATE(F177,0)</f>
        <v>206313322010</v>
      </c>
      <c r="H177" t="s">
        <v>273</v>
      </c>
      <c r="I177" s="3">
        <v>46023</v>
      </c>
      <c r="J177" t="s">
        <v>0</v>
      </c>
      <c r="K177" t="s">
        <v>266</v>
      </c>
      <c r="L177" t="s">
        <v>152</v>
      </c>
      <c r="M177" s="3">
        <v>46023</v>
      </c>
      <c r="N177" t="s">
        <v>455</v>
      </c>
    </row>
    <row r="178" spans="1:14" x14ac:dyDescent="0.25">
      <c r="A178" t="s">
        <v>113</v>
      </c>
      <c r="B178" s="4">
        <v>20003537</v>
      </c>
      <c r="C178" t="s">
        <v>113</v>
      </c>
      <c r="D178" s="3">
        <v>46023</v>
      </c>
      <c r="E178" s="2">
        <v>57</v>
      </c>
      <c r="F178">
        <v>20564824901</v>
      </c>
      <c r="G178" t="str">
        <f>CONCATENATE(F178,0)</f>
        <v>205648249010</v>
      </c>
      <c r="H178" t="s">
        <v>406</v>
      </c>
      <c r="I178" s="3">
        <v>46023</v>
      </c>
      <c r="J178" t="s">
        <v>152</v>
      </c>
      <c r="K178" t="s">
        <v>148</v>
      </c>
      <c r="L178" t="s">
        <v>152</v>
      </c>
      <c r="M178" s="3">
        <v>46023</v>
      </c>
      <c r="N178" t="s">
        <v>455</v>
      </c>
    </row>
    <row r="179" spans="1:14" x14ac:dyDescent="0.25">
      <c r="A179" t="s">
        <v>113</v>
      </c>
      <c r="B179" s="4">
        <v>20003537</v>
      </c>
      <c r="C179" t="s">
        <v>113</v>
      </c>
      <c r="D179" s="3">
        <v>46023</v>
      </c>
      <c r="E179" s="2">
        <v>114</v>
      </c>
      <c r="F179">
        <v>20562857101</v>
      </c>
      <c r="G179" t="str">
        <f>CONCATENATE(F179,0)</f>
        <v>205628571010</v>
      </c>
      <c r="H179" t="s">
        <v>443</v>
      </c>
      <c r="I179" s="3">
        <v>46023</v>
      </c>
      <c r="J179" t="s">
        <v>51</v>
      </c>
      <c r="K179" t="s">
        <v>148</v>
      </c>
      <c r="L179" t="s">
        <v>152</v>
      </c>
      <c r="M179" s="3">
        <v>46023</v>
      </c>
      <c r="N179" t="s">
        <v>455</v>
      </c>
    </row>
    <row r="180" spans="1:14" x14ac:dyDescent="0.25">
      <c r="A180" t="s">
        <v>165</v>
      </c>
      <c r="B180" s="4">
        <v>21749481</v>
      </c>
      <c r="C180" t="s">
        <v>165</v>
      </c>
      <c r="D180" s="3">
        <v>46023</v>
      </c>
      <c r="E180" s="2">
        <v>57</v>
      </c>
      <c r="F180">
        <v>20623532701</v>
      </c>
      <c r="G180" t="str">
        <f>CONCATENATE(F180,0)</f>
        <v>206235327010</v>
      </c>
      <c r="H180" t="s">
        <v>167</v>
      </c>
      <c r="I180" s="3">
        <v>46023</v>
      </c>
      <c r="J180" t="s">
        <v>0</v>
      </c>
      <c r="K180" t="s">
        <v>168</v>
      </c>
      <c r="L180" t="s">
        <v>152</v>
      </c>
      <c r="M180" s="3">
        <v>46023</v>
      </c>
      <c r="N180" t="s">
        <v>455</v>
      </c>
    </row>
    <row r="181" spans="1:14" x14ac:dyDescent="0.25">
      <c r="A181" t="s">
        <v>315</v>
      </c>
      <c r="B181" s="4">
        <v>17301495</v>
      </c>
      <c r="C181" t="s">
        <v>315</v>
      </c>
      <c r="D181" s="3">
        <v>46023</v>
      </c>
      <c r="E181" s="2">
        <v>57</v>
      </c>
      <c r="F181">
        <v>20473608601</v>
      </c>
      <c r="G181" t="str">
        <f>CONCATENATE(F181,0)</f>
        <v>204736086010</v>
      </c>
      <c r="H181" t="s">
        <v>317</v>
      </c>
      <c r="I181" s="3">
        <v>46023</v>
      </c>
      <c r="J181" t="s">
        <v>152</v>
      </c>
      <c r="K181" t="s">
        <v>52</v>
      </c>
      <c r="L181" t="s">
        <v>152</v>
      </c>
      <c r="M181" s="3">
        <v>46023</v>
      </c>
      <c r="N181" t="s">
        <v>455</v>
      </c>
    </row>
    <row r="182" spans="1:14" x14ac:dyDescent="0.25">
      <c r="A182" t="s">
        <v>47</v>
      </c>
      <c r="B182" s="4">
        <v>17094718</v>
      </c>
      <c r="C182" t="s">
        <v>47</v>
      </c>
      <c r="D182" s="3">
        <v>46023</v>
      </c>
      <c r="E182" s="2">
        <v>57</v>
      </c>
      <c r="F182">
        <v>20641792501</v>
      </c>
      <c r="G182" t="str">
        <f>CONCATENATE(F182,0)</f>
        <v>206417925010</v>
      </c>
      <c r="H182" t="s">
        <v>269</v>
      </c>
      <c r="I182" s="3">
        <v>46023</v>
      </c>
      <c r="J182" t="s">
        <v>0</v>
      </c>
      <c r="K182" t="s">
        <v>270</v>
      </c>
      <c r="L182" t="s">
        <v>152</v>
      </c>
      <c r="M182" s="3">
        <v>46023</v>
      </c>
      <c r="N182" t="s">
        <v>455</v>
      </c>
    </row>
    <row r="183" spans="1:14" x14ac:dyDescent="0.25">
      <c r="A183" t="s">
        <v>325</v>
      </c>
      <c r="B183" s="4">
        <v>16997303</v>
      </c>
      <c r="C183" t="s">
        <v>325</v>
      </c>
      <c r="D183" s="3">
        <v>46023</v>
      </c>
      <c r="E183" s="2">
        <v>57</v>
      </c>
      <c r="F183">
        <v>20571185601</v>
      </c>
      <c r="G183" t="str">
        <f>CONCATENATE(F183,0)</f>
        <v>205711856010</v>
      </c>
      <c r="H183" t="s">
        <v>327</v>
      </c>
      <c r="I183" s="3">
        <v>46023</v>
      </c>
      <c r="J183" t="s">
        <v>152</v>
      </c>
      <c r="K183" t="s">
        <v>52</v>
      </c>
      <c r="L183" t="s">
        <v>152</v>
      </c>
      <c r="M183" s="3">
        <v>46023</v>
      </c>
      <c r="N183" t="s">
        <v>455</v>
      </c>
    </row>
    <row r="184" spans="1:14" x14ac:dyDescent="0.25">
      <c r="A184" t="s">
        <v>370</v>
      </c>
      <c r="B184" s="4">
        <v>2158366</v>
      </c>
      <c r="C184" t="s">
        <v>370</v>
      </c>
      <c r="D184" s="3">
        <v>46023</v>
      </c>
      <c r="E184" s="2">
        <v>114</v>
      </c>
      <c r="F184">
        <v>20470899401</v>
      </c>
      <c r="G184" t="str">
        <f>CONCATENATE(F184,0)</f>
        <v>204708994010</v>
      </c>
      <c r="H184" t="s">
        <v>372</v>
      </c>
      <c r="I184" s="3">
        <v>46023</v>
      </c>
      <c r="J184" t="s">
        <v>51</v>
      </c>
      <c r="K184" t="s">
        <v>52</v>
      </c>
      <c r="L184" t="s">
        <v>152</v>
      </c>
      <c r="M184" s="3">
        <v>46023</v>
      </c>
      <c r="N184" t="s">
        <v>455</v>
      </c>
    </row>
    <row r="185" spans="1:14" x14ac:dyDescent="0.25">
      <c r="A185" t="s">
        <v>329</v>
      </c>
      <c r="B185" s="4">
        <v>6634327</v>
      </c>
      <c r="C185" t="s">
        <v>329</v>
      </c>
      <c r="D185" s="3">
        <v>46023</v>
      </c>
      <c r="E185" s="2">
        <v>57</v>
      </c>
      <c r="F185">
        <v>91000742846</v>
      </c>
      <c r="G185" t="str">
        <f>CONCATENATE(F185,0)</f>
        <v>910007428460</v>
      </c>
      <c r="H185" t="s">
        <v>331</v>
      </c>
      <c r="I185" s="3">
        <v>46023</v>
      </c>
      <c r="J185" t="s">
        <v>0</v>
      </c>
      <c r="K185" t="s">
        <v>332</v>
      </c>
      <c r="L185" t="s">
        <v>152</v>
      </c>
      <c r="M185" s="3">
        <v>46023</v>
      </c>
      <c r="N185" t="s">
        <v>455</v>
      </c>
    </row>
    <row r="186" spans="1:14" x14ac:dyDescent="0.25">
      <c r="A186" t="s">
        <v>319</v>
      </c>
      <c r="B186" s="4">
        <v>17859093</v>
      </c>
      <c r="C186" t="s">
        <v>319</v>
      </c>
      <c r="D186" s="3">
        <v>46023</v>
      </c>
      <c r="E186" s="2">
        <v>57</v>
      </c>
      <c r="F186">
        <v>20558827001</v>
      </c>
      <c r="G186" t="str">
        <f>CONCATENATE(F186,0)</f>
        <v>205588270010</v>
      </c>
      <c r="H186" t="s">
        <v>321</v>
      </c>
      <c r="I186" s="3">
        <v>46023</v>
      </c>
      <c r="J186" t="s">
        <v>152</v>
      </c>
      <c r="K186" t="s">
        <v>322</v>
      </c>
      <c r="L186" t="s">
        <v>152</v>
      </c>
      <c r="M186" s="3">
        <v>46023</v>
      </c>
      <c r="N186" t="s">
        <v>455</v>
      </c>
    </row>
    <row r="187" spans="1:14" x14ac:dyDescent="0.25">
      <c r="A187" t="s">
        <v>400</v>
      </c>
      <c r="B187" s="4">
        <v>16212649</v>
      </c>
      <c r="C187" t="s">
        <v>400</v>
      </c>
      <c r="D187" s="3">
        <v>46023</v>
      </c>
      <c r="E187" s="2">
        <v>57</v>
      </c>
      <c r="F187">
        <v>20446316001</v>
      </c>
      <c r="G187" t="str">
        <f>CONCATENATE(F187,0)</f>
        <v>204463160010</v>
      </c>
      <c r="H187" t="s">
        <v>402</v>
      </c>
      <c r="I187" s="3">
        <v>46023</v>
      </c>
      <c r="J187" t="s">
        <v>152</v>
      </c>
      <c r="K187" t="s">
        <v>182</v>
      </c>
      <c r="L187" t="s">
        <v>152</v>
      </c>
      <c r="M187" s="3">
        <v>46023</v>
      </c>
      <c r="N187" t="s">
        <v>455</v>
      </c>
    </row>
    <row r="188" spans="1:14" x14ac:dyDescent="0.25">
      <c r="A188" t="s">
        <v>156</v>
      </c>
      <c r="B188" s="4">
        <v>8244481</v>
      </c>
      <c r="C188" t="s">
        <v>156</v>
      </c>
      <c r="D188" s="3">
        <v>46023</v>
      </c>
      <c r="E188" s="2">
        <v>57</v>
      </c>
      <c r="F188">
        <v>20454014001</v>
      </c>
      <c r="G188" t="str">
        <f>CONCATENATE(F188,0)</f>
        <v>204540140010</v>
      </c>
      <c r="H188" t="s">
        <v>404</v>
      </c>
      <c r="I188" s="3">
        <v>46023</v>
      </c>
      <c r="J188" t="s">
        <v>152</v>
      </c>
      <c r="K188" t="s">
        <v>52</v>
      </c>
      <c r="L188" t="s">
        <v>152</v>
      </c>
      <c r="M188" s="3">
        <v>46023</v>
      </c>
      <c r="N188" t="s">
        <v>455</v>
      </c>
    </row>
    <row r="189" spans="1:14" x14ac:dyDescent="0.25">
      <c r="A189" t="s">
        <v>156</v>
      </c>
      <c r="B189" s="4">
        <v>8244481</v>
      </c>
      <c r="C189" t="s">
        <v>156</v>
      </c>
      <c r="D189" s="3">
        <v>46023</v>
      </c>
      <c r="E189" s="2">
        <v>114</v>
      </c>
      <c r="F189">
        <v>20562845601</v>
      </c>
      <c r="G189" t="str">
        <f>CONCATENATE(F189,0)</f>
        <v>205628456010</v>
      </c>
      <c r="H189" t="s">
        <v>158</v>
      </c>
      <c r="I189" s="3">
        <v>46023</v>
      </c>
      <c r="J189" t="s">
        <v>81</v>
      </c>
      <c r="K189" t="s">
        <v>52</v>
      </c>
      <c r="L189" t="s">
        <v>152</v>
      </c>
      <c r="M189" s="3">
        <v>46023</v>
      </c>
      <c r="N189" t="s">
        <v>455</v>
      </c>
    </row>
    <row r="190" spans="1:14" x14ac:dyDescent="0.25">
      <c r="A190" t="s">
        <v>141</v>
      </c>
      <c r="B190" s="4">
        <v>19396223</v>
      </c>
      <c r="C190" t="s">
        <v>141</v>
      </c>
      <c r="D190" s="3">
        <v>46023</v>
      </c>
      <c r="E190" s="2">
        <v>57</v>
      </c>
      <c r="F190">
        <v>16251799901</v>
      </c>
      <c r="G190" t="str">
        <f>CONCATENATE(F190,0)</f>
        <v>162517999010</v>
      </c>
      <c r="H190" t="s">
        <v>425</v>
      </c>
      <c r="I190" s="3">
        <v>46023</v>
      </c>
      <c r="J190" t="s">
        <v>152</v>
      </c>
      <c r="K190" t="s">
        <v>52</v>
      </c>
      <c r="L190" t="s">
        <v>152</v>
      </c>
      <c r="M190" s="3">
        <v>46023</v>
      </c>
      <c r="N190" t="s">
        <v>455</v>
      </c>
    </row>
    <row r="191" spans="1:14" x14ac:dyDescent="0.25">
      <c r="A191" t="s">
        <v>175</v>
      </c>
      <c r="B191" s="4">
        <v>19645587</v>
      </c>
      <c r="C191" t="s">
        <v>175</v>
      </c>
      <c r="D191" s="3">
        <v>46023</v>
      </c>
      <c r="E191" s="2">
        <v>57</v>
      </c>
      <c r="F191">
        <v>20623263901</v>
      </c>
      <c r="G191" t="str">
        <f>CONCATENATE(F191,0)</f>
        <v>206232639010</v>
      </c>
      <c r="H191" t="s">
        <v>177</v>
      </c>
      <c r="I191" s="3">
        <v>46023</v>
      </c>
      <c r="J191" t="s">
        <v>0</v>
      </c>
      <c r="K191" t="s">
        <v>52</v>
      </c>
      <c r="L191" t="s">
        <v>152</v>
      </c>
      <c r="M191" s="3">
        <v>46023</v>
      </c>
      <c r="N191" t="s">
        <v>455</v>
      </c>
    </row>
    <row r="192" spans="1:14" x14ac:dyDescent="0.25">
      <c r="A192" t="s">
        <v>175</v>
      </c>
      <c r="B192" s="4">
        <v>19645587</v>
      </c>
      <c r="C192" t="s">
        <v>175</v>
      </c>
      <c r="D192" s="3">
        <v>46023</v>
      </c>
      <c r="E192" s="2">
        <v>57</v>
      </c>
      <c r="F192">
        <v>20617283501</v>
      </c>
      <c r="G192" t="str">
        <f>CONCATENATE(F192,0)</f>
        <v>206172835010</v>
      </c>
      <c r="H192" t="s">
        <v>412</v>
      </c>
      <c r="I192" s="3">
        <v>46023</v>
      </c>
      <c r="J192" t="s">
        <v>0</v>
      </c>
      <c r="K192" t="s">
        <v>52</v>
      </c>
      <c r="L192" t="s">
        <v>152</v>
      </c>
      <c r="M192" s="3">
        <v>46023</v>
      </c>
      <c r="N192" t="s">
        <v>455</v>
      </c>
    </row>
    <row r="193" spans="1:14" x14ac:dyDescent="0.25">
      <c r="A193" t="s">
        <v>258</v>
      </c>
      <c r="B193" s="4">
        <v>17126004</v>
      </c>
      <c r="C193" t="s">
        <v>258</v>
      </c>
      <c r="D193" s="3">
        <v>46023</v>
      </c>
      <c r="E193" s="2">
        <v>57</v>
      </c>
      <c r="F193">
        <v>20617354401</v>
      </c>
      <c r="G193" t="str">
        <f>CONCATENATE(F193,0)</f>
        <v>206173544010</v>
      </c>
      <c r="H193" t="s">
        <v>260</v>
      </c>
      <c r="I193" s="3">
        <v>46023</v>
      </c>
      <c r="J193" t="s">
        <v>0</v>
      </c>
      <c r="K193" t="s">
        <v>52</v>
      </c>
      <c r="L193" t="s">
        <v>152</v>
      </c>
      <c r="M193" s="3">
        <v>46023</v>
      </c>
      <c r="N193" t="s">
        <v>455</v>
      </c>
    </row>
    <row r="194" spans="1:14" x14ac:dyDescent="0.25">
      <c r="A194" t="s">
        <v>258</v>
      </c>
      <c r="B194" s="4">
        <v>17126004</v>
      </c>
      <c r="C194" t="s">
        <v>258</v>
      </c>
      <c r="D194" s="3">
        <v>46023</v>
      </c>
      <c r="E194" s="2">
        <v>57</v>
      </c>
      <c r="F194">
        <v>20642432701</v>
      </c>
      <c r="G194" t="str">
        <f>CONCATENATE(F194,0)</f>
        <v>206424327010</v>
      </c>
      <c r="H194" t="s">
        <v>335</v>
      </c>
      <c r="I194" s="3">
        <v>46023</v>
      </c>
      <c r="J194" t="s">
        <v>0</v>
      </c>
      <c r="K194" t="s">
        <v>148</v>
      </c>
      <c r="L194" t="s">
        <v>152</v>
      </c>
      <c r="M194" s="3">
        <v>46023</v>
      </c>
      <c r="N194" t="s">
        <v>455</v>
      </c>
    </row>
    <row r="195" spans="1:14" x14ac:dyDescent="0.25">
      <c r="A195" t="s">
        <v>258</v>
      </c>
      <c r="B195" s="4">
        <v>17126004</v>
      </c>
      <c r="C195" t="s">
        <v>258</v>
      </c>
      <c r="D195" s="3">
        <v>46023</v>
      </c>
      <c r="E195" s="2">
        <v>57</v>
      </c>
      <c r="F195">
        <v>20637646901</v>
      </c>
      <c r="G195" t="str">
        <f>CONCATENATE(F195,0)</f>
        <v>206376469010</v>
      </c>
      <c r="H195" t="s">
        <v>414</v>
      </c>
      <c r="I195" s="3">
        <v>46023</v>
      </c>
      <c r="J195" t="s">
        <v>0</v>
      </c>
      <c r="K195" t="s">
        <v>52</v>
      </c>
      <c r="L195" t="s">
        <v>152</v>
      </c>
      <c r="M195" s="3">
        <v>46023</v>
      </c>
      <c r="N195" t="s">
        <v>455</v>
      </c>
    </row>
    <row r="196" spans="1:14" x14ac:dyDescent="0.25">
      <c r="A196" t="s">
        <v>374</v>
      </c>
      <c r="B196" s="4">
        <v>16202925</v>
      </c>
      <c r="C196" t="s">
        <v>374</v>
      </c>
      <c r="D196" s="3">
        <v>46023</v>
      </c>
      <c r="E196" s="2">
        <v>114</v>
      </c>
      <c r="F196">
        <v>20571013001</v>
      </c>
      <c r="G196" t="str">
        <f>CONCATENATE(F196,0)</f>
        <v>205710130010</v>
      </c>
      <c r="H196" t="s">
        <v>376</v>
      </c>
      <c r="I196" s="3">
        <v>46023</v>
      </c>
      <c r="J196" t="s">
        <v>51</v>
      </c>
      <c r="K196" t="s">
        <v>67</v>
      </c>
      <c r="L196" t="s">
        <v>152</v>
      </c>
      <c r="M196" s="3">
        <v>46023</v>
      </c>
      <c r="N196" t="s">
        <v>455</v>
      </c>
    </row>
  </sheetData>
  <sortState xmlns:xlrd2="http://schemas.microsoft.com/office/spreadsheetml/2017/richdata2" ref="A2:Y196">
    <sortCondition ref="N2:N19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2026-01-09T13:01:02Z</dcterms:created>
  <dcterms:modified xsi:type="dcterms:W3CDTF">2026-01-13T16:35:35Z</dcterms:modified>
</cp:coreProperties>
</file>