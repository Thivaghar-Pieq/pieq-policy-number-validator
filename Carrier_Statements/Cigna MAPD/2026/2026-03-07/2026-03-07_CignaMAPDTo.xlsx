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MAPD\2026\3-7-26 to 3-11-26\"/>
    </mc:Choice>
  </mc:AlternateContent>
  <xr:revisionPtr revIDLastSave="0" documentId="13_ncr:1_{0783C0F6-DF65-426A-BECC-2B65FB6D3A0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ummary" sheetId="1" r:id="rId1"/>
    <sheet name="Detail" sheetId="2" r:id="rId2"/>
    <sheet name="Legacy" sheetId="3" r:id="rId3"/>
    <sheet name="Activity" sheetId="4" r:id="rId4"/>
  </sheets>
  <calcPr calcId="181029"/>
</workbook>
</file>

<file path=xl/calcChain.xml><?xml version="1.0" encoding="utf-8"?>
<calcChain xmlns="http://schemas.openxmlformats.org/spreadsheetml/2006/main">
  <c r="J3" i="4" l="1"/>
  <c r="J4" i="4"/>
  <c r="J5" i="4"/>
  <c r="J6" i="4"/>
  <c r="J2" i="4"/>
</calcChain>
</file>

<file path=xl/sharedStrings.xml><?xml version="1.0" encoding="utf-8"?>
<sst xmlns="http://schemas.openxmlformats.org/spreadsheetml/2006/main" count="267" uniqueCount="108">
  <si>
    <t/>
  </si>
  <si>
    <t>HealthSping Medicare Advantage/PDP</t>
  </si>
  <si>
    <t>Payee Name</t>
  </si>
  <si>
    <t>Payee NPN</t>
  </si>
  <si>
    <t>MAIN LINE BENEFITS LLC</t>
  </si>
  <si>
    <t>Description</t>
  </si>
  <si>
    <t>Member Count</t>
  </si>
  <si>
    <t>Total</t>
  </si>
  <si>
    <t>Disenroll Initial - Rapid</t>
  </si>
  <si>
    <t>Disenroll Initial</t>
  </si>
  <si>
    <t>Disenroll Renewal</t>
  </si>
  <si>
    <t>Initial - New to CMS</t>
  </si>
  <si>
    <t>Initial - Not New to CMS</t>
  </si>
  <si>
    <t>Renewal</t>
  </si>
  <si>
    <t>Legacy</t>
  </si>
  <si>
    <t>Activity</t>
  </si>
  <si>
    <t>Miscellaneous</t>
  </si>
  <si>
    <t>Balance</t>
  </si>
  <si>
    <t>TOTAL</t>
  </si>
  <si>
    <t>When total earnings are equal to or greater than $300, a check will be issued. Customer details will be visible on the statement when check is released.</t>
  </si>
  <si>
    <t>Sign up for direct deposit to prevent payment delays. Email ARCMAPD@healthspring.com for direct deposit instructions</t>
  </si>
  <si>
    <t>Payment Type</t>
  </si>
  <si>
    <t>Payment Description</t>
  </si>
  <si>
    <t>Writing Broker NPN</t>
  </si>
  <si>
    <t>Writing Broker Name</t>
  </si>
  <si>
    <t>Earner NPN</t>
  </si>
  <si>
    <t>Earner Name</t>
  </si>
  <si>
    <t>Pay Period</t>
  </si>
  <si>
    <t>Payment Amount</t>
  </si>
  <si>
    <t>Member ID</t>
  </si>
  <si>
    <t>Medicare Beneficiary Identifier (MBI)</t>
  </si>
  <si>
    <t>Member Name</t>
  </si>
  <si>
    <t>Signed Date</t>
  </si>
  <si>
    <t>Effective Date</t>
  </si>
  <si>
    <t>Member Term Date</t>
  </si>
  <si>
    <t>Cycle Year</t>
  </si>
  <si>
    <t>Prior Plan Type</t>
  </si>
  <si>
    <t>Policy State</t>
  </si>
  <si>
    <t>Plan Type</t>
  </si>
  <si>
    <t>Plan Name</t>
  </si>
  <si>
    <t>Original Effective Date</t>
  </si>
  <si>
    <t>CMS Contract</t>
  </si>
  <si>
    <t>PBP</t>
  </si>
  <si>
    <t>Segment ID</t>
  </si>
  <si>
    <t>Rep Name</t>
  </si>
  <si>
    <t>NPN</t>
  </si>
  <si>
    <t>MBI</t>
  </si>
  <si>
    <t>Activity Type</t>
  </si>
  <si>
    <t>Activity Date</t>
  </si>
  <si>
    <t>Activity Enrollment Effective Date</t>
  </si>
  <si>
    <t>Payment</t>
  </si>
  <si>
    <t>GARY PORTUGAL</t>
  </si>
  <si>
    <t>DAVID LOPEZ</t>
  </si>
  <si>
    <t>8MN9FR2YW26</t>
  </si>
  <si>
    <t>HRA</t>
  </si>
  <si>
    <t>10/18/25</t>
  </si>
  <si>
    <t>01/01/26</t>
  </si>
  <si>
    <t>MICAELA MARTINEZ</t>
  </si>
  <si>
    <t>1UJ4A62DD08</t>
  </si>
  <si>
    <t>10/20/25</t>
  </si>
  <si>
    <t>PAMELA LARSON</t>
  </si>
  <si>
    <t>5MT3FC6PU98</t>
  </si>
  <si>
    <t>10/21/25</t>
  </si>
  <si>
    <t>GREGORY HANSFORD</t>
  </si>
  <si>
    <t>CHERYLL HARRIS</t>
  </si>
  <si>
    <t>3K76A44KW53</t>
  </si>
  <si>
    <t>JILL SHEPARD</t>
  </si>
  <si>
    <t>JEAN ALBRIGHT</t>
  </si>
  <si>
    <t>8JT9FY1MY22</t>
  </si>
  <si>
    <t>Disenrollment Initial - Rapid</t>
  </si>
  <si>
    <t>Broker Level</t>
  </si>
  <si>
    <t>21749481</t>
  </si>
  <si>
    <t>Daniel Carney</t>
  </si>
  <si>
    <t>7HY0D94RJ05</t>
  </si>
  <si>
    <t>RICKEY YARBROUGH</t>
  </si>
  <si>
    <t>MAPD</t>
  </si>
  <si>
    <t>TX</t>
  </si>
  <si>
    <t>H4513</t>
  </si>
  <si>
    <t>061</t>
  </si>
  <si>
    <t>005</t>
  </si>
  <si>
    <t>Service Fee</t>
  </si>
  <si>
    <t>20411454</t>
  </si>
  <si>
    <t>Initial - NOT New to CMS</t>
  </si>
  <si>
    <t>19586992</t>
  </si>
  <si>
    <t>BARRY SCHUMANN</t>
  </si>
  <si>
    <t>7YG2XT8AK11</t>
  </si>
  <si>
    <t>BURTON BARNES</t>
  </si>
  <si>
    <t>Pending</t>
  </si>
  <si>
    <t>064</t>
  </si>
  <si>
    <t>000</t>
  </si>
  <si>
    <t>083</t>
  </si>
  <si>
    <t>Disenrollment Renewal</t>
  </si>
  <si>
    <t>17886092</t>
  </si>
  <si>
    <t>TIMOTHY POWERS</t>
  </si>
  <si>
    <t>1WC2P97FK80</t>
  </si>
  <si>
    <t>PAUL ERKENS</t>
  </si>
  <si>
    <t>NONE</t>
  </si>
  <si>
    <t>PA</t>
  </si>
  <si>
    <t>PDP</t>
  </si>
  <si>
    <t>S5617</t>
  </si>
  <si>
    <t>356</t>
  </si>
  <si>
    <t>16912722</t>
  </si>
  <si>
    <t>ANDREA PETRUNGARO</t>
  </si>
  <si>
    <t>1D81CP9CA37</t>
  </si>
  <si>
    <t>RAYMOND SIEGEL</t>
  </si>
  <si>
    <t>IL</t>
  </si>
  <si>
    <t>367</t>
  </si>
  <si>
    <t>Cigna MAPD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</si>
</sst>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\$#,##0.00"/>
    <numFmt numFmtId="165" formatCode="mm/dd/yyyy"/>
  </numFmts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NumberFormat="1"/>
    <xf numFmtId="8" fontId="0" fillId="0" borderId="0" xfId="0" applyNumberFormat="1"/>
    <xf numFmtId="0" fontId="0" fillId="0" borderId="0" xfId="0" applyFill="1"/>
    <xf numFmtId="165" fontId="0" fillId="0" borderId="0" xfId="0" applyNumberFormat="1" applyFill="1"/>
    <xf numFmtId="164" fontId="0" fillId="0" borderId="0" xfId="0" applyNumberFormat="1" applyFill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tabSelected="1" workbookViewId="0">
      <selection activeCell="A34" sqref="A34"/>
    </sheetView>
  </sheetViews>
  <sheetFormatPr defaultRowHeight="15" x14ac:dyDescent="0.25"/>
  <cols>
    <col min="1" max="1" width="138.140625" bestFit="1" customWidth="1"/>
    <col min="2" max="2" width="22.5703125" bestFit="1" customWidth="1"/>
    <col min="3" max="3" width="8.28515625" bestFit="1" customWidth="1"/>
  </cols>
  <sheetData>
    <row r="1" spans="1:3" x14ac:dyDescent="0.25">
      <c r="A1" s="1" t="s">
        <v>1</v>
      </c>
    </row>
    <row r="2" spans="1:3" x14ac:dyDescent="0.25">
      <c r="A2" t="s">
        <v>2</v>
      </c>
      <c r="B2" t="s">
        <v>4</v>
      </c>
    </row>
    <row r="3" spans="1:3" x14ac:dyDescent="0.25">
      <c r="A3" t="s">
        <v>3</v>
      </c>
      <c r="B3">
        <v>20411454</v>
      </c>
    </row>
    <row r="5" spans="1:3" x14ac:dyDescent="0.25">
      <c r="A5" t="s">
        <v>5</v>
      </c>
      <c r="B5" t="s">
        <v>6</v>
      </c>
      <c r="C5" s="2" t="s">
        <v>7</v>
      </c>
    </row>
    <row r="6" spans="1:3" x14ac:dyDescent="0.25">
      <c r="A6" t="s">
        <v>8</v>
      </c>
      <c r="B6">
        <v>0</v>
      </c>
      <c r="C6" s="2">
        <v>0</v>
      </c>
    </row>
    <row r="7" spans="1:3" x14ac:dyDescent="0.25">
      <c r="A7" t="s">
        <v>9</v>
      </c>
      <c r="B7">
        <v>0</v>
      </c>
      <c r="C7" s="2">
        <v>0</v>
      </c>
    </row>
    <row r="8" spans="1:3" x14ac:dyDescent="0.25">
      <c r="A8" t="s">
        <v>10</v>
      </c>
      <c r="B8">
        <v>0</v>
      </c>
      <c r="C8" s="2">
        <v>0</v>
      </c>
    </row>
    <row r="9" spans="1:3" x14ac:dyDescent="0.25">
      <c r="A9" t="s">
        <v>11</v>
      </c>
      <c r="B9">
        <v>0</v>
      </c>
      <c r="C9" s="2">
        <v>0</v>
      </c>
    </row>
    <row r="10" spans="1:3" x14ac:dyDescent="0.25">
      <c r="A10" t="s">
        <v>12</v>
      </c>
      <c r="B10">
        <v>0</v>
      </c>
      <c r="C10" s="2">
        <v>0</v>
      </c>
    </row>
    <row r="11" spans="1:3" x14ac:dyDescent="0.25">
      <c r="A11" t="s">
        <v>13</v>
      </c>
      <c r="B11">
        <v>0</v>
      </c>
      <c r="C11" s="2">
        <v>0</v>
      </c>
    </row>
    <row r="13" spans="1:3" x14ac:dyDescent="0.25">
      <c r="A13" t="s">
        <v>14</v>
      </c>
      <c r="B13">
        <v>0</v>
      </c>
      <c r="C13" s="2">
        <v>0</v>
      </c>
    </row>
    <row r="14" spans="1:3" x14ac:dyDescent="0.25">
      <c r="A14" t="s">
        <v>15</v>
      </c>
      <c r="B14">
        <v>5</v>
      </c>
      <c r="C14" s="2">
        <v>250</v>
      </c>
    </row>
    <row r="15" spans="1:3" x14ac:dyDescent="0.25">
      <c r="A15" t="s">
        <v>16</v>
      </c>
      <c r="B15">
        <v>0</v>
      </c>
      <c r="C15" s="2">
        <v>0</v>
      </c>
    </row>
    <row r="16" spans="1:3" x14ac:dyDescent="0.25">
      <c r="A16" t="s">
        <v>17</v>
      </c>
      <c r="C16" s="2">
        <v>-277</v>
      </c>
    </row>
    <row r="17" spans="1:5" x14ac:dyDescent="0.25">
      <c r="A17" t="s">
        <v>18</v>
      </c>
      <c r="B17">
        <v>5</v>
      </c>
      <c r="C17" s="2">
        <v>-27</v>
      </c>
    </row>
    <row r="19" spans="1:5" x14ac:dyDescent="0.25">
      <c r="A19" t="s">
        <v>19</v>
      </c>
    </row>
    <row r="20" spans="1:5" x14ac:dyDescent="0.25">
      <c r="A20" t="s">
        <v>20</v>
      </c>
    </row>
    <row r="22" spans="1:5" x14ac:dyDescent="0.25">
      <c r="A22" s="1" t="s">
        <v>1</v>
      </c>
    </row>
    <row r="23" spans="1:5" x14ac:dyDescent="0.25">
      <c r="A23" t="s">
        <v>2</v>
      </c>
      <c r="B23" t="s">
        <v>4</v>
      </c>
    </row>
    <row r="24" spans="1:5" x14ac:dyDescent="0.25">
      <c r="A24" t="s">
        <v>3</v>
      </c>
      <c r="B24">
        <v>20411454</v>
      </c>
    </row>
    <row r="26" spans="1:5" x14ac:dyDescent="0.25">
      <c r="A26" t="s">
        <v>5</v>
      </c>
      <c r="B26" t="s">
        <v>6</v>
      </c>
      <c r="C26" s="2" t="s">
        <v>7</v>
      </c>
    </row>
    <row r="27" spans="1:5" x14ac:dyDescent="0.25">
      <c r="A27" t="s">
        <v>8</v>
      </c>
      <c r="B27">
        <v>1</v>
      </c>
      <c r="C27" s="2">
        <v>-372</v>
      </c>
    </row>
    <row r="28" spans="1:5" x14ac:dyDescent="0.25">
      <c r="A28" t="s">
        <v>9</v>
      </c>
      <c r="B28">
        <v>0</v>
      </c>
      <c r="C28" s="2">
        <v>0</v>
      </c>
    </row>
    <row r="29" spans="1:5" x14ac:dyDescent="0.25">
      <c r="A29" t="s">
        <v>10</v>
      </c>
      <c r="B29">
        <v>1</v>
      </c>
      <c r="C29" s="2">
        <v>-2.5</v>
      </c>
    </row>
    <row r="30" spans="1:5" x14ac:dyDescent="0.25">
      <c r="A30" t="s">
        <v>11</v>
      </c>
      <c r="B30">
        <v>0</v>
      </c>
      <c r="C30" s="2">
        <v>0</v>
      </c>
    </row>
    <row r="31" spans="1:5" x14ac:dyDescent="0.25">
      <c r="A31" t="s">
        <v>12</v>
      </c>
      <c r="B31">
        <v>2</v>
      </c>
      <c r="C31" s="2">
        <v>683.34</v>
      </c>
      <c r="E31" s="8"/>
    </row>
    <row r="32" spans="1:5" x14ac:dyDescent="0.25">
      <c r="A32" t="s">
        <v>13</v>
      </c>
      <c r="B32">
        <v>1</v>
      </c>
      <c r="C32" s="2">
        <v>-57</v>
      </c>
    </row>
    <row r="34" spans="1:3" x14ac:dyDescent="0.25">
      <c r="A34" t="s">
        <v>14</v>
      </c>
      <c r="B34">
        <v>0</v>
      </c>
      <c r="C34" s="2">
        <v>0</v>
      </c>
    </row>
    <row r="35" spans="1:3" x14ac:dyDescent="0.25">
      <c r="A35" t="s">
        <v>15</v>
      </c>
      <c r="B35">
        <v>0</v>
      </c>
      <c r="C35" s="2">
        <v>0</v>
      </c>
    </row>
    <row r="36" spans="1:3" x14ac:dyDescent="0.25">
      <c r="A36" t="s">
        <v>16</v>
      </c>
      <c r="B36">
        <v>0</v>
      </c>
      <c r="C36" s="2">
        <v>0</v>
      </c>
    </row>
    <row r="37" spans="1:3" x14ac:dyDescent="0.25">
      <c r="A37" t="s">
        <v>17</v>
      </c>
      <c r="C37" s="2">
        <v>-27</v>
      </c>
    </row>
    <row r="38" spans="1:3" x14ac:dyDescent="0.25">
      <c r="A38" t="s">
        <v>18</v>
      </c>
      <c r="B38">
        <v>4</v>
      </c>
      <c r="C38" s="2">
        <v>224.84</v>
      </c>
    </row>
    <row r="40" spans="1:3" x14ac:dyDescent="0.25">
      <c r="A40" t="s">
        <v>19</v>
      </c>
    </row>
    <row r="41" spans="1:3" x14ac:dyDescent="0.25">
      <c r="A41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0"/>
  <sheetViews>
    <sheetView topLeftCell="C1" workbookViewId="0">
      <selection activeCell="J12" sqref="J12"/>
    </sheetView>
  </sheetViews>
  <sheetFormatPr defaultRowHeight="15" x14ac:dyDescent="0.25"/>
  <cols>
    <col min="1" max="1" width="26.42578125" bestFit="1" customWidth="1"/>
    <col min="2" max="2" width="19.7109375" bestFit="1" customWidth="1"/>
    <col min="3" max="3" width="18.5703125" bestFit="1" customWidth="1"/>
    <col min="4" max="4" width="21.42578125" bestFit="1" customWidth="1"/>
    <col min="5" max="5" width="11.140625" bestFit="1" customWidth="1"/>
    <col min="6" max="6" width="22.5703125" bestFit="1" customWidth="1"/>
    <col min="7" max="7" width="10.7109375" bestFit="1" customWidth="1"/>
    <col min="8" max="8" width="16.5703125" bestFit="1" customWidth="1"/>
    <col min="9" max="9" width="12" bestFit="1" customWidth="1"/>
    <col min="10" max="10" width="34.7109375" bestFit="1" customWidth="1"/>
    <col min="11" max="11" width="18.7109375" bestFit="1" customWidth="1"/>
    <col min="12" max="12" width="11.5703125" bestFit="1" customWidth="1"/>
    <col min="13" max="13" width="13.5703125" bestFit="1" customWidth="1"/>
    <col min="14" max="14" width="18.42578125" bestFit="1" customWidth="1"/>
    <col min="15" max="15" width="10" bestFit="1" customWidth="1"/>
    <col min="16" max="16" width="14.42578125" bestFit="1" customWidth="1"/>
    <col min="17" max="17" width="11.28515625" bestFit="1" customWidth="1"/>
    <col min="18" max="18" width="9.5703125" bestFit="1" customWidth="1"/>
    <col min="19" max="19" width="10.5703125" bestFit="1" customWidth="1"/>
    <col min="20" max="20" width="21.140625" bestFit="1" customWidth="1"/>
    <col min="21" max="21" width="12.7109375" bestFit="1" customWidth="1"/>
    <col min="22" max="22" width="4.42578125" bestFit="1" customWidth="1"/>
    <col min="23" max="24" width="11.140625" bestFit="1" customWidth="1"/>
  </cols>
  <sheetData>
    <row r="1" spans="1:24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s="2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  <c r="Q1" t="s">
        <v>37</v>
      </c>
      <c r="R1" t="s">
        <v>38</v>
      </c>
      <c r="S1" t="s">
        <v>39</v>
      </c>
      <c r="T1" t="s">
        <v>40</v>
      </c>
      <c r="U1" t="s">
        <v>41</v>
      </c>
      <c r="V1" t="s">
        <v>42</v>
      </c>
      <c r="W1" t="s">
        <v>43</v>
      </c>
      <c r="X1" t="s">
        <v>5</v>
      </c>
    </row>
    <row r="2" spans="1:24" s="5" customFormat="1" x14ac:dyDescent="0.25">
      <c r="A2" s="5" t="s">
        <v>69</v>
      </c>
      <c r="B2" s="5" t="s">
        <v>70</v>
      </c>
      <c r="C2" s="5" t="s">
        <v>71</v>
      </c>
      <c r="D2" s="5" t="s">
        <v>72</v>
      </c>
      <c r="E2" s="5" t="s">
        <v>71</v>
      </c>
      <c r="F2" s="5" t="s">
        <v>72</v>
      </c>
      <c r="G2" s="6">
        <v>46023</v>
      </c>
      <c r="H2" s="7">
        <v>-347</v>
      </c>
      <c r="I2" s="5">
        <v>36864714</v>
      </c>
      <c r="J2" s="5" t="s">
        <v>73</v>
      </c>
      <c r="K2" s="5" t="s">
        <v>74</v>
      </c>
      <c r="L2" s="6">
        <v>45994</v>
      </c>
      <c r="M2" s="6">
        <v>46023</v>
      </c>
      <c r="N2" s="6">
        <v>46081</v>
      </c>
      <c r="O2" s="5">
        <v>5</v>
      </c>
      <c r="P2" s="5" t="s">
        <v>75</v>
      </c>
      <c r="Q2" s="5" t="s">
        <v>76</v>
      </c>
      <c r="R2" s="5" t="s">
        <v>75</v>
      </c>
      <c r="S2" s="5" t="s">
        <v>0</v>
      </c>
      <c r="T2" s="6">
        <v>46023</v>
      </c>
      <c r="U2" s="5" t="s">
        <v>77</v>
      </c>
      <c r="V2" s="5" t="s">
        <v>78</v>
      </c>
      <c r="W2" s="5" t="s">
        <v>79</v>
      </c>
      <c r="X2" s="5" t="s">
        <v>0</v>
      </c>
    </row>
    <row r="3" spans="1:24" s="5" customFormat="1" x14ac:dyDescent="0.25">
      <c r="A3" s="5" t="s">
        <v>69</v>
      </c>
      <c r="B3" s="5" t="s">
        <v>80</v>
      </c>
      <c r="C3" s="5" t="s">
        <v>71</v>
      </c>
      <c r="D3" s="5" t="s">
        <v>72</v>
      </c>
      <c r="E3" s="5" t="s">
        <v>81</v>
      </c>
      <c r="F3" s="5" t="s">
        <v>4</v>
      </c>
      <c r="G3" s="6">
        <v>46023</v>
      </c>
      <c r="H3" s="7">
        <v>-25</v>
      </c>
      <c r="I3" s="5">
        <v>36864714</v>
      </c>
      <c r="J3" s="5" t="s">
        <v>73</v>
      </c>
      <c r="K3" s="5" t="s">
        <v>74</v>
      </c>
      <c r="L3" s="6">
        <v>45994</v>
      </c>
      <c r="M3" s="6">
        <v>46023</v>
      </c>
      <c r="N3" s="6">
        <v>46081</v>
      </c>
      <c r="O3" s="5">
        <v>5</v>
      </c>
      <c r="P3" s="5" t="s">
        <v>75</v>
      </c>
      <c r="Q3" s="5" t="s">
        <v>76</v>
      </c>
      <c r="R3" s="5" t="s">
        <v>75</v>
      </c>
      <c r="S3" s="5" t="s">
        <v>0</v>
      </c>
      <c r="T3" s="6">
        <v>46023</v>
      </c>
      <c r="U3" s="5" t="s">
        <v>77</v>
      </c>
      <c r="V3" s="5" t="s">
        <v>78</v>
      </c>
      <c r="W3" s="5" t="s">
        <v>79</v>
      </c>
      <c r="X3" s="5" t="s">
        <v>0</v>
      </c>
    </row>
    <row r="4" spans="1:24" s="5" customFormat="1" x14ac:dyDescent="0.25">
      <c r="A4" s="5" t="s">
        <v>82</v>
      </c>
      <c r="B4" s="5" t="s">
        <v>70</v>
      </c>
      <c r="C4" s="5" t="s">
        <v>83</v>
      </c>
      <c r="D4" s="5" t="s">
        <v>84</v>
      </c>
      <c r="E4" s="5" t="s">
        <v>83</v>
      </c>
      <c r="F4" s="5" t="s">
        <v>84</v>
      </c>
      <c r="G4" s="6">
        <v>46082</v>
      </c>
      <c r="H4" s="7">
        <v>289.17</v>
      </c>
      <c r="I4" s="5">
        <v>36171461</v>
      </c>
      <c r="J4" s="5" t="s">
        <v>85</v>
      </c>
      <c r="K4" s="5" t="s">
        <v>86</v>
      </c>
      <c r="L4" s="6">
        <v>46057</v>
      </c>
      <c r="M4" s="6">
        <v>46082</v>
      </c>
      <c r="N4" s="5" t="s">
        <v>0</v>
      </c>
      <c r="O4" s="5" t="s">
        <v>87</v>
      </c>
      <c r="P4" s="5" t="s">
        <v>0</v>
      </c>
      <c r="Q4" s="5" t="s">
        <v>76</v>
      </c>
      <c r="R4" s="5" t="s">
        <v>75</v>
      </c>
      <c r="S4" s="5" t="s">
        <v>0</v>
      </c>
      <c r="T4" s="6">
        <v>46082</v>
      </c>
      <c r="U4" s="5" t="s">
        <v>77</v>
      </c>
      <c r="V4" s="5" t="s">
        <v>88</v>
      </c>
      <c r="W4" s="5" t="s">
        <v>89</v>
      </c>
      <c r="X4" s="5" t="s">
        <v>0</v>
      </c>
    </row>
    <row r="5" spans="1:24" s="5" customFormat="1" x14ac:dyDescent="0.25">
      <c r="A5" s="5" t="s">
        <v>82</v>
      </c>
      <c r="B5" s="5" t="s">
        <v>80</v>
      </c>
      <c r="C5" s="5" t="s">
        <v>83</v>
      </c>
      <c r="D5" s="5" t="s">
        <v>84</v>
      </c>
      <c r="E5" s="5" t="s">
        <v>81</v>
      </c>
      <c r="F5" s="5" t="s">
        <v>4</v>
      </c>
      <c r="G5" s="6">
        <v>46082</v>
      </c>
      <c r="H5" s="7">
        <v>80</v>
      </c>
      <c r="I5" s="5">
        <v>36171461</v>
      </c>
      <c r="J5" s="5" t="s">
        <v>85</v>
      </c>
      <c r="K5" s="5" t="s">
        <v>86</v>
      </c>
      <c r="L5" s="6">
        <v>46057</v>
      </c>
      <c r="M5" s="6">
        <v>46082</v>
      </c>
      <c r="N5" s="5" t="s">
        <v>0</v>
      </c>
      <c r="O5" s="5" t="s">
        <v>87</v>
      </c>
      <c r="P5" s="5" t="s">
        <v>0</v>
      </c>
      <c r="Q5" s="5" t="s">
        <v>76</v>
      </c>
      <c r="R5" s="5" t="s">
        <v>75</v>
      </c>
      <c r="S5" s="5" t="s">
        <v>0</v>
      </c>
      <c r="T5" s="6">
        <v>46082</v>
      </c>
      <c r="U5" s="5" t="s">
        <v>77</v>
      </c>
      <c r="V5" s="5" t="s">
        <v>88</v>
      </c>
      <c r="W5" s="5" t="s">
        <v>89</v>
      </c>
      <c r="X5" s="5" t="s">
        <v>0</v>
      </c>
    </row>
    <row r="6" spans="1:24" s="5" customFormat="1" x14ac:dyDescent="0.25">
      <c r="A6" s="5" t="s">
        <v>82</v>
      </c>
      <c r="B6" s="5" t="s">
        <v>70</v>
      </c>
      <c r="C6" s="5" t="s">
        <v>71</v>
      </c>
      <c r="D6" s="5" t="s">
        <v>72</v>
      </c>
      <c r="E6" s="5" t="s">
        <v>71</v>
      </c>
      <c r="F6" s="5" t="s">
        <v>72</v>
      </c>
      <c r="G6" s="6">
        <v>46082</v>
      </c>
      <c r="H6" s="7">
        <v>289.17</v>
      </c>
      <c r="I6" s="5">
        <v>36864714</v>
      </c>
      <c r="J6" s="5" t="s">
        <v>73</v>
      </c>
      <c r="K6" s="5" t="s">
        <v>74</v>
      </c>
      <c r="L6" s="6">
        <v>46074</v>
      </c>
      <c r="M6" s="6">
        <v>46082</v>
      </c>
      <c r="N6" s="5" t="s">
        <v>0</v>
      </c>
      <c r="O6" s="5" t="s">
        <v>87</v>
      </c>
      <c r="P6" s="5" t="s">
        <v>0</v>
      </c>
      <c r="Q6" s="5" t="s">
        <v>76</v>
      </c>
      <c r="R6" s="5" t="s">
        <v>75</v>
      </c>
      <c r="S6" s="5" t="s">
        <v>0</v>
      </c>
      <c r="T6" s="6">
        <v>46082</v>
      </c>
      <c r="U6" s="5" t="s">
        <v>77</v>
      </c>
      <c r="V6" s="5" t="s">
        <v>90</v>
      </c>
      <c r="W6" s="5" t="s">
        <v>79</v>
      </c>
      <c r="X6" s="5" t="s">
        <v>0</v>
      </c>
    </row>
    <row r="7" spans="1:24" s="5" customFormat="1" x14ac:dyDescent="0.25">
      <c r="A7" s="5" t="s">
        <v>82</v>
      </c>
      <c r="B7" s="5" t="s">
        <v>80</v>
      </c>
      <c r="C7" s="5" t="s">
        <v>71</v>
      </c>
      <c r="D7" s="5" t="s">
        <v>72</v>
      </c>
      <c r="E7" s="5" t="s">
        <v>81</v>
      </c>
      <c r="F7" s="5" t="s">
        <v>4</v>
      </c>
      <c r="G7" s="6">
        <v>46082</v>
      </c>
      <c r="H7" s="7">
        <v>25</v>
      </c>
      <c r="I7" s="5">
        <v>36864714</v>
      </c>
      <c r="J7" s="5" t="s">
        <v>73</v>
      </c>
      <c r="K7" s="5" t="s">
        <v>74</v>
      </c>
      <c r="L7" s="6">
        <v>46074</v>
      </c>
      <c r="M7" s="6">
        <v>46082</v>
      </c>
      <c r="N7" s="5" t="s">
        <v>0</v>
      </c>
      <c r="O7" s="5" t="s">
        <v>87</v>
      </c>
      <c r="P7" s="5" t="s">
        <v>0</v>
      </c>
      <c r="Q7" s="5" t="s">
        <v>76</v>
      </c>
      <c r="R7" s="5" t="s">
        <v>75</v>
      </c>
      <c r="S7" s="5" t="s">
        <v>0</v>
      </c>
      <c r="T7" s="6">
        <v>46082</v>
      </c>
      <c r="U7" s="5" t="s">
        <v>77</v>
      </c>
      <c r="V7" s="5" t="s">
        <v>90</v>
      </c>
      <c r="W7" s="5" t="s">
        <v>79</v>
      </c>
      <c r="X7" s="5" t="s">
        <v>0</v>
      </c>
    </row>
    <row r="8" spans="1:24" s="5" customFormat="1" x14ac:dyDescent="0.25">
      <c r="A8" s="5" t="s">
        <v>91</v>
      </c>
      <c r="B8" s="5" t="s">
        <v>80</v>
      </c>
      <c r="C8" s="5" t="s">
        <v>92</v>
      </c>
      <c r="D8" s="5" t="s">
        <v>93</v>
      </c>
      <c r="E8" s="5" t="s">
        <v>81</v>
      </c>
      <c r="F8" s="5" t="s">
        <v>4</v>
      </c>
      <c r="G8" s="6">
        <v>46023</v>
      </c>
      <c r="H8" s="7">
        <v>-2.5</v>
      </c>
      <c r="I8" s="5">
        <v>20381474401</v>
      </c>
      <c r="J8" s="5" t="s">
        <v>94</v>
      </c>
      <c r="K8" s="5" t="s">
        <v>95</v>
      </c>
      <c r="L8" s="6">
        <v>45894</v>
      </c>
      <c r="M8" s="6">
        <v>45901</v>
      </c>
      <c r="N8" s="6">
        <v>46081</v>
      </c>
      <c r="O8" s="5">
        <v>2</v>
      </c>
      <c r="P8" s="5" t="s">
        <v>96</v>
      </c>
      <c r="Q8" s="5" t="s">
        <v>97</v>
      </c>
      <c r="R8" s="5" t="s">
        <v>98</v>
      </c>
      <c r="S8" s="5" t="s">
        <v>0</v>
      </c>
      <c r="T8" s="6">
        <v>45901</v>
      </c>
      <c r="U8" s="5" t="s">
        <v>99</v>
      </c>
      <c r="V8" s="5" t="s">
        <v>100</v>
      </c>
      <c r="W8" s="5" t="s">
        <v>89</v>
      </c>
      <c r="X8" s="5" t="s">
        <v>0</v>
      </c>
    </row>
    <row r="9" spans="1:24" s="5" customFormat="1" x14ac:dyDescent="0.25">
      <c r="A9" s="5" t="s">
        <v>13</v>
      </c>
      <c r="B9" s="5" t="s">
        <v>70</v>
      </c>
      <c r="C9" s="5" t="s">
        <v>101</v>
      </c>
      <c r="D9" s="5" t="s">
        <v>102</v>
      </c>
      <c r="E9" s="5" t="s">
        <v>101</v>
      </c>
      <c r="F9" s="5" t="s">
        <v>102</v>
      </c>
      <c r="G9" s="6">
        <v>46023</v>
      </c>
      <c r="H9" s="7">
        <v>-57</v>
      </c>
      <c r="I9" s="5">
        <v>19984386301</v>
      </c>
      <c r="J9" s="5" t="s">
        <v>103</v>
      </c>
      <c r="K9" s="5" t="s">
        <v>104</v>
      </c>
      <c r="L9" s="6">
        <v>45630</v>
      </c>
      <c r="M9" s="6">
        <v>45658</v>
      </c>
      <c r="N9" s="5" t="s">
        <v>0</v>
      </c>
      <c r="O9" s="5">
        <v>13</v>
      </c>
      <c r="P9" s="5" t="s">
        <v>98</v>
      </c>
      <c r="Q9" s="5" t="s">
        <v>105</v>
      </c>
      <c r="R9" s="5" t="s">
        <v>98</v>
      </c>
      <c r="S9" s="5" t="s">
        <v>0</v>
      </c>
      <c r="T9" s="6">
        <v>45658</v>
      </c>
      <c r="U9" s="5" t="s">
        <v>99</v>
      </c>
      <c r="V9" s="5" t="s">
        <v>106</v>
      </c>
      <c r="W9" s="5" t="s">
        <v>89</v>
      </c>
      <c r="X9" s="5" t="s">
        <v>0</v>
      </c>
    </row>
    <row r="10" spans="1:24" s="5" customFormat="1" x14ac:dyDescent="0.25">
      <c r="H10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"/>
  <sheetViews>
    <sheetView workbookViewId="0"/>
  </sheetViews>
  <sheetFormatPr defaultRowHeight="15" x14ac:dyDescent="0.25"/>
  <cols>
    <col min="1" max="1" width="25" customWidth="1"/>
    <col min="2" max="2" width="20" customWidth="1"/>
    <col min="3" max="4" width="15" customWidth="1"/>
    <col min="5" max="5" width="10.28515625" bestFit="1" customWidth="1"/>
    <col min="6" max="6" width="11.42578125" bestFit="1" customWidth="1"/>
    <col min="7" max="7" width="9.42578125" bestFit="1" customWidth="1"/>
    <col min="8" max="8" width="15" bestFit="1" customWidth="1"/>
    <col min="9" max="9" width="30.7109375" bestFit="1" customWidth="1"/>
    <col min="10" max="10" width="13.140625" bestFit="1" customWidth="1"/>
    <col min="11" max="11" width="10.5703125" bestFit="1" customWidth="1"/>
    <col min="12" max="12" width="12.140625" bestFit="1" customWidth="1"/>
    <col min="13" max="13" width="9.140625" bestFit="1" customWidth="1"/>
    <col min="14" max="14" width="13" bestFit="1" customWidth="1"/>
    <col min="15" max="15" width="10.28515625" bestFit="1" customWidth="1"/>
    <col min="16" max="16" width="8.7109375" bestFit="1" customWidth="1"/>
    <col min="17" max="17" width="9.5703125" bestFit="1" customWidth="1"/>
    <col min="18" max="18" width="18.85546875" bestFit="1" customWidth="1"/>
    <col min="19" max="19" width="16.7109375" bestFit="1" customWidth="1"/>
    <col min="20" max="20" width="12" bestFit="1" customWidth="1"/>
    <col min="21" max="21" width="4" bestFit="1" customWidth="1"/>
    <col min="22" max="23" width="10.140625" bestFit="1" customWidth="1"/>
  </cols>
  <sheetData>
    <row r="1" spans="1:23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s="2" t="s">
        <v>28</v>
      </c>
      <c r="I1" t="s">
        <v>30</v>
      </c>
      <c r="J1" t="s">
        <v>31</v>
      </c>
      <c r="K1" t="s">
        <v>32</v>
      </c>
      <c r="L1" t="s">
        <v>33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34</v>
      </c>
      <c r="T1" t="s">
        <v>41</v>
      </c>
      <c r="U1" t="s">
        <v>42</v>
      </c>
      <c r="V1" t="s">
        <v>43</v>
      </c>
      <c r="W1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"/>
  <sheetViews>
    <sheetView workbookViewId="0">
      <selection activeCell="J2" sqref="J2:J6"/>
    </sheetView>
  </sheetViews>
  <sheetFormatPr defaultRowHeight="15" x14ac:dyDescent="0.25"/>
  <cols>
    <col min="1" max="1" width="19.85546875" bestFit="1" customWidth="1"/>
    <col min="2" max="2" width="9" bestFit="1" customWidth="1"/>
    <col min="3" max="3" width="18.7109375" bestFit="1" customWidth="1"/>
    <col min="4" max="4" width="14.28515625" bestFit="1" customWidth="1"/>
    <col min="5" max="5" width="12.42578125" bestFit="1" customWidth="1"/>
    <col min="6" max="6" width="12.28515625" bestFit="1" customWidth="1"/>
    <col min="7" max="7" width="31.5703125" bestFit="1" customWidth="1"/>
    <col min="8" max="8" width="8.85546875" bestFit="1" customWidth="1"/>
    <col min="9" max="9" width="11.7109375" bestFit="1" customWidth="1"/>
  </cols>
  <sheetData>
    <row r="1" spans="1:10" x14ac:dyDescent="0.25">
      <c r="A1" t="s">
        <v>44</v>
      </c>
      <c r="B1" t="s">
        <v>45</v>
      </c>
      <c r="C1" t="s">
        <v>31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</row>
    <row r="2" spans="1:10" x14ac:dyDescent="0.25">
      <c r="A2" t="s">
        <v>51</v>
      </c>
      <c r="B2" s="3">
        <v>9213293</v>
      </c>
      <c r="C2" t="s">
        <v>52</v>
      </c>
      <c r="D2" t="s">
        <v>53</v>
      </c>
      <c r="E2" t="s">
        <v>54</v>
      </c>
      <c r="F2" t="s">
        <v>55</v>
      </c>
      <c r="G2" t="s">
        <v>56</v>
      </c>
      <c r="H2" s="4">
        <v>50</v>
      </c>
      <c r="I2" t="s">
        <v>107</v>
      </c>
      <c r="J2" t="str">
        <f>CONCATENATE(I2," ",E2," ",C2,"-",D2)</f>
        <v>Cigna MAPD HRA DAVID LOPEZ-8MN9FR2YW26</v>
      </c>
    </row>
    <row r="3" spans="1:10" x14ac:dyDescent="0.25">
      <c r="A3" t="s">
        <v>51</v>
      </c>
      <c r="B3" s="3">
        <v>9213293</v>
      </c>
      <c r="C3" t="s">
        <v>57</v>
      </c>
      <c r="D3" t="s">
        <v>58</v>
      </c>
      <c r="E3" t="s">
        <v>54</v>
      </c>
      <c r="F3" t="s">
        <v>59</v>
      </c>
      <c r="G3" t="s">
        <v>56</v>
      </c>
      <c r="H3" s="4">
        <v>50</v>
      </c>
      <c r="I3" t="s">
        <v>107</v>
      </c>
      <c r="J3" t="str">
        <f t="shared" ref="J3:J6" si="0">CONCATENATE(I3," ",E3," ",C3,"-",D3)</f>
        <v>Cigna MAPD HRA MICAELA MARTINEZ-1UJ4A62DD08</v>
      </c>
    </row>
    <row r="4" spans="1:10" x14ac:dyDescent="0.25">
      <c r="A4" t="s">
        <v>51</v>
      </c>
      <c r="B4" s="3">
        <v>9213293</v>
      </c>
      <c r="C4" t="s">
        <v>60</v>
      </c>
      <c r="D4" t="s">
        <v>61</v>
      </c>
      <c r="E4" t="s">
        <v>54</v>
      </c>
      <c r="F4" t="s">
        <v>62</v>
      </c>
      <c r="G4" t="s">
        <v>56</v>
      </c>
      <c r="H4" s="4">
        <v>50</v>
      </c>
      <c r="I4" t="s">
        <v>107</v>
      </c>
      <c r="J4" t="str">
        <f t="shared" si="0"/>
        <v>Cigna MAPD HRA PAMELA LARSON-5MT3FC6PU98</v>
      </c>
    </row>
    <row r="5" spans="1:10" x14ac:dyDescent="0.25">
      <c r="A5" t="s">
        <v>63</v>
      </c>
      <c r="B5" s="3">
        <v>17094718</v>
      </c>
      <c r="C5" t="s">
        <v>64</v>
      </c>
      <c r="D5" t="s">
        <v>65</v>
      </c>
      <c r="E5" t="s">
        <v>54</v>
      </c>
      <c r="F5" t="s">
        <v>62</v>
      </c>
      <c r="G5" t="s">
        <v>56</v>
      </c>
      <c r="H5" s="4">
        <v>50</v>
      </c>
      <c r="I5" t="s">
        <v>107</v>
      </c>
      <c r="J5" t="str">
        <f t="shared" si="0"/>
        <v>Cigna MAPD HRA CHERYLL HARRIS-3K76A44KW53</v>
      </c>
    </row>
    <row r="6" spans="1:10" x14ac:dyDescent="0.25">
      <c r="A6" t="s">
        <v>66</v>
      </c>
      <c r="B6" s="3">
        <v>16170994</v>
      </c>
      <c r="C6" t="s">
        <v>67</v>
      </c>
      <c r="D6" t="s">
        <v>68</v>
      </c>
      <c r="E6" t="s">
        <v>54</v>
      </c>
      <c r="F6" t="s">
        <v>59</v>
      </c>
      <c r="G6" t="s">
        <v>56</v>
      </c>
      <c r="H6" s="4">
        <v>50</v>
      </c>
      <c r="I6" t="s">
        <v>107</v>
      </c>
      <c r="J6" t="str">
        <f t="shared" si="0"/>
        <v>Cigna MAPD HRA JEAN ALBRIGHT-8JT9FY1MY22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Detail</vt:lpstr>
      <vt:lpstr>Legacy</vt:lpstr>
      <vt:lpstr>Activity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Loula Irene Cabel</cp:lastModifiedBy>
  <dcterms:created xsi:type="dcterms:W3CDTF">2026-03-13T11:36:32Z</dcterms:created>
  <dcterms:modified xsi:type="dcterms:W3CDTF">2026-03-16T17:22:41Z</dcterms:modified>
</cp:coreProperties>
</file>