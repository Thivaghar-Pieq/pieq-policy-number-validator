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8CA8A1A1-8365-4CF0-9EB2-D63C8A3C5C03}" xr6:coauthVersionLast="47" xr6:coauthVersionMax="47" xr10:uidLastSave="{00000000-0000-0000-0000-000000000000}"/>
  <bookViews>
    <workbookView xWindow="-57720" yWindow="-120" windowWidth="29040" windowHeight="15720" xr2:uid="{13419BF9-E3D8-4E8D-8727-38F22CDE368A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1" l="1"/>
  <c r="H6" i="1"/>
  <c r="H7" i="1"/>
  <c r="H9" i="1"/>
  <c r="H10" i="1"/>
  <c r="H11" i="1"/>
  <c r="H13" i="1"/>
  <c r="H14" i="1"/>
  <c r="H15" i="1"/>
  <c r="H17" i="1"/>
  <c r="H18" i="1"/>
  <c r="H19" i="1"/>
  <c r="H21" i="1"/>
  <c r="H22" i="1"/>
  <c r="H23" i="1"/>
  <c r="H25" i="1"/>
  <c r="H26" i="1"/>
  <c r="H27" i="1"/>
  <c r="H29" i="1"/>
  <c r="H30" i="1"/>
  <c r="H31" i="1"/>
  <c r="H33" i="1"/>
  <c r="H34" i="1"/>
  <c r="H35" i="1"/>
  <c r="H37" i="1"/>
  <c r="H39" i="1"/>
  <c r="H40" i="1"/>
  <c r="H41" i="1"/>
  <c r="H43" i="1"/>
  <c r="H44" i="1"/>
  <c r="H45" i="1"/>
  <c r="H47" i="1"/>
  <c r="H48" i="1"/>
  <c r="H49" i="1"/>
  <c r="H51" i="1"/>
  <c r="H52" i="1"/>
  <c r="H53" i="1"/>
  <c r="H55" i="1"/>
  <c r="H56" i="1"/>
  <c r="H57" i="1"/>
  <c r="H59" i="1"/>
  <c r="H60" i="1"/>
  <c r="H61" i="1"/>
  <c r="H63" i="1"/>
  <c r="H64" i="1"/>
  <c r="H65" i="1"/>
  <c r="H67" i="1"/>
  <c r="H68" i="1"/>
  <c r="H69" i="1"/>
  <c r="H71" i="1"/>
  <c r="H73" i="1"/>
  <c r="H74" i="1"/>
  <c r="H75" i="1"/>
  <c r="H77" i="1"/>
  <c r="H78" i="1"/>
  <c r="H79" i="1"/>
  <c r="H81" i="1"/>
  <c r="H82" i="1"/>
  <c r="H83" i="1"/>
  <c r="H85" i="1"/>
  <c r="H86" i="1"/>
  <c r="H89" i="1"/>
  <c r="H90" i="1"/>
  <c r="H91" i="1"/>
  <c r="H93" i="1"/>
  <c r="H94" i="1"/>
  <c r="H95" i="1"/>
  <c r="H97" i="1"/>
  <c r="H98" i="1"/>
  <c r="H99" i="1"/>
  <c r="H101" i="1"/>
  <c r="H102" i="1"/>
  <c r="H103" i="1"/>
  <c r="H105" i="1"/>
  <c r="H107" i="1"/>
  <c r="H108" i="1"/>
  <c r="H109" i="1"/>
  <c r="H111" i="1"/>
  <c r="H112" i="1"/>
  <c r="H113" i="1"/>
  <c r="H115" i="1"/>
  <c r="H116" i="1"/>
  <c r="H117" i="1"/>
  <c r="H119" i="1"/>
  <c r="H120" i="1"/>
  <c r="H121" i="1"/>
  <c r="H123" i="1"/>
  <c r="H124" i="1"/>
  <c r="H125" i="1"/>
  <c r="H127" i="1"/>
  <c r="H128" i="1"/>
  <c r="H129" i="1"/>
  <c r="H131" i="1"/>
  <c r="H132" i="1"/>
  <c r="H133" i="1"/>
  <c r="H135" i="1"/>
  <c r="H136" i="1"/>
  <c r="H137" i="1"/>
  <c r="H139" i="1"/>
  <c r="H141" i="1"/>
  <c r="H142" i="1"/>
  <c r="H143" i="1"/>
  <c r="H145" i="1"/>
  <c r="H146" i="1"/>
  <c r="H147" i="1"/>
  <c r="H149" i="1"/>
  <c r="H150" i="1"/>
  <c r="H151" i="1"/>
  <c r="H153" i="1"/>
  <c r="H154" i="1"/>
  <c r="H155" i="1"/>
  <c r="H157" i="1"/>
  <c r="H158" i="1"/>
  <c r="H159" i="1"/>
  <c r="H161" i="1"/>
  <c r="H162" i="1"/>
  <c r="H163" i="1"/>
  <c r="H165" i="1"/>
  <c r="H166" i="1"/>
  <c r="H167" i="1"/>
  <c r="H169" i="1"/>
  <c r="H170" i="1"/>
  <c r="H171" i="1"/>
  <c r="H173" i="1"/>
  <c r="H174" i="1"/>
  <c r="H175" i="1"/>
  <c r="H177" i="1"/>
  <c r="H178" i="1"/>
  <c r="H179" i="1"/>
  <c r="H181" i="1"/>
  <c r="H182" i="1"/>
  <c r="H183" i="1"/>
  <c r="H185" i="1"/>
  <c r="H186" i="1"/>
  <c r="H187" i="1"/>
  <c r="H189" i="1"/>
  <c r="H190" i="1"/>
  <c r="H191" i="1"/>
  <c r="H193" i="1"/>
  <c r="H194" i="1"/>
  <c r="H195" i="1"/>
  <c r="H197" i="1"/>
  <c r="H198" i="1"/>
  <c r="H199" i="1"/>
  <c r="H200" i="1"/>
  <c r="H201" i="1"/>
  <c r="H203" i="1"/>
  <c r="H204" i="1"/>
  <c r="H206" i="1"/>
  <c r="H207" i="1"/>
  <c r="H209" i="1"/>
  <c r="H210" i="1"/>
  <c r="H212" i="1"/>
  <c r="H213" i="1"/>
  <c r="H214" i="1"/>
  <c r="H216" i="1"/>
  <c r="H217" i="1"/>
  <c r="H5" i="1"/>
  <c r="F6" i="1"/>
  <c r="F7" i="1"/>
  <c r="F9" i="1"/>
  <c r="F10" i="1"/>
  <c r="F11" i="1"/>
  <c r="F13" i="1"/>
  <c r="F14" i="1"/>
  <c r="F15" i="1"/>
  <c r="F17" i="1"/>
  <c r="F18" i="1"/>
  <c r="F19" i="1"/>
  <c r="F21" i="1"/>
  <c r="F22" i="1"/>
  <c r="F23" i="1"/>
  <c r="F25" i="1"/>
  <c r="F26" i="1"/>
  <c r="F27" i="1"/>
  <c r="F29" i="1"/>
  <c r="F30" i="1"/>
  <c r="F31" i="1"/>
  <c r="F33" i="1"/>
  <c r="F34" i="1"/>
  <c r="F35" i="1"/>
  <c r="F37" i="1"/>
  <c r="F39" i="1"/>
  <c r="F40" i="1"/>
  <c r="F41" i="1"/>
  <c r="F43" i="1"/>
  <c r="F44" i="1"/>
  <c r="F45" i="1"/>
  <c r="F47" i="1"/>
  <c r="F48" i="1"/>
  <c r="F49" i="1"/>
  <c r="F51" i="1"/>
  <c r="F52" i="1"/>
  <c r="F53" i="1"/>
  <c r="F55" i="1"/>
  <c r="F56" i="1"/>
  <c r="F57" i="1"/>
  <c r="F59" i="1"/>
  <c r="F60" i="1"/>
  <c r="F61" i="1"/>
  <c r="F63" i="1"/>
  <c r="F64" i="1"/>
  <c r="F65" i="1"/>
  <c r="F67" i="1"/>
  <c r="F68" i="1"/>
  <c r="F69" i="1"/>
  <c r="F71" i="1"/>
  <c r="F73" i="1"/>
  <c r="F74" i="1"/>
  <c r="F75" i="1"/>
  <c r="F77" i="1"/>
  <c r="F78" i="1"/>
  <c r="F79" i="1"/>
  <c r="F81" i="1"/>
  <c r="F82" i="1"/>
  <c r="F83" i="1"/>
  <c r="F85" i="1"/>
  <c r="F86" i="1"/>
  <c r="F87" i="1"/>
  <c r="F89" i="1"/>
  <c r="F90" i="1"/>
  <c r="F91" i="1"/>
  <c r="F93" i="1"/>
  <c r="F94" i="1"/>
  <c r="F95" i="1"/>
  <c r="F97" i="1"/>
  <c r="F98" i="1"/>
  <c r="F99" i="1"/>
  <c r="F101" i="1"/>
  <c r="F102" i="1"/>
  <c r="F103" i="1"/>
  <c r="F105" i="1"/>
  <c r="F107" i="1"/>
  <c r="F108" i="1"/>
  <c r="F109" i="1"/>
  <c r="F111" i="1"/>
  <c r="F112" i="1"/>
  <c r="F113" i="1"/>
  <c r="F115" i="1"/>
  <c r="F116" i="1"/>
  <c r="F117" i="1"/>
  <c r="F119" i="1"/>
  <c r="F120" i="1"/>
  <c r="F121" i="1"/>
  <c r="F123" i="1"/>
  <c r="F124" i="1"/>
  <c r="F125" i="1"/>
  <c r="F127" i="1"/>
  <c r="F128" i="1"/>
  <c r="F129" i="1"/>
  <c r="F131" i="1"/>
  <c r="F132" i="1"/>
  <c r="F133" i="1"/>
  <c r="F135" i="1"/>
  <c r="F136" i="1"/>
  <c r="F137" i="1"/>
  <c r="F139" i="1"/>
  <c r="F141" i="1"/>
  <c r="F142" i="1"/>
  <c r="F143" i="1"/>
  <c r="F145" i="1"/>
  <c r="F146" i="1"/>
  <c r="F147" i="1"/>
  <c r="F149" i="1"/>
  <c r="F150" i="1"/>
  <c r="F151" i="1"/>
  <c r="F153" i="1"/>
  <c r="F154" i="1"/>
  <c r="F155" i="1"/>
  <c r="F157" i="1"/>
  <c r="F158" i="1"/>
  <c r="F159" i="1"/>
  <c r="F161" i="1"/>
  <c r="F162" i="1"/>
  <c r="F163" i="1"/>
  <c r="F165" i="1"/>
  <c r="F166" i="1"/>
  <c r="F167" i="1"/>
  <c r="F169" i="1"/>
  <c r="F170" i="1"/>
  <c r="F171" i="1"/>
  <c r="F173" i="1"/>
  <c r="F174" i="1"/>
  <c r="F175" i="1"/>
  <c r="F177" i="1"/>
  <c r="F178" i="1"/>
  <c r="F179" i="1"/>
  <c r="F181" i="1"/>
  <c r="F182" i="1"/>
  <c r="F183" i="1"/>
  <c r="F185" i="1"/>
  <c r="F186" i="1"/>
  <c r="F187" i="1"/>
  <c r="F189" i="1"/>
  <c r="F190" i="1"/>
  <c r="F191" i="1"/>
  <c r="F193" i="1"/>
  <c r="F194" i="1"/>
  <c r="F195" i="1"/>
  <c r="F197" i="1"/>
  <c r="F198" i="1"/>
  <c r="F199" i="1"/>
  <c r="F200" i="1"/>
  <c r="F201" i="1"/>
  <c r="F203" i="1"/>
  <c r="F204" i="1"/>
  <c r="F206" i="1"/>
  <c r="F207" i="1"/>
  <c r="F209" i="1"/>
  <c r="F210" i="1"/>
  <c r="F212" i="1"/>
  <c r="F213" i="1"/>
  <c r="F214" i="1"/>
  <c r="F216" i="1"/>
  <c r="F217" i="1"/>
  <c r="F5" i="1"/>
  <c r="D85" i="1"/>
  <c r="D6" i="1"/>
  <c r="D7" i="1"/>
  <c r="D9" i="1"/>
  <c r="D10" i="1"/>
  <c r="D11" i="1"/>
  <c r="D13" i="1"/>
  <c r="D14" i="1"/>
  <c r="D15" i="1"/>
  <c r="D17" i="1"/>
  <c r="D18" i="1"/>
  <c r="D19" i="1"/>
  <c r="D21" i="1"/>
  <c r="D22" i="1"/>
  <c r="D23" i="1"/>
  <c r="D25" i="1"/>
  <c r="D26" i="1"/>
  <c r="D27" i="1"/>
  <c r="D29" i="1"/>
  <c r="D30" i="1"/>
  <c r="D31" i="1"/>
  <c r="D33" i="1"/>
  <c r="D34" i="1"/>
  <c r="D35" i="1"/>
  <c r="D37" i="1"/>
  <c r="D39" i="1"/>
  <c r="D40" i="1"/>
  <c r="D41" i="1"/>
  <c r="D43" i="1"/>
  <c r="D44" i="1"/>
  <c r="D45" i="1"/>
  <c r="D47" i="1"/>
  <c r="D48" i="1"/>
  <c r="D49" i="1"/>
  <c r="D51" i="1"/>
  <c r="D52" i="1"/>
  <c r="D53" i="1"/>
  <c r="D55" i="1"/>
  <c r="D56" i="1"/>
  <c r="D57" i="1"/>
  <c r="D59" i="1"/>
  <c r="D60" i="1"/>
  <c r="D61" i="1"/>
  <c r="D63" i="1"/>
  <c r="D64" i="1"/>
  <c r="D65" i="1"/>
  <c r="D67" i="1"/>
  <c r="D68" i="1"/>
  <c r="D69" i="1"/>
  <c r="D71" i="1"/>
  <c r="D73" i="1"/>
  <c r="D74" i="1"/>
  <c r="D75" i="1"/>
  <c r="D77" i="1"/>
  <c r="D78" i="1"/>
  <c r="D79" i="1"/>
  <c r="D81" i="1"/>
  <c r="D82" i="1"/>
  <c r="D83" i="1"/>
  <c r="D86" i="1"/>
  <c r="D87" i="1"/>
  <c r="D89" i="1"/>
  <c r="D90" i="1"/>
  <c r="D91" i="1"/>
  <c r="D93" i="1"/>
  <c r="D94" i="1"/>
  <c r="D95" i="1"/>
  <c r="D97" i="1"/>
  <c r="D98" i="1"/>
  <c r="D99" i="1"/>
  <c r="D101" i="1"/>
  <c r="D102" i="1"/>
  <c r="D103" i="1"/>
  <c r="D105" i="1"/>
  <c r="D107" i="1"/>
  <c r="D108" i="1"/>
  <c r="D109" i="1"/>
  <c r="D111" i="1"/>
  <c r="D112" i="1"/>
  <c r="D113" i="1"/>
  <c r="D115" i="1"/>
  <c r="D116" i="1"/>
  <c r="D117" i="1"/>
  <c r="D119" i="1"/>
  <c r="D120" i="1"/>
  <c r="D121" i="1"/>
  <c r="D123" i="1"/>
  <c r="D124" i="1"/>
  <c r="D125" i="1"/>
  <c r="D127" i="1"/>
  <c r="D128" i="1"/>
  <c r="D129" i="1"/>
  <c r="D131" i="1"/>
  <c r="D132" i="1"/>
  <c r="D133" i="1"/>
  <c r="D135" i="1"/>
  <c r="D136" i="1"/>
  <c r="D137" i="1"/>
  <c r="D139" i="1"/>
  <c r="D141" i="1"/>
  <c r="D142" i="1"/>
  <c r="D143" i="1"/>
  <c r="D145" i="1"/>
  <c r="D146" i="1"/>
  <c r="D147" i="1"/>
  <c r="D149" i="1"/>
  <c r="D150" i="1"/>
  <c r="D151" i="1"/>
  <c r="D153" i="1"/>
  <c r="D154" i="1"/>
  <c r="D155" i="1"/>
  <c r="D157" i="1"/>
  <c r="D158" i="1"/>
  <c r="D159" i="1"/>
  <c r="D161" i="1"/>
  <c r="D162" i="1"/>
  <c r="D163" i="1"/>
  <c r="D165" i="1"/>
  <c r="D166" i="1"/>
  <c r="D167" i="1"/>
  <c r="D169" i="1"/>
  <c r="D170" i="1"/>
  <c r="D171" i="1"/>
  <c r="D173" i="1"/>
  <c r="D174" i="1"/>
  <c r="D175" i="1"/>
  <c r="D177" i="1"/>
  <c r="D178" i="1"/>
  <c r="D179" i="1"/>
  <c r="D181" i="1"/>
  <c r="D182" i="1"/>
  <c r="D183" i="1"/>
  <c r="D185" i="1"/>
  <c r="D186" i="1"/>
  <c r="D187" i="1"/>
  <c r="D189" i="1"/>
  <c r="D190" i="1"/>
  <c r="D191" i="1"/>
  <c r="D193" i="1"/>
  <c r="D194" i="1"/>
  <c r="D195" i="1"/>
  <c r="D197" i="1"/>
  <c r="D198" i="1"/>
  <c r="D199" i="1"/>
  <c r="D200" i="1"/>
  <c r="D201" i="1"/>
  <c r="D203" i="1"/>
  <c r="D204" i="1"/>
  <c r="D206" i="1"/>
  <c r="D207" i="1"/>
  <c r="D209" i="1"/>
  <c r="D210" i="1"/>
  <c r="D212" i="1"/>
  <c r="D213" i="1"/>
  <c r="D214" i="1"/>
  <c r="D216" i="1"/>
  <c r="D217" i="1"/>
  <c r="D5" i="1"/>
  <c r="B201" i="1"/>
  <c r="B5" i="1"/>
  <c r="B6" i="1"/>
  <c r="B7" i="1"/>
  <c r="B9" i="1"/>
  <c r="B10" i="1"/>
  <c r="B11" i="1"/>
  <c r="B13" i="1"/>
  <c r="B14" i="1"/>
  <c r="B15" i="1"/>
  <c r="B17" i="1"/>
  <c r="B18" i="1"/>
  <c r="B19" i="1"/>
  <c r="B21" i="1"/>
  <c r="B22" i="1"/>
  <c r="B23" i="1"/>
  <c r="B25" i="1"/>
  <c r="B26" i="1"/>
  <c r="B27" i="1"/>
  <c r="B29" i="1"/>
  <c r="B30" i="1"/>
  <c r="B31" i="1"/>
  <c r="B33" i="1"/>
  <c r="B34" i="1"/>
  <c r="B35" i="1"/>
  <c r="B37" i="1"/>
  <c r="B39" i="1"/>
  <c r="B40" i="1"/>
  <c r="B41" i="1"/>
  <c r="B43" i="1"/>
  <c r="B44" i="1"/>
  <c r="B45" i="1"/>
  <c r="B47" i="1"/>
  <c r="B48" i="1"/>
  <c r="B49" i="1"/>
  <c r="B51" i="1"/>
  <c r="B52" i="1"/>
  <c r="B53" i="1"/>
  <c r="B55" i="1"/>
  <c r="B56" i="1"/>
  <c r="B57" i="1"/>
  <c r="B59" i="1"/>
  <c r="B60" i="1"/>
  <c r="B61" i="1"/>
  <c r="B63" i="1"/>
  <c r="B64" i="1"/>
  <c r="B65" i="1"/>
  <c r="B67" i="1"/>
  <c r="B68" i="1"/>
  <c r="B69" i="1"/>
  <c r="B71" i="1"/>
  <c r="B73" i="1"/>
  <c r="B74" i="1"/>
  <c r="B75" i="1"/>
  <c r="B77" i="1"/>
  <c r="B78" i="1"/>
  <c r="B79" i="1"/>
  <c r="B81" i="1"/>
  <c r="B82" i="1"/>
  <c r="B83" i="1"/>
  <c r="B85" i="1"/>
  <c r="B86" i="1"/>
  <c r="B87" i="1"/>
  <c r="B89" i="1"/>
  <c r="B90" i="1"/>
  <c r="B91" i="1"/>
  <c r="B93" i="1"/>
  <c r="B94" i="1"/>
  <c r="B95" i="1"/>
  <c r="B97" i="1"/>
  <c r="B98" i="1"/>
  <c r="B99" i="1"/>
  <c r="B101" i="1"/>
  <c r="B102" i="1"/>
  <c r="B103" i="1"/>
  <c r="B105" i="1"/>
  <c r="B107" i="1"/>
  <c r="B108" i="1"/>
  <c r="B109" i="1"/>
  <c r="B111" i="1"/>
  <c r="B112" i="1"/>
  <c r="B113" i="1"/>
  <c r="B115" i="1"/>
  <c r="B116" i="1"/>
  <c r="B117" i="1"/>
  <c r="B119" i="1"/>
  <c r="B120" i="1"/>
  <c r="B121" i="1"/>
  <c r="B123" i="1"/>
  <c r="B124" i="1"/>
  <c r="B125" i="1"/>
  <c r="B127" i="1"/>
  <c r="B128" i="1"/>
  <c r="B129" i="1"/>
  <c r="B131" i="1"/>
  <c r="B132" i="1"/>
  <c r="B133" i="1"/>
  <c r="B135" i="1"/>
  <c r="B136" i="1"/>
  <c r="B137" i="1"/>
  <c r="B139" i="1"/>
  <c r="B141" i="1"/>
  <c r="B142" i="1"/>
  <c r="B143" i="1"/>
  <c r="B145" i="1"/>
  <c r="B146" i="1"/>
  <c r="B147" i="1"/>
  <c r="B149" i="1"/>
  <c r="B150" i="1"/>
  <c r="B151" i="1"/>
  <c r="B153" i="1"/>
  <c r="B154" i="1"/>
  <c r="B155" i="1"/>
  <c r="B157" i="1"/>
  <c r="B158" i="1"/>
  <c r="B159" i="1"/>
  <c r="B161" i="1"/>
  <c r="B162" i="1"/>
  <c r="B163" i="1"/>
  <c r="B165" i="1"/>
  <c r="B166" i="1"/>
  <c r="B167" i="1"/>
  <c r="B169" i="1"/>
  <c r="B170" i="1"/>
  <c r="B171" i="1"/>
  <c r="B173" i="1"/>
  <c r="B174" i="1"/>
  <c r="B175" i="1"/>
  <c r="B177" i="1"/>
  <c r="B178" i="1"/>
  <c r="B179" i="1"/>
  <c r="B181" i="1"/>
  <c r="B182" i="1"/>
  <c r="B183" i="1"/>
  <c r="B185" i="1"/>
  <c r="B186" i="1"/>
  <c r="B187" i="1"/>
  <c r="B189" i="1"/>
  <c r="B190" i="1"/>
  <c r="B191" i="1"/>
  <c r="B193" i="1"/>
  <c r="B194" i="1"/>
  <c r="B195" i="1"/>
  <c r="B197" i="1"/>
  <c r="B198" i="1"/>
  <c r="B199" i="1"/>
  <c r="B200" i="1"/>
  <c r="B203" i="1"/>
  <c r="B204" i="1"/>
  <c r="B206" i="1"/>
  <c r="B207" i="1"/>
  <c r="B209" i="1"/>
  <c r="B210" i="1"/>
  <c r="B212" i="1"/>
  <c r="B213" i="1"/>
  <c r="B214" i="1"/>
  <c r="B216" i="1"/>
  <c r="B217" i="1"/>
</calcChain>
</file>

<file path=xl/sharedStrings.xml><?xml version="1.0" encoding="utf-8"?>
<sst xmlns="http://schemas.openxmlformats.org/spreadsheetml/2006/main" count="1103" uniqueCount="61">
  <si>
    <t>States Plans</t>
  </si>
  <si>
    <t>FMO, MGA, GA</t>
  </si>
  <si>
    <t>Years</t>
  </si>
  <si>
    <t>Agent Years</t>
  </si>
  <si>
    <t>AL, LA, ME, NH</t>
  </si>
  <si>
    <t>B, C, F, G, Select G</t>
  </si>
  <si>
    <t>N, Select N</t>
  </si>
  <si>
    <t>A, K, L</t>
  </si>
  <si>
    <t>AK, HI, SD</t>
  </si>
  <si>
    <t>B, C, F, G</t>
  </si>
  <si>
    <t>N</t>
  </si>
  <si>
    <t>DC, ND, RI, WY</t>
  </si>
  <si>
    <t>MS, NE, NV</t>
  </si>
  <si>
    <t>B, C, D, F, G, Select G</t>
  </si>
  <si>
    <t>NM, UT, VA</t>
  </si>
  <si>
    <t>AR</t>
  </si>
  <si>
    <t>AZ</t>
  </si>
  <si>
    <t>CA</t>
  </si>
  <si>
    <t>CO</t>
  </si>
  <si>
    <t>All Plans</t>
  </si>
  <si>
    <t>NY</t>
  </si>
  <si>
    <t>OH</t>
  </si>
  <si>
    <t>OK</t>
  </si>
  <si>
    <t>OR</t>
  </si>
  <si>
    <t>PA - Area 1</t>
  </si>
  <si>
    <t>PA - Area 2</t>
  </si>
  <si>
    <t>PA - Area 3</t>
  </si>
  <si>
    <t>SC- Area 1</t>
  </si>
  <si>
    <t>SC- Area 2</t>
  </si>
  <si>
    <t>SC- Area 3</t>
  </si>
  <si>
    <t>TN</t>
  </si>
  <si>
    <t>TX- Area 1</t>
  </si>
  <si>
    <t>TX- Area 2</t>
  </si>
  <si>
    <t>TX- Area 3</t>
  </si>
  <si>
    <t>VT</t>
  </si>
  <si>
    <t>C, F</t>
  </si>
  <si>
    <t>B, G</t>
  </si>
  <si>
    <t>WI (not payable for riders) - Area 1</t>
  </si>
  <si>
    <t>MW</t>
  </si>
  <si>
    <t>NW</t>
  </si>
  <si>
    <t>WI (not payable for riders) - Area 2</t>
  </si>
  <si>
    <t>WI (not payable for riders) - Area 3</t>
  </si>
  <si>
    <t>WV</t>
  </si>
  <si>
    <t>GU, PR, VI</t>
  </si>
  <si>
    <t>B, C, F, G, N</t>
  </si>
  <si>
    <t>YR 2-6</t>
  </si>
  <si>
    <t>YR 7-10</t>
  </si>
  <si>
    <t>YR 11+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</si>
  <si>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</si>
  <si>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</si>
  <si>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</si>
  <si>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</si>
  <si>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</si>
  <si>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</si>
  <si>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</si>
  <si>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</si>
  <si>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</si>
  <si>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Column12</t>
  </si>
  <si>
    <t>Column10</t>
  </si>
  <si>
    <t>Column11</t>
  </si>
  <si>
    <t>Column13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</si>
</sst>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2" borderId="0" xfId="0" applyFill="1"/>
    <xf numFmtId="8" fontId="0" fillId="2" borderId="0" xfId="0" applyNumberFormat="1" applyFill="1"/>
    <xf numFmtId="0" fontId="0" fillId="0" borderId="0" xfId="0" applyFill="1"/>
    <xf numFmtId="0" fontId="0" fillId="3" borderId="0" xfId="0" applyFill="1"/>
    <xf numFmtId="8" fontId="0" fillId="3" borderId="0" xfId="0" applyNumberFormat="1" applyFill="1"/>
    <xf numFmtId="16" fontId="0" fillId="3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12">
    <dxf>
      <numFmt numFmtId="12" formatCode="&quot;$&quot;#,##0.00_);[Red]\(&quot;$&quot;#,##0.00\)"/>
      <fill>
        <patternFill patternType="solid">
          <fgColor indexed="64"/>
          <bgColor theme="5" tint="0.79998168889431442"/>
        </patternFill>
      </fill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  <fill>
        <patternFill patternType="solid">
          <fgColor indexed="64"/>
          <bgColor theme="5" tint="0.79998168889431442"/>
        </patternFill>
      </fill>
    </dxf>
    <dxf>
      <numFmt numFmtId="12" formatCode="&quot;$&quot;#,##0.00_);[Red]\(&quot;$&quot;#,##0.00\)"/>
    </dxf>
    <dxf>
      <numFmt numFmtId="12" formatCode="&quot;$&quot;#,##0.00_);[Red]\(&quot;$&quot;#,##0.00\)"/>
      <fill>
        <patternFill patternType="solid">
          <fgColor indexed="64"/>
          <bgColor theme="5" tint="0.79998168889431442"/>
        </patternFill>
      </fill>
    </dxf>
    <dxf>
      <numFmt numFmtId="12" formatCode="&quot;$&quot;#,##0.00_);[Red]\(&quot;$&quot;#,##0.00\)"/>
    </dxf>
    <dxf>
      <numFmt numFmtId="12" formatCode="&quot;$&quot;#,##0.00_);[Red]\(&quot;$&quot;#,##0.00\)"/>
      <fill>
        <patternFill patternType="solid">
          <fgColor indexed="64"/>
          <bgColor theme="5" tint="0.79998168889431442"/>
        </patternFill>
      </fill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FC10FB-7E17-41F9-8019-4674C8942F80}" name="Table3" displayName="Table3" ref="A1:M217" totalsRowShown="0">
  <autoFilter ref="A1:M217" xr:uid="{0FFC10FB-7E17-41F9-8019-4674C8942F80}"/>
  <tableColumns count="13">
    <tableColumn id="1" xr3:uid="{81A3C49D-1F0D-4898-B829-A5665C1EDC22}" name="Column1"/>
    <tableColumn id="10" xr3:uid="{5EABF2C8-1605-45C8-A20C-42978BB3C103}" name="Column2" dataDxfId="7">
      <calculatedColumnFormula>SUM(Table3[[#This Row],[Column3]]*3+Table3[[#This Row],[Column10]])</calculatedColumnFormula>
    </tableColumn>
    <tableColumn id="2" xr3:uid="{CF92A194-8050-4DE4-BF51-D9F73FD072D7}" name="Column3" dataDxfId="6"/>
    <tableColumn id="11" xr3:uid="{7FF58104-42C1-4E98-B1CE-6752018D2C36}" name="Column4" dataDxfId="5"/>
    <tableColumn id="3" xr3:uid="{4A87576D-C9BA-4471-AD2B-5AF01C2EC914}" name="Column5" dataDxfId="4"/>
    <tableColumn id="12" xr3:uid="{DD83871B-5E78-4D55-A600-17B7AA34779B}" name="Column6" dataDxfId="3"/>
    <tableColumn id="4" xr3:uid="{A670BD2E-28BC-49C5-A7A8-CAC8E045BA70}" name="Column7" dataDxfId="2"/>
    <tableColumn id="13" xr3:uid="{20DB0D7B-0FF6-498E-92FA-C345CC00D4B0}" name="Column8" dataDxfId="0"/>
    <tableColumn id="5" xr3:uid="{01328FD8-DBC4-4001-BD00-B9AF90FACCAB}" name="Column9" dataDxfId="1"/>
    <tableColumn id="6" xr3:uid="{E10AA274-8F18-490C-A79A-190BE5135DEC}" name="Column10" dataDxfId="11"/>
    <tableColumn id="7" xr3:uid="{83FC6B24-02F4-4ECA-9FA4-8167A2B21253}" name="Column11" dataDxfId="10"/>
    <tableColumn id="8" xr3:uid="{1D509A8D-82FB-43B4-B5E9-D3248FB6DA36}" name="Column12" dataDxfId="9"/>
    <tableColumn id="9" xr3:uid="{DF203495-04A2-4466-8BF8-7EE4E7B490FE}" name="Column13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007C-5C6A-4961-95FF-71D416B1F267}">
  <dimension ref="A1:M217"/>
  <sheetViews>
    <sheetView tabSelected="1" topLeftCell="A154" workbookViewId="0">
      <selection activeCell="B157" sqref="B157"/>
    </sheetView>
  </sheetViews>
  <sheetFormatPr defaultRowHeight="15" x14ac:dyDescent="0.25"/>
  <cols>
    <col min="1" max="1" width="21.140625" style="6" customWidth="1"/>
    <col min="2" max="2" width="24.28515625" style="6" customWidth="1"/>
    <col min="3" max="3" width="11.28515625" style="6" customWidth="1"/>
    <col min="4" max="4" width="13.7109375" style="6" customWidth="1"/>
    <col min="5" max="5" width="11.28515625" style="6" customWidth="1"/>
    <col min="6" max="6" width="14.85546875" style="6" customWidth="1"/>
    <col min="7" max="13" width="11.28515625" style="6" customWidth="1"/>
    <col min="14" max="16384" width="9.140625" style="6"/>
  </cols>
  <sheetData>
    <row r="1" spans="1:13" x14ac:dyDescent="0.25">
      <c r="A1" t="s">
        <v>48</v>
      </c>
      <c r="B1" s="7" t="s">
        <v>49</v>
      </c>
      <c r="C1" s="7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7" t="s">
        <v>55</v>
      </c>
      <c r="I1" s="7" t="s">
        <v>56</v>
      </c>
      <c r="J1" s="7" t="s">
        <v>58</v>
      </c>
      <c r="K1" s="9" t="s">
        <v>59</v>
      </c>
      <c r="L1" s="9" t="s">
        <v>57</v>
      </c>
      <c r="M1" s="7" t="s">
        <v>60</v>
      </c>
    </row>
    <row r="2" spans="1:13" x14ac:dyDescent="0.25">
      <c r="A2" s="7" t="s">
        <v>0</v>
      </c>
      <c r="B2" s="8"/>
      <c r="C2" s="7" t="s">
        <v>1</v>
      </c>
      <c r="D2" s="7"/>
      <c r="E2" s="7"/>
      <c r="F2" s="7"/>
      <c r="G2" s="7"/>
      <c r="H2" s="7"/>
      <c r="I2" s="7"/>
      <c r="J2" s="7" t="s">
        <v>3</v>
      </c>
      <c r="K2" s="7"/>
      <c r="L2" s="7"/>
      <c r="M2" s="7"/>
    </row>
    <row r="3" spans="1:13" x14ac:dyDescent="0.25">
      <c r="A3"/>
      <c r="B3" s="5"/>
      <c r="C3" t="s">
        <v>2</v>
      </c>
      <c r="D3" s="4"/>
      <c r="E3"/>
      <c r="F3" s="4"/>
      <c r="G3"/>
      <c r="H3" s="4"/>
      <c r="I3"/>
      <c r="J3"/>
      <c r="K3"/>
      <c r="L3"/>
      <c r="M3"/>
    </row>
    <row r="4" spans="1:13" x14ac:dyDescent="0.25">
      <c r="A4" s="7" t="s">
        <v>4</v>
      </c>
      <c r="B4" s="7">
        <v>1</v>
      </c>
      <c r="C4" s="7">
        <v>1</v>
      </c>
      <c r="D4" s="9" t="s">
        <v>45</v>
      </c>
      <c r="E4" s="9" t="s">
        <v>45</v>
      </c>
      <c r="F4" s="9" t="s">
        <v>46</v>
      </c>
      <c r="G4" s="9" t="s">
        <v>46</v>
      </c>
      <c r="H4" s="7" t="s">
        <v>47</v>
      </c>
      <c r="I4" s="7" t="s">
        <v>47</v>
      </c>
      <c r="J4" s="7">
        <v>1</v>
      </c>
      <c r="K4" s="9" t="s">
        <v>45</v>
      </c>
      <c r="L4" s="9" t="s">
        <v>46</v>
      </c>
      <c r="M4" s="7" t="s">
        <v>47</v>
      </c>
    </row>
    <row r="5" spans="1:13" x14ac:dyDescent="0.25">
      <c r="A5" t="s">
        <v>5</v>
      </c>
      <c r="B5" s="5">
        <f>SUM(Table3[[#This Row],[Column3]]*3+Table3[[#This Row],[Column10]])</f>
        <v>290</v>
      </c>
      <c r="C5" s="2">
        <v>16</v>
      </c>
      <c r="D5" s="5">
        <f>SUM(Table3[[#This Row],[Column5]]*3+Table3[[#This Row],[Column11]])</f>
        <v>290</v>
      </c>
      <c r="E5" s="2">
        <v>16</v>
      </c>
      <c r="F5" s="5">
        <f>SUM(Table3[[#This Row],[Column7]]*3+Table3[[#This Row],[Column12]])</f>
        <v>145</v>
      </c>
      <c r="G5" s="2">
        <v>8</v>
      </c>
      <c r="H5" s="5">
        <f>SUM(Table3[[#This Row],[Column9]]*3+Table3[[#This Row],[Column13]])</f>
        <v>58</v>
      </c>
      <c r="I5" s="2">
        <v>3.2</v>
      </c>
      <c r="J5" s="2">
        <v>242</v>
      </c>
      <c r="K5" s="2">
        <v>242</v>
      </c>
      <c r="L5" s="2">
        <v>121</v>
      </c>
      <c r="M5" s="2">
        <v>48.4</v>
      </c>
    </row>
    <row r="6" spans="1:13" x14ac:dyDescent="0.25">
      <c r="A6" t="s">
        <v>6</v>
      </c>
      <c r="B6" s="5">
        <f>SUM(Table3[[#This Row],[Column3]]*3+Table3[[#This Row],[Column10]])</f>
        <v>252</v>
      </c>
      <c r="C6" s="2">
        <v>14</v>
      </c>
      <c r="D6" s="5">
        <f>SUM(Table3[[#This Row],[Column5]]*3+Table3[[#This Row],[Column11]])</f>
        <v>252</v>
      </c>
      <c r="E6" s="2">
        <v>14</v>
      </c>
      <c r="F6" s="5">
        <f>SUM(Table3[[#This Row],[Column7]]*3+Table3[[#This Row],[Column12]])</f>
        <v>126</v>
      </c>
      <c r="G6" s="2">
        <v>7</v>
      </c>
      <c r="H6" s="5">
        <f>SUM(Table3[[#This Row],[Column9]]*3+Table3[[#This Row],[Column13]])</f>
        <v>50.4</v>
      </c>
      <c r="I6" s="2">
        <v>2.8</v>
      </c>
      <c r="J6" s="2">
        <v>210</v>
      </c>
      <c r="K6" s="2">
        <v>210</v>
      </c>
      <c r="L6" s="2">
        <v>105</v>
      </c>
      <c r="M6" s="2">
        <v>42</v>
      </c>
    </row>
    <row r="7" spans="1:13" x14ac:dyDescent="0.25">
      <c r="A7" t="s">
        <v>7</v>
      </c>
      <c r="B7" s="5">
        <f>SUM(Table3[[#This Row],[Column3]]*3+Table3[[#This Row],[Column10]])</f>
        <v>126</v>
      </c>
      <c r="C7" s="2">
        <v>7</v>
      </c>
      <c r="D7" s="5">
        <f>SUM(Table3[[#This Row],[Column5]]*3+Table3[[#This Row],[Column11]])</f>
        <v>126</v>
      </c>
      <c r="E7" s="2">
        <v>7</v>
      </c>
      <c r="F7" s="5">
        <f>SUM(Table3[[#This Row],[Column7]]*3+Table3[[#This Row],[Column12]])</f>
        <v>63</v>
      </c>
      <c r="G7" s="2">
        <v>3.5</v>
      </c>
      <c r="H7" s="5">
        <f>SUM(Table3[[#This Row],[Column9]]*3+Table3[[#This Row],[Column13]])</f>
        <v>25.2</v>
      </c>
      <c r="I7" s="2">
        <v>1.4</v>
      </c>
      <c r="J7" s="2">
        <v>105</v>
      </c>
      <c r="K7" s="2">
        <v>105</v>
      </c>
      <c r="L7" s="2">
        <v>52.5</v>
      </c>
      <c r="M7" s="2">
        <v>21</v>
      </c>
    </row>
    <row r="8" spans="1:13" x14ac:dyDescent="0.25">
      <c r="A8" s="7" t="s">
        <v>8</v>
      </c>
      <c r="B8" s="8"/>
      <c r="C8" s="7">
        <v>1</v>
      </c>
      <c r="D8" s="8"/>
      <c r="E8" s="9" t="s">
        <v>45</v>
      </c>
      <c r="F8" s="8"/>
      <c r="G8" s="9" t="s">
        <v>46</v>
      </c>
      <c r="H8" s="8"/>
      <c r="I8" s="7" t="s">
        <v>47</v>
      </c>
      <c r="J8" s="7">
        <v>1</v>
      </c>
      <c r="K8" s="9" t="s">
        <v>45</v>
      </c>
      <c r="L8" s="9" t="s">
        <v>46</v>
      </c>
      <c r="M8" s="7" t="s">
        <v>47</v>
      </c>
    </row>
    <row r="9" spans="1:13" x14ac:dyDescent="0.25">
      <c r="A9" t="s">
        <v>9</v>
      </c>
      <c r="B9" s="5">
        <f>SUM(Table3[[#This Row],[Column3]]*3+Table3[[#This Row],[Column10]])</f>
        <v>198</v>
      </c>
      <c r="C9" s="2">
        <v>11</v>
      </c>
      <c r="D9" s="5">
        <f>SUM(Table3[[#This Row],[Column5]]*3+Table3[[#This Row],[Column11]])</f>
        <v>198</v>
      </c>
      <c r="E9" s="2">
        <v>11</v>
      </c>
      <c r="F9" s="5">
        <f>SUM(Table3[[#This Row],[Column7]]*3+Table3[[#This Row],[Column12]])</f>
        <v>99</v>
      </c>
      <c r="G9" s="2">
        <v>5.5</v>
      </c>
      <c r="H9" s="5">
        <f>SUM(Table3[[#This Row],[Column9]]*3+Table3[[#This Row],[Column13]])</f>
        <v>39.6</v>
      </c>
      <c r="I9" s="2">
        <v>2.2000000000000002</v>
      </c>
      <c r="J9" s="2">
        <v>165</v>
      </c>
      <c r="K9" s="2">
        <v>165</v>
      </c>
      <c r="L9" s="2">
        <v>82.5</v>
      </c>
      <c r="M9" s="2">
        <v>33</v>
      </c>
    </row>
    <row r="10" spans="1:13" x14ac:dyDescent="0.25">
      <c r="A10" t="s">
        <v>10</v>
      </c>
      <c r="B10" s="5">
        <f>SUM(Table3[[#This Row],[Column3]]*3+Table3[[#This Row],[Column10]])</f>
        <v>180</v>
      </c>
      <c r="C10" s="2">
        <v>10</v>
      </c>
      <c r="D10" s="5">
        <f>SUM(Table3[[#This Row],[Column5]]*3+Table3[[#This Row],[Column11]])</f>
        <v>180</v>
      </c>
      <c r="E10" s="2">
        <v>10</v>
      </c>
      <c r="F10" s="5">
        <f>SUM(Table3[[#This Row],[Column7]]*3+Table3[[#This Row],[Column12]])</f>
        <v>90</v>
      </c>
      <c r="G10" s="2">
        <v>5</v>
      </c>
      <c r="H10" s="5">
        <f>SUM(Table3[[#This Row],[Column9]]*3+Table3[[#This Row],[Column13]])</f>
        <v>36</v>
      </c>
      <c r="I10" s="2">
        <v>2</v>
      </c>
      <c r="J10" s="2">
        <v>150</v>
      </c>
      <c r="K10" s="2">
        <v>150</v>
      </c>
      <c r="L10" s="2">
        <v>75</v>
      </c>
      <c r="M10" s="2">
        <v>30</v>
      </c>
    </row>
    <row r="11" spans="1:13" x14ac:dyDescent="0.25">
      <c r="A11" t="s">
        <v>7</v>
      </c>
      <c r="B11" s="5">
        <f>SUM(Table3[[#This Row],[Column3]]*3+Table3[[#This Row],[Column10]])</f>
        <v>90</v>
      </c>
      <c r="C11" s="2">
        <v>5</v>
      </c>
      <c r="D11" s="5">
        <f>SUM(Table3[[#This Row],[Column5]]*3+Table3[[#This Row],[Column11]])</f>
        <v>90</v>
      </c>
      <c r="E11" s="2">
        <v>5</v>
      </c>
      <c r="F11" s="5">
        <f>SUM(Table3[[#This Row],[Column7]]*3+Table3[[#This Row],[Column12]])</f>
        <v>45</v>
      </c>
      <c r="G11" s="2">
        <v>2.5</v>
      </c>
      <c r="H11" s="5">
        <f>SUM(Table3[[#This Row],[Column9]]*3+Table3[[#This Row],[Column13]])</f>
        <v>18</v>
      </c>
      <c r="I11" s="2">
        <v>1</v>
      </c>
      <c r="J11" s="2">
        <v>75</v>
      </c>
      <c r="K11" s="2">
        <v>75</v>
      </c>
      <c r="L11" s="2">
        <v>37.5</v>
      </c>
      <c r="M11" s="2">
        <v>15</v>
      </c>
    </row>
    <row r="12" spans="1:13" x14ac:dyDescent="0.25">
      <c r="A12" s="7" t="s">
        <v>11</v>
      </c>
      <c r="B12" s="8"/>
      <c r="C12" s="7">
        <v>1</v>
      </c>
      <c r="D12" s="8"/>
      <c r="E12" s="9" t="s">
        <v>45</v>
      </c>
      <c r="F12" s="8"/>
      <c r="G12" s="9" t="s">
        <v>46</v>
      </c>
      <c r="H12" s="8"/>
      <c r="I12" s="7" t="s">
        <v>47</v>
      </c>
      <c r="J12" s="7">
        <v>1</v>
      </c>
      <c r="K12" s="9" t="s">
        <v>45</v>
      </c>
      <c r="L12" s="9" t="s">
        <v>46</v>
      </c>
      <c r="M12" s="7" t="s">
        <v>47</v>
      </c>
    </row>
    <row r="13" spans="1:13" x14ac:dyDescent="0.25">
      <c r="A13" t="s">
        <v>9</v>
      </c>
      <c r="B13" s="5">
        <f>SUM(Table3[[#This Row],[Column3]]*3+Table3[[#This Row],[Column10]])</f>
        <v>234.25</v>
      </c>
      <c r="C13" s="2">
        <v>12.75</v>
      </c>
      <c r="D13" s="5">
        <f>SUM(Table3[[#This Row],[Column5]]*3+Table3[[#This Row],[Column11]])</f>
        <v>234.25</v>
      </c>
      <c r="E13" s="2">
        <v>12.75</v>
      </c>
      <c r="F13" s="5">
        <f>SUM(Table3[[#This Row],[Column7]]*3+Table3[[#This Row],[Column12]])</f>
        <v>117.14</v>
      </c>
      <c r="G13" s="2">
        <v>6.38</v>
      </c>
      <c r="H13" s="5">
        <f>SUM(Table3[[#This Row],[Column9]]*3+Table3[[#This Row],[Column13]])</f>
        <v>46.85</v>
      </c>
      <c r="I13" s="2">
        <v>2.5499999999999998</v>
      </c>
      <c r="J13" s="2">
        <v>196</v>
      </c>
      <c r="K13" s="2">
        <v>196</v>
      </c>
      <c r="L13" s="2">
        <v>98</v>
      </c>
      <c r="M13" s="2">
        <v>39.200000000000003</v>
      </c>
    </row>
    <row r="14" spans="1:13" x14ac:dyDescent="0.25">
      <c r="A14" t="s">
        <v>10</v>
      </c>
      <c r="B14" s="5">
        <f>SUM(Table3[[#This Row],[Column3]]*3+Table3[[#This Row],[Column10]])</f>
        <v>203</v>
      </c>
      <c r="C14" s="2">
        <v>11</v>
      </c>
      <c r="D14" s="5">
        <f>SUM(Table3[[#This Row],[Column5]]*3+Table3[[#This Row],[Column11]])</f>
        <v>203</v>
      </c>
      <c r="E14" s="2">
        <v>11</v>
      </c>
      <c r="F14" s="5">
        <f>SUM(Table3[[#This Row],[Column7]]*3+Table3[[#This Row],[Column12]])</f>
        <v>101.5</v>
      </c>
      <c r="G14" s="2">
        <v>5.5</v>
      </c>
      <c r="H14" s="5">
        <f>SUM(Table3[[#This Row],[Column9]]*3+Table3[[#This Row],[Column13]])</f>
        <v>40.6</v>
      </c>
      <c r="I14" s="2">
        <v>2.2000000000000002</v>
      </c>
      <c r="J14" s="2">
        <v>170</v>
      </c>
      <c r="K14" s="2">
        <v>170</v>
      </c>
      <c r="L14" s="2">
        <v>85</v>
      </c>
      <c r="M14" s="2">
        <v>34</v>
      </c>
    </row>
    <row r="15" spans="1:13" x14ac:dyDescent="0.25">
      <c r="A15" t="s">
        <v>7</v>
      </c>
      <c r="B15" s="5">
        <f>SUM(Table3[[#This Row],[Column3]]*3+Table3[[#This Row],[Column10]])</f>
        <v>101.5</v>
      </c>
      <c r="C15" s="2">
        <v>5.5</v>
      </c>
      <c r="D15" s="5">
        <f>SUM(Table3[[#This Row],[Column5]]*3+Table3[[#This Row],[Column11]])</f>
        <v>101.5</v>
      </c>
      <c r="E15" s="2">
        <v>5.5</v>
      </c>
      <c r="F15" s="5">
        <f>SUM(Table3[[#This Row],[Column7]]*3+Table3[[#This Row],[Column12]])</f>
        <v>50.75</v>
      </c>
      <c r="G15" s="2">
        <v>2.75</v>
      </c>
      <c r="H15" s="5">
        <f>SUM(Table3[[#This Row],[Column9]]*3+Table3[[#This Row],[Column13]])</f>
        <v>20.3</v>
      </c>
      <c r="I15" s="2">
        <v>1.1000000000000001</v>
      </c>
      <c r="J15" s="2">
        <v>85</v>
      </c>
      <c r="K15" s="2">
        <v>85</v>
      </c>
      <c r="L15" s="2">
        <v>42.5</v>
      </c>
      <c r="M15" s="2">
        <v>17</v>
      </c>
    </row>
    <row r="16" spans="1:13" x14ac:dyDescent="0.25">
      <c r="A16" s="7" t="s">
        <v>12</v>
      </c>
      <c r="B16" s="8"/>
      <c r="C16" s="7">
        <v>1</v>
      </c>
      <c r="D16" s="8"/>
      <c r="E16" s="9" t="s">
        <v>45</v>
      </c>
      <c r="F16" s="8"/>
      <c r="G16" s="9" t="s">
        <v>46</v>
      </c>
      <c r="H16" s="8"/>
      <c r="I16" s="7" t="s">
        <v>47</v>
      </c>
      <c r="J16" s="7">
        <v>1</v>
      </c>
      <c r="K16" s="9" t="s">
        <v>45</v>
      </c>
      <c r="L16" s="9" t="s">
        <v>46</v>
      </c>
      <c r="M16" s="7" t="s">
        <v>47</v>
      </c>
    </row>
    <row r="17" spans="1:13" x14ac:dyDescent="0.25">
      <c r="A17" t="s">
        <v>13</v>
      </c>
      <c r="B17" s="5">
        <f>SUM(Table3[[#This Row],[Column3]]*3+Table3[[#This Row],[Column10]])</f>
        <v>453</v>
      </c>
      <c r="C17" s="2">
        <v>25</v>
      </c>
      <c r="D17" s="5">
        <f>SUM(Table3[[#This Row],[Column5]]*3+Table3[[#This Row],[Column11]])</f>
        <v>290</v>
      </c>
      <c r="E17" s="2">
        <v>16</v>
      </c>
      <c r="F17" s="5">
        <f>SUM(Table3[[#This Row],[Column7]]*3+Table3[[#This Row],[Column12]])</f>
        <v>145</v>
      </c>
      <c r="G17" s="2">
        <v>8</v>
      </c>
      <c r="H17" s="5">
        <f>SUM(Table3[[#This Row],[Column9]]*3+Table3[[#This Row],[Column13]])</f>
        <v>58</v>
      </c>
      <c r="I17" s="2">
        <v>3.2</v>
      </c>
      <c r="J17" s="2">
        <v>378</v>
      </c>
      <c r="K17" s="2">
        <v>242</v>
      </c>
      <c r="L17" s="2">
        <v>121</v>
      </c>
      <c r="M17" s="2">
        <v>48.4</v>
      </c>
    </row>
    <row r="18" spans="1:13" x14ac:dyDescent="0.25">
      <c r="A18" t="s">
        <v>6</v>
      </c>
      <c r="B18" s="5">
        <f>SUM(Table3[[#This Row],[Column3]]*3+Table3[[#This Row],[Column10]])</f>
        <v>252</v>
      </c>
      <c r="C18" s="2">
        <v>14</v>
      </c>
      <c r="D18" s="5">
        <f>SUM(Table3[[#This Row],[Column5]]*3+Table3[[#This Row],[Column11]])</f>
        <v>252</v>
      </c>
      <c r="E18" s="2">
        <v>14</v>
      </c>
      <c r="F18" s="5">
        <f>SUM(Table3[[#This Row],[Column7]]*3+Table3[[#This Row],[Column12]])</f>
        <v>126</v>
      </c>
      <c r="G18" s="2">
        <v>7</v>
      </c>
      <c r="H18" s="5">
        <f>SUM(Table3[[#This Row],[Column9]]*3+Table3[[#This Row],[Column13]])</f>
        <v>50.4</v>
      </c>
      <c r="I18" s="2">
        <v>2.8</v>
      </c>
      <c r="J18" s="2">
        <v>210</v>
      </c>
      <c r="K18" s="2">
        <v>210</v>
      </c>
      <c r="L18" s="2">
        <v>105</v>
      </c>
      <c r="M18" s="2">
        <v>42</v>
      </c>
    </row>
    <row r="19" spans="1:13" x14ac:dyDescent="0.25">
      <c r="A19" t="s">
        <v>7</v>
      </c>
      <c r="B19" s="5">
        <f>SUM(Table3[[#This Row],[Column3]]*3+Table3[[#This Row],[Column10]])</f>
        <v>126</v>
      </c>
      <c r="C19" s="2">
        <v>7</v>
      </c>
      <c r="D19" s="5">
        <f>SUM(Table3[[#This Row],[Column5]]*3+Table3[[#This Row],[Column11]])</f>
        <v>126</v>
      </c>
      <c r="E19" s="2">
        <v>7</v>
      </c>
      <c r="F19" s="5">
        <f>SUM(Table3[[#This Row],[Column7]]*3+Table3[[#This Row],[Column12]])</f>
        <v>63</v>
      </c>
      <c r="G19" s="2">
        <v>3.5</v>
      </c>
      <c r="H19" s="5">
        <f>SUM(Table3[[#This Row],[Column9]]*3+Table3[[#This Row],[Column13]])</f>
        <v>25.2</v>
      </c>
      <c r="I19" s="2">
        <v>1.4</v>
      </c>
      <c r="J19" s="2">
        <v>105</v>
      </c>
      <c r="K19" s="2">
        <v>105</v>
      </c>
      <c r="L19" s="2">
        <v>52.5</v>
      </c>
      <c r="M19" s="2">
        <v>21</v>
      </c>
    </row>
    <row r="20" spans="1:13" x14ac:dyDescent="0.25">
      <c r="A20" s="7" t="s">
        <v>14</v>
      </c>
      <c r="B20" s="8"/>
      <c r="C20" s="7">
        <v>1</v>
      </c>
      <c r="D20" s="8"/>
      <c r="E20" s="9" t="s">
        <v>45</v>
      </c>
      <c r="F20" s="8"/>
      <c r="G20" s="9" t="s">
        <v>46</v>
      </c>
      <c r="H20" s="8"/>
      <c r="I20" s="7" t="s">
        <v>47</v>
      </c>
      <c r="J20" s="7">
        <v>1</v>
      </c>
      <c r="K20" s="9" t="s">
        <v>45</v>
      </c>
      <c r="L20" s="9" t="s">
        <v>46</v>
      </c>
      <c r="M20" s="7" t="s">
        <v>47</v>
      </c>
    </row>
    <row r="21" spans="1:13" x14ac:dyDescent="0.25">
      <c r="A21" t="s">
        <v>5</v>
      </c>
      <c r="B21" s="5">
        <f>SUM(Table3[[#This Row],[Column3]]*3+Table3[[#This Row],[Column10]])</f>
        <v>400.25</v>
      </c>
      <c r="C21" s="2">
        <v>22.75</v>
      </c>
      <c r="D21" s="5">
        <f>SUM(Table3[[#This Row],[Column5]]*3+Table3[[#This Row],[Column11]])</f>
        <v>264</v>
      </c>
      <c r="E21" s="2">
        <v>15</v>
      </c>
      <c r="F21" s="5">
        <f>SUM(Table3[[#This Row],[Column7]]*3+Table3[[#This Row],[Column12]])</f>
        <v>132</v>
      </c>
      <c r="G21" s="2">
        <v>7.5</v>
      </c>
      <c r="H21" s="5">
        <f>SUM(Table3[[#This Row],[Column9]]*3+Table3[[#This Row],[Column13]])</f>
        <v>52.8</v>
      </c>
      <c r="I21" s="2">
        <v>3</v>
      </c>
      <c r="J21" s="2">
        <v>332</v>
      </c>
      <c r="K21" s="2">
        <v>219</v>
      </c>
      <c r="L21" s="2">
        <v>109.5</v>
      </c>
      <c r="M21" s="2">
        <v>43.8</v>
      </c>
    </row>
    <row r="22" spans="1:13" x14ac:dyDescent="0.25">
      <c r="A22" t="s">
        <v>6</v>
      </c>
      <c r="B22" s="5">
        <f>SUM(Table3[[#This Row],[Column3]]*3+Table3[[#This Row],[Column10]])</f>
        <v>229</v>
      </c>
      <c r="C22" s="2">
        <v>13</v>
      </c>
      <c r="D22" s="5">
        <f>SUM(Table3[[#This Row],[Column5]]*3+Table3[[#This Row],[Column11]])</f>
        <v>229</v>
      </c>
      <c r="E22" s="2">
        <v>13</v>
      </c>
      <c r="F22" s="5">
        <f>SUM(Table3[[#This Row],[Column7]]*3+Table3[[#This Row],[Column12]])</f>
        <v>114.5</v>
      </c>
      <c r="G22" s="2">
        <v>6.5</v>
      </c>
      <c r="H22" s="5">
        <f>SUM(Table3[[#This Row],[Column9]]*3+Table3[[#This Row],[Column13]])</f>
        <v>45.8</v>
      </c>
      <c r="I22" s="2">
        <v>2.6</v>
      </c>
      <c r="J22" s="2">
        <v>190</v>
      </c>
      <c r="K22" s="2">
        <v>190</v>
      </c>
      <c r="L22" s="2">
        <v>95</v>
      </c>
      <c r="M22" s="2">
        <v>38</v>
      </c>
    </row>
    <row r="23" spans="1:13" x14ac:dyDescent="0.25">
      <c r="A23" t="s">
        <v>7</v>
      </c>
      <c r="B23" s="5">
        <f>SUM(Table3[[#This Row],[Column3]]*3+Table3[[#This Row],[Column10]])</f>
        <v>114.5</v>
      </c>
      <c r="C23" s="2">
        <v>6.5</v>
      </c>
      <c r="D23" s="5">
        <f>SUM(Table3[[#This Row],[Column5]]*3+Table3[[#This Row],[Column11]])</f>
        <v>114.5</v>
      </c>
      <c r="E23" s="2">
        <v>6.5</v>
      </c>
      <c r="F23" s="5">
        <f>SUM(Table3[[#This Row],[Column7]]*3+Table3[[#This Row],[Column12]])</f>
        <v>57.25</v>
      </c>
      <c r="G23" s="2">
        <v>3.25</v>
      </c>
      <c r="H23" s="5">
        <f>SUM(Table3[[#This Row],[Column9]]*3+Table3[[#This Row],[Column13]])</f>
        <v>22.9</v>
      </c>
      <c r="I23" s="2">
        <v>1.3</v>
      </c>
      <c r="J23" s="2">
        <v>95</v>
      </c>
      <c r="K23" s="2">
        <v>95</v>
      </c>
      <c r="L23" s="2">
        <v>47.5</v>
      </c>
      <c r="M23" s="2">
        <v>19</v>
      </c>
    </row>
    <row r="24" spans="1:13" x14ac:dyDescent="0.25">
      <c r="A24" s="7" t="s">
        <v>15</v>
      </c>
      <c r="B24" s="8"/>
      <c r="C24" s="7">
        <v>1</v>
      </c>
      <c r="D24" s="8"/>
      <c r="E24" s="9" t="s">
        <v>45</v>
      </c>
      <c r="F24" s="8"/>
      <c r="G24" s="9" t="s">
        <v>46</v>
      </c>
      <c r="H24" s="8"/>
      <c r="I24" s="7" t="s">
        <v>47</v>
      </c>
      <c r="J24" s="7">
        <v>1</v>
      </c>
      <c r="K24" s="9" t="s">
        <v>45</v>
      </c>
      <c r="L24" s="9" t="s">
        <v>46</v>
      </c>
      <c r="M24" s="7" t="s">
        <v>47</v>
      </c>
    </row>
    <row r="25" spans="1:13" x14ac:dyDescent="0.25">
      <c r="A25" t="s">
        <v>5</v>
      </c>
      <c r="B25" s="5">
        <f>SUM(Table3[[#This Row],[Column3]]*3+Table3[[#This Row],[Column10]])</f>
        <v>360</v>
      </c>
      <c r="C25" s="2">
        <v>20</v>
      </c>
      <c r="D25" s="5">
        <f>SUM(Table3[[#This Row],[Column5]]*3+Table3[[#This Row],[Column11]])</f>
        <v>360</v>
      </c>
      <c r="E25" s="2">
        <v>20</v>
      </c>
      <c r="F25" s="5">
        <f>SUM(Table3[[#This Row],[Column7]]*3+Table3[[#This Row],[Column12]])</f>
        <v>48.25</v>
      </c>
      <c r="G25" s="2">
        <v>2.75</v>
      </c>
      <c r="H25" s="5">
        <f>SUM(Table3[[#This Row],[Column9]]*3+Table3[[#This Row],[Column13]])</f>
        <v>48.25</v>
      </c>
      <c r="I25" s="2">
        <v>2.75</v>
      </c>
      <c r="J25" s="2">
        <v>300</v>
      </c>
      <c r="K25" s="2">
        <v>300</v>
      </c>
      <c r="L25" s="2">
        <v>40</v>
      </c>
      <c r="M25" s="2">
        <v>40</v>
      </c>
    </row>
    <row r="26" spans="1:13" x14ac:dyDescent="0.25">
      <c r="A26" t="s">
        <v>6</v>
      </c>
      <c r="B26" s="5">
        <f>SUM(Table3[[#This Row],[Column3]]*3+Table3[[#This Row],[Column10]])</f>
        <v>329.75</v>
      </c>
      <c r="C26" s="2">
        <v>18.25</v>
      </c>
      <c r="D26" s="5">
        <f>SUM(Table3[[#This Row],[Column5]]*3+Table3[[#This Row],[Column11]])</f>
        <v>329.75</v>
      </c>
      <c r="E26" s="2">
        <v>18.25</v>
      </c>
      <c r="F26" s="5">
        <f>SUM(Table3[[#This Row],[Column7]]*3+Table3[[#This Row],[Column12]])</f>
        <v>36</v>
      </c>
      <c r="G26" s="2">
        <v>2</v>
      </c>
      <c r="H26" s="5">
        <f>SUM(Table3[[#This Row],[Column9]]*3+Table3[[#This Row],[Column13]])</f>
        <v>36</v>
      </c>
      <c r="I26" s="2">
        <v>2</v>
      </c>
      <c r="J26" s="2">
        <v>275</v>
      </c>
      <c r="K26" s="2">
        <v>275</v>
      </c>
      <c r="L26" s="2">
        <v>30</v>
      </c>
      <c r="M26" s="2">
        <v>30</v>
      </c>
    </row>
    <row r="27" spans="1:13" x14ac:dyDescent="0.25">
      <c r="A27" t="s">
        <v>7</v>
      </c>
      <c r="B27" s="5">
        <f>SUM(Table3[[#This Row],[Column3]]*3+Table3[[#This Row],[Column10]])</f>
        <v>165.25</v>
      </c>
      <c r="C27" s="2">
        <v>9.25</v>
      </c>
      <c r="D27" s="5">
        <f>SUM(Table3[[#This Row],[Column5]]*3+Table3[[#This Row],[Column11]])</f>
        <v>165.25</v>
      </c>
      <c r="E27" s="2">
        <v>9.25</v>
      </c>
      <c r="F27" s="5">
        <f>SUM(Table3[[#This Row],[Column7]]*3+Table3[[#This Row],[Column12]])</f>
        <v>18</v>
      </c>
      <c r="G27" s="2">
        <v>1</v>
      </c>
      <c r="H27" s="5">
        <f>SUM(Table3[[#This Row],[Column9]]*3+Table3[[#This Row],[Column13]])</f>
        <v>18</v>
      </c>
      <c r="I27" s="2">
        <v>1</v>
      </c>
      <c r="J27" s="2">
        <v>137.5</v>
      </c>
      <c r="K27" s="2">
        <v>137.5</v>
      </c>
      <c r="L27" s="2">
        <v>15</v>
      </c>
      <c r="M27" s="2">
        <v>15</v>
      </c>
    </row>
    <row r="28" spans="1:13" x14ac:dyDescent="0.25">
      <c r="A28" s="7" t="s">
        <v>16</v>
      </c>
      <c r="B28" s="8"/>
      <c r="C28" s="7">
        <v>1</v>
      </c>
      <c r="D28" s="8"/>
      <c r="E28" s="9" t="s">
        <v>45</v>
      </c>
      <c r="F28" s="8"/>
      <c r="G28" s="9" t="s">
        <v>46</v>
      </c>
      <c r="H28" s="8"/>
      <c r="I28" s="7" t="s">
        <v>47</v>
      </c>
      <c r="J28" s="7">
        <v>1</v>
      </c>
      <c r="K28" s="9" t="s">
        <v>45</v>
      </c>
      <c r="L28" s="9" t="s">
        <v>46</v>
      </c>
      <c r="M28" s="7" t="s">
        <v>47</v>
      </c>
    </row>
    <row r="29" spans="1:13" x14ac:dyDescent="0.25">
      <c r="A29" t="s">
        <v>5</v>
      </c>
      <c r="B29" s="5">
        <f>SUM(Table3[[#This Row],[Column3]]*3+Table3[[#This Row],[Column10]])</f>
        <v>372.25</v>
      </c>
      <c r="C29" s="2">
        <v>20.75</v>
      </c>
      <c r="D29" s="5">
        <f>SUM(Table3[[#This Row],[Column5]]*3+Table3[[#This Row],[Column11]])</f>
        <v>372.25</v>
      </c>
      <c r="E29" s="2">
        <v>20.75</v>
      </c>
      <c r="F29" s="5">
        <f>SUM(Table3[[#This Row],[Column7]]*3+Table3[[#This Row],[Column12]])</f>
        <v>48.25</v>
      </c>
      <c r="G29" s="2">
        <v>2.75</v>
      </c>
      <c r="H29" s="5">
        <f>SUM(Table3[[#This Row],[Column9]]*3+Table3[[#This Row],[Column13]])</f>
        <v>48.25</v>
      </c>
      <c r="I29" s="2">
        <v>2.75</v>
      </c>
      <c r="J29" s="2">
        <v>310</v>
      </c>
      <c r="K29" s="2">
        <v>310</v>
      </c>
      <c r="L29" s="2">
        <v>40</v>
      </c>
      <c r="M29" s="2">
        <v>40</v>
      </c>
    </row>
    <row r="30" spans="1:13" x14ac:dyDescent="0.25">
      <c r="A30" t="s">
        <v>6</v>
      </c>
      <c r="B30" s="5">
        <f>SUM(Table3[[#This Row],[Column3]]*3+Table3[[#This Row],[Column10]])</f>
        <v>300.25</v>
      </c>
      <c r="C30" s="2">
        <v>16.75</v>
      </c>
      <c r="D30" s="5">
        <f>SUM(Table3[[#This Row],[Column5]]*3+Table3[[#This Row],[Column11]])</f>
        <v>300.25</v>
      </c>
      <c r="E30" s="2">
        <v>16.75</v>
      </c>
      <c r="F30" s="5">
        <f>SUM(Table3[[#This Row],[Column7]]*3+Table3[[#This Row],[Column12]])</f>
        <v>36</v>
      </c>
      <c r="G30" s="2">
        <v>2</v>
      </c>
      <c r="H30" s="5">
        <f>SUM(Table3[[#This Row],[Column9]]*3+Table3[[#This Row],[Column13]])</f>
        <v>36</v>
      </c>
      <c r="I30" s="2">
        <v>2</v>
      </c>
      <c r="J30" s="2">
        <v>250</v>
      </c>
      <c r="K30" s="2">
        <v>250</v>
      </c>
      <c r="L30" s="2">
        <v>30</v>
      </c>
      <c r="M30" s="2">
        <v>30</v>
      </c>
    </row>
    <row r="31" spans="1:13" x14ac:dyDescent="0.25">
      <c r="A31" t="s">
        <v>7</v>
      </c>
      <c r="B31" s="5">
        <f>SUM(Table3[[#This Row],[Column3]]*3+Table3[[#This Row],[Column10]])</f>
        <v>126</v>
      </c>
      <c r="C31" s="2">
        <v>7</v>
      </c>
      <c r="D31" s="5">
        <f>SUM(Table3[[#This Row],[Column5]]*3+Table3[[#This Row],[Column11]])</f>
        <v>126</v>
      </c>
      <c r="E31" s="2">
        <v>7</v>
      </c>
      <c r="F31" s="5">
        <f>SUM(Table3[[#This Row],[Column7]]*3+Table3[[#This Row],[Column12]])</f>
        <v>18</v>
      </c>
      <c r="G31" s="2">
        <v>1</v>
      </c>
      <c r="H31" s="5">
        <f>SUM(Table3[[#This Row],[Column9]]*3+Table3[[#This Row],[Column13]])</f>
        <v>18</v>
      </c>
      <c r="I31" s="2">
        <v>1</v>
      </c>
      <c r="J31" s="2">
        <v>105</v>
      </c>
      <c r="K31" s="2">
        <v>105</v>
      </c>
      <c r="L31" s="2">
        <v>15</v>
      </c>
      <c r="M31" s="2">
        <v>15</v>
      </c>
    </row>
    <row r="32" spans="1:13" x14ac:dyDescent="0.25">
      <c r="A32" s="7" t="s">
        <v>17</v>
      </c>
      <c r="B32" s="8"/>
      <c r="C32" s="7">
        <v>1</v>
      </c>
      <c r="D32" s="8"/>
      <c r="E32" s="9" t="s">
        <v>45</v>
      </c>
      <c r="F32" s="8"/>
      <c r="G32" s="9" t="s">
        <v>46</v>
      </c>
      <c r="H32" s="8"/>
      <c r="I32" s="7" t="s">
        <v>47</v>
      </c>
      <c r="J32" s="7">
        <v>1</v>
      </c>
      <c r="K32" s="9" t="s">
        <v>45</v>
      </c>
      <c r="L32" s="9" t="s">
        <v>46</v>
      </c>
      <c r="M32" s="7" t="s">
        <v>47</v>
      </c>
    </row>
    <row r="33" spans="1:13" x14ac:dyDescent="0.25">
      <c r="A33" t="s">
        <v>9</v>
      </c>
      <c r="B33" s="5">
        <f>SUM(Table3[[#This Row],[Column3]]*3+Table3[[#This Row],[Column10]])</f>
        <v>396.75</v>
      </c>
      <c r="C33" s="2">
        <v>17.25</v>
      </c>
      <c r="D33" s="5">
        <f>SUM(Table3[[#This Row],[Column5]]*3+Table3[[#This Row],[Column11]])</f>
        <v>396.75</v>
      </c>
      <c r="E33" s="2">
        <v>17.25</v>
      </c>
      <c r="F33" s="5">
        <f>SUM(Table3[[#This Row],[Column7]]*3+Table3[[#This Row],[Column12]])</f>
        <v>198.39</v>
      </c>
      <c r="G33" s="2">
        <v>8.6300000000000008</v>
      </c>
      <c r="H33" s="5">
        <f>SUM(Table3[[#This Row],[Column9]]*3+Table3[[#This Row],[Column13]])</f>
        <v>79.349999999999994</v>
      </c>
      <c r="I33" s="2">
        <v>3.45</v>
      </c>
      <c r="J33" s="2">
        <v>345</v>
      </c>
      <c r="K33" s="2">
        <v>345</v>
      </c>
      <c r="L33" s="2">
        <v>172.5</v>
      </c>
      <c r="M33" s="2">
        <v>69</v>
      </c>
    </row>
    <row r="34" spans="1:13" x14ac:dyDescent="0.25">
      <c r="A34" t="s">
        <v>10</v>
      </c>
      <c r="B34" s="5">
        <f>SUM(Table3[[#This Row],[Column3]]*3+Table3[[#This Row],[Column10]])</f>
        <v>345</v>
      </c>
      <c r="C34" s="2">
        <v>15</v>
      </c>
      <c r="D34" s="5">
        <f>SUM(Table3[[#This Row],[Column5]]*3+Table3[[#This Row],[Column11]])</f>
        <v>345</v>
      </c>
      <c r="E34" s="2">
        <v>15</v>
      </c>
      <c r="F34" s="5">
        <f>SUM(Table3[[#This Row],[Column7]]*3+Table3[[#This Row],[Column12]])</f>
        <v>172.5</v>
      </c>
      <c r="G34" s="2">
        <v>7.5</v>
      </c>
      <c r="H34" s="5">
        <f>SUM(Table3[[#This Row],[Column9]]*3+Table3[[#This Row],[Column13]])</f>
        <v>69</v>
      </c>
      <c r="I34" s="2">
        <v>3</v>
      </c>
      <c r="J34" s="2">
        <v>300</v>
      </c>
      <c r="K34" s="2">
        <v>300</v>
      </c>
      <c r="L34" s="2">
        <v>150</v>
      </c>
      <c r="M34" s="2">
        <v>60</v>
      </c>
    </row>
    <row r="35" spans="1:13" x14ac:dyDescent="0.25">
      <c r="A35" t="s">
        <v>7</v>
      </c>
      <c r="B35" s="5">
        <f>SUM(Table3[[#This Row],[Column3]]*3+Table3[[#This Row],[Column10]])</f>
        <v>172.5</v>
      </c>
      <c r="C35" s="2">
        <v>7.5</v>
      </c>
      <c r="D35" s="5">
        <f>SUM(Table3[[#This Row],[Column5]]*3+Table3[[#This Row],[Column11]])</f>
        <v>172.5</v>
      </c>
      <c r="E35" s="2">
        <v>7.5</v>
      </c>
      <c r="F35" s="5">
        <f>SUM(Table3[[#This Row],[Column7]]*3+Table3[[#This Row],[Column12]])</f>
        <v>86.25</v>
      </c>
      <c r="G35" s="2">
        <v>3.75</v>
      </c>
      <c r="H35" s="5">
        <f>SUM(Table3[[#This Row],[Column9]]*3+Table3[[#This Row],[Column13]])</f>
        <v>34.5</v>
      </c>
      <c r="I35" s="2">
        <v>1.5</v>
      </c>
      <c r="J35" s="2">
        <v>150</v>
      </c>
      <c r="K35" s="2">
        <v>150</v>
      </c>
      <c r="L35" s="2">
        <v>75</v>
      </c>
      <c r="M35" s="2">
        <v>30</v>
      </c>
    </row>
    <row r="36" spans="1:13" x14ac:dyDescent="0.25">
      <c r="A36" s="7" t="s">
        <v>18</v>
      </c>
      <c r="B36" s="8"/>
      <c r="C36" s="7">
        <v>1</v>
      </c>
      <c r="D36" s="8"/>
      <c r="E36" s="9" t="s">
        <v>45</v>
      </c>
      <c r="F36" s="8"/>
      <c r="G36" s="9" t="s">
        <v>46</v>
      </c>
      <c r="H36" s="8"/>
      <c r="I36" s="7" t="s">
        <v>47</v>
      </c>
      <c r="J36" s="7">
        <v>1</v>
      </c>
      <c r="K36" s="9" t="s">
        <v>45</v>
      </c>
      <c r="L36" s="9" t="s">
        <v>46</v>
      </c>
      <c r="M36" s="7" t="s">
        <v>47</v>
      </c>
    </row>
    <row r="37" spans="1:13" x14ac:dyDescent="0.25">
      <c r="A37" t="s">
        <v>19</v>
      </c>
      <c r="B37" s="5">
        <f>SUM(Table3[[#This Row],[Column3]]*3+Table3[[#This Row],[Column10]])</f>
        <v>341.5</v>
      </c>
      <c r="C37" s="2">
        <v>18.5</v>
      </c>
      <c r="D37" s="5">
        <f>SUM(Table3[[#This Row],[Column5]]*3+Table3[[#This Row],[Column11]])</f>
        <v>234.25</v>
      </c>
      <c r="E37" s="2">
        <v>12.75</v>
      </c>
      <c r="F37" s="5">
        <f>SUM(Table3[[#This Row],[Column7]]*3+Table3[[#This Row],[Column12]])</f>
        <v>117.14</v>
      </c>
      <c r="G37" s="2">
        <v>6.38</v>
      </c>
      <c r="H37" s="5">
        <f>SUM(Table3[[#This Row],[Column9]]*3+Table3[[#This Row],[Column13]])</f>
        <v>46.85</v>
      </c>
      <c r="I37" s="2">
        <v>2.5499999999999998</v>
      </c>
      <c r="J37" s="2">
        <v>286</v>
      </c>
      <c r="K37" s="2">
        <v>196</v>
      </c>
      <c r="L37" s="2">
        <v>98</v>
      </c>
      <c r="M37" s="2">
        <v>39.200000000000003</v>
      </c>
    </row>
    <row r="38" spans="1:13" x14ac:dyDescent="0.25">
      <c r="A38" s="7" t="s">
        <v>4</v>
      </c>
      <c r="B38" s="8"/>
      <c r="C38" s="7">
        <v>1</v>
      </c>
      <c r="D38" s="8"/>
      <c r="E38" s="9" t="s">
        <v>45</v>
      </c>
      <c r="F38" s="8"/>
      <c r="G38" s="9" t="s">
        <v>46</v>
      </c>
      <c r="H38" s="8"/>
      <c r="I38" s="7" t="s">
        <v>47</v>
      </c>
      <c r="J38" s="7">
        <v>1</v>
      </c>
      <c r="K38" s="9" t="s">
        <v>45</v>
      </c>
      <c r="L38" s="9" t="s">
        <v>46</v>
      </c>
      <c r="M38" s="7" t="s">
        <v>47</v>
      </c>
    </row>
    <row r="39" spans="1:13" x14ac:dyDescent="0.25">
      <c r="A39" t="s">
        <v>5</v>
      </c>
      <c r="B39" s="5">
        <f>SUM(Table3[[#This Row],[Column3]]*3+Table3[[#This Row],[Column10]])</f>
        <v>290</v>
      </c>
      <c r="C39" s="2">
        <v>16</v>
      </c>
      <c r="D39" s="5">
        <f>SUM(Table3[[#This Row],[Column5]]*3+Table3[[#This Row],[Column11]])</f>
        <v>290</v>
      </c>
      <c r="E39" s="2">
        <v>16</v>
      </c>
      <c r="F39" s="5">
        <f>SUM(Table3[[#This Row],[Column7]]*3+Table3[[#This Row],[Column12]])</f>
        <v>145</v>
      </c>
      <c r="G39" s="2">
        <v>8</v>
      </c>
      <c r="H39" s="5">
        <f>SUM(Table3[[#This Row],[Column9]]*3+Table3[[#This Row],[Column13]])</f>
        <v>58</v>
      </c>
      <c r="I39" s="2">
        <v>3.2</v>
      </c>
      <c r="J39" s="2">
        <v>242</v>
      </c>
      <c r="K39" s="2">
        <v>242</v>
      </c>
      <c r="L39" s="2">
        <v>121</v>
      </c>
      <c r="M39" s="2">
        <v>48.4</v>
      </c>
    </row>
    <row r="40" spans="1:13" x14ac:dyDescent="0.25">
      <c r="A40" t="s">
        <v>6</v>
      </c>
      <c r="B40" s="5">
        <f>SUM(Table3[[#This Row],[Column3]]*3+Table3[[#This Row],[Column10]])</f>
        <v>252</v>
      </c>
      <c r="C40" s="2">
        <v>14</v>
      </c>
      <c r="D40" s="5">
        <f>SUM(Table3[[#This Row],[Column5]]*3+Table3[[#This Row],[Column11]])</f>
        <v>252</v>
      </c>
      <c r="E40" s="2">
        <v>14</v>
      </c>
      <c r="F40" s="5">
        <f>SUM(Table3[[#This Row],[Column7]]*3+Table3[[#This Row],[Column12]])</f>
        <v>126</v>
      </c>
      <c r="G40" s="2">
        <v>7</v>
      </c>
      <c r="H40" s="5">
        <f>SUM(Table3[[#This Row],[Column9]]*3+Table3[[#This Row],[Column13]])</f>
        <v>50.4</v>
      </c>
      <c r="I40" s="2">
        <v>2.8</v>
      </c>
      <c r="J40" s="2">
        <v>210</v>
      </c>
      <c r="K40" s="2">
        <v>210</v>
      </c>
      <c r="L40" s="2">
        <v>105</v>
      </c>
      <c r="M40" s="2">
        <v>42</v>
      </c>
    </row>
    <row r="41" spans="1:13" x14ac:dyDescent="0.25">
      <c r="A41" t="s">
        <v>7</v>
      </c>
      <c r="B41" s="5">
        <f>SUM(Table3[[#This Row],[Column3]]*3+Table3[[#This Row],[Column10]])</f>
        <v>126</v>
      </c>
      <c r="C41" s="2">
        <v>7</v>
      </c>
      <c r="D41" s="5">
        <f>SUM(Table3[[#This Row],[Column5]]*3+Table3[[#This Row],[Column11]])</f>
        <v>126</v>
      </c>
      <c r="E41" s="2">
        <v>7</v>
      </c>
      <c r="F41" s="5">
        <f>SUM(Table3[[#This Row],[Column7]]*3+Table3[[#This Row],[Column12]])</f>
        <v>63</v>
      </c>
      <c r="G41" s="2">
        <v>3.5</v>
      </c>
      <c r="H41" s="5">
        <f>SUM(Table3[[#This Row],[Column9]]*3+Table3[[#This Row],[Column13]])</f>
        <v>25.2</v>
      </c>
      <c r="I41" s="2">
        <v>1.4</v>
      </c>
      <c r="J41" s="2">
        <v>105</v>
      </c>
      <c r="K41" s="2">
        <v>105</v>
      </c>
      <c r="L41" s="2">
        <v>52.5</v>
      </c>
      <c r="M41" s="2">
        <v>21</v>
      </c>
    </row>
    <row r="42" spans="1:13" x14ac:dyDescent="0.25">
      <c r="A42" s="7" t="s">
        <v>8</v>
      </c>
      <c r="B42" s="8"/>
      <c r="C42" s="7">
        <v>1</v>
      </c>
      <c r="D42" s="8"/>
      <c r="E42" s="9" t="s">
        <v>45</v>
      </c>
      <c r="F42" s="8"/>
      <c r="G42" s="9" t="s">
        <v>46</v>
      </c>
      <c r="H42" s="8"/>
      <c r="I42" s="7" t="s">
        <v>47</v>
      </c>
      <c r="J42" s="7">
        <v>1</v>
      </c>
      <c r="K42" s="9" t="s">
        <v>45</v>
      </c>
      <c r="L42" s="9" t="s">
        <v>46</v>
      </c>
      <c r="M42" s="7" t="s">
        <v>47</v>
      </c>
    </row>
    <row r="43" spans="1:13" x14ac:dyDescent="0.25">
      <c r="A43" t="s">
        <v>9</v>
      </c>
      <c r="B43" s="5">
        <f>SUM(Table3[[#This Row],[Column3]]*3+Table3[[#This Row],[Column10]])</f>
        <v>198</v>
      </c>
      <c r="C43" s="2">
        <v>11</v>
      </c>
      <c r="D43" s="5">
        <f>SUM(Table3[[#This Row],[Column5]]*3+Table3[[#This Row],[Column11]])</f>
        <v>198</v>
      </c>
      <c r="E43" s="2">
        <v>11</v>
      </c>
      <c r="F43" s="5">
        <f>SUM(Table3[[#This Row],[Column7]]*3+Table3[[#This Row],[Column12]])</f>
        <v>99</v>
      </c>
      <c r="G43" s="2">
        <v>5.5</v>
      </c>
      <c r="H43" s="5">
        <f>SUM(Table3[[#This Row],[Column9]]*3+Table3[[#This Row],[Column13]])</f>
        <v>39.6</v>
      </c>
      <c r="I43" s="2">
        <v>2.2000000000000002</v>
      </c>
      <c r="J43" s="2">
        <v>165</v>
      </c>
      <c r="K43" s="2">
        <v>165</v>
      </c>
      <c r="L43" s="2">
        <v>82.5</v>
      </c>
      <c r="M43" s="2">
        <v>33</v>
      </c>
    </row>
    <row r="44" spans="1:13" x14ac:dyDescent="0.25">
      <c r="A44" t="s">
        <v>10</v>
      </c>
      <c r="B44" s="5">
        <f>SUM(Table3[[#This Row],[Column3]]*3+Table3[[#This Row],[Column10]])</f>
        <v>180</v>
      </c>
      <c r="C44" s="2">
        <v>10</v>
      </c>
      <c r="D44" s="5">
        <f>SUM(Table3[[#This Row],[Column5]]*3+Table3[[#This Row],[Column11]])</f>
        <v>180</v>
      </c>
      <c r="E44" s="2">
        <v>10</v>
      </c>
      <c r="F44" s="5">
        <f>SUM(Table3[[#This Row],[Column7]]*3+Table3[[#This Row],[Column12]])</f>
        <v>90</v>
      </c>
      <c r="G44" s="2">
        <v>5</v>
      </c>
      <c r="H44" s="5">
        <f>SUM(Table3[[#This Row],[Column9]]*3+Table3[[#This Row],[Column13]])</f>
        <v>36</v>
      </c>
      <c r="I44" s="2">
        <v>2</v>
      </c>
      <c r="J44" s="2">
        <v>150</v>
      </c>
      <c r="K44" s="2">
        <v>150</v>
      </c>
      <c r="L44" s="2">
        <v>75</v>
      </c>
      <c r="M44" s="2">
        <v>30</v>
      </c>
    </row>
    <row r="45" spans="1:13" x14ac:dyDescent="0.25">
      <c r="A45" t="s">
        <v>7</v>
      </c>
      <c r="B45" s="5">
        <f>SUM(Table3[[#This Row],[Column3]]*3+Table3[[#This Row],[Column10]])</f>
        <v>90</v>
      </c>
      <c r="C45" s="2">
        <v>5</v>
      </c>
      <c r="D45" s="5">
        <f>SUM(Table3[[#This Row],[Column5]]*3+Table3[[#This Row],[Column11]])</f>
        <v>90</v>
      </c>
      <c r="E45" s="2">
        <v>5</v>
      </c>
      <c r="F45" s="5">
        <f>SUM(Table3[[#This Row],[Column7]]*3+Table3[[#This Row],[Column12]])</f>
        <v>45</v>
      </c>
      <c r="G45" s="2">
        <v>2.5</v>
      </c>
      <c r="H45" s="5">
        <f>SUM(Table3[[#This Row],[Column9]]*3+Table3[[#This Row],[Column13]])</f>
        <v>18</v>
      </c>
      <c r="I45" s="2">
        <v>1</v>
      </c>
      <c r="J45" s="2">
        <v>75</v>
      </c>
      <c r="K45" s="2">
        <v>75</v>
      </c>
      <c r="L45" s="2">
        <v>37.5</v>
      </c>
      <c r="M45" s="2">
        <v>15</v>
      </c>
    </row>
    <row r="46" spans="1:13" x14ac:dyDescent="0.25">
      <c r="A46" s="7" t="s">
        <v>11</v>
      </c>
      <c r="B46" s="8"/>
      <c r="C46" s="7">
        <v>1</v>
      </c>
      <c r="D46" s="8"/>
      <c r="E46" s="9" t="s">
        <v>45</v>
      </c>
      <c r="F46" s="8"/>
      <c r="G46" s="9" t="s">
        <v>46</v>
      </c>
      <c r="H46" s="8"/>
      <c r="I46" s="7" t="s">
        <v>47</v>
      </c>
      <c r="J46" s="7">
        <v>1</v>
      </c>
      <c r="K46" s="9" t="s">
        <v>45</v>
      </c>
      <c r="L46" s="9" t="s">
        <v>46</v>
      </c>
      <c r="M46" s="7" t="s">
        <v>47</v>
      </c>
    </row>
    <row r="47" spans="1:13" x14ac:dyDescent="0.25">
      <c r="A47" t="s">
        <v>9</v>
      </c>
      <c r="B47" s="5">
        <f>SUM(Table3[[#This Row],[Column3]]*3+Table3[[#This Row],[Column10]])</f>
        <v>234.25</v>
      </c>
      <c r="C47" s="2">
        <v>12.75</v>
      </c>
      <c r="D47" s="5">
        <f>SUM(Table3[[#This Row],[Column5]]*3+Table3[[#This Row],[Column11]])</f>
        <v>234.25</v>
      </c>
      <c r="E47" s="2">
        <v>12.75</v>
      </c>
      <c r="F47" s="5">
        <f>SUM(Table3[[#This Row],[Column7]]*3+Table3[[#This Row],[Column12]])</f>
        <v>117.14</v>
      </c>
      <c r="G47" s="2">
        <v>6.38</v>
      </c>
      <c r="H47" s="5">
        <f>SUM(Table3[[#This Row],[Column9]]*3+Table3[[#This Row],[Column13]])</f>
        <v>46.85</v>
      </c>
      <c r="I47" s="2">
        <v>2.5499999999999998</v>
      </c>
      <c r="J47" s="2">
        <v>196</v>
      </c>
      <c r="K47" s="2">
        <v>196</v>
      </c>
      <c r="L47" s="2">
        <v>98</v>
      </c>
      <c r="M47" s="2">
        <v>39.200000000000003</v>
      </c>
    </row>
    <row r="48" spans="1:13" x14ac:dyDescent="0.25">
      <c r="A48" t="s">
        <v>10</v>
      </c>
      <c r="B48" s="5">
        <f>SUM(Table3[[#This Row],[Column3]]*3+Table3[[#This Row],[Column10]])</f>
        <v>203</v>
      </c>
      <c r="C48" s="2">
        <v>11</v>
      </c>
      <c r="D48" s="5">
        <f>SUM(Table3[[#This Row],[Column5]]*3+Table3[[#This Row],[Column11]])</f>
        <v>203</v>
      </c>
      <c r="E48" s="2">
        <v>11</v>
      </c>
      <c r="F48" s="5">
        <f>SUM(Table3[[#This Row],[Column7]]*3+Table3[[#This Row],[Column12]])</f>
        <v>101.5</v>
      </c>
      <c r="G48" s="2">
        <v>5.5</v>
      </c>
      <c r="H48" s="5">
        <f>SUM(Table3[[#This Row],[Column9]]*3+Table3[[#This Row],[Column13]])</f>
        <v>40.6</v>
      </c>
      <c r="I48" s="2">
        <v>2.2000000000000002</v>
      </c>
      <c r="J48" s="2">
        <v>170</v>
      </c>
      <c r="K48" s="2">
        <v>170</v>
      </c>
      <c r="L48" s="2">
        <v>85</v>
      </c>
      <c r="M48" s="2">
        <v>34</v>
      </c>
    </row>
    <row r="49" spans="1:13" x14ac:dyDescent="0.25">
      <c r="A49" t="s">
        <v>7</v>
      </c>
      <c r="B49" s="5">
        <f>SUM(Table3[[#This Row],[Column3]]*3+Table3[[#This Row],[Column10]])</f>
        <v>101.5</v>
      </c>
      <c r="C49" s="2">
        <v>5.5</v>
      </c>
      <c r="D49" s="5">
        <f>SUM(Table3[[#This Row],[Column5]]*3+Table3[[#This Row],[Column11]])</f>
        <v>101.5</v>
      </c>
      <c r="E49" s="2">
        <v>5.5</v>
      </c>
      <c r="F49" s="5">
        <f>SUM(Table3[[#This Row],[Column7]]*3+Table3[[#This Row],[Column12]])</f>
        <v>50.75</v>
      </c>
      <c r="G49" s="2">
        <v>2.75</v>
      </c>
      <c r="H49" s="5">
        <f>SUM(Table3[[#This Row],[Column9]]*3+Table3[[#This Row],[Column13]])</f>
        <v>20.3</v>
      </c>
      <c r="I49" s="2">
        <v>1.1000000000000001</v>
      </c>
      <c r="J49" s="2">
        <v>85</v>
      </c>
      <c r="K49" s="2">
        <v>85</v>
      </c>
      <c r="L49" s="2">
        <v>42.5</v>
      </c>
      <c r="M49" s="2">
        <v>17</v>
      </c>
    </row>
    <row r="50" spans="1:13" x14ac:dyDescent="0.25">
      <c r="A50" s="7" t="s">
        <v>12</v>
      </c>
      <c r="B50" s="8"/>
      <c r="C50" s="7">
        <v>1</v>
      </c>
      <c r="D50" s="8"/>
      <c r="E50" s="9" t="s">
        <v>45</v>
      </c>
      <c r="F50" s="8"/>
      <c r="G50" s="9" t="s">
        <v>46</v>
      </c>
      <c r="H50" s="8"/>
      <c r="I50" s="7" t="s">
        <v>47</v>
      </c>
      <c r="J50" s="7">
        <v>1</v>
      </c>
      <c r="K50" s="9" t="s">
        <v>45</v>
      </c>
      <c r="L50" s="9" t="s">
        <v>46</v>
      </c>
      <c r="M50" s="7" t="s">
        <v>47</v>
      </c>
    </row>
    <row r="51" spans="1:13" x14ac:dyDescent="0.25">
      <c r="A51" t="s">
        <v>13</v>
      </c>
      <c r="B51" s="5">
        <f>SUM(Table3[[#This Row],[Column3]]*3+Table3[[#This Row],[Column10]])</f>
        <v>453</v>
      </c>
      <c r="C51" s="2">
        <v>25</v>
      </c>
      <c r="D51" s="5">
        <f>SUM(Table3[[#This Row],[Column5]]*3+Table3[[#This Row],[Column11]])</f>
        <v>290</v>
      </c>
      <c r="E51" s="2">
        <v>16</v>
      </c>
      <c r="F51" s="5">
        <f>SUM(Table3[[#This Row],[Column7]]*3+Table3[[#This Row],[Column12]])</f>
        <v>145</v>
      </c>
      <c r="G51" s="2">
        <v>8</v>
      </c>
      <c r="H51" s="5">
        <f>SUM(Table3[[#This Row],[Column9]]*3+Table3[[#This Row],[Column13]])</f>
        <v>58</v>
      </c>
      <c r="I51" s="2">
        <v>3.2</v>
      </c>
      <c r="J51" s="2">
        <v>378</v>
      </c>
      <c r="K51" s="2">
        <v>242</v>
      </c>
      <c r="L51" s="2">
        <v>121</v>
      </c>
      <c r="M51" s="2">
        <v>48.4</v>
      </c>
    </row>
    <row r="52" spans="1:13" x14ac:dyDescent="0.25">
      <c r="A52" t="s">
        <v>6</v>
      </c>
      <c r="B52" s="5">
        <f>SUM(Table3[[#This Row],[Column3]]*3+Table3[[#This Row],[Column10]])</f>
        <v>252</v>
      </c>
      <c r="C52" s="2">
        <v>14</v>
      </c>
      <c r="D52" s="5">
        <f>SUM(Table3[[#This Row],[Column5]]*3+Table3[[#This Row],[Column11]])</f>
        <v>252</v>
      </c>
      <c r="E52" s="2">
        <v>14</v>
      </c>
      <c r="F52" s="5">
        <f>SUM(Table3[[#This Row],[Column7]]*3+Table3[[#This Row],[Column12]])</f>
        <v>126</v>
      </c>
      <c r="G52" s="2">
        <v>7</v>
      </c>
      <c r="H52" s="5">
        <f>SUM(Table3[[#This Row],[Column9]]*3+Table3[[#This Row],[Column13]])</f>
        <v>50.4</v>
      </c>
      <c r="I52" s="2">
        <v>2.8</v>
      </c>
      <c r="J52" s="2">
        <v>210</v>
      </c>
      <c r="K52" s="2">
        <v>210</v>
      </c>
      <c r="L52" s="2">
        <v>105</v>
      </c>
      <c r="M52" s="2">
        <v>42</v>
      </c>
    </row>
    <row r="53" spans="1:13" x14ac:dyDescent="0.25">
      <c r="A53" t="s">
        <v>7</v>
      </c>
      <c r="B53" s="5">
        <f>SUM(Table3[[#This Row],[Column3]]*3+Table3[[#This Row],[Column10]])</f>
        <v>126</v>
      </c>
      <c r="C53" s="2">
        <v>7</v>
      </c>
      <c r="D53" s="5">
        <f>SUM(Table3[[#This Row],[Column5]]*3+Table3[[#This Row],[Column11]])</f>
        <v>126</v>
      </c>
      <c r="E53" s="2">
        <v>7</v>
      </c>
      <c r="F53" s="5">
        <f>SUM(Table3[[#This Row],[Column7]]*3+Table3[[#This Row],[Column12]])</f>
        <v>63</v>
      </c>
      <c r="G53" s="2">
        <v>3.5</v>
      </c>
      <c r="H53" s="5">
        <f>SUM(Table3[[#This Row],[Column9]]*3+Table3[[#This Row],[Column13]])</f>
        <v>25.2</v>
      </c>
      <c r="I53" s="2">
        <v>1.4</v>
      </c>
      <c r="J53" s="2">
        <v>105</v>
      </c>
      <c r="K53" s="2">
        <v>105</v>
      </c>
      <c r="L53" s="2">
        <v>52.5</v>
      </c>
      <c r="M53" s="2">
        <v>21</v>
      </c>
    </row>
    <row r="54" spans="1:13" x14ac:dyDescent="0.25">
      <c r="A54" s="7" t="s">
        <v>14</v>
      </c>
      <c r="B54" s="8"/>
      <c r="C54" s="7">
        <v>1</v>
      </c>
      <c r="D54" s="8"/>
      <c r="E54" s="9" t="s">
        <v>45</v>
      </c>
      <c r="F54" s="8"/>
      <c r="G54" s="9" t="s">
        <v>46</v>
      </c>
      <c r="H54" s="8"/>
      <c r="I54" s="7" t="s">
        <v>47</v>
      </c>
      <c r="J54" s="7">
        <v>1</v>
      </c>
      <c r="K54" s="9" t="s">
        <v>45</v>
      </c>
      <c r="L54" s="9" t="s">
        <v>46</v>
      </c>
      <c r="M54" s="7" t="s">
        <v>47</v>
      </c>
    </row>
    <row r="55" spans="1:13" x14ac:dyDescent="0.25">
      <c r="A55" t="s">
        <v>5</v>
      </c>
      <c r="B55" s="5">
        <f>SUM(Table3[[#This Row],[Column3]]*3+Table3[[#This Row],[Column10]])</f>
        <v>400.25</v>
      </c>
      <c r="C55" s="2">
        <v>22.75</v>
      </c>
      <c r="D55" s="5">
        <f>SUM(Table3[[#This Row],[Column5]]*3+Table3[[#This Row],[Column11]])</f>
        <v>264</v>
      </c>
      <c r="E55" s="2">
        <v>15</v>
      </c>
      <c r="F55" s="5">
        <f>SUM(Table3[[#This Row],[Column7]]*3+Table3[[#This Row],[Column12]])</f>
        <v>132</v>
      </c>
      <c r="G55" s="2">
        <v>7.5</v>
      </c>
      <c r="H55" s="5">
        <f>SUM(Table3[[#This Row],[Column9]]*3+Table3[[#This Row],[Column13]])</f>
        <v>52.8</v>
      </c>
      <c r="I55" s="2">
        <v>3</v>
      </c>
      <c r="J55" s="2">
        <v>332</v>
      </c>
      <c r="K55" s="2">
        <v>219</v>
      </c>
      <c r="L55" s="2">
        <v>109.5</v>
      </c>
      <c r="M55" s="2">
        <v>43.8</v>
      </c>
    </row>
    <row r="56" spans="1:13" x14ac:dyDescent="0.25">
      <c r="A56" t="s">
        <v>6</v>
      </c>
      <c r="B56" s="5">
        <f>SUM(Table3[[#This Row],[Column3]]*3+Table3[[#This Row],[Column10]])</f>
        <v>229</v>
      </c>
      <c r="C56" s="2">
        <v>13</v>
      </c>
      <c r="D56" s="5">
        <f>SUM(Table3[[#This Row],[Column5]]*3+Table3[[#This Row],[Column11]])</f>
        <v>229</v>
      </c>
      <c r="E56" s="2">
        <v>13</v>
      </c>
      <c r="F56" s="5">
        <f>SUM(Table3[[#This Row],[Column7]]*3+Table3[[#This Row],[Column12]])</f>
        <v>114.5</v>
      </c>
      <c r="G56" s="2">
        <v>6.5</v>
      </c>
      <c r="H56" s="5">
        <f>SUM(Table3[[#This Row],[Column9]]*3+Table3[[#This Row],[Column13]])</f>
        <v>45.8</v>
      </c>
      <c r="I56" s="2">
        <v>2.6</v>
      </c>
      <c r="J56" s="2">
        <v>190</v>
      </c>
      <c r="K56" s="2">
        <v>190</v>
      </c>
      <c r="L56" s="2">
        <v>95</v>
      </c>
      <c r="M56" s="2">
        <v>38</v>
      </c>
    </row>
    <row r="57" spans="1:13" x14ac:dyDescent="0.25">
      <c r="A57" t="s">
        <v>7</v>
      </c>
      <c r="B57" s="5">
        <f>SUM(Table3[[#This Row],[Column3]]*3+Table3[[#This Row],[Column10]])</f>
        <v>114.5</v>
      </c>
      <c r="C57" s="2">
        <v>6.5</v>
      </c>
      <c r="D57" s="5">
        <f>SUM(Table3[[#This Row],[Column5]]*3+Table3[[#This Row],[Column11]])</f>
        <v>114.5</v>
      </c>
      <c r="E57" s="2">
        <v>6.5</v>
      </c>
      <c r="F57" s="5">
        <f>SUM(Table3[[#This Row],[Column7]]*3+Table3[[#This Row],[Column12]])</f>
        <v>57.25</v>
      </c>
      <c r="G57" s="2">
        <v>3.25</v>
      </c>
      <c r="H57" s="5">
        <f>SUM(Table3[[#This Row],[Column9]]*3+Table3[[#This Row],[Column13]])</f>
        <v>22.9</v>
      </c>
      <c r="I57" s="2">
        <v>1.3</v>
      </c>
      <c r="J57" s="2">
        <v>95</v>
      </c>
      <c r="K57" s="2">
        <v>95</v>
      </c>
      <c r="L57" s="2">
        <v>47.5</v>
      </c>
      <c r="M57" s="2">
        <v>19</v>
      </c>
    </row>
    <row r="58" spans="1:13" x14ac:dyDescent="0.25">
      <c r="A58" s="7" t="s">
        <v>15</v>
      </c>
      <c r="B58" s="8"/>
      <c r="C58" s="7">
        <v>1</v>
      </c>
      <c r="D58" s="8"/>
      <c r="E58" s="9" t="s">
        <v>45</v>
      </c>
      <c r="F58" s="8"/>
      <c r="G58" s="9" t="s">
        <v>46</v>
      </c>
      <c r="H58" s="8"/>
      <c r="I58" s="7" t="s">
        <v>47</v>
      </c>
      <c r="J58" s="7">
        <v>1</v>
      </c>
      <c r="K58" s="9" t="s">
        <v>45</v>
      </c>
      <c r="L58" s="9" t="s">
        <v>46</v>
      </c>
      <c r="M58" s="7" t="s">
        <v>47</v>
      </c>
    </row>
    <row r="59" spans="1:13" x14ac:dyDescent="0.25">
      <c r="A59" t="s">
        <v>5</v>
      </c>
      <c r="B59" s="5">
        <f>SUM(Table3[[#This Row],[Column3]]*3+Table3[[#This Row],[Column10]])</f>
        <v>360</v>
      </c>
      <c r="C59" s="2">
        <v>20</v>
      </c>
      <c r="D59" s="5">
        <f>SUM(Table3[[#This Row],[Column5]]*3+Table3[[#This Row],[Column11]])</f>
        <v>360</v>
      </c>
      <c r="E59" s="2">
        <v>20</v>
      </c>
      <c r="F59" s="5">
        <f>SUM(Table3[[#This Row],[Column7]]*3+Table3[[#This Row],[Column12]])</f>
        <v>48.25</v>
      </c>
      <c r="G59" s="2">
        <v>2.75</v>
      </c>
      <c r="H59" s="5">
        <f>SUM(Table3[[#This Row],[Column9]]*3+Table3[[#This Row],[Column13]])</f>
        <v>48.25</v>
      </c>
      <c r="I59" s="2">
        <v>2.75</v>
      </c>
      <c r="J59" s="2">
        <v>300</v>
      </c>
      <c r="K59" s="2">
        <v>300</v>
      </c>
      <c r="L59" s="2">
        <v>40</v>
      </c>
      <c r="M59" s="2">
        <v>40</v>
      </c>
    </row>
    <row r="60" spans="1:13" x14ac:dyDescent="0.25">
      <c r="A60" t="s">
        <v>6</v>
      </c>
      <c r="B60" s="5">
        <f>SUM(Table3[[#This Row],[Column3]]*3+Table3[[#This Row],[Column10]])</f>
        <v>329.75</v>
      </c>
      <c r="C60" s="2">
        <v>18.25</v>
      </c>
      <c r="D60" s="5">
        <f>SUM(Table3[[#This Row],[Column5]]*3+Table3[[#This Row],[Column11]])</f>
        <v>329.75</v>
      </c>
      <c r="E60" s="2">
        <v>18.25</v>
      </c>
      <c r="F60" s="5">
        <f>SUM(Table3[[#This Row],[Column7]]*3+Table3[[#This Row],[Column12]])</f>
        <v>36</v>
      </c>
      <c r="G60" s="2">
        <v>2</v>
      </c>
      <c r="H60" s="5">
        <f>SUM(Table3[[#This Row],[Column9]]*3+Table3[[#This Row],[Column13]])</f>
        <v>36</v>
      </c>
      <c r="I60" s="2">
        <v>2</v>
      </c>
      <c r="J60" s="2">
        <v>275</v>
      </c>
      <c r="K60" s="2">
        <v>275</v>
      </c>
      <c r="L60" s="2">
        <v>30</v>
      </c>
      <c r="M60" s="2">
        <v>30</v>
      </c>
    </row>
    <row r="61" spans="1:13" x14ac:dyDescent="0.25">
      <c r="A61" t="s">
        <v>7</v>
      </c>
      <c r="B61" s="5">
        <f>SUM(Table3[[#This Row],[Column3]]*3+Table3[[#This Row],[Column10]])</f>
        <v>165.25</v>
      </c>
      <c r="C61" s="2">
        <v>9.25</v>
      </c>
      <c r="D61" s="5">
        <f>SUM(Table3[[#This Row],[Column5]]*3+Table3[[#This Row],[Column11]])</f>
        <v>165.25</v>
      </c>
      <c r="E61" s="2">
        <v>9.25</v>
      </c>
      <c r="F61" s="5">
        <f>SUM(Table3[[#This Row],[Column7]]*3+Table3[[#This Row],[Column12]])</f>
        <v>18</v>
      </c>
      <c r="G61" s="2">
        <v>1</v>
      </c>
      <c r="H61" s="5">
        <f>SUM(Table3[[#This Row],[Column9]]*3+Table3[[#This Row],[Column13]])</f>
        <v>18</v>
      </c>
      <c r="I61" s="2">
        <v>1</v>
      </c>
      <c r="J61" s="2">
        <v>137.5</v>
      </c>
      <c r="K61" s="2">
        <v>137.5</v>
      </c>
      <c r="L61" s="2">
        <v>15</v>
      </c>
      <c r="M61" s="2">
        <v>15</v>
      </c>
    </row>
    <row r="62" spans="1:13" x14ac:dyDescent="0.25">
      <c r="A62" s="7" t="s">
        <v>16</v>
      </c>
      <c r="B62" s="8"/>
      <c r="C62" s="7">
        <v>1</v>
      </c>
      <c r="D62" s="8"/>
      <c r="E62" s="9" t="s">
        <v>45</v>
      </c>
      <c r="F62" s="8"/>
      <c r="G62" s="9" t="s">
        <v>46</v>
      </c>
      <c r="H62" s="8"/>
      <c r="I62" s="7" t="s">
        <v>47</v>
      </c>
      <c r="J62" s="7">
        <v>1</v>
      </c>
      <c r="K62" s="9" t="s">
        <v>45</v>
      </c>
      <c r="L62" s="9" t="s">
        <v>46</v>
      </c>
      <c r="M62" s="7" t="s">
        <v>47</v>
      </c>
    </row>
    <row r="63" spans="1:13" x14ac:dyDescent="0.25">
      <c r="A63" t="s">
        <v>5</v>
      </c>
      <c r="B63" s="5">
        <f>SUM(Table3[[#This Row],[Column3]]*3+Table3[[#This Row],[Column10]])</f>
        <v>372.25</v>
      </c>
      <c r="C63" s="2">
        <v>20.75</v>
      </c>
      <c r="D63" s="5">
        <f>SUM(Table3[[#This Row],[Column5]]*3+Table3[[#This Row],[Column11]])</f>
        <v>372.25</v>
      </c>
      <c r="E63" s="2">
        <v>20.75</v>
      </c>
      <c r="F63" s="5">
        <f>SUM(Table3[[#This Row],[Column7]]*3+Table3[[#This Row],[Column12]])</f>
        <v>48.25</v>
      </c>
      <c r="G63" s="2">
        <v>2.75</v>
      </c>
      <c r="H63" s="5">
        <f>SUM(Table3[[#This Row],[Column9]]*3+Table3[[#This Row],[Column13]])</f>
        <v>48.25</v>
      </c>
      <c r="I63" s="2">
        <v>2.75</v>
      </c>
      <c r="J63" s="2">
        <v>310</v>
      </c>
      <c r="K63" s="2">
        <v>310</v>
      </c>
      <c r="L63" s="2">
        <v>40</v>
      </c>
      <c r="M63" s="2">
        <v>40</v>
      </c>
    </row>
    <row r="64" spans="1:13" x14ac:dyDescent="0.25">
      <c r="A64" t="s">
        <v>6</v>
      </c>
      <c r="B64" s="5">
        <f>SUM(Table3[[#This Row],[Column3]]*3+Table3[[#This Row],[Column10]])</f>
        <v>300.25</v>
      </c>
      <c r="C64" s="2">
        <v>16.75</v>
      </c>
      <c r="D64" s="5">
        <f>SUM(Table3[[#This Row],[Column5]]*3+Table3[[#This Row],[Column11]])</f>
        <v>300.25</v>
      </c>
      <c r="E64" s="2">
        <v>16.75</v>
      </c>
      <c r="F64" s="5">
        <f>SUM(Table3[[#This Row],[Column7]]*3+Table3[[#This Row],[Column12]])</f>
        <v>36</v>
      </c>
      <c r="G64" s="2">
        <v>2</v>
      </c>
      <c r="H64" s="5">
        <f>SUM(Table3[[#This Row],[Column9]]*3+Table3[[#This Row],[Column13]])</f>
        <v>36</v>
      </c>
      <c r="I64" s="2">
        <v>2</v>
      </c>
      <c r="J64" s="2">
        <v>250</v>
      </c>
      <c r="K64" s="2">
        <v>250</v>
      </c>
      <c r="L64" s="2">
        <v>30</v>
      </c>
      <c r="M64" s="2">
        <v>30</v>
      </c>
    </row>
    <row r="65" spans="1:13" x14ac:dyDescent="0.25">
      <c r="A65" t="s">
        <v>7</v>
      </c>
      <c r="B65" s="5">
        <f>SUM(Table3[[#This Row],[Column3]]*3+Table3[[#This Row],[Column10]])</f>
        <v>126</v>
      </c>
      <c r="C65" s="2">
        <v>7</v>
      </c>
      <c r="D65" s="5">
        <f>SUM(Table3[[#This Row],[Column5]]*3+Table3[[#This Row],[Column11]])</f>
        <v>126</v>
      </c>
      <c r="E65" s="2">
        <v>7</v>
      </c>
      <c r="F65" s="5">
        <f>SUM(Table3[[#This Row],[Column7]]*3+Table3[[#This Row],[Column12]])</f>
        <v>18</v>
      </c>
      <c r="G65" s="2">
        <v>1</v>
      </c>
      <c r="H65" s="5">
        <f>SUM(Table3[[#This Row],[Column9]]*3+Table3[[#This Row],[Column13]])</f>
        <v>18</v>
      </c>
      <c r="I65" s="2">
        <v>1</v>
      </c>
      <c r="J65" s="2">
        <v>105</v>
      </c>
      <c r="K65" s="2">
        <v>105</v>
      </c>
      <c r="L65" s="2">
        <v>15</v>
      </c>
      <c r="M65" s="2">
        <v>15</v>
      </c>
    </row>
    <row r="66" spans="1:13" x14ac:dyDescent="0.25">
      <c r="A66" s="7" t="s">
        <v>17</v>
      </c>
      <c r="B66" s="8"/>
      <c r="C66" s="7">
        <v>1</v>
      </c>
      <c r="D66" s="8"/>
      <c r="E66" s="9" t="s">
        <v>45</v>
      </c>
      <c r="F66" s="8"/>
      <c r="G66" s="9" t="s">
        <v>46</v>
      </c>
      <c r="H66" s="8"/>
      <c r="I66" s="7" t="s">
        <v>47</v>
      </c>
      <c r="J66" s="7">
        <v>1</v>
      </c>
      <c r="K66" s="9" t="s">
        <v>45</v>
      </c>
      <c r="L66" s="9" t="s">
        <v>46</v>
      </c>
      <c r="M66" s="7" t="s">
        <v>47</v>
      </c>
    </row>
    <row r="67" spans="1:13" x14ac:dyDescent="0.25">
      <c r="A67" t="s">
        <v>9</v>
      </c>
      <c r="B67" s="5">
        <f>SUM(Table3[[#This Row],[Column3]]*3+Table3[[#This Row],[Column10]])</f>
        <v>396.75</v>
      </c>
      <c r="C67" s="2">
        <v>17.25</v>
      </c>
      <c r="D67" s="5">
        <f>SUM(Table3[[#This Row],[Column5]]*3+Table3[[#This Row],[Column11]])</f>
        <v>396.75</v>
      </c>
      <c r="E67" s="2">
        <v>17.25</v>
      </c>
      <c r="F67" s="5">
        <f>SUM(Table3[[#This Row],[Column7]]*3+Table3[[#This Row],[Column12]])</f>
        <v>198.39</v>
      </c>
      <c r="G67" s="2">
        <v>8.6300000000000008</v>
      </c>
      <c r="H67" s="5">
        <f>SUM(Table3[[#This Row],[Column9]]*3+Table3[[#This Row],[Column13]])</f>
        <v>79.349999999999994</v>
      </c>
      <c r="I67" s="2">
        <v>3.45</v>
      </c>
      <c r="J67" s="2">
        <v>345</v>
      </c>
      <c r="K67" s="2">
        <v>345</v>
      </c>
      <c r="L67" s="2">
        <v>172.5</v>
      </c>
      <c r="M67" s="2">
        <v>69</v>
      </c>
    </row>
    <row r="68" spans="1:13" x14ac:dyDescent="0.25">
      <c r="A68" t="s">
        <v>10</v>
      </c>
      <c r="B68" s="5">
        <f>SUM(Table3[[#This Row],[Column3]]*3+Table3[[#This Row],[Column10]])</f>
        <v>345</v>
      </c>
      <c r="C68" s="2">
        <v>15</v>
      </c>
      <c r="D68" s="5">
        <f>SUM(Table3[[#This Row],[Column5]]*3+Table3[[#This Row],[Column11]])</f>
        <v>345</v>
      </c>
      <c r="E68" s="2">
        <v>15</v>
      </c>
      <c r="F68" s="5">
        <f>SUM(Table3[[#This Row],[Column7]]*3+Table3[[#This Row],[Column12]])</f>
        <v>172.5</v>
      </c>
      <c r="G68" s="2">
        <v>7.5</v>
      </c>
      <c r="H68" s="5">
        <f>SUM(Table3[[#This Row],[Column9]]*3+Table3[[#This Row],[Column13]])</f>
        <v>69</v>
      </c>
      <c r="I68" s="2">
        <v>3</v>
      </c>
      <c r="J68" s="2">
        <v>300</v>
      </c>
      <c r="K68" s="2">
        <v>300</v>
      </c>
      <c r="L68" s="2">
        <v>150</v>
      </c>
      <c r="M68" s="2">
        <v>60</v>
      </c>
    </row>
    <row r="69" spans="1:13" x14ac:dyDescent="0.25">
      <c r="A69" t="s">
        <v>7</v>
      </c>
      <c r="B69" s="5">
        <f>SUM(Table3[[#This Row],[Column3]]*3+Table3[[#This Row],[Column10]])</f>
        <v>172.5</v>
      </c>
      <c r="C69" s="2">
        <v>7.5</v>
      </c>
      <c r="D69" s="5">
        <f>SUM(Table3[[#This Row],[Column5]]*3+Table3[[#This Row],[Column11]])</f>
        <v>172.5</v>
      </c>
      <c r="E69" s="2">
        <v>7.5</v>
      </c>
      <c r="F69" s="5">
        <f>SUM(Table3[[#This Row],[Column7]]*3+Table3[[#This Row],[Column12]])</f>
        <v>86.25</v>
      </c>
      <c r="G69" s="2">
        <v>3.75</v>
      </c>
      <c r="H69" s="5">
        <f>SUM(Table3[[#This Row],[Column9]]*3+Table3[[#This Row],[Column13]])</f>
        <v>34.5</v>
      </c>
      <c r="I69" s="2">
        <v>1.5</v>
      </c>
      <c r="J69" s="2">
        <v>150</v>
      </c>
      <c r="K69" s="2">
        <v>150</v>
      </c>
      <c r="L69" s="2">
        <v>75</v>
      </c>
      <c r="M69" s="2">
        <v>30</v>
      </c>
    </row>
    <row r="70" spans="1:13" x14ac:dyDescent="0.25">
      <c r="A70" s="7" t="s">
        <v>18</v>
      </c>
      <c r="B70" s="8"/>
      <c r="C70" s="7">
        <v>1</v>
      </c>
      <c r="D70" s="8"/>
      <c r="E70" s="9" t="s">
        <v>45</v>
      </c>
      <c r="F70" s="8"/>
      <c r="G70" s="9" t="s">
        <v>46</v>
      </c>
      <c r="H70" s="8"/>
      <c r="I70" s="7" t="s">
        <v>47</v>
      </c>
      <c r="J70" s="7">
        <v>1</v>
      </c>
      <c r="K70" s="9" t="s">
        <v>45</v>
      </c>
      <c r="L70" s="9" t="s">
        <v>46</v>
      </c>
      <c r="M70" s="7" t="s">
        <v>47</v>
      </c>
    </row>
    <row r="71" spans="1:13" x14ac:dyDescent="0.25">
      <c r="A71" t="s">
        <v>19</v>
      </c>
      <c r="B71" s="5">
        <f>SUM(Table3[[#This Row],[Column3]]*3+Table3[[#This Row],[Column10]])</f>
        <v>341.5</v>
      </c>
      <c r="C71" s="2">
        <v>18.5</v>
      </c>
      <c r="D71" s="5">
        <f>SUM(Table3[[#This Row],[Column5]]*3+Table3[[#This Row],[Column11]])</f>
        <v>234.25</v>
      </c>
      <c r="E71" s="2">
        <v>12.75</v>
      </c>
      <c r="F71" s="5">
        <f>SUM(Table3[[#This Row],[Column7]]*3+Table3[[#This Row],[Column12]])</f>
        <v>117.14</v>
      </c>
      <c r="G71" s="2">
        <v>6.38</v>
      </c>
      <c r="H71" s="5">
        <f>SUM(Table3[[#This Row],[Column9]]*3+Table3[[#This Row],[Column13]])</f>
        <v>46.85</v>
      </c>
      <c r="I71" s="2">
        <v>2.5499999999999998</v>
      </c>
      <c r="J71" s="2">
        <v>286</v>
      </c>
      <c r="K71" s="2">
        <v>196</v>
      </c>
      <c r="L71" s="2">
        <v>98</v>
      </c>
      <c r="M71" s="2">
        <v>39.200000000000003</v>
      </c>
    </row>
    <row r="72" spans="1:13" x14ac:dyDescent="0.25">
      <c r="A72" s="7" t="s">
        <v>4</v>
      </c>
      <c r="B72" s="8"/>
      <c r="C72" s="7">
        <v>1</v>
      </c>
      <c r="D72" s="8"/>
      <c r="E72" s="9" t="s">
        <v>45</v>
      </c>
      <c r="F72" s="8"/>
      <c r="G72" s="9" t="s">
        <v>46</v>
      </c>
      <c r="H72" s="8"/>
      <c r="I72" s="7" t="s">
        <v>47</v>
      </c>
      <c r="J72" s="7">
        <v>1</v>
      </c>
      <c r="K72" s="9" t="s">
        <v>45</v>
      </c>
      <c r="L72" s="9" t="s">
        <v>46</v>
      </c>
      <c r="M72" s="7" t="s">
        <v>47</v>
      </c>
    </row>
    <row r="73" spans="1:13" x14ac:dyDescent="0.25">
      <c r="A73" t="s">
        <v>5</v>
      </c>
      <c r="B73" s="5">
        <f>SUM(Table3[[#This Row],[Column3]]*3+Table3[[#This Row],[Column10]])</f>
        <v>290</v>
      </c>
      <c r="C73" s="2">
        <v>16</v>
      </c>
      <c r="D73" s="5">
        <f>SUM(Table3[[#This Row],[Column5]]*3+Table3[[#This Row],[Column11]])</f>
        <v>290</v>
      </c>
      <c r="E73" s="2">
        <v>16</v>
      </c>
      <c r="F73" s="5">
        <f>SUM(Table3[[#This Row],[Column7]]*3+Table3[[#This Row],[Column12]])</f>
        <v>145</v>
      </c>
      <c r="G73" s="2">
        <v>8</v>
      </c>
      <c r="H73" s="5">
        <f>SUM(Table3[[#This Row],[Column9]]*3+Table3[[#This Row],[Column13]])</f>
        <v>58</v>
      </c>
      <c r="I73" s="2">
        <v>3.2</v>
      </c>
      <c r="J73" s="2">
        <v>242</v>
      </c>
      <c r="K73" s="2">
        <v>242</v>
      </c>
      <c r="L73" s="2">
        <v>121</v>
      </c>
      <c r="M73" s="2">
        <v>48.4</v>
      </c>
    </row>
    <row r="74" spans="1:13" x14ac:dyDescent="0.25">
      <c r="A74" t="s">
        <v>6</v>
      </c>
      <c r="B74" s="5">
        <f>SUM(Table3[[#This Row],[Column3]]*3+Table3[[#This Row],[Column10]])</f>
        <v>252</v>
      </c>
      <c r="C74" s="2">
        <v>14</v>
      </c>
      <c r="D74" s="5">
        <f>SUM(Table3[[#This Row],[Column5]]*3+Table3[[#This Row],[Column11]])</f>
        <v>252</v>
      </c>
      <c r="E74" s="2">
        <v>14</v>
      </c>
      <c r="F74" s="5">
        <f>SUM(Table3[[#This Row],[Column7]]*3+Table3[[#This Row],[Column12]])</f>
        <v>126</v>
      </c>
      <c r="G74" s="2">
        <v>7</v>
      </c>
      <c r="H74" s="5">
        <f>SUM(Table3[[#This Row],[Column9]]*3+Table3[[#This Row],[Column13]])</f>
        <v>50.4</v>
      </c>
      <c r="I74" s="2">
        <v>2.8</v>
      </c>
      <c r="J74" s="2">
        <v>210</v>
      </c>
      <c r="K74" s="2">
        <v>210</v>
      </c>
      <c r="L74" s="2">
        <v>105</v>
      </c>
      <c r="M74" s="2">
        <v>42</v>
      </c>
    </row>
    <row r="75" spans="1:13" x14ac:dyDescent="0.25">
      <c r="A75" t="s">
        <v>7</v>
      </c>
      <c r="B75" s="5">
        <f>SUM(Table3[[#This Row],[Column3]]*3+Table3[[#This Row],[Column10]])</f>
        <v>126</v>
      </c>
      <c r="C75" s="2">
        <v>7</v>
      </c>
      <c r="D75" s="5">
        <f>SUM(Table3[[#This Row],[Column5]]*3+Table3[[#This Row],[Column11]])</f>
        <v>126</v>
      </c>
      <c r="E75" s="2">
        <v>7</v>
      </c>
      <c r="F75" s="5">
        <f>SUM(Table3[[#This Row],[Column7]]*3+Table3[[#This Row],[Column12]])</f>
        <v>63</v>
      </c>
      <c r="G75" s="2">
        <v>3.5</v>
      </c>
      <c r="H75" s="5">
        <f>SUM(Table3[[#This Row],[Column9]]*3+Table3[[#This Row],[Column13]])</f>
        <v>25.2</v>
      </c>
      <c r="I75" s="2">
        <v>1.4</v>
      </c>
      <c r="J75" s="2">
        <v>105</v>
      </c>
      <c r="K75" s="2">
        <v>105</v>
      </c>
      <c r="L75" s="2">
        <v>52.5</v>
      </c>
      <c r="M75" s="2">
        <v>21</v>
      </c>
    </row>
    <row r="76" spans="1:13" x14ac:dyDescent="0.25">
      <c r="A76" s="7" t="s">
        <v>8</v>
      </c>
      <c r="B76" s="8"/>
      <c r="C76" s="7">
        <v>1</v>
      </c>
      <c r="D76" s="8"/>
      <c r="E76" s="9" t="s">
        <v>45</v>
      </c>
      <c r="F76" s="8"/>
      <c r="G76" s="9" t="s">
        <v>46</v>
      </c>
      <c r="H76" s="8"/>
      <c r="I76" s="7" t="s">
        <v>47</v>
      </c>
      <c r="J76" s="7">
        <v>1</v>
      </c>
      <c r="K76" s="9" t="s">
        <v>45</v>
      </c>
      <c r="L76" s="9" t="s">
        <v>46</v>
      </c>
      <c r="M76" s="7" t="s">
        <v>47</v>
      </c>
    </row>
    <row r="77" spans="1:13" x14ac:dyDescent="0.25">
      <c r="A77" t="s">
        <v>9</v>
      </c>
      <c r="B77" s="5">
        <f>SUM(Table3[[#This Row],[Column3]]*3+Table3[[#This Row],[Column10]])</f>
        <v>198</v>
      </c>
      <c r="C77" s="2">
        <v>11</v>
      </c>
      <c r="D77" s="5">
        <f>SUM(Table3[[#This Row],[Column5]]*3+Table3[[#This Row],[Column11]])</f>
        <v>198</v>
      </c>
      <c r="E77" s="2">
        <v>11</v>
      </c>
      <c r="F77" s="5">
        <f>SUM(Table3[[#This Row],[Column7]]*3+Table3[[#This Row],[Column12]])</f>
        <v>99</v>
      </c>
      <c r="G77" s="2">
        <v>5.5</v>
      </c>
      <c r="H77" s="5">
        <f>SUM(Table3[[#This Row],[Column9]]*3+Table3[[#This Row],[Column13]])</f>
        <v>39.6</v>
      </c>
      <c r="I77" s="2">
        <v>2.2000000000000002</v>
      </c>
      <c r="J77" s="2">
        <v>165</v>
      </c>
      <c r="K77" s="2">
        <v>165</v>
      </c>
      <c r="L77" s="2">
        <v>82.5</v>
      </c>
      <c r="M77" s="2">
        <v>33</v>
      </c>
    </row>
    <row r="78" spans="1:13" x14ac:dyDescent="0.25">
      <c r="A78" t="s">
        <v>10</v>
      </c>
      <c r="B78" s="5">
        <f>SUM(Table3[[#This Row],[Column3]]*3+Table3[[#This Row],[Column10]])</f>
        <v>180</v>
      </c>
      <c r="C78" s="2">
        <v>10</v>
      </c>
      <c r="D78" s="5">
        <f>SUM(Table3[[#This Row],[Column5]]*3+Table3[[#This Row],[Column11]])</f>
        <v>180</v>
      </c>
      <c r="E78" s="2">
        <v>10</v>
      </c>
      <c r="F78" s="5">
        <f>SUM(Table3[[#This Row],[Column7]]*3+Table3[[#This Row],[Column12]])</f>
        <v>90</v>
      </c>
      <c r="G78" s="2">
        <v>5</v>
      </c>
      <c r="H78" s="5">
        <f>SUM(Table3[[#This Row],[Column9]]*3+Table3[[#This Row],[Column13]])</f>
        <v>36</v>
      </c>
      <c r="I78" s="2">
        <v>2</v>
      </c>
      <c r="J78" s="2">
        <v>150</v>
      </c>
      <c r="K78" s="2">
        <v>150</v>
      </c>
      <c r="L78" s="2">
        <v>75</v>
      </c>
      <c r="M78" s="2">
        <v>30</v>
      </c>
    </row>
    <row r="79" spans="1:13" x14ac:dyDescent="0.25">
      <c r="A79" t="s">
        <v>7</v>
      </c>
      <c r="B79" s="5">
        <f>SUM(Table3[[#This Row],[Column3]]*3+Table3[[#This Row],[Column10]])</f>
        <v>90</v>
      </c>
      <c r="C79" s="2">
        <v>5</v>
      </c>
      <c r="D79" s="5">
        <f>SUM(Table3[[#This Row],[Column5]]*3+Table3[[#This Row],[Column11]])</f>
        <v>90</v>
      </c>
      <c r="E79" s="2">
        <v>5</v>
      </c>
      <c r="F79" s="5">
        <f>SUM(Table3[[#This Row],[Column7]]*3+Table3[[#This Row],[Column12]])</f>
        <v>45</v>
      </c>
      <c r="G79" s="2">
        <v>2.5</v>
      </c>
      <c r="H79" s="5">
        <f>SUM(Table3[[#This Row],[Column9]]*3+Table3[[#This Row],[Column13]])</f>
        <v>18</v>
      </c>
      <c r="I79" s="2">
        <v>1</v>
      </c>
      <c r="J79" s="2">
        <v>75</v>
      </c>
      <c r="K79" s="2">
        <v>75</v>
      </c>
      <c r="L79" s="2">
        <v>37.5</v>
      </c>
      <c r="M79" s="2">
        <v>15</v>
      </c>
    </row>
    <row r="80" spans="1:13" x14ac:dyDescent="0.25">
      <c r="A80" s="7" t="s">
        <v>11</v>
      </c>
      <c r="B80" s="8"/>
      <c r="C80" s="7">
        <v>1</v>
      </c>
      <c r="D80" s="8"/>
      <c r="E80" s="9" t="s">
        <v>45</v>
      </c>
      <c r="F80" s="8"/>
      <c r="G80" s="9" t="s">
        <v>46</v>
      </c>
      <c r="H80" s="8"/>
      <c r="I80" s="7" t="s">
        <v>47</v>
      </c>
      <c r="J80" s="7">
        <v>1</v>
      </c>
      <c r="K80" s="9" t="s">
        <v>45</v>
      </c>
      <c r="L80" s="9" t="s">
        <v>46</v>
      </c>
      <c r="M80" s="7" t="s">
        <v>47</v>
      </c>
    </row>
    <row r="81" spans="1:13" x14ac:dyDescent="0.25">
      <c r="A81" t="s">
        <v>9</v>
      </c>
      <c r="B81" s="5">
        <f>SUM(Table3[[#This Row],[Column3]]*3+Table3[[#This Row],[Column10]])</f>
        <v>234.25</v>
      </c>
      <c r="C81" s="2">
        <v>12.75</v>
      </c>
      <c r="D81" s="5">
        <f>SUM(Table3[[#This Row],[Column5]]*3+Table3[[#This Row],[Column11]])</f>
        <v>234.25</v>
      </c>
      <c r="E81" s="2">
        <v>12.75</v>
      </c>
      <c r="F81" s="5">
        <f>SUM(Table3[[#This Row],[Column7]]*3+Table3[[#This Row],[Column12]])</f>
        <v>117.14</v>
      </c>
      <c r="G81" s="2">
        <v>6.38</v>
      </c>
      <c r="H81" s="5">
        <f>SUM(Table3[[#This Row],[Column9]]*3+Table3[[#This Row],[Column13]])</f>
        <v>46.85</v>
      </c>
      <c r="I81" s="2">
        <v>2.5499999999999998</v>
      </c>
      <c r="J81" s="2">
        <v>196</v>
      </c>
      <c r="K81" s="2">
        <v>196</v>
      </c>
      <c r="L81" s="2">
        <v>98</v>
      </c>
      <c r="M81" s="2">
        <v>39.200000000000003</v>
      </c>
    </row>
    <row r="82" spans="1:13" x14ac:dyDescent="0.25">
      <c r="A82" t="s">
        <v>10</v>
      </c>
      <c r="B82" s="5">
        <f>SUM(Table3[[#This Row],[Column3]]*3+Table3[[#This Row],[Column10]])</f>
        <v>203</v>
      </c>
      <c r="C82" s="2">
        <v>11</v>
      </c>
      <c r="D82" s="5">
        <f>SUM(Table3[[#This Row],[Column5]]*3+Table3[[#This Row],[Column11]])</f>
        <v>203</v>
      </c>
      <c r="E82" s="2">
        <v>11</v>
      </c>
      <c r="F82" s="5">
        <f>SUM(Table3[[#This Row],[Column7]]*3+Table3[[#This Row],[Column12]])</f>
        <v>101.5</v>
      </c>
      <c r="G82" s="2">
        <v>5.5</v>
      </c>
      <c r="H82" s="5">
        <f>SUM(Table3[[#This Row],[Column9]]*3+Table3[[#This Row],[Column13]])</f>
        <v>40.6</v>
      </c>
      <c r="I82" s="2">
        <v>2.2000000000000002</v>
      </c>
      <c r="J82" s="2">
        <v>170</v>
      </c>
      <c r="K82" s="2">
        <v>170</v>
      </c>
      <c r="L82" s="2">
        <v>85</v>
      </c>
      <c r="M82" s="2">
        <v>34</v>
      </c>
    </row>
    <row r="83" spans="1:13" x14ac:dyDescent="0.25">
      <c r="A83" t="s">
        <v>7</v>
      </c>
      <c r="B83" s="5">
        <f>SUM(Table3[[#This Row],[Column3]]*3+Table3[[#This Row],[Column10]])</f>
        <v>101.5</v>
      </c>
      <c r="C83" s="2">
        <v>5.5</v>
      </c>
      <c r="D83" s="5">
        <f>SUM(Table3[[#This Row],[Column5]]*3+Table3[[#This Row],[Column11]])</f>
        <v>101.5</v>
      </c>
      <c r="E83" s="2">
        <v>5.5</v>
      </c>
      <c r="F83" s="5">
        <f>SUM(Table3[[#This Row],[Column7]]*3+Table3[[#This Row],[Column12]])</f>
        <v>50.75</v>
      </c>
      <c r="G83" s="2">
        <v>2.75</v>
      </c>
      <c r="H83" s="5">
        <f>SUM(Table3[[#This Row],[Column9]]*3+Table3[[#This Row],[Column13]])</f>
        <v>20.3</v>
      </c>
      <c r="I83" s="2">
        <v>1.1000000000000001</v>
      </c>
      <c r="J83" s="2">
        <v>85</v>
      </c>
      <c r="K83" s="2">
        <v>85</v>
      </c>
      <c r="L83" s="2">
        <v>42.5</v>
      </c>
      <c r="M83" s="2">
        <v>17</v>
      </c>
    </row>
    <row r="84" spans="1:13" x14ac:dyDescent="0.25">
      <c r="A84" s="7" t="s">
        <v>12</v>
      </c>
      <c r="B84" s="8"/>
      <c r="C84" s="7">
        <v>1</v>
      </c>
      <c r="D84" s="8"/>
      <c r="E84" s="9" t="s">
        <v>45</v>
      </c>
      <c r="F84" s="8"/>
      <c r="G84" s="9" t="s">
        <v>46</v>
      </c>
      <c r="H84" s="8"/>
      <c r="I84" s="7" t="s">
        <v>47</v>
      </c>
      <c r="J84" s="7">
        <v>1</v>
      </c>
      <c r="K84" s="9" t="s">
        <v>45</v>
      </c>
      <c r="L84" s="9" t="s">
        <v>46</v>
      </c>
      <c r="M84" s="7" t="s">
        <v>47</v>
      </c>
    </row>
    <row r="85" spans="1:13" x14ac:dyDescent="0.25">
      <c r="A85" t="s">
        <v>13</v>
      </c>
      <c r="B85" s="5">
        <f>SUM(Table3[[#This Row],[Column3]]*3+Table3[[#This Row],[Column10]])</f>
        <v>453</v>
      </c>
      <c r="C85" s="2">
        <v>25</v>
      </c>
      <c r="D85" s="5">
        <f>SUM(Table3[[#This Row],[Column5]]*3+Table3[[#This Row],[Column11]])</f>
        <v>290</v>
      </c>
      <c r="E85" s="2">
        <v>16</v>
      </c>
      <c r="F85" s="5">
        <f>SUM(Table3[[#This Row],[Column7]]*3+Table3[[#This Row],[Column12]])</f>
        <v>145</v>
      </c>
      <c r="G85" s="2">
        <v>8</v>
      </c>
      <c r="H85" s="5">
        <f>SUM(Table3[[#This Row],[Column9]]*3+Table3[[#This Row],[Column13]])</f>
        <v>58</v>
      </c>
      <c r="I85" s="2">
        <v>3.2</v>
      </c>
      <c r="J85" s="2">
        <v>378</v>
      </c>
      <c r="K85" s="2">
        <v>242</v>
      </c>
      <c r="L85" s="2">
        <v>121</v>
      </c>
      <c r="M85" s="2">
        <v>48.4</v>
      </c>
    </row>
    <row r="86" spans="1:13" x14ac:dyDescent="0.25">
      <c r="A86" t="s">
        <v>6</v>
      </c>
      <c r="B86" s="5">
        <f>SUM(Table3[[#This Row],[Column3]]*3+Table3[[#This Row],[Column10]])</f>
        <v>252</v>
      </c>
      <c r="C86" s="2">
        <v>14</v>
      </c>
      <c r="D86" s="5">
        <f>SUM(Table3[[#This Row],[Column5]]*3+Table3[[#This Row],[Column11]])</f>
        <v>252</v>
      </c>
      <c r="E86" s="2">
        <v>14</v>
      </c>
      <c r="F86" s="5">
        <f>SUM(Table3[[#This Row],[Column7]]*3+Table3[[#This Row],[Column12]])</f>
        <v>126</v>
      </c>
      <c r="G86" s="2">
        <v>7</v>
      </c>
      <c r="H86" s="5">
        <f>SUM(Table3[[#This Row],[Column9]]*3+Table3[[#This Row],[Column13]])</f>
        <v>50.4</v>
      </c>
      <c r="I86" s="2">
        <v>2.8</v>
      </c>
      <c r="J86" s="2">
        <v>210</v>
      </c>
      <c r="K86" s="2">
        <v>210</v>
      </c>
      <c r="L86" s="2">
        <v>105</v>
      </c>
      <c r="M86" s="2">
        <v>42</v>
      </c>
    </row>
    <row r="87" spans="1:13" x14ac:dyDescent="0.25">
      <c r="A87" t="s">
        <v>7</v>
      </c>
      <c r="B87" s="5">
        <f>SUM(Table3[[#This Row],[Column3]]*3+Table3[[#This Row],[Column10]])</f>
        <v>126</v>
      </c>
      <c r="C87" s="2">
        <v>7</v>
      </c>
      <c r="D87" s="5">
        <f>SUM(Table3[[#This Row],[Column5]]*3+Table3[[#This Row],[Column11]])</f>
        <v>126</v>
      </c>
      <c r="E87" s="2">
        <v>7</v>
      </c>
      <c r="F87" s="5">
        <f>SUM(Table3[[#This Row],[Column7]]*3+Table3[[#This Row],[Column12]])</f>
        <v>63</v>
      </c>
      <c r="G87" s="2">
        <v>3.5</v>
      </c>
      <c r="H87" s="5">
        <f>SUM(Table3[[#This Row],[Column9]]*3+Table3[[#This Row],[Column13]])</f>
        <v>25.2</v>
      </c>
      <c r="I87" s="2">
        <v>1.4</v>
      </c>
      <c r="J87" s="2">
        <v>105</v>
      </c>
      <c r="K87" s="2">
        <v>105</v>
      </c>
      <c r="L87" s="2">
        <v>52.5</v>
      </c>
      <c r="M87" s="2">
        <v>21</v>
      </c>
    </row>
    <row r="88" spans="1:13" x14ac:dyDescent="0.25">
      <c r="A88" s="7" t="s">
        <v>14</v>
      </c>
      <c r="B88" s="8"/>
      <c r="C88" s="7">
        <v>1</v>
      </c>
      <c r="D88" s="8"/>
      <c r="E88" s="9" t="s">
        <v>45</v>
      </c>
      <c r="F88" s="8"/>
      <c r="G88" s="9" t="s">
        <v>46</v>
      </c>
      <c r="H88" s="8"/>
      <c r="I88" s="7" t="s">
        <v>47</v>
      </c>
      <c r="J88" s="7">
        <v>1</v>
      </c>
      <c r="K88" s="9" t="s">
        <v>45</v>
      </c>
      <c r="L88" s="9" t="s">
        <v>46</v>
      </c>
      <c r="M88" s="7" t="s">
        <v>47</v>
      </c>
    </row>
    <row r="89" spans="1:13" x14ac:dyDescent="0.25">
      <c r="A89" t="s">
        <v>5</v>
      </c>
      <c r="B89" s="5">
        <f>SUM(Table3[[#This Row],[Column3]]*3+Table3[[#This Row],[Column10]])</f>
        <v>400.25</v>
      </c>
      <c r="C89" s="2">
        <v>22.75</v>
      </c>
      <c r="D89" s="5">
        <f>SUM(Table3[[#This Row],[Column5]]*3+Table3[[#This Row],[Column11]])</f>
        <v>264</v>
      </c>
      <c r="E89" s="2">
        <v>15</v>
      </c>
      <c r="F89" s="5">
        <f>SUM(Table3[[#This Row],[Column7]]*3+Table3[[#This Row],[Column12]])</f>
        <v>132</v>
      </c>
      <c r="G89" s="2">
        <v>7.5</v>
      </c>
      <c r="H89" s="5">
        <f>SUM(Table3[[#This Row],[Column9]]*3+Table3[[#This Row],[Column13]])</f>
        <v>52.8</v>
      </c>
      <c r="I89" s="2">
        <v>3</v>
      </c>
      <c r="J89" s="2">
        <v>332</v>
      </c>
      <c r="K89" s="2">
        <v>219</v>
      </c>
      <c r="L89" s="2">
        <v>109.5</v>
      </c>
      <c r="M89" s="2">
        <v>43.8</v>
      </c>
    </row>
    <row r="90" spans="1:13" x14ac:dyDescent="0.25">
      <c r="A90" t="s">
        <v>6</v>
      </c>
      <c r="B90" s="5">
        <f>SUM(Table3[[#This Row],[Column3]]*3+Table3[[#This Row],[Column10]])</f>
        <v>229</v>
      </c>
      <c r="C90" s="2">
        <v>13</v>
      </c>
      <c r="D90" s="5">
        <f>SUM(Table3[[#This Row],[Column5]]*3+Table3[[#This Row],[Column11]])</f>
        <v>229</v>
      </c>
      <c r="E90" s="2">
        <v>13</v>
      </c>
      <c r="F90" s="5">
        <f>SUM(Table3[[#This Row],[Column7]]*3+Table3[[#This Row],[Column12]])</f>
        <v>114.5</v>
      </c>
      <c r="G90" s="2">
        <v>6.5</v>
      </c>
      <c r="H90" s="5">
        <f>SUM(Table3[[#This Row],[Column9]]*3+Table3[[#This Row],[Column13]])</f>
        <v>45.8</v>
      </c>
      <c r="I90" s="2">
        <v>2.6</v>
      </c>
      <c r="J90" s="2">
        <v>190</v>
      </c>
      <c r="K90" s="2">
        <v>190</v>
      </c>
      <c r="L90" s="2">
        <v>95</v>
      </c>
      <c r="M90" s="2">
        <v>38</v>
      </c>
    </row>
    <row r="91" spans="1:13" x14ac:dyDescent="0.25">
      <c r="A91" t="s">
        <v>7</v>
      </c>
      <c r="B91" s="5">
        <f>SUM(Table3[[#This Row],[Column3]]*3+Table3[[#This Row],[Column10]])</f>
        <v>114.5</v>
      </c>
      <c r="C91" s="2">
        <v>6.5</v>
      </c>
      <c r="D91" s="5">
        <f>SUM(Table3[[#This Row],[Column5]]*3+Table3[[#This Row],[Column11]])</f>
        <v>114.5</v>
      </c>
      <c r="E91" s="2">
        <v>6.5</v>
      </c>
      <c r="F91" s="5">
        <f>SUM(Table3[[#This Row],[Column7]]*3+Table3[[#This Row],[Column12]])</f>
        <v>57.25</v>
      </c>
      <c r="G91" s="2">
        <v>3.25</v>
      </c>
      <c r="H91" s="5">
        <f>SUM(Table3[[#This Row],[Column9]]*3+Table3[[#This Row],[Column13]])</f>
        <v>22.9</v>
      </c>
      <c r="I91" s="2">
        <v>1.3</v>
      </c>
      <c r="J91" s="2">
        <v>95</v>
      </c>
      <c r="K91" s="2">
        <v>95</v>
      </c>
      <c r="L91" s="2">
        <v>47.5</v>
      </c>
      <c r="M91" s="2">
        <v>19</v>
      </c>
    </row>
    <row r="92" spans="1:13" x14ac:dyDescent="0.25">
      <c r="A92" s="7" t="s">
        <v>15</v>
      </c>
      <c r="B92" s="8"/>
      <c r="C92" s="7">
        <v>1</v>
      </c>
      <c r="D92" s="8"/>
      <c r="E92" s="9" t="s">
        <v>45</v>
      </c>
      <c r="F92" s="8"/>
      <c r="G92" s="9" t="s">
        <v>46</v>
      </c>
      <c r="H92" s="8"/>
      <c r="I92" s="7" t="s">
        <v>47</v>
      </c>
      <c r="J92" s="7">
        <v>1</v>
      </c>
      <c r="K92" s="9" t="s">
        <v>45</v>
      </c>
      <c r="L92" s="9" t="s">
        <v>46</v>
      </c>
      <c r="M92" s="7" t="s">
        <v>47</v>
      </c>
    </row>
    <row r="93" spans="1:13" x14ac:dyDescent="0.25">
      <c r="A93" t="s">
        <v>5</v>
      </c>
      <c r="B93" s="5">
        <f>SUM(Table3[[#This Row],[Column3]]*3+Table3[[#This Row],[Column10]])</f>
        <v>360</v>
      </c>
      <c r="C93" s="2">
        <v>20</v>
      </c>
      <c r="D93" s="5">
        <f>SUM(Table3[[#This Row],[Column5]]*3+Table3[[#This Row],[Column11]])</f>
        <v>360</v>
      </c>
      <c r="E93" s="2">
        <v>20</v>
      </c>
      <c r="F93" s="5">
        <f>SUM(Table3[[#This Row],[Column7]]*3+Table3[[#This Row],[Column12]])</f>
        <v>48.25</v>
      </c>
      <c r="G93" s="2">
        <v>2.75</v>
      </c>
      <c r="H93" s="5">
        <f>SUM(Table3[[#This Row],[Column9]]*3+Table3[[#This Row],[Column13]])</f>
        <v>48.25</v>
      </c>
      <c r="I93" s="2">
        <v>2.75</v>
      </c>
      <c r="J93" s="2">
        <v>300</v>
      </c>
      <c r="K93" s="2">
        <v>300</v>
      </c>
      <c r="L93" s="2">
        <v>40</v>
      </c>
      <c r="M93" s="2">
        <v>40</v>
      </c>
    </row>
    <row r="94" spans="1:13" x14ac:dyDescent="0.25">
      <c r="A94" t="s">
        <v>6</v>
      </c>
      <c r="B94" s="5">
        <f>SUM(Table3[[#This Row],[Column3]]*3+Table3[[#This Row],[Column10]])</f>
        <v>329.75</v>
      </c>
      <c r="C94" s="2">
        <v>18.25</v>
      </c>
      <c r="D94" s="5">
        <f>SUM(Table3[[#This Row],[Column5]]*3+Table3[[#This Row],[Column11]])</f>
        <v>329.75</v>
      </c>
      <c r="E94" s="2">
        <v>18.25</v>
      </c>
      <c r="F94" s="5">
        <f>SUM(Table3[[#This Row],[Column7]]*3+Table3[[#This Row],[Column12]])</f>
        <v>36</v>
      </c>
      <c r="G94" s="2">
        <v>2</v>
      </c>
      <c r="H94" s="5">
        <f>SUM(Table3[[#This Row],[Column9]]*3+Table3[[#This Row],[Column13]])</f>
        <v>36</v>
      </c>
      <c r="I94" s="2">
        <v>2</v>
      </c>
      <c r="J94" s="2">
        <v>275</v>
      </c>
      <c r="K94" s="2">
        <v>275</v>
      </c>
      <c r="L94" s="2">
        <v>30</v>
      </c>
      <c r="M94" s="2">
        <v>30</v>
      </c>
    </row>
    <row r="95" spans="1:13" x14ac:dyDescent="0.25">
      <c r="A95" t="s">
        <v>7</v>
      </c>
      <c r="B95" s="5">
        <f>SUM(Table3[[#This Row],[Column3]]*3+Table3[[#This Row],[Column10]])</f>
        <v>165.25</v>
      </c>
      <c r="C95" s="2">
        <v>9.25</v>
      </c>
      <c r="D95" s="5">
        <f>SUM(Table3[[#This Row],[Column5]]*3+Table3[[#This Row],[Column11]])</f>
        <v>165.25</v>
      </c>
      <c r="E95" s="2">
        <v>9.25</v>
      </c>
      <c r="F95" s="5">
        <f>SUM(Table3[[#This Row],[Column7]]*3+Table3[[#This Row],[Column12]])</f>
        <v>18</v>
      </c>
      <c r="G95" s="2">
        <v>1</v>
      </c>
      <c r="H95" s="5">
        <f>SUM(Table3[[#This Row],[Column9]]*3+Table3[[#This Row],[Column13]])</f>
        <v>18</v>
      </c>
      <c r="I95" s="2">
        <v>1</v>
      </c>
      <c r="J95" s="2">
        <v>137.5</v>
      </c>
      <c r="K95" s="2">
        <v>137.5</v>
      </c>
      <c r="L95" s="2">
        <v>15</v>
      </c>
      <c r="M95" s="2">
        <v>15</v>
      </c>
    </row>
    <row r="96" spans="1:13" x14ac:dyDescent="0.25">
      <c r="A96" s="7" t="s">
        <v>16</v>
      </c>
      <c r="B96" s="8"/>
      <c r="C96" s="7">
        <v>1</v>
      </c>
      <c r="D96" s="8"/>
      <c r="E96" s="9" t="s">
        <v>45</v>
      </c>
      <c r="F96" s="8"/>
      <c r="G96" s="9" t="s">
        <v>46</v>
      </c>
      <c r="H96" s="8"/>
      <c r="I96" s="7" t="s">
        <v>47</v>
      </c>
      <c r="J96" s="7">
        <v>1</v>
      </c>
      <c r="K96" s="9" t="s">
        <v>45</v>
      </c>
      <c r="L96" s="9" t="s">
        <v>46</v>
      </c>
      <c r="M96" s="7" t="s">
        <v>47</v>
      </c>
    </row>
    <row r="97" spans="1:13" x14ac:dyDescent="0.25">
      <c r="A97" t="s">
        <v>5</v>
      </c>
      <c r="B97" s="5">
        <f>SUM(Table3[[#This Row],[Column3]]*3+Table3[[#This Row],[Column10]])</f>
        <v>372.25</v>
      </c>
      <c r="C97" s="2">
        <v>20.75</v>
      </c>
      <c r="D97" s="5">
        <f>SUM(Table3[[#This Row],[Column5]]*3+Table3[[#This Row],[Column11]])</f>
        <v>372.25</v>
      </c>
      <c r="E97" s="2">
        <v>20.75</v>
      </c>
      <c r="F97" s="5">
        <f>SUM(Table3[[#This Row],[Column7]]*3+Table3[[#This Row],[Column12]])</f>
        <v>48.25</v>
      </c>
      <c r="G97" s="2">
        <v>2.75</v>
      </c>
      <c r="H97" s="5">
        <f>SUM(Table3[[#This Row],[Column9]]*3+Table3[[#This Row],[Column13]])</f>
        <v>48.25</v>
      </c>
      <c r="I97" s="2">
        <v>2.75</v>
      </c>
      <c r="J97" s="2">
        <v>310</v>
      </c>
      <c r="K97" s="2">
        <v>310</v>
      </c>
      <c r="L97" s="2">
        <v>40</v>
      </c>
      <c r="M97" s="2">
        <v>40</v>
      </c>
    </row>
    <row r="98" spans="1:13" x14ac:dyDescent="0.25">
      <c r="A98" t="s">
        <v>6</v>
      </c>
      <c r="B98" s="5">
        <f>SUM(Table3[[#This Row],[Column3]]*3+Table3[[#This Row],[Column10]])</f>
        <v>300.25</v>
      </c>
      <c r="C98" s="2">
        <v>16.75</v>
      </c>
      <c r="D98" s="5">
        <f>SUM(Table3[[#This Row],[Column5]]*3+Table3[[#This Row],[Column11]])</f>
        <v>300.25</v>
      </c>
      <c r="E98" s="2">
        <v>16.75</v>
      </c>
      <c r="F98" s="5">
        <f>SUM(Table3[[#This Row],[Column7]]*3+Table3[[#This Row],[Column12]])</f>
        <v>36</v>
      </c>
      <c r="G98" s="2">
        <v>2</v>
      </c>
      <c r="H98" s="5">
        <f>SUM(Table3[[#This Row],[Column9]]*3+Table3[[#This Row],[Column13]])</f>
        <v>36</v>
      </c>
      <c r="I98" s="2">
        <v>2</v>
      </c>
      <c r="J98" s="2">
        <v>250</v>
      </c>
      <c r="K98" s="2">
        <v>250</v>
      </c>
      <c r="L98" s="2">
        <v>30</v>
      </c>
      <c r="M98" s="2">
        <v>30</v>
      </c>
    </row>
    <row r="99" spans="1:13" x14ac:dyDescent="0.25">
      <c r="A99" t="s">
        <v>7</v>
      </c>
      <c r="B99" s="5">
        <f>SUM(Table3[[#This Row],[Column3]]*3+Table3[[#This Row],[Column10]])</f>
        <v>126</v>
      </c>
      <c r="C99" s="2">
        <v>7</v>
      </c>
      <c r="D99" s="5">
        <f>SUM(Table3[[#This Row],[Column5]]*3+Table3[[#This Row],[Column11]])</f>
        <v>126</v>
      </c>
      <c r="E99" s="2">
        <v>7</v>
      </c>
      <c r="F99" s="5">
        <f>SUM(Table3[[#This Row],[Column7]]*3+Table3[[#This Row],[Column12]])</f>
        <v>18</v>
      </c>
      <c r="G99" s="2">
        <v>1</v>
      </c>
      <c r="H99" s="5">
        <f>SUM(Table3[[#This Row],[Column9]]*3+Table3[[#This Row],[Column13]])</f>
        <v>18</v>
      </c>
      <c r="I99" s="2">
        <v>1</v>
      </c>
      <c r="J99" s="2">
        <v>105</v>
      </c>
      <c r="K99" s="2">
        <v>105</v>
      </c>
      <c r="L99" s="2">
        <v>15</v>
      </c>
      <c r="M99" s="2">
        <v>15</v>
      </c>
    </row>
    <row r="100" spans="1:13" x14ac:dyDescent="0.25">
      <c r="A100" s="7" t="s">
        <v>17</v>
      </c>
      <c r="B100" s="8"/>
      <c r="C100" s="7">
        <v>1</v>
      </c>
      <c r="D100" s="8"/>
      <c r="E100" s="9" t="s">
        <v>45</v>
      </c>
      <c r="F100" s="8"/>
      <c r="G100" s="9" t="s">
        <v>46</v>
      </c>
      <c r="H100" s="8"/>
      <c r="I100" s="7" t="s">
        <v>47</v>
      </c>
      <c r="J100" s="7">
        <v>1</v>
      </c>
      <c r="K100" s="9" t="s">
        <v>45</v>
      </c>
      <c r="L100" s="9" t="s">
        <v>46</v>
      </c>
      <c r="M100" s="7" t="s">
        <v>47</v>
      </c>
    </row>
    <row r="101" spans="1:13" x14ac:dyDescent="0.25">
      <c r="A101" t="s">
        <v>9</v>
      </c>
      <c r="B101" s="5">
        <f>SUM(Table3[[#This Row],[Column3]]*3+Table3[[#This Row],[Column10]])</f>
        <v>396.75</v>
      </c>
      <c r="C101" s="2">
        <v>17.25</v>
      </c>
      <c r="D101" s="5">
        <f>SUM(Table3[[#This Row],[Column5]]*3+Table3[[#This Row],[Column11]])</f>
        <v>396.75</v>
      </c>
      <c r="E101" s="2">
        <v>17.25</v>
      </c>
      <c r="F101" s="5">
        <f>SUM(Table3[[#This Row],[Column7]]*3+Table3[[#This Row],[Column12]])</f>
        <v>198.39</v>
      </c>
      <c r="G101" s="2">
        <v>8.6300000000000008</v>
      </c>
      <c r="H101" s="5">
        <f>SUM(Table3[[#This Row],[Column9]]*3+Table3[[#This Row],[Column13]])</f>
        <v>79.349999999999994</v>
      </c>
      <c r="I101" s="2">
        <v>3.45</v>
      </c>
      <c r="J101" s="2">
        <v>345</v>
      </c>
      <c r="K101" s="2">
        <v>345</v>
      </c>
      <c r="L101" s="2">
        <v>172.5</v>
      </c>
      <c r="M101" s="2">
        <v>69</v>
      </c>
    </row>
    <row r="102" spans="1:13" x14ac:dyDescent="0.25">
      <c r="A102" t="s">
        <v>10</v>
      </c>
      <c r="B102" s="5">
        <f>SUM(Table3[[#This Row],[Column3]]*3+Table3[[#This Row],[Column10]])</f>
        <v>345</v>
      </c>
      <c r="C102" s="2">
        <v>15</v>
      </c>
      <c r="D102" s="5">
        <f>SUM(Table3[[#This Row],[Column5]]*3+Table3[[#This Row],[Column11]])</f>
        <v>345</v>
      </c>
      <c r="E102" s="2">
        <v>15</v>
      </c>
      <c r="F102" s="5">
        <f>SUM(Table3[[#This Row],[Column7]]*3+Table3[[#This Row],[Column12]])</f>
        <v>172.5</v>
      </c>
      <c r="G102" s="2">
        <v>7.5</v>
      </c>
      <c r="H102" s="5">
        <f>SUM(Table3[[#This Row],[Column9]]*3+Table3[[#This Row],[Column13]])</f>
        <v>69</v>
      </c>
      <c r="I102" s="2">
        <v>3</v>
      </c>
      <c r="J102" s="2">
        <v>300</v>
      </c>
      <c r="K102" s="2">
        <v>300</v>
      </c>
      <c r="L102" s="2">
        <v>150</v>
      </c>
      <c r="M102" s="2">
        <v>60</v>
      </c>
    </row>
    <row r="103" spans="1:13" x14ac:dyDescent="0.25">
      <c r="A103" t="s">
        <v>7</v>
      </c>
      <c r="B103" s="5">
        <f>SUM(Table3[[#This Row],[Column3]]*3+Table3[[#This Row],[Column10]])</f>
        <v>172.5</v>
      </c>
      <c r="C103" s="2">
        <v>7.5</v>
      </c>
      <c r="D103" s="5">
        <f>SUM(Table3[[#This Row],[Column5]]*3+Table3[[#This Row],[Column11]])</f>
        <v>172.5</v>
      </c>
      <c r="E103" s="2">
        <v>7.5</v>
      </c>
      <c r="F103" s="5">
        <f>SUM(Table3[[#This Row],[Column7]]*3+Table3[[#This Row],[Column12]])</f>
        <v>86.25</v>
      </c>
      <c r="G103" s="2">
        <v>3.75</v>
      </c>
      <c r="H103" s="5">
        <f>SUM(Table3[[#This Row],[Column9]]*3+Table3[[#This Row],[Column13]])</f>
        <v>34.5</v>
      </c>
      <c r="I103" s="2">
        <v>1.5</v>
      </c>
      <c r="J103" s="2">
        <v>150</v>
      </c>
      <c r="K103" s="2">
        <v>150</v>
      </c>
      <c r="L103" s="2">
        <v>75</v>
      </c>
      <c r="M103" s="2">
        <v>30</v>
      </c>
    </row>
    <row r="104" spans="1:13" x14ac:dyDescent="0.25">
      <c r="A104" s="7" t="s">
        <v>18</v>
      </c>
      <c r="B104" s="8"/>
      <c r="C104" s="7">
        <v>1</v>
      </c>
      <c r="D104" s="8"/>
      <c r="E104" s="9" t="s">
        <v>45</v>
      </c>
      <c r="F104" s="8"/>
      <c r="G104" s="9" t="s">
        <v>46</v>
      </c>
      <c r="H104" s="8"/>
      <c r="I104" s="7" t="s">
        <v>47</v>
      </c>
      <c r="J104" s="7">
        <v>1</v>
      </c>
      <c r="K104" s="9" t="s">
        <v>45</v>
      </c>
      <c r="L104" s="9" t="s">
        <v>46</v>
      </c>
      <c r="M104" s="7" t="s">
        <v>47</v>
      </c>
    </row>
    <row r="105" spans="1:13" x14ac:dyDescent="0.25">
      <c r="A105" t="s">
        <v>19</v>
      </c>
      <c r="B105" s="5">
        <f>SUM(Table3[[#This Row],[Column3]]*3+Table3[[#This Row],[Column10]])</f>
        <v>341.5</v>
      </c>
      <c r="C105" s="2">
        <v>18.5</v>
      </c>
      <c r="D105" s="5">
        <f>SUM(Table3[[#This Row],[Column5]]*3+Table3[[#This Row],[Column11]])</f>
        <v>234.25</v>
      </c>
      <c r="E105" s="2">
        <v>12.75</v>
      </c>
      <c r="F105" s="5">
        <f>SUM(Table3[[#This Row],[Column7]]*3+Table3[[#This Row],[Column12]])</f>
        <v>117.14</v>
      </c>
      <c r="G105" s="2">
        <v>6.38</v>
      </c>
      <c r="H105" s="5">
        <f>SUM(Table3[[#This Row],[Column9]]*3+Table3[[#This Row],[Column13]])</f>
        <v>46.85</v>
      </c>
      <c r="I105" s="2">
        <v>2.5499999999999998</v>
      </c>
      <c r="J105" s="2">
        <v>286</v>
      </c>
      <c r="K105" s="2">
        <v>196</v>
      </c>
      <c r="L105" s="2">
        <v>98</v>
      </c>
      <c r="M105" s="2">
        <v>39.200000000000003</v>
      </c>
    </row>
    <row r="106" spans="1:13" x14ac:dyDescent="0.25">
      <c r="A106" s="7" t="s">
        <v>4</v>
      </c>
      <c r="B106" s="8"/>
      <c r="C106" s="7">
        <v>1</v>
      </c>
      <c r="D106" s="8"/>
      <c r="E106" s="9" t="s">
        <v>45</v>
      </c>
      <c r="F106" s="8"/>
      <c r="G106" s="9" t="s">
        <v>46</v>
      </c>
      <c r="H106" s="8"/>
      <c r="I106" s="7" t="s">
        <v>47</v>
      </c>
      <c r="J106" s="7">
        <v>1</v>
      </c>
      <c r="K106" s="9" t="s">
        <v>45</v>
      </c>
      <c r="L106" s="9" t="s">
        <v>46</v>
      </c>
      <c r="M106" s="7" t="s">
        <v>47</v>
      </c>
    </row>
    <row r="107" spans="1:13" x14ac:dyDescent="0.25">
      <c r="A107" t="s">
        <v>5</v>
      </c>
      <c r="B107" s="5">
        <f>SUM(Table3[[#This Row],[Column3]]*3+Table3[[#This Row],[Column10]])</f>
        <v>290</v>
      </c>
      <c r="C107" s="2">
        <v>16</v>
      </c>
      <c r="D107" s="5">
        <f>SUM(Table3[[#This Row],[Column5]]*3+Table3[[#This Row],[Column11]])</f>
        <v>290</v>
      </c>
      <c r="E107" s="2">
        <v>16</v>
      </c>
      <c r="F107" s="5">
        <f>SUM(Table3[[#This Row],[Column7]]*3+Table3[[#This Row],[Column12]])</f>
        <v>145</v>
      </c>
      <c r="G107" s="2">
        <v>8</v>
      </c>
      <c r="H107" s="5">
        <f>SUM(Table3[[#This Row],[Column9]]*3+Table3[[#This Row],[Column13]])</f>
        <v>58</v>
      </c>
      <c r="I107" s="2">
        <v>3.2</v>
      </c>
      <c r="J107" s="2">
        <v>242</v>
      </c>
      <c r="K107" s="2">
        <v>242</v>
      </c>
      <c r="L107" s="2">
        <v>121</v>
      </c>
      <c r="M107" s="2">
        <v>48.4</v>
      </c>
    </row>
    <row r="108" spans="1:13" x14ac:dyDescent="0.25">
      <c r="A108" t="s">
        <v>6</v>
      </c>
      <c r="B108" s="5">
        <f>SUM(Table3[[#This Row],[Column3]]*3+Table3[[#This Row],[Column10]])</f>
        <v>252</v>
      </c>
      <c r="C108" s="2">
        <v>14</v>
      </c>
      <c r="D108" s="5">
        <f>SUM(Table3[[#This Row],[Column5]]*3+Table3[[#This Row],[Column11]])</f>
        <v>252</v>
      </c>
      <c r="E108" s="2">
        <v>14</v>
      </c>
      <c r="F108" s="5">
        <f>SUM(Table3[[#This Row],[Column7]]*3+Table3[[#This Row],[Column12]])</f>
        <v>126</v>
      </c>
      <c r="G108" s="2">
        <v>7</v>
      </c>
      <c r="H108" s="5">
        <f>SUM(Table3[[#This Row],[Column9]]*3+Table3[[#This Row],[Column13]])</f>
        <v>50.4</v>
      </c>
      <c r="I108" s="2">
        <v>2.8</v>
      </c>
      <c r="J108" s="2">
        <v>210</v>
      </c>
      <c r="K108" s="2">
        <v>210</v>
      </c>
      <c r="L108" s="2">
        <v>105</v>
      </c>
      <c r="M108" s="2">
        <v>42</v>
      </c>
    </row>
    <row r="109" spans="1:13" x14ac:dyDescent="0.25">
      <c r="A109" t="s">
        <v>7</v>
      </c>
      <c r="B109" s="5">
        <f>SUM(Table3[[#This Row],[Column3]]*3+Table3[[#This Row],[Column10]])</f>
        <v>126</v>
      </c>
      <c r="C109" s="2">
        <v>7</v>
      </c>
      <c r="D109" s="5">
        <f>SUM(Table3[[#This Row],[Column5]]*3+Table3[[#This Row],[Column11]])</f>
        <v>126</v>
      </c>
      <c r="E109" s="2">
        <v>7</v>
      </c>
      <c r="F109" s="5">
        <f>SUM(Table3[[#This Row],[Column7]]*3+Table3[[#This Row],[Column12]])</f>
        <v>63</v>
      </c>
      <c r="G109" s="2">
        <v>3.5</v>
      </c>
      <c r="H109" s="5">
        <f>SUM(Table3[[#This Row],[Column9]]*3+Table3[[#This Row],[Column13]])</f>
        <v>25.2</v>
      </c>
      <c r="I109" s="2">
        <v>1.4</v>
      </c>
      <c r="J109" s="2">
        <v>105</v>
      </c>
      <c r="K109" s="2">
        <v>105</v>
      </c>
      <c r="L109" s="2">
        <v>52.5</v>
      </c>
      <c r="M109" s="2">
        <v>21</v>
      </c>
    </row>
    <row r="110" spans="1:13" x14ac:dyDescent="0.25">
      <c r="A110" s="7" t="s">
        <v>8</v>
      </c>
      <c r="B110" s="8"/>
      <c r="C110" s="7">
        <v>1</v>
      </c>
      <c r="D110" s="8"/>
      <c r="E110" s="9" t="s">
        <v>45</v>
      </c>
      <c r="F110" s="8"/>
      <c r="G110" s="9" t="s">
        <v>46</v>
      </c>
      <c r="H110" s="8"/>
      <c r="I110" s="7" t="s">
        <v>47</v>
      </c>
      <c r="J110" s="7">
        <v>1</v>
      </c>
      <c r="K110" s="9" t="s">
        <v>45</v>
      </c>
      <c r="L110" s="9" t="s">
        <v>46</v>
      </c>
      <c r="M110" s="7" t="s">
        <v>47</v>
      </c>
    </row>
    <row r="111" spans="1:13" x14ac:dyDescent="0.25">
      <c r="A111" t="s">
        <v>9</v>
      </c>
      <c r="B111" s="5">
        <f>SUM(Table3[[#This Row],[Column3]]*3+Table3[[#This Row],[Column10]])</f>
        <v>198</v>
      </c>
      <c r="C111" s="2">
        <v>11</v>
      </c>
      <c r="D111" s="5">
        <f>SUM(Table3[[#This Row],[Column5]]*3+Table3[[#This Row],[Column11]])</f>
        <v>198</v>
      </c>
      <c r="E111" s="2">
        <v>11</v>
      </c>
      <c r="F111" s="5">
        <f>SUM(Table3[[#This Row],[Column7]]*3+Table3[[#This Row],[Column12]])</f>
        <v>99</v>
      </c>
      <c r="G111" s="2">
        <v>5.5</v>
      </c>
      <c r="H111" s="5">
        <f>SUM(Table3[[#This Row],[Column9]]*3+Table3[[#This Row],[Column13]])</f>
        <v>39.6</v>
      </c>
      <c r="I111" s="2">
        <v>2.2000000000000002</v>
      </c>
      <c r="J111" s="2">
        <v>165</v>
      </c>
      <c r="K111" s="2">
        <v>165</v>
      </c>
      <c r="L111" s="2">
        <v>82.5</v>
      </c>
      <c r="M111" s="2">
        <v>33</v>
      </c>
    </row>
    <row r="112" spans="1:13" x14ac:dyDescent="0.25">
      <c r="A112" t="s">
        <v>10</v>
      </c>
      <c r="B112" s="5">
        <f>SUM(Table3[[#This Row],[Column3]]*3+Table3[[#This Row],[Column10]])</f>
        <v>180</v>
      </c>
      <c r="C112" s="2">
        <v>10</v>
      </c>
      <c r="D112" s="5">
        <f>SUM(Table3[[#This Row],[Column5]]*3+Table3[[#This Row],[Column11]])</f>
        <v>180</v>
      </c>
      <c r="E112" s="2">
        <v>10</v>
      </c>
      <c r="F112" s="5">
        <f>SUM(Table3[[#This Row],[Column7]]*3+Table3[[#This Row],[Column12]])</f>
        <v>90</v>
      </c>
      <c r="G112" s="2">
        <v>5</v>
      </c>
      <c r="H112" s="5">
        <f>SUM(Table3[[#This Row],[Column9]]*3+Table3[[#This Row],[Column13]])</f>
        <v>36</v>
      </c>
      <c r="I112" s="2">
        <v>2</v>
      </c>
      <c r="J112" s="2">
        <v>150</v>
      </c>
      <c r="K112" s="2">
        <v>150</v>
      </c>
      <c r="L112" s="2">
        <v>75</v>
      </c>
      <c r="M112" s="2">
        <v>30</v>
      </c>
    </row>
    <row r="113" spans="1:13" x14ac:dyDescent="0.25">
      <c r="A113" t="s">
        <v>7</v>
      </c>
      <c r="B113" s="5">
        <f>SUM(Table3[[#This Row],[Column3]]*3+Table3[[#This Row],[Column10]])</f>
        <v>90</v>
      </c>
      <c r="C113" s="2">
        <v>5</v>
      </c>
      <c r="D113" s="5">
        <f>SUM(Table3[[#This Row],[Column5]]*3+Table3[[#This Row],[Column11]])</f>
        <v>90</v>
      </c>
      <c r="E113" s="2">
        <v>5</v>
      </c>
      <c r="F113" s="5">
        <f>SUM(Table3[[#This Row],[Column7]]*3+Table3[[#This Row],[Column12]])</f>
        <v>45</v>
      </c>
      <c r="G113" s="2">
        <v>2.5</v>
      </c>
      <c r="H113" s="5">
        <f>SUM(Table3[[#This Row],[Column9]]*3+Table3[[#This Row],[Column13]])</f>
        <v>18</v>
      </c>
      <c r="I113" s="2">
        <v>1</v>
      </c>
      <c r="J113" s="2">
        <v>75</v>
      </c>
      <c r="K113" s="2">
        <v>75</v>
      </c>
      <c r="L113" s="2">
        <v>37.5</v>
      </c>
      <c r="M113" s="2">
        <v>15</v>
      </c>
    </row>
    <row r="114" spans="1:13" x14ac:dyDescent="0.25">
      <c r="A114" s="7" t="s">
        <v>11</v>
      </c>
      <c r="B114" s="8"/>
      <c r="C114" s="7">
        <v>1</v>
      </c>
      <c r="D114" s="8"/>
      <c r="E114" s="9" t="s">
        <v>45</v>
      </c>
      <c r="F114" s="8"/>
      <c r="G114" s="9" t="s">
        <v>46</v>
      </c>
      <c r="H114" s="8"/>
      <c r="I114" s="7" t="s">
        <v>47</v>
      </c>
      <c r="J114" s="7">
        <v>1</v>
      </c>
      <c r="K114" s="9" t="s">
        <v>45</v>
      </c>
      <c r="L114" s="9" t="s">
        <v>46</v>
      </c>
      <c r="M114" s="7" t="s">
        <v>47</v>
      </c>
    </row>
    <row r="115" spans="1:13" x14ac:dyDescent="0.25">
      <c r="A115" t="s">
        <v>9</v>
      </c>
      <c r="B115" s="5">
        <f>SUM(Table3[[#This Row],[Column3]]*3+Table3[[#This Row],[Column10]])</f>
        <v>234.25</v>
      </c>
      <c r="C115" s="2">
        <v>12.75</v>
      </c>
      <c r="D115" s="5">
        <f>SUM(Table3[[#This Row],[Column5]]*3+Table3[[#This Row],[Column11]])</f>
        <v>234.25</v>
      </c>
      <c r="E115" s="2">
        <v>12.75</v>
      </c>
      <c r="F115" s="5">
        <f>SUM(Table3[[#This Row],[Column7]]*3+Table3[[#This Row],[Column12]])</f>
        <v>117.14</v>
      </c>
      <c r="G115" s="2">
        <v>6.38</v>
      </c>
      <c r="H115" s="5">
        <f>SUM(Table3[[#This Row],[Column9]]*3+Table3[[#This Row],[Column13]])</f>
        <v>46.85</v>
      </c>
      <c r="I115" s="2">
        <v>2.5499999999999998</v>
      </c>
      <c r="J115" s="2">
        <v>196</v>
      </c>
      <c r="K115" s="2">
        <v>196</v>
      </c>
      <c r="L115" s="2">
        <v>98</v>
      </c>
      <c r="M115" s="2">
        <v>39.200000000000003</v>
      </c>
    </row>
    <row r="116" spans="1:13" x14ac:dyDescent="0.25">
      <c r="A116" t="s">
        <v>10</v>
      </c>
      <c r="B116" s="5">
        <f>SUM(Table3[[#This Row],[Column3]]*3+Table3[[#This Row],[Column10]])</f>
        <v>203</v>
      </c>
      <c r="C116" s="2">
        <v>11</v>
      </c>
      <c r="D116" s="5">
        <f>SUM(Table3[[#This Row],[Column5]]*3+Table3[[#This Row],[Column11]])</f>
        <v>203</v>
      </c>
      <c r="E116" s="2">
        <v>11</v>
      </c>
      <c r="F116" s="5">
        <f>SUM(Table3[[#This Row],[Column7]]*3+Table3[[#This Row],[Column12]])</f>
        <v>101.5</v>
      </c>
      <c r="G116" s="2">
        <v>5.5</v>
      </c>
      <c r="H116" s="5">
        <f>SUM(Table3[[#This Row],[Column9]]*3+Table3[[#This Row],[Column13]])</f>
        <v>40.6</v>
      </c>
      <c r="I116" s="2">
        <v>2.2000000000000002</v>
      </c>
      <c r="J116" s="2">
        <v>170</v>
      </c>
      <c r="K116" s="2">
        <v>170</v>
      </c>
      <c r="L116" s="2">
        <v>85</v>
      </c>
      <c r="M116" s="2">
        <v>34</v>
      </c>
    </row>
    <row r="117" spans="1:13" x14ac:dyDescent="0.25">
      <c r="A117" t="s">
        <v>7</v>
      </c>
      <c r="B117" s="5">
        <f>SUM(Table3[[#This Row],[Column3]]*3+Table3[[#This Row],[Column10]])</f>
        <v>101.5</v>
      </c>
      <c r="C117" s="2">
        <v>5.5</v>
      </c>
      <c r="D117" s="5">
        <f>SUM(Table3[[#This Row],[Column5]]*3+Table3[[#This Row],[Column11]])</f>
        <v>101.5</v>
      </c>
      <c r="E117" s="2">
        <v>5.5</v>
      </c>
      <c r="F117" s="5">
        <f>SUM(Table3[[#This Row],[Column7]]*3+Table3[[#This Row],[Column12]])</f>
        <v>50.75</v>
      </c>
      <c r="G117" s="2">
        <v>2.75</v>
      </c>
      <c r="H117" s="5">
        <f>SUM(Table3[[#This Row],[Column9]]*3+Table3[[#This Row],[Column13]])</f>
        <v>20.3</v>
      </c>
      <c r="I117" s="2">
        <v>1.1000000000000001</v>
      </c>
      <c r="J117" s="2">
        <v>85</v>
      </c>
      <c r="K117" s="2">
        <v>85</v>
      </c>
      <c r="L117" s="2">
        <v>42.5</v>
      </c>
      <c r="M117" s="2">
        <v>17</v>
      </c>
    </row>
    <row r="118" spans="1:13" x14ac:dyDescent="0.25">
      <c r="A118" s="7" t="s">
        <v>12</v>
      </c>
      <c r="B118" s="8"/>
      <c r="C118" s="7">
        <v>1</v>
      </c>
      <c r="D118" s="8"/>
      <c r="E118" s="9" t="s">
        <v>45</v>
      </c>
      <c r="F118" s="8"/>
      <c r="G118" s="9" t="s">
        <v>46</v>
      </c>
      <c r="H118" s="8"/>
      <c r="I118" s="7" t="s">
        <v>47</v>
      </c>
      <c r="J118" s="7">
        <v>1</v>
      </c>
      <c r="K118" s="9" t="s">
        <v>45</v>
      </c>
      <c r="L118" s="9" t="s">
        <v>46</v>
      </c>
      <c r="M118" s="7" t="s">
        <v>47</v>
      </c>
    </row>
    <row r="119" spans="1:13" x14ac:dyDescent="0.25">
      <c r="A119" t="s">
        <v>13</v>
      </c>
      <c r="B119" s="5">
        <f>SUM(Table3[[#This Row],[Column3]]*3+Table3[[#This Row],[Column10]])</f>
        <v>453</v>
      </c>
      <c r="C119" s="2">
        <v>25</v>
      </c>
      <c r="D119" s="5">
        <f>SUM(Table3[[#This Row],[Column5]]*3+Table3[[#This Row],[Column11]])</f>
        <v>290</v>
      </c>
      <c r="E119" s="2">
        <v>16</v>
      </c>
      <c r="F119" s="5">
        <f>SUM(Table3[[#This Row],[Column7]]*3+Table3[[#This Row],[Column12]])</f>
        <v>145</v>
      </c>
      <c r="G119" s="2">
        <v>8</v>
      </c>
      <c r="H119" s="5">
        <f>SUM(Table3[[#This Row],[Column9]]*3+Table3[[#This Row],[Column13]])</f>
        <v>58</v>
      </c>
      <c r="I119" s="2">
        <v>3.2</v>
      </c>
      <c r="J119" s="2">
        <v>378</v>
      </c>
      <c r="K119" s="2">
        <v>242</v>
      </c>
      <c r="L119" s="2">
        <v>121</v>
      </c>
      <c r="M119" s="2">
        <v>48.4</v>
      </c>
    </row>
    <row r="120" spans="1:13" x14ac:dyDescent="0.25">
      <c r="A120" t="s">
        <v>6</v>
      </c>
      <c r="B120" s="5">
        <f>SUM(Table3[[#This Row],[Column3]]*3+Table3[[#This Row],[Column10]])</f>
        <v>252</v>
      </c>
      <c r="C120" s="2">
        <v>14</v>
      </c>
      <c r="D120" s="5">
        <f>SUM(Table3[[#This Row],[Column5]]*3+Table3[[#This Row],[Column11]])</f>
        <v>252</v>
      </c>
      <c r="E120" s="2">
        <v>14</v>
      </c>
      <c r="F120" s="5">
        <f>SUM(Table3[[#This Row],[Column7]]*3+Table3[[#This Row],[Column12]])</f>
        <v>126</v>
      </c>
      <c r="G120" s="2">
        <v>7</v>
      </c>
      <c r="H120" s="5">
        <f>SUM(Table3[[#This Row],[Column9]]*3+Table3[[#This Row],[Column13]])</f>
        <v>50.4</v>
      </c>
      <c r="I120" s="2">
        <v>2.8</v>
      </c>
      <c r="J120" s="2">
        <v>210</v>
      </c>
      <c r="K120" s="2">
        <v>210</v>
      </c>
      <c r="L120" s="2">
        <v>105</v>
      </c>
      <c r="M120" s="2">
        <v>42</v>
      </c>
    </row>
    <row r="121" spans="1:13" x14ac:dyDescent="0.25">
      <c r="A121" t="s">
        <v>7</v>
      </c>
      <c r="B121" s="5">
        <f>SUM(Table3[[#This Row],[Column3]]*3+Table3[[#This Row],[Column10]])</f>
        <v>126</v>
      </c>
      <c r="C121" s="2">
        <v>7</v>
      </c>
      <c r="D121" s="5">
        <f>SUM(Table3[[#This Row],[Column5]]*3+Table3[[#This Row],[Column11]])</f>
        <v>126</v>
      </c>
      <c r="E121" s="2">
        <v>7</v>
      </c>
      <c r="F121" s="5">
        <f>SUM(Table3[[#This Row],[Column7]]*3+Table3[[#This Row],[Column12]])</f>
        <v>63</v>
      </c>
      <c r="G121" s="2">
        <v>3.5</v>
      </c>
      <c r="H121" s="5">
        <f>SUM(Table3[[#This Row],[Column9]]*3+Table3[[#This Row],[Column13]])</f>
        <v>25.2</v>
      </c>
      <c r="I121" s="2">
        <v>1.4</v>
      </c>
      <c r="J121" s="2">
        <v>105</v>
      </c>
      <c r="K121" s="2">
        <v>105</v>
      </c>
      <c r="L121" s="2">
        <v>52.5</v>
      </c>
      <c r="M121" s="2">
        <v>21</v>
      </c>
    </row>
    <row r="122" spans="1:13" x14ac:dyDescent="0.25">
      <c r="A122" s="7" t="s">
        <v>14</v>
      </c>
      <c r="B122" s="8"/>
      <c r="C122" s="7">
        <v>1</v>
      </c>
      <c r="D122" s="8"/>
      <c r="E122" s="9" t="s">
        <v>45</v>
      </c>
      <c r="F122" s="8"/>
      <c r="G122" s="9" t="s">
        <v>46</v>
      </c>
      <c r="H122" s="8"/>
      <c r="I122" s="7" t="s">
        <v>47</v>
      </c>
      <c r="J122" s="7">
        <v>1</v>
      </c>
      <c r="K122" s="9" t="s">
        <v>45</v>
      </c>
      <c r="L122" s="9" t="s">
        <v>46</v>
      </c>
      <c r="M122" s="7" t="s">
        <v>47</v>
      </c>
    </row>
    <row r="123" spans="1:13" x14ac:dyDescent="0.25">
      <c r="A123" t="s">
        <v>5</v>
      </c>
      <c r="B123" s="5">
        <f>SUM(Table3[[#This Row],[Column3]]*3+Table3[[#This Row],[Column10]])</f>
        <v>400.25</v>
      </c>
      <c r="C123" s="2">
        <v>22.75</v>
      </c>
      <c r="D123" s="5">
        <f>SUM(Table3[[#This Row],[Column5]]*3+Table3[[#This Row],[Column11]])</f>
        <v>264</v>
      </c>
      <c r="E123" s="2">
        <v>15</v>
      </c>
      <c r="F123" s="5">
        <f>SUM(Table3[[#This Row],[Column7]]*3+Table3[[#This Row],[Column12]])</f>
        <v>132</v>
      </c>
      <c r="G123" s="2">
        <v>7.5</v>
      </c>
      <c r="H123" s="5">
        <f>SUM(Table3[[#This Row],[Column9]]*3+Table3[[#This Row],[Column13]])</f>
        <v>52.8</v>
      </c>
      <c r="I123" s="2">
        <v>3</v>
      </c>
      <c r="J123" s="2">
        <v>332</v>
      </c>
      <c r="K123" s="2">
        <v>219</v>
      </c>
      <c r="L123" s="2">
        <v>109.5</v>
      </c>
      <c r="M123" s="2">
        <v>43.8</v>
      </c>
    </row>
    <row r="124" spans="1:13" x14ac:dyDescent="0.25">
      <c r="A124" t="s">
        <v>6</v>
      </c>
      <c r="B124" s="5">
        <f>SUM(Table3[[#This Row],[Column3]]*3+Table3[[#This Row],[Column10]])</f>
        <v>229</v>
      </c>
      <c r="C124" s="2">
        <v>13</v>
      </c>
      <c r="D124" s="5">
        <f>SUM(Table3[[#This Row],[Column5]]*3+Table3[[#This Row],[Column11]])</f>
        <v>229</v>
      </c>
      <c r="E124" s="2">
        <v>13</v>
      </c>
      <c r="F124" s="5">
        <f>SUM(Table3[[#This Row],[Column7]]*3+Table3[[#This Row],[Column12]])</f>
        <v>114.5</v>
      </c>
      <c r="G124" s="2">
        <v>6.5</v>
      </c>
      <c r="H124" s="5">
        <f>SUM(Table3[[#This Row],[Column9]]*3+Table3[[#This Row],[Column13]])</f>
        <v>45.8</v>
      </c>
      <c r="I124" s="2">
        <v>2.6</v>
      </c>
      <c r="J124" s="2">
        <v>190</v>
      </c>
      <c r="K124" s="2">
        <v>190</v>
      </c>
      <c r="L124" s="2">
        <v>95</v>
      </c>
      <c r="M124" s="2">
        <v>38</v>
      </c>
    </row>
    <row r="125" spans="1:13" x14ac:dyDescent="0.25">
      <c r="A125" t="s">
        <v>7</v>
      </c>
      <c r="B125" s="5">
        <f>SUM(Table3[[#This Row],[Column3]]*3+Table3[[#This Row],[Column10]])</f>
        <v>114.5</v>
      </c>
      <c r="C125" s="2">
        <v>6.5</v>
      </c>
      <c r="D125" s="5">
        <f>SUM(Table3[[#This Row],[Column5]]*3+Table3[[#This Row],[Column11]])</f>
        <v>114.5</v>
      </c>
      <c r="E125" s="2">
        <v>6.5</v>
      </c>
      <c r="F125" s="5">
        <f>SUM(Table3[[#This Row],[Column7]]*3+Table3[[#This Row],[Column12]])</f>
        <v>57.25</v>
      </c>
      <c r="G125" s="2">
        <v>3.25</v>
      </c>
      <c r="H125" s="5">
        <f>SUM(Table3[[#This Row],[Column9]]*3+Table3[[#This Row],[Column13]])</f>
        <v>22.9</v>
      </c>
      <c r="I125" s="2">
        <v>1.3</v>
      </c>
      <c r="J125" s="2">
        <v>95</v>
      </c>
      <c r="K125" s="2">
        <v>95</v>
      </c>
      <c r="L125" s="2">
        <v>47.5</v>
      </c>
      <c r="M125" s="2">
        <v>19</v>
      </c>
    </row>
    <row r="126" spans="1:13" x14ac:dyDescent="0.25">
      <c r="A126" t="s">
        <v>15</v>
      </c>
      <c r="B126" s="5"/>
      <c r="C126">
        <v>1</v>
      </c>
      <c r="D126" s="5"/>
      <c r="E126" s="1" t="s">
        <v>45</v>
      </c>
      <c r="F126" s="5"/>
      <c r="G126" s="1" t="s">
        <v>46</v>
      </c>
      <c r="H126" s="5"/>
      <c r="I126" t="s">
        <v>47</v>
      </c>
      <c r="J126">
        <v>1</v>
      </c>
      <c r="K126" s="1" t="s">
        <v>45</v>
      </c>
      <c r="L126" s="1" t="s">
        <v>46</v>
      </c>
      <c r="M126" t="s">
        <v>47</v>
      </c>
    </row>
    <row r="127" spans="1:13" x14ac:dyDescent="0.25">
      <c r="A127" s="7" t="s">
        <v>5</v>
      </c>
      <c r="B127" s="8">
        <f>SUM(Table3[[#This Row],[Column3]]*3+Table3[[#This Row],[Column10]])</f>
        <v>360</v>
      </c>
      <c r="C127" s="8">
        <v>20</v>
      </c>
      <c r="D127" s="8">
        <f>SUM(Table3[[#This Row],[Column5]]*3+Table3[[#This Row],[Column11]])</f>
        <v>360</v>
      </c>
      <c r="E127" s="8">
        <v>20</v>
      </c>
      <c r="F127" s="8">
        <f>SUM(Table3[[#This Row],[Column7]]*3+Table3[[#This Row],[Column12]])</f>
        <v>48.25</v>
      </c>
      <c r="G127" s="8">
        <v>2.75</v>
      </c>
      <c r="H127" s="8">
        <f>SUM(Table3[[#This Row],[Column9]]*3+Table3[[#This Row],[Column13]])</f>
        <v>48.25</v>
      </c>
      <c r="I127" s="8">
        <v>2.75</v>
      </c>
      <c r="J127" s="8">
        <v>300</v>
      </c>
      <c r="K127" s="8">
        <v>300</v>
      </c>
      <c r="L127" s="8">
        <v>40</v>
      </c>
      <c r="M127" s="8">
        <v>40</v>
      </c>
    </row>
    <row r="128" spans="1:13" x14ac:dyDescent="0.25">
      <c r="A128" t="s">
        <v>6</v>
      </c>
      <c r="B128" s="5">
        <f>SUM(Table3[[#This Row],[Column3]]*3+Table3[[#This Row],[Column10]])</f>
        <v>329.75</v>
      </c>
      <c r="C128" s="2">
        <v>18.25</v>
      </c>
      <c r="D128" s="5">
        <f>SUM(Table3[[#This Row],[Column5]]*3+Table3[[#This Row],[Column11]])</f>
        <v>329.75</v>
      </c>
      <c r="E128" s="2">
        <v>18.25</v>
      </c>
      <c r="F128" s="5">
        <f>SUM(Table3[[#This Row],[Column7]]*3+Table3[[#This Row],[Column12]])</f>
        <v>36</v>
      </c>
      <c r="G128" s="2">
        <v>2</v>
      </c>
      <c r="H128" s="5">
        <f>SUM(Table3[[#This Row],[Column9]]*3+Table3[[#This Row],[Column13]])</f>
        <v>36</v>
      </c>
      <c r="I128" s="2">
        <v>2</v>
      </c>
      <c r="J128" s="2">
        <v>275</v>
      </c>
      <c r="K128" s="2">
        <v>275</v>
      </c>
      <c r="L128" s="2">
        <v>30</v>
      </c>
      <c r="M128" s="2">
        <v>30</v>
      </c>
    </row>
    <row r="129" spans="1:13" x14ac:dyDescent="0.25">
      <c r="A129" t="s">
        <v>7</v>
      </c>
      <c r="B129" s="5">
        <f>SUM(Table3[[#This Row],[Column3]]*3+Table3[[#This Row],[Column10]])</f>
        <v>165.25</v>
      </c>
      <c r="C129" s="2">
        <v>9.25</v>
      </c>
      <c r="D129" s="5">
        <f>SUM(Table3[[#This Row],[Column5]]*3+Table3[[#This Row],[Column11]])</f>
        <v>165.25</v>
      </c>
      <c r="E129" s="2">
        <v>9.25</v>
      </c>
      <c r="F129" s="5">
        <f>SUM(Table3[[#This Row],[Column7]]*3+Table3[[#This Row],[Column12]])</f>
        <v>18</v>
      </c>
      <c r="G129" s="2">
        <v>1</v>
      </c>
      <c r="H129" s="5">
        <f>SUM(Table3[[#This Row],[Column9]]*3+Table3[[#This Row],[Column13]])</f>
        <v>18</v>
      </c>
      <c r="I129" s="2">
        <v>1</v>
      </c>
      <c r="J129" s="2">
        <v>137.5</v>
      </c>
      <c r="K129" s="2">
        <v>137.5</v>
      </c>
      <c r="L129" s="2">
        <v>15</v>
      </c>
      <c r="M129" s="2">
        <v>15</v>
      </c>
    </row>
    <row r="130" spans="1:13" x14ac:dyDescent="0.25">
      <c r="A130" s="7" t="s">
        <v>16</v>
      </c>
      <c r="B130" s="8"/>
      <c r="C130" s="7">
        <v>1</v>
      </c>
      <c r="D130" s="8"/>
      <c r="E130" s="9" t="s">
        <v>45</v>
      </c>
      <c r="F130" s="8"/>
      <c r="G130" s="9" t="s">
        <v>46</v>
      </c>
      <c r="H130" s="8"/>
      <c r="I130" s="7" t="s">
        <v>47</v>
      </c>
      <c r="J130" s="7">
        <v>1</v>
      </c>
      <c r="K130" s="9" t="s">
        <v>45</v>
      </c>
      <c r="L130" s="9" t="s">
        <v>46</v>
      </c>
      <c r="M130" s="7" t="s">
        <v>47</v>
      </c>
    </row>
    <row r="131" spans="1:13" x14ac:dyDescent="0.25">
      <c r="A131" t="s">
        <v>5</v>
      </c>
      <c r="B131" s="5">
        <f>SUM(Table3[[#This Row],[Column3]]*3+Table3[[#This Row],[Column10]])</f>
        <v>372.25</v>
      </c>
      <c r="C131" s="2">
        <v>20.75</v>
      </c>
      <c r="D131" s="5">
        <f>SUM(Table3[[#This Row],[Column5]]*3+Table3[[#This Row],[Column11]])</f>
        <v>372.25</v>
      </c>
      <c r="E131" s="2">
        <v>20.75</v>
      </c>
      <c r="F131" s="5">
        <f>SUM(Table3[[#This Row],[Column7]]*3+Table3[[#This Row],[Column12]])</f>
        <v>48.25</v>
      </c>
      <c r="G131" s="2">
        <v>2.75</v>
      </c>
      <c r="H131" s="5">
        <f>SUM(Table3[[#This Row],[Column9]]*3+Table3[[#This Row],[Column13]])</f>
        <v>48.25</v>
      </c>
      <c r="I131" s="2">
        <v>2.75</v>
      </c>
      <c r="J131" s="2">
        <v>310</v>
      </c>
      <c r="K131" s="2">
        <v>310</v>
      </c>
      <c r="L131" s="2">
        <v>40</v>
      </c>
      <c r="M131" s="2">
        <v>40</v>
      </c>
    </row>
    <row r="132" spans="1:13" x14ac:dyDescent="0.25">
      <c r="A132" t="s">
        <v>6</v>
      </c>
      <c r="B132" s="5">
        <f>SUM(Table3[[#This Row],[Column3]]*3+Table3[[#This Row],[Column10]])</f>
        <v>300.25</v>
      </c>
      <c r="C132" s="2">
        <v>16.75</v>
      </c>
      <c r="D132" s="5">
        <f>SUM(Table3[[#This Row],[Column5]]*3+Table3[[#This Row],[Column11]])</f>
        <v>300.25</v>
      </c>
      <c r="E132" s="2">
        <v>16.75</v>
      </c>
      <c r="F132" s="5">
        <f>SUM(Table3[[#This Row],[Column7]]*3+Table3[[#This Row],[Column12]])</f>
        <v>36</v>
      </c>
      <c r="G132" s="2">
        <v>2</v>
      </c>
      <c r="H132" s="5">
        <f>SUM(Table3[[#This Row],[Column9]]*3+Table3[[#This Row],[Column13]])</f>
        <v>36</v>
      </c>
      <c r="I132" s="2">
        <v>2</v>
      </c>
      <c r="J132" s="2">
        <v>250</v>
      </c>
      <c r="K132" s="2">
        <v>250</v>
      </c>
      <c r="L132" s="2">
        <v>30</v>
      </c>
      <c r="M132" s="2">
        <v>30</v>
      </c>
    </row>
    <row r="133" spans="1:13" x14ac:dyDescent="0.25">
      <c r="A133" t="s">
        <v>7</v>
      </c>
      <c r="B133" s="5">
        <f>SUM(Table3[[#This Row],[Column3]]*3+Table3[[#This Row],[Column10]])</f>
        <v>126</v>
      </c>
      <c r="C133" s="2">
        <v>7</v>
      </c>
      <c r="D133" s="5">
        <f>SUM(Table3[[#This Row],[Column5]]*3+Table3[[#This Row],[Column11]])</f>
        <v>126</v>
      </c>
      <c r="E133" s="2">
        <v>7</v>
      </c>
      <c r="F133" s="5">
        <f>SUM(Table3[[#This Row],[Column7]]*3+Table3[[#This Row],[Column12]])</f>
        <v>18</v>
      </c>
      <c r="G133" s="2">
        <v>1</v>
      </c>
      <c r="H133" s="5">
        <f>SUM(Table3[[#This Row],[Column9]]*3+Table3[[#This Row],[Column13]])</f>
        <v>18</v>
      </c>
      <c r="I133" s="2">
        <v>1</v>
      </c>
      <c r="J133" s="2">
        <v>105</v>
      </c>
      <c r="K133" s="2">
        <v>105</v>
      </c>
      <c r="L133" s="2">
        <v>15</v>
      </c>
      <c r="M133" s="2">
        <v>15</v>
      </c>
    </row>
    <row r="134" spans="1:13" x14ac:dyDescent="0.25">
      <c r="A134" s="7" t="s">
        <v>17</v>
      </c>
      <c r="B134" s="8"/>
      <c r="C134" s="7">
        <v>1</v>
      </c>
      <c r="D134" s="8"/>
      <c r="E134" s="9" t="s">
        <v>45</v>
      </c>
      <c r="F134" s="8"/>
      <c r="G134" s="9" t="s">
        <v>46</v>
      </c>
      <c r="H134" s="8"/>
      <c r="I134" s="7" t="s">
        <v>47</v>
      </c>
      <c r="J134" s="7">
        <v>1</v>
      </c>
      <c r="K134" s="9" t="s">
        <v>45</v>
      </c>
      <c r="L134" s="9" t="s">
        <v>46</v>
      </c>
      <c r="M134" s="7" t="s">
        <v>47</v>
      </c>
    </row>
    <row r="135" spans="1:13" x14ac:dyDescent="0.25">
      <c r="A135" t="s">
        <v>9</v>
      </c>
      <c r="B135" s="5">
        <f>SUM(Table3[[#This Row],[Column3]]*3+Table3[[#This Row],[Column10]])</f>
        <v>396.75</v>
      </c>
      <c r="C135" s="2">
        <v>17.25</v>
      </c>
      <c r="D135" s="5">
        <f>SUM(Table3[[#This Row],[Column5]]*3+Table3[[#This Row],[Column11]])</f>
        <v>396.75</v>
      </c>
      <c r="E135" s="2">
        <v>17.25</v>
      </c>
      <c r="F135" s="5">
        <f>SUM(Table3[[#This Row],[Column7]]*3+Table3[[#This Row],[Column12]])</f>
        <v>198.39</v>
      </c>
      <c r="G135" s="2">
        <v>8.6300000000000008</v>
      </c>
      <c r="H135" s="5">
        <f>SUM(Table3[[#This Row],[Column9]]*3+Table3[[#This Row],[Column13]])</f>
        <v>79.349999999999994</v>
      </c>
      <c r="I135" s="2">
        <v>3.45</v>
      </c>
      <c r="J135" s="2">
        <v>345</v>
      </c>
      <c r="K135" s="2">
        <v>345</v>
      </c>
      <c r="L135" s="2">
        <v>172.5</v>
      </c>
      <c r="M135" s="2">
        <v>69</v>
      </c>
    </row>
    <row r="136" spans="1:13" x14ac:dyDescent="0.25">
      <c r="A136" t="s">
        <v>10</v>
      </c>
      <c r="B136" s="5">
        <f>SUM(Table3[[#This Row],[Column3]]*3+Table3[[#This Row],[Column10]])</f>
        <v>345</v>
      </c>
      <c r="C136" s="2">
        <v>15</v>
      </c>
      <c r="D136" s="5">
        <f>SUM(Table3[[#This Row],[Column5]]*3+Table3[[#This Row],[Column11]])</f>
        <v>345</v>
      </c>
      <c r="E136" s="2">
        <v>15</v>
      </c>
      <c r="F136" s="5">
        <f>SUM(Table3[[#This Row],[Column7]]*3+Table3[[#This Row],[Column12]])</f>
        <v>172.5</v>
      </c>
      <c r="G136" s="2">
        <v>7.5</v>
      </c>
      <c r="H136" s="5">
        <f>SUM(Table3[[#This Row],[Column9]]*3+Table3[[#This Row],[Column13]])</f>
        <v>69</v>
      </c>
      <c r="I136" s="2">
        <v>3</v>
      </c>
      <c r="J136" s="2">
        <v>300</v>
      </c>
      <c r="K136" s="2">
        <v>300</v>
      </c>
      <c r="L136" s="2">
        <v>150</v>
      </c>
      <c r="M136" s="2">
        <v>60</v>
      </c>
    </row>
    <row r="137" spans="1:13" x14ac:dyDescent="0.25">
      <c r="A137" t="s">
        <v>7</v>
      </c>
      <c r="B137" s="5">
        <f>SUM(Table3[[#This Row],[Column3]]*3+Table3[[#This Row],[Column10]])</f>
        <v>172.5</v>
      </c>
      <c r="C137" s="2">
        <v>7.5</v>
      </c>
      <c r="D137" s="5">
        <f>SUM(Table3[[#This Row],[Column5]]*3+Table3[[#This Row],[Column11]])</f>
        <v>172.5</v>
      </c>
      <c r="E137" s="2">
        <v>7.5</v>
      </c>
      <c r="F137" s="5">
        <f>SUM(Table3[[#This Row],[Column7]]*3+Table3[[#This Row],[Column12]])</f>
        <v>86.25</v>
      </c>
      <c r="G137" s="2">
        <v>3.75</v>
      </c>
      <c r="H137" s="5">
        <f>SUM(Table3[[#This Row],[Column9]]*3+Table3[[#This Row],[Column13]])</f>
        <v>34.5</v>
      </c>
      <c r="I137" s="2">
        <v>1.5</v>
      </c>
      <c r="J137" s="2">
        <v>150</v>
      </c>
      <c r="K137" s="2">
        <v>150</v>
      </c>
      <c r="L137" s="2">
        <v>75</v>
      </c>
      <c r="M137" s="2">
        <v>30</v>
      </c>
    </row>
    <row r="138" spans="1:13" x14ac:dyDescent="0.25">
      <c r="A138" s="7" t="s">
        <v>18</v>
      </c>
      <c r="B138" s="8"/>
      <c r="C138" s="7">
        <v>1</v>
      </c>
      <c r="D138" s="8"/>
      <c r="E138" s="9" t="s">
        <v>45</v>
      </c>
      <c r="F138" s="8"/>
      <c r="G138" s="9" t="s">
        <v>46</v>
      </c>
      <c r="H138" s="8"/>
      <c r="I138" s="7" t="s">
        <v>47</v>
      </c>
      <c r="J138" s="7">
        <v>1</v>
      </c>
      <c r="K138" s="9" t="s">
        <v>45</v>
      </c>
      <c r="L138" s="9" t="s">
        <v>46</v>
      </c>
      <c r="M138" s="7" t="s">
        <v>47</v>
      </c>
    </row>
    <row r="139" spans="1:13" x14ac:dyDescent="0.25">
      <c r="A139" t="s">
        <v>19</v>
      </c>
      <c r="B139" s="5">
        <f>SUM(Table3[[#This Row],[Column3]]*3+Table3[[#This Row],[Column10]])</f>
        <v>341.5</v>
      </c>
      <c r="C139" s="2">
        <v>18.5</v>
      </c>
      <c r="D139" s="5">
        <f>SUM(Table3[[#This Row],[Column5]]*3+Table3[[#This Row],[Column11]])</f>
        <v>234.25</v>
      </c>
      <c r="E139" s="2">
        <v>12.75</v>
      </c>
      <c r="F139" s="5">
        <f>SUM(Table3[[#This Row],[Column7]]*3+Table3[[#This Row],[Column12]])</f>
        <v>117.14</v>
      </c>
      <c r="G139" s="2">
        <v>6.38</v>
      </c>
      <c r="H139" s="5">
        <f>SUM(Table3[[#This Row],[Column9]]*3+Table3[[#This Row],[Column13]])</f>
        <v>46.85</v>
      </c>
      <c r="I139" s="2">
        <v>2.5499999999999998</v>
      </c>
      <c r="J139" s="2">
        <v>286</v>
      </c>
      <c r="K139" s="2">
        <v>196</v>
      </c>
      <c r="L139" s="2">
        <v>98</v>
      </c>
      <c r="M139" s="2">
        <v>39.200000000000003</v>
      </c>
    </row>
    <row r="140" spans="1:13" x14ac:dyDescent="0.25">
      <c r="A140" s="7" t="s">
        <v>20</v>
      </c>
      <c r="B140" s="8"/>
      <c r="C140" s="7">
        <v>1</v>
      </c>
      <c r="D140" s="8"/>
      <c r="E140" s="9" t="s">
        <v>45</v>
      </c>
      <c r="F140" s="8"/>
      <c r="G140" s="9" t="s">
        <v>46</v>
      </c>
      <c r="H140" s="8"/>
      <c r="I140" s="7" t="s">
        <v>47</v>
      </c>
      <c r="J140" s="7">
        <v>1</v>
      </c>
      <c r="K140" s="9" t="s">
        <v>45</v>
      </c>
      <c r="L140" s="9" t="s">
        <v>46</v>
      </c>
      <c r="M140" s="7" t="s">
        <v>47</v>
      </c>
    </row>
    <row r="141" spans="1:13" x14ac:dyDescent="0.25">
      <c r="A141" t="s">
        <v>9</v>
      </c>
      <c r="B141" s="5">
        <f>SUM(Table3[[#This Row],[Column3]]*3+Table3[[#This Row],[Column10]])</f>
        <v>466.75</v>
      </c>
      <c r="C141" s="2">
        <v>22.25</v>
      </c>
      <c r="D141" s="5">
        <f>SUM(Table3[[#This Row],[Column5]]*3+Table3[[#This Row],[Column11]])</f>
        <v>315</v>
      </c>
      <c r="E141" s="2">
        <v>15</v>
      </c>
      <c r="F141" s="5">
        <f>SUM(Table3[[#This Row],[Column7]]*3+Table3[[#This Row],[Column12]])</f>
        <v>0</v>
      </c>
      <c r="G141" s="2">
        <v>0</v>
      </c>
      <c r="H141" s="5">
        <f>SUM(Table3[[#This Row],[Column9]]*3+Table3[[#This Row],[Column13]])</f>
        <v>0</v>
      </c>
      <c r="I141" s="2">
        <v>0</v>
      </c>
      <c r="J141" s="2">
        <v>400</v>
      </c>
      <c r="K141" s="2">
        <v>270</v>
      </c>
      <c r="L141" s="2">
        <v>0</v>
      </c>
      <c r="M141" s="2">
        <v>0</v>
      </c>
    </row>
    <row r="142" spans="1:13" x14ac:dyDescent="0.25">
      <c r="A142" t="s">
        <v>10</v>
      </c>
      <c r="B142" s="5">
        <f>SUM(Table3[[#This Row],[Column3]]*3+Table3[[#This Row],[Column10]])</f>
        <v>315</v>
      </c>
      <c r="C142" s="2">
        <v>15</v>
      </c>
      <c r="D142" s="5">
        <f>SUM(Table3[[#This Row],[Column5]]*3+Table3[[#This Row],[Column11]])</f>
        <v>315</v>
      </c>
      <c r="E142" s="2">
        <v>15</v>
      </c>
      <c r="F142" s="5">
        <f>SUM(Table3[[#This Row],[Column7]]*3+Table3[[#This Row],[Column12]])</f>
        <v>0</v>
      </c>
      <c r="G142" s="2">
        <v>0</v>
      </c>
      <c r="H142" s="5">
        <f>SUM(Table3[[#This Row],[Column9]]*3+Table3[[#This Row],[Column13]])</f>
        <v>0</v>
      </c>
      <c r="I142" s="2">
        <v>0</v>
      </c>
      <c r="J142" s="2">
        <v>270</v>
      </c>
      <c r="K142" s="2">
        <v>270</v>
      </c>
      <c r="L142" s="2">
        <v>0</v>
      </c>
      <c r="M142" s="2">
        <v>0</v>
      </c>
    </row>
    <row r="143" spans="1:13" x14ac:dyDescent="0.25">
      <c r="A143" t="s">
        <v>7</v>
      </c>
      <c r="B143" s="5">
        <f>SUM(Table3[[#This Row],[Column3]]*3+Table3[[#This Row],[Column10]])</f>
        <v>157.5</v>
      </c>
      <c r="C143" s="2">
        <v>7.5</v>
      </c>
      <c r="D143" s="5">
        <f>SUM(Table3[[#This Row],[Column5]]*3+Table3[[#This Row],[Column11]])</f>
        <v>157.5</v>
      </c>
      <c r="E143" s="2">
        <v>7.5</v>
      </c>
      <c r="F143" s="5">
        <f>SUM(Table3[[#This Row],[Column7]]*3+Table3[[#This Row],[Column12]])</f>
        <v>0</v>
      </c>
      <c r="G143" s="2">
        <v>0</v>
      </c>
      <c r="H143" s="5">
        <f>SUM(Table3[[#This Row],[Column9]]*3+Table3[[#This Row],[Column13]])</f>
        <v>0</v>
      </c>
      <c r="I143" s="2">
        <v>0</v>
      </c>
      <c r="J143" s="2">
        <v>135</v>
      </c>
      <c r="K143" s="2">
        <v>135</v>
      </c>
      <c r="L143" s="2">
        <v>0</v>
      </c>
      <c r="M143" s="2">
        <v>0</v>
      </c>
    </row>
    <row r="144" spans="1:13" x14ac:dyDescent="0.25">
      <c r="A144" s="7" t="s">
        <v>21</v>
      </c>
      <c r="B144" s="8"/>
      <c r="C144" s="7">
        <v>1</v>
      </c>
      <c r="D144" s="8"/>
      <c r="E144" s="9">
        <v>45329</v>
      </c>
      <c r="F144" s="8"/>
      <c r="G144" s="9" t="s">
        <v>46</v>
      </c>
      <c r="H144" s="8"/>
      <c r="I144" s="7" t="s">
        <v>47</v>
      </c>
      <c r="J144" s="7">
        <v>1</v>
      </c>
      <c r="K144" s="9">
        <v>45329</v>
      </c>
      <c r="L144" s="9">
        <v>45514</v>
      </c>
      <c r="M144" s="7" t="s">
        <v>47</v>
      </c>
    </row>
    <row r="145" spans="1:13" x14ac:dyDescent="0.25">
      <c r="A145" t="s">
        <v>13</v>
      </c>
      <c r="B145" s="5">
        <f>SUM(Table3[[#This Row],[Column3]]*3+Table3[[#This Row],[Column10]])</f>
        <v>311.75</v>
      </c>
      <c r="C145" s="2">
        <v>17.25</v>
      </c>
      <c r="D145" s="5">
        <f>SUM(Table3[[#This Row],[Column5]]*3+Table3[[#This Row],[Column11]])</f>
        <v>311.75</v>
      </c>
      <c r="E145" s="2">
        <v>17.25</v>
      </c>
      <c r="F145" s="5">
        <f>SUM(Table3[[#This Row],[Column7]]*3+Table3[[#This Row],[Column12]])</f>
        <v>48.25</v>
      </c>
      <c r="G145" s="2">
        <v>2.75</v>
      </c>
      <c r="H145" s="5">
        <f>SUM(Table3[[#This Row],[Column9]]*3+Table3[[#This Row],[Column13]])</f>
        <v>48.25</v>
      </c>
      <c r="I145" s="2">
        <v>2.75</v>
      </c>
      <c r="J145" s="2">
        <v>260</v>
      </c>
      <c r="K145" s="2">
        <v>260</v>
      </c>
      <c r="L145" s="2">
        <v>40</v>
      </c>
      <c r="M145" s="2">
        <v>40</v>
      </c>
    </row>
    <row r="146" spans="1:13" x14ac:dyDescent="0.25">
      <c r="A146" t="s">
        <v>6</v>
      </c>
      <c r="B146" s="5">
        <f>SUM(Table3[[#This Row],[Column3]]*3+Table3[[#This Row],[Column10]])</f>
        <v>293.75</v>
      </c>
      <c r="C146" s="2">
        <v>16.25</v>
      </c>
      <c r="D146" s="5">
        <f>SUM(Table3[[#This Row],[Column5]]*3+Table3[[#This Row],[Column11]])</f>
        <v>293.75</v>
      </c>
      <c r="E146" s="2">
        <v>16.25</v>
      </c>
      <c r="F146" s="5">
        <f>SUM(Table3[[#This Row],[Column7]]*3+Table3[[#This Row],[Column12]])</f>
        <v>36</v>
      </c>
      <c r="G146" s="2">
        <v>2</v>
      </c>
      <c r="H146" s="5">
        <f>SUM(Table3[[#This Row],[Column9]]*3+Table3[[#This Row],[Column13]])</f>
        <v>36</v>
      </c>
      <c r="I146" s="2">
        <v>2</v>
      </c>
      <c r="J146" s="2">
        <v>245</v>
      </c>
      <c r="K146" s="2">
        <v>245</v>
      </c>
      <c r="L146" s="2">
        <v>30</v>
      </c>
      <c r="M146" s="2">
        <v>30</v>
      </c>
    </row>
    <row r="147" spans="1:13" x14ac:dyDescent="0.25">
      <c r="A147" t="s">
        <v>7</v>
      </c>
      <c r="B147" s="5">
        <f>SUM(Table3[[#This Row],[Column3]]*3+Table3[[#This Row],[Column10]])</f>
        <v>147.25</v>
      </c>
      <c r="C147" s="2">
        <v>8.25</v>
      </c>
      <c r="D147" s="5">
        <f>SUM(Table3[[#This Row],[Column5]]*3+Table3[[#This Row],[Column11]])</f>
        <v>147.25</v>
      </c>
      <c r="E147" s="2">
        <v>8.25</v>
      </c>
      <c r="F147" s="5">
        <f>SUM(Table3[[#This Row],[Column7]]*3+Table3[[#This Row],[Column12]])</f>
        <v>18</v>
      </c>
      <c r="G147" s="2">
        <v>1</v>
      </c>
      <c r="H147" s="5">
        <f>SUM(Table3[[#This Row],[Column9]]*3+Table3[[#This Row],[Column13]])</f>
        <v>18</v>
      </c>
      <c r="I147" s="2">
        <v>1</v>
      </c>
      <c r="J147" s="2">
        <v>122.5</v>
      </c>
      <c r="K147" s="2">
        <v>122.5</v>
      </c>
      <c r="L147" s="2">
        <v>15</v>
      </c>
      <c r="M147" s="2">
        <v>15</v>
      </c>
    </row>
    <row r="148" spans="1:13" x14ac:dyDescent="0.25">
      <c r="A148" s="7" t="s">
        <v>22</v>
      </c>
      <c r="B148" s="8"/>
      <c r="C148" s="7">
        <v>1</v>
      </c>
      <c r="D148" s="8"/>
      <c r="E148" s="9" t="s">
        <v>45</v>
      </c>
      <c r="F148" s="8"/>
      <c r="G148" s="9" t="s">
        <v>46</v>
      </c>
      <c r="H148" s="8"/>
      <c r="I148" s="7" t="s">
        <v>47</v>
      </c>
      <c r="J148" s="7">
        <v>1</v>
      </c>
      <c r="K148" s="9" t="s">
        <v>45</v>
      </c>
      <c r="L148" s="9" t="s">
        <v>46</v>
      </c>
      <c r="M148" s="7" t="s">
        <v>47</v>
      </c>
    </row>
    <row r="149" spans="1:13" x14ac:dyDescent="0.25">
      <c r="A149" t="s">
        <v>5</v>
      </c>
      <c r="B149" s="5">
        <f>SUM(Table3[[#This Row],[Column3]]*3+Table3[[#This Row],[Column10]])</f>
        <v>264</v>
      </c>
      <c r="C149" s="2">
        <v>15</v>
      </c>
      <c r="D149" s="5">
        <f>SUM(Table3[[#This Row],[Column5]]*3+Table3[[#This Row],[Column11]])</f>
        <v>264</v>
      </c>
      <c r="E149" s="2">
        <v>15</v>
      </c>
      <c r="F149" s="5">
        <f>SUM(Table3[[#This Row],[Column7]]*3+Table3[[#This Row],[Column12]])</f>
        <v>132</v>
      </c>
      <c r="G149" s="2">
        <v>7.5</v>
      </c>
      <c r="H149" s="5">
        <f>SUM(Table3[[#This Row],[Column9]]*3+Table3[[#This Row],[Column13]])</f>
        <v>52.8</v>
      </c>
      <c r="I149" s="2">
        <v>3</v>
      </c>
      <c r="J149" s="2">
        <v>219</v>
      </c>
      <c r="K149" s="2">
        <v>219</v>
      </c>
      <c r="L149" s="2">
        <v>109.5</v>
      </c>
      <c r="M149" s="2">
        <v>43.8</v>
      </c>
    </row>
    <row r="150" spans="1:13" x14ac:dyDescent="0.25">
      <c r="A150" t="s">
        <v>6</v>
      </c>
      <c r="B150" s="5">
        <f>SUM(Table3[[#This Row],[Column3]]*3+Table3[[#This Row],[Column10]])</f>
        <v>229</v>
      </c>
      <c r="C150" s="2">
        <v>13</v>
      </c>
      <c r="D150" s="5">
        <f>SUM(Table3[[#This Row],[Column5]]*3+Table3[[#This Row],[Column11]])</f>
        <v>229</v>
      </c>
      <c r="E150" s="2">
        <v>13</v>
      </c>
      <c r="F150" s="5">
        <f>SUM(Table3[[#This Row],[Column7]]*3+Table3[[#This Row],[Column12]])</f>
        <v>114.5</v>
      </c>
      <c r="G150" s="2">
        <v>6.5</v>
      </c>
      <c r="H150" s="5">
        <f>SUM(Table3[[#This Row],[Column9]]*3+Table3[[#This Row],[Column13]])</f>
        <v>45.8</v>
      </c>
      <c r="I150" s="2">
        <v>2.6</v>
      </c>
      <c r="J150" s="2">
        <v>190</v>
      </c>
      <c r="K150" s="2">
        <v>190</v>
      </c>
      <c r="L150" s="2">
        <v>95</v>
      </c>
      <c r="M150" s="2">
        <v>38</v>
      </c>
    </row>
    <row r="151" spans="1:13" x14ac:dyDescent="0.25">
      <c r="A151" t="s">
        <v>7</v>
      </c>
      <c r="B151" s="5">
        <f>SUM(Table3[[#This Row],[Column3]]*3+Table3[[#This Row],[Column10]])</f>
        <v>114.5</v>
      </c>
      <c r="C151" s="2">
        <v>6.5</v>
      </c>
      <c r="D151" s="5">
        <f>SUM(Table3[[#This Row],[Column5]]*3+Table3[[#This Row],[Column11]])</f>
        <v>114.5</v>
      </c>
      <c r="E151" s="2">
        <v>6.5</v>
      </c>
      <c r="F151" s="5">
        <f>SUM(Table3[[#This Row],[Column7]]*3+Table3[[#This Row],[Column12]])</f>
        <v>57.25</v>
      </c>
      <c r="G151" s="2">
        <v>3.25</v>
      </c>
      <c r="H151" s="5">
        <f>SUM(Table3[[#This Row],[Column9]]*3+Table3[[#This Row],[Column13]])</f>
        <v>22.9</v>
      </c>
      <c r="I151" s="2">
        <v>1.3</v>
      </c>
      <c r="J151" s="2">
        <v>95</v>
      </c>
      <c r="K151" s="2">
        <v>95</v>
      </c>
      <c r="L151" s="2">
        <v>47.5</v>
      </c>
      <c r="M151" s="2">
        <v>19</v>
      </c>
    </row>
    <row r="152" spans="1:13" x14ac:dyDescent="0.25">
      <c r="A152" s="7" t="s">
        <v>23</v>
      </c>
      <c r="B152" s="8"/>
      <c r="C152" s="7">
        <v>1</v>
      </c>
      <c r="D152" s="8"/>
      <c r="E152" s="9" t="s">
        <v>45</v>
      </c>
      <c r="F152" s="8"/>
      <c r="G152" s="9" t="s">
        <v>46</v>
      </c>
      <c r="H152" s="8"/>
      <c r="I152" s="7" t="s">
        <v>47</v>
      </c>
      <c r="J152" s="7">
        <v>1</v>
      </c>
      <c r="K152" s="9" t="s">
        <v>45</v>
      </c>
      <c r="L152" s="9" t="s">
        <v>46</v>
      </c>
      <c r="M152" s="7" t="s">
        <v>47</v>
      </c>
    </row>
    <row r="153" spans="1:13" x14ac:dyDescent="0.25">
      <c r="A153" t="s">
        <v>5</v>
      </c>
      <c r="B153" s="5">
        <f>SUM(Table3[[#This Row],[Column3]]*3+Table3[[#This Row],[Column10]])</f>
        <v>480.25</v>
      </c>
      <c r="C153" s="2">
        <v>26.75</v>
      </c>
      <c r="D153" s="5">
        <f>SUM(Table3[[#This Row],[Column5]]*3+Table3[[#This Row],[Column11]])</f>
        <v>360</v>
      </c>
      <c r="E153" s="2">
        <v>20</v>
      </c>
      <c r="F153" s="5">
        <f>SUM(Table3[[#This Row],[Column7]]*3+Table3[[#This Row],[Column12]])</f>
        <v>48.25</v>
      </c>
      <c r="G153" s="2">
        <v>2.75</v>
      </c>
      <c r="H153" s="5">
        <f>SUM(Table3[[#This Row],[Column9]]*3+Table3[[#This Row],[Column13]])</f>
        <v>48.25</v>
      </c>
      <c r="I153" s="2">
        <v>2.75</v>
      </c>
      <c r="J153" s="2">
        <v>400</v>
      </c>
      <c r="K153" s="2">
        <v>300</v>
      </c>
      <c r="L153" s="2">
        <v>40</v>
      </c>
      <c r="M153" s="2">
        <v>40</v>
      </c>
    </row>
    <row r="154" spans="1:13" x14ac:dyDescent="0.25">
      <c r="A154" t="s">
        <v>6</v>
      </c>
      <c r="B154" s="5">
        <f>SUM(Table3[[#This Row],[Column3]]*3+Table3[[#This Row],[Column10]])</f>
        <v>360</v>
      </c>
      <c r="C154" s="2">
        <v>20</v>
      </c>
      <c r="D154" s="5">
        <f>SUM(Table3[[#This Row],[Column5]]*3+Table3[[#This Row],[Column11]])</f>
        <v>300.25</v>
      </c>
      <c r="E154" s="2">
        <v>16.75</v>
      </c>
      <c r="F154" s="5">
        <f>SUM(Table3[[#This Row],[Column7]]*3+Table3[[#This Row],[Column12]])</f>
        <v>36</v>
      </c>
      <c r="G154" s="2">
        <v>2</v>
      </c>
      <c r="H154" s="5">
        <f>SUM(Table3[[#This Row],[Column9]]*3+Table3[[#This Row],[Column13]])</f>
        <v>36</v>
      </c>
      <c r="I154" s="2">
        <v>2</v>
      </c>
      <c r="J154" s="2">
        <v>300</v>
      </c>
      <c r="K154" s="2">
        <v>250</v>
      </c>
      <c r="L154" s="2">
        <v>30</v>
      </c>
      <c r="M154" s="2">
        <v>30</v>
      </c>
    </row>
    <row r="155" spans="1:13" x14ac:dyDescent="0.25">
      <c r="A155" t="s">
        <v>7</v>
      </c>
      <c r="B155" s="5">
        <f>SUM(Table3[[#This Row],[Column3]]*3+Table3[[#This Row],[Column10]])</f>
        <v>149.75</v>
      </c>
      <c r="C155" s="2">
        <v>8.25</v>
      </c>
      <c r="D155" s="5">
        <f>SUM(Table3[[#This Row],[Column5]]*3+Table3[[#This Row],[Column11]])</f>
        <v>149.75</v>
      </c>
      <c r="E155" s="2">
        <v>8.25</v>
      </c>
      <c r="F155" s="5">
        <f>SUM(Table3[[#This Row],[Column7]]*3+Table3[[#This Row],[Column12]])</f>
        <v>18</v>
      </c>
      <c r="G155" s="2">
        <v>1</v>
      </c>
      <c r="H155" s="5">
        <f>SUM(Table3[[#This Row],[Column9]]*3+Table3[[#This Row],[Column13]])</f>
        <v>18</v>
      </c>
      <c r="I155" s="2">
        <v>1</v>
      </c>
      <c r="J155" s="2">
        <v>125</v>
      </c>
      <c r="K155" s="2">
        <v>125</v>
      </c>
      <c r="L155" s="2">
        <v>15</v>
      </c>
      <c r="M155" s="2">
        <v>15</v>
      </c>
    </row>
    <row r="156" spans="1:13" x14ac:dyDescent="0.25">
      <c r="A156" s="7" t="s">
        <v>24</v>
      </c>
      <c r="B156" s="8"/>
      <c r="C156" s="7">
        <v>1</v>
      </c>
      <c r="D156" s="8"/>
      <c r="E156" s="9" t="s">
        <v>45</v>
      </c>
      <c r="F156" s="8"/>
      <c r="G156" s="9" t="s">
        <v>46</v>
      </c>
      <c r="H156" s="8"/>
      <c r="I156" s="7" t="s">
        <v>47</v>
      </c>
      <c r="J156" s="7">
        <v>1</v>
      </c>
      <c r="K156" s="9" t="s">
        <v>45</v>
      </c>
      <c r="L156" s="9" t="s">
        <v>46</v>
      </c>
      <c r="M156" s="7" t="s">
        <v>47</v>
      </c>
    </row>
    <row r="157" spans="1:13" x14ac:dyDescent="0.25">
      <c r="A157" t="s">
        <v>9</v>
      </c>
      <c r="B157" s="5">
        <f>SUM(Table3[[#This Row],[Column3]]*3+Table3[[#This Row],[Column10]])</f>
        <v>437.75</v>
      </c>
      <c r="C157" s="2">
        <v>24.25</v>
      </c>
      <c r="D157" s="5">
        <f>SUM(Table3[[#This Row],[Column5]]*3+Table3[[#This Row],[Column11]])</f>
        <v>437.75</v>
      </c>
      <c r="E157" s="2">
        <v>24.25</v>
      </c>
      <c r="F157" s="5">
        <f>SUM(Table3[[#This Row],[Column7]]*3+Table3[[#This Row],[Column12]])</f>
        <v>48.25</v>
      </c>
      <c r="G157" s="2">
        <v>2.75</v>
      </c>
      <c r="H157" s="5">
        <f>SUM(Table3[[#This Row],[Column9]]*3+Table3[[#This Row],[Column13]])</f>
        <v>48.25</v>
      </c>
      <c r="I157" s="2">
        <v>2.75</v>
      </c>
      <c r="J157" s="2">
        <v>365</v>
      </c>
      <c r="K157" s="2">
        <v>365</v>
      </c>
      <c r="L157" s="2">
        <v>40</v>
      </c>
      <c r="M157" s="2">
        <v>40</v>
      </c>
    </row>
    <row r="158" spans="1:13" x14ac:dyDescent="0.25">
      <c r="A158" t="s">
        <v>10</v>
      </c>
      <c r="B158" s="5">
        <f>SUM(Table3[[#This Row],[Column3]]*3+Table3[[#This Row],[Column10]])</f>
        <v>372.25</v>
      </c>
      <c r="C158" s="2">
        <v>20.75</v>
      </c>
      <c r="D158" s="5">
        <f>SUM(Table3[[#This Row],[Column5]]*3+Table3[[#This Row],[Column11]])</f>
        <v>372.25</v>
      </c>
      <c r="E158" s="2">
        <v>20.75</v>
      </c>
      <c r="F158" s="5">
        <f>SUM(Table3[[#This Row],[Column7]]*3+Table3[[#This Row],[Column12]])</f>
        <v>36</v>
      </c>
      <c r="G158" s="2">
        <v>2</v>
      </c>
      <c r="H158" s="5">
        <f>SUM(Table3[[#This Row],[Column9]]*3+Table3[[#This Row],[Column13]])</f>
        <v>36</v>
      </c>
      <c r="I158" s="2">
        <v>2</v>
      </c>
      <c r="J158" s="2">
        <v>310</v>
      </c>
      <c r="K158" s="2">
        <v>310</v>
      </c>
      <c r="L158" s="2">
        <v>30</v>
      </c>
      <c r="M158" s="2">
        <v>30</v>
      </c>
    </row>
    <row r="159" spans="1:13" x14ac:dyDescent="0.25">
      <c r="A159" t="s">
        <v>7</v>
      </c>
      <c r="B159" s="5">
        <f>SUM(Table3[[#This Row],[Column3]]*3+Table3[[#This Row],[Column10]])</f>
        <v>186.5</v>
      </c>
      <c r="C159" s="2">
        <v>10.5</v>
      </c>
      <c r="D159" s="5">
        <f>SUM(Table3[[#This Row],[Column5]]*3+Table3[[#This Row],[Column11]])</f>
        <v>186.5</v>
      </c>
      <c r="E159" s="2">
        <v>10.5</v>
      </c>
      <c r="F159" s="5">
        <f>SUM(Table3[[#This Row],[Column7]]*3+Table3[[#This Row],[Column12]])</f>
        <v>18</v>
      </c>
      <c r="G159" s="2">
        <v>1</v>
      </c>
      <c r="H159" s="5">
        <f>SUM(Table3[[#This Row],[Column9]]*3+Table3[[#This Row],[Column13]])</f>
        <v>18</v>
      </c>
      <c r="I159" s="2">
        <v>1</v>
      </c>
      <c r="J159" s="2">
        <v>155</v>
      </c>
      <c r="K159" s="2">
        <v>155</v>
      </c>
      <c r="L159" s="2">
        <v>15</v>
      </c>
      <c r="M159" s="2">
        <v>15</v>
      </c>
    </row>
    <row r="160" spans="1:13" x14ac:dyDescent="0.25">
      <c r="A160" s="7" t="s">
        <v>25</v>
      </c>
      <c r="B160" s="8"/>
      <c r="C160" s="7">
        <v>1</v>
      </c>
      <c r="D160" s="8"/>
      <c r="E160" s="9" t="s">
        <v>45</v>
      </c>
      <c r="F160" s="8"/>
      <c r="G160" s="9" t="s">
        <v>46</v>
      </c>
      <c r="H160" s="8"/>
      <c r="I160" s="7" t="s">
        <v>47</v>
      </c>
      <c r="J160" s="7">
        <v>1</v>
      </c>
      <c r="K160" s="9" t="s">
        <v>45</v>
      </c>
      <c r="L160" s="9" t="s">
        <v>46</v>
      </c>
      <c r="M160" s="7" t="s">
        <v>47</v>
      </c>
    </row>
    <row r="161" spans="1:13" x14ac:dyDescent="0.25">
      <c r="A161" t="s">
        <v>9</v>
      </c>
      <c r="B161" s="5">
        <f>SUM(Table3[[#This Row],[Column3]]*3+Table3[[#This Row],[Column10]])</f>
        <v>426.25</v>
      </c>
      <c r="C161" s="2">
        <v>23.75</v>
      </c>
      <c r="D161" s="5">
        <f>SUM(Table3[[#This Row],[Column5]]*3+Table3[[#This Row],[Column11]])</f>
        <v>426.25</v>
      </c>
      <c r="E161" s="2">
        <v>23.75</v>
      </c>
      <c r="F161" s="5">
        <f>SUM(Table3[[#This Row],[Column7]]*3+Table3[[#This Row],[Column12]])</f>
        <v>48.25</v>
      </c>
      <c r="G161" s="2">
        <v>2.75</v>
      </c>
      <c r="H161" s="5">
        <f>SUM(Table3[[#This Row],[Column9]]*3+Table3[[#This Row],[Column13]])</f>
        <v>48.25</v>
      </c>
      <c r="I161" s="2">
        <v>2.75</v>
      </c>
      <c r="J161" s="2">
        <v>355</v>
      </c>
      <c r="K161" s="2">
        <v>355</v>
      </c>
      <c r="L161" s="2">
        <v>40</v>
      </c>
      <c r="M161" s="2">
        <v>40</v>
      </c>
    </row>
    <row r="162" spans="1:13" x14ac:dyDescent="0.25">
      <c r="A162" s="6" t="s">
        <v>10</v>
      </c>
      <c r="B162" s="10">
        <f>SUM(Table3[[#This Row],[Column3]]*3+Table3[[#This Row],[Column10]])</f>
        <v>311.75</v>
      </c>
      <c r="C162" s="10">
        <v>17.25</v>
      </c>
      <c r="D162" s="10">
        <f>SUM(Table3[[#This Row],[Column5]]*3+Table3[[#This Row],[Column11]])</f>
        <v>311.75</v>
      </c>
      <c r="E162" s="10">
        <v>17.25</v>
      </c>
      <c r="F162" s="10">
        <f>SUM(Table3[[#This Row],[Column7]]*3+Table3[[#This Row],[Column12]])</f>
        <v>36</v>
      </c>
      <c r="G162" s="10">
        <v>2</v>
      </c>
      <c r="H162" s="10">
        <f>SUM(Table3[[#This Row],[Column9]]*3+Table3[[#This Row],[Column13]])</f>
        <v>36</v>
      </c>
      <c r="I162" s="10">
        <v>2</v>
      </c>
      <c r="J162" s="10">
        <v>260</v>
      </c>
      <c r="K162" s="10">
        <v>260</v>
      </c>
      <c r="L162" s="10">
        <v>30</v>
      </c>
      <c r="M162" s="10">
        <v>30</v>
      </c>
    </row>
    <row r="163" spans="1:13" x14ac:dyDescent="0.25">
      <c r="A163" t="s">
        <v>7</v>
      </c>
      <c r="B163" s="5">
        <f>SUM(Table3[[#This Row],[Column3]]*3+Table3[[#This Row],[Column10]])</f>
        <v>156.25</v>
      </c>
      <c r="C163" s="2">
        <v>8.75</v>
      </c>
      <c r="D163" s="5">
        <f>SUM(Table3[[#This Row],[Column5]]*3+Table3[[#This Row],[Column11]])</f>
        <v>156.25</v>
      </c>
      <c r="E163" s="2">
        <v>8.75</v>
      </c>
      <c r="F163" s="5">
        <f>SUM(Table3[[#This Row],[Column7]]*3+Table3[[#This Row],[Column12]])</f>
        <v>18</v>
      </c>
      <c r="G163" s="2">
        <v>1</v>
      </c>
      <c r="H163" s="5">
        <f>SUM(Table3[[#This Row],[Column9]]*3+Table3[[#This Row],[Column13]])</f>
        <v>18</v>
      </c>
      <c r="I163" s="2">
        <v>1</v>
      </c>
      <c r="J163" s="2">
        <v>130</v>
      </c>
      <c r="K163" s="2">
        <v>130</v>
      </c>
      <c r="L163" s="2">
        <v>15</v>
      </c>
      <c r="M163" s="2">
        <v>15</v>
      </c>
    </row>
    <row r="164" spans="1:13" x14ac:dyDescent="0.25">
      <c r="A164" s="7" t="s">
        <v>26</v>
      </c>
      <c r="B164" s="8"/>
      <c r="C164" s="7">
        <v>1</v>
      </c>
      <c r="D164" s="8"/>
      <c r="E164" s="9" t="s">
        <v>45</v>
      </c>
      <c r="F164" s="8"/>
      <c r="G164" s="9" t="s">
        <v>46</v>
      </c>
      <c r="H164" s="8"/>
      <c r="I164" s="7" t="s">
        <v>47</v>
      </c>
      <c r="J164" s="7">
        <v>1</v>
      </c>
      <c r="K164" s="9" t="s">
        <v>45</v>
      </c>
      <c r="L164" s="9" t="s">
        <v>46</v>
      </c>
      <c r="M164" s="7" t="s">
        <v>47</v>
      </c>
    </row>
    <row r="165" spans="1:13" x14ac:dyDescent="0.25">
      <c r="A165" t="s">
        <v>9</v>
      </c>
      <c r="B165" s="5">
        <f>SUM(Table3[[#This Row],[Column3]]*3+Table3[[#This Row],[Column10]])</f>
        <v>329.75</v>
      </c>
      <c r="C165" s="2">
        <v>18.25</v>
      </c>
      <c r="D165" s="5">
        <f>SUM(Table3[[#This Row],[Column5]]*3+Table3[[#This Row],[Column11]])</f>
        <v>329.75</v>
      </c>
      <c r="E165" s="2">
        <v>18.25</v>
      </c>
      <c r="F165" s="5">
        <f>SUM(Table3[[#This Row],[Column7]]*3+Table3[[#This Row],[Column12]])</f>
        <v>48.25</v>
      </c>
      <c r="G165" s="2">
        <v>2.75</v>
      </c>
      <c r="H165" s="5">
        <f>SUM(Table3[[#This Row],[Column9]]*3+Table3[[#This Row],[Column13]])</f>
        <v>48.25</v>
      </c>
      <c r="I165" s="2">
        <v>2.75</v>
      </c>
      <c r="J165" s="2">
        <v>275</v>
      </c>
      <c r="K165" s="2">
        <v>275</v>
      </c>
      <c r="L165" s="2">
        <v>40</v>
      </c>
      <c r="M165" s="2">
        <v>40</v>
      </c>
    </row>
    <row r="166" spans="1:13" x14ac:dyDescent="0.25">
      <c r="A166" t="s">
        <v>10</v>
      </c>
      <c r="B166" s="5">
        <f>SUM(Table3[[#This Row],[Column3]]*3+Table3[[#This Row],[Column10]])</f>
        <v>300.25</v>
      </c>
      <c r="C166" s="2">
        <v>16.75</v>
      </c>
      <c r="D166" s="5">
        <f>SUM(Table3[[#This Row],[Column5]]*3+Table3[[#This Row],[Column11]])</f>
        <v>300.25</v>
      </c>
      <c r="E166" s="2">
        <v>16.75</v>
      </c>
      <c r="F166" s="5">
        <f>SUM(Table3[[#This Row],[Column7]]*3+Table3[[#This Row],[Column12]])</f>
        <v>36</v>
      </c>
      <c r="G166" s="2">
        <v>2</v>
      </c>
      <c r="H166" s="5">
        <f>SUM(Table3[[#This Row],[Column9]]*3+Table3[[#This Row],[Column13]])</f>
        <v>36</v>
      </c>
      <c r="I166" s="2">
        <v>2</v>
      </c>
      <c r="J166" s="2">
        <v>250</v>
      </c>
      <c r="K166" s="2">
        <v>250</v>
      </c>
      <c r="L166" s="2">
        <v>30</v>
      </c>
      <c r="M166" s="2">
        <v>30</v>
      </c>
    </row>
    <row r="167" spans="1:13" x14ac:dyDescent="0.25">
      <c r="A167" t="s">
        <v>7</v>
      </c>
      <c r="B167" s="5">
        <f>SUM(Table3[[#This Row],[Column3]]*3+Table3[[#This Row],[Column10]])</f>
        <v>150.5</v>
      </c>
      <c r="C167" s="2">
        <v>8.5</v>
      </c>
      <c r="D167" s="5">
        <f>SUM(Table3[[#This Row],[Column5]]*3+Table3[[#This Row],[Column11]])</f>
        <v>150.5</v>
      </c>
      <c r="E167" s="2">
        <v>8.5</v>
      </c>
      <c r="F167" s="5">
        <f>SUM(Table3[[#This Row],[Column7]]*3+Table3[[#This Row],[Column12]])</f>
        <v>18</v>
      </c>
      <c r="G167" s="2">
        <v>1</v>
      </c>
      <c r="H167" s="5">
        <f>SUM(Table3[[#This Row],[Column9]]*3+Table3[[#This Row],[Column13]])</f>
        <v>18</v>
      </c>
      <c r="I167" s="2">
        <v>1</v>
      </c>
      <c r="J167" s="2">
        <v>125</v>
      </c>
      <c r="K167" s="2">
        <v>125</v>
      </c>
      <c r="L167" s="2">
        <v>15</v>
      </c>
      <c r="M167" s="2">
        <v>15</v>
      </c>
    </row>
    <row r="168" spans="1:13" x14ac:dyDescent="0.25">
      <c r="A168" s="7" t="s">
        <v>27</v>
      </c>
      <c r="B168" s="8"/>
      <c r="C168" s="7">
        <v>1</v>
      </c>
      <c r="D168" s="8"/>
      <c r="E168" s="9" t="s">
        <v>45</v>
      </c>
      <c r="F168" s="8"/>
      <c r="G168" s="9" t="s">
        <v>46</v>
      </c>
      <c r="H168" s="8"/>
      <c r="I168" s="7" t="s">
        <v>47</v>
      </c>
      <c r="J168" s="7">
        <v>1</v>
      </c>
      <c r="K168" s="9" t="s">
        <v>45</v>
      </c>
      <c r="L168" s="9" t="s">
        <v>46</v>
      </c>
      <c r="M168" s="7" t="s">
        <v>47</v>
      </c>
    </row>
    <row r="169" spans="1:13" x14ac:dyDescent="0.25">
      <c r="A169" t="s">
        <v>9</v>
      </c>
      <c r="B169" s="5">
        <f>SUM(Table3[[#This Row],[Column3]]*3+Table3[[#This Row],[Column10]])</f>
        <v>300.25</v>
      </c>
      <c r="C169" s="2">
        <v>16.75</v>
      </c>
      <c r="D169" s="5">
        <f>SUM(Table3[[#This Row],[Column5]]*3+Table3[[#This Row],[Column11]])</f>
        <v>300.25</v>
      </c>
      <c r="E169" s="2">
        <v>16.75</v>
      </c>
      <c r="F169" s="5">
        <f>SUM(Table3[[#This Row],[Column7]]*3+Table3[[#This Row],[Column12]])</f>
        <v>48.25</v>
      </c>
      <c r="G169" s="2">
        <v>2.75</v>
      </c>
      <c r="H169" s="5">
        <f>SUM(Table3[[#This Row],[Column9]]*3+Table3[[#This Row],[Column13]])</f>
        <v>48.25</v>
      </c>
      <c r="I169" s="2">
        <v>2.75</v>
      </c>
      <c r="J169" s="2">
        <v>250</v>
      </c>
      <c r="K169" s="2">
        <v>250</v>
      </c>
      <c r="L169" s="2">
        <v>40</v>
      </c>
      <c r="M169" s="2">
        <v>40</v>
      </c>
    </row>
    <row r="170" spans="1:13" x14ac:dyDescent="0.25">
      <c r="A170" t="s">
        <v>10</v>
      </c>
      <c r="B170" s="5">
        <f>SUM(Table3[[#This Row],[Column3]]*3+Table3[[#This Row],[Column10]])</f>
        <v>275.75</v>
      </c>
      <c r="C170" s="2">
        <v>15.25</v>
      </c>
      <c r="D170" s="5">
        <f>SUM(Table3[[#This Row],[Column5]]*3+Table3[[#This Row],[Column11]])</f>
        <v>275.75</v>
      </c>
      <c r="E170" s="2">
        <v>15.25</v>
      </c>
      <c r="F170" s="5">
        <f>SUM(Table3[[#This Row],[Column7]]*3+Table3[[#This Row],[Column12]])</f>
        <v>36</v>
      </c>
      <c r="G170" s="2">
        <v>2</v>
      </c>
      <c r="H170" s="5">
        <f>SUM(Table3[[#This Row],[Column9]]*3+Table3[[#This Row],[Column13]])</f>
        <v>36</v>
      </c>
      <c r="I170" s="2">
        <v>2</v>
      </c>
      <c r="J170" s="2">
        <v>230</v>
      </c>
      <c r="K170" s="2">
        <v>230</v>
      </c>
      <c r="L170" s="2">
        <v>30</v>
      </c>
      <c r="M170" s="2">
        <v>30</v>
      </c>
    </row>
    <row r="171" spans="1:13" x14ac:dyDescent="0.25">
      <c r="A171" t="s">
        <v>7</v>
      </c>
      <c r="B171" s="5">
        <f>SUM(Table3[[#This Row],[Column3]]*3+Table3[[#This Row],[Column10]])</f>
        <v>138.25</v>
      </c>
      <c r="C171" s="2">
        <v>7.75</v>
      </c>
      <c r="D171" s="5">
        <f>SUM(Table3[[#This Row],[Column5]]*3+Table3[[#This Row],[Column11]])</f>
        <v>138.25</v>
      </c>
      <c r="E171" s="2">
        <v>7.75</v>
      </c>
      <c r="F171" s="5">
        <f>SUM(Table3[[#This Row],[Column7]]*3+Table3[[#This Row],[Column12]])</f>
        <v>18</v>
      </c>
      <c r="G171" s="2">
        <v>1</v>
      </c>
      <c r="H171" s="5">
        <f>SUM(Table3[[#This Row],[Column9]]*3+Table3[[#This Row],[Column13]])</f>
        <v>18</v>
      </c>
      <c r="I171" s="2">
        <v>1</v>
      </c>
      <c r="J171" s="2">
        <v>115</v>
      </c>
      <c r="K171" s="2">
        <v>115</v>
      </c>
      <c r="L171" s="2">
        <v>15</v>
      </c>
      <c r="M171" s="2">
        <v>15</v>
      </c>
    </row>
    <row r="172" spans="1:13" x14ac:dyDescent="0.25">
      <c r="A172" s="7" t="s">
        <v>28</v>
      </c>
      <c r="B172" s="8"/>
      <c r="C172" s="7">
        <v>1</v>
      </c>
      <c r="D172" s="8"/>
      <c r="E172" s="9" t="s">
        <v>45</v>
      </c>
      <c r="F172" s="8"/>
      <c r="G172" s="9" t="s">
        <v>46</v>
      </c>
      <c r="H172" s="8"/>
      <c r="I172" s="7" t="s">
        <v>47</v>
      </c>
      <c r="J172" s="7">
        <v>1</v>
      </c>
      <c r="K172" s="9" t="s">
        <v>45</v>
      </c>
      <c r="L172" s="9" t="s">
        <v>46</v>
      </c>
      <c r="M172" s="7" t="s">
        <v>47</v>
      </c>
    </row>
    <row r="173" spans="1:13" x14ac:dyDescent="0.25">
      <c r="A173" t="s">
        <v>9</v>
      </c>
      <c r="B173" s="5">
        <f>SUM(Table3[[#This Row],[Column3]]*3+Table3[[#This Row],[Column10]])</f>
        <v>293.75</v>
      </c>
      <c r="C173" s="2">
        <v>16.25</v>
      </c>
      <c r="D173" s="5">
        <f>SUM(Table3[[#This Row],[Column5]]*3+Table3[[#This Row],[Column11]])</f>
        <v>293.75</v>
      </c>
      <c r="E173" s="2">
        <v>16.25</v>
      </c>
      <c r="F173" s="5">
        <f>SUM(Table3[[#This Row],[Column7]]*3+Table3[[#This Row],[Column12]])</f>
        <v>48.25</v>
      </c>
      <c r="G173" s="2">
        <v>2.75</v>
      </c>
      <c r="H173" s="5">
        <f>SUM(Table3[[#This Row],[Column9]]*3+Table3[[#This Row],[Column13]])</f>
        <v>48.25</v>
      </c>
      <c r="I173" s="2">
        <v>2.75</v>
      </c>
      <c r="J173" s="2">
        <v>245</v>
      </c>
      <c r="K173" s="2">
        <v>245</v>
      </c>
      <c r="L173" s="2">
        <v>40</v>
      </c>
      <c r="M173" s="2">
        <v>40</v>
      </c>
    </row>
    <row r="174" spans="1:13" x14ac:dyDescent="0.25">
      <c r="A174" t="s">
        <v>10</v>
      </c>
      <c r="B174" s="5">
        <f>SUM(Table3[[#This Row],[Column3]]*3+Table3[[#This Row],[Column10]])</f>
        <v>264.25</v>
      </c>
      <c r="C174" s="2">
        <v>14.75</v>
      </c>
      <c r="D174" s="5">
        <f>SUM(Table3[[#This Row],[Column5]]*3+Table3[[#This Row],[Column11]])</f>
        <v>264.25</v>
      </c>
      <c r="E174" s="2">
        <v>14.75</v>
      </c>
      <c r="F174" s="5">
        <f>SUM(Table3[[#This Row],[Column7]]*3+Table3[[#This Row],[Column12]])</f>
        <v>36</v>
      </c>
      <c r="G174" s="2">
        <v>2</v>
      </c>
      <c r="H174" s="5">
        <f>SUM(Table3[[#This Row],[Column9]]*3+Table3[[#This Row],[Column13]])</f>
        <v>36</v>
      </c>
      <c r="I174" s="2">
        <v>2</v>
      </c>
      <c r="J174" s="2">
        <v>220</v>
      </c>
      <c r="K174" s="2">
        <v>220</v>
      </c>
      <c r="L174" s="2">
        <v>30</v>
      </c>
      <c r="M174" s="2">
        <v>30</v>
      </c>
    </row>
    <row r="175" spans="1:13" x14ac:dyDescent="0.25">
      <c r="A175" t="s">
        <v>7</v>
      </c>
      <c r="B175" s="5">
        <f>SUM(Table3[[#This Row],[Column3]]*3+Table3[[#This Row],[Column10]])</f>
        <v>132.5</v>
      </c>
      <c r="C175" s="2">
        <v>7.5</v>
      </c>
      <c r="D175" s="5">
        <f>SUM(Table3[[#This Row],[Column5]]*3+Table3[[#This Row],[Column11]])</f>
        <v>132.5</v>
      </c>
      <c r="E175" s="2">
        <v>7.5</v>
      </c>
      <c r="F175" s="5">
        <f>SUM(Table3[[#This Row],[Column7]]*3+Table3[[#This Row],[Column12]])</f>
        <v>18</v>
      </c>
      <c r="G175" s="2">
        <v>1</v>
      </c>
      <c r="H175" s="5">
        <f>SUM(Table3[[#This Row],[Column9]]*3+Table3[[#This Row],[Column13]])</f>
        <v>18</v>
      </c>
      <c r="I175" s="2">
        <v>1</v>
      </c>
      <c r="J175" s="2">
        <v>110</v>
      </c>
      <c r="K175" s="2">
        <v>110</v>
      </c>
      <c r="L175" s="2">
        <v>15</v>
      </c>
      <c r="M175" s="2">
        <v>15</v>
      </c>
    </row>
    <row r="176" spans="1:13" x14ac:dyDescent="0.25">
      <c r="A176" s="7" t="s">
        <v>29</v>
      </c>
      <c r="B176" s="8"/>
      <c r="C176" s="7">
        <v>1</v>
      </c>
      <c r="D176" s="8"/>
      <c r="E176" s="9" t="s">
        <v>45</v>
      </c>
      <c r="F176" s="8"/>
      <c r="G176" s="9" t="s">
        <v>46</v>
      </c>
      <c r="H176" s="8"/>
      <c r="I176" s="7" t="s">
        <v>47</v>
      </c>
      <c r="J176" s="7">
        <v>1</v>
      </c>
      <c r="K176" s="9" t="s">
        <v>45</v>
      </c>
      <c r="L176" s="9" t="s">
        <v>46</v>
      </c>
      <c r="M176" s="7" t="s">
        <v>47</v>
      </c>
    </row>
    <row r="177" spans="1:13" x14ac:dyDescent="0.25">
      <c r="A177" t="s">
        <v>9</v>
      </c>
      <c r="B177" s="5">
        <f>SUM(Table3[[#This Row],[Column3]]*3+Table3[[#This Row],[Column10]])</f>
        <v>293.75</v>
      </c>
      <c r="C177" s="2">
        <v>16.25</v>
      </c>
      <c r="D177" s="5">
        <f>SUM(Table3[[#This Row],[Column5]]*3+Table3[[#This Row],[Column11]])</f>
        <v>293.75</v>
      </c>
      <c r="E177" s="2">
        <v>16.25</v>
      </c>
      <c r="F177" s="5">
        <f>SUM(Table3[[#This Row],[Column7]]*3+Table3[[#This Row],[Column12]])</f>
        <v>48.25</v>
      </c>
      <c r="G177" s="2">
        <v>2.75</v>
      </c>
      <c r="H177" s="5">
        <f>SUM(Table3[[#This Row],[Column9]]*3+Table3[[#This Row],[Column13]])</f>
        <v>48.25</v>
      </c>
      <c r="I177" s="2">
        <v>2.75</v>
      </c>
      <c r="J177" s="2">
        <v>245</v>
      </c>
      <c r="K177" s="2">
        <v>245</v>
      </c>
      <c r="L177" s="2">
        <v>40</v>
      </c>
      <c r="M177" s="2">
        <v>40</v>
      </c>
    </row>
    <row r="178" spans="1:13" x14ac:dyDescent="0.25">
      <c r="A178" t="s">
        <v>10</v>
      </c>
      <c r="B178" s="5">
        <f>SUM(Table3[[#This Row],[Column3]]*3+Table3[[#This Row],[Column10]])</f>
        <v>264.25</v>
      </c>
      <c r="C178" s="2">
        <v>14.75</v>
      </c>
      <c r="D178" s="5">
        <f>SUM(Table3[[#This Row],[Column5]]*3+Table3[[#This Row],[Column11]])</f>
        <v>264.25</v>
      </c>
      <c r="E178" s="2">
        <v>14.75</v>
      </c>
      <c r="F178" s="5">
        <f>SUM(Table3[[#This Row],[Column7]]*3+Table3[[#This Row],[Column12]])</f>
        <v>36</v>
      </c>
      <c r="G178" s="2">
        <v>2</v>
      </c>
      <c r="H178" s="5">
        <f>SUM(Table3[[#This Row],[Column9]]*3+Table3[[#This Row],[Column13]])</f>
        <v>36</v>
      </c>
      <c r="I178" s="2">
        <v>2</v>
      </c>
      <c r="J178" s="2">
        <v>220</v>
      </c>
      <c r="K178" s="2">
        <v>220</v>
      </c>
      <c r="L178" s="2">
        <v>30</v>
      </c>
      <c r="M178" s="2">
        <v>30</v>
      </c>
    </row>
    <row r="179" spans="1:13" x14ac:dyDescent="0.25">
      <c r="A179" t="s">
        <v>7</v>
      </c>
      <c r="B179" s="5">
        <f>SUM(Table3[[#This Row],[Column3]]*3+Table3[[#This Row],[Column10]])</f>
        <v>132.5</v>
      </c>
      <c r="C179" s="2">
        <v>7.5</v>
      </c>
      <c r="D179" s="5">
        <f>SUM(Table3[[#This Row],[Column5]]*3+Table3[[#This Row],[Column11]])</f>
        <v>132.5</v>
      </c>
      <c r="E179" s="2">
        <v>7.5</v>
      </c>
      <c r="F179" s="5">
        <f>SUM(Table3[[#This Row],[Column7]]*3+Table3[[#This Row],[Column12]])</f>
        <v>18</v>
      </c>
      <c r="G179" s="2">
        <v>1</v>
      </c>
      <c r="H179" s="5">
        <f>SUM(Table3[[#This Row],[Column9]]*3+Table3[[#This Row],[Column13]])</f>
        <v>18</v>
      </c>
      <c r="I179" s="2">
        <v>1</v>
      </c>
      <c r="J179" s="2">
        <v>110</v>
      </c>
      <c r="K179" s="2">
        <v>110</v>
      </c>
      <c r="L179" s="2">
        <v>15</v>
      </c>
      <c r="M179" s="2">
        <v>15</v>
      </c>
    </row>
    <row r="180" spans="1:13" x14ac:dyDescent="0.25">
      <c r="A180" s="7" t="s">
        <v>30</v>
      </c>
      <c r="B180" s="8"/>
      <c r="C180" s="7">
        <v>1</v>
      </c>
      <c r="D180" s="8"/>
      <c r="E180" s="9" t="s">
        <v>45</v>
      </c>
      <c r="F180" s="8"/>
      <c r="G180" s="9" t="s">
        <v>46</v>
      </c>
      <c r="H180" s="8"/>
      <c r="I180" s="7" t="s">
        <v>47</v>
      </c>
      <c r="J180" s="7">
        <v>1</v>
      </c>
      <c r="K180" s="9" t="s">
        <v>45</v>
      </c>
      <c r="L180" s="9" t="s">
        <v>46</v>
      </c>
      <c r="M180" s="7" t="s">
        <v>47</v>
      </c>
    </row>
    <row r="181" spans="1:13" x14ac:dyDescent="0.25">
      <c r="A181" t="s">
        <v>5</v>
      </c>
      <c r="B181" s="5">
        <f>SUM(Table3[[#This Row],[Column3]]*3+Table3[[#This Row],[Column10]])</f>
        <v>432</v>
      </c>
      <c r="C181" s="2">
        <v>24</v>
      </c>
      <c r="D181" s="5">
        <f>SUM(Table3[[#This Row],[Column5]]*3+Table3[[#This Row],[Column11]])</f>
        <v>311.75</v>
      </c>
      <c r="E181" s="2">
        <v>17.25</v>
      </c>
      <c r="F181" s="5">
        <f>SUM(Table3[[#This Row],[Column7]]*3+Table3[[#This Row],[Column12]])</f>
        <v>48.25</v>
      </c>
      <c r="G181" s="2">
        <v>2.75</v>
      </c>
      <c r="H181" s="5">
        <f>SUM(Table3[[#This Row],[Column9]]*3+Table3[[#This Row],[Column13]])</f>
        <v>48.25</v>
      </c>
      <c r="I181" s="2">
        <v>2.75</v>
      </c>
      <c r="J181" s="2">
        <v>360</v>
      </c>
      <c r="K181" s="2">
        <v>260</v>
      </c>
      <c r="L181" s="2">
        <v>40</v>
      </c>
      <c r="M181" s="2">
        <v>40</v>
      </c>
    </row>
    <row r="182" spans="1:13" x14ac:dyDescent="0.25">
      <c r="A182" t="s">
        <v>6</v>
      </c>
      <c r="B182" s="5">
        <f>SUM(Table3[[#This Row],[Column3]]*3+Table3[[#This Row],[Column10]])</f>
        <v>329.75</v>
      </c>
      <c r="C182" s="2">
        <v>18.25</v>
      </c>
      <c r="D182" s="5">
        <f>SUM(Table3[[#This Row],[Column5]]*3+Table3[[#This Row],[Column11]])</f>
        <v>329.75</v>
      </c>
      <c r="E182" s="2">
        <v>18.25</v>
      </c>
      <c r="F182" s="5">
        <f>SUM(Table3[[#This Row],[Column7]]*3+Table3[[#This Row],[Column12]])</f>
        <v>36</v>
      </c>
      <c r="G182" s="2">
        <v>2</v>
      </c>
      <c r="H182" s="5">
        <f>SUM(Table3[[#This Row],[Column9]]*3+Table3[[#This Row],[Column13]])</f>
        <v>36</v>
      </c>
      <c r="I182" s="2">
        <v>2</v>
      </c>
      <c r="J182" s="2">
        <v>275</v>
      </c>
      <c r="K182" s="2">
        <v>275</v>
      </c>
      <c r="L182" s="2">
        <v>30</v>
      </c>
      <c r="M182" s="2">
        <v>30</v>
      </c>
    </row>
    <row r="183" spans="1:13" x14ac:dyDescent="0.25">
      <c r="A183" t="s">
        <v>7</v>
      </c>
      <c r="B183" s="5">
        <f>SUM(Table3[[#This Row],[Column3]]*3+Table3[[#This Row],[Column10]])</f>
        <v>165.25</v>
      </c>
      <c r="C183" s="2">
        <v>9.25</v>
      </c>
      <c r="D183" s="5">
        <f>SUM(Table3[[#This Row],[Column5]]*3+Table3[[#This Row],[Column11]])</f>
        <v>165.25</v>
      </c>
      <c r="E183" s="2">
        <v>9.25</v>
      </c>
      <c r="F183" s="5">
        <f>SUM(Table3[[#This Row],[Column7]]*3+Table3[[#This Row],[Column12]])</f>
        <v>18</v>
      </c>
      <c r="G183" s="2">
        <v>1</v>
      </c>
      <c r="H183" s="5">
        <f>SUM(Table3[[#This Row],[Column9]]*3+Table3[[#This Row],[Column13]])</f>
        <v>18</v>
      </c>
      <c r="I183" s="2">
        <v>1</v>
      </c>
      <c r="J183" s="2">
        <v>137.5</v>
      </c>
      <c r="K183" s="2">
        <v>137.5</v>
      </c>
      <c r="L183" s="2">
        <v>15</v>
      </c>
      <c r="M183" s="2">
        <v>15</v>
      </c>
    </row>
    <row r="184" spans="1:13" x14ac:dyDescent="0.25">
      <c r="A184" s="7" t="s">
        <v>31</v>
      </c>
      <c r="B184" s="8"/>
      <c r="C184" s="7">
        <v>1</v>
      </c>
      <c r="D184" s="8"/>
      <c r="E184" s="9" t="s">
        <v>45</v>
      </c>
      <c r="F184" s="8"/>
      <c r="G184" s="9">
        <v>45514</v>
      </c>
      <c r="H184" s="8"/>
      <c r="I184" s="7" t="s">
        <v>47</v>
      </c>
      <c r="J184" s="7">
        <v>1</v>
      </c>
      <c r="K184" s="9">
        <v>45329</v>
      </c>
      <c r="L184" s="9">
        <v>45514</v>
      </c>
      <c r="M184" s="7" t="s">
        <v>47</v>
      </c>
    </row>
    <row r="185" spans="1:13" x14ac:dyDescent="0.25">
      <c r="A185" t="s">
        <v>5</v>
      </c>
      <c r="B185" s="5">
        <f>SUM(Table3[[#This Row],[Column3]]*3+Table3[[#This Row],[Column10]])</f>
        <v>360</v>
      </c>
      <c r="C185" s="2">
        <v>20</v>
      </c>
      <c r="D185" s="5">
        <f>SUM(Table3[[#This Row],[Column5]]*3+Table3[[#This Row],[Column11]])</f>
        <v>360</v>
      </c>
      <c r="E185" s="2">
        <v>20</v>
      </c>
      <c r="F185" s="5">
        <f>SUM(Table3[[#This Row],[Column7]]*3+Table3[[#This Row],[Column12]])</f>
        <v>48.25</v>
      </c>
      <c r="G185" s="2">
        <v>2.75</v>
      </c>
      <c r="H185" s="5">
        <f>SUM(Table3[[#This Row],[Column9]]*3+Table3[[#This Row],[Column13]])</f>
        <v>48.25</v>
      </c>
      <c r="I185" s="2">
        <v>2.75</v>
      </c>
      <c r="J185" s="2">
        <v>300</v>
      </c>
      <c r="K185" s="2">
        <v>300</v>
      </c>
      <c r="L185" s="2">
        <v>40</v>
      </c>
      <c r="M185" s="2">
        <v>40</v>
      </c>
    </row>
    <row r="186" spans="1:13" x14ac:dyDescent="0.25">
      <c r="A186" t="s">
        <v>6</v>
      </c>
      <c r="B186" s="5">
        <f>SUM(Table3[[#This Row],[Column3]]*3+Table3[[#This Row],[Column10]])</f>
        <v>329.75</v>
      </c>
      <c r="C186" s="2">
        <v>18.25</v>
      </c>
      <c r="D186" s="5">
        <f>SUM(Table3[[#This Row],[Column5]]*3+Table3[[#This Row],[Column11]])</f>
        <v>329.75</v>
      </c>
      <c r="E186" s="2">
        <v>18.25</v>
      </c>
      <c r="F186" s="5">
        <f>SUM(Table3[[#This Row],[Column7]]*3+Table3[[#This Row],[Column12]])</f>
        <v>36</v>
      </c>
      <c r="G186" s="2">
        <v>2</v>
      </c>
      <c r="H186" s="5">
        <f>SUM(Table3[[#This Row],[Column9]]*3+Table3[[#This Row],[Column13]])</f>
        <v>36</v>
      </c>
      <c r="I186" s="2">
        <v>2</v>
      </c>
      <c r="J186" s="2">
        <v>275</v>
      </c>
      <c r="K186" s="2">
        <v>275</v>
      </c>
      <c r="L186" s="2">
        <v>30</v>
      </c>
      <c r="M186" s="2">
        <v>30</v>
      </c>
    </row>
    <row r="187" spans="1:13" x14ac:dyDescent="0.25">
      <c r="A187" t="s">
        <v>7</v>
      </c>
      <c r="B187" s="5">
        <f>SUM(Table3[[#This Row],[Column3]]*3+Table3[[#This Row],[Column10]])</f>
        <v>165.25</v>
      </c>
      <c r="C187" s="2">
        <v>9.25</v>
      </c>
      <c r="D187" s="5">
        <f>SUM(Table3[[#This Row],[Column5]]*3+Table3[[#This Row],[Column11]])</f>
        <v>165.25</v>
      </c>
      <c r="E187" s="2">
        <v>9.25</v>
      </c>
      <c r="F187" s="5">
        <f>SUM(Table3[[#This Row],[Column7]]*3+Table3[[#This Row],[Column12]])</f>
        <v>18</v>
      </c>
      <c r="G187" s="2">
        <v>1</v>
      </c>
      <c r="H187" s="5">
        <f>SUM(Table3[[#This Row],[Column9]]*3+Table3[[#This Row],[Column13]])</f>
        <v>18</v>
      </c>
      <c r="I187" s="2">
        <v>1</v>
      </c>
      <c r="J187" s="2">
        <v>137.5</v>
      </c>
      <c r="K187" s="2">
        <v>137.5</v>
      </c>
      <c r="L187" s="2">
        <v>15</v>
      </c>
      <c r="M187" s="2">
        <v>15</v>
      </c>
    </row>
    <row r="188" spans="1:13" x14ac:dyDescent="0.25">
      <c r="A188" s="7" t="s">
        <v>32</v>
      </c>
      <c r="B188" s="8"/>
      <c r="C188" s="7">
        <v>1</v>
      </c>
      <c r="D188" s="8"/>
      <c r="E188" s="9" t="s">
        <v>45</v>
      </c>
      <c r="F188" s="8"/>
      <c r="G188" s="9">
        <v>45514</v>
      </c>
      <c r="H188" s="8"/>
      <c r="I188" s="7" t="s">
        <v>47</v>
      </c>
      <c r="J188" s="7">
        <v>1</v>
      </c>
      <c r="K188" s="9">
        <v>45329</v>
      </c>
      <c r="L188" s="9">
        <v>45514</v>
      </c>
      <c r="M188" s="7" t="s">
        <v>47</v>
      </c>
    </row>
    <row r="189" spans="1:13" x14ac:dyDescent="0.25">
      <c r="A189" t="s">
        <v>5</v>
      </c>
      <c r="B189" s="5">
        <f>SUM(Table3[[#This Row],[Column3]]*3+Table3[[#This Row],[Column10]])</f>
        <v>336.25</v>
      </c>
      <c r="C189" s="2">
        <v>18.75</v>
      </c>
      <c r="D189" s="5">
        <f>SUM(Table3[[#This Row],[Column5]]*3+Table3[[#This Row],[Column11]])</f>
        <v>336.25</v>
      </c>
      <c r="E189" s="2">
        <v>18.75</v>
      </c>
      <c r="F189" s="5">
        <f>SUM(Table3[[#This Row],[Column7]]*3+Table3[[#This Row],[Column12]])</f>
        <v>48.25</v>
      </c>
      <c r="G189" s="2">
        <v>2.75</v>
      </c>
      <c r="H189" s="5">
        <f>SUM(Table3[[#This Row],[Column9]]*3+Table3[[#This Row],[Column13]])</f>
        <v>48.25</v>
      </c>
      <c r="I189" s="2">
        <v>2.75</v>
      </c>
      <c r="J189" s="2">
        <v>280</v>
      </c>
      <c r="K189" s="2">
        <v>280</v>
      </c>
      <c r="L189" s="2">
        <v>40</v>
      </c>
      <c r="M189" s="2">
        <v>40</v>
      </c>
    </row>
    <row r="190" spans="1:13" x14ac:dyDescent="0.25">
      <c r="A190" t="s">
        <v>6</v>
      </c>
      <c r="B190" s="5">
        <f>SUM(Table3[[#This Row],[Column3]]*3+Table3[[#This Row],[Column10]])</f>
        <v>300.25</v>
      </c>
      <c r="C190" s="2">
        <v>16.75</v>
      </c>
      <c r="D190" s="5">
        <f>SUM(Table3[[#This Row],[Column5]]*3+Table3[[#This Row],[Column11]])</f>
        <v>300.25</v>
      </c>
      <c r="E190" s="2">
        <v>16.75</v>
      </c>
      <c r="F190" s="5">
        <f>SUM(Table3[[#This Row],[Column7]]*3+Table3[[#This Row],[Column12]])</f>
        <v>36</v>
      </c>
      <c r="G190" s="2">
        <v>2</v>
      </c>
      <c r="H190" s="5">
        <f>SUM(Table3[[#This Row],[Column9]]*3+Table3[[#This Row],[Column13]])</f>
        <v>36</v>
      </c>
      <c r="I190" s="2">
        <v>2</v>
      </c>
      <c r="J190" s="2">
        <v>250</v>
      </c>
      <c r="K190" s="2">
        <v>250</v>
      </c>
      <c r="L190" s="2">
        <v>30</v>
      </c>
      <c r="M190" s="2">
        <v>30</v>
      </c>
    </row>
    <row r="191" spans="1:13" x14ac:dyDescent="0.25">
      <c r="A191" t="s">
        <v>7</v>
      </c>
      <c r="B191" s="5">
        <f>SUM(Table3[[#This Row],[Column3]]*3+Table3[[#This Row],[Column10]])</f>
        <v>150.5</v>
      </c>
      <c r="C191" s="2">
        <v>8.5</v>
      </c>
      <c r="D191" s="5">
        <f>SUM(Table3[[#This Row],[Column5]]*3+Table3[[#This Row],[Column11]])</f>
        <v>150.5</v>
      </c>
      <c r="E191" s="2">
        <v>8.5</v>
      </c>
      <c r="F191" s="5">
        <f>SUM(Table3[[#This Row],[Column7]]*3+Table3[[#This Row],[Column12]])</f>
        <v>18</v>
      </c>
      <c r="G191" s="2">
        <v>1</v>
      </c>
      <c r="H191" s="5">
        <f>SUM(Table3[[#This Row],[Column9]]*3+Table3[[#This Row],[Column13]])</f>
        <v>18</v>
      </c>
      <c r="I191" s="2">
        <v>1</v>
      </c>
      <c r="J191" s="2">
        <v>125</v>
      </c>
      <c r="K191" s="2">
        <v>125</v>
      </c>
      <c r="L191" s="2">
        <v>15</v>
      </c>
      <c r="M191" s="2">
        <v>15</v>
      </c>
    </row>
    <row r="192" spans="1:13" x14ac:dyDescent="0.25">
      <c r="A192" s="7" t="s">
        <v>33</v>
      </c>
      <c r="B192" s="8"/>
      <c r="C192" s="7">
        <v>1</v>
      </c>
      <c r="D192" s="8"/>
      <c r="E192" s="9" t="s">
        <v>45</v>
      </c>
      <c r="F192" s="8"/>
      <c r="G192" s="9">
        <v>45514</v>
      </c>
      <c r="H192" s="8"/>
      <c r="I192" s="7" t="s">
        <v>47</v>
      </c>
      <c r="J192" s="7">
        <v>1</v>
      </c>
      <c r="K192" s="9">
        <v>45329</v>
      </c>
      <c r="L192" s="9">
        <v>45514</v>
      </c>
      <c r="M192" s="7" t="s">
        <v>47</v>
      </c>
    </row>
    <row r="193" spans="1:13" x14ac:dyDescent="0.25">
      <c r="A193" t="s">
        <v>5</v>
      </c>
      <c r="B193" s="5">
        <f>SUM(Table3[[#This Row],[Column3]]*3+Table3[[#This Row],[Column10]])</f>
        <v>324</v>
      </c>
      <c r="C193" s="2">
        <v>18</v>
      </c>
      <c r="D193" s="5">
        <f>SUM(Table3[[#This Row],[Column5]]*3+Table3[[#This Row],[Column11]])</f>
        <v>324</v>
      </c>
      <c r="E193" s="2">
        <v>18</v>
      </c>
      <c r="F193" s="5">
        <f>SUM(Table3[[#This Row],[Column7]]*3+Table3[[#This Row],[Column12]])</f>
        <v>48.25</v>
      </c>
      <c r="G193" s="2">
        <v>2.75</v>
      </c>
      <c r="H193" s="5">
        <f>SUM(Table3[[#This Row],[Column9]]*3+Table3[[#This Row],[Column13]])</f>
        <v>48.25</v>
      </c>
      <c r="I193" s="2">
        <v>2.75</v>
      </c>
      <c r="J193" s="2">
        <v>270</v>
      </c>
      <c r="K193" s="2">
        <v>270</v>
      </c>
      <c r="L193" s="2">
        <v>40</v>
      </c>
      <c r="M193" s="2">
        <v>40</v>
      </c>
    </row>
    <row r="194" spans="1:13" x14ac:dyDescent="0.25">
      <c r="A194" t="s">
        <v>6</v>
      </c>
      <c r="B194" s="5">
        <f>SUM(Table3[[#This Row],[Column3]]*3+Table3[[#This Row],[Column10]])</f>
        <v>288</v>
      </c>
      <c r="C194" s="2">
        <v>16</v>
      </c>
      <c r="D194" s="5">
        <f>SUM(Table3[[#This Row],[Column5]]*3+Table3[[#This Row],[Column11]])</f>
        <v>288</v>
      </c>
      <c r="E194" s="2">
        <v>16</v>
      </c>
      <c r="F194" s="5">
        <f>SUM(Table3[[#This Row],[Column7]]*3+Table3[[#This Row],[Column12]])</f>
        <v>36</v>
      </c>
      <c r="G194" s="2">
        <v>2</v>
      </c>
      <c r="H194" s="5">
        <f>SUM(Table3[[#This Row],[Column9]]*3+Table3[[#This Row],[Column13]])</f>
        <v>36</v>
      </c>
      <c r="I194" s="2">
        <v>2</v>
      </c>
      <c r="J194" s="2">
        <v>240</v>
      </c>
      <c r="K194" s="2">
        <v>240</v>
      </c>
      <c r="L194" s="2">
        <v>30</v>
      </c>
      <c r="M194" s="2">
        <v>30</v>
      </c>
    </row>
    <row r="195" spans="1:13" x14ac:dyDescent="0.25">
      <c r="A195" t="s">
        <v>7</v>
      </c>
      <c r="B195" s="5">
        <f>SUM(Table3[[#This Row],[Column3]]*3+Table3[[#This Row],[Column10]])</f>
        <v>144</v>
      </c>
      <c r="C195" s="2">
        <v>8</v>
      </c>
      <c r="D195" s="5">
        <f>SUM(Table3[[#This Row],[Column5]]*3+Table3[[#This Row],[Column11]])</f>
        <v>144</v>
      </c>
      <c r="E195" s="2">
        <v>8</v>
      </c>
      <c r="F195" s="5">
        <f>SUM(Table3[[#This Row],[Column7]]*3+Table3[[#This Row],[Column12]])</f>
        <v>18</v>
      </c>
      <c r="G195" s="2">
        <v>1</v>
      </c>
      <c r="H195" s="5">
        <f>SUM(Table3[[#This Row],[Column9]]*3+Table3[[#This Row],[Column13]])</f>
        <v>18</v>
      </c>
      <c r="I195" s="2">
        <v>1</v>
      </c>
      <c r="J195" s="2">
        <v>120</v>
      </c>
      <c r="K195" s="2">
        <v>120</v>
      </c>
      <c r="L195" s="2">
        <v>15</v>
      </c>
      <c r="M195" s="2">
        <v>15</v>
      </c>
    </row>
    <row r="196" spans="1:13" x14ac:dyDescent="0.25">
      <c r="A196" s="7" t="s">
        <v>34</v>
      </c>
      <c r="B196" s="8"/>
      <c r="C196" s="7">
        <v>1</v>
      </c>
      <c r="D196" s="8"/>
      <c r="E196" s="9" t="s">
        <v>45</v>
      </c>
      <c r="F196" s="8"/>
      <c r="G196" s="9" t="s">
        <v>46</v>
      </c>
      <c r="H196" s="8"/>
      <c r="I196" s="7" t="s">
        <v>47</v>
      </c>
      <c r="J196" s="7">
        <v>1</v>
      </c>
      <c r="K196" s="9" t="s">
        <v>45</v>
      </c>
      <c r="L196" s="9" t="s">
        <v>46</v>
      </c>
      <c r="M196" s="7" t="s">
        <v>47</v>
      </c>
    </row>
    <row r="197" spans="1:13" x14ac:dyDescent="0.25">
      <c r="A197" t="s">
        <v>35</v>
      </c>
      <c r="B197" s="5">
        <f>SUM(Table3[[#This Row],[Column3]]*3+Table3[[#This Row],[Column10]])</f>
        <v>234.25</v>
      </c>
      <c r="C197" s="2">
        <v>12.75</v>
      </c>
      <c r="D197" s="5">
        <f>SUM(Table3[[#This Row],[Column5]]*3+Table3[[#This Row],[Column11]])</f>
        <v>234.25</v>
      </c>
      <c r="E197" s="2">
        <v>12.75</v>
      </c>
      <c r="F197" s="5">
        <f>SUM(Table3[[#This Row],[Column7]]*3+Table3[[#This Row],[Column12]])</f>
        <v>117.14</v>
      </c>
      <c r="G197" s="2">
        <v>6.38</v>
      </c>
      <c r="H197" s="5">
        <f>SUM(Table3[[#This Row],[Column9]]*3+Table3[[#This Row],[Column13]])</f>
        <v>46.85</v>
      </c>
      <c r="I197" s="2">
        <v>2.5499999999999998</v>
      </c>
      <c r="J197" s="2">
        <v>196</v>
      </c>
      <c r="K197" s="2">
        <v>196</v>
      </c>
      <c r="L197" s="2">
        <v>98</v>
      </c>
      <c r="M197" s="2">
        <v>39.200000000000003</v>
      </c>
    </row>
    <row r="198" spans="1:13" x14ac:dyDescent="0.25">
      <c r="A198" t="s">
        <v>36</v>
      </c>
      <c r="B198" s="5">
        <f>SUM(Table3[[#This Row],[Column3]]*3+Table3[[#This Row],[Column10]])</f>
        <v>218.25</v>
      </c>
      <c r="C198" s="2">
        <v>11.75</v>
      </c>
      <c r="D198" s="5">
        <f>SUM(Table3[[#This Row],[Column5]]*3+Table3[[#This Row],[Column11]])</f>
        <v>218.25</v>
      </c>
      <c r="E198" s="2">
        <v>11.75</v>
      </c>
      <c r="F198" s="5">
        <f>SUM(Table3[[#This Row],[Column7]]*3+Table3[[#This Row],[Column12]])</f>
        <v>109.14</v>
      </c>
      <c r="G198" s="2">
        <v>5.88</v>
      </c>
      <c r="H198" s="5">
        <f>SUM(Table3[[#This Row],[Column9]]*3+Table3[[#This Row],[Column13]])</f>
        <v>43.650000000000006</v>
      </c>
      <c r="I198" s="2">
        <v>2.35</v>
      </c>
      <c r="J198" s="2">
        <v>183</v>
      </c>
      <c r="K198" s="2">
        <v>183</v>
      </c>
      <c r="L198" s="2">
        <v>91.5</v>
      </c>
      <c r="M198" s="2">
        <v>36.6</v>
      </c>
    </row>
    <row r="199" spans="1:13" x14ac:dyDescent="0.25">
      <c r="A199" t="s">
        <v>10</v>
      </c>
      <c r="B199" s="5">
        <f>SUM(Table3[[#This Row],[Column3]]*3+Table3[[#This Row],[Column10]])</f>
        <v>203</v>
      </c>
      <c r="C199" s="2">
        <v>11</v>
      </c>
      <c r="D199" s="5">
        <f>SUM(Table3[[#This Row],[Column5]]*3+Table3[[#This Row],[Column11]])</f>
        <v>203</v>
      </c>
      <c r="E199" s="2">
        <v>11</v>
      </c>
      <c r="F199" s="5">
        <f>SUM(Table3[[#This Row],[Column7]]*3+Table3[[#This Row],[Column12]])</f>
        <v>101.5</v>
      </c>
      <c r="G199" s="2">
        <v>5.5</v>
      </c>
      <c r="H199" s="5">
        <f>SUM(Table3[[#This Row],[Column9]]*3+Table3[[#This Row],[Column13]])</f>
        <v>40.6</v>
      </c>
      <c r="I199" s="2">
        <v>2.2000000000000002</v>
      </c>
      <c r="J199" s="2">
        <v>170</v>
      </c>
      <c r="K199" s="2">
        <v>170</v>
      </c>
      <c r="L199" s="2">
        <v>85</v>
      </c>
      <c r="M199" s="2">
        <v>34</v>
      </c>
    </row>
    <row r="200" spans="1:13" x14ac:dyDescent="0.25">
      <c r="A200" t="s">
        <v>7</v>
      </c>
      <c r="B200" s="5">
        <f>SUM(Table3[[#This Row],[Column3]]*3+Table3[[#This Row],[Column10]])</f>
        <v>101.5</v>
      </c>
      <c r="C200" s="2">
        <v>5.5</v>
      </c>
      <c r="D200" s="5">
        <f>SUM(Table3[[#This Row],[Column5]]*3+Table3[[#This Row],[Column11]])</f>
        <v>101.5</v>
      </c>
      <c r="E200" s="2">
        <v>5.5</v>
      </c>
      <c r="F200" s="5">
        <f>SUM(Table3[[#This Row],[Column7]]*3+Table3[[#This Row],[Column12]])</f>
        <v>50.75</v>
      </c>
      <c r="G200" s="2">
        <v>2.75</v>
      </c>
      <c r="H200" s="5">
        <f>SUM(Table3[[#This Row],[Column9]]*3+Table3[[#This Row],[Column13]])</f>
        <v>20.3</v>
      </c>
      <c r="I200" s="2">
        <v>1.1000000000000001</v>
      </c>
      <c r="J200" s="2">
        <v>85</v>
      </c>
      <c r="K200" s="2">
        <v>85</v>
      </c>
      <c r="L200" s="2">
        <v>42.5</v>
      </c>
      <c r="M200" s="2">
        <v>17</v>
      </c>
    </row>
    <row r="201" spans="1:13" x14ac:dyDescent="0.25">
      <c r="A201" t="s">
        <v>19</v>
      </c>
      <c r="B201" s="5">
        <f>SUM(Table3[[#This Row],[Column3]]*3+Table3[[#This Row],[Column10]])</f>
        <v>4.7500000000000001E-2</v>
      </c>
      <c r="C201" s="3">
        <v>2.5000000000000001E-3</v>
      </c>
      <c r="D201" s="5">
        <f>SUM(Table3[[#This Row],[Column5]]*3+Table3[[#This Row],[Column11]])</f>
        <v>4.7500000000000001E-2</v>
      </c>
      <c r="E201" s="3">
        <v>2.5000000000000001E-3</v>
      </c>
      <c r="F201" s="5">
        <f>SUM(Table3[[#This Row],[Column7]]*3+Table3[[#This Row],[Column12]])</f>
        <v>4.7500000000000001E-2</v>
      </c>
      <c r="G201" s="3">
        <v>2.5000000000000001E-3</v>
      </c>
      <c r="H201" s="5">
        <f>SUM(Table3[[#This Row],[Column9]]*3+Table3[[#This Row],[Column13]])</f>
        <v>4.7500000000000001E-2</v>
      </c>
      <c r="I201" s="3">
        <v>2.5000000000000001E-3</v>
      </c>
      <c r="J201" s="3">
        <v>0.04</v>
      </c>
      <c r="K201" s="3">
        <v>0.04</v>
      </c>
      <c r="L201" s="3">
        <v>0.04</v>
      </c>
      <c r="M201" s="3">
        <v>0.04</v>
      </c>
    </row>
    <row r="202" spans="1:13" x14ac:dyDescent="0.25">
      <c r="A202" s="7" t="s">
        <v>37</v>
      </c>
      <c r="B202" s="8"/>
      <c r="C202" s="7">
        <v>1</v>
      </c>
      <c r="D202" s="8"/>
      <c r="E202" s="9" t="s">
        <v>45</v>
      </c>
      <c r="F202" s="8"/>
      <c r="G202" s="9" t="s">
        <v>46</v>
      </c>
      <c r="H202" s="8"/>
      <c r="I202" s="7" t="s">
        <v>47</v>
      </c>
      <c r="J202" s="7">
        <v>1</v>
      </c>
      <c r="K202" s="9" t="s">
        <v>45</v>
      </c>
      <c r="L202" s="9" t="s">
        <v>46</v>
      </c>
      <c r="M202" s="7" t="s">
        <v>47</v>
      </c>
    </row>
    <row r="203" spans="1:13" x14ac:dyDescent="0.25">
      <c r="A203" t="s">
        <v>38</v>
      </c>
      <c r="B203" s="5">
        <f>SUM(Table3[[#This Row],[Column3]]*3+Table3[[#This Row],[Column10]])</f>
        <v>419.75</v>
      </c>
      <c r="C203" s="2">
        <v>23.25</v>
      </c>
      <c r="D203" s="5">
        <f>SUM(Table3[[#This Row],[Column5]]*3+Table3[[#This Row],[Column11]])</f>
        <v>329.75</v>
      </c>
      <c r="E203" s="2">
        <v>18.25</v>
      </c>
      <c r="F203" s="5">
        <f>SUM(Table3[[#This Row],[Column7]]*3+Table3[[#This Row],[Column12]])</f>
        <v>48.25</v>
      </c>
      <c r="G203" s="2">
        <v>2.75</v>
      </c>
      <c r="H203" s="5">
        <f>SUM(Table3[[#This Row],[Column9]]*3+Table3[[#This Row],[Column13]])</f>
        <v>48.25</v>
      </c>
      <c r="I203" s="2">
        <v>2.75</v>
      </c>
      <c r="J203" s="2">
        <v>350</v>
      </c>
      <c r="K203" s="2">
        <v>275</v>
      </c>
      <c r="L203" s="2">
        <v>40</v>
      </c>
      <c r="M203" s="2">
        <v>40</v>
      </c>
    </row>
    <row r="204" spans="1:13" x14ac:dyDescent="0.25">
      <c r="A204" t="s">
        <v>39</v>
      </c>
      <c r="B204" s="5">
        <f>SUM(Table3[[#This Row],[Column3]]*3+Table3[[#This Row],[Column10]])</f>
        <v>275.75</v>
      </c>
      <c r="C204" s="2">
        <v>15.25</v>
      </c>
      <c r="D204" s="5">
        <f>SUM(Table3[[#This Row],[Column5]]*3+Table3[[#This Row],[Column11]])</f>
        <v>275.75</v>
      </c>
      <c r="E204" s="2">
        <v>15.25</v>
      </c>
      <c r="F204" s="5">
        <f>SUM(Table3[[#This Row],[Column7]]*3+Table3[[#This Row],[Column12]])</f>
        <v>36</v>
      </c>
      <c r="G204" s="2">
        <v>2</v>
      </c>
      <c r="H204" s="5">
        <f>SUM(Table3[[#This Row],[Column9]]*3+Table3[[#This Row],[Column13]])</f>
        <v>36</v>
      </c>
      <c r="I204" s="2">
        <v>2</v>
      </c>
      <c r="J204" s="2">
        <v>230</v>
      </c>
      <c r="K204" s="2">
        <v>230</v>
      </c>
      <c r="L204" s="2">
        <v>30</v>
      </c>
      <c r="M204" s="2">
        <v>30</v>
      </c>
    </row>
    <row r="205" spans="1:13" x14ac:dyDescent="0.25">
      <c r="A205" s="7" t="s">
        <v>40</v>
      </c>
      <c r="B205" s="8"/>
      <c r="C205" s="7">
        <v>1</v>
      </c>
      <c r="D205" s="8"/>
      <c r="E205" s="9" t="s">
        <v>45</v>
      </c>
      <c r="F205" s="8"/>
      <c r="G205" s="9" t="s">
        <v>46</v>
      </c>
      <c r="H205" s="8"/>
      <c r="I205" s="7" t="s">
        <v>47</v>
      </c>
      <c r="J205" s="7">
        <v>1</v>
      </c>
      <c r="K205" s="9" t="s">
        <v>45</v>
      </c>
      <c r="L205" s="9" t="s">
        <v>46</v>
      </c>
      <c r="M205" s="7" t="s">
        <v>47</v>
      </c>
    </row>
    <row r="206" spans="1:13" x14ac:dyDescent="0.25">
      <c r="A206" t="s">
        <v>38</v>
      </c>
      <c r="B206" s="5">
        <f>SUM(Table3[[#This Row],[Column3]]*3+Table3[[#This Row],[Column10]])</f>
        <v>360</v>
      </c>
      <c r="C206" s="2">
        <v>20</v>
      </c>
      <c r="D206" s="5">
        <f>SUM(Table3[[#This Row],[Column5]]*3+Table3[[#This Row],[Column11]])</f>
        <v>329.75</v>
      </c>
      <c r="E206" s="2">
        <v>18.25</v>
      </c>
      <c r="F206" s="5">
        <f>SUM(Table3[[#This Row],[Column7]]*3+Table3[[#This Row],[Column12]])</f>
        <v>48.25</v>
      </c>
      <c r="G206" s="2">
        <v>2.75</v>
      </c>
      <c r="H206" s="5">
        <f>SUM(Table3[[#This Row],[Column9]]*3+Table3[[#This Row],[Column13]])</f>
        <v>48.25</v>
      </c>
      <c r="I206" s="2">
        <v>2.75</v>
      </c>
      <c r="J206" s="2">
        <v>300</v>
      </c>
      <c r="K206" s="2">
        <v>275</v>
      </c>
      <c r="L206" s="2">
        <v>40</v>
      </c>
      <c r="M206" s="2">
        <v>40</v>
      </c>
    </row>
    <row r="207" spans="1:13" x14ac:dyDescent="0.25">
      <c r="A207" t="s">
        <v>39</v>
      </c>
      <c r="B207" s="5">
        <f>SUM(Table3[[#This Row],[Column3]]*3+Table3[[#This Row],[Column10]])</f>
        <v>275.75</v>
      </c>
      <c r="C207" s="2">
        <v>15.25</v>
      </c>
      <c r="D207" s="5">
        <f>SUM(Table3[[#This Row],[Column5]]*3+Table3[[#This Row],[Column11]])</f>
        <v>275.75</v>
      </c>
      <c r="E207" s="2">
        <v>15.25</v>
      </c>
      <c r="F207" s="5">
        <f>SUM(Table3[[#This Row],[Column7]]*3+Table3[[#This Row],[Column12]])</f>
        <v>36</v>
      </c>
      <c r="G207" s="2">
        <v>2</v>
      </c>
      <c r="H207" s="5">
        <f>SUM(Table3[[#This Row],[Column9]]*3+Table3[[#This Row],[Column13]])</f>
        <v>36</v>
      </c>
      <c r="I207" s="2">
        <v>2</v>
      </c>
      <c r="J207" s="2">
        <v>230</v>
      </c>
      <c r="K207" s="2">
        <v>230</v>
      </c>
      <c r="L207" s="2">
        <v>30</v>
      </c>
      <c r="M207" s="2">
        <v>30</v>
      </c>
    </row>
    <row r="208" spans="1:13" x14ac:dyDescent="0.25">
      <c r="A208" s="7" t="s">
        <v>41</v>
      </c>
      <c r="B208" s="8"/>
      <c r="C208" s="7">
        <v>1</v>
      </c>
      <c r="D208" s="8"/>
      <c r="E208" s="9" t="s">
        <v>45</v>
      </c>
      <c r="F208" s="8"/>
      <c r="G208" s="9" t="s">
        <v>46</v>
      </c>
      <c r="H208" s="8"/>
      <c r="I208" s="7" t="s">
        <v>47</v>
      </c>
      <c r="J208" s="7">
        <v>1</v>
      </c>
      <c r="K208" s="9" t="s">
        <v>45</v>
      </c>
      <c r="L208" s="9" t="s">
        <v>46</v>
      </c>
      <c r="M208" s="7" t="s">
        <v>47</v>
      </c>
    </row>
    <row r="209" spans="1:13" x14ac:dyDescent="0.25">
      <c r="A209" t="s">
        <v>38</v>
      </c>
      <c r="B209" s="5">
        <f>SUM(Table3[[#This Row],[Column3]]*3+Table3[[#This Row],[Column10]])</f>
        <v>360</v>
      </c>
      <c r="C209" s="2">
        <v>20</v>
      </c>
      <c r="D209" s="5">
        <f>SUM(Table3[[#This Row],[Column5]]*3+Table3[[#This Row],[Column11]])</f>
        <v>329.75</v>
      </c>
      <c r="E209" s="2">
        <v>18.25</v>
      </c>
      <c r="F209" s="5">
        <f>SUM(Table3[[#This Row],[Column7]]*3+Table3[[#This Row],[Column12]])</f>
        <v>48.25</v>
      </c>
      <c r="G209" s="2">
        <v>2.75</v>
      </c>
      <c r="H209" s="5">
        <f>SUM(Table3[[#This Row],[Column9]]*3+Table3[[#This Row],[Column13]])</f>
        <v>48.25</v>
      </c>
      <c r="I209" s="2">
        <v>2.75</v>
      </c>
      <c r="J209" s="2">
        <v>300</v>
      </c>
      <c r="K209" s="2">
        <v>275</v>
      </c>
      <c r="L209" s="2">
        <v>40</v>
      </c>
      <c r="M209" s="2">
        <v>40</v>
      </c>
    </row>
    <row r="210" spans="1:13" x14ac:dyDescent="0.25">
      <c r="A210" t="s">
        <v>39</v>
      </c>
      <c r="B210" s="5">
        <f>SUM(Table3[[#This Row],[Column3]]*3+Table3[[#This Row],[Column10]])</f>
        <v>275.75</v>
      </c>
      <c r="C210" s="2">
        <v>15.25</v>
      </c>
      <c r="D210" s="5">
        <f>SUM(Table3[[#This Row],[Column5]]*3+Table3[[#This Row],[Column11]])</f>
        <v>275.75</v>
      </c>
      <c r="E210" s="2">
        <v>15.25</v>
      </c>
      <c r="F210" s="5">
        <f>SUM(Table3[[#This Row],[Column7]]*3+Table3[[#This Row],[Column12]])</f>
        <v>36</v>
      </c>
      <c r="G210" s="2">
        <v>2</v>
      </c>
      <c r="H210" s="5">
        <f>SUM(Table3[[#This Row],[Column9]]*3+Table3[[#This Row],[Column13]])</f>
        <v>36</v>
      </c>
      <c r="I210" s="2">
        <v>2</v>
      </c>
      <c r="J210" s="2">
        <v>230</v>
      </c>
      <c r="K210" s="2">
        <v>230</v>
      </c>
      <c r="L210" s="2">
        <v>30</v>
      </c>
      <c r="M210" s="2">
        <v>30</v>
      </c>
    </row>
    <row r="211" spans="1:13" x14ac:dyDescent="0.25">
      <c r="A211" s="7" t="s">
        <v>42</v>
      </c>
      <c r="B211" s="8"/>
      <c r="C211" s="7">
        <v>1</v>
      </c>
      <c r="D211" s="8"/>
      <c r="E211" s="9" t="s">
        <v>45</v>
      </c>
      <c r="F211" s="8"/>
      <c r="G211" s="9" t="s">
        <v>46</v>
      </c>
      <c r="H211" s="8"/>
      <c r="I211" s="7" t="s">
        <v>47</v>
      </c>
      <c r="J211" s="7">
        <v>1</v>
      </c>
      <c r="K211" s="9" t="s">
        <v>45</v>
      </c>
      <c r="L211" s="9" t="s">
        <v>46</v>
      </c>
      <c r="M211" s="7" t="s">
        <v>47</v>
      </c>
    </row>
    <row r="212" spans="1:13" x14ac:dyDescent="0.25">
      <c r="A212" t="s">
        <v>9</v>
      </c>
      <c r="B212" s="5">
        <f>SUM(Table3[[#This Row],[Column3]]*3+Table3[[#This Row],[Column10]])</f>
        <v>316.75</v>
      </c>
      <c r="C212" s="2">
        <v>17.25</v>
      </c>
      <c r="D212" s="5">
        <f>SUM(Table3[[#This Row],[Column5]]*3+Table3[[#This Row],[Column11]])</f>
        <v>316.75</v>
      </c>
      <c r="E212" s="2">
        <v>17.25</v>
      </c>
      <c r="F212" s="5">
        <f>SUM(Table3[[#This Row],[Column7]]*3+Table3[[#This Row],[Column12]])</f>
        <v>158.38999999999999</v>
      </c>
      <c r="G212" s="2">
        <v>8.6300000000000008</v>
      </c>
      <c r="H212" s="5">
        <f>SUM(Table3[[#This Row],[Column9]]*3+Table3[[#This Row],[Column13]])</f>
        <v>63.35</v>
      </c>
      <c r="I212" s="2">
        <v>3.45</v>
      </c>
      <c r="J212" s="2">
        <v>265</v>
      </c>
      <c r="K212" s="2">
        <v>265</v>
      </c>
      <c r="L212" s="2">
        <v>132.5</v>
      </c>
      <c r="M212" s="2">
        <v>53</v>
      </c>
    </row>
    <row r="213" spans="1:13" x14ac:dyDescent="0.25">
      <c r="A213" t="s">
        <v>10</v>
      </c>
      <c r="B213" s="5">
        <f>SUM(Table3[[#This Row],[Column3]]*3+Table3[[#This Row],[Column10]])</f>
        <v>275</v>
      </c>
      <c r="C213" s="2">
        <v>15</v>
      </c>
      <c r="D213" s="5">
        <f>SUM(Table3[[#This Row],[Column5]]*3+Table3[[#This Row],[Column11]])</f>
        <v>275</v>
      </c>
      <c r="E213" s="2">
        <v>15</v>
      </c>
      <c r="F213" s="5">
        <f>SUM(Table3[[#This Row],[Column7]]*3+Table3[[#This Row],[Column12]])</f>
        <v>137.5</v>
      </c>
      <c r="G213" s="2">
        <v>7.5</v>
      </c>
      <c r="H213" s="5">
        <f>SUM(Table3[[#This Row],[Column9]]*3+Table3[[#This Row],[Column13]])</f>
        <v>55</v>
      </c>
      <c r="I213" s="2">
        <v>3</v>
      </c>
      <c r="J213" s="2">
        <v>230</v>
      </c>
      <c r="K213" s="2">
        <v>230</v>
      </c>
      <c r="L213" s="2">
        <v>115</v>
      </c>
      <c r="M213" s="2">
        <v>46</v>
      </c>
    </row>
    <row r="214" spans="1:13" x14ac:dyDescent="0.25">
      <c r="A214" t="s">
        <v>7</v>
      </c>
      <c r="B214" s="5">
        <f>SUM(Table3[[#This Row],[Column3]]*3+Table3[[#This Row],[Column10]])</f>
        <v>137.5</v>
      </c>
      <c r="C214" s="2">
        <v>7.5</v>
      </c>
      <c r="D214" s="5">
        <f>SUM(Table3[[#This Row],[Column5]]*3+Table3[[#This Row],[Column11]])</f>
        <v>137.5</v>
      </c>
      <c r="E214" s="2">
        <v>7.5</v>
      </c>
      <c r="F214" s="5">
        <f>SUM(Table3[[#This Row],[Column7]]*3+Table3[[#This Row],[Column12]])</f>
        <v>68.75</v>
      </c>
      <c r="G214" s="2">
        <v>3.75</v>
      </c>
      <c r="H214" s="5">
        <f>SUM(Table3[[#This Row],[Column9]]*3+Table3[[#This Row],[Column13]])</f>
        <v>27.5</v>
      </c>
      <c r="I214" s="2">
        <v>1.5</v>
      </c>
      <c r="J214" s="2">
        <v>115</v>
      </c>
      <c r="K214" s="2">
        <v>115</v>
      </c>
      <c r="L214" s="2">
        <v>57.5</v>
      </c>
      <c r="M214" s="2">
        <v>23</v>
      </c>
    </row>
    <row r="215" spans="1:13" x14ac:dyDescent="0.25">
      <c r="A215" s="7" t="s">
        <v>43</v>
      </c>
      <c r="B215" s="8"/>
      <c r="C215" s="7">
        <v>1</v>
      </c>
      <c r="D215" s="8"/>
      <c r="E215" s="9" t="s">
        <v>45</v>
      </c>
      <c r="F215" s="8"/>
      <c r="G215" s="9" t="s">
        <v>46</v>
      </c>
      <c r="H215" s="8"/>
      <c r="I215" s="7" t="s">
        <v>47</v>
      </c>
      <c r="J215" s="7">
        <v>1</v>
      </c>
      <c r="K215" s="9" t="s">
        <v>45</v>
      </c>
      <c r="L215" s="9" t="s">
        <v>46</v>
      </c>
      <c r="M215" s="7" t="s">
        <v>47</v>
      </c>
    </row>
    <row r="216" spans="1:13" x14ac:dyDescent="0.25">
      <c r="A216" t="s">
        <v>44</v>
      </c>
      <c r="B216" s="5">
        <f>SUM(Table3[[#This Row],[Column3]]*3+Table3[[#This Row],[Column10]])</f>
        <v>140</v>
      </c>
      <c r="C216" s="2">
        <v>10</v>
      </c>
      <c r="D216" s="5">
        <f>SUM(Table3[[#This Row],[Column5]]*3+Table3[[#This Row],[Column11]])</f>
        <v>140</v>
      </c>
      <c r="E216" s="2">
        <v>10</v>
      </c>
      <c r="F216" s="5">
        <f>SUM(Table3[[#This Row],[Column7]]*3+Table3[[#This Row],[Column12]])</f>
        <v>0</v>
      </c>
      <c r="G216" s="2">
        <v>0</v>
      </c>
      <c r="H216" s="5">
        <f>SUM(Table3[[#This Row],[Column9]]*3+Table3[[#This Row],[Column13]])</f>
        <v>0</v>
      </c>
      <c r="I216" s="2">
        <v>0</v>
      </c>
      <c r="J216" s="2">
        <v>110</v>
      </c>
      <c r="K216" s="2">
        <v>110</v>
      </c>
      <c r="L216" s="2">
        <v>0</v>
      </c>
      <c r="M216" s="2">
        <v>0</v>
      </c>
    </row>
    <row r="217" spans="1:13" x14ac:dyDescent="0.25">
      <c r="A217" t="s">
        <v>7</v>
      </c>
      <c r="B217" s="5">
        <f>SUM(Table3[[#This Row],[Column3]]*3+Table3[[#This Row],[Column10]])</f>
        <v>70</v>
      </c>
      <c r="C217" s="2">
        <v>5</v>
      </c>
      <c r="D217" s="5">
        <f>SUM(Table3[[#This Row],[Column5]]*3+Table3[[#This Row],[Column11]])</f>
        <v>70</v>
      </c>
      <c r="E217" s="2">
        <v>5</v>
      </c>
      <c r="F217" s="5">
        <f>SUM(Table3[[#This Row],[Column7]]*3+Table3[[#This Row],[Column12]])</f>
        <v>0</v>
      </c>
      <c r="G217" s="2">
        <v>0</v>
      </c>
      <c r="H217" s="5">
        <f>SUM(Table3[[#This Row],[Column9]]*3+Table3[[#This Row],[Column13]])</f>
        <v>0</v>
      </c>
      <c r="I217" s="2">
        <v>0</v>
      </c>
      <c r="J217" s="2">
        <v>55</v>
      </c>
      <c r="K217" s="2">
        <v>55</v>
      </c>
      <c r="L217" s="2">
        <v>0</v>
      </c>
      <c r="M217" s="2">
        <v>0</v>
      </c>
    </row>
  </sheetData>
  <phoneticPr fontId="1" type="noConversion"/>
  <pageMargins left="0.7" right="0.7" top="0.75" bottom="0.75" header="0.3" footer="0.3"/>
  <ignoredErrors>
    <ignoredError sqref="B4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D46A-A368-4680-8BB4-BCE4BC3DEFD1}">
  <dimension ref="A1:M216"/>
  <sheetViews>
    <sheetView workbookViewId="0">
      <selection activeCell="A5" sqref="A5"/>
    </sheetView>
  </sheetViews>
  <sheetFormatPr defaultRowHeight="15" x14ac:dyDescent="0.25"/>
  <sheetData>
    <row r="1" spans="1:13" x14ac:dyDescent="0.25">
      <c r="A1" t="s">
        <v>0</v>
      </c>
      <c r="C1" t="s">
        <v>1</v>
      </c>
      <c r="J1" t="s">
        <v>3</v>
      </c>
    </row>
    <row r="2" spans="1:13" x14ac:dyDescent="0.25">
      <c r="C2" t="s">
        <v>2</v>
      </c>
    </row>
    <row r="3" spans="1:13" x14ac:dyDescent="0.25">
      <c r="A3" t="s">
        <v>4</v>
      </c>
      <c r="B3">
        <v>1</v>
      </c>
      <c r="C3">
        <v>1</v>
      </c>
      <c r="D3" t="s">
        <v>45</v>
      </c>
      <c r="E3" t="s">
        <v>45</v>
      </c>
      <c r="F3" t="s">
        <v>46</v>
      </c>
      <c r="G3" t="s">
        <v>46</v>
      </c>
      <c r="H3" t="s">
        <v>47</v>
      </c>
      <c r="I3" t="s">
        <v>47</v>
      </c>
      <c r="J3">
        <v>1</v>
      </c>
      <c r="K3" t="s">
        <v>45</v>
      </c>
      <c r="L3" t="s">
        <v>46</v>
      </c>
      <c r="M3" t="s">
        <v>47</v>
      </c>
    </row>
    <row r="4" spans="1:13" x14ac:dyDescent="0.25">
      <c r="A4" t="s">
        <v>5</v>
      </c>
      <c r="B4">
        <v>290</v>
      </c>
      <c r="C4">
        <v>16</v>
      </c>
      <c r="D4">
        <v>290</v>
      </c>
      <c r="E4">
        <v>16</v>
      </c>
      <c r="F4">
        <v>145</v>
      </c>
      <c r="G4">
        <v>8</v>
      </c>
      <c r="H4">
        <v>58</v>
      </c>
      <c r="I4">
        <v>3.2</v>
      </c>
      <c r="J4">
        <v>242</v>
      </c>
      <c r="K4">
        <v>242</v>
      </c>
      <c r="L4">
        <v>121</v>
      </c>
      <c r="M4">
        <v>48.4</v>
      </c>
    </row>
    <row r="5" spans="1:13" x14ac:dyDescent="0.25">
      <c r="A5" t="s">
        <v>6</v>
      </c>
      <c r="B5">
        <v>252</v>
      </c>
      <c r="C5">
        <v>14</v>
      </c>
      <c r="D5">
        <v>252</v>
      </c>
      <c r="E5">
        <v>14</v>
      </c>
      <c r="F5">
        <v>126</v>
      </c>
      <c r="G5">
        <v>7</v>
      </c>
      <c r="H5">
        <v>50.4</v>
      </c>
      <c r="I5">
        <v>2.8</v>
      </c>
      <c r="J5">
        <v>210</v>
      </c>
      <c r="K5">
        <v>210</v>
      </c>
      <c r="L5">
        <v>105</v>
      </c>
      <c r="M5">
        <v>42</v>
      </c>
    </row>
    <row r="6" spans="1:13" x14ac:dyDescent="0.25">
      <c r="A6" t="s">
        <v>7</v>
      </c>
      <c r="B6">
        <v>126</v>
      </c>
      <c r="C6">
        <v>7</v>
      </c>
      <c r="D6">
        <v>126</v>
      </c>
      <c r="E6">
        <v>7</v>
      </c>
      <c r="F6">
        <v>63</v>
      </c>
      <c r="G6">
        <v>3.5</v>
      </c>
      <c r="H6">
        <v>25.2</v>
      </c>
      <c r="I6">
        <v>1.4</v>
      </c>
      <c r="J6">
        <v>105</v>
      </c>
      <c r="K6">
        <v>105</v>
      </c>
      <c r="L6">
        <v>52.5</v>
      </c>
      <c r="M6">
        <v>21</v>
      </c>
    </row>
    <row r="7" spans="1:13" x14ac:dyDescent="0.25">
      <c r="A7" t="s">
        <v>8</v>
      </c>
      <c r="C7">
        <v>1</v>
      </c>
      <c r="E7" t="s">
        <v>45</v>
      </c>
      <c r="G7" t="s">
        <v>46</v>
      </c>
      <c r="I7" t="s">
        <v>47</v>
      </c>
      <c r="J7">
        <v>1</v>
      </c>
      <c r="K7" t="s">
        <v>45</v>
      </c>
      <c r="L7" t="s">
        <v>46</v>
      </c>
      <c r="M7" t="s">
        <v>47</v>
      </c>
    </row>
    <row r="8" spans="1:13" x14ac:dyDescent="0.25">
      <c r="A8" t="s">
        <v>9</v>
      </c>
      <c r="B8">
        <v>198</v>
      </c>
      <c r="C8">
        <v>11</v>
      </c>
      <c r="D8">
        <v>198</v>
      </c>
      <c r="E8">
        <v>11</v>
      </c>
      <c r="F8">
        <v>99</v>
      </c>
      <c r="G8">
        <v>5.5</v>
      </c>
      <c r="H8">
        <v>39.6</v>
      </c>
      <c r="I8">
        <v>2.2000000000000002</v>
      </c>
      <c r="J8">
        <v>165</v>
      </c>
      <c r="K8">
        <v>165</v>
      </c>
      <c r="L8">
        <v>82.5</v>
      </c>
      <c r="M8">
        <v>33</v>
      </c>
    </row>
    <row r="9" spans="1:13" x14ac:dyDescent="0.25">
      <c r="A9" t="s">
        <v>10</v>
      </c>
      <c r="B9">
        <v>180</v>
      </c>
      <c r="C9">
        <v>10</v>
      </c>
      <c r="D9">
        <v>180</v>
      </c>
      <c r="E9">
        <v>10</v>
      </c>
      <c r="F9">
        <v>90</v>
      </c>
      <c r="G9">
        <v>5</v>
      </c>
      <c r="H9">
        <v>36</v>
      </c>
      <c r="I9">
        <v>2</v>
      </c>
      <c r="J9">
        <v>150</v>
      </c>
      <c r="K9">
        <v>150</v>
      </c>
      <c r="L9">
        <v>75</v>
      </c>
      <c r="M9">
        <v>30</v>
      </c>
    </row>
    <row r="10" spans="1:13" x14ac:dyDescent="0.25">
      <c r="A10" t="s">
        <v>7</v>
      </c>
      <c r="B10">
        <v>90</v>
      </c>
      <c r="C10">
        <v>5</v>
      </c>
      <c r="D10">
        <v>90</v>
      </c>
      <c r="E10">
        <v>5</v>
      </c>
      <c r="F10">
        <v>45</v>
      </c>
      <c r="G10">
        <v>2.5</v>
      </c>
      <c r="H10">
        <v>18</v>
      </c>
      <c r="I10">
        <v>1</v>
      </c>
      <c r="J10">
        <v>75</v>
      </c>
      <c r="K10">
        <v>75</v>
      </c>
      <c r="L10">
        <v>37.5</v>
      </c>
      <c r="M10">
        <v>15</v>
      </c>
    </row>
    <row r="11" spans="1:13" x14ac:dyDescent="0.25">
      <c r="A11" t="s">
        <v>11</v>
      </c>
      <c r="C11">
        <v>1</v>
      </c>
      <c r="E11" t="s">
        <v>45</v>
      </c>
      <c r="G11" t="s">
        <v>46</v>
      </c>
      <c r="I11" t="s">
        <v>47</v>
      </c>
      <c r="J11">
        <v>1</v>
      </c>
      <c r="K11" t="s">
        <v>45</v>
      </c>
      <c r="L11" t="s">
        <v>46</v>
      </c>
      <c r="M11" t="s">
        <v>47</v>
      </c>
    </row>
    <row r="12" spans="1:13" x14ac:dyDescent="0.25">
      <c r="A12" t="s">
        <v>9</v>
      </c>
      <c r="B12">
        <v>234.25</v>
      </c>
      <c r="C12">
        <v>12.75</v>
      </c>
      <c r="D12">
        <v>234.25</v>
      </c>
      <c r="E12">
        <v>12.75</v>
      </c>
      <c r="F12">
        <v>117.14</v>
      </c>
      <c r="G12">
        <v>6.38</v>
      </c>
      <c r="H12">
        <v>46.85</v>
      </c>
      <c r="I12">
        <v>2.5499999999999998</v>
      </c>
      <c r="J12">
        <v>196</v>
      </c>
      <c r="K12">
        <v>196</v>
      </c>
      <c r="L12">
        <v>98</v>
      </c>
      <c r="M12">
        <v>39.200000000000003</v>
      </c>
    </row>
    <row r="13" spans="1:13" x14ac:dyDescent="0.25">
      <c r="A13" t="s">
        <v>10</v>
      </c>
      <c r="B13">
        <v>203</v>
      </c>
      <c r="C13">
        <v>11</v>
      </c>
      <c r="D13">
        <v>203</v>
      </c>
      <c r="E13">
        <v>11</v>
      </c>
      <c r="F13">
        <v>101.5</v>
      </c>
      <c r="G13">
        <v>5.5</v>
      </c>
      <c r="H13">
        <v>40.6</v>
      </c>
      <c r="I13">
        <v>2.2000000000000002</v>
      </c>
      <c r="J13">
        <v>170</v>
      </c>
      <c r="K13">
        <v>170</v>
      </c>
      <c r="L13">
        <v>85</v>
      </c>
      <c r="M13">
        <v>34</v>
      </c>
    </row>
    <row r="14" spans="1:13" x14ac:dyDescent="0.25">
      <c r="A14" t="s">
        <v>7</v>
      </c>
      <c r="B14">
        <v>101.5</v>
      </c>
      <c r="C14">
        <v>5.5</v>
      </c>
      <c r="D14">
        <v>101.5</v>
      </c>
      <c r="E14">
        <v>5.5</v>
      </c>
      <c r="F14">
        <v>50.75</v>
      </c>
      <c r="G14">
        <v>2.75</v>
      </c>
      <c r="H14">
        <v>20.3</v>
      </c>
      <c r="I14">
        <v>1.1000000000000001</v>
      </c>
      <c r="J14">
        <v>85</v>
      </c>
      <c r="K14">
        <v>85</v>
      </c>
      <c r="L14">
        <v>42.5</v>
      </c>
      <c r="M14">
        <v>17</v>
      </c>
    </row>
    <row r="15" spans="1:13" x14ac:dyDescent="0.25">
      <c r="A15" t="s">
        <v>12</v>
      </c>
      <c r="C15">
        <v>1</v>
      </c>
      <c r="E15" t="s">
        <v>45</v>
      </c>
      <c r="G15" t="s">
        <v>46</v>
      </c>
      <c r="I15" t="s">
        <v>47</v>
      </c>
      <c r="J15">
        <v>1</v>
      </c>
      <c r="K15" t="s">
        <v>45</v>
      </c>
      <c r="L15" t="s">
        <v>46</v>
      </c>
      <c r="M15" t="s">
        <v>47</v>
      </c>
    </row>
    <row r="16" spans="1:13" x14ac:dyDescent="0.25">
      <c r="A16" t="s">
        <v>13</v>
      </c>
      <c r="B16">
        <v>453</v>
      </c>
      <c r="C16">
        <v>25</v>
      </c>
      <c r="D16">
        <v>290</v>
      </c>
      <c r="E16">
        <v>16</v>
      </c>
      <c r="F16">
        <v>145</v>
      </c>
      <c r="G16">
        <v>8</v>
      </c>
      <c r="H16">
        <v>58</v>
      </c>
      <c r="I16">
        <v>3.2</v>
      </c>
      <c r="J16">
        <v>378</v>
      </c>
      <c r="K16">
        <v>242</v>
      </c>
      <c r="L16">
        <v>121</v>
      </c>
      <c r="M16">
        <v>48.4</v>
      </c>
    </row>
    <row r="17" spans="1:13" x14ac:dyDescent="0.25">
      <c r="A17" t="s">
        <v>6</v>
      </c>
      <c r="B17">
        <v>252</v>
      </c>
      <c r="C17">
        <v>14</v>
      </c>
      <c r="D17">
        <v>252</v>
      </c>
      <c r="E17">
        <v>14</v>
      </c>
      <c r="F17">
        <v>126</v>
      </c>
      <c r="G17">
        <v>7</v>
      </c>
      <c r="H17">
        <v>50.4</v>
      </c>
      <c r="I17">
        <v>2.8</v>
      </c>
      <c r="J17">
        <v>210</v>
      </c>
      <c r="K17">
        <v>210</v>
      </c>
      <c r="L17">
        <v>105</v>
      </c>
      <c r="M17">
        <v>42</v>
      </c>
    </row>
    <row r="18" spans="1:13" x14ac:dyDescent="0.25">
      <c r="A18" t="s">
        <v>7</v>
      </c>
      <c r="B18">
        <v>126</v>
      </c>
      <c r="C18">
        <v>7</v>
      </c>
      <c r="D18">
        <v>126</v>
      </c>
      <c r="E18">
        <v>7</v>
      </c>
      <c r="F18">
        <v>63</v>
      </c>
      <c r="G18">
        <v>3.5</v>
      </c>
      <c r="H18">
        <v>25.2</v>
      </c>
      <c r="I18">
        <v>1.4</v>
      </c>
      <c r="J18">
        <v>105</v>
      </c>
      <c r="K18">
        <v>105</v>
      </c>
      <c r="L18">
        <v>52.5</v>
      </c>
      <c r="M18">
        <v>21</v>
      </c>
    </row>
    <row r="19" spans="1:13" x14ac:dyDescent="0.25">
      <c r="A19" t="s">
        <v>14</v>
      </c>
      <c r="C19">
        <v>1</v>
      </c>
      <c r="E19" t="s">
        <v>45</v>
      </c>
      <c r="G19" t="s">
        <v>46</v>
      </c>
      <c r="I19" t="s">
        <v>47</v>
      </c>
      <c r="J19">
        <v>1</v>
      </c>
      <c r="K19" t="s">
        <v>45</v>
      </c>
      <c r="L19" t="s">
        <v>46</v>
      </c>
      <c r="M19" t="s">
        <v>47</v>
      </c>
    </row>
    <row r="20" spans="1:13" x14ac:dyDescent="0.25">
      <c r="A20" t="s">
        <v>5</v>
      </c>
      <c r="B20">
        <v>400.25</v>
      </c>
      <c r="C20">
        <v>22.75</v>
      </c>
      <c r="D20">
        <v>264</v>
      </c>
      <c r="E20">
        <v>15</v>
      </c>
      <c r="F20">
        <v>132</v>
      </c>
      <c r="G20">
        <v>7.5</v>
      </c>
      <c r="H20">
        <v>52.8</v>
      </c>
      <c r="I20">
        <v>3</v>
      </c>
      <c r="J20">
        <v>332</v>
      </c>
      <c r="K20">
        <v>219</v>
      </c>
      <c r="L20">
        <v>109.5</v>
      </c>
      <c r="M20">
        <v>43.8</v>
      </c>
    </row>
    <row r="21" spans="1:13" x14ac:dyDescent="0.25">
      <c r="A21" t="s">
        <v>6</v>
      </c>
      <c r="B21">
        <v>229</v>
      </c>
      <c r="C21">
        <v>13</v>
      </c>
      <c r="D21">
        <v>229</v>
      </c>
      <c r="E21">
        <v>13</v>
      </c>
      <c r="F21">
        <v>114.5</v>
      </c>
      <c r="G21">
        <v>6.5</v>
      </c>
      <c r="H21">
        <v>45.8</v>
      </c>
      <c r="I21">
        <v>2.6</v>
      </c>
      <c r="J21">
        <v>190</v>
      </c>
      <c r="K21">
        <v>190</v>
      </c>
      <c r="L21">
        <v>95</v>
      </c>
      <c r="M21">
        <v>38</v>
      </c>
    </row>
    <row r="22" spans="1:13" x14ac:dyDescent="0.25">
      <c r="A22" t="s">
        <v>7</v>
      </c>
      <c r="B22">
        <v>114.5</v>
      </c>
      <c r="C22">
        <v>6.5</v>
      </c>
      <c r="D22">
        <v>114.5</v>
      </c>
      <c r="E22">
        <v>6.5</v>
      </c>
      <c r="F22">
        <v>57.25</v>
      </c>
      <c r="G22">
        <v>3.25</v>
      </c>
      <c r="H22">
        <v>22.9</v>
      </c>
      <c r="I22">
        <v>1.3</v>
      </c>
      <c r="J22">
        <v>95</v>
      </c>
      <c r="K22">
        <v>95</v>
      </c>
      <c r="L22">
        <v>47.5</v>
      </c>
      <c r="M22">
        <v>19</v>
      </c>
    </row>
    <row r="23" spans="1:13" x14ac:dyDescent="0.25">
      <c r="A23" t="s">
        <v>15</v>
      </c>
      <c r="C23">
        <v>1</v>
      </c>
      <c r="E23" t="s">
        <v>45</v>
      </c>
      <c r="G23" t="s">
        <v>46</v>
      </c>
      <c r="I23" t="s">
        <v>47</v>
      </c>
      <c r="J23">
        <v>1</v>
      </c>
      <c r="K23" t="s">
        <v>45</v>
      </c>
      <c r="L23" t="s">
        <v>46</v>
      </c>
      <c r="M23" t="s">
        <v>47</v>
      </c>
    </row>
    <row r="24" spans="1:13" x14ac:dyDescent="0.25">
      <c r="A24" t="s">
        <v>5</v>
      </c>
      <c r="B24">
        <v>360</v>
      </c>
      <c r="C24">
        <v>20</v>
      </c>
      <c r="D24">
        <v>360</v>
      </c>
      <c r="E24">
        <v>20</v>
      </c>
      <c r="F24">
        <v>48.25</v>
      </c>
      <c r="G24">
        <v>2.75</v>
      </c>
      <c r="H24">
        <v>48.25</v>
      </c>
      <c r="I24">
        <v>2.75</v>
      </c>
      <c r="J24">
        <v>300</v>
      </c>
      <c r="K24">
        <v>300</v>
      </c>
      <c r="L24">
        <v>40</v>
      </c>
      <c r="M24">
        <v>40</v>
      </c>
    </row>
    <row r="25" spans="1:13" x14ac:dyDescent="0.25">
      <c r="A25" t="s">
        <v>6</v>
      </c>
      <c r="B25">
        <v>329.75</v>
      </c>
      <c r="C25">
        <v>18.25</v>
      </c>
      <c r="D25">
        <v>329.75</v>
      </c>
      <c r="E25">
        <v>18.25</v>
      </c>
      <c r="F25">
        <v>36</v>
      </c>
      <c r="G25">
        <v>2</v>
      </c>
      <c r="H25">
        <v>36</v>
      </c>
      <c r="I25">
        <v>2</v>
      </c>
      <c r="J25">
        <v>275</v>
      </c>
      <c r="K25">
        <v>275</v>
      </c>
      <c r="L25">
        <v>30</v>
      </c>
      <c r="M25">
        <v>30</v>
      </c>
    </row>
    <row r="26" spans="1:13" x14ac:dyDescent="0.25">
      <c r="A26" t="s">
        <v>7</v>
      </c>
      <c r="B26">
        <v>165.25</v>
      </c>
      <c r="C26">
        <v>9.25</v>
      </c>
      <c r="D26">
        <v>165.25</v>
      </c>
      <c r="E26">
        <v>9.25</v>
      </c>
      <c r="F26">
        <v>18</v>
      </c>
      <c r="G26">
        <v>1</v>
      </c>
      <c r="H26">
        <v>18</v>
      </c>
      <c r="I26">
        <v>1</v>
      </c>
      <c r="J26">
        <v>137.5</v>
      </c>
      <c r="K26">
        <v>137.5</v>
      </c>
      <c r="L26">
        <v>15</v>
      </c>
      <c r="M26">
        <v>15</v>
      </c>
    </row>
    <row r="27" spans="1:13" x14ac:dyDescent="0.25">
      <c r="A27" t="s">
        <v>16</v>
      </c>
      <c r="C27">
        <v>1</v>
      </c>
      <c r="E27" t="s">
        <v>45</v>
      </c>
      <c r="G27" t="s">
        <v>46</v>
      </c>
      <c r="I27" t="s">
        <v>47</v>
      </c>
      <c r="J27">
        <v>1</v>
      </c>
      <c r="K27" t="s">
        <v>45</v>
      </c>
      <c r="L27" t="s">
        <v>46</v>
      </c>
      <c r="M27" t="s">
        <v>47</v>
      </c>
    </row>
    <row r="28" spans="1:13" x14ac:dyDescent="0.25">
      <c r="A28" t="s">
        <v>5</v>
      </c>
      <c r="B28">
        <v>372.25</v>
      </c>
      <c r="C28">
        <v>20.75</v>
      </c>
      <c r="D28">
        <v>372.25</v>
      </c>
      <c r="E28">
        <v>20.75</v>
      </c>
      <c r="F28">
        <v>48.25</v>
      </c>
      <c r="G28">
        <v>2.75</v>
      </c>
      <c r="H28">
        <v>48.25</v>
      </c>
      <c r="I28">
        <v>2.75</v>
      </c>
      <c r="J28">
        <v>310</v>
      </c>
      <c r="K28">
        <v>310</v>
      </c>
      <c r="L28">
        <v>40</v>
      </c>
      <c r="M28">
        <v>40</v>
      </c>
    </row>
    <row r="29" spans="1:13" x14ac:dyDescent="0.25">
      <c r="A29" t="s">
        <v>6</v>
      </c>
      <c r="B29">
        <v>300.25</v>
      </c>
      <c r="C29">
        <v>16.75</v>
      </c>
      <c r="D29">
        <v>300.25</v>
      </c>
      <c r="E29">
        <v>16.75</v>
      </c>
      <c r="F29">
        <v>36</v>
      </c>
      <c r="G29">
        <v>2</v>
      </c>
      <c r="H29">
        <v>36</v>
      </c>
      <c r="I29">
        <v>2</v>
      </c>
      <c r="J29">
        <v>250</v>
      </c>
      <c r="K29">
        <v>250</v>
      </c>
      <c r="L29">
        <v>30</v>
      </c>
      <c r="M29">
        <v>30</v>
      </c>
    </row>
    <row r="30" spans="1:13" x14ac:dyDescent="0.25">
      <c r="A30" t="s">
        <v>7</v>
      </c>
      <c r="B30">
        <v>126</v>
      </c>
      <c r="C30">
        <v>7</v>
      </c>
      <c r="D30">
        <v>126</v>
      </c>
      <c r="E30">
        <v>7</v>
      </c>
      <c r="F30">
        <v>18</v>
      </c>
      <c r="G30">
        <v>1</v>
      </c>
      <c r="H30">
        <v>18</v>
      </c>
      <c r="I30">
        <v>1</v>
      </c>
      <c r="J30">
        <v>105</v>
      </c>
      <c r="K30">
        <v>105</v>
      </c>
      <c r="L30">
        <v>15</v>
      </c>
      <c r="M30">
        <v>15</v>
      </c>
    </row>
    <row r="31" spans="1:13" x14ac:dyDescent="0.25">
      <c r="A31" t="s">
        <v>17</v>
      </c>
      <c r="C31">
        <v>1</v>
      </c>
      <c r="E31" t="s">
        <v>45</v>
      </c>
      <c r="G31" t="s">
        <v>46</v>
      </c>
      <c r="I31" t="s">
        <v>47</v>
      </c>
      <c r="J31">
        <v>1</v>
      </c>
      <c r="K31" t="s">
        <v>45</v>
      </c>
      <c r="L31" t="s">
        <v>46</v>
      </c>
      <c r="M31" t="s">
        <v>47</v>
      </c>
    </row>
    <row r="32" spans="1:13" x14ac:dyDescent="0.25">
      <c r="A32" t="s">
        <v>9</v>
      </c>
      <c r="B32">
        <v>396.75</v>
      </c>
      <c r="C32">
        <v>17.25</v>
      </c>
      <c r="D32">
        <v>396.75</v>
      </c>
      <c r="E32">
        <v>17.25</v>
      </c>
      <c r="F32">
        <v>198.39</v>
      </c>
      <c r="G32">
        <v>8.6300000000000008</v>
      </c>
      <c r="H32">
        <v>79.349999999999994</v>
      </c>
      <c r="I32">
        <v>3.45</v>
      </c>
      <c r="J32">
        <v>345</v>
      </c>
      <c r="K32">
        <v>345</v>
      </c>
      <c r="L32">
        <v>172.5</v>
      </c>
      <c r="M32">
        <v>69</v>
      </c>
    </row>
    <row r="33" spans="1:13" x14ac:dyDescent="0.25">
      <c r="A33" t="s">
        <v>10</v>
      </c>
      <c r="B33">
        <v>345</v>
      </c>
      <c r="C33">
        <v>15</v>
      </c>
      <c r="D33">
        <v>345</v>
      </c>
      <c r="E33">
        <v>15</v>
      </c>
      <c r="F33">
        <v>172.5</v>
      </c>
      <c r="G33">
        <v>7.5</v>
      </c>
      <c r="H33">
        <v>69</v>
      </c>
      <c r="I33">
        <v>3</v>
      </c>
      <c r="J33">
        <v>300</v>
      </c>
      <c r="K33">
        <v>300</v>
      </c>
      <c r="L33">
        <v>150</v>
      </c>
      <c r="M33">
        <v>60</v>
      </c>
    </row>
    <row r="34" spans="1:13" x14ac:dyDescent="0.25">
      <c r="A34" t="s">
        <v>7</v>
      </c>
      <c r="B34">
        <v>172.5</v>
      </c>
      <c r="C34">
        <v>7.5</v>
      </c>
      <c r="D34">
        <v>172.5</v>
      </c>
      <c r="E34">
        <v>7.5</v>
      </c>
      <c r="F34">
        <v>86.25</v>
      </c>
      <c r="G34">
        <v>3.75</v>
      </c>
      <c r="H34">
        <v>34.5</v>
      </c>
      <c r="I34">
        <v>1.5</v>
      </c>
      <c r="J34">
        <v>150</v>
      </c>
      <c r="K34">
        <v>150</v>
      </c>
      <c r="L34">
        <v>75</v>
      </c>
      <c r="M34">
        <v>30</v>
      </c>
    </row>
    <row r="35" spans="1:13" x14ac:dyDescent="0.25">
      <c r="A35" t="s">
        <v>18</v>
      </c>
      <c r="C35">
        <v>1</v>
      </c>
      <c r="E35" t="s">
        <v>45</v>
      </c>
      <c r="G35" t="s">
        <v>46</v>
      </c>
      <c r="I35" t="s">
        <v>47</v>
      </c>
      <c r="J35">
        <v>1</v>
      </c>
      <c r="K35" t="s">
        <v>45</v>
      </c>
      <c r="L35" t="s">
        <v>46</v>
      </c>
      <c r="M35" t="s">
        <v>47</v>
      </c>
    </row>
    <row r="36" spans="1:13" x14ac:dyDescent="0.25">
      <c r="A36" t="s">
        <v>19</v>
      </c>
      <c r="B36">
        <v>341.5</v>
      </c>
      <c r="C36">
        <v>18.5</v>
      </c>
      <c r="D36">
        <v>234.25</v>
      </c>
      <c r="E36">
        <v>12.75</v>
      </c>
      <c r="F36">
        <v>117.14</v>
      </c>
      <c r="G36">
        <v>6.38</v>
      </c>
      <c r="H36">
        <v>46.85</v>
      </c>
      <c r="I36">
        <v>2.5499999999999998</v>
      </c>
      <c r="J36">
        <v>286</v>
      </c>
      <c r="K36">
        <v>196</v>
      </c>
      <c r="L36">
        <v>98</v>
      </c>
      <c r="M36">
        <v>39.200000000000003</v>
      </c>
    </row>
    <row r="37" spans="1:13" x14ac:dyDescent="0.25">
      <c r="A37" t="s">
        <v>4</v>
      </c>
      <c r="C37">
        <v>1</v>
      </c>
      <c r="E37" t="s">
        <v>45</v>
      </c>
      <c r="G37" t="s">
        <v>46</v>
      </c>
      <c r="I37" t="s">
        <v>47</v>
      </c>
      <c r="J37">
        <v>1</v>
      </c>
      <c r="K37" t="s">
        <v>45</v>
      </c>
      <c r="L37" t="s">
        <v>46</v>
      </c>
      <c r="M37" t="s">
        <v>47</v>
      </c>
    </row>
    <row r="38" spans="1:13" x14ac:dyDescent="0.25">
      <c r="A38" t="s">
        <v>5</v>
      </c>
      <c r="B38">
        <v>290</v>
      </c>
      <c r="C38">
        <v>16</v>
      </c>
      <c r="D38">
        <v>290</v>
      </c>
      <c r="E38">
        <v>16</v>
      </c>
      <c r="F38">
        <v>145</v>
      </c>
      <c r="G38">
        <v>8</v>
      </c>
      <c r="H38">
        <v>58</v>
      </c>
      <c r="I38">
        <v>3.2</v>
      </c>
      <c r="J38">
        <v>242</v>
      </c>
      <c r="K38">
        <v>242</v>
      </c>
      <c r="L38">
        <v>121</v>
      </c>
      <c r="M38">
        <v>48.4</v>
      </c>
    </row>
    <row r="39" spans="1:13" x14ac:dyDescent="0.25">
      <c r="A39" t="s">
        <v>6</v>
      </c>
      <c r="B39">
        <v>252</v>
      </c>
      <c r="C39">
        <v>14</v>
      </c>
      <c r="D39">
        <v>252</v>
      </c>
      <c r="E39">
        <v>14</v>
      </c>
      <c r="F39">
        <v>126</v>
      </c>
      <c r="G39">
        <v>7</v>
      </c>
      <c r="H39">
        <v>50.4</v>
      </c>
      <c r="I39">
        <v>2.8</v>
      </c>
      <c r="J39">
        <v>210</v>
      </c>
      <c r="K39">
        <v>210</v>
      </c>
      <c r="L39">
        <v>105</v>
      </c>
      <c r="M39">
        <v>42</v>
      </c>
    </row>
    <row r="40" spans="1:13" x14ac:dyDescent="0.25">
      <c r="A40" t="s">
        <v>7</v>
      </c>
      <c r="B40">
        <v>126</v>
      </c>
      <c r="C40">
        <v>7</v>
      </c>
      <c r="D40">
        <v>126</v>
      </c>
      <c r="E40">
        <v>7</v>
      </c>
      <c r="F40">
        <v>63</v>
      </c>
      <c r="G40">
        <v>3.5</v>
      </c>
      <c r="H40">
        <v>25.2</v>
      </c>
      <c r="I40">
        <v>1.4</v>
      </c>
      <c r="J40">
        <v>105</v>
      </c>
      <c r="K40">
        <v>105</v>
      </c>
      <c r="L40">
        <v>52.5</v>
      </c>
      <c r="M40">
        <v>21</v>
      </c>
    </row>
    <row r="41" spans="1:13" x14ac:dyDescent="0.25">
      <c r="A41" t="s">
        <v>8</v>
      </c>
      <c r="C41">
        <v>1</v>
      </c>
      <c r="E41" t="s">
        <v>45</v>
      </c>
      <c r="G41" t="s">
        <v>46</v>
      </c>
      <c r="I41" t="s">
        <v>47</v>
      </c>
      <c r="J41">
        <v>1</v>
      </c>
      <c r="K41" t="s">
        <v>45</v>
      </c>
      <c r="L41" t="s">
        <v>46</v>
      </c>
      <c r="M41" t="s">
        <v>47</v>
      </c>
    </row>
    <row r="42" spans="1:13" x14ac:dyDescent="0.25">
      <c r="A42" t="s">
        <v>9</v>
      </c>
      <c r="B42">
        <v>198</v>
      </c>
      <c r="C42">
        <v>11</v>
      </c>
      <c r="D42">
        <v>198</v>
      </c>
      <c r="E42">
        <v>11</v>
      </c>
      <c r="F42">
        <v>99</v>
      </c>
      <c r="G42">
        <v>5.5</v>
      </c>
      <c r="H42">
        <v>39.6</v>
      </c>
      <c r="I42">
        <v>2.2000000000000002</v>
      </c>
      <c r="J42">
        <v>165</v>
      </c>
      <c r="K42">
        <v>165</v>
      </c>
      <c r="L42">
        <v>82.5</v>
      </c>
      <c r="M42">
        <v>33</v>
      </c>
    </row>
    <row r="43" spans="1:13" x14ac:dyDescent="0.25">
      <c r="A43" t="s">
        <v>10</v>
      </c>
      <c r="B43">
        <v>180</v>
      </c>
      <c r="C43">
        <v>10</v>
      </c>
      <c r="D43">
        <v>180</v>
      </c>
      <c r="E43">
        <v>10</v>
      </c>
      <c r="F43">
        <v>90</v>
      </c>
      <c r="G43">
        <v>5</v>
      </c>
      <c r="H43">
        <v>36</v>
      </c>
      <c r="I43">
        <v>2</v>
      </c>
      <c r="J43">
        <v>150</v>
      </c>
      <c r="K43">
        <v>150</v>
      </c>
      <c r="L43">
        <v>75</v>
      </c>
      <c r="M43">
        <v>30</v>
      </c>
    </row>
    <row r="44" spans="1:13" x14ac:dyDescent="0.25">
      <c r="A44" t="s">
        <v>7</v>
      </c>
      <c r="B44">
        <v>90</v>
      </c>
      <c r="C44">
        <v>5</v>
      </c>
      <c r="D44">
        <v>90</v>
      </c>
      <c r="E44">
        <v>5</v>
      </c>
      <c r="F44">
        <v>45</v>
      </c>
      <c r="G44">
        <v>2.5</v>
      </c>
      <c r="H44">
        <v>18</v>
      </c>
      <c r="I44">
        <v>1</v>
      </c>
      <c r="J44">
        <v>75</v>
      </c>
      <c r="K44">
        <v>75</v>
      </c>
      <c r="L44">
        <v>37.5</v>
      </c>
      <c r="M44">
        <v>15</v>
      </c>
    </row>
    <row r="45" spans="1:13" x14ac:dyDescent="0.25">
      <c r="A45" t="s">
        <v>11</v>
      </c>
      <c r="C45">
        <v>1</v>
      </c>
      <c r="E45" t="s">
        <v>45</v>
      </c>
      <c r="G45" t="s">
        <v>46</v>
      </c>
      <c r="I45" t="s">
        <v>47</v>
      </c>
      <c r="J45">
        <v>1</v>
      </c>
      <c r="K45" t="s">
        <v>45</v>
      </c>
      <c r="L45" t="s">
        <v>46</v>
      </c>
      <c r="M45" t="s">
        <v>47</v>
      </c>
    </row>
    <row r="46" spans="1:13" x14ac:dyDescent="0.25">
      <c r="A46" t="s">
        <v>9</v>
      </c>
      <c r="B46">
        <v>234.25</v>
      </c>
      <c r="C46">
        <v>12.75</v>
      </c>
      <c r="D46">
        <v>234.25</v>
      </c>
      <c r="E46">
        <v>12.75</v>
      </c>
      <c r="F46">
        <v>117.14</v>
      </c>
      <c r="G46">
        <v>6.38</v>
      </c>
      <c r="H46">
        <v>46.85</v>
      </c>
      <c r="I46">
        <v>2.5499999999999998</v>
      </c>
      <c r="J46">
        <v>196</v>
      </c>
      <c r="K46">
        <v>196</v>
      </c>
      <c r="L46">
        <v>98</v>
      </c>
      <c r="M46">
        <v>39.200000000000003</v>
      </c>
    </row>
    <row r="47" spans="1:13" x14ac:dyDescent="0.25">
      <c r="A47" t="s">
        <v>10</v>
      </c>
      <c r="B47">
        <v>203</v>
      </c>
      <c r="C47">
        <v>11</v>
      </c>
      <c r="D47">
        <v>203</v>
      </c>
      <c r="E47">
        <v>11</v>
      </c>
      <c r="F47">
        <v>101.5</v>
      </c>
      <c r="G47">
        <v>5.5</v>
      </c>
      <c r="H47">
        <v>40.6</v>
      </c>
      <c r="I47">
        <v>2.2000000000000002</v>
      </c>
      <c r="J47">
        <v>170</v>
      </c>
      <c r="K47">
        <v>170</v>
      </c>
      <c r="L47">
        <v>85</v>
      </c>
      <c r="M47">
        <v>34</v>
      </c>
    </row>
    <row r="48" spans="1:13" x14ac:dyDescent="0.25">
      <c r="A48" t="s">
        <v>7</v>
      </c>
      <c r="B48">
        <v>101.5</v>
      </c>
      <c r="C48">
        <v>5.5</v>
      </c>
      <c r="D48">
        <v>101.5</v>
      </c>
      <c r="E48">
        <v>5.5</v>
      </c>
      <c r="F48">
        <v>50.75</v>
      </c>
      <c r="G48">
        <v>2.75</v>
      </c>
      <c r="H48">
        <v>20.3</v>
      </c>
      <c r="I48">
        <v>1.1000000000000001</v>
      </c>
      <c r="J48">
        <v>85</v>
      </c>
      <c r="K48">
        <v>85</v>
      </c>
      <c r="L48">
        <v>42.5</v>
      </c>
      <c r="M48">
        <v>17</v>
      </c>
    </row>
    <row r="49" spans="1:13" x14ac:dyDescent="0.25">
      <c r="A49" t="s">
        <v>12</v>
      </c>
      <c r="C49">
        <v>1</v>
      </c>
      <c r="E49" t="s">
        <v>45</v>
      </c>
      <c r="G49" t="s">
        <v>46</v>
      </c>
      <c r="I49" t="s">
        <v>47</v>
      </c>
      <c r="J49">
        <v>1</v>
      </c>
      <c r="K49" t="s">
        <v>45</v>
      </c>
      <c r="L49" t="s">
        <v>46</v>
      </c>
      <c r="M49" t="s">
        <v>47</v>
      </c>
    </row>
    <row r="50" spans="1:13" x14ac:dyDescent="0.25">
      <c r="A50" t="s">
        <v>13</v>
      </c>
      <c r="B50">
        <v>453</v>
      </c>
      <c r="C50">
        <v>25</v>
      </c>
      <c r="D50">
        <v>290</v>
      </c>
      <c r="E50">
        <v>16</v>
      </c>
      <c r="F50">
        <v>145</v>
      </c>
      <c r="G50">
        <v>8</v>
      </c>
      <c r="H50">
        <v>58</v>
      </c>
      <c r="I50">
        <v>3.2</v>
      </c>
      <c r="J50">
        <v>378</v>
      </c>
      <c r="K50">
        <v>242</v>
      </c>
      <c r="L50">
        <v>121</v>
      </c>
      <c r="M50">
        <v>48.4</v>
      </c>
    </row>
    <row r="51" spans="1:13" x14ac:dyDescent="0.25">
      <c r="A51" t="s">
        <v>6</v>
      </c>
      <c r="B51">
        <v>252</v>
      </c>
      <c r="C51">
        <v>14</v>
      </c>
      <c r="D51">
        <v>252</v>
      </c>
      <c r="E51">
        <v>14</v>
      </c>
      <c r="F51">
        <v>126</v>
      </c>
      <c r="G51">
        <v>7</v>
      </c>
      <c r="H51">
        <v>50.4</v>
      </c>
      <c r="I51">
        <v>2.8</v>
      </c>
      <c r="J51">
        <v>210</v>
      </c>
      <c r="K51">
        <v>210</v>
      </c>
      <c r="L51">
        <v>105</v>
      </c>
      <c r="M51">
        <v>42</v>
      </c>
    </row>
    <row r="52" spans="1:13" x14ac:dyDescent="0.25">
      <c r="A52" t="s">
        <v>7</v>
      </c>
      <c r="B52">
        <v>126</v>
      </c>
      <c r="C52">
        <v>7</v>
      </c>
      <c r="D52">
        <v>126</v>
      </c>
      <c r="E52">
        <v>7</v>
      </c>
      <c r="F52">
        <v>63</v>
      </c>
      <c r="G52">
        <v>3.5</v>
      </c>
      <c r="H52">
        <v>25.2</v>
      </c>
      <c r="I52">
        <v>1.4</v>
      </c>
      <c r="J52">
        <v>105</v>
      </c>
      <c r="K52">
        <v>105</v>
      </c>
      <c r="L52">
        <v>52.5</v>
      </c>
      <c r="M52">
        <v>21</v>
      </c>
    </row>
    <row r="53" spans="1:13" x14ac:dyDescent="0.25">
      <c r="A53" t="s">
        <v>14</v>
      </c>
      <c r="C53">
        <v>1</v>
      </c>
      <c r="E53" t="s">
        <v>45</v>
      </c>
      <c r="G53" t="s">
        <v>46</v>
      </c>
      <c r="I53" t="s">
        <v>47</v>
      </c>
      <c r="J53">
        <v>1</v>
      </c>
      <c r="K53" t="s">
        <v>45</v>
      </c>
      <c r="L53" t="s">
        <v>46</v>
      </c>
      <c r="M53" t="s">
        <v>47</v>
      </c>
    </row>
    <row r="54" spans="1:13" x14ac:dyDescent="0.25">
      <c r="A54" t="s">
        <v>5</v>
      </c>
      <c r="B54">
        <v>400.25</v>
      </c>
      <c r="C54">
        <v>22.75</v>
      </c>
      <c r="D54">
        <v>264</v>
      </c>
      <c r="E54">
        <v>15</v>
      </c>
      <c r="F54">
        <v>132</v>
      </c>
      <c r="G54">
        <v>7.5</v>
      </c>
      <c r="H54">
        <v>52.8</v>
      </c>
      <c r="I54">
        <v>3</v>
      </c>
      <c r="J54">
        <v>332</v>
      </c>
      <c r="K54">
        <v>219</v>
      </c>
      <c r="L54">
        <v>109.5</v>
      </c>
      <c r="M54">
        <v>43.8</v>
      </c>
    </row>
    <row r="55" spans="1:13" x14ac:dyDescent="0.25">
      <c r="A55" t="s">
        <v>6</v>
      </c>
      <c r="B55">
        <v>229</v>
      </c>
      <c r="C55">
        <v>13</v>
      </c>
      <c r="D55">
        <v>229</v>
      </c>
      <c r="E55">
        <v>13</v>
      </c>
      <c r="F55">
        <v>114.5</v>
      </c>
      <c r="G55">
        <v>6.5</v>
      </c>
      <c r="H55">
        <v>45.8</v>
      </c>
      <c r="I55">
        <v>2.6</v>
      </c>
      <c r="J55">
        <v>190</v>
      </c>
      <c r="K55">
        <v>190</v>
      </c>
      <c r="L55">
        <v>95</v>
      </c>
      <c r="M55">
        <v>38</v>
      </c>
    </row>
    <row r="56" spans="1:13" x14ac:dyDescent="0.25">
      <c r="A56" t="s">
        <v>7</v>
      </c>
      <c r="B56">
        <v>114.5</v>
      </c>
      <c r="C56">
        <v>6.5</v>
      </c>
      <c r="D56">
        <v>114.5</v>
      </c>
      <c r="E56">
        <v>6.5</v>
      </c>
      <c r="F56">
        <v>57.25</v>
      </c>
      <c r="G56">
        <v>3.25</v>
      </c>
      <c r="H56">
        <v>22.9</v>
      </c>
      <c r="I56">
        <v>1.3</v>
      </c>
      <c r="J56">
        <v>95</v>
      </c>
      <c r="K56">
        <v>95</v>
      </c>
      <c r="L56">
        <v>47.5</v>
      </c>
      <c r="M56">
        <v>19</v>
      </c>
    </row>
    <row r="57" spans="1:13" x14ac:dyDescent="0.25">
      <c r="A57" t="s">
        <v>15</v>
      </c>
      <c r="C57">
        <v>1</v>
      </c>
      <c r="E57" t="s">
        <v>45</v>
      </c>
      <c r="G57" t="s">
        <v>46</v>
      </c>
      <c r="I57" t="s">
        <v>47</v>
      </c>
      <c r="J57">
        <v>1</v>
      </c>
      <c r="K57" t="s">
        <v>45</v>
      </c>
      <c r="L57" t="s">
        <v>46</v>
      </c>
      <c r="M57" t="s">
        <v>47</v>
      </c>
    </row>
    <row r="58" spans="1:13" x14ac:dyDescent="0.25">
      <c r="A58" t="s">
        <v>5</v>
      </c>
      <c r="B58">
        <v>360</v>
      </c>
      <c r="C58">
        <v>20</v>
      </c>
      <c r="D58">
        <v>360</v>
      </c>
      <c r="E58">
        <v>20</v>
      </c>
      <c r="F58">
        <v>48.25</v>
      </c>
      <c r="G58">
        <v>2.75</v>
      </c>
      <c r="H58">
        <v>48.25</v>
      </c>
      <c r="I58">
        <v>2.75</v>
      </c>
      <c r="J58">
        <v>300</v>
      </c>
      <c r="K58">
        <v>300</v>
      </c>
      <c r="L58">
        <v>40</v>
      </c>
      <c r="M58">
        <v>40</v>
      </c>
    </row>
    <row r="59" spans="1:13" x14ac:dyDescent="0.25">
      <c r="A59" t="s">
        <v>6</v>
      </c>
      <c r="B59">
        <v>329.75</v>
      </c>
      <c r="C59">
        <v>18.25</v>
      </c>
      <c r="D59">
        <v>329.75</v>
      </c>
      <c r="E59">
        <v>18.25</v>
      </c>
      <c r="F59">
        <v>36</v>
      </c>
      <c r="G59">
        <v>2</v>
      </c>
      <c r="H59">
        <v>36</v>
      </c>
      <c r="I59">
        <v>2</v>
      </c>
      <c r="J59">
        <v>275</v>
      </c>
      <c r="K59">
        <v>275</v>
      </c>
      <c r="L59">
        <v>30</v>
      </c>
      <c r="M59">
        <v>30</v>
      </c>
    </row>
    <row r="60" spans="1:13" x14ac:dyDescent="0.25">
      <c r="A60" t="s">
        <v>7</v>
      </c>
      <c r="B60">
        <v>165.25</v>
      </c>
      <c r="C60">
        <v>9.25</v>
      </c>
      <c r="D60">
        <v>165.25</v>
      </c>
      <c r="E60">
        <v>9.25</v>
      </c>
      <c r="F60">
        <v>18</v>
      </c>
      <c r="G60">
        <v>1</v>
      </c>
      <c r="H60">
        <v>18</v>
      </c>
      <c r="I60">
        <v>1</v>
      </c>
      <c r="J60">
        <v>137.5</v>
      </c>
      <c r="K60">
        <v>137.5</v>
      </c>
      <c r="L60">
        <v>15</v>
      </c>
      <c r="M60">
        <v>15</v>
      </c>
    </row>
    <row r="61" spans="1:13" x14ac:dyDescent="0.25">
      <c r="A61" t="s">
        <v>16</v>
      </c>
      <c r="C61">
        <v>1</v>
      </c>
      <c r="E61" t="s">
        <v>45</v>
      </c>
      <c r="G61" t="s">
        <v>46</v>
      </c>
      <c r="I61" t="s">
        <v>47</v>
      </c>
      <c r="J61">
        <v>1</v>
      </c>
      <c r="K61" t="s">
        <v>45</v>
      </c>
      <c r="L61" t="s">
        <v>46</v>
      </c>
      <c r="M61" t="s">
        <v>47</v>
      </c>
    </row>
    <row r="62" spans="1:13" x14ac:dyDescent="0.25">
      <c r="A62" t="s">
        <v>5</v>
      </c>
      <c r="B62">
        <v>372.25</v>
      </c>
      <c r="C62">
        <v>20.75</v>
      </c>
      <c r="D62">
        <v>372.25</v>
      </c>
      <c r="E62">
        <v>20.75</v>
      </c>
      <c r="F62">
        <v>48.25</v>
      </c>
      <c r="G62">
        <v>2.75</v>
      </c>
      <c r="H62">
        <v>48.25</v>
      </c>
      <c r="I62">
        <v>2.75</v>
      </c>
      <c r="J62">
        <v>310</v>
      </c>
      <c r="K62">
        <v>310</v>
      </c>
      <c r="L62">
        <v>40</v>
      </c>
      <c r="M62">
        <v>40</v>
      </c>
    </row>
    <row r="63" spans="1:13" x14ac:dyDescent="0.25">
      <c r="A63" t="s">
        <v>6</v>
      </c>
      <c r="B63">
        <v>300.25</v>
      </c>
      <c r="C63">
        <v>16.75</v>
      </c>
      <c r="D63">
        <v>300.25</v>
      </c>
      <c r="E63">
        <v>16.75</v>
      </c>
      <c r="F63">
        <v>36</v>
      </c>
      <c r="G63">
        <v>2</v>
      </c>
      <c r="H63">
        <v>36</v>
      </c>
      <c r="I63">
        <v>2</v>
      </c>
      <c r="J63">
        <v>250</v>
      </c>
      <c r="K63">
        <v>250</v>
      </c>
      <c r="L63">
        <v>30</v>
      </c>
      <c r="M63">
        <v>30</v>
      </c>
    </row>
    <row r="64" spans="1:13" x14ac:dyDescent="0.25">
      <c r="A64" t="s">
        <v>7</v>
      </c>
      <c r="B64">
        <v>126</v>
      </c>
      <c r="C64">
        <v>7</v>
      </c>
      <c r="D64">
        <v>126</v>
      </c>
      <c r="E64">
        <v>7</v>
      </c>
      <c r="F64">
        <v>18</v>
      </c>
      <c r="G64">
        <v>1</v>
      </c>
      <c r="H64">
        <v>18</v>
      </c>
      <c r="I64">
        <v>1</v>
      </c>
      <c r="J64">
        <v>105</v>
      </c>
      <c r="K64">
        <v>105</v>
      </c>
      <c r="L64">
        <v>15</v>
      </c>
      <c r="M64">
        <v>15</v>
      </c>
    </row>
    <row r="65" spans="1:13" x14ac:dyDescent="0.25">
      <c r="A65" t="s">
        <v>17</v>
      </c>
      <c r="C65">
        <v>1</v>
      </c>
      <c r="E65" t="s">
        <v>45</v>
      </c>
      <c r="G65" t="s">
        <v>46</v>
      </c>
      <c r="I65" t="s">
        <v>47</v>
      </c>
      <c r="J65">
        <v>1</v>
      </c>
      <c r="K65" t="s">
        <v>45</v>
      </c>
      <c r="L65" t="s">
        <v>46</v>
      </c>
      <c r="M65" t="s">
        <v>47</v>
      </c>
    </row>
    <row r="66" spans="1:13" x14ac:dyDescent="0.25">
      <c r="A66" t="s">
        <v>9</v>
      </c>
      <c r="B66">
        <v>396.75</v>
      </c>
      <c r="C66">
        <v>17.25</v>
      </c>
      <c r="D66">
        <v>396.75</v>
      </c>
      <c r="E66">
        <v>17.25</v>
      </c>
      <c r="F66">
        <v>198.39</v>
      </c>
      <c r="G66">
        <v>8.6300000000000008</v>
      </c>
      <c r="H66">
        <v>79.349999999999994</v>
      </c>
      <c r="I66">
        <v>3.45</v>
      </c>
      <c r="J66">
        <v>345</v>
      </c>
      <c r="K66">
        <v>345</v>
      </c>
      <c r="L66">
        <v>172.5</v>
      </c>
      <c r="M66">
        <v>69</v>
      </c>
    </row>
    <row r="67" spans="1:13" x14ac:dyDescent="0.25">
      <c r="A67" t="s">
        <v>10</v>
      </c>
      <c r="B67">
        <v>345</v>
      </c>
      <c r="C67">
        <v>15</v>
      </c>
      <c r="D67">
        <v>345</v>
      </c>
      <c r="E67">
        <v>15</v>
      </c>
      <c r="F67">
        <v>172.5</v>
      </c>
      <c r="G67">
        <v>7.5</v>
      </c>
      <c r="H67">
        <v>69</v>
      </c>
      <c r="I67">
        <v>3</v>
      </c>
      <c r="J67">
        <v>300</v>
      </c>
      <c r="K67">
        <v>300</v>
      </c>
      <c r="L67">
        <v>150</v>
      </c>
      <c r="M67">
        <v>60</v>
      </c>
    </row>
    <row r="68" spans="1:13" x14ac:dyDescent="0.25">
      <c r="A68" t="s">
        <v>7</v>
      </c>
      <c r="B68">
        <v>172.5</v>
      </c>
      <c r="C68">
        <v>7.5</v>
      </c>
      <c r="D68">
        <v>172.5</v>
      </c>
      <c r="E68">
        <v>7.5</v>
      </c>
      <c r="F68">
        <v>86.25</v>
      </c>
      <c r="G68">
        <v>3.75</v>
      </c>
      <c r="H68">
        <v>34.5</v>
      </c>
      <c r="I68">
        <v>1.5</v>
      </c>
      <c r="J68">
        <v>150</v>
      </c>
      <c r="K68">
        <v>150</v>
      </c>
      <c r="L68">
        <v>75</v>
      </c>
      <c r="M68">
        <v>30</v>
      </c>
    </row>
    <row r="69" spans="1:13" x14ac:dyDescent="0.25">
      <c r="A69" t="s">
        <v>18</v>
      </c>
      <c r="C69">
        <v>1</v>
      </c>
      <c r="E69" t="s">
        <v>45</v>
      </c>
      <c r="G69" t="s">
        <v>46</v>
      </c>
      <c r="I69" t="s">
        <v>47</v>
      </c>
      <c r="J69">
        <v>1</v>
      </c>
      <c r="K69" t="s">
        <v>45</v>
      </c>
      <c r="L69" t="s">
        <v>46</v>
      </c>
      <c r="M69" t="s">
        <v>47</v>
      </c>
    </row>
    <row r="70" spans="1:13" x14ac:dyDescent="0.25">
      <c r="A70" t="s">
        <v>19</v>
      </c>
      <c r="B70">
        <v>341.5</v>
      </c>
      <c r="C70">
        <v>18.5</v>
      </c>
      <c r="D70">
        <v>234.25</v>
      </c>
      <c r="E70">
        <v>12.75</v>
      </c>
      <c r="F70">
        <v>117.14</v>
      </c>
      <c r="G70">
        <v>6.38</v>
      </c>
      <c r="H70">
        <v>46.85</v>
      </c>
      <c r="I70">
        <v>2.5499999999999998</v>
      </c>
      <c r="J70">
        <v>286</v>
      </c>
      <c r="K70">
        <v>196</v>
      </c>
      <c r="L70">
        <v>98</v>
      </c>
      <c r="M70">
        <v>39.200000000000003</v>
      </c>
    </row>
    <row r="71" spans="1:13" x14ac:dyDescent="0.25">
      <c r="A71" t="s">
        <v>4</v>
      </c>
      <c r="C71">
        <v>1</v>
      </c>
      <c r="E71" t="s">
        <v>45</v>
      </c>
      <c r="G71" t="s">
        <v>46</v>
      </c>
      <c r="I71" t="s">
        <v>47</v>
      </c>
      <c r="J71">
        <v>1</v>
      </c>
      <c r="K71" t="s">
        <v>45</v>
      </c>
      <c r="L71" t="s">
        <v>46</v>
      </c>
      <c r="M71" t="s">
        <v>47</v>
      </c>
    </row>
    <row r="72" spans="1:13" x14ac:dyDescent="0.25">
      <c r="A72" t="s">
        <v>5</v>
      </c>
      <c r="B72">
        <v>290</v>
      </c>
      <c r="C72">
        <v>16</v>
      </c>
      <c r="D72">
        <v>290</v>
      </c>
      <c r="E72">
        <v>16</v>
      </c>
      <c r="F72">
        <v>145</v>
      </c>
      <c r="G72">
        <v>8</v>
      </c>
      <c r="H72">
        <v>58</v>
      </c>
      <c r="I72">
        <v>3.2</v>
      </c>
      <c r="J72">
        <v>242</v>
      </c>
      <c r="K72">
        <v>242</v>
      </c>
      <c r="L72">
        <v>121</v>
      </c>
      <c r="M72">
        <v>48.4</v>
      </c>
    </row>
    <row r="73" spans="1:13" x14ac:dyDescent="0.25">
      <c r="A73" t="s">
        <v>6</v>
      </c>
      <c r="B73">
        <v>252</v>
      </c>
      <c r="C73">
        <v>14</v>
      </c>
      <c r="D73">
        <v>252</v>
      </c>
      <c r="E73">
        <v>14</v>
      </c>
      <c r="F73">
        <v>126</v>
      </c>
      <c r="G73">
        <v>7</v>
      </c>
      <c r="H73">
        <v>50.4</v>
      </c>
      <c r="I73">
        <v>2.8</v>
      </c>
      <c r="J73">
        <v>210</v>
      </c>
      <c r="K73">
        <v>210</v>
      </c>
      <c r="L73">
        <v>105</v>
      </c>
      <c r="M73">
        <v>42</v>
      </c>
    </row>
    <row r="74" spans="1:13" x14ac:dyDescent="0.25">
      <c r="A74" t="s">
        <v>7</v>
      </c>
      <c r="B74">
        <v>126</v>
      </c>
      <c r="C74">
        <v>7</v>
      </c>
      <c r="D74">
        <v>126</v>
      </c>
      <c r="E74">
        <v>7</v>
      </c>
      <c r="F74">
        <v>63</v>
      </c>
      <c r="G74">
        <v>3.5</v>
      </c>
      <c r="H74">
        <v>25.2</v>
      </c>
      <c r="I74">
        <v>1.4</v>
      </c>
      <c r="J74">
        <v>105</v>
      </c>
      <c r="K74">
        <v>105</v>
      </c>
      <c r="L74">
        <v>52.5</v>
      </c>
      <c r="M74">
        <v>21</v>
      </c>
    </row>
    <row r="75" spans="1:13" x14ac:dyDescent="0.25">
      <c r="A75" t="s">
        <v>8</v>
      </c>
      <c r="C75">
        <v>1</v>
      </c>
      <c r="E75" t="s">
        <v>45</v>
      </c>
      <c r="G75" t="s">
        <v>46</v>
      </c>
      <c r="I75" t="s">
        <v>47</v>
      </c>
      <c r="J75">
        <v>1</v>
      </c>
      <c r="K75" t="s">
        <v>45</v>
      </c>
      <c r="L75" t="s">
        <v>46</v>
      </c>
      <c r="M75" t="s">
        <v>47</v>
      </c>
    </row>
    <row r="76" spans="1:13" x14ac:dyDescent="0.25">
      <c r="A76" t="s">
        <v>9</v>
      </c>
      <c r="B76">
        <v>198</v>
      </c>
      <c r="C76">
        <v>11</v>
      </c>
      <c r="D76">
        <v>198</v>
      </c>
      <c r="E76">
        <v>11</v>
      </c>
      <c r="F76">
        <v>99</v>
      </c>
      <c r="G76">
        <v>5.5</v>
      </c>
      <c r="H76">
        <v>39.6</v>
      </c>
      <c r="I76">
        <v>2.2000000000000002</v>
      </c>
      <c r="J76">
        <v>165</v>
      </c>
      <c r="K76">
        <v>165</v>
      </c>
      <c r="L76">
        <v>82.5</v>
      </c>
      <c r="M76">
        <v>33</v>
      </c>
    </row>
    <row r="77" spans="1:13" x14ac:dyDescent="0.25">
      <c r="A77" t="s">
        <v>10</v>
      </c>
      <c r="B77">
        <v>180</v>
      </c>
      <c r="C77">
        <v>10</v>
      </c>
      <c r="D77">
        <v>180</v>
      </c>
      <c r="E77">
        <v>10</v>
      </c>
      <c r="F77">
        <v>90</v>
      </c>
      <c r="G77">
        <v>5</v>
      </c>
      <c r="H77">
        <v>36</v>
      </c>
      <c r="I77">
        <v>2</v>
      </c>
      <c r="J77">
        <v>150</v>
      </c>
      <c r="K77">
        <v>150</v>
      </c>
      <c r="L77">
        <v>75</v>
      </c>
      <c r="M77">
        <v>30</v>
      </c>
    </row>
    <row r="78" spans="1:13" x14ac:dyDescent="0.25">
      <c r="A78" t="s">
        <v>7</v>
      </c>
      <c r="B78">
        <v>90</v>
      </c>
      <c r="C78">
        <v>5</v>
      </c>
      <c r="D78">
        <v>90</v>
      </c>
      <c r="E78">
        <v>5</v>
      </c>
      <c r="F78">
        <v>45</v>
      </c>
      <c r="G78">
        <v>2.5</v>
      </c>
      <c r="H78">
        <v>18</v>
      </c>
      <c r="I78">
        <v>1</v>
      </c>
      <c r="J78">
        <v>75</v>
      </c>
      <c r="K78">
        <v>75</v>
      </c>
      <c r="L78">
        <v>37.5</v>
      </c>
      <c r="M78">
        <v>15</v>
      </c>
    </row>
    <row r="79" spans="1:13" x14ac:dyDescent="0.25">
      <c r="A79" t="s">
        <v>11</v>
      </c>
      <c r="C79">
        <v>1</v>
      </c>
      <c r="E79" t="s">
        <v>45</v>
      </c>
      <c r="G79" t="s">
        <v>46</v>
      </c>
      <c r="I79" t="s">
        <v>47</v>
      </c>
      <c r="J79">
        <v>1</v>
      </c>
      <c r="K79" t="s">
        <v>45</v>
      </c>
      <c r="L79" t="s">
        <v>46</v>
      </c>
      <c r="M79" t="s">
        <v>47</v>
      </c>
    </row>
    <row r="80" spans="1:13" x14ac:dyDescent="0.25">
      <c r="A80" t="s">
        <v>9</v>
      </c>
      <c r="B80">
        <v>234.25</v>
      </c>
      <c r="C80">
        <v>12.75</v>
      </c>
      <c r="D80">
        <v>234.25</v>
      </c>
      <c r="E80">
        <v>12.75</v>
      </c>
      <c r="F80">
        <v>117.14</v>
      </c>
      <c r="G80">
        <v>6.38</v>
      </c>
      <c r="H80">
        <v>46.85</v>
      </c>
      <c r="I80">
        <v>2.5499999999999998</v>
      </c>
      <c r="J80">
        <v>196</v>
      </c>
      <c r="K80">
        <v>196</v>
      </c>
      <c r="L80">
        <v>98</v>
      </c>
      <c r="M80">
        <v>39.200000000000003</v>
      </c>
    </row>
    <row r="81" spans="1:13" x14ac:dyDescent="0.25">
      <c r="A81" t="s">
        <v>10</v>
      </c>
      <c r="B81">
        <v>203</v>
      </c>
      <c r="C81">
        <v>11</v>
      </c>
      <c r="D81">
        <v>203</v>
      </c>
      <c r="E81">
        <v>11</v>
      </c>
      <c r="F81">
        <v>101.5</v>
      </c>
      <c r="G81">
        <v>5.5</v>
      </c>
      <c r="H81">
        <v>40.6</v>
      </c>
      <c r="I81">
        <v>2.2000000000000002</v>
      </c>
      <c r="J81">
        <v>170</v>
      </c>
      <c r="K81">
        <v>170</v>
      </c>
      <c r="L81">
        <v>85</v>
      </c>
      <c r="M81">
        <v>34</v>
      </c>
    </row>
    <row r="82" spans="1:13" x14ac:dyDescent="0.25">
      <c r="A82" t="s">
        <v>7</v>
      </c>
      <c r="B82">
        <v>101.5</v>
      </c>
      <c r="C82">
        <v>5.5</v>
      </c>
      <c r="D82">
        <v>101.5</v>
      </c>
      <c r="E82">
        <v>5.5</v>
      </c>
      <c r="F82">
        <v>50.75</v>
      </c>
      <c r="G82">
        <v>2.75</v>
      </c>
      <c r="H82">
        <v>20.3</v>
      </c>
      <c r="I82">
        <v>1.1000000000000001</v>
      </c>
      <c r="J82">
        <v>85</v>
      </c>
      <c r="K82">
        <v>85</v>
      </c>
      <c r="L82">
        <v>42.5</v>
      </c>
      <c r="M82">
        <v>17</v>
      </c>
    </row>
    <row r="83" spans="1:13" x14ac:dyDescent="0.25">
      <c r="A83" t="s">
        <v>12</v>
      </c>
      <c r="C83">
        <v>1</v>
      </c>
      <c r="E83" t="s">
        <v>45</v>
      </c>
      <c r="G83" t="s">
        <v>46</v>
      </c>
      <c r="I83" t="s">
        <v>47</v>
      </c>
      <c r="J83">
        <v>1</v>
      </c>
      <c r="K83" t="s">
        <v>45</v>
      </c>
      <c r="L83" t="s">
        <v>46</v>
      </c>
      <c r="M83" t="s">
        <v>47</v>
      </c>
    </row>
    <row r="84" spans="1:13" x14ac:dyDescent="0.25">
      <c r="A84" t="s">
        <v>13</v>
      </c>
      <c r="B84">
        <v>453</v>
      </c>
      <c r="C84">
        <v>25</v>
      </c>
      <c r="D84">
        <v>290</v>
      </c>
      <c r="E84">
        <v>16</v>
      </c>
      <c r="F84">
        <v>145</v>
      </c>
      <c r="G84">
        <v>8</v>
      </c>
      <c r="H84">
        <v>58</v>
      </c>
      <c r="I84">
        <v>3.2</v>
      </c>
      <c r="J84">
        <v>378</v>
      </c>
      <c r="K84">
        <v>242</v>
      </c>
      <c r="L84">
        <v>121</v>
      </c>
      <c r="M84">
        <v>48.4</v>
      </c>
    </row>
    <row r="85" spans="1:13" x14ac:dyDescent="0.25">
      <c r="A85" t="s">
        <v>6</v>
      </c>
      <c r="B85">
        <v>252</v>
      </c>
      <c r="C85">
        <v>14</v>
      </c>
      <c r="D85">
        <v>252</v>
      </c>
      <c r="E85">
        <v>14</v>
      </c>
      <c r="F85">
        <v>126</v>
      </c>
      <c r="G85">
        <v>7</v>
      </c>
      <c r="H85">
        <v>50.4</v>
      </c>
      <c r="I85">
        <v>2.8</v>
      </c>
      <c r="J85">
        <v>210</v>
      </c>
      <c r="K85">
        <v>210</v>
      </c>
      <c r="L85">
        <v>105</v>
      </c>
      <c r="M85">
        <v>42</v>
      </c>
    </row>
    <row r="86" spans="1:13" x14ac:dyDescent="0.25">
      <c r="A86" t="s">
        <v>7</v>
      </c>
      <c r="B86">
        <v>126</v>
      </c>
      <c r="C86">
        <v>7</v>
      </c>
      <c r="D86">
        <v>126</v>
      </c>
      <c r="E86">
        <v>7</v>
      </c>
      <c r="F86">
        <v>63</v>
      </c>
      <c r="G86">
        <v>3.5</v>
      </c>
      <c r="H86">
        <v>25.2</v>
      </c>
      <c r="I86">
        <v>1.4</v>
      </c>
      <c r="J86">
        <v>105</v>
      </c>
      <c r="K86">
        <v>105</v>
      </c>
      <c r="L86">
        <v>52.5</v>
      </c>
      <c r="M86">
        <v>21</v>
      </c>
    </row>
    <row r="87" spans="1:13" x14ac:dyDescent="0.25">
      <c r="A87" t="s">
        <v>14</v>
      </c>
      <c r="C87">
        <v>1</v>
      </c>
      <c r="E87" t="s">
        <v>45</v>
      </c>
      <c r="G87" t="s">
        <v>46</v>
      </c>
      <c r="I87" t="s">
        <v>47</v>
      </c>
      <c r="J87">
        <v>1</v>
      </c>
      <c r="K87" t="s">
        <v>45</v>
      </c>
      <c r="L87" t="s">
        <v>46</v>
      </c>
      <c r="M87" t="s">
        <v>47</v>
      </c>
    </row>
    <row r="88" spans="1:13" x14ac:dyDescent="0.25">
      <c r="A88" t="s">
        <v>5</v>
      </c>
      <c r="B88">
        <v>400.25</v>
      </c>
      <c r="C88">
        <v>22.75</v>
      </c>
      <c r="D88">
        <v>264</v>
      </c>
      <c r="E88">
        <v>15</v>
      </c>
      <c r="F88">
        <v>132</v>
      </c>
      <c r="G88">
        <v>7.5</v>
      </c>
      <c r="H88">
        <v>52.8</v>
      </c>
      <c r="I88">
        <v>3</v>
      </c>
      <c r="J88">
        <v>332</v>
      </c>
      <c r="K88">
        <v>219</v>
      </c>
      <c r="L88">
        <v>109.5</v>
      </c>
      <c r="M88">
        <v>43.8</v>
      </c>
    </row>
    <row r="89" spans="1:13" x14ac:dyDescent="0.25">
      <c r="A89" t="s">
        <v>6</v>
      </c>
      <c r="B89">
        <v>229</v>
      </c>
      <c r="C89">
        <v>13</v>
      </c>
      <c r="D89">
        <v>229</v>
      </c>
      <c r="E89">
        <v>13</v>
      </c>
      <c r="F89">
        <v>114.5</v>
      </c>
      <c r="G89">
        <v>6.5</v>
      </c>
      <c r="H89">
        <v>45.8</v>
      </c>
      <c r="I89">
        <v>2.6</v>
      </c>
      <c r="J89">
        <v>190</v>
      </c>
      <c r="K89">
        <v>190</v>
      </c>
      <c r="L89">
        <v>95</v>
      </c>
      <c r="M89">
        <v>38</v>
      </c>
    </row>
    <row r="90" spans="1:13" x14ac:dyDescent="0.25">
      <c r="A90" t="s">
        <v>7</v>
      </c>
      <c r="B90">
        <v>114.5</v>
      </c>
      <c r="C90">
        <v>6.5</v>
      </c>
      <c r="D90">
        <v>114.5</v>
      </c>
      <c r="E90">
        <v>6.5</v>
      </c>
      <c r="F90">
        <v>57.25</v>
      </c>
      <c r="G90">
        <v>3.25</v>
      </c>
      <c r="H90">
        <v>22.9</v>
      </c>
      <c r="I90">
        <v>1.3</v>
      </c>
      <c r="J90">
        <v>95</v>
      </c>
      <c r="K90">
        <v>95</v>
      </c>
      <c r="L90">
        <v>47.5</v>
      </c>
      <c r="M90">
        <v>19</v>
      </c>
    </row>
    <row r="91" spans="1:13" x14ac:dyDescent="0.25">
      <c r="A91" t="s">
        <v>15</v>
      </c>
      <c r="C91">
        <v>1</v>
      </c>
      <c r="E91" t="s">
        <v>45</v>
      </c>
      <c r="G91" t="s">
        <v>46</v>
      </c>
      <c r="I91" t="s">
        <v>47</v>
      </c>
      <c r="J91">
        <v>1</v>
      </c>
      <c r="K91" t="s">
        <v>45</v>
      </c>
      <c r="L91" t="s">
        <v>46</v>
      </c>
      <c r="M91" t="s">
        <v>47</v>
      </c>
    </row>
    <row r="92" spans="1:13" x14ac:dyDescent="0.25">
      <c r="A92" t="s">
        <v>5</v>
      </c>
      <c r="B92">
        <v>360</v>
      </c>
      <c r="C92">
        <v>20</v>
      </c>
      <c r="D92">
        <v>360</v>
      </c>
      <c r="E92">
        <v>20</v>
      </c>
      <c r="F92">
        <v>48.25</v>
      </c>
      <c r="G92">
        <v>2.75</v>
      </c>
      <c r="H92">
        <v>48.25</v>
      </c>
      <c r="I92">
        <v>2.75</v>
      </c>
      <c r="J92">
        <v>300</v>
      </c>
      <c r="K92">
        <v>300</v>
      </c>
      <c r="L92">
        <v>40</v>
      </c>
      <c r="M92">
        <v>40</v>
      </c>
    </row>
    <row r="93" spans="1:13" x14ac:dyDescent="0.25">
      <c r="A93" t="s">
        <v>6</v>
      </c>
      <c r="B93">
        <v>329.75</v>
      </c>
      <c r="C93">
        <v>18.25</v>
      </c>
      <c r="D93">
        <v>329.75</v>
      </c>
      <c r="E93">
        <v>18.25</v>
      </c>
      <c r="F93">
        <v>36</v>
      </c>
      <c r="G93">
        <v>2</v>
      </c>
      <c r="H93">
        <v>36</v>
      </c>
      <c r="I93">
        <v>2</v>
      </c>
      <c r="J93">
        <v>275</v>
      </c>
      <c r="K93">
        <v>275</v>
      </c>
      <c r="L93">
        <v>30</v>
      </c>
      <c r="M93">
        <v>30</v>
      </c>
    </row>
    <row r="94" spans="1:13" x14ac:dyDescent="0.25">
      <c r="A94" t="s">
        <v>7</v>
      </c>
      <c r="B94">
        <v>165.25</v>
      </c>
      <c r="C94">
        <v>9.25</v>
      </c>
      <c r="D94">
        <v>165.25</v>
      </c>
      <c r="E94">
        <v>9.25</v>
      </c>
      <c r="F94">
        <v>18</v>
      </c>
      <c r="G94">
        <v>1</v>
      </c>
      <c r="H94">
        <v>18</v>
      </c>
      <c r="I94">
        <v>1</v>
      </c>
      <c r="J94">
        <v>137.5</v>
      </c>
      <c r="K94">
        <v>137.5</v>
      </c>
      <c r="L94">
        <v>15</v>
      </c>
      <c r="M94">
        <v>15</v>
      </c>
    </row>
    <row r="95" spans="1:13" x14ac:dyDescent="0.25">
      <c r="A95" t="s">
        <v>16</v>
      </c>
      <c r="C95">
        <v>1</v>
      </c>
      <c r="E95" t="s">
        <v>45</v>
      </c>
      <c r="G95" t="s">
        <v>46</v>
      </c>
      <c r="I95" t="s">
        <v>47</v>
      </c>
      <c r="J95">
        <v>1</v>
      </c>
      <c r="K95" t="s">
        <v>45</v>
      </c>
      <c r="L95" t="s">
        <v>46</v>
      </c>
      <c r="M95" t="s">
        <v>47</v>
      </c>
    </row>
    <row r="96" spans="1:13" x14ac:dyDescent="0.25">
      <c r="A96" t="s">
        <v>5</v>
      </c>
      <c r="B96">
        <v>372.25</v>
      </c>
      <c r="C96">
        <v>20.75</v>
      </c>
      <c r="D96">
        <v>372.25</v>
      </c>
      <c r="E96">
        <v>20.75</v>
      </c>
      <c r="F96">
        <v>48.25</v>
      </c>
      <c r="G96">
        <v>2.75</v>
      </c>
      <c r="H96">
        <v>48.25</v>
      </c>
      <c r="I96">
        <v>2.75</v>
      </c>
      <c r="J96">
        <v>310</v>
      </c>
      <c r="K96">
        <v>310</v>
      </c>
      <c r="L96">
        <v>40</v>
      </c>
      <c r="M96">
        <v>40</v>
      </c>
    </row>
    <row r="97" spans="1:13" x14ac:dyDescent="0.25">
      <c r="A97" t="s">
        <v>6</v>
      </c>
      <c r="B97">
        <v>300.25</v>
      </c>
      <c r="C97">
        <v>16.75</v>
      </c>
      <c r="D97">
        <v>300.25</v>
      </c>
      <c r="E97">
        <v>16.75</v>
      </c>
      <c r="F97">
        <v>36</v>
      </c>
      <c r="G97">
        <v>2</v>
      </c>
      <c r="H97">
        <v>36</v>
      </c>
      <c r="I97">
        <v>2</v>
      </c>
      <c r="J97">
        <v>250</v>
      </c>
      <c r="K97">
        <v>250</v>
      </c>
      <c r="L97">
        <v>30</v>
      </c>
      <c r="M97">
        <v>30</v>
      </c>
    </row>
    <row r="98" spans="1:13" x14ac:dyDescent="0.25">
      <c r="A98" t="s">
        <v>7</v>
      </c>
      <c r="B98">
        <v>126</v>
      </c>
      <c r="C98">
        <v>7</v>
      </c>
      <c r="D98">
        <v>126</v>
      </c>
      <c r="E98">
        <v>7</v>
      </c>
      <c r="F98">
        <v>18</v>
      </c>
      <c r="G98">
        <v>1</v>
      </c>
      <c r="H98">
        <v>18</v>
      </c>
      <c r="I98">
        <v>1</v>
      </c>
      <c r="J98">
        <v>105</v>
      </c>
      <c r="K98">
        <v>105</v>
      </c>
      <c r="L98">
        <v>15</v>
      </c>
      <c r="M98">
        <v>15</v>
      </c>
    </row>
    <row r="99" spans="1:13" x14ac:dyDescent="0.25">
      <c r="A99" t="s">
        <v>17</v>
      </c>
      <c r="C99">
        <v>1</v>
      </c>
      <c r="E99" t="s">
        <v>45</v>
      </c>
      <c r="G99" t="s">
        <v>46</v>
      </c>
      <c r="I99" t="s">
        <v>47</v>
      </c>
      <c r="J99">
        <v>1</v>
      </c>
      <c r="K99" t="s">
        <v>45</v>
      </c>
      <c r="L99" t="s">
        <v>46</v>
      </c>
      <c r="M99" t="s">
        <v>47</v>
      </c>
    </row>
    <row r="100" spans="1:13" x14ac:dyDescent="0.25">
      <c r="A100" t="s">
        <v>9</v>
      </c>
      <c r="B100">
        <v>396.75</v>
      </c>
      <c r="C100">
        <v>17.25</v>
      </c>
      <c r="D100">
        <v>396.75</v>
      </c>
      <c r="E100">
        <v>17.25</v>
      </c>
      <c r="F100">
        <v>198.39</v>
      </c>
      <c r="G100">
        <v>8.6300000000000008</v>
      </c>
      <c r="H100">
        <v>79.349999999999994</v>
      </c>
      <c r="I100">
        <v>3.45</v>
      </c>
      <c r="J100">
        <v>345</v>
      </c>
      <c r="K100">
        <v>345</v>
      </c>
      <c r="L100">
        <v>172.5</v>
      </c>
      <c r="M100">
        <v>69</v>
      </c>
    </row>
    <row r="101" spans="1:13" x14ac:dyDescent="0.25">
      <c r="A101" t="s">
        <v>10</v>
      </c>
      <c r="B101">
        <v>345</v>
      </c>
      <c r="C101">
        <v>15</v>
      </c>
      <c r="D101">
        <v>345</v>
      </c>
      <c r="E101">
        <v>15</v>
      </c>
      <c r="F101">
        <v>172.5</v>
      </c>
      <c r="G101">
        <v>7.5</v>
      </c>
      <c r="H101">
        <v>69</v>
      </c>
      <c r="I101">
        <v>3</v>
      </c>
      <c r="J101">
        <v>300</v>
      </c>
      <c r="K101">
        <v>300</v>
      </c>
      <c r="L101">
        <v>150</v>
      </c>
      <c r="M101">
        <v>60</v>
      </c>
    </row>
    <row r="102" spans="1:13" x14ac:dyDescent="0.25">
      <c r="A102" t="s">
        <v>7</v>
      </c>
      <c r="B102">
        <v>172.5</v>
      </c>
      <c r="C102">
        <v>7.5</v>
      </c>
      <c r="D102">
        <v>172.5</v>
      </c>
      <c r="E102">
        <v>7.5</v>
      </c>
      <c r="F102">
        <v>86.25</v>
      </c>
      <c r="G102">
        <v>3.75</v>
      </c>
      <c r="H102">
        <v>34.5</v>
      </c>
      <c r="I102">
        <v>1.5</v>
      </c>
      <c r="J102">
        <v>150</v>
      </c>
      <c r="K102">
        <v>150</v>
      </c>
      <c r="L102">
        <v>75</v>
      </c>
      <c r="M102">
        <v>30</v>
      </c>
    </row>
    <row r="103" spans="1:13" x14ac:dyDescent="0.25">
      <c r="A103" t="s">
        <v>18</v>
      </c>
      <c r="C103">
        <v>1</v>
      </c>
      <c r="E103" t="s">
        <v>45</v>
      </c>
      <c r="G103" t="s">
        <v>46</v>
      </c>
      <c r="I103" t="s">
        <v>47</v>
      </c>
      <c r="J103">
        <v>1</v>
      </c>
      <c r="K103" t="s">
        <v>45</v>
      </c>
      <c r="L103" t="s">
        <v>46</v>
      </c>
      <c r="M103" t="s">
        <v>47</v>
      </c>
    </row>
    <row r="104" spans="1:13" x14ac:dyDescent="0.25">
      <c r="A104" t="s">
        <v>19</v>
      </c>
      <c r="B104">
        <v>341.5</v>
      </c>
      <c r="C104">
        <v>18.5</v>
      </c>
      <c r="D104">
        <v>234.25</v>
      </c>
      <c r="E104">
        <v>12.75</v>
      </c>
      <c r="F104">
        <v>117.14</v>
      </c>
      <c r="G104">
        <v>6.38</v>
      </c>
      <c r="H104">
        <v>46.85</v>
      </c>
      <c r="I104">
        <v>2.5499999999999998</v>
      </c>
      <c r="J104">
        <v>286</v>
      </c>
      <c r="K104">
        <v>196</v>
      </c>
      <c r="L104">
        <v>98</v>
      </c>
      <c r="M104">
        <v>39.200000000000003</v>
      </c>
    </row>
    <row r="105" spans="1:13" x14ac:dyDescent="0.25">
      <c r="A105" t="s">
        <v>4</v>
      </c>
      <c r="C105">
        <v>1</v>
      </c>
      <c r="E105" t="s">
        <v>45</v>
      </c>
      <c r="G105" t="s">
        <v>46</v>
      </c>
      <c r="I105" t="s">
        <v>47</v>
      </c>
      <c r="J105">
        <v>1</v>
      </c>
      <c r="K105" t="s">
        <v>45</v>
      </c>
      <c r="L105" t="s">
        <v>46</v>
      </c>
      <c r="M105" t="s">
        <v>47</v>
      </c>
    </row>
    <row r="106" spans="1:13" x14ac:dyDescent="0.25">
      <c r="A106" t="s">
        <v>5</v>
      </c>
      <c r="B106">
        <v>290</v>
      </c>
      <c r="C106">
        <v>16</v>
      </c>
      <c r="D106">
        <v>290</v>
      </c>
      <c r="E106">
        <v>16</v>
      </c>
      <c r="F106">
        <v>145</v>
      </c>
      <c r="G106">
        <v>8</v>
      </c>
      <c r="H106">
        <v>58</v>
      </c>
      <c r="I106">
        <v>3.2</v>
      </c>
      <c r="J106">
        <v>242</v>
      </c>
      <c r="K106">
        <v>242</v>
      </c>
      <c r="L106">
        <v>121</v>
      </c>
      <c r="M106">
        <v>48.4</v>
      </c>
    </row>
    <row r="107" spans="1:13" x14ac:dyDescent="0.25">
      <c r="A107" t="s">
        <v>6</v>
      </c>
      <c r="B107">
        <v>252</v>
      </c>
      <c r="C107">
        <v>14</v>
      </c>
      <c r="D107">
        <v>252</v>
      </c>
      <c r="E107">
        <v>14</v>
      </c>
      <c r="F107">
        <v>126</v>
      </c>
      <c r="G107">
        <v>7</v>
      </c>
      <c r="H107">
        <v>50.4</v>
      </c>
      <c r="I107">
        <v>2.8</v>
      </c>
      <c r="J107">
        <v>210</v>
      </c>
      <c r="K107">
        <v>210</v>
      </c>
      <c r="L107">
        <v>105</v>
      </c>
      <c r="M107">
        <v>42</v>
      </c>
    </row>
    <row r="108" spans="1:13" x14ac:dyDescent="0.25">
      <c r="A108" t="s">
        <v>7</v>
      </c>
      <c r="B108">
        <v>126</v>
      </c>
      <c r="C108">
        <v>7</v>
      </c>
      <c r="D108">
        <v>126</v>
      </c>
      <c r="E108">
        <v>7</v>
      </c>
      <c r="F108">
        <v>63</v>
      </c>
      <c r="G108">
        <v>3.5</v>
      </c>
      <c r="H108">
        <v>25.2</v>
      </c>
      <c r="I108">
        <v>1.4</v>
      </c>
      <c r="J108">
        <v>105</v>
      </c>
      <c r="K108">
        <v>105</v>
      </c>
      <c r="L108">
        <v>52.5</v>
      </c>
      <c r="M108">
        <v>21</v>
      </c>
    </row>
    <row r="109" spans="1:13" x14ac:dyDescent="0.25">
      <c r="A109" t="s">
        <v>8</v>
      </c>
      <c r="C109">
        <v>1</v>
      </c>
      <c r="E109" t="s">
        <v>45</v>
      </c>
      <c r="G109" t="s">
        <v>46</v>
      </c>
      <c r="I109" t="s">
        <v>47</v>
      </c>
      <c r="J109">
        <v>1</v>
      </c>
      <c r="K109" t="s">
        <v>45</v>
      </c>
      <c r="L109" t="s">
        <v>46</v>
      </c>
      <c r="M109" t="s">
        <v>47</v>
      </c>
    </row>
    <row r="110" spans="1:13" x14ac:dyDescent="0.25">
      <c r="A110" t="s">
        <v>9</v>
      </c>
      <c r="B110">
        <v>198</v>
      </c>
      <c r="C110">
        <v>11</v>
      </c>
      <c r="D110">
        <v>198</v>
      </c>
      <c r="E110">
        <v>11</v>
      </c>
      <c r="F110">
        <v>99</v>
      </c>
      <c r="G110">
        <v>5.5</v>
      </c>
      <c r="H110">
        <v>39.6</v>
      </c>
      <c r="I110">
        <v>2.2000000000000002</v>
      </c>
      <c r="J110">
        <v>165</v>
      </c>
      <c r="K110">
        <v>165</v>
      </c>
      <c r="L110">
        <v>82.5</v>
      </c>
      <c r="M110">
        <v>33</v>
      </c>
    </row>
    <row r="111" spans="1:13" x14ac:dyDescent="0.25">
      <c r="A111" t="s">
        <v>10</v>
      </c>
      <c r="B111">
        <v>180</v>
      </c>
      <c r="C111">
        <v>10</v>
      </c>
      <c r="D111">
        <v>180</v>
      </c>
      <c r="E111">
        <v>10</v>
      </c>
      <c r="F111">
        <v>90</v>
      </c>
      <c r="G111">
        <v>5</v>
      </c>
      <c r="H111">
        <v>36</v>
      </c>
      <c r="I111">
        <v>2</v>
      </c>
      <c r="J111">
        <v>150</v>
      </c>
      <c r="K111">
        <v>150</v>
      </c>
      <c r="L111">
        <v>75</v>
      </c>
      <c r="M111">
        <v>30</v>
      </c>
    </row>
    <row r="112" spans="1:13" x14ac:dyDescent="0.25">
      <c r="A112" t="s">
        <v>7</v>
      </c>
      <c r="B112">
        <v>90</v>
      </c>
      <c r="C112">
        <v>5</v>
      </c>
      <c r="D112">
        <v>90</v>
      </c>
      <c r="E112">
        <v>5</v>
      </c>
      <c r="F112">
        <v>45</v>
      </c>
      <c r="G112">
        <v>2.5</v>
      </c>
      <c r="H112">
        <v>18</v>
      </c>
      <c r="I112">
        <v>1</v>
      </c>
      <c r="J112">
        <v>75</v>
      </c>
      <c r="K112">
        <v>75</v>
      </c>
      <c r="L112">
        <v>37.5</v>
      </c>
      <c r="M112">
        <v>15</v>
      </c>
    </row>
    <row r="113" spans="1:13" x14ac:dyDescent="0.25">
      <c r="A113" t="s">
        <v>11</v>
      </c>
      <c r="C113">
        <v>1</v>
      </c>
      <c r="E113" t="s">
        <v>45</v>
      </c>
      <c r="G113" t="s">
        <v>46</v>
      </c>
      <c r="I113" t="s">
        <v>47</v>
      </c>
      <c r="J113">
        <v>1</v>
      </c>
      <c r="K113" t="s">
        <v>45</v>
      </c>
      <c r="L113" t="s">
        <v>46</v>
      </c>
      <c r="M113" t="s">
        <v>47</v>
      </c>
    </row>
    <row r="114" spans="1:13" x14ac:dyDescent="0.25">
      <c r="A114" t="s">
        <v>9</v>
      </c>
      <c r="B114">
        <v>234.25</v>
      </c>
      <c r="C114">
        <v>12.75</v>
      </c>
      <c r="D114">
        <v>234.25</v>
      </c>
      <c r="E114">
        <v>12.75</v>
      </c>
      <c r="F114">
        <v>117.14</v>
      </c>
      <c r="G114">
        <v>6.38</v>
      </c>
      <c r="H114">
        <v>46.85</v>
      </c>
      <c r="I114">
        <v>2.5499999999999998</v>
      </c>
      <c r="J114">
        <v>196</v>
      </c>
      <c r="K114">
        <v>196</v>
      </c>
      <c r="L114">
        <v>98</v>
      </c>
      <c r="M114">
        <v>39.200000000000003</v>
      </c>
    </row>
    <row r="115" spans="1:13" x14ac:dyDescent="0.25">
      <c r="A115" t="s">
        <v>10</v>
      </c>
      <c r="B115">
        <v>203</v>
      </c>
      <c r="C115">
        <v>11</v>
      </c>
      <c r="D115">
        <v>203</v>
      </c>
      <c r="E115">
        <v>11</v>
      </c>
      <c r="F115">
        <v>101.5</v>
      </c>
      <c r="G115">
        <v>5.5</v>
      </c>
      <c r="H115">
        <v>40.6</v>
      </c>
      <c r="I115">
        <v>2.2000000000000002</v>
      </c>
      <c r="J115">
        <v>170</v>
      </c>
      <c r="K115">
        <v>170</v>
      </c>
      <c r="L115">
        <v>85</v>
      </c>
      <c r="M115">
        <v>34</v>
      </c>
    </row>
    <row r="116" spans="1:13" x14ac:dyDescent="0.25">
      <c r="A116" t="s">
        <v>7</v>
      </c>
      <c r="B116">
        <v>101.5</v>
      </c>
      <c r="C116">
        <v>5.5</v>
      </c>
      <c r="D116">
        <v>101.5</v>
      </c>
      <c r="E116">
        <v>5.5</v>
      </c>
      <c r="F116">
        <v>50.75</v>
      </c>
      <c r="G116">
        <v>2.75</v>
      </c>
      <c r="H116">
        <v>20.3</v>
      </c>
      <c r="I116">
        <v>1.1000000000000001</v>
      </c>
      <c r="J116">
        <v>85</v>
      </c>
      <c r="K116">
        <v>85</v>
      </c>
      <c r="L116">
        <v>42.5</v>
      </c>
      <c r="M116">
        <v>17</v>
      </c>
    </row>
    <row r="117" spans="1:13" x14ac:dyDescent="0.25">
      <c r="A117" t="s">
        <v>12</v>
      </c>
      <c r="C117">
        <v>1</v>
      </c>
      <c r="E117" t="s">
        <v>45</v>
      </c>
      <c r="G117" t="s">
        <v>46</v>
      </c>
      <c r="I117" t="s">
        <v>47</v>
      </c>
      <c r="J117">
        <v>1</v>
      </c>
      <c r="K117" t="s">
        <v>45</v>
      </c>
      <c r="L117" t="s">
        <v>46</v>
      </c>
      <c r="M117" t="s">
        <v>47</v>
      </c>
    </row>
    <row r="118" spans="1:13" x14ac:dyDescent="0.25">
      <c r="A118" t="s">
        <v>13</v>
      </c>
      <c r="B118">
        <v>453</v>
      </c>
      <c r="C118">
        <v>25</v>
      </c>
      <c r="D118">
        <v>290</v>
      </c>
      <c r="E118">
        <v>16</v>
      </c>
      <c r="F118">
        <v>145</v>
      </c>
      <c r="G118">
        <v>8</v>
      </c>
      <c r="H118">
        <v>58</v>
      </c>
      <c r="I118">
        <v>3.2</v>
      </c>
      <c r="J118">
        <v>378</v>
      </c>
      <c r="K118">
        <v>242</v>
      </c>
      <c r="L118">
        <v>121</v>
      </c>
      <c r="M118">
        <v>48.4</v>
      </c>
    </row>
    <row r="119" spans="1:13" x14ac:dyDescent="0.25">
      <c r="A119" t="s">
        <v>6</v>
      </c>
      <c r="B119">
        <v>252</v>
      </c>
      <c r="C119">
        <v>14</v>
      </c>
      <c r="D119">
        <v>252</v>
      </c>
      <c r="E119">
        <v>14</v>
      </c>
      <c r="F119">
        <v>126</v>
      </c>
      <c r="G119">
        <v>7</v>
      </c>
      <c r="H119">
        <v>50.4</v>
      </c>
      <c r="I119">
        <v>2.8</v>
      </c>
      <c r="J119">
        <v>210</v>
      </c>
      <c r="K119">
        <v>210</v>
      </c>
      <c r="L119">
        <v>105</v>
      </c>
      <c r="M119">
        <v>42</v>
      </c>
    </row>
    <row r="120" spans="1:13" x14ac:dyDescent="0.25">
      <c r="A120" t="s">
        <v>7</v>
      </c>
      <c r="B120">
        <v>126</v>
      </c>
      <c r="C120">
        <v>7</v>
      </c>
      <c r="D120">
        <v>126</v>
      </c>
      <c r="E120">
        <v>7</v>
      </c>
      <c r="F120">
        <v>63</v>
      </c>
      <c r="G120">
        <v>3.5</v>
      </c>
      <c r="H120">
        <v>25.2</v>
      </c>
      <c r="I120">
        <v>1.4</v>
      </c>
      <c r="J120">
        <v>105</v>
      </c>
      <c r="K120">
        <v>105</v>
      </c>
      <c r="L120">
        <v>52.5</v>
      </c>
      <c r="M120">
        <v>21</v>
      </c>
    </row>
    <row r="121" spans="1:13" x14ac:dyDescent="0.25">
      <c r="A121" t="s">
        <v>14</v>
      </c>
      <c r="C121">
        <v>1</v>
      </c>
      <c r="E121" t="s">
        <v>45</v>
      </c>
      <c r="G121" t="s">
        <v>46</v>
      </c>
      <c r="I121" t="s">
        <v>47</v>
      </c>
      <c r="J121">
        <v>1</v>
      </c>
      <c r="K121" t="s">
        <v>45</v>
      </c>
      <c r="L121" t="s">
        <v>46</v>
      </c>
      <c r="M121" t="s">
        <v>47</v>
      </c>
    </row>
    <row r="122" spans="1:13" x14ac:dyDescent="0.25">
      <c r="A122" t="s">
        <v>5</v>
      </c>
      <c r="B122">
        <v>400.25</v>
      </c>
      <c r="C122">
        <v>22.75</v>
      </c>
      <c r="D122">
        <v>264</v>
      </c>
      <c r="E122">
        <v>15</v>
      </c>
      <c r="F122">
        <v>132</v>
      </c>
      <c r="G122">
        <v>7.5</v>
      </c>
      <c r="H122">
        <v>52.8</v>
      </c>
      <c r="I122">
        <v>3</v>
      </c>
      <c r="J122">
        <v>332</v>
      </c>
      <c r="K122">
        <v>219</v>
      </c>
      <c r="L122">
        <v>109.5</v>
      </c>
      <c r="M122">
        <v>43.8</v>
      </c>
    </row>
    <row r="123" spans="1:13" x14ac:dyDescent="0.25">
      <c r="A123" t="s">
        <v>6</v>
      </c>
      <c r="B123">
        <v>229</v>
      </c>
      <c r="C123">
        <v>13</v>
      </c>
      <c r="D123">
        <v>229</v>
      </c>
      <c r="E123">
        <v>13</v>
      </c>
      <c r="F123">
        <v>114.5</v>
      </c>
      <c r="G123">
        <v>6.5</v>
      </c>
      <c r="H123">
        <v>45.8</v>
      </c>
      <c r="I123">
        <v>2.6</v>
      </c>
      <c r="J123">
        <v>190</v>
      </c>
      <c r="K123">
        <v>190</v>
      </c>
      <c r="L123">
        <v>95</v>
      </c>
      <c r="M123">
        <v>38</v>
      </c>
    </row>
    <row r="124" spans="1:13" x14ac:dyDescent="0.25">
      <c r="A124" t="s">
        <v>7</v>
      </c>
      <c r="B124">
        <v>114.5</v>
      </c>
      <c r="C124">
        <v>6.5</v>
      </c>
      <c r="D124">
        <v>114.5</v>
      </c>
      <c r="E124">
        <v>6.5</v>
      </c>
      <c r="F124">
        <v>57.25</v>
      </c>
      <c r="G124">
        <v>3.25</v>
      </c>
      <c r="H124">
        <v>22.9</v>
      </c>
      <c r="I124">
        <v>1.3</v>
      </c>
      <c r="J124">
        <v>95</v>
      </c>
      <c r="K124">
        <v>95</v>
      </c>
      <c r="L124">
        <v>47.5</v>
      </c>
      <c r="M124">
        <v>19</v>
      </c>
    </row>
    <row r="125" spans="1:13" x14ac:dyDescent="0.25">
      <c r="A125" t="s">
        <v>15</v>
      </c>
      <c r="C125">
        <v>1</v>
      </c>
      <c r="E125" t="s">
        <v>45</v>
      </c>
      <c r="G125" t="s">
        <v>46</v>
      </c>
      <c r="I125" t="s">
        <v>47</v>
      </c>
      <c r="J125">
        <v>1</v>
      </c>
      <c r="K125" t="s">
        <v>45</v>
      </c>
      <c r="L125" t="s">
        <v>46</v>
      </c>
      <c r="M125" t="s">
        <v>47</v>
      </c>
    </row>
    <row r="126" spans="1:13" x14ac:dyDescent="0.25">
      <c r="A126" t="s">
        <v>5</v>
      </c>
      <c r="B126">
        <v>360</v>
      </c>
      <c r="C126">
        <v>20</v>
      </c>
      <c r="D126">
        <v>360</v>
      </c>
      <c r="E126">
        <v>20</v>
      </c>
      <c r="F126">
        <v>48.25</v>
      </c>
      <c r="G126">
        <v>2.75</v>
      </c>
      <c r="H126">
        <v>48.25</v>
      </c>
      <c r="I126">
        <v>2.75</v>
      </c>
      <c r="J126">
        <v>300</v>
      </c>
      <c r="K126">
        <v>300</v>
      </c>
      <c r="L126">
        <v>40</v>
      </c>
      <c r="M126">
        <v>40</v>
      </c>
    </row>
    <row r="127" spans="1:13" x14ac:dyDescent="0.25">
      <c r="A127" t="s">
        <v>6</v>
      </c>
      <c r="B127">
        <v>329.75</v>
      </c>
      <c r="C127">
        <v>18.25</v>
      </c>
      <c r="D127">
        <v>329.75</v>
      </c>
      <c r="E127">
        <v>18.25</v>
      </c>
      <c r="F127">
        <v>36</v>
      </c>
      <c r="G127">
        <v>2</v>
      </c>
      <c r="H127">
        <v>36</v>
      </c>
      <c r="I127">
        <v>2</v>
      </c>
      <c r="J127">
        <v>275</v>
      </c>
      <c r="K127">
        <v>275</v>
      </c>
      <c r="L127">
        <v>30</v>
      </c>
      <c r="M127">
        <v>30</v>
      </c>
    </row>
    <row r="128" spans="1:13" x14ac:dyDescent="0.25">
      <c r="A128" t="s">
        <v>7</v>
      </c>
      <c r="B128">
        <v>165.25</v>
      </c>
      <c r="C128">
        <v>9.25</v>
      </c>
      <c r="D128">
        <v>165.25</v>
      </c>
      <c r="E128">
        <v>9.25</v>
      </c>
      <c r="F128">
        <v>18</v>
      </c>
      <c r="G128">
        <v>1</v>
      </c>
      <c r="H128">
        <v>18</v>
      </c>
      <c r="I128">
        <v>1</v>
      </c>
      <c r="J128">
        <v>137.5</v>
      </c>
      <c r="K128">
        <v>137.5</v>
      </c>
      <c r="L128">
        <v>15</v>
      </c>
      <c r="M128">
        <v>15</v>
      </c>
    </row>
    <row r="129" spans="1:13" x14ac:dyDescent="0.25">
      <c r="A129" t="s">
        <v>16</v>
      </c>
      <c r="C129">
        <v>1</v>
      </c>
      <c r="E129" t="s">
        <v>45</v>
      </c>
      <c r="G129" t="s">
        <v>46</v>
      </c>
      <c r="I129" t="s">
        <v>47</v>
      </c>
      <c r="J129">
        <v>1</v>
      </c>
      <c r="K129" t="s">
        <v>45</v>
      </c>
      <c r="L129" t="s">
        <v>46</v>
      </c>
      <c r="M129" t="s">
        <v>47</v>
      </c>
    </row>
    <row r="130" spans="1:13" x14ac:dyDescent="0.25">
      <c r="A130" t="s">
        <v>5</v>
      </c>
      <c r="B130">
        <v>372.25</v>
      </c>
      <c r="C130">
        <v>20.75</v>
      </c>
      <c r="D130">
        <v>372.25</v>
      </c>
      <c r="E130">
        <v>20.75</v>
      </c>
      <c r="F130">
        <v>48.25</v>
      </c>
      <c r="G130">
        <v>2.75</v>
      </c>
      <c r="H130">
        <v>48.25</v>
      </c>
      <c r="I130">
        <v>2.75</v>
      </c>
      <c r="J130">
        <v>310</v>
      </c>
      <c r="K130">
        <v>310</v>
      </c>
      <c r="L130">
        <v>40</v>
      </c>
      <c r="M130">
        <v>40</v>
      </c>
    </row>
    <row r="131" spans="1:13" x14ac:dyDescent="0.25">
      <c r="A131" t="s">
        <v>6</v>
      </c>
      <c r="B131">
        <v>300.25</v>
      </c>
      <c r="C131">
        <v>16.75</v>
      </c>
      <c r="D131">
        <v>300.25</v>
      </c>
      <c r="E131">
        <v>16.75</v>
      </c>
      <c r="F131">
        <v>36</v>
      </c>
      <c r="G131">
        <v>2</v>
      </c>
      <c r="H131">
        <v>36</v>
      </c>
      <c r="I131">
        <v>2</v>
      </c>
      <c r="J131">
        <v>250</v>
      </c>
      <c r="K131">
        <v>250</v>
      </c>
      <c r="L131">
        <v>30</v>
      </c>
      <c r="M131">
        <v>30</v>
      </c>
    </row>
    <row r="132" spans="1:13" x14ac:dyDescent="0.25">
      <c r="A132" t="s">
        <v>7</v>
      </c>
      <c r="B132">
        <v>126</v>
      </c>
      <c r="C132">
        <v>7</v>
      </c>
      <c r="D132">
        <v>126</v>
      </c>
      <c r="E132">
        <v>7</v>
      </c>
      <c r="F132">
        <v>18</v>
      </c>
      <c r="G132">
        <v>1</v>
      </c>
      <c r="H132">
        <v>18</v>
      </c>
      <c r="I132">
        <v>1</v>
      </c>
      <c r="J132">
        <v>105</v>
      </c>
      <c r="K132">
        <v>105</v>
      </c>
      <c r="L132">
        <v>15</v>
      </c>
      <c r="M132">
        <v>15</v>
      </c>
    </row>
    <row r="133" spans="1:13" x14ac:dyDescent="0.25">
      <c r="A133" t="s">
        <v>17</v>
      </c>
      <c r="C133">
        <v>1</v>
      </c>
      <c r="E133" t="s">
        <v>45</v>
      </c>
      <c r="G133" t="s">
        <v>46</v>
      </c>
      <c r="I133" t="s">
        <v>47</v>
      </c>
      <c r="J133">
        <v>1</v>
      </c>
      <c r="K133" t="s">
        <v>45</v>
      </c>
      <c r="L133" t="s">
        <v>46</v>
      </c>
      <c r="M133" t="s">
        <v>47</v>
      </c>
    </row>
    <row r="134" spans="1:13" x14ac:dyDescent="0.25">
      <c r="A134" t="s">
        <v>9</v>
      </c>
      <c r="B134">
        <v>396.75</v>
      </c>
      <c r="C134">
        <v>17.25</v>
      </c>
      <c r="D134">
        <v>396.75</v>
      </c>
      <c r="E134">
        <v>17.25</v>
      </c>
      <c r="F134">
        <v>198.39</v>
      </c>
      <c r="G134">
        <v>8.6300000000000008</v>
      </c>
      <c r="H134">
        <v>79.349999999999994</v>
      </c>
      <c r="I134">
        <v>3.45</v>
      </c>
      <c r="J134">
        <v>345</v>
      </c>
      <c r="K134">
        <v>345</v>
      </c>
      <c r="L134">
        <v>172.5</v>
      </c>
      <c r="M134">
        <v>69</v>
      </c>
    </row>
    <row r="135" spans="1:13" x14ac:dyDescent="0.25">
      <c r="A135" t="s">
        <v>10</v>
      </c>
      <c r="B135">
        <v>345</v>
      </c>
      <c r="C135">
        <v>15</v>
      </c>
      <c r="D135">
        <v>345</v>
      </c>
      <c r="E135">
        <v>15</v>
      </c>
      <c r="F135">
        <v>172.5</v>
      </c>
      <c r="G135">
        <v>7.5</v>
      </c>
      <c r="H135">
        <v>69</v>
      </c>
      <c r="I135">
        <v>3</v>
      </c>
      <c r="J135">
        <v>300</v>
      </c>
      <c r="K135">
        <v>300</v>
      </c>
      <c r="L135">
        <v>150</v>
      </c>
      <c r="M135">
        <v>60</v>
      </c>
    </row>
    <row r="136" spans="1:13" x14ac:dyDescent="0.25">
      <c r="A136" t="s">
        <v>7</v>
      </c>
      <c r="B136">
        <v>172.5</v>
      </c>
      <c r="C136">
        <v>7.5</v>
      </c>
      <c r="D136">
        <v>172.5</v>
      </c>
      <c r="E136">
        <v>7.5</v>
      </c>
      <c r="F136">
        <v>86.25</v>
      </c>
      <c r="G136">
        <v>3.75</v>
      </c>
      <c r="H136">
        <v>34.5</v>
      </c>
      <c r="I136">
        <v>1.5</v>
      </c>
      <c r="J136">
        <v>150</v>
      </c>
      <c r="K136">
        <v>150</v>
      </c>
      <c r="L136">
        <v>75</v>
      </c>
      <c r="M136">
        <v>30</v>
      </c>
    </row>
    <row r="137" spans="1:13" x14ac:dyDescent="0.25">
      <c r="A137" t="s">
        <v>18</v>
      </c>
      <c r="C137">
        <v>1</v>
      </c>
      <c r="E137" t="s">
        <v>45</v>
      </c>
      <c r="G137" t="s">
        <v>46</v>
      </c>
      <c r="I137" t="s">
        <v>47</v>
      </c>
      <c r="J137">
        <v>1</v>
      </c>
      <c r="K137" t="s">
        <v>45</v>
      </c>
      <c r="L137" t="s">
        <v>46</v>
      </c>
      <c r="M137" t="s">
        <v>47</v>
      </c>
    </row>
    <row r="138" spans="1:13" x14ac:dyDescent="0.25">
      <c r="A138" t="s">
        <v>19</v>
      </c>
      <c r="B138">
        <v>341.5</v>
      </c>
      <c r="C138">
        <v>18.5</v>
      </c>
      <c r="D138">
        <v>234.25</v>
      </c>
      <c r="E138">
        <v>12.75</v>
      </c>
      <c r="F138">
        <v>117.14</v>
      </c>
      <c r="G138">
        <v>6.38</v>
      </c>
      <c r="H138">
        <v>46.85</v>
      </c>
      <c r="I138">
        <v>2.5499999999999998</v>
      </c>
      <c r="J138">
        <v>286</v>
      </c>
      <c r="K138">
        <v>196</v>
      </c>
      <c r="L138">
        <v>98</v>
      </c>
      <c r="M138">
        <v>39.200000000000003</v>
      </c>
    </row>
    <row r="139" spans="1:13" x14ac:dyDescent="0.25">
      <c r="A139" t="s">
        <v>20</v>
      </c>
      <c r="C139">
        <v>1</v>
      </c>
      <c r="E139" t="s">
        <v>45</v>
      </c>
      <c r="G139" t="s">
        <v>46</v>
      </c>
      <c r="I139" t="s">
        <v>47</v>
      </c>
      <c r="J139">
        <v>1</v>
      </c>
      <c r="K139" t="s">
        <v>45</v>
      </c>
      <c r="L139" t="s">
        <v>46</v>
      </c>
      <c r="M139" t="s">
        <v>47</v>
      </c>
    </row>
    <row r="140" spans="1:13" x14ac:dyDescent="0.25">
      <c r="A140" t="s">
        <v>9</v>
      </c>
      <c r="B140">
        <v>466.75</v>
      </c>
      <c r="C140">
        <v>22.25</v>
      </c>
      <c r="D140">
        <v>315</v>
      </c>
      <c r="E140">
        <v>15</v>
      </c>
      <c r="F140">
        <v>0</v>
      </c>
      <c r="G140">
        <v>0</v>
      </c>
      <c r="H140">
        <v>0</v>
      </c>
      <c r="I140">
        <v>0</v>
      </c>
      <c r="J140">
        <v>400</v>
      </c>
      <c r="K140">
        <v>270</v>
      </c>
      <c r="L140">
        <v>0</v>
      </c>
      <c r="M140">
        <v>0</v>
      </c>
    </row>
    <row r="141" spans="1:13" x14ac:dyDescent="0.25">
      <c r="A141" t="s">
        <v>10</v>
      </c>
      <c r="B141">
        <v>315</v>
      </c>
      <c r="C141">
        <v>15</v>
      </c>
      <c r="D141">
        <v>315</v>
      </c>
      <c r="E141">
        <v>15</v>
      </c>
      <c r="F141">
        <v>0</v>
      </c>
      <c r="G141">
        <v>0</v>
      </c>
      <c r="H141">
        <v>0</v>
      </c>
      <c r="I141">
        <v>0</v>
      </c>
      <c r="J141">
        <v>270</v>
      </c>
      <c r="K141">
        <v>270</v>
      </c>
      <c r="L141">
        <v>0</v>
      </c>
      <c r="M141">
        <v>0</v>
      </c>
    </row>
    <row r="142" spans="1:13" x14ac:dyDescent="0.25">
      <c r="A142" t="s">
        <v>7</v>
      </c>
      <c r="B142">
        <v>157.5</v>
      </c>
      <c r="C142">
        <v>7.5</v>
      </c>
      <c r="D142">
        <v>157.5</v>
      </c>
      <c r="E142">
        <v>7.5</v>
      </c>
      <c r="F142">
        <v>0</v>
      </c>
      <c r="G142">
        <v>0</v>
      </c>
      <c r="H142">
        <v>0</v>
      </c>
      <c r="I142">
        <v>0</v>
      </c>
      <c r="J142">
        <v>135</v>
      </c>
      <c r="K142">
        <v>135</v>
      </c>
      <c r="L142">
        <v>0</v>
      </c>
      <c r="M142">
        <v>0</v>
      </c>
    </row>
    <row r="143" spans="1:13" x14ac:dyDescent="0.25">
      <c r="A143" t="s">
        <v>21</v>
      </c>
      <c r="C143">
        <v>1</v>
      </c>
      <c r="E143">
        <v>45329</v>
      </c>
      <c r="G143" t="s">
        <v>46</v>
      </c>
      <c r="I143" t="s">
        <v>47</v>
      </c>
      <c r="J143">
        <v>1</v>
      </c>
      <c r="K143">
        <v>45329</v>
      </c>
      <c r="L143">
        <v>45514</v>
      </c>
      <c r="M143" t="s">
        <v>47</v>
      </c>
    </row>
    <row r="144" spans="1:13" x14ac:dyDescent="0.25">
      <c r="A144" t="s">
        <v>13</v>
      </c>
      <c r="B144">
        <v>311.75</v>
      </c>
      <c r="C144">
        <v>17.25</v>
      </c>
      <c r="D144">
        <v>311.75</v>
      </c>
      <c r="E144">
        <v>17.25</v>
      </c>
      <c r="F144">
        <v>48.25</v>
      </c>
      <c r="G144">
        <v>2.75</v>
      </c>
      <c r="H144">
        <v>48.25</v>
      </c>
      <c r="I144">
        <v>2.75</v>
      </c>
      <c r="J144">
        <v>260</v>
      </c>
      <c r="K144">
        <v>260</v>
      </c>
      <c r="L144">
        <v>40</v>
      </c>
      <c r="M144">
        <v>40</v>
      </c>
    </row>
    <row r="145" spans="1:13" x14ac:dyDescent="0.25">
      <c r="A145" t="s">
        <v>6</v>
      </c>
      <c r="B145">
        <v>293.75</v>
      </c>
      <c r="C145">
        <v>16.25</v>
      </c>
      <c r="D145">
        <v>293.75</v>
      </c>
      <c r="E145">
        <v>16.25</v>
      </c>
      <c r="F145">
        <v>36</v>
      </c>
      <c r="G145">
        <v>2</v>
      </c>
      <c r="H145">
        <v>36</v>
      </c>
      <c r="I145">
        <v>2</v>
      </c>
      <c r="J145">
        <v>245</v>
      </c>
      <c r="K145">
        <v>245</v>
      </c>
      <c r="L145">
        <v>30</v>
      </c>
      <c r="M145">
        <v>30</v>
      </c>
    </row>
    <row r="146" spans="1:13" x14ac:dyDescent="0.25">
      <c r="A146" t="s">
        <v>7</v>
      </c>
      <c r="B146">
        <v>147.25</v>
      </c>
      <c r="C146">
        <v>8.25</v>
      </c>
      <c r="D146">
        <v>147.25</v>
      </c>
      <c r="E146">
        <v>8.25</v>
      </c>
      <c r="F146">
        <v>18</v>
      </c>
      <c r="G146">
        <v>1</v>
      </c>
      <c r="H146">
        <v>18</v>
      </c>
      <c r="I146">
        <v>1</v>
      </c>
      <c r="J146">
        <v>122.5</v>
      </c>
      <c r="K146">
        <v>122.5</v>
      </c>
      <c r="L146">
        <v>15</v>
      </c>
      <c r="M146">
        <v>15</v>
      </c>
    </row>
    <row r="147" spans="1:13" x14ac:dyDescent="0.25">
      <c r="A147" t="s">
        <v>22</v>
      </c>
      <c r="C147">
        <v>1</v>
      </c>
      <c r="E147" t="s">
        <v>45</v>
      </c>
      <c r="G147" t="s">
        <v>46</v>
      </c>
      <c r="I147" t="s">
        <v>47</v>
      </c>
      <c r="J147">
        <v>1</v>
      </c>
      <c r="K147" t="s">
        <v>45</v>
      </c>
      <c r="L147" t="s">
        <v>46</v>
      </c>
      <c r="M147" t="s">
        <v>47</v>
      </c>
    </row>
    <row r="148" spans="1:13" x14ac:dyDescent="0.25">
      <c r="A148" t="s">
        <v>5</v>
      </c>
      <c r="B148">
        <v>264</v>
      </c>
      <c r="C148">
        <v>15</v>
      </c>
      <c r="D148">
        <v>264</v>
      </c>
      <c r="E148">
        <v>15</v>
      </c>
      <c r="F148">
        <v>132</v>
      </c>
      <c r="G148">
        <v>7.5</v>
      </c>
      <c r="H148">
        <v>52.8</v>
      </c>
      <c r="I148">
        <v>3</v>
      </c>
      <c r="J148">
        <v>219</v>
      </c>
      <c r="K148">
        <v>219</v>
      </c>
      <c r="L148">
        <v>109.5</v>
      </c>
      <c r="M148">
        <v>43.8</v>
      </c>
    </row>
    <row r="149" spans="1:13" x14ac:dyDescent="0.25">
      <c r="A149" t="s">
        <v>6</v>
      </c>
      <c r="B149">
        <v>229</v>
      </c>
      <c r="C149">
        <v>13</v>
      </c>
      <c r="D149">
        <v>229</v>
      </c>
      <c r="E149">
        <v>13</v>
      </c>
      <c r="F149">
        <v>114.5</v>
      </c>
      <c r="G149">
        <v>6.5</v>
      </c>
      <c r="H149">
        <v>45.8</v>
      </c>
      <c r="I149">
        <v>2.6</v>
      </c>
      <c r="J149">
        <v>190</v>
      </c>
      <c r="K149">
        <v>190</v>
      </c>
      <c r="L149">
        <v>95</v>
      </c>
      <c r="M149">
        <v>38</v>
      </c>
    </row>
    <row r="150" spans="1:13" x14ac:dyDescent="0.25">
      <c r="A150" t="s">
        <v>7</v>
      </c>
      <c r="B150">
        <v>114.5</v>
      </c>
      <c r="C150">
        <v>6.5</v>
      </c>
      <c r="D150">
        <v>114.5</v>
      </c>
      <c r="E150">
        <v>6.5</v>
      </c>
      <c r="F150">
        <v>57.25</v>
      </c>
      <c r="G150">
        <v>3.25</v>
      </c>
      <c r="H150">
        <v>22.9</v>
      </c>
      <c r="I150">
        <v>1.3</v>
      </c>
      <c r="J150">
        <v>95</v>
      </c>
      <c r="K150">
        <v>95</v>
      </c>
      <c r="L150">
        <v>47.5</v>
      </c>
      <c r="M150">
        <v>19</v>
      </c>
    </row>
    <row r="151" spans="1:13" x14ac:dyDescent="0.25">
      <c r="A151" t="s">
        <v>23</v>
      </c>
      <c r="C151">
        <v>1</v>
      </c>
      <c r="E151" t="s">
        <v>45</v>
      </c>
      <c r="G151" t="s">
        <v>46</v>
      </c>
      <c r="I151" t="s">
        <v>47</v>
      </c>
      <c r="J151">
        <v>1</v>
      </c>
      <c r="K151" t="s">
        <v>45</v>
      </c>
      <c r="L151" t="s">
        <v>46</v>
      </c>
      <c r="M151" t="s">
        <v>47</v>
      </c>
    </row>
    <row r="152" spans="1:13" x14ac:dyDescent="0.25">
      <c r="A152" t="s">
        <v>5</v>
      </c>
      <c r="B152">
        <v>480.25</v>
      </c>
      <c r="C152">
        <v>26.75</v>
      </c>
      <c r="D152">
        <v>360</v>
      </c>
      <c r="E152">
        <v>20</v>
      </c>
      <c r="F152">
        <v>48.25</v>
      </c>
      <c r="G152">
        <v>2.75</v>
      </c>
      <c r="H152">
        <v>48.25</v>
      </c>
      <c r="I152">
        <v>2.75</v>
      </c>
      <c r="J152">
        <v>400</v>
      </c>
      <c r="K152">
        <v>300</v>
      </c>
      <c r="L152">
        <v>40</v>
      </c>
      <c r="M152">
        <v>40</v>
      </c>
    </row>
    <row r="153" spans="1:13" x14ac:dyDescent="0.25">
      <c r="A153" t="s">
        <v>6</v>
      </c>
      <c r="B153">
        <v>360</v>
      </c>
      <c r="C153">
        <v>20</v>
      </c>
      <c r="D153">
        <v>300.25</v>
      </c>
      <c r="E153">
        <v>16.75</v>
      </c>
      <c r="F153">
        <v>36</v>
      </c>
      <c r="G153">
        <v>2</v>
      </c>
      <c r="H153">
        <v>36</v>
      </c>
      <c r="I153">
        <v>2</v>
      </c>
      <c r="J153">
        <v>300</v>
      </c>
      <c r="K153">
        <v>250</v>
      </c>
      <c r="L153">
        <v>30</v>
      </c>
      <c r="M153">
        <v>30</v>
      </c>
    </row>
    <row r="154" spans="1:13" x14ac:dyDescent="0.25">
      <c r="A154" t="s">
        <v>7</v>
      </c>
      <c r="B154">
        <v>149.75</v>
      </c>
      <c r="C154">
        <v>8.25</v>
      </c>
      <c r="D154">
        <v>149.75</v>
      </c>
      <c r="E154">
        <v>8.25</v>
      </c>
      <c r="F154">
        <v>18</v>
      </c>
      <c r="G154">
        <v>1</v>
      </c>
      <c r="H154">
        <v>18</v>
      </c>
      <c r="I154">
        <v>1</v>
      </c>
      <c r="J154">
        <v>125</v>
      </c>
      <c r="K154">
        <v>125</v>
      </c>
      <c r="L154">
        <v>15</v>
      </c>
      <c r="M154">
        <v>15</v>
      </c>
    </row>
    <row r="155" spans="1:13" x14ac:dyDescent="0.25">
      <c r="A155" t="s">
        <v>24</v>
      </c>
      <c r="C155">
        <v>1</v>
      </c>
      <c r="E155" t="s">
        <v>45</v>
      </c>
      <c r="G155" t="s">
        <v>46</v>
      </c>
      <c r="I155" t="s">
        <v>47</v>
      </c>
      <c r="J155">
        <v>1</v>
      </c>
      <c r="K155" t="s">
        <v>45</v>
      </c>
      <c r="L155" t="s">
        <v>46</v>
      </c>
      <c r="M155" t="s">
        <v>47</v>
      </c>
    </row>
    <row r="156" spans="1:13" x14ac:dyDescent="0.25">
      <c r="A156" t="s">
        <v>9</v>
      </c>
      <c r="B156">
        <v>437.75</v>
      </c>
      <c r="C156">
        <v>24.25</v>
      </c>
      <c r="D156">
        <v>437.75</v>
      </c>
      <c r="E156">
        <v>24.25</v>
      </c>
      <c r="F156">
        <v>48.25</v>
      </c>
      <c r="G156">
        <v>2.75</v>
      </c>
      <c r="H156">
        <v>48.25</v>
      </c>
      <c r="I156">
        <v>2.75</v>
      </c>
      <c r="J156">
        <v>365</v>
      </c>
      <c r="K156">
        <v>365</v>
      </c>
      <c r="L156">
        <v>40</v>
      </c>
      <c r="M156">
        <v>40</v>
      </c>
    </row>
    <row r="157" spans="1:13" x14ac:dyDescent="0.25">
      <c r="A157" t="s">
        <v>10</v>
      </c>
      <c r="B157">
        <v>372.25</v>
      </c>
      <c r="C157">
        <v>20.75</v>
      </c>
      <c r="D157">
        <v>372.25</v>
      </c>
      <c r="E157">
        <v>20.75</v>
      </c>
      <c r="F157">
        <v>36</v>
      </c>
      <c r="G157">
        <v>2</v>
      </c>
      <c r="H157">
        <v>36</v>
      </c>
      <c r="I157">
        <v>2</v>
      </c>
      <c r="J157">
        <v>310</v>
      </c>
      <c r="K157">
        <v>310</v>
      </c>
      <c r="L157">
        <v>30</v>
      </c>
      <c r="M157">
        <v>30</v>
      </c>
    </row>
    <row r="158" spans="1:13" x14ac:dyDescent="0.25">
      <c r="A158" t="s">
        <v>7</v>
      </c>
      <c r="B158">
        <v>186.5</v>
      </c>
      <c r="C158">
        <v>10.5</v>
      </c>
      <c r="D158">
        <v>186.5</v>
      </c>
      <c r="E158">
        <v>10.5</v>
      </c>
      <c r="F158">
        <v>18</v>
      </c>
      <c r="G158">
        <v>1</v>
      </c>
      <c r="H158">
        <v>18</v>
      </c>
      <c r="I158">
        <v>1</v>
      </c>
      <c r="J158">
        <v>155</v>
      </c>
      <c r="K158">
        <v>155</v>
      </c>
      <c r="L158">
        <v>15</v>
      </c>
      <c r="M158">
        <v>15</v>
      </c>
    </row>
    <row r="159" spans="1:13" x14ac:dyDescent="0.25">
      <c r="A159" t="s">
        <v>25</v>
      </c>
      <c r="C159">
        <v>1</v>
      </c>
      <c r="E159" t="s">
        <v>45</v>
      </c>
      <c r="G159" t="s">
        <v>46</v>
      </c>
      <c r="I159" t="s">
        <v>47</v>
      </c>
      <c r="J159">
        <v>1</v>
      </c>
      <c r="K159" t="s">
        <v>45</v>
      </c>
      <c r="L159" t="s">
        <v>46</v>
      </c>
      <c r="M159" t="s">
        <v>47</v>
      </c>
    </row>
    <row r="160" spans="1:13" x14ac:dyDescent="0.25">
      <c r="A160" t="s">
        <v>9</v>
      </c>
      <c r="B160">
        <v>426.25</v>
      </c>
      <c r="C160">
        <v>23.75</v>
      </c>
      <c r="D160">
        <v>426.25</v>
      </c>
      <c r="E160">
        <v>23.75</v>
      </c>
      <c r="F160">
        <v>48.25</v>
      </c>
      <c r="G160">
        <v>2.75</v>
      </c>
      <c r="H160">
        <v>48.25</v>
      </c>
      <c r="I160">
        <v>2.75</v>
      </c>
      <c r="J160">
        <v>355</v>
      </c>
      <c r="K160">
        <v>355</v>
      </c>
      <c r="L160">
        <v>40</v>
      </c>
      <c r="M160">
        <v>40</v>
      </c>
    </row>
    <row r="161" spans="1:13" x14ac:dyDescent="0.25">
      <c r="A161" t="s">
        <v>10</v>
      </c>
      <c r="B161">
        <v>311.75</v>
      </c>
      <c r="C161">
        <v>17.25</v>
      </c>
      <c r="D161">
        <v>311.75</v>
      </c>
      <c r="E161">
        <v>17.25</v>
      </c>
      <c r="F161">
        <v>36</v>
      </c>
      <c r="G161">
        <v>2</v>
      </c>
      <c r="H161">
        <v>36</v>
      </c>
      <c r="I161">
        <v>2</v>
      </c>
      <c r="J161">
        <v>260</v>
      </c>
      <c r="K161">
        <v>260</v>
      </c>
      <c r="L161">
        <v>30</v>
      </c>
      <c r="M161">
        <v>30</v>
      </c>
    </row>
    <row r="162" spans="1:13" x14ac:dyDescent="0.25">
      <c r="A162" t="s">
        <v>7</v>
      </c>
      <c r="B162">
        <v>156.25</v>
      </c>
      <c r="C162">
        <v>8.75</v>
      </c>
      <c r="D162">
        <v>156.25</v>
      </c>
      <c r="E162">
        <v>8.75</v>
      </c>
      <c r="F162">
        <v>18</v>
      </c>
      <c r="G162">
        <v>1</v>
      </c>
      <c r="H162">
        <v>18</v>
      </c>
      <c r="I162">
        <v>1</v>
      </c>
      <c r="J162">
        <v>130</v>
      </c>
      <c r="K162">
        <v>130</v>
      </c>
      <c r="L162">
        <v>15</v>
      </c>
      <c r="M162">
        <v>15</v>
      </c>
    </row>
    <row r="163" spans="1:13" x14ac:dyDescent="0.25">
      <c r="A163" t="s">
        <v>26</v>
      </c>
      <c r="C163">
        <v>1</v>
      </c>
      <c r="E163" t="s">
        <v>45</v>
      </c>
      <c r="G163" t="s">
        <v>46</v>
      </c>
      <c r="I163" t="s">
        <v>47</v>
      </c>
      <c r="J163">
        <v>1</v>
      </c>
      <c r="K163" t="s">
        <v>45</v>
      </c>
      <c r="L163" t="s">
        <v>46</v>
      </c>
      <c r="M163" t="s">
        <v>47</v>
      </c>
    </row>
    <row r="164" spans="1:13" x14ac:dyDescent="0.25">
      <c r="A164" t="s">
        <v>9</v>
      </c>
      <c r="B164">
        <v>329.75</v>
      </c>
      <c r="C164">
        <v>18.25</v>
      </c>
      <c r="D164">
        <v>329.75</v>
      </c>
      <c r="E164">
        <v>18.25</v>
      </c>
      <c r="F164">
        <v>48.25</v>
      </c>
      <c r="G164">
        <v>2.75</v>
      </c>
      <c r="H164">
        <v>48.25</v>
      </c>
      <c r="I164">
        <v>2.75</v>
      </c>
      <c r="J164">
        <v>275</v>
      </c>
      <c r="K164">
        <v>275</v>
      </c>
      <c r="L164">
        <v>40</v>
      </c>
      <c r="M164">
        <v>40</v>
      </c>
    </row>
    <row r="165" spans="1:13" x14ac:dyDescent="0.25">
      <c r="A165" t="s">
        <v>10</v>
      </c>
      <c r="B165">
        <v>300.25</v>
      </c>
      <c r="C165">
        <v>16.75</v>
      </c>
      <c r="D165">
        <v>300.25</v>
      </c>
      <c r="E165">
        <v>16.75</v>
      </c>
      <c r="F165">
        <v>36</v>
      </c>
      <c r="G165">
        <v>2</v>
      </c>
      <c r="H165">
        <v>36</v>
      </c>
      <c r="I165">
        <v>2</v>
      </c>
      <c r="J165">
        <v>250</v>
      </c>
      <c r="K165">
        <v>250</v>
      </c>
      <c r="L165">
        <v>30</v>
      </c>
      <c r="M165">
        <v>30</v>
      </c>
    </row>
    <row r="166" spans="1:13" x14ac:dyDescent="0.25">
      <c r="A166" t="s">
        <v>7</v>
      </c>
      <c r="B166">
        <v>150.5</v>
      </c>
      <c r="C166">
        <v>8.5</v>
      </c>
      <c r="D166">
        <v>150.5</v>
      </c>
      <c r="E166">
        <v>8.5</v>
      </c>
      <c r="F166">
        <v>18</v>
      </c>
      <c r="G166">
        <v>1</v>
      </c>
      <c r="H166">
        <v>18</v>
      </c>
      <c r="I166">
        <v>1</v>
      </c>
      <c r="J166">
        <v>125</v>
      </c>
      <c r="K166">
        <v>125</v>
      </c>
      <c r="L166">
        <v>15</v>
      </c>
      <c r="M166">
        <v>15</v>
      </c>
    </row>
    <row r="167" spans="1:13" x14ac:dyDescent="0.25">
      <c r="A167" t="s">
        <v>27</v>
      </c>
      <c r="C167">
        <v>1</v>
      </c>
      <c r="E167" t="s">
        <v>45</v>
      </c>
      <c r="G167" t="s">
        <v>46</v>
      </c>
      <c r="I167" t="s">
        <v>47</v>
      </c>
      <c r="J167">
        <v>1</v>
      </c>
      <c r="K167" t="s">
        <v>45</v>
      </c>
      <c r="L167" t="s">
        <v>46</v>
      </c>
      <c r="M167" t="s">
        <v>47</v>
      </c>
    </row>
    <row r="168" spans="1:13" x14ac:dyDescent="0.25">
      <c r="A168" t="s">
        <v>9</v>
      </c>
      <c r="B168">
        <v>300.25</v>
      </c>
      <c r="C168">
        <v>16.75</v>
      </c>
      <c r="D168">
        <v>300.25</v>
      </c>
      <c r="E168">
        <v>16.75</v>
      </c>
      <c r="F168">
        <v>48.25</v>
      </c>
      <c r="G168">
        <v>2.75</v>
      </c>
      <c r="H168">
        <v>48.25</v>
      </c>
      <c r="I168">
        <v>2.75</v>
      </c>
      <c r="J168">
        <v>250</v>
      </c>
      <c r="K168">
        <v>250</v>
      </c>
      <c r="L168">
        <v>40</v>
      </c>
      <c r="M168">
        <v>40</v>
      </c>
    </row>
    <row r="169" spans="1:13" x14ac:dyDescent="0.25">
      <c r="A169" t="s">
        <v>10</v>
      </c>
      <c r="B169">
        <v>275.75</v>
      </c>
      <c r="C169">
        <v>15.25</v>
      </c>
      <c r="D169">
        <v>275.75</v>
      </c>
      <c r="E169">
        <v>15.25</v>
      </c>
      <c r="F169">
        <v>36</v>
      </c>
      <c r="G169">
        <v>2</v>
      </c>
      <c r="H169">
        <v>36</v>
      </c>
      <c r="I169">
        <v>2</v>
      </c>
      <c r="J169">
        <v>230</v>
      </c>
      <c r="K169">
        <v>230</v>
      </c>
      <c r="L169">
        <v>30</v>
      </c>
      <c r="M169">
        <v>30</v>
      </c>
    </row>
    <row r="170" spans="1:13" x14ac:dyDescent="0.25">
      <c r="A170" t="s">
        <v>7</v>
      </c>
      <c r="B170">
        <v>138.25</v>
      </c>
      <c r="C170">
        <v>7.75</v>
      </c>
      <c r="D170">
        <v>138.25</v>
      </c>
      <c r="E170">
        <v>7.75</v>
      </c>
      <c r="F170">
        <v>18</v>
      </c>
      <c r="G170">
        <v>1</v>
      </c>
      <c r="H170">
        <v>18</v>
      </c>
      <c r="I170">
        <v>1</v>
      </c>
      <c r="J170">
        <v>115</v>
      </c>
      <c r="K170">
        <v>115</v>
      </c>
      <c r="L170">
        <v>15</v>
      </c>
      <c r="M170">
        <v>15</v>
      </c>
    </row>
    <row r="171" spans="1:13" x14ac:dyDescent="0.25">
      <c r="A171" t="s">
        <v>28</v>
      </c>
      <c r="C171">
        <v>1</v>
      </c>
      <c r="E171" t="s">
        <v>45</v>
      </c>
      <c r="G171" t="s">
        <v>46</v>
      </c>
      <c r="I171" t="s">
        <v>47</v>
      </c>
      <c r="J171">
        <v>1</v>
      </c>
      <c r="K171" t="s">
        <v>45</v>
      </c>
      <c r="L171" t="s">
        <v>46</v>
      </c>
      <c r="M171" t="s">
        <v>47</v>
      </c>
    </row>
    <row r="172" spans="1:13" x14ac:dyDescent="0.25">
      <c r="A172" t="s">
        <v>9</v>
      </c>
      <c r="B172">
        <v>293.75</v>
      </c>
      <c r="C172">
        <v>16.25</v>
      </c>
      <c r="D172">
        <v>293.75</v>
      </c>
      <c r="E172">
        <v>16.25</v>
      </c>
      <c r="F172">
        <v>48.25</v>
      </c>
      <c r="G172">
        <v>2.75</v>
      </c>
      <c r="H172">
        <v>48.25</v>
      </c>
      <c r="I172">
        <v>2.75</v>
      </c>
      <c r="J172">
        <v>245</v>
      </c>
      <c r="K172">
        <v>245</v>
      </c>
      <c r="L172">
        <v>40</v>
      </c>
      <c r="M172">
        <v>40</v>
      </c>
    </row>
    <row r="173" spans="1:13" x14ac:dyDescent="0.25">
      <c r="A173" t="s">
        <v>10</v>
      </c>
      <c r="B173">
        <v>264.25</v>
      </c>
      <c r="C173">
        <v>14.75</v>
      </c>
      <c r="D173">
        <v>264.25</v>
      </c>
      <c r="E173">
        <v>14.75</v>
      </c>
      <c r="F173">
        <v>36</v>
      </c>
      <c r="G173">
        <v>2</v>
      </c>
      <c r="H173">
        <v>36</v>
      </c>
      <c r="I173">
        <v>2</v>
      </c>
      <c r="J173">
        <v>220</v>
      </c>
      <c r="K173">
        <v>220</v>
      </c>
      <c r="L173">
        <v>30</v>
      </c>
      <c r="M173">
        <v>30</v>
      </c>
    </row>
    <row r="174" spans="1:13" x14ac:dyDescent="0.25">
      <c r="A174" t="s">
        <v>7</v>
      </c>
      <c r="B174">
        <v>132.5</v>
      </c>
      <c r="C174">
        <v>7.5</v>
      </c>
      <c r="D174">
        <v>132.5</v>
      </c>
      <c r="E174">
        <v>7.5</v>
      </c>
      <c r="F174">
        <v>18</v>
      </c>
      <c r="G174">
        <v>1</v>
      </c>
      <c r="H174">
        <v>18</v>
      </c>
      <c r="I174">
        <v>1</v>
      </c>
      <c r="J174">
        <v>110</v>
      </c>
      <c r="K174">
        <v>110</v>
      </c>
      <c r="L174">
        <v>15</v>
      </c>
      <c r="M174">
        <v>15</v>
      </c>
    </row>
    <row r="175" spans="1:13" x14ac:dyDescent="0.25">
      <c r="A175" t="s">
        <v>29</v>
      </c>
      <c r="C175">
        <v>1</v>
      </c>
      <c r="E175" t="s">
        <v>45</v>
      </c>
      <c r="G175" t="s">
        <v>46</v>
      </c>
      <c r="I175" t="s">
        <v>47</v>
      </c>
      <c r="J175">
        <v>1</v>
      </c>
      <c r="K175" t="s">
        <v>45</v>
      </c>
      <c r="L175" t="s">
        <v>46</v>
      </c>
      <c r="M175" t="s">
        <v>47</v>
      </c>
    </row>
    <row r="176" spans="1:13" x14ac:dyDescent="0.25">
      <c r="A176" t="s">
        <v>9</v>
      </c>
      <c r="B176">
        <v>293.75</v>
      </c>
      <c r="C176">
        <v>16.25</v>
      </c>
      <c r="D176">
        <v>293.75</v>
      </c>
      <c r="E176">
        <v>16.25</v>
      </c>
      <c r="F176">
        <v>48.25</v>
      </c>
      <c r="G176">
        <v>2.75</v>
      </c>
      <c r="H176">
        <v>48.25</v>
      </c>
      <c r="I176">
        <v>2.75</v>
      </c>
      <c r="J176">
        <v>245</v>
      </c>
      <c r="K176">
        <v>245</v>
      </c>
      <c r="L176">
        <v>40</v>
      </c>
      <c r="M176">
        <v>40</v>
      </c>
    </row>
    <row r="177" spans="1:13" x14ac:dyDescent="0.25">
      <c r="A177" t="s">
        <v>10</v>
      </c>
      <c r="B177">
        <v>264.25</v>
      </c>
      <c r="C177">
        <v>14.75</v>
      </c>
      <c r="D177">
        <v>264.25</v>
      </c>
      <c r="E177">
        <v>14.75</v>
      </c>
      <c r="F177">
        <v>36</v>
      </c>
      <c r="G177">
        <v>2</v>
      </c>
      <c r="H177">
        <v>36</v>
      </c>
      <c r="I177">
        <v>2</v>
      </c>
      <c r="J177">
        <v>220</v>
      </c>
      <c r="K177">
        <v>220</v>
      </c>
      <c r="L177">
        <v>30</v>
      </c>
      <c r="M177">
        <v>30</v>
      </c>
    </row>
    <row r="178" spans="1:13" x14ac:dyDescent="0.25">
      <c r="A178" t="s">
        <v>7</v>
      </c>
      <c r="B178">
        <v>132.5</v>
      </c>
      <c r="C178">
        <v>7.5</v>
      </c>
      <c r="D178">
        <v>132.5</v>
      </c>
      <c r="E178">
        <v>7.5</v>
      </c>
      <c r="F178">
        <v>18</v>
      </c>
      <c r="G178">
        <v>1</v>
      </c>
      <c r="H178">
        <v>18</v>
      </c>
      <c r="I178">
        <v>1</v>
      </c>
      <c r="J178">
        <v>110</v>
      </c>
      <c r="K178">
        <v>110</v>
      </c>
      <c r="L178">
        <v>15</v>
      </c>
      <c r="M178">
        <v>15</v>
      </c>
    </row>
    <row r="179" spans="1:13" x14ac:dyDescent="0.25">
      <c r="A179" t="s">
        <v>30</v>
      </c>
      <c r="C179">
        <v>1</v>
      </c>
      <c r="E179" t="s">
        <v>45</v>
      </c>
      <c r="G179" t="s">
        <v>46</v>
      </c>
      <c r="I179" t="s">
        <v>47</v>
      </c>
      <c r="J179">
        <v>1</v>
      </c>
      <c r="K179" t="s">
        <v>45</v>
      </c>
      <c r="L179" t="s">
        <v>46</v>
      </c>
      <c r="M179" t="s">
        <v>47</v>
      </c>
    </row>
    <row r="180" spans="1:13" x14ac:dyDescent="0.25">
      <c r="A180" t="s">
        <v>5</v>
      </c>
      <c r="B180">
        <v>432</v>
      </c>
      <c r="C180">
        <v>24</v>
      </c>
      <c r="D180">
        <v>311.75</v>
      </c>
      <c r="E180">
        <v>17.25</v>
      </c>
      <c r="F180">
        <v>48.25</v>
      </c>
      <c r="G180">
        <v>2.75</v>
      </c>
      <c r="H180">
        <v>48.25</v>
      </c>
      <c r="I180">
        <v>2.75</v>
      </c>
      <c r="J180">
        <v>360</v>
      </c>
      <c r="K180">
        <v>260</v>
      </c>
      <c r="L180">
        <v>40</v>
      </c>
      <c r="M180">
        <v>40</v>
      </c>
    </row>
    <row r="181" spans="1:13" x14ac:dyDescent="0.25">
      <c r="A181" t="s">
        <v>6</v>
      </c>
      <c r="B181">
        <v>329.75</v>
      </c>
      <c r="C181">
        <v>18.25</v>
      </c>
      <c r="D181">
        <v>329.75</v>
      </c>
      <c r="E181">
        <v>18.25</v>
      </c>
      <c r="F181">
        <v>36</v>
      </c>
      <c r="G181">
        <v>2</v>
      </c>
      <c r="H181">
        <v>36</v>
      </c>
      <c r="I181">
        <v>2</v>
      </c>
      <c r="J181">
        <v>275</v>
      </c>
      <c r="K181">
        <v>275</v>
      </c>
      <c r="L181">
        <v>30</v>
      </c>
      <c r="M181">
        <v>30</v>
      </c>
    </row>
    <row r="182" spans="1:13" x14ac:dyDescent="0.25">
      <c r="A182" t="s">
        <v>7</v>
      </c>
      <c r="B182">
        <v>165.25</v>
      </c>
      <c r="C182">
        <v>9.25</v>
      </c>
      <c r="D182">
        <v>165.25</v>
      </c>
      <c r="E182">
        <v>9.25</v>
      </c>
      <c r="F182">
        <v>18</v>
      </c>
      <c r="G182">
        <v>1</v>
      </c>
      <c r="H182">
        <v>18</v>
      </c>
      <c r="I182">
        <v>1</v>
      </c>
      <c r="J182">
        <v>137.5</v>
      </c>
      <c r="K182">
        <v>137.5</v>
      </c>
      <c r="L182">
        <v>15</v>
      </c>
      <c r="M182">
        <v>15</v>
      </c>
    </row>
    <row r="183" spans="1:13" x14ac:dyDescent="0.25">
      <c r="A183" t="s">
        <v>31</v>
      </c>
      <c r="C183">
        <v>1</v>
      </c>
      <c r="E183" t="s">
        <v>45</v>
      </c>
      <c r="G183">
        <v>45514</v>
      </c>
      <c r="I183" t="s">
        <v>47</v>
      </c>
      <c r="J183">
        <v>1</v>
      </c>
      <c r="K183">
        <v>45329</v>
      </c>
      <c r="L183">
        <v>45514</v>
      </c>
      <c r="M183" t="s">
        <v>47</v>
      </c>
    </row>
    <row r="184" spans="1:13" x14ac:dyDescent="0.25">
      <c r="A184" t="s">
        <v>5</v>
      </c>
      <c r="B184">
        <v>360</v>
      </c>
      <c r="C184">
        <v>20</v>
      </c>
      <c r="D184">
        <v>360</v>
      </c>
      <c r="E184">
        <v>20</v>
      </c>
      <c r="F184">
        <v>48.25</v>
      </c>
      <c r="G184">
        <v>2.75</v>
      </c>
      <c r="H184">
        <v>48.25</v>
      </c>
      <c r="I184">
        <v>2.75</v>
      </c>
      <c r="J184">
        <v>300</v>
      </c>
      <c r="K184">
        <v>300</v>
      </c>
      <c r="L184">
        <v>40</v>
      </c>
      <c r="M184">
        <v>40</v>
      </c>
    </row>
    <row r="185" spans="1:13" x14ac:dyDescent="0.25">
      <c r="A185" t="s">
        <v>6</v>
      </c>
      <c r="B185">
        <v>329.75</v>
      </c>
      <c r="C185">
        <v>18.25</v>
      </c>
      <c r="D185">
        <v>329.75</v>
      </c>
      <c r="E185">
        <v>18.25</v>
      </c>
      <c r="F185">
        <v>36</v>
      </c>
      <c r="G185">
        <v>2</v>
      </c>
      <c r="H185">
        <v>36</v>
      </c>
      <c r="I185">
        <v>2</v>
      </c>
      <c r="J185">
        <v>275</v>
      </c>
      <c r="K185">
        <v>275</v>
      </c>
      <c r="L185">
        <v>30</v>
      </c>
      <c r="M185">
        <v>30</v>
      </c>
    </row>
    <row r="186" spans="1:13" x14ac:dyDescent="0.25">
      <c r="A186" t="s">
        <v>7</v>
      </c>
      <c r="B186">
        <v>165.25</v>
      </c>
      <c r="C186">
        <v>9.25</v>
      </c>
      <c r="D186">
        <v>165.25</v>
      </c>
      <c r="E186">
        <v>9.25</v>
      </c>
      <c r="F186">
        <v>18</v>
      </c>
      <c r="G186">
        <v>1</v>
      </c>
      <c r="H186">
        <v>18</v>
      </c>
      <c r="I186">
        <v>1</v>
      </c>
      <c r="J186">
        <v>137.5</v>
      </c>
      <c r="K186">
        <v>137.5</v>
      </c>
      <c r="L186">
        <v>15</v>
      </c>
      <c r="M186">
        <v>15</v>
      </c>
    </row>
    <row r="187" spans="1:13" x14ac:dyDescent="0.25">
      <c r="A187" t="s">
        <v>32</v>
      </c>
      <c r="C187">
        <v>1</v>
      </c>
      <c r="E187" t="s">
        <v>45</v>
      </c>
      <c r="G187">
        <v>45514</v>
      </c>
      <c r="I187" t="s">
        <v>47</v>
      </c>
      <c r="J187">
        <v>1</v>
      </c>
      <c r="K187">
        <v>45329</v>
      </c>
      <c r="L187">
        <v>45514</v>
      </c>
      <c r="M187" t="s">
        <v>47</v>
      </c>
    </row>
    <row r="188" spans="1:13" x14ac:dyDescent="0.25">
      <c r="A188" t="s">
        <v>5</v>
      </c>
      <c r="B188">
        <v>336.25</v>
      </c>
      <c r="C188">
        <v>18.75</v>
      </c>
      <c r="D188">
        <v>336.25</v>
      </c>
      <c r="E188">
        <v>18.75</v>
      </c>
      <c r="F188">
        <v>48.25</v>
      </c>
      <c r="G188">
        <v>2.75</v>
      </c>
      <c r="H188">
        <v>48.25</v>
      </c>
      <c r="I188">
        <v>2.75</v>
      </c>
      <c r="J188">
        <v>280</v>
      </c>
      <c r="K188">
        <v>280</v>
      </c>
      <c r="L188">
        <v>40</v>
      </c>
      <c r="M188">
        <v>40</v>
      </c>
    </row>
    <row r="189" spans="1:13" x14ac:dyDescent="0.25">
      <c r="A189" t="s">
        <v>6</v>
      </c>
      <c r="B189">
        <v>300.25</v>
      </c>
      <c r="C189">
        <v>16.75</v>
      </c>
      <c r="D189">
        <v>300.25</v>
      </c>
      <c r="E189">
        <v>16.75</v>
      </c>
      <c r="F189">
        <v>36</v>
      </c>
      <c r="G189">
        <v>2</v>
      </c>
      <c r="H189">
        <v>36</v>
      </c>
      <c r="I189">
        <v>2</v>
      </c>
      <c r="J189">
        <v>250</v>
      </c>
      <c r="K189">
        <v>250</v>
      </c>
      <c r="L189">
        <v>30</v>
      </c>
      <c r="M189">
        <v>30</v>
      </c>
    </row>
    <row r="190" spans="1:13" x14ac:dyDescent="0.25">
      <c r="A190" t="s">
        <v>7</v>
      </c>
      <c r="B190">
        <v>150.5</v>
      </c>
      <c r="C190">
        <v>8.5</v>
      </c>
      <c r="D190">
        <v>150.5</v>
      </c>
      <c r="E190">
        <v>8.5</v>
      </c>
      <c r="F190">
        <v>18</v>
      </c>
      <c r="G190">
        <v>1</v>
      </c>
      <c r="H190">
        <v>18</v>
      </c>
      <c r="I190">
        <v>1</v>
      </c>
      <c r="J190">
        <v>125</v>
      </c>
      <c r="K190">
        <v>125</v>
      </c>
      <c r="L190">
        <v>15</v>
      </c>
      <c r="M190">
        <v>15</v>
      </c>
    </row>
    <row r="191" spans="1:13" x14ac:dyDescent="0.25">
      <c r="A191" t="s">
        <v>33</v>
      </c>
      <c r="C191">
        <v>1</v>
      </c>
      <c r="E191" t="s">
        <v>45</v>
      </c>
      <c r="G191">
        <v>45514</v>
      </c>
      <c r="I191" t="s">
        <v>47</v>
      </c>
      <c r="J191">
        <v>1</v>
      </c>
      <c r="K191">
        <v>45329</v>
      </c>
      <c r="L191">
        <v>45514</v>
      </c>
      <c r="M191" t="s">
        <v>47</v>
      </c>
    </row>
    <row r="192" spans="1:13" x14ac:dyDescent="0.25">
      <c r="A192" t="s">
        <v>5</v>
      </c>
      <c r="B192">
        <v>324</v>
      </c>
      <c r="C192">
        <v>18</v>
      </c>
      <c r="D192">
        <v>324</v>
      </c>
      <c r="E192">
        <v>18</v>
      </c>
      <c r="F192">
        <v>48.25</v>
      </c>
      <c r="G192">
        <v>2.75</v>
      </c>
      <c r="H192">
        <v>48.25</v>
      </c>
      <c r="I192">
        <v>2.75</v>
      </c>
      <c r="J192">
        <v>270</v>
      </c>
      <c r="K192">
        <v>270</v>
      </c>
      <c r="L192">
        <v>40</v>
      </c>
      <c r="M192">
        <v>40</v>
      </c>
    </row>
    <row r="193" spans="1:13" x14ac:dyDescent="0.25">
      <c r="A193" t="s">
        <v>6</v>
      </c>
      <c r="B193">
        <v>288</v>
      </c>
      <c r="C193">
        <v>16</v>
      </c>
      <c r="D193">
        <v>288</v>
      </c>
      <c r="E193">
        <v>16</v>
      </c>
      <c r="F193">
        <v>36</v>
      </c>
      <c r="G193">
        <v>2</v>
      </c>
      <c r="H193">
        <v>36</v>
      </c>
      <c r="I193">
        <v>2</v>
      </c>
      <c r="J193">
        <v>240</v>
      </c>
      <c r="K193">
        <v>240</v>
      </c>
      <c r="L193">
        <v>30</v>
      </c>
      <c r="M193">
        <v>30</v>
      </c>
    </row>
    <row r="194" spans="1:13" x14ac:dyDescent="0.25">
      <c r="A194" t="s">
        <v>7</v>
      </c>
      <c r="B194">
        <v>144</v>
      </c>
      <c r="C194">
        <v>8</v>
      </c>
      <c r="D194">
        <v>144</v>
      </c>
      <c r="E194">
        <v>8</v>
      </c>
      <c r="F194">
        <v>18</v>
      </c>
      <c r="G194">
        <v>1</v>
      </c>
      <c r="H194">
        <v>18</v>
      </c>
      <c r="I194">
        <v>1</v>
      </c>
      <c r="J194">
        <v>120</v>
      </c>
      <c r="K194">
        <v>120</v>
      </c>
      <c r="L194">
        <v>15</v>
      </c>
      <c r="M194">
        <v>15</v>
      </c>
    </row>
    <row r="195" spans="1:13" x14ac:dyDescent="0.25">
      <c r="A195" t="s">
        <v>34</v>
      </c>
      <c r="C195">
        <v>1</v>
      </c>
      <c r="E195" t="s">
        <v>45</v>
      </c>
      <c r="G195" t="s">
        <v>46</v>
      </c>
      <c r="I195" t="s">
        <v>47</v>
      </c>
      <c r="J195">
        <v>1</v>
      </c>
      <c r="K195" t="s">
        <v>45</v>
      </c>
      <c r="L195" t="s">
        <v>46</v>
      </c>
      <c r="M195" t="s">
        <v>47</v>
      </c>
    </row>
    <row r="196" spans="1:13" x14ac:dyDescent="0.25">
      <c r="A196" t="s">
        <v>35</v>
      </c>
      <c r="B196">
        <v>234.25</v>
      </c>
      <c r="C196">
        <v>12.75</v>
      </c>
      <c r="D196">
        <v>234.25</v>
      </c>
      <c r="E196">
        <v>12.75</v>
      </c>
      <c r="F196">
        <v>117.14</v>
      </c>
      <c r="G196">
        <v>6.38</v>
      </c>
      <c r="H196">
        <v>46.85</v>
      </c>
      <c r="I196">
        <v>2.5499999999999998</v>
      </c>
      <c r="J196">
        <v>196</v>
      </c>
      <c r="K196">
        <v>196</v>
      </c>
      <c r="L196">
        <v>98</v>
      </c>
      <c r="M196">
        <v>39.200000000000003</v>
      </c>
    </row>
    <row r="197" spans="1:13" x14ac:dyDescent="0.25">
      <c r="A197" t="s">
        <v>36</v>
      </c>
      <c r="B197">
        <v>218.25</v>
      </c>
      <c r="C197">
        <v>11.75</v>
      </c>
      <c r="D197">
        <v>218.25</v>
      </c>
      <c r="E197">
        <v>11.75</v>
      </c>
      <c r="F197">
        <v>109.14</v>
      </c>
      <c r="G197">
        <v>5.88</v>
      </c>
      <c r="H197">
        <v>43.650000000000006</v>
      </c>
      <c r="I197">
        <v>2.35</v>
      </c>
      <c r="J197">
        <v>183</v>
      </c>
      <c r="K197">
        <v>183</v>
      </c>
      <c r="L197">
        <v>91.5</v>
      </c>
      <c r="M197">
        <v>36.6</v>
      </c>
    </row>
    <row r="198" spans="1:13" x14ac:dyDescent="0.25">
      <c r="A198" t="s">
        <v>10</v>
      </c>
      <c r="B198">
        <v>203</v>
      </c>
      <c r="C198">
        <v>11</v>
      </c>
      <c r="D198">
        <v>203</v>
      </c>
      <c r="E198">
        <v>11</v>
      </c>
      <c r="F198">
        <v>101.5</v>
      </c>
      <c r="G198">
        <v>5.5</v>
      </c>
      <c r="H198">
        <v>40.6</v>
      </c>
      <c r="I198">
        <v>2.2000000000000002</v>
      </c>
      <c r="J198">
        <v>170</v>
      </c>
      <c r="K198">
        <v>170</v>
      </c>
      <c r="L198">
        <v>85</v>
      </c>
      <c r="M198">
        <v>34</v>
      </c>
    </row>
    <row r="199" spans="1:13" x14ac:dyDescent="0.25">
      <c r="A199" t="s">
        <v>7</v>
      </c>
      <c r="B199">
        <v>101.5</v>
      </c>
      <c r="C199">
        <v>5.5</v>
      </c>
      <c r="D199">
        <v>101.5</v>
      </c>
      <c r="E199">
        <v>5.5</v>
      </c>
      <c r="F199">
        <v>50.75</v>
      </c>
      <c r="G199">
        <v>2.75</v>
      </c>
      <c r="H199">
        <v>20.3</v>
      </c>
      <c r="I199">
        <v>1.1000000000000001</v>
      </c>
      <c r="J199">
        <v>85</v>
      </c>
      <c r="K199">
        <v>85</v>
      </c>
      <c r="L199">
        <v>42.5</v>
      </c>
      <c r="M199">
        <v>17</v>
      </c>
    </row>
    <row r="200" spans="1:13" x14ac:dyDescent="0.25">
      <c r="A200" t="s">
        <v>19</v>
      </c>
      <c r="B200">
        <v>4.7500000000000001E-2</v>
      </c>
      <c r="C200">
        <v>2.5000000000000001E-3</v>
      </c>
      <c r="D200">
        <v>4.7500000000000001E-2</v>
      </c>
      <c r="E200">
        <v>2.5000000000000001E-3</v>
      </c>
      <c r="F200">
        <v>4.7500000000000001E-2</v>
      </c>
      <c r="G200">
        <v>2.5000000000000001E-3</v>
      </c>
      <c r="H200">
        <v>4.7500000000000001E-2</v>
      </c>
      <c r="I200">
        <v>2.5000000000000001E-3</v>
      </c>
      <c r="J200">
        <v>0.04</v>
      </c>
      <c r="K200">
        <v>0.04</v>
      </c>
      <c r="L200">
        <v>0.04</v>
      </c>
      <c r="M200">
        <v>0.04</v>
      </c>
    </row>
    <row r="201" spans="1:13" x14ac:dyDescent="0.25">
      <c r="A201" t="s">
        <v>37</v>
      </c>
      <c r="C201">
        <v>1</v>
      </c>
      <c r="E201" t="s">
        <v>45</v>
      </c>
      <c r="G201" t="s">
        <v>46</v>
      </c>
      <c r="I201" t="s">
        <v>47</v>
      </c>
      <c r="J201">
        <v>1</v>
      </c>
      <c r="K201" t="s">
        <v>45</v>
      </c>
      <c r="L201" t="s">
        <v>46</v>
      </c>
      <c r="M201" t="s">
        <v>47</v>
      </c>
    </row>
    <row r="202" spans="1:13" x14ac:dyDescent="0.25">
      <c r="A202" t="s">
        <v>38</v>
      </c>
      <c r="B202">
        <v>419.75</v>
      </c>
      <c r="C202">
        <v>23.25</v>
      </c>
      <c r="D202">
        <v>329.75</v>
      </c>
      <c r="E202">
        <v>18.25</v>
      </c>
      <c r="F202">
        <v>48.25</v>
      </c>
      <c r="G202">
        <v>2.75</v>
      </c>
      <c r="H202">
        <v>48.25</v>
      </c>
      <c r="I202">
        <v>2.75</v>
      </c>
      <c r="J202">
        <v>350</v>
      </c>
      <c r="K202">
        <v>275</v>
      </c>
      <c r="L202">
        <v>40</v>
      </c>
      <c r="M202">
        <v>40</v>
      </c>
    </row>
    <row r="203" spans="1:13" x14ac:dyDescent="0.25">
      <c r="A203" t="s">
        <v>39</v>
      </c>
      <c r="B203">
        <v>275.75</v>
      </c>
      <c r="C203">
        <v>15.25</v>
      </c>
      <c r="D203">
        <v>275.75</v>
      </c>
      <c r="E203">
        <v>15.25</v>
      </c>
      <c r="F203">
        <v>36</v>
      </c>
      <c r="G203">
        <v>2</v>
      </c>
      <c r="H203">
        <v>36</v>
      </c>
      <c r="I203">
        <v>2</v>
      </c>
      <c r="J203">
        <v>230</v>
      </c>
      <c r="K203">
        <v>230</v>
      </c>
      <c r="L203">
        <v>30</v>
      </c>
      <c r="M203">
        <v>30</v>
      </c>
    </row>
    <row r="204" spans="1:13" x14ac:dyDescent="0.25">
      <c r="A204" t="s">
        <v>40</v>
      </c>
      <c r="C204">
        <v>1</v>
      </c>
      <c r="E204" t="s">
        <v>45</v>
      </c>
      <c r="G204" t="s">
        <v>46</v>
      </c>
      <c r="I204" t="s">
        <v>47</v>
      </c>
      <c r="J204">
        <v>1</v>
      </c>
      <c r="K204" t="s">
        <v>45</v>
      </c>
      <c r="L204" t="s">
        <v>46</v>
      </c>
      <c r="M204" t="s">
        <v>47</v>
      </c>
    </row>
    <row r="205" spans="1:13" x14ac:dyDescent="0.25">
      <c r="A205" t="s">
        <v>38</v>
      </c>
      <c r="B205">
        <v>360</v>
      </c>
      <c r="C205">
        <v>20</v>
      </c>
      <c r="D205">
        <v>329.75</v>
      </c>
      <c r="E205">
        <v>18.25</v>
      </c>
      <c r="F205">
        <v>48.25</v>
      </c>
      <c r="G205">
        <v>2.75</v>
      </c>
      <c r="H205">
        <v>48.25</v>
      </c>
      <c r="I205">
        <v>2.75</v>
      </c>
      <c r="J205">
        <v>300</v>
      </c>
      <c r="K205">
        <v>275</v>
      </c>
      <c r="L205">
        <v>40</v>
      </c>
      <c r="M205">
        <v>40</v>
      </c>
    </row>
    <row r="206" spans="1:13" x14ac:dyDescent="0.25">
      <c r="A206" t="s">
        <v>39</v>
      </c>
      <c r="B206">
        <v>275.75</v>
      </c>
      <c r="C206">
        <v>15.25</v>
      </c>
      <c r="D206">
        <v>275.75</v>
      </c>
      <c r="E206">
        <v>15.25</v>
      </c>
      <c r="F206">
        <v>36</v>
      </c>
      <c r="G206">
        <v>2</v>
      </c>
      <c r="H206">
        <v>36</v>
      </c>
      <c r="I206">
        <v>2</v>
      </c>
      <c r="J206">
        <v>230</v>
      </c>
      <c r="K206">
        <v>230</v>
      </c>
      <c r="L206">
        <v>30</v>
      </c>
      <c r="M206">
        <v>30</v>
      </c>
    </row>
    <row r="207" spans="1:13" x14ac:dyDescent="0.25">
      <c r="A207" t="s">
        <v>41</v>
      </c>
      <c r="C207">
        <v>1</v>
      </c>
      <c r="E207" t="s">
        <v>45</v>
      </c>
      <c r="G207" t="s">
        <v>46</v>
      </c>
      <c r="I207" t="s">
        <v>47</v>
      </c>
      <c r="J207">
        <v>1</v>
      </c>
      <c r="K207" t="s">
        <v>45</v>
      </c>
      <c r="L207" t="s">
        <v>46</v>
      </c>
      <c r="M207" t="s">
        <v>47</v>
      </c>
    </row>
    <row r="208" spans="1:13" x14ac:dyDescent="0.25">
      <c r="A208" t="s">
        <v>38</v>
      </c>
      <c r="B208">
        <v>360</v>
      </c>
      <c r="C208">
        <v>20</v>
      </c>
      <c r="D208">
        <v>329.75</v>
      </c>
      <c r="E208">
        <v>18.25</v>
      </c>
      <c r="F208">
        <v>48.25</v>
      </c>
      <c r="G208">
        <v>2.75</v>
      </c>
      <c r="H208">
        <v>48.25</v>
      </c>
      <c r="I208">
        <v>2.75</v>
      </c>
      <c r="J208">
        <v>300</v>
      </c>
      <c r="K208">
        <v>275</v>
      </c>
      <c r="L208">
        <v>40</v>
      </c>
      <c r="M208">
        <v>40</v>
      </c>
    </row>
    <row r="209" spans="1:13" x14ac:dyDescent="0.25">
      <c r="A209" t="s">
        <v>39</v>
      </c>
      <c r="B209">
        <v>275.75</v>
      </c>
      <c r="C209">
        <v>15.25</v>
      </c>
      <c r="D209">
        <v>275.75</v>
      </c>
      <c r="E209">
        <v>15.25</v>
      </c>
      <c r="F209">
        <v>36</v>
      </c>
      <c r="G209">
        <v>2</v>
      </c>
      <c r="H209">
        <v>36</v>
      </c>
      <c r="I209">
        <v>2</v>
      </c>
      <c r="J209">
        <v>230</v>
      </c>
      <c r="K209">
        <v>230</v>
      </c>
      <c r="L209">
        <v>30</v>
      </c>
      <c r="M209">
        <v>30</v>
      </c>
    </row>
    <row r="210" spans="1:13" x14ac:dyDescent="0.25">
      <c r="A210" t="s">
        <v>42</v>
      </c>
      <c r="C210">
        <v>1</v>
      </c>
      <c r="E210" t="s">
        <v>45</v>
      </c>
      <c r="G210" t="s">
        <v>46</v>
      </c>
      <c r="I210" t="s">
        <v>47</v>
      </c>
      <c r="J210">
        <v>1</v>
      </c>
      <c r="K210" t="s">
        <v>45</v>
      </c>
      <c r="L210" t="s">
        <v>46</v>
      </c>
      <c r="M210" t="s">
        <v>47</v>
      </c>
    </row>
    <row r="211" spans="1:13" x14ac:dyDescent="0.25">
      <c r="A211" t="s">
        <v>9</v>
      </c>
      <c r="B211">
        <v>316.75</v>
      </c>
      <c r="C211">
        <v>17.25</v>
      </c>
      <c r="D211">
        <v>316.75</v>
      </c>
      <c r="E211">
        <v>17.25</v>
      </c>
      <c r="F211">
        <v>158.38999999999999</v>
      </c>
      <c r="G211">
        <v>8.6300000000000008</v>
      </c>
      <c r="H211">
        <v>63.35</v>
      </c>
      <c r="I211">
        <v>3.45</v>
      </c>
      <c r="J211">
        <v>265</v>
      </c>
      <c r="K211">
        <v>265</v>
      </c>
      <c r="L211">
        <v>132.5</v>
      </c>
      <c r="M211">
        <v>53</v>
      </c>
    </row>
    <row r="212" spans="1:13" x14ac:dyDescent="0.25">
      <c r="A212" t="s">
        <v>10</v>
      </c>
      <c r="B212">
        <v>275</v>
      </c>
      <c r="C212">
        <v>15</v>
      </c>
      <c r="D212">
        <v>275</v>
      </c>
      <c r="E212">
        <v>15</v>
      </c>
      <c r="F212">
        <v>137.5</v>
      </c>
      <c r="G212">
        <v>7.5</v>
      </c>
      <c r="H212">
        <v>55</v>
      </c>
      <c r="I212">
        <v>3</v>
      </c>
      <c r="J212">
        <v>230</v>
      </c>
      <c r="K212">
        <v>230</v>
      </c>
      <c r="L212">
        <v>115</v>
      </c>
      <c r="M212">
        <v>46</v>
      </c>
    </row>
    <row r="213" spans="1:13" x14ac:dyDescent="0.25">
      <c r="A213" t="s">
        <v>7</v>
      </c>
      <c r="B213">
        <v>137.5</v>
      </c>
      <c r="C213">
        <v>7.5</v>
      </c>
      <c r="D213">
        <v>137.5</v>
      </c>
      <c r="E213">
        <v>7.5</v>
      </c>
      <c r="F213">
        <v>68.75</v>
      </c>
      <c r="G213">
        <v>3.75</v>
      </c>
      <c r="H213">
        <v>27.5</v>
      </c>
      <c r="I213">
        <v>1.5</v>
      </c>
      <c r="J213">
        <v>115</v>
      </c>
      <c r="K213">
        <v>115</v>
      </c>
      <c r="L213">
        <v>57.5</v>
      </c>
      <c r="M213">
        <v>23</v>
      </c>
    </row>
    <row r="214" spans="1:13" x14ac:dyDescent="0.25">
      <c r="A214" t="s">
        <v>43</v>
      </c>
      <c r="C214">
        <v>1</v>
      </c>
      <c r="E214" t="s">
        <v>45</v>
      </c>
      <c r="G214" t="s">
        <v>46</v>
      </c>
      <c r="I214" t="s">
        <v>47</v>
      </c>
      <c r="J214">
        <v>1</v>
      </c>
      <c r="K214" t="s">
        <v>45</v>
      </c>
      <c r="L214" t="s">
        <v>46</v>
      </c>
      <c r="M214" t="s">
        <v>47</v>
      </c>
    </row>
    <row r="215" spans="1:13" x14ac:dyDescent="0.25">
      <c r="A215" t="s">
        <v>44</v>
      </c>
      <c r="B215">
        <v>140</v>
      </c>
      <c r="C215">
        <v>10</v>
      </c>
      <c r="D215">
        <v>140</v>
      </c>
      <c r="E215">
        <v>10</v>
      </c>
      <c r="F215">
        <v>0</v>
      </c>
      <c r="G215">
        <v>0</v>
      </c>
      <c r="H215">
        <v>0</v>
      </c>
      <c r="I215">
        <v>0</v>
      </c>
      <c r="J215">
        <v>110</v>
      </c>
      <c r="K215">
        <v>110</v>
      </c>
      <c r="L215">
        <v>0</v>
      </c>
      <c r="M215">
        <v>0</v>
      </c>
    </row>
    <row r="216" spans="1:13" x14ac:dyDescent="0.25">
      <c r="A216" t="s">
        <v>7</v>
      </c>
      <c r="B216">
        <v>70</v>
      </c>
      <c r="C216">
        <v>5</v>
      </c>
      <c r="D216">
        <v>70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55</v>
      </c>
      <c r="K216">
        <v>55</v>
      </c>
      <c r="L216">
        <v>0</v>
      </c>
      <c r="M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2024-12-22T20:54:20Z</dcterms:created>
  <dcterms:modified xsi:type="dcterms:W3CDTF">2024-12-23T19:07:40Z</dcterms:modified>
</cp:coreProperties>
</file>