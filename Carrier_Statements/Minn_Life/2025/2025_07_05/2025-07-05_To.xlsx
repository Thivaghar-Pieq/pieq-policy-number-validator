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Minn Life\7-5-25 to 8-2-25\"/>
    </mc:Choice>
  </mc:AlternateContent>
  <xr:revisionPtr revIDLastSave="0" documentId="13_ncr:1_{1E5092ED-9B49-4AD6-A2EE-5F9E13C0E4EE}" xr6:coauthVersionLast="47" xr6:coauthVersionMax="47" xr10:uidLastSave="{00000000-0000-0000-0000-000000000000}"/>
  <bookViews>
    <workbookView xWindow="-57720" yWindow="-45" windowWidth="29040" windowHeight="15720" activeTab="1" xr2:uid="{39427AF1-031F-4908-BBB4-C2DE94CC956A}"/>
  </bookViews>
  <sheets>
    <sheet name="LPMCommDet" sheetId="1" r:id="rId1"/>
    <sheet name="Sheet1" sheetId="2" r:id="rId2"/>
    <sheet name="Sheet2" sheetId="3" r:id="rId3"/>
  </sheets>
  <definedNames>
    <definedName name="_xlnm._FilterDatabase" localSheetId="1" hidden="1">Sheet1!$A$1:$P$42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" i="2" l="1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2" i="2"/>
  <c r="C2" i="3"/>
  <c r="C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1" i="3"/>
</calcChain>
</file>

<file path=xl/sharedStrings.xml><?xml version="1.0" encoding="utf-8"?>
<sst xmlns="http://schemas.openxmlformats.org/spreadsheetml/2006/main" count="950" uniqueCount="126">
  <si>
    <t>My Commission Data Report</t>
  </si>
  <si>
    <t>Producer:  MAIN LINE BENEFITS LLC</t>
  </si>
  <si>
    <t>Commissions from 07/05/2025 to 08/02/2025</t>
  </si>
  <si>
    <t xml:space="preserve">                           </t>
  </si>
  <si>
    <t>Intermediary Name</t>
  </si>
  <si>
    <t>Producer Name</t>
  </si>
  <si>
    <t>WritingCode</t>
  </si>
  <si>
    <t>Product Name</t>
  </si>
  <si>
    <t>Policy Number</t>
  </si>
  <si>
    <t xml:space="preserve"> Insured Name</t>
  </si>
  <si>
    <t>Payment Amount</t>
  </si>
  <si>
    <t>Payment Description</t>
  </si>
  <si>
    <t>Issue Date</t>
  </si>
  <si>
    <t>Payment Rate</t>
  </si>
  <si>
    <t>Split Percentage</t>
  </si>
  <si>
    <t>Commission Amount</t>
  </si>
  <si>
    <t>Entity Name</t>
  </si>
  <si>
    <t>Case Number</t>
  </si>
  <si>
    <t>Pay Period End</t>
  </si>
  <si>
    <t>Comp Type</t>
  </si>
  <si>
    <t>MAIN LINE BENEFITS LLC</t>
  </si>
  <si>
    <t>6105882</t>
  </si>
  <si>
    <t>Elite Select 20</t>
  </si>
  <si>
    <t>3111293W</t>
  </si>
  <si>
    <t>HOLOVATYI, KAITLYN</t>
  </si>
  <si>
    <t>Policy Fees</t>
  </si>
  <si>
    <t>04/12/2023</t>
  </si>
  <si>
    <t>0.0000%</t>
  </si>
  <si>
    <t>07/18/2025</t>
  </si>
  <si>
    <t>Wholesale</t>
  </si>
  <si>
    <t>Renewal Premium</t>
  </si>
  <si>
    <t>3111374W</t>
  </si>
  <si>
    <t>HOLOVATYI, ANTON</t>
  </si>
  <si>
    <t>03/20/2023</t>
  </si>
  <si>
    <t>Eclipse Accum</t>
  </si>
  <si>
    <t>3120244W</t>
  </si>
  <si>
    <t>JOHNSON, JAZEL BELLA</t>
  </si>
  <si>
    <t>Renewals</t>
  </si>
  <si>
    <t>06/05/2023</t>
  </si>
  <si>
    <t>2.0000%</t>
  </si>
  <si>
    <t>07/25/2025</t>
  </si>
  <si>
    <t>3120246W</t>
  </si>
  <si>
    <t>JOHNSON, JAMAR JAXON JR</t>
  </si>
  <si>
    <t>ADAM J RICHTER</t>
  </si>
  <si>
    <t>6106635</t>
  </si>
  <si>
    <t>Eclipse Prot II</t>
  </si>
  <si>
    <t>3124128W</t>
  </si>
  <si>
    <t>EPPERS, TIMOTHY</t>
  </si>
  <si>
    <t>06/27/2023</t>
  </si>
  <si>
    <t>08/01/2025</t>
  </si>
  <si>
    <t>3134689W</t>
  </si>
  <si>
    <t>LAIOS, CHARLES</t>
  </si>
  <si>
    <t>Excess</t>
  </si>
  <si>
    <t>09/15/2023</t>
  </si>
  <si>
    <t>1.5000%</t>
  </si>
  <si>
    <t>3198274W</t>
  </si>
  <si>
    <t>ECHEGARAY, RONALD</t>
  </si>
  <si>
    <t>FY Premium</t>
  </si>
  <si>
    <t>06/26/2025</t>
  </si>
  <si>
    <t>105.0000%</t>
  </si>
  <si>
    <t>DEBORAH L INSKIPT</t>
  </si>
  <si>
    <t>6114575</t>
  </si>
  <si>
    <t>Elite Select 15</t>
  </si>
  <si>
    <t>3149955W</t>
  </si>
  <si>
    <t>EARL, TODD</t>
  </si>
  <si>
    <t>03/06/2024</t>
  </si>
  <si>
    <t>07/11/2025</t>
  </si>
  <si>
    <t xml:space="preserve">NASANDELGER </t>
  </si>
  <si>
    <t>6123889</t>
  </si>
  <si>
    <t>Eclipse Accm II</t>
  </si>
  <si>
    <t>3192169W</t>
  </si>
  <si>
    <t>ZOLZAYA, TURTOGTOKH</t>
  </si>
  <si>
    <t>FY Target</t>
  </si>
  <si>
    <t>05/21/2025</t>
  </si>
  <si>
    <t>95.0000%</t>
  </si>
  <si>
    <t>JACOB D YALE</t>
  </si>
  <si>
    <t>6124243</t>
  </si>
  <si>
    <t>Elite Select 30</t>
  </si>
  <si>
    <t>3180635W</t>
  </si>
  <si>
    <t>RODIN, JOSEPH</t>
  </si>
  <si>
    <t>01/13/2025</t>
  </si>
  <si>
    <t>STACEY A PORTUGAL</t>
  </si>
  <si>
    <t>6124255</t>
  </si>
  <si>
    <t>3200982W</t>
  </si>
  <si>
    <t>SHERIDAN, MAX ISAAC</t>
  </si>
  <si>
    <t>08/04/2025</t>
  </si>
  <si>
    <t>HEATHER MARIE GESKE</t>
  </si>
  <si>
    <t>6124402</t>
  </si>
  <si>
    <t>3191369W</t>
  </si>
  <si>
    <t>SHUTE, COREY</t>
  </si>
  <si>
    <t>03/27/2025</t>
  </si>
  <si>
    <t>100.0000%</t>
  </si>
  <si>
    <t>3191370W</t>
  </si>
  <si>
    <t>SHUTE, NATALIE</t>
  </si>
  <si>
    <t>04/01/2025</t>
  </si>
  <si>
    <t>3191534W</t>
  </si>
  <si>
    <t>SHUTE, PALMER</t>
  </si>
  <si>
    <t>02/22/2025</t>
  </si>
  <si>
    <t>PAMELA SUE DEATON</t>
  </si>
  <si>
    <t>6126825</t>
  </si>
  <si>
    <t>3188903W</t>
  </si>
  <si>
    <t>WRIGHT, NIKKI</t>
  </si>
  <si>
    <t>04/23/2025</t>
  </si>
  <si>
    <t>SAADIA S ABDUL</t>
  </si>
  <si>
    <t>6129071</t>
  </si>
  <si>
    <t>3202390W</t>
  </si>
  <si>
    <t>JAITLI, ADITI</t>
  </si>
  <si>
    <t>08/13/2025</t>
  </si>
  <si>
    <t>3202652W</t>
  </si>
  <si>
    <t>MARTINEZ, URIEL</t>
  </si>
  <si>
    <t>08/12/2025</t>
  </si>
  <si>
    <t>FRANK E LISKOVEC</t>
  </si>
  <si>
    <t>6245898</t>
  </si>
  <si>
    <t>3186127W</t>
  </si>
  <si>
    <t>KLADZYK, KRISTY</t>
  </si>
  <si>
    <t>04/08/2025</t>
  </si>
  <si>
    <t>Advantage Elite Select Term 20</t>
  </si>
  <si>
    <t>Advantage Elite Select</t>
  </si>
  <si>
    <t xml:space="preserve">Advantage Elite Select Term 20 </t>
  </si>
  <si>
    <t xml:space="preserve"> Excess Premium</t>
  </si>
  <si>
    <t xml:space="preserve">  Excess Premiumulator II IUL</t>
  </si>
  <si>
    <t>JASON HOFFMANN</t>
  </si>
  <si>
    <t>19645587AV9</t>
  </si>
  <si>
    <t>AV1</t>
  </si>
  <si>
    <t>AE</t>
  </si>
  <si>
    <t>AV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</si>
</sst>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\ #,##0.00"/>
    <numFmt numFmtId="165" formatCode="#0"/>
  </numFmts>
  <fonts count="7">
    <font>
      <sz val="10"/>
      <name val="Arial"/>
    </font>
    <font>
      <sz val="10"/>
      <color indexed="8"/>
      <name val="SansSerif"/>
    </font>
    <font>
      <b/>
      <sz val="24"/>
      <color indexed="8"/>
      <name val="Century Gothic"/>
    </font>
    <font>
      <b/>
      <sz val="12"/>
      <color indexed="8"/>
      <name val="Century Gothic"/>
    </font>
    <font>
      <sz val="12"/>
      <color indexed="8"/>
      <name val="Century Gothic"/>
    </font>
    <font>
      <sz val="11"/>
      <name val="Times New Roman"/>
      <family val="1"/>
    </font>
    <font>
      <sz val="1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3" fillId="2" borderId="0" xfId="0" applyFont="1" applyFill="1" applyAlignment="1">
      <alignment horizontal="left" wrapText="1"/>
    </xf>
    <xf numFmtId="0" fontId="3" fillId="2" borderId="0" xfId="0" applyFont="1" applyFill="1" applyAlignment="1">
      <alignment horizontal="right" wrapText="1"/>
    </xf>
    <xf numFmtId="0" fontId="3" fillId="2" borderId="0" xfId="0" applyFont="1" applyFill="1" applyAlignment="1">
      <alignment horizontal="center" wrapText="1"/>
    </xf>
    <xf numFmtId="0" fontId="4" fillId="2" borderId="0" xfId="0" applyFont="1" applyFill="1" applyAlignment="1">
      <alignment horizontal="left" wrapText="1"/>
    </xf>
    <xf numFmtId="164" fontId="4" fillId="2" borderId="0" xfId="0" applyNumberFormat="1" applyFont="1" applyFill="1" applyAlignment="1">
      <alignment horizontal="right" wrapText="1"/>
    </xf>
    <xf numFmtId="0" fontId="4" fillId="2" borderId="0" xfId="0" applyFont="1" applyFill="1" applyAlignment="1">
      <alignment horizontal="center" wrapText="1"/>
    </xf>
    <xf numFmtId="0" fontId="4" fillId="2" borderId="0" xfId="0" applyFont="1" applyFill="1" applyAlignment="1">
      <alignment horizontal="right" wrapText="1"/>
    </xf>
    <xf numFmtId="165" fontId="4" fillId="2" borderId="0" xfId="0" applyNumberFormat="1" applyFont="1" applyFill="1" applyAlignment="1">
      <alignment horizontal="right" wrapText="1"/>
    </xf>
    <xf numFmtId="0" fontId="4" fillId="2" borderId="0" xfId="0" applyFont="1" applyFill="1" applyAlignment="1">
      <alignment horizontal="center" wrapText="1"/>
    </xf>
    <xf numFmtId="0" fontId="2" fillId="3" borderId="0" xfId="0" applyFont="1" applyFill="1" applyAlignment="1">
      <alignment horizontal="left" vertical="top" wrapText="1"/>
    </xf>
    <xf numFmtId="0" fontId="3" fillId="2" borderId="0" xfId="0" applyFont="1" applyFill="1" applyAlignment="1">
      <alignment horizontal="left" vertical="center" wrapText="1"/>
    </xf>
    <xf numFmtId="0" fontId="1" fillId="2" borderId="0" xfId="0" applyFont="1" applyFill="1" applyAlignment="1">
      <alignment horizontal="left" vertical="top" wrapText="1"/>
    </xf>
    <xf numFmtId="0" fontId="3" fillId="2" borderId="0" xfId="0" applyFont="1" applyFill="1" applyAlignment="1">
      <alignment horizontal="center" wrapText="1"/>
    </xf>
    <xf numFmtId="0" fontId="5" fillId="0" borderId="0" xfId="0" applyFont="1"/>
    <xf numFmtId="0" fontId="6" fillId="0" borderId="0" xfId="0" applyFont="1"/>
    <xf numFmtId="0" fontId="5" fillId="4" borderId="0" xfId="0" applyFont="1" applyFill="1"/>
    <xf numFmtId="0" fontId="5" fillId="4" borderId="0" xfId="0" applyNumberFormat="1" applyFont="1" applyFill="1"/>
    <xf numFmtId="10" fontId="5" fillId="4" borderId="0" xfId="0" applyNumberFormat="1" applyFont="1" applyFill="1"/>
    <xf numFmtId="0" fontId="6" fillId="4" borderId="0" xfId="0" applyFont="1" applyFill="1"/>
    <xf numFmtId="0" fontId="6" fillId="0" borderId="0" xfId="0" applyFont="1" applyFill="1"/>
    <xf numFmtId="0" fontId="5" fillId="0" borderId="0" xfId="0" applyNumberFormat="1" applyFont="1" applyFill="1"/>
    <xf numFmtId="0" fontId="5" fillId="5" borderId="0" xfId="0" applyFont="1" applyFill="1"/>
    <xf numFmtId="0" fontId="5" fillId="5" borderId="0" xfId="0" applyNumberFormat="1" applyFont="1" applyFill="1"/>
    <xf numFmtId="10" fontId="5" fillId="5" borderId="0" xfId="0" applyNumberFormat="1" applyFont="1" applyFill="1"/>
    <xf numFmtId="0" fontId="6" fillId="5" borderId="0" xfId="0" applyFont="1" applyFill="1"/>
    <xf numFmtId="0" fontId="5" fillId="0" borderId="0" xfId="0" applyFont="1" applyFill="1"/>
    <xf numFmtId="10" fontId="5" fillId="0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D1A3D7-ED53-4BD9-AA37-938D6D02A0D1}">
  <dimension ref="A1:S47"/>
  <sheetViews>
    <sheetView workbookViewId="0">
      <selection activeCell="A5" sqref="A1:XFD5"/>
    </sheetView>
  </sheetViews>
  <sheetFormatPr defaultRowHeight="12.75"/>
  <cols>
    <col min="1" max="1" width="3.42578125" customWidth="1"/>
    <col min="2" max="3" width="29.42578125" customWidth="1"/>
    <col min="4" max="4" width="15.140625" customWidth="1"/>
    <col min="5" max="5" width="16.140625" customWidth="1"/>
    <col min="6" max="6" width="16.5703125" customWidth="1"/>
    <col min="7" max="7" width="35.28515625" customWidth="1"/>
    <col min="8" max="8" width="22.7109375" customWidth="1"/>
    <col min="9" max="9" width="27.7109375" customWidth="1"/>
    <col min="10" max="10" width="14.28515625" customWidth="1"/>
    <col min="11" max="11" width="21" customWidth="1"/>
    <col min="12" max="12" width="22.7109375" customWidth="1"/>
    <col min="13" max="13" width="25.140625" customWidth="1"/>
    <col min="14" max="14" width="32.5703125" customWidth="1"/>
    <col min="15" max="15" width="17.85546875" customWidth="1"/>
    <col min="16" max="16" width="18.42578125" customWidth="1"/>
    <col min="17" max="17" width="13.28515625" customWidth="1"/>
    <col min="18" max="18" width="0.140625" customWidth="1"/>
    <col min="19" max="19" width="5" customWidth="1"/>
  </cols>
  <sheetData>
    <row r="1" spans="1:19" ht="35.1" customHeight="1">
      <c r="A1" s="1"/>
      <c r="B1" s="11" t="s">
        <v>0</v>
      </c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"/>
      <c r="S1" s="1"/>
    </row>
    <row r="2" spans="1:19" ht="42.95" customHeight="1">
      <c r="A2" s="1"/>
      <c r="B2" s="12" t="s">
        <v>1</v>
      </c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"/>
      <c r="S2" s="1"/>
    </row>
    <row r="3" spans="1:19" ht="32.1" customHeight="1">
      <c r="A3" s="1"/>
      <c r="B3" s="12" t="s">
        <v>2</v>
      </c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"/>
      <c r="S3" s="1"/>
    </row>
    <row r="4" spans="1:19" ht="24.95" customHeight="1">
      <c r="A4" s="1"/>
      <c r="B4" s="13" t="s">
        <v>3</v>
      </c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"/>
      <c r="S4" s="1"/>
    </row>
    <row r="5" spans="1:19" ht="24.95" customHeight="1">
      <c r="A5" s="1"/>
      <c r="B5" s="2" t="s">
        <v>4</v>
      </c>
      <c r="C5" s="2" t="s">
        <v>5</v>
      </c>
      <c r="D5" s="2" t="s">
        <v>6</v>
      </c>
      <c r="E5" s="2" t="s">
        <v>7</v>
      </c>
      <c r="F5" s="2" t="s">
        <v>8</v>
      </c>
      <c r="G5" s="2" t="s">
        <v>9</v>
      </c>
      <c r="H5" s="3" t="s">
        <v>10</v>
      </c>
      <c r="I5" s="4" t="s">
        <v>11</v>
      </c>
      <c r="J5" s="4" t="s">
        <v>12</v>
      </c>
      <c r="K5" s="3" t="s">
        <v>13</v>
      </c>
      <c r="L5" s="3" t="s">
        <v>14</v>
      </c>
      <c r="M5" s="3" t="s">
        <v>15</v>
      </c>
      <c r="N5" s="4" t="s">
        <v>16</v>
      </c>
      <c r="O5" s="3" t="s">
        <v>17</v>
      </c>
      <c r="P5" s="4" t="s">
        <v>18</v>
      </c>
      <c r="Q5" s="14" t="s">
        <v>19</v>
      </c>
      <c r="R5" s="14"/>
      <c r="S5" s="1"/>
    </row>
    <row r="6" spans="1:19" ht="24.95" customHeight="1">
      <c r="A6" s="1"/>
      <c r="B6" s="5" t="s">
        <v>20</v>
      </c>
      <c r="C6" s="5" t="s">
        <v>20</v>
      </c>
      <c r="D6" s="5" t="s">
        <v>21</v>
      </c>
      <c r="E6" s="5" t="s">
        <v>22</v>
      </c>
      <c r="F6" s="5" t="s">
        <v>23</v>
      </c>
      <c r="G6" s="5" t="s">
        <v>24</v>
      </c>
      <c r="H6" s="6">
        <v>6.6</v>
      </c>
      <c r="I6" s="7" t="s">
        <v>25</v>
      </c>
      <c r="J6" s="7" t="s">
        <v>26</v>
      </c>
      <c r="K6" s="8" t="s">
        <v>27</v>
      </c>
      <c r="L6" s="9">
        <v>100</v>
      </c>
      <c r="M6" s="6">
        <v>0</v>
      </c>
      <c r="N6" s="7"/>
      <c r="O6" s="8"/>
      <c r="P6" s="7" t="s">
        <v>28</v>
      </c>
      <c r="Q6" s="10" t="s">
        <v>29</v>
      </c>
      <c r="R6" s="10"/>
      <c r="S6" s="1"/>
    </row>
    <row r="7" spans="1:19" ht="24.95" customHeight="1">
      <c r="A7" s="1"/>
      <c r="B7" s="5" t="s">
        <v>20</v>
      </c>
      <c r="C7" s="5" t="s">
        <v>20</v>
      </c>
      <c r="D7" s="5" t="s">
        <v>21</v>
      </c>
      <c r="E7" s="5" t="s">
        <v>22</v>
      </c>
      <c r="F7" s="5" t="s">
        <v>23</v>
      </c>
      <c r="G7" s="5" t="s">
        <v>24</v>
      </c>
      <c r="H7" s="6">
        <v>23.32</v>
      </c>
      <c r="I7" s="7" t="s">
        <v>30</v>
      </c>
      <c r="J7" s="7" t="s">
        <v>26</v>
      </c>
      <c r="K7" s="8" t="s">
        <v>27</v>
      </c>
      <c r="L7" s="9">
        <v>100</v>
      </c>
      <c r="M7" s="6">
        <v>0</v>
      </c>
      <c r="N7" s="7"/>
      <c r="O7" s="8"/>
      <c r="P7" s="7" t="s">
        <v>28</v>
      </c>
      <c r="Q7" s="10" t="s">
        <v>29</v>
      </c>
      <c r="R7" s="10"/>
      <c r="S7" s="1"/>
    </row>
    <row r="8" spans="1:19" ht="24.95" customHeight="1">
      <c r="A8" s="1"/>
      <c r="B8" s="5" t="s">
        <v>20</v>
      </c>
      <c r="C8" s="5" t="s">
        <v>20</v>
      </c>
      <c r="D8" s="5" t="s">
        <v>21</v>
      </c>
      <c r="E8" s="5" t="s">
        <v>22</v>
      </c>
      <c r="F8" s="5" t="s">
        <v>23</v>
      </c>
      <c r="G8" s="5" t="s">
        <v>24</v>
      </c>
      <c r="H8" s="6">
        <v>0.9</v>
      </c>
      <c r="I8" s="7" t="s">
        <v>30</v>
      </c>
      <c r="J8" s="7" t="s">
        <v>26</v>
      </c>
      <c r="K8" s="8" t="s">
        <v>27</v>
      </c>
      <c r="L8" s="9">
        <v>100</v>
      </c>
      <c r="M8" s="6">
        <v>0</v>
      </c>
      <c r="N8" s="7"/>
      <c r="O8" s="8"/>
      <c r="P8" s="7" t="s">
        <v>28</v>
      </c>
      <c r="Q8" s="10" t="s">
        <v>29</v>
      </c>
      <c r="R8" s="10"/>
      <c r="S8" s="1"/>
    </row>
    <row r="9" spans="1:19" ht="24.95" customHeight="1">
      <c r="A9" s="1"/>
      <c r="B9" s="5" t="s">
        <v>20</v>
      </c>
      <c r="C9" s="5" t="s">
        <v>20</v>
      </c>
      <c r="D9" s="5" t="s">
        <v>21</v>
      </c>
      <c r="E9" s="5" t="s">
        <v>22</v>
      </c>
      <c r="F9" s="5" t="s">
        <v>23</v>
      </c>
      <c r="G9" s="5" t="s">
        <v>24</v>
      </c>
      <c r="H9" s="6">
        <v>2.52</v>
      </c>
      <c r="I9" s="7" t="s">
        <v>30</v>
      </c>
      <c r="J9" s="7" t="s">
        <v>26</v>
      </c>
      <c r="K9" s="8" t="s">
        <v>27</v>
      </c>
      <c r="L9" s="9">
        <v>100</v>
      </c>
      <c r="M9" s="6">
        <v>0</v>
      </c>
      <c r="N9" s="7"/>
      <c r="O9" s="8"/>
      <c r="P9" s="7" t="s">
        <v>28</v>
      </c>
      <c r="Q9" s="10" t="s">
        <v>29</v>
      </c>
      <c r="R9" s="10"/>
      <c r="S9" s="1"/>
    </row>
    <row r="10" spans="1:19" ht="24.95" customHeight="1">
      <c r="A10" s="1"/>
      <c r="B10" s="5" t="s">
        <v>20</v>
      </c>
      <c r="C10" s="5" t="s">
        <v>20</v>
      </c>
      <c r="D10" s="5" t="s">
        <v>21</v>
      </c>
      <c r="E10" s="5" t="s">
        <v>22</v>
      </c>
      <c r="F10" s="5" t="s">
        <v>31</v>
      </c>
      <c r="G10" s="5" t="s">
        <v>32</v>
      </c>
      <c r="H10" s="6">
        <v>6.6</v>
      </c>
      <c r="I10" s="7" t="s">
        <v>25</v>
      </c>
      <c r="J10" s="7" t="s">
        <v>33</v>
      </c>
      <c r="K10" s="8" t="s">
        <v>27</v>
      </c>
      <c r="L10" s="9">
        <v>100</v>
      </c>
      <c r="M10" s="6">
        <v>0</v>
      </c>
      <c r="N10" s="7"/>
      <c r="O10" s="8"/>
      <c r="P10" s="7" t="s">
        <v>28</v>
      </c>
      <c r="Q10" s="10" t="s">
        <v>29</v>
      </c>
      <c r="R10" s="10"/>
      <c r="S10" s="1"/>
    </row>
    <row r="11" spans="1:19" ht="24.95" customHeight="1">
      <c r="A11" s="1"/>
      <c r="B11" s="5" t="s">
        <v>20</v>
      </c>
      <c r="C11" s="5" t="s">
        <v>20</v>
      </c>
      <c r="D11" s="5" t="s">
        <v>21</v>
      </c>
      <c r="E11" s="5" t="s">
        <v>22</v>
      </c>
      <c r="F11" s="5" t="s">
        <v>31</v>
      </c>
      <c r="G11" s="5" t="s">
        <v>32</v>
      </c>
      <c r="H11" s="6">
        <v>15.82</v>
      </c>
      <c r="I11" s="7" t="s">
        <v>30</v>
      </c>
      <c r="J11" s="7" t="s">
        <v>33</v>
      </c>
      <c r="K11" s="8" t="s">
        <v>27</v>
      </c>
      <c r="L11" s="9">
        <v>100</v>
      </c>
      <c r="M11" s="6">
        <v>0</v>
      </c>
      <c r="N11" s="7"/>
      <c r="O11" s="8"/>
      <c r="P11" s="7" t="s">
        <v>28</v>
      </c>
      <c r="Q11" s="10" t="s">
        <v>29</v>
      </c>
      <c r="R11" s="10"/>
      <c r="S11" s="1"/>
    </row>
    <row r="12" spans="1:19" ht="24.95" customHeight="1">
      <c r="A12" s="1"/>
      <c r="B12" s="5" t="s">
        <v>20</v>
      </c>
      <c r="C12" s="5" t="s">
        <v>20</v>
      </c>
      <c r="D12" s="5" t="s">
        <v>21</v>
      </c>
      <c r="E12" s="5" t="s">
        <v>22</v>
      </c>
      <c r="F12" s="5" t="s">
        <v>31</v>
      </c>
      <c r="G12" s="5" t="s">
        <v>32</v>
      </c>
      <c r="H12" s="6">
        <v>1.97</v>
      </c>
      <c r="I12" s="7" t="s">
        <v>30</v>
      </c>
      <c r="J12" s="7" t="s">
        <v>33</v>
      </c>
      <c r="K12" s="8" t="s">
        <v>27</v>
      </c>
      <c r="L12" s="9">
        <v>100</v>
      </c>
      <c r="M12" s="6">
        <v>0</v>
      </c>
      <c r="N12" s="7"/>
      <c r="O12" s="8"/>
      <c r="P12" s="7" t="s">
        <v>28</v>
      </c>
      <c r="Q12" s="10" t="s">
        <v>29</v>
      </c>
      <c r="R12" s="10"/>
      <c r="S12" s="1"/>
    </row>
    <row r="13" spans="1:19" ht="24.95" customHeight="1">
      <c r="A13" s="1"/>
      <c r="B13" s="5" t="s">
        <v>20</v>
      </c>
      <c r="C13" s="5" t="s">
        <v>20</v>
      </c>
      <c r="D13" s="5" t="s">
        <v>21</v>
      </c>
      <c r="E13" s="5" t="s">
        <v>22</v>
      </c>
      <c r="F13" s="5" t="s">
        <v>31</v>
      </c>
      <c r="G13" s="5" t="s">
        <v>32</v>
      </c>
      <c r="H13" s="6">
        <v>0.67</v>
      </c>
      <c r="I13" s="7" t="s">
        <v>30</v>
      </c>
      <c r="J13" s="7" t="s">
        <v>33</v>
      </c>
      <c r="K13" s="8" t="s">
        <v>27</v>
      </c>
      <c r="L13" s="9">
        <v>100</v>
      </c>
      <c r="M13" s="6">
        <v>0</v>
      </c>
      <c r="N13" s="7"/>
      <c r="O13" s="8"/>
      <c r="P13" s="7" t="s">
        <v>28</v>
      </c>
      <c r="Q13" s="10" t="s">
        <v>29</v>
      </c>
      <c r="R13" s="10"/>
      <c r="S13" s="1"/>
    </row>
    <row r="14" spans="1:19" ht="24.95" customHeight="1">
      <c r="A14" s="1"/>
      <c r="B14" s="5" t="s">
        <v>20</v>
      </c>
      <c r="C14" s="5" t="s">
        <v>20</v>
      </c>
      <c r="D14" s="5" t="s">
        <v>21</v>
      </c>
      <c r="E14" s="5" t="s">
        <v>34</v>
      </c>
      <c r="F14" s="5" t="s">
        <v>35</v>
      </c>
      <c r="G14" s="5" t="s">
        <v>36</v>
      </c>
      <c r="H14" s="6">
        <v>100</v>
      </c>
      <c r="I14" s="7" t="s">
        <v>37</v>
      </c>
      <c r="J14" s="7" t="s">
        <v>38</v>
      </c>
      <c r="K14" s="8" t="s">
        <v>39</v>
      </c>
      <c r="L14" s="9">
        <v>100</v>
      </c>
      <c r="M14" s="6">
        <v>2</v>
      </c>
      <c r="N14" s="7"/>
      <c r="O14" s="8"/>
      <c r="P14" s="7" t="s">
        <v>40</v>
      </c>
      <c r="Q14" s="10" t="s">
        <v>29</v>
      </c>
      <c r="R14" s="10"/>
      <c r="S14" s="1"/>
    </row>
    <row r="15" spans="1:19" ht="24.95" customHeight="1">
      <c r="A15" s="1"/>
      <c r="B15" s="5" t="s">
        <v>20</v>
      </c>
      <c r="C15" s="5" t="s">
        <v>20</v>
      </c>
      <c r="D15" s="5" t="s">
        <v>21</v>
      </c>
      <c r="E15" s="5" t="s">
        <v>34</v>
      </c>
      <c r="F15" s="5" t="s">
        <v>41</v>
      </c>
      <c r="G15" s="5" t="s">
        <v>42</v>
      </c>
      <c r="H15" s="6">
        <v>100</v>
      </c>
      <c r="I15" s="7" t="s">
        <v>37</v>
      </c>
      <c r="J15" s="7" t="s">
        <v>38</v>
      </c>
      <c r="K15" s="8" t="s">
        <v>39</v>
      </c>
      <c r="L15" s="9">
        <v>100</v>
      </c>
      <c r="M15" s="6">
        <v>2</v>
      </c>
      <c r="N15" s="7"/>
      <c r="O15" s="8"/>
      <c r="P15" s="7" t="s">
        <v>40</v>
      </c>
      <c r="Q15" s="10" t="s">
        <v>29</v>
      </c>
      <c r="R15" s="10"/>
      <c r="S15" s="1"/>
    </row>
    <row r="16" spans="1:19" ht="24.95" customHeight="1">
      <c r="A16" s="1"/>
      <c r="B16" s="5" t="s">
        <v>20</v>
      </c>
      <c r="C16" s="5" t="s">
        <v>43</v>
      </c>
      <c r="D16" s="5" t="s">
        <v>44</v>
      </c>
      <c r="E16" s="5" t="s">
        <v>45</v>
      </c>
      <c r="F16" s="5" t="s">
        <v>46</v>
      </c>
      <c r="G16" s="5" t="s">
        <v>47</v>
      </c>
      <c r="H16" s="6">
        <v>250</v>
      </c>
      <c r="I16" s="7" t="s">
        <v>37</v>
      </c>
      <c r="J16" s="7" t="s">
        <v>48</v>
      </c>
      <c r="K16" s="8" t="s">
        <v>39</v>
      </c>
      <c r="L16" s="9">
        <v>100</v>
      </c>
      <c r="M16" s="6">
        <v>5</v>
      </c>
      <c r="N16" s="7"/>
      <c r="O16" s="8"/>
      <c r="P16" s="7" t="s">
        <v>49</v>
      </c>
      <c r="Q16" s="10" t="s">
        <v>29</v>
      </c>
      <c r="R16" s="10"/>
      <c r="S16" s="1"/>
    </row>
    <row r="17" spans="1:19" ht="24.95" customHeight="1">
      <c r="A17" s="1"/>
      <c r="B17" s="5" t="s">
        <v>20</v>
      </c>
      <c r="C17" s="5" t="s">
        <v>43</v>
      </c>
      <c r="D17" s="5" t="s">
        <v>44</v>
      </c>
      <c r="E17" s="5" t="s">
        <v>34</v>
      </c>
      <c r="F17" s="5" t="s">
        <v>50</v>
      </c>
      <c r="G17" s="5" t="s">
        <v>51</v>
      </c>
      <c r="H17" s="6">
        <v>265.39999999999998</v>
      </c>
      <c r="I17" s="7" t="s">
        <v>52</v>
      </c>
      <c r="J17" s="7" t="s">
        <v>53</v>
      </c>
      <c r="K17" s="8" t="s">
        <v>54</v>
      </c>
      <c r="L17" s="9">
        <v>100</v>
      </c>
      <c r="M17" s="6">
        <v>3.98</v>
      </c>
      <c r="N17" s="7"/>
      <c r="O17" s="8"/>
      <c r="P17" s="7" t="s">
        <v>49</v>
      </c>
      <c r="Q17" s="10" t="s">
        <v>29</v>
      </c>
      <c r="R17" s="10"/>
      <c r="S17" s="1"/>
    </row>
    <row r="18" spans="1:19" ht="24.95" customHeight="1">
      <c r="A18" s="1"/>
      <c r="B18" s="5" t="s">
        <v>20</v>
      </c>
      <c r="C18" s="5" t="s">
        <v>43</v>
      </c>
      <c r="D18" s="5" t="s">
        <v>44</v>
      </c>
      <c r="E18" s="5" t="s">
        <v>34</v>
      </c>
      <c r="F18" s="5" t="s">
        <v>50</v>
      </c>
      <c r="G18" s="5" t="s">
        <v>51</v>
      </c>
      <c r="H18" s="6">
        <v>234.6</v>
      </c>
      <c r="I18" s="7" t="s">
        <v>37</v>
      </c>
      <c r="J18" s="7" t="s">
        <v>53</v>
      </c>
      <c r="K18" s="8" t="s">
        <v>39</v>
      </c>
      <c r="L18" s="9">
        <v>100</v>
      </c>
      <c r="M18" s="6">
        <v>4.6900000000000004</v>
      </c>
      <c r="N18" s="7"/>
      <c r="O18" s="8"/>
      <c r="P18" s="7" t="s">
        <v>49</v>
      </c>
      <c r="Q18" s="10" t="s">
        <v>29</v>
      </c>
      <c r="R18" s="10"/>
      <c r="S18" s="1"/>
    </row>
    <row r="19" spans="1:19" ht="24.95" customHeight="1">
      <c r="A19" s="1"/>
      <c r="B19" s="5" t="s">
        <v>20</v>
      </c>
      <c r="C19" s="5" t="s">
        <v>43</v>
      </c>
      <c r="D19" s="5" t="s">
        <v>44</v>
      </c>
      <c r="E19" s="5" t="s">
        <v>22</v>
      </c>
      <c r="F19" s="5" t="s">
        <v>55</v>
      </c>
      <c r="G19" s="5" t="s">
        <v>56</v>
      </c>
      <c r="H19" s="6">
        <v>5.45</v>
      </c>
      <c r="I19" s="7" t="s">
        <v>57</v>
      </c>
      <c r="J19" s="7" t="s">
        <v>58</v>
      </c>
      <c r="K19" s="8" t="s">
        <v>59</v>
      </c>
      <c r="L19" s="9">
        <v>100</v>
      </c>
      <c r="M19" s="6">
        <v>5.72</v>
      </c>
      <c r="N19" s="7"/>
      <c r="O19" s="8"/>
      <c r="P19" s="7" t="s">
        <v>40</v>
      </c>
      <c r="Q19" s="10" t="s">
        <v>29</v>
      </c>
      <c r="R19" s="10"/>
      <c r="S19" s="1"/>
    </row>
    <row r="20" spans="1:19" ht="24.95" customHeight="1">
      <c r="A20" s="1"/>
      <c r="B20" s="5" t="s">
        <v>20</v>
      </c>
      <c r="C20" s="5" t="s">
        <v>43</v>
      </c>
      <c r="D20" s="5" t="s">
        <v>44</v>
      </c>
      <c r="E20" s="5" t="s">
        <v>22</v>
      </c>
      <c r="F20" s="5" t="s">
        <v>55</v>
      </c>
      <c r="G20" s="5" t="s">
        <v>56</v>
      </c>
      <c r="H20" s="6">
        <v>175.12</v>
      </c>
      <c r="I20" s="7" t="s">
        <v>57</v>
      </c>
      <c r="J20" s="7" t="s">
        <v>58</v>
      </c>
      <c r="K20" s="8" t="s">
        <v>59</v>
      </c>
      <c r="L20" s="9">
        <v>100</v>
      </c>
      <c r="M20" s="6">
        <v>183.88</v>
      </c>
      <c r="N20" s="7"/>
      <c r="O20" s="8"/>
      <c r="P20" s="7" t="s">
        <v>40</v>
      </c>
      <c r="Q20" s="10" t="s">
        <v>29</v>
      </c>
      <c r="R20" s="10"/>
      <c r="S20" s="1"/>
    </row>
    <row r="21" spans="1:19" ht="24.95" customHeight="1">
      <c r="A21" s="1"/>
      <c r="B21" s="5" t="s">
        <v>20</v>
      </c>
      <c r="C21" s="5" t="s">
        <v>43</v>
      </c>
      <c r="D21" s="5" t="s">
        <v>44</v>
      </c>
      <c r="E21" s="5" t="s">
        <v>22</v>
      </c>
      <c r="F21" s="5" t="s">
        <v>55</v>
      </c>
      <c r="G21" s="5" t="s">
        <v>56</v>
      </c>
      <c r="H21" s="6">
        <v>6.6</v>
      </c>
      <c r="I21" s="7" t="s">
        <v>25</v>
      </c>
      <c r="J21" s="7" t="s">
        <v>58</v>
      </c>
      <c r="K21" s="8" t="s">
        <v>27</v>
      </c>
      <c r="L21" s="9">
        <v>100</v>
      </c>
      <c r="M21" s="6">
        <v>0</v>
      </c>
      <c r="N21" s="7"/>
      <c r="O21" s="8"/>
      <c r="P21" s="7" t="s">
        <v>40</v>
      </c>
      <c r="Q21" s="10" t="s">
        <v>29</v>
      </c>
      <c r="R21" s="10"/>
      <c r="S21" s="1"/>
    </row>
    <row r="22" spans="1:19" ht="24.95" customHeight="1">
      <c r="A22" s="1"/>
      <c r="B22" s="5" t="s">
        <v>20</v>
      </c>
      <c r="C22" s="5" t="s">
        <v>60</v>
      </c>
      <c r="D22" s="5" t="s">
        <v>61</v>
      </c>
      <c r="E22" s="5" t="s">
        <v>62</v>
      </c>
      <c r="F22" s="5" t="s">
        <v>63</v>
      </c>
      <c r="G22" s="5" t="s">
        <v>64</v>
      </c>
      <c r="H22" s="6">
        <v>6.6</v>
      </c>
      <c r="I22" s="7" t="s">
        <v>25</v>
      </c>
      <c r="J22" s="7" t="s">
        <v>65</v>
      </c>
      <c r="K22" s="8" t="s">
        <v>27</v>
      </c>
      <c r="L22" s="9">
        <v>100</v>
      </c>
      <c r="M22" s="6">
        <v>0</v>
      </c>
      <c r="N22" s="7"/>
      <c r="O22" s="8"/>
      <c r="P22" s="7" t="s">
        <v>66</v>
      </c>
      <c r="Q22" s="10" t="s">
        <v>29</v>
      </c>
      <c r="R22" s="10"/>
      <c r="S22" s="1"/>
    </row>
    <row r="23" spans="1:19" ht="24.95" customHeight="1">
      <c r="A23" s="1"/>
      <c r="B23" s="5" t="s">
        <v>20</v>
      </c>
      <c r="C23" s="5" t="s">
        <v>60</v>
      </c>
      <c r="D23" s="5" t="s">
        <v>61</v>
      </c>
      <c r="E23" s="5" t="s">
        <v>62</v>
      </c>
      <c r="F23" s="5" t="s">
        <v>63</v>
      </c>
      <c r="G23" s="5" t="s">
        <v>64</v>
      </c>
      <c r="H23" s="6">
        <v>34.590000000000003</v>
      </c>
      <c r="I23" s="7" t="s">
        <v>30</v>
      </c>
      <c r="J23" s="7" t="s">
        <v>65</v>
      </c>
      <c r="K23" s="8" t="s">
        <v>27</v>
      </c>
      <c r="L23" s="9">
        <v>100</v>
      </c>
      <c r="M23" s="6">
        <v>0</v>
      </c>
      <c r="N23" s="7"/>
      <c r="O23" s="8"/>
      <c r="P23" s="7" t="s">
        <v>66</v>
      </c>
      <c r="Q23" s="10" t="s">
        <v>29</v>
      </c>
      <c r="R23" s="10"/>
      <c r="S23" s="1"/>
    </row>
    <row r="24" spans="1:19" ht="24.95" customHeight="1">
      <c r="A24" s="1"/>
      <c r="B24" s="5" t="s">
        <v>20</v>
      </c>
      <c r="C24" s="5" t="s">
        <v>60</v>
      </c>
      <c r="D24" s="5" t="s">
        <v>61</v>
      </c>
      <c r="E24" s="5" t="s">
        <v>62</v>
      </c>
      <c r="F24" s="5" t="s">
        <v>63</v>
      </c>
      <c r="G24" s="5" t="s">
        <v>64</v>
      </c>
      <c r="H24" s="6">
        <v>1.24</v>
      </c>
      <c r="I24" s="7" t="s">
        <v>30</v>
      </c>
      <c r="J24" s="7" t="s">
        <v>65</v>
      </c>
      <c r="K24" s="8" t="s">
        <v>27</v>
      </c>
      <c r="L24" s="9">
        <v>100</v>
      </c>
      <c r="M24" s="6">
        <v>0</v>
      </c>
      <c r="N24" s="7"/>
      <c r="O24" s="8"/>
      <c r="P24" s="7" t="s">
        <v>66</v>
      </c>
      <c r="Q24" s="10" t="s">
        <v>29</v>
      </c>
      <c r="R24" s="10"/>
      <c r="S24" s="1"/>
    </row>
    <row r="25" spans="1:19" ht="24.95" customHeight="1">
      <c r="A25" s="1"/>
      <c r="B25" s="5" t="s">
        <v>20</v>
      </c>
      <c r="C25" s="5" t="s">
        <v>67</v>
      </c>
      <c r="D25" s="5" t="s">
        <v>68</v>
      </c>
      <c r="E25" s="5" t="s">
        <v>69</v>
      </c>
      <c r="F25" s="5" t="s">
        <v>70</v>
      </c>
      <c r="G25" s="5" t="s">
        <v>71</v>
      </c>
      <c r="H25" s="6">
        <v>150</v>
      </c>
      <c r="I25" s="7" t="s">
        <v>72</v>
      </c>
      <c r="J25" s="7" t="s">
        <v>73</v>
      </c>
      <c r="K25" s="8" t="s">
        <v>74</v>
      </c>
      <c r="L25" s="9">
        <v>100</v>
      </c>
      <c r="M25" s="6">
        <v>142.5</v>
      </c>
      <c r="N25" s="7"/>
      <c r="O25" s="8"/>
      <c r="P25" s="7" t="s">
        <v>40</v>
      </c>
      <c r="Q25" s="10" t="s">
        <v>29</v>
      </c>
      <c r="R25" s="10"/>
      <c r="S25" s="1"/>
    </row>
    <row r="26" spans="1:19" ht="24.95" customHeight="1">
      <c r="A26" s="1"/>
      <c r="B26" s="5" t="s">
        <v>20</v>
      </c>
      <c r="C26" s="5" t="s">
        <v>75</v>
      </c>
      <c r="D26" s="5" t="s">
        <v>76</v>
      </c>
      <c r="E26" s="5" t="s">
        <v>77</v>
      </c>
      <c r="F26" s="5" t="s">
        <v>78</v>
      </c>
      <c r="G26" s="5" t="s">
        <v>79</v>
      </c>
      <c r="H26" s="6">
        <v>3.75</v>
      </c>
      <c r="I26" s="7" t="s">
        <v>57</v>
      </c>
      <c r="J26" s="7" t="s">
        <v>80</v>
      </c>
      <c r="K26" s="8" t="s">
        <v>59</v>
      </c>
      <c r="L26" s="9">
        <v>100</v>
      </c>
      <c r="M26" s="6">
        <v>3.94</v>
      </c>
      <c r="N26" s="7"/>
      <c r="O26" s="8"/>
      <c r="P26" s="7" t="s">
        <v>66</v>
      </c>
      <c r="Q26" s="10" t="s">
        <v>29</v>
      </c>
      <c r="R26" s="10"/>
      <c r="S26" s="1"/>
    </row>
    <row r="27" spans="1:19" ht="24.95" customHeight="1">
      <c r="A27" s="1"/>
      <c r="B27" s="5" t="s">
        <v>20</v>
      </c>
      <c r="C27" s="5" t="s">
        <v>75</v>
      </c>
      <c r="D27" s="5" t="s">
        <v>76</v>
      </c>
      <c r="E27" s="5" t="s">
        <v>77</v>
      </c>
      <c r="F27" s="5" t="s">
        <v>78</v>
      </c>
      <c r="G27" s="5" t="s">
        <v>79</v>
      </c>
      <c r="H27" s="6">
        <v>118.53</v>
      </c>
      <c r="I27" s="7" t="s">
        <v>57</v>
      </c>
      <c r="J27" s="7" t="s">
        <v>80</v>
      </c>
      <c r="K27" s="8" t="s">
        <v>59</v>
      </c>
      <c r="L27" s="9">
        <v>100</v>
      </c>
      <c r="M27" s="6">
        <v>124.46</v>
      </c>
      <c r="N27" s="7"/>
      <c r="O27" s="8"/>
      <c r="P27" s="7" t="s">
        <v>66</v>
      </c>
      <c r="Q27" s="10" t="s">
        <v>29</v>
      </c>
      <c r="R27" s="10"/>
      <c r="S27" s="1"/>
    </row>
    <row r="28" spans="1:19" ht="24.95" customHeight="1">
      <c r="A28" s="1"/>
      <c r="B28" s="5" t="s">
        <v>20</v>
      </c>
      <c r="C28" s="5" t="s">
        <v>75</v>
      </c>
      <c r="D28" s="5" t="s">
        <v>76</v>
      </c>
      <c r="E28" s="5" t="s">
        <v>77</v>
      </c>
      <c r="F28" s="5" t="s">
        <v>78</v>
      </c>
      <c r="G28" s="5" t="s">
        <v>79</v>
      </c>
      <c r="H28" s="6">
        <v>6.6</v>
      </c>
      <c r="I28" s="7" t="s">
        <v>25</v>
      </c>
      <c r="J28" s="7" t="s">
        <v>80</v>
      </c>
      <c r="K28" s="8" t="s">
        <v>27</v>
      </c>
      <c r="L28" s="9">
        <v>100</v>
      </c>
      <c r="M28" s="6">
        <v>0</v>
      </c>
      <c r="N28" s="7"/>
      <c r="O28" s="8"/>
      <c r="P28" s="7" t="s">
        <v>66</v>
      </c>
      <c r="Q28" s="10" t="s">
        <v>29</v>
      </c>
      <c r="R28" s="10"/>
      <c r="S28" s="1"/>
    </row>
    <row r="29" spans="1:19" ht="24.95" customHeight="1">
      <c r="A29" s="1"/>
      <c r="B29" s="5" t="s">
        <v>20</v>
      </c>
      <c r="C29" s="5" t="s">
        <v>81</v>
      </c>
      <c r="D29" s="5" t="s">
        <v>82</v>
      </c>
      <c r="E29" s="5" t="s">
        <v>22</v>
      </c>
      <c r="F29" s="5" t="s">
        <v>83</v>
      </c>
      <c r="G29" s="5" t="s">
        <v>84</v>
      </c>
      <c r="H29" s="6">
        <v>825.01</v>
      </c>
      <c r="I29" s="7" t="s">
        <v>57</v>
      </c>
      <c r="J29" s="7" t="s">
        <v>85</v>
      </c>
      <c r="K29" s="8" t="s">
        <v>59</v>
      </c>
      <c r="L29" s="9">
        <v>100</v>
      </c>
      <c r="M29" s="6">
        <v>866.26</v>
      </c>
      <c r="N29" s="7"/>
      <c r="O29" s="8"/>
      <c r="P29" s="7" t="s">
        <v>66</v>
      </c>
      <c r="Q29" s="10" t="s">
        <v>29</v>
      </c>
      <c r="R29" s="10"/>
      <c r="S29" s="1"/>
    </row>
    <row r="30" spans="1:19" ht="24.95" customHeight="1">
      <c r="A30" s="1"/>
      <c r="B30" s="5" t="s">
        <v>20</v>
      </c>
      <c r="C30" s="5" t="s">
        <v>81</v>
      </c>
      <c r="D30" s="5" t="s">
        <v>82</v>
      </c>
      <c r="E30" s="5" t="s">
        <v>22</v>
      </c>
      <c r="F30" s="5" t="s">
        <v>83</v>
      </c>
      <c r="G30" s="5" t="s">
        <v>84</v>
      </c>
      <c r="H30" s="6">
        <v>75</v>
      </c>
      <c r="I30" s="7" t="s">
        <v>25</v>
      </c>
      <c r="J30" s="7" t="s">
        <v>85</v>
      </c>
      <c r="K30" s="8" t="s">
        <v>27</v>
      </c>
      <c r="L30" s="9">
        <v>100</v>
      </c>
      <c r="M30" s="6">
        <v>0</v>
      </c>
      <c r="N30" s="7"/>
      <c r="O30" s="8"/>
      <c r="P30" s="7" t="s">
        <v>66</v>
      </c>
      <c r="Q30" s="10" t="s">
        <v>29</v>
      </c>
      <c r="R30" s="10"/>
      <c r="S30" s="1"/>
    </row>
    <row r="31" spans="1:19" ht="24.95" customHeight="1">
      <c r="A31" s="1"/>
      <c r="B31" s="5" t="s">
        <v>20</v>
      </c>
      <c r="C31" s="5" t="s">
        <v>86</v>
      </c>
      <c r="D31" s="5" t="s">
        <v>87</v>
      </c>
      <c r="E31" s="5" t="s">
        <v>62</v>
      </c>
      <c r="F31" s="5" t="s">
        <v>88</v>
      </c>
      <c r="G31" s="5" t="s">
        <v>89</v>
      </c>
      <c r="H31" s="6">
        <v>1.88</v>
      </c>
      <c r="I31" s="7" t="s">
        <v>57</v>
      </c>
      <c r="J31" s="7" t="s">
        <v>90</v>
      </c>
      <c r="K31" s="8" t="s">
        <v>91</v>
      </c>
      <c r="L31" s="9">
        <v>100</v>
      </c>
      <c r="M31" s="6">
        <v>1.88</v>
      </c>
      <c r="N31" s="7"/>
      <c r="O31" s="8"/>
      <c r="P31" s="7" t="s">
        <v>40</v>
      </c>
      <c r="Q31" s="10" t="s">
        <v>29</v>
      </c>
      <c r="R31" s="10"/>
      <c r="S31" s="1"/>
    </row>
    <row r="32" spans="1:19" ht="24.95" customHeight="1">
      <c r="A32" s="1"/>
      <c r="B32" s="5" t="s">
        <v>20</v>
      </c>
      <c r="C32" s="5" t="s">
        <v>86</v>
      </c>
      <c r="D32" s="5" t="s">
        <v>87</v>
      </c>
      <c r="E32" s="5" t="s">
        <v>62</v>
      </c>
      <c r="F32" s="5" t="s">
        <v>88</v>
      </c>
      <c r="G32" s="5" t="s">
        <v>89</v>
      </c>
      <c r="H32" s="6">
        <v>56.2</v>
      </c>
      <c r="I32" s="7" t="s">
        <v>57</v>
      </c>
      <c r="J32" s="7" t="s">
        <v>90</v>
      </c>
      <c r="K32" s="8" t="s">
        <v>91</v>
      </c>
      <c r="L32" s="9">
        <v>100</v>
      </c>
      <c r="M32" s="6">
        <v>56.2</v>
      </c>
      <c r="N32" s="7"/>
      <c r="O32" s="8"/>
      <c r="P32" s="7" t="s">
        <v>40</v>
      </c>
      <c r="Q32" s="10" t="s">
        <v>29</v>
      </c>
      <c r="R32" s="10"/>
      <c r="S32" s="1"/>
    </row>
    <row r="33" spans="1:19" ht="24.95" customHeight="1">
      <c r="A33" s="1"/>
      <c r="B33" s="5" t="s">
        <v>20</v>
      </c>
      <c r="C33" s="5" t="s">
        <v>86</v>
      </c>
      <c r="D33" s="5" t="s">
        <v>87</v>
      </c>
      <c r="E33" s="5" t="s">
        <v>62</v>
      </c>
      <c r="F33" s="5" t="s">
        <v>88</v>
      </c>
      <c r="G33" s="5" t="s">
        <v>89</v>
      </c>
      <c r="H33" s="6">
        <v>6.6</v>
      </c>
      <c r="I33" s="7" t="s">
        <v>25</v>
      </c>
      <c r="J33" s="7" t="s">
        <v>90</v>
      </c>
      <c r="K33" s="8" t="s">
        <v>27</v>
      </c>
      <c r="L33" s="9">
        <v>100</v>
      </c>
      <c r="M33" s="6">
        <v>0</v>
      </c>
      <c r="N33" s="7"/>
      <c r="O33" s="8"/>
      <c r="P33" s="7" t="s">
        <v>40</v>
      </c>
      <c r="Q33" s="10" t="s">
        <v>29</v>
      </c>
      <c r="R33" s="10"/>
      <c r="S33" s="1"/>
    </row>
    <row r="34" spans="1:19" ht="24.95" customHeight="1">
      <c r="A34" s="1"/>
      <c r="B34" s="5" t="s">
        <v>20</v>
      </c>
      <c r="C34" s="5" t="s">
        <v>86</v>
      </c>
      <c r="D34" s="5" t="s">
        <v>87</v>
      </c>
      <c r="E34" s="5" t="s">
        <v>62</v>
      </c>
      <c r="F34" s="5" t="s">
        <v>92</v>
      </c>
      <c r="G34" s="5" t="s">
        <v>93</v>
      </c>
      <c r="H34" s="6">
        <v>46.94</v>
      </c>
      <c r="I34" s="7" t="s">
        <v>57</v>
      </c>
      <c r="J34" s="7" t="s">
        <v>94</v>
      </c>
      <c r="K34" s="8" t="s">
        <v>91</v>
      </c>
      <c r="L34" s="9">
        <v>100</v>
      </c>
      <c r="M34" s="6">
        <v>46.94</v>
      </c>
      <c r="N34" s="7"/>
      <c r="O34" s="8"/>
      <c r="P34" s="7" t="s">
        <v>49</v>
      </c>
      <c r="Q34" s="10" t="s">
        <v>29</v>
      </c>
      <c r="R34" s="10"/>
      <c r="S34" s="1"/>
    </row>
    <row r="35" spans="1:19" ht="24.95" customHeight="1">
      <c r="A35" s="1"/>
      <c r="B35" s="5" t="s">
        <v>20</v>
      </c>
      <c r="C35" s="5" t="s">
        <v>86</v>
      </c>
      <c r="D35" s="5" t="s">
        <v>87</v>
      </c>
      <c r="E35" s="5" t="s">
        <v>62</v>
      </c>
      <c r="F35" s="5" t="s">
        <v>92</v>
      </c>
      <c r="G35" s="5" t="s">
        <v>93</v>
      </c>
      <c r="H35" s="6">
        <v>1.61</v>
      </c>
      <c r="I35" s="7" t="s">
        <v>57</v>
      </c>
      <c r="J35" s="7" t="s">
        <v>94</v>
      </c>
      <c r="K35" s="8" t="s">
        <v>91</v>
      </c>
      <c r="L35" s="9">
        <v>100</v>
      </c>
      <c r="M35" s="6">
        <v>1.61</v>
      </c>
      <c r="N35" s="7"/>
      <c r="O35" s="8"/>
      <c r="P35" s="7" t="s">
        <v>49</v>
      </c>
      <c r="Q35" s="10" t="s">
        <v>29</v>
      </c>
      <c r="R35" s="10"/>
      <c r="S35" s="1"/>
    </row>
    <row r="36" spans="1:19" ht="24.95" customHeight="1">
      <c r="A36" s="1"/>
      <c r="B36" s="5" t="s">
        <v>20</v>
      </c>
      <c r="C36" s="5" t="s">
        <v>86</v>
      </c>
      <c r="D36" s="5" t="s">
        <v>87</v>
      </c>
      <c r="E36" s="5" t="s">
        <v>62</v>
      </c>
      <c r="F36" s="5" t="s">
        <v>92</v>
      </c>
      <c r="G36" s="5" t="s">
        <v>93</v>
      </c>
      <c r="H36" s="6">
        <v>6.6</v>
      </c>
      <c r="I36" s="7" t="s">
        <v>25</v>
      </c>
      <c r="J36" s="7" t="s">
        <v>94</v>
      </c>
      <c r="K36" s="8" t="s">
        <v>27</v>
      </c>
      <c r="L36" s="9">
        <v>100</v>
      </c>
      <c r="M36" s="6">
        <v>0</v>
      </c>
      <c r="N36" s="7"/>
      <c r="O36" s="8"/>
      <c r="P36" s="7" t="s">
        <v>49</v>
      </c>
      <c r="Q36" s="10" t="s">
        <v>29</v>
      </c>
      <c r="R36" s="10"/>
      <c r="S36" s="1"/>
    </row>
    <row r="37" spans="1:19" ht="24.95" customHeight="1">
      <c r="A37" s="1"/>
      <c r="B37" s="5" t="s">
        <v>20</v>
      </c>
      <c r="C37" s="5" t="s">
        <v>86</v>
      </c>
      <c r="D37" s="5" t="s">
        <v>87</v>
      </c>
      <c r="E37" s="5" t="s">
        <v>69</v>
      </c>
      <c r="F37" s="5" t="s">
        <v>95</v>
      </c>
      <c r="G37" s="5" t="s">
        <v>96</v>
      </c>
      <c r="H37" s="6">
        <v>300</v>
      </c>
      <c r="I37" s="7" t="s">
        <v>52</v>
      </c>
      <c r="J37" s="7" t="s">
        <v>97</v>
      </c>
      <c r="K37" s="8" t="s">
        <v>54</v>
      </c>
      <c r="L37" s="9">
        <v>100</v>
      </c>
      <c r="M37" s="6">
        <v>4.5</v>
      </c>
      <c r="N37" s="7"/>
      <c r="O37" s="8"/>
      <c r="P37" s="7" t="s">
        <v>40</v>
      </c>
      <c r="Q37" s="10" t="s">
        <v>29</v>
      </c>
      <c r="R37" s="10"/>
      <c r="S37" s="1"/>
    </row>
    <row r="38" spans="1:19" ht="24.95" customHeight="1">
      <c r="A38" s="1"/>
      <c r="B38" s="5" t="s">
        <v>20</v>
      </c>
      <c r="C38" s="5" t="s">
        <v>98</v>
      </c>
      <c r="D38" s="5" t="s">
        <v>99</v>
      </c>
      <c r="E38" s="5" t="s">
        <v>69</v>
      </c>
      <c r="F38" s="5" t="s">
        <v>100</v>
      </c>
      <c r="G38" s="5" t="s">
        <v>101</v>
      </c>
      <c r="H38" s="6">
        <v>135</v>
      </c>
      <c r="I38" s="7" t="s">
        <v>72</v>
      </c>
      <c r="J38" s="7" t="s">
        <v>102</v>
      </c>
      <c r="K38" s="8" t="s">
        <v>74</v>
      </c>
      <c r="L38" s="9">
        <v>100</v>
      </c>
      <c r="M38" s="6">
        <v>128.25</v>
      </c>
      <c r="N38" s="7"/>
      <c r="O38" s="8"/>
      <c r="P38" s="7" t="s">
        <v>66</v>
      </c>
      <c r="Q38" s="10" t="s">
        <v>29</v>
      </c>
      <c r="R38" s="10"/>
      <c r="S38" s="1"/>
    </row>
    <row r="39" spans="1:19" ht="24.95" customHeight="1">
      <c r="A39" s="1"/>
      <c r="B39" s="5" t="s">
        <v>20</v>
      </c>
      <c r="C39" s="5" t="s">
        <v>103</v>
      </c>
      <c r="D39" s="5" t="s">
        <v>104</v>
      </c>
      <c r="E39" s="5" t="s">
        <v>77</v>
      </c>
      <c r="F39" s="5" t="s">
        <v>105</v>
      </c>
      <c r="G39" s="5" t="s">
        <v>106</v>
      </c>
      <c r="H39" s="6">
        <v>144.97999999999999</v>
      </c>
      <c r="I39" s="7" t="s">
        <v>57</v>
      </c>
      <c r="J39" s="7" t="s">
        <v>107</v>
      </c>
      <c r="K39" s="8" t="s">
        <v>59</v>
      </c>
      <c r="L39" s="9">
        <v>100</v>
      </c>
      <c r="M39" s="6">
        <v>152.22999999999999</v>
      </c>
      <c r="N39" s="7"/>
      <c r="O39" s="8"/>
      <c r="P39" s="7" t="s">
        <v>49</v>
      </c>
      <c r="Q39" s="10" t="s">
        <v>29</v>
      </c>
      <c r="R39" s="10"/>
      <c r="S39" s="1"/>
    </row>
    <row r="40" spans="1:19" ht="24.95" customHeight="1">
      <c r="A40" s="1"/>
      <c r="B40" s="5" t="s">
        <v>20</v>
      </c>
      <c r="C40" s="5" t="s">
        <v>103</v>
      </c>
      <c r="D40" s="5" t="s">
        <v>104</v>
      </c>
      <c r="E40" s="5" t="s">
        <v>77</v>
      </c>
      <c r="F40" s="5" t="s">
        <v>105</v>
      </c>
      <c r="G40" s="5" t="s">
        <v>106</v>
      </c>
      <c r="H40" s="6">
        <v>4.55</v>
      </c>
      <c r="I40" s="7" t="s">
        <v>57</v>
      </c>
      <c r="J40" s="7" t="s">
        <v>107</v>
      </c>
      <c r="K40" s="8" t="s">
        <v>59</v>
      </c>
      <c r="L40" s="9">
        <v>100</v>
      </c>
      <c r="M40" s="6">
        <v>4.78</v>
      </c>
      <c r="N40" s="7"/>
      <c r="O40" s="8"/>
      <c r="P40" s="7" t="s">
        <v>49</v>
      </c>
      <c r="Q40" s="10" t="s">
        <v>29</v>
      </c>
      <c r="R40" s="10"/>
      <c r="S40" s="1"/>
    </row>
    <row r="41" spans="1:19" ht="24.95" customHeight="1">
      <c r="A41" s="1"/>
      <c r="B41" s="5" t="s">
        <v>20</v>
      </c>
      <c r="C41" s="5" t="s">
        <v>103</v>
      </c>
      <c r="D41" s="5" t="s">
        <v>104</v>
      </c>
      <c r="E41" s="5" t="s">
        <v>77</v>
      </c>
      <c r="F41" s="5" t="s">
        <v>105</v>
      </c>
      <c r="G41" s="5" t="s">
        <v>106</v>
      </c>
      <c r="H41" s="6">
        <v>8.44</v>
      </c>
      <c r="I41" s="7" t="s">
        <v>57</v>
      </c>
      <c r="J41" s="7" t="s">
        <v>107</v>
      </c>
      <c r="K41" s="8" t="s">
        <v>59</v>
      </c>
      <c r="L41" s="9">
        <v>100</v>
      </c>
      <c r="M41" s="6">
        <v>8.86</v>
      </c>
      <c r="N41" s="7"/>
      <c r="O41" s="8"/>
      <c r="P41" s="7" t="s">
        <v>49</v>
      </c>
      <c r="Q41" s="10" t="s">
        <v>29</v>
      </c>
      <c r="R41" s="10"/>
      <c r="S41" s="1"/>
    </row>
    <row r="42" spans="1:19" ht="24.95" customHeight="1">
      <c r="A42" s="1"/>
      <c r="B42" s="5" t="s">
        <v>20</v>
      </c>
      <c r="C42" s="5" t="s">
        <v>103</v>
      </c>
      <c r="D42" s="5" t="s">
        <v>104</v>
      </c>
      <c r="E42" s="5" t="s">
        <v>77</v>
      </c>
      <c r="F42" s="5" t="s">
        <v>105</v>
      </c>
      <c r="G42" s="5" t="s">
        <v>106</v>
      </c>
      <c r="H42" s="6">
        <v>6.6</v>
      </c>
      <c r="I42" s="7" t="s">
        <v>25</v>
      </c>
      <c r="J42" s="7" t="s">
        <v>107</v>
      </c>
      <c r="K42" s="8" t="s">
        <v>27</v>
      </c>
      <c r="L42" s="9">
        <v>100</v>
      </c>
      <c r="M42" s="6">
        <v>0</v>
      </c>
      <c r="N42" s="7"/>
      <c r="O42" s="8"/>
      <c r="P42" s="7" t="s">
        <v>49</v>
      </c>
      <c r="Q42" s="10" t="s">
        <v>29</v>
      </c>
      <c r="R42" s="10"/>
      <c r="S42" s="1"/>
    </row>
    <row r="43" spans="1:19" ht="24.95" customHeight="1">
      <c r="A43" s="1"/>
      <c r="B43" s="5" t="s">
        <v>20</v>
      </c>
      <c r="C43" s="5" t="s">
        <v>103</v>
      </c>
      <c r="D43" s="5" t="s">
        <v>104</v>
      </c>
      <c r="E43" s="5" t="s">
        <v>77</v>
      </c>
      <c r="F43" s="5" t="s">
        <v>108</v>
      </c>
      <c r="G43" s="5" t="s">
        <v>109</v>
      </c>
      <c r="H43" s="6">
        <v>17.510000000000002</v>
      </c>
      <c r="I43" s="7" t="s">
        <v>57</v>
      </c>
      <c r="J43" s="7" t="s">
        <v>110</v>
      </c>
      <c r="K43" s="8" t="s">
        <v>59</v>
      </c>
      <c r="L43" s="9">
        <v>100</v>
      </c>
      <c r="M43" s="6">
        <v>18.39</v>
      </c>
      <c r="N43" s="7"/>
      <c r="O43" s="8"/>
      <c r="P43" s="7" t="s">
        <v>28</v>
      </c>
      <c r="Q43" s="10" t="s">
        <v>29</v>
      </c>
      <c r="R43" s="10"/>
      <c r="S43" s="1"/>
    </row>
    <row r="44" spans="1:19" ht="24.95" customHeight="1">
      <c r="A44" s="1"/>
      <c r="B44" s="5" t="s">
        <v>20</v>
      </c>
      <c r="C44" s="5" t="s">
        <v>103</v>
      </c>
      <c r="D44" s="5" t="s">
        <v>104</v>
      </c>
      <c r="E44" s="5" t="s">
        <v>77</v>
      </c>
      <c r="F44" s="5" t="s">
        <v>108</v>
      </c>
      <c r="G44" s="5" t="s">
        <v>109</v>
      </c>
      <c r="H44" s="6">
        <v>0.72</v>
      </c>
      <c r="I44" s="7" t="s">
        <v>57</v>
      </c>
      <c r="J44" s="7" t="s">
        <v>110</v>
      </c>
      <c r="K44" s="8" t="s">
        <v>59</v>
      </c>
      <c r="L44" s="9">
        <v>100</v>
      </c>
      <c r="M44" s="6">
        <v>0.76</v>
      </c>
      <c r="N44" s="7"/>
      <c r="O44" s="8"/>
      <c r="P44" s="7" t="s">
        <v>28</v>
      </c>
      <c r="Q44" s="10" t="s">
        <v>29</v>
      </c>
      <c r="R44" s="10"/>
      <c r="S44" s="1"/>
    </row>
    <row r="45" spans="1:19" ht="24.95" customHeight="1">
      <c r="A45" s="1"/>
      <c r="B45" s="5" t="s">
        <v>20</v>
      </c>
      <c r="C45" s="5" t="s">
        <v>103</v>
      </c>
      <c r="D45" s="5" t="s">
        <v>104</v>
      </c>
      <c r="E45" s="5" t="s">
        <v>77</v>
      </c>
      <c r="F45" s="5" t="s">
        <v>108</v>
      </c>
      <c r="G45" s="5" t="s">
        <v>109</v>
      </c>
      <c r="H45" s="6">
        <v>6.6</v>
      </c>
      <c r="I45" s="7" t="s">
        <v>25</v>
      </c>
      <c r="J45" s="7" t="s">
        <v>110</v>
      </c>
      <c r="K45" s="8" t="s">
        <v>27</v>
      </c>
      <c r="L45" s="9">
        <v>100</v>
      </c>
      <c r="M45" s="6">
        <v>0</v>
      </c>
      <c r="N45" s="7"/>
      <c r="O45" s="8"/>
      <c r="P45" s="7" t="s">
        <v>28</v>
      </c>
      <c r="Q45" s="10" t="s">
        <v>29</v>
      </c>
      <c r="R45" s="10"/>
      <c r="S45" s="1"/>
    </row>
    <row r="46" spans="1:19" ht="24.95" customHeight="1">
      <c r="A46" s="1"/>
      <c r="B46" s="5" t="s">
        <v>20</v>
      </c>
      <c r="C46" s="5" t="s">
        <v>111</v>
      </c>
      <c r="D46" s="5" t="s">
        <v>112</v>
      </c>
      <c r="E46" s="5" t="s">
        <v>22</v>
      </c>
      <c r="F46" s="5" t="s">
        <v>113</v>
      </c>
      <c r="G46" s="5" t="s">
        <v>114</v>
      </c>
      <c r="H46" s="6">
        <v>210.77</v>
      </c>
      <c r="I46" s="7" t="s">
        <v>57</v>
      </c>
      <c r="J46" s="7" t="s">
        <v>115</v>
      </c>
      <c r="K46" s="8" t="s">
        <v>59</v>
      </c>
      <c r="L46" s="9">
        <v>100</v>
      </c>
      <c r="M46" s="6">
        <v>221.31</v>
      </c>
      <c r="N46" s="7"/>
      <c r="O46" s="8"/>
      <c r="P46" s="7" t="s">
        <v>66</v>
      </c>
      <c r="Q46" s="10" t="s">
        <v>29</v>
      </c>
      <c r="R46" s="10"/>
      <c r="S46" s="1"/>
    </row>
    <row r="47" spans="1:19" ht="24.95" customHeight="1">
      <c r="A47" s="1"/>
      <c r="B47" s="5" t="s">
        <v>20</v>
      </c>
      <c r="C47" s="5" t="s">
        <v>111</v>
      </c>
      <c r="D47" s="5" t="s">
        <v>112</v>
      </c>
      <c r="E47" s="5" t="s">
        <v>22</v>
      </c>
      <c r="F47" s="5" t="s">
        <v>113</v>
      </c>
      <c r="G47" s="5" t="s">
        <v>114</v>
      </c>
      <c r="H47" s="6">
        <v>6.6</v>
      </c>
      <c r="I47" s="7" t="s">
        <v>25</v>
      </c>
      <c r="J47" s="7" t="s">
        <v>115</v>
      </c>
      <c r="K47" s="8" t="s">
        <v>27</v>
      </c>
      <c r="L47" s="9">
        <v>100</v>
      </c>
      <c r="M47" s="6">
        <v>0</v>
      </c>
      <c r="N47" s="7"/>
      <c r="O47" s="8"/>
      <c r="P47" s="7" t="s">
        <v>66</v>
      </c>
      <c r="Q47" s="10" t="s">
        <v>29</v>
      </c>
      <c r="R47" s="10"/>
      <c r="S47" s="1"/>
    </row>
  </sheetData>
  <mergeCells count="47">
    <mergeCell ref="Q6:R6"/>
    <mergeCell ref="B1:Q1"/>
    <mergeCell ref="B2:Q2"/>
    <mergeCell ref="B3:Q3"/>
    <mergeCell ref="B4:Q4"/>
    <mergeCell ref="Q5:R5"/>
    <mergeCell ref="Q18:R18"/>
    <mergeCell ref="Q7:R7"/>
    <mergeCell ref="Q8:R8"/>
    <mergeCell ref="Q9:R9"/>
    <mergeCell ref="Q10:R10"/>
    <mergeCell ref="Q11:R11"/>
    <mergeCell ref="Q12:R12"/>
    <mergeCell ref="Q13:R13"/>
    <mergeCell ref="Q14:R14"/>
    <mergeCell ref="Q15:R15"/>
    <mergeCell ref="Q16:R16"/>
    <mergeCell ref="Q17:R17"/>
    <mergeCell ref="Q30:R30"/>
    <mergeCell ref="Q19:R19"/>
    <mergeCell ref="Q20:R20"/>
    <mergeCell ref="Q21:R21"/>
    <mergeCell ref="Q22:R22"/>
    <mergeCell ref="Q23:R23"/>
    <mergeCell ref="Q24:R24"/>
    <mergeCell ref="Q25:R25"/>
    <mergeCell ref="Q26:R26"/>
    <mergeCell ref="Q27:R27"/>
    <mergeCell ref="Q28:R28"/>
    <mergeCell ref="Q29:R29"/>
    <mergeCell ref="Q42:R42"/>
    <mergeCell ref="Q31:R31"/>
    <mergeCell ref="Q32:R32"/>
    <mergeCell ref="Q33:R33"/>
    <mergeCell ref="Q34:R34"/>
    <mergeCell ref="Q35:R35"/>
    <mergeCell ref="Q36:R36"/>
    <mergeCell ref="Q37:R37"/>
    <mergeCell ref="Q38:R38"/>
    <mergeCell ref="Q39:R39"/>
    <mergeCell ref="Q40:R40"/>
    <mergeCell ref="Q41:R41"/>
    <mergeCell ref="Q43:R43"/>
    <mergeCell ref="Q44:R44"/>
    <mergeCell ref="Q45:R45"/>
    <mergeCell ref="Q46:R46"/>
    <mergeCell ref="Q47:R47"/>
  </mergeCells>
  <pageMargins left="0" right="0" top="0" bottom="0" header="0" footer="0"/>
  <pageSetup orientation="portrait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64A819-606E-4E90-996C-13EB72F0B8EC}">
  <dimension ref="A1:P42"/>
  <sheetViews>
    <sheetView tabSelected="1" workbookViewId="0">
      <selection activeCell="D10" sqref="D10"/>
    </sheetView>
  </sheetViews>
  <sheetFormatPr defaultRowHeight="12.75"/>
  <cols>
    <col min="1" max="1" width="27.7109375" style="16" bestFit="1" customWidth="1"/>
    <col min="2" max="2" width="12.5703125" style="16" bestFit="1" customWidth="1"/>
    <col min="3" max="3" width="28.42578125" style="16" bestFit="1" customWidth="1"/>
    <col min="4" max="4" width="14.7109375" style="16" bestFit="1" customWidth="1"/>
    <col min="5" max="5" width="30.140625" style="16" bestFit="1" customWidth="1"/>
    <col min="6" max="6" width="17.28515625" style="16" bestFit="1" customWidth="1"/>
    <col min="7" max="7" width="20.7109375" style="16" bestFit="1" customWidth="1"/>
    <col min="8" max="8" width="11.28515625" style="16" bestFit="1" customWidth="1"/>
    <col min="9" max="9" width="15.5703125" style="16" bestFit="1" customWidth="1"/>
    <col min="10" max="10" width="15.5703125" style="16" customWidth="1"/>
    <col min="11" max="11" width="14.42578125" style="16" bestFit="1" customWidth="1"/>
    <col min="12" max="12" width="16.42578125" style="16" bestFit="1" customWidth="1"/>
    <col min="13" max="13" width="20.85546875" style="16" bestFit="1" customWidth="1"/>
    <col min="14" max="14" width="12.28515625" style="16" bestFit="1" customWidth="1"/>
    <col min="15" max="15" width="14.140625" style="16" bestFit="1" customWidth="1"/>
    <col min="16" max="16" width="11.85546875" style="16" bestFit="1" customWidth="1"/>
    <col min="17" max="16384" width="9.140625" style="21"/>
  </cols>
  <sheetData>
    <row r="1" spans="1:16" ht="15">
      <c r="A1" s="15" t="s">
        <v>5</v>
      </c>
      <c r="B1" s="15" t="s">
        <v>6</v>
      </c>
      <c r="C1" s="15" t="s">
        <v>7</v>
      </c>
      <c r="D1" s="15" t="s">
        <v>8</v>
      </c>
      <c r="E1" s="15" t="s">
        <v>9</v>
      </c>
      <c r="F1" s="15" t="s">
        <v>10</v>
      </c>
      <c r="G1" s="15" t="s">
        <v>11</v>
      </c>
      <c r="H1" s="15" t="s">
        <v>12</v>
      </c>
      <c r="I1" s="15" t="s">
        <v>18</v>
      </c>
      <c r="J1" s="15"/>
      <c r="K1" s="15" t="s">
        <v>13</v>
      </c>
      <c r="L1" s="15" t="s">
        <v>14</v>
      </c>
      <c r="M1" s="15" t="s">
        <v>15</v>
      </c>
      <c r="N1" s="15" t="s">
        <v>16</v>
      </c>
      <c r="O1" s="15" t="s">
        <v>17</v>
      </c>
      <c r="P1" s="15" t="s">
        <v>19</v>
      </c>
    </row>
    <row r="2" spans="1:16" ht="15">
      <c r="A2" s="27" t="s">
        <v>103</v>
      </c>
      <c r="B2" s="22">
        <v>19396223</v>
      </c>
      <c r="C2" s="27" t="s">
        <v>118</v>
      </c>
      <c r="D2" s="27" t="s">
        <v>105</v>
      </c>
      <c r="E2" s="27" t="s">
        <v>106</v>
      </c>
      <c r="F2" s="27">
        <v>6.6</v>
      </c>
      <c r="G2" s="27" t="s">
        <v>25</v>
      </c>
      <c r="H2" s="27" t="s">
        <v>107</v>
      </c>
      <c r="I2" s="27" t="s">
        <v>49</v>
      </c>
      <c r="J2" s="27" t="s">
        <v>124</v>
      </c>
      <c r="K2" s="28">
        <v>1.05</v>
      </c>
      <c r="L2" s="17">
        <f>SUM(F2/K2)</f>
        <v>6.2857142857142847</v>
      </c>
      <c r="M2" s="27">
        <v>0</v>
      </c>
      <c r="N2" s="27"/>
      <c r="O2" s="27"/>
      <c r="P2" s="27" t="s">
        <v>29</v>
      </c>
    </row>
    <row r="3" spans="1:16" ht="15">
      <c r="A3" s="27" t="s">
        <v>103</v>
      </c>
      <c r="B3" s="22">
        <v>19396223</v>
      </c>
      <c r="C3" s="27" t="s">
        <v>118</v>
      </c>
      <c r="D3" s="27" t="s">
        <v>105</v>
      </c>
      <c r="E3" s="27" t="s">
        <v>106</v>
      </c>
      <c r="F3" s="27">
        <v>4.55</v>
      </c>
      <c r="G3" s="27" t="s">
        <v>57</v>
      </c>
      <c r="H3" s="27" t="s">
        <v>107</v>
      </c>
      <c r="I3" s="27" t="s">
        <v>49</v>
      </c>
      <c r="J3" s="27" t="s">
        <v>124</v>
      </c>
      <c r="K3" s="28">
        <v>1.05</v>
      </c>
      <c r="L3" s="17">
        <f t="shared" ref="L3:L42" si="0">SUM(F3/K3)</f>
        <v>4.333333333333333</v>
      </c>
      <c r="M3" s="27">
        <v>4.78</v>
      </c>
      <c r="N3" s="27"/>
      <c r="O3" s="27"/>
      <c r="P3" s="27" t="s">
        <v>29</v>
      </c>
    </row>
    <row r="4" spans="1:16" ht="15">
      <c r="A4" s="27" t="s">
        <v>103</v>
      </c>
      <c r="B4" s="22">
        <v>19396223</v>
      </c>
      <c r="C4" s="27" t="s">
        <v>118</v>
      </c>
      <c r="D4" s="27" t="s">
        <v>105</v>
      </c>
      <c r="E4" s="27" t="s">
        <v>106</v>
      </c>
      <c r="F4" s="27">
        <v>8.44</v>
      </c>
      <c r="G4" s="27" t="s">
        <v>57</v>
      </c>
      <c r="H4" s="27" t="s">
        <v>107</v>
      </c>
      <c r="I4" s="27" t="s">
        <v>49</v>
      </c>
      <c r="J4" s="27" t="s">
        <v>124</v>
      </c>
      <c r="K4" s="28">
        <v>1.05</v>
      </c>
      <c r="L4" s="17">
        <f t="shared" si="0"/>
        <v>8.038095238095238</v>
      </c>
      <c r="M4" s="27">
        <v>8.86</v>
      </c>
      <c r="N4" s="27"/>
      <c r="O4" s="27"/>
      <c r="P4" s="27" t="s">
        <v>29</v>
      </c>
    </row>
    <row r="5" spans="1:16" ht="15">
      <c r="A5" s="27" t="s">
        <v>103</v>
      </c>
      <c r="B5" s="22">
        <v>19396223</v>
      </c>
      <c r="C5" s="27" t="s">
        <v>118</v>
      </c>
      <c r="D5" s="27" t="s">
        <v>105</v>
      </c>
      <c r="E5" s="27" t="s">
        <v>106</v>
      </c>
      <c r="F5" s="27">
        <v>144.97999999999999</v>
      </c>
      <c r="G5" s="27" t="s">
        <v>57</v>
      </c>
      <c r="H5" s="27" t="s">
        <v>107</v>
      </c>
      <c r="I5" s="27" t="s">
        <v>49</v>
      </c>
      <c r="J5" s="27" t="s">
        <v>124</v>
      </c>
      <c r="K5" s="28">
        <v>1.05</v>
      </c>
      <c r="L5" s="17">
        <f t="shared" si="0"/>
        <v>138.07619047619045</v>
      </c>
      <c r="M5" s="27">
        <v>152.22999999999999</v>
      </c>
      <c r="N5" s="27"/>
      <c r="O5" s="27"/>
      <c r="P5" s="27" t="s">
        <v>29</v>
      </c>
    </row>
    <row r="6" spans="1:16" ht="15">
      <c r="A6" s="27" t="s">
        <v>103</v>
      </c>
      <c r="B6" s="22">
        <v>19396223</v>
      </c>
      <c r="C6" s="27" t="s">
        <v>118</v>
      </c>
      <c r="D6" s="27" t="s">
        <v>108</v>
      </c>
      <c r="E6" s="27" t="s">
        <v>109</v>
      </c>
      <c r="F6" s="27">
        <v>6.6</v>
      </c>
      <c r="G6" s="27" t="s">
        <v>25</v>
      </c>
      <c r="H6" s="27" t="s">
        <v>110</v>
      </c>
      <c r="I6" s="27" t="s">
        <v>28</v>
      </c>
      <c r="J6" s="27" t="s">
        <v>124</v>
      </c>
      <c r="K6" s="28">
        <v>1.05</v>
      </c>
      <c r="L6" s="17">
        <f t="shared" si="0"/>
        <v>6.2857142857142847</v>
      </c>
      <c r="M6" s="27">
        <v>0</v>
      </c>
      <c r="N6" s="27"/>
      <c r="O6" s="27"/>
      <c r="P6" s="27" t="s">
        <v>29</v>
      </c>
    </row>
    <row r="7" spans="1:16" ht="15">
      <c r="A7" s="27" t="s">
        <v>103</v>
      </c>
      <c r="B7" s="22">
        <v>19396223</v>
      </c>
      <c r="C7" s="27" t="s">
        <v>118</v>
      </c>
      <c r="D7" s="27" t="s">
        <v>108</v>
      </c>
      <c r="E7" s="27" t="s">
        <v>109</v>
      </c>
      <c r="F7" s="27">
        <v>0.72</v>
      </c>
      <c r="G7" s="27" t="s">
        <v>57</v>
      </c>
      <c r="H7" s="27" t="s">
        <v>110</v>
      </c>
      <c r="I7" s="27" t="s">
        <v>28</v>
      </c>
      <c r="J7" s="27" t="s">
        <v>124</v>
      </c>
      <c r="K7" s="28">
        <v>1.05</v>
      </c>
      <c r="L7" s="17">
        <f t="shared" si="0"/>
        <v>0.68571428571428561</v>
      </c>
      <c r="M7" s="27">
        <v>0.76</v>
      </c>
      <c r="N7" s="27"/>
      <c r="O7" s="27"/>
      <c r="P7" s="27" t="s">
        <v>29</v>
      </c>
    </row>
    <row r="8" spans="1:16" ht="15">
      <c r="A8" s="27" t="s">
        <v>103</v>
      </c>
      <c r="B8" s="22">
        <v>19396223</v>
      </c>
      <c r="C8" s="27" t="s">
        <v>118</v>
      </c>
      <c r="D8" s="27" t="s">
        <v>108</v>
      </c>
      <c r="E8" s="27" t="s">
        <v>109</v>
      </c>
      <c r="F8" s="27">
        <v>17.510000000000002</v>
      </c>
      <c r="G8" s="27" t="s">
        <v>57</v>
      </c>
      <c r="H8" s="27" t="s">
        <v>110</v>
      </c>
      <c r="I8" s="27" t="s">
        <v>28</v>
      </c>
      <c r="J8" s="27" t="s">
        <v>124</v>
      </c>
      <c r="K8" s="28">
        <v>1.05</v>
      </c>
      <c r="L8" s="17">
        <f t="shared" si="0"/>
        <v>16.676190476190477</v>
      </c>
      <c r="M8" s="27">
        <v>18.39</v>
      </c>
      <c r="N8" s="27"/>
      <c r="O8" s="27"/>
      <c r="P8" s="27" t="s">
        <v>29</v>
      </c>
    </row>
    <row r="9" spans="1:16" s="26" customFormat="1" ht="15">
      <c r="A9" s="23" t="s">
        <v>81</v>
      </c>
      <c r="B9" s="24" t="s">
        <v>122</v>
      </c>
      <c r="C9" s="23" t="s">
        <v>118</v>
      </c>
      <c r="D9" s="23" t="s">
        <v>83</v>
      </c>
      <c r="E9" s="23" t="s">
        <v>84</v>
      </c>
      <c r="F9" s="23">
        <v>75</v>
      </c>
      <c r="G9" s="23" t="s">
        <v>25</v>
      </c>
      <c r="H9" s="23" t="s">
        <v>85</v>
      </c>
      <c r="I9" s="23" t="s">
        <v>66</v>
      </c>
      <c r="J9" s="27" t="s">
        <v>125</v>
      </c>
      <c r="K9" s="28">
        <v>1.05</v>
      </c>
      <c r="L9" s="17">
        <f t="shared" si="0"/>
        <v>71.428571428571431</v>
      </c>
      <c r="M9" s="23">
        <v>0</v>
      </c>
      <c r="N9" s="23"/>
      <c r="O9" s="23"/>
      <c r="P9" s="23" t="s">
        <v>29</v>
      </c>
    </row>
    <row r="10" spans="1:16" s="26" customFormat="1" ht="15">
      <c r="A10" s="23" t="s">
        <v>81</v>
      </c>
      <c r="B10" s="24" t="s">
        <v>122</v>
      </c>
      <c r="C10" s="23" t="s">
        <v>118</v>
      </c>
      <c r="D10" s="23" t="s">
        <v>83</v>
      </c>
      <c r="E10" s="23" t="s">
        <v>84</v>
      </c>
      <c r="F10" s="23">
        <v>825.01</v>
      </c>
      <c r="G10" s="23" t="s">
        <v>57</v>
      </c>
      <c r="H10" s="23" t="s">
        <v>85</v>
      </c>
      <c r="I10" s="23" t="s">
        <v>66</v>
      </c>
      <c r="J10" s="27" t="s">
        <v>125</v>
      </c>
      <c r="K10" s="25">
        <v>1.05</v>
      </c>
      <c r="L10" s="17">
        <f t="shared" si="0"/>
        <v>785.72380952380945</v>
      </c>
      <c r="M10" s="23">
        <v>866.26</v>
      </c>
      <c r="N10" s="23"/>
      <c r="O10" s="23"/>
      <c r="P10" s="23" t="s">
        <v>29</v>
      </c>
    </row>
    <row r="11" spans="1:16" ht="15">
      <c r="A11" s="27" t="s">
        <v>43</v>
      </c>
      <c r="B11" s="22">
        <v>9079571</v>
      </c>
      <c r="C11" s="27" t="s">
        <v>117</v>
      </c>
      <c r="D11" s="27" t="s">
        <v>55</v>
      </c>
      <c r="E11" s="27" t="s">
        <v>56</v>
      </c>
      <c r="F11" s="27">
        <v>6.6</v>
      </c>
      <c r="G11" s="27" t="s">
        <v>25</v>
      </c>
      <c r="H11" s="27" t="s">
        <v>58</v>
      </c>
      <c r="I11" s="27" t="s">
        <v>40</v>
      </c>
      <c r="J11" s="27" t="s">
        <v>124</v>
      </c>
      <c r="K11" s="28">
        <v>1.05</v>
      </c>
      <c r="L11" s="17">
        <f t="shared" si="0"/>
        <v>6.2857142857142847</v>
      </c>
      <c r="M11" s="27">
        <v>0</v>
      </c>
      <c r="N11" s="27"/>
      <c r="O11" s="27"/>
      <c r="P11" s="27" t="s">
        <v>29</v>
      </c>
    </row>
    <row r="12" spans="1:16" ht="15">
      <c r="A12" s="27" t="s">
        <v>43</v>
      </c>
      <c r="B12" s="22">
        <v>9079571</v>
      </c>
      <c r="C12" s="27" t="s">
        <v>117</v>
      </c>
      <c r="D12" s="27" t="s">
        <v>55</v>
      </c>
      <c r="E12" s="27" t="s">
        <v>56</v>
      </c>
      <c r="F12" s="27">
        <v>5.45</v>
      </c>
      <c r="G12" s="27" t="s">
        <v>57</v>
      </c>
      <c r="H12" s="27" t="s">
        <v>58</v>
      </c>
      <c r="I12" s="27" t="s">
        <v>40</v>
      </c>
      <c r="J12" s="27" t="s">
        <v>124</v>
      </c>
      <c r="K12" s="28">
        <v>1.05</v>
      </c>
      <c r="L12" s="17">
        <f t="shared" si="0"/>
        <v>5.1904761904761907</v>
      </c>
      <c r="M12" s="27">
        <v>5.72</v>
      </c>
      <c r="N12" s="27"/>
      <c r="O12" s="27"/>
      <c r="P12" s="27" t="s">
        <v>29</v>
      </c>
    </row>
    <row r="13" spans="1:16" ht="15">
      <c r="A13" s="27" t="s">
        <v>43</v>
      </c>
      <c r="B13" s="22">
        <v>9079571</v>
      </c>
      <c r="C13" s="27" t="s">
        <v>117</v>
      </c>
      <c r="D13" s="27" t="s">
        <v>55</v>
      </c>
      <c r="E13" s="27" t="s">
        <v>56</v>
      </c>
      <c r="F13" s="27">
        <v>175.12</v>
      </c>
      <c r="G13" s="27" t="s">
        <v>57</v>
      </c>
      <c r="H13" s="27" t="s">
        <v>58</v>
      </c>
      <c r="I13" s="27" t="s">
        <v>40</v>
      </c>
      <c r="J13" s="27" t="s">
        <v>124</v>
      </c>
      <c r="K13" s="28">
        <v>1.05</v>
      </c>
      <c r="L13" s="17">
        <f t="shared" si="0"/>
        <v>166.78095238095239</v>
      </c>
      <c r="M13" s="27">
        <v>183.88</v>
      </c>
      <c r="N13" s="27"/>
      <c r="O13" s="27"/>
      <c r="P13" s="27" t="s">
        <v>29</v>
      </c>
    </row>
    <row r="14" spans="1:16" ht="15">
      <c r="A14" s="27" t="s">
        <v>67</v>
      </c>
      <c r="B14" s="22">
        <v>20220688</v>
      </c>
      <c r="C14" s="27" t="s">
        <v>120</v>
      </c>
      <c r="D14" s="27" t="s">
        <v>70</v>
      </c>
      <c r="E14" s="27" t="s">
        <v>71</v>
      </c>
      <c r="F14" s="27">
        <v>150</v>
      </c>
      <c r="G14" s="27" t="s">
        <v>72</v>
      </c>
      <c r="H14" s="27" t="s">
        <v>73</v>
      </c>
      <c r="I14" s="27" t="s">
        <v>40</v>
      </c>
      <c r="J14" s="27" t="s">
        <v>124</v>
      </c>
      <c r="K14" s="28">
        <v>0.95</v>
      </c>
      <c r="L14" s="17">
        <f t="shared" si="0"/>
        <v>157.89473684210526</v>
      </c>
      <c r="M14" s="27">
        <v>142.5</v>
      </c>
      <c r="N14" s="27"/>
      <c r="O14" s="27"/>
      <c r="P14" s="27" t="s">
        <v>29</v>
      </c>
    </row>
    <row r="15" spans="1:16" s="20" customFormat="1" ht="15">
      <c r="A15" s="17" t="s">
        <v>98</v>
      </c>
      <c r="B15" s="18">
        <v>8244481</v>
      </c>
      <c r="C15" s="17" t="s">
        <v>120</v>
      </c>
      <c r="D15" s="17" t="s">
        <v>100</v>
      </c>
      <c r="E15" s="17" t="s">
        <v>101</v>
      </c>
      <c r="F15" s="17">
        <v>135</v>
      </c>
      <c r="G15" s="17" t="s">
        <v>72</v>
      </c>
      <c r="H15" s="17" t="s">
        <v>102</v>
      </c>
      <c r="I15" s="17" t="s">
        <v>66</v>
      </c>
      <c r="J15" s="17" t="s">
        <v>123</v>
      </c>
      <c r="K15" s="19">
        <v>0.95</v>
      </c>
      <c r="L15" s="17">
        <f t="shared" si="0"/>
        <v>142.10526315789474</v>
      </c>
      <c r="M15" s="17">
        <v>128.25</v>
      </c>
      <c r="N15" s="17"/>
      <c r="O15" s="17"/>
      <c r="P15" s="17" t="s">
        <v>29</v>
      </c>
    </row>
    <row r="16" spans="1:16" s="20" customFormat="1" ht="15">
      <c r="A16" s="17" t="s">
        <v>111</v>
      </c>
      <c r="B16" s="18">
        <v>8814784</v>
      </c>
      <c r="C16" s="17" t="s">
        <v>118</v>
      </c>
      <c r="D16" s="17" t="s">
        <v>113</v>
      </c>
      <c r="E16" s="17" t="s">
        <v>114</v>
      </c>
      <c r="F16" s="17">
        <v>6.6</v>
      </c>
      <c r="G16" s="17" t="s">
        <v>25</v>
      </c>
      <c r="H16" s="17" t="s">
        <v>115</v>
      </c>
      <c r="I16" s="17" t="s">
        <v>66</v>
      </c>
      <c r="J16" s="17" t="s">
        <v>123</v>
      </c>
      <c r="K16" s="28">
        <v>1.05</v>
      </c>
      <c r="L16" s="17">
        <f t="shared" si="0"/>
        <v>6.2857142857142847</v>
      </c>
      <c r="M16" s="17">
        <v>0</v>
      </c>
      <c r="N16" s="17"/>
      <c r="O16" s="17"/>
      <c r="P16" s="17" t="s">
        <v>29</v>
      </c>
    </row>
    <row r="17" spans="1:16" s="20" customFormat="1" ht="15">
      <c r="A17" s="17" t="s">
        <v>111</v>
      </c>
      <c r="B17" s="18">
        <v>8814784</v>
      </c>
      <c r="C17" s="17" t="s">
        <v>118</v>
      </c>
      <c r="D17" s="17" t="s">
        <v>113</v>
      </c>
      <c r="E17" s="17" t="s">
        <v>114</v>
      </c>
      <c r="F17" s="17">
        <v>210.77</v>
      </c>
      <c r="G17" s="17" t="s">
        <v>57</v>
      </c>
      <c r="H17" s="17" t="s">
        <v>115</v>
      </c>
      <c r="I17" s="17" t="s">
        <v>66</v>
      </c>
      <c r="J17" s="17" t="s">
        <v>123</v>
      </c>
      <c r="K17" s="19">
        <v>1.05</v>
      </c>
      <c r="L17" s="17">
        <f t="shared" si="0"/>
        <v>200.73333333333335</v>
      </c>
      <c r="M17" s="17">
        <v>221.31</v>
      </c>
      <c r="N17" s="17"/>
      <c r="O17" s="17"/>
      <c r="P17" s="17" t="s">
        <v>29</v>
      </c>
    </row>
    <row r="18" spans="1:16" s="20" customFormat="1" ht="15">
      <c r="A18" s="17" t="s">
        <v>86</v>
      </c>
      <c r="B18" s="18">
        <v>16865615</v>
      </c>
      <c r="C18" s="17" t="s">
        <v>116</v>
      </c>
      <c r="D18" s="17" t="s">
        <v>92</v>
      </c>
      <c r="E18" s="17" t="s">
        <v>93</v>
      </c>
      <c r="F18" s="17">
        <v>6.6</v>
      </c>
      <c r="G18" s="17" t="s">
        <v>25</v>
      </c>
      <c r="H18" s="17" t="s">
        <v>94</v>
      </c>
      <c r="I18" s="17" t="s">
        <v>49</v>
      </c>
      <c r="J18" s="17" t="s">
        <v>123</v>
      </c>
      <c r="K18" s="19">
        <v>1.05</v>
      </c>
      <c r="L18" s="17">
        <f t="shared" si="0"/>
        <v>6.2857142857142847</v>
      </c>
      <c r="M18" s="17">
        <v>0</v>
      </c>
      <c r="N18" s="17"/>
      <c r="O18" s="17"/>
      <c r="P18" s="17" t="s">
        <v>29</v>
      </c>
    </row>
    <row r="19" spans="1:16" s="20" customFormat="1" ht="15">
      <c r="A19" s="17" t="s">
        <v>86</v>
      </c>
      <c r="B19" s="18">
        <v>16865615</v>
      </c>
      <c r="C19" s="17" t="s">
        <v>116</v>
      </c>
      <c r="D19" s="17" t="s">
        <v>92</v>
      </c>
      <c r="E19" s="17" t="s">
        <v>93</v>
      </c>
      <c r="F19" s="17">
        <v>1.61</v>
      </c>
      <c r="G19" s="17" t="s">
        <v>57</v>
      </c>
      <c r="H19" s="17" t="s">
        <v>94</v>
      </c>
      <c r="I19" s="17" t="s">
        <v>49</v>
      </c>
      <c r="J19" s="17" t="s">
        <v>123</v>
      </c>
      <c r="K19" s="19">
        <v>1.05</v>
      </c>
      <c r="L19" s="17">
        <f t="shared" si="0"/>
        <v>1.5333333333333334</v>
      </c>
      <c r="M19" s="17">
        <v>1.61</v>
      </c>
      <c r="N19" s="17"/>
      <c r="O19" s="17"/>
      <c r="P19" s="17" t="s">
        <v>29</v>
      </c>
    </row>
    <row r="20" spans="1:16" s="20" customFormat="1" ht="15">
      <c r="A20" s="17" t="s">
        <v>86</v>
      </c>
      <c r="B20" s="18">
        <v>16865615</v>
      </c>
      <c r="C20" s="17" t="s">
        <v>116</v>
      </c>
      <c r="D20" s="17" t="s">
        <v>92</v>
      </c>
      <c r="E20" s="17" t="s">
        <v>93</v>
      </c>
      <c r="F20" s="17">
        <v>46.94</v>
      </c>
      <c r="G20" s="17" t="s">
        <v>57</v>
      </c>
      <c r="H20" s="17" t="s">
        <v>94</v>
      </c>
      <c r="I20" s="17" t="s">
        <v>49</v>
      </c>
      <c r="J20" s="17" t="s">
        <v>123</v>
      </c>
      <c r="K20" s="19">
        <v>1.05</v>
      </c>
      <c r="L20" s="17">
        <f t="shared" si="0"/>
        <v>44.704761904761902</v>
      </c>
      <c r="M20" s="17">
        <v>46.94</v>
      </c>
      <c r="N20" s="17"/>
      <c r="O20" s="17"/>
      <c r="P20" s="17" t="s">
        <v>29</v>
      </c>
    </row>
    <row r="21" spans="1:16" s="20" customFormat="1" ht="15">
      <c r="A21" s="17" t="s">
        <v>86</v>
      </c>
      <c r="B21" s="18">
        <v>16865615</v>
      </c>
      <c r="C21" s="17" t="s">
        <v>116</v>
      </c>
      <c r="D21" s="17" t="s">
        <v>88</v>
      </c>
      <c r="E21" s="17" t="s">
        <v>89</v>
      </c>
      <c r="F21" s="17">
        <v>6.6</v>
      </c>
      <c r="G21" s="17" t="s">
        <v>25</v>
      </c>
      <c r="H21" s="17" t="s">
        <v>90</v>
      </c>
      <c r="I21" s="17" t="s">
        <v>40</v>
      </c>
      <c r="J21" s="17" t="s">
        <v>123</v>
      </c>
      <c r="K21" s="19">
        <v>1.05</v>
      </c>
      <c r="L21" s="17">
        <f t="shared" si="0"/>
        <v>6.2857142857142847</v>
      </c>
      <c r="M21" s="17">
        <v>0</v>
      </c>
      <c r="N21" s="17"/>
      <c r="O21" s="17"/>
      <c r="P21" s="17" t="s">
        <v>29</v>
      </c>
    </row>
    <row r="22" spans="1:16" s="20" customFormat="1" ht="15">
      <c r="A22" s="17" t="s">
        <v>86</v>
      </c>
      <c r="B22" s="18">
        <v>16865615</v>
      </c>
      <c r="C22" s="17" t="s">
        <v>116</v>
      </c>
      <c r="D22" s="17" t="s">
        <v>88</v>
      </c>
      <c r="E22" s="17" t="s">
        <v>89</v>
      </c>
      <c r="F22" s="17">
        <v>1.88</v>
      </c>
      <c r="G22" s="17" t="s">
        <v>57</v>
      </c>
      <c r="H22" s="17" t="s">
        <v>90</v>
      </c>
      <c r="I22" s="17" t="s">
        <v>40</v>
      </c>
      <c r="J22" s="17" t="s">
        <v>123</v>
      </c>
      <c r="K22" s="19">
        <v>1</v>
      </c>
      <c r="L22" s="17">
        <f t="shared" si="0"/>
        <v>1.88</v>
      </c>
      <c r="M22" s="17">
        <v>1.88</v>
      </c>
      <c r="N22" s="17"/>
      <c r="O22" s="17"/>
      <c r="P22" s="17" t="s">
        <v>29</v>
      </c>
    </row>
    <row r="23" spans="1:16" s="20" customFormat="1" ht="15">
      <c r="A23" s="17" t="s">
        <v>86</v>
      </c>
      <c r="B23" s="18">
        <v>16865615</v>
      </c>
      <c r="C23" s="17" t="s">
        <v>116</v>
      </c>
      <c r="D23" s="17" t="s">
        <v>88</v>
      </c>
      <c r="E23" s="17" t="s">
        <v>89</v>
      </c>
      <c r="F23" s="17">
        <v>56.2</v>
      </c>
      <c r="G23" s="17" t="s">
        <v>57</v>
      </c>
      <c r="H23" s="17" t="s">
        <v>90</v>
      </c>
      <c r="I23" s="17" t="s">
        <v>40</v>
      </c>
      <c r="J23" s="17" t="s">
        <v>123</v>
      </c>
      <c r="K23" s="19">
        <v>1</v>
      </c>
      <c r="L23" s="17">
        <f t="shared" si="0"/>
        <v>56.2</v>
      </c>
      <c r="M23" s="17">
        <v>56.2</v>
      </c>
      <c r="N23" s="17"/>
      <c r="O23" s="17"/>
      <c r="P23" s="17" t="s">
        <v>29</v>
      </c>
    </row>
    <row r="24" spans="1:16" s="20" customFormat="1" ht="15">
      <c r="A24" s="17" t="s">
        <v>86</v>
      </c>
      <c r="B24" s="18">
        <v>16865615</v>
      </c>
      <c r="C24" s="17" t="s">
        <v>120</v>
      </c>
      <c r="D24" s="17" t="s">
        <v>95</v>
      </c>
      <c r="E24" s="17" t="s">
        <v>96</v>
      </c>
      <c r="F24" s="17">
        <v>300</v>
      </c>
      <c r="G24" s="17" t="s">
        <v>52</v>
      </c>
      <c r="H24" s="17" t="s">
        <v>97</v>
      </c>
      <c r="I24" s="17" t="s">
        <v>40</v>
      </c>
      <c r="J24" s="17" t="s">
        <v>123</v>
      </c>
      <c r="K24" s="19">
        <v>1.4999999999999999E-2</v>
      </c>
      <c r="L24" s="17">
        <f t="shared" si="0"/>
        <v>20000</v>
      </c>
      <c r="M24" s="17">
        <v>4.5</v>
      </c>
      <c r="N24" s="17"/>
      <c r="O24" s="17"/>
      <c r="P24" s="17" t="s">
        <v>29</v>
      </c>
    </row>
    <row r="25" spans="1:16" ht="15">
      <c r="A25" s="27" t="s">
        <v>75</v>
      </c>
      <c r="B25" s="22">
        <v>18754354</v>
      </c>
      <c r="C25" s="27" t="s">
        <v>118</v>
      </c>
      <c r="D25" s="27" t="s">
        <v>78</v>
      </c>
      <c r="E25" s="27" t="s">
        <v>79</v>
      </c>
      <c r="F25" s="27">
        <v>6.6</v>
      </c>
      <c r="G25" s="27" t="s">
        <v>25</v>
      </c>
      <c r="H25" s="27" t="s">
        <v>80</v>
      </c>
      <c r="I25" s="27" t="s">
        <v>66</v>
      </c>
      <c r="J25" s="27" t="s">
        <v>124</v>
      </c>
      <c r="K25" s="28">
        <v>1.05</v>
      </c>
      <c r="L25" s="17">
        <f t="shared" si="0"/>
        <v>6.2857142857142847</v>
      </c>
      <c r="M25" s="27">
        <v>0</v>
      </c>
      <c r="N25" s="27"/>
      <c r="O25" s="27"/>
      <c r="P25" s="27" t="s">
        <v>29</v>
      </c>
    </row>
    <row r="26" spans="1:16" ht="15">
      <c r="A26" s="27" t="s">
        <v>75</v>
      </c>
      <c r="B26" s="22">
        <v>18754354</v>
      </c>
      <c r="C26" s="27" t="s">
        <v>118</v>
      </c>
      <c r="D26" s="27" t="s">
        <v>78</v>
      </c>
      <c r="E26" s="27" t="s">
        <v>79</v>
      </c>
      <c r="F26" s="27">
        <v>3.75</v>
      </c>
      <c r="G26" s="27" t="s">
        <v>57</v>
      </c>
      <c r="H26" s="27" t="s">
        <v>80</v>
      </c>
      <c r="I26" s="27" t="s">
        <v>66</v>
      </c>
      <c r="J26" s="27" t="s">
        <v>124</v>
      </c>
      <c r="K26" s="28">
        <v>1.05</v>
      </c>
      <c r="L26" s="17">
        <f t="shared" si="0"/>
        <v>3.5714285714285712</v>
      </c>
      <c r="M26" s="27">
        <v>3.94</v>
      </c>
      <c r="N26" s="27"/>
      <c r="O26" s="27"/>
      <c r="P26" s="27" t="s">
        <v>29</v>
      </c>
    </row>
    <row r="27" spans="1:16" ht="15">
      <c r="A27" s="27" t="s">
        <v>75</v>
      </c>
      <c r="B27" s="22">
        <v>18754354</v>
      </c>
      <c r="C27" s="27" t="s">
        <v>118</v>
      </c>
      <c r="D27" s="27" t="s">
        <v>78</v>
      </c>
      <c r="E27" s="27" t="s">
        <v>79</v>
      </c>
      <c r="F27" s="27">
        <v>118.53</v>
      </c>
      <c r="G27" s="27" t="s">
        <v>57</v>
      </c>
      <c r="H27" s="27" t="s">
        <v>80</v>
      </c>
      <c r="I27" s="27" t="s">
        <v>66</v>
      </c>
      <c r="J27" s="27" t="s">
        <v>124</v>
      </c>
      <c r="K27" s="28">
        <v>1.05</v>
      </c>
      <c r="L27" s="17">
        <f t="shared" si="0"/>
        <v>112.88571428571429</v>
      </c>
      <c r="M27" s="27">
        <v>124.46</v>
      </c>
      <c r="N27" s="27"/>
      <c r="O27" s="27"/>
      <c r="P27" s="27" t="s">
        <v>29</v>
      </c>
    </row>
    <row r="28" spans="1:16" ht="15">
      <c r="A28" s="27" t="s">
        <v>60</v>
      </c>
      <c r="B28" s="22">
        <v>17528908</v>
      </c>
      <c r="C28" s="27" t="s">
        <v>116</v>
      </c>
      <c r="D28" s="27" t="s">
        <v>63</v>
      </c>
      <c r="E28" s="27" t="s">
        <v>64</v>
      </c>
      <c r="F28" s="27">
        <v>6.6</v>
      </c>
      <c r="G28" s="27" t="s">
        <v>25</v>
      </c>
      <c r="H28" s="27" t="s">
        <v>65</v>
      </c>
      <c r="I28" s="27" t="s">
        <v>66</v>
      </c>
      <c r="J28" s="27" t="s">
        <v>124</v>
      </c>
      <c r="K28" s="28">
        <v>1.05</v>
      </c>
      <c r="L28" s="17">
        <f t="shared" si="0"/>
        <v>6.2857142857142847</v>
      </c>
      <c r="M28" s="27">
        <v>0</v>
      </c>
      <c r="N28" s="27"/>
      <c r="O28" s="27"/>
      <c r="P28" s="27" t="s">
        <v>29</v>
      </c>
    </row>
    <row r="29" spans="1:16" ht="15">
      <c r="A29" s="27" t="s">
        <v>60</v>
      </c>
      <c r="B29" s="22">
        <v>17528908</v>
      </c>
      <c r="C29" s="27" t="s">
        <v>116</v>
      </c>
      <c r="D29" s="27" t="s">
        <v>63</v>
      </c>
      <c r="E29" s="27" t="s">
        <v>64</v>
      </c>
      <c r="F29" s="27">
        <v>35.83</v>
      </c>
      <c r="G29" s="27" t="s">
        <v>30</v>
      </c>
      <c r="H29" s="27" t="s">
        <v>65</v>
      </c>
      <c r="I29" s="27" t="s">
        <v>66</v>
      </c>
      <c r="J29" s="27" t="s">
        <v>124</v>
      </c>
      <c r="K29" s="28">
        <v>1.05</v>
      </c>
      <c r="L29" s="17">
        <f t="shared" si="0"/>
        <v>34.12380952380952</v>
      </c>
      <c r="M29" s="27">
        <v>0</v>
      </c>
      <c r="N29" s="27"/>
      <c r="O29" s="27"/>
      <c r="P29" s="27" t="s">
        <v>29</v>
      </c>
    </row>
    <row r="30" spans="1:16" ht="15">
      <c r="A30" s="27" t="s">
        <v>43</v>
      </c>
      <c r="B30" s="22">
        <v>9079571</v>
      </c>
      <c r="C30" s="27" t="s">
        <v>119</v>
      </c>
      <c r="D30" s="27" t="s">
        <v>50</v>
      </c>
      <c r="E30" s="27" t="s">
        <v>51</v>
      </c>
      <c r="F30" s="27">
        <v>265.39999999999998</v>
      </c>
      <c r="G30" s="27" t="s">
        <v>52</v>
      </c>
      <c r="H30" s="27" t="s">
        <v>53</v>
      </c>
      <c r="I30" s="27" t="s">
        <v>49</v>
      </c>
      <c r="J30" s="27" t="s">
        <v>124</v>
      </c>
      <c r="K30" s="28">
        <v>1.4999999999999999E-2</v>
      </c>
      <c r="L30" s="17">
        <f t="shared" si="0"/>
        <v>17693.333333333332</v>
      </c>
      <c r="M30" s="27">
        <v>3.98</v>
      </c>
      <c r="N30" s="27"/>
      <c r="O30" s="27"/>
      <c r="P30" s="27" t="s">
        <v>29</v>
      </c>
    </row>
    <row r="31" spans="1:16" ht="15">
      <c r="A31" s="27" t="s">
        <v>43</v>
      </c>
      <c r="B31" s="22">
        <v>9079571</v>
      </c>
      <c r="C31" s="27" t="s">
        <v>119</v>
      </c>
      <c r="D31" s="27" t="s">
        <v>50</v>
      </c>
      <c r="E31" s="27" t="s">
        <v>51</v>
      </c>
      <c r="F31" s="27">
        <v>234.6</v>
      </c>
      <c r="G31" s="27" t="s">
        <v>37</v>
      </c>
      <c r="H31" s="27" t="s">
        <v>53</v>
      </c>
      <c r="I31" s="27" t="s">
        <v>49</v>
      </c>
      <c r="J31" s="27" t="s">
        <v>124</v>
      </c>
      <c r="K31" s="28">
        <v>0.02</v>
      </c>
      <c r="L31" s="17">
        <f t="shared" si="0"/>
        <v>11730</v>
      </c>
      <c r="M31" s="27">
        <v>4.6900000000000004</v>
      </c>
      <c r="N31" s="27"/>
      <c r="O31" s="27"/>
      <c r="P31" s="27" t="s">
        <v>29</v>
      </c>
    </row>
    <row r="32" spans="1:16" ht="15">
      <c r="A32" s="27" t="s">
        <v>43</v>
      </c>
      <c r="B32" s="22">
        <v>9079571</v>
      </c>
      <c r="C32" s="27" t="s">
        <v>117</v>
      </c>
      <c r="D32" s="27" t="s">
        <v>46</v>
      </c>
      <c r="E32" s="27" t="s">
        <v>47</v>
      </c>
      <c r="F32" s="27">
        <v>250</v>
      </c>
      <c r="G32" s="27" t="s">
        <v>37</v>
      </c>
      <c r="H32" s="27" t="s">
        <v>48</v>
      </c>
      <c r="I32" s="27" t="s">
        <v>49</v>
      </c>
      <c r="J32" s="27" t="s">
        <v>124</v>
      </c>
      <c r="K32" s="28">
        <v>0.02</v>
      </c>
      <c r="L32" s="17">
        <f t="shared" si="0"/>
        <v>12500</v>
      </c>
      <c r="M32" s="27">
        <v>5</v>
      </c>
      <c r="N32" s="27"/>
      <c r="O32" s="27"/>
      <c r="P32" s="27" t="s">
        <v>29</v>
      </c>
    </row>
    <row r="33" spans="1:16" ht="15">
      <c r="A33" s="27" t="s">
        <v>121</v>
      </c>
      <c r="B33" s="22">
        <v>15278437</v>
      </c>
      <c r="C33" s="27" t="s">
        <v>119</v>
      </c>
      <c r="D33" s="27" t="s">
        <v>41</v>
      </c>
      <c r="E33" s="27" t="s">
        <v>42</v>
      </c>
      <c r="F33" s="27">
        <v>100</v>
      </c>
      <c r="G33" s="27" t="s">
        <v>37</v>
      </c>
      <c r="H33" s="27" t="s">
        <v>38</v>
      </c>
      <c r="I33" s="27" t="s">
        <v>40</v>
      </c>
      <c r="J33" s="27" t="s">
        <v>124</v>
      </c>
      <c r="K33" s="28">
        <v>0.02</v>
      </c>
      <c r="L33" s="17">
        <f t="shared" si="0"/>
        <v>5000</v>
      </c>
      <c r="M33" s="27">
        <v>2</v>
      </c>
      <c r="N33" s="27"/>
      <c r="O33" s="27"/>
      <c r="P33" s="27" t="s">
        <v>29</v>
      </c>
    </row>
    <row r="34" spans="1:16" ht="15">
      <c r="A34" s="27" t="s">
        <v>121</v>
      </c>
      <c r="B34" s="22">
        <v>15278437</v>
      </c>
      <c r="C34" s="27" t="s">
        <v>119</v>
      </c>
      <c r="D34" s="27" t="s">
        <v>35</v>
      </c>
      <c r="E34" s="27" t="s">
        <v>36</v>
      </c>
      <c r="F34" s="27">
        <v>100</v>
      </c>
      <c r="G34" s="27" t="s">
        <v>37</v>
      </c>
      <c r="H34" s="27" t="s">
        <v>38</v>
      </c>
      <c r="I34" s="27" t="s">
        <v>40</v>
      </c>
      <c r="J34" s="27" t="s">
        <v>124</v>
      </c>
      <c r="K34" s="28">
        <v>0.02</v>
      </c>
      <c r="L34" s="17">
        <f t="shared" si="0"/>
        <v>5000</v>
      </c>
      <c r="M34" s="27">
        <v>2</v>
      </c>
      <c r="N34" s="27"/>
      <c r="O34" s="27"/>
      <c r="P34" s="27" t="s">
        <v>29</v>
      </c>
    </row>
    <row r="35" spans="1:16" ht="15">
      <c r="A35" s="27" t="s">
        <v>121</v>
      </c>
      <c r="B35" s="22">
        <v>15278437</v>
      </c>
      <c r="C35" s="27" t="s">
        <v>118</v>
      </c>
      <c r="D35" s="27" t="s">
        <v>23</v>
      </c>
      <c r="E35" s="27" t="s">
        <v>24</v>
      </c>
      <c r="F35" s="27">
        <v>0.9</v>
      </c>
      <c r="G35" s="27" t="s">
        <v>30</v>
      </c>
      <c r="H35" s="27" t="s">
        <v>26</v>
      </c>
      <c r="I35" s="27" t="s">
        <v>28</v>
      </c>
      <c r="J35" s="27" t="s">
        <v>124</v>
      </c>
      <c r="K35" s="28">
        <v>1.05</v>
      </c>
      <c r="L35" s="17">
        <f t="shared" si="0"/>
        <v>0.8571428571428571</v>
      </c>
      <c r="M35" s="27">
        <v>0</v>
      </c>
      <c r="N35" s="27"/>
      <c r="O35" s="27"/>
      <c r="P35" s="27" t="s">
        <v>29</v>
      </c>
    </row>
    <row r="36" spans="1:16" ht="15">
      <c r="A36" s="27" t="s">
        <v>121</v>
      </c>
      <c r="B36" s="22">
        <v>15278437</v>
      </c>
      <c r="C36" s="27" t="s">
        <v>118</v>
      </c>
      <c r="D36" s="27" t="s">
        <v>23</v>
      </c>
      <c r="E36" s="27" t="s">
        <v>24</v>
      </c>
      <c r="F36" s="27">
        <v>2.52</v>
      </c>
      <c r="G36" s="27" t="s">
        <v>30</v>
      </c>
      <c r="H36" s="27" t="s">
        <v>26</v>
      </c>
      <c r="I36" s="27" t="s">
        <v>28</v>
      </c>
      <c r="J36" s="27" t="s">
        <v>124</v>
      </c>
      <c r="K36" s="28">
        <v>1.05</v>
      </c>
      <c r="L36" s="17">
        <f t="shared" si="0"/>
        <v>2.4</v>
      </c>
      <c r="M36" s="27">
        <v>0</v>
      </c>
      <c r="N36" s="27"/>
      <c r="O36" s="27"/>
      <c r="P36" s="27" t="s">
        <v>29</v>
      </c>
    </row>
    <row r="37" spans="1:16" ht="15">
      <c r="A37" s="27" t="s">
        <v>121</v>
      </c>
      <c r="B37" s="22">
        <v>15278437</v>
      </c>
      <c r="C37" s="27" t="s">
        <v>118</v>
      </c>
      <c r="D37" s="27" t="s">
        <v>23</v>
      </c>
      <c r="E37" s="27" t="s">
        <v>24</v>
      </c>
      <c r="F37" s="27">
        <v>6.6</v>
      </c>
      <c r="G37" s="27" t="s">
        <v>25</v>
      </c>
      <c r="H37" s="27" t="s">
        <v>26</v>
      </c>
      <c r="I37" s="27" t="s">
        <v>28</v>
      </c>
      <c r="J37" s="27" t="s">
        <v>124</v>
      </c>
      <c r="K37" s="28">
        <v>1.05</v>
      </c>
      <c r="L37" s="17">
        <f t="shared" si="0"/>
        <v>6.2857142857142847</v>
      </c>
      <c r="M37" s="27">
        <v>0</v>
      </c>
      <c r="N37" s="27"/>
      <c r="O37" s="27"/>
      <c r="P37" s="27" t="s">
        <v>29</v>
      </c>
    </row>
    <row r="38" spans="1:16" ht="15">
      <c r="A38" s="27" t="s">
        <v>121</v>
      </c>
      <c r="B38" s="22">
        <v>15278437</v>
      </c>
      <c r="C38" s="27" t="s">
        <v>118</v>
      </c>
      <c r="D38" s="27" t="s">
        <v>23</v>
      </c>
      <c r="E38" s="27" t="s">
        <v>24</v>
      </c>
      <c r="F38" s="27">
        <v>23.32</v>
      </c>
      <c r="G38" s="27" t="s">
        <v>30</v>
      </c>
      <c r="H38" s="27" t="s">
        <v>26</v>
      </c>
      <c r="I38" s="27" t="s">
        <v>28</v>
      </c>
      <c r="J38" s="27" t="s">
        <v>124</v>
      </c>
      <c r="K38" s="28">
        <v>1.05</v>
      </c>
      <c r="L38" s="17">
        <f t="shared" si="0"/>
        <v>22.209523809523809</v>
      </c>
      <c r="M38" s="27">
        <v>0</v>
      </c>
      <c r="N38" s="27"/>
      <c r="O38" s="27"/>
      <c r="P38" s="27" t="s">
        <v>29</v>
      </c>
    </row>
    <row r="39" spans="1:16" ht="15">
      <c r="A39" s="27" t="s">
        <v>121</v>
      </c>
      <c r="B39" s="22">
        <v>15278437</v>
      </c>
      <c r="C39" s="27" t="s">
        <v>116</v>
      </c>
      <c r="D39" s="27" t="s">
        <v>31</v>
      </c>
      <c r="E39" s="27" t="s">
        <v>32</v>
      </c>
      <c r="F39" s="27">
        <v>0.67</v>
      </c>
      <c r="G39" s="27" t="s">
        <v>30</v>
      </c>
      <c r="H39" s="27" t="s">
        <v>33</v>
      </c>
      <c r="I39" s="27" t="s">
        <v>28</v>
      </c>
      <c r="J39" s="27" t="s">
        <v>124</v>
      </c>
      <c r="K39" s="28">
        <v>1.05</v>
      </c>
      <c r="L39" s="17">
        <f t="shared" si="0"/>
        <v>0.63809523809523816</v>
      </c>
      <c r="M39" s="27">
        <v>0</v>
      </c>
      <c r="N39" s="27"/>
      <c r="O39" s="27"/>
      <c r="P39" s="27" t="s">
        <v>29</v>
      </c>
    </row>
    <row r="40" spans="1:16" ht="15">
      <c r="A40" s="27" t="s">
        <v>121</v>
      </c>
      <c r="B40" s="22">
        <v>15278437</v>
      </c>
      <c r="C40" s="27" t="s">
        <v>118</v>
      </c>
      <c r="D40" s="27" t="s">
        <v>31</v>
      </c>
      <c r="E40" s="27" t="s">
        <v>32</v>
      </c>
      <c r="F40" s="27">
        <v>1.97</v>
      </c>
      <c r="G40" s="27" t="s">
        <v>30</v>
      </c>
      <c r="H40" s="27" t="s">
        <v>33</v>
      </c>
      <c r="I40" s="27" t="s">
        <v>28</v>
      </c>
      <c r="J40" s="27" t="s">
        <v>124</v>
      </c>
      <c r="K40" s="28">
        <v>1.05</v>
      </c>
      <c r="L40" s="17">
        <f t="shared" si="0"/>
        <v>1.8761904761904762</v>
      </c>
      <c r="M40" s="27">
        <v>0</v>
      </c>
      <c r="N40" s="27"/>
      <c r="O40" s="27"/>
      <c r="P40" s="27" t="s">
        <v>29</v>
      </c>
    </row>
    <row r="41" spans="1:16" ht="15">
      <c r="A41" s="27" t="s">
        <v>121</v>
      </c>
      <c r="B41" s="22">
        <v>15278437</v>
      </c>
      <c r="C41" s="27" t="s">
        <v>118</v>
      </c>
      <c r="D41" s="27" t="s">
        <v>31</v>
      </c>
      <c r="E41" s="27" t="s">
        <v>32</v>
      </c>
      <c r="F41" s="27">
        <v>6.6</v>
      </c>
      <c r="G41" s="27" t="s">
        <v>25</v>
      </c>
      <c r="H41" s="27" t="s">
        <v>33</v>
      </c>
      <c r="I41" s="27" t="s">
        <v>28</v>
      </c>
      <c r="J41" s="27" t="s">
        <v>124</v>
      </c>
      <c r="K41" s="28">
        <v>1.05</v>
      </c>
      <c r="L41" s="17">
        <f t="shared" si="0"/>
        <v>6.2857142857142847</v>
      </c>
      <c r="M41" s="27">
        <v>0</v>
      </c>
      <c r="N41" s="27"/>
      <c r="O41" s="27"/>
      <c r="P41" s="27" t="s">
        <v>29</v>
      </c>
    </row>
    <row r="42" spans="1:16" ht="15">
      <c r="A42" s="27" t="s">
        <v>121</v>
      </c>
      <c r="B42" s="22">
        <v>15278437</v>
      </c>
      <c r="C42" s="27" t="s">
        <v>118</v>
      </c>
      <c r="D42" s="27" t="s">
        <v>31</v>
      </c>
      <c r="E42" s="27" t="s">
        <v>32</v>
      </c>
      <c r="F42" s="27">
        <v>15.82</v>
      </c>
      <c r="G42" s="27" t="s">
        <v>30</v>
      </c>
      <c r="H42" s="27" t="s">
        <v>33</v>
      </c>
      <c r="I42" s="27" t="s">
        <v>28</v>
      </c>
      <c r="J42" s="27" t="s">
        <v>124</v>
      </c>
      <c r="K42" s="28">
        <v>1.05</v>
      </c>
      <c r="L42" s="17">
        <f t="shared" si="0"/>
        <v>15.066666666666666</v>
      </c>
      <c r="M42" s="27">
        <v>0</v>
      </c>
      <c r="N42" s="27"/>
      <c r="O42" s="27"/>
      <c r="P42" s="27" t="s">
        <v>29</v>
      </c>
    </row>
  </sheetData>
  <sortState xmlns:xlrd2="http://schemas.microsoft.com/office/spreadsheetml/2017/richdata2" ref="A2:P42">
    <sortCondition ref="E2:E42"/>
    <sortCondition ref="K2:K42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20E551-1FEA-43EB-B91D-63C828E76F4B}">
  <dimension ref="A1:C41"/>
  <sheetViews>
    <sheetView workbookViewId="0">
      <selection activeCell="C10" sqref="C10:C41"/>
    </sheetView>
  </sheetViews>
  <sheetFormatPr defaultRowHeight="12.75"/>
  <cols>
    <col min="1" max="1" width="10.140625" bestFit="1" customWidth="1"/>
    <col min="2" max="2" width="14.140625" bestFit="1" customWidth="1"/>
  </cols>
  <sheetData>
    <row r="1" spans="1:3">
      <c r="A1" t="s">
        <v>107</v>
      </c>
      <c r="B1" t="s">
        <v>49</v>
      </c>
      <c r="C1" t="e">
        <f>MONTH(B1-A1)</f>
        <v>#NUM!</v>
      </c>
    </row>
    <row r="2" spans="1:3">
      <c r="A2" t="s">
        <v>107</v>
      </c>
      <c r="B2" t="s">
        <v>49</v>
      </c>
      <c r="C2" t="e">
        <f t="shared" ref="C2:C41" si="0">MONTH(B2-A2)</f>
        <v>#NUM!</v>
      </c>
    </row>
    <row r="3" spans="1:3">
      <c r="A3" t="s">
        <v>107</v>
      </c>
      <c r="B3" t="s">
        <v>49</v>
      </c>
      <c r="C3" t="e">
        <f t="shared" si="0"/>
        <v>#NUM!</v>
      </c>
    </row>
    <row r="4" spans="1:3">
      <c r="A4" t="s">
        <v>107</v>
      </c>
      <c r="B4" t="s">
        <v>49</v>
      </c>
      <c r="C4" t="e">
        <f t="shared" si="0"/>
        <v>#NUM!</v>
      </c>
    </row>
    <row r="5" spans="1:3">
      <c r="A5" t="s">
        <v>110</v>
      </c>
      <c r="B5" t="s">
        <v>28</v>
      </c>
      <c r="C5" t="e">
        <f t="shared" si="0"/>
        <v>#NUM!</v>
      </c>
    </row>
    <row r="6" spans="1:3">
      <c r="A6" t="s">
        <v>110</v>
      </c>
      <c r="B6" t="s">
        <v>28</v>
      </c>
      <c r="C6" t="e">
        <f t="shared" si="0"/>
        <v>#NUM!</v>
      </c>
    </row>
    <row r="7" spans="1:3">
      <c r="A7" t="s">
        <v>110</v>
      </c>
      <c r="B7" t="s">
        <v>28</v>
      </c>
      <c r="C7" t="e">
        <f t="shared" si="0"/>
        <v>#NUM!</v>
      </c>
    </row>
    <row r="8" spans="1:3">
      <c r="A8" t="s">
        <v>85</v>
      </c>
      <c r="B8" t="s">
        <v>66</v>
      </c>
      <c r="C8" t="e">
        <f t="shared" si="0"/>
        <v>#NUM!</v>
      </c>
    </row>
    <row r="9" spans="1:3">
      <c r="A9" t="s">
        <v>85</v>
      </c>
      <c r="B9" t="s">
        <v>66</v>
      </c>
      <c r="C9" t="e">
        <f t="shared" si="0"/>
        <v>#NUM!</v>
      </c>
    </row>
    <row r="10" spans="1:3">
      <c r="A10" t="s">
        <v>58</v>
      </c>
      <c r="B10" t="s">
        <v>40</v>
      </c>
      <c r="C10">
        <f t="shared" si="0"/>
        <v>1</v>
      </c>
    </row>
    <row r="11" spans="1:3">
      <c r="A11" t="s">
        <v>58</v>
      </c>
      <c r="B11" t="s">
        <v>40</v>
      </c>
      <c r="C11">
        <f t="shared" si="0"/>
        <v>1</v>
      </c>
    </row>
    <row r="12" spans="1:3">
      <c r="A12" t="s">
        <v>58</v>
      </c>
      <c r="B12" t="s">
        <v>40</v>
      </c>
      <c r="C12">
        <f t="shared" si="0"/>
        <v>1</v>
      </c>
    </row>
    <row r="13" spans="1:3">
      <c r="A13" t="s">
        <v>73</v>
      </c>
      <c r="B13" t="s">
        <v>40</v>
      </c>
      <c r="C13">
        <f t="shared" si="0"/>
        <v>3</v>
      </c>
    </row>
    <row r="14" spans="1:3">
      <c r="A14" t="s">
        <v>102</v>
      </c>
      <c r="B14" t="s">
        <v>66</v>
      </c>
      <c r="C14">
        <f t="shared" si="0"/>
        <v>3</v>
      </c>
    </row>
    <row r="15" spans="1:3">
      <c r="A15" t="s">
        <v>115</v>
      </c>
      <c r="B15" t="s">
        <v>66</v>
      </c>
      <c r="C15">
        <f t="shared" si="0"/>
        <v>4</v>
      </c>
    </row>
    <row r="16" spans="1:3">
      <c r="A16" t="s">
        <v>115</v>
      </c>
      <c r="B16" t="s">
        <v>66</v>
      </c>
      <c r="C16">
        <f t="shared" si="0"/>
        <v>4</v>
      </c>
    </row>
    <row r="17" spans="1:3">
      <c r="A17" t="s">
        <v>94</v>
      </c>
      <c r="B17" t="s">
        <v>49</v>
      </c>
      <c r="C17">
        <f t="shared" si="0"/>
        <v>5</v>
      </c>
    </row>
    <row r="18" spans="1:3">
      <c r="A18" t="s">
        <v>94</v>
      </c>
      <c r="B18" t="s">
        <v>49</v>
      </c>
      <c r="C18">
        <f t="shared" si="0"/>
        <v>5</v>
      </c>
    </row>
    <row r="19" spans="1:3">
      <c r="A19" t="s">
        <v>94</v>
      </c>
      <c r="B19" t="s">
        <v>49</v>
      </c>
      <c r="C19">
        <f t="shared" si="0"/>
        <v>5</v>
      </c>
    </row>
    <row r="20" spans="1:3">
      <c r="A20" t="s">
        <v>90</v>
      </c>
      <c r="B20" t="s">
        <v>40</v>
      </c>
      <c r="C20">
        <f t="shared" si="0"/>
        <v>4</v>
      </c>
    </row>
    <row r="21" spans="1:3">
      <c r="A21" t="s">
        <v>90</v>
      </c>
      <c r="B21" t="s">
        <v>40</v>
      </c>
      <c r="C21">
        <f t="shared" si="0"/>
        <v>4</v>
      </c>
    </row>
    <row r="22" spans="1:3">
      <c r="A22" t="s">
        <v>90</v>
      </c>
      <c r="B22" t="s">
        <v>40</v>
      </c>
      <c r="C22">
        <f t="shared" si="0"/>
        <v>4</v>
      </c>
    </row>
    <row r="23" spans="1:3">
      <c r="A23" t="s">
        <v>97</v>
      </c>
      <c r="B23" t="s">
        <v>40</v>
      </c>
      <c r="C23">
        <f t="shared" si="0"/>
        <v>6</v>
      </c>
    </row>
    <row r="24" spans="1:3">
      <c r="A24" t="s">
        <v>80</v>
      </c>
      <c r="B24" t="s">
        <v>66</v>
      </c>
      <c r="C24">
        <f t="shared" si="0"/>
        <v>6</v>
      </c>
    </row>
    <row r="25" spans="1:3">
      <c r="A25" t="s">
        <v>80</v>
      </c>
      <c r="B25" t="s">
        <v>66</v>
      </c>
      <c r="C25">
        <f t="shared" si="0"/>
        <v>6</v>
      </c>
    </row>
    <row r="26" spans="1:3">
      <c r="A26" t="s">
        <v>80</v>
      </c>
      <c r="B26" t="s">
        <v>66</v>
      </c>
      <c r="C26">
        <f t="shared" si="0"/>
        <v>6</v>
      </c>
    </row>
    <row r="27" spans="1:3">
      <c r="A27" t="s">
        <v>65</v>
      </c>
      <c r="B27" t="s">
        <v>66</v>
      </c>
      <c r="C27">
        <f t="shared" si="0"/>
        <v>5</v>
      </c>
    </row>
    <row r="28" spans="1:3">
      <c r="A28" t="s">
        <v>65</v>
      </c>
      <c r="B28" t="s">
        <v>66</v>
      </c>
      <c r="C28">
        <f t="shared" si="0"/>
        <v>5</v>
      </c>
    </row>
    <row r="29" spans="1:3">
      <c r="A29" t="s">
        <v>53</v>
      </c>
      <c r="B29" t="s">
        <v>49</v>
      </c>
      <c r="C29">
        <f t="shared" si="0"/>
        <v>11</v>
      </c>
    </row>
    <row r="30" spans="1:3">
      <c r="A30" t="s">
        <v>53</v>
      </c>
      <c r="B30" t="s">
        <v>49</v>
      </c>
      <c r="C30">
        <f t="shared" si="0"/>
        <v>11</v>
      </c>
    </row>
    <row r="31" spans="1:3">
      <c r="A31" t="s">
        <v>48</v>
      </c>
      <c r="B31" t="s">
        <v>49</v>
      </c>
      <c r="C31">
        <f t="shared" si="0"/>
        <v>2</v>
      </c>
    </row>
    <row r="32" spans="1:3">
      <c r="A32" t="s">
        <v>38</v>
      </c>
      <c r="B32" t="s">
        <v>40</v>
      </c>
      <c r="C32">
        <f t="shared" si="0"/>
        <v>2</v>
      </c>
    </row>
    <row r="33" spans="1:3">
      <c r="A33" t="s">
        <v>38</v>
      </c>
      <c r="B33" t="s">
        <v>40</v>
      </c>
      <c r="C33">
        <f t="shared" si="0"/>
        <v>2</v>
      </c>
    </row>
    <row r="34" spans="1:3">
      <c r="A34" t="s">
        <v>26</v>
      </c>
      <c r="B34" t="s">
        <v>28</v>
      </c>
      <c r="C34">
        <f t="shared" si="0"/>
        <v>4</v>
      </c>
    </row>
    <row r="35" spans="1:3">
      <c r="A35" t="s">
        <v>26</v>
      </c>
      <c r="B35" t="s">
        <v>28</v>
      </c>
      <c r="C35">
        <f t="shared" si="0"/>
        <v>4</v>
      </c>
    </row>
    <row r="36" spans="1:3">
      <c r="A36" t="s">
        <v>26</v>
      </c>
      <c r="B36" t="s">
        <v>28</v>
      </c>
      <c r="C36">
        <f t="shared" si="0"/>
        <v>4</v>
      </c>
    </row>
    <row r="37" spans="1:3">
      <c r="A37" t="s">
        <v>26</v>
      </c>
      <c r="B37" t="s">
        <v>28</v>
      </c>
      <c r="C37">
        <f t="shared" si="0"/>
        <v>4</v>
      </c>
    </row>
    <row r="38" spans="1:3">
      <c r="A38" t="s">
        <v>33</v>
      </c>
      <c r="B38" t="s">
        <v>28</v>
      </c>
      <c r="C38">
        <f t="shared" si="0"/>
        <v>4</v>
      </c>
    </row>
    <row r="39" spans="1:3">
      <c r="A39" t="s">
        <v>33</v>
      </c>
      <c r="B39" t="s">
        <v>28</v>
      </c>
      <c r="C39">
        <f t="shared" si="0"/>
        <v>4</v>
      </c>
    </row>
    <row r="40" spans="1:3">
      <c r="A40" t="s">
        <v>33</v>
      </c>
      <c r="B40" t="s">
        <v>28</v>
      </c>
      <c r="C40">
        <f t="shared" si="0"/>
        <v>4</v>
      </c>
    </row>
    <row r="41" spans="1:3">
      <c r="A41" t="s">
        <v>33</v>
      </c>
      <c r="B41" t="s">
        <v>28</v>
      </c>
      <c r="C41">
        <f t="shared" si="0"/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LPMCommDet</vt:lpstr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2025-08-04T20:38:27Z</dcterms:created>
  <dcterms:modified xsi:type="dcterms:W3CDTF">2025-08-05T14:08:27Z</dcterms:modified>
</cp:coreProperties>
</file>