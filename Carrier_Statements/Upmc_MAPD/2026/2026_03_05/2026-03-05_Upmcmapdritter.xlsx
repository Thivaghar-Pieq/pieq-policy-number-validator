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 MAPD\2026\3-5-26\"/>
    </mc:Choice>
  </mc:AlternateContent>
  <xr:revisionPtr revIDLastSave="0" documentId="13_ncr:1_{D0F99677-34EE-4D2E-B13E-DBE1014C6767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2" i="2"/>
  <c r="G8" i="2"/>
  <c r="G9" i="2"/>
  <c r="G10" i="2"/>
  <c r="G11" i="2"/>
  <c r="G12" i="2"/>
  <c r="G13" i="2"/>
  <c r="G14" i="2"/>
  <c r="G15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<sst xmlns="http://schemas.openxmlformats.org/spreadsheetml/2006/main" count="167" uniqueCount="49">
  <si>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</si>
  <si>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</si>
  <si>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</si>
  <si>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</si>
  <si>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</si>
  <si>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</si>
  <si>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</si>
  <si>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</si>
  <si>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</si>
  <si>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</si>
  <si>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</si>
  <si>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</si>
  <si>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Lonna</t>
  </si>
  <si>
    <t>Wilson</t>
  </si>
  <si>
    <t>UPMC</t>
  </si>
  <si>
    <t>UPMC 2026 PA Initial</t>
  </si>
  <si>
    <t>Chad Bender</t>
  </si>
  <si>
    <t>Deborah</t>
  </si>
  <si>
    <t>Elk</t>
  </si>
  <si>
    <t>Deborah Inskipt</t>
  </si>
  <si>
    <t>RI641</t>
  </si>
  <si>
    <t>Dennis</t>
  </si>
  <si>
    <t>Adams</t>
  </si>
  <si>
    <t>Kimberly</t>
  </si>
  <si>
    <t>Brown</t>
  </si>
  <si>
    <t>Randal</t>
  </si>
  <si>
    <t>Gossic</t>
  </si>
  <si>
    <t>Timothy Powers</t>
  </si>
  <si>
    <t>RI638</t>
  </si>
  <si>
    <t>Donna</t>
  </si>
  <si>
    <t>Laslavic</t>
  </si>
  <si>
    <t>UPMC 2026 PA Replace (ProRata: -12)</t>
  </si>
  <si>
    <t>Anthony</t>
  </si>
  <si>
    <t>Carben</t>
  </si>
  <si>
    <t>Margaret Smith</t>
  </si>
  <si>
    <t>RI661</t>
  </si>
  <si>
    <t>David</t>
  </si>
  <si>
    <t>Rusnak</t>
  </si>
  <si>
    <t>Ralph</t>
  </si>
  <si>
    <t>Lyle</t>
  </si>
  <si>
    <t>UPMC 2026 PA 2/1 Eff Replacement</t>
  </si>
  <si>
    <t>UPMC 2026 CT, PA, DC</t>
  </si>
  <si>
    <t>UPMC Ovr</t>
  </si>
  <si>
    <t>UPMC 2026 CT, PA, DC *</t>
  </si>
  <si>
    <t>[%/$=391][prorate=11/12]</t>
  </si>
  <si>
    <t>[%/$=781]</t>
  </si>
  <si>
    <t>Main Line Benefits</t>
  </si>
  <si>
    <t>8971826N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</si>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</sst>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0" fillId="2" borderId="0" xfId="0" applyFill="1"/>
    <xf numFmtId="2" fontId="2" fillId="0" borderId="0" xfId="0" applyNumberFormat="1" applyFont="1"/>
    <xf numFmtId="2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30"/>
  <sheetViews>
    <sheetView workbookViewId="0">
      <selection sqref="A1:XFD1048576"/>
    </sheetView>
  </sheetViews>
  <sheetFormatPr defaultColWidth="12.6640625" defaultRowHeight="15.75" customHeight="1" x14ac:dyDescent="0.25"/>
  <cols>
    <col min="10" max="10" width="33.777343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11</v>
      </c>
      <c r="B2" s="2"/>
      <c r="C2" s="3">
        <v>8971826</v>
      </c>
      <c r="D2" s="2" t="s">
        <v>12</v>
      </c>
      <c r="E2" s="2" t="s">
        <v>13</v>
      </c>
      <c r="F2" s="3">
        <v>611276101</v>
      </c>
      <c r="G2" s="4">
        <v>46054</v>
      </c>
      <c r="H2" s="4">
        <v>46087</v>
      </c>
      <c r="I2" s="2" t="s">
        <v>14</v>
      </c>
      <c r="J2" s="2" t="s">
        <v>15</v>
      </c>
      <c r="K2" s="5">
        <v>931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16</v>
      </c>
      <c r="B3" s="2"/>
      <c r="C3" s="3">
        <v>18598357</v>
      </c>
      <c r="D3" s="2" t="s">
        <v>17</v>
      </c>
      <c r="E3" s="2" t="s">
        <v>18</v>
      </c>
      <c r="F3" s="3">
        <v>611858101</v>
      </c>
      <c r="G3" s="4">
        <v>46054</v>
      </c>
      <c r="H3" s="4">
        <v>46087</v>
      </c>
      <c r="I3" s="2" t="s">
        <v>14</v>
      </c>
      <c r="J3" s="2" t="s">
        <v>15</v>
      </c>
      <c r="K3" s="5">
        <v>150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19</v>
      </c>
      <c r="B4" s="2" t="s">
        <v>20</v>
      </c>
      <c r="C4" s="3">
        <v>17528908</v>
      </c>
      <c r="D4" s="2" t="s">
        <v>21</v>
      </c>
      <c r="E4" s="2" t="s">
        <v>22</v>
      </c>
      <c r="F4" s="3">
        <v>611457501</v>
      </c>
      <c r="G4" s="4">
        <v>46054</v>
      </c>
      <c r="H4" s="4">
        <v>46087</v>
      </c>
      <c r="I4" s="2" t="s">
        <v>14</v>
      </c>
      <c r="J4" s="2" t="s">
        <v>15</v>
      </c>
      <c r="K4" s="5">
        <v>931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19</v>
      </c>
      <c r="B5" s="2" t="s">
        <v>20</v>
      </c>
      <c r="C5" s="3">
        <v>17528908</v>
      </c>
      <c r="D5" s="2" t="s">
        <v>23</v>
      </c>
      <c r="E5" s="2" t="s">
        <v>24</v>
      </c>
      <c r="F5" s="3">
        <v>611745901</v>
      </c>
      <c r="G5" s="4">
        <v>46054</v>
      </c>
      <c r="H5" s="4">
        <v>46087</v>
      </c>
      <c r="I5" s="2" t="s">
        <v>14</v>
      </c>
      <c r="J5" s="2" t="s">
        <v>15</v>
      </c>
      <c r="K5" s="5">
        <v>931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19</v>
      </c>
      <c r="B6" s="2" t="s">
        <v>20</v>
      </c>
      <c r="C6" s="3">
        <v>17528908</v>
      </c>
      <c r="D6" s="2" t="s">
        <v>25</v>
      </c>
      <c r="E6" s="2" t="s">
        <v>26</v>
      </c>
      <c r="F6" s="3">
        <v>611776201</v>
      </c>
      <c r="G6" s="4">
        <v>46054</v>
      </c>
      <c r="H6" s="4">
        <v>46087</v>
      </c>
      <c r="I6" s="2" t="s">
        <v>14</v>
      </c>
      <c r="J6" s="2" t="s">
        <v>15</v>
      </c>
      <c r="K6" s="5">
        <v>931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27</v>
      </c>
      <c r="B7" s="2" t="s">
        <v>28</v>
      </c>
      <c r="C7" s="3">
        <v>17886092</v>
      </c>
      <c r="D7" s="2" t="s">
        <v>29</v>
      </c>
      <c r="E7" s="2" t="s">
        <v>30</v>
      </c>
      <c r="F7" s="3">
        <v>611108401</v>
      </c>
      <c r="G7" s="4">
        <v>46023</v>
      </c>
      <c r="H7" s="4">
        <v>46087</v>
      </c>
      <c r="I7" s="2" t="s">
        <v>14</v>
      </c>
      <c r="J7" s="2" t="s">
        <v>31</v>
      </c>
      <c r="K7" s="5">
        <v>-25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27</v>
      </c>
      <c r="B8" s="2" t="s">
        <v>28</v>
      </c>
      <c r="C8" s="3">
        <v>17886092</v>
      </c>
      <c r="D8" s="2" t="s">
        <v>32</v>
      </c>
      <c r="E8" s="2" t="s">
        <v>33</v>
      </c>
      <c r="F8" s="3">
        <v>611682101</v>
      </c>
      <c r="G8" s="4">
        <v>46054</v>
      </c>
      <c r="H8" s="4">
        <v>46087</v>
      </c>
      <c r="I8" s="2" t="s">
        <v>14</v>
      </c>
      <c r="J8" s="2" t="s">
        <v>15</v>
      </c>
      <c r="K8" s="5">
        <v>50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34</v>
      </c>
      <c r="B9" s="2" t="s">
        <v>35</v>
      </c>
      <c r="C9" s="3">
        <v>20253958</v>
      </c>
      <c r="D9" s="2" t="s">
        <v>36</v>
      </c>
      <c r="E9" s="2" t="s">
        <v>37</v>
      </c>
      <c r="F9" s="3">
        <v>611778901</v>
      </c>
      <c r="G9" s="4">
        <v>46054</v>
      </c>
      <c r="H9" s="4">
        <v>46087</v>
      </c>
      <c r="I9" s="2" t="s">
        <v>14</v>
      </c>
      <c r="J9" s="2" t="s">
        <v>15</v>
      </c>
      <c r="K9" s="5">
        <v>50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 t="s">
        <v>19</v>
      </c>
      <c r="B10" s="2" t="s">
        <v>20</v>
      </c>
      <c r="C10" s="3">
        <v>17528908</v>
      </c>
      <c r="D10" s="2" t="s">
        <v>38</v>
      </c>
      <c r="E10" s="2" t="s">
        <v>39</v>
      </c>
      <c r="F10" s="3">
        <v>338468201</v>
      </c>
      <c r="G10" s="4">
        <v>46054</v>
      </c>
      <c r="H10" s="4">
        <v>46087</v>
      </c>
      <c r="I10" s="2" t="s">
        <v>14</v>
      </c>
      <c r="J10" s="2" t="s">
        <v>40</v>
      </c>
      <c r="K10" s="5">
        <v>433.42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7BEA-B3E3-489C-83AD-8588C763A656}">
  <dimension ref="A1:AA735"/>
  <sheetViews>
    <sheetView tabSelected="1" workbookViewId="0">
      <selection activeCell="N2" sqref="N2:N6"/>
    </sheetView>
  </sheetViews>
  <sheetFormatPr defaultColWidth="12.6640625" defaultRowHeight="13.2" x14ac:dyDescent="0.25"/>
  <cols>
    <col min="7" max="7" width="13.88671875" bestFit="1" customWidth="1"/>
    <col min="11" max="11" width="33.77734375" bestFit="1" customWidth="1"/>
    <col min="13" max="13" width="22.6640625" bestFit="1" customWidth="1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/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s="10" customFormat="1" x14ac:dyDescent="0.25">
      <c r="A2" s="2" t="s">
        <v>11</v>
      </c>
      <c r="B2" s="3" t="s">
        <v>47</v>
      </c>
      <c r="C2" s="2" t="s">
        <v>12</v>
      </c>
      <c r="D2" s="2" t="s">
        <v>13</v>
      </c>
      <c r="E2" s="2" t="str">
        <f>CONCATENATE(C2," ",D2)</f>
        <v>Lonna Wilson</v>
      </c>
      <c r="F2" s="3">
        <v>611276101</v>
      </c>
      <c r="G2" s="3" t="str">
        <f>_xlfn.CONCAT(F2,33)</f>
        <v>61127610133</v>
      </c>
      <c r="H2" s="4">
        <v>46054</v>
      </c>
      <c r="I2" s="4">
        <v>46087</v>
      </c>
      <c r="J2" s="2" t="s">
        <v>14</v>
      </c>
      <c r="K2" s="2" t="s">
        <v>15</v>
      </c>
      <c r="L2" s="5">
        <v>781</v>
      </c>
      <c r="M2" s="2" t="s">
        <v>41</v>
      </c>
      <c r="N2" s="11" t="s">
        <v>45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10" customFormat="1" x14ac:dyDescent="0.25">
      <c r="A3" s="2" t="s">
        <v>19</v>
      </c>
      <c r="B3" s="3" t="s">
        <v>48</v>
      </c>
      <c r="C3" s="2" t="s">
        <v>21</v>
      </c>
      <c r="D3" s="2" t="s">
        <v>22</v>
      </c>
      <c r="E3" s="2" t="str">
        <f t="shared" ref="E3:E15" si="0">CONCATENATE(C3," ",D3)</f>
        <v>Dennis Adams</v>
      </c>
      <c r="F3" s="3">
        <v>611457501</v>
      </c>
      <c r="G3" s="3" t="str">
        <f t="shared" ref="G3:G5" si="1">_xlfn.CONCAT(F3,33)</f>
        <v>61145750133</v>
      </c>
      <c r="H3" s="4">
        <v>46054</v>
      </c>
      <c r="I3" s="4">
        <v>46087</v>
      </c>
      <c r="J3" s="2" t="s">
        <v>14</v>
      </c>
      <c r="K3" s="2" t="s">
        <v>15</v>
      </c>
      <c r="L3" s="5">
        <v>781</v>
      </c>
      <c r="M3" s="2" t="s">
        <v>41</v>
      </c>
      <c r="N3" s="11" t="s">
        <v>45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s="10" customFormat="1" x14ac:dyDescent="0.25">
      <c r="A4" s="2" t="s">
        <v>19</v>
      </c>
      <c r="B4" s="3" t="s">
        <v>48</v>
      </c>
      <c r="C4" s="2" t="s">
        <v>23</v>
      </c>
      <c r="D4" s="2" t="s">
        <v>24</v>
      </c>
      <c r="E4" s="2" t="str">
        <f t="shared" si="0"/>
        <v>Kimberly Brown</v>
      </c>
      <c r="F4" s="3">
        <v>611745901</v>
      </c>
      <c r="G4" s="3" t="str">
        <f t="shared" si="1"/>
        <v>61174590133</v>
      </c>
      <c r="H4" s="4">
        <v>46054</v>
      </c>
      <c r="I4" s="4">
        <v>46087</v>
      </c>
      <c r="J4" s="2" t="s">
        <v>14</v>
      </c>
      <c r="K4" s="2" t="s">
        <v>15</v>
      </c>
      <c r="L4" s="5">
        <v>781</v>
      </c>
      <c r="M4" s="2" t="s">
        <v>41</v>
      </c>
      <c r="N4" s="11" t="s">
        <v>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" t="s">
        <v>19</v>
      </c>
      <c r="B5" s="3" t="s">
        <v>48</v>
      </c>
      <c r="C5" s="2" t="s">
        <v>25</v>
      </c>
      <c r="D5" s="2" t="s">
        <v>26</v>
      </c>
      <c r="E5" s="2" t="str">
        <f t="shared" si="0"/>
        <v>Randal Gossic</v>
      </c>
      <c r="F5" s="3">
        <v>611776201</v>
      </c>
      <c r="G5" s="3" t="str">
        <f t="shared" si="1"/>
        <v>61177620133</v>
      </c>
      <c r="H5" s="4">
        <v>46054</v>
      </c>
      <c r="I5" s="4">
        <v>46087</v>
      </c>
      <c r="J5" s="2" t="s">
        <v>14</v>
      </c>
      <c r="K5" s="2" t="s">
        <v>15</v>
      </c>
      <c r="L5" s="5">
        <v>781</v>
      </c>
      <c r="M5" s="2" t="s">
        <v>41</v>
      </c>
      <c r="N5" s="11" t="s">
        <v>45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2" t="s">
        <v>19</v>
      </c>
      <c r="B6" s="3" t="s">
        <v>48</v>
      </c>
      <c r="C6" s="2" t="s">
        <v>38</v>
      </c>
      <c r="D6" s="2" t="s">
        <v>39</v>
      </c>
      <c r="E6" s="2" t="str">
        <f t="shared" si="0"/>
        <v>Ralph Lyle</v>
      </c>
      <c r="F6" s="3">
        <v>338468201</v>
      </c>
      <c r="G6" s="3" t="str">
        <f>_xlfn.CONCAT(F6,22)</f>
        <v>33846820122</v>
      </c>
      <c r="H6" s="4">
        <v>46054</v>
      </c>
      <c r="I6" s="4">
        <v>46087</v>
      </c>
      <c r="J6" s="2" t="s">
        <v>14</v>
      </c>
      <c r="K6" s="2" t="s">
        <v>40</v>
      </c>
      <c r="L6" s="5">
        <v>358.42</v>
      </c>
      <c r="M6" s="2" t="s">
        <v>43</v>
      </c>
      <c r="N6" s="11" t="s">
        <v>44</v>
      </c>
      <c r="O6" s="11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s="10" customFormat="1" x14ac:dyDescent="0.25">
      <c r="A7" s="6" t="s">
        <v>46</v>
      </c>
      <c r="B7" s="7">
        <v>20411454</v>
      </c>
      <c r="C7" s="6" t="s">
        <v>29</v>
      </c>
      <c r="D7" s="6" t="s">
        <v>30</v>
      </c>
      <c r="E7" s="2" t="str">
        <f t="shared" si="0"/>
        <v>Donna Laslavic</v>
      </c>
      <c r="F7" s="7">
        <v>611108401</v>
      </c>
      <c r="G7" s="7" t="str">
        <f>CONCATENATE(F7,"OVR")</f>
        <v>611108401OVR</v>
      </c>
      <c r="H7" s="8">
        <v>46023</v>
      </c>
      <c r="I7" s="8">
        <v>46087</v>
      </c>
      <c r="J7" s="6" t="s">
        <v>14</v>
      </c>
      <c r="K7" s="6" t="s">
        <v>31</v>
      </c>
      <c r="L7" s="9">
        <v>-25</v>
      </c>
      <c r="M7" s="6" t="s">
        <v>42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25">
      <c r="A8" s="6" t="s">
        <v>46</v>
      </c>
      <c r="B8" s="7">
        <v>20411454</v>
      </c>
      <c r="C8" s="6" t="s">
        <v>32</v>
      </c>
      <c r="D8" s="6" t="s">
        <v>33</v>
      </c>
      <c r="E8" s="2" t="str">
        <f t="shared" si="0"/>
        <v>Anthony Carben</v>
      </c>
      <c r="F8" s="7">
        <v>611682101</v>
      </c>
      <c r="G8" s="7" t="str">
        <f t="shared" ref="G8:G15" si="2">CONCATENATE(F8,"OVR")</f>
        <v>611682101OVR</v>
      </c>
      <c r="H8" s="8">
        <v>46054</v>
      </c>
      <c r="I8" s="8">
        <v>46087</v>
      </c>
      <c r="J8" s="6" t="s">
        <v>14</v>
      </c>
      <c r="K8" s="6" t="s">
        <v>15</v>
      </c>
      <c r="L8" s="9">
        <v>50</v>
      </c>
      <c r="M8" s="6" t="s">
        <v>42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x14ac:dyDescent="0.25">
      <c r="A9" s="6" t="s">
        <v>46</v>
      </c>
      <c r="B9" s="7">
        <v>20411454</v>
      </c>
      <c r="C9" s="6" t="s">
        <v>36</v>
      </c>
      <c r="D9" s="6" t="s">
        <v>37</v>
      </c>
      <c r="E9" s="2" t="str">
        <f t="shared" si="0"/>
        <v>David Rusnak</v>
      </c>
      <c r="F9" s="7">
        <v>611778901</v>
      </c>
      <c r="G9" s="7" t="str">
        <f t="shared" si="2"/>
        <v>611778901OVR</v>
      </c>
      <c r="H9" s="8">
        <v>46054</v>
      </c>
      <c r="I9" s="8">
        <v>46087</v>
      </c>
      <c r="J9" s="6" t="s">
        <v>14</v>
      </c>
      <c r="K9" s="6" t="s">
        <v>15</v>
      </c>
      <c r="L9" s="9">
        <v>50</v>
      </c>
      <c r="M9" s="6" t="s">
        <v>42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5">
      <c r="A10" s="6" t="s">
        <v>46</v>
      </c>
      <c r="B10" s="7">
        <v>20411454</v>
      </c>
      <c r="C10" s="6" t="s">
        <v>17</v>
      </c>
      <c r="D10" s="6" t="s">
        <v>18</v>
      </c>
      <c r="E10" s="2" t="str">
        <f t="shared" si="0"/>
        <v>Deborah Elk</v>
      </c>
      <c r="F10" s="7">
        <v>611858101</v>
      </c>
      <c r="G10" s="7" t="str">
        <f t="shared" si="2"/>
        <v>611858101OVR</v>
      </c>
      <c r="H10" s="8">
        <v>46054</v>
      </c>
      <c r="I10" s="8">
        <v>46087</v>
      </c>
      <c r="J10" s="6" t="s">
        <v>14</v>
      </c>
      <c r="K10" s="6" t="s">
        <v>15</v>
      </c>
      <c r="L10" s="9">
        <v>150</v>
      </c>
      <c r="M10" s="6" t="s">
        <v>42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25">
      <c r="A11" s="6" t="s">
        <v>46</v>
      </c>
      <c r="B11" s="7">
        <v>20411454</v>
      </c>
      <c r="C11" s="6" t="s">
        <v>38</v>
      </c>
      <c r="D11" s="6" t="s">
        <v>39</v>
      </c>
      <c r="E11" s="2" t="str">
        <f t="shared" si="0"/>
        <v>Ralph Lyle</v>
      </c>
      <c r="F11" s="7">
        <v>338468201</v>
      </c>
      <c r="G11" s="7" t="str">
        <f t="shared" si="2"/>
        <v>338468201OVR</v>
      </c>
      <c r="H11" s="8">
        <v>46054</v>
      </c>
      <c r="I11" s="8">
        <v>46087</v>
      </c>
      <c r="J11" s="6" t="s">
        <v>14</v>
      </c>
      <c r="K11" s="6" t="s">
        <v>40</v>
      </c>
      <c r="L11" s="9">
        <v>75</v>
      </c>
      <c r="M11" s="6" t="s">
        <v>42</v>
      </c>
      <c r="N11" s="12"/>
      <c r="O11" s="12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s="10" customFormat="1" x14ac:dyDescent="0.25">
      <c r="A12" s="6" t="s">
        <v>46</v>
      </c>
      <c r="B12" s="7">
        <v>20411454</v>
      </c>
      <c r="C12" s="6" t="s">
        <v>12</v>
      </c>
      <c r="D12" s="6" t="s">
        <v>13</v>
      </c>
      <c r="E12" s="2" t="str">
        <f t="shared" si="0"/>
        <v>Lonna Wilson</v>
      </c>
      <c r="F12" s="7">
        <v>611276101</v>
      </c>
      <c r="G12" s="7" t="str">
        <f t="shared" si="2"/>
        <v>611276101OVR</v>
      </c>
      <c r="H12" s="8">
        <v>46054</v>
      </c>
      <c r="I12" s="8">
        <v>46087</v>
      </c>
      <c r="J12" s="6" t="s">
        <v>14</v>
      </c>
      <c r="K12" s="6" t="s">
        <v>15</v>
      </c>
      <c r="L12" s="9">
        <v>150</v>
      </c>
      <c r="M12" s="6" t="s">
        <v>42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s="10" customFormat="1" x14ac:dyDescent="0.25">
      <c r="A13" s="6" t="s">
        <v>46</v>
      </c>
      <c r="B13" s="7">
        <v>20411454</v>
      </c>
      <c r="C13" s="6" t="s">
        <v>21</v>
      </c>
      <c r="D13" s="6" t="s">
        <v>22</v>
      </c>
      <c r="E13" s="2" t="str">
        <f t="shared" si="0"/>
        <v>Dennis Adams</v>
      </c>
      <c r="F13" s="7">
        <v>611457501</v>
      </c>
      <c r="G13" s="7" t="str">
        <f t="shared" si="2"/>
        <v>611457501OVR</v>
      </c>
      <c r="H13" s="8">
        <v>46054</v>
      </c>
      <c r="I13" s="8">
        <v>46087</v>
      </c>
      <c r="J13" s="6" t="s">
        <v>14</v>
      </c>
      <c r="K13" s="6" t="s">
        <v>15</v>
      </c>
      <c r="L13" s="9">
        <v>150</v>
      </c>
      <c r="M13" s="6" t="s">
        <v>42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s="10" customFormat="1" x14ac:dyDescent="0.25">
      <c r="A14" s="6" t="s">
        <v>46</v>
      </c>
      <c r="B14" s="7">
        <v>20411454</v>
      </c>
      <c r="C14" s="6" t="s">
        <v>23</v>
      </c>
      <c r="D14" s="6" t="s">
        <v>24</v>
      </c>
      <c r="E14" s="2" t="str">
        <f t="shared" si="0"/>
        <v>Kimberly Brown</v>
      </c>
      <c r="F14" s="7">
        <v>611745901</v>
      </c>
      <c r="G14" s="7" t="str">
        <f t="shared" si="2"/>
        <v>611745901OVR</v>
      </c>
      <c r="H14" s="8">
        <v>46054</v>
      </c>
      <c r="I14" s="8">
        <v>46087</v>
      </c>
      <c r="J14" s="6" t="s">
        <v>14</v>
      </c>
      <c r="K14" s="6" t="s">
        <v>15</v>
      </c>
      <c r="L14" s="9">
        <v>150</v>
      </c>
      <c r="M14" s="6" t="s">
        <v>42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s="10" customFormat="1" x14ac:dyDescent="0.25">
      <c r="A15" s="6" t="s">
        <v>46</v>
      </c>
      <c r="B15" s="7">
        <v>20411454</v>
      </c>
      <c r="C15" s="6" t="s">
        <v>25</v>
      </c>
      <c r="D15" s="6" t="s">
        <v>26</v>
      </c>
      <c r="E15" s="2" t="str">
        <f t="shared" si="0"/>
        <v>Randal Gossic</v>
      </c>
      <c r="F15" s="7">
        <v>611776201</v>
      </c>
      <c r="G15" s="7" t="str">
        <f t="shared" si="2"/>
        <v>611776201OVR</v>
      </c>
      <c r="H15" s="8">
        <v>46054</v>
      </c>
      <c r="I15" s="8">
        <v>46087</v>
      </c>
      <c r="J15" s="6" t="s">
        <v>14</v>
      </c>
      <c r="K15" s="6" t="s">
        <v>15</v>
      </c>
      <c r="L15" s="9">
        <v>150</v>
      </c>
      <c r="M15" s="6" t="s">
        <v>42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</sheetData>
  <sortState xmlns:xlrd2="http://schemas.microsoft.com/office/spreadsheetml/2017/richdata2" ref="A2:AA15">
    <sortCondition ref="M2:M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</cp:lastModifiedBy>
  <dcterms:modified xsi:type="dcterms:W3CDTF">2026-03-11T20:32:34Z</dcterms:modified>
</cp:coreProperties>
</file>