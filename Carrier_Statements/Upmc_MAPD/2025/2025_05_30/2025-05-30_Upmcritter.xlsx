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UPMC\2025\Ritter\05-30-25 Ritter\"/>
    </mc:Choice>
  </mc:AlternateContent>
  <xr:revisionPtr revIDLastSave="0" documentId="13_ncr:1_{A611D643-C5B5-400F-805E-10687DB93473}" xr6:coauthVersionLast="47" xr6:coauthVersionMax="47" xr10:uidLastSave="{00000000-0000-0000-0000-000000000000}"/>
  <bookViews>
    <workbookView xWindow="28680" yWindow="-120" windowWidth="29040" windowHeight="16440" activeTab="1" xr2:uid="{E486EFCB-0027-44C1-84CC-CFADEF761746}"/>
  </bookViews>
  <sheets>
    <sheet name="Sheet1" sheetId="1" r:id="rId1"/>
    <sheet name="Sheet2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3" i="2" l="1"/>
  <c r="G4" i="2"/>
  <c r="G5" i="2"/>
  <c r="G2" i="2"/>
  <c r="E3" i="2"/>
  <c r="E4" i="2"/>
  <c r="E5" i="2"/>
  <c r="E2" i="2"/>
</calcChain>
</file>

<file path=xl/sharedStrings.xml><?xml version="1.0" encoding="utf-8"?>
<sst xmlns="http://schemas.openxmlformats.org/spreadsheetml/2006/main" count="68" uniqueCount="28">
  <si>
    <t>Writing Agent</t>
  </si>
  <si>
    <t>Writing Number</t>
  </si>
  <si>
    <t>Agent NPN</t>
  </si>
  <si>
    <t>First Name</t>
  </si>
  <si>
    <t>Last Name</t>
  </si>
  <si>
    <t>Member ID</t>
  </si>
  <si>
    <t>Submit Date</t>
  </si>
  <si>
    <t>Processed Date</t>
  </si>
  <si>
    <t>Carrier Name</t>
  </si>
  <si>
    <t>Product Name</t>
  </si>
  <si>
    <t>Net Commission</t>
  </si>
  <si>
    <t>Deborah Powers</t>
  </si>
  <si>
    <t>Lola</t>
  </si>
  <si>
    <t>Hoffman</t>
  </si>
  <si>
    <t>UPMC</t>
  </si>
  <si>
    <t>UPMC 2025 PA Replace (ProRata: -8)</t>
  </si>
  <si>
    <t>Timothy Powers</t>
  </si>
  <si>
    <t>RI638</t>
  </si>
  <si>
    <t>Kitty</t>
  </si>
  <si>
    <t>Philson</t>
  </si>
  <si>
    <t>UPMC 2025 PA Full</t>
  </si>
  <si>
    <t>Gloria</t>
  </si>
  <si>
    <t>Rumick</t>
  </si>
  <si>
    <t>Richard</t>
  </si>
  <si>
    <t>Zapp Sr</t>
  </si>
  <si>
    <t>UPMC 2025 PA 5/1 Eff Replacement</t>
  </si>
  <si>
    <t>UPMC Ovr</t>
  </si>
  <si>
    <t>Main Line Benefits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</si>
</sst>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3F7988-3DAB-436D-935B-638D8D9C1749}">
  <dimension ref="A1:K5"/>
  <sheetViews>
    <sheetView workbookViewId="0">
      <selection sqref="A1:XFD1048576"/>
    </sheetView>
  </sheetViews>
  <sheetFormatPr defaultRowHeight="15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C2">
        <v>19606009</v>
      </c>
      <c r="D2" t="s">
        <v>12</v>
      </c>
      <c r="E2" t="s">
        <v>13</v>
      </c>
      <c r="F2">
        <v>339281101</v>
      </c>
      <c r="G2" s="1">
        <v>45658</v>
      </c>
      <c r="H2" s="1">
        <v>45807</v>
      </c>
      <c r="I2" t="s">
        <v>14</v>
      </c>
      <c r="J2" t="s">
        <v>15</v>
      </c>
      <c r="K2" s="2">
        <v>-20</v>
      </c>
    </row>
    <row r="3" spans="1:11" x14ac:dyDescent="0.25">
      <c r="A3" t="s">
        <v>16</v>
      </c>
      <c r="B3" t="s">
        <v>17</v>
      </c>
      <c r="C3">
        <v>17886092</v>
      </c>
      <c r="D3" t="s">
        <v>18</v>
      </c>
      <c r="E3" t="s">
        <v>19</v>
      </c>
      <c r="F3">
        <v>341688401</v>
      </c>
      <c r="G3" s="1">
        <v>45778</v>
      </c>
      <c r="H3" s="1">
        <v>45807</v>
      </c>
      <c r="I3" t="s">
        <v>14</v>
      </c>
      <c r="J3" t="s">
        <v>20</v>
      </c>
      <c r="K3" s="2">
        <v>65</v>
      </c>
    </row>
    <row r="4" spans="1:11" x14ac:dyDescent="0.25">
      <c r="A4" t="s">
        <v>16</v>
      </c>
      <c r="B4" t="s">
        <v>17</v>
      </c>
      <c r="C4">
        <v>17886092</v>
      </c>
      <c r="D4" t="s">
        <v>21</v>
      </c>
      <c r="E4" t="s">
        <v>22</v>
      </c>
      <c r="F4">
        <v>341333401</v>
      </c>
      <c r="G4" s="1">
        <v>45778</v>
      </c>
      <c r="H4" s="1">
        <v>45807</v>
      </c>
      <c r="I4" t="s">
        <v>14</v>
      </c>
      <c r="J4" t="s">
        <v>20</v>
      </c>
      <c r="K4" s="2">
        <v>65</v>
      </c>
    </row>
    <row r="5" spans="1:11" x14ac:dyDescent="0.25">
      <c r="A5" t="s">
        <v>16</v>
      </c>
      <c r="B5" t="s">
        <v>17</v>
      </c>
      <c r="C5">
        <v>17886092</v>
      </c>
      <c r="D5" t="s">
        <v>23</v>
      </c>
      <c r="E5" t="s">
        <v>24</v>
      </c>
      <c r="F5">
        <v>341784801</v>
      </c>
      <c r="G5" s="1">
        <v>45778</v>
      </c>
      <c r="H5" s="1">
        <v>45807</v>
      </c>
      <c r="I5" t="s">
        <v>14</v>
      </c>
      <c r="J5" t="s">
        <v>25</v>
      </c>
      <c r="K5" s="2">
        <v>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BA1ADA-9B7F-4613-A386-9E1D8E9BE503}">
  <dimension ref="A1:M5"/>
  <sheetViews>
    <sheetView tabSelected="1" workbookViewId="0">
      <selection activeCell="L2" sqref="L2:L5"/>
    </sheetView>
  </sheetViews>
  <sheetFormatPr defaultRowHeight="15" x14ac:dyDescent="0.25"/>
  <cols>
    <col min="1" max="1" width="15.7109375" bestFit="1" customWidth="1"/>
    <col min="2" max="2" width="10.7109375" bestFit="1" customWidth="1"/>
    <col min="3" max="3" width="10.5703125" bestFit="1" customWidth="1"/>
    <col min="4" max="4" width="10.140625" bestFit="1" customWidth="1"/>
    <col min="5" max="5" width="14.5703125" bestFit="1" customWidth="1"/>
    <col min="6" max="6" width="10.85546875" bestFit="1" customWidth="1"/>
    <col min="7" max="7" width="10.85546875" customWidth="1"/>
    <col min="8" max="8" width="11.85546875" bestFit="1" customWidth="1"/>
    <col min="9" max="9" width="14.7109375" bestFit="1" customWidth="1"/>
    <col min="10" max="10" width="12.7109375" bestFit="1" customWidth="1"/>
    <col min="11" max="11" width="33.140625" bestFit="1" customWidth="1"/>
    <col min="12" max="12" width="15.7109375" bestFit="1" customWidth="1"/>
  </cols>
  <sheetData>
    <row r="1" spans="1:13" x14ac:dyDescent="0.25">
      <c r="A1" t="s">
        <v>0</v>
      </c>
      <c r="B1" t="s">
        <v>2</v>
      </c>
      <c r="C1" t="s">
        <v>3</v>
      </c>
      <c r="D1" t="s">
        <v>4</v>
      </c>
      <c r="F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</row>
    <row r="2" spans="1:13" x14ac:dyDescent="0.25">
      <c r="A2" t="s">
        <v>27</v>
      </c>
      <c r="B2">
        <v>20411454</v>
      </c>
      <c r="C2" t="s">
        <v>12</v>
      </c>
      <c r="D2" t="s">
        <v>13</v>
      </c>
      <c r="E2" t="str">
        <f>CONCATENATE(C2, " ", D2)</f>
        <v>Lola Hoffman</v>
      </c>
      <c r="F2">
        <v>339281101</v>
      </c>
      <c r="G2" t="str">
        <f>CONCATENATE(F2,1)</f>
        <v>3392811011</v>
      </c>
      <c r="H2" s="1">
        <v>45658</v>
      </c>
      <c r="I2" s="1">
        <v>45807</v>
      </c>
      <c r="J2" t="s">
        <v>14</v>
      </c>
      <c r="K2" t="s">
        <v>15</v>
      </c>
      <c r="L2" s="2">
        <v>-20</v>
      </c>
      <c r="M2" t="s">
        <v>26</v>
      </c>
    </row>
    <row r="3" spans="1:13" x14ac:dyDescent="0.25">
      <c r="A3" t="s">
        <v>27</v>
      </c>
      <c r="B3">
        <v>20411454</v>
      </c>
      <c r="C3" t="s">
        <v>18</v>
      </c>
      <c r="D3" t="s">
        <v>19</v>
      </c>
      <c r="E3" t="str">
        <f t="shared" ref="E3:E5" si="0">CONCATENATE(C3, " ", D3)</f>
        <v>Kitty Philson</v>
      </c>
      <c r="F3">
        <v>341688401</v>
      </c>
      <c r="G3" t="str">
        <f t="shared" ref="G3:G5" si="1">CONCATENATE(F3,1)</f>
        <v>3416884011</v>
      </c>
      <c r="H3" s="1">
        <v>45778</v>
      </c>
      <c r="I3" s="1">
        <v>45807</v>
      </c>
      <c r="J3" t="s">
        <v>14</v>
      </c>
      <c r="K3" t="s">
        <v>20</v>
      </c>
      <c r="L3" s="2">
        <v>65</v>
      </c>
      <c r="M3" t="s">
        <v>26</v>
      </c>
    </row>
    <row r="4" spans="1:13" x14ac:dyDescent="0.25">
      <c r="A4" t="s">
        <v>27</v>
      </c>
      <c r="B4">
        <v>20411454</v>
      </c>
      <c r="C4" t="s">
        <v>21</v>
      </c>
      <c r="D4" t="s">
        <v>22</v>
      </c>
      <c r="E4" t="str">
        <f t="shared" si="0"/>
        <v>Gloria Rumick</v>
      </c>
      <c r="F4">
        <v>341333401</v>
      </c>
      <c r="G4" t="str">
        <f t="shared" si="1"/>
        <v>3413334011</v>
      </c>
      <c r="H4" s="1">
        <v>45778</v>
      </c>
      <c r="I4" s="1">
        <v>45807</v>
      </c>
      <c r="J4" t="s">
        <v>14</v>
      </c>
      <c r="K4" t="s">
        <v>20</v>
      </c>
      <c r="L4" s="2">
        <v>65</v>
      </c>
      <c r="M4" t="s">
        <v>26</v>
      </c>
    </row>
    <row r="5" spans="1:13" x14ac:dyDescent="0.25">
      <c r="A5" t="s">
        <v>27</v>
      </c>
      <c r="B5">
        <v>20411454</v>
      </c>
      <c r="C5" t="s">
        <v>23</v>
      </c>
      <c r="D5" t="s">
        <v>24</v>
      </c>
      <c r="E5" t="str">
        <f t="shared" si="0"/>
        <v>Richard Zapp Sr</v>
      </c>
      <c r="F5">
        <v>341784801</v>
      </c>
      <c r="G5" t="str">
        <f t="shared" si="1"/>
        <v>3417848011</v>
      </c>
      <c r="H5" s="1">
        <v>45778</v>
      </c>
      <c r="I5" s="1">
        <v>45807</v>
      </c>
      <c r="J5" t="s">
        <v>14</v>
      </c>
      <c r="K5" t="s">
        <v>25</v>
      </c>
      <c r="L5" s="2">
        <v>30</v>
      </c>
      <c r="M5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Cabel, Denisse Raeka</dc:creator>
  <cp:lastModifiedBy>Cabel, Denisse Raeka</cp:lastModifiedBy>
  <dcterms:created xsi:type="dcterms:W3CDTF">2025-05-30T15:59:27Z</dcterms:created>
  <dcterms:modified xsi:type="dcterms:W3CDTF">2025-05-30T20:12:24Z</dcterms:modified>
</cp:coreProperties>
</file>