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10-03-25 Ritter\"/>
    </mc:Choice>
  </mc:AlternateContent>
  <xr:revisionPtr revIDLastSave="0" documentId="13_ncr:1_{7056A3F8-646F-4D53-BE79-B4B4699EC4ED}" xr6:coauthVersionLast="47" xr6:coauthVersionMax="47" xr10:uidLastSave="{00000000-0000-0000-0000-000000000000}"/>
  <bookViews>
    <workbookView xWindow="28680" yWindow="-120" windowWidth="29040" windowHeight="16440" activeTab="1" xr2:uid="{5136F479-90B1-4B48-ACD6-CA215511A9A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4" i="2"/>
  <c r="G3" i="2"/>
  <c r="G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<sst xmlns="http://schemas.openxmlformats.org/spreadsheetml/2006/main" count="130" uniqueCount="47">
  <si>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</si>
  <si>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</si>
  <si>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</si>
  <si>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</si>
  <si>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</si>
  <si>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</si>
  <si>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</si>
  <si>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</si>
  <si>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</si>
  <si>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</si>
  <si>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</si>
  <si>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</si>
  <si>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Renaldo</t>
  </si>
  <si>
    <t>Dilucente</t>
  </si>
  <si>
    <t>UPMC</t>
  </si>
  <si>
    <t>UPMC 2025 PA Full</t>
  </si>
  <si>
    <t>Chad Bender</t>
  </si>
  <si>
    <t>Joseph</t>
  </si>
  <si>
    <t>Molinaro</t>
  </si>
  <si>
    <t>UPMC 2025 PA Replace (ProRata: -4)</t>
  </si>
  <si>
    <t>Timothy Powers</t>
  </si>
  <si>
    <t>RI638</t>
  </si>
  <si>
    <t>Sarah</t>
  </si>
  <si>
    <t>Dobson</t>
  </si>
  <si>
    <t>Daniel</t>
  </si>
  <si>
    <t>Ealy</t>
  </si>
  <si>
    <t>Margaret Smith</t>
  </si>
  <si>
    <t>RI661</t>
  </si>
  <si>
    <t>Robert</t>
  </si>
  <si>
    <t>Bowen</t>
  </si>
  <si>
    <t>Lisa</t>
  </si>
  <si>
    <t>Gold</t>
  </si>
  <si>
    <t>Deborah Inskipt</t>
  </si>
  <si>
    <t>RI641</t>
  </si>
  <si>
    <t>Raymond</t>
  </si>
  <si>
    <t>Carrabbia</t>
  </si>
  <si>
    <t>UPMC 2025 PA 9/1 Eff Replacement</t>
  </si>
  <si>
    <t>Debra</t>
  </si>
  <si>
    <t>Heist</t>
  </si>
  <si>
    <t>UPMC 2025 Initial Override (ProRata: -4)</t>
  </si>
  <si>
    <t>UPMC Ovr</t>
  </si>
  <si>
    <t>UPMC MAPD 2025 CT, PA, DC</t>
  </si>
  <si>
    <t>UPMC MAPD 2025 CT, PA, DC*</t>
  </si>
  <si>
    <t>[%/$=353][prorate=4/12]</t>
  </si>
  <si>
    <t>[%/$=705]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</si>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</sst>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6CFD-B3A4-4BBF-934B-4BCFE9D628B6}">
  <dimension ref="A1:K9"/>
  <sheetViews>
    <sheetView workbookViewId="0">
      <selection activeCell="H33" sqref="H33"/>
    </sheetView>
  </sheetViews>
  <sheetFormatPr defaultRowHeight="15" x14ac:dyDescent="0.25"/>
  <cols>
    <col min="6" max="6" width="10.85546875" bestFit="1" customWidth="1"/>
    <col min="8" max="8" width="14.7109375" bestFit="1" customWidth="1"/>
    <col min="10" max="10" width="36.85546875" bestFit="1" customWidth="1"/>
    <col min="12" max="12" width="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8971826</v>
      </c>
      <c r="D2" t="s">
        <v>12</v>
      </c>
      <c r="E2" t="s">
        <v>13</v>
      </c>
      <c r="F2">
        <v>610084101</v>
      </c>
      <c r="G2" s="1">
        <v>45901</v>
      </c>
      <c r="H2" s="1">
        <v>45933</v>
      </c>
      <c r="I2" t="s">
        <v>14</v>
      </c>
      <c r="J2" t="s">
        <v>15</v>
      </c>
      <c r="K2" s="2">
        <v>875</v>
      </c>
    </row>
    <row r="3" spans="1:11" x14ac:dyDescent="0.25">
      <c r="A3" t="s">
        <v>16</v>
      </c>
      <c r="C3">
        <v>18598357</v>
      </c>
      <c r="D3" t="s">
        <v>17</v>
      </c>
      <c r="E3" t="s">
        <v>18</v>
      </c>
      <c r="F3">
        <v>317905801</v>
      </c>
      <c r="G3" s="1">
        <v>45658</v>
      </c>
      <c r="H3" s="1">
        <v>45933</v>
      </c>
      <c r="I3" t="s">
        <v>14</v>
      </c>
      <c r="J3" t="s">
        <v>19</v>
      </c>
      <c r="K3" s="2">
        <v>-28.34</v>
      </c>
    </row>
    <row r="4" spans="1:11" x14ac:dyDescent="0.25">
      <c r="A4" t="s">
        <v>20</v>
      </c>
      <c r="B4" t="s">
        <v>21</v>
      </c>
      <c r="C4">
        <v>17886092</v>
      </c>
      <c r="D4" t="s">
        <v>22</v>
      </c>
      <c r="E4" t="s">
        <v>23</v>
      </c>
      <c r="F4">
        <v>342339801</v>
      </c>
      <c r="G4" s="1">
        <v>45901</v>
      </c>
      <c r="H4" s="1">
        <v>45933</v>
      </c>
      <c r="I4" t="s">
        <v>14</v>
      </c>
      <c r="J4" t="s">
        <v>15</v>
      </c>
      <c r="K4" s="2">
        <v>65</v>
      </c>
    </row>
    <row r="5" spans="1:11" x14ac:dyDescent="0.25">
      <c r="A5" t="s">
        <v>20</v>
      </c>
      <c r="B5" t="s">
        <v>21</v>
      </c>
      <c r="C5">
        <v>17886092</v>
      </c>
      <c r="D5" t="s">
        <v>24</v>
      </c>
      <c r="E5" t="s">
        <v>25</v>
      </c>
      <c r="F5">
        <v>342259201</v>
      </c>
      <c r="G5" s="1">
        <v>45901</v>
      </c>
      <c r="H5" s="1">
        <v>45933</v>
      </c>
      <c r="I5" t="s">
        <v>14</v>
      </c>
      <c r="J5" t="s">
        <v>15</v>
      </c>
      <c r="K5" s="2">
        <v>65</v>
      </c>
    </row>
    <row r="6" spans="1:11" x14ac:dyDescent="0.25">
      <c r="A6" t="s">
        <v>26</v>
      </c>
      <c r="B6" t="s">
        <v>27</v>
      </c>
      <c r="C6">
        <v>20253958</v>
      </c>
      <c r="D6" t="s">
        <v>28</v>
      </c>
      <c r="E6" t="s">
        <v>29</v>
      </c>
      <c r="F6">
        <v>610072401</v>
      </c>
      <c r="G6" s="1">
        <v>45901</v>
      </c>
      <c r="H6" s="1">
        <v>45933</v>
      </c>
      <c r="I6" t="s">
        <v>14</v>
      </c>
      <c r="J6" t="s">
        <v>15</v>
      </c>
      <c r="K6" s="2">
        <v>65</v>
      </c>
    </row>
    <row r="7" spans="1:11" x14ac:dyDescent="0.25">
      <c r="A7" t="s">
        <v>26</v>
      </c>
      <c r="B7" t="s">
        <v>27</v>
      </c>
      <c r="C7">
        <v>20253958</v>
      </c>
      <c r="D7" t="s">
        <v>30</v>
      </c>
      <c r="E7" t="s">
        <v>31</v>
      </c>
      <c r="F7">
        <v>610084601</v>
      </c>
      <c r="G7" s="1">
        <v>45901</v>
      </c>
      <c r="H7" s="1">
        <v>45933</v>
      </c>
      <c r="I7" t="s">
        <v>14</v>
      </c>
      <c r="J7" t="s">
        <v>15</v>
      </c>
      <c r="K7" s="2">
        <v>65</v>
      </c>
    </row>
    <row r="8" spans="1:11" x14ac:dyDescent="0.25">
      <c r="A8" t="s">
        <v>32</v>
      </c>
      <c r="B8" t="s">
        <v>33</v>
      </c>
      <c r="C8">
        <v>17528908</v>
      </c>
      <c r="D8" t="s">
        <v>34</v>
      </c>
      <c r="E8" t="s">
        <v>35</v>
      </c>
      <c r="F8">
        <v>610196801</v>
      </c>
      <c r="G8" s="1">
        <v>45901</v>
      </c>
      <c r="H8" s="1">
        <v>45933</v>
      </c>
      <c r="I8" t="s">
        <v>14</v>
      </c>
      <c r="J8" t="s">
        <v>36</v>
      </c>
      <c r="K8" s="2">
        <v>202.67</v>
      </c>
    </row>
    <row r="9" spans="1:11" x14ac:dyDescent="0.25">
      <c r="A9" t="s">
        <v>20</v>
      </c>
      <c r="B9" t="s">
        <v>21</v>
      </c>
      <c r="C9">
        <v>17886092</v>
      </c>
      <c r="D9" t="s">
        <v>37</v>
      </c>
      <c r="E9" t="s">
        <v>38</v>
      </c>
      <c r="F9">
        <v>340772901</v>
      </c>
      <c r="G9" s="1">
        <v>45689</v>
      </c>
      <c r="H9" s="1">
        <v>45933</v>
      </c>
      <c r="I9" t="s">
        <v>14</v>
      </c>
      <c r="J9" t="s">
        <v>39</v>
      </c>
      <c r="K9" s="2">
        <v>-21.66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187F-9C69-47A0-B25A-1DD0A8588C8B}">
  <dimension ref="A1:P12"/>
  <sheetViews>
    <sheetView tabSelected="1" workbookViewId="0">
      <selection activeCell="N2" sqref="N2:N3"/>
    </sheetView>
  </sheetViews>
  <sheetFormatPr defaultRowHeight="15" x14ac:dyDescent="0.25"/>
  <cols>
    <col min="1" max="1" width="17.7109375" bestFit="1" customWidth="1"/>
    <col min="2" max="2" width="10.7109375" bestFit="1" customWidth="1"/>
    <col min="5" max="5" width="17.5703125" bestFit="1" customWidth="1"/>
    <col min="6" max="6" width="10.85546875" bestFit="1" customWidth="1"/>
    <col min="7" max="7" width="14" bestFit="1" customWidth="1"/>
    <col min="9" max="9" width="14.7109375" bestFit="1" customWidth="1"/>
    <col min="11" max="11" width="36.85546875" bestFit="1" customWidth="1"/>
    <col min="13" max="13" width="26.5703125" bestFit="1" customWidth="1"/>
    <col min="14" max="14" width="23.140625" bestFit="1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 x14ac:dyDescent="0.25">
      <c r="A2" t="s">
        <v>11</v>
      </c>
      <c r="B2">
        <v>8971826</v>
      </c>
      <c r="C2" t="s">
        <v>12</v>
      </c>
      <c r="D2" t="s">
        <v>13</v>
      </c>
      <c r="E2" t="str">
        <f>CONCATENATE(C2, " ",D2)</f>
        <v>Renaldo Dilucente</v>
      </c>
      <c r="F2">
        <v>610084101</v>
      </c>
      <c r="G2" t="str">
        <f>CONCATENATE(F2,3)</f>
        <v>6100841013</v>
      </c>
      <c r="H2" s="1">
        <v>45901</v>
      </c>
      <c r="I2" s="1">
        <v>45933</v>
      </c>
      <c r="J2" t="s">
        <v>14</v>
      </c>
      <c r="K2" t="s">
        <v>15</v>
      </c>
      <c r="L2" s="2">
        <v>705</v>
      </c>
      <c r="M2" t="s">
        <v>41</v>
      </c>
      <c r="N2" t="s">
        <v>44</v>
      </c>
    </row>
    <row r="3" spans="1:16" x14ac:dyDescent="0.25">
      <c r="A3" t="s">
        <v>32</v>
      </c>
      <c r="B3" t="s">
        <v>46</v>
      </c>
      <c r="C3" t="s">
        <v>34</v>
      </c>
      <c r="D3" t="s">
        <v>35</v>
      </c>
      <c r="E3" t="str">
        <f t="shared" ref="E3:E11" si="0">CONCATENATE(C3, " ",D3)</f>
        <v>Raymond Carrabbia</v>
      </c>
      <c r="F3">
        <v>610196801</v>
      </c>
      <c r="G3" t="str">
        <f>CONCATENATE(F3,2)</f>
        <v>6101968012</v>
      </c>
      <c r="H3" s="1">
        <v>45901</v>
      </c>
      <c r="I3" s="1">
        <v>45933</v>
      </c>
      <c r="J3" t="s">
        <v>14</v>
      </c>
      <c r="K3" t="s">
        <v>36</v>
      </c>
      <c r="L3" s="2">
        <v>117.67</v>
      </c>
      <c r="M3" t="s">
        <v>42</v>
      </c>
      <c r="N3" t="s">
        <v>43</v>
      </c>
    </row>
    <row r="4" spans="1:16" x14ac:dyDescent="0.25">
      <c r="A4" t="s">
        <v>45</v>
      </c>
      <c r="B4">
        <v>20411454</v>
      </c>
      <c r="C4" t="s">
        <v>12</v>
      </c>
      <c r="D4" t="s">
        <v>13</v>
      </c>
      <c r="E4" t="str">
        <f t="shared" si="0"/>
        <v>Renaldo Dilucente</v>
      </c>
      <c r="F4">
        <v>610084101</v>
      </c>
      <c r="G4" t="str">
        <f>CONCATENATE(F4,"OVR")</f>
        <v>610084101OVR</v>
      </c>
      <c r="H4" s="1">
        <v>45901</v>
      </c>
      <c r="I4" s="1">
        <v>45933</v>
      </c>
      <c r="J4" t="s">
        <v>14</v>
      </c>
      <c r="K4" t="s">
        <v>15</v>
      </c>
      <c r="L4" s="2">
        <v>170</v>
      </c>
      <c r="M4" t="s">
        <v>40</v>
      </c>
    </row>
    <row r="5" spans="1:16" x14ac:dyDescent="0.25">
      <c r="A5" t="s">
        <v>45</v>
      </c>
      <c r="B5">
        <v>20411454</v>
      </c>
      <c r="C5" t="s">
        <v>17</v>
      </c>
      <c r="D5" t="s">
        <v>18</v>
      </c>
      <c r="E5" t="str">
        <f t="shared" si="0"/>
        <v>Joseph Molinaro</v>
      </c>
      <c r="F5">
        <v>317905801</v>
      </c>
      <c r="G5" t="str">
        <f t="shared" ref="G5:G11" si="1">CONCATENATE(F5,"OVR")</f>
        <v>317905801OVR</v>
      </c>
      <c r="H5" s="1">
        <v>45658</v>
      </c>
      <c r="I5" s="1">
        <v>45933</v>
      </c>
      <c r="J5" t="s">
        <v>14</v>
      </c>
      <c r="K5" t="s">
        <v>19</v>
      </c>
      <c r="L5" s="2">
        <v>-28.34</v>
      </c>
      <c r="M5" t="s">
        <v>40</v>
      </c>
    </row>
    <row r="6" spans="1:16" x14ac:dyDescent="0.25">
      <c r="A6" t="s">
        <v>45</v>
      </c>
      <c r="B6">
        <v>20411454</v>
      </c>
      <c r="C6" t="s">
        <v>22</v>
      </c>
      <c r="D6" t="s">
        <v>23</v>
      </c>
      <c r="E6" t="str">
        <f t="shared" si="0"/>
        <v>Sarah Dobson</v>
      </c>
      <c r="F6">
        <v>342339801</v>
      </c>
      <c r="G6" t="str">
        <f t="shared" si="1"/>
        <v>342339801OVR</v>
      </c>
      <c r="H6" s="1">
        <v>45901</v>
      </c>
      <c r="I6" s="1">
        <v>45933</v>
      </c>
      <c r="J6" t="s">
        <v>14</v>
      </c>
      <c r="K6" t="s">
        <v>15</v>
      </c>
      <c r="L6" s="2">
        <v>65</v>
      </c>
      <c r="M6" t="s">
        <v>40</v>
      </c>
    </row>
    <row r="7" spans="1:16" x14ac:dyDescent="0.25">
      <c r="A7" t="s">
        <v>45</v>
      </c>
      <c r="B7">
        <v>20411454</v>
      </c>
      <c r="C7" t="s">
        <v>24</v>
      </c>
      <c r="D7" t="s">
        <v>25</v>
      </c>
      <c r="E7" t="str">
        <f t="shared" si="0"/>
        <v>Daniel Ealy</v>
      </c>
      <c r="F7">
        <v>342259201</v>
      </c>
      <c r="G7" t="str">
        <f t="shared" si="1"/>
        <v>342259201OVR</v>
      </c>
      <c r="H7" s="1">
        <v>45901</v>
      </c>
      <c r="I7" s="1">
        <v>45933</v>
      </c>
      <c r="J7" t="s">
        <v>14</v>
      </c>
      <c r="K7" t="s">
        <v>15</v>
      </c>
      <c r="L7" s="2">
        <v>65</v>
      </c>
      <c r="M7" t="s">
        <v>40</v>
      </c>
    </row>
    <row r="8" spans="1:16" x14ac:dyDescent="0.25">
      <c r="A8" t="s">
        <v>45</v>
      </c>
      <c r="B8">
        <v>20411454</v>
      </c>
      <c r="C8" t="s">
        <v>28</v>
      </c>
      <c r="D8" t="s">
        <v>29</v>
      </c>
      <c r="E8" t="str">
        <f t="shared" si="0"/>
        <v>Robert Bowen</v>
      </c>
      <c r="F8">
        <v>610072401</v>
      </c>
      <c r="G8" t="str">
        <f t="shared" si="1"/>
        <v>610072401OVR</v>
      </c>
      <c r="H8" s="1">
        <v>45901</v>
      </c>
      <c r="I8" s="1">
        <v>45933</v>
      </c>
      <c r="J8" t="s">
        <v>14</v>
      </c>
      <c r="K8" t="s">
        <v>15</v>
      </c>
      <c r="L8" s="2">
        <v>65</v>
      </c>
      <c r="M8" t="s">
        <v>40</v>
      </c>
    </row>
    <row r="9" spans="1:16" x14ac:dyDescent="0.25">
      <c r="A9" t="s">
        <v>45</v>
      </c>
      <c r="B9">
        <v>20411454</v>
      </c>
      <c r="C9" t="s">
        <v>30</v>
      </c>
      <c r="D9" t="s">
        <v>31</v>
      </c>
      <c r="E9" t="str">
        <f t="shared" si="0"/>
        <v>Lisa Gold</v>
      </c>
      <c r="F9">
        <v>610084601</v>
      </c>
      <c r="G9" t="str">
        <f t="shared" si="1"/>
        <v>610084601OVR</v>
      </c>
      <c r="H9" s="1">
        <v>45901</v>
      </c>
      <c r="I9" s="1">
        <v>45933</v>
      </c>
      <c r="J9" t="s">
        <v>14</v>
      </c>
      <c r="K9" t="s">
        <v>15</v>
      </c>
      <c r="L9" s="2">
        <v>65</v>
      </c>
      <c r="M9" t="s">
        <v>40</v>
      </c>
    </row>
    <row r="10" spans="1:16" x14ac:dyDescent="0.25">
      <c r="A10" t="s">
        <v>45</v>
      </c>
      <c r="B10">
        <v>20411454</v>
      </c>
      <c r="C10" t="s">
        <v>34</v>
      </c>
      <c r="D10" t="s">
        <v>35</v>
      </c>
      <c r="E10" t="str">
        <f t="shared" si="0"/>
        <v>Raymond Carrabbia</v>
      </c>
      <c r="F10">
        <v>610196801</v>
      </c>
      <c r="G10" t="str">
        <f t="shared" si="1"/>
        <v>610196801OVR</v>
      </c>
      <c r="H10" s="1">
        <v>45901</v>
      </c>
      <c r="I10" s="1">
        <v>45933</v>
      </c>
      <c r="J10" t="s">
        <v>14</v>
      </c>
      <c r="K10" t="s">
        <v>36</v>
      </c>
      <c r="L10" s="2">
        <v>85</v>
      </c>
      <c r="M10" t="s">
        <v>40</v>
      </c>
    </row>
    <row r="11" spans="1:16" x14ac:dyDescent="0.25">
      <c r="A11" t="s">
        <v>45</v>
      </c>
      <c r="B11">
        <v>20411454</v>
      </c>
      <c r="C11" t="s">
        <v>37</v>
      </c>
      <c r="D11" t="s">
        <v>38</v>
      </c>
      <c r="E11" t="str">
        <f t="shared" si="0"/>
        <v>Debra Heist</v>
      </c>
      <c r="F11">
        <v>340772901</v>
      </c>
      <c r="G11" t="str">
        <f t="shared" si="1"/>
        <v>340772901OVR</v>
      </c>
      <c r="H11" s="1">
        <v>45689</v>
      </c>
      <c r="I11" s="1">
        <v>45933</v>
      </c>
      <c r="J11" t="s">
        <v>14</v>
      </c>
      <c r="K11" t="s">
        <v>39</v>
      </c>
      <c r="L11" s="2">
        <v>-21.66</v>
      </c>
      <c r="M11" t="s">
        <v>40</v>
      </c>
    </row>
    <row r="12" spans="1:16" x14ac:dyDescent="0.25">
      <c r="O12" s="3"/>
      <c r="P12" s="3"/>
    </row>
  </sheetData>
  <sortState xmlns:xlrd2="http://schemas.microsoft.com/office/spreadsheetml/2017/richdata2" ref="A2:S11">
    <sortCondition ref="M2:M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2025-10-03T18:16:05Z</dcterms:created>
  <dcterms:modified xsi:type="dcterms:W3CDTF">2025-10-03T20:09:12Z</dcterms:modified>
</cp:coreProperties>
</file>