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PMC\2025\Ritter\11-07-25 Ritter\"/>
    </mc:Choice>
  </mc:AlternateContent>
  <xr:revisionPtr revIDLastSave="0" documentId="13_ncr:1_{DFB1F57A-144C-4832-AED7-F68B9780F60B}" xr6:coauthVersionLast="47" xr6:coauthVersionMax="47" xr10:uidLastSave="{00000000-0000-0000-0000-000000000000}"/>
  <bookViews>
    <workbookView xWindow="28680" yWindow="-120" windowWidth="29040" windowHeight="16440" activeTab="1" xr2:uid="{DAA70323-3C4D-483C-BDAE-407B0A9A52A8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2" l="1"/>
  <c r="G12" i="2"/>
  <c r="G11" i="2"/>
  <c r="G10" i="2"/>
  <c r="G9" i="2"/>
  <c r="G8" i="2"/>
  <c r="G7" i="2"/>
  <c r="G6" i="2"/>
  <c r="G5" i="2"/>
  <c r="G4" i="2"/>
  <c r="G3" i="2"/>
  <c r="G15" i="2"/>
  <c r="G14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2" i="2"/>
</calcChain>
</file>

<file path=xl/sharedStrings.xml><?xml version="1.0" encoding="utf-8"?>
<sst xmlns="http://schemas.openxmlformats.org/spreadsheetml/2006/main" count="179" uniqueCount="48">
  <si>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</si>
  <si>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</si>
  <si>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</si>
  <si>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</si>
  <si>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</si>
  <si>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</si>
  <si>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</si>
  <si>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</si>
  <si>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</si>
  <si>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</si>
  <si>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</si>
  <si>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Scott Aguglia</t>
  </si>
  <si>
    <t>Rose</t>
  </si>
  <si>
    <t>Haller</t>
  </si>
  <si>
    <t>UPMC</t>
  </si>
  <si>
    <t>UPMC 2025 PA Full (ProRata: -12)</t>
  </si>
  <si>
    <t>Chad Bender</t>
  </si>
  <si>
    <t>Kevin</t>
  </si>
  <si>
    <t>Ulrich</t>
  </si>
  <si>
    <t>Deborah Powers</t>
  </si>
  <si>
    <t>Justin</t>
  </si>
  <si>
    <t>Kearns</t>
  </si>
  <si>
    <t>Margaret Smith</t>
  </si>
  <si>
    <t>RI661</t>
  </si>
  <si>
    <t>Henry</t>
  </si>
  <si>
    <t>Winwood</t>
  </si>
  <si>
    <t>UPMC 2025 Initial Override</t>
  </si>
  <si>
    <t>Deborah Inskipt</t>
  </si>
  <si>
    <t>RI641</t>
  </si>
  <si>
    <t>Raymond</t>
  </si>
  <si>
    <t>Carrabbia</t>
  </si>
  <si>
    <t>UPMC 2025 Replacement Override</t>
  </si>
  <si>
    <t>Debra</t>
  </si>
  <si>
    <t>Heist</t>
  </si>
  <si>
    <t>UPMC 2025 Initial Override (ProRata: 4)</t>
  </si>
  <si>
    <t>Timothy Powers</t>
  </si>
  <si>
    <t>RI638</t>
  </si>
  <si>
    <t>Gregory</t>
  </si>
  <si>
    <t>Perry</t>
  </si>
  <si>
    <t>UPMC 2025 Replacement Override (ProRata: -2)</t>
  </si>
  <si>
    <t>UPMC 2025 PA Initial Street</t>
  </si>
  <si>
    <t>UPMC 2025 PA Initial Street (ProRata: 10)</t>
  </si>
  <si>
    <t>UPMC Ovr</t>
  </si>
  <si>
    <t>UPMC MAPD 2025 CT, PA, DC</t>
  </si>
  <si>
    <t>[%/$=705]</t>
  </si>
  <si>
    <t>[%/$=705][prorate=10/12]</t>
  </si>
  <si>
    <t>Main Line Benefits</t>
  </si>
  <si>
    <t>17528908N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</si>
</sst>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2" borderId="0" xfId="0" applyFill="1"/>
    <xf numFmtId="14" fontId="0" fillId="2" borderId="0" xfId="0" applyNumberFormat="1" applyFill="1"/>
    <xf numFmtId="8" fontId="0" fillId="2" borderId="0" xfId="0" applyNumberFormat="1" applyFill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09DFF-D9B8-4B70-883A-084F77AE2BA8}">
  <dimension ref="A1:K14"/>
  <sheetViews>
    <sheetView workbookViewId="0">
      <selection sqref="A1:XFD1048576"/>
    </sheetView>
  </sheetViews>
  <sheetFormatPr defaultRowHeight="15" x14ac:dyDescent="0.25"/>
  <cols>
    <col min="1" max="1" width="15.710937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0.140625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43.710937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8971826</v>
      </c>
      <c r="D2" t="s">
        <v>12</v>
      </c>
      <c r="E2" t="s">
        <v>13</v>
      </c>
      <c r="F2">
        <v>610108801</v>
      </c>
      <c r="G2" s="1">
        <v>40203</v>
      </c>
      <c r="H2" s="1">
        <v>45968</v>
      </c>
      <c r="I2" t="s">
        <v>14</v>
      </c>
      <c r="J2" t="s">
        <v>15</v>
      </c>
      <c r="K2" s="2">
        <v>-875</v>
      </c>
    </row>
    <row r="3" spans="1:11" x14ac:dyDescent="0.25">
      <c r="A3" t="s">
        <v>16</v>
      </c>
      <c r="C3">
        <v>18598357</v>
      </c>
      <c r="D3" t="s">
        <v>17</v>
      </c>
      <c r="E3" t="s">
        <v>18</v>
      </c>
      <c r="F3">
        <v>342537001</v>
      </c>
      <c r="G3" s="1">
        <v>40203</v>
      </c>
      <c r="H3" s="1">
        <v>45968</v>
      </c>
      <c r="I3" t="s">
        <v>14</v>
      </c>
      <c r="J3" t="s">
        <v>15</v>
      </c>
      <c r="K3" s="2">
        <v>-170</v>
      </c>
    </row>
    <row r="4" spans="1:11" x14ac:dyDescent="0.25">
      <c r="A4" t="s">
        <v>19</v>
      </c>
      <c r="C4">
        <v>19606009</v>
      </c>
      <c r="D4" t="s">
        <v>20</v>
      </c>
      <c r="E4" t="s">
        <v>21</v>
      </c>
      <c r="F4">
        <v>610238601</v>
      </c>
      <c r="G4" s="1">
        <v>40203</v>
      </c>
      <c r="H4" s="1">
        <v>45968</v>
      </c>
      <c r="I4" t="s">
        <v>14</v>
      </c>
      <c r="J4" t="s">
        <v>15</v>
      </c>
      <c r="K4" s="2">
        <v>-65</v>
      </c>
    </row>
    <row r="5" spans="1:11" x14ac:dyDescent="0.25">
      <c r="A5" t="s">
        <v>22</v>
      </c>
      <c r="B5" t="s">
        <v>23</v>
      </c>
      <c r="C5">
        <v>20253958</v>
      </c>
      <c r="D5" t="s">
        <v>24</v>
      </c>
      <c r="E5" t="s">
        <v>25</v>
      </c>
      <c r="F5">
        <v>610125601</v>
      </c>
      <c r="G5" s="1">
        <v>40203</v>
      </c>
      <c r="H5" s="1">
        <v>45968</v>
      </c>
      <c r="I5" t="s">
        <v>14</v>
      </c>
      <c r="J5" t="s">
        <v>15</v>
      </c>
      <c r="K5" s="2">
        <v>-65</v>
      </c>
    </row>
    <row r="6" spans="1:11" x14ac:dyDescent="0.25">
      <c r="A6" t="s">
        <v>11</v>
      </c>
      <c r="C6">
        <v>8971826</v>
      </c>
      <c r="D6" t="s">
        <v>12</v>
      </c>
      <c r="E6" t="s">
        <v>13</v>
      </c>
      <c r="F6">
        <v>610108801</v>
      </c>
      <c r="G6" s="1">
        <v>45931</v>
      </c>
      <c r="H6" s="1">
        <v>45968</v>
      </c>
      <c r="I6" t="s">
        <v>14</v>
      </c>
      <c r="J6" t="s">
        <v>26</v>
      </c>
      <c r="K6" s="2">
        <v>170</v>
      </c>
    </row>
    <row r="7" spans="1:11" x14ac:dyDescent="0.25">
      <c r="A7" t="s">
        <v>16</v>
      </c>
      <c r="C7">
        <v>18598357</v>
      </c>
      <c r="D7" t="s">
        <v>17</v>
      </c>
      <c r="E7" t="s">
        <v>18</v>
      </c>
      <c r="F7">
        <v>342537001</v>
      </c>
      <c r="G7" s="1">
        <v>45931</v>
      </c>
      <c r="H7" s="1">
        <v>45968</v>
      </c>
      <c r="I7" t="s">
        <v>14</v>
      </c>
      <c r="J7" t="s">
        <v>26</v>
      </c>
      <c r="K7" s="2">
        <v>170</v>
      </c>
    </row>
    <row r="8" spans="1:11" x14ac:dyDescent="0.25">
      <c r="A8" t="s">
        <v>19</v>
      </c>
      <c r="C8">
        <v>19606009</v>
      </c>
      <c r="D8" t="s">
        <v>20</v>
      </c>
      <c r="E8" t="s">
        <v>21</v>
      </c>
      <c r="F8">
        <v>610238601</v>
      </c>
      <c r="G8" s="1">
        <v>45931</v>
      </c>
      <c r="H8" s="1">
        <v>45968</v>
      </c>
      <c r="I8" t="s">
        <v>14</v>
      </c>
      <c r="J8" t="s">
        <v>26</v>
      </c>
      <c r="K8" s="2">
        <v>65</v>
      </c>
    </row>
    <row r="9" spans="1:11" x14ac:dyDescent="0.25">
      <c r="A9" t="s">
        <v>22</v>
      </c>
      <c r="B9" t="s">
        <v>23</v>
      </c>
      <c r="C9">
        <v>20253958</v>
      </c>
      <c r="D9" t="s">
        <v>24</v>
      </c>
      <c r="E9" t="s">
        <v>25</v>
      </c>
      <c r="F9">
        <v>610125601</v>
      </c>
      <c r="G9" s="1">
        <v>45931</v>
      </c>
      <c r="H9" s="1">
        <v>45968</v>
      </c>
      <c r="I9" t="s">
        <v>14</v>
      </c>
      <c r="J9" t="s">
        <v>26</v>
      </c>
      <c r="K9" s="2">
        <v>65</v>
      </c>
    </row>
    <row r="10" spans="1:11" x14ac:dyDescent="0.25">
      <c r="A10" t="s">
        <v>27</v>
      </c>
      <c r="B10" t="s">
        <v>28</v>
      </c>
      <c r="C10">
        <v>17528908</v>
      </c>
      <c r="D10" t="s">
        <v>29</v>
      </c>
      <c r="E10" t="s">
        <v>30</v>
      </c>
      <c r="F10">
        <v>610196801</v>
      </c>
      <c r="G10" s="1">
        <v>45901</v>
      </c>
      <c r="H10" s="1">
        <v>45968</v>
      </c>
      <c r="I10" t="s">
        <v>14</v>
      </c>
      <c r="J10" t="s">
        <v>31</v>
      </c>
      <c r="K10" s="2">
        <v>85</v>
      </c>
    </row>
    <row r="11" spans="1:11" x14ac:dyDescent="0.25">
      <c r="A11" t="s">
        <v>19</v>
      </c>
      <c r="C11">
        <v>19606009</v>
      </c>
      <c r="D11" t="s">
        <v>32</v>
      </c>
      <c r="E11" t="s">
        <v>33</v>
      </c>
      <c r="F11">
        <v>340772901</v>
      </c>
      <c r="G11" s="1">
        <v>45931</v>
      </c>
      <c r="H11" s="1">
        <v>45968</v>
      </c>
      <c r="I11" t="s">
        <v>14</v>
      </c>
      <c r="J11" t="s">
        <v>34</v>
      </c>
      <c r="K11" s="2">
        <v>21.66</v>
      </c>
    </row>
    <row r="12" spans="1:11" x14ac:dyDescent="0.25">
      <c r="A12" t="s">
        <v>35</v>
      </c>
      <c r="B12" t="s">
        <v>36</v>
      </c>
      <c r="C12">
        <v>17886092</v>
      </c>
      <c r="D12" t="s">
        <v>37</v>
      </c>
      <c r="E12" t="s">
        <v>38</v>
      </c>
      <c r="F12">
        <v>339982001</v>
      </c>
      <c r="G12" s="1">
        <v>45658</v>
      </c>
      <c r="H12" s="1">
        <v>45968</v>
      </c>
      <c r="I12" t="s">
        <v>14</v>
      </c>
      <c r="J12" t="s">
        <v>39</v>
      </c>
      <c r="K12" s="2">
        <v>-5</v>
      </c>
    </row>
    <row r="13" spans="1:11" x14ac:dyDescent="0.25">
      <c r="A13" t="s">
        <v>11</v>
      </c>
      <c r="C13">
        <v>8971826</v>
      </c>
      <c r="D13" t="s">
        <v>12</v>
      </c>
      <c r="E13" t="s">
        <v>13</v>
      </c>
      <c r="F13">
        <v>610108801</v>
      </c>
      <c r="G13" s="1">
        <v>45931</v>
      </c>
      <c r="H13" s="1">
        <v>45968</v>
      </c>
      <c r="I13" t="s">
        <v>14</v>
      </c>
      <c r="J13" t="s">
        <v>40</v>
      </c>
      <c r="K13" s="2">
        <v>705</v>
      </c>
    </row>
    <row r="14" spans="1:11" x14ac:dyDescent="0.25">
      <c r="A14" t="s">
        <v>27</v>
      </c>
      <c r="B14" t="s">
        <v>28</v>
      </c>
      <c r="C14">
        <v>17528908</v>
      </c>
      <c r="D14" t="s">
        <v>29</v>
      </c>
      <c r="E14" t="s">
        <v>30</v>
      </c>
      <c r="F14">
        <v>610196801</v>
      </c>
      <c r="G14" s="1">
        <v>45901</v>
      </c>
      <c r="H14" s="1">
        <v>45968</v>
      </c>
      <c r="I14" t="s">
        <v>14</v>
      </c>
      <c r="J14" t="s">
        <v>41</v>
      </c>
      <c r="K14" s="2">
        <v>587.5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AD8B0-2C3A-4B59-83A0-04ECA1B2B412}">
  <dimension ref="A1:O15"/>
  <sheetViews>
    <sheetView tabSelected="1" workbookViewId="0">
      <selection activeCell="G2" sqref="G2:G15"/>
    </sheetView>
  </sheetViews>
  <sheetFormatPr defaultRowHeight="15" x14ac:dyDescent="0.25"/>
  <cols>
    <col min="1" max="1" width="15.7109375" bestFit="1" customWidth="1"/>
    <col min="2" max="2" width="10.7109375" bestFit="1" customWidth="1"/>
    <col min="3" max="3" width="10.5703125" bestFit="1" customWidth="1"/>
    <col min="4" max="4" width="10.140625" bestFit="1" customWidth="1"/>
    <col min="5" max="5" width="11" bestFit="1" customWidth="1"/>
    <col min="6" max="6" width="10.85546875" bestFit="1" customWidth="1"/>
    <col min="7" max="7" width="14" bestFit="1" customWidth="1"/>
    <col min="8" max="8" width="11.85546875" bestFit="1" customWidth="1"/>
    <col min="9" max="9" width="14.7109375" bestFit="1" customWidth="1"/>
    <col min="10" max="10" width="12.7109375" bestFit="1" customWidth="1"/>
    <col min="11" max="11" width="43.7109375" bestFit="1" customWidth="1"/>
    <col min="12" max="12" width="15.7109375" bestFit="1" customWidth="1"/>
    <col min="13" max="13" width="9.85546875" bestFit="1" customWidth="1"/>
    <col min="14" max="14" width="26.5703125" bestFit="1" customWidth="1"/>
  </cols>
  <sheetData>
    <row r="1" spans="1:15" x14ac:dyDescent="0.25">
      <c r="A1" t="s">
        <v>0</v>
      </c>
      <c r="B1" t="s">
        <v>2</v>
      </c>
      <c r="C1" t="s">
        <v>3</v>
      </c>
      <c r="D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5" s="6" customFormat="1" x14ac:dyDescent="0.25">
      <c r="A2" s="6" t="s">
        <v>11</v>
      </c>
      <c r="B2" s="6">
        <v>8971826</v>
      </c>
      <c r="C2" s="6" t="s">
        <v>12</v>
      </c>
      <c r="D2" s="6" t="s">
        <v>13</v>
      </c>
      <c r="E2" s="6" t="str">
        <f>CONCATENATE(C2, " ",D2)</f>
        <v>Rose Haller</v>
      </c>
      <c r="F2" s="6">
        <v>610108801</v>
      </c>
      <c r="G2" s="6" t="str">
        <f>CONCATENATE(F2,3)</f>
        <v>6101088013</v>
      </c>
      <c r="H2" s="7">
        <v>40203</v>
      </c>
      <c r="I2" s="7">
        <v>45968</v>
      </c>
      <c r="J2" s="6" t="s">
        <v>14</v>
      </c>
      <c r="K2" s="6" t="s">
        <v>15</v>
      </c>
      <c r="L2" s="8">
        <v>-875</v>
      </c>
      <c r="M2" s="6">
        <v>-705</v>
      </c>
      <c r="N2" s="6" t="s">
        <v>43</v>
      </c>
      <c r="O2" s="6" t="s">
        <v>44</v>
      </c>
    </row>
    <row r="3" spans="1:15" s="3" customFormat="1" x14ac:dyDescent="0.25">
      <c r="A3" s="3" t="s">
        <v>46</v>
      </c>
      <c r="B3" s="3">
        <v>20411454</v>
      </c>
      <c r="C3" s="3" t="s">
        <v>12</v>
      </c>
      <c r="D3" s="3" t="s">
        <v>13</v>
      </c>
      <c r="E3" s="3" t="str">
        <f t="shared" ref="E3:E15" si="0">CONCATENATE(C3, " ",D3)</f>
        <v>Rose Haller</v>
      </c>
      <c r="F3" s="3">
        <v>610108801</v>
      </c>
      <c r="G3" s="3" t="str">
        <f>CONCATENATE(F3,"OVR")</f>
        <v>610108801OVR</v>
      </c>
      <c r="H3" s="4">
        <v>40203</v>
      </c>
      <c r="I3" s="4">
        <v>45968</v>
      </c>
      <c r="J3" s="3" t="s">
        <v>14</v>
      </c>
      <c r="K3" s="3" t="s">
        <v>15</v>
      </c>
      <c r="L3" s="5">
        <v>-875</v>
      </c>
      <c r="M3" s="3">
        <v>-170</v>
      </c>
      <c r="N3" s="3" t="s">
        <v>42</v>
      </c>
    </row>
    <row r="4" spans="1:15" s="3" customFormat="1" x14ac:dyDescent="0.25">
      <c r="A4" s="3" t="s">
        <v>46</v>
      </c>
      <c r="B4" s="3">
        <v>20411454</v>
      </c>
      <c r="C4" s="3" t="s">
        <v>17</v>
      </c>
      <c r="D4" s="3" t="s">
        <v>18</v>
      </c>
      <c r="E4" s="3" t="str">
        <f t="shared" si="0"/>
        <v>Kevin Ulrich</v>
      </c>
      <c r="F4" s="3">
        <v>342537001</v>
      </c>
      <c r="G4" s="3" t="str">
        <f t="shared" ref="G4:G13" si="1">CONCATENATE(F4,"OVR")</f>
        <v>342537001OVR</v>
      </c>
      <c r="H4" s="4">
        <v>40203</v>
      </c>
      <c r="I4" s="4">
        <v>45968</v>
      </c>
      <c r="J4" s="3" t="s">
        <v>14</v>
      </c>
      <c r="K4" s="3" t="s">
        <v>15</v>
      </c>
      <c r="L4" s="5">
        <v>-170</v>
      </c>
      <c r="M4" s="5">
        <v>-170</v>
      </c>
      <c r="N4" s="3" t="s">
        <v>42</v>
      </c>
    </row>
    <row r="5" spans="1:15" s="3" customFormat="1" x14ac:dyDescent="0.25">
      <c r="A5" s="3" t="s">
        <v>46</v>
      </c>
      <c r="B5" s="3">
        <v>20411454</v>
      </c>
      <c r="C5" s="3" t="s">
        <v>20</v>
      </c>
      <c r="D5" s="3" t="s">
        <v>21</v>
      </c>
      <c r="E5" s="3" t="str">
        <f t="shared" si="0"/>
        <v>Justin Kearns</v>
      </c>
      <c r="F5" s="3">
        <v>610238601</v>
      </c>
      <c r="G5" s="3" t="str">
        <f t="shared" si="1"/>
        <v>610238601OVR</v>
      </c>
      <c r="H5" s="4">
        <v>40203</v>
      </c>
      <c r="I5" s="4">
        <v>45968</v>
      </c>
      <c r="J5" s="3" t="s">
        <v>14</v>
      </c>
      <c r="K5" s="3" t="s">
        <v>15</v>
      </c>
      <c r="L5" s="5">
        <v>-65</v>
      </c>
      <c r="M5" s="5">
        <v>-65</v>
      </c>
      <c r="N5" s="3" t="s">
        <v>42</v>
      </c>
    </row>
    <row r="6" spans="1:15" s="3" customFormat="1" x14ac:dyDescent="0.25">
      <c r="A6" s="3" t="s">
        <v>46</v>
      </c>
      <c r="B6" s="3">
        <v>20411454</v>
      </c>
      <c r="C6" s="3" t="s">
        <v>24</v>
      </c>
      <c r="D6" s="3" t="s">
        <v>25</v>
      </c>
      <c r="E6" s="3" t="str">
        <f t="shared" si="0"/>
        <v>Henry Winwood</v>
      </c>
      <c r="F6" s="3">
        <v>610125601</v>
      </c>
      <c r="G6" s="3" t="str">
        <f t="shared" si="1"/>
        <v>610125601OVR</v>
      </c>
      <c r="H6" s="4">
        <v>40203</v>
      </c>
      <c r="I6" s="4">
        <v>45968</v>
      </c>
      <c r="J6" s="3" t="s">
        <v>14</v>
      </c>
      <c r="K6" s="3" t="s">
        <v>15</v>
      </c>
      <c r="L6" s="5">
        <v>-65</v>
      </c>
      <c r="M6" s="5">
        <v>-65</v>
      </c>
      <c r="N6" s="3" t="s">
        <v>42</v>
      </c>
    </row>
    <row r="7" spans="1:15" s="3" customFormat="1" x14ac:dyDescent="0.25">
      <c r="A7" s="3" t="s">
        <v>46</v>
      </c>
      <c r="B7" s="3">
        <v>20411454</v>
      </c>
      <c r="C7" s="3" t="s">
        <v>12</v>
      </c>
      <c r="D7" s="3" t="s">
        <v>13</v>
      </c>
      <c r="E7" s="3" t="str">
        <f t="shared" si="0"/>
        <v>Rose Haller</v>
      </c>
      <c r="F7" s="3">
        <v>610108801</v>
      </c>
      <c r="G7" s="3" t="str">
        <f t="shared" si="1"/>
        <v>610108801OVR</v>
      </c>
      <c r="H7" s="4">
        <v>45931</v>
      </c>
      <c r="I7" s="4">
        <v>45968</v>
      </c>
      <c r="J7" s="3" t="s">
        <v>14</v>
      </c>
      <c r="K7" s="3" t="s">
        <v>26</v>
      </c>
      <c r="L7" s="5">
        <v>170</v>
      </c>
      <c r="M7" s="5">
        <v>170</v>
      </c>
      <c r="N7" s="3" t="s">
        <v>42</v>
      </c>
    </row>
    <row r="8" spans="1:15" s="3" customFormat="1" x14ac:dyDescent="0.25">
      <c r="A8" s="3" t="s">
        <v>46</v>
      </c>
      <c r="B8" s="3">
        <v>20411454</v>
      </c>
      <c r="C8" s="3" t="s">
        <v>17</v>
      </c>
      <c r="D8" s="3" t="s">
        <v>18</v>
      </c>
      <c r="E8" s="3" t="str">
        <f t="shared" si="0"/>
        <v>Kevin Ulrich</v>
      </c>
      <c r="F8" s="3">
        <v>342537001</v>
      </c>
      <c r="G8" s="3" t="str">
        <f t="shared" si="1"/>
        <v>342537001OVR</v>
      </c>
      <c r="H8" s="4">
        <v>45931</v>
      </c>
      <c r="I8" s="4">
        <v>45968</v>
      </c>
      <c r="J8" s="3" t="s">
        <v>14</v>
      </c>
      <c r="K8" s="3" t="s">
        <v>26</v>
      </c>
      <c r="L8" s="5">
        <v>170</v>
      </c>
      <c r="M8" s="5">
        <v>170</v>
      </c>
      <c r="N8" s="3" t="s">
        <v>42</v>
      </c>
    </row>
    <row r="9" spans="1:15" s="3" customFormat="1" x14ac:dyDescent="0.25">
      <c r="A9" s="3" t="s">
        <v>46</v>
      </c>
      <c r="B9" s="3">
        <v>20411454</v>
      </c>
      <c r="C9" s="3" t="s">
        <v>20</v>
      </c>
      <c r="D9" s="3" t="s">
        <v>21</v>
      </c>
      <c r="E9" s="3" t="str">
        <f t="shared" si="0"/>
        <v>Justin Kearns</v>
      </c>
      <c r="F9" s="3">
        <v>610238601</v>
      </c>
      <c r="G9" s="3" t="str">
        <f t="shared" si="1"/>
        <v>610238601OVR</v>
      </c>
      <c r="H9" s="4">
        <v>45931</v>
      </c>
      <c r="I9" s="4">
        <v>45968</v>
      </c>
      <c r="J9" s="3" t="s">
        <v>14</v>
      </c>
      <c r="K9" s="3" t="s">
        <v>26</v>
      </c>
      <c r="L9" s="5">
        <v>65</v>
      </c>
      <c r="M9" s="5">
        <v>65</v>
      </c>
      <c r="N9" s="3" t="s">
        <v>42</v>
      </c>
    </row>
    <row r="10" spans="1:15" s="3" customFormat="1" x14ac:dyDescent="0.25">
      <c r="A10" s="3" t="s">
        <v>46</v>
      </c>
      <c r="B10" s="3">
        <v>20411454</v>
      </c>
      <c r="C10" s="3" t="s">
        <v>24</v>
      </c>
      <c r="D10" s="3" t="s">
        <v>25</v>
      </c>
      <c r="E10" s="3" t="str">
        <f t="shared" si="0"/>
        <v>Henry Winwood</v>
      </c>
      <c r="F10" s="3">
        <v>610125601</v>
      </c>
      <c r="G10" s="3" t="str">
        <f t="shared" si="1"/>
        <v>610125601OVR</v>
      </c>
      <c r="H10" s="4">
        <v>45931</v>
      </c>
      <c r="I10" s="4">
        <v>45968</v>
      </c>
      <c r="J10" s="3" t="s">
        <v>14</v>
      </c>
      <c r="K10" s="3" t="s">
        <v>26</v>
      </c>
      <c r="L10" s="5">
        <v>65</v>
      </c>
      <c r="M10" s="5">
        <v>65</v>
      </c>
      <c r="N10" s="3" t="s">
        <v>42</v>
      </c>
    </row>
    <row r="11" spans="1:15" s="3" customFormat="1" x14ac:dyDescent="0.25">
      <c r="A11" s="3" t="s">
        <v>46</v>
      </c>
      <c r="B11" s="3">
        <v>20411454</v>
      </c>
      <c r="C11" s="3" t="s">
        <v>29</v>
      </c>
      <c r="D11" s="3" t="s">
        <v>30</v>
      </c>
      <c r="E11" s="3" t="str">
        <f t="shared" si="0"/>
        <v>Raymond Carrabbia</v>
      </c>
      <c r="F11" s="3">
        <v>610196801</v>
      </c>
      <c r="G11" s="3" t="str">
        <f t="shared" si="1"/>
        <v>610196801OVR</v>
      </c>
      <c r="H11" s="4">
        <v>45901</v>
      </c>
      <c r="I11" s="4">
        <v>45968</v>
      </c>
      <c r="J11" s="3" t="s">
        <v>14</v>
      </c>
      <c r="K11" s="3" t="s">
        <v>31</v>
      </c>
      <c r="L11" s="5">
        <v>85</v>
      </c>
      <c r="M11" s="5">
        <v>85</v>
      </c>
      <c r="N11" s="3" t="s">
        <v>42</v>
      </c>
    </row>
    <row r="12" spans="1:15" s="3" customFormat="1" x14ac:dyDescent="0.25">
      <c r="A12" s="3" t="s">
        <v>46</v>
      </c>
      <c r="B12" s="3">
        <v>20411454</v>
      </c>
      <c r="C12" s="3" t="s">
        <v>32</v>
      </c>
      <c r="D12" s="3" t="s">
        <v>33</v>
      </c>
      <c r="E12" s="3" t="str">
        <f t="shared" si="0"/>
        <v>Debra Heist</v>
      </c>
      <c r="F12" s="3">
        <v>340772901</v>
      </c>
      <c r="G12" s="3" t="str">
        <f t="shared" si="1"/>
        <v>340772901OVR</v>
      </c>
      <c r="H12" s="4">
        <v>45931</v>
      </c>
      <c r="I12" s="4">
        <v>45968</v>
      </c>
      <c r="J12" s="3" t="s">
        <v>14</v>
      </c>
      <c r="K12" s="3" t="s">
        <v>34</v>
      </c>
      <c r="L12" s="5">
        <v>21.66</v>
      </c>
      <c r="M12" s="5">
        <v>21.66</v>
      </c>
      <c r="N12" s="3" t="s">
        <v>42</v>
      </c>
    </row>
    <row r="13" spans="1:15" s="3" customFormat="1" x14ac:dyDescent="0.25">
      <c r="A13" s="3" t="s">
        <v>46</v>
      </c>
      <c r="B13" s="3">
        <v>20411454</v>
      </c>
      <c r="C13" s="3" t="s">
        <v>37</v>
      </c>
      <c r="D13" s="3" t="s">
        <v>38</v>
      </c>
      <c r="E13" s="3" t="str">
        <f t="shared" si="0"/>
        <v>Gregory Perry</v>
      </c>
      <c r="F13" s="3">
        <v>339982001</v>
      </c>
      <c r="G13" s="3" t="str">
        <f t="shared" si="1"/>
        <v>339982001OVR</v>
      </c>
      <c r="H13" s="4">
        <v>45658</v>
      </c>
      <c r="I13" s="4">
        <v>45968</v>
      </c>
      <c r="J13" s="3" t="s">
        <v>14</v>
      </c>
      <c r="K13" s="3" t="s">
        <v>39</v>
      </c>
      <c r="L13" s="5">
        <v>-5</v>
      </c>
      <c r="M13" s="5">
        <v>-5</v>
      </c>
      <c r="N13" s="3" t="s">
        <v>42</v>
      </c>
    </row>
    <row r="14" spans="1:15" s="6" customFormat="1" x14ac:dyDescent="0.25">
      <c r="A14" s="6" t="s">
        <v>11</v>
      </c>
      <c r="B14" s="6">
        <v>8971826</v>
      </c>
      <c r="C14" s="6" t="s">
        <v>12</v>
      </c>
      <c r="D14" s="6" t="s">
        <v>13</v>
      </c>
      <c r="E14" s="6" t="str">
        <f t="shared" si="0"/>
        <v>Rose Haller</v>
      </c>
      <c r="F14" s="6">
        <v>610108801</v>
      </c>
      <c r="G14" s="6" t="str">
        <f t="shared" ref="G14:G15" si="2">CONCATENATE(F14,3)</f>
        <v>6101088013</v>
      </c>
      <c r="H14" s="7">
        <v>45931</v>
      </c>
      <c r="I14" s="7">
        <v>45968</v>
      </c>
      <c r="J14" s="6" t="s">
        <v>14</v>
      </c>
      <c r="K14" s="6" t="s">
        <v>40</v>
      </c>
      <c r="L14" s="8">
        <v>705</v>
      </c>
      <c r="M14" s="8">
        <v>705</v>
      </c>
      <c r="N14" s="6" t="s">
        <v>43</v>
      </c>
      <c r="O14" s="6" t="s">
        <v>44</v>
      </c>
    </row>
    <row r="15" spans="1:15" s="6" customFormat="1" x14ac:dyDescent="0.25">
      <c r="A15" s="6" t="s">
        <v>27</v>
      </c>
      <c r="B15" s="6" t="s">
        <v>47</v>
      </c>
      <c r="C15" s="6" t="s">
        <v>29</v>
      </c>
      <c r="D15" s="6" t="s">
        <v>30</v>
      </c>
      <c r="E15" s="6" t="str">
        <f t="shared" si="0"/>
        <v>Raymond Carrabbia</v>
      </c>
      <c r="F15" s="6">
        <v>610196801</v>
      </c>
      <c r="G15" s="6" t="str">
        <f t="shared" si="2"/>
        <v>6101968013</v>
      </c>
      <c r="H15" s="7">
        <v>45901</v>
      </c>
      <c r="I15" s="7">
        <v>45968</v>
      </c>
      <c r="J15" s="6" t="s">
        <v>14</v>
      </c>
      <c r="K15" s="6" t="s">
        <v>41</v>
      </c>
      <c r="L15" s="8">
        <v>587.5</v>
      </c>
      <c r="M15" s="8">
        <v>587.5</v>
      </c>
      <c r="N15" s="6" t="s">
        <v>43</v>
      </c>
      <c r="O15" s="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TULSI_ KUSHWAHA 🔱</dc:creator>
  <cp:lastModifiedBy>Loula Irene Cabel</cp:lastModifiedBy>
  <dcterms:created xsi:type="dcterms:W3CDTF">2025-11-07T15:59:41Z</dcterms:created>
  <dcterms:modified xsi:type="dcterms:W3CDTF">2025-11-11T20:29:11Z</dcterms:modified>
</cp:coreProperties>
</file>