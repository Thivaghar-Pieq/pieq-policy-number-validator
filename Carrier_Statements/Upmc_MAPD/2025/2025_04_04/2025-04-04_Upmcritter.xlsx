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4-4-25\"/>
    </mc:Choice>
  </mc:AlternateContent>
  <xr:revisionPtr revIDLastSave="0" documentId="13_ncr:1_{6E34CE14-F63D-40D9-9295-FC839D0660ED}" xr6:coauthVersionLast="47" xr6:coauthVersionMax="47" xr10:uidLastSave="{00000000-0000-0000-0000-000000000000}"/>
  <bookViews>
    <workbookView xWindow="-96" yWindow="-96" windowWidth="23232" windowHeight="13152" activeTab="1" xr2:uid="{A8BC7A87-D5F0-4C00-BE88-7750C2CA8883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" i="3" l="1"/>
  <c r="N3" i="3"/>
  <c r="M4" i="3"/>
  <c r="G10" i="3"/>
  <c r="G8" i="3"/>
  <c r="G6" i="3"/>
  <c r="G4" i="3"/>
  <c r="E4" i="3"/>
  <c r="M10" i="3"/>
  <c r="M8" i="3"/>
  <c r="M6" i="3"/>
  <c r="E8" i="3"/>
  <c r="E6" i="3"/>
  <c r="E10" i="3"/>
  <c r="G7" i="3"/>
  <c r="G5" i="3"/>
  <c r="G9" i="3"/>
  <c r="G3" i="3"/>
  <c r="G15" i="3"/>
  <c r="G14" i="3"/>
  <c r="G13" i="3"/>
  <c r="G12" i="3"/>
  <c r="G11" i="3"/>
  <c r="G2" i="3"/>
  <c r="E13" i="3"/>
  <c r="E3" i="3"/>
  <c r="E9" i="3"/>
  <c r="E5" i="3"/>
  <c r="E7" i="3"/>
  <c r="E11" i="3"/>
  <c r="E12" i="3"/>
  <c r="E14" i="3"/>
  <c r="E15" i="3"/>
  <c r="E2" i="3"/>
</calcChain>
</file>

<file path=xl/sharedStrings.xml><?xml version="1.0" encoding="utf-8"?>
<sst xmlns="http://schemas.openxmlformats.org/spreadsheetml/2006/main" count="153" uniqueCount="44">
  <si>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</si>
  <si>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</si>
  <si>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</si>
  <si>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</si>
  <si>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</si>
  <si>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</si>
  <si>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</si>
  <si>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</si>
  <si>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</si>
  <si>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</si>
  <si>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</si>
  <si>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Timothy Powers</t>
  </si>
  <si>
    <t>RI638</t>
  </si>
  <si>
    <t>Christena</t>
  </si>
  <si>
    <t>Seybert</t>
  </si>
  <si>
    <t>UPMC</t>
  </si>
  <si>
    <t>UPMC 2025 PA 3/1 Eff Initial</t>
  </si>
  <si>
    <t>Scott Aguglia</t>
  </si>
  <si>
    <t>Paul</t>
  </si>
  <si>
    <t>Todd Jr</t>
  </si>
  <si>
    <t>UPMC 2025 PA 3/1 Eff Replacement</t>
  </si>
  <si>
    <t>Deborah Inskipt</t>
  </si>
  <si>
    <t>RI641</t>
  </si>
  <si>
    <t>Joseph</t>
  </si>
  <si>
    <t>Hogg</t>
  </si>
  <si>
    <t>UPMC 2025 PA Full</t>
  </si>
  <si>
    <t>David</t>
  </si>
  <si>
    <t>Klucick</t>
  </si>
  <si>
    <t>Weider Jr</t>
  </si>
  <si>
    <t>Brian</t>
  </si>
  <si>
    <t>Mccafferty</t>
  </si>
  <si>
    <t>Margaret Smith</t>
  </si>
  <si>
    <t>RI661</t>
  </si>
  <si>
    <t>Christian</t>
  </si>
  <si>
    <t>Reiser</t>
  </si>
  <si>
    <t>Louise</t>
  </si>
  <si>
    <t>Capizzi</t>
  </si>
  <si>
    <t>UPMC 2025 PA Replace (ProRata: -12)</t>
  </si>
  <si>
    <t>Bruce</t>
  </si>
  <si>
    <t>Cover</t>
  </si>
  <si>
    <t>Rosie</t>
  </si>
  <si>
    <t>Clouse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</si>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</sst>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023D-C696-4408-B17F-7F7231C240BA}">
  <dimension ref="A1:K11"/>
  <sheetViews>
    <sheetView workbookViewId="0">
      <selection sqref="A1:XFD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17886092</v>
      </c>
      <c r="D2" t="s">
        <v>13</v>
      </c>
      <c r="E2" t="s">
        <v>14</v>
      </c>
      <c r="F2">
        <v>341106501</v>
      </c>
      <c r="G2" s="1">
        <v>45717</v>
      </c>
      <c r="H2" s="1">
        <v>45751</v>
      </c>
      <c r="I2" t="s">
        <v>15</v>
      </c>
      <c r="J2" t="s">
        <v>16</v>
      </c>
      <c r="K2" s="2">
        <v>65</v>
      </c>
    </row>
    <row r="3" spans="1:11" x14ac:dyDescent="0.3">
      <c r="A3" t="s">
        <v>17</v>
      </c>
      <c r="C3">
        <v>8971826</v>
      </c>
      <c r="D3" t="s">
        <v>18</v>
      </c>
      <c r="E3" t="s">
        <v>19</v>
      </c>
      <c r="F3">
        <v>325598501</v>
      </c>
      <c r="G3" s="1">
        <v>45717</v>
      </c>
      <c r="H3" s="1">
        <v>45751</v>
      </c>
      <c r="I3" t="s">
        <v>15</v>
      </c>
      <c r="J3" t="s">
        <v>20</v>
      </c>
      <c r="K3" s="2">
        <v>379.17</v>
      </c>
    </row>
    <row r="4" spans="1:11" x14ac:dyDescent="0.3">
      <c r="A4" t="s">
        <v>21</v>
      </c>
      <c r="B4" t="s">
        <v>22</v>
      </c>
      <c r="C4">
        <v>17528908</v>
      </c>
      <c r="D4" t="s">
        <v>23</v>
      </c>
      <c r="E4" t="s">
        <v>24</v>
      </c>
      <c r="F4">
        <v>340775601</v>
      </c>
      <c r="G4" s="1">
        <v>45717</v>
      </c>
      <c r="H4" s="1">
        <v>45751</v>
      </c>
      <c r="I4" t="s">
        <v>15</v>
      </c>
      <c r="J4" t="s">
        <v>25</v>
      </c>
      <c r="K4" s="2">
        <v>875</v>
      </c>
    </row>
    <row r="5" spans="1:11" x14ac:dyDescent="0.3">
      <c r="A5" t="s">
        <v>21</v>
      </c>
      <c r="B5" t="s">
        <v>22</v>
      </c>
      <c r="C5">
        <v>17528908</v>
      </c>
      <c r="D5" t="s">
        <v>26</v>
      </c>
      <c r="E5" t="s">
        <v>27</v>
      </c>
      <c r="F5">
        <v>340714201</v>
      </c>
      <c r="G5" s="1">
        <v>45717</v>
      </c>
      <c r="H5" s="1">
        <v>45751</v>
      </c>
      <c r="I5" t="s">
        <v>15</v>
      </c>
      <c r="J5" t="s">
        <v>25</v>
      </c>
      <c r="K5" s="2">
        <v>875</v>
      </c>
    </row>
    <row r="6" spans="1:11" x14ac:dyDescent="0.3">
      <c r="A6" t="s">
        <v>21</v>
      </c>
      <c r="B6" t="s">
        <v>22</v>
      </c>
      <c r="C6">
        <v>17528908</v>
      </c>
      <c r="D6" t="s">
        <v>23</v>
      </c>
      <c r="E6" t="s">
        <v>28</v>
      </c>
      <c r="F6">
        <v>340724101</v>
      </c>
      <c r="G6" s="1">
        <v>45717</v>
      </c>
      <c r="H6" s="1">
        <v>45751</v>
      </c>
      <c r="I6" t="s">
        <v>15</v>
      </c>
      <c r="J6" t="s">
        <v>25</v>
      </c>
      <c r="K6" s="2">
        <v>875</v>
      </c>
    </row>
    <row r="7" spans="1:11" x14ac:dyDescent="0.3">
      <c r="A7" t="s">
        <v>11</v>
      </c>
      <c r="B7" t="s">
        <v>12</v>
      </c>
      <c r="C7">
        <v>17886092</v>
      </c>
      <c r="D7" t="s">
        <v>29</v>
      </c>
      <c r="E7" t="s">
        <v>30</v>
      </c>
      <c r="F7">
        <v>341216501</v>
      </c>
      <c r="G7" s="1">
        <v>45717</v>
      </c>
      <c r="H7" s="1">
        <v>45751</v>
      </c>
      <c r="I7" t="s">
        <v>15</v>
      </c>
      <c r="J7" t="s">
        <v>25</v>
      </c>
      <c r="K7" s="2">
        <v>65</v>
      </c>
    </row>
    <row r="8" spans="1:11" x14ac:dyDescent="0.3">
      <c r="A8" t="s">
        <v>31</v>
      </c>
      <c r="B8" t="s">
        <v>32</v>
      </c>
      <c r="C8">
        <v>20253958</v>
      </c>
      <c r="D8" t="s">
        <v>33</v>
      </c>
      <c r="E8" t="s">
        <v>34</v>
      </c>
      <c r="F8">
        <v>341245201</v>
      </c>
      <c r="G8" s="1">
        <v>45717</v>
      </c>
      <c r="H8" s="1">
        <v>45751</v>
      </c>
      <c r="I8" t="s">
        <v>15</v>
      </c>
      <c r="J8" t="s">
        <v>25</v>
      </c>
      <c r="K8" s="2">
        <v>65</v>
      </c>
    </row>
    <row r="9" spans="1:11" x14ac:dyDescent="0.3">
      <c r="A9" t="s">
        <v>11</v>
      </c>
      <c r="B9" t="s">
        <v>12</v>
      </c>
      <c r="C9">
        <v>17886092</v>
      </c>
      <c r="D9" t="s">
        <v>35</v>
      </c>
      <c r="E9" t="s">
        <v>36</v>
      </c>
      <c r="F9">
        <v>339306001</v>
      </c>
      <c r="G9" s="1">
        <v>45658</v>
      </c>
      <c r="H9" s="1">
        <v>45751</v>
      </c>
      <c r="I9" t="s">
        <v>15</v>
      </c>
      <c r="J9" t="s">
        <v>37</v>
      </c>
      <c r="K9" s="2">
        <v>-30</v>
      </c>
    </row>
    <row r="10" spans="1:11" x14ac:dyDescent="0.3">
      <c r="A10" t="s">
        <v>11</v>
      </c>
      <c r="B10" t="s">
        <v>12</v>
      </c>
      <c r="C10">
        <v>17886092</v>
      </c>
      <c r="D10" t="s">
        <v>38</v>
      </c>
      <c r="E10" t="s">
        <v>39</v>
      </c>
      <c r="F10">
        <v>339306101</v>
      </c>
      <c r="G10" s="1">
        <v>45658</v>
      </c>
      <c r="H10" s="1">
        <v>45751</v>
      </c>
      <c r="I10" t="s">
        <v>15</v>
      </c>
      <c r="J10" t="s">
        <v>37</v>
      </c>
      <c r="K10" s="2">
        <v>-30</v>
      </c>
    </row>
    <row r="11" spans="1:11" x14ac:dyDescent="0.3">
      <c r="A11" t="s">
        <v>11</v>
      </c>
      <c r="B11" t="s">
        <v>12</v>
      </c>
      <c r="C11">
        <v>17886092</v>
      </c>
      <c r="D11" t="s">
        <v>40</v>
      </c>
      <c r="E11" t="s">
        <v>41</v>
      </c>
      <c r="F11">
        <v>336635501</v>
      </c>
      <c r="G11" s="1">
        <v>45658</v>
      </c>
      <c r="H11" s="1">
        <v>45751</v>
      </c>
      <c r="I11" t="s">
        <v>15</v>
      </c>
      <c r="J11" t="s">
        <v>37</v>
      </c>
      <c r="K11" s="2">
        <v>-30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A5AB-2499-4411-8D31-D17CE5868D77}">
  <dimension ref="A1:O15"/>
  <sheetViews>
    <sheetView tabSelected="1" workbookViewId="0">
      <selection activeCell="M2" sqref="M2:M15"/>
    </sheetView>
  </sheetViews>
  <sheetFormatPr defaultRowHeight="14.4" x14ac:dyDescent="0.3"/>
  <cols>
    <col min="1" max="1" width="14.21875" bestFit="1" customWidth="1"/>
    <col min="2" max="3" width="9.77734375" bestFit="1" customWidth="1"/>
    <col min="4" max="4" width="10" bestFit="1" customWidth="1"/>
    <col min="5" max="5" width="15.33203125" bestFit="1" customWidth="1"/>
    <col min="6" max="6" width="10.109375" bestFit="1" customWidth="1"/>
    <col min="7" max="7" width="11" bestFit="1" customWidth="1"/>
    <col min="8" max="8" width="10.88671875" bestFit="1" customWidth="1"/>
    <col min="9" max="9" width="13.6640625" bestFit="1" customWidth="1"/>
    <col min="10" max="10" width="11.88671875" bestFit="1" customWidth="1"/>
    <col min="11" max="11" width="32.33203125" bestFit="1" customWidth="1"/>
    <col min="12" max="12" width="14.44140625" bestFit="1" customWidth="1"/>
  </cols>
  <sheetData>
    <row r="1" spans="1:15" x14ac:dyDescent="0.3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5" x14ac:dyDescent="0.3">
      <c r="A2" t="s">
        <v>42</v>
      </c>
      <c r="B2">
        <v>20411454</v>
      </c>
      <c r="C2" t="s">
        <v>13</v>
      </c>
      <c r="D2" t="s">
        <v>14</v>
      </c>
      <c r="E2" t="str">
        <f>CONCATENATE(C2, " ",D2)</f>
        <v>Christena Seybert</v>
      </c>
      <c r="F2">
        <v>341106501</v>
      </c>
      <c r="G2" t="str">
        <f>CONCATENATE(F2,1)</f>
        <v>3411065011</v>
      </c>
      <c r="H2" s="1">
        <v>45717</v>
      </c>
      <c r="I2" s="1">
        <v>45751</v>
      </c>
      <c r="J2" t="s">
        <v>15</v>
      </c>
      <c r="K2" t="s">
        <v>16</v>
      </c>
      <c r="L2" s="2">
        <v>65</v>
      </c>
      <c r="M2" s="2">
        <v>65</v>
      </c>
    </row>
    <row r="3" spans="1:15" s="3" customFormat="1" ht="15" customHeight="1" x14ac:dyDescent="0.3">
      <c r="A3" s="3" t="s">
        <v>17</v>
      </c>
      <c r="B3" s="3">
        <v>8971826</v>
      </c>
      <c r="C3" s="3" t="s">
        <v>18</v>
      </c>
      <c r="D3" s="3" t="s">
        <v>19</v>
      </c>
      <c r="E3" s="3" t="str">
        <f t="shared" ref="E3:E15" si="0">CONCATENATE(C3, " ",D3)</f>
        <v>Paul Todd Jr</v>
      </c>
      <c r="F3" s="3">
        <v>325598501</v>
      </c>
      <c r="G3" t="str">
        <f>CONCATENATE(F3,2)</f>
        <v>3255985012</v>
      </c>
      <c r="H3" s="4">
        <v>45717</v>
      </c>
      <c r="I3" s="4">
        <v>45751</v>
      </c>
      <c r="J3" s="3" t="s">
        <v>15</v>
      </c>
      <c r="K3" s="3" t="s">
        <v>20</v>
      </c>
      <c r="L3" s="5">
        <v>379.17</v>
      </c>
      <c r="M3" s="3">
        <v>313</v>
      </c>
      <c r="N3" s="3">
        <f>353/12*10</f>
        <v>294.16666666666669</v>
      </c>
      <c r="O3" s="3">
        <v>353</v>
      </c>
    </row>
    <row r="4" spans="1:15" s="3" customFormat="1" ht="15" customHeight="1" x14ac:dyDescent="0.3">
      <c r="A4" t="s">
        <v>42</v>
      </c>
      <c r="B4">
        <v>20411454</v>
      </c>
      <c r="C4" s="3" t="s">
        <v>18</v>
      </c>
      <c r="D4" s="3" t="s">
        <v>19</v>
      </c>
      <c r="E4" s="3" t="str">
        <f t="shared" ref="E4" si="1">CONCATENATE(C4, " ",D4)</f>
        <v>Paul Todd Jr</v>
      </c>
      <c r="F4" s="3">
        <v>325598501</v>
      </c>
      <c r="G4" t="str">
        <f>CONCATENATE(F4,1)</f>
        <v>3255985011</v>
      </c>
      <c r="H4" s="4">
        <v>45717</v>
      </c>
      <c r="I4" s="4">
        <v>45751</v>
      </c>
      <c r="J4" s="3" t="s">
        <v>15</v>
      </c>
      <c r="K4" s="3" t="s">
        <v>20</v>
      </c>
      <c r="L4" s="5">
        <v>379.17</v>
      </c>
      <c r="M4" s="3">
        <f>379.17-313</f>
        <v>66.170000000000016</v>
      </c>
      <c r="N4" s="3">
        <v>85</v>
      </c>
      <c r="O4" s="3">
        <f>379.17-353</f>
        <v>26.170000000000016</v>
      </c>
    </row>
    <row r="5" spans="1:15" s="3" customFormat="1" ht="15" customHeight="1" x14ac:dyDescent="0.3">
      <c r="A5" s="3" t="s">
        <v>21</v>
      </c>
      <c r="B5" s="3" t="s">
        <v>43</v>
      </c>
      <c r="C5" s="3" t="s">
        <v>26</v>
      </c>
      <c r="D5" s="3" t="s">
        <v>27</v>
      </c>
      <c r="E5" s="3" t="str">
        <f>CONCATENATE(C5, " ",D5)</f>
        <v>David Klucick</v>
      </c>
      <c r="F5" s="3">
        <v>340714201</v>
      </c>
      <c r="G5" t="str">
        <f>CONCATENATE(F5,2)</f>
        <v>3407142012</v>
      </c>
      <c r="H5" s="4">
        <v>45717</v>
      </c>
      <c r="I5" s="4">
        <v>45751</v>
      </c>
      <c r="J5" s="3" t="s">
        <v>15</v>
      </c>
      <c r="K5" s="3" t="s">
        <v>25</v>
      </c>
      <c r="L5" s="5">
        <v>875</v>
      </c>
      <c r="M5" s="3">
        <v>705</v>
      </c>
    </row>
    <row r="6" spans="1:15" s="3" customFormat="1" x14ac:dyDescent="0.3">
      <c r="A6" t="s">
        <v>42</v>
      </c>
      <c r="B6">
        <v>20411454</v>
      </c>
      <c r="C6" s="3" t="s">
        <v>26</v>
      </c>
      <c r="D6" s="3" t="s">
        <v>27</v>
      </c>
      <c r="E6" s="3" t="str">
        <f>CONCATENATE(C6, " ",D6)</f>
        <v>David Klucick</v>
      </c>
      <c r="F6" s="3">
        <v>340714201</v>
      </c>
      <c r="G6" t="str">
        <f>CONCATENATE(F6,1)</f>
        <v>3407142011</v>
      </c>
      <c r="H6" s="4">
        <v>45717</v>
      </c>
      <c r="I6" s="4">
        <v>45751</v>
      </c>
      <c r="J6" s="3" t="s">
        <v>15</v>
      </c>
      <c r="K6" s="3" t="s">
        <v>25</v>
      </c>
      <c r="L6" s="5">
        <v>875</v>
      </c>
      <c r="M6" s="3">
        <f>875-705</f>
        <v>170</v>
      </c>
    </row>
    <row r="7" spans="1:15" s="3" customFormat="1" x14ac:dyDescent="0.3">
      <c r="A7" s="3" t="s">
        <v>21</v>
      </c>
      <c r="B7" s="3" t="s">
        <v>43</v>
      </c>
      <c r="C7" s="3" t="s">
        <v>23</v>
      </c>
      <c r="D7" s="3" t="s">
        <v>28</v>
      </c>
      <c r="E7" s="3" t="str">
        <f>CONCATENATE(C7, " ",D7)</f>
        <v>Joseph Weider Jr</v>
      </c>
      <c r="F7" s="3">
        <v>340724101</v>
      </c>
      <c r="G7" t="str">
        <f>CONCATENATE(F7,2)</f>
        <v>3407241012</v>
      </c>
      <c r="H7" s="4">
        <v>45717</v>
      </c>
      <c r="I7" s="4">
        <v>45751</v>
      </c>
      <c r="J7" s="3" t="s">
        <v>15</v>
      </c>
      <c r="K7" s="3" t="s">
        <v>25</v>
      </c>
      <c r="L7" s="5">
        <v>875</v>
      </c>
      <c r="M7" s="3">
        <v>705</v>
      </c>
    </row>
    <row r="8" spans="1:15" s="3" customFormat="1" ht="15" customHeight="1" x14ac:dyDescent="0.3">
      <c r="A8" t="s">
        <v>42</v>
      </c>
      <c r="B8">
        <v>20411454</v>
      </c>
      <c r="C8" s="3" t="s">
        <v>23</v>
      </c>
      <c r="D8" s="3" t="s">
        <v>28</v>
      </c>
      <c r="E8" s="3" t="str">
        <f>CONCATENATE(C8, " ",D8)</f>
        <v>Joseph Weider Jr</v>
      </c>
      <c r="F8" s="3">
        <v>340724101</v>
      </c>
      <c r="G8" t="str">
        <f>CONCATENATE(F8,1)</f>
        <v>3407241011</v>
      </c>
      <c r="H8" s="4">
        <v>45717</v>
      </c>
      <c r="I8" s="4">
        <v>45751</v>
      </c>
      <c r="J8" s="3" t="s">
        <v>15</v>
      </c>
      <c r="K8" s="3" t="s">
        <v>25</v>
      </c>
      <c r="L8" s="5">
        <v>875</v>
      </c>
      <c r="M8" s="3">
        <f>875-705</f>
        <v>170</v>
      </c>
    </row>
    <row r="9" spans="1:15" s="3" customFormat="1" x14ac:dyDescent="0.3">
      <c r="A9" s="3" t="s">
        <v>21</v>
      </c>
      <c r="B9" s="3" t="s">
        <v>43</v>
      </c>
      <c r="C9" s="3" t="s">
        <v>23</v>
      </c>
      <c r="D9" s="3" t="s">
        <v>24</v>
      </c>
      <c r="E9" s="3" t="str">
        <f>CONCATENATE(C9, " ",D9)</f>
        <v>Joseph Hogg</v>
      </c>
      <c r="F9" s="3">
        <v>340775601</v>
      </c>
      <c r="G9" t="str">
        <f>CONCATENATE(F9,2)</f>
        <v>3407756012</v>
      </c>
      <c r="H9" s="4">
        <v>45717</v>
      </c>
      <c r="I9" s="4">
        <v>45751</v>
      </c>
      <c r="J9" s="3" t="s">
        <v>15</v>
      </c>
      <c r="K9" s="3" t="s">
        <v>25</v>
      </c>
      <c r="L9" s="5">
        <v>875</v>
      </c>
      <c r="M9" s="3">
        <v>705</v>
      </c>
    </row>
    <row r="10" spans="1:15" s="3" customFormat="1" x14ac:dyDescent="0.3">
      <c r="A10" t="s">
        <v>42</v>
      </c>
      <c r="B10">
        <v>20411454</v>
      </c>
      <c r="C10" s="3" t="s">
        <v>23</v>
      </c>
      <c r="D10" s="3" t="s">
        <v>24</v>
      </c>
      <c r="E10" s="3" t="str">
        <f>CONCATENATE(C10, " ",D10)</f>
        <v>Joseph Hogg</v>
      </c>
      <c r="F10" s="3">
        <v>340775601</v>
      </c>
      <c r="G10" t="str">
        <f>CONCATENATE(F10,1)</f>
        <v>3407756011</v>
      </c>
      <c r="H10" s="4">
        <v>45717</v>
      </c>
      <c r="I10" s="4">
        <v>45751</v>
      </c>
      <c r="J10" s="3" t="s">
        <v>15</v>
      </c>
      <c r="K10" s="3" t="s">
        <v>25</v>
      </c>
      <c r="L10" s="5">
        <v>875</v>
      </c>
      <c r="M10" s="3">
        <f>875-705</f>
        <v>170</v>
      </c>
    </row>
    <row r="11" spans="1:15" x14ac:dyDescent="0.3">
      <c r="A11" t="s">
        <v>42</v>
      </c>
      <c r="B11">
        <v>20411454</v>
      </c>
      <c r="C11" t="s">
        <v>29</v>
      </c>
      <c r="D11" t="s">
        <v>30</v>
      </c>
      <c r="E11" t="str">
        <f t="shared" si="0"/>
        <v>Brian Mccafferty</v>
      </c>
      <c r="F11">
        <v>341216501</v>
      </c>
      <c r="G11" t="str">
        <f t="shared" ref="G11:G15" si="2">CONCATENATE(F11,1)</f>
        <v>3412165011</v>
      </c>
      <c r="H11" s="1">
        <v>45717</v>
      </c>
      <c r="I11" s="1">
        <v>45751</v>
      </c>
      <c r="J11" t="s">
        <v>15</v>
      </c>
      <c r="K11" t="s">
        <v>25</v>
      </c>
      <c r="L11" s="2">
        <v>65</v>
      </c>
      <c r="M11" s="2">
        <v>65</v>
      </c>
    </row>
    <row r="12" spans="1:15" x14ac:dyDescent="0.3">
      <c r="A12" t="s">
        <v>42</v>
      </c>
      <c r="B12">
        <v>20411454</v>
      </c>
      <c r="C12" t="s">
        <v>33</v>
      </c>
      <c r="D12" t="s">
        <v>34</v>
      </c>
      <c r="E12" t="str">
        <f t="shared" si="0"/>
        <v>Christian Reiser</v>
      </c>
      <c r="F12">
        <v>341245201</v>
      </c>
      <c r="G12" t="str">
        <f t="shared" si="2"/>
        <v>3412452011</v>
      </c>
      <c r="H12" s="1">
        <v>45717</v>
      </c>
      <c r="I12" s="1">
        <v>45751</v>
      </c>
      <c r="J12" t="s">
        <v>15</v>
      </c>
      <c r="K12" t="s">
        <v>25</v>
      </c>
      <c r="L12" s="2">
        <v>65</v>
      </c>
      <c r="M12" s="2">
        <v>65</v>
      </c>
    </row>
    <row r="13" spans="1:15" x14ac:dyDescent="0.3">
      <c r="A13" t="s">
        <v>42</v>
      </c>
      <c r="B13">
        <v>20411454</v>
      </c>
      <c r="C13" t="s">
        <v>35</v>
      </c>
      <c r="D13" t="s">
        <v>36</v>
      </c>
      <c r="E13" t="str">
        <f>CONCATENATE(C13, " ",D13)</f>
        <v>Louise Capizzi</v>
      </c>
      <c r="F13">
        <v>339306001</v>
      </c>
      <c r="G13" t="str">
        <f t="shared" si="2"/>
        <v>3393060011</v>
      </c>
      <c r="H13" s="1">
        <v>45658</v>
      </c>
      <c r="I13" s="1">
        <v>45751</v>
      </c>
      <c r="J13" t="s">
        <v>15</v>
      </c>
      <c r="K13" t="s">
        <v>37</v>
      </c>
      <c r="L13" s="2">
        <v>-30</v>
      </c>
      <c r="M13" s="2">
        <v>-30</v>
      </c>
    </row>
    <row r="14" spans="1:15" x14ac:dyDescent="0.3">
      <c r="A14" t="s">
        <v>42</v>
      </c>
      <c r="B14">
        <v>20411454</v>
      </c>
      <c r="C14" t="s">
        <v>38</v>
      </c>
      <c r="D14" t="s">
        <v>39</v>
      </c>
      <c r="E14" t="str">
        <f t="shared" si="0"/>
        <v>Bruce Cover</v>
      </c>
      <c r="F14">
        <v>339306101</v>
      </c>
      <c r="G14" t="str">
        <f t="shared" si="2"/>
        <v>3393061011</v>
      </c>
      <c r="H14" s="1">
        <v>45658</v>
      </c>
      <c r="I14" s="1">
        <v>45751</v>
      </c>
      <c r="J14" t="s">
        <v>15</v>
      </c>
      <c r="K14" t="s">
        <v>37</v>
      </c>
      <c r="L14" s="2">
        <v>-30</v>
      </c>
      <c r="M14" s="2">
        <v>-30</v>
      </c>
    </row>
    <row r="15" spans="1:15" x14ac:dyDescent="0.3">
      <c r="A15" t="s">
        <v>42</v>
      </c>
      <c r="B15">
        <v>20411454</v>
      </c>
      <c r="C15" t="s">
        <v>40</v>
      </c>
      <c r="D15" t="s">
        <v>41</v>
      </c>
      <c r="E15" t="str">
        <f t="shared" si="0"/>
        <v>Rosie Clouse</v>
      </c>
      <c r="F15">
        <v>336635501</v>
      </c>
      <c r="G15" t="str">
        <f t="shared" si="2"/>
        <v>3366355011</v>
      </c>
      <c r="H15" s="1">
        <v>45658</v>
      </c>
      <c r="I15" s="1">
        <v>45751</v>
      </c>
      <c r="J15" t="s">
        <v>15</v>
      </c>
      <c r="K15" t="s">
        <v>37</v>
      </c>
      <c r="L15" s="2">
        <v>-30</v>
      </c>
      <c r="M15" s="2">
        <v>-30</v>
      </c>
    </row>
  </sheetData>
  <sortState xmlns:xlrd2="http://schemas.microsoft.com/office/spreadsheetml/2017/richdata2" ref="A5:N10">
    <sortCondition ref="F5:F10"/>
  </sortState>
  <pageMargins left="0.7" right="0.7" top="0.75" bottom="0.75" header="0.3" footer="0.3"/>
  <ignoredErrors>
    <ignoredError sqref="G3:G8 G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loula</cp:lastModifiedBy>
  <dcterms:created xsi:type="dcterms:W3CDTF">2025-04-04T18:39:02Z</dcterms:created>
  <dcterms:modified xsi:type="dcterms:W3CDTF">2025-04-07T20:05:32Z</dcterms:modified>
</cp:coreProperties>
</file>