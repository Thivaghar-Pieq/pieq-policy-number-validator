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05-23-25 Ritter\"/>
    </mc:Choice>
  </mc:AlternateContent>
  <xr:revisionPtr revIDLastSave="0" documentId="13_ncr:1_{E6ED723F-1A94-417C-8CE1-316B2AC2B6B3}" xr6:coauthVersionLast="47" xr6:coauthVersionMax="47" xr10:uidLastSave="{00000000-0000-0000-0000-000000000000}"/>
  <bookViews>
    <workbookView xWindow="28680" yWindow="-120" windowWidth="29040" windowHeight="16440" activeTab="1" xr2:uid="{1C602A02-DCDE-483D-8F82-0407D687D82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4" i="2"/>
  <c r="G13" i="2"/>
  <c r="G12" i="2"/>
  <c r="G11" i="2"/>
  <c r="G10" i="2"/>
  <c r="G9" i="2"/>
  <c r="G8" i="2"/>
  <c r="G7" i="2"/>
  <c r="G6" i="2"/>
  <c r="G3" i="2"/>
  <c r="G2" i="2"/>
  <c r="E3" i="2"/>
  <c r="E4" i="2"/>
  <c r="E5" i="2"/>
  <c r="E6" i="2"/>
  <c r="E7" i="2"/>
  <c r="E8" i="2"/>
  <c r="E9" i="2"/>
  <c r="E10" i="2"/>
  <c r="E11" i="2"/>
  <c r="E12" i="2"/>
  <c r="E13" i="2"/>
  <c r="E2" i="2"/>
</calcChain>
</file>

<file path=xl/sharedStrings.xml><?xml version="1.0" encoding="utf-8"?>
<sst xmlns="http://schemas.openxmlformats.org/spreadsheetml/2006/main" count="153" uniqueCount="44">
  <si>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</si>
  <si>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</si>
  <si>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</si>
  <si>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</si>
  <si>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</si>
  <si>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</si>
  <si>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</si>
  <si>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</si>
  <si>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</si>
  <si>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</si>
  <si>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</si>
  <si>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</si>
  <si>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RI641</t>
  </si>
  <si>
    <t>Becky</t>
  </si>
  <si>
    <t>Plascjak</t>
  </si>
  <si>
    <t>UPMC</t>
  </si>
  <si>
    <t>UPMC 2025 PA 4/1 Eff Replacement True Up</t>
  </si>
  <si>
    <t>Constance</t>
  </si>
  <si>
    <t>Ruberto</t>
  </si>
  <si>
    <t>UPMC 2025 PA Full</t>
  </si>
  <si>
    <t>Michael</t>
  </si>
  <si>
    <t>Zuchinski</t>
  </si>
  <si>
    <t>Timothy Powers</t>
  </si>
  <si>
    <t>RI638</t>
  </si>
  <si>
    <t>Georgetta</t>
  </si>
  <si>
    <t>Lambermont</t>
  </si>
  <si>
    <t>Phyllis</t>
  </si>
  <si>
    <t>Toothman</t>
  </si>
  <si>
    <t>Margaret</t>
  </si>
  <si>
    <t>Wilson</t>
  </si>
  <si>
    <t>Robert</t>
  </si>
  <si>
    <t>Margaret Smith</t>
  </si>
  <si>
    <t>RI661</t>
  </si>
  <si>
    <t>Gretchen</t>
  </si>
  <si>
    <t>Ciccarelli</t>
  </si>
  <si>
    <t>Diane</t>
  </si>
  <si>
    <t>Raynovich</t>
  </si>
  <si>
    <t>[%/$=353][prorate=9/12]</t>
  </si>
  <si>
    <t>[%/$=705]</t>
  </si>
  <si>
    <t>UPMC MAPD 2025 CT, PA, DC</t>
  </si>
  <si>
    <t>UPMC MAPD 2025 CT, PA, DC*</t>
  </si>
  <si>
    <t>UPMC Ovr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</si>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</sst>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F066A-312E-413A-8C2F-3EDE2CEB60DF}">
  <dimension ref="A1:K10"/>
  <sheetViews>
    <sheetView workbookViewId="0">
      <selection sqref="A1:XFD1048576"/>
    </sheetView>
  </sheetViews>
  <sheetFormatPr defaultRowHeight="15" x14ac:dyDescent="0.25"/>
  <cols>
    <col min="1" max="2" width="15.42578125" bestFit="1" customWidth="1"/>
    <col min="3" max="3" width="10.7109375" bestFit="1" customWidth="1"/>
    <col min="4" max="4" width="10.5703125" bestFit="1" customWidth="1"/>
    <col min="5" max="5" width="12.28515625" bestFit="1" customWidth="1"/>
    <col min="6" max="6" width="10.85546875" bestFit="1" customWidth="1"/>
    <col min="7" max="7" width="11.85546875" bestFit="1" customWidth="1"/>
    <col min="8" max="8" width="14.7109375" bestFit="1" customWidth="1"/>
    <col min="10" max="10" width="40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17528908</v>
      </c>
      <c r="D2" t="s">
        <v>13</v>
      </c>
      <c r="E2" t="s">
        <v>14</v>
      </c>
      <c r="F2">
        <v>341432401</v>
      </c>
      <c r="G2" s="1">
        <v>45748</v>
      </c>
      <c r="H2" s="1">
        <v>45800</v>
      </c>
      <c r="I2" t="s">
        <v>15</v>
      </c>
      <c r="J2" t="s">
        <v>16</v>
      </c>
      <c r="K2" s="2">
        <v>349.75</v>
      </c>
    </row>
    <row r="3" spans="1:11" x14ac:dyDescent="0.25">
      <c r="A3" t="s">
        <v>11</v>
      </c>
      <c r="B3" t="s">
        <v>12</v>
      </c>
      <c r="C3">
        <v>17528908</v>
      </c>
      <c r="D3" t="s">
        <v>17</v>
      </c>
      <c r="E3" t="s">
        <v>18</v>
      </c>
      <c r="F3">
        <v>341333301</v>
      </c>
      <c r="G3" s="1">
        <v>45748</v>
      </c>
      <c r="H3" s="1">
        <v>45800</v>
      </c>
      <c r="I3" t="s">
        <v>15</v>
      </c>
      <c r="J3" t="s">
        <v>19</v>
      </c>
      <c r="K3" s="2">
        <v>875</v>
      </c>
    </row>
    <row r="4" spans="1:11" x14ac:dyDescent="0.25">
      <c r="A4" t="s">
        <v>11</v>
      </c>
      <c r="B4" t="s">
        <v>12</v>
      </c>
      <c r="C4">
        <v>17528908</v>
      </c>
      <c r="D4" t="s">
        <v>20</v>
      </c>
      <c r="E4" t="s">
        <v>21</v>
      </c>
      <c r="F4">
        <v>341547501</v>
      </c>
      <c r="G4" s="1">
        <v>45748</v>
      </c>
      <c r="H4" s="1">
        <v>45800</v>
      </c>
      <c r="I4" t="s">
        <v>15</v>
      </c>
      <c r="J4" t="s">
        <v>19</v>
      </c>
      <c r="K4" s="2">
        <v>875</v>
      </c>
    </row>
    <row r="5" spans="1:11" x14ac:dyDescent="0.25">
      <c r="A5" t="s">
        <v>22</v>
      </c>
      <c r="B5" t="s">
        <v>23</v>
      </c>
      <c r="C5">
        <v>17886092</v>
      </c>
      <c r="D5" t="s">
        <v>24</v>
      </c>
      <c r="E5" t="s">
        <v>25</v>
      </c>
      <c r="F5">
        <v>341484901</v>
      </c>
      <c r="G5" s="1">
        <v>45748</v>
      </c>
      <c r="H5" s="1">
        <v>45800</v>
      </c>
      <c r="I5" t="s">
        <v>15</v>
      </c>
      <c r="J5" t="s">
        <v>19</v>
      </c>
      <c r="K5" s="2">
        <v>65</v>
      </c>
    </row>
    <row r="6" spans="1:11" x14ac:dyDescent="0.25">
      <c r="A6" t="s">
        <v>22</v>
      </c>
      <c r="B6" t="s">
        <v>23</v>
      </c>
      <c r="C6">
        <v>17886092</v>
      </c>
      <c r="D6" t="s">
        <v>26</v>
      </c>
      <c r="E6" t="s">
        <v>27</v>
      </c>
      <c r="F6">
        <v>341536001</v>
      </c>
      <c r="G6" s="1">
        <v>45748</v>
      </c>
      <c r="H6" s="1">
        <v>45800</v>
      </c>
      <c r="I6" t="s">
        <v>15</v>
      </c>
      <c r="J6" t="s">
        <v>16</v>
      </c>
      <c r="K6" s="2">
        <v>30</v>
      </c>
    </row>
    <row r="7" spans="1:11" x14ac:dyDescent="0.25">
      <c r="A7" t="s">
        <v>22</v>
      </c>
      <c r="B7" t="s">
        <v>23</v>
      </c>
      <c r="C7">
        <v>17886092</v>
      </c>
      <c r="D7" t="s">
        <v>28</v>
      </c>
      <c r="E7" t="s">
        <v>29</v>
      </c>
      <c r="F7">
        <v>341515401</v>
      </c>
      <c r="G7" s="1">
        <v>45748</v>
      </c>
      <c r="H7" s="1">
        <v>45800</v>
      </c>
      <c r="I7" t="s">
        <v>15</v>
      </c>
      <c r="J7" t="s">
        <v>19</v>
      </c>
      <c r="K7" s="2">
        <v>65</v>
      </c>
    </row>
    <row r="8" spans="1:11" x14ac:dyDescent="0.25">
      <c r="A8" t="s">
        <v>22</v>
      </c>
      <c r="B8" t="s">
        <v>23</v>
      </c>
      <c r="C8">
        <v>17886092</v>
      </c>
      <c r="D8" t="s">
        <v>30</v>
      </c>
      <c r="E8" t="s">
        <v>29</v>
      </c>
      <c r="F8">
        <v>341577701</v>
      </c>
      <c r="G8" s="1">
        <v>45748</v>
      </c>
      <c r="H8" s="1">
        <v>45800</v>
      </c>
      <c r="I8" t="s">
        <v>15</v>
      </c>
      <c r="J8" t="s">
        <v>19</v>
      </c>
      <c r="K8" s="2">
        <v>65</v>
      </c>
    </row>
    <row r="9" spans="1:11" x14ac:dyDescent="0.25">
      <c r="A9" t="s">
        <v>31</v>
      </c>
      <c r="B9" t="s">
        <v>32</v>
      </c>
      <c r="C9">
        <v>20253958</v>
      </c>
      <c r="D9" t="s">
        <v>33</v>
      </c>
      <c r="E9" t="s">
        <v>34</v>
      </c>
      <c r="F9">
        <v>341362201</v>
      </c>
      <c r="G9" s="1">
        <v>45748</v>
      </c>
      <c r="H9" s="1">
        <v>45800</v>
      </c>
      <c r="I9" t="s">
        <v>15</v>
      </c>
      <c r="J9" t="s">
        <v>19</v>
      </c>
      <c r="K9" s="2">
        <v>65</v>
      </c>
    </row>
    <row r="10" spans="1:11" x14ac:dyDescent="0.25">
      <c r="A10" t="s">
        <v>31</v>
      </c>
      <c r="B10" t="s">
        <v>32</v>
      </c>
      <c r="C10">
        <v>20253958</v>
      </c>
      <c r="D10" t="s">
        <v>35</v>
      </c>
      <c r="E10" t="s">
        <v>36</v>
      </c>
      <c r="F10">
        <v>340996501</v>
      </c>
      <c r="G10" s="1">
        <v>45748</v>
      </c>
      <c r="H10" s="1">
        <v>45800</v>
      </c>
      <c r="I10" t="s">
        <v>15</v>
      </c>
      <c r="J10" t="s">
        <v>19</v>
      </c>
      <c r="K10" s="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8AF7D-A25C-4A58-9077-42A0E39CFEF0}">
  <dimension ref="A1:O13"/>
  <sheetViews>
    <sheetView tabSelected="1" workbookViewId="0">
      <selection activeCell="O2" sqref="O2:O13"/>
    </sheetView>
  </sheetViews>
  <sheetFormatPr defaultRowHeight="15" x14ac:dyDescent="0.25"/>
  <cols>
    <col min="1" max="1" width="15.42578125" style="3" bestFit="1" customWidth="1"/>
    <col min="2" max="2" width="10.7109375" style="3" bestFit="1" customWidth="1"/>
    <col min="3" max="3" width="10.5703125" style="3" bestFit="1" customWidth="1"/>
    <col min="4" max="4" width="12.28515625" style="3" bestFit="1" customWidth="1"/>
    <col min="5" max="5" width="22" style="3" bestFit="1" customWidth="1"/>
    <col min="6" max="6" width="10.85546875" style="3" bestFit="1" customWidth="1"/>
    <col min="7" max="7" width="10.85546875" style="3" customWidth="1"/>
    <col min="8" max="8" width="11.85546875" style="3" bestFit="1" customWidth="1"/>
    <col min="9" max="9" width="14.7109375" style="3" bestFit="1" customWidth="1"/>
    <col min="10" max="10" width="9.140625" style="3"/>
    <col min="11" max="11" width="40.140625" style="3" bestFit="1" customWidth="1"/>
    <col min="12" max="12" width="9.140625" style="3"/>
    <col min="13" max="13" width="27.5703125" style="3" bestFit="1" customWidth="1"/>
    <col min="14" max="16384" width="9.140625" style="3"/>
  </cols>
  <sheetData>
    <row r="1" spans="1:15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5" x14ac:dyDescent="0.25">
      <c r="A2" s="3" t="s">
        <v>11</v>
      </c>
      <c r="B2" s="3" t="s">
        <v>43</v>
      </c>
      <c r="C2" s="3" t="s">
        <v>13</v>
      </c>
      <c r="D2" s="3" t="s">
        <v>14</v>
      </c>
      <c r="E2" s="3" t="str">
        <f>CONCATENATE(C2, " ",D2)</f>
        <v>Becky Plascjak</v>
      </c>
      <c r="F2" s="3">
        <v>341432401</v>
      </c>
      <c r="G2" s="3" t="str">
        <f>CONCATENATE(F2,2)</f>
        <v>3414324012</v>
      </c>
      <c r="H2" s="4">
        <v>45748</v>
      </c>
      <c r="I2" s="4">
        <v>45800</v>
      </c>
      <c r="J2" s="3" t="s">
        <v>15</v>
      </c>
      <c r="K2" s="3" t="s">
        <v>16</v>
      </c>
      <c r="L2" s="5">
        <v>264.75</v>
      </c>
      <c r="M2" s="3" t="s">
        <v>40</v>
      </c>
      <c r="O2" s="3" t="s">
        <v>37</v>
      </c>
    </row>
    <row r="3" spans="1:15" x14ac:dyDescent="0.25">
      <c r="A3" s="3" t="s">
        <v>42</v>
      </c>
      <c r="B3" s="3">
        <v>20411454</v>
      </c>
      <c r="C3" s="3" t="s">
        <v>13</v>
      </c>
      <c r="D3" s="3" t="s">
        <v>14</v>
      </c>
      <c r="E3" s="3" t="str">
        <f t="shared" ref="E3:E13" si="0">CONCATENATE(C3, " ",D3)</f>
        <v>Becky Plascjak</v>
      </c>
      <c r="F3" s="3">
        <v>341432401</v>
      </c>
      <c r="G3" s="3" t="str">
        <f>CONCATENATE(F3,1)</f>
        <v>3414324011</v>
      </c>
      <c r="H3" s="4">
        <v>45748</v>
      </c>
      <c r="I3" s="4">
        <v>45800</v>
      </c>
      <c r="J3" s="3" t="s">
        <v>15</v>
      </c>
      <c r="K3" s="3" t="s">
        <v>16</v>
      </c>
      <c r="L3" s="5">
        <v>85</v>
      </c>
      <c r="M3" s="3" t="s">
        <v>41</v>
      </c>
    </row>
    <row r="4" spans="1:15" x14ac:dyDescent="0.25">
      <c r="A4" s="3" t="s">
        <v>11</v>
      </c>
      <c r="B4" s="3" t="s">
        <v>43</v>
      </c>
      <c r="C4" s="3" t="s">
        <v>17</v>
      </c>
      <c r="D4" s="3" t="s">
        <v>18</v>
      </c>
      <c r="E4" s="3" t="str">
        <f t="shared" si="0"/>
        <v>Constance Ruberto</v>
      </c>
      <c r="F4" s="3">
        <v>341333301</v>
      </c>
      <c r="G4" s="3" t="str">
        <f>CONCATENATE(F4,3)</f>
        <v>3413333013</v>
      </c>
      <c r="H4" s="4">
        <v>45748</v>
      </c>
      <c r="I4" s="4">
        <v>45800</v>
      </c>
      <c r="J4" s="3" t="s">
        <v>15</v>
      </c>
      <c r="K4" s="3" t="s">
        <v>19</v>
      </c>
      <c r="L4" s="5">
        <v>705</v>
      </c>
      <c r="M4" s="3" t="s">
        <v>39</v>
      </c>
      <c r="O4" s="3" t="s">
        <v>38</v>
      </c>
    </row>
    <row r="5" spans="1:15" x14ac:dyDescent="0.25">
      <c r="A5" s="3" t="s">
        <v>11</v>
      </c>
      <c r="B5" s="3" t="s">
        <v>43</v>
      </c>
      <c r="C5" s="3" t="s">
        <v>20</v>
      </c>
      <c r="D5" s="3" t="s">
        <v>21</v>
      </c>
      <c r="E5" s="3" t="str">
        <f t="shared" si="0"/>
        <v>Michael Zuchinski</v>
      </c>
      <c r="F5" s="3">
        <v>341547501</v>
      </c>
      <c r="G5" s="3" t="str">
        <f>CONCATENATE(F5,3)</f>
        <v>3415475013</v>
      </c>
      <c r="H5" s="4">
        <v>45748</v>
      </c>
      <c r="I5" s="4">
        <v>45800</v>
      </c>
      <c r="J5" s="3" t="s">
        <v>15</v>
      </c>
      <c r="K5" s="3" t="s">
        <v>19</v>
      </c>
      <c r="L5" s="5">
        <v>705</v>
      </c>
      <c r="M5" s="3" t="s">
        <v>39</v>
      </c>
      <c r="O5" s="3" t="s">
        <v>38</v>
      </c>
    </row>
    <row r="6" spans="1:15" x14ac:dyDescent="0.25">
      <c r="A6" s="3" t="s">
        <v>42</v>
      </c>
      <c r="B6" s="3">
        <v>20411454</v>
      </c>
      <c r="C6" s="3" t="s">
        <v>17</v>
      </c>
      <c r="D6" s="3" t="s">
        <v>18</v>
      </c>
      <c r="E6" s="3" t="str">
        <f t="shared" si="0"/>
        <v>Constance Ruberto</v>
      </c>
      <c r="F6" s="3">
        <v>341333301</v>
      </c>
      <c r="G6" s="3" t="str">
        <f t="shared" ref="G6:G13" si="1">CONCATENATE(F6,1)</f>
        <v>3413333011</v>
      </c>
      <c r="H6" s="4">
        <v>45748</v>
      </c>
      <c r="I6" s="4">
        <v>45800</v>
      </c>
      <c r="J6" s="3" t="s">
        <v>15</v>
      </c>
      <c r="K6" s="3" t="s">
        <v>19</v>
      </c>
      <c r="L6" s="5">
        <v>170</v>
      </c>
      <c r="M6" s="3" t="s">
        <v>41</v>
      </c>
    </row>
    <row r="7" spans="1:15" x14ac:dyDescent="0.25">
      <c r="A7" s="3" t="s">
        <v>42</v>
      </c>
      <c r="B7" s="3">
        <v>20411454</v>
      </c>
      <c r="C7" s="3" t="s">
        <v>20</v>
      </c>
      <c r="D7" s="3" t="s">
        <v>21</v>
      </c>
      <c r="E7" s="3" t="str">
        <f t="shared" si="0"/>
        <v>Michael Zuchinski</v>
      </c>
      <c r="F7" s="3">
        <v>341547501</v>
      </c>
      <c r="G7" s="3" t="str">
        <f t="shared" si="1"/>
        <v>3415475011</v>
      </c>
      <c r="H7" s="4">
        <v>45748</v>
      </c>
      <c r="I7" s="4">
        <v>45800</v>
      </c>
      <c r="J7" s="3" t="s">
        <v>15</v>
      </c>
      <c r="K7" s="3" t="s">
        <v>19</v>
      </c>
      <c r="L7" s="5">
        <v>170</v>
      </c>
      <c r="M7" s="3" t="s">
        <v>41</v>
      </c>
    </row>
    <row r="8" spans="1:15" x14ac:dyDescent="0.25">
      <c r="A8" s="3" t="s">
        <v>42</v>
      </c>
      <c r="B8" s="3">
        <v>20411454</v>
      </c>
      <c r="C8" s="3" t="s">
        <v>24</v>
      </c>
      <c r="D8" s="3" t="s">
        <v>25</v>
      </c>
      <c r="E8" s="3" t="str">
        <f t="shared" si="0"/>
        <v>Georgetta Lambermont</v>
      </c>
      <c r="F8" s="3">
        <v>341484901</v>
      </c>
      <c r="G8" s="3" t="str">
        <f t="shared" si="1"/>
        <v>3414849011</v>
      </c>
      <c r="H8" s="4">
        <v>45748</v>
      </c>
      <c r="I8" s="4">
        <v>45800</v>
      </c>
      <c r="J8" s="3" t="s">
        <v>15</v>
      </c>
      <c r="K8" s="3" t="s">
        <v>19</v>
      </c>
      <c r="L8" s="5">
        <v>65</v>
      </c>
      <c r="M8" s="3" t="s">
        <v>41</v>
      </c>
    </row>
    <row r="9" spans="1:15" x14ac:dyDescent="0.25">
      <c r="A9" s="3" t="s">
        <v>42</v>
      </c>
      <c r="B9" s="3">
        <v>20411454</v>
      </c>
      <c r="C9" s="3" t="s">
        <v>26</v>
      </c>
      <c r="D9" s="3" t="s">
        <v>27</v>
      </c>
      <c r="E9" s="3" t="str">
        <f t="shared" si="0"/>
        <v>Phyllis Toothman</v>
      </c>
      <c r="F9" s="3">
        <v>341536001</v>
      </c>
      <c r="G9" s="3" t="str">
        <f t="shared" si="1"/>
        <v>3415360011</v>
      </c>
      <c r="H9" s="4">
        <v>45748</v>
      </c>
      <c r="I9" s="4">
        <v>45800</v>
      </c>
      <c r="J9" s="3" t="s">
        <v>15</v>
      </c>
      <c r="K9" s="3" t="s">
        <v>16</v>
      </c>
      <c r="L9" s="5">
        <v>30</v>
      </c>
      <c r="M9" s="3" t="s">
        <v>41</v>
      </c>
    </row>
    <row r="10" spans="1:15" x14ac:dyDescent="0.25">
      <c r="A10" s="3" t="s">
        <v>42</v>
      </c>
      <c r="B10" s="3">
        <v>20411454</v>
      </c>
      <c r="C10" s="3" t="s">
        <v>28</v>
      </c>
      <c r="D10" s="3" t="s">
        <v>29</v>
      </c>
      <c r="E10" s="3" t="str">
        <f t="shared" si="0"/>
        <v>Margaret Wilson</v>
      </c>
      <c r="F10" s="3">
        <v>341515401</v>
      </c>
      <c r="G10" s="3" t="str">
        <f t="shared" si="1"/>
        <v>3415154011</v>
      </c>
      <c r="H10" s="4">
        <v>45748</v>
      </c>
      <c r="I10" s="4">
        <v>45800</v>
      </c>
      <c r="J10" s="3" t="s">
        <v>15</v>
      </c>
      <c r="K10" s="3" t="s">
        <v>19</v>
      </c>
      <c r="L10" s="5">
        <v>65</v>
      </c>
      <c r="M10" s="3" t="s">
        <v>41</v>
      </c>
    </row>
    <row r="11" spans="1:15" x14ac:dyDescent="0.25">
      <c r="A11" s="3" t="s">
        <v>42</v>
      </c>
      <c r="B11" s="3">
        <v>20411454</v>
      </c>
      <c r="C11" s="3" t="s">
        <v>30</v>
      </c>
      <c r="D11" s="3" t="s">
        <v>29</v>
      </c>
      <c r="E11" s="3" t="str">
        <f t="shared" si="0"/>
        <v>Robert Wilson</v>
      </c>
      <c r="F11" s="3">
        <v>341577701</v>
      </c>
      <c r="G11" s="3" t="str">
        <f t="shared" si="1"/>
        <v>3415777011</v>
      </c>
      <c r="H11" s="4">
        <v>45748</v>
      </c>
      <c r="I11" s="4">
        <v>45800</v>
      </c>
      <c r="J11" s="3" t="s">
        <v>15</v>
      </c>
      <c r="K11" s="3" t="s">
        <v>19</v>
      </c>
      <c r="L11" s="5">
        <v>65</v>
      </c>
      <c r="M11" s="3" t="s">
        <v>41</v>
      </c>
    </row>
    <row r="12" spans="1:15" x14ac:dyDescent="0.25">
      <c r="A12" s="3" t="s">
        <v>42</v>
      </c>
      <c r="B12" s="3">
        <v>20411454</v>
      </c>
      <c r="C12" s="3" t="s">
        <v>33</v>
      </c>
      <c r="D12" s="3" t="s">
        <v>34</v>
      </c>
      <c r="E12" s="3" t="str">
        <f t="shared" si="0"/>
        <v>Gretchen Ciccarelli</v>
      </c>
      <c r="F12" s="3">
        <v>341362201</v>
      </c>
      <c r="G12" s="3" t="str">
        <f t="shared" si="1"/>
        <v>3413622011</v>
      </c>
      <c r="H12" s="4">
        <v>45748</v>
      </c>
      <c r="I12" s="4">
        <v>45800</v>
      </c>
      <c r="J12" s="3" t="s">
        <v>15</v>
      </c>
      <c r="K12" s="3" t="s">
        <v>19</v>
      </c>
      <c r="L12" s="5">
        <v>65</v>
      </c>
      <c r="M12" s="3" t="s">
        <v>41</v>
      </c>
    </row>
    <row r="13" spans="1:15" x14ac:dyDescent="0.25">
      <c r="A13" s="3" t="s">
        <v>42</v>
      </c>
      <c r="B13" s="3">
        <v>20411454</v>
      </c>
      <c r="C13" s="3" t="s">
        <v>35</v>
      </c>
      <c r="D13" s="3" t="s">
        <v>36</v>
      </c>
      <c r="E13" s="3" t="str">
        <f t="shared" si="0"/>
        <v>Diane Raynovich</v>
      </c>
      <c r="F13" s="3">
        <v>340996501</v>
      </c>
      <c r="G13" s="3" t="str">
        <f t="shared" si="1"/>
        <v>3409965011</v>
      </c>
      <c r="H13" s="4">
        <v>45748</v>
      </c>
      <c r="I13" s="4">
        <v>45800</v>
      </c>
      <c r="J13" s="3" t="s">
        <v>15</v>
      </c>
      <c r="K13" s="3" t="s">
        <v>19</v>
      </c>
      <c r="L13" s="5">
        <v>65</v>
      </c>
      <c r="M13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2025-05-23T16:28:50Z</dcterms:created>
  <dcterms:modified xsi:type="dcterms:W3CDTF">2025-05-23T20:05:43Z</dcterms:modified>
</cp:coreProperties>
</file>