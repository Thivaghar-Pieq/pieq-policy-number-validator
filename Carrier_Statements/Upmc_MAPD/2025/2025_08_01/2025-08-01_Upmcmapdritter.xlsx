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08-01-25 Ritter\"/>
    </mc:Choice>
  </mc:AlternateContent>
  <xr:revisionPtr revIDLastSave="0" documentId="13_ncr:1_{0E552C7B-FCAD-43B8-95D0-D56CCC6AD709}" xr6:coauthVersionLast="47" xr6:coauthVersionMax="47" xr10:uidLastSave="{00000000-0000-0000-0000-000000000000}"/>
  <bookViews>
    <workbookView xWindow="28680" yWindow="-120" windowWidth="29040" windowHeight="16440" xr2:uid="{7D99DC6A-7302-4910-A606-6F8930FD9F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  <c r="G3" i="1"/>
  <c r="G2" i="1"/>
  <c r="M7" i="1"/>
  <c r="M6" i="1"/>
  <c r="E7" i="1"/>
  <c r="E6" i="1"/>
  <c r="M5" i="1"/>
  <c r="E5" i="1"/>
  <c r="E3" i="1"/>
  <c r="E4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<sst xmlns="http://schemas.openxmlformats.org/spreadsheetml/2006/main" count="87" uniqueCount="37">
  <si>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</si>
  <si>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</si>
  <si>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</si>
  <si>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</si>
  <si>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</si>
  <si>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</si>
  <si>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</si>
  <si>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</si>
  <si>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</si>
  <si>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</si>
  <si>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</si>
  <si>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Lori</t>
  </si>
  <si>
    <t>Greenwood</t>
  </si>
  <si>
    <t>UPMC</t>
  </si>
  <si>
    <t>UPMC 2025 PA Full</t>
  </si>
  <si>
    <t>Deborah Inskipt</t>
  </si>
  <si>
    <t>Debra</t>
  </si>
  <si>
    <t>Harris</t>
  </si>
  <si>
    <t>Donna</t>
  </si>
  <si>
    <t>Hendrickson</t>
  </si>
  <si>
    <t>Mary</t>
  </si>
  <si>
    <t>Conklin</t>
  </si>
  <si>
    <t>Gerald</t>
  </si>
  <si>
    <t>Foley Jr</t>
  </si>
  <si>
    <t>Kenneth</t>
  </si>
  <si>
    <t>Kryl</t>
  </si>
  <si>
    <t>Rita</t>
  </si>
  <si>
    <t>Miller</t>
  </si>
  <si>
    <t>Janet</t>
  </si>
  <si>
    <t>Oesterling</t>
  </si>
  <si>
    <t>Fred</t>
  </si>
  <si>
    <t>Ayres</t>
  </si>
  <si>
    <t>UPMC Ovr</t>
  </si>
  <si>
    <t>UPMC MAPD 2025 CT, PA, DC</t>
  </si>
  <si>
    <t>[%/$=705]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</si>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</sst>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B5A0-C08E-47C1-8E0A-C8CB3A55AF41}">
  <dimension ref="A1:O13"/>
  <sheetViews>
    <sheetView tabSelected="1" workbookViewId="0">
      <selection activeCell="O2" sqref="O2:O4"/>
    </sheetView>
  </sheetViews>
  <sheetFormatPr defaultRowHeight="15" x14ac:dyDescent="0.25"/>
  <cols>
    <col min="1" max="1" width="15.42578125" style="1" bestFit="1" customWidth="1"/>
    <col min="2" max="2" width="10.7109375" style="1" bestFit="1" customWidth="1"/>
    <col min="3" max="3" width="10.5703125" style="1" bestFit="1" customWidth="1"/>
    <col min="4" max="4" width="12" style="1" bestFit="1" customWidth="1"/>
    <col min="5" max="5" width="15.28515625" style="1" bestFit="1" customWidth="1"/>
    <col min="6" max="6" width="10.85546875" style="1" bestFit="1" customWidth="1"/>
    <col min="7" max="7" width="10.85546875" style="1" customWidth="1"/>
    <col min="8" max="8" width="11.85546875" style="1" bestFit="1" customWidth="1"/>
    <col min="9" max="9" width="14.7109375" style="1" bestFit="1" customWidth="1"/>
    <col min="10" max="10" width="12.7109375" style="1" bestFit="1" customWidth="1"/>
    <col min="11" max="11" width="17.5703125" style="1" bestFit="1" customWidth="1"/>
    <col min="12" max="12" width="15.7109375" style="1" bestFit="1" customWidth="1"/>
    <col min="13" max="13" width="9.140625" style="1"/>
    <col min="14" max="14" width="26.5703125" style="1" bestFit="1" customWidth="1"/>
    <col min="15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5" x14ac:dyDescent="0.25">
      <c r="A2" s="1" t="s">
        <v>10</v>
      </c>
      <c r="B2" s="1">
        <v>8971826</v>
      </c>
      <c r="C2" s="1" t="s">
        <v>11</v>
      </c>
      <c r="D2" s="1" t="s">
        <v>12</v>
      </c>
      <c r="E2" s="1" t="str">
        <f>CONCATENATE(C2, " ",D2)</f>
        <v>Lori Greenwood</v>
      </c>
      <c r="F2" s="1">
        <v>341735601</v>
      </c>
      <c r="G2" s="1" t="str">
        <f>CONCATENATE(F2,3)</f>
        <v>3417356013</v>
      </c>
      <c r="H2" s="2">
        <v>45839</v>
      </c>
      <c r="I2" s="2">
        <v>45870</v>
      </c>
      <c r="J2" s="1" t="s">
        <v>13</v>
      </c>
      <c r="K2" s="1" t="s">
        <v>14</v>
      </c>
      <c r="L2" s="3">
        <v>875</v>
      </c>
      <c r="M2" s="1">
        <v>705</v>
      </c>
      <c r="N2" s="1" t="s">
        <v>33</v>
      </c>
      <c r="O2" s="1" t="s">
        <v>34</v>
      </c>
    </row>
    <row r="3" spans="1:15" x14ac:dyDescent="0.25">
      <c r="A3" s="1" t="s">
        <v>15</v>
      </c>
      <c r="B3" s="1" t="s">
        <v>36</v>
      </c>
      <c r="C3" s="1" t="s">
        <v>16</v>
      </c>
      <c r="D3" s="1" t="s">
        <v>17</v>
      </c>
      <c r="E3" s="1" t="str">
        <f t="shared" ref="E3:E13" si="0">CONCATENATE(C3, " ",D3)</f>
        <v>Debra Harris</v>
      </c>
      <c r="F3" s="1">
        <v>341791301</v>
      </c>
      <c r="G3" s="1" t="str">
        <f t="shared" ref="G3:G4" si="1">CONCATENATE(F3,3)</f>
        <v>3417913013</v>
      </c>
      <c r="H3" s="2">
        <v>45839</v>
      </c>
      <c r="I3" s="2">
        <v>45870</v>
      </c>
      <c r="J3" s="1" t="s">
        <v>13</v>
      </c>
      <c r="K3" s="1" t="s">
        <v>14</v>
      </c>
      <c r="L3" s="3">
        <v>875</v>
      </c>
      <c r="M3" s="1">
        <v>705</v>
      </c>
      <c r="N3" s="1" t="s">
        <v>33</v>
      </c>
      <c r="O3" s="1" t="s">
        <v>34</v>
      </c>
    </row>
    <row r="4" spans="1:15" x14ac:dyDescent="0.25">
      <c r="A4" s="1" t="s">
        <v>15</v>
      </c>
      <c r="B4" s="1" t="s">
        <v>36</v>
      </c>
      <c r="C4" s="1" t="s">
        <v>18</v>
      </c>
      <c r="D4" s="1" t="s">
        <v>19</v>
      </c>
      <c r="E4" s="1" t="str">
        <f t="shared" si="0"/>
        <v>Donna Hendrickson</v>
      </c>
      <c r="F4" s="1">
        <v>342179701</v>
      </c>
      <c r="G4" s="1" t="str">
        <f t="shared" si="1"/>
        <v>3421797013</v>
      </c>
      <c r="H4" s="2">
        <v>45839</v>
      </c>
      <c r="I4" s="2">
        <v>45870</v>
      </c>
      <c r="J4" s="1" t="s">
        <v>13</v>
      </c>
      <c r="K4" s="1" t="s">
        <v>14</v>
      </c>
      <c r="L4" s="3">
        <v>875</v>
      </c>
      <c r="M4" s="1">
        <v>705</v>
      </c>
      <c r="N4" s="1" t="s">
        <v>33</v>
      </c>
      <c r="O4" s="1" t="s">
        <v>34</v>
      </c>
    </row>
    <row r="5" spans="1:15" x14ac:dyDescent="0.25">
      <c r="A5" s="1" t="s">
        <v>35</v>
      </c>
      <c r="B5" s="1">
        <v>20411454</v>
      </c>
      <c r="C5" s="1" t="s">
        <v>11</v>
      </c>
      <c r="D5" s="1" t="s">
        <v>12</v>
      </c>
      <c r="E5" s="1" t="str">
        <f>CONCATENATE(C5, " ",D5)</f>
        <v>Lori Greenwood</v>
      </c>
      <c r="F5" s="1">
        <v>341735601</v>
      </c>
      <c r="G5" s="1" t="str">
        <f>CONCATENATE(F5,1)</f>
        <v>3417356011</v>
      </c>
      <c r="H5" s="2">
        <v>45839</v>
      </c>
      <c r="I5" s="2">
        <v>45870</v>
      </c>
      <c r="J5" s="1" t="s">
        <v>13</v>
      </c>
      <c r="K5" s="1" t="s">
        <v>14</v>
      </c>
      <c r="L5" s="3">
        <v>875</v>
      </c>
      <c r="M5" s="1">
        <f>875-705</f>
        <v>170</v>
      </c>
      <c r="N5" s="1" t="s">
        <v>32</v>
      </c>
    </row>
    <row r="6" spans="1:15" x14ac:dyDescent="0.25">
      <c r="A6" s="1" t="s">
        <v>35</v>
      </c>
      <c r="B6" s="1">
        <v>20411454</v>
      </c>
      <c r="C6" s="1" t="s">
        <v>16</v>
      </c>
      <c r="D6" s="1" t="s">
        <v>17</v>
      </c>
      <c r="E6" s="1" t="str">
        <f t="shared" ref="E6:E7" si="2">CONCATENATE(C6, " ",D6)</f>
        <v>Debra Harris</v>
      </c>
      <c r="F6" s="1">
        <v>341791301</v>
      </c>
      <c r="G6" s="1" t="str">
        <f t="shared" ref="G6:G13" si="3">CONCATENATE(F6,1)</f>
        <v>3417913011</v>
      </c>
      <c r="H6" s="2">
        <v>45839</v>
      </c>
      <c r="I6" s="2">
        <v>45870</v>
      </c>
      <c r="J6" s="1" t="s">
        <v>13</v>
      </c>
      <c r="K6" s="1" t="s">
        <v>14</v>
      </c>
      <c r="L6" s="3">
        <v>875</v>
      </c>
      <c r="M6" s="1">
        <f t="shared" ref="M6:M7" si="4">875-705</f>
        <v>170</v>
      </c>
      <c r="N6" s="1" t="s">
        <v>32</v>
      </c>
    </row>
    <row r="7" spans="1:15" x14ac:dyDescent="0.25">
      <c r="A7" s="1" t="s">
        <v>35</v>
      </c>
      <c r="B7" s="1">
        <v>20411454</v>
      </c>
      <c r="C7" s="1" t="s">
        <v>18</v>
      </c>
      <c r="D7" s="1" t="s">
        <v>19</v>
      </c>
      <c r="E7" s="1" t="str">
        <f t="shared" si="2"/>
        <v>Donna Hendrickson</v>
      </c>
      <c r="F7" s="1">
        <v>342179701</v>
      </c>
      <c r="G7" s="1" t="str">
        <f t="shared" si="3"/>
        <v>3421797011</v>
      </c>
      <c r="H7" s="2">
        <v>45839</v>
      </c>
      <c r="I7" s="2">
        <v>45870</v>
      </c>
      <c r="J7" s="1" t="s">
        <v>13</v>
      </c>
      <c r="K7" s="1" t="s">
        <v>14</v>
      </c>
      <c r="L7" s="3">
        <v>875</v>
      </c>
      <c r="M7" s="1">
        <f t="shared" si="4"/>
        <v>170</v>
      </c>
      <c r="N7" s="1" t="s">
        <v>32</v>
      </c>
    </row>
    <row r="8" spans="1:15" x14ac:dyDescent="0.25">
      <c r="A8" s="1" t="s">
        <v>35</v>
      </c>
      <c r="B8" s="1">
        <v>20411454</v>
      </c>
      <c r="C8" s="1" t="s">
        <v>20</v>
      </c>
      <c r="D8" s="1" t="s">
        <v>21</v>
      </c>
      <c r="E8" s="1" t="str">
        <f t="shared" si="0"/>
        <v>Mary Conklin</v>
      </c>
      <c r="F8" s="1">
        <v>341954101</v>
      </c>
      <c r="G8" s="1" t="str">
        <f t="shared" si="3"/>
        <v>3419541011</v>
      </c>
      <c r="H8" s="2">
        <v>45839</v>
      </c>
      <c r="I8" s="2">
        <v>45870</v>
      </c>
      <c r="J8" s="1" t="s">
        <v>13</v>
      </c>
      <c r="K8" s="1" t="s">
        <v>14</v>
      </c>
      <c r="L8" s="3">
        <v>65</v>
      </c>
      <c r="M8" s="3">
        <v>65</v>
      </c>
      <c r="N8" s="1" t="s">
        <v>32</v>
      </c>
    </row>
    <row r="9" spans="1:15" x14ac:dyDescent="0.25">
      <c r="A9" s="1" t="s">
        <v>35</v>
      </c>
      <c r="B9" s="1">
        <v>20411454</v>
      </c>
      <c r="C9" s="1" t="s">
        <v>22</v>
      </c>
      <c r="D9" s="1" t="s">
        <v>23</v>
      </c>
      <c r="E9" s="1" t="str">
        <f t="shared" si="0"/>
        <v>Gerald Foley Jr</v>
      </c>
      <c r="F9" s="1">
        <v>342234901</v>
      </c>
      <c r="G9" s="1" t="str">
        <f t="shared" si="3"/>
        <v>3422349011</v>
      </c>
      <c r="H9" s="2">
        <v>45839</v>
      </c>
      <c r="I9" s="2">
        <v>45870</v>
      </c>
      <c r="J9" s="1" t="s">
        <v>13</v>
      </c>
      <c r="K9" s="1" t="s">
        <v>14</v>
      </c>
      <c r="L9" s="3">
        <v>65</v>
      </c>
      <c r="M9" s="3">
        <v>65</v>
      </c>
      <c r="N9" s="1" t="s">
        <v>32</v>
      </c>
    </row>
    <row r="10" spans="1:15" x14ac:dyDescent="0.25">
      <c r="A10" s="1" t="s">
        <v>35</v>
      </c>
      <c r="B10" s="1">
        <v>20411454</v>
      </c>
      <c r="C10" s="1" t="s">
        <v>24</v>
      </c>
      <c r="D10" s="1" t="s">
        <v>25</v>
      </c>
      <c r="E10" s="1" t="str">
        <f t="shared" si="0"/>
        <v>Kenneth Kryl</v>
      </c>
      <c r="F10" s="1">
        <v>341806601</v>
      </c>
      <c r="G10" s="1" t="str">
        <f t="shared" si="3"/>
        <v>3418066011</v>
      </c>
      <c r="H10" s="2">
        <v>45839</v>
      </c>
      <c r="I10" s="2">
        <v>45870</v>
      </c>
      <c r="J10" s="1" t="s">
        <v>13</v>
      </c>
      <c r="K10" s="1" t="s">
        <v>14</v>
      </c>
      <c r="L10" s="3">
        <v>65</v>
      </c>
      <c r="M10" s="3">
        <v>65</v>
      </c>
      <c r="N10" s="1" t="s">
        <v>32</v>
      </c>
    </row>
    <row r="11" spans="1:15" x14ac:dyDescent="0.25">
      <c r="A11" s="1" t="s">
        <v>35</v>
      </c>
      <c r="B11" s="1">
        <v>20411454</v>
      </c>
      <c r="C11" s="1" t="s">
        <v>26</v>
      </c>
      <c r="D11" s="1" t="s">
        <v>27</v>
      </c>
      <c r="E11" s="1" t="str">
        <f t="shared" si="0"/>
        <v>Rita Miller</v>
      </c>
      <c r="F11" s="1">
        <v>341661701</v>
      </c>
      <c r="G11" s="1" t="str">
        <f t="shared" si="3"/>
        <v>3416617011</v>
      </c>
      <c r="H11" s="2">
        <v>45839</v>
      </c>
      <c r="I11" s="2">
        <v>45870</v>
      </c>
      <c r="J11" s="1" t="s">
        <v>13</v>
      </c>
      <c r="K11" s="1" t="s">
        <v>14</v>
      </c>
      <c r="L11" s="3">
        <v>65</v>
      </c>
      <c r="M11" s="3">
        <v>65</v>
      </c>
      <c r="N11" s="1" t="s">
        <v>32</v>
      </c>
    </row>
    <row r="12" spans="1:15" x14ac:dyDescent="0.25">
      <c r="A12" s="1" t="s">
        <v>35</v>
      </c>
      <c r="B12" s="1">
        <v>20411454</v>
      </c>
      <c r="C12" s="1" t="s">
        <v>28</v>
      </c>
      <c r="D12" s="1" t="s">
        <v>29</v>
      </c>
      <c r="E12" s="1" t="str">
        <f t="shared" si="0"/>
        <v>Janet Oesterling</v>
      </c>
      <c r="F12" s="1">
        <v>342246801</v>
      </c>
      <c r="G12" s="1" t="str">
        <f t="shared" si="3"/>
        <v>3422468011</v>
      </c>
      <c r="H12" s="2">
        <v>45839</v>
      </c>
      <c r="I12" s="2">
        <v>45870</v>
      </c>
      <c r="J12" s="1" t="s">
        <v>13</v>
      </c>
      <c r="K12" s="1" t="s">
        <v>14</v>
      </c>
      <c r="L12" s="3">
        <v>65</v>
      </c>
      <c r="M12" s="3">
        <v>65</v>
      </c>
      <c r="N12" s="1" t="s">
        <v>32</v>
      </c>
    </row>
    <row r="13" spans="1:15" x14ac:dyDescent="0.25">
      <c r="A13" s="1" t="s">
        <v>35</v>
      </c>
      <c r="B13" s="1">
        <v>20411454</v>
      </c>
      <c r="C13" s="1" t="s">
        <v>30</v>
      </c>
      <c r="D13" s="1" t="s">
        <v>31</v>
      </c>
      <c r="E13" s="1" t="str">
        <f t="shared" si="0"/>
        <v>Fred Ayres</v>
      </c>
      <c r="F13" s="1">
        <v>342074401</v>
      </c>
      <c r="G13" s="1" t="str">
        <f t="shared" si="3"/>
        <v>3420744011</v>
      </c>
      <c r="H13" s="2">
        <v>45839</v>
      </c>
      <c r="I13" s="2">
        <v>45870</v>
      </c>
      <c r="J13" s="1" t="s">
        <v>13</v>
      </c>
      <c r="K13" s="1" t="s">
        <v>14</v>
      </c>
      <c r="L13" s="3">
        <v>65</v>
      </c>
      <c r="M13" s="3">
        <v>65</v>
      </c>
      <c r="N13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Loula Irene Cabel</cp:lastModifiedBy>
  <dcterms:created xsi:type="dcterms:W3CDTF">2025-08-01T17:33:16Z</dcterms:created>
  <dcterms:modified xsi:type="dcterms:W3CDTF">2025-08-05T17:45:32Z</dcterms:modified>
</cp:coreProperties>
</file>