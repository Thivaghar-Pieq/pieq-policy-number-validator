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PMC\2025\Ritter\08-29-25 Ritter\"/>
    </mc:Choice>
  </mc:AlternateContent>
  <xr:revisionPtr revIDLastSave="0" documentId="13_ncr:1_{E516368B-A945-4B58-A01E-909F9C0DE82C}" xr6:coauthVersionLast="47" xr6:coauthVersionMax="47" xr10:uidLastSave="{00000000-0000-0000-0000-000000000000}"/>
  <bookViews>
    <workbookView xWindow="28680" yWindow="-120" windowWidth="29040" windowHeight="16440" activeTab="1" xr2:uid="{98187221-CCBE-463C-A6DC-9A6CCBE0A2A3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" i="2" l="1"/>
  <c r="G8" i="2"/>
  <c r="G7" i="2"/>
  <c r="G6" i="2"/>
  <c r="G5" i="2"/>
  <c r="G4" i="2"/>
  <c r="G2" i="2"/>
  <c r="E4" i="2"/>
  <c r="E3" i="2"/>
  <c r="E5" i="2"/>
  <c r="E6" i="2"/>
  <c r="E7" i="2"/>
  <c r="E8" i="2"/>
  <c r="E2" i="2"/>
</calcChain>
</file>

<file path=xl/sharedStrings.xml><?xml version="1.0" encoding="utf-8"?>
<sst xmlns="http://schemas.openxmlformats.org/spreadsheetml/2006/main" count="100" uniqueCount="39">
  <si>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</si>
  <si>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</si>
  <si>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</si>
  <si>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</si>
  <si>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</si>
  <si>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</si>
  <si>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</si>
  <si>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</si>
  <si>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</si>
  <si>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</si>
  <si>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</si>
  <si>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Chad Bender</t>
  </si>
  <si>
    <t>Fred</t>
  </si>
  <si>
    <t>Noel</t>
  </si>
  <si>
    <t>UPMC</t>
  </si>
  <si>
    <t>UPMC 2025 PA Full</t>
  </si>
  <si>
    <t>Deborah Inskipt</t>
  </si>
  <si>
    <t>RI641</t>
  </si>
  <si>
    <t>Janice</t>
  </si>
  <si>
    <t>Snedeker</t>
  </si>
  <si>
    <t>Timothy Powers</t>
  </si>
  <si>
    <t>RI638</t>
  </si>
  <si>
    <t>Jana</t>
  </si>
  <si>
    <t>Becker</t>
  </si>
  <si>
    <t>Noreen</t>
  </si>
  <si>
    <t>Siedlecki</t>
  </si>
  <si>
    <t>Margaret</t>
  </si>
  <si>
    <t>Freehling</t>
  </si>
  <si>
    <t>UPMC 2025 PA 8/1 Eff Replacement</t>
  </si>
  <si>
    <t>Margaret Smith</t>
  </si>
  <si>
    <t>RI661</t>
  </si>
  <si>
    <t>Jaime</t>
  </si>
  <si>
    <t>Blystone</t>
  </si>
  <si>
    <t>UPMC 2025 PA 8/1 Eff Initial</t>
  </si>
  <si>
    <t>UPMC MAPD 2025 CT, PA, DC</t>
  </si>
  <si>
    <t>UPMC Ovr</t>
  </si>
  <si>
    <t>[%/$=705]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</si>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</sst>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0" fontId="1" fillId="0" borderId="0" xfId="0" applyFont="1" applyFill="1"/>
    <xf numFmtId="14" fontId="1" fillId="0" borderId="0" xfId="0" applyNumberFormat="1" applyFont="1" applyFill="1"/>
    <xf numFmtId="8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2F68-A612-4636-980F-96E60AAC0D58}">
  <dimension ref="A1:M7"/>
  <sheetViews>
    <sheetView workbookViewId="0">
      <selection sqref="A1:XFD1048576"/>
    </sheetView>
  </sheetViews>
  <sheetFormatPr defaultRowHeight="15" x14ac:dyDescent="0.25"/>
  <cols>
    <col min="6" max="6" width="10.85546875" bestFit="1" customWidth="1"/>
    <col min="8" max="8" width="14.7109375" bestFit="1" customWidth="1"/>
    <col min="10" max="10" width="3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3" x14ac:dyDescent="0.25">
      <c r="A2" t="s">
        <v>11</v>
      </c>
      <c r="C2">
        <v>18598357</v>
      </c>
      <c r="D2" t="s">
        <v>12</v>
      </c>
      <c r="E2" t="s">
        <v>13</v>
      </c>
      <c r="F2">
        <v>341803301</v>
      </c>
      <c r="G2" s="1">
        <v>45870</v>
      </c>
      <c r="H2" s="1">
        <v>45898</v>
      </c>
      <c r="I2" t="s">
        <v>14</v>
      </c>
      <c r="J2" t="s">
        <v>15</v>
      </c>
      <c r="K2" s="2">
        <v>170</v>
      </c>
    </row>
    <row r="3" spans="1:13" x14ac:dyDescent="0.25">
      <c r="A3" t="s">
        <v>16</v>
      </c>
      <c r="B3" t="s">
        <v>17</v>
      </c>
      <c r="C3">
        <v>17528908</v>
      </c>
      <c r="D3" t="s">
        <v>18</v>
      </c>
      <c r="E3" t="s">
        <v>19</v>
      </c>
      <c r="F3">
        <v>342116001</v>
      </c>
      <c r="G3" s="1">
        <v>45870</v>
      </c>
      <c r="H3" s="1">
        <v>45898</v>
      </c>
      <c r="I3" t="s">
        <v>14</v>
      </c>
      <c r="J3" t="s">
        <v>15</v>
      </c>
      <c r="K3" s="2">
        <v>875</v>
      </c>
      <c r="M3" s="2"/>
    </row>
    <row r="4" spans="1:13" x14ac:dyDescent="0.25">
      <c r="A4" t="s">
        <v>20</v>
      </c>
      <c r="B4" t="s">
        <v>21</v>
      </c>
      <c r="C4">
        <v>17886092</v>
      </c>
      <c r="D4" t="s">
        <v>22</v>
      </c>
      <c r="E4" t="s">
        <v>23</v>
      </c>
      <c r="F4">
        <v>342106501</v>
      </c>
      <c r="G4" s="1">
        <v>45870</v>
      </c>
      <c r="H4" s="1">
        <v>45898</v>
      </c>
      <c r="I4" t="s">
        <v>14</v>
      </c>
      <c r="J4" t="s">
        <v>15</v>
      </c>
      <c r="K4" s="2">
        <v>65</v>
      </c>
    </row>
    <row r="5" spans="1:13" x14ac:dyDescent="0.25">
      <c r="A5" t="s">
        <v>20</v>
      </c>
      <c r="B5" t="s">
        <v>21</v>
      </c>
      <c r="C5">
        <v>17886092</v>
      </c>
      <c r="D5" t="s">
        <v>24</v>
      </c>
      <c r="E5" t="s">
        <v>25</v>
      </c>
      <c r="F5">
        <v>342618901</v>
      </c>
      <c r="G5" s="1">
        <v>45870</v>
      </c>
      <c r="H5" s="1">
        <v>45898</v>
      </c>
      <c r="I5" t="s">
        <v>14</v>
      </c>
      <c r="J5" t="s">
        <v>15</v>
      </c>
      <c r="K5" s="2">
        <v>65</v>
      </c>
    </row>
    <row r="6" spans="1:13" x14ac:dyDescent="0.25">
      <c r="A6" t="s">
        <v>20</v>
      </c>
      <c r="B6" t="s">
        <v>21</v>
      </c>
      <c r="C6">
        <v>17886092</v>
      </c>
      <c r="D6" t="s">
        <v>26</v>
      </c>
      <c r="E6" t="s">
        <v>27</v>
      </c>
      <c r="F6">
        <v>300670201</v>
      </c>
      <c r="G6" s="1">
        <v>45870</v>
      </c>
      <c r="H6" s="1">
        <v>45898</v>
      </c>
      <c r="I6" t="s">
        <v>14</v>
      </c>
      <c r="J6" t="s">
        <v>28</v>
      </c>
      <c r="K6" s="2">
        <v>30</v>
      </c>
    </row>
    <row r="7" spans="1:13" x14ac:dyDescent="0.25">
      <c r="A7" t="s">
        <v>29</v>
      </c>
      <c r="B7" t="s">
        <v>30</v>
      </c>
      <c r="C7">
        <v>20253958</v>
      </c>
      <c r="D7" t="s">
        <v>31</v>
      </c>
      <c r="E7" t="s">
        <v>32</v>
      </c>
      <c r="F7">
        <v>342618801</v>
      </c>
      <c r="G7" s="1">
        <v>45870</v>
      </c>
      <c r="H7" s="1">
        <v>45898</v>
      </c>
      <c r="I7" t="s">
        <v>14</v>
      </c>
      <c r="J7" t="s">
        <v>33</v>
      </c>
      <c r="K7" s="2">
        <v>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3197F-BE2A-465B-8F53-61CAA9C437F5}">
  <dimension ref="A1:O8"/>
  <sheetViews>
    <sheetView tabSelected="1" workbookViewId="0">
      <selection activeCell="O2" sqref="O2:O8"/>
    </sheetView>
  </sheetViews>
  <sheetFormatPr defaultRowHeight="15" x14ac:dyDescent="0.25"/>
  <cols>
    <col min="1" max="1" width="17.7109375" style="3" bestFit="1" customWidth="1"/>
    <col min="2" max="2" width="10.7109375" style="3" bestFit="1" customWidth="1"/>
    <col min="3" max="3" width="10.5703125" style="3" bestFit="1" customWidth="1"/>
    <col min="4" max="4" width="10.140625" style="3" bestFit="1" customWidth="1"/>
    <col min="5" max="5" width="18.140625" style="3" bestFit="1" customWidth="1"/>
    <col min="6" max="6" width="10.85546875" style="3" bestFit="1" customWidth="1"/>
    <col min="7" max="7" width="11" style="3" bestFit="1" customWidth="1"/>
    <col min="8" max="8" width="11.85546875" style="3" bestFit="1" customWidth="1"/>
    <col min="9" max="9" width="14.7109375" style="3" bestFit="1" customWidth="1"/>
    <col min="10" max="10" width="9.140625" style="3"/>
    <col min="11" max="11" width="32.5703125" style="3" bestFit="1" customWidth="1"/>
    <col min="12" max="13" width="9.140625" style="3"/>
    <col min="14" max="14" width="26.5703125" style="3" bestFit="1" customWidth="1"/>
    <col min="15" max="16384" width="9.140625" style="3"/>
  </cols>
  <sheetData>
    <row r="1" spans="1:15" x14ac:dyDescent="0.25">
      <c r="A1" s="3" t="s">
        <v>0</v>
      </c>
      <c r="B1" s="3" t="s">
        <v>2</v>
      </c>
      <c r="C1" s="3" t="s">
        <v>3</v>
      </c>
      <c r="D1" s="3" t="s">
        <v>4</v>
      </c>
      <c r="F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 spans="1:15" x14ac:dyDescent="0.25">
      <c r="A2" s="3" t="s">
        <v>37</v>
      </c>
      <c r="B2" s="3">
        <v>20411454</v>
      </c>
      <c r="C2" s="3" t="s">
        <v>12</v>
      </c>
      <c r="D2" s="3" t="s">
        <v>13</v>
      </c>
      <c r="E2" s="3" t="str">
        <f>CONCATENATE(C2, " ",D2)</f>
        <v>Fred Noel</v>
      </c>
      <c r="F2" s="3">
        <v>341803301</v>
      </c>
      <c r="G2" s="3" t="str">
        <f>CONCATENATE(F2,1)</f>
        <v>3418033011</v>
      </c>
      <c r="H2" s="4">
        <v>45870</v>
      </c>
      <c r="I2" s="4">
        <v>45898</v>
      </c>
      <c r="J2" s="3" t="s">
        <v>14</v>
      </c>
      <c r="K2" s="3" t="s">
        <v>15</v>
      </c>
      <c r="L2" s="5">
        <v>170</v>
      </c>
      <c r="M2" s="5">
        <v>170</v>
      </c>
      <c r="N2" s="3" t="s">
        <v>35</v>
      </c>
    </row>
    <row r="3" spans="1:15" x14ac:dyDescent="0.25">
      <c r="A3" s="3" t="s">
        <v>16</v>
      </c>
      <c r="B3" s="3" t="s">
        <v>38</v>
      </c>
      <c r="C3" s="3" t="s">
        <v>18</v>
      </c>
      <c r="D3" s="3" t="s">
        <v>19</v>
      </c>
      <c r="E3" s="3" t="str">
        <f t="shared" ref="E3:E8" si="0">CONCATENATE(C3, " ",D3)</f>
        <v>Janice Snedeker</v>
      </c>
      <c r="F3" s="3">
        <v>342116001</v>
      </c>
      <c r="G3" s="3" t="str">
        <f>CONCATENATE(F3,3)</f>
        <v>3421160013</v>
      </c>
      <c r="H3" s="4">
        <v>45870</v>
      </c>
      <c r="I3" s="4">
        <v>45898</v>
      </c>
      <c r="J3" s="3" t="s">
        <v>14</v>
      </c>
      <c r="K3" s="3" t="s">
        <v>15</v>
      </c>
      <c r="L3" s="5">
        <v>875</v>
      </c>
      <c r="M3" s="5">
        <v>705</v>
      </c>
      <c r="N3" s="5" t="s">
        <v>34</v>
      </c>
      <c r="O3" s="3" t="s">
        <v>36</v>
      </c>
    </row>
    <row r="4" spans="1:15" x14ac:dyDescent="0.25">
      <c r="A4" s="3" t="s">
        <v>37</v>
      </c>
      <c r="B4" s="3">
        <v>20411454</v>
      </c>
      <c r="C4" s="3" t="s">
        <v>18</v>
      </c>
      <c r="D4" s="3" t="s">
        <v>19</v>
      </c>
      <c r="E4" s="3" t="str">
        <f t="shared" ref="E4" si="1">CONCATENATE(C4, " ",D4)</f>
        <v>Janice Snedeker</v>
      </c>
      <c r="F4" s="3">
        <v>342116001</v>
      </c>
      <c r="G4" s="3" t="str">
        <f t="shared" ref="G4:G8" si="2">CONCATENATE(F4,1)</f>
        <v>3421160011</v>
      </c>
      <c r="H4" s="4">
        <v>45870</v>
      </c>
      <c r="I4" s="4">
        <v>45898</v>
      </c>
      <c r="J4" s="3" t="s">
        <v>14</v>
      </c>
      <c r="K4" s="3" t="s">
        <v>15</v>
      </c>
      <c r="L4" s="5">
        <v>875</v>
      </c>
      <c r="M4" s="5">
        <v>170</v>
      </c>
      <c r="N4" s="3" t="s">
        <v>35</v>
      </c>
    </row>
    <row r="5" spans="1:15" x14ac:dyDescent="0.25">
      <c r="A5" s="3" t="s">
        <v>37</v>
      </c>
      <c r="B5" s="3">
        <v>20411454</v>
      </c>
      <c r="C5" s="3" t="s">
        <v>22</v>
      </c>
      <c r="D5" s="3" t="s">
        <v>23</v>
      </c>
      <c r="E5" s="3" t="str">
        <f t="shared" si="0"/>
        <v>Jana Becker</v>
      </c>
      <c r="F5" s="3">
        <v>342106501</v>
      </c>
      <c r="G5" s="3" t="str">
        <f t="shared" si="2"/>
        <v>3421065011</v>
      </c>
      <c r="H5" s="4">
        <v>45870</v>
      </c>
      <c r="I5" s="4">
        <v>45898</v>
      </c>
      <c r="J5" s="3" t="s">
        <v>14</v>
      </c>
      <c r="K5" s="3" t="s">
        <v>15</v>
      </c>
      <c r="L5" s="5">
        <v>65</v>
      </c>
      <c r="M5" s="5">
        <v>65</v>
      </c>
      <c r="N5" s="3" t="s">
        <v>35</v>
      </c>
    </row>
    <row r="6" spans="1:15" x14ac:dyDescent="0.25">
      <c r="A6" s="3" t="s">
        <v>37</v>
      </c>
      <c r="B6" s="3">
        <v>20411454</v>
      </c>
      <c r="C6" s="3" t="s">
        <v>24</v>
      </c>
      <c r="D6" s="3" t="s">
        <v>25</v>
      </c>
      <c r="E6" s="3" t="str">
        <f t="shared" si="0"/>
        <v>Noreen Siedlecki</v>
      </c>
      <c r="F6" s="3">
        <v>342618901</v>
      </c>
      <c r="G6" s="3" t="str">
        <f t="shared" si="2"/>
        <v>3426189011</v>
      </c>
      <c r="H6" s="4">
        <v>45870</v>
      </c>
      <c r="I6" s="4">
        <v>45898</v>
      </c>
      <c r="J6" s="3" t="s">
        <v>14</v>
      </c>
      <c r="K6" s="3" t="s">
        <v>15</v>
      </c>
      <c r="L6" s="5">
        <v>65</v>
      </c>
      <c r="M6" s="5">
        <v>65</v>
      </c>
      <c r="N6" s="3" t="s">
        <v>35</v>
      </c>
    </row>
    <row r="7" spans="1:15" x14ac:dyDescent="0.25">
      <c r="A7" s="3" t="s">
        <v>37</v>
      </c>
      <c r="B7" s="3">
        <v>20411454</v>
      </c>
      <c r="C7" s="3" t="s">
        <v>26</v>
      </c>
      <c r="D7" s="3" t="s">
        <v>27</v>
      </c>
      <c r="E7" s="3" t="str">
        <f t="shared" si="0"/>
        <v>Margaret Freehling</v>
      </c>
      <c r="F7" s="3">
        <v>300670201</v>
      </c>
      <c r="G7" s="3" t="str">
        <f t="shared" si="2"/>
        <v>3006702011</v>
      </c>
      <c r="H7" s="4">
        <v>45870</v>
      </c>
      <c r="I7" s="4">
        <v>45898</v>
      </c>
      <c r="J7" s="3" t="s">
        <v>14</v>
      </c>
      <c r="K7" s="3" t="s">
        <v>28</v>
      </c>
      <c r="L7" s="5">
        <v>30</v>
      </c>
      <c r="M7" s="5">
        <v>30</v>
      </c>
      <c r="N7" s="3" t="s">
        <v>35</v>
      </c>
    </row>
    <row r="8" spans="1:15" x14ac:dyDescent="0.25">
      <c r="A8" s="3" t="s">
        <v>37</v>
      </c>
      <c r="B8" s="3">
        <v>20411454</v>
      </c>
      <c r="C8" s="3" t="s">
        <v>31</v>
      </c>
      <c r="D8" s="3" t="s">
        <v>32</v>
      </c>
      <c r="E8" s="3" t="str">
        <f t="shared" si="0"/>
        <v>Jaime Blystone</v>
      </c>
      <c r="F8" s="3">
        <v>342618801</v>
      </c>
      <c r="G8" s="3" t="str">
        <f t="shared" si="2"/>
        <v>3426188011</v>
      </c>
      <c r="H8" s="4">
        <v>45870</v>
      </c>
      <c r="I8" s="4">
        <v>45898</v>
      </c>
      <c r="J8" s="3" t="s">
        <v>14</v>
      </c>
      <c r="K8" s="3" t="s">
        <v>33</v>
      </c>
      <c r="L8" s="5">
        <v>65</v>
      </c>
      <c r="M8" s="5">
        <v>65</v>
      </c>
      <c r="N8" s="3" t="s">
        <v>35</v>
      </c>
    </row>
  </sheetData>
  <pageMargins left="0.7" right="0.7" top="0.75" bottom="0.75" header="0.3" footer="0.3"/>
  <ignoredErrors>
    <ignoredError sqref="G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2025-09-02T16:06:07Z</dcterms:created>
  <dcterms:modified xsi:type="dcterms:W3CDTF">2025-09-03T18:27:07Z</dcterms:modified>
</cp:coreProperties>
</file>