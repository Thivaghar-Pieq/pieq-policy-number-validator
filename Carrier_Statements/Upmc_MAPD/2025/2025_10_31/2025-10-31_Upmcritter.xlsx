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Ritter\10-31-25 Ritter\"/>
    </mc:Choice>
  </mc:AlternateContent>
  <xr:revisionPtr revIDLastSave="0" documentId="13_ncr:1_{355AB3A9-CCB9-4352-BA90-78E9FEFC37A5}" xr6:coauthVersionLast="47" xr6:coauthVersionMax="47" xr10:uidLastSave="{00000000-0000-0000-0000-000000000000}"/>
  <bookViews>
    <workbookView xWindow="28680" yWindow="-120" windowWidth="29040" windowHeight="16440" xr2:uid="{159F619E-861B-4770-BCD5-725B0B5E2F6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<sst xmlns="http://schemas.openxmlformats.org/spreadsheetml/2006/main" count="73" uniqueCount="30">
  <si>
    <t>Scott Aguglia</t>
  </si>
  <si>
    <t>Rose</t>
  </si>
  <si>
    <t>Haller</t>
  </si>
  <si>
    <t>UPMC</t>
  </si>
  <si>
    <t>UPMC 2025 PA Full</t>
  </si>
  <si>
    <t>Chad Bender</t>
  </si>
  <si>
    <t>Kevin</t>
  </si>
  <si>
    <t>Ulrich</t>
  </si>
  <si>
    <t>Deborah Powers</t>
  </si>
  <si>
    <t>Justin</t>
  </si>
  <si>
    <t>Kearns</t>
  </si>
  <si>
    <t>Margaret Smith</t>
  </si>
  <si>
    <t>RI661</t>
  </si>
  <si>
    <t>Henry</t>
  </si>
  <si>
    <t>Winwood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</si>
  <si>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</si>
  <si>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</si>
  <si>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</si>
  <si>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</si>
  <si>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</si>
  <si>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</si>
  <si>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</si>
  <si>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</si>
  <si>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</si>
  <si>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</si>
  <si>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</si>
  <si>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UPMC MAPD 2025 CT, PA, DC</t>
  </si>
  <si>
    <t>UPMC Ovr</t>
  </si>
  <si>
    <t>Main Line Benefits</t>
  </si>
  <si>
    <t>[%/$=705]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</si>
</sst>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88F3-7821-4A7A-9C46-ACFC91835554}">
  <dimension ref="A1:K5"/>
  <sheetViews>
    <sheetView tabSelected="1" workbookViewId="0">
      <selection activeCell="K1" sqref="K1:K1048576"/>
    </sheetView>
  </sheetViews>
  <sheetFormatPr defaultRowHeight="15" x14ac:dyDescent="0.25"/>
  <cols>
    <col min="1" max="1" width="15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17.5703125" bestFit="1" customWidth="1"/>
    <col min="11" max="11" width="15.7109375" bestFit="1" customWidth="1"/>
  </cols>
  <sheetData>
    <row r="1" spans="1:11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25">
      <c r="A2" t="s">
        <v>0</v>
      </c>
      <c r="C2">
        <v>8971826</v>
      </c>
      <c r="D2" t="s">
        <v>1</v>
      </c>
      <c r="E2" t="s">
        <v>2</v>
      </c>
      <c r="F2">
        <v>610108801</v>
      </c>
      <c r="G2" s="1">
        <v>40203</v>
      </c>
      <c r="H2" s="1">
        <v>45961</v>
      </c>
      <c r="I2" t="s">
        <v>3</v>
      </c>
      <c r="J2" t="s">
        <v>4</v>
      </c>
      <c r="K2" s="2">
        <v>875</v>
      </c>
    </row>
    <row r="3" spans="1:11" x14ac:dyDescent="0.25">
      <c r="A3" t="s">
        <v>5</v>
      </c>
      <c r="C3">
        <v>18598357</v>
      </c>
      <c r="D3" t="s">
        <v>6</v>
      </c>
      <c r="E3" t="s">
        <v>7</v>
      </c>
      <c r="F3">
        <v>342537001</v>
      </c>
      <c r="G3" s="1">
        <v>40203</v>
      </c>
      <c r="H3" s="1">
        <v>45961</v>
      </c>
      <c r="I3" t="s">
        <v>3</v>
      </c>
      <c r="J3" t="s">
        <v>4</v>
      </c>
      <c r="K3" s="2">
        <v>170</v>
      </c>
    </row>
    <row r="4" spans="1:11" x14ac:dyDescent="0.25">
      <c r="A4" t="s">
        <v>8</v>
      </c>
      <c r="C4">
        <v>19606009</v>
      </c>
      <c r="D4" t="s">
        <v>9</v>
      </c>
      <c r="E4" t="s">
        <v>10</v>
      </c>
      <c r="F4">
        <v>610238601</v>
      </c>
      <c r="G4" s="1">
        <v>40203</v>
      </c>
      <c r="H4" s="1">
        <v>45961</v>
      </c>
      <c r="I4" t="s">
        <v>3</v>
      </c>
      <c r="J4" t="s">
        <v>4</v>
      </c>
      <c r="K4" s="2">
        <v>65</v>
      </c>
    </row>
    <row r="5" spans="1:11" x14ac:dyDescent="0.25">
      <c r="A5" t="s">
        <v>11</v>
      </c>
      <c r="B5" t="s">
        <v>12</v>
      </c>
      <c r="C5">
        <v>20253958</v>
      </c>
      <c r="D5" t="s">
        <v>13</v>
      </c>
      <c r="E5" t="s">
        <v>14</v>
      </c>
      <c r="F5">
        <v>610125601</v>
      </c>
      <c r="G5" s="1">
        <v>40203</v>
      </c>
      <c r="H5" s="1">
        <v>45961</v>
      </c>
      <c r="I5" t="s">
        <v>3</v>
      </c>
      <c r="J5" t="s">
        <v>4</v>
      </c>
      <c r="K5" s="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34B0-CFE4-470D-8E06-DFAED4FD4973}">
  <dimension ref="A1:O6"/>
  <sheetViews>
    <sheetView workbookViewId="0">
      <selection activeCell="O8" sqref="O8"/>
    </sheetView>
  </sheetViews>
  <sheetFormatPr defaultRowHeight="15" x14ac:dyDescent="0.25"/>
  <cols>
    <col min="1" max="1" width="15.710937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0.140625" customWidth="1"/>
    <col min="6" max="6" width="10.85546875" bestFit="1" customWidth="1"/>
    <col min="7" max="7" width="14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17.5703125" bestFit="1" customWidth="1"/>
    <col min="12" max="12" width="15.7109375" bestFit="1" customWidth="1"/>
    <col min="14" max="14" width="26.5703125" bestFit="1" customWidth="1"/>
  </cols>
  <sheetData>
    <row r="1" spans="1:15" x14ac:dyDescent="0.25">
      <c r="A1" t="s">
        <v>15</v>
      </c>
      <c r="B1" t="s">
        <v>17</v>
      </c>
      <c r="C1" t="s">
        <v>18</v>
      </c>
      <c r="D1" t="s">
        <v>19</v>
      </c>
      <c r="F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5" x14ac:dyDescent="0.25">
      <c r="A2" t="s">
        <v>0</v>
      </c>
      <c r="B2">
        <v>8971826</v>
      </c>
      <c r="C2" t="s">
        <v>1</v>
      </c>
      <c r="D2" t="s">
        <v>2</v>
      </c>
      <c r="E2" t="str">
        <f>CONCATENATE(C2, " ",D2)</f>
        <v>Rose Haller</v>
      </c>
      <c r="F2">
        <v>610108801</v>
      </c>
      <c r="G2" t="str">
        <f>CONCATENATE(F2,3)</f>
        <v>6101088013</v>
      </c>
      <c r="H2" s="1">
        <v>40203</v>
      </c>
      <c r="I2" s="1">
        <v>45961</v>
      </c>
      <c r="J2" t="s">
        <v>3</v>
      </c>
      <c r="K2" t="s">
        <v>4</v>
      </c>
      <c r="L2" s="2">
        <v>875</v>
      </c>
      <c r="M2">
        <v>705</v>
      </c>
      <c r="N2" t="s">
        <v>26</v>
      </c>
      <c r="O2" t="s">
        <v>29</v>
      </c>
    </row>
    <row r="3" spans="1:15" x14ac:dyDescent="0.25">
      <c r="A3" t="s">
        <v>28</v>
      </c>
      <c r="B3">
        <v>20411454</v>
      </c>
      <c r="C3" t="s">
        <v>1</v>
      </c>
      <c r="D3" t="s">
        <v>2</v>
      </c>
      <c r="E3" t="str">
        <f t="shared" ref="E3:E6" si="0">CONCATENATE(C3, " ",D3)</f>
        <v>Rose Haller</v>
      </c>
      <c r="F3">
        <v>610108801</v>
      </c>
      <c r="G3" t="str">
        <f>CONCATENATE(F3,"OVR")</f>
        <v>610108801OVR</v>
      </c>
      <c r="H3" s="1">
        <v>40203</v>
      </c>
      <c r="I3" s="1">
        <v>45961</v>
      </c>
      <c r="J3" t="s">
        <v>3</v>
      </c>
      <c r="K3" t="s">
        <v>4</v>
      </c>
      <c r="L3" s="2">
        <v>875</v>
      </c>
      <c r="M3">
        <v>170</v>
      </c>
      <c r="N3" t="s">
        <v>27</v>
      </c>
    </row>
    <row r="4" spans="1:15" x14ac:dyDescent="0.25">
      <c r="A4" t="s">
        <v>28</v>
      </c>
      <c r="B4">
        <v>20411454</v>
      </c>
      <c r="C4" t="s">
        <v>6</v>
      </c>
      <c r="D4" t="s">
        <v>7</v>
      </c>
      <c r="E4" t="str">
        <f t="shared" si="0"/>
        <v>Kevin Ulrich</v>
      </c>
      <c r="F4">
        <v>342537001</v>
      </c>
      <c r="G4" t="str">
        <f t="shared" ref="G4:G6" si="1">CONCATENATE(F4,"OVR")</f>
        <v>342537001OVR</v>
      </c>
      <c r="H4" s="1">
        <v>40203</v>
      </c>
      <c r="I4" s="1">
        <v>45961</v>
      </c>
      <c r="J4" t="s">
        <v>3</v>
      </c>
      <c r="K4" t="s">
        <v>4</v>
      </c>
      <c r="L4" s="2">
        <v>170</v>
      </c>
      <c r="M4" s="2">
        <v>170</v>
      </c>
      <c r="N4" t="s">
        <v>27</v>
      </c>
    </row>
    <row r="5" spans="1:15" x14ac:dyDescent="0.25">
      <c r="A5" t="s">
        <v>28</v>
      </c>
      <c r="B5">
        <v>20411454</v>
      </c>
      <c r="C5" t="s">
        <v>9</v>
      </c>
      <c r="D5" t="s">
        <v>10</v>
      </c>
      <c r="E5" t="str">
        <f t="shared" si="0"/>
        <v>Justin Kearns</v>
      </c>
      <c r="F5">
        <v>610238601</v>
      </c>
      <c r="G5" t="str">
        <f t="shared" si="1"/>
        <v>610238601OVR</v>
      </c>
      <c r="H5" s="1">
        <v>40203</v>
      </c>
      <c r="I5" s="1">
        <v>45961</v>
      </c>
      <c r="J5" t="s">
        <v>3</v>
      </c>
      <c r="K5" t="s">
        <v>4</v>
      </c>
      <c r="L5" s="2">
        <v>65</v>
      </c>
      <c r="M5" s="2">
        <v>65</v>
      </c>
      <c r="N5" t="s">
        <v>27</v>
      </c>
    </row>
    <row r="6" spans="1:15" x14ac:dyDescent="0.25">
      <c r="A6" t="s">
        <v>28</v>
      </c>
      <c r="B6">
        <v>20411454</v>
      </c>
      <c r="C6" t="s">
        <v>13</v>
      </c>
      <c r="D6" t="s">
        <v>14</v>
      </c>
      <c r="E6" t="str">
        <f t="shared" si="0"/>
        <v>Henry Winwood</v>
      </c>
      <c r="F6">
        <v>610125601</v>
      </c>
      <c r="G6" t="str">
        <f t="shared" si="1"/>
        <v>610125601OVR</v>
      </c>
      <c r="H6" s="1">
        <v>40203</v>
      </c>
      <c r="I6" s="1">
        <v>45961</v>
      </c>
      <c r="J6" t="s">
        <v>3</v>
      </c>
      <c r="K6" t="s">
        <v>4</v>
      </c>
      <c r="L6" s="2">
        <v>65</v>
      </c>
      <c r="M6" s="2">
        <v>65</v>
      </c>
      <c r="N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2025-10-31T15:54:53Z</dcterms:created>
  <dcterms:modified xsi:type="dcterms:W3CDTF">2025-10-31T21:26:15Z</dcterms:modified>
</cp:coreProperties>
</file>