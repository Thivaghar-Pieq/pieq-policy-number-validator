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4"/>
    <sheet state="visible" name="Details" sheetId="2" r:id="rId5"/>
    <sheet state="visible" name="Sheet1" sheetId="3" r:id="rId6"/>
  </sheets>
  <definedNames>
    <definedName hidden="1" localSheetId="1" name="_xlnm._FilterDatabase">Details!$A$1:$AF$1000</definedName>
  </definedNames>
  <calcPr/>
  <extLst>
    <ext uri="GoogleSheetsCustomDataVersion2">
      <go:sheetsCustomData xmlns:go="http://customooxmlschemas.google.com/" r:id="rId7" roundtripDataChecksum="T35Fmn7HJJgd9FOCpmTTZVLsFGH/W1fJgqI1dWOWvhM="/>
    </ext>
  </extLst>
</workbook>
</file>

<file path=xl/sharedStrings.xml><?xml version="1.0" encoding="utf-8"?>
<sst xmlns="http://schemas.openxmlformats.org/spreadsheetml/2006/main" count="6833" uniqueCount="901">
  <si>
    <t>Renewal Commission Statement</t>
  </si>
  <si>
    <t>AGENT</t>
  </si>
  <si>
    <t>Main Line Benefits LLC</t>
  </si>
  <si>
    <t>PERIOD</t>
  </si>
  <si>
    <t>February 2026 Renewals</t>
  </si>
  <si>
    <t>PAYOUT DATE</t>
  </si>
  <si>
    <t>03.06.2026</t>
  </si>
  <si>
    <t>Statement Totals</t>
  </si>
  <si>
    <t>Compensation Amount</t>
  </si>
  <si>
    <t>Renewal Commission</t>
  </si>
  <si>
    <t>Total Payout</t>
  </si>
  <si>
    <t>The Total Payout amount has been deposited into your account.</t>
  </si>
  <si>
    <t>Transaction Details</t>
  </si>
  <si>
    <t>Payout Type</t>
  </si>
  <si>
    <t>Member ID</t>
  </si>
  <si>
    <t>First Name</t>
  </si>
  <si>
    <t>Last Name</t>
  </si>
  <si>
    <t>Writing Agent ID</t>
  </si>
  <si>
    <t>Writing Agent Label</t>
  </si>
  <si>
    <t>Policy Number</t>
  </si>
  <si>
    <t>Product</t>
  </si>
  <si>
    <t>Benefit</t>
  </si>
  <si>
    <t>Posted Date</t>
  </si>
  <si>
    <t>Transaction</t>
  </si>
  <si>
    <t>Notes</t>
  </si>
  <si>
    <t>Comm. Amount</t>
  </si>
  <si>
    <t>Total</t>
  </si>
  <si>
    <t>Renewal</t>
  </si>
  <si>
    <t>685696048</t>
  </si>
  <si>
    <t>Teri</t>
  </si>
  <si>
    <t>Weissman</t>
  </si>
  <si>
    <t>Main Line Benefits - Carol Foley</t>
  </si>
  <si>
    <t>648787978</t>
  </si>
  <si>
    <t>NCD Complete by MetLife</t>
  </si>
  <si>
    <t>Member</t>
  </si>
  <si>
    <t>2/28/2026</t>
  </si>
  <si>
    <t>SALE</t>
  </si>
  <si>
    <t>685130230</t>
  </si>
  <si>
    <t>Patrick</t>
  </si>
  <si>
    <t>Heller</t>
  </si>
  <si>
    <t>Lori Tunstall</t>
  </si>
  <si>
    <t>518008986</t>
  </si>
  <si>
    <t>VSP Preferred Plan by NCD</t>
  </si>
  <si>
    <t>Member + 1</t>
  </si>
  <si>
    <t>2/12/2026</t>
  </si>
  <si>
    <t>685875685</t>
  </si>
  <si>
    <t>Fidel</t>
  </si>
  <si>
    <t>Estanda</t>
  </si>
  <si>
    <t>Main Line Benefits LLC -Ricardo D Santos</t>
  </si>
  <si>
    <t>737401508</t>
  </si>
  <si>
    <t>NCD Elite 1500 by MetLife</t>
  </si>
  <si>
    <t>682949028</t>
  </si>
  <si>
    <t>Dana</t>
  </si>
  <si>
    <t>Wasimin</t>
  </si>
  <si>
    <t>Main Line Benefits LLC-William Schaeffer</t>
  </si>
  <si>
    <t>476855083</t>
  </si>
  <si>
    <t>Member plus Spouse</t>
  </si>
  <si>
    <t>683438413</t>
  </si>
  <si>
    <t>A Thomas</t>
  </si>
  <si>
    <t>Loy</t>
  </si>
  <si>
    <t xml:space="preserve"> Main Line Benefits - Thomas Kucan</t>
  </si>
  <si>
    <t>820303811</t>
  </si>
  <si>
    <t>NCD Smile 2500 by MetLife</t>
  </si>
  <si>
    <t>682171350</t>
  </si>
  <si>
    <t>Richard</t>
  </si>
  <si>
    <t>Golden</t>
  </si>
  <si>
    <t>297820482</t>
  </si>
  <si>
    <t>252126537</t>
  </si>
  <si>
    <t>683078236</t>
  </si>
  <si>
    <t>Sheryll</t>
  </si>
  <si>
    <t>Aldred</t>
  </si>
  <si>
    <t>574187796</t>
  </si>
  <si>
    <t>683092185</t>
  </si>
  <si>
    <t>Roderick</t>
  </si>
  <si>
    <t>Acha</t>
  </si>
  <si>
    <t>Main Line Benefits - Matthew Daugherty</t>
  </si>
  <si>
    <t>690892951</t>
  </si>
  <si>
    <t>NCD Value by MetLife</t>
  </si>
  <si>
    <t>Family</t>
  </si>
  <si>
    <t>66621000</t>
  </si>
  <si>
    <t>583635919</t>
  </si>
  <si>
    <t>682932267</t>
  </si>
  <si>
    <t>Cheryl</t>
  </si>
  <si>
    <t>Gaines</t>
  </si>
  <si>
    <t>Main Line Benefits LLC-Michael Dunavant</t>
  </si>
  <si>
    <t>604649461</t>
  </si>
  <si>
    <t>NCD Elite 5000 by MetLife</t>
  </si>
  <si>
    <t>683551481</t>
  </si>
  <si>
    <t>Brigitte</t>
  </si>
  <si>
    <t>Wilkinson</t>
  </si>
  <si>
    <t>Main Line Benefits LLC-Jared Kinyua</t>
  </si>
  <si>
    <t>245549848</t>
  </si>
  <si>
    <t>681703836</t>
  </si>
  <si>
    <t>Liane</t>
  </si>
  <si>
    <t>Lefever</t>
  </si>
  <si>
    <t>181995160</t>
  </si>
  <si>
    <t>683608024</t>
  </si>
  <si>
    <t>Zuleika</t>
  </si>
  <si>
    <t>Rosa Salgado</t>
  </si>
  <si>
    <t>701882993</t>
  </si>
  <si>
    <t>Member plus Children</t>
  </si>
  <si>
    <t>984523223</t>
  </si>
  <si>
    <t>681694666</t>
  </si>
  <si>
    <t>Robert</t>
  </si>
  <si>
    <t>Steinberg</t>
  </si>
  <si>
    <t>654081029</t>
  </si>
  <si>
    <t>NCD Essentials by MetLife</t>
  </si>
  <si>
    <t>681802160</t>
  </si>
  <si>
    <t>Leon</t>
  </si>
  <si>
    <t>Hankin</t>
  </si>
  <si>
    <t>118665193</t>
  </si>
  <si>
    <t>683312848</t>
  </si>
  <si>
    <t>Emily</t>
  </si>
  <si>
    <t>Whitacre</t>
  </si>
  <si>
    <t>859724247</t>
  </si>
  <si>
    <t>685478544</t>
  </si>
  <si>
    <t>Tracy</t>
  </si>
  <si>
    <t>Macdonald</t>
  </si>
  <si>
    <t>50538789</t>
  </si>
  <si>
    <t>NCD Bright 1500 by MetLife</t>
  </si>
  <si>
    <t>683828176</t>
  </si>
  <si>
    <t>Satya</t>
  </si>
  <si>
    <t>Southall</t>
  </si>
  <si>
    <t>896294214</t>
  </si>
  <si>
    <t>2/15/2026</t>
  </si>
  <si>
    <t>685784618</t>
  </si>
  <si>
    <t>Hadley</t>
  </si>
  <si>
    <t>Beckstrand</t>
  </si>
  <si>
    <t>789665275</t>
  </si>
  <si>
    <t>2/14/2026</t>
  </si>
  <si>
    <t>520875518</t>
  </si>
  <si>
    <t>686029638</t>
  </si>
  <si>
    <t>Klaudia</t>
  </si>
  <si>
    <t>Tac</t>
  </si>
  <si>
    <t>Main Line Benefits LLC-Gary Portugal</t>
  </si>
  <si>
    <t>1035728</t>
  </si>
  <si>
    <t>2/13/2026</t>
  </si>
  <si>
    <t>683532101</t>
  </si>
  <si>
    <t>Amberly</t>
  </si>
  <si>
    <t>Litchfield</t>
  </si>
  <si>
    <t>478183816</t>
  </si>
  <si>
    <t>390580973</t>
  </si>
  <si>
    <t>NCD Bright 1000 by MetLife</t>
  </si>
  <si>
    <t>683589666</t>
  </si>
  <si>
    <t>Gene</t>
  </si>
  <si>
    <t>Gerzsenyi</t>
  </si>
  <si>
    <t>877044360</t>
  </si>
  <si>
    <t>682580771</t>
  </si>
  <si>
    <t>Roxanne</t>
  </si>
  <si>
    <t>Hartrich</t>
  </si>
  <si>
    <t>Main Line Benefits LLC-Pam Deaton Inc</t>
  </si>
  <si>
    <t>387100933</t>
  </si>
  <si>
    <t>682581055</t>
  </si>
  <si>
    <t>Janice</t>
  </si>
  <si>
    <t>Dziekonski</t>
  </si>
  <si>
    <t>379471379</t>
  </si>
  <si>
    <t>538144779</t>
  </si>
  <si>
    <t>680314593</t>
  </si>
  <si>
    <t>Kenneth</t>
  </si>
  <si>
    <t>Johnson</t>
  </si>
  <si>
    <t>Main Line Benefits - Adam Richter</t>
  </si>
  <si>
    <t>172575174</t>
  </si>
  <si>
    <t>NCD Standard 5000 by MetLife</t>
  </si>
  <si>
    <t>686026326</t>
  </si>
  <si>
    <t>Milos</t>
  </si>
  <si>
    <t>Radovanovic</t>
  </si>
  <si>
    <t>895993426</t>
  </si>
  <si>
    <t>NCD Elite 3000 by MetLife</t>
  </si>
  <si>
    <t>683724724</t>
  </si>
  <si>
    <t>Eugene</t>
  </si>
  <si>
    <t>Hanes Jr.</t>
  </si>
  <si>
    <t>975782157</t>
  </si>
  <si>
    <t>682967565</t>
  </si>
  <si>
    <t>Demetris</t>
  </si>
  <si>
    <t>Jones</t>
  </si>
  <si>
    <t>384672439</t>
  </si>
  <si>
    <t>125532058</t>
  </si>
  <si>
    <t>858353460</t>
  </si>
  <si>
    <t>684135257</t>
  </si>
  <si>
    <t>Alonzo</t>
  </si>
  <si>
    <t>Brown</t>
  </si>
  <si>
    <t>Carolyn W Smith</t>
  </si>
  <si>
    <t>418031090</t>
  </si>
  <si>
    <t>784351926</t>
  </si>
  <si>
    <t>683609699</t>
  </si>
  <si>
    <t>Michael</t>
  </si>
  <si>
    <t>Suskin</t>
  </si>
  <si>
    <t>Mainline Benefits co</t>
  </si>
  <si>
    <t>58861441</t>
  </si>
  <si>
    <t>2/11/2026</t>
  </si>
  <si>
    <t>685969620</t>
  </si>
  <si>
    <t>Cynthia</t>
  </si>
  <si>
    <t>794112359</t>
  </si>
  <si>
    <t>2/4/2026</t>
  </si>
  <si>
    <t>684234261</t>
  </si>
  <si>
    <t>Monica</t>
  </si>
  <si>
    <t>Cornelio</t>
  </si>
  <si>
    <t>Main Line Benefits LLC-Kirk Tigue</t>
  </si>
  <si>
    <t>804164269</t>
  </si>
  <si>
    <t>NCD Value by MetLife - NY / CT</t>
  </si>
  <si>
    <t>682221319</t>
  </si>
  <si>
    <t>Miosotis</t>
  </si>
  <si>
    <t>Ledesma</t>
  </si>
  <si>
    <t>Main Line Benefits LLC - Aidan Barber</t>
  </si>
  <si>
    <t>173898668</t>
  </si>
  <si>
    <t>685688372</t>
  </si>
  <si>
    <t>Laura</t>
  </si>
  <si>
    <t>Beatty</t>
  </si>
  <si>
    <t>317405573</t>
  </si>
  <si>
    <t>683206913</t>
  </si>
  <si>
    <t>Cornell</t>
  </si>
  <si>
    <t>Jackson</t>
  </si>
  <si>
    <t>708780484</t>
  </si>
  <si>
    <t>683829007</t>
  </si>
  <si>
    <t>Edlawit</t>
  </si>
  <si>
    <t>Tesfaye</t>
  </si>
  <si>
    <t>298408887</t>
  </si>
  <si>
    <t>2/3/2026</t>
  </si>
  <si>
    <t>684866005</t>
  </si>
  <si>
    <t>Natividad</t>
  </si>
  <si>
    <t>Hernandez Luna</t>
  </si>
  <si>
    <t>129241253</t>
  </si>
  <si>
    <t>683202494</t>
  </si>
  <si>
    <t>Sally</t>
  </si>
  <si>
    <t>Noonan</t>
  </si>
  <si>
    <t>825368073</t>
  </si>
  <si>
    <t>683954249</t>
  </si>
  <si>
    <t>Margaret</t>
  </si>
  <si>
    <t>Stoner</t>
  </si>
  <si>
    <t>Main Line Benefits LLC-Alison Luse</t>
  </si>
  <si>
    <t>644484680</t>
  </si>
  <si>
    <t>69052199</t>
  </si>
  <si>
    <t>684866083</t>
  </si>
  <si>
    <t>Hellen</t>
  </si>
  <si>
    <t>Nyaberi</t>
  </si>
  <si>
    <t>408114059</t>
  </si>
  <si>
    <t>685711156</t>
  </si>
  <si>
    <t>Neil</t>
  </si>
  <si>
    <t>572801557</t>
  </si>
  <si>
    <t>2/2/2026</t>
  </si>
  <si>
    <t>684285941</t>
  </si>
  <si>
    <t>Dennis</t>
  </si>
  <si>
    <t>Matyas</t>
  </si>
  <si>
    <t>901820000</t>
  </si>
  <si>
    <t>684613851</t>
  </si>
  <si>
    <t>Maria</t>
  </si>
  <si>
    <t>VonNordeck</t>
  </si>
  <si>
    <t>428096508</t>
  </si>
  <si>
    <t>2/1/2026</t>
  </si>
  <si>
    <t>795235089</t>
  </si>
  <si>
    <t>400431428</t>
  </si>
  <si>
    <t>683552927</t>
  </si>
  <si>
    <t>Dudley</t>
  </si>
  <si>
    <t>Hinegardner</t>
  </si>
  <si>
    <t>699319353</t>
  </si>
  <si>
    <t>686156605</t>
  </si>
  <si>
    <t>Melita</t>
  </si>
  <si>
    <t>Laroco</t>
  </si>
  <si>
    <t>265025003</t>
  </si>
  <si>
    <t>182409727</t>
  </si>
  <si>
    <t>685525762</t>
  </si>
  <si>
    <t>Jennifer</t>
  </si>
  <si>
    <t>Hollmig</t>
  </si>
  <si>
    <t>605728351</t>
  </si>
  <si>
    <t>2/10/2026</t>
  </si>
  <si>
    <t>CHARGEBACK</t>
  </si>
  <si>
    <t>Chargeback Reversal</t>
  </si>
  <si>
    <t>686192188</t>
  </si>
  <si>
    <t>Toni</t>
  </si>
  <si>
    <t>Gosa</t>
  </si>
  <si>
    <t>397053575</t>
  </si>
  <si>
    <t>683593204</t>
  </si>
  <si>
    <t>Steven</t>
  </si>
  <si>
    <t>Cohen</t>
  </si>
  <si>
    <t>348104279</t>
  </si>
  <si>
    <t>732250029</t>
  </si>
  <si>
    <t>683221739</t>
  </si>
  <si>
    <t>Minas</t>
  </si>
  <si>
    <t>Giorgakis</t>
  </si>
  <si>
    <t>165329262</t>
  </si>
  <si>
    <t>2/9/2026</t>
  </si>
  <si>
    <t>607637254</t>
  </si>
  <si>
    <t>683324516</t>
  </si>
  <si>
    <t xml:space="preserve">Jennifer </t>
  </si>
  <si>
    <t>Harbin</t>
  </si>
  <si>
    <t>196153282</t>
  </si>
  <si>
    <t>2/7/2026</t>
  </si>
  <si>
    <t>685124323</t>
  </si>
  <si>
    <t>Charles</t>
  </si>
  <si>
    <t>Vickers</t>
  </si>
  <si>
    <t>377078631</t>
  </si>
  <si>
    <t>2/6/2026</t>
  </si>
  <si>
    <t>685711160</t>
  </si>
  <si>
    <t>Kimberly</t>
  </si>
  <si>
    <t>Mooney</t>
  </si>
  <si>
    <t>185194902</t>
  </si>
  <si>
    <t>681549155</t>
  </si>
  <si>
    <t>Lisa</t>
  </si>
  <si>
    <t>Hopkins</t>
  </si>
  <si>
    <t>464503420</t>
  </si>
  <si>
    <t>2/5/2026</t>
  </si>
  <si>
    <t>683563883</t>
  </si>
  <si>
    <t>Melissa</t>
  </si>
  <si>
    <t>Mahaney</t>
  </si>
  <si>
    <t>698193150</t>
  </si>
  <si>
    <t>685469893</t>
  </si>
  <si>
    <t>Dorothy</t>
  </si>
  <si>
    <t>Musi</t>
  </si>
  <si>
    <t>353396219</t>
  </si>
  <si>
    <t>681792691</t>
  </si>
  <si>
    <t>Kathleen</t>
  </si>
  <si>
    <t>McClain</t>
  </si>
  <si>
    <t>78980217</t>
  </si>
  <si>
    <t>681791772</t>
  </si>
  <si>
    <t>Thomas</t>
  </si>
  <si>
    <t>DeCoudres</t>
  </si>
  <si>
    <t>Margaret Finnegan</t>
  </si>
  <si>
    <t>7534852</t>
  </si>
  <si>
    <t>683089560</t>
  </si>
  <si>
    <t>Mary</t>
  </si>
  <si>
    <t>Pross</t>
  </si>
  <si>
    <t>914833590</t>
  </si>
  <si>
    <t>2/17/2026</t>
  </si>
  <si>
    <t>683120098</t>
  </si>
  <si>
    <t>Alycea</t>
  </si>
  <si>
    <t>Rivera</t>
  </si>
  <si>
    <t>232438202</t>
  </si>
  <si>
    <t>683089576</t>
  </si>
  <si>
    <t>Donna</t>
  </si>
  <si>
    <t>Tarmon</t>
  </si>
  <si>
    <t>876391898</t>
  </si>
  <si>
    <t>686386363</t>
  </si>
  <si>
    <t>Lilick</t>
  </si>
  <si>
    <t>192480227</t>
  </si>
  <si>
    <t>683178395</t>
  </si>
  <si>
    <t>Abigail</t>
  </si>
  <si>
    <t>Duncan</t>
  </si>
  <si>
    <t>973153223</t>
  </si>
  <si>
    <t>686196766</t>
  </si>
  <si>
    <t>Zain</t>
  </si>
  <si>
    <t>Lakhani</t>
  </si>
  <si>
    <t>355029732</t>
  </si>
  <si>
    <t>168352383</t>
  </si>
  <si>
    <t>685993021</t>
  </si>
  <si>
    <t>Evangeline</t>
  </si>
  <si>
    <t>Mastromarino</t>
  </si>
  <si>
    <t>204103864</t>
  </si>
  <si>
    <t>683301317</t>
  </si>
  <si>
    <t xml:space="preserve">Ann </t>
  </si>
  <si>
    <t>Morgan</t>
  </si>
  <si>
    <t>459325166</t>
  </si>
  <si>
    <t>686386370</t>
  </si>
  <si>
    <t>Justin</t>
  </si>
  <si>
    <t>686198203</t>
  </si>
  <si>
    <t>2/27/2026</t>
  </si>
  <si>
    <t>686425651</t>
  </si>
  <si>
    <t>683654707</t>
  </si>
  <si>
    <t>Jean Francois</t>
  </si>
  <si>
    <t>Agbodjogbe</t>
  </si>
  <si>
    <t>230444946</t>
  </si>
  <si>
    <t>683275166</t>
  </si>
  <si>
    <t>Kevin</t>
  </si>
  <si>
    <t>Husemann</t>
  </si>
  <si>
    <t>310854872</t>
  </si>
  <si>
    <t>684143314</t>
  </si>
  <si>
    <t>Sarah</t>
  </si>
  <si>
    <t>Yoder</t>
  </si>
  <si>
    <t>537988210</t>
  </si>
  <si>
    <t>NCD Smile 1000 by MetLife</t>
  </si>
  <si>
    <t>2/26/2026</t>
  </si>
  <si>
    <t>686385933</t>
  </si>
  <si>
    <t>Medina</t>
  </si>
  <si>
    <t>982416865</t>
  </si>
  <si>
    <t>683013826</t>
  </si>
  <si>
    <t>Matthew</t>
  </si>
  <si>
    <t>Lowing</t>
  </si>
  <si>
    <t>676321759</t>
  </si>
  <si>
    <t>913646618</t>
  </si>
  <si>
    <t>683497808</t>
  </si>
  <si>
    <t xml:space="preserve">Susan </t>
  </si>
  <si>
    <t>Belden</t>
  </si>
  <si>
    <t>998017756</t>
  </si>
  <si>
    <t>823699893</t>
  </si>
  <si>
    <t>683887722</t>
  </si>
  <si>
    <t>Gary</t>
  </si>
  <si>
    <t>437691397</t>
  </si>
  <si>
    <t>686386374</t>
  </si>
  <si>
    <t>Carol</t>
  </si>
  <si>
    <t>526144798</t>
  </si>
  <si>
    <t>685063060</t>
  </si>
  <si>
    <t>Loise</t>
  </si>
  <si>
    <t>Maina</t>
  </si>
  <si>
    <t>681883972</t>
  </si>
  <si>
    <t>683720644</t>
  </si>
  <si>
    <t>Jon</t>
  </si>
  <si>
    <t>167138801</t>
  </si>
  <si>
    <t>681647925</t>
  </si>
  <si>
    <t>Siti</t>
  </si>
  <si>
    <t>Freedman</t>
  </si>
  <si>
    <t>386395185</t>
  </si>
  <si>
    <t>685724727</t>
  </si>
  <si>
    <t>Katrin</t>
  </si>
  <si>
    <t>Urban</t>
  </si>
  <si>
    <t>397825233</t>
  </si>
  <si>
    <t>914399180</t>
  </si>
  <si>
    <t>685070366</t>
  </si>
  <si>
    <t>Martin</t>
  </si>
  <si>
    <t>Burman</t>
  </si>
  <si>
    <t>104547957</t>
  </si>
  <si>
    <t>685070819</t>
  </si>
  <si>
    <t>Karli</t>
  </si>
  <si>
    <t>Helman</t>
  </si>
  <si>
    <t>318112688</t>
  </si>
  <si>
    <t>982230107</t>
  </si>
  <si>
    <t>684004299</t>
  </si>
  <si>
    <t>Jean</t>
  </si>
  <si>
    <t>Harrell</t>
  </si>
  <si>
    <t>384431357</t>
  </si>
  <si>
    <t>55733973</t>
  </si>
  <si>
    <t>684234107</t>
  </si>
  <si>
    <t>Elizabeth</t>
  </si>
  <si>
    <t>Zane</t>
  </si>
  <si>
    <t>Main Line Benefits LLC -Frank Liskovec</t>
  </si>
  <si>
    <t>341203822</t>
  </si>
  <si>
    <t>92801354</t>
  </si>
  <si>
    <t>685988551</t>
  </si>
  <si>
    <t>312209549</t>
  </si>
  <si>
    <t>453596467</t>
  </si>
  <si>
    <t>683929409</t>
  </si>
  <si>
    <t>Lori</t>
  </si>
  <si>
    <t>Bottenfield</t>
  </si>
  <si>
    <t>Main Line Benefits LLC - Michelle McCorkle</t>
  </si>
  <si>
    <t>176713886</t>
  </si>
  <si>
    <t>685256667</t>
  </si>
  <si>
    <t>Breedy</t>
  </si>
  <si>
    <t>Main Line Benefits - Anne Marie Kozacheck</t>
  </si>
  <si>
    <t>373547815</t>
  </si>
  <si>
    <t>260311117</t>
  </si>
  <si>
    <t>683900706</t>
  </si>
  <si>
    <t>Karla</t>
  </si>
  <si>
    <t>Cutting</t>
  </si>
  <si>
    <t>783299133</t>
  </si>
  <si>
    <t>683899850</t>
  </si>
  <si>
    <t xml:space="preserve">William </t>
  </si>
  <si>
    <t>Custer</t>
  </si>
  <si>
    <t>571135014</t>
  </si>
  <si>
    <t>683168016</t>
  </si>
  <si>
    <t>Scarpulla</t>
  </si>
  <si>
    <t>524461911</t>
  </si>
  <si>
    <t>682974980</t>
  </si>
  <si>
    <t>Mindi</t>
  </si>
  <si>
    <t>Kane</t>
  </si>
  <si>
    <t>629957651</t>
  </si>
  <si>
    <t>2/19/2026</t>
  </si>
  <si>
    <t>673613358</t>
  </si>
  <si>
    <t>685189992</t>
  </si>
  <si>
    <t>Stanley</t>
  </si>
  <si>
    <t>Dickson</t>
  </si>
  <si>
    <t>437400223</t>
  </si>
  <si>
    <t>2/18/2026</t>
  </si>
  <si>
    <t>679972196</t>
  </si>
  <si>
    <t>Jack</t>
  </si>
  <si>
    <t>Stein</t>
  </si>
  <si>
    <t>694607964</t>
  </si>
  <si>
    <t>NCD Standard 3000 by MetLife</t>
  </si>
  <si>
    <t>241002988</t>
  </si>
  <si>
    <t>NCD - Vision</t>
  </si>
  <si>
    <t>684680721</t>
  </si>
  <si>
    <t xml:space="preserve">Jacob </t>
  </si>
  <si>
    <t>Moorhead</t>
  </si>
  <si>
    <t>760665662</t>
  </si>
  <si>
    <t>685091958</t>
  </si>
  <si>
    <t>Pietrucha</t>
  </si>
  <si>
    <t>251856742</t>
  </si>
  <si>
    <t>683978293</t>
  </si>
  <si>
    <t>Kristen</t>
  </si>
  <si>
    <t>Facchini</t>
  </si>
  <si>
    <t>625104953</t>
  </si>
  <si>
    <t>692950875</t>
  </si>
  <si>
    <t>684314332</t>
  </si>
  <si>
    <t>Carl</t>
  </si>
  <si>
    <t>Pine</t>
  </si>
  <si>
    <t>328251776</t>
  </si>
  <si>
    <t>683080241</t>
  </si>
  <si>
    <t>Jospeh</t>
  </si>
  <si>
    <t>Morris II</t>
  </si>
  <si>
    <t>864594072</t>
  </si>
  <si>
    <t>683124480</t>
  </si>
  <si>
    <t xml:space="preserve">Shane </t>
  </si>
  <si>
    <t>Abrams</t>
  </si>
  <si>
    <t>509666499</t>
  </si>
  <si>
    <t>683124501</t>
  </si>
  <si>
    <t>528354958</t>
  </si>
  <si>
    <t>683659785</t>
  </si>
  <si>
    <t>Julie</t>
  </si>
  <si>
    <t>Bryant</t>
  </si>
  <si>
    <t>954518880</t>
  </si>
  <si>
    <t>682456860</t>
  </si>
  <si>
    <t>Nancy</t>
  </si>
  <si>
    <t>Tiburzio</t>
  </si>
  <si>
    <t>970685148</t>
  </si>
  <si>
    <t>686008045</t>
  </si>
  <si>
    <t>Olanike</t>
  </si>
  <si>
    <t>Oyefeso</t>
  </si>
  <si>
    <t>880261314</t>
  </si>
  <si>
    <t>350067834</t>
  </si>
  <si>
    <t>682971882</t>
  </si>
  <si>
    <t>ODonnell</t>
  </si>
  <si>
    <t>868422442</t>
  </si>
  <si>
    <t>40198305</t>
  </si>
  <si>
    <t>684061797</t>
  </si>
  <si>
    <t>Calogero</t>
  </si>
  <si>
    <t>Interrante</t>
  </si>
  <si>
    <t>588549415</t>
  </si>
  <si>
    <t>2/25/2026</t>
  </si>
  <si>
    <t>686030670</t>
  </si>
  <si>
    <t>Urick</t>
  </si>
  <si>
    <t>556142794</t>
  </si>
  <si>
    <t>2/23/2026</t>
  </si>
  <si>
    <t>683478663</t>
  </si>
  <si>
    <t>Hollie</t>
  </si>
  <si>
    <t>Cacace</t>
  </si>
  <si>
    <t>536940641</t>
  </si>
  <si>
    <t>2/22/2026</t>
  </si>
  <si>
    <t>683498152</t>
  </si>
  <si>
    <t>Joshua</t>
  </si>
  <si>
    <t>Tutchton</t>
  </si>
  <si>
    <t>892393390</t>
  </si>
  <si>
    <t>683877755</t>
  </si>
  <si>
    <t>Debbie</t>
  </si>
  <si>
    <t>Rice</t>
  </si>
  <si>
    <t>526763175</t>
  </si>
  <si>
    <t>2/21/2026</t>
  </si>
  <si>
    <t>684087263</t>
  </si>
  <si>
    <t>Zhenhua</t>
  </si>
  <si>
    <t>Jiang</t>
  </si>
  <si>
    <t>389218592</t>
  </si>
  <si>
    <t>683297683</t>
  </si>
  <si>
    <t>Rosencranz</t>
  </si>
  <si>
    <t>364920174</t>
  </si>
  <si>
    <t>684158179</t>
  </si>
  <si>
    <t>Arrich</t>
  </si>
  <si>
    <t>138655428</t>
  </si>
  <si>
    <t>2/20/2026</t>
  </si>
  <si>
    <t>686029305</t>
  </si>
  <si>
    <t xml:space="preserve"> Shelli </t>
  </si>
  <si>
    <t xml:space="preserve"> Sheridan</t>
  </si>
  <si>
    <t>220207712</t>
  </si>
  <si>
    <t>683448864</t>
  </si>
  <si>
    <t>Scott</t>
  </si>
  <si>
    <t>Crump</t>
  </si>
  <si>
    <t>990327518</t>
  </si>
  <si>
    <t>683463955</t>
  </si>
  <si>
    <t>Jose</t>
  </si>
  <si>
    <t>Manansala</t>
  </si>
  <si>
    <t>245268586</t>
  </si>
  <si>
    <t>683602218</t>
  </si>
  <si>
    <t>Tyler</t>
  </si>
  <si>
    <t>Fortney</t>
  </si>
  <si>
    <t>498487989</t>
  </si>
  <si>
    <t>762673318</t>
  </si>
  <si>
    <t>685953624</t>
  </si>
  <si>
    <t>Lindsey</t>
  </si>
  <si>
    <t>Cleland</t>
  </si>
  <si>
    <t>151982465</t>
  </si>
  <si>
    <t>681829783</t>
  </si>
  <si>
    <t>Lizanne</t>
  </si>
  <si>
    <t>Hayes</t>
  </si>
  <si>
    <t>438557821</t>
  </si>
  <si>
    <t>582065076</t>
  </si>
  <si>
    <t>Renewal Total</t>
  </si>
  <si>
    <t>This statement was generated by NCD. For questions, please contact commissions@ncd.com. Refer to the Details tab for full transaction data.</t>
  </si>
  <si>
    <t>Type</t>
  </si>
  <si>
    <t>Subtype</t>
  </si>
  <si>
    <t>Credit</t>
  </si>
  <si>
    <t>Debit</t>
  </si>
  <si>
    <t>Payee Agent ID</t>
  </si>
  <si>
    <t>Payee Agent Label</t>
  </si>
  <si>
    <t>Member First Name</t>
  </si>
  <si>
    <t>Member Last Name</t>
  </si>
  <si>
    <t>Member State</t>
  </si>
  <si>
    <t>Member Agent Category</t>
  </si>
  <si>
    <t>Product ID</t>
  </si>
  <si>
    <t>Product Label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</si>
  <si>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</si>
  <si>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</si>
  <si>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</si>
  <si>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</si>
  <si>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</si>
  <si>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</si>
  <si>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Type</t>
  </si>
  <si>
    <t>Payment Type</t>
  </si>
  <si>
    <t>Transaction Payment</t>
  </si>
  <si>
    <t>Commissionable Amount</t>
  </si>
  <si>
    <t>Payout</t>
  </si>
  <si>
    <t>COMM</t>
  </si>
  <si>
    <t>FL</t>
  </si>
  <si>
    <t>Field</t>
  </si>
  <si>
    <t>Monthly</t>
  </si>
  <si>
    <t>Dental</t>
  </si>
  <si>
    <t>MetLife</t>
  </si>
  <si>
    <t>10/30/2025</t>
  </si>
  <si>
    <t>11/1/2025</t>
  </si>
  <si>
    <t>11761771851</t>
  </si>
  <si>
    <t>CC</t>
  </si>
  <si>
    <t>24%</t>
  </si>
  <si>
    <t>MD</t>
  </si>
  <si>
    <t>10/31/2025</t>
  </si>
  <si>
    <t>12/1/2025</t>
  </si>
  <si>
    <t>11761266414</t>
  </si>
  <si>
    <t>32%</t>
  </si>
  <si>
    <t>PA</t>
  </si>
  <si>
    <t>10/31/2023</t>
  </si>
  <si>
    <t>11/1/2023</t>
  </si>
  <si>
    <t>11761290219</t>
  </si>
  <si>
    <t>11/4/2025</t>
  </si>
  <si>
    <t>11761449259</t>
  </si>
  <si>
    <t>Vision</t>
  </si>
  <si>
    <t>VSP</t>
  </si>
  <si>
    <t>12/9/2025</t>
  </si>
  <si>
    <t>1/1/2026</t>
  </si>
  <si>
    <t>37%</t>
  </si>
  <si>
    <t>7/31/2025</t>
  </si>
  <si>
    <t>8/1/2025</t>
  </si>
  <si>
    <t>11761630573</t>
  </si>
  <si>
    <t>3%</t>
  </si>
  <si>
    <t>11761630981</t>
  </si>
  <si>
    <t>2/11/2025</t>
  </si>
  <si>
    <t>3/1/2025</t>
  </si>
  <si>
    <t>11761292234</t>
  </si>
  <si>
    <t>11/6/2025</t>
  </si>
  <si>
    <t>IL</t>
  </si>
  <si>
    <t>3/24/2025</t>
  </si>
  <si>
    <t>4/1/2025</t>
  </si>
  <si>
    <t>11742989935</t>
  </si>
  <si>
    <t>ACH</t>
  </si>
  <si>
    <t>11761523659</t>
  </si>
  <si>
    <t>1/28/2025</t>
  </si>
  <si>
    <t>2/1/2025</t>
  </si>
  <si>
    <t>11761526560</t>
  </si>
  <si>
    <t>8/26/2025</t>
  </si>
  <si>
    <t>10/1/2025</t>
  </si>
  <si>
    <t>11761643117</t>
  </si>
  <si>
    <t>7/30/2025</t>
  </si>
  <si>
    <t>11761376037</t>
  </si>
  <si>
    <t>1/23/2026</t>
  </si>
  <si>
    <t>11761884325</t>
  </si>
  <si>
    <t>11761884022</t>
  </si>
  <si>
    <t>9/30/2024</t>
  </si>
  <si>
    <t>10/1/2024</t>
  </si>
  <si>
    <t>11761198036</t>
  </si>
  <si>
    <t>1/6/2026</t>
  </si>
  <si>
    <t>11761550935</t>
  </si>
  <si>
    <t>12/10/2025</t>
  </si>
  <si>
    <t>11761523940</t>
  </si>
  <si>
    <t>10/28/2024</t>
  </si>
  <si>
    <t>11/1/2024</t>
  </si>
  <si>
    <t>11761210952</t>
  </si>
  <si>
    <t>11755448776</t>
  </si>
  <si>
    <t>12/16/2024</t>
  </si>
  <si>
    <t>1/1/2025</t>
  </si>
  <si>
    <t>11741266201</t>
  </si>
  <si>
    <t>10/23/2024</t>
  </si>
  <si>
    <t>11739017024</t>
  </si>
  <si>
    <t>1/5/2026</t>
  </si>
  <si>
    <t>11751311520</t>
  </si>
  <si>
    <t>1/22/2026</t>
  </si>
  <si>
    <t>11736317103</t>
  </si>
  <si>
    <t>8/21/2024</t>
  </si>
  <si>
    <t>9/1/2024</t>
  </si>
  <si>
    <t>11733264963</t>
  </si>
  <si>
    <t>11/22/2024</t>
  </si>
  <si>
    <t>12/1/2024</t>
  </si>
  <si>
    <t>11736312638</t>
  </si>
  <si>
    <t>1/20/2025</t>
  </si>
  <si>
    <t>11728509899</t>
  </si>
  <si>
    <t>1/22/2025</t>
  </si>
  <si>
    <t>11736313364</t>
  </si>
  <si>
    <t>11736313262</t>
  </si>
  <si>
    <t>9/26/2024</t>
  </si>
  <si>
    <t>11751304541</t>
  </si>
  <si>
    <t>2/19/2025</t>
  </si>
  <si>
    <t>11724355863</t>
  </si>
  <si>
    <t>12/14/2025</t>
  </si>
  <si>
    <t>11739014686</t>
  </si>
  <si>
    <t>11/19/2024</t>
  </si>
  <si>
    <t>11736304956</t>
  </si>
  <si>
    <t>11736305102</t>
  </si>
  <si>
    <t>3677FFA5CB82E4BA290C75965242CF13</t>
  </si>
  <si>
    <t>1/17/2025</t>
  </si>
  <si>
    <t>11716680405</t>
  </si>
  <si>
    <t>2/21/2025</t>
  </si>
  <si>
    <t>11733259122</t>
  </si>
  <si>
    <t>3/7/2025</t>
  </si>
  <si>
    <t>11716680913</t>
  </si>
  <si>
    <t>12/7/2023</t>
  </si>
  <si>
    <t>1/1/2024</t>
  </si>
  <si>
    <t>11730613756</t>
  </si>
  <si>
    <t>11712726985</t>
  </si>
  <si>
    <t>12/13/2025</t>
  </si>
  <si>
    <t>11700960870</t>
  </si>
  <si>
    <t>11/14/2024</t>
  </si>
  <si>
    <t>11705629958</t>
  </si>
  <si>
    <t>11/15/2024</t>
  </si>
  <si>
    <t>11709324447</t>
  </si>
  <si>
    <t>12/10/2024</t>
  </si>
  <si>
    <t>11712726685</t>
  </si>
  <si>
    <t>WI</t>
  </si>
  <si>
    <t>12/4/2025</t>
  </si>
  <si>
    <t>11712736832</t>
  </si>
  <si>
    <t>8/12/2024</t>
  </si>
  <si>
    <t>11696856364</t>
  </si>
  <si>
    <t>12/11/2025</t>
  </si>
  <si>
    <t>11696850507</t>
  </si>
  <si>
    <t>11696844870</t>
  </si>
  <si>
    <t>GA</t>
  </si>
  <si>
    <t>8/18/2025</t>
  </si>
  <si>
    <t>9/1/2025</t>
  </si>
  <si>
    <t>11720478589</t>
  </si>
  <si>
    <t>NJ</t>
  </si>
  <si>
    <t>5/29/2024</t>
  </si>
  <si>
    <t>7/1/2024</t>
  </si>
  <si>
    <t>11720461517</t>
  </si>
  <si>
    <t>26%</t>
  </si>
  <si>
    <t>10/18/2022</t>
  </si>
  <si>
    <t>12/1/2022</t>
  </si>
  <si>
    <t>6/10/2025</t>
  </si>
  <si>
    <t>7/1/2025</t>
  </si>
  <si>
    <t>11693054910</t>
  </si>
  <si>
    <t>8/4/2025</t>
  </si>
  <si>
    <t>11682676767</t>
  </si>
  <si>
    <t>2/7/2025</t>
  </si>
  <si>
    <t>11679690489</t>
  </si>
  <si>
    <t>4/7/2025</t>
  </si>
  <si>
    <t>5/1/2025</t>
  </si>
  <si>
    <t>11679703340</t>
  </si>
  <si>
    <t>VA</t>
  </si>
  <si>
    <t>9/6/2024</t>
  </si>
  <si>
    <t>11675297924</t>
  </si>
  <si>
    <t>9/17/2024</t>
  </si>
  <si>
    <t>11716673400</t>
  </si>
  <si>
    <t>11716673461</t>
  </si>
  <si>
    <t>12/17/2024</t>
  </si>
  <si>
    <t>11716674032</t>
  </si>
  <si>
    <t>4/8/2024</t>
  </si>
  <si>
    <t>5/1/2024</t>
  </si>
  <si>
    <t>11682675077</t>
  </si>
  <si>
    <t>9/10/2024</t>
  </si>
  <si>
    <t>11689077094</t>
  </si>
  <si>
    <t>9/16/2024</t>
  </si>
  <si>
    <t>11716673292</t>
  </si>
  <si>
    <t>11689077047</t>
  </si>
  <si>
    <t>3/3/2025</t>
  </si>
  <si>
    <t>11709301360</t>
  </si>
  <si>
    <t>1/15/2025</t>
  </si>
  <si>
    <t>11709298483</t>
  </si>
  <si>
    <t>DC</t>
  </si>
  <si>
    <t>11/14/2025</t>
  </si>
  <si>
    <t>11705632088</t>
  </si>
  <si>
    <t>11700942474</t>
  </si>
  <si>
    <t>12/2/2024</t>
  </si>
  <si>
    <t>11685289258</t>
  </si>
  <si>
    <t>12/9/2024</t>
  </si>
  <si>
    <t>11700931023</t>
  </si>
  <si>
    <t>5/9/2024</t>
  </si>
  <si>
    <t>6/1/2024</t>
  </si>
  <si>
    <t>11685288600</t>
  </si>
  <si>
    <t>11685288616</t>
  </si>
  <si>
    <t>5/18/2024</t>
  </si>
  <si>
    <t>11685294114</t>
  </si>
  <si>
    <t>12/12/2025</t>
  </si>
  <si>
    <t>11649856012</t>
  </si>
  <si>
    <t>12/31/2024</t>
  </si>
  <si>
    <t>11645115527</t>
  </si>
  <si>
    <t>8/9/2024</t>
  </si>
  <si>
    <t>11645096466</t>
  </si>
  <si>
    <t>9/30/2025</t>
  </si>
  <si>
    <t>11645164246</t>
  </si>
  <si>
    <t>10/30/2024</t>
  </si>
  <si>
    <t>11645104437</t>
  </si>
  <si>
    <t>11/10/2023</t>
  </si>
  <si>
    <t>11653840101</t>
  </si>
  <si>
    <t>8/8/2025</t>
  </si>
  <si>
    <t>11645148883</t>
  </si>
  <si>
    <t>11/21/2025</t>
  </si>
  <si>
    <t>11645179509</t>
  </si>
  <si>
    <t>8/6/2024</t>
  </si>
  <si>
    <t>11645108714</t>
  </si>
  <si>
    <t>11/12/2024</t>
  </si>
  <si>
    <t>11696832901</t>
  </si>
  <si>
    <t>2/1/2024</t>
  </si>
  <si>
    <t>3/1/2024</t>
  </si>
  <si>
    <t>11653826336</t>
  </si>
  <si>
    <t>11645098125</t>
  </si>
  <si>
    <t>TX</t>
  </si>
  <si>
    <t>11653853246</t>
  </si>
  <si>
    <t>7/31/2024</t>
  </si>
  <si>
    <t>8/1/2024</t>
  </si>
  <si>
    <t>11645096135</t>
  </si>
  <si>
    <t>12/4/2024</t>
  </si>
  <si>
    <t>11667094517</t>
  </si>
  <si>
    <t>11/13/2023</t>
  </si>
  <si>
    <t>11645096726</t>
  </si>
  <si>
    <t>12/11/2024</t>
  </si>
  <si>
    <t>11645112322</t>
  </si>
  <si>
    <t>12/1/2023</t>
  </si>
  <si>
    <t>11653841841</t>
  </si>
  <si>
    <t>4/19/2024</t>
  </si>
  <si>
    <t>11670876738</t>
  </si>
  <si>
    <t>11693040780</t>
  </si>
  <si>
    <t>10/7/2025</t>
  </si>
  <si>
    <t>DB0269B997895905BF74748B497B81A3</t>
  </si>
  <si>
    <t>11645166112</t>
  </si>
  <si>
    <t>TN</t>
  </si>
  <si>
    <t>11689205719</t>
  </si>
  <si>
    <t>11689060874</t>
  </si>
  <si>
    <t>10/9/2024</t>
  </si>
  <si>
    <t>11685282723</t>
  </si>
  <si>
    <t>11679670776</t>
  </si>
  <si>
    <t>DE</t>
  </si>
  <si>
    <t>8/7/2025</t>
  </si>
  <si>
    <t>11679692696</t>
  </si>
  <si>
    <t>NY</t>
  </si>
  <si>
    <t>FE66AFC7E193EA09D6E8A3B75334FDF5</t>
  </si>
  <si>
    <t>11/2/2025</t>
  </si>
  <si>
    <t>11658291832</t>
  </si>
  <si>
    <t>NC</t>
  </si>
  <si>
    <t>10/5/2023</t>
  </si>
  <si>
    <t>11670861956</t>
  </si>
  <si>
    <t>12/5/2024</t>
  </si>
  <si>
    <t>11670863510</t>
  </si>
  <si>
    <t>9/29/2025</t>
  </si>
  <si>
    <t>11641235936</t>
  </si>
  <si>
    <t>11/29/2023</t>
  </si>
  <si>
    <t>11641235491</t>
  </si>
  <si>
    <t>12/29/2025</t>
  </si>
  <si>
    <t>11641238128</t>
  </si>
  <si>
    <t>11641235421</t>
  </si>
  <si>
    <t>12/8/2025</t>
  </si>
  <si>
    <t>11641237732</t>
  </si>
  <si>
    <t>11642226991</t>
  </si>
  <si>
    <t>2/12/2024</t>
  </si>
  <si>
    <t>11641229898</t>
  </si>
  <si>
    <t>10/29/2025</t>
  </si>
  <si>
    <t>11641240868</t>
  </si>
  <si>
    <t>10/4/2024</t>
  </si>
  <si>
    <t>11667088319</t>
  </si>
  <si>
    <t>11662908303</t>
  </si>
  <si>
    <t>7/3/2025</t>
  </si>
  <si>
    <t>11662882196</t>
  </si>
  <si>
    <t>10/3/2024</t>
  </si>
  <si>
    <t>11662871979</t>
  </si>
  <si>
    <t>2/3/2025</t>
  </si>
  <si>
    <t>11662885626</t>
  </si>
  <si>
    <t>11662882322</t>
  </si>
  <si>
    <t>11658283759</t>
  </si>
  <si>
    <t>4/2/2025</t>
  </si>
  <si>
    <t>11658280060</t>
  </si>
  <si>
    <t>5/28/2025</t>
  </si>
  <si>
    <t>6/1/2025</t>
  </si>
  <si>
    <t>11637666137</t>
  </si>
  <si>
    <t>11637658441</t>
  </si>
  <si>
    <t>AV1</t>
  </si>
  <si>
    <t>Metlife Vision</t>
  </si>
  <si>
    <t>RICARDO  SANTOS</t>
  </si>
  <si>
    <t>19200754AV6</t>
  </si>
  <si>
    <t>NCD MetLife -24%</t>
  </si>
  <si>
    <t>THOMAS  KUCAN</t>
  </si>
  <si>
    <t>16202925AV6</t>
  </si>
  <si>
    <t>KIRK  TIGUE</t>
  </si>
  <si>
    <t>21421111AV6</t>
  </si>
  <si>
    <t>JARED  KINYUA</t>
  </si>
  <si>
    <t>19279958AV6</t>
  </si>
  <si>
    <t>MetLife Dental</t>
  </si>
  <si>
    <t>AE</t>
  </si>
  <si>
    <t>ALISON  LUSE</t>
  </si>
  <si>
    <t>9254978AV6</t>
  </si>
  <si>
    <t>FRANK  LISKOVEC</t>
  </si>
  <si>
    <t>9254978N</t>
  </si>
  <si>
    <t>NCD override</t>
  </si>
  <si>
    <t>MAIN LINE  BENEFITS</t>
  </si>
  <si>
    <t>JASON  HOFFMANN</t>
  </si>
  <si>
    <t>GARY  PORTUGAL</t>
  </si>
  <si>
    <t>CAROL  FOLEY</t>
  </si>
  <si>
    <t>ANNE MARIE  KOZACHECK</t>
  </si>
  <si>
    <t>19278370old</t>
  </si>
  <si>
    <t>19279958old</t>
  </si>
  <si>
    <t>CAROLYN WILSON SMITH</t>
  </si>
  <si>
    <t>MICHELLE  MCCORKLE</t>
  </si>
  <si>
    <t>18710070N</t>
  </si>
  <si>
    <t>PAMELA  DEATON</t>
  </si>
  <si>
    <t>CATHY LEMON</t>
  </si>
  <si>
    <t>MICHAEL  DUNAVANT</t>
  </si>
  <si>
    <t>MATTHEW  DAUGHERTY</t>
  </si>
  <si>
    <t>WILLIAM  SCHAEFFER</t>
  </si>
  <si>
    <t>NCD - Dental $3,000</t>
  </si>
  <si>
    <t>ADAM  RICHTER</t>
  </si>
  <si>
    <t>17425766OLD</t>
  </si>
  <si>
    <t>AIDAN  BARBER</t>
  </si>
  <si>
    <t>MARGARET FINNEGAN</t>
  </si>
  <si>
    <t>Rescinded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</si>
</sst>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sz val="14.0"/>
      <color rgb="FF003764"/>
      <name val="Arial"/>
    </font>
    <font/>
    <font>
      <b/>
      <sz val="7.0"/>
      <color rgb="FFC0C4CA"/>
      <name val="Arial"/>
    </font>
    <font>
      <b/>
      <sz val="11.0"/>
      <color rgb="FF003764"/>
      <name val="Arial"/>
    </font>
    <font>
      <sz val="10.0"/>
      <color rgb="FF4A4F57"/>
      <name val="Arial"/>
    </font>
    <font>
      <b/>
      <sz val="9.0"/>
      <color rgb="FFFFFFFF"/>
      <name val="Arial"/>
    </font>
    <font>
      <sz val="9.0"/>
      <color rgb="FF555D66"/>
      <name val="Arial"/>
    </font>
    <font>
      <sz val="9.0"/>
      <color rgb="FF4A4F57"/>
      <name val="Arial"/>
    </font>
    <font>
      <b/>
      <sz val="10.0"/>
      <color rgb="FFFF8C3E"/>
      <name val="Arial"/>
    </font>
    <font>
      <b/>
      <sz val="12.0"/>
      <color rgb="FFFF8C3E"/>
      <name val="Arial"/>
    </font>
    <font>
      <b/>
      <sz val="8.0"/>
      <color rgb="FF4A4F57"/>
      <name val="Arial"/>
    </font>
    <font>
      <b/>
      <sz val="10.0"/>
      <color rgb="FF003764"/>
      <name val="Arial"/>
    </font>
    <font>
      <b/>
      <sz val="8.0"/>
      <color rgb="FFFFFFFF"/>
      <name val="Arial"/>
    </font>
    <font>
      <sz val="8.0"/>
      <color rgb="FF555D66"/>
      <name val="Arial"/>
    </font>
    <font>
      <b/>
      <sz val="9.0"/>
      <color rgb="FF003764"/>
      <name val="Arial"/>
    </font>
    <font>
      <b/>
      <sz val="9.0"/>
      <color rgb="FFFF8C3E"/>
      <name val="Arial"/>
    </font>
    <font>
      <b/>
      <sz val="10.0"/>
      <color rgb="FFFFFFFF"/>
      <name val="Arial"/>
    </font>
    <font>
      <b/>
      <sz val="13.0"/>
      <color rgb="FFFFFFFF"/>
      <name val="Arial"/>
    </font>
    <font>
      <i/>
      <sz val="7.0"/>
      <color rgb="FFC0C4CA"/>
      <name val="Arial"/>
    </font>
    <font>
      <b/>
      <sz val="11.0"/>
      <color theme="1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8C3E"/>
        <bgColor rgb="FFFF8C3E"/>
      </patternFill>
    </fill>
    <fill>
      <patternFill patternType="solid">
        <fgColor rgb="FFF4F8FB"/>
        <bgColor rgb="FFF4F8FB"/>
      </patternFill>
    </fill>
    <fill>
      <patternFill patternType="solid">
        <fgColor rgb="FFFFF3EB"/>
        <bgColor rgb="FFFFF3EB"/>
      </patternFill>
    </fill>
    <fill>
      <patternFill patternType="solid">
        <fgColor rgb="FF003764"/>
        <bgColor rgb="FF003764"/>
      </patternFill>
    </fill>
    <fill>
      <patternFill patternType="solid">
        <fgColor rgb="FFF0F5FA"/>
        <bgColor rgb="FFF0F5FA"/>
      </patternFill>
    </fill>
    <fill>
      <patternFill patternType="solid">
        <fgColor rgb="FFFFF0E6"/>
        <bgColor rgb="FFFFF0E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8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top/>
      <bottom style="hair">
        <color rgb="FFDCDFE3"/>
      </bottom>
    </border>
    <border>
      <right/>
      <top/>
      <bottom style="hair">
        <color rgb="FFDCDFE3"/>
      </bottom>
    </border>
    <border>
      <left/>
      <top style="medium">
        <color rgb="FFFF8C3E"/>
      </top>
      <bottom style="medium">
        <color rgb="FFFF8C3E"/>
      </bottom>
    </border>
    <border>
      <right/>
      <top style="medium">
        <color rgb="FFFF8C3E"/>
      </top>
      <bottom style="medium">
        <color rgb="FFFF8C3E"/>
      </bottom>
    </border>
    <border>
      <left/>
      <right/>
      <top/>
      <bottom style="hair">
        <color rgb="FFDCDFE3"/>
      </bottom>
    </border>
    <border>
      <left/>
      <right/>
      <top style="thin">
        <color rgb="FFFF8C3E"/>
      </top>
      <bottom style="thin">
        <color rgb="FFFF8C3E"/>
      </bottom>
    </border>
    <border>
      <top style="hair">
        <color rgb="FFDCDFE3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right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3" fontId="1" numFmtId="0" xfId="0" applyBorder="1" applyFill="1" applyFont="1"/>
    <xf borderId="1" fillId="2" fontId="4" numFmtId="0" xfId="0" applyBorder="1" applyFont="1"/>
    <xf borderId="8" fillId="2" fontId="5" numFmtId="0" xfId="0" applyBorder="1" applyFont="1"/>
    <xf borderId="9" fillId="0" fontId="3" numFmtId="0" xfId="0" applyBorder="1" applyFont="1"/>
    <xf borderId="10" fillId="0" fontId="3" numFmtId="0" xfId="0" applyBorder="1" applyFont="1"/>
    <xf borderId="8" fillId="2" fontId="6" numFmtId="0" xfId="0" applyBorder="1" applyFont="1"/>
    <xf borderId="8" fillId="3" fontId="7" numFmtId="0" xfId="0" applyAlignment="1" applyBorder="1" applyFont="1">
      <alignment vertical="center"/>
    </xf>
    <xf borderId="8" fillId="3" fontId="7" numFmtId="0" xfId="0" applyAlignment="1" applyBorder="1" applyFont="1">
      <alignment horizontal="right" vertical="center"/>
    </xf>
    <xf borderId="11" fillId="4" fontId="8" numFmtId="0" xfId="0" applyAlignment="1" applyBorder="1" applyFill="1" applyFont="1">
      <alignment vertical="center"/>
    </xf>
    <xf borderId="12" fillId="0" fontId="3" numFmtId="0" xfId="0" applyBorder="1" applyFont="1"/>
    <xf borderId="11" fillId="4" fontId="9" numFmtId="164" xfId="0" applyAlignment="1" applyBorder="1" applyFont="1" applyNumberFormat="1">
      <alignment horizontal="right" vertical="center"/>
    </xf>
    <xf borderId="13" fillId="5" fontId="10" numFmtId="0" xfId="0" applyAlignment="1" applyBorder="1" applyFill="1" applyFont="1">
      <alignment vertical="center"/>
    </xf>
    <xf borderId="14" fillId="0" fontId="3" numFmtId="0" xfId="0" applyBorder="1" applyFont="1"/>
    <xf borderId="13" fillId="5" fontId="11" numFmtId="164" xfId="0" applyAlignment="1" applyBorder="1" applyFont="1" applyNumberFormat="1">
      <alignment horizontal="right" vertical="center"/>
    </xf>
    <xf borderId="8" fillId="2" fontId="12" numFmtId="0" xfId="0" applyAlignment="1" applyBorder="1" applyFont="1">
      <alignment horizontal="center" vertical="center"/>
    </xf>
    <xf borderId="1" fillId="2" fontId="13" numFmtId="0" xfId="0" applyBorder="1" applyFont="1"/>
    <xf borderId="1" fillId="6" fontId="14" numFmtId="0" xfId="0" applyAlignment="1" applyBorder="1" applyFill="1" applyFont="1">
      <alignment horizontal="center" shrinkToFit="0" vertical="center" wrapText="1"/>
    </xf>
    <xf borderId="15" fillId="2" fontId="15" numFmtId="0" xfId="0" applyAlignment="1" applyBorder="1" applyFont="1">
      <alignment horizontal="center" vertical="center"/>
    </xf>
    <xf borderId="15" fillId="2" fontId="15" numFmtId="164" xfId="0" applyAlignment="1" applyBorder="1" applyFont="1" applyNumberFormat="1">
      <alignment horizontal="center" vertical="center"/>
    </xf>
    <xf borderId="15" fillId="2" fontId="16" numFmtId="164" xfId="0" applyAlignment="1" applyBorder="1" applyFont="1" applyNumberFormat="1">
      <alignment horizontal="center" vertical="center"/>
    </xf>
    <xf borderId="15" fillId="7" fontId="15" numFmtId="0" xfId="0" applyAlignment="1" applyBorder="1" applyFill="1" applyFont="1">
      <alignment horizontal="center" vertical="center"/>
    </xf>
    <xf borderId="15" fillId="7" fontId="15" numFmtId="164" xfId="0" applyAlignment="1" applyBorder="1" applyFont="1" applyNumberFormat="1">
      <alignment horizontal="center" vertical="center"/>
    </xf>
    <xf borderId="15" fillId="7" fontId="16" numFmtId="164" xfId="0" applyAlignment="1" applyBorder="1" applyFont="1" applyNumberFormat="1">
      <alignment horizontal="center" vertical="center"/>
    </xf>
    <xf borderId="16" fillId="8" fontId="17" numFmtId="0" xfId="0" applyAlignment="1" applyBorder="1" applyFill="1" applyFont="1">
      <alignment vertical="center"/>
    </xf>
    <xf borderId="16" fillId="8" fontId="1" numFmtId="0" xfId="0" applyBorder="1" applyFont="1"/>
    <xf borderId="16" fillId="8" fontId="10" numFmtId="164" xfId="0" applyAlignment="1" applyBorder="1" applyFont="1" applyNumberFormat="1">
      <alignment horizontal="center" vertical="center"/>
    </xf>
    <xf borderId="1" fillId="6" fontId="18" numFmtId="0" xfId="0" applyAlignment="1" applyBorder="1" applyFont="1">
      <alignment vertical="center"/>
    </xf>
    <xf borderId="1" fillId="6" fontId="1" numFmtId="0" xfId="0" applyBorder="1" applyFont="1"/>
    <xf borderId="1" fillId="6" fontId="19" numFmtId="164" xfId="0" applyAlignment="1" applyBorder="1" applyFont="1" applyNumberFormat="1">
      <alignment horizontal="center" vertical="center"/>
    </xf>
    <xf borderId="17" fillId="0" fontId="1" numFmtId="0" xfId="0" applyBorder="1" applyFont="1"/>
    <xf borderId="0" fillId="0" fontId="20" numFmtId="0" xfId="0" applyFont="1"/>
    <xf borderId="0" fillId="0" fontId="21" numFmtId="0" xfId="0" applyFont="1"/>
    <xf borderId="0" fillId="0" fontId="22" numFmtId="0" xfId="0" applyFont="1"/>
    <xf borderId="0" fillId="0" fontId="1" numFmtId="164" xfId="0" applyFont="1" applyNumberFormat="1"/>
    <xf borderId="1" fillId="9" fontId="1" numFmtId="0" xfId="0" applyBorder="1" applyFill="1" applyFont="1"/>
    <xf borderId="1" fillId="9" fontId="1" numFmtId="14" xfId="0" applyBorder="1" applyFont="1" applyNumberFormat="1"/>
    <xf borderId="1" fillId="9" fontId="1" numFmtId="0" xfId="0" applyAlignment="1" applyBorder="1" applyFont="1">
      <alignment horizontal="left"/>
    </xf>
    <xf borderId="1" fillId="9" fontId="1" numFmtId="164" xfId="0" applyBorder="1" applyFont="1" applyNumberFormat="1"/>
    <xf borderId="1" fillId="9" fontId="1" numFmtId="9" xfId="0" applyBorder="1" applyFont="1" applyNumberFormat="1"/>
    <xf borderId="0" fillId="0" fontId="1" numFmtId="0" xfId="0" applyFont="1"/>
    <xf borderId="0" fillId="0" fontId="1" numFmtId="14" xfId="0" applyFont="1" applyNumberFormat="1"/>
    <xf borderId="0" fillId="0" fontId="1" numFmtId="0" xfId="0" applyAlignment="1" applyFont="1">
      <alignment horizontal="left"/>
    </xf>
    <xf borderId="0" fillId="0" fontId="1" numFmtId="9" xfId="0" applyFont="1" applyNumberFormat="1"/>
    <xf borderId="1" fillId="10" fontId="1" numFmtId="0" xfId="0" applyBorder="1" applyFill="1" applyFont="1"/>
    <xf borderId="1" fillId="10" fontId="1" numFmtId="14" xfId="0" applyBorder="1" applyFont="1" applyNumberFormat="1"/>
    <xf borderId="1" fillId="10" fontId="1" numFmtId="0" xfId="0" applyAlignment="1" applyBorder="1" applyFont="1">
      <alignment horizontal="left"/>
    </xf>
    <xf borderId="1" fillId="10" fontId="1" numFmtId="164" xfId="0" applyBorder="1" applyFont="1" applyNumberFormat="1"/>
    <xf borderId="1" fillId="10" fontId="1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714500" cy="7239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0.0" topLeftCell="A21" activePane="bottomLeft" state="frozen"/>
      <selection activeCell="B22" sqref="B22" pane="bottomLeft"/>
    </sheetView>
  </sheetViews>
  <sheetFormatPr customHeight="1" defaultColWidth="14.43" defaultRowHeight="15.0"/>
  <cols>
    <col customWidth="1" min="1" max="1" width="2.43"/>
    <col customWidth="1" min="2" max="2" width="12.0"/>
    <col customWidth="1" min="3" max="3" width="13.0"/>
    <col customWidth="1" min="4" max="5" width="15.0"/>
    <col customWidth="1" min="6" max="6" width="13.0"/>
    <col customWidth="1" min="7" max="7" width="24.0"/>
    <col customWidth="1" min="8" max="8" width="15.0"/>
    <col customWidth="1" min="9" max="9" width="30.0"/>
    <col customWidth="1" min="10" max="10" width="17.0"/>
    <col customWidth="1" min="11" max="11" width="13.0"/>
    <col customWidth="1" min="12" max="12" width="15.0"/>
    <col customWidth="1" min="13" max="13" width="8.0"/>
    <col customWidth="1" min="14" max="14" width="18.0"/>
    <col customWidth="1" min="15" max="15" width="13.0"/>
    <col customWidth="1" min="16" max="16" width="2.43"/>
    <col customWidth="1" min="17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7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 t="s">
        <v>0</v>
      </c>
      <c r="M2" s="3"/>
      <c r="N2" s="3"/>
      <c r="O2" s="4"/>
      <c r="P2" s="1"/>
    </row>
    <row r="3" ht="27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5"/>
      <c r="M3" s="6"/>
      <c r="N3" s="6"/>
      <c r="O3" s="7"/>
      <c r="P3" s="1"/>
    </row>
    <row r="4" ht="3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3.0" customHeight="1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ht="18.0" customHeight="1">
      <c r="A7" s="1"/>
      <c r="B7" s="9" t="s">
        <v>1</v>
      </c>
      <c r="C7" s="10" t="s">
        <v>2</v>
      </c>
      <c r="D7" s="11"/>
      <c r="E7" s="11"/>
      <c r="F7" s="11"/>
      <c r="G7" s="11"/>
      <c r="H7" s="12"/>
      <c r="I7" s="1"/>
      <c r="J7" s="1"/>
      <c r="K7" s="1"/>
      <c r="L7" s="1"/>
      <c r="M7" s="1"/>
      <c r="N7" s="1"/>
      <c r="O7" s="1"/>
      <c r="P7" s="1"/>
    </row>
    <row r="8" ht="15.0" customHeight="1">
      <c r="A8" s="1"/>
      <c r="B8" s="9" t="s">
        <v>3</v>
      </c>
      <c r="C8" s="13" t="s">
        <v>4</v>
      </c>
      <c r="D8" s="11"/>
      <c r="E8" s="11"/>
      <c r="F8" s="11"/>
      <c r="G8" s="11"/>
      <c r="H8" s="12"/>
      <c r="I8" s="1"/>
      <c r="J8" s="1"/>
      <c r="K8" s="1"/>
      <c r="L8" s="1"/>
      <c r="M8" s="1"/>
      <c r="N8" s="1"/>
      <c r="O8" s="1"/>
      <c r="P8" s="1"/>
    </row>
    <row r="9" ht="15.0" customHeight="1">
      <c r="A9" s="1"/>
      <c r="B9" s="9" t="s">
        <v>5</v>
      </c>
      <c r="C9" s="13" t="s">
        <v>6</v>
      </c>
      <c r="D9" s="11"/>
      <c r="E9" s="11"/>
      <c r="F9" s="11"/>
      <c r="G9" s="11"/>
      <c r="H9" s="12"/>
      <c r="I9" s="1"/>
      <c r="J9" s="1"/>
      <c r="K9" s="1"/>
      <c r="L9" s="1"/>
      <c r="M9" s="1"/>
      <c r="N9" s="1"/>
      <c r="O9" s="1"/>
      <c r="P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4" t="s">
        <v>7</v>
      </c>
      <c r="M11" s="12"/>
      <c r="N11" s="15" t="s">
        <v>8</v>
      </c>
      <c r="O11" s="12"/>
      <c r="P11" s="1"/>
    </row>
    <row r="12" ht="21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6" t="s">
        <v>9</v>
      </c>
      <c r="M12" s="17"/>
      <c r="N12" s="18">
        <v>1498.96</v>
      </c>
      <c r="O12" s="17"/>
      <c r="P12" s="1"/>
    </row>
    <row r="13" ht="27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9" t="s">
        <v>10</v>
      </c>
      <c r="M13" s="20"/>
      <c r="N13" s="21">
        <v>1498.96</v>
      </c>
      <c r="O13" s="20"/>
      <c r="P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ht="18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2" t="s">
        <v>11</v>
      </c>
      <c r="M15" s="11"/>
      <c r="N15" s="11"/>
      <c r="O15" s="12"/>
      <c r="P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ht="21.75" customHeight="1">
      <c r="A17" s="1"/>
      <c r="B17" s="23" t="s">
        <v>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ht="2.25" customHeight="1">
      <c r="A18" s="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1"/>
    </row>
    <row r="19" ht="6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ht="27.75" customHeight="1">
      <c r="A20" s="1"/>
      <c r="B20" s="24" t="s">
        <v>13</v>
      </c>
      <c r="C20" s="24" t="s">
        <v>14</v>
      </c>
      <c r="D20" s="24" t="s">
        <v>15</v>
      </c>
      <c r="E20" s="24" t="s">
        <v>16</v>
      </c>
      <c r="F20" s="24" t="s">
        <v>17</v>
      </c>
      <c r="G20" s="24" t="s">
        <v>18</v>
      </c>
      <c r="H20" s="24" t="s">
        <v>19</v>
      </c>
      <c r="I20" s="24" t="s">
        <v>20</v>
      </c>
      <c r="J20" s="24" t="s">
        <v>21</v>
      </c>
      <c r="K20" s="24" t="s">
        <v>22</v>
      </c>
      <c r="L20" s="24" t="s">
        <v>23</v>
      </c>
      <c r="M20" s="24" t="s">
        <v>24</v>
      </c>
      <c r="N20" s="24" t="s">
        <v>25</v>
      </c>
      <c r="O20" s="24" t="s">
        <v>26</v>
      </c>
      <c r="P20" s="1"/>
    </row>
    <row r="21" ht="24.0" customHeight="1">
      <c r="A21" s="1"/>
      <c r="B21" s="25" t="s">
        <v>27</v>
      </c>
      <c r="C21" s="25" t="s">
        <v>28</v>
      </c>
      <c r="D21" s="25" t="s">
        <v>29</v>
      </c>
      <c r="E21" s="25" t="s">
        <v>30</v>
      </c>
      <c r="F21" s="25">
        <v>689390.0</v>
      </c>
      <c r="G21" s="25" t="s">
        <v>31</v>
      </c>
      <c r="H21" s="25" t="s">
        <v>32</v>
      </c>
      <c r="I21" s="25" t="s">
        <v>33</v>
      </c>
      <c r="J21" s="25" t="s">
        <v>34</v>
      </c>
      <c r="K21" s="25" t="s">
        <v>35</v>
      </c>
      <c r="L21" s="25" t="s">
        <v>36</v>
      </c>
      <c r="M21" s="25"/>
      <c r="N21" s="26">
        <v>74.0</v>
      </c>
      <c r="O21" s="27">
        <v>17.76</v>
      </c>
      <c r="P21" s="1"/>
    </row>
    <row r="22" ht="24.0" customHeight="1">
      <c r="A22" s="1"/>
      <c r="B22" s="28" t="s">
        <v>27</v>
      </c>
      <c r="C22" s="28" t="s">
        <v>37</v>
      </c>
      <c r="D22" s="28" t="s">
        <v>38</v>
      </c>
      <c r="E22" s="28" t="s">
        <v>39</v>
      </c>
      <c r="F22" s="28">
        <v>711419.0</v>
      </c>
      <c r="G22" s="28" t="s">
        <v>40</v>
      </c>
      <c r="H22" s="28" t="s">
        <v>41</v>
      </c>
      <c r="I22" s="28" t="s">
        <v>42</v>
      </c>
      <c r="J22" s="28" t="s">
        <v>43</v>
      </c>
      <c r="K22" s="28" t="s">
        <v>44</v>
      </c>
      <c r="L22" s="28" t="s">
        <v>36</v>
      </c>
      <c r="M22" s="28"/>
      <c r="N22" s="29">
        <v>15.0</v>
      </c>
      <c r="O22" s="30">
        <v>0.45</v>
      </c>
      <c r="P22" s="1"/>
    </row>
    <row r="23" ht="24.0" customHeight="1">
      <c r="A23" s="1"/>
      <c r="B23" s="25" t="s">
        <v>27</v>
      </c>
      <c r="C23" s="25" t="s">
        <v>45</v>
      </c>
      <c r="D23" s="25" t="s">
        <v>46</v>
      </c>
      <c r="E23" s="25" t="s">
        <v>47</v>
      </c>
      <c r="F23" s="25">
        <v>759555.0</v>
      </c>
      <c r="G23" s="25" t="s">
        <v>48</v>
      </c>
      <c r="H23" s="25" t="s">
        <v>49</v>
      </c>
      <c r="I23" s="25" t="s">
        <v>50</v>
      </c>
      <c r="J23" s="25" t="s">
        <v>34</v>
      </c>
      <c r="K23" s="25" t="s">
        <v>44</v>
      </c>
      <c r="L23" s="25" t="s">
        <v>36</v>
      </c>
      <c r="M23" s="25"/>
      <c r="N23" s="26">
        <v>40.0</v>
      </c>
      <c r="O23" s="27">
        <v>9.6</v>
      </c>
      <c r="P23" s="1"/>
    </row>
    <row r="24" ht="24.0" customHeight="1">
      <c r="A24" s="1"/>
      <c r="B24" s="28" t="s">
        <v>27</v>
      </c>
      <c r="C24" s="28" t="s">
        <v>51</v>
      </c>
      <c r="D24" s="28" t="s">
        <v>52</v>
      </c>
      <c r="E24" s="28" t="s">
        <v>53</v>
      </c>
      <c r="F24" s="28">
        <v>781535.0</v>
      </c>
      <c r="G24" s="28" t="s">
        <v>54</v>
      </c>
      <c r="H24" s="28" t="s">
        <v>55</v>
      </c>
      <c r="I24" s="28" t="s">
        <v>33</v>
      </c>
      <c r="J24" s="28" t="s">
        <v>56</v>
      </c>
      <c r="K24" s="28" t="s">
        <v>44</v>
      </c>
      <c r="L24" s="28" t="s">
        <v>36</v>
      </c>
      <c r="M24" s="28"/>
      <c r="N24" s="29">
        <v>132.0</v>
      </c>
      <c r="O24" s="30">
        <v>31.68</v>
      </c>
      <c r="P24" s="1"/>
    </row>
    <row r="25" ht="24.0" customHeight="1">
      <c r="A25" s="1"/>
      <c r="B25" s="25" t="s">
        <v>27</v>
      </c>
      <c r="C25" s="25" t="s">
        <v>57</v>
      </c>
      <c r="D25" s="25" t="s">
        <v>58</v>
      </c>
      <c r="E25" s="25" t="s">
        <v>59</v>
      </c>
      <c r="F25" s="25">
        <v>678726.0</v>
      </c>
      <c r="G25" s="25" t="s">
        <v>60</v>
      </c>
      <c r="H25" s="25" t="s">
        <v>61</v>
      </c>
      <c r="I25" s="25" t="s">
        <v>62</v>
      </c>
      <c r="J25" s="25" t="s">
        <v>56</v>
      </c>
      <c r="K25" s="25" t="s">
        <v>44</v>
      </c>
      <c r="L25" s="25" t="s">
        <v>36</v>
      </c>
      <c r="M25" s="25"/>
      <c r="N25" s="26">
        <v>60.0</v>
      </c>
      <c r="O25" s="27">
        <v>19.2</v>
      </c>
      <c r="P25" s="1"/>
    </row>
    <row r="26" ht="24.0" customHeight="1">
      <c r="A26" s="1"/>
      <c r="B26" s="28" t="s">
        <v>27</v>
      </c>
      <c r="C26" s="28" t="s">
        <v>63</v>
      </c>
      <c r="D26" s="28" t="s">
        <v>64</v>
      </c>
      <c r="E26" s="28" t="s">
        <v>65</v>
      </c>
      <c r="F26" s="28">
        <v>689390.0</v>
      </c>
      <c r="G26" s="28" t="s">
        <v>31</v>
      </c>
      <c r="H26" s="28" t="s">
        <v>66</v>
      </c>
      <c r="I26" s="28" t="s">
        <v>33</v>
      </c>
      <c r="J26" s="28" t="s">
        <v>56</v>
      </c>
      <c r="K26" s="28" t="s">
        <v>44</v>
      </c>
      <c r="L26" s="28" t="s">
        <v>36</v>
      </c>
      <c r="M26" s="28"/>
      <c r="N26" s="29">
        <v>134.0</v>
      </c>
      <c r="O26" s="30">
        <v>32.16</v>
      </c>
      <c r="P26" s="1"/>
    </row>
    <row r="27" ht="24.0" customHeight="1">
      <c r="A27" s="1"/>
      <c r="B27" s="25" t="s">
        <v>27</v>
      </c>
      <c r="C27" s="25" t="s">
        <v>63</v>
      </c>
      <c r="D27" s="25" t="s">
        <v>64</v>
      </c>
      <c r="E27" s="25" t="s">
        <v>65</v>
      </c>
      <c r="F27" s="25">
        <v>689390.0</v>
      </c>
      <c r="G27" s="25" t="s">
        <v>31</v>
      </c>
      <c r="H27" s="25" t="s">
        <v>67</v>
      </c>
      <c r="I27" s="25" t="s">
        <v>42</v>
      </c>
      <c r="J27" s="25" t="s">
        <v>43</v>
      </c>
      <c r="K27" s="25" t="s">
        <v>44</v>
      </c>
      <c r="L27" s="25" t="s">
        <v>36</v>
      </c>
      <c r="M27" s="25"/>
      <c r="N27" s="26">
        <v>15.0</v>
      </c>
      <c r="O27" s="27">
        <v>5.55</v>
      </c>
      <c r="P27" s="1"/>
    </row>
    <row r="28" ht="24.0" customHeight="1">
      <c r="A28" s="1"/>
      <c r="B28" s="28" t="s">
        <v>27</v>
      </c>
      <c r="C28" s="28" t="s">
        <v>68</v>
      </c>
      <c r="D28" s="28" t="s">
        <v>69</v>
      </c>
      <c r="E28" s="28" t="s">
        <v>70</v>
      </c>
      <c r="F28" s="28">
        <v>678726.0</v>
      </c>
      <c r="G28" s="28" t="s">
        <v>60</v>
      </c>
      <c r="H28" s="28" t="s">
        <v>71</v>
      </c>
      <c r="I28" s="28" t="s">
        <v>42</v>
      </c>
      <c r="J28" s="28" t="s">
        <v>34</v>
      </c>
      <c r="K28" s="28" t="s">
        <v>44</v>
      </c>
      <c r="L28" s="28" t="s">
        <v>36</v>
      </c>
      <c r="M28" s="28"/>
      <c r="N28" s="29">
        <v>11.0</v>
      </c>
      <c r="O28" s="30">
        <v>4.07</v>
      </c>
      <c r="P28" s="1"/>
    </row>
    <row r="29" ht="24.0" customHeight="1">
      <c r="A29" s="1"/>
      <c r="B29" s="25" t="s">
        <v>27</v>
      </c>
      <c r="C29" s="25" t="s">
        <v>72</v>
      </c>
      <c r="D29" s="25" t="s">
        <v>73</v>
      </c>
      <c r="E29" s="25" t="s">
        <v>74</v>
      </c>
      <c r="F29" s="25">
        <v>703501.0</v>
      </c>
      <c r="G29" s="25" t="s">
        <v>75</v>
      </c>
      <c r="H29" s="25" t="s">
        <v>76</v>
      </c>
      <c r="I29" s="25" t="s">
        <v>77</v>
      </c>
      <c r="J29" s="25" t="s">
        <v>78</v>
      </c>
      <c r="K29" s="25" t="s">
        <v>44</v>
      </c>
      <c r="L29" s="25" t="s">
        <v>36</v>
      </c>
      <c r="M29" s="25"/>
      <c r="N29" s="26">
        <v>93.0</v>
      </c>
      <c r="O29" s="27">
        <v>22.32</v>
      </c>
      <c r="P29" s="1"/>
    </row>
    <row r="30" ht="24.0" customHeight="1">
      <c r="A30" s="1"/>
      <c r="B30" s="28" t="s">
        <v>27</v>
      </c>
      <c r="C30" s="28" t="s">
        <v>72</v>
      </c>
      <c r="D30" s="28" t="s">
        <v>73</v>
      </c>
      <c r="E30" s="28" t="s">
        <v>74</v>
      </c>
      <c r="F30" s="28">
        <v>703501.0</v>
      </c>
      <c r="G30" s="28" t="s">
        <v>75</v>
      </c>
      <c r="H30" s="28" t="s">
        <v>79</v>
      </c>
      <c r="I30" s="28" t="s">
        <v>42</v>
      </c>
      <c r="J30" s="28" t="s">
        <v>78</v>
      </c>
      <c r="K30" s="28" t="s">
        <v>44</v>
      </c>
      <c r="L30" s="28" t="s">
        <v>36</v>
      </c>
      <c r="M30" s="28"/>
      <c r="N30" s="29">
        <v>20.0</v>
      </c>
      <c r="O30" s="30">
        <v>7.4</v>
      </c>
      <c r="P30" s="1"/>
    </row>
    <row r="31" ht="24.0" customHeight="1">
      <c r="A31" s="1"/>
      <c r="B31" s="25" t="s">
        <v>27</v>
      </c>
      <c r="C31" s="25" t="s">
        <v>51</v>
      </c>
      <c r="D31" s="25" t="s">
        <v>52</v>
      </c>
      <c r="E31" s="25" t="s">
        <v>53</v>
      </c>
      <c r="F31" s="25">
        <v>781535.0</v>
      </c>
      <c r="G31" s="25" t="s">
        <v>54</v>
      </c>
      <c r="H31" s="25" t="s">
        <v>80</v>
      </c>
      <c r="I31" s="25" t="s">
        <v>42</v>
      </c>
      <c r="J31" s="25" t="s">
        <v>43</v>
      </c>
      <c r="K31" s="25" t="s">
        <v>44</v>
      </c>
      <c r="L31" s="25" t="s">
        <v>36</v>
      </c>
      <c r="M31" s="25"/>
      <c r="N31" s="26">
        <v>15.0</v>
      </c>
      <c r="O31" s="27">
        <v>5.55</v>
      </c>
      <c r="P31" s="1"/>
    </row>
    <row r="32" ht="24.0" customHeight="1">
      <c r="A32" s="1"/>
      <c r="B32" s="28" t="s">
        <v>27</v>
      </c>
      <c r="C32" s="28" t="s">
        <v>81</v>
      </c>
      <c r="D32" s="28" t="s">
        <v>82</v>
      </c>
      <c r="E32" s="28" t="s">
        <v>83</v>
      </c>
      <c r="F32" s="28">
        <v>764002.0</v>
      </c>
      <c r="G32" s="28" t="s">
        <v>84</v>
      </c>
      <c r="H32" s="28" t="s">
        <v>85</v>
      </c>
      <c r="I32" s="28" t="s">
        <v>86</v>
      </c>
      <c r="J32" s="28" t="s">
        <v>56</v>
      </c>
      <c r="K32" s="28" t="s">
        <v>44</v>
      </c>
      <c r="L32" s="28" t="s">
        <v>36</v>
      </c>
      <c r="M32" s="28"/>
      <c r="N32" s="29">
        <v>124.0</v>
      </c>
      <c r="O32" s="30">
        <v>29.76</v>
      </c>
      <c r="P32" s="1"/>
    </row>
    <row r="33" ht="24.0" customHeight="1">
      <c r="A33" s="1"/>
      <c r="B33" s="25" t="s">
        <v>27</v>
      </c>
      <c r="C33" s="25" t="s">
        <v>87</v>
      </c>
      <c r="D33" s="25" t="s">
        <v>88</v>
      </c>
      <c r="E33" s="25" t="s">
        <v>89</v>
      </c>
      <c r="F33" s="25">
        <v>798992.0</v>
      </c>
      <c r="G33" s="25" t="s">
        <v>90</v>
      </c>
      <c r="H33" s="25" t="s">
        <v>91</v>
      </c>
      <c r="I33" s="25" t="s">
        <v>42</v>
      </c>
      <c r="J33" s="25" t="s">
        <v>34</v>
      </c>
      <c r="K33" s="25" t="s">
        <v>44</v>
      </c>
      <c r="L33" s="25" t="s">
        <v>36</v>
      </c>
      <c r="M33" s="25"/>
      <c r="N33" s="26">
        <v>11.0</v>
      </c>
      <c r="O33" s="27">
        <v>4.07</v>
      </c>
      <c r="P33" s="1"/>
    </row>
    <row r="34" ht="24.0" customHeight="1">
      <c r="A34" s="1"/>
      <c r="B34" s="28" t="s">
        <v>27</v>
      </c>
      <c r="C34" s="28" t="s">
        <v>92</v>
      </c>
      <c r="D34" s="28" t="s">
        <v>93</v>
      </c>
      <c r="E34" s="28" t="s">
        <v>94</v>
      </c>
      <c r="F34" s="28">
        <v>653470.0</v>
      </c>
      <c r="G34" s="28" t="s">
        <v>2</v>
      </c>
      <c r="H34" s="28" t="s">
        <v>95</v>
      </c>
      <c r="I34" s="28" t="s">
        <v>33</v>
      </c>
      <c r="J34" s="28" t="s">
        <v>56</v>
      </c>
      <c r="K34" s="28" t="s">
        <v>44</v>
      </c>
      <c r="L34" s="28" t="s">
        <v>36</v>
      </c>
      <c r="M34" s="28"/>
      <c r="N34" s="29">
        <v>120.0</v>
      </c>
      <c r="O34" s="30">
        <v>28.8</v>
      </c>
      <c r="P34" s="1"/>
    </row>
    <row r="35" ht="24.0" customHeight="1">
      <c r="A35" s="1"/>
      <c r="B35" s="25" t="s">
        <v>27</v>
      </c>
      <c r="C35" s="25" t="s">
        <v>96</v>
      </c>
      <c r="D35" s="25" t="s">
        <v>97</v>
      </c>
      <c r="E35" s="25" t="s">
        <v>98</v>
      </c>
      <c r="F35" s="25">
        <v>798992.0</v>
      </c>
      <c r="G35" s="25" t="s">
        <v>90</v>
      </c>
      <c r="H35" s="25" t="s">
        <v>99</v>
      </c>
      <c r="I35" s="25" t="s">
        <v>62</v>
      </c>
      <c r="J35" s="25" t="s">
        <v>100</v>
      </c>
      <c r="K35" s="25" t="s">
        <v>44</v>
      </c>
      <c r="L35" s="25" t="s">
        <v>36</v>
      </c>
      <c r="M35" s="25"/>
      <c r="N35" s="26">
        <v>58.0</v>
      </c>
      <c r="O35" s="27">
        <v>18.56</v>
      </c>
      <c r="P35" s="1"/>
    </row>
    <row r="36" ht="24.0" customHeight="1">
      <c r="A36" s="1"/>
      <c r="B36" s="28" t="s">
        <v>27</v>
      </c>
      <c r="C36" s="28" t="s">
        <v>87</v>
      </c>
      <c r="D36" s="28" t="s">
        <v>88</v>
      </c>
      <c r="E36" s="28" t="s">
        <v>89</v>
      </c>
      <c r="F36" s="28">
        <v>798992.0</v>
      </c>
      <c r="G36" s="28" t="s">
        <v>90</v>
      </c>
      <c r="H36" s="28" t="s">
        <v>101</v>
      </c>
      <c r="I36" s="28" t="s">
        <v>62</v>
      </c>
      <c r="J36" s="28" t="s">
        <v>34</v>
      </c>
      <c r="K36" s="28" t="s">
        <v>44</v>
      </c>
      <c r="L36" s="28" t="s">
        <v>36</v>
      </c>
      <c r="M36" s="28"/>
      <c r="N36" s="29">
        <v>30.0</v>
      </c>
      <c r="O36" s="30">
        <v>9.6</v>
      </c>
      <c r="P36" s="1"/>
    </row>
    <row r="37" ht="24.0" customHeight="1">
      <c r="A37" s="1"/>
      <c r="B37" s="25" t="s">
        <v>27</v>
      </c>
      <c r="C37" s="25" t="s">
        <v>102</v>
      </c>
      <c r="D37" s="25" t="s">
        <v>103</v>
      </c>
      <c r="E37" s="25" t="s">
        <v>104</v>
      </c>
      <c r="F37" s="25">
        <v>689390.0</v>
      </c>
      <c r="G37" s="25" t="s">
        <v>31</v>
      </c>
      <c r="H37" s="25" t="s">
        <v>105</v>
      </c>
      <c r="I37" s="25" t="s">
        <v>106</v>
      </c>
      <c r="J37" s="25" t="s">
        <v>56</v>
      </c>
      <c r="K37" s="25" t="s">
        <v>44</v>
      </c>
      <c r="L37" s="25" t="s">
        <v>36</v>
      </c>
      <c r="M37" s="25"/>
      <c r="N37" s="26">
        <v>76.0</v>
      </c>
      <c r="O37" s="27">
        <v>18.24</v>
      </c>
      <c r="P37" s="1"/>
    </row>
    <row r="38" ht="24.0" customHeight="1">
      <c r="A38" s="1"/>
      <c r="B38" s="28" t="s">
        <v>27</v>
      </c>
      <c r="C38" s="28" t="s">
        <v>107</v>
      </c>
      <c r="D38" s="28" t="s">
        <v>108</v>
      </c>
      <c r="E38" s="28" t="s">
        <v>109</v>
      </c>
      <c r="F38" s="28">
        <v>689390.0</v>
      </c>
      <c r="G38" s="28" t="s">
        <v>31</v>
      </c>
      <c r="H38" s="28" t="s">
        <v>110</v>
      </c>
      <c r="I38" s="28" t="s">
        <v>106</v>
      </c>
      <c r="J38" s="28" t="s">
        <v>56</v>
      </c>
      <c r="K38" s="28" t="s">
        <v>44</v>
      </c>
      <c r="L38" s="28" t="s">
        <v>36</v>
      </c>
      <c r="M38" s="28"/>
      <c r="N38" s="29">
        <v>76.0</v>
      </c>
      <c r="O38" s="30">
        <v>18.24</v>
      </c>
      <c r="P38" s="1"/>
    </row>
    <row r="39" ht="24.0" customHeight="1">
      <c r="A39" s="1"/>
      <c r="B39" s="25" t="s">
        <v>27</v>
      </c>
      <c r="C39" s="25" t="s">
        <v>111</v>
      </c>
      <c r="D39" s="25" t="s">
        <v>112</v>
      </c>
      <c r="E39" s="25" t="s">
        <v>113</v>
      </c>
      <c r="F39" s="25">
        <v>678726.0</v>
      </c>
      <c r="G39" s="25" t="s">
        <v>60</v>
      </c>
      <c r="H39" s="25" t="s">
        <v>114</v>
      </c>
      <c r="I39" s="25" t="s">
        <v>42</v>
      </c>
      <c r="J39" s="25" t="s">
        <v>34</v>
      </c>
      <c r="K39" s="25" t="s">
        <v>44</v>
      </c>
      <c r="L39" s="25" t="s">
        <v>36</v>
      </c>
      <c r="M39" s="25"/>
      <c r="N39" s="26">
        <v>11.0</v>
      </c>
      <c r="O39" s="27">
        <v>4.07</v>
      </c>
      <c r="P39" s="1"/>
    </row>
    <row r="40" ht="24.0" customHeight="1">
      <c r="A40" s="1"/>
      <c r="B40" s="28" t="s">
        <v>27</v>
      </c>
      <c r="C40" s="28" t="s">
        <v>115</v>
      </c>
      <c r="D40" s="28" t="s">
        <v>116</v>
      </c>
      <c r="E40" s="28" t="s">
        <v>117</v>
      </c>
      <c r="F40" s="28">
        <v>678726.0</v>
      </c>
      <c r="G40" s="28" t="s">
        <v>60</v>
      </c>
      <c r="H40" s="28" t="s">
        <v>118</v>
      </c>
      <c r="I40" s="28" t="s">
        <v>119</v>
      </c>
      <c r="J40" s="28" t="s">
        <v>34</v>
      </c>
      <c r="K40" s="28" t="s">
        <v>44</v>
      </c>
      <c r="L40" s="28" t="s">
        <v>36</v>
      </c>
      <c r="M40" s="28"/>
      <c r="N40" s="29">
        <v>27.0</v>
      </c>
      <c r="O40" s="30">
        <v>6.48</v>
      </c>
      <c r="P40" s="1"/>
    </row>
    <row r="41" ht="24.0" customHeight="1">
      <c r="A41" s="1"/>
      <c r="B41" s="25" t="s">
        <v>27</v>
      </c>
      <c r="C41" s="25" t="s">
        <v>120</v>
      </c>
      <c r="D41" s="25" t="s">
        <v>121</v>
      </c>
      <c r="E41" s="25" t="s">
        <v>122</v>
      </c>
      <c r="F41" s="25">
        <v>798992.0</v>
      </c>
      <c r="G41" s="25" t="s">
        <v>90</v>
      </c>
      <c r="H41" s="25" t="s">
        <v>123</v>
      </c>
      <c r="I41" s="25" t="s">
        <v>62</v>
      </c>
      <c r="J41" s="25" t="s">
        <v>34</v>
      </c>
      <c r="K41" s="25" t="s">
        <v>124</v>
      </c>
      <c r="L41" s="25" t="s">
        <v>36</v>
      </c>
      <c r="M41" s="25"/>
      <c r="N41" s="26">
        <v>25.0</v>
      </c>
      <c r="O41" s="27">
        <v>8.0</v>
      </c>
      <c r="P41" s="1"/>
    </row>
    <row r="42" ht="24.0" customHeight="1">
      <c r="A42" s="1"/>
      <c r="B42" s="28" t="s">
        <v>27</v>
      </c>
      <c r="C42" s="28" t="s">
        <v>125</v>
      </c>
      <c r="D42" s="28" t="s">
        <v>126</v>
      </c>
      <c r="E42" s="28" t="s">
        <v>127</v>
      </c>
      <c r="F42" s="28">
        <v>678726.0</v>
      </c>
      <c r="G42" s="28" t="s">
        <v>60</v>
      </c>
      <c r="H42" s="28" t="s">
        <v>128</v>
      </c>
      <c r="I42" s="28" t="s">
        <v>42</v>
      </c>
      <c r="J42" s="28" t="s">
        <v>34</v>
      </c>
      <c r="K42" s="28" t="s">
        <v>129</v>
      </c>
      <c r="L42" s="28" t="s">
        <v>36</v>
      </c>
      <c r="M42" s="28"/>
      <c r="N42" s="29">
        <v>11.0</v>
      </c>
      <c r="O42" s="30">
        <v>4.07</v>
      </c>
      <c r="P42" s="1"/>
    </row>
    <row r="43" ht="24.0" customHeight="1">
      <c r="A43" s="1"/>
      <c r="B43" s="25" t="s">
        <v>27</v>
      </c>
      <c r="C43" s="25" t="s">
        <v>125</v>
      </c>
      <c r="D43" s="25" t="s">
        <v>126</v>
      </c>
      <c r="E43" s="25" t="s">
        <v>127</v>
      </c>
      <c r="F43" s="25">
        <v>678726.0</v>
      </c>
      <c r="G43" s="25" t="s">
        <v>60</v>
      </c>
      <c r="H43" s="25" t="s">
        <v>130</v>
      </c>
      <c r="I43" s="25" t="s">
        <v>119</v>
      </c>
      <c r="J43" s="25" t="s">
        <v>34</v>
      </c>
      <c r="K43" s="25" t="s">
        <v>129</v>
      </c>
      <c r="L43" s="25" t="s">
        <v>36</v>
      </c>
      <c r="M43" s="25"/>
      <c r="N43" s="26">
        <v>27.0</v>
      </c>
      <c r="O43" s="27">
        <v>6.48</v>
      </c>
      <c r="P43" s="1"/>
    </row>
    <row r="44" ht="24.0" customHeight="1">
      <c r="A44" s="1"/>
      <c r="B44" s="28" t="s">
        <v>27</v>
      </c>
      <c r="C44" s="28" t="s">
        <v>131</v>
      </c>
      <c r="D44" s="28" t="s">
        <v>132</v>
      </c>
      <c r="E44" s="28" t="s">
        <v>133</v>
      </c>
      <c r="F44" s="28">
        <v>757929.0</v>
      </c>
      <c r="G44" s="28" t="s">
        <v>134</v>
      </c>
      <c r="H44" s="28" t="s">
        <v>135</v>
      </c>
      <c r="I44" s="28" t="s">
        <v>42</v>
      </c>
      <c r="J44" s="28" t="s">
        <v>34</v>
      </c>
      <c r="K44" s="28" t="s">
        <v>136</v>
      </c>
      <c r="L44" s="28" t="s">
        <v>36</v>
      </c>
      <c r="M44" s="28"/>
      <c r="N44" s="29">
        <v>11.0</v>
      </c>
      <c r="O44" s="30">
        <v>4.07</v>
      </c>
      <c r="P44" s="1"/>
    </row>
    <row r="45" ht="24.0" customHeight="1">
      <c r="A45" s="1"/>
      <c r="B45" s="25" t="s">
        <v>27</v>
      </c>
      <c r="C45" s="25" t="s">
        <v>137</v>
      </c>
      <c r="D45" s="25" t="s">
        <v>138</v>
      </c>
      <c r="E45" s="25" t="s">
        <v>139</v>
      </c>
      <c r="F45" s="25">
        <v>678726.0</v>
      </c>
      <c r="G45" s="25" t="s">
        <v>60</v>
      </c>
      <c r="H45" s="25" t="s">
        <v>140</v>
      </c>
      <c r="I45" s="25" t="s">
        <v>62</v>
      </c>
      <c r="J45" s="25" t="s">
        <v>34</v>
      </c>
      <c r="K45" s="25" t="s">
        <v>136</v>
      </c>
      <c r="L45" s="25" t="s">
        <v>36</v>
      </c>
      <c r="M45" s="25"/>
      <c r="N45" s="26">
        <v>25.0</v>
      </c>
      <c r="O45" s="27">
        <v>8.0</v>
      </c>
      <c r="P45" s="1"/>
    </row>
    <row r="46" ht="24.0" customHeight="1">
      <c r="A46" s="1"/>
      <c r="B46" s="28" t="s">
        <v>27</v>
      </c>
      <c r="C46" s="28" t="s">
        <v>131</v>
      </c>
      <c r="D46" s="28" t="s">
        <v>132</v>
      </c>
      <c r="E46" s="28" t="s">
        <v>133</v>
      </c>
      <c r="F46" s="28">
        <v>757929.0</v>
      </c>
      <c r="G46" s="28" t="s">
        <v>134</v>
      </c>
      <c r="H46" s="28" t="s">
        <v>141</v>
      </c>
      <c r="I46" s="28" t="s">
        <v>142</v>
      </c>
      <c r="J46" s="28" t="s">
        <v>34</v>
      </c>
      <c r="K46" s="28" t="s">
        <v>136</v>
      </c>
      <c r="L46" s="28" t="s">
        <v>36</v>
      </c>
      <c r="M46" s="28"/>
      <c r="N46" s="29">
        <v>22.0</v>
      </c>
      <c r="O46" s="30">
        <v>5.28</v>
      </c>
      <c r="P46" s="1"/>
    </row>
    <row r="47" ht="24.0" customHeight="1">
      <c r="A47" s="1"/>
      <c r="B47" s="25" t="s">
        <v>27</v>
      </c>
      <c r="C47" s="25" t="s">
        <v>143</v>
      </c>
      <c r="D47" s="25" t="s">
        <v>144</v>
      </c>
      <c r="E47" s="25" t="s">
        <v>145</v>
      </c>
      <c r="F47" s="25">
        <v>678726.0</v>
      </c>
      <c r="G47" s="25" t="s">
        <v>60</v>
      </c>
      <c r="H47" s="25" t="s">
        <v>146</v>
      </c>
      <c r="I47" s="25" t="s">
        <v>62</v>
      </c>
      <c r="J47" s="25" t="s">
        <v>56</v>
      </c>
      <c r="K47" s="25" t="s">
        <v>136</v>
      </c>
      <c r="L47" s="25" t="s">
        <v>36</v>
      </c>
      <c r="M47" s="25"/>
      <c r="N47" s="26">
        <v>50.0</v>
      </c>
      <c r="O47" s="27">
        <v>16.0</v>
      </c>
      <c r="P47" s="1"/>
    </row>
    <row r="48" ht="24.0" customHeight="1">
      <c r="A48" s="1"/>
      <c r="B48" s="28" t="s">
        <v>27</v>
      </c>
      <c r="C48" s="28" t="s">
        <v>147</v>
      </c>
      <c r="D48" s="28" t="s">
        <v>148</v>
      </c>
      <c r="E48" s="28" t="s">
        <v>149</v>
      </c>
      <c r="F48" s="28">
        <v>757209.0</v>
      </c>
      <c r="G48" s="28" t="s">
        <v>150</v>
      </c>
      <c r="H48" s="28" t="s">
        <v>151</v>
      </c>
      <c r="I48" s="28" t="s">
        <v>42</v>
      </c>
      <c r="J48" s="28" t="s">
        <v>43</v>
      </c>
      <c r="K48" s="28" t="s">
        <v>136</v>
      </c>
      <c r="L48" s="28" t="s">
        <v>36</v>
      </c>
      <c r="M48" s="28"/>
      <c r="N48" s="29">
        <v>15.0</v>
      </c>
      <c r="O48" s="30">
        <v>5.55</v>
      </c>
      <c r="P48" s="1"/>
    </row>
    <row r="49" ht="24.0" customHeight="1">
      <c r="A49" s="1"/>
      <c r="B49" s="25" t="s">
        <v>27</v>
      </c>
      <c r="C49" s="25" t="s">
        <v>152</v>
      </c>
      <c r="D49" s="25" t="s">
        <v>153</v>
      </c>
      <c r="E49" s="25" t="s">
        <v>154</v>
      </c>
      <c r="F49" s="25">
        <v>757929.0</v>
      </c>
      <c r="G49" s="25" t="s">
        <v>134</v>
      </c>
      <c r="H49" s="25" t="s">
        <v>155</v>
      </c>
      <c r="I49" s="25" t="s">
        <v>50</v>
      </c>
      <c r="J49" s="25" t="s">
        <v>34</v>
      </c>
      <c r="K49" s="25" t="s">
        <v>136</v>
      </c>
      <c r="L49" s="25" t="s">
        <v>36</v>
      </c>
      <c r="M49" s="25"/>
      <c r="N49" s="26">
        <v>40.0</v>
      </c>
      <c r="O49" s="27">
        <v>9.6</v>
      </c>
      <c r="P49" s="1"/>
    </row>
    <row r="50" ht="24.0" customHeight="1">
      <c r="A50" s="1"/>
      <c r="B50" s="28" t="s">
        <v>27</v>
      </c>
      <c r="C50" s="28" t="s">
        <v>147</v>
      </c>
      <c r="D50" s="28" t="s">
        <v>148</v>
      </c>
      <c r="E50" s="28" t="s">
        <v>149</v>
      </c>
      <c r="F50" s="28">
        <v>757209.0</v>
      </c>
      <c r="G50" s="28" t="s">
        <v>150</v>
      </c>
      <c r="H50" s="28" t="s">
        <v>156</v>
      </c>
      <c r="I50" s="28" t="s">
        <v>50</v>
      </c>
      <c r="J50" s="28" t="s">
        <v>100</v>
      </c>
      <c r="K50" s="28" t="s">
        <v>136</v>
      </c>
      <c r="L50" s="28" t="s">
        <v>36</v>
      </c>
      <c r="M50" s="28"/>
      <c r="N50" s="29">
        <v>95.0</v>
      </c>
      <c r="O50" s="30">
        <v>22.8</v>
      </c>
      <c r="P50" s="1"/>
    </row>
    <row r="51" ht="24.0" customHeight="1">
      <c r="A51" s="1"/>
      <c r="B51" s="25" t="s">
        <v>27</v>
      </c>
      <c r="C51" s="25" t="s">
        <v>157</v>
      </c>
      <c r="D51" s="25" t="s">
        <v>158</v>
      </c>
      <c r="E51" s="25" t="s">
        <v>159</v>
      </c>
      <c r="F51" s="25">
        <v>657149.0</v>
      </c>
      <c r="G51" s="25" t="s">
        <v>160</v>
      </c>
      <c r="H51" s="25" t="s">
        <v>161</v>
      </c>
      <c r="I51" s="25" t="s">
        <v>162</v>
      </c>
      <c r="J51" s="25" t="s">
        <v>78</v>
      </c>
      <c r="K51" s="25" t="s">
        <v>136</v>
      </c>
      <c r="L51" s="25" t="s">
        <v>36</v>
      </c>
      <c r="M51" s="25"/>
      <c r="N51" s="26">
        <v>212.0</v>
      </c>
      <c r="O51" s="27">
        <v>55.12</v>
      </c>
      <c r="P51" s="1"/>
    </row>
    <row r="52" ht="24.0" customHeight="1">
      <c r="A52" s="1"/>
      <c r="B52" s="28" t="s">
        <v>27</v>
      </c>
      <c r="C52" s="28" t="s">
        <v>163</v>
      </c>
      <c r="D52" s="28" t="s">
        <v>164</v>
      </c>
      <c r="E52" s="28" t="s">
        <v>165</v>
      </c>
      <c r="F52" s="28">
        <v>759555.0</v>
      </c>
      <c r="G52" s="28" t="s">
        <v>48</v>
      </c>
      <c r="H52" s="28" t="s">
        <v>166</v>
      </c>
      <c r="I52" s="28" t="s">
        <v>167</v>
      </c>
      <c r="J52" s="28" t="s">
        <v>56</v>
      </c>
      <c r="K52" s="28" t="s">
        <v>44</v>
      </c>
      <c r="L52" s="28" t="s">
        <v>36</v>
      </c>
      <c r="M52" s="28"/>
      <c r="N52" s="29">
        <v>110.0</v>
      </c>
      <c r="O52" s="30">
        <v>26.4</v>
      </c>
      <c r="P52" s="1"/>
    </row>
    <row r="53" ht="24.0" customHeight="1">
      <c r="A53" s="1"/>
      <c r="B53" s="25" t="s">
        <v>27</v>
      </c>
      <c r="C53" s="25" t="s">
        <v>168</v>
      </c>
      <c r="D53" s="25" t="s">
        <v>169</v>
      </c>
      <c r="E53" s="25" t="s">
        <v>170</v>
      </c>
      <c r="F53" s="25">
        <v>798992.0</v>
      </c>
      <c r="G53" s="25" t="s">
        <v>90</v>
      </c>
      <c r="H53" s="25" t="s">
        <v>171</v>
      </c>
      <c r="I53" s="25" t="s">
        <v>33</v>
      </c>
      <c r="J53" s="25" t="s">
        <v>34</v>
      </c>
      <c r="K53" s="25" t="s">
        <v>44</v>
      </c>
      <c r="L53" s="25" t="s">
        <v>36</v>
      </c>
      <c r="M53" s="25"/>
      <c r="N53" s="26">
        <v>66.0</v>
      </c>
      <c r="O53" s="27">
        <v>15.84</v>
      </c>
      <c r="P53" s="1"/>
    </row>
    <row r="54" ht="24.0" customHeight="1">
      <c r="A54" s="1"/>
      <c r="B54" s="28" t="s">
        <v>27</v>
      </c>
      <c r="C54" s="28" t="s">
        <v>172</v>
      </c>
      <c r="D54" s="28" t="s">
        <v>173</v>
      </c>
      <c r="E54" s="28" t="s">
        <v>174</v>
      </c>
      <c r="F54" s="28">
        <v>781535.0</v>
      </c>
      <c r="G54" s="28" t="s">
        <v>54</v>
      </c>
      <c r="H54" s="28" t="s">
        <v>175</v>
      </c>
      <c r="I54" s="28" t="s">
        <v>33</v>
      </c>
      <c r="J54" s="28" t="s">
        <v>34</v>
      </c>
      <c r="K54" s="28" t="s">
        <v>44</v>
      </c>
      <c r="L54" s="28" t="s">
        <v>36</v>
      </c>
      <c r="M54" s="28"/>
      <c r="N54" s="29">
        <v>66.0</v>
      </c>
      <c r="O54" s="30">
        <v>15.84</v>
      </c>
      <c r="P54" s="1"/>
    </row>
    <row r="55" ht="24.0" customHeight="1">
      <c r="B55" s="25" t="s">
        <v>27</v>
      </c>
      <c r="C55" s="25" t="s">
        <v>172</v>
      </c>
      <c r="D55" s="25" t="s">
        <v>173</v>
      </c>
      <c r="E55" s="25" t="s">
        <v>174</v>
      </c>
      <c r="F55" s="25">
        <v>781535.0</v>
      </c>
      <c r="G55" s="25" t="s">
        <v>54</v>
      </c>
      <c r="H55" s="25" t="s">
        <v>176</v>
      </c>
      <c r="I55" s="25" t="s">
        <v>42</v>
      </c>
      <c r="J55" s="25" t="s">
        <v>34</v>
      </c>
      <c r="K55" s="25" t="s">
        <v>44</v>
      </c>
      <c r="L55" s="25" t="s">
        <v>36</v>
      </c>
      <c r="M55" s="25"/>
      <c r="N55" s="26">
        <v>11.0</v>
      </c>
      <c r="O55" s="27">
        <v>4.07</v>
      </c>
    </row>
    <row r="56" ht="24.0" customHeight="1">
      <c r="B56" s="28" t="s">
        <v>27</v>
      </c>
      <c r="C56" s="28" t="s">
        <v>111</v>
      </c>
      <c r="D56" s="28" t="s">
        <v>112</v>
      </c>
      <c r="E56" s="28" t="s">
        <v>113</v>
      </c>
      <c r="F56" s="28">
        <v>678726.0</v>
      </c>
      <c r="G56" s="28" t="s">
        <v>60</v>
      </c>
      <c r="H56" s="28" t="s">
        <v>177</v>
      </c>
      <c r="I56" s="28" t="s">
        <v>62</v>
      </c>
      <c r="J56" s="28" t="s">
        <v>34</v>
      </c>
      <c r="K56" s="28" t="s">
        <v>44</v>
      </c>
      <c r="L56" s="28" t="s">
        <v>36</v>
      </c>
      <c r="M56" s="28"/>
      <c r="N56" s="29">
        <v>25.0</v>
      </c>
      <c r="O56" s="30">
        <v>8.0</v>
      </c>
    </row>
    <row r="57" ht="24.0" customHeight="1">
      <c r="B57" s="25" t="s">
        <v>27</v>
      </c>
      <c r="C57" s="25" t="s">
        <v>178</v>
      </c>
      <c r="D57" s="25" t="s">
        <v>179</v>
      </c>
      <c r="E57" s="25" t="s">
        <v>180</v>
      </c>
      <c r="F57" s="25">
        <v>707256.0</v>
      </c>
      <c r="G57" s="25" t="s">
        <v>181</v>
      </c>
      <c r="H57" s="25" t="s">
        <v>182</v>
      </c>
      <c r="I57" s="25" t="s">
        <v>62</v>
      </c>
      <c r="J57" s="25" t="s">
        <v>34</v>
      </c>
      <c r="K57" s="25" t="s">
        <v>124</v>
      </c>
      <c r="L57" s="25" t="s">
        <v>36</v>
      </c>
      <c r="M57" s="25"/>
      <c r="N57" s="26">
        <v>25.0</v>
      </c>
      <c r="O57" s="27">
        <v>8.0</v>
      </c>
    </row>
    <row r="58" ht="24.0" customHeight="1">
      <c r="B58" s="28" t="s">
        <v>27</v>
      </c>
      <c r="C58" s="28" t="s">
        <v>92</v>
      </c>
      <c r="D58" s="28" t="s">
        <v>93</v>
      </c>
      <c r="E58" s="28" t="s">
        <v>94</v>
      </c>
      <c r="F58" s="28">
        <v>653470.0</v>
      </c>
      <c r="G58" s="28" t="s">
        <v>2</v>
      </c>
      <c r="H58" s="28" t="s">
        <v>183</v>
      </c>
      <c r="I58" s="28" t="s">
        <v>42</v>
      </c>
      <c r="J58" s="28" t="s">
        <v>43</v>
      </c>
      <c r="K58" s="28" t="s">
        <v>44</v>
      </c>
      <c r="L58" s="28" t="s">
        <v>36</v>
      </c>
      <c r="M58" s="28"/>
      <c r="N58" s="29">
        <v>15.0</v>
      </c>
      <c r="O58" s="30">
        <v>5.55</v>
      </c>
    </row>
    <row r="59" ht="24.0" customHeight="1">
      <c r="B59" s="25" t="s">
        <v>27</v>
      </c>
      <c r="C59" s="25" t="s">
        <v>184</v>
      </c>
      <c r="D59" s="25" t="s">
        <v>185</v>
      </c>
      <c r="E59" s="25" t="s">
        <v>186</v>
      </c>
      <c r="F59" s="25">
        <v>706472.0</v>
      </c>
      <c r="G59" s="25" t="s">
        <v>187</v>
      </c>
      <c r="H59" s="25" t="s">
        <v>188</v>
      </c>
      <c r="I59" s="25" t="s">
        <v>62</v>
      </c>
      <c r="J59" s="25" t="s">
        <v>34</v>
      </c>
      <c r="K59" s="25" t="s">
        <v>189</v>
      </c>
      <c r="L59" s="25" t="s">
        <v>36</v>
      </c>
      <c r="M59" s="25"/>
      <c r="N59" s="26">
        <v>25.0</v>
      </c>
      <c r="O59" s="27">
        <v>8.0</v>
      </c>
    </row>
    <row r="60" ht="24.0" customHeight="1">
      <c r="B60" s="28" t="s">
        <v>27</v>
      </c>
      <c r="C60" s="28" t="s">
        <v>190</v>
      </c>
      <c r="D60" s="28" t="s">
        <v>191</v>
      </c>
      <c r="E60" s="28" t="s">
        <v>180</v>
      </c>
      <c r="F60" s="28">
        <v>678726.0</v>
      </c>
      <c r="G60" s="28" t="s">
        <v>60</v>
      </c>
      <c r="H60" s="28" t="s">
        <v>192</v>
      </c>
      <c r="I60" s="28" t="s">
        <v>42</v>
      </c>
      <c r="J60" s="28" t="s">
        <v>34</v>
      </c>
      <c r="K60" s="28" t="s">
        <v>193</v>
      </c>
      <c r="L60" s="28" t="s">
        <v>36</v>
      </c>
      <c r="M60" s="28"/>
      <c r="N60" s="29">
        <v>11.0</v>
      </c>
      <c r="O60" s="30">
        <v>4.07</v>
      </c>
    </row>
    <row r="61" ht="24.0" customHeight="1">
      <c r="B61" s="25" t="s">
        <v>27</v>
      </c>
      <c r="C61" s="25" t="s">
        <v>194</v>
      </c>
      <c r="D61" s="25" t="s">
        <v>195</v>
      </c>
      <c r="E61" s="25" t="s">
        <v>196</v>
      </c>
      <c r="F61" s="25">
        <v>847313.0</v>
      </c>
      <c r="G61" s="25" t="s">
        <v>197</v>
      </c>
      <c r="H61" s="25" t="s">
        <v>198</v>
      </c>
      <c r="I61" s="25" t="s">
        <v>199</v>
      </c>
      <c r="J61" s="25" t="s">
        <v>34</v>
      </c>
      <c r="K61" s="25" t="s">
        <v>193</v>
      </c>
      <c r="L61" s="25" t="s">
        <v>36</v>
      </c>
      <c r="M61" s="25"/>
      <c r="N61" s="26">
        <v>25.0</v>
      </c>
      <c r="O61" s="27">
        <v>6.0</v>
      </c>
    </row>
    <row r="62" ht="24.0" customHeight="1">
      <c r="B62" s="28" t="s">
        <v>27</v>
      </c>
      <c r="C62" s="28" t="s">
        <v>200</v>
      </c>
      <c r="D62" s="28" t="s">
        <v>201</v>
      </c>
      <c r="E62" s="28" t="s">
        <v>202</v>
      </c>
      <c r="F62" s="28">
        <v>723477.0</v>
      </c>
      <c r="G62" s="28" t="s">
        <v>203</v>
      </c>
      <c r="H62" s="28" t="s">
        <v>204</v>
      </c>
      <c r="I62" s="28" t="s">
        <v>42</v>
      </c>
      <c r="J62" s="28" t="s">
        <v>34</v>
      </c>
      <c r="K62" s="28" t="s">
        <v>193</v>
      </c>
      <c r="L62" s="28" t="s">
        <v>36</v>
      </c>
      <c r="M62" s="28"/>
      <c r="N62" s="29">
        <v>11.0</v>
      </c>
      <c r="O62" s="30">
        <v>4.07</v>
      </c>
    </row>
    <row r="63" ht="24.0" customHeight="1">
      <c r="B63" s="25" t="s">
        <v>27</v>
      </c>
      <c r="C63" s="25" t="s">
        <v>205</v>
      </c>
      <c r="D63" s="25" t="s">
        <v>206</v>
      </c>
      <c r="E63" s="25" t="s">
        <v>207</v>
      </c>
      <c r="F63" s="25">
        <v>689390.0</v>
      </c>
      <c r="G63" s="25" t="s">
        <v>31</v>
      </c>
      <c r="H63" s="25" t="s">
        <v>208</v>
      </c>
      <c r="I63" s="25" t="s">
        <v>33</v>
      </c>
      <c r="J63" s="25" t="s">
        <v>34</v>
      </c>
      <c r="K63" s="25" t="s">
        <v>193</v>
      </c>
      <c r="L63" s="25" t="s">
        <v>36</v>
      </c>
      <c r="M63" s="25"/>
      <c r="N63" s="26">
        <v>71.0</v>
      </c>
      <c r="O63" s="27">
        <v>17.04</v>
      </c>
    </row>
    <row r="64" ht="24.0" customHeight="1">
      <c r="B64" s="28" t="s">
        <v>27</v>
      </c>
      <c r="C64" s="28" t="s">
        <v>209</v>
      </c>
      <c r="D64" s="28" t="s">
        <v>210</v>
      </c>
      <c r="E64" s="28" t="s">
        <v>211</v>
      </c>
      <c r="F64" s="28">
        <v>678726.0</v>
      </c>
      <c r="G64" s="28" t="s">
        <v>60</v>
      </c>
      <c r="H64" s="28" t="s">
        <v>212</v>
      </c>
      <c r="I64" s="28" t="s">
        <v>62</v>
      </c>
      <c r="J64" s="28" t="s">
        <v>34</v>
      </c>
      <c r="K64" s="28" t="s">
        <v>193</v>
      </c>
      <c r="L64" s="28" t="s">
        <v>36</v>
      </c>
      <c r="M64" s="28"/>
      <c r="N64" s="29">
        <v>25.0</v>
      </c>
      <c r="O64" s="30">
        <v>8.0</v>
      </c>
    </row>
    <row r="65" ht="24.0" customHeight="1">
      <c r="B65" s="25" t="s">
        <v>27</v>
      </c>
      <c r="C65" s="25" t="s">
        <v>213</v>
      </c>
      <c r="D65" s="25" t="s">
        <v>214</v>
      </c>
      <c r="E65" s="25" t="s">
        <v>215</v>
      </c>
      <c r="F65" s="25">
        <v>678726.0</v>
      </c>
      <c r="G65" s="25" t="s">
        <v>60</v>
      </c>
      <c r="H65" s="25" t="s">
        <v>216</v>
      </c>
      <c r="I65" s="25" t="s">
        <v>62</v>
      </c>
      <c r="J65" s="25" t="s">
        <v>34</v>
      </c>
      <c r="K65" s="25" t="s">
        <v>217</v>
      </c>
      <c r="L65" s="25" t="s">
        <v>36</v>
      </c>
      <c r="M65" s="25"/>
      <c r="N65" s="26">
        <v>30.0</v>
      </c>
      <c r="O65" s="27">
        <v>9.6</v>
      </c>
    </row>
    <row r="66" ht="24.0" customHeight="1">
      <c r="B66" s="28" t="s">
        <v>27</v>
      </c>
      <c r="C66" s="28" t="s">
        <v>218</v>
      </c>
      <c r="D66" s="28" t="s">
        <v>219</v>
      </c>
      <c r="E66" s="28" t="s">
        <v>220</v>
      </c>
      <c r="F66" s="28">
        <v>798992.0</v>
      </c>
      <c r="G66" s="28" t="s">
        <v>90</v>
      </c>
      <c r="H66" s="28" t="s">
        <v>221</v>
      </c>
      <c r="I66" s="28" t="s">
        <v>42</v>
      </c>
      <c r="J66" s="28" t="s">
        <v>34</v>
      </c>
      <c r="K66" s="28" t="s">
        <v>217</v>
      </c>
      <c r="L66" s="28" t="s">
        <v>36</v>
      </c>
      <c r="M66" s="28"/>
      <c r="N66" s="29">
        <v>11.0</v>
      </c>
      <c r="O66" s="30">
        <v>4.07</v>
      </c>
    </row>
    <row r="67" ht="24.0" customHeight="1">
      <c r="B67" s="25" t="s">
        <v>27</v>
      </c>
      <c r="C67" s="25" t="s">
        <v>222</v>
      </c>
      <c r="D67" s="25" t="s">
        <v>223</v>
      </c>
      <c r="E67" s="25" t="s">
        <v>224</v>
      </c>
      <c r="F67" s="25">
        <v>764002.0</v>
      </c>
      <c r="G67" s="25" t="s">
        <v>84</v>
      </c>
      <c r="H67" s="25" t="s">
        <v>225</v>
      </c>
      <c r="I67" s="25" t="s">
        <v>42</v>
      </c>
      <c r="J67" s="25" t="s">
        <v>34</v>
      </c>
      <c r="K67" s="25" t="s">
        <v>217</v>
      </c>
      <c r="L67" s="25" t="s">
        <v>36</v>
      </c>
      <c r="M67" s="25"/>
      <c r="N67" s="26">
        <v>11.0</v>
      </c>
      <c r="O67" s="27">
        <v>4.07</v>
      </c>
    </row>
    <row r="68" ht="24.0" customHeight="1">
      <c r="B68" s="28" t="s">
        <v>27</v>
      </c>
      <c r="C68" s="28" t="s">
        <v>226</v>
      </c>
      <c r="D68" s="28" t="s">
        <v>227</v>
      </c>
      <c r="E68" s="28" t="s">
        <v>228</v>
      </c>
      <c r="F68" s="28">
        <v>820877.0</v>
      </c>
      <c r="G68" s="28" t="s">
        <v>229</v>
      </c>
      <c r="H68" s="28" t="s">
        <v>230</v>
      </c>
      <c r="I68" s="28" t="s">
        <v>62</v>
      </c>
      <c r="J68" s="28" t="s">
        <v>34</v>
      </c>
      <c r="K68" s="28" t="s">
        <v>217</v>
      </c>
      <c r="L68" s="28" t="s">
        <v>36</v>
      </c>
      <c r="M68" s="28"/>
      <c r="N68" s="29">
        <v>25.0</v>
      </c>
      <c r="O68" s="30">
        <v>8.0</v>
      </c>
    </row>
    <row r="69" ht="24.0" customHeight="1">
      <c r="B69" s="25" t="s">
        <v>27</v>
      </c>
      <c r="C69" s="25" t="s">
        <v>218</v>
      </c>
      <c r="D69" s="25" t="s">
        <v>219</v>
      </c>
      <c r="E69" s="25" t="s">
        <v>220</v>
      </c>
      <c r="F69" s="25">
        <v>798992.0</v>
      </c>
      <c r="G69" s="25" t="s">
        <v>90</v>
      </c>
      <c r="H69" s="25" t="s">
        <v>231</v>
      </c>
      <c r="I69" s="25" t="s">
        <v>119</v>
      </c>
      <c r="J69" s="25" t="s">
        <v>34</v>
      </c>
      <c r="K69" s="25" t="s">
        <v>217</v>
      </c>
      <c r="L69" s="25" t="s">
        <v>36</v>
      </c>
      <c r="M69" s="25"/>
      <c r="N69" s="26">
        <v>27.0</v>
      </c>
      <c r="O69" s="27">
        <v>6.48</v>
      </c>
    </row>
    <row r="70" ht="24.0" customHeight="1">
      <c r="B70" s="28" t="s">
        <v>27</v>
      </c>
      <c r="C70" s="28" t="s">
        <v>232</v>
      </c>
      <c r="D70" s="28" t="s">
        <v>233</v>
      </c>
      <c r="E70" s="28" t="s">
        <v>234</v>
      </c>
      <c r="F70" s="28">
        <v>798992.0</v>
      </c>
      <c r="G70" s="28" t="s">
        <v>90</v>
      </c>
      <c r="H70" s="28" t="s">
        <v>235</v>
      </c>
      <c r="I70" s="28" t="s">
        <v>42</v>
      </c>
      <c r="J70" s="28" t="s">
        <v>34</v>
      </c>
      <c r="K70" s="28" t="s">
        <v>217</v>
      </c>
      <c r="L70" s="28" t="s">
        <v>36</v>
      </c>
      <c r="M70" s="28"/>
      <c r="N70" s="29">
        <v>11.0</v>
      </c>
      <c r="O70" s="30">
        <v>4.07</v>
      </c>
    </row>
    <row r="71" ht="24.0" customHeight="1">
      <c r="B71" s="25" t="s">
        <v>27</v>
      </c>
      <c r="C71" s="25" t="s">
        <v>236</v>
      </c>
      <c r="D71" s="25" t="s">
        <v>237</v>
      </c>
      <c r="E71" s="25" t="s">
        <v>30</v>
      </c>
      <c r="F71" s="25">
        <v>689390.0</v>
      </c>
      <c r="G71" s="25" t="s">
        <v>31</v>
      </c>
      <c r="H71" s="25" t="s">
        <v>238</v>
      </c>
      <c r="I71" s="25" t="s">
        <v>33</v>
      </c>
      <c r="J71" s="25" t="s">
        <v>34</v>
      </c>
      <c r="K71" s="25" t="s">
        <v>239</v>
      </c>
      <c r="L71" s="25" t="s">
        <v>36</v>
      </c>
      <c r="M71" s="25"/>
      <c r="N71" s="26">
        <v>74.0</v>
      </c>
      <c r="O71" s="27">
        <v>17.76</v>
      </c>
    </row>
    <row r="72" ht="24.0" customHeight="1">
      <c r="B72" s="28" t="s">
        <v>27</v>
      </c>
      <c r="C72" s="28" t="s">
        <v>240</v>
      </c>
      <c r="D72" s="28" t="s">
        <v>241</v>
      </c>
      <c r="E72" s="28" t="s">
        <v>242</v>
      </c>
      <c r="F72" s="28">
        <v>711419.0</v>
      </c>
      <c r="G72" s="28" t="s">
        <v>40</v>
      </c>
      <c r="H72" s="28" t="s">
        <v>243</v>
      </c>
      <c r="I72" s="28" t="s">
        <v>33</v>
      </c>
      <c r="J72" s="28" t="s">
        <v>56</v>
      </c>
      <c r="K72" s="28" t="s">
        <v>239</v>
      </c>
      <c r="L72" s="28" t="s">
        <v>36</v>
      </c>
      <c r="M72" s="28"/>
      <c r="N72" s="29">
        <v>143.0</v>
      </c>
      <c r="O72" s="30">
        <v>4.29</v>
      </c>
    </row>
    <row r="73" ht="24.0" customHeight="1">
      <c r="B73" s="25" t="s">
        <v>27</v>
      </c>
      <c r="C73" s="25" t="s">
        <v>244</v>
      </c>
      <c r="D73" s="25" t="s">
        <v>245</v>
      </c>
      <c r="E73" s="25" t="s">
        <v>246</v>
      </c>
      <c r="F73" s="25">
        <v>678726.0</v>
      </c>
      <c r="G73" s="25" t="s">
        <v>60</v>
      </c>
      <c r="H73" s="25" t="s">
        <v>247</v>
      </c>
      <c r="I73" s="25" t="s">
        <v>119</v>
      </c>
      <c r="J73" s="25" t="s">
        <v>34</v>
      </c>
      <c r="K73" s="25" t="s">
        <v>248</v>
      </c>
      <c r="L73" s="25" t="s">
        <v>36</v>
      </c>
      <c r="M73" s="25"/>
      <c r="N73" s="26">
        <v>27.0</v>
      </c>
      <c r="O73" s="27">
        <v>6.48</v>
      </c>
    </row>
    <row r="74" ht="24.0" customHeight="1">
      <c r="B74" s="28" t="s">
        <v>27</v>
      </c>
      <c r="C74" s="28" t="s">
        <v>244</v>
      </c>
      <c r="D74" s="28" t="s">
        <v>245</v>
      </c>
      <c r="E74" s="28" t="s">
        <v>246</v>
      </c>
      <c r="F74" s="28">
        <v>678726.0</v>
      </c>
      <c r="G74" s="28" t="s">
        <v>60</v>
      </c>
      <c r="H74" s="28" t="s">
        <v>249</v>
      </c>
      <c r="I74" s="28" t="s">
        <v>42</v>
      </c>
      <c r="J74" s="28" t="s">
        <v>34</v>
      </c>
      <c r="K74" s="28" t="s">
        <v>248</v>
      </c>
      <c r="L74" s="28" t="s">
        <v>36</v>
      </c>
      <c r="M74" s="28"/>
      <c r="N74" s="29">
        <v>11.0</v>
      </c>
      <c r="O74" s="30">
        <v>4.07</v>
      </c>
    </row>
    <row r="75" ht="24.0" customHeight="1">
      <c r="B75" s="25" t="s">
        <v>27</v>
      </c>
      <c r="C75" s="25" t="s">
        <v>190</v>
      </c>
      <c r="D75" s="25" t="s">
        <v>191</v>
      </c>
      <c r="E75" s="25" t="s">
        <v>180</v>
      </c>
      <c r="F75" s="25">
        <v>678726.0</v>
      </c>
      <c r="G75" s="25" t="s">
        <v>60</v>
      </c>
      <c r="H75" s="25" t="s">
        <v>250</v>
      </c>
      <c r="I75" s="25" t="s">
        <v>119</v>
      </c>
      <c r="J75" s="25" t="s">
        <v>34</v>
      </c>
      <c r="K75" s="25" t="s">
        <v>193</v>
      </c>
      <c r="L75" s="25" t="s">
        <v>36</v>
      </c>
      <c r="M75" s="25"/>
      <c r="N75" s="26">
        <v>27.0</v>
      </c>
      <c r="O75" s="27">
        <v>6.48</v>
      </c>
    </row>
    <row r="76" ht="24.0" customHeight="1">
      <c r="B76" s="28" t="s">
        <v>27</v>
      </c>
      <c r="C76" s="28" t="s">
        <v>251</v>
      </c>
      <c r="D76" s="28" t="s">
        <v>252</v>
      </c>
      <c r="E76" s="28" t="s">
        <v>253</v>
      </c>
      <c r="F76" s="28">
        <v>678726.0</v>
      </c>
      <c r="G76" s="28" t="s">
        <v>60</v>
      </c>
      <c r="H76" s="28" t="s">
        <v>254</v>
      </c>
      <c r="I76" s="28" t="s">
        <v>62</v>
      </c>
      <c r="J76" s="28" t="s">
        <v>34</v>
      </c>
      <c r="K76" s="28" t="s">
        <v>189</v>
      </c>
      <c r="L76" s="28" t="s">
        <v>36</v>
      </c>
      <c r="M76" s="28"/>
      <c r="N76" s="29">
        <v>25.0</v>
      </c>
      <c r="O76" s="30">
        <v>8.0</v>
      </c>
    </row>
    <row r="77" ht="24.0" customHeight="1">
      <c r="B77" s="25" t="s">
        <v>27</v>
      </c>
      <c r="C77" s="25" t="s">
        <v>255</v>
      </c>
      <c r="D77" s="25" t="s">
        <v>256</v>
      </c>
      <c r="E77" s="25" t="s">
        <v>257</v>
      </c>
      <c r="F77" s="25">
        <v>759555.0</v>
      </c>
      <c r="G77" s="25" t="s">
        <v>48</v>
      </c>
      <c r="H77" s="25" t="s">
        <v>258</v>
      </c>
      <c r="I77" s="25" t="s">
        <v>77</v>
      </c>
      <c r="J77" s="25" t="s">
        <v>34</v>
      </c>
      <c r="K77" s="25" t="s">
        <v>193</v>
      </c>
      <c r="L77" s="25" t="s">
        <v>36</v>
      </c>
      <c r="M77" s="25"/>
      <c r="N77" s="26">
        <v>25.0</v>
      </c>
      <c r="O77" s="27">
        <v>6.0</v>
      </c>
    </row>
    <row r="78" ht="24.0" customHeight="1">
      <c r="B78" s="28" t="s">
        <v>27</v>
      </c>
      <c r="C78" s="28" t="s">
        <v>255</v>
      </c>
      <c r="D78" s="28" t="s">
        <v>256</v>
      </c>
      <c r="E78" s="28" t="s">
        <v>257</v>
      </c>
      <c r="F78" s="28">
        <v>759555.0</v>
      </c>
      <c r="G78" s="28" t="s">
        <v>48</v>
      </c>
      <c r="H78" s="28" t="s">
        <v>259</v>
      </c>
      <c r="I78" s="28" t="s">
        <v>42</v>
      </c>
      <c r="J78" s="28" t="s">
        <v>34</v>
      </c>
      <c r="K78" s="28" t="s">
        <v>193</v>
      </c>
      <c r="L78" s="28" t="s">
        <v>36</v>
      </c>
      <c r="M78" s="28"/>
      <c r="N78" s="29">
        <v>11.0</v>
      </c>
      <c r="O78" s="30">
        <v>4.07</v>
      </c>
    </row>
    <row r="79" ht="24.0" customHeight="1">
      <c r="B79" s="25" t="s">
        <v>27</v>
      </c>
      <c r="C79" s="25" t="s">
        <v>260</v>
      </c>
      <c r="D79" s="25" t="s">
        <v>261</v>
      </c>
      <c r="E79" s="25" t="s">
        <v>262</v>
      </c>
      <c r="F79" s="25">
        <v>847313.0</v>
      </c>
      <c r="G79" s="25" t="s">
        <v>197</v>
      </c>
      <c r="H79" s="25" t="s">
        <v>263</v>
      </c>
      <c r="I79" s="25" t="s">
        <v>42</v>
      </c>
      <c r="J79" s="25" t="s">
        <v>34</v>
      </c>
      <c r="K79" s="25" t="s">
        <v>264</v>
      </c>
      <c r="L79" s="25" t="s">
        <v>265</v>
      </c>
      <c r="M79" s="25" t="s">
        <v>266</v>
      </c>
      <c r="N79" s="26">
        <v>11.0</v>
      </c>
      <c r="O79" s="27">
        <v>-4.07</v>
      </c>
    </row>
    <row r="80" ht="24.0" customHeight="1">
      <c r="B80" s="28" t="s">
        <v>27</v>
      </c>
      <c r="C80" s="28" t="s">
        <v>260</v>
      </c>
      <c r="D80" s="28" t="s">
        <v>261</v>
      </c>
      <c r="E80" s="28" t="s">
        <v>262</v>
      </c>
      <c r="F80" s="28">
        <v>847313.0</v>
      </c>
      <c r="G80" s="28" t="s">
        <v>197</v>
      </c>
      <c r="H80" s="28" t="s">
        <v>263</v>
      </c>
      <c r="I80" s="28" t="s">
        <v>42</v>
      </c>
      <c r="J80" s="28" t="s">
        <v>34</v>
      </c>
      <c r="K80" s="28" t="s">
        <v>264</v>
      </c>
      <c r="L80" s="28" t="s">
        <v>36</v>
      </c>
      <c r="M80" s="28"/>
      <c r="N80" s="29">
        <v>11.0</v>
      </c>
      <c r="O80" s="30">
        <v>4.07</v>
      </c>
    </row>
    <row r="81" ht="24.0" customHeight="1">
      <c r="B81" s="25" t="s">
        <v>27</v>
      </c>
      <c r="C81" s="25" t="s">
        <v>267</v>
      </c>
      <c r="D81" s="25" t="s">
        <v>268</v>
      </c>
      <c r="E81" s="25" t="s">
        <v>269</v>
      </c>
      <c r="F81" s="25">
        <v>759555.0</v>
      </c>
      <c r="G81" s="25" t="s">
        <v>48</v>
      </c>
      <c r="H81" s="25" t="s">
        <v>270</v>
      </c>
      <c r="I81" s="25" t="s">
        <v>167</v>
      </c>
      <c r="J81" s="25" t="s">
        <v>34</v>
      </c>
      <c r="K81" s="25" t="s">
        <v>264</v>
      </c>
      <c r="L81" s="25" t="s">
        <v>36</v>
      </c>
      <c r="M81" s="25"/>
      <c r="N81" s="26">
        <v>52.0</v>
      </c>
      <c r="O81" s="27">
        <v>12.48</v>
      </c>
    </row>
    <row r="82" ht="24.0" customHeight="1">
      <c r="B82" s="28" t="s">
        <v>27</v>
      </c>
      <c r="C82" s="28" t="s">
        <v>271</v>
      </c>
      <c r="D82" s="28" t="s">
        <v>272</v>
      </c>
      <c r="E82" s="28" t="s">
        <v>273</v>
      </c>
      <c r="F82" s="28">
        <v>757929.0</v>
      </c>
      <c r="G82" s="28" t="s">
        <v>134</v>
      </c>
      <c r="H82" s="28" t="s">
        <v>274</v>
      </c>
      <c r="I82" s="28" t="s">
        <v>106</v>
      </c>
      <c r="J82" s="28" t="s">
        <v>78</v>
      </c>
      <c r="K82" s="28" t="s">
        <v>264</v>
      </c>
      <c r="L82" s="28" t="s">
        <v>36</v>
      </c>
      <c r="M82" s="28"/>
      <c r="N82" s="29">
        <v>185.0</v>
      </c>
      <c r="O82" s="30">
        <v>44.4</v>
      </c>
    </row>
    <row r="83" ht="24.0" customHeight="1">
      <c r="B83" s="25" t="s">
        <v>27</v>
      </c>
      <c r="C83" s="25" t="s">
        <v>267</v>
      </c>
      <c r="D83" s="25" t="s">
        <v>268</v>
      </c>
      <c r="E83" s="25" t="s">
        <v>269</v>
      </c>
      <c r="F83" s="25">
        <v>759555.0</v>
      </c>
      <c r="G83" s="25" t="s">
        <v>48</v>
      </c>
      <c r="H83" s="25" t="s">
        <v>275</v>
      </c>
      <c r="I83" s="25" t="s">
        <v>42</v>
      </c>
      <c r="J83" s="25" t="s">
        <v>34</v>
      </c>
      <c r="K83" s="25" t="s">
        <v>264</v>
      </c>
      <c r="L83" s="25" t="s">
        <v>36</v>
      </c>
      <c r="M83" s="25"/>
      <c r="N83" s="26">
        <v>11.0</v>
      </c>
      <c r="O83" s="27">
        <v>4.07</v>
      </c>
    </row>
    <row r="84" ht="24.0" customHeight="1">
      <c r="B84" s="28" t="s">
        <v>27</v>
      </c>
      <c r="C84" s="28" t="s">
        <v>276</v>
      </c>
      <c r="D84" s="28" t="s">
        <v>277</v>
      </c>
      <c r="E84" s="28" t="s">
        <v>278</v>
      </c>
      <c r="F84" s="28">
        <v>678726.0</v>
      </c>
      <c r="G84" s="28" t="s">
        <v>60</v>
      </c>
      <c r="H84" s="28" t="s">
        <v>279</v>
      </c>
      <c r="I84" s="28" t="s">
        <v>62</v>
      </c>
      <c r="J84" s="28" t="s">
        <v>34</v>
      </c>
      <c r="K84" s="28" t="s">
        <v>280</v>
      </c>
      <c r="L84" s="28" t="s">
        <v>36</v>
      </c>
      <c r="M84" s="28"/>
      <c r="N84" s="29">
        <v>25.0</v>
      </c>
      <c r="O84" s="30">
        <v>8.0</v>
      </c>
    </row>
    <row r="85" ht="24.0" customHeight="1">
      <c r="B85" s="25" t="s">
        <v>27</v>
      </c>
      <c r="C85" s="25" t="s">
        <v>276</v>
      </c>
      <c r="D85" s="25" t="s">
        <v>277</v>
      </c>
      <c r="E85" s="25" t="s">
        <v>278</v>
      </c>
      <c r="F85" s="25">
        <v>678726.0</v>
      </c>
      <c r="G85" s="25" t="s">
        <v>60</v>
      </c>
      <c r="H85" s="25" t="s">
        <v>281</v>
      </c>
      <c r="I85" s="25" t="s">
        <v>42</v>
      </c>
      <c r="J85" s="25" t="s">
        <v>34</v>
      </c>
      <c r="K85" s="25" t="s">
        <v>280</v>
      </c>
      <c r="L85" s="25" t="s">
        <v>36</v>
      </c>
      <c r="M85" s="25"/>
      <c r="N85" s="26">
        <v>11.0</v>
      </c>
      <c r="O85" s="27">
        <v>4.07</v>
      </c>
    </row>
    <row r="86" ht="24.0" customHeight="1">
      <c r="B86" s="28" t="s">
        <v>27</v>
      </c>
      <c r="C86" s="28" t="s">
        <v>282</v>
      </c>
      <c r="D86" s="28" t="s">
        <v>283</v>
      </c>
      <c r="E86" s="28" t="s">
        <v>284</v>
      </c>
      <c r="F86" s="28">
        <v>678726.0</v>
      </c>
      <c r="G86" s="28" t="s">
        <v>60</v>
      </c>
      <c r="H86" s="28" t="s">
        <v>285</v>
      </c>
      <c r="I86" s="28" t="s">
        <v>62</v>
      </c>
      <c r="J86" s="28" t="s">
        <v>34</v>
      </c>
      <c r="K86" s="28" t="s">
        <v>286</v>
      </c>
      <c r="L86" s="28" t="s">
        <v>36</v>
      </c>
      <c r="M86" s="28"/>
      <c r="N86" s="29">
        <v>25.0</v>
      </c>
      <c r="O86" s="30">
        <v>8.0</v>
      </c>
    </row>
    <row r="87" ht="24.0" customHeight="1">
      <c r="B87" s="25" t="s">
        <v>27</v>
      </c>
      <c r="C87" s="25" t="s">
        <v>287</v>
      </c>
      <c r="D87" s="25" t="s">
        <v>288</v>
      </c>
      <c r="E87" s="25" t="s">
        <v>289</v>
      </c>
      <c r="F87" s="25">
        <v>689390.0</v>
      </c>
      <c r="G87" s="25" t="s">
        <v>31</v>
      </c>
      <c r="H87" s="25" t="s">
        <v>290</v>
      </c>
      <c r="I87" s="25" t="s">
        <v>86</v>
      </c>
      <c r="J87" s="25" t="s">
        <v>34</v>
      </c>
      <c r="K87" s="25" t="s">
        <v>286</v>
      </c>
      <c r="L87" s="25" t="s">
        <v>36</v>
      </c>
      <c r="M87" s="25"/>
      <c r="N87" s="26">
        <v>65.0</v>
      </c>
      <c r="O87" s="27">
        <v>15.6</v>
      </c>
    </row>
    <row r="88" ht="24.0" customHeight="1">
      <c r="B88" s="28" t="s">
        <v>27</v>
      </c>
      <c r="C88" s="28" t="s">
        <v>194</v>
      </c>
      <c r="D88" s="28" t="s">
        <v>195</v>
      </c>
      <c r="E88" s="28" t="s">
        <v>196</v>
      </c>
      <c r="F88" s="28">
        <v>847313.0</v>
      </c>
      <c r="G88" s="28" t="s">
        <v>197</v>
      </c>
      <c r="H88" s="28" t="s">
        <v>198</v>
      </c>
      <c r="I88" s="28" t="s">
        <v>199</v>
      </c>
      <c r="J88" s="28" t="s">
        <v>34</v>
      </c>
      <c r="K88" s="28" t="s">
        <v>291</v>
      </c>
      <c r="L88" s="28" t="s">
        <v>265</v>
      </c>
      <c r="M88" s="28" t="s">
        <v>266</v>
      </c>
      <c r="N88" s="29">
        <v>25.0</v>
      </c>
      <c r="O88" s="30">
        <v>-6.0</v>
      </c>
    </row>
    <row r="89" ht="24.0" customHeight="1">
      <c r="B89" s="25" t="s">
        <v>27</v>
      </c>
      <c r="C89" s="25" t="s">
        <v>292</v>
      </c>
      <c r="D89" s="25" t="s">
        <v>293</v>
      </c>
      <c r="E89" s="25" t="s">
        <v>294</v>
      </c>
      <c r="F89" s="25">
        <v>689390.0</v>
      </c>
      <c r="G89" s="25" t="s">
        <v>31</v>
      </c>
      <c r="H89" s="25" t="s">
        <v>295</v>
      </c>
      <c r="I89" s="25" t="s">
        <v>33</v>
      </c>
      <c r="J89" s="25" t="s">
        <v>34</v>
      </c>
      <c r="K89" s="25" t="s">
        <v>291</v>
      </c>
      <c r="L89" s="25" t="s">
        <v>36</v>
      </c>
      <c r="M89" s="25"/>
      <c r="N89" s="26">
        <v>71.0</v>
      </c>
      <c r="O89" s="27">
        <v>17.04</v>
      </c>
    </row>
    <row r="90" ht="24.0" customHeight="1">
      <c r="B90" s="28" t="s">
        <v>27</v>
      </c>
      <c r="C90" s="28" t="s">
        <v>296</v>
      </c>
      <c r="D90" s="28" t="s">
        <v>297</v>
      </c>
      <c r="E90" s="28" t="s">
        <v>298</v>
      </c>
      <c r="F90" s="28">
        <v>703501.0</v>
      </c>
      <c r="G90" s="28" t="s">
        <v>75</v>
      </c>
      <c r="H90" s="28" t="s">
        <v>299</v>
      </c>
      <c r="I90" s="28" t="s">
        <v>42</v>
      </c>
      <c r="J90" s="28" t="s">
        <v>34</v>
      </c>
      <c r="K90" s="28" t="s">
        <v>300</v>
      </c>
      <c r="L90" s="28" t="s">
        <v>36</v>
      </c>
      <c r="M90" s="28"/>
      <c r="N90" s="29">
        <v>11.0</v>
      </c>
      <c r="O90" s="30">
        <v>4.07</v>
      </c>
    </row>
    <row r="91" ht="24.0" customHeight="1">
      <c r="B91" s="25" t="s">
        <v>27</v>
      </c>
      <c r="C91" s="25" t="s">
        <v>301</v>
      </c>
      <c r="D91" s="25" t="s">
        <v>302</v>
      </c>
      <c r="E91" s="25" t="s">
        <v>303</v>
      </c>
      <c r="F91" s="25">
        <v>678726.0</v>
      </c>
      <c r="G91" s="25" t="s">
        <v>60</v>
      </c>
      <c r="H91" s="25" t="s">
        <v>304</v>
      </c>
      <c r="I91" s="25" t="s">
        <v>42</v>
      </c>
      <c r="J91" s="25" t="s">
        <v>34</v>
      </c>
      <c r="K91" s="25" t="s">
        <v>300</v>
      </c>
      <c r="L91" s="25" t="s">
        <v>36</v>
      </c>
      <c r="M91" s="25"/>
      <c r="N91" s="26">
        <v>11.0</v>
      </c>
      <c r="O91" s="27">
        <v>4.07</v>
      </c>
    </row>
    <row r="92" ht="24.0" customHeight="1">
      <c r="B92" s="28" t="s">
        <v>27</v>
      </c>
      <c r="C92" s="28" t="s">
        <v>305</v>
      </c>
      <c r="D92" s="28" t="s">
        <v>306</v>
      </c>
      <c r="E92" s="28" t="s">
        <v>307</v>
      </c>
      <c r="F92" s="28">
        <v>798992.0</v>
      </c>
      <c r="G92" s="28" t="s">
        <v>90</v>
      </c>
      <c r="H92" s="28" t="s">
        <v>308</v>
      </c>
      <c r="I92" s="28" t="s">
        <v>119</v>
      </c>
      <c r="J92" s="28" t="s">
        <v>34</v>
      </c>
      <c r="K92" s="28" t="s">
        <v>193</v>
      </c>
      <c r="L92" s="28" t="s">
        <v>36</v>
      </c>
      <c r="M92" s="28"/>
      <c r="N92" s="29">
        <v>27.0</v>
      </c>
      <c r="O92" s="30">
        <v>6.48</v>
      </c>
    </row>
    <row r="93" ht="24.0" customHeight="1">
      <c r="B93" s="25" t="s">
        <v>27</v>
      </c>
      <c r="C93" s="25" t="s">
        <v>309</v>
      </c>
      <c r="D93" s="25" t="s">
        <v>310</v>
      </c>
      <c r="E93" s="25" t="s">
        <v>311</v>
      </c>
      <c r="F93" s="25">
        <v>689390.0</v>
      </c>
      <c r="G93" s="25" t="s">
        <v>31</v>
      </c>
      <c r="H93" s="25" t="s">
        <v>312</v>
      </c>
      <c r="I93" s="25" t="s">
        <v>33</v>
      </c>
      <c r="J93" s="25" t="s">
        <v>34</v>
      </c>
      <c r="K93" s="25" t="s">
        <v>193</v>
      </c>
      <c r="L93" s="25" t="s">
        <v>36</v>
      </c>
      <c r="M93" s="25"/>
      <c r="N93" s="26">
        <v>65.0</v>
      </c>
      <c r="O93" s="27">
        <v>15.6</v>
      </c>
    </row>
    <row r="94" ht="24.0" customHeight="1">
      <c r="B94" s="28" t="s">
        <v>27</v>
      </c>
      <c r="C94" s="28" t="s">
        <v>313</v>
      </c>
      <c r="D94" s="28" t="s">
        <v>314</v>
      </c>
      <c r="E94" s="28" t="s">
        <v>315</v>
      </c>
      <c r="F94" s="28">
        <v>720542.0</v>
      </c>
      <c r="G94" s="28" t="s">
        <v>316</v>
      </c>
      <c r="H94" s="28" t="s">
        <v>317</v>
      </c>
      <c r="I94" s="28" t="s">
        <v>106</v>
      </c>
      <c r="J94" s="28" t="s">
        <v>34</v>
      </c>
      <c r="K94" s="28" t="s">
        <v>193</v>
      </c>
      <c r="L94" s="28" t="s">
        <v>36</v>
      </c>
      <c r="M94" s="28"/>
      <c r="N94" s="29">
        <v>35.0</v>
      </c>
      <c r="O94" s="30">
        <v>1.05</v>
      </c>
    </row>
    <row r="95" ht="24.0" customHeight="1">
      <c r="B95" s="25" t="s">
        <v>27</v>
      </c>
      <c r="C95" s="25" t="s">
        <v>318</v>
      </c>
      <c r="D95" s="25" t="s">
        <v>319</v>
      </c>
      <c r="E95" s="25" t="s">
        <v>320</v>
      </c>
      <c r="F95" s="25">
        <v>678726.0</v>
      </c>
      <c r="G95" s="25" t="s">
        <v>60</v>
      </c>
      <c r="H95" s="25" t="s">
        <v>321</v>
      </c>
      <c r="I95" s="25" t="s">
        <v>62</v>
      </c>
      <c r="J95" s="25" t="s">
        <v>56</v>
      </c>
      <c r="K95" s="25" t="s">
        <v>322</v>
      </c>
      <c r="L95" s="25" t="s">
        <v>36</v>
      </c>
      <c r="M95" s="25"/>
      <c r="N95" s="26">
        <v>50.0</v>
      </c>
      <c r="O95" s="27">
        <v>16.0</v>
      </c>
    </row>
    <row r="96" ht="24.0" customHeight="1">
      <c r="B96" s="28" t="s">
        <v>27</v>
      </c>
      <c r="C96" s="28" t="s">
        <v>323</v>
      </c>
      <c r="D96" s="28" t="s">
        <v>324</v>
      </c>
      <c r="E96" s="28" t="s">
        <v>325</v>
      </c>
      <c r="F96" s="28">
        <v>678726.0</v>
      </c>
      <c r="G96" s="28" t="s">
        <v>60</v>
      </c>
      <c r="H96" s="28" t="s">
        <v>326</v>
      </c>
      <c r="I96" s="28" t="s">
        <v>62</v>
      </c>
      <c r="J96" s="28" t="s">
        <v>34</v>
      </c>
      <c r="K96" s="28" t="s">
        <v>322</v>
      </c>
      <c r="L96" s="28" t="s">
        <v>36</v>
      </c>
      <c r="M96" s="28"/>
      <c r="N96" s="29">
        <v>25.0</v>
      </c>
      <c r="O96" s="30">
        <v>8.0</v>
      </c>
    </row>
    <row r="97" ht="24.0" customHeight="1">
      <c r="B97" s="25" t="s">
        <v>27</v>
      </c>
      <c r="C97" s="25" t="s">
        <v>327</v>
      </c>
      <c r="D97" s="25" t="s">
        <v>328</v>
      </c>
      <c r="E97" s="25" t="s">
        <v>329</v>
      </c>
      <c r="F97" s="25">
        <v>678726.0</v>
      </c>
      <c r="G97" s="25" t="s">
        <v>60</v>
      </c>
      <c r="H97" s="25" t="s">
        <v>330</v>
      </c>
      <c r="I97" s="25" t="s">
        <v>62</v>
      </c>
      <c r="J97" s="25" t="s">
        <v>34</v>
      </c>
      <c r="K97" s="25" t="s">
        <v>322</v>
      </c>
      <c r="L97" s="25" t="s">
        <v>36</v>
      </c>
      <c r="M97" s="25"/>
      <c r="N97" s="26">
        <v>25.0</v>
      </c>
      <c r="O97" s="27">
        <v>8.0</v>
      </c>
    </row>
    <row r="98" ht="24.0" customHeight="1">
      <c r="B98" s="28" t="s">
        <v>27</v>
      </c>
      <c r="C98" s="28" t="s">
        <v>331</v>
      </c>
      <c r="D98" s="28" t="s">
        <v>103</v>
      </c>
      <c r="E98" s="28" t="s">
        <v>332</v>
      </c>
      <c r="F98" s="28">
        <v>711419.0</v>
      </c>
      <c r="G98" s="28" t="s">
        <v>40</v>
      </c>
      <c r="H98" s="28" t="s">
        <v>333</v>
      </c>
      <c r="I98" s="28" t="s">
        <v>50</v>
      </c>
      <c r="J98" s="28" t="s">
        <v>34</v>
      </c>
      <c r="K98" s="28" t="s">
        <v>35</v>
      </c>
      <c r="L98" s="28" t="s">
        <v>36</v>
      </c>
      <c r="M98" s="28"/>
      <c r="N98" s="29">
        <v>40.0</v>
      </c>
      <c r="O98" s="30">
        <v>1.2</v>
      </c>
    </row>
    <row r="99" ht="24.0" customHeight="1">
      <c r="B99" s="25" t="s">
        <v>27</v>
      </c>
      <c r="C99" s="25" t="s">
        <v>334</v>
      </c>
      <c r="D99" s="25" t="s">
        <v>335</v>
      </c>
      <c r="E99" s="25" t="s">
        <v>336</v>
      </c>
      <c r="F99" s="25">
        <v>678726.0</v>
      </c>
      <c r="G99" s="25" t="s">
        <v>60</v>
      </c>
      <c r="H99" s="25" t="s">
        <v>337</v>
      </c>
      <c r="I99" s="25" t="s">
        <v>42</v>
      </c>
      <c r="J99" s="25" t="s">
        <v>34</v>
      </c>
      <c r="K99" s="25" t="s">
        <v>35</v>
      </c>
      <c r="L99" s="25" t="s">
        <v>36</v>
      </c>
      <c r="M99" s="25"/>
      <c r="N99" s="26">
        <v>11.0</v>
      </c>
      <c r="O99" s="27">
        <v>4.07</v>
      </c>
    </row>
    <row r="100" ht="24.0" customHeight="1">
      <c r="B100" s="28" t="s">
        <v>27</v>
      </c>
      <c r="C100" s="28" t="s">
        <v>338</v>
      </c>
      <c r="D100" s="28" t="s">
        <v>339</v>
      </c>
      <c r="E100" s="28" t="s">
        <v>340</v>
      </c>
      <c r="F100" s="28">
        <v>678726.0</v>
      </c>
      <c r="G100" s="28" t="s">
        <v>60</v>
      </c>
      <c r="H100" s="28" t="s">
        <v>341</v>
      </c>
      <c r="I100" s="28" t="s">
        <v>142</v>
      </c>
      <c r="J100" s="28" t="s">
        <v>34</v>
      </c>
      <c r="K100" s="28" t="s">
        <v>35</v>
      </c>
      <c r="L100" s="28" t="s">
        <v>36</v>
      </c>
      <c r="M100" s="28"/>
      <c r="N100" s="29">
        <v>22.0</v>
      </c>
      <c r="O100" s="30">
        <v>5.28</v>
      </c>
    </row>
    <row r="101" ht="24.0" customHeight="1">
      <c r="B101" s="25" t="s">
        <v>27</v>
      </c>
      <c r="C101" s="25" t="s">
        <v>334</v>
      </c>
      <c r="D101" s="25" t="s">
        <v>335</v>
      </c>
      <c r="E101" s="25" t="s">
        <v>336</v>
      </c>
      <c r="F101" s="25">
        <v>678726.0</v>
      </c>
      <c r="G101" s="25" t="s">
        <v>60</v>
      </c>
      <c r="H101" s="25" t="s">
        <v>342</v>
      </c>
      <c r="I101" s="25" t="s">
        <v>62</v>
      </c>
      <c r="J101" s="25" t="s">
        <v>34</v>
      </c>
      <c r="K101" s="25" t="s">
        <v>35</v>
      </c>
      <c r="L101" s="25" t="s">
        <v>36</v>
      </c>
      <c r="M101" s="25"/>
      <c r="N101" s="26">
        <v>31.13</v>
      </c>
      <c r="O101" s="27">
        <v>9.96</v>
      </c>
    </row>
    <row r="102" ht="24.0" customHeight="1">
      <c r="B102" s="28" t="s">
        <v>27</v>
      </c>
      <c r="C102" s="28" t="s">
        <v>343</v>
      </c>
      <c r="D102" s="28" t="s">
        <v>344</v>
      </c>
      <c r="E102" s="28" t="s">
        <v>345</v>
      </c>
      <c r="F102" s="28">
        <v>678726.0</v>
      </c>
      <c r="G102" s="28" t="s">
        <v>60</v>
      </c>
      <c r="H102" s="28" t="s">
        <v>346</v>
      </c>
      <c r="I102" s="28" t="s">
        <v>42</v>
      </c>
      <c r="J102" s="28" t="s">
        <v>34</v>
      </c>
      <c r="K102" s="28" t="s">
        <v>35</v>
      </c>
      <c r="L102" s="28" t="s">
        <v>36</v>
      </c>
      <c r="M102" s="28"/>
      <c r="N102" s="29">
        <v>11.0</v>
      </c>
      <c r="O102" s="30">
        <v>4.07</v>
      </c>
    </row>
    <row r="103" ht="24.0" customHeight="1">
      <c r="B103" s="25" t="s">
        <v>27</v>
      </c>
      <c r="C103" s="25" t="s">
        <v>347</v>
      </c>
      <c r="D103" s="25" t="s">
        <v>348</v>
      </c>
      <c r="E103" s="25" t="s">
        <v>349</v>
      </c>
      <c r="F103" s="25">
        <v>706472.0</v>
      </c>
      <c r="G103" s="25" t="s">
        <v>187</v>
      </c>
      <c r="H103" s="25" t="s">
        <v>350</v>
      </c>
      <c r="I103" s="25" t="s">
        <v>62</v>
      </c>
      <c r="J103" s="25" t="s">
        <v>34</v>
      </c>
      <c r="K103" s="25" t="s">
        <v>35</v>
      </c>
      <c r="L103" s="25" t="s">
        <v>36</v>
      </c>
      <c r="M103" s="25"/>
      <c r="N103" s="26">
        <v>30.0</v>
      </c>
      <c r="O103" s="27">
        <v>9.6</v>
      </c>
    </row>
    <row r="104" ht="24.0" customHeight="1">
      <c r="B104" s="28" t="s">
        <v>27</v>
      </c>
      <c r="C104" s="28" t="s">
        <v>351</v>
      </c>
      <c r="D104" s="28" t="s">
        <v>352</v>
      </c>
      <c r="E104" s="28" t="s">
        <v>332</v>
      </c>
      <c r="F104" s="28">
        <v>711419.0</v>
      </c>
      <c r="G104" s="28" t="s">
        <v>40</v>
      </c>
      <c r="H104" s="28" t="s">
        <v>353</v>
      </c>
      <c r="I104" s="28" t="s">
        <v>42</v>
      </c>
      <c r="J104" s="28" t="s">
        <v>34</v>
      </c>
      <c r="K104" s="28" t="s">
        <v>354</v>
      </c>
      <c r="L104" s="28" t="s">
        <v>36</v>
      </c>
      <c r="M104" s="28"/>
      <c r="N104" s="29">
        <v>11.0</v>
      </c>
      <c r="O104" s="30">
        <v>0.33</v>
      </c>
    </row>
    <row r="105" ht="24.0" customHeight="1">
      <c r="B105" s="25" t="s">
        <v>27</v>
      </c>
      <c r="C105" s="25" t="s">
        <v>351</v>
      </c>
      <c r="D105" s="25" t="s">
        <v>352</v>
      </c>
      <c r="E105" s="25" t="s">
        <v>332</v>
      </c>
      <c r="F105" s="25">
        <v>711419.0</v>
      </c>
      <c r="G105" s="25" t="s">
        <v>40</v>
      </c>
      <c r="H105" s="25" t="s">
        <v>355</v>
      </c>
      <c r="I105" s="25" t="s">
        <v>50</v>
      </c>
      <c r="J105" s="25" t="s">
        <v>34</v>
      </c>
      <c r="K105" s="25" t="s">
        <v>354</v>
      </c>
      <c r="L105" s="25" t="s">
        <v>36</v>
      </c>
      <c r="M105" s="25"/>
      <c r="N105" s="26">
        <v>40.0</v>
      </c>
      <c r="O105" s="27">
        <v>1.2</v>
      </c>
    </row>
    <row r="106" ht="24.0" customHeight="1">
      <c r="B106" s="28" t="s">
        <v>27</v>
      </c>
      <c r="C106" s="28" t="s">
        <v>356</v>
      </c>
      <c r="D106" s="28" t="s">
        <v>357</v>
      </c>
      <c r="E106" s="28" t="s">
        <v>358</v>
      </c>
      <c r="F106" s="28">
        <v>798992.0</v>
      </c>
      <c r="G106" s="28" t="s">
        <v>90</v>
      </c>
      <c r="H106" s="28" t="s">
        <v>359</v>
      </c>
      <c r="I106" s="28" t="s">
        <v>62</v>
      </c>
      <c r="J106" s="28" t="s">
        <v>34</v>
      </c>
      <c r="K106" s="28" t="s">
        <v>354</v>
      </c>
      <c r="L106" s="28" t="s">
        <v>36</v>
      </c>
      <c r="M106" s="28"/>
      <c r="N106" s="29">
        <v>25.0</v>
      </c>
      <c r="O106" s="30">
        <v>8.0</v>
      </c>
    </row>
    <row r="107" ht="24.0" customHeight="1">
      <c r="B107" s="25" t="s">
        <v>27</v>
      </c>
      <c r="C107" s="25" t="s">
        <v>360</v>
      </c>
      <c r="D107" s="25" t="s">
        <v>361</v>
      </c>
      <c r="E107" s="25" t="s">
        <v>362</v>
      </c>
      <c r="F107" s="25">
        <v>678726.0</v>
      </c>
      <c r="G107" s="25" t="s">
        <v>60</v>
      </c>
      <c r="H107" s="25" t="s">
        <v>363</v>
      </c>
      <c r="I107" s="25" t="s">
        <v>62</v>
      </c>
      <c r="J107" s="25" t="s">
        <v>56</v>
      </c>
      <c r="K107" s="25" t="s">
        <v>354</v>
      </c>
      <c r="L107" s="25" t="s">
        <v>36</v>
      </c>
      <c r="M107" s="25"/>
      <c r="N107" s="26">
        <v>50.0</v>
      </c>
      <c r="O107" s="27">
        <v>16.0</v>
      </c>
    </row>
    <row r="108" ht="24.0" customHeight="1">
      <c r="B108" s="28" t="s">
        <v>27</v>
      </c>
      <c r="C108" s="28" t="s">
        <v>364</v>
      </c>
      <c r="D108" s="28" t="s">
        <v>365</v>
      </c>
      <c r="E108" s="28" t="s">
        <v>366</v>
      </c>
      <c r="F108" s="28">
        <v>653470.0</v>
      </c>
      <c r="G108" s="28" t="s">
        <v>2</v>
      </c>
      <c r="H108" s="28" t="s">
        <v>367</v>
      </c>
      <c r="I108" s="28" t="s">
        <v>368</v>
      </c>
      <c r="J108" s="28" t="s">
        <v>34</v>
      </c>
      <c r="K108" s="28" t="s">
        <v>369</v>
      </c>
      <c r="L108" s="28" t="s">
        <v>36</v>
      </c>
      <c r="M108" s="28"/>
      <c r="N108" s="29">
        <v>18.0</v>
      </c>
      <c r="O108" s="30">
        <v>5.76</v>
      </c>
    </row>
    <row r="109" ht="24.0" customHeight="1">
      <c r="B109" s="25" t="s">
        <v>27</v>
      </c>
      <c r="C109" s="25" t="s">
        <v>370</v>
      </c>
      <c r="D109" s="25" t="s">
        <v>245</v>
      </c>
      <c r="E109" s="25" t="s">
        <v>371</v>
      </c>
      <c r="F109" s="25">
        <v>759555.0</v>
      </c>
      <c r="G109" s="25" t="s">
        <v>48</v>
      </c>
      <c r="H109" s="25" t="s">
        <v>372</v>
      </c>
      <c r="I109" s="25" t="s">
        <v>42</v>
      </c>
      <c r="J109" s="25" t="s">
        <v>34</v>
      </c>
      <c r="K109" s="25" t="s">
        <v>369</v>
      </c>
      <c r="L109" s="25" t="s">
        <v>36</v>
      </c>
      <c r="M109" s="25"/>
      <c r="N109" s="26">
        <v>11.0</v>
      </c>
      <c r="O109" s="27">
        <v>4.07</v>
      </c>
    </row>
    <row r="110" ht="24.0" customHeight="1">
      <c r="B110" s="28" t="s">
        <v>27</v>
      </c>
      <c r="C110" s="28" t="s">
        <v>373</v>
      </c>
      <c r="D110" s="28" t="s">
        <v>374</v>
      </c>
      <c r="E110" s="28" t="s">
        <v>375</v>
      </c>
      <c r="F110" s="28">
        <v>678726.0</v>
      </c>
      <c r="G110" s="28" t="s">
        <v>60</v>
      </c>
      <c r="H110" s="28" t="s">
        <v>376</v>
      </c>
      <c r="I110" s="28" t="s">
        <v>42</v>
      </c>
      <c r="J110" s="28" t="s">
        <v>34</v>
      </c>
      <c r="K110" s="28" t="s">
        <v>369</v>
      </c>
      <c r="L110" s="28" t="s">
        <v>36</v>
      </c>
      <c r="M110" s="28"/>
      <c r="N110" s="29">
        <v>11.0</v>
      </c>
      <c r="O110" s="30">
        <v>4.07</v>
      </c>
    </row>
    <row r="111" ht="24.0" customHeight="1">
      <c r="B111" s="25" t="s">
        <v>27</v>
      </c>
      <c r="C111" s="25" t="s">
        <v>370</v>
      </c>
      <c r="D111" s="25" t="s">
        <v>245</v>
      </c>
      <c r="E111" s="25" t="s">
        <v>371</v>
      </c>
      <c r="F111" s="25">
        <v>759555.0</v>
      </c>
      <c r="G111" s="25" t="s">
        <v>48</v>
      </c>
      <c r="H111" s="25" t="s">
        <v>377</v>
      </c>
      <c r="I111" s="25" t="s">
        <v>106</v>
      </c>
      <c r="J111" s="25" t="s">
        <v>34</v>
      </c>
      <c r="K111" s="25" t="s">
        <v>369</v>
      </c>
      <c r="L111" s="25" t="s">
        <v>36</v>
      </c>
      <c r="M111" s="25"/>
      <c r="N111" s="26">
        <v>52.0</v>
      </c>
      <c r="O111" s="27">
        <v>12.48</v>
      </c>
    </row>
    <row r="112" ht="24.0" customHeight="1">
      <c r="B112" s="28" t="s">
        <v>27</v>
      </c>
      <c r="C112" s="28" t="s">
        <v>378</v>
      </c>
      <c r="D112" s="28" t="s">
        <v>379</v>
      </c>
      <c r="E112" s="28" t="s">
        <v>380</v>
      </c>
      <c r="F112" s="28">
        <v>678726.0</v>
      </c>
      <c r="G112" s="28" t="s">
        <v>60</v>
      </c>
      <c r="H112" s="28" t="s">
        <v>381</v>
      </c>
      <c r="I112" s="28" t="s">
        <v>62</v>
      </c>
      <c r="J112" s="28" t="s">
        <v>34</v>
      </c>
      <c r="K112" s="28" t="s">
        <v>369</v>
      </c>
      <c r="L112" s="28" t="s">
        <v>36</v>
      </c>
      <c r="M112" s="28"/>
      <c r="N112" s="29">
        <v>25.0</v>
      </c>
      <c r="O112" s="30">
        <v>8.0</v>
      </c>
    </row>
    <row r="113" ht="24.0" customHeight="1">
      <c r="B113" s="25" t="s">
        <v>27</v>
      </c>
      <c r="C113" s="25" t="s">
        <v>331</v>
      </c>
      <c r="D113" s="25" t="s">
        <v>103</v>
      </c>
      <c r="E113" s="25" t="s">
        <v>332</v>
      </c>
      <c r="F113" s="25">
        <v>711419.0</v>
      </c>
      <c r="G113" s="25" t="s">
        <v>40</v>
      </c>
      <c r="H113" s="25" t="s">
        <v>382</v>
      </c>
      <c r="I113" s="25" t="s">
        <v>42</v>
      </c>
      <c r="J113" s="25" t="s">
        <v>34</v>
      </c>
      <c r="K113" s="25" t="s">
        <v>35</v>
      </c>
      <c r="L113" s="25" t="s">
        <v>36</v>
      </c>
      <c r="M113" s="25"/>
      <c r="N113" s="26">
        <v>11.0</v>
      </c>
      <c r="O113" s="27">
        <v>0.33</v>
      </c>
    </row>
    <row r="114" ht="24.0" customHeight="1">
      <c r="B114" s="28" t="s">
        <v>27</v>
      </c>
      <c r="C114" s="28" t="s">
        <v>383</v>
      </c>
      <c r="D114" s="28" t="s">
        <v>384</v>
      </c>
      <c r="E114" s="28" t="s">
        <v>83</v>
      </c>
      <c r="F114" s="28">
        <v>820877.0</v>
      </c>
      <c r="G114" s="28" t="s">
        <v>229</v>
      </c>
      <c r="H114" s="28" t="s">
        <v>385</v>
      </c>
      <c r="I114" s="28" t="s">
        <v>62</v>
      </c>
      <c r="J114" s="28" t="s">
        <v>56</v>
      </c>
      <c r="K114" s="28" t="s">
        <v>369</v>
      </c>
      <c r="L114" s="28" t="s">
        <v>36</v>
      </c>
      <c r="M114" s="28"/>
      <c r="N114" s="29">
        <v>50.0</v>
      </c>
      <c r="O114" s="30">
        <v>16.0</v>
      </c>
    </row>
    <row r="115" ht="24.0" customHeight="1">
      <c r="B115" s="25" t="s">
        <v>27</v>
      </c>
      <c r="C115" s="25" t="s">
        <v>386</v>
      </c>
      <c r="D115" s="25" t="s">
        <v>387</v>
      </c>
      <c r="E115" s="25" t="s">
        <v>332</v>
      </c>
      <c r="F115" s="25">
        <v>711419.0</v>
      </c>
      <c r="G115" s="25" t="s">
        <v>40</v>
      </c>
      <c r="H115" s="25" t="s">
        <v>388</v>
      </c>
      <c r="I115" s="25" t="s">
        <v>42</v>
      </c>
      <c r="J115" s="25" t="s">
        <v>34</v>
      </c>
      <c r="K115" s="25" t="s">
        <v>35</v>
      </c>
      <c r="L115" s="25" t="s">
        <v>36</v>
      </c>
      <c r="M115" s="25"/>
      <c r="N115" s="26">
        <v>11.0</v>
      </c>
      <c r="O115" s="27">
        <v>0.33</v>
      </c>
    </row>
    <row r="116" ht="24.0" customHeight="1">
      <c r="B116" s="28" t="s">
        <v>27</v>
      </c>
      <c r="C116" s="28" t="s">
        <v>389</v>
      </c>
      <c r="D116" s="28" t="s">
        <v>390</v>
      </c>
      <c r="E116" s="28" t="s">
        <v>391</v>
      </c>
      <c r="F116" s="28">
        <v>798992.0</v>
      </c>
      <c r="G116" s="28" t="s">
        <v>90</v>
      </c>
      <c r="H116" s="28" t="s">
        <v>392</v>
      </c>
      <c r="I116" s="28" t="s">
        <v>42</v>
      </c>
      <c r="J116" s="28" t="s">
        <v>34</v>
      </c>
      <c r="K116" s="28" t="s">
        <v>35</v>
      </c>
      <c r="L116" s="28" t="s">
        <v>36</v>
      </c>
      <c r="M116" s="28"/>
      <c r="N116" s="29">
        <v>11.0</v>
      </c>
      <c r="O116" s="30">
        <v>4.07</v>
      </c>
    </row>
    <row r="117" ht="24.0" customHeight="1">
      <c r="B117" s="25" t="s">
        <v>27</v>
      </c>
      <c r="C117" s="25" t="s">
        <v>393</v>
      </c>
      <c r="D117" s="25" t="s">
        <v>394</v>
      </c>
      <c r="E117" s="25" t="s">
        <v>127</v>
      </c>
      <c r="F117" s="25">
        <v>678726.0</v>
      </c>
      <c r="G117" s="25" t="s">
        <v>60</v>
      </c>
      <c r="H117" s="25" t="s">
        <v>395</v>
      </c>
      <c r="I117" s="25" t="s">
        <v>62</v>
      </c>
      <c r="J117" s="25" t="s">
        <v>56</v>
      </c>
      <c r="K117" s="25" t="s">
        <v>35</v>
      </c>
      <c r="L117" s="25" t="s">
        <v>36</v>
      </c>
      <c r="M117" s="25"/>
      <c r="N117" s="26">
        <v>50.0</v>
      </c>
      <c r="O117" s="27">
        <v>16.0</v>
      </c>
    </row>
    <row r="118" ht="24.0" customHeight="1">
      <c r="B118" s="28" t="s">
        <v>27</v>
      </c>
      <c r="C118" s="28" t="s">
        <v>396</v>
      </c>
      <c r="D118" s="28" t="s">
        <v>397</v>
      </c>
      <c r="E118" s="28" t="s">
        <v>398</v>
      </c>
      <c r="F118" s="28">
        <v>689390.0</v>
      </c>
      <c r="G118" s="28" t="s">
        <v>31</v>
      </c>
      <c r="H118" s="28" t="s">
        <v>399</v>
      </c>
      <c r="I118" s="28" t="s">
        <v>33</v>
      </c>
      <c r="J118" s="28" t="s">
        <v>34</v>
      </c>
      <c r="K118" s="28" t="s">
        <v>35</v>
      </c>
      <c r="L118" s="28" t="s">
        <v>36</v>
      </c>
      <c r="M118" s="28"/>
      <c r="N118" s="29">
        <v>60.0</v>
      </c>
      <c r="O118" s="30">
        <v>14.4</v>
      </c>
    </row>
    <row r="119" ht="24.0" customHeight="1">
      <c r="B119" s="25" t="s">
        <v>27</v>
      </c>
      <c r="C119" s="25" t="s">
        <v>400</v>
      </c>
      <c r="D119" s="25" t="s">
        <v>401</v>
      </c>
      <c r="E119" s="25" t="s">
        <v>402</v>
      </c>
      <c r="F119" s="25">
        <v>678726.0</v>
      </c>
      <c r="G119" s="25" t="s">
        <v>60</v>
      </c>
      <c r="H119" s="25" t="s">
        <v>403</v>
      </c>
      <c r="I119" s="25" t="s">
        <v>106</v>
      </c>
      <c r="J119" s="25" t="s">
        <v>100</v>
      </c>
      <c r="K119" s="25" t="s">
        <v>35</v>
      </c>
      <c r="L119" s="25" t="s">
        <v>36</v>
      </c>
      <c r="M119" s="25"/>
      <c r="N119" s="26">
        <v>97.0</v>
      </c>
      <c r="O119" s="27">
        <v>23.28</v>
      </c>
    </row>
    <row r="120" ht="24.0" customHeight="1">
      <c r="B120" s="28" t="s">
        <v>27</v>
      </c>
      <c r="C120" s="28" t="s">
        <v>400</v>
      </c>
      <c r="D120" s="28" t="s">
        <v>401</v>
      </c>
      <c r="E120" s="28" t="s">
        <v>402</v>
      </c>
      <c r="F120" s="28">
        <v>678726.0</v>
      </c>
      <c r="G120" s="28" t="s">
        <v>60</v>
      </c>
      <c r="H120" s="28" t="s">
        <v>404</v>
      </c>
      <c r="I120" s="28" t="s">
        <v>42</v>
      </c>
      <c r="J120" s="28" t="s">
        <v>78</v>
      </c>
      <c r="K120" s="28" t="s">
        <v>35</v>
      </c>
      <c r="L120" s="28" t="s">
        <v>36</v>
      </c>
      <c r="M120" s="28"/>
      <c r="N120" s="29">
        <v>20.0</v>
      </c>
      <c r="O120" s="30">
        <v>7.4</v>
      </c>
    </row>
    <row r="121" ht="24.0" customHeight="1">
      <c r="B121" s="25" t="s">
        <v>27</v>
      </c>
      <c r="C121" s="25" t="s">
        <v>405</v>
      </c>
      <c r="D121" s="25" t="s">
        <v>406</v>
      </c>
      <c r="E121" s="25" t="s">
        <v>407</v>
      </c>
      <c r="F121" s="25">
        <v>711419.0</v>
      </c>
      <c r="G121" s="25" t="s">
        <v>40</v>
      </c>
      <c r="H121" s="25" t="s">
        <v>408</v>
      </c>
      <c r="I121" s="25" t="s">
        <v>42</v>
      </c>
      <c r="J121" s="25" t="s">
        <v>78</v>
      </c>
      <c r="K121" s="25" t="s">
        <v>35</v>
      </c>
      <c r="L121" s="25" t="s">
        <v>36</v>
      </c>
      <c r="M121" s="25"/>
      <c r="N121" s="26">
        <v>20.0</v>
      </c>
      <c r="O121" s="27">
        <v>0.6</v>
      </c>
    </row>
    <row r="122" ht="24.0" customHeight="1">
      <c r="B122" s="28" t="s">
        <v>27</v>
      </c>
      <c r="C122" s="28" t="s">
        <v>409</v>
      </c>
      <c r="D122" s="28" t="s">
        <v>410</v>
      </c>
      <c r="E122" s="28" t="s">
        <v>411</v>
      </c>
      <c r="F122" s="28">
        <v>820877.0</v>
      </c>
      <c r="G122" s="28" t="s">
        <v>229</v>
      </c>
      <c r="H122" s="28" t="s">
        <v>412</v>
      </c>
      <c r="I122" s="28" t="s">
        <v>106</v>
      </c>
      <c r="J122" s="28" t="s">
        <v>34</v>
      </c>
      <c r="K122" s="28" t="s">
        <v>35</v>
      </c>
      <c r="L122" s="28" t="s">
        <v>36</v>
      </c>
      <c r="M122" s="28"/>
      <c r="N122" s="29">
        <v>42.0</v>
      </c>
      <c r="O122" s="30">
        <v>10.08</v>
      </c>
    </row>
    <row r="123" ht="24.0" customHeight="1">
      <c r="B123" s="25" t="s">
        <v>27</v>
      </c>
      <c r="C123" s="25" t="s">
        <v>409</v>
      </c>
      <c r="D123" s="25" t="s">
        <v>410</v>
      </c>
      <c r="E123" s="25" t="s">
        <v>411</v>
      </c>
      <c r="F123" s="25">
        <v>820877.0</v>
      </c>
      <c r="G123" s="25" t="s">
        <v>229</v>
      </c>
      <c r="H123" s="25" t="s">
        <v>413</v>
      </c>
      <c r="I123" s="25" t="s">
        <v>42</v>
      </c>
      <c r="J123" s="25" t="s">
        <v>34</v>
      </c>
      <c r="K123" s="25" t="s">
        <v>35</v>
      </c>
      <c r="L123" s="25" t="s">
        <v>36</v>
      </c>
      <c r="M123" s="25"/>
      <c r="N123" s="26">
        <v>11.0</v>
      </c>
      <c r="O123" s="27">
        <v>4.07</v>
      </c>
    </row>
    <row r="124" ht="24.0" customHeight="1">
      <c r="B124" s="28" t="s">
        <v>27</v>
      </c>
      <c r="C124" s="28" t="s">
        <v>414</v>
      </c>
      <c r="D124" s="28" t="s">
        <v>415</v>
      </c>
      <c r="E124" s="28" t="s">
        <v>416</v>
      </c>
      <c r="F124" s="28">
        <v>678726.0</v>
      </c>
      <c r="G124" s="28" t="s">
        <v>60</v>
      </c>
      <c r="H124" s="28" t="s">
        <v>417</v>
      </c>
      <c r="I124" s="28" t="s">
        <v>62</v>
      </c>
      <c r="J124" s="28" t="s">
        <v>34</v>
      </c>
      <c r="K124" s="28" t="s">
        <v>35</v>
      </c>
      <c r="L124" s="28" t="s">
        <v>36</v>
      </c>
      <c r="M124" s="28"/>
      <c r="N124" s="29">
        <v>25.0</v>
      </c>
      <c r="O124" s="30">
        <v>8.0</v>
      </c>
    </row>
    <row r="125" ht="24.0" customHeight="1">
      <c r="B125" s="25" t="s">
        <v>27</v>
      </c>
      <c r="C125" s="25" t="s">
        <v>414</v>
      </c>
      <c r="D125" s="25" t="s">
        <v>415</v>
      </c>
      <c r="E125" s="25" t="s">
        <v>416</v>
      </c>
      <c r="F125" s="25">
        <v>678726.0</v>
      </c>
      <c r="G125" s="25" t="s">
        <v>60</v>
      </c>
      <c r="H125" s="25" t="s">
        <v>418</v>
      </c>
      <c r="I125" s="25" t="s">
        <v>42</v>
      </c>
      <c r="J125" s="25" t="s">
        <v>34</v>
      </c>
      <c r="K125" s="25" t="s">
        <v>35</v>
      </c>
      <c r="L125" s="25" t="s">
        <v>36</v>
      </c>
      <c r="M125" s="25"/>
      <c r="N125" s="26">
        <v>11.0</v>
      </c>
      <c r="O125" s="27">
        <v>4.07</v>
      </c>
    </row>
    <row r="126" ht="24.0" customHeight="1">
      <c r="B126" s="28" t="s">
        <v>27</v>
      </c>
      <c r="C126" s="28" t="s">
        <v>419</v>
      </c>
      <c r="D126" s="28" t="s">
        <v>420</v>
      </c>
      <c r="E126" s="28" t="s">
        <v>421</v>
      </c>
      <c r="F126" s="28">
        <v>760338.0</v>
      </c>
      <c r="G126" s="28" t="s">
        <v>422</v>
      </c>
      <c r="H126" s="28" t="s">
        <v>423</v>
      </c>
      <c r="I126" s="28" t="s">
        <v>77</v>
      </c>
      <c r="J126" s="28" t="s">
        <v>34</v>
      </c>
      <c r="K126" s="28" t="s">
        <v>35</v>
      </c>
      <c r="L126" s="28" t="s">
        <v>36</v>
      </c>
      <c r="M126" s="28"/>
      <c r="N126" s="29">
        <v>25.0</v>
      </c>
      <c r="O126" s="30">
        <v>6.0</v>
      </c>
    </row>
    <row r="127" ht="24.0" customHeight="1">
      <c r="B127" s="25" t="s">
        <v>27</v>
      </c>
      <c r="C127" s="25" t="s">
        <v>393</v>
      </c>
      <c r="D127" s="25" t="s">
        <v>394</v>
      </c>
      <c r="E127" s="25" t="s">
        <v>127</v>
      </c>
      <c r="F127" s="25">
        <v>678726.0</v>
      </c>
      <c r="G127" s="25" t="s">
        <v>60</v>
      </c>
      <c r="H127" s="25" t="s">
        <v>424</v>
      </c>
      <c r="I127" s="25" t="s">
        <v>42</v>
      </c>
      <c r="J127" s="25" t="s">
        <v>43</v>
      </c>
      <c r="K127" s="25" t="s">
        <v>35</v>
      </c>
      <c r="L127" s="25" t="s">
        <v>36</v>
      </c>
      <c r="M127" s="25"/>
      <c r="N127" s="26">
        <v>15.0</v>
      </c>
      <c r="O127" s="27">
        <v>5.55</v>
      </c>
    </row>
    <row r="128" ht="24.0" customHeight="1">
      <c r="B128" s="28" t="s">
        <v>27</v>
      </c>
      <c r="C128" s="28" t="s">
        <v>425</v>
      </c>
      <c r="D128" s="28" t="s">
        <v>328</v>
      </c>
      <c r="E128" s="28" t="s">
        <v>174</v>
      </c>
      <c r="F128" s="28">
        <v>759555.0</v>
      </c>
      <c r="G128" s="28" t="s">
        <v>48</v>
      </c>
      <c r="H128" s="28" t="s">
        <v>426</v>
      </c>
      <c r="I128" s="28" t="s">
        <v>50</v>
      </c>
      <c r="J128" s="28" t="s">
        <v>34</v>
      </c>
      <c r="K128" s="28" t="s">
        <v>35</v>
      </c>
      <c r="L128" s="28" t="s">
        <v>36</v>
      </c>
      <c r="M128" s="28"/>
      <c r="N128" s="29">
        <v>40.0</v>
      </c>
      <c r="O128" s="30">
        <v>9.6</v>
      </c>
    </row>
    <row r="129" ht="24.0" customHeight="1">
      <c r="B129" s="25" t="s">
        <v>27</v>
      </c>
      <c r="C129" s="25" t="s">
        <v>425</v>
      </c>
      <c r="D129" s="25" t="s">
        <v>328</v>
      </c>
      <c r="E129" s="25" t="s">
        <v>174</v>
      </c>
      <c r="F129" s="25">
        <v>759555.0</v>
      </c>
      <c r="G129" s="25" t="s">
        <v>48</v>
      </c>
      <c r="H129" s="25" t="s">
        <v>427</v>
      </c>
      <c r="I129" s="25" t="s">
        <v>42</v>
      </c>
      <c r="J129" s="25" t="s">
        <v>34</v>
      </c>
      <c r="K129" s="25" t="s">
        <v>35</v>
      </c>
      <c r="L129" s="25" t="s">
        <v>36</v>
      </c>
      <c r="M129" s="25"/>
      <c r="N129" s="26">
        <v>11.0</v>
      </c>
      <c r="O129" s="27">
        <v>4.07</v>
      </c>
    </row>
    <row r="130" ht="24.0" customHeight="1">
      <c r="B130" s="28" t="s">
        <v>27</v>
      </c>
      <c r="C130" s="28" t="s">
        <v>428</v>
      </c>
      <c r="D130" s="28" t="s">
        <v>429</v>
      </c>
      <c r="E130" s="28" t="s">
        <v>430</v>
      </c>
      <c r="F130" s="28">
        <v>749876.0</v>
      </c>
      <c r="G130" s="28" t="s">
        <v>431</v>
      </c>
      <c r="H130" s="28" t="s">
        <v>432</v>
      </c>
      <c r="I130" s="28" t="s">
        <v>62</v>
      </c>
      <c r="J130" s="28" t="s">
        <v>34</v>
      </c>
      <c r="K130" s="28" t="s">
        <v>35</v>
      </c>
      <c r="L130" s="28" t="s">
        <v>36</v>
      </c>
      <c r="M130" s="28"/>
      <c r="N130" s="29">
        <v>25.0</v>
      </c>
      <c r="O130" s="30">
        <v>8.0</v>
      </c>
    </row>
    <row r="131" ht="24.0" customHeight="1">
      <c r="B131" s="25" t="s">
        <v>27</v>
      </c>
      <c r="C131" s="25" t="s">
        <v>433</v>
      </c>
      <c r="D131" s="25" t="s">
        <v>38</v>
      </c>
      <c r="E131" s="25" t="s">
        <v>434</v>
      </c>
      <c r="F131" s="25">
        <v>655758.0</v>
      </c>
      <c r="G131" s="25" t="s">
        <v>435</v>
      </c>
      <c r="H131" s="25" t="s">
        <v>436</v>
      </c>
      <c r="I131" s="25" t="s">
        <v>142</v>
      </c>
      <c r="J131" s="25" t="s">
        <v>34</v>
      </c>
      <c r="K131" s="25" t="s">
        <v>35</v>
      </c>
      <c r="L131" s="25" t="s">
        <v>36</v>
      </c>
      <c r="M131" s="25"/>
      <c r="N131" s="26">
        <v>22.0</v>
      </c>
      <c r="O131" s="27">
        <v>5.28</v>
      </c>
    </row>
    <row r="132" ht="24.0" customHeight="1">
      <c r="B132" s="28" t="s">
        <v>27</v>
      </c>
      <c r="C132" s="28" t="s">
        <v>419</v>
      </c>
      <c r="D132" s="28" t="s">
        <v>420</v>
      </c>
      <c r="E132" s="28" t="s">
        <v>421</v>
      </c>
      <c r="F132" s="28">
        <v>760338.0</v>
      </c>
      <c r="G132" s="28" t="s">
        <v>422</v>
      </c>
      <c r="H132" s="28" t="s">
        <v>437</v>
      </c>
      <c r="I132" s="28" t="s">
        <v>42</v>
      </c>
      <c r="J132" s="28" t="s">
        <v>34</v>
      </c>
      <c r="K132" s="28" t="s">
        <v>35</v>
      </c>
      <c r="L132" s="28" t="s">
        <v>36</v>
      </c>
      <c r="M132" s="28"/>
      <c r="N132" s="29">
        <v>11.0</v>
      </c>
      <c r="O132" s="30">
        <v>4.07</v>
      </c>
    </row>
    <row r="133" ht="24.0" customHeight="1">
      <c r="B133" s="25" t="s">
        <v>27</v>
      </c>
      <c r="C133" s="25" t="s">
        <v>438</v>
      </c>
      <c r="D133" s="25" t="s">
        <v>439</v>
      </c>
      <c r="E133" s="25" t="s">
        <v>440</v>
      </c>
      <c r="F133" s="25">
        <v>760338.0</v>
      </c>
      <c r="G133" s="25" t="s">
        <v>422</v>
      </c>
      <c r="H133" s="25" t="s">
        <v>441</v>
      </c>
      <c r="I133" s="25" t="s">
        <v>77</v>
      </c>
      <c r="J133" s="25" t="s">
        <v>34</v>
      </c>
      <c r="K133" s="25" t="s">
        <v>369</v>
      </c>
      <c r="L133" s="25" t="s">
        <v>36</v>
      </c>
      <c r="M133" s="25"/>
      <c r="N133" s="26">
        <v>25.0</v>
      </c>
      <c r="O133" s="27">
        <v>6.0</v>
      </c>
    </row>
    <row r="134" ht="24.0" customHeight="1">
      <c r="B134" s="28" t="s">
        <v>27</v>
      </c>
      <c r="C134" s="28" t="s">
        <v>442</v>
      </c>
      <c r="D134" s="28" t="s">
        <v>443</v>
      </c>
      <c r="E134" s="28" t="s">
        <v>444</v>
      </c>
      <c r="F134" s="28">
        <v>678726.0</v>
      </c>
      <c r="G134" s="28" t="s">
        <v>60</v>
      </c>
      <c r="H134" s="28" t="s">
        <v>445</v>
      </c>
      <c r="I134" s="28" t="s">
        <v>62</v>
      </c>
      <c r="J134" s="28" t="s">
        <v>34</v>
      </c>
      <c r="K134" s="28" t="s">
        <v>369</v>
      </c>
      <c r="L134" s="28" t="s">
        <v>36</v>
      </c>
      <c r="M134" s="28"/>
      <c r="N134" s="29">
        <v>25.0</v>
      </c>
      <c r="O134" s="30">
        <v>8.0</v>
      </c>
    </row>
    <row r="135" ht="24.0" customHeight="1">
      <c r="B135" s="25" t="s">
        <v>27</v>
      </c>
      <c r="C135" s="25" t="s">
        <v>446</v>
      </c>
      <c r="D135" s="25" t="s">
        <v>185</v>
      </c>
      <c r="E135" s="25" t="s">
        <v>447</v>
      </c>
      <c r="F135" s="25">
        <v>678726.0</v>
      </c>
      <c r="G135" s="25" t="s">
        <v>60</v>
      </c>
      <c r="H135" s="25" t="s">
        <v>448</v>
      </c>
      <c r="I135" s="25" t="s">
        <v>62</v>
      </c>
      <c r="J135" s="25" t="s">
        <v>34</v>
      </c>
      <c r="K135" s="25" t="s">
        <v>369</v>
      </c>
      <c r="L135" s="25" t="s">
        <v>36</v>
      </c>
      <c r="M135" s="25"/>
      <c r="N135" s="26">
        <v>25.0</v>
      </c>
      <c r="O135" s="27">
        <v>8.0</v>
      </c>
    </row>
    <row r="136" ht="24.0" customHeight="1">
      <c r="B136" s="28" t="s">
        <v>27</v>
      </c>
      <c r="C136" s="28" t="s">
        <v>449</v>
      </c>
      <c r="D136" s="28" t="s">
        <v>450</v>
      </c>
      <c r="E136" s="28" t="s">
        <v>451</v>
      </c>
      <c r="F136" s="28">
        <v>759555.0</v>
      </c>
      <c r="G136" s="28" t="s">
        <v>48</v>
      </c>
      <c r="H136" s="28" t="s">
        <v>452</v>
      </c>
      <c r="I136" s="28" t="s">
        <v>42</v>
      </c>
      <c r="J136" s="28" t="s">
        <v>78</v>
      </c>
      <c r="K136" s="28" t="s">
        <v>453</v>
      </c>
      <c r="L136" s="28" t="s">
        <v>36</v>
      </c>
      <c r="M136" s="28"/>
      <c r="N136" s="29">
        <v>20.0</v>
      </c>
      <c r="O136" s="30">
        <v>7.4</v>
      </c>
    </row>
    <row r="137" ht="24.0" customHeight="1">
      <c r="B137" s="25" t="s">
        <v>27</v>
      </c>
      <c r="C137" s="25" t="s">
        <v>449</v>
      </c>
      <c r="D137" s="25" t="s">
        <v>450</v>
      </c>
      <c r="E137" s="25" t="s">
        <v>451</v>
      </c>
      <c r="F137" s="25">
        <v>759555.0</v>
      </c>
      <c r="G137" s="25" t="s">
        <v>48</v>
      </c>
      <c r="H137" s="25" t="s">
        <v>454</v>
      </c>
      <c r="I137" s="25" t="s">
        <v>106</v>
      </c>
      <c r="J137" s="25" t="s">
        <v>100</v>
      </c>
      <c r="K137" s="25" t="s">
        <v>453</v>
      </c>
      <c r="L137" s="25" t="s">
        <v>36</v>
      </c>
      <c r="M137" s="25"/>
      <c r="N137" s="26">
        <v>112.0</v>
      </c>
      <c r="O137" s="27">
        <v>26.88</v>
      </c>
    </row>
    <row r="138" ht="24.0" customHeight="1">
      <c r="B138" s="28" t="s">
        <v>27</v>
      </c>
      <c r="C138" s="28" t="s">
        <v>455</v>
      </c>
      <c r="D138" s="28" t="s">
        <v>456</v>
      </c>
      <c r="E138" s="28" t="s">
        <v>457</v>
      </c>
      <c r="F138" s="28">
        <v>689390.0</v>
      </c>
      <c r="G138" s="28" t="s">
        <v>31</v>
      </c>
      <c r="H138" s="28" t="s">
        <v>458</v>
      </c>
      <c r="I138" s="28" t="s">
        <v>33</v>
      </c>
      <c r="J138" s="28" t="s">
        <v>34</v>
      </c>
      <c r="K138" s="28" t="s">
        <v>459</v>
      </c>
      <c r="L138" s="28" t="s">
        <v>36</v>
      </c>
      <c r="M138" s="28"/>
      <c r="N138" s="29">
        <v>71.0</v>
      </c>
      <c r="O138" s="30">
        <v>17.04</v>
      </c>
    </row>
    <row r="139" ht="24.0" customHeight="1">
      <c r="B139" s="25" t="s">
        <v>27</v>
      </c>
      <c r="C139" s="25" t="s">
        <v>460</v>
      </c>
      <c r="D139" s="25" t="s">
        <v>461</v>
      </c>
      <c r="E139" s="25" t="s">
        <v>462</v>
      </c>
      <c r="F139" s="25">
        <v>653470.0</v>
      </c>
      <c r="G139" s="25" t="s">
        <v>2</v>
      </c>
      <c r="H139" s="25" t="s">
        <v>463</v>
      </c>
      <c r="I139" s="25" t="s">
        <v>464</v>
      </c>
      <c r="J139" s="25" t="s">
        <v>78</v>
      </c>
      <c r="K139" s="25" t="s">
        <v>459</v>
      </c>
      <c r="L139" s="25" t="s">
        <v>36</v>
      </c>
      <c r="M139" s="25"/>
      <c r="N139" s="26">
        <v>172.0</v>
      </c>
      <c r="O139" s="27">
        <v>44.72</v>
      </c>
    </row>
    <row r="140" ht="24.0" customHeight="1">
      <c r="B140" s="28" t="s">
        <v>27</v>
      </c>
      <c r="C140" s="28" t="s">
        <v>460</v>
      </c>
      <c r="D140" s="28" t="s">
        <v>461</v>
      </c>
      <c r="E140" s="28" t="s">
        <v>462</v>
      </c>
      <c r="F140" s="28">
        <v>653470.0</v>
      </c>
      <c r="G140" s="28" t="s">
        <v>2</v>
      </c>
      <c r="H140" s="28" t="s">
        <v>465</v>
      </c>
      <c r="I140" s="28" t="s">
        <v>466</v>
      </c>
      <c r="J140" s="28" t="s">
        <v>78</v>
      </c>
      <c r="K140" s="28" t="s">
        <v>459</v>
      </c>
      <c r="L140" s="28" t="s">
        <v>36</v>
      </c>
      <c r="M140" s="28"/>
      <c r="N140" s="29">
        <v>48.0</v>
      </c>
      <c r="O140" s="30">
        <v>12.48</v>
      </c>
    </row>
    <row r="141" ht="24.0" customHeight="1">
      <c r="B141" s="25" t="s">
        <v>27</v>
      </c>
      <c r="C141" s="25" t="s">
        <v>467</v>
      </c>
      <c r="D141" s="25" t="s">
        <v>468</v>
      </c>
      <c r="E141" s="25" t="s">
        <v>469</v>
      </c>
      <c r="F141" s="25">
        <v>678726.0</v>
      </c>
      <c r="G141" s="25" t="s">
        <v>60</v>
      </c>
      <c r="H141" s="25" t="s">
        <v>470</v>
      </c>
      <c r="I141" s="25" t="s">
        <v>42</v>
      </c>
      <c r="J141" s="25" t="s">
        <v>34</v>
      </c>
      <c r="K141" s="25" t="s">
        <v>322</v>
      </c>
      <c r="L141" s="25" t="s">
        <v>36</v>
      </c>
      <c r="M141" s="25"/>
      <c r="N141" s="26">
        <v>11.0</v>
      </c>
      <c r="O141" s="27">
        <v>4.07</v>
      </c>
    </row>
    <row r="142" ht="24.0" customHeight="1">
      <c r="B142" s="28" t="s">
        <v>27</v>
      </c>
      <c r="C142" s="28" t="s">
        <v>471</v>
      </c>
      <c r="D142" s="28" t="s">
        <v>153</v>
      </c>
      <c r="E142" s="28" t="s">
        <v>472</v>
      </c>
      <c r="F142" s="28">
        <v>757929.0</v>
      </c>
      <c r="G142" s="28" t="s">
        <v>134</v>
      </c>
      <c r="H142" s="28" t="s">
        <v>473</v>
      </c>
      <c r="I142" s="28" t="s">
        <v>50</v>
      </c>
      <c r="J142" s="28" t="s">
        <v>34</v>
      </c>
      <c r="K142" s="28" t="s">
        <v>322</v>
      </c>
      <c r="L142" s="28" t="s">
        <v>36</v>
      </c>
      <c r="M142" s="28"/>
      <c r="N142" s="29">
        <v>40.0</v>
      </c>
      <c r="O142" s="30">
        <v>9.6</v>
      </c>
    </row>
    <row r="143" ht="24.0" customHeight="1">
      <c r="B143" s="25" t="s">
        <v>27</v>
      </c>
      <c r="C143" s="25" t="s">
        <v>474</v>
      </c>
      <c r="D143" s="25" t="s">
        <v>475</v>
      </c>
      <c r="E143" s="25" t="s">
        <v>476</v>
      </c>
      <c r="F143" s="25">
        <v>760338.0</v>
      </c>
      <c r="G143" s="25" t="s">
        <v>422</v>
      </c>
      <c r="H143" s="25" t="s">
        <v>477</v>
      </c>
      <c r="I143" s="25" t="s">
        <v>42</v>
      </c>
      <c r="J143" s="25" t="s">
        <v>34</v>
      </c>
      <c r="K143" s="25" t="s">
        <v>322</v>
      </c>
      <c r="L143" s="25" t="s">
        <v>36</v>
      </c>
      <c r="M143" s="25"/>
      <c r="N143" s="26">
        <v>11.0</v>
      </c>
      <c r="O143" s="27">
        <v>4.07</v>
      </c>
    </row>
    <row r="144" ht="24.0" customHeight="1">
      <c r="B144" s="28" t="s">
        <v>27</v>
      </c>
      <c r="C144" s="28" t="s">
        <v>474</v>
      </c>
      <c r="D144" s="28" t="s">
        <v>475</v>
      </c>
      <c r="E144" s="28" t="s">
        <v>476</v>
      </c>
      <c r="F144" s="28">
        <v>760338.0</v>
      </c>
      <c r="G144" s="28" t="s">
        <v>422</v>
      </c>
      <c r="H144" s="28" t="s">
        <v>478</v>
      </c>
      <c r="I144" s="28" t="s">
        <v>50</v>
      </c>
      <c r="J144" s="28" t="s">
        <v>34</v>
      </c>
      <c r="K144" s="28" t="s">
        <v>322</v>
      </c>
      <c r="L144" s="28" t="s">
        <v>36</v>
      </c>
      <c r="M144" s="28"/>
      <c r="N144" s="29">
        <v>43.56</v>
      </c>
      <c r="O144" s="30">
        <v>10.45</v>
      </c>
    </row>
    <row r="145" ht="24.0" customHeight="1">
      <c r="B145" s="25" t="s">
        <v>27</v>
      </c>
      <c r="C145" s="25" t="s">
        <v>479</v>
      </c>
      <c r="D145" s="25" t="s">
        <v>480</v>
      </c>
      <c r="E145" s="25" t="s">
        <v>481</v>
      </c>
      <c r="F145" s="25">
        <v>820877.0</v>
      </c>
      <c r="G145" s="25" t="s">
        <v>229</v>
      </c>
      <c r="H145" s="25" t="s">
        <v>482</v>
      </c>
      <c r="I145" s="25" t="s">
        <v>62</v>
      </c>
      <c r="J145" s="25" t="s">
        <v>56</v>
      </c>
      <c r="K145" s="25" t="s">
        <v>322</v>
      </c>
      <c r="L145" s="25" t="s">
        <v>36</v>
      </c>
      <c r="M145" s="25"/>
      <c r="N145" s="26">
        <v>46.0</v>
      </c>
      <c r="O145" s="27">
        <v>14.72</v>
      </c>
    </row>
    <row r="146" ht="24.0" customHeight="1">
      <c r="B146" s="28" t="s">
        <v>27</v>
      </c>
      <c r="C146" s="28" t="s">
        <v>483</v>
      </c>
      <c r="D146" s="28" t="s">
        <v>484</v>
      </c>
      <c r="E146" s="28" t="s">
        <v>485</v>
      </c>
      <c r="F146" s="28">
        <v>703501.0</v>
      </c>
      <c r="G146" s="28" t="s">
        <v>75</v>
      </c>
      <c r="H146" s="28" t="s">
        <v>486</v>
      </c>
      <c r="I146" s="28" t="s">
        <v>77</v>
      </c>
      <c r="J146" s="28" t="s">
        <v>34</v>
      </c>
      <c r="K146" s="28" t="s">
        <v>322</v>
      </c>
      <c r="L146" s="28" t="s">
        <v>36</v>
      </c>
      <c r="M146" s="28"/>
      <c r="N146" s="29">
        <v>25.0</v>
      </c>
      <c r="O146" s="30">
        <v>6.0</v>
      </c>
    </row>
    <row r="147" ht="24.0" customHeight="1">
      <c r="B147" s="25" t="s">
        <v>27</v>
      </c>
      <c r="C147" s="25" t="s">
        <v>487</v>
      </c>
      <c r="D147" s="25" t="s">
        <v>488</v>
      </c>
      <c r="E147" s="25" t="s">
        <v>489</v>
      </c>
      <c r="F147" s="25">
        <v>678726.0</v>
      </c>
      <c r="G147" s="25" t="s">
        <v>60</v>
      </c>
      <c r="H147" s="25" t="s">
        <v>490</v>
      </c>
      <c r="I147" s="25" t="s">
        <v>62</v>
      </c>
      <c r="J147" s="25" t="s">
        <v>34</v>
      </c>
      <c r="K147" s="25" t="s">
        <v>322</v>
      </c>
      <c r="L147" s="25" t="s">
        <v>36</v>
      </c>
      <c r="M147" s="25"/>
      <c r="N147" s="26">
        <v>25.0</v>
      </c>
      <c r="O147" s="27">
        <v>8.0</v>
      </c>
    </row>
    <row r="148" ht="24.0" customHeight="1">
      <c r="B148" s="28" t="s">
        <v>27</v>
      </c>
      <c r="C148" s="28" t="s">
        <v>491</v>
      </c>
      <c r="D148" s="28" t="s">
        <v>310</v>
      </c>
      <c r="E148" s="28" t="s">
        <v>489</v>
      </c>
      <c r="F148" s="28">
        <v>678726.0</v>
      </c>
      <c r="G148" s="28" t="s">
        <v>60</v>
      </c>
      <c r="H148" s="28" t="s">
        <v>492</v>
      </c>
      <c r="I148" s="28" t="s">
        <v>62</v>
      </c>
      <c r="J148" s="28" t="s">
        <v>56</v>
      </c>
      <c r="K148" s="28" t="s">
        <v>322</v>
      </c>
      <c r="L148" s="28" t="s">
        <v>36</v>
      </c>
      <c r="M148" s="28"/>
      <c r="N148" s="29">
        <v>50.0</v>
      </c>
      <c r="O148" s="30">
        <v>16.0</v>
      </c>
    </row>
    <row r="149" ht="24.0" customHeight="1">
      <c r="B149" s="25" t="s">
        <v>27</v>
      </c>
      <c r="C149" s="25" t="s">
        <v>493</v>
      </c>
      <c r="D149" s="25" t="s">
        <v>494</v>
      </c>
      <c r="E149" s="25" t="s">
        <v>495</v>
      </c>
      <c r="F149" s="25">
        <v>706472.0</v>
      </c>
      <c r="G149" s="25" t="s">
        <v>187</v>
      </c>
      <c r="H149" s="25" t="s">
        <v>496</v>
      </c>
      <c r="I149" s="25" t="s">
        <v>62</v>
      </c>
      <c r="J149" s="25" t="s">
        <v>56</v>
      </c>
      <c r="K149" s="25" t="s">
        <v>322</v>
      </c>
      <c r="L149" s="25" t="s">
        <v>36</v>
      </c>
      <c r="M149" s="25"/>
      <c r="N149" s="26">
        <v>50.0</v>
      </c>
      <c r="O149" s="27">
        <v>16.0</v>
      </c>
    </row>
    <row r="150" ht="24.0" customHeight="1">
      <c r="B150" s="28" t="s">
        <v>27</v>
      </c>
      <c r="C150" s="28" t="s">
        <v>497</v>
      </c>
      <c r="D150" s="28" t="s">
        <v>498</v>
      </c>
      <c r="E150" s="28" t="s">
        <v>499</v>
      </c>
      <c r="F150" s="28">
        <v>689390.0</v>
      </c>
      <c r="G150" s="28" t="s">
        <v>31</v>
      </c>
      <c r="H150" s="28" t="s">
        <v>500</v>
      </c>
      <c r="I150" s="28" t="s">
        <v>33</v>
      </c>
      <c r="J150" s="28" t="s">
        <v>34</v>
      </c>
      <c r="K150" s="28" t="s">
        <v>322</v>
      </c>
      <c r="L150" s="28" t="s">
        <v>36</v>
      </c>
      <c r="M150" s="28"/>
      <c r="N150" s="29">
        <v>66.0</v>
      </c>
      <c r="O150" s="30">
        <v>15.84</v>
      </c>
    </row>
    <row r="151" ht="24.0" customHeight="1">
      <c r="B151" s="25" t="s">
        <v>27</v>
      </c>
      <c r="C151" s="25" t="s">
        <v>501</v>
      </c>
      <c r="D151" s="25" t="s">
        <v>502</v>
      </c>
      <c r="E151" s="25" t="s">
        <v>503</v>
      </c>
      <c r="F151" s="25">
        <v>678726.0</v>
      </c>
      <c r="G151" s="25" t="s">
        <v>60</v>
      </c>
      <c r="H151" s="25" t="s">
        <v>504</v>
      </c>
      <c r="I151" s="25" t="s">
        <v>42</v>
      </c>
      <c r="J151" s="25" t="s">
        <v>34</v>
      </c>
      <c r="K151" s="25" t="s">
        <v>453</v>
      </c>
      <c r="L151" s="25" t="s">
        <v>36</v>
      </c>
      <c r="M151" s="25"/>
      <c r="N151" s="26">
        <v>11.0</v>
      </c>
      <c r="O151" s="27">
        <v>4.07</v>
      </c>
    </row>
    <row r="152" ht="24.0" customHeight="1">
      <c r="B152" s="28" t="s">
        <v>27</v>
      </c>
      <c r="C152" s="28" t="s">
        <v>501</v>
      </c>
      <c r="D152" s="28" t="s">
        <v>502</v>
      </c>
      <c r="E152" s="28" t="s">
        <v>503</v>
      </c>
      <c r="F152" s="28">
        <v>678726.0</v>
      </c>
      <c r="G152" s="28" t="s">
        <v>60</v>
      </c>
      <c r="H152" s="28" t="s">
        <v>505</v>
      </c>
      <c r="I152" s="28" t="s">
        <v>119</v>
      </c>
      <c r="J152" s="28" t="s">
        <v>34</v>
      </c>
      <c r="K152" s="28" t="s">
        <v>453</v>
      </c>
      <c r="L152" s="28" t="s">
        <v>36</v>
      </c>
      <c r="M152" s="28"/>
      <c r="N152" s="29">
        <v>27.0</v>
      </c>
      <c r="O152" s="30">
        <v>6.48</v>
      </c>
    </row>
    <row r="153" ht="24.0" customHeight="1">
      <c r="B153" s="25" t="s">
        <v>27</v>
      </c>
      <c r="C153" s="25" t="s">
        <v>506</v>
      </c>
      <c r="D153" s="25" t="s">
        <v>195</v>
      </c>
      <c r="E153" s="25" t="s">
        <v>507</v>
      </c>
      <c r="F153" s="25">
        <v>781535.0</v>
      </c>
      <c r="G153" s="25" t="s">
        <v>54</v>
      </c>
      <c r="H153" s="25" t="s">
        <v>508</v>
      </c>
      <c r="I153" s="25" t="s">
        <v>42</v>
      </c>
      <c r="J153" s="25" t="s">
        <v>43</v>
      </c>
      <c r="K153" s="25" t="s">
        <v>453</v>
      </c>
      <c r="L153" s="25" t="s">
        <v>36</v>
      </c>
      <c r="M153" s="25"/>
      <c r="N153" s="26">
        <v>15.0</v>
      </c>
      <c r="O153" s="27">
        <v>5.55</v>
      </c>
    </row>
    <row r="154" ht="24.0" customHeight="1">
      <c r="B154" s="28" t="s">
        <v>27</v>
      </c>
      <c r="C154" s="28" t="s">
        <v>506</v>
      </c>
      <c r="D154" s="28" t="s">
        <v>195</v>
      </c>
      <c r="E154" s="28" t="s">
        <v>507</v>
      </c>
      <c r="F154" s="28">
        <v>781535.0</v>
      </c>
      <c r="G154" s="28" t="s">
        <v>54</v>
      </c>
      <c r="H154" s="28" t="s">
        <v>509</v>
      </c>
      <c r="I154" s="28" t="s">
        <v>33</v>
      </c>
      <c r="J154" s="28" t="s">
        <v>56</v>
      </c>
      <c r="K154" s="28" t="s">
        <v>453</v>
      </c>
      <c r="L154" s="28" t="s">
        <v>36</v>
      </c>
      <c r="M154" s="28"/>
      <c r="N154" s="29">
        <v>121.0</v>
      </c>
      <c r="O154" s="30">
        <v>29.04</v>
      </c>
    </row>
    <row r="155" ht="24.0" customHeight="1">
      <c r="B155" s="25" t="s">
        <v>27</v>
      </c>
      <c r="C155" s="25" t="s">
        <v>510</v>
      </c>
      <c r="D155" s="25" t="s">
        <v>511</v>
      </c>
      <c r="E155" s="25" t="s">
        <v>512</v>
      </c>
      <c r="F155" s="25">
        <v>689390.0</v>
      </c>
      <c r="G155" s="25" t="s">
        <v>31</v>
      </c>
      <c r="H155" s="25" t="s">
        <v>513</v>
      </c>
      <c r="I155" s="25" t="s">
        <v>62</v>
      </c>
      <c r="J155" s="25" t="s">
        <v>34</v>
      </c>
      <c r="K155" s="25" t="s">
        <v>514</v>
      </c>
      <c r="L155" s="25" t="s">
        <v>36</v>
      </c>
      <c r="M155" s="25"/>
      <c r="N155" s="26">
        <v>30.0</v>
      </c>
      <c r="O155" s="27">
        <v>9.6</v>
      </c>
    </row>
    <row r="156" ht="24.0" customHeight="1">
      <c r="B156" s="28" t="s">
        <v>27</v>
      </c>
      <c r="C156" s="28" t="s">
        <v>515</v>
      </c>
      <c r="D156" s="28" t="s">
        <v>272</v>
      </c>
      <c r="E156" s="28" t="s">
        <v>516</v>
      </c>
      <c r="F156" s="28">
        <v>798992.0</v>
      </c>
      <c r="G156" s="28" t="s">
        <v>90</v>
      </c>
      <c r="H156" s="28" t="s">
        <v>517</v>
      </c>
      <c r="I156" s="28" t="s">
        <v>119</v>
      </c>
      <c r="J156" s="28" t="s">
        <v>34</v>
      </c>
      <c r="K156" s="28" t="s">
        <v>518</v>
      </c>
      <c r="L156" s="28" t="s">
        <v>36</v>
      </c>
      <c r="M156" s="28"/>
      <c r="N156" s="29">
        <v>27.0</v>
      </c>
      <c r="O156" s="30">
        <v>6.48</v>
      </c>
    </row>
    <row r="157" ht="24.0" customHeight="1">
      <c r="B157" s="25" t="s">
        <v>27</v>
      </c>
      <c r="C157" s="25" t="s">
        <v>519</v>
      </c>
      <c r="D157" s="25" t="s">
        <v>520</v>
      </c>
      <c r="E157" s="25" t="s">
        <v>521</v>
      </c>
      <c r="F157" s="25">
        <v>678726.0</v>
      </c>
      <c r="G157" s="25" t="s">
        <v>60</v>
      </c>
      <c r="H157" s="25" t="s">
        <v>522</v>
      </c>
      <c r="I157" s="25" t="s">
        <v>62</v>
      </c>
      <c r="J157" s="25" t="s">
        <v>56</v>
      </c>
      <c r="K157" s="25" t="s">
        <v>523</v>
      </c>
      <c r="L157" s="25" t="s">
        <v>36</v>
      </c>
      <c r="M157" s="25"/>
      <c r="N157" s="26">
        <v>50.0</v>
      </c>
      <c r="O157" s="27">
        <v>16.0</v>
      </c>
    </row>
    <row r="158" ht="24.0" customHeight="1">
      <c r="B158" s="28" t="s">
        <v>27</v>
      </c>
      <c r="C158" s="28" t="s">
        <v>524</v>
      </c>
      <c r="D158" s="28" t="s">
        <v>525</v>
      </c>
      <c r="E158" s="28" t="s">
        <v>526</v>
      </c>
      <c r="F158" s="28">
        <v>678726.0</v>
      </c>
      <c r="G158" s="28" t="s">
        <v>60</v>
      </c>
      <c r="H158" s="28" t="s">
        <v>527</v>
      </c>
      <c r="I158" s="28" t="s">
        <v>62</v>
      </c>
      <c r="J158" s="28" t="s">
        <v>34</v>
      </c>
      <c r="K158" s="28" t="s">
        <v>523</v>
      </c>
      <c r="L158" s="28" t="s">
        <v>36</v>
      </c>
      <c r="M158" s="28"/>
      <c r="N158" s="29">
        <v>25.0</v>
      </c>
      <c r="O158" s="30">
        <v>8.0</v>
      </c>
    </row>
    <row r="159" ht="24.0" customHeight="1">
      <c r="B159" s="25" t="s">
        <v>27</v>
      </c>
      <c r="C159" s="25" t="s">
        <v>356</v>
      </c>
      <c r="D159" s="25" t="s">
        <v>357</v>
      </c>
      <c r="E159" s="25" t="s">
        <v>358</v>
      </c>
      <c r="F159" s="25">
        <v>798992.0</v>
      </c>
      <c r="G159" s="25" t="s">
        <v>90</v>
      </c>
      <c r="H159" s="25" t="s">
        <v>359</v>
      </c>
      <c r="I159" s="25" t="s">
        <v>62</v>
      </c>
      <c r="J159" s="25" t="s">
        <v>34</v>
      </c>
      <c r="K159" s="25" t="s">
        <v>523</v>
      </c>
      <c r="L159" s="25" t="s">
        <v>265</v>
      </c>
      <c r="M159" s="25" t="s">
        <v>266</v>
      </c>
      <c r="N159" s="26">
        <v>25.0</v>
      </c>
      <c r="O159" s="27">
        <v>-8.0</v>
      </c>
    </row>
    <row r="160" ht="24.0" customHeight="1">
      <c r="B160" s="28" t="s">
        <v>27</v>
      </c>
      <c r="C160" s="28" t="s">
        <v>528</v>
      </c>
      <c r="D160" s="28" t="s">
        <v>529</v>
      </c>
      <c r="E160" s="28" t="s">
        <v>530</v>
      </c>
      <c r="F160" s="28">
        <v>678726.0</v>
      </c>
      <c r="G160" s="28" t="s">
        <v>60</v>
      </c>
      <c r="H160" s="28" t="s">
        <v>531</v>
      </c>
      <c r="I160" s="28" t="s">
        <v>42</v>
      </c>
      <c r="J160" s="28" t="s">
        <v>34</v>
      </c>
      <c r="K160" s="28" t="s">
        <v>532</v>
      </c>
      <c r="L160" s="28" t="s">
        <v>36</v>
      </c>
      <c r="M160" s="28"/>
      <c r="N160" s="29">
        <v>11.0</v>
      </c>
      <c r="O160" s="30">
        <v>4.07</v>
      </c>
    </row>
    <row r="161" ht="24.0" customHeight="1">
      <c r="B161" s="25" t="s">
        <v>27</v>
      </c>
      <c r="C161" s="25" t="s">
        <v>533</v>
      </c>
      <c r="D161" s="25" t="s">
        <v>534</v>
      </c>
      <c r="E161" s="25" t="s">
        <v>535</v>
      </c>
      <c r="F161" s="25">
        <v>798992.0</v>
      </c>
      <c r="G161" s="25" t="s">
        <v>90</v>
      </c>
      <c r="H161" s="25" t="s">
        <v>536</v>
      </c>
      <c r="I161" s="25" t="s">
        <v>62</v>
      </c>
      <c r="J161" s="25" t="s">
        <v>34</v>
      </c>
      <c r="K161" s="25" t="s">
        <v>532</v>
      </c>
      <c r="L161" s="25" t="s">
        <v>36</v>
      </c>
      <c r="M161" s="25"/>
      <c r="N161" s="26">
        <v>25.0</v>
      </c>
      <c r="O161" s="27">
        <v>8.0</v>
      </c>
    </row>
    <row r="162" ht="24.0" customHeight="1">
      <c r="B162" s="28" t="s">
        <v>27</v>
      </c>
      <c r="C162" s="28" t="s">
        <v>537</v>
      </c>
      <c r="D162" s="28" t="s">
        <v>319</v>
      </c>
      <c r="E162" s="28" t="s">
        <v>538</v>
      </c>
      <c r="F162" s="28">
        <v>678726.0</v>
      </c>
      <c r="G162" s="28" t="s">
        <v>60</v>
      </c>
      <c r="H162" s="28" t="s">
        <v>539</v>
      </c>
      <c r="I162" s="28" t="s">
        <v>42</v>
      </c>
      <c r="J162" s="28" t="s">
        <v>34</v>
      </c>
      <c r="K162" s="28" t="s">
        <v>248</v>
      </c>
      <c r="L162" s="28" t="s">
        <v>36</v>
      </c>
      <c r="M162" s="28"/>
      <c r="N162" s="29">
        <v>11.0</v>
      </c>
      <c r="O162" s="30">
        <v>4.07</v>
      </c>
    </row>
    <row r="163" ht="24.0" customHeight="1">
      <c r="B163" s="25" t="s">
        <v>27</v>
      </c>
      <c r="C163" s="25" t="s">
        <v>540</v>
      </c>
      <c r="D163" s="25" t="s">
        <v>328</v>
      </c>
      <c r="E163" s="25" t="s">
        <v>541</v>
      </c>
      <c r="F163" s="25">
        <v>678726.0</v>
      </c>
      <c r="G163" s="25" t="s">
        <v>60</v>
      </c>
      <c r="H163" s="25" t="s">
        <v>542</v>
      </c>
      <c r="I163" s="25" t="s">
        <v>62</v>
      </c>
      <c r="J163" s="25" t="s">
        <v>34</v>
      </c>
      <c r="K163" s="25" t="s">
        <v>532</v>
      </c>
      <c r="L163" s="25" t="s">
        <v>36</v>
      </c>
      <c r="M163" s="25"/>
      <c r="N163" s="26">
        <v>25.0</v>
      </c>
      <c r="O163" s="27">
        <v>8.0</v>
      </c>
    </row>
    <row r="164" ht="24.0" customHeight="1">
      <c r="B164" s="28" t="s">
        <v>27</v>
      </c>
      <c r="C164" s="28" t="s">
        <v>356</v>
      </c>
      <c r="D164" s="28" t="s">
        <v>357</v>
      </c>
      <c r="E164" s="28" t="s">
        <v>358</v>
      </c>
      <c r="F164" s="28">
        <v>798992.0</v>
      </c>
      <c r="G164" s="28" t="s">
        <v>90</v>
      </c>
      <c r="H164" s="28" t="s">
        <v>359</v>
      </c>
      <c r="I164" s="28" t="s">
        <v>62</v>
      </c>
      <c r="J164" s="28" t="s">
        <v>34</v>
      </c>
      <c r="K164" s="28" t="s">
        <v>543</v>
      </c>
      <c r="L164" s="28" t="s">
        <v>36</v>
      </c>
      <c r="M164" s="28"/>
      <c r="N164" s="29">
        <v>25.0</v>
      </c>
      <c r="O164" s="30">
        <v>8.0</v>
      </c>
    </row>
    <row r="165" ht="24.0" customHeight="1">
      <c r="B165" s="25" t="s">
        <v>27</v>
      </c>
      <c r="C165" s="25" t="s">
        <v>544</v>
      </c>
      <c r="D165" s="25" t="s">
        <v>545</v>
      </c>
      <c r="E165" s="25" t="s">
        <v>546</v>
      </c>
      <c r="F165" s="25">
        <v>757929.0</v>
      </c>
      <c r="G165" s="25" t="s">
        <v>134</v>
      </c>
      <c r="H165" s="25" t="s">
        <v>547</v>
      </c>
      <c r="I165" s="25" t="s">
        <v>142</v>
      </c>
      <c r="J165" s="25" t="s">
        <v>34</v>
      </c>
      <c r="K165" s="25" t="s">
        <v>543</v>
      </c>
      <c r="L165" s="25" t="s">
        <v>36</v>
      </c>
      <c r="M165" s="25"/>
      <c r="N165" s="26">
        <v>22.0</v>
      </c>
      <c r="O165" s="27">
        <v>5.28</v>
      </c>
    </row>
    <row r="166" ht="24.0" customHeight="1">
      <c r="B166" s="28" t="s">
        <v>27</v>
      </c>
      <c r="C166" s="28" t="s">
        <v>548</v>
      </c>
      <c r="D166" s="28" t="s">
        <v>549</v>
      </c>
      <c r="E166" s="28" t="s">
        <v>550</v>
      </c>
      <c r="F166" s="28">
        <v>757209.0</v>
      </c>
      <c r="G166" s="28" t="s">
        <v>150</v>
      </c>
      <c r="H166" s="28" t="s">
        <v>551</v>
      </c>
      <c r="I166" s="28" t="s">
        <v>42</v>
      </c>
      <c r="J166" s="28" t="s">
        <v>43</v>
      </c>
      <c r="K166" s="28" t="s">
        <v>543</v>
      </c>
      <c r="L166" s="28" t="s">
        <v>36</v>
      </c>
      <c r="M166" s="28"/>
      <c r="N166" s="29">
        <v>15.0</v>
      </c>
      <c r="O166" s="30">
        <v>5.55</v>
      </c>
    </row>
    <row r="167" ht="24.0" customHeight="1">
      <c r="B167" s="25" t="s">
        <v>27</v>
      </c>
      <c r="C167" s="25" t="s">
        <v>552</v>
      </c>
      <c r="D167" s="25" t="s">
        <v>553</v>
      </c>
      <c r="E167" s="25" t="s">
        <v>554</v>
      </c>
      <c r="F167" s="25">
        <v>706472.0</v>
      </c>
      <c r="G167" s="25" t="s">
        <v>187</v>
      </c>
      <c r="H167" s="25" t="s">
        <v>555</v>
      </c>
      <c r="I167" s="25" t="s">
        <v>42</v>
      </c>
      <c r="J167" s="25" t="s">
        <v>43</v>
      </c>
      <c r="K167" s="25" t="s">
        <v>543</v>
      </c>
      <c r="L167" s="25" t="s">
        <v>36</v>
      </c>
      <c r="M167" s="25"/>
      <c r="N167" s="26">
        <v>15.0</v>
      </c>
      <c r="O167" s="27">
        <v>5.55</v>
      </c>
    </row>
    <row r="168" ht="24.0" customHeight="1">
      <c r="B168" s="28" t="s">
        <v>27</v>
      </c>
      <c r="C168" s="28" t="s">
        <v>556</v>
      </c>
      <c r="D168" s="28" t="s">
        <v>557</v>
      </c>
      <c r="E168" s="28" t="s">
        <v>558</v>
      </c>
      <c r="F168" s="28">
        <v>678726.0</v>
      </c>
      <c r="G168" s="28" t="s">
        <v>60</v>
      </c>
      <c r="H168" s="28" t="s">
        <v>559</v>
      </c>
      <c r="I168" s="28" t="s">
        <v>62</v>
      </c>
      <c r="J168" s="28" t="s">
        <v>34</v>
      </c>
      <c r="K168" s="28" t="s">
        <v>543</v>
      </c>
      <c r="L168" s="28" t="s">
        <v>36</v>
      </c>
      <c r="M168" s="28"/>
      <c r="N168" s="29">
        <v>25.0</v>
      </c>
      <c r="O168" s="30">
        <v>8.0</v>
      </c>
    </row>
    <row r="169" ht="24.0" customHeight="1">
      <c r="B169" s="25" t="s">
        <v>27</v>
      </c>
      <c r="C169" s="25" t="s">
        <v>552</v>
      </c>
      <c r="D169" s="25" t="s">
        <v>553</v>
      </c>
      <c r="E169" s="25" t="s">
        <v>554</v>
      </c>
      <c r="F169" s="25">
        <v>706472.0</v>
      </c>
      <c r="G169" s="25" t="s">
        <v>187</v>
      </c>
      <c r="H169" s="25" t="s">
        <v>560</v>
      </c>
      <c r="I169" s="25" t="s">
        <v>62</v>
      </c>
      <c r="J169" s="25" t="s">
        <v>56</v>
      </c>
      <c r="K169" s="25" t="s">
        <v>543</v>
      </c>
      <c r="L169" s="25" t="s">
        <v>36</v>
      </c>
      <c r="M169" s="25"/>
      <c r="N169" s="26">
        <v>50.0</v>
      </c>
      <c r="O169" s="27">
        <v>16.0</v>
      </c>
    </row>
    <row r="170" ht="24.0" customHeight="1">
      <c r="B170" s="28" t="s">
        <v>27</v>
      </c>
      <c r="C170" s="28" t="s">
        <v>561</v>
      </c>
      <c r="D170" s="28" t="s">
        <v>562</v>
      </c>
      <c r="E170" s="28" t="s">
        <v>563</v>
      </c>
      <c r="F170" s="28">
        <v>759555.0</v>
      </c>
      <c r="G170" s="28" t="s">
        <v>48</v>
      </c>
      <c r="H170" s="28" t="s">
        <v>564</v>
      </c>
      <c r="I170" s="28" t="s">
        <v>106</v>
      </c>
      <c r="J170" s="28" t="s">
        <v>34</v>
      </c>
      <c r="K170" s="28" t="s">
        <v>543</v>
      </c>
      <c r="L170" s="28" t="s">
        <v>36</v>
      </c>
      <c r="M170" s="28"/>
      <c r="N170" s="29">
        <v>52.0</v>
      </c>
      <c r="O170" s="30">
        <v>12.48</v>
      </c>
    </row>
    <row r="171" ht="24.0" customHeight="1">
      <c r="B171" s="25" t="s">
        <v>27</v>
      </c>
      <c r="C171" s="25" t="s">
        <v>565</v>
      </c>
      <c r="D171" s="25" t="s">
        <v>566</v>
      </c>
      <c r="E171" s="25" t="s">
        <v>567</v>
      </c>
      <c r="F171" s="25">
        <v>689390.0</v>
      </c>
      <c r="G171" s="25" t="s">
        <v>31</v>
      </c>
      <c r="H171" s="25" t="s">
        <v>568</v>
      </c>
      <c r="I171" s="25" t="s">
        <v>33</v>
      </c>
      <c r="J171" s="25" t="s">
        <v>34</v>
      </c>
      <c r="K171" s="25" t="s">
        <v>543</v>
      </c>
      <c r="L171" s="25" t="s">
        <v>36</v>
      </c>
      <c r="M171" s="25"/>
      <c r="N171" s="26">
        <v>60.0</v>
      </c>
      <c r="O171" s="27">
        <v>14.4</v>
      </c>
    </row>
    <row r="172" ht="24.0" customHeight="1">
      <c r="B172" s="28" t="s">
        <v>27</v>
      </c>
      <c r="C172" s="28" t="s">
        <v>537</v>
      </c>
      <c r="D172" s="28" t="s">
        <v>319</v>
      </c>
      <c r="E172" s="28" t="s">
        <v>538</v>
      </c>
      <c r="F172" s="28">
        <v>678726.0</v>
      </c>
      <c r="G172" s="28" t="s">
        <v>60</v>
      </c>
      <c r="H172" s="28" t="s">
        <v>569</v>
      </c>
      <c r="I172" s="28" t="s">
        <v>62</v>
      </c>
      <c r="J172" s="28" t="s">
        <v>34</v>
      </c>
      <c r="K172" s="28" t="s">
        <v>248</v>
      </c>
      <c r="L172" s="28" t="s">
        <v>36</v>
      </c>
      <c r="M172" s="28"/>
      <c r="N172" s="29">
        <v>25.0</v>
      </c>
      <c r="O172" s="30">
        <v>8.0</v>
      </c>
    </row>
    <row r="173" ht="25.5" customHeight="1">
      <c r="B173" s="31" t="s">
        <v>570</v>
      </c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3">
        <f>SUM(O21:O172)</f>
        <v>1498.96</v>
      </c>
    </row>
    <row r="174" ht="3.75" customHeight="1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ht="31.5" customHeight="1">
      <c r="B175" s="34" t="s">
        <v>10</v>
      </c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6">
        <v>1498.96</v>
      </c>
    </row>
    <row r="176" ht="14.25" customHeight="1"/>
    <row r="177" ht="14.25" customHeight="1"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</row>
    <row r="178" ht="14.25" customHeight="1">
      <c r="B178" s="38" t="s">
        <v>571</v>
      </c>
    </row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L12:M12"/>
    <mergeCell ref="L13:M13"/>
    <mergeCell ref="N13:O13"/>
    <mergeCell ref="L15:O15"/>
    <mergeCell ref="B178:O178"/>
    <mergeCell ref="L2:O3"/>
    <mergeCell ref="C7:H7"/>
    <mergeCell ref="C8:H8"/>
    <mergeCell ref="C9:H9"/>
    <mergeCell ref="L11:M11"/>
    <mergeCell ref="N11:O11"/>
    <mergeCell ref="N12:O12"/>
  </mergeCells>
  <printOptions/>
  <pageMargins bottom="0.25" footer="0.0" header="0.0" left="0.25" right="0.25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6.0"/>
    <col customWidth="1" min="3" max="3" width="9.0"/>
    <col customWidth="1" min="4" max="4" width="21.0"/>
    <col customWidth="1" min="5" max="5" width="8.0"/>
    <col customWidth="1" min="6" max="7" width="7.0"/>
    <col customWidth="1" min="8" max="8" width="16.0"/>
    <col customWidth="1" min="9" max="9" width="24.0"/>
    <col customWidth="1" min="10" max="10" width="11.0"/>
    <col customWidth="1" min="11" max="11" width="19.0"/>
    <col customWidth="1" min="12" max="12" width="18.0"/>
    <col customWidth="1" min="13" max="13" width="14.0"/>
    <col customWidth="1" min="14" max="14" width="18.0"/>
    <col customWidth="1" min="15" max="15" width="30.0"/>
    <col customWidth="1" min="16" max="16" width="23.0"/>
    <col customWidth="1" min="17" max="17" width="12.0"/>
    <col customWidth="1" min="18" max="18" width="30.0"/>
    <col customWidth="1" min="19" max="19" width="22.0"/>
    <col customWidth="1" min="20" max="20" width="9.0"/>
    <col customWidth="1" min="21" max="21" width="18.0"/>
    <col customWidth="1" min="22" max="22" width="20.0"/>
    <col customWidth="1" min="23" max="23" width="22.0"/>
    <col customWidth="1" min="24" max="24" width="21.0"/>
    <col customWidth="1" min="25" max="25" width="15.0"/>
    <col customWidth="1" min="26" max="26" width="30.0"/>
    <col customWidth="1" min="27" max="27" width="18.0"/>
    <col customWidth="1" min="28" max="28" width="14.0"/>
    <col customWidth="1" min="29" max="29" width="21.0"/>
    <col customWidth="1" min="30" max="30" width="23.0"/>
    <col customWidth="1" min="31" max="31" width="8.0"/>
    <col customWidth="1" min="32" max="32" width="13.0"/>
  </cols>
  <sheetData>
    <row r="1" ht="14.25" customHeight="1">
      <c r="A1" s="39" t="s">
        <v>22</v>
      </c>
      <c r="B1" s="39" t="s">
        <v>572</v>
      </c>
      <c r="C1" s="39" t="s">
        <v>573</v>
      </c>
      <c r="D1" s="39" t="s">
        <v>24</v>
      </c>
      <c r="E1" s="39" t="s">
        <v>574</v>
      </c>
      <c r="F1" s="39" t="s">
        <v>575</v>
      </c>
      <c r="G1" s="39" t="s">
        <v>26</v>
      </c>
      <c r="H1" s="39" t="s">
        <v>576</v>
      </c>
      <c r="I1" s="39" t="s">
        <v>577</v>
      </c>
      <c r="J1" s="39" t="s">
        <v>14</v>
      </c>
      <c r="K1" s="39" t="s">
        <v>578</v>
      </c>
      <c r="L1" s="39" t="s">
        <v>579</v>
      </c>
      <c r="M1" s="39" t="s">
        <v>580</v>
      </c>
      <c r="N1" s="39" t="s">
        <v>17</v>
      </c>
      <c r="O1" s="39" t="s">
        <v>18</v>
      </c>
      <c r="P1" s="39" t="s">
        <v>581</v>
      </c>
      <c r="Q1" s="39" t="s">
        <v>582</v>
      </c>
      <c r="R1" s="39" t="s">
        <v>583</v>
      </c>
      <c r="S1" s="39" t="s">
        <v>21</v>
      </c>
      <c r="T1" s="39" t="s">
        <v>584</v>
      </c>
      <c r="U1" s="39" t="s">
        <v>585</v>
      </c>
      <c r="V1" s="39" t="s">
        <v>586</v>
      </c>
      <c r="W1" s="39" t="s">
        <v>587</v>
      </c>
      <c r="X1" s="39" t="s">
        <v>588</v>
      </c>
      <c r="Y1" s="39" t="s">
        <v>19</v>
      </c>
      <c r="Z1" s="39" t="s">
        <v>589</v>
      </c>
      <c r="AA1" s="39" t="s">
        <v>590</v>
      </c>
      <c r="AB1" s="39" t="s">
        <v>591</v>
      </c>
      <c r="AC1" s="39" t="s">
        <v>592</v>
      </c>
      <c r="AD1" s="39" t="s">
        <v>593</v>
      </c>
      <c r="AE1" s="39" t="s">
        <v>594</v>
      </c>
      <c r="AF1" s="39" t="s">
        <v>13</v>
      </c>
    </row>
    <row r="2" ht="14.25" hidden="1" customHeight="1">
      <c r="A2" s="40" t="s">
        <v>35</v>
      </c>
      <c r="B2" s="40" t="s">
        <v>595</v>
      </c>
      <c r="C2" s="40" t="s">
        <v>20</v>
      </c>
      <c r="E2" s="40">
        <v>17.76</v>
      </c>
      <c r="F2" s="40">
        <v>0.0</v>
      </c>
      <c r="G2" s="41">
        <v>17.76</v>
      </c>
      <c r="H2" s="40">
        <v>653470.0</v>
      </c>
      <c r="I2" s="40" t="s">
        <v>2</v>
      </c>
      <c r="J2" s="40" t="s">
        <v>28</v>
      </c>
      <c r="K2" s="40" t="s">
        <v>29</v>
      </c>
      <c r="L2" s="40" t="s">
        <v>30</v>
      </c>
      <c r="M2" s="40" t="s">
        <v>596</v>
      </c>
      <c r="N2" s="40">
        <v>689390.0</v>
      </c>
      <c r="O2" s="40" t="s">
        <v>31</v>
      </c>
      <c r="P2" s="40" t="s">
        <v>597</v>
      </c>
      <c r="Q2" s="40">
        <v>38399.0</v>
      </c>
      <c r="R2" s="40" t="s">
        <v>33</v>
      </c>
      <c r="S2" s="40" t="s">
        <v>34</v>
      </c>
      <c r="T2" s="40" t="s">
        <v>598</v>
      </c>
      <c r="U2" s="40" t="s">
        <v>599</v>
      </c>
      <c r="V2" s="40" t="s">
        <v>600</v>
      </c>
      <c r="W2" s="40" t="s">
        <v>601</v>
      </c>
      <c r="X2" s="40" t="s">
        <v>602</v>
      </c>
      <c r="Y2" s="40" t="s">
        <v>32</v>
      </c>
      <c r="Z2" s="40" t="s">
        <v>603</v>
      </c>
      <c r="AA2" s="40" t="s">
        <v>36</v>
      </c>
      <c r="AB2" s="40" t="s">
        <v>604</v>
      </c>
      <c r="AC2" s="40">
        <v>5.0</v>
      </c>
      <c r="AD2" s="41">
        <v>74.0</v>
      </c>
      <c r="AE2" s="40" t="s">
        <v>605</v>
      </c>
      <c r="AF2" s="40" t="s">
        <v>27</v>
      </c>
    </row>
    <row r="3" ht="14.25" hidden="1" customHeight="1">
      <c r="A3" s="40" t="s">
        <v>35</v>
      </c>
      <c r="B3" s="40" t="s">
        <v>595</v>
      </c>
      <c r="C3" s="40" t="s">
        <v>20</v>
      </c>
      <c r="E3" s="40">
        <v>16.0</v>
      </c>
      <c r="F3" s="40">
        <v>0.0</v>
      </c>
      <c r="G3" s="41">
        <v>16.0</v>
      </c>
      <c r="H3" s="40">
        <v>653470.0</v>
      </c>
      <c r="I3" s="40" t="s">
        <v>2</v>
      </c>
      <c r="J3" s="40" t="s">
        <v>393</v>
      </c>
      <c r="K3" s="40" t="s">
        <v>394</v>
      </c>
      <c r="L3" s="40" t="s">
        <v>127</v>
      </c>
      <c r="M3" s="40" t="s">
        <v>606</v>
      </c>
      <c r="N3" s="40">
        <v>678726.0</v>
      </c>
      <c r="O3" s="40" t="s">
        <v>60</v>
      </c>
      <c r="P3" s="40" t="s">
        <v>597</v>
      </c>
      <c r="Q3" s="40">
        <v>45041.0</v>
      </c>
      <c r="R3" s="40" t="s">
        <v>62</v>
      </c>
      <c r="S3" s="40" t="s">
        <v>56</v>
      </c>
      <c r="T3" s="40" t="s">
        <v>598</v>
      </c>
      <c r="U3" s="40" t="s">
        <v>599</v>
      </c>
      <c r="V3" s="40" t="s">
        <v>600</v>
      </c>
      <c r="W3" s="40" t="s">
        <v>607</v>
      </c>
      <c r="X3" s="40" t="s">
        <v>608</v>
      </c>
      <c r="Y3" s="40" t="s">
        <v>395</v>
      </c>
      <c r="Z3" s="40" t="s">
        <v>609</v>
      </c>
      <c r="AA3" s="40" t="s">
        <v>36</v>
      </c>
      <c r="AB3" s="40" t="s">
        <v>604</v>
      </c>
      <c r="AC3" s="40">
        <v>15.0</v>
      </c>
      <c r="AD3" s="41">
        <v>50.0</v>
      </c>
      <c r="AE3" s="40" t="s">
        <v>610</v>
      </c>
      <c r="AF3" s="40" t="s">
        <v>27</v>
      </c>
    </row>
    <row r="4" ht="14.25" hidden="1" customHeight="1">
      <c r="A4" s="40" t="s">
        <v>35</v>
      </c>
      <c r="B4" s="40" t="s">
        <v>595</v>
      </c>
      <c r="C4" s="40" t="s">
        <v>20</v>
      </c>
      <c r="E4" s="40">
        <v>14.4</v>
      </c>
      <c r="F4" s="40">
        <v>0.0</v>
      </c>
      <c r="G4" s="41">
        <v>14.4</v>
      </c>
      <c r="H4" s="40">
        <v>653470.0</v>
      </c>
      <c r="I4" s="40" t="s">
        <v>2</v>
      </c>
      <c r="J4" s="40" t="s">
        <v>396</v>
      </c>
      <c r="K4" s="40" t="s">
        <v>397</v>
      </c>
      <c r="L4" s="40" t="s">
        <v>398</v>
      </c>
      <c r="M4" s="40" t="s">
        <v>611</v>
      </c>
      <c r="N4" s="40">
        <v>689390.0</v>
      </c>
      <c r="O4" s="40" t="s">
        <v>31</v>
      </c>
      <c r="P4" s="40" t="s">
        <v>597</v>
      </c>
      <c r="Q4" s="40">
        <v>38399.0</v>
      </c>
      <c r="R4" s="40" t="s">
        <v>33</v>
      </c>
      <c r="S4" s="40" t="s">
        <v>34</v>
      </c>
      <c r="T4" s="40" t="s">
        <v>598</v>
      </c>
      <c r="U4" s="40" t="s">
        <v>599</v>
      </c>
      <c r="V4" s="40" t="s">
        <v>600</v>
      </c>
      <c r="W4" s="40" t="s">
        <v>612</v>
      </c>
      <c r="X4" s="40" t="s">
        <v>613</v>
      </c>
      <c r="Y4" s="40" t="s">
        <v>399</v>
      </c>
      <c r="Z4" s="40" t="s">
        <v>614</v>
      </c>
      <c r="AA4" s="40" t="s">
        <v>36</v>
      </c>
      <c r="AB4" s="40" t="s">
        <v>604</v>
      </c>
      <c r="AC4" s="40">
        <v>29.0</v>
      </c>
      <c r="AD4" s="41">
        <v>60.0</v>
      </c>
      <c r="AE4" s="40" t="s">
        <v>605</v>
      </c>
      <c r="AF4" s="40" t="s">
        <v>27</v>
      </c>
    </row>
    <row r="5" ht="14.25" hidden="1" customHeight="1">
      <c r="A5" s="40" t="s">
        <v>35</v>
      </c>
      <c r="B5" s="40" t="s">
        <v>595</v>
      </c>
      <c r="C5" s="40" t="s">
        <v>20</v>
      </c>
      <c r="E5" s="40">
        <v>23.28</v>
      </c>
      <c r="F5" s="40">
        <v>0.0</v>
      </c>
      <c r="G5" s="41">
        <v>23.28</v>
      </c>
      <c r="H5" s="40">
        <v>653470.0</v>
      </c>
      <c r="I5" s="40" t="s">
        <v>2</v>
      </c>
      <c r="J5" s="40" t="s">
        <v>400</v>
      </c>
      <c r="K5" s="40" t="s">
        <v>401</v>
      </c>
      <c r="L5" s="40" t="s">
        <v>402</v>
      </c>
      <c r="M5" s="40" t="s">
        <v>606</v>
      </c>
      <c r="N5" s="40">
        <v>678726.0</v>
      </c>
      <c r="O5" s="40" t="s">
        <v>60</v>
      </c>
      <c r="P5" s="40" t="s">
        <v>597</v>
      </c>
      <c r="Q5" s="40">
        <v>38398.0</v>
      </c>
      <c r="R5" s="40" t="s">
        <v>106</v>
      </c>
      <c r="S5" s="40" t="s">
        <v>100</v>
      </c>
      <c r="T5" s="40" t="s">
        <v>598</v>
      </c>
      <c r="U5" s="40" t="s">
        <v>599</v>
      </c>
      <c r="V5" s="40" t="s">
        <v>600</v>
      </c>
      <c r="W5" s="40" t="s">
        <v>615</v>
      </c>
      <c r="X5" s="40" t="s">
        <v>608</v>
      </c>
      <c r="Y5" s="40" t="s">
        <v>403</v>
      </c>
      <c r="Z5" s="40" t="s">
        <v>616</v>
      </c>
      <c r="AA5" s="40" t="s">
        <v>36</v>
      </c>
      <c r="AB5" s="40" t="s">
        <v>604</v>
      </c>
      <c r="AC5" s="40">
        <v>4.0</v>
      </c>
      <c r="AD5" s="41">
        <v>97.0</v>
      </c>
      <c r="AE5" s="40" t="s">
        <v>605</v>
      </c>
      <c r="AF5" s="40" t="s">
        <v>27</v>
      </c>
    </row>
    <row r="6" ht="14.25" hidden="1" customHeight="1">
      <c r="A6" s="40" t="s">
        <v>35</v>
      </c>
      <c r="B6" s="40" t="s">
        <v>595</v>
      </c>
      <c r="C6" s="40" t="s">
        <v>20</v>
      </c>
      <c r="E6" s="40">
        <v>7.4</v>
      </c>
      <c r="F6" s="40">
        <v>0.0</v>
      </c>
      <c r="G6" s="41">
        <v>7.4</v>
      </c>
      <c r="H6" s="40">
        <v>653470.0</v>
      </c>
      <c r="I6" s="40" t="s">
        <v>2</v>
      </c>
      <c r="J6" s="40" t="s">
        <v>400</v>
      </c>
      <c r="K6" s="40" t="s">
        <v>401</v>
      </c>
      <c r="L6" s="40" t="s">
        <v>402</v>
      </c>
      <c r="M6" s="40" t="s">
        <v>606</v>
      </c>
      <c r="N6" s="40">
        <v>678726.0</v>
      </c>
      <c r="O6" s="40" t="s">
        <v>60</v>
      </c>
      <c r="P6" s="40" t="s">
        <v>597</v>
      </c>
      <c r="Q6" s="40">
        <v>38593.0</v>
      </c>
      <c r="R6" s="40" t="s">
        <v>42</v>
      </c>
      <c r="S6" s="40" t="s">
        <v>78</v>
      </c>
      <c r="T6" s="40" t="s">
        <v>598</v>
      </c>
      <c r="U6" s="40" t="s">
        <v>617</v>
      </c>
      <c r="V6" s="40" t="s">
        <v>618</v>
      </c>
      <c r="W6" s="40" t="s">
        <v>619</v>
      </c>
      <c r="X6" s="40" t="s">
        <v>620</v>
      </c>
      <c r="Y6" s="40" t="s">
        <v>404</v>
      </c>
      <c r="Z6" s="40" t="s">
        <v>616</v>
      </c>
      <c r="AA6" s="40" t="s">
        <v>36</v>
      </c>
      <c r="AB6" s="40" t="s">
        <v>604</v>
      </c>
      <c r="AC6" s="40">
        <v>3.0</v>
      </c>
      <c r="AD6" s="41">
        <v>20.0</v>
      </c>
      <c r="AE6" s="40" t="s">
        <v>621</v>
      </c>
      <c r="AF6" s="40" t="s">
        <v>27</v>
      </c>
    </row>
    <row r="7" ht="14.25" hidden="1" customHeight="1">
      <c r="A7" s="40" t="s">
        <v>35</v>
      </c>
      <c r="B7" s="40" t="s">
        <v>595</v>
      </c>
      <c r="C7" s="40" t="s">
        <v>20</v>
      </c>
      <c r="E7" s="40">
        <v>0.6</v>
      </c>
      <c r="F7" s="40">
        <v>0.0</v>
      </c>
      <c r="G7" s="41">
        <v>0.6</v>
      </c>
      <c r="H7" s="40">
        <v>653470.0</v>
      </c>
      <c r="I7" s="40" t="s">
        <v>2</v>
      </c>
      <c r="J7" s="40" t="s">
        <v>405</v>
      </c>
      <c r="K7" s="40" t="s">
        <v>406</v>
      </c>
      <c r="L7" s="40" t="s">
        <v>407</v>
      </c>
      <c r="M7" s="40" t="s">
        <v>611</v>
      </c>
      <c r="N7" s="40">
        <v>711419.0</v>
      </c>
      <c r="O7" s="40" t="s">
        <v>40</v>
      </c>
      <c r="P7" s="40" t="s">
        <v>597</v>
      </c>
      <c r="Q7" s="40">
        <v>38593.0</v>
      </c>
      <c r="R7" s="40" t="s">
        <v>42</v>
      </c>
      <c r="S7" s="40" t="s">
        <v>78</v>
      </c>
      <c r="T7" s="40" t="s">
        <v>598</v>
      </c>
      <c r="U7" s="40" t="s">
        <v>617</v>
      </c>
      <c r="V7" s="40" t="s">
        <v>618</v>
      </c>
      <c r="W7" s="40" t="s">
        <v>622</v>
      </c>
      <c r="X7" s="40" t="s">
        <v>623</v>
      </c>
      <c r="Y7" s="40" t="s">
        <v>408</v>
      </c>
      <c r="Z7" s="40" t="s">
        <v>624</v>
      </c>
      <c r="AA7" s="40" t="s">
        <v>36</v>
      </c>
      <c r="AB7" s="40" t="s">
        <v>604</v>
      </c>
      <c r="AC7" s="40">
        <v>8.0</v>
      </c>
      <c r="AD7" s="41">
        <v>20.0</v>
      </c>
      <c r="AE7" s="40" t="s">
        <v>625</v>
      </c>
      <c r="AF7" s="40" t="s">
        <v>27</v>
      </c>
    </row>
    <row r="8" ht="14.25" hidden="1" customHeight="1">
      <c r="A8" s="40" t="s">
        <v>35</v>
      </c>
      <c r="B8" s="40" t="s">
        <v>595</v>
      </c>
      <c r="C8" s="40" t="s">
        <v>20</v>
      </c>
      <c r="E8" s="40">
        <v>10.08</v>
      </c>
      <c r="F8" s="40">
        <v>0.0</v>
      </c>
      <c r="G8" s="41">
        <v>10.08</v>
      </c>
      <c r="H8" s="40">
        <v>653470.0</v>
      </c>
      <c r="I8" s="40" t="s">
        <v>2</v>
      </c>
      <c r="J8" s="40" t="s">
        <v>409</v>
      </c>
      <c r="K8" s="40" t="s">
        <v>410</v>
      </c>
      <c r="L8" s="40" t="s">
        <v>411</v>
      </c>
      <c r="M8" s="40" t="s">
        <v>611</v>
      </c>
      <c r="N8" s="40">
        <v>820877.0</v>
      </c>
      <c r="O8" s="40" t="s">
        <v>229</v>
      </c>
      <c r="P8" s="40" t="s">
        <v>597</v>
      </c>
      <c r="Q8" s="40">
        <v>38398.0</v>
      </c>
      <c r="R8" s="40" t="s">
        <v>106</v>
      </c>
      <c r="S8" s="40" t="s">
        <v>34</v>
      </c>
      <c r="T8" s="40" t="s">
        <v>598</v>
      </c>
      <c r="U8" s="40" t="s">
        <v>599</v>
      </c>
      <c r="V8" s="40" t="s">
        <v>600</v>
      </c>
      <c r="W8" s="40" t="s">
        <v>622</v>
      </c>
      <c r="X8" s="40" t="s">
        <v>623</v>
      </c>
      <c r="Y8" s="40" t="s">
        <v>412</v>
      </c>
      <c r="Z8" s="40" t="s">
        <v>626</v>
      </c>
      <c r="AA8" s="40" t="s">
        <v>36</v>
      </c>
      <c r="AB8" s="40" t="s">
        <v>604</v>
      </c>
      <c r="AC8" s="40">
        <v>8.0</v>
      </c>
      <c r="AD8" s="41">
        <v>42.0</v>
      </c>
      <c r="AE8" s="40" t="s">
        <v>605</v>
      </c>
      <c r="AF8" s="40" t="s">
        <v>27</v>
      </c>
    </row>
    <row r="9" ht="14.25" hidden="1" customHeight="1">
      <c r="A9" s="40" t="s">
        <v>35</v>
      </c>
      <c r="B9" s="40" t="s">
        <v>595</v>
      </c>
      <c r="C9" s="40" t="s">
        <v>20</v>
      </c>
      <c r="E9" s="40">
        <v>4.07</v>
      </c>
      <c r="F9" s="40">
        <v>0.0</v>
      </c>
      <c r="G9" s="41">
        <v>4.07</v>
      </c>
      <c r="H9" s="40">
        <v>653470.0</v>
      </c>
      <c r="I9" s="40" t="s">
        <v>2</v>
      </c>
      <c r="J9" s="40" t="s">
        <v>409</v>
      </c>
      <c r="K9" s="40" t="s">
        <v>410</v>
      </c>
      <c r="L9" s="40" t="s">
        <v>411</v>
      </c>
      <c r="M9" s="40" t="s">
        <v>611</v>
      </c>
      <c r="N9" s="40">
        <v>820877.0</v>
      </c>
      <c r="O9" s="40" t="s">
        <v>229</v>
      </c>
      <c r="P9" s="40" t="s">
        <v>597</v>
      </c>
      <c r="Q9" s="40">
        <v>38593.0</v>
      </c>
      <c r="R9" s="40" t="s">
        <v>42</v>
      </c>
      <c r="S9" s="40" t="s">
        <v>34</v>
      </c>
      <c r="T9" s="40" t="s">
        <v>598</v>
      </c>
      <c r="U9" s="40" t="s">
        <v>617</v>
      </c>
      <c r="V9" s="40" t="s">
        <v>618</v>
      </c>
      <c r="W9" s="40" t="s">
        <v>622</v>
      </c>
      <c r="X9" s="40" t="s">
        <v>623</v>
      </c>
      <c r="Y9" s="40" t="s">
        <v>413</v>
      </c>
      <c r="Z9" s="40" t="s">
        <v>626</v>
      </c>
      <c r="AA9" s="40" t="s">
        <v>36</v>
      </c>
      <c r="AB9" s="40" t="s">
        <v>604</v>
      </c>
      <c r="AC9" s="40">
        <v>8.0</v>
      </c>
      <c r="AD9" s="41">
        <v>11.0</v>
      </c>
      <c r="AE9" s="40" t="s">
        <v>621</v>
      </c>
      <c r="AF9" s="40" t="s">
        <v>27</v>
      </c>
    </row>
    <row r="10" ht="14.25" hidden="1" customHeight="1">
      <c r="A10" s="40" t="s">
        <v>35</v>
      </c>
      <c r="B10" s="40" t="s">
        <v>595</v>
      </c>
      <c r="C10" s="40" t="s">
        <v>20</v>
      </c>
      <c r="E10" s="40">
        <v>8.0</v>
      </c>
      <c r="F10" s="40">
        <v>0.0</v>
      </c>
      <c r="G10" s="41">
        <v>8.0</v>
      </c>
      <c r="H10" s="40">
        <v>653470.0</v>
      </c>
      <c r="I10" s="40" t="s">
        <v>2</v>
      </c>
      <c r="J10" s="40" t="s">
        <v>414</v>
      </c>
      <c r="K10" s="40" t="s">
        <v>415</v>
      </c>
      <c r="L10" s="40" t="s">
        <v>416</v>
      </c>
      <c r="M10" s="40" t="s">
        <v>606</v>
      </c>
      <c r="N10" s="40">
        <v>678726.0</v>
      </c>
      <c r="O10" s="40" t="s">
        <v>60</v>
      </c>
      <c r="P10" s="40" t="s">
        <v>597</v>
      </c>
      <c r="Q10" s="40">
        <v>45041.0</v>
      </c>
      <c r="R10" s="40" t="s">
        <v>62</v>
      </c>
      <c r="S10" s="40" t="s">
        <v>34</v>
      </c>
      <c r="T10" s="40" t="s">
        <v>598</v>
      </c>
      <c r="U10" s="40" t="s">
        <v>599</v>
      </c>
      <c r="V10" s="40" t="s">
        <v>600</v>
      </c>
      <c r="W10" s="40" t="s">
        <v>627</v>
      </c>
      <c r="X10" s="40" t="s">
        <v>628</v>
      </c>
      <c r="Y10" s="40" t="s">
        <v>417</v>
      </c>
      <c r="Z10" s="40" t="s">
        <v>629</v>
      </c>
      <c r="AA10" s="40" t="s">
        <v>36</v>
      </c>
      <c r="AB10" s="40" t="s">
        <v>604</v>
      </c>
      <c r="AC10" s="40">
        <v>13.0</v>
      </c>
      <c r="AD10" s="41">
        <v>25.0</v>
      </c>
      <c r="AE10" s="40" t="s">
        <v>610</v>
      </c>
      <c r="AF10" s="40" t="s">
        <v>27</v>
      </c>
    </row>
    <row r="11" ht="14.25" hidden="1" customHeight="1">
      <c r="A11" s="40" t="s">
        <v>35</v>
      </c>
      <c r="B11" s="40" t="s">
        <v>595</v>
      </c>
      <c r="C11" s="40" t="s">
        <v>20</v>
      </c>
      <c r="E11" s="40">
        <v>4.07</v>
      </c>
      <c r="F11" s="40">
        <v>0.0</v>
      </c>
      <c r="G11" s="41">
        <v>4.07</v>
      </c>
      <c r="H11" s="40">
        <v>653470.0</v>
      </c>
      <c r="I11" s="40" t="s">
        <v>2</v>
      </c>
      <c r="J11" s="40" t="s">
        <v>414</v>
      </c>
      <c r="K11" s="40" t="s">
        <v>415</v>
      </c>
      <c r="L11" s="40" t="s">
        <v>416</v>
      </c>
      <c r="M11" s="40" t="s">
        <v>606</v>
      </c>
      <c r="N11" s="40">
        <v>678726.0</v>
      </c>
      <c r="O11" s="40" t="s">
        <v>60</v>
      </c>
      <c r="P11" s="40" t="s">
        <v>597</v>
      </c>
      <c r="Q11" s="40">
        <v>38967.0</v>
      </c>
      <c r="R11" s="40" t="s">
        <v>42</v>
      </c>
      <c r="S11" s="40" t="s">
        <v>34</v>
      </c>
      <c r="T11" s="40" t="s">
        <v>598</v>
      </c>
      <c r="U11" s="40" t="s">
        <v>617</v>
      </c>
      <c r="V11" s="40" t="s">
        <v>618</v>
      </c>
      <c r="W11" s="40" t="s">
        <v>630</v>
      </c>
      <c r="X11" s="40" t="s">
        <v>608</v>
      </c>
      <c r="Y11" s="40" t="s">
        <v>418</v>
      </c>
      <c r="Z11" s="40" t="s">
        <v>629</v>
      </c>
      <c r="AA11" s="40" t="s">
        <v>36</v>
      </c>
      <c r="AB11" s="40" t="s">
        <v>604</v>
      </c>
      <c r="AC11" s="40">
        <v>4.0</v>
      </c>
      <c r="AD11" s="41">
        <v>11.0</v>
      </c>
      <c r="AE11" s="40" t="s">
        <v>621</v>
      </c>
      <c r="AF11" s="40" t="s">
        <v>27</v>
      </c>
    </row>
    <row r="12" ht="14.25" hidden="1" customHeight="1">
      <c r="A12" s="40" t="s">
        <v>35</v>
      </c>
      <c r="B12" s="40" t="s">
        <v>595</v>
      </c>
      <c r="C12" s="40" t="s">
        <v>20</v>
      </c>
      <c r="E12" s="40">
        <v>6.0</v>
      </c>
      <c r="F12" s="40">
        <v>0.0</v>
      </c>
      <c r="G12" s="41">
        <v>6.0</v>
      </c>
      <c r="H12" s="40">
        <v>653470.0</v>
      </c>
      <c r="I12" s="40" t="s">
        <v>2</v>
      </c>
      <c r="J12" s="40" t="s">
        <v>419</v>
      </c>
      <c r="K12" s="40" t="s">
        <v>420</v>
      </c>
      <c r="L12" s="40" t="s">
        <v>421</v>
      </c>
      <c r="M12" s="40" t="s">
        <v>631</v>
      </c>
      <c r="N12" s="40">
        <v>760338.0</v>
      </c>
      <c r="O12" s="40" t="s">
        <v>422</v>
      </c>
      <c r="P12" s="40" t="s">
        <v>597</v>
      </c>
      <c r="Q12" s="40">
        <v>38796.0</v>
      </c>
      <c r="R12" s="40" t="s">
        <v>77</v>
      </c>
      <c r="S12" s="40" t="s">
        <v>34</v>
      </c>
      <c r="T12" s="40" t="s">
        <v>598</v>
      </c>
      <c r="U12" s="40" t="s">
        <v>599</v>
      </c>
      <c r="V12" s="40" t="s">
        <v>600</v>
      </c>
      <c r="W12" s="40" t="s">
        <v>632</v>
      </c>
      <c r="X12" s="40" t="s">
        <v>633</v>
      </c>
      <c r="Y12" s="40" t="s">
        <v>423</v>
      </c>
      <c r="Z12" s="40" t="s">
        <v>634</v>
      </c>
      <c r="AA12" s="40" t="s">
        <v>36</v>
      </c>
      <c r="AB12" s="40" t="s">
        <v>635</v>
      </c>
      <c r="AC12" s="40">
        <v>12.0</v>
      </c>
      <c r="AD12" s="41">
        <v>25.0</v>
      </c>
      <c r="AE12" s="40" t="s">
        <v>605</v>
      </c>
      <c r="AF12" s="40" t="s">
        <v>27</v>
      </c>
    </row>
    <row r="13" ht="14.25" hidden="1" customHeight="1">
      <c r="A13" s="40" t="s">
        <v>35</v>
      </c>
      <c r="B13" s="40" t="s">
        <v>595</v>
      </c>
      <c r="C13" s="40" t="s">
        <v>20</v>
      </c>
      <c r="E13" s="40">
        <v>5.55</v>
      </c>
      <c r="F13" s="40">
        <v>0.0</v>
      </c>
      <c r="G13" s="41">
        <v>5.55</v>
      </c>
      <c r="H13" s="40">
        <v>653470.0</v>
      </c>
      <c r="I13" s="40" t="s">
        <v>2</v>
      </c>
      <c r="J13" s="40" t="s">
        <v>393</v>
      </c>
      <c r="K13" s="40" t="s">
        <v>394</v>
      </c>
      <c r="L13" s="40" t="s">
        <v>127</v>
      </c>
      <c r="M13" s="40" t="s">
        <v>606</v>
      </c>
      <c r="N13" s="40">
        <v>678726.0</v>
      </c>
      <c r="O13" s="40" t="s">
        <v>60</v>
      </c>
      <c r="P13" s="40" t="s">
        <v>597</v>
      </c>
      <c r="Q13" s="40">
        <v>38593.0</v>
      </c>
      <c r="R13" s="40" t="s">
        <v>42</v>
      </c>
      <c r="S13" s="40" t="s">
        <v>43</v>
      </c>
      <c r="T13" s="40" t="s">
        <v>598</v>
      </c>
      <c r="U13" s="40" t="s">
        <v>617</v>
      </c>
      <c r="V13" s="40" t="s">
        <v>618</v>
      </c>
      <c r="W13" s="40" t="s">
        <v>607</v>
      </c>
      <c r="X13" s="40" t="s">
        <v>608</v>
      </c>
      <c r="Y13" s="40" t="s">
        <v>424</v>
      </c>
      <c r="Z13" s="40" t="s">
        <v>609</v>
      </c>
      <c r="AA13" s="40" t="s">
        <v>36</v>
      </c>
      <c r="AB13" s="40" t="s">
        <v>604</v>
      </c>
      <c r="AC13" s="40">
        <v>15.0</v>
      </c>
      <c r="AD13" s="41">
        <v>15.0</v>
      </c>
      <c r="AE13" s="40" t="s">
        <v>621</v>
      </c>
      <c r="AF13" s="40" t="s">
        <v>27</v>
      </c>
    </row>
    <row r="14" ht="14.25" hidden="1" customHeight="1">
      <c r="A14" s="40" t="s">
        <v>35</v>
      </c>
      <c r="B14" s="40" t="s">
        <v>595</v>
      </c>
      <c r="C14" s="40" t="s">
        <v>20</v>
      </c>
      <c r="E14" s="40">
        <v>9.6</v>
      </c>
      <c r="F14" s="40">
        <v>0.0</v>
      </c>
      <c r="G14" s="41">
        <v>9.6</v>
      </c>
      <c r="H14" s="40">
        <v>653470.0</v>
      </c>
      <c r="I14" s="40" t="s">
        <v>2</v>
      </c>
      <c r="J14" s="40" t="s">
        <v>425</v>
      </c>
      <c r="K14" s="40" t="s">
        <v>328</v>
      </c>
      <c r="L14" s="40" t="s">
        <v>174</v>
      </c>
      <c r="M14" s="40" t="s">
        <v>631</v>
      </c>
      <c r="N14" s="40">
        <v>759555.0</v>
      </c>
      <c r="O14" s="40" t="s">
        <v>48</v>
      </c>
      <c r="P14" s="40" t="s">
        <v>597</v>
      </c>
      <c r="Q14" s="40">
        <v>42249.0</v>
      </c>
      <c r="R14" s="40" t="s">
        <v>50</v>
      </c>
      <c r="S14" s="40" t="s">
        <v>34</v>
      </c>
      <c r="T14" s="40" t="s">
        <v>598</v>
      </c>
      <c r="U14" s="40" t="s">
        <v>599</v>
      </c>
      <c r="V14" s="40" t="s">
        <v>600</v>
      </c>
      <c r="W14" s="40" t="s">
        <v>619</v>
      </c>
      <c r="X14" s="40" t="s">
        <v>620</v>
      </c>
      <c r="Y14" s="40" t="s">
        <v>426</v>
      </c>
      <c r="Z14" s="40" t="s">
        <v>636</v>
      </c>
      <c r="AA14" s="40" t="s">
        <v>36</v>
      </c>
      <c r="AB14" s="40" t="s">
        <v>604</v>
      </c>
      <c r="AC14" s="40">
        <v>3.0</v>
      </c>
      <c r="AD14" s="41">
        <v>40.0</v>
      </c>
      <c r="AE14" s="40" t="s">
        <v>605</v>
      </c>
      <c r="AF14" s="40" t="s">
        <v>27</v>
      </c>
    </row>
    <row r="15" ht="14.25" hidden="1" customHeight="1">
      <c r="A15" s="40" t="s">
        <v>35</v>
      </c>
      <c r="B15" s="40" t="s">
        <v>595</v>
      </c>
      <c r="C15" s="40" t="s">
        <v>20</v>
      </c>
      <c r="E15" s="40">
        <v>4.07</v>
      </c>
      <c r="F15" s="40">
        <v>0.0</v>
      </c>
      <c r="G15" s="41">
        <v>4.07</v>
      </c>
      <c r="H15" s="40">
        <v>653470.0</v>
      </c>
      <c r="I15" s="40" t="s">
        <v>2</v>
      </c>
      <c r="J15" s="40" t="s">
        <v>425</v>
      </c>
      <c r="K15" s="40" t="s">
        <v>328</v>
      </c>
      <c r="L15" s="40" t="s">
        <v>174</v>
      </c>
      <c r="M15" s="40" t="s">
        <v>631</v>
      </c>
      <c r="N15" s="40">
        <v>759555.0</v>
      </c>
      <c r="O15" s="40" t="s">
        <v>48</v>
      </c>
      <c r="P15" s="40" t="s">
        <v>597</v>
      </c>
      <c r="Q15" s="40">
        <v>38593.0</v>
      </c>
      <c r="R15" s="40" t="s">
        <v>42</v>
      </c>
      <c r="S15" s="40" t="s">
        <v>34</v>
      </c>
      <c r="T15" s="40" t="s">
        <v>598</v>
      </c>
      <c r="U15" s="40" t="s">
        <v>617</v>
      </c>
      <c r="V15" s="40" t="s">
        <v>618</v>
      </c>
      <c r="W15" s="40" t="s">
        <v>619</v>
      </c>
      <c r="X15" s="40" t="s">
        <v>620</v>
      </c>
      <c r="Y15" s="40" t="s">
        <v>427</v>
      </c>
      <c r="Z15" s="40" t="s">
        <v>636</v>
      </c>
      <c r="AA15" s="40" t="s">
        <v>36</v>
      </c>
      <c r="AB15" s="40" t="s">
        <v>604</v>
      </c>
      <c r="AC15" s="40">
        <v>3.0</v>
      </c>
      <c r="AD15" s="41">
        <v>11.0</v>
      </c>
      <c r="AE15" s="40" t="s">
        <v>621</v>
      </c>
      <c r="AF15" s="40" t="s">
        <v>27</v>
      </c>
    </row>
    <row r="16" ht="14.25" hidden="1" customHeight="1">
      <c r="A16" s="40" t="s">
        <v>35</v>
      </c>
      <c r="B16" s="40" t="s">
        <v>595</v>
      </c>
      <c r="C16" s="40" t="s">
        <v>20</v>
      </c>
      <c r="E16" s="40">
        <v>8.0</v>
      </c>
      <c r="F16" s="40">
        <v>0.0</v>
      </c>
      <c r="G16" s="41">
        <v>8.0</v>
      </c>
      <c r="H16" s="40">
        <v>653470.0</v>
      </c>
      <c r="I16" s="40" t="s">
        <v>2</v>
      </c>
      <c r="J16" s="40" t="s">
        <v>428</v>
      </c>
      <c r="K16" s="40" t="s">
        <v>429</v>
      </c>
      <c r="L16" s="40" t="s">
        <v>430</v>
      </c>
      <c r="M16" s="40" t="s">
        <v>596</v>
      </c>
      <c r="N16" s="40">
        <v>749876.0</v>
      </c>
      <c r="O16" s="40" t="s">
        <v>431</v>
      </c>
      <c r="P16" s="40" t="s">
        <v>597</v>
      </c>
      <c r="Q16" s="40">
        <v>45041.0</v>
      </c>
      <c r="R16" s="40" t="s">
        <v>62</v>
      </c>
      <c r="S16" s="40" t="s">
        <v>34</v>
      </c>
      <c r="T16" s="40" t="s">
        <v>598</v>
      </c>
      <c r="U16" s="40" t="s">
        <v>599</v>
      </c>
      <c r="V16" s="40" t="s">
        <v>600</v>
      </c>
      <c r="W16" s="40" t="s">
        <v>637</v>
      </c>
      <c r="X16" s="40" t="s">
        <v>638</v>
      </c>
      <c r="Y16" s="40" t="s">
        <v>432</v>
      </c>
      <c r="Z16" s="40" t="s">
        <v>639</v>
      </c>
      <c r="AA16" s="40" t="s">
        <v>36</v>
      </c>
      <c r="AB16" s="40" t="s">
        <v>604</v>
      </c>
      <c r="AC16" s="40">
        <v>14.0</v>
      </c>
      <c r="AD16" s="41">
        <v>25.0</v>
      </c>
      <c r="AE16" s="40" t="s">
        <v>610</v>
      </c>
      <c r="AF16" s="40" t="s">
        <v>27</v>
      </c>
    </row>
    <row r="17" ht="14.25" hidden="1" customHeight="1">
      <c r="A17" s="40" t="s">
        <v>35</v>
      </c>
      <c r="B17" s="40" t="s">
        <v>595</v>
      </c>
      <c r="C17" s="40" t="s">
        <v>20</v>
      </c>
      <c r="E17" s="40">
        <v>5.28</v>
      </c>
      <c r="F17" s="40">
        <v>0.0</v>
      </c>
      <c r="G17" s="41">
        <v>5.28</v>
      </c>
      <c r="H17" s="40">
        <v>653470.0</v>
      </c>
      <c r="I17" s="40" t="s">
        <v>2</v>
      </c>
      <c r="J17" s="40" t="s">
        <v>433</v>
      </c>
      <c r="K17" s="40" t="s">
        <v>38</v>
      </c>
      <c r="L17" s="40" t="s">
        <v>434</v>
      </c>
      <c r="M17" s="40" t="s">
        <v>611</v>
      </c>
      <c r="N17" s="40">
        <v>655758.0</v>
      </c>
      <c r="O17" s="40" t="s">
        <v>435</v>
      </c>
      <c r="P17" s="40" t="s">
        <v>597</v>
      </c>
      <c r="Q17" s="40">
        <v>47132.0</v>
      </c>
      <c r="R17" s="40" t="s">
        <v>142</v>
      </c>
      <c r="S17" s="40" t="s">
        <v>34</v>
      </c>
      <c r="T17" s="40" t="s">
        <v>598</v>
      </c>
      <c r="U17" s="40" t="s">
        <v>599</v>
      </c>
      <c r="V17" s="40" t="s">
        <v>600</v>
      </c>
      <c r="W17" s="40" t="s">
        <v>640</v>
      </c>
      <c r="X17" s="40" t="s">
        <v>641</v>
      </c>
      <c r="Y17" s="40" t="s">
        <v>436</v>
      </c>
      <c r="Z17" s="40" t="s">
        <v>642</v>
      </c>
      <c r="AA17" s="40" t="s">
        <v>36</v>
      </c>
      <c r="AB17" s="40" t="s">
        <v>604</v>
      </c>
      <c r="AC17" s="40">
        <v>6.0</v>
      </c>
      <c r="AD17" s="41">
        <v>22.0</v>
      </c>
      <c r="AE17" s="40" t="s">
        <v>605</v>
      </c>
      <c r="AF17" s="40" t="s">
        <v>27</v>
      </c>
    </row>
    <row r="18" ht="14.25" hidden="1" customHeight="1">
      <c r="A18" s="40" t="s">
        <v>35</v>
      </c>
      <c r="B18" s="40" t="s">
        <v>595</v>
      </c>
      <c r="C18" s="40" t="s">
        <v>20</v>
      </c>
      <c r="E18" s="40">
        <v>4.07</v>
      </c>
      <c r="F18" s="40">
        <v>0.0</v>
      </c>
      <c r="G18" s="41">
        <v>4.07</v>
      </c>
      <c r="H18" s="40">
        <v>653470.0</v>
      </c>
      <c r="I18" s="40" t="s">
        <v>2</v>
      </c>
      <c r="J18" s="40" t="s">
        <v>389</v>
      </c>
      <c r="K18" s="40" t="s">
        <v>390</v>
      </c>
      <c r="L18" s="40" t="s">
        <v>391</v>
      </c>
      <c r="M18" s="40" t="s">
        <v>606</v>
      </c>
      <c r="N18" s="40">
        <v>798992.0</v>
      </c>
      <c r="O18" s="40" t="s">
        <v>90</v>
      </c>
      <c r="P18" s="40" t="s">
        <v>597</v>
      </c>
      <c r="Q18" s="40">
        <v>38593.0</v>
      </c>
      <c r="R18" s="40" t="s">
        <v>42</v>
      </c>
      <c r="S18" s="40" t="s">
        <v>34</v>
      </c>
      <c r="T18" s="40" t="s">
        <v>598</v>
      </c>
      <c r="U18" s="40" t="s">
        <v>617</v>
      </c>
      <c r="V18" s="40" t="s">
        <v>618</v>
      </c>
      <c r="W18" s="40" t="s">
        <v>643</v>
      </c>
      <c r="X18" s="40" t="s">
        <v>623</v>
      </c>
      <c r="Y18" s="40" t="s">
        <v>392</v>
      </c>
      <c r="Z18" s="40" t="s">
        <v>644</v>
      </c>
      <c r="AA18" s="40" t="s">
        <v>36</v>
      </c>
      <c r="AB18" s="40" t="s">
        <v>604</v>
      </c>
      <c r="AC18" s="40">
        <v>8.0</v>
      </c>
      <c r="AD18" s="41">
        <v>11.0</v>
      </c>
      <c r="AE18" s="40" t="s">
        <v>621</v>
      </c>
      <c r="AF18" s="40" t="s">
        <v>27</v>
      </c>
    </row>
    <row r="19" ht="14.25" hidden="1" customHeight="1">
      <c r="A19" s="40" t="s">
        <v>35</v>
      </c>
      <c r="B19" s="40" t="s">
        <v>595</v>
      </c>
      <c r="C19" s="40" t="s">
        <v>20</v>
      </c>
      <c r="E19" s="40">
        <v>4.07</v>
      </c>
      <c r="F19" s="40">
        <v>0.0</v>
      </c>
      <c r="G19" s="41">
        <v>4.07</v>
      </c>
      <c r="H19" s="40">
        <v>653470.0</v>
      </c>
      <c r="I19" s="40" t="s">
        <v>2</v>
      </c>
      <c r="J19" s="40" t="s">
        <v>419</v>
      </c>
      <c r="K19" s="40" t="s">
        <v>420</v>
      </c>
      <c r="L19" s="40" t="s">
        <v>421</v>
      </c>
      <c r="M19" s="40" t="s">
        <v>631</v>
      </c>
      <c r="N19" s="40">
        <v>760338.0</v>
      </c>
      <c r="O19" s="40" t="s">
        <v>422</v>
      </c>
      <c r="P19" s="40" t="s">
        <v>597</v>
      </c>
      <c r="Q19" s="40">
        <v>38593.0</v>
      </c>
      <c r="R19" s="40" t="s">
        <v>42</v>
      </c>
      <c r="S19" s="40" t="s">
        <v>34</v>
      </c>
      <c r="T19" s="40" t="s">
        <v>598</v>
      </c>
      <c r="U19" s="40" t="s">
        <v>617</v>
      </c>
      <c r="V19" s="40" t="s">
        <v>618</v>
      </c>
      <c r="W19" s="40" t="s">
        <v>632</v>
      </c>
      <c r="X19" s="40" t="s">
        <v>633</v>
      </c>
      <c r="Y19" s="40" t="s">
        <v>437</v>
      </c>
      <c r="Z19" s="40" t="s">
        <v>634</v>
      </c>
      <c r="AA19" s="40" t="s">
        <v>36</v>
      </c>
      <c r="AB19" s="40" t="s">
        <v>635</v>
      </c>
      <c r="AC19" s="40">
        <v>12.0</v>
      </c>
      <c r="AD19" s="41">
        <v>11.0</v>
      </c>
      <c r="AE19" s="40" t="s">
        <v>621</v>
      </c>
      <c r="AF19" s="40" t="s">
        <v>27</v>
      </c>
    </row>
    <row r="20" ht="14.25" hidden="1" customHeight="1">
      <c r="A20" s="40" t="s">
        <v>35</v>
      </c>
      <c r="B20" s="40" t="s">
        <v>595</v>
      </c>
      <c r="C20" s="40" t="s">
        <v>20</v>
      </c>
      <c r="E20" s="40">
        <v>0.33</v>
      </c>
      <c r="F20" s="40">
        <v>0.0</v>
      </c>
      <c r="G20" s="41">
        <v>0.33</v>
      </c>
      <c r="H20" s="40">
        <v>653470.0</v>
      </c>
      <c r="I20" s="40" t="s">
        <v>2</v>
      </c>
      <c r="J20" s="40" t="s">
        <v>386</v>
      </c>
      <c r="K20" s="40" t="s">
        <v>387</v>
      </c>
      <c r="L20" s="40" t="s">
        <v>332</v>
      </c>
      <c r="M20" s="40" t="s">
        <v>611</v>
      </c>
      <c r="N20" s="40">
        <v>711419.0</v>
      </c>
      <c r="O20" s="40" t="s">
        <v>40</v>
      </c>
      <c r="P20" s="40" t="s">
        <v>597</v>
      </c>
      <c r="Q20" s="40">
        <v>38593.0</v>
      </c>
      <c r="R20" s="40" t="s">
        <v>42</v>
      </c>
      <c r="S20" s="40" t="s">
        <v>34</v>
      </c>
      <c r="T20" s="40" t="s">
        <v>598</v>
      </c>
      <c r="U20" s="40" t="s">
        <v>617</v>
      </c>
      <c r="V20" s="40" t="s">
        <v>618</v>
      </c>
      <c r="W20" s="40" t="s">
        <v>645</v>
      </c>
      <c r="X20" s="40" t="s">
        <v>248</v>
      </c>
      <c r="Y20" s="40" t="s">
        <v>388</v>
      </c>
      <c r="Z20" s="40" t="s">
        <v>646</v>
      </c>
      <c r="AA20" s="40" t="s">
        <v>36</v>
      </c>
      <c r="AB20" s="40" t="s">
        <v>604</v>
      </c>
      <c r="AC20" s="40">
        <v>2.0</v>
      </c>
      <c r="AD20" s="41">
        <v>11.0</v>
      </c>
      <c r="AE20" s="40" t="s">
        <v>625</v>
      </c>
      <c r="AF20" s="40" t="s">
        <v>27</v>
      </c>
    </row>
    <row r="21" ht="14.25" hidden="1" customHeight="1">
      <c r="A21" s="40" t="s">
        <v>35</v>
      </c>
      <c r="B21" s="40" t="s">
        <v>595</v>
      </c>
      <c r="C21" s="40" t="s">
        <v>20</v>
      </c>
      <c r="E21" s="40">
        <v>0.33</v>
      </c>
      <c r="F21" s="40">
        <v>0.0</v>
      </c>
      <c r="G21" s="41">
        <v>0.33</v>
      </c>
      <c r="H21" s="40">
        <v>653470.0</v>
      </c>
      <c r="I21" s="40" t="s">
        <v>2</v>
      </c>
      <c r="J21" s="40" t="s">
        <v>331</v>
      </c>
      <c r="K21" s="40" t="s">
        <v>103</v>
      </c>
      <c r="L21" s="40" t="s">
        <v>332</v>
      </c>
      <c r="M21" s="40" t="s">
        <v>611</v>
      </c>
      <c r="N21" s="40">
        <v>711419.0</v>
      </c>
      <c r="O21" s="40" t="s">
        <v>40</v>
      </c>
      <c r="P21" s="40" t="s">
        <v>597</v>
      </c>
      <c r="Q21" s="40">
        <v>38593.0</v>
      </c>
      <c r="R21" s="40" t="s">
        <v>42</v>
      </c>
      <c r="S21" s="40" t="s">
        <v>34</v>
      </c>
      <c r="T21" s="40" t="s">
        <v>598</v>
      </c>
      <c r="U21" s="40" t="s">
        <v>617</v>
      </c>
      <c r="V21" s="40" t="s">
        <v>618</v>
      </c>
      <c r="W21" s="40" t="s">
        <v>645</v>
      </c>
      <c r="X21" s="40" t="s">
        <v>248</v>
      </c>
      <c r="Y21" s="40" t="s">
        <v>382</v>
      </c>
      <c r="Z21" s="40" t="s">
        <v>647</v>
      </c>
      <c r="AA21" s="40" t="s">
        <v>36</v>
      </c>
      <c r="AB21" s="40" t="s">
        <v>604</v>
      </c>
      <c r="AC21" s="40">
        <v>2.0</v>
      </c>
      <c r="AD21" s="41">
        <v>11.0</v>
      </c>
      <c r="AE21" s="40" t="s">
        <v>625</v>
      </c>
      <c r="AF21" s="40" t="s">
        <v>27</v>
      </c>
    </row>
    <row r="22" ht="14.25" hidden="1" customHeight="1">
      <c r="A22" s="40" t="s">
        <v>35</v>
      </c>
      <c r="B22" s="40" t="s">
        <v>595</v>
      </c>
      <c r="C22" s="40" t="s">
        <v>20</v>
      </c>
      <c r="E22" s="40">
        <v>1.2</v>
      </c>
      <c r="F22" s="40">
        <v>0.0</v>
      </c>
      <c r="G22" s="41">
        <v>1.2</v>
      </c>
      <c r="H22" s="40">
        <v>653470.0</v>
      </c>
      <c r="I22" s="40" t="s">
        <v>2</v>
      </c>
      <c r="J22" s="40" t="s">
        <v>331</v>
      </c>
      <c r="K22" s="40" t="s">
        <v>103</v>
      </c>
      <c r="L22" s="40" t="s">
        <v>332</v>
      </c>
      <c r="M22" s="40" t="s">
        <v>611</v>
      </c>
      <c r="N22" s="40">
        <v>711419.0</v>
      </c>
      <c r="O22" s="40" t="s">
        <v>40</v>
      </c>
      <c r="P22" s="40" t="s">
        <v>597</v>
      </c>
      <c r="Q22" s="40">
        <v>42249.0</v>
      </c>
      <c r="R22" s="40" t="s">
        <v>50</v>
      </c>
      <c r="S22" s="40" t="s">
        <v>34</v>
      </c>
      <c r="T22" s="40" t="s">
        <v>598</v>
      </c>
      <c r="U22" s="40" t="s">
        <v>599</v>
      </c>
      <c r="V22" s="40" t="s">
        <v>600</v>
      </c>
      <c r="W22" s="40" t="s">
        <v>645</v>
      </c>
      <c r="X22" s="40" t="s">
        <v>248</v>
      </c>
      <c r="Y22" s="40" t="s">
        <v>333</v>
      </c>
      <c r="Z22" s="40" t="s">
        <v>647</v>
      </c>
      <c r="AA22" s="40" t="s">
        <v>36</v>
      </c>
      <c r="AB22" s="40" t="s">
        <v>604</v>
      </c>
      <c r="AC22" s="40">
        <v>2.0</v>
      </c>
      <c r="AD22" s="41">
        <v>40.0</v>
      </c>
      <c r="AE22" s="40" t="s">
        <v>625</v>
      </c>
      <c r="AF22" s="40" t="s">
        <v>27</v>
      </c>
    </row>
    <row r="23" ht="14.25" hidden="1" customHeight="1">
      <c r="A23" s="40" t="s">
        <v>35</v>
      </c>
      <c r="B23" s="40" t="s">
        <v>595</v>
      </c>
      <c r="C23" s="40" t="s">
        <v>20</v>
      </c>
      <c r="E23" s="40">
        <v>4.07</v>
      </c>
      <c r="F23" s="40">
        <v>0.0</v>
      </c>
      <c r="G23" s="41">
        <v>4.07</v>
      </c>
      <c r="H23" s="40">
        <v>653470.0</v>
      </c>
      <c r="I23" s="40" t="s">
        <v>2</v>
      </c>
      <c r="J23" s="40" t="s">
        <v>334</v>
      </c>
      <c r="K23" s="40" t="s">
        <v>335</v>
      </c>
      <c r="L23" s="40" t="s">
        <v>336</v>
      </c>
      <c r="M23" s="40" t="s">
        <v>606</v>
      </c>
      <c r="N23" s="40">
        <v>678726.0</v>
      </c>
      <c r="O23" s="40" t="s">
        <v>60</v>
      </c>
      <c r="P23" s="40" t="s">
        <v>597</v>
      </c>
      <c r="Q23" s="40">
        <v>38593.0</v>
      </c>
      <c r="R23" s="40" t="s">
        <v>42</v>
      </c>
      <c r="S23" s="40" t="s">
        <v>34</v>
      </c>
      <c r="T23" s="40" t="s">
        <v>598</v>
      </c>
      <c r="U23" s="40" t="s">
        <v>617</v>
      </c>
      <c r="V23" s="40" t="s">
        <v>618</v>
      </c>
      <c r="W23" s="40" t="s">
        <v>648</v>
      </c>
      <c r="X23" s="40" t="s">
        <v>649</v>
      </c>
      <c r="Y23" s="40" t="s">
        <v>337</v>
      </c>
      <c r="Z23" s="40" t="s">
        <v>650</v>
      </c>
      <c r="AA23" s="40" t="s">
        <v>36</v>
      </c>
      <c r="AB23" s="40" t="s">
        <v>604</v>
      </c>
      <c r="AC23" s="40">
        <v>18.0</v>
      </c>
      <c r="AD23" s="41">
        <v>11.0</v>
      </c>
      <c r="AE23" s="40" t="s">
        <v>621</v>
      </c>
      <c r="AF23" s="40" t="s">
        <v>27</v>
      </c>
    </row>
    <row r="24" ht="14.25" hidden="1" customHeight="1">
      <c r="A24" s="40" t="s">
        <v>35</v>
      </c>
      <c r="B24" s="40" t="s">
        <v>595</v>
      </c>
      <c r="C24" s="40" t="s">
        <v>20</v>
      </c>
      <c r="E24" s="40">
        <v>5.28</v>
      </c>
      <c r="F24" s="40">
        <v>0.0</v>
      </c>
      <c r="G24" s="41">
        <v>5.28</v>
      </c>
      <c r="H24" s="40">
        <v>653470.0</v>
      </c>
      <c r="I24" s="40" t="s">
        <v>2</v>
      </c>
      <c r="J24" s="40" t="s">
        <v>338</v>
      </c>
      <c r="K24" s="40" t="s">
        <v>339</v>
      </c>
      <c r="L24" s="40" t="s">
        <v>340</v>
      </c>
      <c r="M24" s="40" t="s">
        <v>606</v>
      </c>
      <c r="N24" s="40">
        <v>678726.0</v>
      </c>
      <c r="O24" s="40" t="s">
        <v>60</v>
      </c>
      <c r="P24" s="40" t="s">
        <v>597</v>
      </c>
      <c r="Q24" s="40">
        <v>47132.0</v>
      </c>
      <c r="R24" s="40" t="s">
        <v>142</v>
      </c>
      <c r="S24" s="40" t="s">
        <v>34</v>
      </c>
      <c r="T24" s="40" t="s">
        <v>598</v>
      </c>
      <c r="U24" s="40" t="s">
        <v>599</v>
      </c>
      <c r="V24" s="40" t="s">
        <v>600</v>
      </c>
      <c r="W24" s="40" t="s">
        <v>651</v>
      </c>
      <c r="X24" s="40" t="s">
        <v>248</v>
      </c>
      <c r="Y24" s="40" t="s">
        <v>341</v>
      </c>
      <c r="Z24" s="40" t="s">
        <v>652</v>
      </c>
      <c r="AA24" s="40" t="s">
        <v>36</v>
      </c>
      <c r="AB24" s="40" t="s">
        <v>604</v>
      </c>
      <c r="AC24" s="40">
        <v>2.0</v>
      </c>
      <c r="AD24" s="41">
        <v>22.0</v>
      </c>
      <c r="AE24" s="40" t="s">
        <v>605</v>
      </c>
      <c r="AF24" s="40" t="s">
        <v>27</v>
      </c>
    </row>
    <row r="25" ht="14.25" hidden="1" customHeight="1">
      <c r="A25" s="40" t="s">
        <v>35</v>
      </c>
      <c r="B25" s="40" t="s">
        <v>595</v>
      </c>
      <c r="C25" s="40" t="s">
        <v>20</v>
      </c>
      <c r="E25" s="40">
        <v>9.96</v>
      </c>
      <c r="F25" s="40">
        <v>0.0</v>
      </c>
      <c r="G25" s="41">
        <v>9.96</v>
      </c>
      <c r="H25" s="40">
        <v>653470.0</v>
      </c>
      <c r="I25" s="40" t="s">
        <v>2</v>
      </c>
      <c r="J25" s="40" t="s">
        <v>334</v>
      </c>
      <c r="K25" s="40" t="s">
        <v>335</v>
      </c>
      <c r="L25" s="40" t="s">
        <v>336</v>
      </c>
      <c r="M25" s="40" t="s">
        <v>606</v>
      </c>
      <c r="N25" s="40">
        <v>678726.0</v>
      </c>
      <c r="O25" s="40" t="s">
        <v>60</v>
      </c>
      <c r="P25" s="40" t="s">
        <v>597</v>
      </c>
      <c r="Q25" s="40">
        <v>45041.0</v>
      </c>
      <c r="R25" s="40" t="s">
        <v>62</v>
      </c>
      <c r="S25" s="40" t="s">
        <v>34</v>
      </c>
      <c r="T25" s="40" t="s">
        <v>598</v>
      </c>
      <c r="U25" s="40" t="s">
        <v>599</v>
      </c>
      <c r="V25" s="40" t="s">
        <v>600</v>
      </c>
      <c r="W25" s="40" t="s">
        <v>648</v>
      </c>
      <c r="X25" s="40" t="s">
        <v>649</v>
      </c>
      <c r="Y25" s="40" t="s">
        <v>342</v>
      </c>
      <c r="Z25" s="40" t="s">
        <v>650</v>
      </c>
      <c r="AA25" s="40" t="s">
        <v>36</v>
      </c>
      <c r="AB25" s="40" t="s">
        <v>604</v>
      </c>
      <c r="AC25" s="40">
        <v>18.0</v>
      </c>
      <c r="AD25" s="41">
        <v>31.13</v>
      </c>
      <c r="AE25" s="40" t="s">
        <v>610</v>
      </c>
      <c r="AF25" s="40" t="s">
        <v>27</v>
      </c>
    </row>
    <row r="26" ht="14.25" hidden="1" customHeight="1">
      <c r="A26" s="40" t="s">
        <v>35</v>
      </c>
      <c r="B26" s="40" t="s">
        <v>595</v>
      </c>
      <c r="C26" s="40" t="s">
        <v>20</v>
      </c>
      <c r="E26" s="40">
        <v>4.07</v>
      </c>
      <c r="F26" s="40">
        <v>0.0</v>
      </c>
      <c r="G26" s="41">
        <v>4.07</v>
      </c>
      <c r="H26" s="40">
        <v>653470.0</v>
      </c>
      <c r="I26" s="40" t="s">
        <v>2</v>
      </c>
      <c r="J26" s="40" t="s">
        <v>343</v>
      </c>
      <c r="K26" s="40" t="s">
        <v>344</v>
      </c>
      <c r="L26" s="40" t="s">
        <v>345</v>
      </c>
      <c r="M26" s="40" t="s">
        <v>606</v>
      </c>
      <c r="N26" s="40">
        <v>678726.0</v>
      </c>
      <c r="O26" s="40" t="s">
        <v>60</v>
      </c>
      <c r="P26" s="40" t="s">
        <v>597</v>
      </c>
      <c r="Q26" s="40">
        <v>38593.0</v>
      </c>
      <c r="R26" s="40" t="s">
        <v>42</v>
      </c>
      <c r="S26" s="40" t="s">
        <v>34</v>
      </c>
      <c r="T26" s="40" t="s">
        <v>598</v>
      </c>
      <c r="U26" s="40" t="s">
        <v>617</v>
      </c>
      <c r="V26" s="40" t="s">
        <v>618</v>
      </c>
      <c r="W26" s="40" t="s">
        <v>653</v>
      </c>
      <c r="X26" s="40" t="s">
        <v>620</v>
      </c>
      <c r="Y26" s="40" t="s">
        <v>346</v>
      </c>
      <c r="Z26" s="40" t="s">
        <v>654</v>
      </c>
      <c r="AA26" s="40" t="s">
        <v>36</v>
      </c>
      <c r="AB26" s="40" t="s">
        <v>604</v>
      </c>
      <c r="AC26" s="40">
        <v>3.0</v>
      </c>
      <c r="AD26" s="41">
        <v>11.0</v>
      </c>
      <c r="AE26" s="40" t="s">
        <v>621</v>
      </c>
      <c r="AF26" s="40" t="s">
        <v>27</v>
      </c>
    </row>
    <row r="27" ht="14.25" hidden="1" customHeight="1">
      <c r="A27" s="40" t="s">
        <v>35</v>
      </c>
      <c r="B27" s="40" t="s">
        <v>595</v>
      </c>
      <c r="C27" s="40" t="s">
        <v>20</v>
      </c>
      <c r="E27" s="40">
        <v>9.6</v>
      </c>
      <c r="F27" s="40">
        <v>0.0</v>
      </c>
      <c r="G27" s="41">
        <v>9.6</v>
      </c>
      <c r="H27" s="40">
        <v>653470.0</v>
      </c>
      <c r="I27" s="40" t="s">
        <v>2</v>
      </c>
      <c r="J27" s="40" t="s">
        <v>347</v>
      </c>
      <c r="K27" s="40" t="s">
        <v>348</v>
      </c>
      <c r="L27" s="40" t="s">
        <v>349</v>
      </c>
      <c r="M27" s="40" t="s">
        <v>606</v>
      </c>
      <c r="N27" s="40">
        <v>706472.0</v>
      </c>
      <c r="O27" s="40" t="s">
        <v>187</v>
      </c>
      <c r="P27" s="40" t="s">
        <v>597</v>
      </c>
      <c r="Q27" s="40">
        <v>45041.0</v>
      </c>
      <c r="R27" s="40" t="s">
        <v>62</v>
      </c>
      <c r="S27" s="40" t="s">
        <v>34</v>
      </c>
      <c r="T27" s="40" t="s">
        <v>598</v>
      </c>
      <c r="U27" s="40" t="s">
        <v>599</v>
      </c>
      <c r="V27" s="40" t="s">
        <v>600</v>
      </c>
      <c r="W27" s="40" t="s">
        <v>655</v>
      </c>
      <c r="X27" s="40" t="s">
        <v>656</v>
      </c>
      <c r="Y27" s="40" t="s">
        <v>350</v>
      </c>
      <c r="Z27" s="40" t="s">
        <v>657</v>
      </c>
      <c r="AA27" s="40" t="s">
        <v>36</v>
      </c>
      <c r="AB27" s="40" t="s">
        <v>604</v>
      </c>
      <c r="AC27" s="40">
        <v>17.0</v>
      </c>
      <c r="AD27" s="41">
        <v>30.0</v>
      </c>
      <c r="AE27" s="40" t="s">
        <v>610</v>
      </c>
      <c r="AF27" s="40" t="s">
        <v>27</v>
      </c>
    </row>
    <row r="28" ht="14.25" hidden="1" customHeight="1">
      <c r="A28" s="40" t="s">
        <v>354</v>
      </c>
      <c r="B28" s="40" t="s">
        <v>595</v>
      </c>
      <c r="C28" s="40" t="s">
        <v>20</v>
      </c>
      <c r="E28" s="40">
        <v>0.33</v>
      </c>
      <c r="F28" s="40">
        <v>0.0</v>
      </c>
      <c r="G28" s="41">
        <v>0.33</v>
      </c>
      <c r="H28" s="40">
        <v>653470.0</v>
      </c>
      <c r="I28" s="40" t="s">
        <v>2</v>
      </c>
      <c r="J28" s="40" t="s">
        <v>351</v>
      </c>
      <c r="K28" s="40" t="s">
        <v>352</v>
      </c>
      <c r="L28" s="40" t="s">
        <v>332</v>
      </c>
      <c r="M28" s="40" t="s">
        <v>611</v>
      </c>
      <c r="N28" s="40">
        <v>711419.0</v>
      </c>
      <c r="O28" s="40" t="s">
        <v>40</v>
      </c>
      <c r="P28" s="40" t="s">
        <v>597</v>
      </c>
      <c r="Q28" s="40">
        <v>38593.0</v>
      </c>
      <c r="R28" s="40" t="s">
        <v>42</v>
      </c>
      <c r="S28" s="40" t="s">
        <v>34</v>
      </c>
      <c r="T28" s="40" t="s">
        <v>598</v>
      </c>
      <c r="U28" s="40" t="s">
        <v>617</v>
      </c>
      <c r="V28" s="40" t="s">
        <v>618</v>
      </c>
      <c r="W28" s="40" t="s">
        <v>645</v>
      </c>
      <c r="X28" s="40" t="s">
        <v>248</v>
      </c>
      <c r="Y28" s="40" t="s">
        <v>353</v>
      </c>
      <c r="Z28" s="40" t="s">
        <v>658</v>
      </c>
      <c r="AA28" s="40" t="s">
        <v>36</v>
      </c>
      <c r="AB28" s="40" t="s">
        <v>604</v>
      </c>
      <c r="AC28" s="40">
        <v>2.0</v>
      </c>
      <c r="AD28" s="41">
        <v>11.0</v>
      </c>
      <c r="AE28" s="40" t="s">
        <v>625</v>
      </c>
      <c r="AF28" s="40" t="s">
        <v>27</v>
      </c>
    </row>
    <row r="29" ht="14.25" hidden="1" customHeight="1">
      <c r="A29" s="40" t="s">
        <v>354</v>
      </c>
      <c r="B29" s="40" t="s">
        <v>595</v>
      </c>
      <c r="C29" s="40" t="s">
        <v>20</v>
      </c>
      <c r="E29" s="40">
        <v>1.2</v>
      </c>
      <c r="F29" s="40">
        <v>0.0</v>
      </c>
      <c r="G29" s="41">
        <v>1.2</v>
      </c>
      <c r="H29" s="40">
        <v>653470.0</v>
      </c>
      <c r="I29" s="40" t="s">
        <v>2</v>
      </c>
      <c r="J29" s="40" t="s">
        <v>351</v>
      </c>
      <c r="K29" s="40" t="s">
        <v>352</v>
      </c>
      <c r="L29" s="40" t="s">
        <v>332</v>
      </c>
      <c r="M29" s="40" t="s">
        <v>611</v>
      </c>
      <c r="N29" s="40">
        <v>711419.0</v>
      </c>
      <c r="O29" s="40" t="s">
        <v>40</v>
      </c>
      <c r="P29" s="40" t="s">
        <v>597</v>
      </c>
      <c r="Q29" s="40">
        <v>42249.0</v>
      </c>
      <c r="R29" s="40" t="s">
        <v>50</v>
      </c>
      <c r="S29" s="40" t="s">
        <v>34</v>
      </c>
      <c r="T29" s="40" t="s">
        <v>598</v>
      </c>
      <c r="U29" s="40" t="s">
        <v>599</v>
      </c>
      <c r="V29" s="40" t="s">
        <v>600</v>
      </c>
      <c r="W29" s="40" t="s">
        <v>645</v>
      </c>
      <c r="X29" s="40" t="s">
        <v>248</v>
      </c>
      <c r="Y29" s="40" t="s">
        <v>355</v>
      </c>
      <c r="Z29" s="40" t="s">
        <v>658</v>
      </c>
      <c r="AA29" s="40" t="s">
        <v>36</v>
      </c>
      <c r="AB29" s="40" t="s">
        <v>604</v>
      </c>
      <c r="AC29" s="40">
        <v>2.0</v>
      </c>
      <c r="AD29" s="41">
        <v>40.0</v>
      </c>
      <c r="AE29" s="40" t="s">
        <v>625</v>
      </c>
      <c r="AF29" s="40" t="s">
        <v>27</v>
      </c>
    </row>
    <row r="30" ht="14.25" hidden="1" customHeight="1">
      <c r="A30" s="40" t="s">
        <v>354</v>
      </c>
      <c r="B30" s="40" t="s">
        <v>595</v>
      </c>
      <c r="C30" s="40" t="s">
        <v>20</v>
      </c>
      <c r="E30" s="40">
        <v>8.0</v>
      </c>
      <c r="F30" s="40">
        <v>0.0</v>
      </c>
      <c r="G30" s="41">
        <v>8.0</v>
      </c>
      <c r="H30" s="40">
        <v>653470.0</v>
      </c>
      <c r="I30" s="40" t="s">
        <v>2</v>
      </c>
      <c r="J30" s="40" t="s">
        <v>356</v>
      </c>
      <c r="K30" s="40" t="s">
        <v>357</v>
      </c>
      <c r="L30" s="40" t="s">
        <v>358</v>
      </c>
      <c r="M30" s="40" t="s">
        <v>606</v>
      </c>
      <c r="N30" s="40">
        <v>798992.0</v>
      </c>
      <c r="O30" s="40" t="s">
        <v>90</v>
      </c>
      <c r="P30" s="40" t="s">
        <v>597</v>
      </c>
      <c r="Q30" s="40">
        <v>45041.0</v>
      </c>
      <c r="R30" s="40" t="s">
        <v>62</v>
      </c>
      <c r="S30" s="40" t="s">
        <v>34</v>
      </c>
      <c r="T30" s="40" t="s">
        <v>598</v>
      </c>
      <c r="U30" s="40" t="s">
        <v>599</v>
      </c>
      <c r="V30" s="40" t="s">
        <v>600</v>
      </c>
      <c r="W30" s="40" t="s">
        <v>659</v>
      </c>
      <c r="X30" s="40" t="s">
        <v>660</v>
      </c>
      <c r="Y30" s="40" t="s">
        <v>359</v>
      </c>
      <c r="Z30" s="40" t="s">
        <v>661</v>
      </c>
      <c r="AA30" s="40" t="s">
        <v>36</v>
      </c>
      <c r="AB30" s="40" t="s">
        <v>635</v>
      </c>
      <c r="AC30" s="40">
        <v>15.0</v>
      </c>
      <c r="AD30" s="41">
        <v>25.0</v>
      </c>
      <c r="AE30" s="40" t="s">
        <v>610</v>
      </c>
      <c r="AF30" s="40" t="s">
        <v>27</v>
      </c>
    </row>
    <row r="31" ht="14.25" hidden="1" customHeight="1">
      <c r="A31" s="40" t="s">
        <v>354</v>
      </c>
      <c r="B31" s="40" t="s">
        <v>595</v>
      </c>
      <c r="C31" s="40" t="s">
        <v>20</v>
      </c>
      <c r="E31" s="40">
        <v>16.0</v>
      </c>
      <c r="F31" s="40">
        <v>0.0</v>
      </c>
      <c r="G31" s="41">
        <v>16.0</v>
      </c>
      <c r="H31" s="40">
        <v>653470.0</v>
      </c>
      <c r="I31" s="40" t="s">
        <v>2</v>
      </c>
      <c r="J31" s="40" t="s">
        <v>360</v>
      </c>
      <c r="K31" s="40" t="s">
        <v>361</v>
      </c>
      <c r="L31" s="40" t="s">
        <v>362</v>
      </c>
      <c r="M31" s="40" t="s">
        <v>606</v>
      </c>
      <c r="N31" s="40">
        <v>678726.0</v>
      </c>
      <c r="O31" s="40" t="s">
        <v>60</v>
      </c>
      <c r="P31" s="40" t="s">
        <v>597</v>
      </c>
      <c r="Q31" s="40">
        <v>45041.0</v>
      </c>
      <c r="R31" s="40" t="s">
        <v>62</v>
      </c>
      <c r="S31" s="40" t="s">
        <v>56</v>
      </c>
      <c r="T31" s="40" t="s">
        <v>598</v>
      </c>
      <c r="U31" s="40" t="s">
        <v>599</v>
      </c>
      <c r="V31" s="40" t="s">
        <v>600</v>
      </c>
      <c r="W31" s="40" t="s">
        <v>662</v>
      </c>
      <c r="X31" s="40" t="s">
        <v>656</v>
      </c>
      <c r="Y31" s="40" t="s">
        <v>363</v>
      </c>
      <c r="Z31" s="40" t="s">
        <v>663</v>
      </c>
      <c r="AA31" s="40" t="s">
        <v>36</v>
      </c>
      <c r="AB31" s="40" t="s">
        <v>635</v>
      </c>
      <c r="AC31" s="40">
        <v>17.0</v>
      </c>
      <c r="AD31" s="41">
        <v>50.0</v>
      </c>
      <c r="AE31" s="40" t="s">
        <v>610</v>
      </c>
      <c r="AF31" s="40" t="s">
        <v>27</v>
      </c>
    </row>
    <row r="32" ht="14.25" hidden="1" customHeight="1">
      <c r="A32" s="40" t="s">
        <v>369</v>
      </c>
      <c r="B32" s="40" t="s">
        <v>595</v>
      </c>
      <c r="C32" s="40" t="s">
        <v>20</v>
      </c>
      <c r="E32" s="40">
        <v>5.76</v>
      </c>
      <c r="F32" s="40">
        <v>0.0</v>
      </c>
      <c r="G32" s="41">
        <v>5.76</v>
      </c>
      <c r="H32" s="40">
        <v>653470.0</v>
      </c>
      <c r="I32" s="40" t="s">
        <v>2</v>
      </c>
      <c r="J32" s="40" t="s">
        <v>364</v>
      </c>
      <c r="K32" s="40" t="s">
        <v>365</v>
      </c>
      <c r="L32" s="40" t="s">
        <v>366</v>
      </c>
      <c r="M32" s="40" t="s">
        <v>611</v>
      </c>
      <c r="N32" s="40">
        <v>653470.0</v>
      </c>
      <c r="O32" s="40" t="s">
        <v>2</v>
      </c>
      <c r="P32" s="40" t="s">
        <v>597</v>
      </c>
      <c r="Q32" s="40">
        <v>45035.0</v>
      </c>
      <c r="R32" s="40" t="s">
        <v>368</v>
      </c>
      <c r="S32" s="40" t="s">
        <v>34</v>
      </c>
      <c r="T32" s="40" t="s">
        <v>598</v>
      </c>
      <c r="U32" s="40" t="s">
        <v>599</v>
      </c>
      <c r="V32" s="40" t="s">
        <v>600</v>
      </c>
      <c r="W32" s="40" t="s">
        <v>664</v>
      </c>
      <c r="X32" s="40" t="s">
        <v>248</v>
      </c>
      <c r="Y32" s="40" t="s">
        <v>367</v>
      </c>
      <c r="Z32" s="40" t="s">
        <v>665</v>
      </c>
      <c r="AA32" s="40" t="s">
        <v>36</v>
      </c>
      <c r="AB32" s="40" t="s">
        <v>604</v>
      </c>
      <c r="AC32" s="40">
        <v>12.0</v>
      </c>
      <c r="AD32" s="41">
        <v>18.0</v>
      </c>
      <c r="AE32" s="40" t="s">
        <v>610</v>
      </c>
      <c r="AF32" s="40" t="s">
        <v>27</v>
      </c>
    </row>
    <row r="33" ht="14.25" hidden="1" customHeight="1">
      <c r="A33" s="40" t="s">
        <v>369</v>
      </c>
      <c r="B33" s="40" t="s">
        <v>595</v>
      </c>
      <c r="C33" s="40" t="s">
        <v>20</v>
      </c>
      <c r="E33" s="40">
        <v>4.07</v>
      </c>
      <c r="F33" s="40">
        <v>0.0</v>
      </c>
      <c r="G33" s="41">
        <v>4.07</v>
      </c>
      <c r="H33" s="40">
        <v>653470.0</v>
      </c>
      <c r="I33" s="40" t="s">
        <v>2</v>
      </c>
      <c r="J33" s="40" t="s">
        <v>370</v>
      </c>
      <c r="K33" s="40" t="s">
        <v>245</v>
      </c>
      <c r="L33" s="40" t="s">
        <v>371</v>
      </c>
      <c r="M33" s="40" t="s">
        <v>631</v>
      </c>
      <c r="N33" s="40">
        <v>759555.0</v>
      </c>
      <c r="O33" s="40" t="s">
        <v>48</v>
      </c>
      <c r="P33" s="40" t="s">
        <v>597</v>
      </c>
      <c r="Q33" s="40">
        <v>38593.0</v>
      </c>
      <c r="R33" s="40" t="s">
        <v>42</v>
      </c>
      <c r="S33" s="40" t="s">
        <v>34</v>
      </c>
      <c r="T33" s="40" t="s">
        <v>598</v>
      </c>
      <c r="U33" s="40" t="s">
        <v>617</v>
      </c>
      <c r="V33" s="40" t="s">
        <v>618</v>
      </c>
      <c r="W33" s="40" t="s">
        <v>666</v>
      </c>
      <c r="X33" s="40" t="s">
        <v>248</v>
      </c>
      <c r="Y33" s="40" t="s">
        <v>372</v>
      </c>
      <c r="Z33" s="40" t="s">
        <v>667</v>
      </c>
      <c r="AA33" s="40" t="s">
        <v>36</v>
      </c>
      <c r="AB33" s="40" t="s">
        <v>635</v>
      </c>
      <c r="AC33" s="40">
        <v>2.0</v>
      </c>
      <c r="AD33" s="41">
        <v>11.0</v>
      </c>
      <c r="AE33" s="40" t="s">
        <v>621</v>
      </c>
      <c r="AF33" s="40" t="s">
        <v>27</v>
      </c>
    </row>
    <row r="34" ht="14.25" hidden="1" customHeight="1">
      <c r="A34" s="40" t="s">
        <v>369</v>
      </c>
      <c r="B34" s="40" t="s">
        <v>595</v>
      </c>
      <c r="C34" s="40" t="s">
        <v>20</v>
      </c>
      <c r="E34" s="40">
        <v>4.07</v>
      </c>
      <c r="F34" s="40">
        <v>0.0</v>
      </c>
      <c r="G34" s="41">
        <v>4.07</v>
      </c>
      <c r="H34" s="40">
        <v>653470.0</v>
      </c>
      <c r="I34" s="40" t="s">
        <v>2</v>
      </c>
      <c r="J34" s="40" t="s">
        <v>373</v>
      </c>
      <c r="K34" s="40" t="s">
        <v>374</v>
      </c>
      <c r="L34" s="40" t="s">
        <v>375</v>
      </c>
      <c r="M34" s="40" t="s">
        <v>606</v>
      </c>
      <c r="N34" s="40">
        <v>678726.0</v>
      </c>
      <c r="O34" s="40" t="s">
        <v>60</v>
      </c>
      <c r="P34" s="40" t="s">
        <v>597</v>
      </c>
      <c r="Q34" s="40">
        <v>38593.0</v>
      </c>
      <c r="R34" s="40" t="s">
        <v>42</v>
      </c>
      <c r="S34" s="40" t="s">
        <v>34</v>
      </c>
      <c r="T34" s="40" t="s">
        <v>598</v>
      </c>
      <c r="U34" s="40" t="s">
        <v>617</v>
      </c>
      <c r="V34" s="40" t="s">
        <v>618</v>
      </c>
      <c r="W34" s="40" t="s">
        <v>668</v>
      </c>
      <c r="X34" s="40" t="s">
        <v>669</v>
      </c>
      <c r="Y34" s="40" t="s">
        <v>376</v>
      </c>
      <c r="Z34" s="40" t="s">
        <v>670</v>
      </c>
      <c r="AA34" s="40" t="s">
        <v>36</v>
      </c>
      <c r="AB34" s="40" t="s">
        <v>635</v>
      </c>
      <c r="AC34" s="40">
        <v>19.0</v>
      </c>
      <c r="AD34" s="41">
        <v>11.0</v>
      </c>
      <c r="AE34" s="40" t="s">
        <v>621</v>
      </c>
      <c r="AF34" s="40" t="s">
        <v>27</v>
      </c>
    </row>
    <row r="35" ht="14.25" hidden="1" customHeight="1">
      <c r="A35" s="40" t="s">
        <v>369</v>
      </c>
      <c r="B35" s="40" t="s">
        <v>595</v>
      </c>
      <c r="C35" s="40" t="s">
        <v>20</v>
      </c>
      <c r="E35" s="40">
        <v>12.48</v>
      </c>
      <c r="F35" s="40">
        <v>0.0</v>
      </c>
      <c r="G35" s="41">
        <v>12.48</v>
      </c>
      <c r="H35" s="40">
        <v>653470.0</v>
      </c>
      <c r="I35" s="40" t="s">
        <v>2</v>
      </c>
      <c r="J35" s="40" t="s">
        <v>370</v>
      </c>
      <c r="K35" s="40" t="s">
        <v>245</v>
      </c>
      <c r="L35" s="40" t="s">
        <v>371</v>
      </c>
      <c r="M35" s="40" t="s">
        <v>631</v>
      </c>
      <c r="N35" s="40">
        <v>759555.0</v>
      </c>
      <c r="O35" s="40" t="s">
        <v>48</v>
      </c>
      <c r="P35" s="40" t="s">
        <v>597</v>
      </c>
      <c r="Q35" s="40">
        <v>38398.0</v>
      </c>
      <c r="R35" s="40" t="s">
        <v>106</v>
      </c>
      <c r="S35" s="40" t="s">
        <v>34</v>
      </c>
      <c r="T35" s="40" t="s">
        <v>598</v>
      </c>
      <c r="U35" s="40" t="s">
        <v>599</v>
      </c>
      <c r="V35" s="40" t="s">
        <v>600</v>
      </c>
      <c r="W35" s="40" t="s">
        <v>666</v>
      </c>
      <c r="X35" s="40" t="s">
        <v>248</v>
      </c>
      <c r="Y35" s="40" t="s">
        <v>377</v>
      </c>
      <c r="Z35" s="40" t="s">
        <v>667</v>
      </c>
      <c r="AA35" s="40" t="s">
        <v>36</v>
      </c>
      <c r="AB35" s="40" t="s">
        <v>635</v>
      </c>
      <c r="AC35" s="40">
        <v>2.0</v>
      </c>
      <c r="AD35" s="41">
        <v>52.0</v>
      </c>
      <c r="AE35" s="40" t="s">
        <v>605</v>
      </c>
      <c r="AF35" s="40" t="s">
        <v>27</v>
      </c>
    </row>
    <row r="36" ht="14.25" hidden="1" customHeight="1">
      <c r="A36" s="40" t="s">
        <v>369</v>
      </c>
      <c r="B36" s="40" t="s">
        <v>595</v>
      </c>
      <c r="C36" s="40" t="s">
        <v>20</v>
      </c>
      <c r="E36" s="40">
        <v>8.0</v>
      </c>
      <c r="F36" s="40">
        <v>0.0</v>
      </c>
      <c r="G36" s="41">
        <v>8.0</v>
      </c>
      <c r="H36" s="40">
        <v>653470.0</v>
      </c>
      <c r="I36" s="40" t="s">
        <v>2</v>
      </c>
      <c r="J36" s="40" t="s">
        <v>378</v>
      </c>
      <c r="K36" s="40" t="s">
        <v>379</v>
      </c>
      <c r="L36" s="40" t="s">
        <v>380</v>
      </c>
      <c r="M36" s="40" t="s">
        <v>606</v>
      </c>
      <c r="N36" s="40">
        <v>678726.0</v>
      </c>
      <c r="O36" s="40" t="s">
        <v>60</v>
      </c>
      <c r="P36" s="40" t="s">
        <v>597</v>
      </c>
      <c r="Q36" s="40">
        <v>45041.0</v>
      </c>
      <c r="R36" s="40" t="s">
        <v>62</v>
      </c>
      <c r="S36" s="40" t="s">
        <v>34</v>
      </c>
      <c r="T36" s="40" t="s">
        <v>598</v>
      </c>
      <c r="U36" s="40" t="s">
        <v>599</v>
      </c>
      <c r="V36" s="40" t="s">
        <v>600</v>
      </c>
      <c r="W36" s="40" t="s">
        <v>671</v>
      </c>
      <c r="X36" s="40" t="s">
        <v>672</v>
      </c>
      <c r="Y36" s="40" t="s">
        <v>381</v>
      </c>
      <c r="Z36" s="40" t="s">
        <v>673</v>
      </c>
      <c r="AA36" s="40" t="s">
        <v>36</v>
      </c>
      <c r="AB36" s="40" t="s">
        <v>635</v>
      </c>
      <c r="AC36" s="40">
        <v>16.0</v>
      </c>
      <c r="AD36" s="41">
        <v>25.0</v>
      </c>
      <c r="AE36" s="40" t="s">
        <v>610</v>
      </c>
      <c r="AF36" s="40" t="s">
        <v>27</v>
      </c>
    </row>
    <row r="37" ht="14.25" hidden="1" customHeight="1">
      <c r="A37" s="40" t="s">
        <v>369</v>
      </c>
      <c r="B37" s="40" t="s">
        <v>595</v>
      </c>
      <c r="C37" s="40" t="s">
        <v>20</v>
      </c>
      <c r="E37" s="40">
        <v>16.0</v>
      </c>
      <c r="F37" s="40">
        <v>0.0</v>
      </c>
      <c r="G37" s="41">
        <v>16.0</v>
      </c>
      <c r="H37" s="40">
        <v>653470.0</v>
      </c>
      <c r="I37" s="40" t="s">
        <v>2</v>
      </c>
      <c r="J37" s="40" t="s">
        <v>383</v>
      </c>
      <c r="K37" s="40" t="s">
        <v>384</v>
      </c>
      <c r="L37" s="40" t="s">
        <v>83</v>
      </c>
      <c r="M37" s="40" t="s">
        <v>611</v>
      </c>
      <c r="N37" s="40">
        <v>820877.0</v>
      </c>
      <c r="O37" s="40" t="s">
        <v>229</v>
      </c>
      <c r="P37" s="40" t="s">
        <v>597</v>
      </c>
      <c r="Q37" s="40">
        <v>45041.0</v>
      </c>
      <c r="R37" s="40" t="s">
        <v>62</v>
      </c>
      <c r="S37" s="40" t="s">
        <v>56</v>
      </c>
      <c r="T37" s="40" t="s">
        <v>598</v>
      </c>
      <c r="U37" s="40" t="s">
        <v>599</v>
      </c>
      <c r="V37" s="40" t="s">
        <v>600</v>
      </c>
      <c r="W37" s="40" t="s">
        <v>674</v>
      </c>
      <c r="X37" s="40" t="s">
        <v>638</v>
      </c>
      <c r="Y37" s="40" t="s">
        <v>385</v>
      </c>
      <c r="Z37" s="40" t="s">
        <v>675</v>
      </c>
      <c r="AA37" s="40" t="s">
        <v>36</v>
      </c>
      <c r="AB37" s="40" t="s">
        <v>635</v>
      </c>
      <c r="AC37" s="40">
        <v>14.0</v>
      </c>
      <c r="AD37" s="41">
        <v>50.0</v>
      </c>
      <c r="AE37" s="40" t="s">
        <v>610</v>
      </c>
      <c r="AF37" s="40" t="s">
        <v>27</v>
      </c>
    </row>
    <row r="38" ht="14.25" hidden="1" customHeight="1">
      <c r="A38" s="40" t="s">
        <v>369</v>
      </c>
      <c r="B38" s="40" t="s">
        <v>595</v>
      </c>
      <c r="C38" s="40" t="s">
        <v>20</v>
      </c>
      <c r="E38" s="40">
        <v>6.0</v>
      </c>
      <c r="F38" s="40">
        <v>0.0</v>
      </c>
      <c r="G38" s="41">
        <v>6.0</v>
      </c>
      <c r="H38" s="40">
        <v>653470.0</v>
      </c>
      <c r="I38" s="40" t="s">
        <v>2</v>
      </c>
      <c r="J38" s="40" t="s">
        <v>438</v>
      </c>
      <c r="K38" s="40" t="s">
        <v>439</v>
      </c>
      <c r="L38" s="40" t="s">
        <v>440</v>
      </c>
      <c r="M38" s="40" t="s">
        <v>631</v>
      </c>
      <c r="N38" s="40">
        <v>760338.0</v>
      </c>
      <c r="O38" s="40" t="s">
        <v>422</v>
      </c>
      <c r="P38" s="40" t="s">
        <v>597</v>
      </c>
      <c r="Q38" s="40">
        <v>38796.0</v>
      </c>
      <c r="R38" s="40" t="s">
        <v>77</v>
      </c>
      <c r="S38" s="40" t="s">
        <v>34</v>
      </c>
      <c r="T38" s="40" t="s">
        <v>598</v>
      </c>
      <c r="U38" s="40" t="s">
        <v>599</v>
      </c>
      <c r="V38" s="40" t="s">
        <v>600</v>
      </c>
      <c r="W38" s="40" t="s">
        <v>676</v>
      </c>
      <c r="X38" s="40" t="s">
        <v>638</v>
      </c>
      <c r="Y38" s="40" t="s">
        <v>441</v>
      </c>
      <c r="Z38" s="40" t="s">
        <v>677</v>
      </c>
      <c r="AA38" s="40" t="s">
        <v>36</v>
      </c>
      <c r="AB38" s="40" t="s">
        <v>635</v>
      </c>
      <c r="AC38" s="40">
        <v>14.0</v>
      </c>
      <c r="AD38" s="41">
        <v>25.0</v>
      </c>
      <c r="AE38" s="40" t="s">
        <v>605</v>
      </c>
      <c r="AF38" s="40" t="s">
        <v>27</v>
      </c>
    </row>
    <row r="39" ht="14.25" hidden="1" customHeight="1">
      <c r="A39" s="40" t="s">
        <v>369</v>
      </c>
      <c r="B39" s="40" t="s">
        <v>595</v>
      </c>
      <c r="C39" s="40" t="s">
        <v>20</v>
      </c>
      <c r="E39" s="40">
        <v>8.0</v>
      </c>
      <c r="F39" s="40">
        <v>0.0</v>
      </c>
      <c r="G39" s="41">
        <v>8.0</v>
      </c>
      <c r="H39" s="40">
        <v>653470.0</v>
      </c>
      <c r="I39" s="40" t="s">
        <v>2</v>
      </c>
      <c r="J39" s="40" t="s">
        <v>442</v>
      </c>
      <c r="K39" s="40" t="s">
        <v>443</v>
      </c>
      <c r="L39" s="40" t="s">
        <v>444</v>
      </c>
      <c r="M39" s="40" t="s">
        <v>606</v>
      </c>
      <c r="N39" s="40">
        <v>678726.0</v>
      </c>
      <c r="O39" s="40" t="s">
        <v>60</v>
      </c>
      <c r="P39" s="40" t="s">
        <v>597</v>
      </c>
      <c r="Q39" s="40">
        <v>45041.0</v>
      </c>
      <c r="R39" s="40" t="s">
        <v>62</v>
      </c>
      <c r="S39" s="40" t="s">
        <v>34</v>
      </c>
      <c r="T39" s="40" t="s">
        <v>598</v>
      </c>
      <c r="U39" s="40" t="s">
        <v>599</v>
      </c>
      <c r="V39" s="40" t="s">
        <v>600</v>
      </c>
      <c r="W39" s="40" t="s">
        <v>676</v>
      </c>
      <c r="X39" s="40" t="s">
        <v>638</v>
      </c>
      <c r="Y39" s="40" t="s">
        <v>445</v>
      </c>
      <c r="Z39" s="40" t="s">
        <v>678</v>
      </c>
      <c r="AA39" s="40" t="s">
        <v>36</v>
      </c>
      <c r="AB39" s="40" t="s">
        <v>635</v>
      </c>
      <c r="AC39" s="40">
        <v>14.0</v>
      </c>
      <c r="AD39" s="41">
        <v>25.0</v>
      </c>
      <c r="AE39" s="40" t="s">
        <v>610</v>
      </c>
      <c r="AF39" s="40" t="s">
        <v>27</v>
      </c>
    </row>
    <row r="40" ht="14.25" hidden="1" customHeight="1">
      <c r="A40" s="40" t="s">
        <v>369</v>
      </c>
      <c r="B40" s="40" t="s">
        <v>595</v>
      </c>
      <c r="C40" s="40" t="s">
        <v>20</v>
      </c>
      <c r="E40" s="40">
        <v>8.0</v>
      </c>
      <c r="F40" s="40">
        <v>0.0</v>
      </c>
      <c r="G40" s="41">
        <v>8.0</v>
      </c>
      <c r="H40" s="40">
        <v>653470.0</v>
      </c>
      <c r="I40" s="40" t="s">
        <v>2</v>
      </c>
      <c r="J40" s="40" t="s">
        <v>446</v>
      </c>
      <c r="K40" s="40" t="s">
        <v>185</v>
      </c>
      <c r="L40" s="40" t="s">
        <v>447</v>
      </c>
      <c r="M40" s="40" t="s">
        <v>606</v>
      </c>
      <c r="N40" s="40">
        <v>678726.0</v>
      </c>
      <c r="O40" s="40" t="s">
        <v>60</v>
      </c>
      <c r="P40" s="40" t="s">
        <v>597</v>
      </c>
      <c r="Q40" s="40">
        <v>45041.0</v>
      </c>
      <c r="R40" s="40" t="s">
        <v>62</v>
      </c>
      <c r="S40" s="40" t="s">
        <v>34</v>
      </c>
      <c r="T40" s="40" t="s">
        <v>598</v>
      </c>
      <c r="U40" s="40" t="s">
        <v>599</v>
      </c>
      <c r="V40" s="40" t="s">
        <v>600</v>
      </c>
      <c r="W40" s="40" t="s">
        <v>679</v>
      </c>
      <c r="X40" s="40" t="s">
        <v>649</v>
      </c>
      <c r="Y40" s="40" t="s">
        <v>448</v>
      </c>
      <c r="Z40" s="40" t="s">
        <v>680</v>
      </c>
      <c r="AA40" s="40" t="s">
        <v>36</v>
      </c>
      <c r="AB40" s="40" t="s">
        <v>604</v>
      </c>
      <c r="AC40" s="40">
        <v>18.0</v>
      </c>
      <c r="AD40" s="41">
        <v>25.0</v>
      </c>
      <c r="AE40" s="40" t="s">
        <v>610</v>
      </c>
      <c r="AF40" s="40" t="s">
        <v>27</v>
      </c>
    </row>
    <row r="41" ht="14.25" hidden="1" customHeight="1">
      <c r="A41" s="40" t="s">
        <v>514</v>
      </c>
      <c r="B41" s="40" t="s">
        <v>595</v>
      </c>
      <c r="C41" s="40" t="s">
        <v>20</v>
      </c>
      <c r="E41" s="40">
        <v>9.6</v>
      </c>
      <c r="F41" s="40">
        <v>0.0</v>
      </c>
      <c r="G41" s="41">
        <v>9.6</v>
      </c>
      <c r="H41" s="40">
        <v>653470.0</v>
      </c>
      <c r="I41" s="40" t="s">
        <v>2</v>
      </c>
      <c r="J41" s="40" t="s">
        <v>510</v>
      </c>
      <c r="K41" s="40" t="s">
        <v>511</v>
      </c>
      <c r="L41" s="40" t="s">
        <v>512</v>
      </c>
      <c r="M41" s="40" t="s">
        <v>611</v>
      </c>
      <c r="N41" s="40">
        <v>689390.0</v>
      </c>
      <c r="O41" s="40" t="s">
        <v>31</v>
      </c>
      <c r="P41" s="40" t="s">
        <v>597</v>
      </c>
      <c r="Q41" s="40">
        <v>45041.0</v>
      </c>
      <c r="R41" s="40" t="s">
        <v>62</v>
      </c>
      <c r="S41" s="40" t="s">
        <v>34</v>
      </c>
      <c r="T41" s="40" t="s">
        <v>598</v>
      </c>
      <c r="U41" s="40" t="s">
        <v>599</v>
      </c>
      <c r="V41" s="40" t="s">
        <v>600</v>
      </c>
      <c r="W41" s="40" t="s">
        <v>681</v>
      </c>
      <c r="X41" s="40" t="s">
        <v>628</v>
      </c>
      <c r="Y41" s="40" t="s">
        <v>513</v>
      </c>
      <c r="Z41" s="40" t="s">
        <v>682</v>
      </c>
      <c r="AA41" s="40" t="s">
        <v>36</v>
      </c>
      <c r="AB41" s="40" t="s">
        <v>635</v>
      </c>
      <c r="AC41" s="40">
        <v>13.0</v>
      </c>
      <c r="AD41" s="41">
        <v>30.0</v>
      </c>
      <c r="AE41" s="40" t="s">
        <v>610</v>
      </c>
      <c r="AF41" s="40" t="s">
        <v>27</v>
      </c>
    </row>
    <row r="42" ht="14.25" hidden="1" customHeight="1">
      <c r="A42" s="40" t="s">
        <v>518</v>
      </c>
      <c r="B42" s="40" t="s">
        <v>595</v>
      </c>
      <c r="C42" s="40" t="s">
        <v>20</v>
      </c>
      <c r="E42" s="40">
        <v>6.48</v>
      </c>
      <c r="F42" s="40">
        <v>0.0</v>
      </c>
      <c r="G42" s="41">
        <v>6.48</v>
      </c>
      <c r="H42" s="40">
        <v>653470.0</v>
      </c>
      <c r="I42" s="40" t="s">
        <v>2</v>
      </c>
      <c r="J42" s="40" t="s">
        <v>515</v>
      </c>
      <c r="K42" s="40" t="s">
        <v>272</v>
      </c>
      <c r="L42" s="40" t="s">
        <v>516</v>
      </c>
      <c r="M42" s="40" t="s">
        <v>606</v>
      </c>
      <c r="N42" s="40">
        <v>798992.0</v>
      </c>
      <c r="O42" s="40" t="s">
        <v>90</v>
      </c>
      <c r="P42" s="40" t="s">
        <v>597</v>
      </c>
      <c r="Q42" s="40">
        <v>47133.0</v>
      </c>
      <c r="R42" s="40" t="s">
        <v>119</v>
      </c>
      <c r="S42" s="40" t="s">
        <v>34</v>
      </c>
      <c r="T42" s="40" t="s">
        <v>598</v>
      </c>
      <c r="U42" s="40" t="s">
        <v>599</v>
      </c>
      <c r="V42" s="40" t="s">
        <v>600</v>
      </c>
      <c r="W42" s="40" t="s">
        <v>683</v>
      </c>
      <c r="X42" s="40" t="s">
        <v>620</v>
      </c>
      <c r="Y42" s="40" t="s">
        <v>517</v>
      </c>
      <c r="Z42" s="40" t="s">
        <v>684</v>
      </c>
      <c r="AA42" s="40" t="s">
        <v>36</v>
      </c>
      <c r="AB42" s="40" t="s">
        <v>604</v>
      </c>
      <c r="AC42" s="40">
        <v>3.0</v>
      </c>
      <c r="AD42" s="41">
        <v>27.0</v>
      </c>
      <c r="AE42" s="40" t="s">
        <v>605</v>
      </c>
      <c r="AF42" s="40" t="s">
        <v>27</v>
      </c>
    </row>
    <row r="43" ht="14.25" hidden="1" customHeight="1">
      <c r="A43" s="40" t="s">
        <v>523</v>
      </c>
      <c r="B43" s="40" t="s">
        <v>595</v>
      </c>
      <c r="C43" s="40" t="s">
        <v>20</v>
      </c>
      <c r="E43" s="40">
        <v>16.0</v>
      </c>
      <c r="F43" s="40">
        <v>0.0</v>
      </c>
      <c r="G43" s="41">
        <v>16.0</v>
      </c>
      <c r="H43" s="40">
        <v>653470.0</v>
      </c>
      <c r="I43" s="40" t="s">
        <v>2</v>
      </c>
      <c r="J43" s="40" t="s">
        <v>519</v>
      </c>
      <c r="K43" s="40" t="s">
        <v>520</v>
      </c>
      <c r="L43" s="40" t="s">
        <v>521</v>
      </c>
      <c r="M43" s="40" t="s">
        <v>606</v>
      </c>
      <c r="N43" s="40">
        <v>678726.0</v>
      </c>
      <c r="O43" s="40" t="s">
        <v>60</v>
      </c>
      <c r="P43" s="40" t="s">
        <v>597</v>
      </c>
      <c r="Q43" s="40">
        <v>45041.0</v>
      </c>
      <c r="R43" s="40" t="s">
        <v>62</v>
      </c>
      <c r="S43" s="40" t="s">
        <v>56</v>
      </c>
      <c r="T43" s="40" t="s">
        <v>598</v>
      </c>
      <c r="U43" s="40" t="s">
        <v>599</v>
      </c>
      <c r="V43" s="40" t="s">
        <v>600</v>
      </c>
      <c r="W43" s="40" t="s">
        <v>685</v>
      </c>
      <c r="X43" s="40" t="s">
        <v>672</v>
      </c>
      <c r="Y43" s="40" t="s">
        <v>522</v>
      </c>
      <c r="Z43" s="40" t="s">
        <v>686</v>
      </c>
      <c r="AA43" s="40" t="s">
        <v>36</v>
      </c>
      <c r="AB43" s="40" t="s">
        <v>604</v>
      </c>
      <c r="AC43" s="40">
        <v>16.0</v>
      </c>
      <c r="AD43" s="41">
        <v>50.0</v>
      </c>
      <c r="AE43" s="40" t="s">
        <v>610</v>
      </c>
      <c r="AF43" s="40" t="s">
        <v>27</v>
      </c>
    </row>
    <row r="44" ht="14.25" hidden="1" customHeight="1">
      <c r="A44" s="40" t="s">
        <v>523</v>
      </c>
      <c r="B44" s="40" t="s">
        <v>595</v>
      </c>
      <c r="C44" s="40" t="s">
        <v>20</v>
      </c>
      <c r="E44" s="40">
        <v>8.0</v>
      </c>
      <c r="F44" s="40">
        <v>0.0</v>
      </c>
      <c r="G44" s="41">
        <v>8.0</v>
      </c>
      <c r="H44" s="40">
        <v>653470.0</v>
      </c>
      <c r="I44" s="40" t="s">
        <v>2</v>
      </c>
      <c r="J44" s="40" t="s">
        <v>524</v>
      </c>
      <c r="K44" s="40" t="s">
        <v>525</v>
      </c>
      <c r="L44" s="40" t="s">
        <v>526</v>
      </c>
      <c r="M44" s="40" t="s">
        <v>606</v>
      </c>
      <c r="N44" s="40">
        <v>678726.0</v>
      </c>
      <c r="O44" s="40" t="s">
        <v>60</v>
      </c>
      <c r="P44" s="40" t="s">
        <v>597</v>
      </c>
      <c r="Q44" s="40">
        <v>45041.0</v>
      </c>
      <c r="R44" s="40" t="s">
        <v>62</v>
      </c>
      <c r="S44" s="40" t="s">
        <v>34</v>
      </c>
      <c r="T44" s="40" t="s">
        <v>598</v>
      </c>
      <c r="U44" s="40" t="s">
        <v>599</v>
      </c>
      <c r="V44" s="40" t="s">
        <v>600</v>
      </c>
      <c r="W44" s="40" t="s">
        <v>671</v>
      </c>
      <c r="X44" s="40" t="s">
        <v>672</v>
      </c>
      <c r="Y44" s="40" t="s">
        <v>527</v>
      </c>
      <c r="Z44" s="40" t="s">
        <v>687</v>
      </c>
      <c r="AA44" s="40" t="s">
        <v>36</v>
      </c>
      <c r="AB44" s="40" t="s">
        <v>604</v>
      </c>
      <c r="AC44" s="40">
        <v>16.0</v>
      </c>
      <c r="AD44" s="41">
        <v>25.0</v>
      </c>
      <c r="AE44" s="40" t="s">
        <v>610</v>
      </c>
      <c r="AF44" s="40" t="s">
        <v>27</v>
      </c>
    </row>
    <row r="45" ht="14.25" hidden="1" customHeight="1">
      <c r="A45" s="40" t="s">
        <v>523</v>
      </c>
      <c r="B45" s="40" t="s">
        <v>595</v>
      </c>
      <c r="C45" s="40" t="s">
        <v>20</v>
      </c>
      <c r="D45" s="40" t="s">
        <v>266</v>
      </c>
      <c r="E45" s="40">
        <v>0.0</v>
      </c>
      <c r="F45" s="40">
        <v>8.0</v>
      </c>
      <c r="G45" s="41">
        <v>-8.0</v>
      </c>
      <c r="H45" s="40">
        <v>653470.0</v>
      </c>
      <c r="I45" s="40" t="s">
        <v>2</v>
      </c>
      <c r="J45" s="40" t="s">
        <v>356</v>
      </c>
      <c r="K45" s="40" t="s">
        <v>357</v>
      </c>
      <c r="L45" s="40" t="s">
        <v>358</v>
      </c>
      <c r="M45" s="40" t="s">
        <v>606</v>
      </c>
      <c r="N45" s="40">
        <v>798992.0</v>
      </c>
      <c r="O45" s="40" t="s">
        <v>90</v>
      </c>
      <c r="P45" s="40" t="s">
        <v>597</v>
      </c>
      <c r="Q45" s="40">
        <v>45041.0</v>
      </c>
      <c r="R45" s="40" t="s">
        <v>62</v>
      </c>
      <c r="S45" s="40" t="s">
        <v>34</v>
      </c>
      <c r="T45" s="40" t="s">
        <v>598</v>
      </c>
      <c r="U45" s="40" t="s">
        <v>599</v>
      </c>
      <c r="V45" s="40" t="s">
        <v>600</v>
      </c>
      <c r="W45" s="40" t="s">
        <v>659</v>
      </c>
      <c r="X45" s="40" t="s">
        <v>660</v>
      </c>
      <c r="Y45" s="40" t="s">
        <v>359</v>
      </c>
      <c r="Z45" s="40" t="s">
        <v>688</v>
      </c>
      <c r="AA45" s="40" t="s">
        <v>265</v>
      </c>
      <c r="AB45" s="40" t="s">
        <v>635</v>
      </c>
      <c r="AC45" s="40">
        <v>15.0</v>
      </c>
      <c r="AD45" s="41">
        <v>25.0</v>
      </c>
      <c r="AE45" s="40" t="s">
        <v>610</v>
      </c>
      <c r="AF45" s="40" t="s">
        <v>27</v>
      </c>
    </row>
    <row r="46" ht="14.25" hidden="1" customHeight="1">
      <c r="A46" s="40" t="s">
        <v>532</v>
      </c>
      <c r="B46" s="40" t="s">
        <v>595</v>
      </c>
      <c r="C46" s="40" t="s">
        <v>20</v>
      </c>
      <c r="E46" s="40">
        <v>4.07</v>
      </c>
      <c r="F46" s="40">
        <v>0.0</v>
      </c>
      <c r="G46" s="41">
        <v>4.07</v>
      </c>
      <c r="H46" s="40">
        <v>653470.0</v>
      </c>
      <c r="I46" s="40" t="s">
        <v>2</v>
      </c>
      <c r="J46" s="40" t="s">
        <v>528</v>
      </c>
      <c r="K46" s="40" t="s">
        <v>529</v>
      </c>
      <c r="L46" s="40" t="s">
        <v>530</v>
      </c>
      <c r="M46" s="40" t="s">
        <v>606</v>
      </c>
      <c r="N46" s="40">
        <v>678726.0</v>
      </c>
      <c r="O46" s="40" t="s">
        <v>60</v>
      </c>
      <c r="P46" s="40" t="s">
        <v>597</v>
      </c>
      <c r="Q46" s="40">
        <v>38593.0</v>
      </c>
      <c r="R46" s="40" t="s">
        <v>42</v>
      </c>
      <c r="S46" s="40" t="s">
        <v>34</v>
      </c>
      <c r="T46" s="40" t="s">
        <v>598</v>
      </c>
      <c r="U46" s="40" t="s">
        <v>617</v>
      </c>
      <c r="V46" s="40" t="s">
        <v>618</v>
      </c>
      <c r="W46" s="40" t="s">
        <v>689</v>
      </c>
      <c r="X46" s="40" t="s">
        <v>628</v>
      </c>
      <c r="Y46" s="40" t="s">
        <v>531</v>
      </c>
      <c r="Z46" s="40" t="s">
        <v>690</v>
      </c>
      <c r="AA46" s="40" t="s">
        <v>36</v>
      </c>
      <c r="AB46" s="40" t="s">
        <v>635</v>
      </c>
      <c r="AC46" s="40">
        <v>13.0</v>
      </c>
      <c r="AD46" s="41">
        <v>11.0</v>
      </c>
      <c r="AE46" s="40" t="s">
        <v>621</v>
      </c>
      <c r="AF46" s="40" t="s">
        <v>27</v>
      </c>
    </row>
    <row r="47" ht="14.25" hidden="1" customHeight="1">
      <c r="A47" s="40" t="s">
        <v>532</v>
      </c>
      <c r="B47" s="40" t="s">
        <v>595</v>
      </c>
      <c r="C47" s="40" t="s">
        <v>20</v>
      </c>
      <c r="E47" s="40">
        <v>8.0</v>
      </c>
      <c r="F47" s="40">
        <v>0.0</v>
      </c>
      <c r="G47" s="41">
        <v>8.0</v>
      </c>
      <c r="H47" s="40">
        <v>653470.0</v>
      </c>
      <c r="I47" s="40" t="s">
        <v>2</v>
      </c>
      <c r="J47" s="40" t="s">
        <v>533</v>
      </c>
      <c r="K47" s="40" t="s">
        <v>534</v>
      </c>
      <c r="L47" s="40" t="s">
        <v>535</v>
      </c>
      <c r="M47" s="40" t="s">
        <v>606</v>
      </c>
      <c r="N47" s="40">
        <v>798992.0</v>
      </c>
      <c r="O47" s="40" t="s">
        <v>90</v>
      </c>
      <c r="P47" s="40" t="s">
        <v>597</v>
      </c>
      <c r="Q47" s="40">
        <v>45041.0</v>
      </c>
      <c r="R47" s="40" t="s">
        <v>62</v>
      </c>
      <c r="S47" s="40" t="s">
        <v>34</v>
      </c>
      <c r="T47" s="40" t="s">
        <v>598</v>
      </c>
      <c r="U47" s="40" t="s">
        <v>599</v>
      </c>
      <c r="V47" s="40" t="s">
        <v>600</v>
      </c>
      <c r="W47" s="40" t="s">
        <v>691</v>
      </c>
      <c r="X47" s="40" t="s">
        <v>628</v>
      </c>
      <c r="Y47" s="40" t="s">
        <v>536</v>
      </c>
      <c r="Z47" s="40" t="s">
        <v>692</v>
      </c>
      <c r="AA47" s="40" t="s">
        <v>36</v>
      </c>
      <c r="AB47" s="40" t="s">
        <v>604</v>
      </c>
      <c r="AC47" s="40">
        <v>13.0</v>
      </c>
      <c r="AD47" s="41">
        <v>25.0</v>
      </c>
      <c r="AE47" s="40" t="s">
        <v>610</v>
      </c>
      <c r="AF47" s="40" t="s">
        <v>27</v>
      </c>
    </row>
    <row r="48" ht="14.25" hidden="1" customHeight="1">
      <c r="A48" s="40" t="s">
        <v>532</v>
      </c>
      <c r="B48" s="40" t="s">
        <v>595</v>
      </c>
      <c r="C48" s="40" t="s">
        <v>20</v>
      </c>
      <c r="E48" s="40">
        <v>8.0</v>
      </c>
      <c r="F48" s="40">
        <v>0.0</v>
      </c>
      <c r="G48" s="41">
        <v>8.0</v>
      </c>
      <c r="H48" s="40">
        <v>653470.0</v>
      </c>
      <c r="I48" s="40" t="s">
        <v>2</v>
      </c>
      <c r="J48" s="40" t="s">
        <v>540</v>
      </c>
      <c r="K48" s="40" t="s">
        <v>328</v>
      </c>
      <c r="L48" s="40" t="s">
        <v>541</v>
      </c>
      <c r="M48" s="40" t="s">
        <v>606</v>
      </c>
      <c r="N48" s="40">
        <v>678726.0</v>
      </c>
      <c r="O48" s="40" t="s">
        <v>60</v>
      </c>
      <c r="P48" s="40" t="s">
        <v>597</v>
      </c>
      <c r="Q48" s="40">
        <v>45041.0</v>
      </c>
      <c r="R48" s="40" t="s">
        <v>62</v>
      </c>
      <c r="S48" s="40" t="s">
        <v>34</v>
      </c>
      <c r="T48" s="40" t="s">
        <v>598</v>
      </c>
      <c r="U48" s="40" t="s">
        <v>599</v>
      </c>
      <c r="V48" s="40" t="s">
        <v>600</v>
      </c>
      <c r="W48" s="40" t="s">
        <v>693</v>
      </c>
      <c r="X48" s="40" t="s">
        <v>628</v>
      </c>
      <c r="Y48" s="40" t="s">
        <v>542</v>
      </c>
      <c r="Z48" s="40" t="s">
        <v>694</v>
      </c>
      <c r="AA48" s="40" t="s">
        <v>36</v>
      </c>
      <c r="AB48" s="40" t="s">
        <v>635</v>
      </c>
      <c r="AC48" s="40">
        <v>17.0</v>
      </c>
      <c r="AD48" s="41">
        <v>25.0</v>
      </c>
      <c r="AE48" s="40" t="s">
        <v>610</v>
      </c>
      <c r="AF48" s="40" t="s">
        <v>27</v>
      </c>
    </row>
    <row r="49" ht="14.25" hidden="1" customHeight="1">
      <c r="A49" s="40" t="s">
        <v>543</v>
      </c>
      <c r="B49" s="40" t="s">
        <v>595</v>
      </c>
      <c r="C49" s="40" t="s">
        <v>20</v>
      </c>
      <c r="E49" s="40">
        <v>14.4</v>
      </c>
      <c r="F49" s="40">
        <v>0.0</v>
      </c>
      <c r="G49" s="41">
        <v>14.4</v>
      </c>
      <c r="H49" s="40">
        <v>653470.0</v>
      </c>
      <c r="I49" s="40" t="s">
        <v>2</v>
      </c>
      <c r="J49" s="40" t="s">
        <v>565</v>
      </c>
      <c r="K49" s="40" t="s">
        <v>566</v>
      </c>
      <c r="L49" s="40" t="s">
        <v>567</v>
      </c>
      <c r="M49" s="40" t="s">
        <v>611</v>
      </c>
      <c r="N49" s="40">
        <v>689390.0</v>
      </c>
      <c r="O49" s="40" t="s">
        <v>31</v>
      </c>
      <c r="P49" s="40" t="s">
        <v>597</v>
      </c>
      <c r="Q49" s="40">
        <v>38399.0</v>
      </c>
      <c r="R49" s="40" t="s">
        <v>33</v>
      </c>
      <c r="S49" s="40" t="s">
        <v>34</v>
      </c>
      <c r="T49" s="40" t="s">
        <v>598</v>
      </c>
      <c r="U49" s="40" t="s">
        <v>599</v>
      </c>
      <c r="V49" s="40" t="s">
        <v>600</v>
      </c>
      <c r="W49" s="40" t="s">
        <v>695</v>
      </c>
      <c r="X49" s="40" t="s">
        <v>696</v>
      </c>
      <c r="Y49" s="40" t="s">
        <v>568</v>
      </c>
      <c r="Z49" s="40" t="s">
        <v>697</v>
      </c>
      <c r="AA49" s="40" t="s">
        <v>36</v>
      </c>
      <c r="AB49" s="40" t="s">
        <v>604</v>
      </c>
      <c r="AC49" s="40">
        <v>27.0</v>
      </c>
      <c r="AD49" s="41">
        <v>60.0</v>
      </c>
      <c r="AE49" s="40" t="s">
        <v>605</v>
      </c>
      <c r="AF49" s="40" t="s">
        <v>27</v>
      </c>
    </row>
    <row r="50" ht="14.25" hidden="1" customHeight="1">
      <c r="A50" s="40" t="s">
        <v>543</v>
      </c>
      <c r="B50" s="40" t="s">
        <v>595</v>
      </c>
      <c r="C50" s="40" t="s">
        <v>20</v>
      </c>
      <c r="E50" s="40">
        <v>8.0</v>
      </c>
      <c r="F50" s="40">
        <v>0.0</v>
      </c>
      <c r="G50" s="41">
        <v>8.0</v>
      </c>
      <c r="H50" s="40">
        <v>653470.0</v>
      </c>
      <c r="I50" s="40" t="s">
        <v>2</v>
      </c>
      <c r="J50" s="40" t="s">
        <v>356</v>
      </c>
      <c r="K50" s="40" t="s">
        <v>357</v>
      </c>
      <c r="L50" s="40" t="s">
        <v>358</v>
      </c>
      <c r="M50" s="40" t="s">
        <v>606</v>
      </c>
      <c r="N50" s="40">
        <v>798992.0</v>
      </c>
      <c r="O50" s="40" t="s">
        <v>90</v>
      </c>
      <c r="P50" s="40" t="s">
        <v>597</v>
      </c>
      <c r="Q50" s="40">
        <v>45041.0</v>
      </c>
      <c r="R50" s="40" t="s">
        <v>62</v>
      </c>
      <c r="S50" s="40" t="s">
        <v>34</v>
      </c>
      <c r="T50" s="40" t="s">
        <v>598</v>
      </c>
      <c r="U50" s="40" t="s">
        <v>599</v>
      </c>
      <c r="V50" s="40" t="s">
        <v>600</v>
      </c>
      <c r="W50" s="40" t="s">
        <v>659</v>
      </c>
      <c r="X50" s="40" t="s">
        <v>660</v>
      </c>
      <c r="Y50" s="40" t="s">
        <v>359</v>
      </c>
      <c r="Z50" s="40" t="s">
        <v>698</v>
      </c>
      <c r="AA50" s="40" t="s">
        <v>36</v>
      </c>
      <c r="AB50" s="40" t="s">
        <v>635</v>
      </c>
      <c r="AC50" s="40">
        <v>15.0</v>
      </c>
      <c r="AD50" s="41">
        <v>25.0</v>
      </c>
      <c r="AE50" s="40" t="s">
        <v>610</v>
      </c>
      <c r="AF50" s="40" t="s">
        <v>27</v>
      </c>
    </row>
    <row r="51" ht="14.25" hidden="1" customHeight="1">
      <c r="A51" s="40" t="s">
        <v>543</v>
      </c>
      <c r="B51" s="40" t="s">
        <v>595</v>
      </c>
      <c r="C51" s="40" t="s">
        <v>20</v>
      </c>
      <c r="E51" s="40">
        <v>5.28</v>
      </c>
      <c r="F51" s="40">
        <v>0.0</v>
      </c>
      <c r="G51" s="41">
        <v>5.28</v>
      </c>
      <c r="H51" s="40">
        <v>653470.0</v>
      </c>
      <c r="I51" s="40" t="s">
        <v>2</v>
      </c>
      <c r="J51" s="40" t="s">
        <v>544</v>
      </c>
      <c r="K51" s="40" t="s">
        <v>545</v>
      </c>
      <c r="L51" s="40" t="s">
        <v>546</v>
      </c>
      <c r="M51" s="40" t="s">
        <v>631</v>
      </c>
      <c r="N51" s="40">
        <v>757929.0</v>
      </c>
      <c r="O51" s="40" t="s">
        <v>134</v>
      </c>
      <c r="P51" s="40" t="s">
        <v>597</v>
      </c>
      <c r="Q51" s="40">
        <v>47132.0</v>
      </c>
      <c r="R51" s="40" t="s">
        <v>142</v>
      </c>
      <c r="S51" s="40" t="s">
        <v>34</v>
      </c>
      <c r="T51" s="40" t="s">
        <v>598</v>
      </c>
      <c r="U51" s="40" t="s">
        <v>599</v>
      </c>
      <c r="V51" s="40" t="s">
        <v>600</v>
      </c>
      <c r="W51" s="40" t="s">
        <v>699</v>
      </c>
      <c r="X51" s="40" t="s">
        <v>620</v>
      </c>
      <c r="Y51" s="40" t="s">
        <v>547</v>
      </c>
      <c r="Z51" s="40" t="s">
        <v>700</v>
      </c>
      <c r="AA51" s="40" t="s">
        <v>36</v>
      </c>
      <c r="AB51" s="40" t="s">
        <v>635</v>
      </c>
      <c r="AC51" s="40">
        <v>3.0</v>
      </c>
      <c r="AD51" s="41">
        <v>22.0</v>
      </c>
      <c r="AE51" s="40" t="s">
        <v>605</v>
      </c>
      <c r="AF51" s="40" t="s">
        <v>27</v>
      </c>
    </row>
    <row r="52" ht="14.25" hidden="1" customHeight="1">
      <c r="A52" s="40" t="s">
        <v>543</v>
      </c>
      <c r="B52" s="40" t="s">
        <v>595</v>
      </c>
      <c r="C52" s="40" t="s">
        <v>20</v>
      </c>
      <c r="E52" s="40">
        <v>5.55</v>
      </c>
      <c r="F52" s="40">
        <v>0.0</v>
      </c>
      <c r="G52" s="41">
        <v>5.55</v>
      </c>
      <c r="H52" s="40">
        <v>653470.0</v>
      </c>
      <c r="I52" s="40" t="s">
        <v>2</v>
      </c>
      <c r="J52" s="40" t="s">
        <v>548</v>
      </c>
      <c r="K52" s="40" t="s">
        <v>549</v>
      </c>
      <c r="L52" s="40" t="s">
        <v>550</v>
      </c>
      <c r="M52" s="40" t="s">
        <v>631</v>
      </c>
      <c r="N52" s="40">
        <v>757209.0</v>
      </c>
      <c r="O52" s="40" t="s">
        <v>150</v>
      </c>
      <c r="P52" s="40" t="s">
        <v>597</v>
      </c>
      <c r="Q52" s="40">
        <v>38593.0</v>
      </c>
      <c r="R52" s="40" t="s">
        <v>42</v>
      </c>
      <c r="S52" s="40" t="s">
        <v>43</v>
      </c>
      <c r="T52" s="40" t="s">
        <v>598</v>
      </c>
      <c r="U52" s="40" t="s">
        <v>617</v>
      </c>
      <c r="V52" s="40" t="s">
        <v>618</v>
      </c>
      <c r="W52" s="40" t="s">
        <v>701</v>
      </c>
      <c r="X52" s="40" t="s">
        <v>660</v>
      </c>
      <c r="Y52" s="40" t="s">
        <v>551</v>
      </c>
      <c r="Z52" s="40" t="s">
        <v>702</v>
      </c>
      <c r="AA52" s="40" t="s">
        <v>36</v>
      </c>
      <c r="AB52" s="40" t="s">
        <v>635</v>
      </c>
      <c r="AC52" s="40">
        <v>15.0</v>
      </c>
      <c r="AD52" s="41">
        <v>15.0</v>
      </c>
      <c r="AE52" s="40" t="s">
        <v>621</v>
      </c>
      <c r="AF52" s="40" t="s">
        <v>27</v>
      </c>
    </row>
    <row r="53" ht="14.25" hidden="1" customHeight="1">
      <c r="A53" s="40" t="s">
        <v>543</v>
      </c>
      <c r="B53" s="40" t="s">
        <v>595</v>
      </c>
      <c r="C53" s="40" t="s">
        <v>20</v>
      </c>
      <c r="E53" s="40">
        <v>5.55</v>
      </c>
      <c r="F53" s="40">
        <v>0.0</v>
      </c>
      <c r="G53" s="41">
        <v>5.55</v>
      </c>
      <c r="H53" s="40">
        <v>653470.0</v>
      </c>
      <c r="I53" s="40" t="s">
        <v>2</v>
      </c>
      <c r="J53" s="40" t="s">
        <v>552</v>
      </c>
      <c r="K53" s="40" t="s">
        <v>553</v>
      </c>
      <c r="L53" s="40" t="s">
        <v>554</v>
      </c>
      <c r="M53" s="40" t="s">
        <v>606</v>
      </c>
      <c r="N53" s="40">
        <v>706472.0</v>
      </c>
      <c r="O53" s="40" t="s">
        <v>187</v>
      </c>
      <c r="P53" s="40" t="s">
        <v>597</v>
      </c>
      <c r="Q53" s="40">
        <v>38593.0</v>
      </c>
      <c r="R53" s="40" t="s">
        <v>42</v>
      </c>
      <c r="S53" s="40" t="s">
        <v>43</v>
      </c>
      <c r="T53" s="40" t="s">
        <v>598</v>
      </c>
      <c r="U53" s="40" t="s">
        <v>617</v>
      </c>
      <c r="V53" s="40" t="s">
        <v>618</v>
      </c>
      <c r="W53" s="40" t="s">
        <v>703</v>
      </c>
      <c r="X53" s="40" t="s">
        <v>672</v>
      </c>
      <c r="Y53" s="40" t="s">
        <v>555</v>
      </c>
      <c r="Z53" s="40" t="s">
        <v>704</v>
      </c>
      <c r="AA53" s="40" t="s">
        <v>36</v>
      </c>
      <c r="AB53" s="40" t="s">
        <v>635</v>
      </c>
      <c r="AC53" s="40">
        <v>16.0</v>
      </c>
      <c r="AD53" s="41">
        <v>15.0</v>
      </c>
      <c r="AE53" s="40" t="s">
        <v>621</v>
      </c>
      <c r="AF53" s="40" t="s">
        <v>27</v>
      </c>
    </row>
    <row r="54" ht="14.25" hidden="1" customHeight="1">
      <c r="A54" s="40" t="s">
        <v>543</v>
      </c>
      <c r="B54" s="40" t="s">
        <v>595</v>
      </c>
      <c r="C54" s="40" t="s">
        <v>20</v>
      </c>
      <c r="E54" s="40">
        <v>8.0</v>
      </c>
      <c r="F54" s="40">
        <v>0.0</v>
      </c>
      <c r="G54" s="41">
        <v>8.0</v>
      </c>
      <c r="H54" s="40">
        <v>653470.0</v>
      </c>
      <c r="I54" s="40" t="s">
        <v>2</v>
      </c>
      <c r="J54" s="40" t="s">
        <v>556</v>
      </c>
      <c r="K54" s="40" t="s">
        <v>557</v>
      </c>
      <c r="L54" s="40" t="s">
        <v>558</v>
      </c>
      <c r="M54" s="40" t="s">
        <v>606</v>
      </c>
      <c r="N54" s="40">
        <v>678726.0</v>
      </c>
      <c r="O54" s="40" t="s">
        <v>60</v>
      </c>
      <c r="P54" s="40" t="s">
        <v>597</v>
      </c>
      <c r="Q54" s="40">
        <v>45041.0</v>
      </c>
      <c r="R54" s="40" t="s">
        <v>62</v>
      </c>
      <c r="S54" s="40" t="s">
        <v>34</v>
      </c>
      <c r="T54" s="40" t="s">
        <v>598</v>
      </c>
      <c r="U54" s="40" t="s">
        <v>599</v>
      </c>
      <c r="V54" s="40" t="s">
        <v>600</v>
      </c>
      <c r="W54" s="40" t="s">
        <v>705</v>
      </c>
      <c r="X54" s="40" t="s">
        <v>660</v>
      </c>
      <c r="Y54" s="40" t="s">
        <v>559</v>
      </c>
      <c r="Z54" s="40" t="s">
        <v>706</v>
      </c>
      <c r="AA54" s="40" t="s">
        <v>36</v>
      </c>
      <c r="AB54" s="40" t="s">
        <v>635</v>
      </c>
      <c r="AC54" s="40">
        <v>15.0</v>
      </c>
      <c r="AD54" s="41">
        <v>25.0</v>
      </c>
      <c r="AE54" s="40" t="s">
        <v>610</v>
      </c>
      <c r="AF54" s="40" t="s">
        <v>27</v>
      </c>
    </row>
    <row r="55" ht="14.25" hidden="1" customHeight="1">
      <c r="A55" s="40" t="s">
        <v>543</v>
      </c>
      <c r="B55" s="40" t="s">
        <v>595</v>
      </c>
      <c r="C55" s="40" t="s">
        <v>20</v>
      </c>
      <c r="E55" s="40">
        <v>16.0</v>
      </c>
      <c r="F55" s="40">
        <v>0.0</v>
      </c>
      <c r="G55" s="41">
        <v>16.0</v>
      </c>
      <c r="H55" s="40">
        <v>653470.0</v>
      </c>
      <c r="I55" s="40" t="s">
        <v>2</v>
      </c>
      <c r="J55" s="40" t="s">
        <v>552</v>
      </c>
      <c r="K55" s="40" t="s">
        <v>553</v>
      </c>
      <c r="L55" s="40" t="s">
        <v>554</v>
      </c>
      <c r="M55" s="40" t="s">
        <v>606</v>
      </c>
      <c r="N55" s="40">
        <v>706472.0</v>
      </c>
      <c r="O55" s="40" t="s">
        <v>187</v>
      </c>
      <c r="P55" s="40" t="s">
        <v>597</v>
      </c>
      <c r="Q55" s="40">
        <v>45041.0</v>
      </c>
      <c r="R55" s="40" t="s">
        <v>62</v>
      </c>
      <c r="S55" s="40" t="s">
        <v>56</v>
      </c>
      <c r="T55" s="40" t="s">
        <v>598</v>
      </c>
      <c r="U55" s="40" t="s">
        <v>599</v>
      </c>
      <c r="V55" s="40" t="s">
        <v>600</v>
      </c>
      <c r="W55" s="40" t="s">
        <v>703</v>
      </c>
      <c r="X55" s="40" t="s">
        <v>672</v>
      </c>
      <c r="Y55" s="40" t="s">
        <v>560</v>
      </c>
      <c r="Z55" s="40" t="s">
        <v>704</v>
      </c>
      <c r="AA55" s="40" t="s">
        <v>36</v>
      </c>
      <c r="AB55" s="40" t="s">
        <v>635</v>
      </c>
      <c r="AC55" s="40">
        <v>16.0</v>
      </c>
      <c r="AD55" s="41">
        <v>50.0</v>
      </c>
      <c r="AE55" s="40" t="s">
        <v>610</v>
      </c>
      <c r="AF55" s="40" t="s">
        <v>27</v>
      </c>
    </row>
    <row r="56" ht="14.25" hidden="1" customHeight="1">
      <c r="A56" s="40" t="s">
        <v>543</v>
      </c>
      <c r="B56" s="40" t="s">
        <v>595</v>
      </c>
      <c r="C56" s="40" t="s">
        <v>20</v>
      </c>
      <c r="E56" s="40">
        <v>12.48</v>
      </c>
      <c r="F56" s="40">
        <v>0.0</v>
      </c>
      <c r="G56" s="41">
        <v>12.48</v>
      </c>
      <c r="H56" s="40">
        <v>653470.0</v>
      </c>
      <c r="I56" s="40" t="s">
        <v>2</v>
      </c>
      <c r="J56" s="40" t="s">
        <v>561</v>
      </c>
      <c r="K56" s="40" t="s">
        <v>562</v>
      </c>
      <c r="L56" s="40" t="s">
        <v>563</v>
      </c>
      <c r="M56" s="40" t="s">
        <v>707</v>
      </c>
      <c r="N56" s="40">
        <v>759555.0</v>
      </c>
      <c r="O56" s="40" t="s">
        <v>48</v>
      </c>
      <c r="P56" s="40" t="s">
        <v>597</v>
      </c>
      <c r="Q56" s="40">
        <v>38398.0</v>
      </c>
      <c r="R56" s="40" t="s">
        <v>106</v>
      </c>
      <c r="S56" s="40" t="s">
        <v>34</v>
      </c>
      <c r="T56" s="40" t="s">
        <v>598</v>
      </c>
      <c r="U56" s="40" t="s">
        <v>599</v>
      </c>
      <c r="V56" s="40" t="s">
        <v>600</v>
      </c>
      <c r="W56" s="40" t="s">
        <v>708</v>
      </c>
      <c r="X56" s="40" t="s">
        <v>620</v>
      </c>
      <c r="Y56" s="40" t="s">
        <v>564</v>
      </c>
      <c r="Z56" s="40" t="s">
        <v>709</v>
      </c>
      <c r="AA56" s="40" t="s">
        <v>36</v>
      </c>
      <c r="AB56" s="40" t="s">
        <v>635</v>
      </c>
      <c r="AC56" s="40">
        <v>3.0</v>
      </c>
      <c r="AD56" s="41">
        <v>52.0</v>
      </c>
      <c r="AE56" s="40" t="s">
        <v>605</v>
      </c>
      <c r="AF56" s="40" t="s">
        <v>27</v>
      </c>
    </row>
    <row r="57" ht="14.25" hidden="1" customHeight="1">
      <c r="A57" s="40" t="s">
        <v>453</v>
      </c>
      <c r="B57" s="40" t="s">
        <v>595</v>
      </c>
      <c r="C57" s="40" t="s">
        <v>20</v>
      </c>
      <c r="E57" s="40">
        <v>29.04</v>
      </c>
      <c r="F57" s="40">
        <v>0.0</v>
      </c>
      <c r="G57" s="41">
        <v>29.04</v>
      </c>
      <c r="H57" s="40">
        <v>653470.0</v>
      </c>
      <c r="I57" s="40" t="s">
        <v>2</v>
      </c>
      <c r="J57" s="40" t="s">
        <v>506</v>
      </c>
      <c r="K57" s="40" t="s">
        <v>195</v>
      </c>
      <c r="L57" s="40" t="s">
        <v>507</v>
      </c>
      <c r="M57" s="40" t="s">
        <v>611</v>
      </c>
      <c r="N57" s="40">
        <v>781535.0</v>
      </c>
      <c r="O57" s="40" t="s">
        <v>54</v>
      </c>
      <c r="P57" s="40" t="s">
        <v>597</v>
      </c>
      <c r="Q57" s="40">
        <v>38399.0</v>
      </c>
      <c r="R57" s="40" t="s">
        <v>33</v>
      </c>
      <c r="S57" s="40" t="s">
        <v>56</v>
      </c>
      <c r="T57" s="40" t="s">
        <v>598</v>
      </c>
      <c r="U57" s="40" t="s">
        <v>599</v>
      </c>
      <c r="V57" s="40" t="s">
        <v>600</v>
      </c>
      <c r="W57" s="40" t="s">
        <v>710</v>
      </c>
      <c r="X57" s="40" t="s">
        <v>669</v>
      </c>
      <c r="Y57" s="40" t="s">
        <v>509</v>
      </c>
      <c r="Z57" s="40" t="s">
        <v>711</v>
      </c>
      <c r="AA57" s="40" t="s">
        <v>36</v>
      </c>
      <c r="AB57" s="40" t="s">
        <v>635</v>
      </c>
      <c r="AC57" s="40">
        <v>19.0</v>
      </c>
      <c r="AD57" s="41">
        <v>121.0</v>
      </c>
      <c r="AE57" s="40" t="s">
        <v>605</v>
      </c>
      <c r="AF57" s="40" t="s">
        <v>27</v>
      </c>
    </row>
    <row r="58" ht="14.25" hidden="1" customHeight="1">
      <c r="A58" s="40" t="s">
        <v>453</v>
      </c>
      <c r="B58" s="40" t="s">
        <v>595</v>
      </c>
      <c r="C58" s="40" t="s">
        <v>20</v>
      </c>
      <c r="E58" s="40">
        <v>5.55</v>
      </c>
      <c r="F58" s="40">
        <v>0.0</v>
      </c>
      <c r="G58" s="41">
        <v>5.55</v>
      </c>
      <c r="H58" s="40">
        <v>653470.0</v>
      </c>
      <c r="I58" s="40" t="s">
        <v>2</v>
      </c>
      <c r="J58" s="40" t="s">
        <v>506</v>
      </c>
      <c r="K58" s="40" t="s">
        <v>195</v>
      </c>
      <c r="L58" s="40" t="s">
        <v>507</v>
      </c>
      <c r="M58" s="40" t="s">
        <v>611</v>
      </c>
      <c r="N58" s="40">
        <v>781535.0</v>
      </c>
      <c r="O58" s="40" t="s">
        <v>54</v>
      </c>
      <c r="P58" s="40" t="s">
        <v>597</v>
      </c>
      <c r="Q58" s="40">
        <v>38593.0</v>
      </c>
      <c r="R58" s="40" t="s">
        <v>42</v>
      </c>
      <c r="S58" s="40" t="s">
        <v>43</v>
      </c>
      <c r="T58" s="40" t="s">
        <v>598</v>
      </c>
      <c r="U58" s="40" t="s">
        <v>617</v>
      </c>
      <c r="V58" s="40" t="s">
        <v>618</v>
      </c>
      <c r="W58" s="40" t="s">
        <v>710</v>
      </c>
      <c r="X58" s="40" t="s">
        <v>669</v>
      </c>
      <c r="Y58" s="40" t="s">
        <v>508</v>
      </c>
      <c r="Z58" s="40" t="s">
        <v>711</v>
      </c>
      <c r="AA58" s="40" t="s">
        <v>36</v>
      </c>
      <c r="AB58" s="40" t="s">
        <v>635</v>
      </c>
      <c r="AC58" s="40">
        <v>19.0</v>
      </c>
      <c r="AD58" s="41">
        <v>15.0</v>
      </c>
      <c r="AE58" s="40" t="s">
        <v>621</v>
      </c>
      <c r="AF58" s="40" t="s">
        <v>27</v>
      </c>
    </row>
    <row r="59" ht="14.25" hidden="1" customHeight="1">
      <c r="A59" s="40" t="s">
        <v>453</v>
      </c>
      <c r="B59" s="40" t="s">
        <v>595</v>
      </c>
      <c r="C59" s="40" t="s">
        <v>20</v>
      </c>
      <c r="E59" s="40">
        <v>6.48</v>
      </c>
      <c r="F59" s="40">
        <v>0.0</v>
      </c>
      <c r="G59" s="41">
        <v>6.48</v>
      </c>
      <c r="H59" s="40">
        <v>653470.0</v>
      </c>
      <c r="I59" s="40" t="s">
        <v>2</v>
      </c>
      <c r="J59" s="40" t="s">
        <v>501</v>
      </c>
      <c r="K59" s="40" t="s">
        <v>502</v>
      </c>
      <c r="L59" s="40" t="s">
        <v>503</v>
      </c>
      <c r="M59" s="40" t="s">
        <v>606</v>
      </c>
      <c r="N59" s="40">
        <v>678726.0</v>
      </c>
      <c r="O59" s="40" t="s">
        <v>60</v>
      </c>
      <c r="P59" s="40" t="s">
        <v>597</v>
      </c>
      <c r="Q59" s="40">
        <v>47133.0</v>
      </c>
      <c r="R59" s="40" t="s">
        <v>119</v>
      </c>
      <c r="S59" s="40" t="s">
        <v>34</v>
      </c>
      <c r="T59" s="40" t="s">
        <v>598</v>
      </c>
      <c r="U59" s="40" t="s">
        <v>599</v>
      </c>
      <c r="V59" s="40" t="s">
        <v>600</v>
      </c>
      <c r="W59" s="40" t="s">
        <v>712</v>
      </c>
      <c r="X59" s="40" t="s">
        <v>620</v>
      </c>
      <c r="Y59" s="40" t="s">
        <v>505</v>
      </c>
      <c r="Z59" s="40" t="s">
        <v>713</v>
      </c>
      <c r="AA59" s="40" t="s">
        <v>36</v>
      </c>
      <c r="AB59" s="40" t="s">
        <v>635</v>
      </c>
      <c r="AC59" s="40">
        <v>3.0</v>
      </c>
      <c r="AD59" s="41">
        <v>27.0</v>
      </c>
      <c r="AE59" s="40" t="s">
        <v>605</v>
      </c>
      <c r="AF59" s="40" t="s">
        <v>27</v>
      </c>
    </row>
    <row r="60" ht="14.25" hidden="1" customHeight="1">
      <c r="A60" s="40" t="s">
        <v>453</v>
      </c>
      <c r="B60" s="40" t="s">
        <v>595</v>
      </c>
      <c r="C60" s="40" t="s">
        <v>20</v>
      </c>
      <c r="E60" s="40">
        <v>4.07</v>
      </c>
      <c r="F60" s="40">
        <v>0.0</v>
      </c>
      <c r="G60" s="41">
        <v>4.07</v>
      </c>
      <c r="H60" s="40">
        <v>653470.0</v>
      </c>
      <c r="I60" s="40" t="s">
        <v>2</v>
      </c>
      <c r="J60" s="40" t="s">
        <v>501</v>
      </c>
      <c r="K60" s="40" t="s">
        <v>502</v>
      </c>
      <c r="L60" s="40" t="s">
        <v>503</v>
      </c>
      <c r="M60" s="40" t="s">
        <v>606</v>
      </c>
      <c r="N60" s="40">
        <v>678726.0</v>
      </c>
      <c r="O60" s="40" t="s">
        <v>60</v>
      </c>
      <c r="P60" s="40" t="s">
        <v>597</v>
      </c>
      <c r="Q60" s="40">
        <v>38593.0</v>
      </c>
      <c r="R60" s="40" t="s">
        <v>42</v>
      </c>
      <c r="S60" s="40" t="s">
        <v>34</v>
      </c>
      <c r="T60" s="40" t="s">
        <v>598</v>
      </c>
      <c r="U60" s="40" t="s">
        <v>617</v>
      </c>
      <c r="V60" s="40" t="s">
        <v>618</v>
      </c>
      <c r="W60" s="40" t="s">
        <v>712</v>
      </c>
      <c r="X60" s="40" t="s">
        <v>620</v>
      </c>
      <c r="Y60" s="40" t="s">
        <v>504</v>
      </c>
      <c r="Z60" s="40" t="s">
        <v>713</v>
      </c>
      <c r="AA60" s="40" t="s">
        <v>36</v>
      </c>
      <c r="AB60" s="40" t="s">
        <v>635</v>
      </c>
      <c r="AC60" s="40">
        <v>3.0</v>
      </c>
      <c r="AD60" s="41">
        <v>11.0</v>
      </c>
      <c r="AE60" s="40" t="s">
        <v>621</v>
      </c>
      <c r="AF60" s="40" t="s">
        <v>27</v>
      </c>
    </row>
    <row r="61" ht="14.25" hidden="1" customHeight="1">
      <c r="A61" s="40" t="s">
        <v>453</v>
      </c>
      <c r="B61" s="40" t="s">
        <v>595</v>
      </c>
      <c r="C61" s="40" t="s">
        <v>20</v>
      </c>
      <c r="E61" s="40">
        <v>7.4</v>
      </c>
      <c r="F61" s="40">
        <v>0.0</v>
      </c>
      <c r="G61" s="41">
        <v>7.4</v>
      </c>
      <c r="H61" s="40">
        <v>653470.0</v>
      </c>
      <c r="I61" s="40" t="s">
        <v>2</v>
      </c>
      <c r="J61" s="40" t="s">
        <v>449</v>
      </c>
      <c r="K61" s="40" t="s">
        <v>450</v>
      </c>
      <c r="L61" s="40" t="s">
        <v>451</v>
      </c>
      <c r="M61" s="40" t="s">
        <v>631</v>
      </c>
      <c r="N61" s="40">
        <v>759555.0</v>
      </c>
      <c r="O61" s="40" t="s">
        <v>48</v>
      </c>
      <c r="P61" s="40" t="s">
        <v>597</v>
      </c>
      <c r="Q61" s="40">
        <v>38593.0</v>
      </c>
      <c r="R61" s="40" t="s">
        <v>42</v>
      </c>
      <c r="S61" s="40" t="s">
        <v>78</v>
      </c>
      <c r="T61" s="40" t="s">
        <v>598</v>
      </c>
      <c r="U61" s="40" t="s">
        <v>617</v>
      </c>
      <c r="V61" s="40" t="s">
        <v>618</v>
      </c>
      <c r="W61" s="40" t="s">
        <v>710</v>
      </c>
      <c r="X61" s="40" t="s">
        <v>669</v>
      </c>
      <c r="Y61" s="40" t="s">
        <v>452</v>
      </c>
      <c r="Z61" s="40" t="s">
        <v>714</v>
      </c>
      <c r="AA61" s="40" t="s">
        <v>36</v>
      </c>
      <c r="AB61" s="40" t="s">
        <v>635</v>
      </c>
      <c r="AC61" s="40">
        <v>19.0</v>
      </c>
      <c r="AD61" s="41">
        <v>20.0</v>
      </c>
      <c r="AE61" s="40" t="s">
        <v>621</v>
      </c>
      <c r="AF61" s="40" t="s">
        <v>27</v>
      </c>
    </row>
    <row r="62" ht="14.25" hidden="1" customHeight="1">
      <c r="A62" s="40" t="s">
        <v>453</v>
      </c>
      <c r="B62" s="40" t="s">
        <v>595</v>
      </c>
      <c r="C62" s="40" t="s">
        <v>20</v>
      </c>
      <c r="E62" s="40">
        <v>26.88</v>
      </c>
      <c r="F62" s="40">
        <v>0.0</v>
      </c>
      <c r="G62" s="41">
        <v>26.88</v>
      </c>
      <c r="H62" s="40">
        <v>653470.0</v>
      </c>
      <c r="I62" s="40" t="s">
        <v>2</v>
      </c>
      <c r="J62" s="40" t="s">
        <v>449</v>
      </c>
      <c r="K62" s="40" t="s">
        <v>450</v>
      </c>
      <c r="L62" s="40" t="s">
        <v>451</v>
      </c>
      <c r="M62" s="40" t="s">
        <v>631</v>
      </c>
      <c r="N62" s="40">
        <v>759555.0</v>
      </c>
      <c r="O62" s="40" t="s">
        <v>48</v>
      </c>
      <c r="P62" s="40" t="s">
        <v>597</v>
      </c>
      <c r="Q62" s="40">
        <v>38398.0</v>
      </c>
      <c r="R62" s="40" t="s">
        <v>106</v>
      </c>
      <c r="S62" s="40" t="s">
        <v>100</v>
      </c>
      <c r="T62" s="40" t="s">
        <v>598</v>
      </c>
      <c r="U62" s="40" t="s">
        <v>599</v>
      </c>
      <c r="V62" s="40" t="s">
        <v>600</v>
      </c>
      <c r="W62" s="40" t="s">
        <v>710</v>
      </c>
      <c r="X62" s="40" t="s">
        <v>669</v>
      </c>
      <c r="Y62" s="40" t="s">
        <v>454</v>
      </c>
      <c r="Z62" s="40" t="s">
        <v>714</v>
      </c>
      <c r="AA62" s="40" t="s">
        <v>36</v>
      </c>
      <c r="AB62" s="40" t="s">
        <v>635</v>
      </c>
      <c r="AC62" s="40">
        <v>19.0</v>
      </c>
      <c r="AD62" s="41">
        <v>112.0</v>
      </c>
      <c r="AE62" s="40" t="s">
        <v>605</v>
      </c>
      <c r="AF62" s="40" t="s">
        <v>27</v>
      </c>
    </row>
    <row r="63" ht="14.25" hidden="1" customHeight="1">
      <c r="A63" s="40" t="s">
        <v>459</v>
      </c>
      <c r="B63" s="40" t="s">
        <v>595</v>
      </c>
      <c r="C63" s="40" t="s">
        <v>20</v>
      </c>
      <c r="E63" s="40">
        <v>17.04</v>
      </c>
      <c r="F63" s="40">
        <v>0.0</v>
      </c>
      <c r="G63" s="41">
        <v>17.04</v>
      </c>
      <c r="H63" s="40">
        <v>653470.0</v>
      </c>
      <c r="I63" s="40" t="s">
        <v>2</v>
      </c>
      <c r="J63" s="40" t="s">
        <v>455</v>
      </c>
      <c r="K63" s="40" t="s">
        <v>456</v>
      </c>
      <c r="L63" s="40" t="s">
        <v>457</v>
      </c>
      <c r="M63" s="40" t="s">
        <v>715</v>
      </c>
      <c r="N63" s="40">
        <v>689390.0</v>
      </c>
      <c r="O63" s="40" t="s">
        <v>31</v>
      </c>
      <c r="P63" s="40" t="s">
        <v>597</v>
      </c>
      <c r="Q63" s="40">
        <v>38399.0</v>
      </c>
      <c r="R63" s="40" t="s">
        <v>33</v>
      </c>
      <c r="S63" s="40" t="s">
        <v>34</v>
      </c>
      <c r="T63" s="40" t="s">
        <v>598</v>
      </c>
      <c r="U63" s="40" t="s">
        <v>599</v>
      </c>
      <c r="V63" s="40" t="s">
        <v>600</v>
      </c>
      <c r="W63" s="40" t="s">
        <v>716</v>
      </c>
      <c r="X63" s="40" t="s">
        <v>717</v>
      </c>
      <c r="Y63" s="40" t="s">
        <v>458</v>
      </c>
      <c r="Z63" s="40" t="s">
        <v>718</v>
      </c>
      <c r="AA63" s="40" t="s">
        <v>36</v>
      </c>
      <c r="AB63" s="40" t="s">
        <v>604</v>
      </c>
      <c r="AC63" s="40">
        <v>7.0</v>
      </c>
      <c r="AD63" s="41">
        <v>71.0</v>
      </c>
      <c r="AE63" s="40" t="s">
        <v>605</v>
      </c>
      <c r="AF63" s="40" t="s">
        <v>27</v>
      </c>
    </row>
    <row r="64" ht="14.25" customHeight="1">
      <c r="A64" s="40" t="s">
        <v>459</v>
      </c>
      <c r="B64" s="40" t="s">
        <v>595</v>
      </c>
      <c r="C64" s="40" t="s">
        <v>20</v>
      </c>
      <c r="E64" s="40">
        <v>44.72</v>
      </c>
      <c r="F64" s="40">
        <v>0.0</v>
      </c>
      <c r="G64" s="41">
        <v>44.72</v>
      </c>
      <c r="H64" s="40">
        <v>653470.0</v>
      </c>
      <c r="I64" s="40" t="s">
        <v>2</v>
      </c>
      <c r="J64" s="40" t="s">
        <v>460</v>
      </c>
      <c r="K64" s="40" t="s">
        <v>461</v>
      </c>
      <c r="L64" s="40" t="s">
        <v>462</v>
      </c>
      <c r="M64" s="40" t="s">
        <v>719</v>
      </c>
      <c r="N64" s="40">
        <v>653470.0</v>
      </c>
      <c r="O64" s="40" t="s">
        <v>2</v>
      </c>
      <c r="P64" s="40" t="s">
        <v>597</v>
      </c>
      <c r="Q64" s="40">
        <v>43553.0</v>
      </c>
      <c r="R64" s="40" t="s">
        <v>464</v>
      </c>
      <c r="S64" s="40" t="s">
        <v>78</v>
      </c>
      <c r="T64" s="40" t="s">
        <v>598</v>
      </c>
      <c r="U64" s="40" t="s">
        <v>599</v>
      </c>
      <c r="V64" s="40" t="s">
        <v>600</v>
      </c>
      <c r="W64" s="40" t="s">
        <v>720</v>
      </c>
      <c r="X64" s="40" t="s">
        <v>721</v>
      </c>
      <c r="Y64" s="40" t="s">
        <v>463</v>
      </c>
      <c r="Z64" s="40" t="s">
        <v>722</v>
      </c>
      <c r="AA64" s="40" t="s">
        <v>36</v>
      </c>
      <c r="AB64" s="40" t="s">
        <v>604</v>
      </c>
      <c r="AC64" s="40">
        <v>39.0</v>
      </c>
      <c r="AD64" s="41">
        <v>172.0</v>
      </c>
      <c r="AE64" s="40" t="s">
        <v>723</v>
      </c>
      <c r="AF64" s="40" t="s">
        <v>27</v>
      </c>
    </row>
    <row r="65" ht="14.25" customHeight="1">
      <c r="A65" s="40" t="s">
        <v>459</v>
      </c>
      <c r="B65" s="40" t="s">
        <v>595</v>
      </c>
      <c r="C65" s="40" t="s">
        <v>20</v>
      </c>
      <c r="E65" s="40">
        <v>12.48</v>
      </c>
      <c r="F65" s="40">
        <v>0.0</v>
      </c>
      <c r="G65" s="41">
        <v>12.48</v>
      </c>
      <c r="H65" s="40">
        <v>653470.0</v>
      </c>
      <c r="I65" s="40" t="s">
        <v>2</v>
      </c>
      <c r="J65" s="40" t="s">
        <v>460</v>
      </c>
      <c r="K65" s="40" t="s">
        <v>461</v>
      </c>
      <c r="L65" s="40" t="s">
        <v>462</v>
      </c>
      <c r="M65" s="40" t="s">
        <v>719</v>
      </c>
      <c r="N65" s="40">
        <v>653470.0</v>
      </c>
      <c r="O65" s="40" t="s">
        <v>2</v>
      </c>
      <c r="P65" s="40" t="s">
        <v>597</v>
      </c>
      <c r="Q65" s="40">
        <v>27711.0</v>
      </c>
      <c r="R65" s="40" t="s">
        <v>466</v>
      </c>
      <c r="S65" s="40" t="s">
        <v>78</v>
      </c>
      <c r="T65" s="40" t="s">
        <v>598</v>
      </c>
      <c r="U65" s="40" t="s">
        <v>617</v>
      </c>
      <c r="V65" s="40" t="s">
        <v>618</v>
      </c>
      <c r="W65" s="40" t="s">
        <v>724</v>
      </c>
      <c r="X65" s="40" t="s">
        <v>725</v>
      </c>
      <c r="Y65" s="40" t="s">
        <v>465</v>
      </c>
      <c r="Z65" s="40" t="s">
        <v>722</v>
      </c>
      <c r="AA65" s="40" t="s">
        <v>36</v>
      </c>
      <c r="AB65" s="40" t="s">
        <v>604</v>
      </c>
      <c r="AC65" s="40">
        <v>40.0</v>
      </c>
      <c r="AD65" s="41">
        <v>48.0</v>
      </c>
      <c r="AE65" s="40" t="s">
        <v>723</v>
      </c>
      <c r="AF65" s="40" t="s">
        <v>27</v>
      </c>
    </row>
    <row r="66" ht="14.25" hidden="1" customHeight="1">
      <c r="A66" s="40" t="s">
        <v>322</v>
      </c>
      <c r="B66" s="40" t="s">
        <v>595</v>
      </c>
      <c r="C66" s="40" t="s">
        <v>20</v>
      </c>
      <c r="E66" s="40">
        <v>4.07</v>
      </c>
      <c r="F66" s="40">
        <v>0.0</v>
      </c>
      <c r="G66" s="41">
        <v>4.07</v>
      </c>
      <c r="H66" s="40">
        <v>653470.0</v>
      </c>
      <c r="I66" s="40" t="s">
        <v>2</v>
      </c>
      <c r="J66" s="40" t="s">
        <v>467</v>
      </c>
      <c r="K66" s="40" t="s">
        <v>468</v>
      </c>
      <c r="L66" s="40" t="s">
        <v>469</v>
      </c>
      <c r="M66" s="40" t="s">
        <v>606</v>
      </c>
      <c r="N66" s="40">
        <v>678726.0</v>
      </c>
      <c r="O66" s="40" t="s">
        <v>60</v>
      </c>
      <c r="P66" s="40" t="s">
        <v>597</v>
      </c>
      <c r="Q66" s="40">
        <v>38593.0</v>
      </c>
      <c r="R66" s="40" t="s">
        <v>42</v>
      </c>
      <c r="S66" s="40" t="s">
        <v>34</v>
      </c>
      <c r="T66" s="40" t="s">
        <v>598</v>
      </c>
      <c r="U66" s="40" t="s">
        <v>617</v>
      </c>
      <c r="V66" s="40" t="s">
        <v>618</v>
      </c>
      <c r="W66" s="40" t="s">
        <v>726</v>
      </c>
      <c r="X66" s="40" t="s">
        <v>727</v>
      </c>
      <c r="Y66" s="40" t="s">
        <v>470</v>
      </c>
      <c r="Z66" s="40" t="s">
        <v>728</v>
      </c>
      <c r="AA66" s="40" t="s">
        <v>36</v>
      </c>
      <c r="AB66" s="40" t="s">
        <v>635</v>
      </c>
      <c r="AC66" s="40">
        <v>9.0</v>
      </c>
      <c r="AD66" s="41">
        <v>11.0</v>
      </c>
      <c r="AE66" s="40" t="s">
        <v>621</v>
      </c>
      <c r="AF66" s="40" t="s">
        <v>27</v>
      </c>
    </row>
    <row r="67" ht="14.25" hidden="1" customHeight="1">
      <c r="A67" s="40" t="s">
        <v>322</v>
      </c>
      <c r="B67" s="40" t="s">
        <v>595</v>
      </c>
      <c r="C67" s="40" t="s">
        <v>20</v>
      </c>
      <c r="E67" s="40">
        <v>9.6</v>
      </c>
      <c r="F67" s="40">
        <v>0.0</v>
      </c>
      <c r="G67" s="41">
        <v>9.6</v>
      </c>
      <c r="H67" s="40">
        <v>653470.0</v>
      </c>
      <c r="I67" s="40" t="s">
        <v>2</v>
      </c>
      <c r="J67" s="40" t="s">
        <v>471</v>
      </c>
      <c r="K67" s="40" t="s">
        <v>153</v>
      </c>
      <c r="L67" s="40" t="s">
        <v>472</v>
      </c>
      <c r="M67" s="40" t="s">
        <v>631</v>
      </c>
      <c r="N67" s="40">
        <v>757929.0</v>
      </c>
      <c r="O67" s="40" t="s">
        <v>134</v>
      </c>
      <c r="P67" s="40" t="s">
        <v>597</v>
      </c>
      <c r="Q67" s="40">
        <v>42249.0</v>
      </c>
      <c r="R67" s="40" t="s">
        <v>50</v>
      </c>
      <c r="S67" s="40" t="s">
        <v>34</v>
      </c>
      <c r="T67" s="40" t="s">
        <v>598</v>
      </c>
      <c r="U67" s="40" t="s">
        <v>599</v>
      </c>
      <c r="V67" s="40" t="s">
        <v>600</v>
      </c>
      <c r="W67" s="40" t="s">
        <v>729</v>
      </c>
      <c r="X67" s="40" t="s">
        <v>717</v>
      </c>
      <c r="Y67" s="40" t="s">
        <v>473</v>
      </c>
      <c r="Z67" s="40" t="s">
        <v>730</v>
      </c>
      <c r="AA67" s="40" t="s">
        <v>36</v>
      </c>
      <c r="AB67" s="40" t="s">
        <v>635</v>
      </c>
      <c r="AC67" s="40">
        <v>7.0</v>
      </c>
      <c r="AD67" s="41">
        <v>40.0</v>
      </c>
      <c r="AE67" s="40" t="s">
        <v>605</v>
      </c>
      <c r="AF67" s="40" t="s">
        <v>27</v>
      </c>
    </row>
    <row r="68" ht="14.25" hidden="1" customHeight="1">
      <c r="A68" s="40" t="s">
        <v>322</v>
      </c>
      <c r="B68" s="40" t="s">
        <v>595</v>
      </c>
      <c r="C68" s="40" t="s">
        <v>20</v>
      </c>
      <c r="E68" s="40">
        <v>4.07</v>
      </c>
      <c r="F68" s="40">
        <v>0.0</v>
      </c>
      <c r="G68" s="41">
        <v>4.07</v>
      </c>
      <c r="H68" s="40">
        <v>653470.0</v>
      </c>
      <c r="I68" s="40" t="s">
        <v>2</v>
      </c>
      <c r="J68" s="40" t="s">
        <v>474</v>
      </c>
      <c r="K68" s="40" t="s">
        <v>475</v>
      </c>
      <c r="L68" s="40" t="s">
        <v>476</v>
      </c>
      <c r="M68" s="40" t="s">
        <v>631</v>
      </c>
      <c r="N68" s="40">
        <v>760338.0</v>
      </c>
      <c r="O68" s="40" t="s">
        <v>422</v>
      </c>
      <c r="P68" s="40" t="s">
        <v>597</v>
      </c>
      <c r="Q68" s="40">
        <v>38593.0</v>
      </c>
      <c r="R68" s="40" t="s">
        <v>42</v>
      </c>
      <c r="S68" s="40" t="s">
        <v>34</v>
      </c>
      <c r="T68" s="40" t="s">
        <v>598</v>
      </c>
      <c r="U68" s="40" t="s">
        <v>617</v>
      </c>
      <c r="V68" s="40" t="s">
        <v>618</v>
      </c>
      <c r="W68" s="40" t="s">
        <v>731</v>
      </c>
      <c r="X68" s="40" t="s">
        <v>628</v>
      </c>
      <c r="Y68" s="40" t="s">
        <v>477</v>
      </c>
      <c r="Z68" s="40" t="s">
        <v>732</v>
      </c>
      <c r="AA68" s="40" t="s">
        <v>36</v>
      </c>
      <c r="AB68" s="40" t="s">
        <v>635</v>
      </c>
      <c r="AC68" s="40">
        <v>13.0</v>
      </c>
      <c r="AD68" s="41">
        <v>11.0</v>
      </c>
      <c r="AE68" s="40" t="s">
        <v>621</v>
      </c>
      <c r="AF68" s="40" t="s">
        <v>27</v>
      </c>
    </row>
    <row r="69" ht="14.25" hidden="1" customHeight="1">
      <c r="A69" s="40" t="s">
        <v>322</v>
      </c>
      <c r="B69" s="40" t="s">
        <v>595</v>
      </c>
      <c r="C69" s="40" t="s">
        <v>20</v>
      </c>
      <c r="E69" s="40">
        <v>10.45</v>
      </c>
      <c r="F69" s="40">
        <v>0.0</v>
      </c>
      <c r="G69" s="41">
        <v>10.45</v>
      </c>
      <c r="H69" s="40">
        <v>653470.0</v>
      </c>
      <c r="I69" s="40" t="s">
        <v>2</v>
      </c>
      <c r="J69" s="40" t="s">
        <v>474</v>
      </c>
      <c r="K69" s="40" t="s">
        <v>475</v>
      </c>
      <c r="L69" s="40" t="s">
        <v>476</v>
      </c>
      <c r="M69" s="40" t="s">
        <v>631</v>
      </c>
      <c r="N69" s="40">
        <v>760338.0</v>
      </c>
      <c r="O69" s="40" t="s">
        <v>422</v>
      </c>
      <c r="P69" s="40" t="s">
        <v>597</v>
      </c>
      <c r="Q69" s="40">
        <v>42249.0</v>
      </c>
      <c r="R69" s="40" t="s">
        <v>50</v>
      </c>
      <c r="S69" s="40" t="s">
        <v>34</v>
      </c>
      <c r="T69" s="40" t="s">
        <v>598</v>
      </c>
      <c r="U69" s="40" t="s">
        <v>599</v>
      </c>
      <c r="V69" s="40" t="s">
        <v>600</v>
      </c>
      <c r="W69" s="40" t="s">
        <v>731</v>
      </c>
      <c r="X69" s="40" t="s">
        <v>628</v>
      </c>
      <c r="Y69" s="40" t="s">
        <v>478</v>
      </c>
      <c r="Z69" s="40" t="s">
        <v>732</v>
      </c>
      <c r="AA69" s="40" t="s">
        <v>36</v>
      </c>
      <c r="AB69" s="40" t="s">
        <v>635</v>
      </c>
      <c r="AC69" s="40">
        <v>13.0</v>
      </c>
      <c r="AD69" s="41">
        <v>43.56</v>
      </c>
      <c r="AE69" s="40" t="s">
        <v>605</v>
      </c>
      <c r="AF69" s="40" t="s">
        <v>27</v>
      </c>
    </row>
    <row r="70" ht="14.25" hidden="1" customHeight="1">
      <c r="A70" s="40" t="s">
        <v>322</v>
      </c>
      <c r="B70" s="40" t="s">
        <v>595</v>
      </c>
      <c r="C70" s="40" t="s">
        <v>20</v>
      </c>
      <c r="E70" s="40">
        <v>14.72</v>
      </c>
      <c r="F70" s="40">
        <v>0.0</v>
      </c>
      <c r="G70" s="41">
        <v>14.72</v>
      </c>
      <c r="H70" s="40">
        <v>653470.0</v>
      </c>
      <c r="I70" s="40" t="s">
        <v>2</v>
      </c>
      <c r="J70" s="40" t="s">
        <v>479</v>
      </c>
      <c r="K70" s="40" t="s">
        <v>480</v>
      </c>
      <c r="L70" s="40" t="s">
        <v>481</v>
      </c>
      <c r="M70" s="40" t="s">
        <v>611</v>
      </c>
      <c r="N70" s="40">
        <v>820877.0</v>
      </c>
      <c r="O70" s="40" t="s">
        <v>229</v>
      </c>
      <c r="P70" s="40" t="s">
        <v>597</v>
      </c>
      <c r="Q70" s="40">
        <v>45041.0</v>
      </c>
      <c r="R70" s="40" t="s">
        <v>62</v>
      </c>
      <c r="S70" s="40" t="s">
        <v>56</v>
      </c>
      <c r="T70" s="40" t="s">
        <v>598</v>
      </c>
      <c r="U70" s="40" t="s">
        <v>599</v>
      </c>
      <c r="V70" s="40" t="s">
        <v>600</v>
      </c>
      <c r="W70" s="40" t="s">
        <v>733</v>
      </c>
      <c r="X70" s="40" t="s">
        <v>734</v>
      </c>
      <c r="Y70" s="40" t="s">
        <v>482</v>
      </c>
      <c r="Z70" s="40" t="s">
        <v>735</v>
      </c>
      <c r="AA70" s="40" t="s">
        <v>36</v>
      </c>
      <c r="AB70" s="40" t="s">
        <v>635</v>
      </c>
      <c r="AC70" s="40">
        <v>11.0</v>
      </c>
      <c r="AD70" s="41">
        <v>46.0</v>
      </c>
      <c r="AE70" s="40" t="s">
        <v>610</v>
      </c>
      <c r="AF70" s="40" t="s">
        <v>27</v>
      </c>
    </row>
    <row r="71" ht="14.25" hidden="1" customHeight="1">
      <c r="A71" s="40" t="s">
        <v>322</v>
      </c>
      <c r="B71" s="40" t="s">
        <v>595</v>
      </c>
      <c r="C71" s="40" t="s">
        <v>20</v>
      </c>
      <c r="E71" s="40">
        <v>6.0</v>
      </c>
      <c r="F71" s="40">
        <v>0.0</v>
      </c>
      <c r="G71" s="41">
        <v>6.0</v>
      </c>
      <c r="H71" s="40">
        <v>653470.0</v>
      </c>
      <c r="I71" s="40" t="s">
        <v>2</v>
      </c>
      <c r="J71" s="40" t="s">
        <v>483</v>
      </c>
      <c r="K71" s="40" t="s">
        <v>484</v>
      </c>
      <c r="L71" s="40" t="s">
        <v>485</v>
      </c>
      <c r="M71" s="40" t="s">
        <v>736</v>
      </c>
      <c r="N71" s="40">
        <v>703501.0</v>
      </c>
      <c r="O71" s="40" t="s">
        <v>75</v>
      </c>
      <c r="P71" s="40" t="s">
        <v>597</v>
      </c>
      <c r="Q71" s="40">
        <v>38796.0</v>
      </c>
      <c r="R71" s="40" t="s">
        <v>77</v>
      </c>
      <c r="S71" s="40" t="s">
        <v>34</v>
      </c>
      <c r="T71" s="40" t="s">
        <v>598</v>
      </c>
      <c r="U71" s="40" t="s">
        <v>599</v>
      </c>
      <c r="V71" s="40" t="s">
        <v>600</v>
      </c>
      <c r="W71" s="40" t="s">
        <v>737</v>
      </c>
      <c r="X71" s="40" t="s">
        <v>649</v>
      </c>
      <c r="Y71" s="40" t="s">
        <v>486</v>
      </c>
      <c r="Z71" s="40" t="s">
        <v>738</v>
      </c>
      <c r="AA71" s="40" t="s">
        <v>36</v>
      </c>
      <c r="AB71" s="40" t="s">
        <v>635</v>
      </c>
      <c r="AC71" s="40">
        <v>18.0</v>
      </c>
      <c r="AD71" s="41">
        <v>25.0</v>
      </c>
      <c r="AE71" s="40" t="s">
        <v>605</v>
      </c>
      <c r="AF71" s="40" t="s">
        <v>27</v>
      </c>
    </row>
    <row r="72" ht="14.25" hidden="1" customHeight="1">
      <c r="A72" s="40" t="s">
        <v>322</v>
      </c>
      <c r="B72" s="40" t="s">
        <v>595</v>
      </c>
      <c r="C72" s="40" t="s">
        <v>20</v>
      </c>
      <c r="E72" s="40">
        <v>8.0</v>
      </c>
      <c r="F72" s="40">
        <v>0.0</v>
      </c>
      <c r="G72" s="41">
        <v>8.0</v>
      </c>
      <c r="H72" s="40">
        <v>653470.0</v>
      </c>
      <c r="I72" s="40" t="s">
        <v>2</v>
      </c>
      <c r="J72" s="40" t="s">
        <v>487</v>
      </c>
      <c r="K72" s="40" t="s">
        <v>488</v>
      </c>
      <c r="L72" s="40" t="s">
        <v>489</v>
      </c>
      <c r="M72" s="40" t="s">
        <v>606</v>
      </c>
      <c r="N72" s="40">
        <v>678726.0</v>
      </c>
      <c r="O72" s="40" t="s">
        <v>60</v>
      </c>
      <c r="P72" s="40" t="s">
        <v>597</v>
      </c>
      <c r="Q72" s="40">
        <v>45041.0</v>
      </c>
      <c r="R72" s="40" t="s">
        <v>62</v>
      </c>
      <c r="S72" s="40" t="s">
        <v>34</v>
      </c>
      <c r="T72" s="40" t="s">
        <v>598</v>
      </c>
      <c r="U72" s="40" t="s">
        <v>599</v>
      </c>
      <c r="V72" s="40" t="s">
        <v>600</v>
      </c>
      <c r="W72" s="40" t="s">
        <v>739</v>
      </c>
      <c r="X72" s="40" t="s">
        <v>649</v>
      </c>
      <c r="Y72" s="40" t="s">
        <v>490</v>
      </c>
      <c r="Z72" s="40" t="s">
        <v>740</v>
      </c>
      <c r="AA72" s="40" t="s">
        <v>36</v>
      </c>
      <c r="AB72" s="40" t="s">
        <v>604</v>
      </c>
      <c r="AC72" s="40">
        <v>18.0</v>
      </c>
      <c r="AD72" s="41">
        <v>25.0</v>
      </c>
      <c r="AE72" s="40" t="s">
        <v>610</v>
      </c>
      <c r="AF72" s="40" t="s">
        <v>27</v>
      </c>
    </row>
    <row r="73" ht="14.25" hidden="1" customHeight="1">
      <c r="A73" s="40" t="s">
        <v>322</v>
      </c>
      <c r="B73" s="40" t="s">
        <v>595</v>
      </c>
      <c r="C73" s="40" t="s">
        <v>20</v>
      </c>
      <c r="E73" s="40">
        <v>16.0</v>
      </c>
      <c r="F73" s="40">
        <v>0.0</v>
      </c>
      <c r="G73" s="41">
        <v>16.0</v>
      </c>
      <c r="H73" s="40">
        <v>653470.0</v>
      </c>
      <c r="I73" s="40" t="s">
        <v>2</v>
      </c>
      <c r="J73" s="40" t="s">
        <v>491</v>
      </c>
      <c r="K73" s="40" t="s">
        <v>310</v>
      </c>
      <c r="L73" s="40" t="s">
        <v>489</v>
      </c>
      <c r="M73" s="40" t="s">
        <v>606</v>
      </c>
      <c r="N73" s="40">
        <v>678726.0</v>
      </c>
      <c r="O73" s="40" t="s">
        <v>60</v>
      </c>
      <c r="P73" s="40" t="s">
        <v>597</v>
      </c>
      <c r="Q73" s="40">
        <v>45041.0</v>
      </c>
      <c r="R73" s="40" t="s">
        <v>62</v>
      </c>
      <c r="S73" s="40" t="s">
        <v>56</v>
      </c>
      <c r="T73" s="40" t="s">
        <v>598</v>
      </c>
      <c r="U73" s="40" t="s">
        <v>599</v>
      </c>
      <c r="V73" s="40" t="s">
        <v>600</v>
      </c>
      <c r="W73" s="40" t="s">
        <v>739</v>
      </c>
      <c r="X73" s="40" t="s">
        <v>649</v>
      </c>
      <c r="Y73" s="40" t="s">
        <v>492</v>
      </c>
      <c r="Z73" s="40" t="s">
        <v>741</v>
      </c>
      <c r="AA73" s="40" t="s">
        <v>36</v>
      </c>
      <c r="AB73" s="40" t="s">
        <v>604</v>
      </c>
      <c r="AC73" s="40">
        <v>18.0</v>
      </c>
      <c r="AD73" s="41">
        <v>50.0</v>
      </c>
      <c r="AE73" s="40" t="s">
        <v>610</v>
      </c>
      <c r="AF73" s="40" t="s">
        <v>27</v>
      </c>
    </row>
    <row r="74" ht="14.25" hidden="1" customHeight="1">
      <c r="A74" s="40" t="s">
        <v>322</v>
      </c>
      <c r="B74" s="40" t="s">
        <v>595</v>
      </c>
      <c r="C74" s="40" t="s">
        <v>20</v>
      </c>
      <c r="E74" s="40">
        <v>16.0</v>
      </c>
      <c r="F74" s="40">
        <v>0.0</v>
      </c>
      <c r="G74" s="41">
        <v>16.0</v>
      </c>
      <c r="H74" s="40">
        <v>653470.0</v>
      </c>
      <c r="I74" s="40" t="s">
        <v>2</v>
      </c>
      <c r="J74" s="40" t="s">
        <v>493</v>
      </c>
      <c r="K74" s="40" t="s">
        <v>494</v>
      </c>
      <c r="L74" s="40" t="s">
        <v>495</v>
      </c>
      <c r="M74" s="40" t="s">
        <v>606</v>
      </c>
      <c r="N74" s="40">
        <v>706472.0</v>
      </c>
      <c r="O74" s="40" t="s">
        <v>187</v>
      </c>
      <c r="P74" s="40" t="s">
        <v>597</v>
      </c>
      <c r="Q74" s="40">
        <v>45041.0</v>
      </c>
      <c r="R74" s="40" t="s">
        <v>62</v>
      </c>
      <c r="S74" s="40" t="s">
        <v>56</v>
      </c>
      <c r="T74" s="40" t="s">
        <v>598</v>
      </c>
      <c r="U74" s="40" t="s">
        <v>599</v>
      </c>
      <c r="V74" s="40" t="s">
        <v>600</v>
      </c>
      <c r="W74" s="40" t="s">
        <v>742</v>
      </c>
      <c r="X74" s="40" t="s">
        <v>660</v>
      </c>
      <c r="Y74" s="40" t="s">
        <v>496</v>
      </c>
      <c r="Z74" s="40" t="s">
        <v>743</v>
      </c>
      <c r="AA74" s="40" t="s">
        <v>36</v>
      </c>
      <c r="AB74" s="40" t="s">
        <v>604</v>
      </c>
      <c r="AC74" s="40">
        <v>15.0</v>
      </c>
      <c r="AD74" s="41">
        <v>50.0</v>
      </c>
      <c r="AE74" s="40" t="s">
        <v>610</v>
      </c>
      <c r="AF74" s="40" t="s">
        <v>27</v>
      </c>
    </row>
    <row r="75" ht="14.25" hidden="1" customHeight="1">
      <c r="A75" s="40" t="s">
        <v>322</v>
      </c>
      <c r="B75" s="40" t="s">
        <v>595</v>
      </c>
      <c r="C75" s="40" t="s">
        <v>20</v>
      </c>
      <c r="E75" s="40">
        <v>15.84</v>
      </c>
      <c r="F75" s="40">
        <v>0.0</v>
      </c>
      <c r="G75" s="41">
        <v>15.84</v>
      </c>
      <c r="H75" s="40">
        <v>653470.0</v>
      </c>
      <c r="I75" s="40" t="s">
        <v>2</v>
      </c>
      <c r="J75" s="40" t="s">
        <v>497</v>
      </c>
      <c r="K75" s="40" t="s">
        <v>498</v>
      </c>
      <c r="L75" s="40" t="s">
        <v>499</v>
      </c>
      <c r="M75" s="40" t="s">
        <v>596</v>
      </c>
      <c r="N75" s="40">
        <v>689390.0</v>
      </c>
      <c r="O75" s="40" t="s">
        <v>31</v>
      </c>
      <c r="P75" s="40" t="s">
        <v>597</v>
      </c>
      <c r="Q75" s="40">
        <v>38399.0</v>
      </c>
      <c r="R75" s="40" t="s">
        <v>33</v>
      </c>
      <c r="S75" s="40" t="s">
        <v>34</v>
      </c>
      <c r="T75" s="40" t="s">
        <v>598</v>
      </c>
      <c r="U75" s="40" t="s">
        <v>599</v>
      </c>
      <c r="V75" s="40" t="s">
        <v>600</v>
      </c>
      <c r="W75" s="40" t="s">
        <v>744</v>
      </c>
      <c r="X75" s="40" t="s">
        <v>745</v>
      </c>
      <c r="Y75" s="40" t="s">
        <v>500</v>
      </c>
      <c r="Z75" s="40" t="s">
        <v>746</v>
      </c>
      <c r="AA75" s="40" t="s">
        <v>36</v>
      </c>
      <c r="AB75" s="40" t="s">
        <v>635</v>
      </c>
      <c r="AC75" s="40">
        <v>23.0</v>
      </c>
      <c r="AD75" s="41">
        <v>66.0</v>
      </c>
      <c r="AE75" s="40" t="s">
        <v>605</v>
      </c>
      <c r="AF75" s="40" t="s">
        <v>27</v>
      </c>
    </row>
    <row r="76" ht="14.25" hidden="1" customHeight="1">
      <c r="A76" s="40" t="s">
        <v>322</v>
      </c>
      <c r="B76" s="40" t="s">
        <v>595</v>
      </c>
      <c r="C76" s="40" t="s">
        <v>20</v>
      </c>
      <c r="E76" s="40">
        <v>8.0</v>
      </c>
      <c r="F76" s="40">
        <v>0.0</v>
      </c>
      <c r="G76" s="41">
        <v>8.0</v>
      </c>
      <c r="H76" s="40">
        <v>653470.0</v>
      </c>
      <c r="I76" s="40" t="s">
        <v>2</v>
      </c>
      <c r="J76" s="40" t="s">
        <v>327</v>
      </c>
      <c r="K76" s="40" t="s">
        <v>328</v>
      </c>
      <c r="L76" s="40" t="s">
        <v>329</v>
      </c>
      <c r="M76" s="40" t="s">
        <v>606</v>
      </c>
      <c r="N76" s="40">
        <v>678726.0</v>
      </c>
      <c r="O76" s="40" t="s">
        <v>60</v>
      </c>
      <c r="P76" s="40" t="s">
        <v>597</v>
      </c>
      <c r="Q76" s="40">
        <v>45041.0</v>
      </c>
      <c r="R76" s="40" t="s">
        <v>62</v>
      </c>
      <c r="S76" s="40" t="s">
        <v>34</v>
      </c>
      <c r="T76" s="40" t="s">
        <v>598</v>
      </c>
      <c r="U76" s="40" t="s">
        <v>599</v>
      </c>
      <c r="V76" s="40" t="s">
        <v>600</v>
      </c>
      <c r="W76" s="40" t="s">
        <v>747</v>
      </c>
      <c r="X76" s="40" t="s">
        <v>649</v>
      </c>
      <c r="Y76" s="40" t="s">
        <v>330</v>
      </c>
      <c r="Z76" s="40" t="s">
        <v>748</v>
      </c>
      <c r="AA76" s="40" t="s">
        <v>36</v>
      </c>
      <c r="AB76" s="40" t="s">
        <v>635</v>
      </c>
      <c r="AC76" s="40">
        <v>18.0</v>
      </c>
      <c r="AD76" s="41">
        <v>25.0</v>
      </c>
      <c r="AE76" s="40" t="s">
        <v>610</v>
      </c>
      <c r="AF76" s="40" t="s">
        <v>27</v>
      </c>
    </row>
    <row r="77" ht="14.25" hidden="1" customHeight="1">
      <c r="A77" s="40" t="s">
        <v>322</v>
      </c>
      <c r="B77" s="40" t="s">
        <v>595</v>
      </c>
      <c r="C77" s="40" t="s">
        <v>20</v>
      </c>
      <c r="E77" s="40">
        <v>8.0</v>
      </c>
      <c r="F77" s="40">
        <v>0.0</v>
      </c>
      <c r="G77" s="41">
        <v>8.0</v>
      </c>
      <c r="H77" s="40">
        <v>653470.0</v>
      </c>
      <c r="I77" s="40" t="s">
        <v>2</v>
      </c>
      <c r="J77" s="40" t="s">
        <v>323</v>
      </c>
      <c r="K77" s="40" t="s">
        <v>324</v>
      </c>
      <c r="L77" s="40" t="s">
        <v>325</v>
      </c>
      <c r="M77" s="40" t="s">
        <v>606</v>
      </c>
      <c r="N77" s="40">
        <v>678726.0</v>
      </c>
      <c r="O77" s="40" t="s">
        <v>60</v>
      </c>
      <c r="P77" s="40" t="s">
        <v>597</v>
      </c>
      <c r="Q77" s="40">
        <v>45041.0</v>
      </c>
      <c r="R77" s="40" t="s">
        <v>62</v>
      </c>
      <c r="S77" s="40" t="s">
        <v>34</v>
      </c>
      <c r="T77" s="40" t="s">
        <v>598</v>
      </c>
      <c r="U77" s="40" t="s">
        <v>599</v>
      </c>
      <c r="V77" s="40" t="s">
        <v>600</v>
      </c>
      <c r="W77" s="40" t="s">
        <v>749</v>
      </c>
      <c r="X77" s="40" t="s">
        <v>649</v>
      </c>
      <c r="Y77" s="40" t="s">
        <v>326</v>
      </c>
      <c r="Z77" s="40" t="s">
        <v>750</v>
      </c>
      <c r="AA77" s="40" t="s">
        <v>36</v>
      </c>
      <c r="AB77" s="40" t="s">
        <v>604</v>
      </c>
      <c r="AC77" s="40">
        <v>18.0</v>
      </c>
      <c r="AD77" s="41">
        <v>25.0</v>
      </c>
      <c r="AE77" s="40" t="s">
        <v>610</v>
      </c>
      <c r="AF77" s="40" t="s">
        <v>27</v>
      </c>
    </row>
    <row r="78" ht="14.25" hidden="1" customHeight="1">
      <c r="A78" s="40" t="s">
        <v>322</v>
      </c>
      <c r="B78" s="40" t="s">
        <v>595</v>
      </c>
      <c r="C78" s="40" t="s">
        <v>20</v>
      </c>
      <c r="E78" s="40">
        <v>16.0</v>
      </c>
      <c r="F78" s="40">
        <v>0.0</v>
      </c>
      <c r="G78" s="41">
        <v>16.0</v>
      </c>
      <c r="H78" s="40">
        <v>653470.0</v>
      </c>
      <c r="I78" s="40" t="s">
        <v>2</v>
      </c>
      <c r="J78" s="40" t="s">
        <v>318</v>
      </c>
      <c r="K78" s="40" t="s">
        <v>319</v>
      </c>
      <c r="L78" s="40" t="s">
        <v>320</v>
      </c>
      <c r="M78" s="40" t="s">
        <v>606</v>
      </c>
      <c r="N78" s="40">
        <v>678726.0</v>
      </c>
      <c r="O78" s="40" t="s">
        <v>60</v>
      </c>
      <c r="P78" s="40" t="s">
        <v>597</v>
      </c>
      <c r="Q78" s="40">
        <v>45041.0</v>
      </c>
      <c r="R78" s="40" t="s">
        <v>62</v>
      </c>
      <c r="S78" s="40" t="s">
        <v>56</v>
      </c>
      <c r="T78" s="40" t="s">
        <v>598</v>
      </c>
      <c r="U78" s="40" t="s">
        <v>599</v>
      </c>
      <c r="V78" s="40" t="s">
        <v>600</v>
      </c>
      <c r="W78" s="40" t="s">
        <v>747</v>
      </c>
      <c r="X78" s="40" t="s">
        <v>649</v>
      </c>
      <c r="Y78" s="40" t="s">
        <v>321</v>
      </c>
      <c r="Z78" s="40" t="s">
        <v>751</v>
      </c>
      <c r="AA78" s="40" t="s">
        <v>36</v>
      </c>
      <c r="AB78" s="40" t="s">
        <v>635</v>
      </c>
      <c r="AC78" s="40">
        <v>18.0</v>
      </c>
      <c r="AD78" s="41">
        <v>50.0</v>
      </c>
      <c r="AE78" s="40" t="s">
        <v>610</v>
      </c>
      <c r="AF78" s="40" t="s">
        <v>27</v>
      </c>
    </row>
    <row r="79" ht="14.25" hidden="1" customHeight="1">
      <c r="A79" s="40" t="s">
        <v>124</v>
      </c>
      <c r="B79" s="40" t="s">
        <v>595</v>
      </c>
      <c r="C79" s="40" t="s">
        <v>20</v>
      </c>
      <c r="E79" s="40">
        <v>8.0</v>
      </c>
      <c r="F79" s="40">
        <v>0.0</v>
      </c>
      <c r="G79" s="41">
        <v>8.0</v>
      </c>
      <c r="H79" s="40">
        <v>653470.0</v>
      </c>
      <c r="I79" s="40" t="s">
        <v>2</v>
      </c>
      <c r="J79" s="40" t="s">
        <v>178</v>
      </c>
      <c r="K79" s="40" t="s">
        <v>179</v>
      </c>
      <c r="L79" s="40" t="s">
        <v>180</v>
      </c>
      <c r="M79" s="40" t="s">
        <v>606</v>
      </c>
      <c r="N79" s="40">
        <v>707256.0</v>
      </c>
      <c r="O79" s="40" t="s">
        <v>181</v>
      </c>
      <c r="P79" s="40" t="s">
        <v>597</v>
      </c>
      <c r="Q79" s="40">
        <v>45041.0</v>
      </c>
      <c r="R79" s="40" t="s">
        <v>62</v>
      </c>
      <c r="S79" s="40" t="s">
        <v>34</v>
      </c>
      <c r="T79" s="40" t="s">
        <v>598</v>
      </c>
      <c r="U79" s="40" t="s">
        <v>599</v>
      </c>
      <c r="V79" s="40" t="s">
        <v>600</v>
      </c>
      <c r="W79" s="40" t="s">
        <v>752</v>
      </c>
      <c r="X79" s="40" t="s">
        <v>633</v>
      </c>
      <c r="Y79" s="40" t="s">
        <v>182</v>
      </c>
      <c r="Z79" s="40" t="s">
        <v>753</v>
      </c>
      <c r="AA79" s="40" t="s">
        <v>36</v>
      </c>
      <c r="AB79" s="40" t="s">
        <v>604</v>
      </c>
      <c r="AC79" s="40">
        <v>12.0</v>
      </c>
      <c r="AD79" s="41">
        <v>25.0</v>
      </c>
      <c r="AE79" s="40" t="s">
        <v>610</v>
      </c>
      <c r="AF79" s="40" t="s">
        <v>27</v>
      </c>
    </row>
    <row r="80" ht="14.25" hidden="1" customHeight="1">
      <c r="A80" s="40" t="s">
        <v>124</v>
      </c>
      <c r="B80" s="40" t="s">
        <v>595</v>
      </c>
      <c r="C80" s="40" t="s">
        <v>20</v>
      </c>
      <c r="E80" s="40">
        <v>8.0</v>
      </c>
      <c r="F80" s="40">
        <v>0.0</v>
      </c>
      <c r="G80" s="41">
        <v>8.0</v>
      </c>
      <c r="H80" s="40">
        <v>653470.0</v>
      </c>
      <c r="I80" s="40" t="s">
        <v>2</v>
      </c>
      <c r="J80" s="40" t="s">
        <v>120</v>
      </c>
      <c r="K80" s="40" t="s">
        <v>121</v>
      </c>
      <c r="L80" s="40" t="s">
        <v>122</v>
      </c>
      <c r="M80" s="40" t="s">
        <v>606</v>
      </c>
      <c r="N80" s="40">
        <v>798992.0</v>
      </c>
      <c r="O80" s="40" t="s">
        <v>90</v>
      </c>
      <c r="P80" s="40" t="s">
        <v>597</v>
      </c>
      <c r="Q80" s="40">
        <v>45041.0</v>
      </c>
      <c r="R80" s="40" t="s">
        <v>62</v>
      </c>
      <c r="S80" s="40" t="s">
        <v>34</v>
      </c>
      <c r="T80" s="40" t="s">
        <v>598</v>
      </c>
      <c r="U80" s="40" t="s">
        <v>599</v>
      </c>
      <c r="V80" s="40" t="s">
        <v>600</v>
      </c>
      <c r="W80" s="40" t="s">
        <v>754</v>
      </c>
      <c r="X80" s="40" t="s">
        <v>638</v>
      </c>
      <c r="Y80" s="40" t="s">
        <v>123</v>
      </c>
      <c r="Z80" s="40" t="s">
        <v>755</v>
      </c>
      <c r="AA80" s="40" t="s">
        <v>36</v>
      </c>
      <c r="AB80" s="40" t="s">
        <v>604</v>
      </c>
      <c r="AC80" s="40">
        <v>14.0</v>
      </c>
      <c r="AD80" s="41">
        <v>25.0</v>
      </c>
      <c r="AE80" s="40" t="s">
        <v>610</v>
      </c>
      <c r="AF80" s="40" t="s">
        <v>27</v>
      </c>
    </row>
    <row r="81" ht="14.25" hidden="1" customHeight="1">
      <c r="A81" s="40" t="s">
        <v>129</v>
      </c>
      <c r="B81" s="40" t="s">
        <v>595</v>
      </c>
      <c r="C81" s="40" t="s">
        <v>20</v>
      </c>
      <c r="E81" s="40">
        <v>4.07</v>
      </c>
      <c r="F81" s="40">
        <v>0.0</v>
      </c>
      <c r="G81" s="41">
        <v>4.07</v>
      </c>
      <c r="H81" s="40">
        <v>653470.0</v>
      </c>
      <c r="I81" s="40" t="s">
        <v>2</v>
      </c>
      <c r="J81" s="40" t="s">
        <v>125</v>
      </c>
      <c r="K81" s="40" t="s">
        <v>126</v>
      </c>
      <c r="L81" s="40" t="s">
        <v>127</v>
      </c>
      <c r="M81" s="40" t="s">
        <v>756</v>
      </c>
      <c r="N81" s="40">
        <v>678726.0</v>
      </c>
      <c r="O81" s="40" t="s">
        <v>60</v>
      </c>
      <c r="P81" s="40" t="s">
        <v>597</v>
      </c>
      <c r="Q81" s="40">
        <v>38593.0</v>
      </c>
      <c r="R81" s="40" t="s">
        <v>42</v>
      </c>
      <c r="S81" s="40" t="s">
        <v>34</v>
      </c>
      <c r="T81" s="40" t="s">
        <v>598</v>
      </c>
      <c r="U81" s="40" t="s">
        <v>617</v>
      </c>
      <c r="V81" s="40" t="s">
        <v>618</v>
      </c>
      <c r="W81" s="40" t="s">
        <v>757</v>
      </c>
      <c r="X81" s="40" t="s">
        <v>608</v>
      </c>
      <c r="Y81" s="40" t="s">
        <v>128</v>
      </c>
      <c r="Z81" s="40" t="s">
        <v>758</v>
      </c>
      <c r="AA81" s="40" t="s">
        <v>36</v>
      </c>
      <c r="AB81" s="40" t="s">
        <v>604</v>
      </c>
      <c r="AC81" s="40">
        <v>4.0</v>
      </c>
      <c r="AD81" s="41">
        <v>11.0</v>
      </c>
      <c r="AE81" s="40" t="s">
        <v>621</v>
      </c>
      <c r="AF81" s="40" t="s">
        <v>27</v>
      </c>
    </row>
    <row r="82" ht="14.25" hidden="1" customHeight="1">
      <c r="A82" s="40" t="s">
        <v>129</v>
      </c>
      <c r="B82" s="40" t="s">
        <v>595</v>
      </c>
      <c r="C82" s="40" t="s">
        <v>20</v>
      </c>
      <c r="E82" s="40">
        <v>6.48</v>
      </c>
      <c r="F82" s="40">
        <v>0.0</v>
      </c>
      <c r="G82" s="41">
        <v>6.48</v>
      </c>
      <c r="H82" s="40">
        <v>653470.0</v>
      </c>
      <c r="I82" s="40" t="s">
        <v>2</v>
      </c>
      <c r="J82" s="40" t="s">
        <v>125</v>
      </c>
      <c r="K82" s="40" t="s">
        <v>126</v>
      </c>
      <c r="L82" s="40" t="s">
        <v>127</v>
      </c>
      <c r="M82" s="40" t="s">
        <v>756</v>
      </c>
      <c r="N82" s="40">
        <v>678726.0</v>
      </c>
      <c r="O82" s="40" t="s">
        <v>60</v>
      </c>
      <c r="P82" s="40" t="s">
        <v>597</v>
      </c>
      <c r="Q82" s="40">
        <v>47133.0</v>
      </c>
      <c r="R82" s="40" t="s">
        <v>119</v>
      </c>
      <c r="S82" s="40" t="s">
        <v>34</v>
      </c>
      <c r="T82" s="40" t="s">
        <v>598</v>
      </c>
      <c r="U82" s="40" t="s">
        <v>599</v>
      </c>
      <c r="V82" s="40" t="s">
        <v>600</v>
      </c>
      <c r="W82" s="40" t="s">
        <v>757</v>
      </c>
      <c r="X82" s="40" t="s">
        <v>608</v>
      </c>
      <c r="Y82" s="40" t="s">
        <v>130</v>
      </c>
      <c r="Z82" s="40" t="s">
        <v>758</v>
      </c>
      <c r="AA82" s="40" t="s">
        <v>36</v>
      </c>
      <c r="AB82" s="40" t="s">
        <v>604</v>
      </c>
      <c r="AC82" s="40">
        <v>4.0</v>
      </c>
      <c r="AD82" s="41">
        <v>27.0</v>
      </c>
      <c r="AE82" s="40" t="s">
        <v>605</v>
      </c>
      <c r="AF82" s="40" t="s">
        <v>27</v>
      </c>
    </row>
    <row r="83" ht="14.25" hidden="1" customHeight="1">
      <c r="A83" s="40" t="s">
        <v>136</v>
      </c>
      <c r="B83" s="40" t="s">
        <v>595</v>
      </c>
      <c r="C83" s="40" t="s">
        <v>20</v>
      </c>
      <c r="E83" s="40">
        <v>4.07</v>
      </c>
      <c r="F83" s="40">
        <v>0.0</v>
      </c>
      <c r="G83" s="41">
        <v>4.07</v>
      </c>
      <c r="H83" s="40">
        <v>653470.0</v>
      </c>
      <c r="I83" s="40" t="s">
        <v>2</v>
      </c>
      <c r="J83" s="40" t="s">
        <v>131</v>
      </c>
      <c r="K83" s="40" t="s">
        <v>132</v>
      </c>
      <c r="L83" s="40" t="s">
        <v>133</v>
      </c>
      <c r="M83" s="40" t="s">
        <v>631</v>
      </c>
      <c r="N83" s="40">
        <v>757929.0</v>
      </c>
      <c r="O83" s="40" t="s">
        <v>134</v>
      </c>
      <c r="P83" s="40" t="s">
        <v>597</v>
      </c>
      <c r="Q83" s="40">
        <v>38593.0</v>
      </c>
      <c r="R83" s="40" t="s">
        <v>42</v>
      </c>
      <c r="S83" s="40" t="s">
        <v>34</v>
      </c>
      <c r="T83" s="40" t="s">
        <v>598</v>
      </c>
      <c r="U83" s="40" t="s">
        <v>617</v>
      </c>
      <c r="V83" s="40" t="s">
        <v>618</v>
      </c>
      <c r="W83" s="40" t="s">
        <v>699</v>
      </c>
      <c r="X83" s="40" t="s">
        <v>620</v>
      </c>
      <c r="Y83" s="40" t="s">
        <v>135</v>
      </c>
      <c r="Z83" s="40" t="s">
        <v>759</v>
      </c>
      <c r="AA83" s="40" t="s">
        <v>36</v>
      </c>
      <c r="AB83" s="40" t="s">
        <v>604</v>
      </c>
      <c r="AC83" s="40">
        <v>3.0</v>
      </c>
      <c r="AD83" s="41">
        <v>11.0</v>
      </c>
      <c r="AE83" s="40" t="s">
        <v>621</v>
      </c>
      <c r="AF83" s="40" t="s">
        <v>27</v>
      </c>
    </row>
    <row r="84" ht="14.25" hidden="1" customHeight="1">
      <c r="A84" s="40" t="s">
        <v>136</v>
      </c>
      <c r="B84" s="40" t="s">
        <v>595</v>
      </c>
      <c r="C84" s="40" t="s">
        <v>20</v>
      </c>
      <c r="E84" s="40">
        <v>8.0</v>
      </c>
      <c r="F84" s="40">
        <v>0.0</v>
      </c>
      <c r="G84" s="41">
        <v>8.0</v>
      </c>
      <c r="H84" s="40">
        <v>653470.0</v>
      </c>
      <c r="I84" s="40" t="s">
        <v>2</v>
      </c>
      <c r="J84" s="40" t="s">
        <v>137</v>
      </c>
      <c r="K84" s="40" t="s">
        <v>138</v>
      </c>
      <c r="L84" s="40" t="s">
        <v>139</v>
      </c>
      <c r="M84" s="40" t="s">
        <v>606</v>
      </c>
      <c r="N84" s="40">
        <v>678726.0</v>
      </c>
      <c r="O84" s="40" t="s">
        <v>60</v>
      </c>
      <c r="P84" s="40" t="s">
        <v>597</v>
      </c>
      <c r="Q84" s="40">
        <v>45041.0</v>
      </c>
      <c r="R84" s="40" t="s">
        <v>62</v>
      </c>
      <c r="S84" s="40" t="s">
        <v>34</v>
      </c>
      <c r="T84" s="40" t="s">
        <v>598</v>
      </c>
      <c r="U84" s="40" t="s">
        <v>599</v>
      </c>
      <c r="V84" s="40" t="s">
        <v>600</v>
      </c>
      <c r="W84" s="40" t="s">
        <v>760</v>
      </c>
      <c r="X84" s="40" t="s">
        <v>660</v>
      </c>
      <c r="Y84" s="40" t="s">
        <v>140</v>
      </c>
      <c r="Z84" s="40" t="s">
        <v>761</v>
      </c>
      <c r="AA84" s="40" t="s">
        <v>36</v>
      </c>
      <c r="AB84" s="40" t="s">
        <v>635</v>
      </c>
      <c r="AC84" s="40">
        <v>15.0</v>
      </c>
      <c r="AD84" s="41">
        <v>25.0</v>
      </c>
      <c r="AE84" s="40" t="s">
        <v>610</v>
      </c>
      <c r="AF84" s="40" t="s">
        <v>27</v>
      </c>
    </row>
    <row r="85" ht="14.25" hidden="1" customHeight="1">
      <c r="A85" s="40" t="s">
        <v>136</v>
      </c>
      <c r="B85" s="40" t="s">
        <v>595</v>
      </c>
      <c r="C85" s="40" t="s">
        <v>20</v>
      </c>
      <c r="E85" s="40">
        <v>5.28</v>
      </c>
      <c r="F85" s="40">
        <v>0.0</v>
      </c>
      <c r="G85" s="41">
        <v>5.28</v>
      </c>
      <c r="H85" s="40">
        <v>653470.0</v>
      </c>
      <c r="I85" s="40" t="s">
        <v>2</v>
      </c>
      <c r="J85" s="40" t="s">
        <v>131</v>
      </c>
      <c r="K85" s="40" t="s">
        <v>132</v>
      </c>
      <c r="L85" s="40" t="s">
        <v>133</v>
      </c>
      <c r="M85" s="40" t="s">
        <v>631</v>
      </c>
      <c r="N85" s="40">
        <v>757929.0</v>
      </c>
      <c r="O85" s="40" t="s">
        <v>134</v>
      </c>
      <c r="P85" s="40" t="s">
        <v>597</v>
      </c>
      <c r="Q85" s="40">
        <v>47132.0</v>
      </c>
      <c r="R85" s="40" t="s">
        <v>142</v>
      </c>
      <c r="S85" s="40" t="s">
        <v>34</v>
      </c>
      <c r="T85" s="40" t="s">
        <v>598</v>
      </c>
      <c r="U85" s="40" t="s">
        <v>599</v>
      </c>
      <c r="V85" s="40" t="s">
        <v>600</v>
      </c>
      <c r="W85" s="40" t="s">
        <v>699</v>
      </c>
      <c r="X85" s="40" t="s">
        <v>620</v>
      </c>
      <c r="Y85" s="40" t="s">
        <v>141</v>
      </c>
      <c r="Z85" s="40" t="s">
        <v>759</v>
      </c>
      <c r="AA85" s="40" t="s">
        <v>36</v>
      </c>
      <c r="AB85" s="40" t="s">
        <v>604</v>
      </c>
      <c r="AC85" s="40">
        <v>3.0</v>
      </c>
      <c r="AD85" s="41">
        <v>22.0</v>
      </c>
      <c r="AE85" s="40" t="s">
        <v>605</v>
      </c>
      <c r="AF85" s="40" t="s">
        <v>27</v>
      </c>
    </row>
    <row r="86" ht="14.25" hidden="1" customHeight="1">
      <c r="A86" s="40" t="s">
        <v>136</v>
      </c>
      <c r="B86" s="40" t="s">
        <v>595</v>
      </c>
      <c r="C86" s="40" t="s">
        <v>20</v>
      </c>
      <c r="E86" s="40">
        <v>16.0</v>
      </c>
      <c r="F86" s="40">
        <v>0.0</v>
      </c>
      <c r="G86" s="41">
        <v>16.0</v>
      </c>
      <c r="H86" s="40">
        <v>653470.0</v>
      </c>
      <c r="I86" s="40" t="s">
        <v>2</v>
      </c>
      <c r="J86" s="40" t="s">
        <v>143</v>
      </c>
      <c r="K86" s="40" t="s">
        <v>144</v>
      </c>
      <c r="L86" s="40" t="s">
        <v>145</v>
      </c>
      <c r="M86" s="40" t="s">
        <v>606</v>
      </c>
      <c r="N86" s="40">
        <v>678726.0</v>
      </c>
      <c r="O86" s="40" t="s">
        <v>60</v>
      </c>
      <c r="P86" s="40" t="s">
        <v>597</v>
      </c>
      <c r="Q86" s="40">
        <v>45041.0</v>
      </c>
      <c r="R86" s="40" t="s">
        <v>62</v>
      </c>
      <c r="S86" s="40" t="s">
        <v>56</v>
      </c>
      <c r="T86" s="40" t="s">
        <v>598</v>
      </c>
      <c r="U86" s="40" t="s">
        <v>599</v>
      </c>
      <c r="V86" s="40" t="s">
        <v>600</v>
      </c>
      <c r="W86" s="40" t="s">
        <v>762</v>
      </c>
      <c r="X86" s="40" t="s">
        <v>660</v>
      </c>
      <c r="Y86" s="40" t="s">
        <v>146</v>
      </c>
      <c r="Z86" s="40" t="s">
        <v>763</v>
      </c>
      <c r="AA86" s="40" t="s">
        <v>36</v>
      </c>
      <c r="AB86" s="40" t="s">
        <v>604</v>
      </c>
      <c r="AC86" s="40">
        <v>15.0</v>
      </c>
      <c r="AD86" s="41">
        <v>50.0</v>
      </c>
      <c r="AE86" s="40" t="s">
        <v>610</v>
      </c>
      <c r="AF86" s="40" t="s">
        <v>27</v>
      </c>
    </row>
    <row r="87" ht="14.25" hidden="1" customHeight="1">
      <c r="A87" s="40" t="s">
        <v>136</v>
      </c>
      <c r="B87" s="40" t="s">
        <v>595</v>
      </c>
      <c r="C87" s="40" t="s">
        <v>20</v>
      </c>
      <c r="E87" s="40">
        <v>5.55</v>
      </c>
      <c r="F87" s="40">
        <v>0.0</v>
      </c>
      <c r="G87" s="41">
        <v>5.55</v>
      </c>
      <c r="H87" s="40">
        <v>653470.0</v>
      </c>
      <c r="I87" s="40" t="s">
        <v>2</v>
      </c>
      <c r="J87" s="40" t="s">
        <v>147</v>
      </c>
      <c r="K87" s="40" t="s">
        <v>148</v>
      </c>
      <c r="L87" s="40" t="s">
        <v>149</v>
      </c>
      <c r="M87" s="40" t="s">
        <v>631</v>
      </c>
      <c r="N87" s="40">
        <v>757209.0</v>
      </c>
      <c r="O87" s="40" t="s">
        <v>150</v>
      </c>
      <c r="P87" s="40" t="s">
        <v>597</v>
      </c>
      <c r="Q87" s="40">
        <v>38593.0</v>
      </c>
      <c r="R87" s="40" t="s">
        <v>42</v>
      </c>
      <c r="S87" s="40" t="s">
        <v>43</v>
      </c>
      <c r="T87" s="40" t="s">
        <v>598</v>
      </c>
      <c r="U87" s="40" t="s">
        <v>617</v>
      </c>
      <c r="V87" s="40" t="s">
        <v>618</v>
      </c>
      <c r="W87" s="40" t="s">
        <v>764</v>
      </c>
      <c r="X87" s="40" t="s">
        <v>765</v>
      </c>
      <c r="Y87" s="40" t="s">
        <v>151</v>
      </c>
      <c r="Z87" s="40" t="s">
        <v>766</v>
      </c>
      <c r="AA87" s="40" t="s">
        <v>36</v>
      </c>
      <c r="AB87" s="40" t="s">
        <v>635</v>
      </c>
      <c r="AC87" s="40">
        <v>22.0</v>
      </c>
      <c r="AD87" s="41">
        <v>15.0</v>
      </c>
      <c r="AE87" s="40" t="s">
        <v>621</v>
      </c>
      <c r="AF87" s="40" t="s">
        <v>27</v>
      </c>
    </row>
    <row r="88" ht="14.25" hidden="1" customHeight="1">
      <c r="A88" s="40" t="s">
        <v>136</v>
      </c>
      <c r="B88" s="40" t="s">
        <v>595</v>
      </c>
      <c r="C88" s="40" t="s">
        <v>20</v>
      </c>
      <c r="E88" s="40">
        <v>9.6</v>
      </c>
      <c r="F88" s="40">
        <v>0.0</v>
      </c>
      <c r="G88" s="41">
        <v>9.6</v>
      </c>
      <c r="H88" s="40">
        <v>653470.0</v>
      </c>
      <c r="I88" s="40" t="s">
        <v>2</v>
      </c>
      <c r="J88" s="40" t="s">
        <v>152</v>
      </c>
      <c r="K88" s="40" t="s">
        <v>153</v>
      </c>
      <c r="L88" s="40" t="s">
        <v>154</v>
      </c>
      <c r="M88" s="40" t="s">
        <v>631</v>
      </c>
      <c r="N88" s="40">
        <v>757929.0</v>
      </c>
      <c r="O88" s="40" t="s">
        <v>134</v>
      </c>
      <c r="P88" s="40" t="s">
        <v>597</v>
      </c>
      <c r="Q88" s="40">
        <v>42249.0</v>
      </c>
      <c r="R88" s="40" t="s">
        <v>50</v>
      </c>
      <c r="S88" s="40" t="s">
        <v>34</v>
      </c>
      <c r="T88" s="40" t="s">
        <v>598</v>
      </c>
      <c r="U88" s="40" t="s">
        <v>599</v>
      </c>
      <c r="V88" s="40" t="s">
        <v>600</v>
      </c>
      <c r="W88" s="40" t="s">
        <v>764</v>
      </c>
      <c r="X88" s="40" t="s">
        <v>765</v>
      </c>
      <c r="Y88" s="40" t="s">
        <v>155</v>
      </c>
      <c r="Z88" s="40" t="s">
        <v>767</v>
      </c>
      <c r="AA88" s="40" t="s">
        <v>36</v>
      </c>
      <c r="AB88" s="40" t="s">
        <v>635</v>
      </c>
      <c r="AC88" s="40">
        <v>22.0</v>
      </c>
      <c r="AD88" s="41">
        <v>40.0</v>
      </c>
      <c r="AE88" s="40" t="s">
        <v>605</v>
      </c>
      <c r="AF88" s="40" t="s">
        <v>27</v>
      </c>
    </row>
    <row r="89" ht="14.25" hidden="1" customHeight="1">
      <c r="A89" s="40" t="s">
        <v>136</v>
      </c>
      <c r="B89" s="40" t="s">
        <v>595</v>
      </c>
      <c r="C89" s="40" t="s">
        <v>20</v>
      </c>
      <c r="E89" s="40">
        <v>22.8</v>
      </c>
      <c r="F89" s="40">
        <v>0.0</v>
      </c>
      <c r="G89" s="41">
        <v>22.8</v>
      </c>
      <c r="H89" s="40">
        <v>653470.0</v>
      </c>
      <c r="I89" s="40" t="s">
        <v>2</v>
      </c>
      <c r="J89" s="40" t="s">
        <v>147</v>
      </c>
      <c r="K89" s="40" t="s">
        <v>148</v>
      </c>
      <c r="L89" s="40" t="s">
        <v>149</v>
      </c>
      <c r="M89" s="40" t="s">
        <v>631</v>
      </c>
      <c r="N89" s="40">
        <v>757209.0</v>
      </c>
      <c r="O89" s="40" t="s">
        <v>150</v>
      </c>
      <c r="P89" s="40" t="s">
        <v>597</v>
      </c>
      <c r="Q89" s="40">
        <v>42249.0</v>
      </c>
      <c r="R89" s="40" t="s">
        <v>50</v>
      </c>
      <c r="S89" s="40" t="s">
        <v>100</v>
      </c>
      <c r="T89" s="40" t="s">
        <v>598</v>
      </c>
      <c r="U89" s="40" t="s">
        <v>599</v>
      </c>
      <c r="V89" s="40" t="s">
        <v>600</v>
      </c>
      <c r="W89" s="40" t="s">
        <v>764</v>
      </c>
      <c r="X89" s="40" t="s">
        <v>765</v>
      </c>
      <c r="Y89" s="40" t="s">
        <v>156</v>
      </c>
      <c r="Z89" s="40" t="s">
        <v>766</v>
      </c>
      <c r="AA89" s="40" t="s">
        <v>36</v>
      </c>
      <c r="AB89" s="40" t="s">
        <v>635</v>
      </c>
      <c r="AC89" s="40">
        <v>22.0</v>
      </c>
      <c r="AD89" s="41">
        <v>95.0</v>
      </c>
      <c r="AE89" s="40" t="s">
        <v>605</v>
      </c>
      <c r="AF89" s="40" t="s">
        <v>27</v>
      </c>
    </row>
    <row r="90" ht="14.25" customHeight="1">
      <c r="A90" s="40" t="s">
        <v>136</v>
      </c>
      <c r="B90" s="40" t="s">
        <v>595</v>
      </c>
      <c r="C90" s="40" t="s">
        <v>20</v>
      </c>
      <c r="E90" s="40">
        <v>55.12</v>
      </c>
      <c r="F90" s="40">
        <v>0.0</v>
      </c>
      <c r="G90" s="41">
        <v>55.12</v>
      </c>
      <c r="H90" s="40">
        <v>653470.0</v>
      </c>
      <c r="I90" s="40" t="s">
        <v>2</v>
      </c>
      <c r="J90" s="40" t="s">
        <v>157</v>
      </c>
      <c r="K90" s="40" t="s">
        <v>158</v>
      </c>
      <c r="L90" s="40" t="s">
        <v>159</v>
      </c>
      <c r="M90" s="40" t="s">
        <v>736</v>
      </c>
      <c r="N90" s="40">
        <v>657149.0</v>
      </c>
      <c r="O90" s="40" t="s">
        <v>160</v>
      </c>
      <c r="P90" s="40" t="s">
        <v>597</v>
      </c>
      <c r="Q90" s="40">
        <v>43554.0</v>
      </c>
      <c r="R90" s="40" t="s">
        <v>162</v>
      </c>
      <c r="S90" s="40" t="s">
        <v>78</v>
      </c>
      <c r="T90" s="40" t="s">
        <v>598</v>
      </c>
      <c r="U90" s="40" t="s">
        <v>599</v>
      </c>
      <c r="V90" s="40" t="s">
        <v>600</v>
      </c>
      <c r="W90" s="40" t="s">
        <v>768</v>
      </c>
      <c r="X90" s="40" t="s">
        <v>721</v>
      </c>
      <c r="Y90" s="40" t="s">
        <v>161</v>
      </c>
      <c r="Z90" s="40" t="s">
        <v>769</v>
      </c>
      <c r="AA90" s="40" t="s">
        <v>36</v>
      </c>
      <c r="AB90" s="40" t="s">
        <v>635</v>
      </c>
      <c r="AC90" s="40">
        <v>38.0</v>
      </c>
      <c r="AD90" s="41">
        <v>212.0</v>
      </c>
      <c r="AE90" s="40" t="s">
        <v>723</v>
      </c>
      <c r="AF90" s="40" t="s">
        <v>27</v>
      </c>
    </row>
    <row r="91" ht="14.25" hidden="1" customHeight="1">
      <c r="A91" s="40" t="s">
        <v>44</v>
      </c>
      <c r="B91" s="40" t="s">
        <v>595</v>
      </c>
      <c r="C91" s="40" t="s">
        <v>20</v>
      </c>
      <c r="E91" s="40">
        <v>26.4</v>
      </c>
      <c r="F91" s="40">
        <v>0.0</v>
      </c>
      <c r="G91" s="41">
        <v>26.4</v>
      </c>
      <c r="H91" s="40">
        <v>653470.0</v>
      </c>
      <c r="I91" s="40" t="s">
        <v>2</v>
      </c>
      <c r="J91" s="40" t="s">
        <v>163</v>
      </c>
      <c r="K91" s="40" t="s">
        <v>164</v>
      </c>
      <c r="L91" s="40" t="s">
        <v>165</v>
      </c>
      <c r="M91" s="40" t="s">
        <v>631</v>
      </c>
      <c r="N91" s="40">
        <v>759555.0</v>
      </c>
      <c r="O91" s="40" t="s">
        <v>48</v>
      </c>
      <c r="P91" s="40" t="s">
        <v>597</v>
      </c>
      <c r="Q91" s="40">
        <v>42250.0</v>
      </c>
      <c r="R91" s="40" t="s">
        <v>167</v>
      </c>
      <c r="S91" s="40" t="s">
        <v>56</v>
      </c>
      <c r="T91" s="40" t="s">
        <v>598</v>
      </c>
      <c r="U91" s="40" t="s">
        <v>599</v>
      </c>
      <c r="V91" s="40" t="s">
        <v>600</v>
      </c>
      <c r="W91" s="40" t="s">
        <v>770</v>
      </c>
      <c r="X91" s="40" t="s">
        <v>620</v>
      </c>
      <c r="Y91" s="40" t="s">
        <v>166</v>
      </c>
      <c r="Z91" s="40" t="s">
        <v>771</v>
      </c>
      <c r="AA91" s="40" t="s">
        <v>36</v>
      </c>
      <c r="AB91" s="40" t="s">
        <v>635</v>
      </c>
      <c r="AC91" s="40">
        <v>2.0</v>
      </c>
      <c r="AD91" s="41">
        <v>110.0</v>
      </c>
      <c r="AE91" s="40" t="s">
        <v>605</v>
      </c>
      <c r="AF91" s="40" t="s">
        <v>27</v>
      </c>
    </row>
    <row r="92" ht="14.25" hidden="1" customHeight="1">
      <c r="A92" s="40" t="s">
        <v>44</v>
      </c>
      <c r="B92" s="40" t="s">
        <v>595</v>
      </c>
      <c r="C92" s="40" t="s">
        <v>20</v>
      </c>
      <c r="E92" s="40">
        <v>15.84</v>
      </c>
      <c r="F92" s="40">
        <v>0.0</v>
      </c>
      <c r="G92" s="41">
        <v>15.84</v>
      </c>
      <c r="H92" s="40">
        <v>653470.0</v>
      </c>
      <c r="I92" s="40" t="s">
        <v>2</v>
      </c>
      <c r="J92" s="40" t="s">
        <v>168</v>
      </c>
      <c r="K92" s="40" t="s">
        <v>169</v>
      </c>
      <c r="L92" s="40" t="s">
        <v>170</v>
      </c>
      <c r="M92" s="40" t="s">
        <v>606</v>
      </c>
      <c r="N92" s="40">
        <v>798992.0</v>
      </c>
      <c r="O92" s="40" t="s">
        <v>90</v>
      </c>
      <c r="P92" s="40" t="s">
        <v>597</v>
      </c>
      <c r="Q92" s="40">
        <v>38399.0</v>
      </c>
      <c r="R92" s="40" t="s">
        <v>33</v>
      </c>
      <c r="S92" s="40" t="s">
        <v>34</v>
      </c>
      <c r="T92" s="40" t="s">
        <v>598</v>
      </c>
      <c r="U92" s="40" t="s">
        <v>599</v>
      </c>
      <c r="V92" s="40" t="s">
        <v>600</v>
      </c>
      <c r="W92" s="40" t="s">
        <v>772</v>
      </c>
      <c r="X92" s="40" t="s">
        <v>660</v>
      </c>
      <c r="Y92" s="40" t="s">
        <v>171</v>
      </c>
      <c r="Z92" s="40" t="s">
        <v>773</v>
      </c>
      <c r="AA92" s="40" t="s">
        <v>36</v>
      </c>
      <c r="AB92" s="40" t="s">
        <v>635</v>
      </c>
      <c r="AC92" s="40">
        <v>14.0</v>
      </c>
      <c r="AD92" s="41">
        <v>66.0</v>
      </c>
      <c r="AE92" s="40" t="s">
        <v>605</v>
      </c>
      <c r="AF92" s="40" t="s">
        <v>27</v>
      </c>
    </row>
    <row r="93" ht="14.25" hidden="1" customHeight="1">
      <c r="A93" s="40" t="s">
        <v>44</v>
      </c>
      <c r="B93" s="40" t="s">
        <v>595</v>
      </c>
      <c r="C93" s="40" t="s">
        <v>20</v>
      </c>
      <c r="E93" s="40">
        <v>15.84</v>
      </c>
      <c r="F93" s="40">
        <v>0.0</v>
      </c>
      <c r="G93" s="41">
        <v>15.84</v>
      </c>
      <c r="H93" s="40">
        <v>653470.0</v>
      </c>
      <c r="I93" s="40" t="s">
        <v>2</v>
      </c>
      <c r="J93" s="40" t="s">
        <v>172</v>
      </c>
      <c r="K93" s="40" t="s">
        <v>173</v>
      </c>
      <c r="L93" s="40" t="s">
        <v>174</v>
      </c>
      <c r="M93" s="40" t="s">
        <v>606</v>
      </c>
      <c r="N93" s="40">
        <v>781535.0</v>
      </c>
      <c r="O93" s="40" t="s">
        <v>54</v>
      </c>
      <c r="P93" s="40" t="s">
        <v>597</v>
      </c>
      <c r="Q93" s="40">
        <v>38399.0</v>
      </c>
      <c r="R93" s="40" t="s">
        <v>33</v>
      </c>
      <c r="S93" s="40" t="s">
        <v>34</v>
      </c>
      <c r="T93" s="40" t="s">
        <v>598</v>
      </c>
      <c r="U93" s="40" t="s">
        <v>599</v>
      </c>
      <c r="V93" s="40" t="s">
        <v>600</v>
      </c>
      <c r="W93" s="40" t="s">
        <v>774</v>
      </c>
      <c r="X93" s="40" t="s">
        <v>669</v>
      </c>
      <c r="Y93" s="40" t="s">
        <v>175</v>
      </c>
      <c r="Z93" s="40" t="s">
        <v>775</v>
      </c>
      <c r="AA93" s="40" t="s">
        <v>36</v>
      </c>
      <c r="AB93" s="40" t="s">
        <v>635</v>
      </c>
      <c r="AC93" s="40">
        <v>18.0</v>
      </c>
      <c r="AD93" s="41">
        <v>66.0</v>
      </c>
      <c r="AE93" s="40" t="s">
        <v>605</v>
      </c>
      <c r="AF93" s="40" t="s">
        <v>27</v>
      </c>
    </row>
    <row r="94" ht="14.25" hidden="1" customHeight="1">
      <c r="A94" s="40" t="s">
        <v>44</v>
      </c>
      <c r="B94" s="40" t="s">
        <v>595</v>
      </c>
      <c r="C94" s="40" t="s">
        <v>20</v>
      </c>
      <c r="E94" s="40">
        <v>4.07</v>
      </c>
      <c r="F94" s="40">
        <v>0.0</v>
      </c>
      <c r="G94" s="41">
        <v>4.07</v>
      </c>
      <c r="H94" s="40">
        <v>653470.0</v>
      </c>
      <c r="I94" s="40" t="s">
        <v>2</v>
      </c>
      <c r="J94" s="40" t="s">
        <v>172</v>
      </c>
      <c r="K94" s="40" t="s">
        <v>173</v>
      </c>
      <c r="L94" s="40" t="s">
        <v>174</v>
      </c>
      <c r="M94" s="40" t="s">
        <v>606</v>
      </c>
      <c r="N94" s="40">
        <v>781535.0</v>
      </c>
      <c r="O94" s="40" t="s">
        <v>54</v>
      </c>
      <c r="P94" s="40" t="s">
        <v>597</v>
      </c>
      <c r="Q94" s="40">
        <v>38593.0</v>
      </c>
      <c r="R94" s="40" t="s">
        <v>42</v>
      </c>
      <c r="S94" s="40" t="s">
        <v>34</v>
      </c>
      <c r="T94" s="40" t="s">
        <v>598</v>
      </c>
      <c r="U94" s="40" t="s">
        <v>617</v>
      </c>
      <c r="V94" s="40" t="s">
        <v>618</v>
      </c>
      <c r="W94" s="40" t="s">
        <v>774</v>
      </c>
      <c r="X94" s="40" t="s">
        <v>669</v>
      </c>
      <c r="Y94" s="40" t="s">
        <v>176</v>
      </c>
      <c r="Z94" s="40" t="s">
        <v>775</v>
      </c>
      <c r="AA94" s="40" t="s">
        <v>36</v>
      </c>
      <c r="AB94" s="40" t="s">
        <v>635</v>
      </c>
      <c r="AC94" s="40">
        <v>18.0</v>
      </c>
      <c r="AD94" s="41">
        <v>11.0</v>
      </c>
      <c r="AE94" s="40" t="s">
        <v>621</v>
      </c>
      <c r="AF94" s="40" t="s">
        <v>27</v>
      </c>
    </row>
    <row r="95" ht="14.25" hidden="1" customHeight="1">
      <c r="A95" s="40" t="s">
        <v>44</v>
      </c>
      <c r="B95" s="40" t="s">
        <v>595</v>
      </c>
      <c r="C95" s="40" t="s">
        <v>20</v>
      </c>
      <c r="E95" s="40">
        <v>6.48</v>
      </c>
      <c r="F95" s="40">
        <v>0.0</v>
      </c>
      <c r="G95" s="41">
        <v>6.48</v>
      </c>
      <c r="H95" s="40">
        <v>653470.0</v>
      </c>
      <c r="I95" s="40" t="s">
        <v>2</v>
      </c>
      <c r="J95" s="40" t="s">
        <v>115</v>
      </c>
      <c r="K95" s="40" t="s">
        <v>116</v>
      </c>
      <c r="L95" s="40" t="s">
        <v>117</v>
      </c>
      <c r="M95" s="40" t="s">
        <v>736</v>
      </c>
      <c r="N95" s="40">
        <v>678726.0</v>
      </c>
      <c r="O95" s="40" t="s">
        <v>60</v>
      </c>
      <c r="P95" s="40" t="s">
        <v>597</v>
      </c>
      <c r="Q95" s="40">
        <v>47133.0</v>
      </c>
      <c r="R95" s="40" t="s">
        <v>119</v>
      </c>
      <c r="S95" s="40" t="s">
        <v>34</v>
      </c>
      <c r="T95" s="40" t="s">
        <v>598</v>
      </c>
      <c r="U95" s="40" t="s">
        <v>599</v>
      </c>
      <c r="V95" s="40" t="s">
        <v>600</v>
      </c>
      <c r="W95" s="40" t="s">
        <v>776</v>
      </c>
      <c r="X95" s="40" t="s">
        <v>602</v>
      </c>
      <c r="Y95" s="40" t="s">
        <v>118</v>
      </c>
      <c r="Z95" s="40" t="s">
        <v>777</v>
      </c>
      <c r="AA95" s="40" t="s">
        <v>36</v>
      </c>
      <c r="AB95" s="40" t="s">
        <v>635</v>
      </c>
      <c r="AC95" s="40">
        <v>4.0</v>
      </c>
      <c r="AD95" s="41">
        <v>27.0</v>
      </c>
      <c r="AE95" s="40" t="s">
        <v>605</v>
      </c>
      <c r="AF95" s="40" t="s">
        <v>27</v>
      </c>
    </row>
    <row r="96" ht="14.25" hidden="1" customHeight="1">
      <c r="A96" s="40" t="s">
        <v>44</v>
      </c>
      <c r="B96" s="40" t="s">
        <v>595</v>
      </c>
      <c r="C96" s="40" t="s">
        <v>20</v>
      </c>
      <c r="E96" s="40">
        <v>8.0</v>
      </c>
      <c r="F96" s="40">
        <v>0.0</v>
      </c>
      <c r="G96" s="41">
        <v>8.0</v>
      </c>
      <c r="H96" s="40">
        <v>653470.0</v>
      </c>
      <c r="I96" s="40" t="s">
        <v>2</v>
      </c>
      <c r="J96" s="40" t="s">
        <v>111</v>
      </c>
      <c r="K96" s="40" t="s">
        <v>112</v>
      </c>
      <c r="L96" s="40" t="s">
        <v>113</v>
      </c>
      <c r="M96" s="40" t="s">
        <v>606</v>
      </c>
      <c r="N96" s="40">
        <v>678726.0</v>
      </c>
      <c r="O96" s="40" t="s">
        <v>60</v>
      </c>
      <c r="P96" s="40" t="s">
        <v>597</v>
      </c>
      <c r="Q96" s="40">
        <v>45041.0</v>
      </c>
      <c r="R96" s="40" t="s">
        <v>62</v>
      </c>
      <c r="S96" s="40" t="s">
        <v>34</v>
      </c>
      <c r="T96" s="40" t="s">
        <v>598</v>
      </c>
      <c r="U96" s="40" t="s">
        <v>599</v>
      </c>
      <c r="V96" s="40" t="s">
        <v>600</v>
      </c>
      <c r="W96" s="40" t="s">
        <v>778</v>
      </c>
      <c r="X96" s="40" t="s">
        <v>656</v>
      </c>
      <c r="Y96" s="40" t="s">
        <v>177</v>
      </c>
      <c r="Z96" s="40" t="s">
        <v>779</v>
      </c>
      <c r="AA96" s="40" t="s">
        <v>36</v>
      </c>
      <c r="AB96" s="40" t="s">
        <v>635</v>
      </c>
      <c r="AC96" s="40">
        <v>16.0</v>
      </c>
      <c r="AD96" s="41">
        <v>25.0</v>
      </c>
      <c r="AE96" s="40" t="s">
        <v>610</v>
      </c>
      <c r="AF96" s="40" t="s">
        <v>27</v>
      </c>
    </row>
    <row r="97" ht="14.25" hidden="1" customHeight="1">
      <c r="A97" s="40" t="s">
        <v>44</v>
      </c>
      <c r="B97" s="40" t="s">
        <v>595</v>
      </c>
      <c r="C97" s="40" t="s">
        <v>20</v>
      </c>
      <c r="E97" s="40">
        <v>4.07</v>
      </c>
      <c r="F97" s="40">
        <v>0.0</v>
      </c>
      <c r="G97" s="41">
        <v>4.07</v>
      </c>
      <c r="H97" s="40">
        <v>653470.0</v>
      </c>
      <c r="I97" s="40" t="s">
        <v>2</v>
      </c>
      <c r="J97" s="40" t="s">
        <v>111</v>
      </c>
      <c r="K97" s="40" t="s">
        <v>112</v>
      </c>
      <c r="L97" s="40" t="s">
        <v>113</v>
      </c>
      <c r="M97" s="40" t="s">
        <v>606</v>
      </c>
      <c r="N97" s="40">
        <v>678726.0</v>
      </c>
      <c r="O97" s="40" t="s">
        <v>60</v>
      </c>
      <c r="P97" s="40" t="s">
        <v>597</v>
      </c>
      <c r="Q97" s="40">
        <v>38593.0</v>
      </c>
      <c r="R97" s="40" t="s">
        <v>42</v>
      </c>
      <c r="S97" s="40" t="s">
        <v>34</v>
      </c>
      <c r="T97" s="40" t="s">
        <v>598</v>
      </c>
      <c r="U97" s="40" t="s">
        <v>617</v>
      </c>
      <c r="V97" s="40" t="s">
        <v>618</v>
      </c>
      <c r="W97" s="40" t="s">
        <v>778</v>
      </c>
      <c r="X97" s="40" t="s">
        <v>656</v>
      </c>
      <c r="Y97" s="40" t="s">
        <v>114</v>
      </c>
      <c r="Z97" s="40" t="s">
        <v>779</v>
      </c>
      <c r="AA97" s="40" t="s">
        <v>36</v>
      </c>
      <c r="AB97" s="40" t="s">
        <v>635</v>
      </c>
      <c r="AC97" s="40">
        <v>16.0</v>
      </c>
      <c r="AD97" s="41">
        <v>11.0</v>
      </c>
      <c r="AE97" s="40" t="s">
        <v>621</v>
      </c>
      <c r="AF97" s="40" t="s">
        <v>27</v>
      </c>
    </row>
    <row r="98" ht="14.25" hidden="1" customHeight="1">
      <c r="A98" s="40" t="s">
        <v>44</v>
      </c>
      <c r="B98" s="40" t="s">
        <v>595</v>
      </c>
      <c r="C98" s="40" t="s">
        <v>20</v>
      </c>
      <c r="E98" s="40">
        <v>18.24</v>
      </c>
      <c r="F98" s="40">
        <v>0.0</v>
      </c>
      <c r="G98" s="41">
        <v>18.24</v>
      </c>
      <c r="H98" s="40">
        <v>653470.0</v>
      </c>
      <c r="I98" s="40" t="s">
        <v>2</v>
      </c>
      <c r="J98" s="40" t="s">
        <v>102</v>
      </c>
      <c r="K98" s="40" t="s">
        <v>103</v>
      </c>
      <c r="L98" s="40" t="s">
        <v>104</v>
      </c>
      <c r="M98" s="40" t="s">
        <v>611</v>
      </c>
      <c r="N98" s="40">
        <v>689390.0</v>
      </c>
      <c r="O98" s="40" t="s">
        <v>31</v>
      </c>
      <c r="P98" s="40" t="s">
        <v>597</v>
      </c>
      <c r="Q98" s="40">
        <v>38398.0</v>
      </c>
      <c r="R98" s="40" t="s">
        <v>106</v>
      </c>
      <c r="S98" s="40" t="s">
        <v>56</v>
      </c>
      <c r="T98" s="40" t="s">
        <v>598</v>
      </c>
      <c r="U98" s="40" t="s">
        <v>599</v>
      </c>
      <c r="V98" s="40" t="s">
        <v>600</v>
      </c>
      <c r="W98" s="40" t="s">
        <v>780</v>
      </c>
      <c r="X98" s="40" t="s">
        <v>696</v>
      </c>
      <c r="Y98" s="40" t="s">
        <v>105</v>
      </c>
      <c r="Z98" s="40" t="s">
        <v>781</v>
      </c>
      <c r="AA98" s="40" t="s">
        <v>36</v>
      </c>
      <c r="AB98" s="40" t="s">
        <v>635</v>
      </c>
      <c r="AC98" s="40">
        <v>26.0</v>
      </c>
      <c r="AD98" s="41">
        <v>76.0</v>
      </c>
      <c r="AE98" s="40" t="s">
        <v>605</v>
      </c>
      <c r="AF98" s="40" t="s">
        <v>27</v>
      </c>
    </row>
    <row r="99" ht="14.25" hidden="1" customHeight="1">
      <c r="A99" s="40" t="s">
        <v>44</v>
      </c>
      <c r="B99" s="40" t="s">
        <v>595</v>
      </c>
      <c r="C99" s="40" t="s">
        <v>20</v>
      </c>
      <c r="E99" s="40">
        <v>0.45</v>
      </c>
      <c r="F99" s="40">
        <v>0.0</v>
      </c>
      <c r="G99" s="41">
        <v>0.45</v>
      </c>
      <c r="H99" s="40">
        <v>653470.0</v>
      </c>
      <c r="I99" s="40" t="s">
        <v>2</v>
      </c>
      <c r="J99" s="40" t="s">
        <v>37</v>
      </c>
      <c r="K99" s="40" t="s">
        <v>38</v>
      </c>
      <c r="L99" s="40" t="s">
        <v>39</v>
      </c>
      <c r="M99" s="40" t="s">
        <v>606</v>
      </c>
      <c r="N99" s="40">
        <v>711419.0</v>
      </c>
      <c r="O99" s="40" t="s">
        <v>40</v>
      </c>
      <c r="P99" s="40" t="s">
        <v>597</v>
      </c>
      <c r="Q99" s="40">
        <v>38593.0</v>
      </c>
      <c r="R99" s="40" t="s">
        <v>42</v>
      </c>
      <c r="S99" s="40" t="s">
        <v>43</v>
      </c>
      <c r="T99" s="40" t="s">
        <v>598</v>
      </c>
      <c r="U99" s="40" t="s">
        <v>617</v>
      </c>
      <c r="V99" s="40" t="s">
        <v>618</v>
      </c>
      <c r="W99" s="40" t="s">
        <v>782</v>
      </c>
      <c r="X99" s="40" t="s">
        <v>641</v>
      </c>
      <c r="Y99" s="40" t="s">
        <v>41</v>
      </c>
      <c r="Z99" s="40" t="s">
        <v>783</v>
      </c>
      <c r="AA99" s="40" t="s">
        <v>36</v>
      </c>
      <c r="AB99" s="40" t="s">
        <v>635</v>
      </c>
      <c r="AC99" s="40">
        <v>5.0</v>
      </c>
      <c r="AD99" s="41">
        <v>15.0</v>
      </c>
      <c r="AE99" s="40" t="s">
        <v>625</v>
      </c>
      <c r="AF99" s="40" t="s">
        <v>27</v>
      </c>
    </row>
    <row r="100" ht="14.25" hidden="1" customHeight="1">
      <c r="A100" s="40" t="s">
        <v>44</v>
      </c>
      <c r="B100" s="40" t="s">
        <v>595</v>
      </c>
      <c r="C100" s="40" t="s">
        <v>20</v>
      </c>
      <c r="E100" s="40">
        <v>9.6</v>
      </c>
      <c r="F100" s="40">
        <v>0.0</v>
      </c>
      <c r="G100" s="41">
        <v>9.6</v>
      </c>
      <c r="H100" s="40">
        <v>653470.0</v>
      </c>
      <c r="I100" s="40" t="s">
        <v>2</v>
      </c>
      <c r="J100" s="40" t="s">
        <v>45</v>
      </c>
      <c r="K100" s="40" t="s">
        <v>46</v>
      </c>
      <c r="L100" s="40" t="s">
        <v>47</v>
      </c>
      <c r="M100" s="40" t="s">
        <v>631</v>
      </c>
      <c r="N100" s="40">
        <v>759555.0</v>
      </c>
      <c r="O100" s="40" t="s">
        <v>48</v>
      </c>
      <c r="P100" s="40" t="s">
        <v>597</v>
      </c>
      <c r="Q100" s="40">
        <v>42249.0</v>
      </c>
      <c r="R100" s="40" t="s">
        <v>50</v>
      </c>
      <c r="S100" s="40" t="s">
        <v>34</v>
      </c>
      <c r="T100" s="40" t="s">
        <v>598</v>
      </c>
      <c r="U100" s="40" t="s">
        <v>599</v>
      </c>
      <c r="V100" s="40" t="s">
        <v>600</v>
      </c>
      <c r="W100" s="40" t="s">
        <v>784</v>
      </c>
      <c r="X100" s="40" t="s">
        <v>608</v>
      </c>
      <c r="Y100" s="40" t="s">
        <v>49</v>
      </c>
      <c r="Z100" s="40" t="s">
        <v>785</v>
      </c>
      <c r="AA100" s="40" t="s">
        <v>36</v>
      </c>
      <c r="AB100" s="40" t="s">
        <v>635</v>
      </c>
      <c r="AC100" s="40">
        <v>3.0</v>
      </c>
      <c r="AD100" s="41">
        <v>40.0</v>
      </c>
      <c r="AE100" s="40" t="s">
        <v>605</v>
      </c>
      <c r="AF100" s="40" t="s">
        <v>27</v>
      </c>
    </row>
    <row r="101" ht="14.25" hidden="1" customHeight="1">
      <c r="A101" s="40" t="s">
        <v>44</v>
      </c>
      <c r="B101" s="40" t="s">
        <v>595</v>
      </c>
      <c r="C101" s="40" t="s">
        <v>20</v>
      </c>
      <c r="E101" s="40">
        <v>31.68</v>
      </c>
      <c r="F101" s="40">
        <v>0.0</v>
      </c>
      <c r="G101" s="41">
        <v>31.68</v>
      </c>
      <c r="H101" s="40">
        <v>653470.0</v>
      </c>
      <c r="I101" s="40" t="s">
        <v>2</v>
      </c>
      <c r="J101" s="40" t="s">
        <v>51</v>
      </c>
      <c r="K101" s="40" t="s">
        <v>52</v>
      </c>
      <c r="L101" s="40" t="s">
        <v>53</v>
      </c>
      <c r="M101" s="40" t="s">
        <v>611</v>
      </c>
      <c r="N101" s="40">
        <v>781535.0</v>
      </c>
      <c r="O101" s="40" t="s">
        <v>54</v>
      </c>
      <c r="P101" s="40" t="s">
        <v>597</v>
      </c>
      <c r="Q101" s="40">
        <v>38399.0</v>
      </c>
      <c r="R101" s="40" t="s">
        <v>33</v>
      </c>
      <c r="S101" s="40" t="s">
        <v>56</v>
      </c>
      <c r="T101" s="40" t="s">
        <v>598</v>
      </c>
      <c r="U101" s="40" t="s">
        <v>599</v>
      </c>
      <c r="V101" s="40" t="s">
        <v>600</v>
      </c>
      <c r="W101" s="40" t="s">
        <v>786</v>
      </c>
      <c r="X101" s="40" t="s">
        <v>669</v>
      </c>
      <c r="Y101" s="40" t="s">
        <v>55</v>
      </c>
      <c r="Z101" s="40" t="s">
        <v>787</v>
      </c>
      <c r="AA101" s="40" t="s">
        <v>36</v>
      </c>
      <c r="AB101" s="40" t="s">
        <v>635</v>
      </c>
      <c r="AC101" s="40">
        <v>18.0</v>
      </c>
      <c r="AD101" s="41">
        <v>132.0</v>
      </c>
      <c r="AE101" s="40" t="s">
        <v>605</v>
      </c>
      <c r="AF101" s="40" t="s">
        <v>27</v>
      </c>
    </row>
    <row r="102" ht="14.25" hidden="1" customHeight="1">
      <c r="A102" s="40" t="s">
        <v>44</v>
      </c>
      <c r="B102" s="40" t="s">
        <v>595</v>
      </c>
      <c r="C102" s="40" t="s">
        <v>20</v>
      </c>
      <c r="E102" s="40">
        <v>19.2</v>
      </c>
      <c r="F102" s="40">
        <v>0.0</v>
      </c>
      <c r="G102" s="41">
        <v>19.2</v>
      </c>
      <c r="H102" s="40">
        <v>653470.0</v>
      </c>
      <c r="I102" s="40" t="s">
        <v>2</v>
      </c>
      <c r="J102" s="40" t="s">
        <v>57</v>
      </c>
      <c r="K102" s="40" t="s">
        <v>58</v>
      </c>
      <c r="L102" s="40" t="s">
        <v>59</v>
      </c>
      <c r="M102" s="40" t="s">
        <v>606</v>
      </c>
      <c r="N102" s="40">
        <v>678726.0</v>
      </c>
      <c r="O102" s="40" t="s">
        <v>60</v>
      </c>
      <c r="P102" s="40" t="s">
        <v>597</v>
      </c>
      <c r="Q102" s="40">
        <v>45041.0</v>
      </c>
      <c r="R102" s="40" t="s">
        <v>62</v>
      </c>
      <c r="S102" s="40" t="s">
        <v>56</v>
      </c>
      <c r="T102" s="40" t="s">
        <v>598</v>
      </c>
      <c r="U102" s="40" t="s">
        <v>599</v>
      </c>
      <c r="V102" s="40" t="s">
        <v>600</v>
      </c>
      <c r="W102" s="40" t="s">
        <v>788</v>
      </c>
      <c r="X102" s="40" t="s">
        <v>672</v>
      </c>
      <c r="Y102" s="40" t="s">
        <v>61</v>
      </c>
      <c r="Z102" s="40" t="s">
        <v>789</v>
      </c>
      <c r="AA102" s="40" t="s">
        <v>36</v>
      </c>
      <c r="AB102" s="40" t="s">
        <v>604</v>
      </c>
      <c r="AC102" s="40">
        <v>16.0</v>
      </c>
      <c r="AD102" s="41">
        <v>60.0</v>
      </c>
      <c r="AE102" s="40" t="s">
        <v>610</v>
      </c>
      <c r="AF102" s="40" t="s">
        <v>27</v>
      </c>
    </row>
    <row r="103" ht="14.25" hidden="1" customHeight="1">
      <c r="A103" s="40" t="s">
        <v>44</v>
      </c>
      <c r="B103" s="40" t="s">
        <v>595</v>
      </c>
      <c r="C103" s="40" t="s">
        <v>20</v>
      </c>
      <c r="E103" s="40">
        <v>32.16</v>
      </c>
      <c r="F103" s="40">
        <v>0.0</v>
      </c>
      <c r="G103" s="41">
        <v>32.16</v>
      </c>
      <c r="H103" s="40">
        <v>653470.0</v>
      </c>
      <c r="I103" s="40" t="s">
        <v>2</v>
      </c>
      <c r="J103" s="40" t="s">
        <v>63</v>
      </c>
      <c r="K103" s="40" t="s">
        <v>64</v>
      </c>
      <c r="L103" s="40" t="s">
        <v>65</v>
      </c>
      <c r="M103" s="40" t="s">
        <v>596</v>
      </c>
      <c r="N103" s="40">
        <v>689390.0</v>
      </c>
      <c r="O103" s="40" t="s">
        <v>31</v>
      </c>
      <c r="P103" s="40" t="s">
        <v>597</v>
      </c>
      <c r="Q103" s="40">
        <v>38399.0</v>
      </c>
      <c r="R103" s="40" t="s">
        <v>33</v>
      </c>
      <c r="S103" s="40" t="s">
        <v>56</v>
      </c>
      <c r="T103" s="40" t="s">
        <v>598</v>
      </c>
      <c r="U103" s="40" t="s">
        <v>599</v>
      </c>
      <c r="V103" s="40" t="s">
        <v>600</v>
      </c>
      <c r="W103" s="40" t="s">
        <v>790</v>
      </c>
      <c r="X103" s="40" t="s">
        <v>791</v>
      </c>
      <c r="Y103" s="40" t="s">
        <v>66</v>
      </c>
      <c r="Z103" s="40" t="s">
        <v>792</v>
      </c>
      <c r="AA103" s="40" t="s">
        <v>36</v>
      </c>
      <c r="AB103" s="40" t="s">
        <v>635</v>
      </c>
      <c r="AC103" s="40">
        <v>25.0</v>
      </c>
      <c r="AD103" s="41">
        <v>134.0</v>
      </c>
      <c r="AE103" s="40" t="s">
        <v>605</v>
      </c>
      <c r="AF103" s="40" t="s">
        <v>27</v>
      </c>
    </row>
    <row r="104" ht="14.25" hidden="1" customHeight="1">
      <c r="A104" s="40" t="s">
        <v>44</v>
      </c>
      <c r="B104" s="40" t="s">
        <v>595</v>
      </c>
      <c r="C104" s="40" t="s">
        <v>20</v>
      </c>
      <c r="E104" s="40">
        <v>5.55</v>
      </c>
      <c r="F104" s="40">
        <v>0.0</v>
      </c>
      <c r="G104" s="41">
        <v>5.55</v>
      </c>
      <c r="H104" s="40">
        <v>653470.0</v>
      </c>
      <c r="I104" s="40" t="s">
        <v>2</v>
      </c>
      <c r="J104" s="40" t="s">
        <v>63</v>
      </c>
      <c r="K104" s="40" t="s">
        <v>64</v>
      </c>
      <c r="L104" s="40" t="s">
        <v>65</v>
      </c>
      <c r="M104" s="40" t="s">
        <v>596</v>
      </c>
      <c r="N104" s="40">
        <v>689390.0</v>
      </c>
      <c r="O104" s="40" t="s">
        <v>31</v>
      </c>
      <c r="P104" s="40" t="s">
        <v>597</v>
      </c>
      <c r="Q104" s="40">
        <v>38593.0</v>
      </c>
      <c r="R104" s="40" t="s">
        <v>42</v>
      </c>
      <c r="S104" s="40" t="s">
        <v>43</v>
      </c>
      <c r="T104" s="40" t="s">
        <v>598</v>
      </c>
      <c r="U104" s="40" t="s">
        <v>617</v>
      </c>
      <c r="V104" s="40" t="s">
        <v>618</v>
      </c>
      <c r="W104" s="40" t="s">
        <v>790</v>
      </c>
      <c r="X104" s="40" t="s">
        <v>791</v>
      </c>
      <c r="Y104" s="40" t="s">
        <v>67</v>
      </c>
      <c r="Z104" s="40" t="s">
        <v>792</v>
      </c>
      <c r="AA104" s="40" t="s">
        <v>36</v>
      </c>
      <c r="AB104" s="40" t="s">
        <v>635</v>
      </c>
      <c r="AC104" s="40">
        <v>25.0</v>
      </c>
      <c r="AD104" s="41">
        <v>15.0</v>
      </c>
      <c r="AE104" s="40" t="s">
        <v>621</v>
      </c>
      <c r="AF104" s="40" t="s">
        <v>27</v>
      </c>
    </row>
    <row r="105" ht="14.25" hidden="1" customHeight="1">
      <c r="A105" s="40" t="s">
        <v>44</v>
      </c>
      <c r="B105" s="40" t="s">
        <v>595</v>
      </c>
      <c r="C105" s="40" t="s">
        <v>20</v>
      </c>
      <c r="E105" s="40">
        <v>4.07</v>
      </c>
      <c r="F105" s="40">
        <v>0.0</v>
      </c>
      <c r="G105" s="41">
        <v>4.07</v>
      </c>
      <c r="H105" s="40">
        <v>653470.0</v>
      </c>
      <c r="I105" s="40" t="s">
        <v>2</v>
      </c>
      <c r="J105" s="40" t="s">
        <v>68</v>
      </c>
      <c r="K105" s="40" t="s">
        <v>69</v>
      </c>
      <c r="L105" s="40" t="s">
        <v>70</v>
      </c>
      <c r="M105" s="40" t="s">
        <v>606</v>
      </c>
      <c r="N105" s="40">
        <v>678726.0</v>
      </c>
      <c r="O105" s="40" t="s">
        <v>60</v>
      </c>
      <c r="P105" s="40" t="s">
        <v>597</v>
      </c>
      <c r="Q105" s="40">
        <v>38593.0</v>
      </c>
      <c r="R105" s="40" t="s">
        <v>42</v>
      </c>
      <c r="S105" s="40" t="s">
        <v>34</v>
      </c>
      <c r="T105" s="40" t="s">
        <v>598</v>
      </c>
      <c r="U105" s="40" t="s">
        <v>617</v>
      </c>
      <c r="V105" s="40" t="s">
        <v>618</v>
      </c>
      <c r="W105" s="40" t="s">
        <v>737</v>
      </c>
      <c r="X105" s="40" t="s">
        <v>649</v>
      </c>
      <c r="Y105" s="40" t="s">
        <v>71</v>
      </c>
      <c r="Z105" s="40" t="s">
        <v>793</v>
      </c>
      <c r="AA105" s="40" t="s">
        <v>36</v>
      </c>
      <c r="AB105" s="40" t="s">
        <v>635</v>
      </c>
      <c r="AC105" s="40">
        <v>17.0</v>
      </c>
      <c r="AD105" s="41">
        <v>11.0</v>
      </c>
      <c r="AE105" s="40" t="s">
        <v>621</v>
      </c>
      <c r="AF105" s="40" t="s">
        <v>27</v>
      </c>
    </row>
    <row r="106" ht="14.25" hidden="1" customHeight="1">
      <c r="A106" s="40" t="s">
        <v>44</v>
      </c>
      <c r="B106" s="40" t="s">
        <v>595</v>
      </c>
      <c r="C106" s="40" t="s">
        <v>20</v>
      </c>
      <c r="E106" s="40">
        <v>22.32</v>
      </c>
      <c r="F106" s="40">
        <v>0.0</v>
      </c>
      <c r="G106" s="41">
        <v>22.32</v>
      </c>
      <c r="H106" s="40">
        <v>653470.0</v>
      </c>
      <c r="I106" s="40" t="s">
        <v>2</v>
      </c>
      <c r="J106" s="40" t="s">
        <v>72</v>
      </c>
      <c r="K106" s="40" t="s">
        <v>73</v>
      </c>
      <c r="L106" s="40" t="s">
        <v>74</v>
      </c>
      <c r="M106" s="40" t="s">
        <v>794</v>
      </c>
      <c r="N106" s="40">
        <v>703501.0</v>
      </c>
      <c r="O106" s="40" t="s">
        <v>75</v>
      </c>
      <c r="P106" s="40" t="s">
        <v>597</v>
      </c>
      <c r="Q106" s="40">
        <v>38796.0</v>
      </c>
      <c r="R106" s="40" t="s">
        <v>77</v>
      </c>
      <c r="S106" s="40" t="s">
        <v>78</v>
      </c>
      <c r="T106" s="40" t="s">
        <v>598</v>
      </c>
      <c r="U106" s="40" t="s">
        <v>599</v>
      </c>
      <c r="V106" s="40" t="s">
        <v>600</v>
      </c>
      <c r="W106" s="40" t="s">
        <v>747</v>
      </c>
      <c r="X106" s="40" t="s">
        <v>649</v>
      </c>
      <c r="Y106" s="40" t="s">
        <v>76</v>
      </c>
      <c r="Z106" s="40" t="s">
        <v>795</v>
      </c>
      <c r="AA106" s="40" t="s">
        <v>36</v>
      </c>
      <c r="AB106" s="40" t="s">
        <v>635</v>
      </c>
      <c r="AC106" s="40">
        <v>17.0</v>
      </c>
      <c r="AD106" s="41">
        <v>93.0</v>
      </c>
      <c r="AE106" s="40" t="s">
        <v>605</v>
      </c>
      <c r="AF106" s="40" t="s">
        <v>27</v>
      </c>
    </row>
    <row r="107" ht="14.25" hidden="1" customHeight="1">
      <c r="A107" s="40" t="s">
        <v>44</v>
      </c>
      <c r="B107" s="40" t="s">
        <v>595</v>
      </c>
      <c r="C107" s="40" t="s">
        <v>20</v>
      </c>
      <c r="E107" s="40">
        <v>7.4</v>
      </c>
      <c r="F107" s="40">
        <v>0.0</v>
      </c>
      <c r="G107" s="41">
        <v>7.4</v>
      </c>
      <c r="H107" s="40">
        <v>653470.0</v>
      </c>
      <c r="I107" s="40" t="s">
        <v>2</v>
      </c>
      <c r="J107" s="40" t="s">
        <v>72</v>
      </c>
      <c r="K107" s="40" t="s">
        <v>73</v>
      </c>
      <c r="L107" s="40" t="s">
        <v>74</v>
      </c>
      <c r="M107" s="40" t="s">
        <v>794</v>
      </c>
      <c r="N107" s="40">
        <v>703501.0</v>
      </c>
      <c r="O107" s="40" t="s">
        <v>75</v>
      </c>
      <c r="P107" s="40" t="s">
        <v>597</v>
      </c>
      <c r="Q107" s="40">
        <v>38593.0</v>
      </c>
      <c r="R107" s="40" t="s">
        <v>42</v>
      </c>
      <c r="S107" s="40" t="s">
        <v>78</v>
      </c>
      <c r="T107" s="40" t="s">
        <v>598</v>
      </c>
      <c r="U107" s="40" t="s">
        <v>617</v>
      </c>
      <c r="V107" s="40" t="s">
        <v>618</v>
      </c>
      <c r="W107" s="40" t="s">
        <v>747</v>
      </c>
      <c r="X107" s="40" t="s">
        <v>649</v>
      </c>
      <c r="Y107" s="40" t="s">
        <v>79</v>
      </c>
      <c r="Z107" s="40" t="s">
        <v>795</v>
      </c>
      <c r="AA107" s="40" t="s">
        <v>36</v>
      </c>
      <c r="AB107" s="40" t="s">
        <v>635</v>
      </c>
      <c r="AC107" s="40">
        <v>17.0</v>
      </c>
      <c r="AD107" s="41">
        <v>20.0</v>
      </c>
      <c r="AE107" s="40" t="s">
        <v>621</v>
      </c>
      <c r="AF107" s="40" t="s">
        <v>27</v>
      </c>
    </row>
    <row r="108" ht="14.25" hidden="1" customHeight="1">
      <c r="A108" s="40" t="s">
        <v>44</v>
      </c>
      <c r="B108" s="40" t="s">
        <v>595</v>
      </c>
      <c r="C108" s="40" t="s">
        <v>20</v>
      </c>
      <c r="E108" s="40">
        <v>5.55</v>
      </c>
      <c r="F108" s="40">
        <v>0.0</v>
      </c>
      <c r="G108" s="41">
        <v>5.55</v>
      </c>
      <c r="H108" s="40">
        <v>653470.0</v>
      </c>
      <c r="I108" s="40" t="s">
        <v>2</v>
      </c>
      <c r="J108" s="40" t="s">
        <v>51</v>
      </c>
      <c r="K108" s="40" t="s">
        <v>52</v>
      </c>
      <c r="L108" s="40" t="s">
        <v>53</v>
      </c>
      <c r="M108" s="40" t="s">
        <v>611</v>
      </c>
      <c r="N108" s="40">
        <v>781535.0</v>
      </c>
      <c r="O108" s="40" t="s">
        <v>54</v>
      </c>
      <c r="P108" s="40" t="s">
        <v>597</v>
      </c>
      <c r="Q108" s="40">
        <v>38593.0</v>
      </c>
      <c r="R108" s="40" t="s">
        <v>42</v>
      </c>
      <c r="S108" s="40" t="s">
        <v>43</v>
      </c>
      <c r="T108" s="40" t="s">
        <v>598</v>
      </c>
      <c r="U108" s="40" t="s">
        <v>617</v>
      </c>
      <c r="V108" s="40" t="s">
        <v>618</v>
      </c>
      <c r="W108" s="40" t="s">
        <v>786</v>
      </c>
      <c r="X108" s="40" t="s">
        <v>669</v>
      </c>
      <c r="Y108" s="40" t="s">
        <v>80</v>
      </c>
      <c r="Z108" s="40" t="s">
        <v>787</v>
      </c>
      <c r="AA108" s="40" t="s">
        <v>36</v>
      </c>
      <c r="AB108" s="40" t="s">
        <v>635</v>
      </c>
      <c r="AC108" s="40">
        <v>18.0</v>
      </c>
      <c r="AD108" s="41">
        <v>15.0</v>
      </c>
      <c r="AE108" s="40" t="s">
        <v>621</v>
      </c>
      <c r="AF108" s="40" t="s">
        <v>27</v>
      </c>
    </row>
    <row r="109" ht="14.25" hidden="1" customHeight="1">
      <c r="A109" s="40" t="s">
        <v>44</v>
      </c>
      <c r="B109" s="40" t="s">
        <v>595</v>
      </c>
      <c r="C109" s="40" t="s">
        <v>20</v>
      </c>
      <c r="E109" s="40">
        <v>29.76</v>
      </c>
      <c r="F109" s="40">
        <v>0.0</v>
      </c>
      <c r="G109" s="41">
        <v>29.76</v>
      </c>
      <c r="H109" s="40">
        <v>653470.0</v>
      </c>
      <c r="I109" s="40" t="s">
        <v>2</v>
      </c>
      <c r="J109" s="40" t="s">
        <v>81</v>
      </c>
      <c r="K109" s="40" t="s">
        <v>82</v>
      </c>
      <c r="L109" s="40" t="s">
        <v>83</v>
      </c>
      <c r="M109" s="40" t="s">
        <v>631</v>
      </c>
      <c r="N109" s="40">
        <v>764002.0</v>
      </c>
      <c r="O109" s="40" t="s">
        <v>84</v>
      </c>
      <c r="P109" s="40" t="s">
        <v>597</v>
      </c>
      <c r="Q109" s="40">
        <v>42251.0</v>
      </c>
      <c r="R109" s="40" t="s">
        <v>86</v>
      </c>
      <c r="S109" s="40" t="s">
        <v>56</v>
      </c>
      <c r="T109" s="40" t="s">
        <v>598</v>
      </c>
      <c r="U109" s="40" t="s">
        <v>599</v>
      </c>
      <c r="V109" s="40" t="s">
        <v>600</v>
      </c>
      <c r="W109" s="40" t="s">
        <v>796</v>
      </c>
      <c r="X109" s="40" t="s">
        <v>797</v>
      </c>
      <c r="Y109" s="40" t="s">
        <v>85</v>
      </c>
      <c r="Z109" s="40" t="s">
        <v>798</v>
      </c>
      <c r="AA109" s="40" t="s">
        <v>36</v>
      </c>
      <c r="AB109" s="40" t="s">
        <v>635</v>
      </c>
      <c r="AC109" s="40">
        <v>19.0</v>
      </c>
      <c r="AD109" s="41">
        <v>124.0</v>
      </c>
      <c r="AE109" s="40" t="s">
        <v>605</v>
      </c>
      <c r="AF109" s="40" t="s">
        <v>27</v>
      </c>
    </row>
    <row r="110" ht="14.25" hidden="1" customHeight="1">
      <c r="A110" s="40" t="s">
        <v>44</v>
      </c>
      <c r="B110" s="40" t="s">
        <v>595</v>
      </c>
      <c r="C110" s="40" t="s">
        <v>20</v>
      </c>
      <c r="E110" s="40">
        <v>4.07</v>
      </c>
      <c r="F110" s="40">
        <v>0.0</v>
      </c>
      <c r="G110" s="41">
        <v>4.07</v>
      </c>
      <c r="H110" s="40">
        <v>653470.0</v>
      </c>
      <c r="I110" s="40" t="s">
        <v>2</v>
      </c>
      <c r="J110" s="40" t="s">
        <v>87</v>
      </c>
      <c r="K110" s="40" t="s">
        <v>88</v>
      </c>
      <c r="L110" s="40" t="s">
        <v>89</v>
      </c>
      <c r="M110" s="40" t="s">
        <v>606</v>
      </c>
      <c r="N110" s="40">
        <v>798992.0</v>
      </c>
      <c r="O110" s="40" t="s">
        <v>90</v>
      </c>
      <c r="P110" s="40" t="s">
        <v>597</v>
      </c>
      <c r="Q110" s="40">
        <v>38593.0</v>
      </c>
      <c r="R110" s="40" t="s">
        <v>42</v>
      </c>
      <c r="S110" s="40" t="s">
        <v>34</v>
      </c>
      <c r="T110" s="40" t="s">
        <v>598</v>
      </c>
      <c r="U110" s="40" t="s">
        <v>617</v>
      </c>
      <c r="V110" s="40" t="s">
        <v>618</v>
      </c>
      <c r="W110" s="40" t="s">
        <v>799</v>
      </c>
      <c r="X110" s="40" t="s">
        <v>660</v>
      </c>
      <c r="Y110" s="40" t="s">
        <v>91</v>
      </c>
      <c r="Z110" s="40" t="s">
        <v>800</v>
      </c>
      <c r="AA110" s="40" t="s">
        <v>36</v>
      </c>
      <c r="AB110" s="40" t="s">
        <v>635</v>
      </c>
      <c r="AC110" s="40">
        <v>15.0</v>
      </c>
      <c r="AD110" s="41">
        <v>11.0</v>
      </c>
      <c r="AE110" s="40" t="s">
        <v>621</v>
      </c>
      <c r="AF110" s="40" t="s">
        <v>27</v>
      </c>
    </row>
    <row r="111" ht="14.25" hidden="1" customHeight="1">
      <c r="A111" s="40" t="s">
        <v>44</v>
      </c>
      <c r="B111" s="40" t="s">
        <v>595</v>
      </c>
      <c r="C111" s="40" t="s">
        <v>20</v>
      </c>
      <c r="E111" s="40">
        <v>28.8</v>
      </c>
      <c r="F111" s="40">
        <v>0.0</v>
      </c>
      <c r="G111" s="41">
        <v>28.8</v>
      </c>
      <c r="H111" s="40">
        <v>653470.0</v>
      </c>
      <c r="I111" s="40" t="s">
        <v>2</v>
      </c>
      <c r="J111" s="40" t="s">
        <v>92</v>
      </c>
      <c r="K111" s="40" t="s">
        <v>93</v>
      </c>
      <c r="L111" s="40" t="s">
        <v>94</v>
      </c>
      <c r="M111" s="40" t="s">
        <v>611</v>
      </c>
      <c r="N111" s="40">
        <v>653470.0</v>
      </c>
      <c r="O111" s="40" t="s">
        <v>2</v>
      </c>
      <c r="P111" s="40" t="s">
        <v>597</v>
      </c>
      <c r="Q111" s="40">
        <v>38399.0</v>
      </c>
      <c r="R111" s="40" t="s">
        <v>33</v>
      </c>
      <c r="S111" s="40" t="s">
        <v>56</v>
      </c>
      <c r="T111" s="40" t="s">
        <v>598</v>
      </c>
      <c r="U111" s="40" t="s">
        <v>599</v>
      </c>
      <c r="V111" s="40" t="s">
        <v>600</v>
      </c>
      <c r="W111" s="40" t="s">
        <v>801</v>
      </c>
      <c r="X111" s="40" t="s">
        <v>696</v>
      </c>
      <c r="Y111" s="40" t="s">
        <v>95</v>
      </c>
      <c r="Z111" s="40" t="s">
        <v>802</v>
      </c>
      <c r="AA111" s="40" t="s">
        <v>36</v>
      </c>
      <c r="AB111" s="40" t="s">
        <v>635</v>
      </c>
      <c r="AC111" s="40">
        <v>26.0</v>
      </c>
      <c r="AD111" s="41">
        <v>120.0</v>
      </c>
      <c r="AE111" s="40" t="s">
        <v>605</v>
      </c>
      <c r="AF111" s="40" t="s">
        <v>27</v>
      </c>
    </row>
    <row r="112" ht="14.25" hidden="1" customHeight="1">
      <c r="A112" s="40" t="s">
        <v>44</v>
      </c>
      <c r="B112" s="40" t="s">
        <v>595</v>
      </c>
      <c r="C112" s="40" t="s">
        <v>20</v>
      </c>
      <c r="E112" s="40">
        <v>18.56</v>
      </c>
      <c r="F112" s="40">
        <v>0.0</v>
      </c>
      <c r="G112" s="41">
        <v>18.56</v>
      </c>
      <c r="H112" s="40">
        <v>653470.0</v>
      </c>
      <c r="I112" s="40" t="s">
        <v>2</v>
      </c>
      <c r="J112" s="40" t="s">
        <v>96</v>
      </c>
      <c r="K112" s="40" t="s">
        <v>97</v>
      </c>
      <c r="L112" s="40" t="s">
        <v>98</v>
      </c>
      <c r="M112" s="40" t="s">
        <v>606</v>
      </c>
      <c r="N112" s="40">
        <v>798992.0</v>
      </c>
      <c r="O112" s="40" t="s">
        <v>90</v>
      </c>
      <c r="P112" s="40" t="s">
        <v>597</v>
      </c>
      <c r="Q112" s="40">
        <v>45041.0</v>
      </c>
      <c r="R112" s="40" t="s">
        <v>62</v>
      </c>
      <c r="S112" s="40" t="s">
        <v>100</v>
      </c>
      <c r="T112" s="40" t="s">
        <v>598</v>
      </c>
      <c r="U112" s="40" t="s">
        <v>599</v>
      </c>
      <c r="V112" s="40" t="s">
        <v>600</v>
      </c>
      <c r="W112" s="40" t="s">
        <v>803</v>
      </c>
      <c r="X112" s="40" t="s">
        <v>660</v>
      </c>
      <c r="Y112" s="40" t="s">
        <v>99</v>
      </c>
      <c r="Z112" s="40" t="s">
        <v>804</v>
      </c>
      <c r="AA112" s="40" t="s">
        <v>36</v>
      </c>
      <c r="AB112" s="40" t="s">
        <v>635</v>
      </c>
      <c r="AC112" s="40">
        <v>14.0</v>
      </c>
      <c r="AD112" s="41">
        <v>58.0</v>
      </c>
      <c r="AE112" s="40" t="s">
        <v>610</v>
      </c>
      <c r="AF112" s="40" t="s">
        <v>27</v>
      </c>
    </row>
    <row r="113" ht="14.25" hidden="1" customHeight="1">
      <c r="A113" s="40" t="s">
        <v>44</v>
      </c>
      <c r="B113" s="40" t="s">
        <v>595</v>
      </c>
      <c r="C113" s="40" t="s">
        <v>20</v>
      </c>
      <c r="E113" s="40">
        <v>9.6</v>
      </c>
      <c r="F113" s="40">
        <v>0.0</v>
      </c>
      <c r="G113" s="41">
        <v>9.6</v>
      </c>
      <c r="H113" s="40">
        <v>653470.0</v>
      </c>
      <c r="I113" s="40" t="s">
        <v>2</v>
      </c>
      <c r="J113" s="40" t="s">
        <v>87</v>
      </c>
      <c r="K113" s="40" t="s">
        <v>88</v>
      </c>
      <c r="L113" s="40" t="s">
        <v>89</v>
      </c>
      <c r="M113" s="40" t="s">
        <v>606</v>
      </c>
      <c r="N113" s="40">
        <v>798992.0</v>
      </c>
      <c r="O113" s="40" t="s">
        <v>90</v>
      </c>
      <c r="P113" s="40" t="s">
        <v>597</v>
      </c>
      <c r="Q113" s="40">
        <v>45041.0</v>
      </c>
      <c r="R113" s="40" t="s">
        <v>62</v>
      </c>
      <c r="S113" s="40" t="s">
        <v>34</v>
      </c>
      <c r="T113" s="40" t="s">
        <v>598</v>
      </c>
      <c r="U113" s="40" t="s">
        <v>599</v>
      </c>
      <c r="V113" s="40" t="s">
        <v>600</v>
      </c>
      <c r="W113" s="40" t="s">
        <v>799</v>
      </c>
      <c r="X113" s="40" t="s">
        <v>660</v>
      </c>
      <c r="Y113" s="40" t="s">
        <v>101</v>
      </c>
      <c r="Z113" s="40" t="s">
        <v>800</v>
      </c>
      <c r="AA113" s="40" t="s">
        <v>36</v>
      </c>
      <c r="AB113" s="40" t="s">
        <v>635</v>
      </c>
      <c r="AC113" s="40">
        <v>15.0</v>
      </c>
      <c r="AD113" s="41">
        <v>30.0</v>
      </c>
      <c r="AE113" s="40" t="s">
        <v>610</v>
      </c>
      <c r="AF113" s="40" t="s">
        <v>27</v>
      </c>
    </row>
    <row r="114" ht="14.25" hidden="1" customHeight="1">
      <c r="A114" s="40" t="s">
        <v>44</v>
      </c>
      <c r="B114" s="40" t="s">
        <v>595</v>
      </c>
      <c r="C114" s="40" t="s">
        <v>20</v>
      </c>
      <c r="E114" s="40">
        <v>18.24</v>
      </c>
      <c r="F114" s="40">
        <v>0.0</v>
      </c>
      <c r="G114" s="41">
        <v>18.24</v>
      </c>
      <c r="H114" s="40">
        <v>653470.0</v>
      </c>
      <c r="I114" s="40" t="s">
        <v>2</v>
      </c>
      <c r="J114" s="40" t="s">
        <v>107</v>
      </c>
      <c r="K114" s="40" t="s">
        <v>108</v>
      </c>
      <c r="L114" s="40" t="s">
        <v>109</v>
      </c>
      <c r="M114" s="40" t="s">
        <v>611</v>
      </c>
      <c r="N114" s="40">
        <v>689390.0</v>
      </c>
      <c r="O114" s="40" t="s">
        <v>31</v>
      </c>
      <c r="P114" s="40" t="s">
        <v>597</v>
      </c>
      <c r="Q114" s="40">
        <v>38398.0</v>
      </c>
      <c r="R114" s="40" t="s">
        <v>106</v>
      </c>
      <c r="S114" s="40" t="s">
        <v>56</v>
      </c>
      <c r="T114" s="40" t="s">
        <v>598</v>
      </c>
      <c r="U114" s="40" t="s">
        <v>599</v>
      </c>
      <c r="V114" s="40" t="s">
        <v>600</v>
      </c>
      <c r="W114" s="40" t="s">
        <v>805</v>
      </c>
      <c r="X114" s="40" t="s">
        <v>696</v>
      </c>
      <c r="Y114" s="40" t="s">
        <v>110</v>
      </c>
      <c r="Z114" s="40" t="s">
        <v>806</v>
      </c>
      <c r="AA114" s="40" t="s">
        <v>36</v>
      </c>
      <c r="AB114" s="40" t="s">
        <v>635</v>
      </c>
      <c r="AC114" s="40">
        <v>27.0</v>
      </c>
      <c r="AD114" s="41">
        <v>76.0</v>
      </c>
      <c r="AE114" s="40" t="s">
        <v>605</v>
      </c>
      <c r="AF114" s="40" t="s">
        <v>27</v>
      </c>
    </row>
    <row r="115" ht="14.25" hidden="1" customHeight="1">
      <c r="A115" s="40" t="s">
        <v>44</v>
      </c>
      <c r="B115" s="40" t="s">
        <v>595</v>
      </c>
      <c r="C115" s="40" t="s">
        <v>20</v>
      </c>
      <c r="E115" s="40">
        <v>5.55</v>
      </c>
      <c r="F115" s="40">
        <v>0.0</v>
      </c>
      <c r="G115" s="41">
        <v>5.55</v>
      </c>
      <c r="H115" s="40">
        <v>653470.0</v>
      </c>
      <c r="I115" s="40" t="s">
        <v>2</v>
      </c>
      <c r="J115" s="40" t="s">
        <v>92</v>
      </c>
      <c r="K115" s="40" t="s">
        <v>93</v>
      </c>
      <c r="L115" s="40" t="s">
        <v>94</v>
      </c>
      <c r="M115" s="40" t="s">
        <v>611</v>
      </c>
      <c r="N115" s="40">
        <v>653470.0</v>
      </c>
      <c r="O115" s="40" t="s">
        <v>2</v>
      </c>
      <c r="P115" s="40" t="s">
        <v>597</v>
      </c>
      <c r="Q115" s="40">
        <v>38967.0</v>
      </c>
      <c r="R115" s="40" t="s">
        <v>42</v>
      </c>
      <c r="S115" s="40" t="s">
        <v>43</v>
      </c>
      <c r="T115" s="40" t="s">
        <v>598</v>
      </c>
      <c r="U115" s="40" t="s">
        <v>617</v>
      </c>
      <c r="V115" s="40" t="s">
        <v>618</v>
      </c>
      <c r="W115" s="40" t="s">
        <v>807</v>
      </c>
      <c r="X115" s="40" t="s">
        <v>745</v>
      </c>
      <c r="Y115" s="40" t="s">
        <v>183</v>
      </c>
      <c r="Z115" s="40" t="s">
        <v>802</v>
      </c>
      <c r="AA115" s="40" t="s">
        <v>36</v>
      </c>
      <c r="AB115" s="40" t="s">
        <v>635</v>
      </c>
      <c r="AC115" s="40">
        <v>22.0</v>
      </c>
      <c r="AD115" s="41">
        <v>15.0</v>
      </c>
      <c r="AE115" s="40" t="s">
        <v>621</v>
      </c>
      <c r="AF115" s="40" t="s">
        <v>27</v>
      </c>
    </row>
    <row r="116" ht="14.25" hidden="1" customHeight="1">
      <c r="A116" s="40" t="s">
        <v>189</v>
      </c>
      <c r="B116" s="40" t="s">
        <v>595</v>
      </c>
      <c r="C116" s="40" t="s">
        <v>20</v>
      </c>
      <c r="E116" s="40">
        <v>8.0</v>
      </c>
      <c r="F116" s="40">
        <v>0.0</v>
      </c>
      <c r="G116" s="41">
        <v>8.0</v>
      </c>
      <c r="H116" s="40">
        <v>653470.0</v>
      </c>
      <c r="I116" s="40" t="s">
        <v>2</v>
      </c>
      <c r="J116" s="40" t="s">
        <v>251</v>
      </c>
      <c r="K116" s="40" t="s">
        <v>252</v>
      </c>
      <c r="L116" s="40" t="s">
        <v>253</v>
      </c>
      <c r="M116" s="40" t="s">
        <v>606</v>
      </c>
      <c r="N116" s="40">
        <v>678726.0</v>
      </c>
      <c r="O116" s="40" t="s">
        <v>60</v>
      </c>
      <c r="P116" s="40" t="s">
        <v>597</v>
      </c>
      <c r="Q116" s="40">
        <v>45041.0</v>
      </c>
      <c r="R116" s="40" t="s">
        <v>62</v>
      </c>
      <c r="S116" s="40" t="s">
        <v>34</v>
      </c>
      <c r="T116" s="40" t="s">
        <v>598</v>
      </c>
      <c r="U116" s="40" t="s">
        <v>599</v>
      </c>
      <c r="V116" s="40" t="s">
        <v>600</v>
      </c>
      <c r="W116" s="40" t="s">
        <v>799</v>
      </c>
      <c r="X116" s="40" t="s">
        <v>660</v>
      </c>
      <c r="Y116" s="40" t="s">
        <v>254</v>
      </c>
      <c r="Z116" s="40" t="s">
        <v>808</v>
      </c>
      <c r="AA116" s="40" t="s">
        <v>36</v>
      </c>
      <c r="AB116" s="40" t="s">
        <v>635</v>
      </c>
      <c r="AC116" s="40">
        <v>15.0</v>
      </c>
      <c r="AD116" s="41">
        <v>25.0</v>
      </c>
      <c r="AE116" s="40" t="s">
        <v>610</v>
      </c>
      <c r="AF116" s="40" t="s">
        <v>27</v>
      </c>
    </row>
    <row r="117" ht="14.25" hidden="1" customHeight="1">
      <c r="A117" s="40" t="s">
        <v>189</v>
      </c>
      <c r="B117" s="40" t="s">
        <v>595</v>
      </c>
      <c r="C117" s="40" t="s">
        <v>20</v>
      </c>
      <c r="E117" s="40">
        <v>8.0</v>
      </c>
      <c r="F117" s="40">
        <v>0.0</v>
      </c>
      <c r="G117" s="41">
        <v>8.0</v>
      </c>
      <c r="H117" s="40">
        <v>653470.0</v>
      </c>
      <c r="I117" s="40" t="s">
        <v>2</v>
      </c>
      <c r="J117" s="40" t="s">
        <v>184</v>
      </c>
      <c r="K117" s="40" t="s">
        <v>185</v>
      </c>
      <c r="L117" s="40" t="s">
        <v>186</v>
      </c>
      <c r="M117" s="40" t="s">
        <v>606</v>
      </c>
      <c r="N117" s="40">
        <v>706472.0</v>
      </c>
      <c r="O117" s="40" t="s">
        <v>187</v>
      </c>
      <c r="P117" s="40" t="s">
        <v>597</v>
      </c>
      <c r="Q117" s="40">
        <v>45041.0</v>
      </c>
      <c r="R117" s="40" t="s">
        <v>62</v>
      </c>
      <c r="S117" s="40" t="s">
        <v>34</v>
      </c>
      <c r="T117" s="40" t="s">
        <v>598</v>
      </c>
      <c r="U117" s="40" t="s">
        <v>599</v>
      </c>
      <c r="V117" s="40" t="s">
        <v>600</v>
      </c>
      <c r="W117" s="40" t="s">
        <v>803</v>
      </c>
      <c r="X117" s="40" t="s">
        <v>660</v>
      </c>
      <c r="Y117" s="40" t="s">
        <v>188</v>
      </c>
      <c r="Z117" s="40" t="s">
        <v>809</v>
      </c>
      <c r="AA117" s="40" t="s">
        <v>36</v>
      </c>
      <c r="AB117" s="40" t="s">
        <v>604</v>
      </c>
      <c r="AC117" s="40">
        <v>15.0</v>
      </c>
      <c r="AD117" s="41">
        <v>25.0</v>
      </c>
      <c r="AE117" s="40" t="s">
        <v>610</v>
      </c>
      <c r="AF117" s="40" t="s">
        <v>27</v>
      </c>
    </row>
    <row r="118" ht="14.25" hidden="1" customHeight="1">
      <c r="A118" s="40" t="s">
        <v>264</v>
      </c>
      <c r="B118" s="40" t="s">
        <v>595</v>
      </c>
      <c r="C118" s="40" t="s">
        <v>20</v>
      </c>
      <c r="D118" s="40" t="s">
        <v>266</v>
      </c>
      <c r="E118" s="40">
        <v>0.0</v>
      </c>
      <c r="F118" s="40">
        <v>4.07</v>
      </c>
      <c r="G118" s="41">
        <v>-4.07</v>
      </c>
      <c r="H118" s="40">
        <v>653470.0</v>
      </c>
      <c r="I118" s="40" t="s">
        <v>2</v>
      </c>
      <c r="J118" s="40" t="s">
        <v>260</v>
      </c>
      <c r="K118" s="40" t="s">
        <v>261</v>
      </c>
      <c r="L118" s="40" t="s">
        <v>262</v>
      </c>
      <c r="M118" s="40" t="s">
        <v>794</v>
      </c>
      <c r="N118" s="40">
        <v>847313.0</v>
      </c>
      <c r="O118" s="40" t="s">
        <v>197</v>
      </c>
      <c r="P118" s="40" t="s">
        <v>597</v>
      </c>
      <c r="Q118" s="40">
        <v>38593.0</v>
      </c>
      <c r="R118" s="40" t="s">
        <v>42</v>
      </c>
      <c r="S118" s="40" t="s">
        <v>34</v>
      </c>
      <c r="T118" s="40" t="s">
        <v>598</v>
      </c>
      <c r="U118" s="40" t="s">
        <v>617</v>
      </c>
      <c r="V118" s="40" t="s">
        <v>618</v>
      </c>
      <c r="W118" s="40" t="s">
        <v>810</v>
      </c>
      <c r="X118" s="40" t="s">
        <v>602</v>
      </c>
      <c r="Y118" s="40" t="s">
        <v>263</v>
      </c>
      <c r="Z118" s="40" t="s">
        <v>811</v>
      </c>
      <c r="AA118" s="40" t="s">
        <v>265</v>
      </c>
      <c r="AB118" s="40" t="s">
        <v>635</v>
      </c>
      <c r="AC118" s="40">
        <v>4.0</v>
      </c>
      <c r="AD118" s="41">
        <v>11.0</v>
      </c>
      <c r="AE118" s="40" t="s">
        <v>621</v>
      </c>
      <c r="AF118" s="40" t="s">
        <v>27</v>
      </c>
    </row>
    <row r="119" ht="14.25" hidden="1" customHeight="1">
      <c r="A119" s="40" t="s">
        <v>264</v>
      </c>
      <c r="B119" s="40" t="s">
        <v>595</v>
      </c>
      <c r="C119" s="40" t="s">
        <v>20</v>
      </c>
      <c r="E119" s="40">
        <v>4.07</v>
      </c>
      <c r="F119" s="40">
        <v>0.0</v>
      </c>
      <c r="G119" s="41">
        <v>4.07</v>
      </c>
      <c r="H119" s="40">
        <v>653470.0</v>
      </c>
      <c r="I119" s="40" t="s">
        <v>2</v>
      </c>
      <c r="J119" s="40" t="s">
        <v>260</v>
      </c>
      <c r="K119" s="40" t="s">
        <v>261</v>
      </c>
      <c r="L119" s="40" t="s">
        <v>262</v>
      </c>
      <c r="M119" s="40" t="s">
        <v>794</v>
      </c>
      <c r="N119" s="40">
        <v>847313.0</v>
      </c>
      <c r="O119" s="40" t="s">
        <v>197</v>
      </c>
      <c r="P119" s="40" t="s">
        <v>597</v>
      </c>
      <c r="Q119" s="40">
        <v>38593.0</v>
      </c>
      <c r="R119" s="40" t="s">
        <v>42</v>
      </c>
      <c r="S119" s="40" t="s">
        <v>34</v>
      </c>
      <c r="T119" s="40" t="s">
        <v>598</v>
      </c>
      <c r="U119" s="40" t="s">
        <v>617</v>
      </c>
      <c r="V119" s="40" t="s">
        <v>618</v>
      </c>
      <c r="W119" s="40" t="s">
        <v>810</v>
      </c>
      <c r="X119" s="40" t="s">
        <v>602</v>
      </c>
      <c r="Y119" s="40" t="s">
        <v>263</v>
      </c>
      <c r="Z119" s="40" t="s">
        <v>812</v>
      </c>
      <c r="AA119" s="40" t="s">
        <v>36</v>
      </c>
      <c r="AB119" s="40" t="s">
        <v>635</v>
      </c>
      <c r="AC119" s="40">
        <v>4.0</v>
      </c>
      <c r="AD119" s="41">
        <v>11.0</v>
      </c>
      <c r="AE119" s="40" t="s">
        <v>621</v>
      </c>
      <c r="AF119" s="40" t="s">
        <v>27</v>
      </c>
    </row>
    <row r="120" ht="14.25" hidden="1" customHeight="1">
      <c r="A120" s="40" t="s">
        <v>264</v>
      </c>
      <c r="B120" s="40" t="s">
        <v>595</v>
      </c>
      <c r="C120" s="40" t="s">
        <v>20</v>
      </c>
      <c r="E120" s="40">
        <v>12.48</v>
      </c>
      <c r="F120" s="40">
        <v>0.0</v>
      </c>
      <c r="G120" s="41">
        <v>12.48</v>
      </c>
      <c r="H120" s="40">
        <v>653470.0</v>
      </c>
      <c r="I120" s="40" t="s">
        <v>2</v>
      </c>
      <c r="J120" s="40" t="s">
        <v>267</v>
      </c>
      <c r="K120" s="40" t="s">
        <v>268</v>
      </c>
      <c r="L120" s="40" t="s">
        <v>269</v>
      </c>
      <c r="M120" s="40" t="s">
        <v>813</v>
      </c>
      <c r="N120" s="40">
        <v>759555.0</v>
      </c>
      <c r="O120" s="40" t="s">
        <v>48</v>
      </c>
      <c r="P120" s="40" t="s">
        <v>597</v>
      </c>
      <c r="Q120" s="40">
        <v>42250.0</v>
      </c>
      <c r="R120" s="40" t="s">
        <v>167</v>
      </c>
      <c r="S120" s="40" t="s">
        <v>34</v>
      </c>
      <c r="T120" s="40" t="s">
        <v>598</v>
      </c>
      <c r="U120" s="40" t="s">
        <v>599</v>
      </c>
      <c r="V120" s="40" t="s">
        <v>600</v>
      </c>
      <c r="W120" s="40" t="s">
        <v>664</v>
      </c>
      <c r="X120" s="40" t="s">
        <v>248</v>
      </c>
      <c r="Y120" s="40" t="s">
        <v>270</v>
      </c>
      <c r="Z120" s="40" t="s">
        <v>814</v>
      </c>
      <c r="AA120" s="40" t="s">
        <v>36</v>
      </c>
      <c r="AB120" s="40" t="s">
        <v>604</v>
      </c>
      <c r="AC120" s="40">
        <v>2.0</v>
      </c>
      <c r="AD120" s="41">
        <v>52.0</v>
      </c>
      <c r="AE120" s="40" t="s">
        <v>605</v>
      </c>
      <c r="AF120" s="40" t="s">
        <v>27</v>
      </c>
    </row>
    <row r="121" ht="14.25" hidden="1" customHeight="1">
      <c r="A121" s="40" t="s">
        <v>264</v>
      </c>
      <c r="B121" s="40" t="s">
        <v>595</v>
      </c>
      <c r="C121" s="40" t="s">
        <v>20</v>
      </c>
      <c r="E121" s="40">
        <v>44.4</v>
      </c>
      <c r="F121" s="40">
        <v>0.0</v>
      </c>
      <c r="G121" s="41">
        <v>44.4</v>
      </c>
      <c r="H121" s="40">
        <v>653470.0</v>
      </c>
      <c r="I121" s="40" t="s">
        <v>2</v>
      </c>
      <c r="J121" s="40" t="s">
        <v>271</v>
      </c>
      <c r="K121" s="40" t="s">
        <v>272</v>
      </c>
      <c r="L121" s="40" t="s">
        <v>273</v>
      </c>
      <c r="M121" s="40" t="s">
        <v>631</v>
      </c>
      <c r="N121" s="40">
        <v>757929.0</v>
      </c>
      <c r="O121" s="40" t="s">
        <v>134</v>
      </c>
      <c r="P121" s="40" t="s">
        <v>597</v>
      </c>
      <c r="Q121" s="40">
        <v>38398.0</v>
      </c>
      <c r="R121" s="40" t="s">
        <v>106</v>
      </c>
      <c r="S121" s="40" t="s">
        <v>78</v>
      </c>
      <c r="T121" s="40" t="s">
        <v>598</v>
      </c>
      <c r="U121" s="40" t="s">
        <v>599</v>
      </c>
      <c r="V121" s="40" t="s">
        <v>600</v>
      </c>
      <c r="W121" s="40" t="s">
        <v>705</v>
      </c>
      <c r="X121" s="40" t="s">
        <v>660</v>
      </c>
      <c r="Y121" s="40" t="s">
        <v>274</v>
      </c>
      <c r="Z121" s="40" t="s">
        <v>815</v>
      </c>
      <c r="AA121" s="40" t="s">
        <v>36</v>
      </c>
      <c r="AB121" s="40" t="s">
        <v>604</v>
      </c>
      <c r="AC121" s="40">
        <v>15.0</v>
      </c>
      <c r="AD121" s="41">
        <v>185.0</v>
      </c>
      <c r="AE121" s="40" t="s">
        <v>605</v>
      </c>
      <c r="AF121" s="40" t="s">
        <v>27</v>
      </c>
    </row>
    <row r="122" ht="14.25" hidden="1" customHeight="1">
      <c r="A122" s="40" t="s">
        <v>264</v>
      </c>
      <c r="B122" s="40" t="s">
        <v>595</v>
      </c>
      <c r="C122" s="40" t="s">
        <v>20</v>
      </c>
      <c r="E122" s="40">
        <v>4.07</v>
      </c>
      <c r="F122" s="40">
        <v>0.0</v>
      </c>
      <c r="G122" s="41">
        <v>4.07</v>
      </c>
      <c r="H122" s="40">
        <v>653470.0</v>
      </c>
      <c r="I122" s="40" t="s">
        <v>2</v>
      </c>
      <c r="J122" s="40" t="s">
        <v>267</v>
      </c>
      <c r="K122" s="40" t="s">
        <v>268</v>
      </c>
      <c r="L122" s="40" t="s">
        <v>269</v>
      </c>
      <c r="M122" s="40" t="s">
        <v>813</v>
      </c>
      <c r="N122" s="40">
        <v>759555.0</v>
      </c>
      <c r="O122" s="40" t="s">
        <v>48</v>
      </c>
      <c r="P122" s="40" t="s">
        <v>597</v>
      </c>
      <c r="Q122" s="40">
        <v>38593.0</v>
      </c>
      <c r="R122" s="40" t="s">
        <v>42</v>
      </c>
      <c r="S122" s="40" t="s">
        <v>34</v>
      </c>
      <c r="T122" s="40" t="s">
        <v>598</v>
      </c>
      <c r="U122" s="40" t="s">
        <v>617</v>
      </c>
      <c r="V122" s="40" t="s">
        <v>618</v>
      </c>
      <c r="W122" s="40" t="s">
        <v>664</v>
      </c>
      <c r="X122" s="40" t="s">
        <v>248</v>
      </c>
      <c r="Y122" s="40" t="s">
        <v>275</v>
      </c>
      <c r="Z122" s="40" t="s">
        <v>814</v>
      </c>
      <c r="AA122" s="40" t="s">
        <v>36</v>
      </c>
      <c r="AB122" s="40" t="s">
        <v>604</v>
      </c>
      <c r="AC122" s="40">
        <v>2.0</v>
      </c>
      <c r="AD122" s="41">
        <v>11.0</v>
      </c>
      <c r="AE122" s="40" t="s">
        <v>621</v>
      </c>
      <c r="AF122" s="40" t="s">
        <v>27</v>
      </c>
    </row>
    <row r="123" ht="14.25" hidden="1" customHeight="1">
      <c r="A123" s="40" t="s">
        <v>280</v>
      </c>
      <c r="B123" s="40" t="s">
        <v>595</v>
      </c>
      <c r="C123" s="40" t="s">
        <v>20</v>
      </c>
      <c r="E123" s="40">
        <v>8.0</v>
      </c>
      <c r="F123" s="40">
        <v>0.0</v>
      </c>
      <c r="G123" s="41">
        <v>8.0</v>
      </c>
      <c r="H123" s="40">
        <v>653470.0</v>
      </c>
      <c r="I123" s="40" t="s">
        <v>2</v>
      </c>
      <c r="J123" s="40" t="s">
        <v>276</v>
      </c>
      <c r="K123" s="40" t="s">
        <v>277</v>
      </c>
      <c r="L123" s="40" t="s">
        <v>278</v>
      </c>
      <c r="M123" s="40" t="s">
        <v>606</v>
      </c>
      <c r="N123" s="40">
        <v>678726.0</v>
      </c>
      <c r="O123" s="40" t="s">
        <v>60</v>
      </c>
      <c r="P123" s="40" t="s">
        <v>597</v>
      </c>
      <c r="Q123" s="40">
        <v>45041.0</v>
      </c>
      <c r="R123" s="40" t="s">
        <v>62</v>
      </c>
      <c r="S123" s="40" t="s">
        <v>34</v>
      </c>
      <c r="T123" s="40" t="s">
        <v>598</v>
      </c>
      <c r="U123" s="40" t="s">
        <v>599</v>
      </c>
      <c r="V123" s="40" t="s">
        <v>600</v>
      </c>
      <c r="W123" s="40" t="s">
        <v>816</v>
      </c>
      <c r="X123" s="40" t="s">
        <v>656</v>
      </c>
      <c r="Y123" s="40" t="s">
        <v>279</v>
      </c>
      <c r="Z123" s="40" t="s">
        <v>817</v>
      </c>
      <c r="AA123" s="40" t="s">
        <v>36</v>
      </c>
      <c r="AB123" s="40" t="s">
        <v>604</v>
      </c>
      <c r="AC123" s="40">
        <v>17.0</v>
      </c>
      <c r="AD123" s="41">
        <v>25.0</v>
      </c>
      <c r="AE123" s="40" t="s">
        <v>610</v>
      </c>
      <c r="AF123" s="40" t="s">
        <v>27</v>
      </c>
    </row>
    <row r="124" ht="14.25" hidden="1" customHeight="1">
      <c r="A124" s="40" t="s">
        <v>280</v>
      </c>
      <c r="B124" s="40" t="s">
        <v>595</v>
      </c>
      <c r="C124" s="40" t="s">
        <v>20</v>
      </c>
      <c r="E124" s="40">
        <v>4.07</v>
      </c>
      <c r="F124" s="40">
        <v>0.0</v>
      </c>
      <c r="G124" s="41">
        <v>4.07</v>
      </c>
      <c r="H124" s="40">
        <v>653470.0</v>
      </c>
      <c r="I124" s="40" t="s">
        <v>2</v>
      </c>
      <c r="J124" s="40" t="s">
        <v>276</v>
      </c>
      <c r="K124" s="40" t="s">
        <v>277</v>
      </c>
      <c r="L124" s="40" t="s">
        <v>278</v>
      </c>
      <c r="M124" s="40" t="s">
        <v>606</v>
      </c>
      <c r="N124" s="40">
        <v>678726.0</v>
      </c>
      <c r="O124" s="40" t="s">
        <v>60</v>
      </c>
      <c r="P124" s="40" t="s">
        <v>597</v>
      </c>
      <c r="Q124" s="40">
        <v>38593.0</v>
      </c>
      <c r="R124" s="40" t="s">
        <v>42</v>
      </c>
      <c r="S124" s="40" t="s">
        <v>34</v>
      </c>
      <c r="T124" s="40" t="s">
        <v>598</v>
      </c>
      <c r="U124" s="40" t="s">
        <v>617</v>
      </c>
      <c r="V124" s="40" t="s">
        <v>618</v>
      </c>
      <c r="W124" s="40" t="s">
        <v>816</v>
      </c>
      <c r="X124" s="40" t="s">
        <v>656</v>
      </c>
      <c r="Y124" s="40" t="s">
        <v>281</v>
      </c>
      <c r="Z124" s="40" t="s">
        <v>817</v>
      </c>
      <c r="AA124" s="40" t="s">
        <v>36</v>
      </c>
      <c r="AB124" s="40" t="s">
        <v>604</v>
      </c>
      <c r="AC124" s="40">
        <v>17.0</v>
      </c>
      <c r="AD124" s="41">
        <v>11.0</v>
      </c>
      <c r="AE124" s="40" t="s">
        <v>621</v>
      </c>
      <c r="AF124" s="40" t="s">
        <v>27</v>
      </c>
    </row>
    <row r="125" ht="14.25" hidden="1" customHeight="1">
      <c r="A125" s="40" t="s">
        <v>286</v>
      </c>
      <c r="B125" s="40" t="s">
        <v>595</v>
      </c>
      <c r="C125" s="40" t="s">
        <v>20</v>
      </c>
      <c r="E125" s="40">
        <v>8.0</v>
      </c>
      <c r="F125" s="40">
        <v>0.0</v>
      </c>
      <c r="G125" s="41">
        <v>8.0</v>
      </c>
      <c r="H125" s="40">
        <v>653470.0</v>
      </c>
      <c r="I125" s="40" t="s">
        <v>2</v>
      </c>
      <c r="J125" s="40" t="s">
        <v>282</v>
      </c>
      <c r="K125" s="40" t="s">
        <v>283</v>
      </c>
      <c r="L125" s="40" t="s">
        <v>284</v>
      </c>
      <c r="M125" s="40" t="s">
        <v>606</v>
      </c>
      <c r="N125" s="40">
        <v>678726.0</v>
      </c>
      <c r="O125" s="40" t="s">
        <v>60</v>
      </c>
      <c r="P125" s="40" t="s">
        <v>597</v>
      </c>
      <c r="Q125" s="40">
        <v>45041.0</v>
      </c>
      <c r="R125" s="40" t="s">
        <v>62</v>
      </c>
      <c r="S125" s="40" t="s">
        <v>34</v>
      </c>
      <c r="T125" s="40" t="s">
        <v>598</v>
      </c>
      <c r="U125" s="40" t="s">
        <v>599</v>
      </c>
      <c r="V125" s="40" t="s">
        <v>600</v>
      </c>
      <c r="W125" s="40" t="s">
        <v>656</v>
      </c>
      <c r="X125" s="40" t="s">
        <v>672</v>
      </c>
      <c r="Y125" s="40" t="s">
        <v>285</v>
      </c>
      <c r="Z125" s="40" t="s">
        <v>818</v>
      </c>
      <c r="AA125" s="40" t="s">
        <v>36</v>
      </c>
      <c r="AB125" s="40" t="s">
        <v>604</v>
      </c>
      <c r="AC125" s="40">
        <v>16.0</v>
      </c>
      <c r="AD125" s="41">
        <v>25.0</v>
      </c>
      <c r="AE125" s="40" t="s">
        <v>610</v>
      </c>
      <c r="AF125" s="40" t="s">
        <v>27</v>
      </c>
    </row>
    <row r="126" ht="14.25" hidden="1" customHeight="1">
      <c r="A126" s="40" t="s">
        <v>286</v>
      </c>
      <c r="B126" s="40" t="s">
        <v>595</v>
      </c>
      <c r="C126" s="40" t="s">
        <v>20</v>
      </c>
      <c r="E126" s="40">
        <v>15.6</v>
      </c>
      <c r="F126" s="40">
        <v>0.0</v>
      </c>
      <c r="G126" s="41">
        <v>15.6</v>
      </c>
      <c r="H126" s="40">
        <v>653470.0</v>
      </c>
      <c r="I126" s="40" t="s">
        <v>2</v>
      </c>
      <c r="J126" s="40" t="s">
        <v>287</v>
      </c>
      <c r="K126" s="40" t="s">
        <v>288</v>
      </c>
      <c r="L126" s="40" t="s">
        <v>289</v>
      </c>
      <c r="M126" s="40" t="s">
        <v>819</v>
      </c>
      <c r="N126" s="40">
        <v>689390.0</v>
      </c>
      <c r="O126" s="40" t="s">
        <v>31</v>
      </c>
      <c r="P126" s="40" t="s">
        <v>597</v>
      </c>
      <c r="Q126" s="40">
        <v>42251.0</v>
      </c>
      <c r="R126" s="40" t="s">
        <v>86</v>
      </c>
      <c r="S126" s="40" t="s">
        <v>34</v>
      </c>
      <c r="T126" s="40" t="s">
        <v>598</v>
      </c>
      <c r="U126" s="40" t="s">
        <v>599</v>
      </c>
      <c r="V126" s="40" t="s">
        <v>600</v>
      </c>
      <c r="W126" s="40" t="s">
        <v>820</v>
      </c>
      <c r="X126" s="40" t="s">
        <v>717</v>
      </c>
      <c r="Y126" s="40" t="s">
        <v>290</v>
      </c>
      <c r="Z126" s="40" t="s">
        <v>821</v>
      </c>
      <c r="AA126" s="40" t="s">
        <v>36</v>
      </c>
      <c r="AB126" s="40" t="s">
        <v>604</v>
      </c>
      <c r="AC126" s="40">
        <v>7.0</v>
      </c>
      <c r="AD126" s="41">
        <v>65.0</v>
      </c>
      <c r="AE126" s="40" t="s">
        <v>605</v>
      </c>
      <c r="AF126" s="40" t="s">
        <v>27</v>
      </c>
    </row>
    <row r="127" ht="14.25" hidden="1" customHeight="1">
      <c r="A127" s="40" t="s">
        <v>291</v>
      </c>
      <c r="B127" s="40" t="s">
        <v>595</v>
      </c>
      <c r="C127" s="40" t="s">
        <v>20</v>
      </c>
      <c r="D127" s="40" t="s">
        <v>266</v>
      </c>
      <c r="E127" s="40">
        <v>0.0</v>
      </c>
      <c r="F127" s="40">
        <v>6.0</v>
      </c>
      <c r="G127" s="41">
        <v>-6.0</v>
      </c>
      <c r="H127" s="40">
        <v>653470.0</v>
      </c>
      <c r="I127" s="40" t="s">
        <v>2</v>
      </c>
      <c r="J127" s="40" t="s">
        <v>194</v>
      </c>
      <c r="K127" s="40" t="s">
        <v>195</v>
      </c>
      <c r="L127" s="40" t="s">
        <v>196</v>
      </c>
      <c r="M127" s="40" t="s">
        <v>822</v>
      </c>
      <c r="N127" s="40">
        <v>847313.0</v>
      </c>
      <c r="O127" s="40" t="s">
        <v>197</v>
      </c>
      <c r="P127" s="40" t="s">
        <v>597</v>
      </c>
      <c r="Q127" s="40">
        <v>39849.0</v>
      </c>
      <c r="R127" s="40" t="s">
        <v>199</v>
      </c>
      <c r="S127" s="40" t="s">
        <v>34</v>
      </c>
      <c r="T127" s="40" t="s">
        <v>598</v>
      </c>
      <c r="U127" s="40" t="s">
        <v>599</v>
      </c>
      <c r="V127" s="40" t="s">
        <v>600</v>
      </c>
      <c r="W127" s="40" t="s">
        <v>666</v>
      </c>
      <c r="X127" s="40" t="s">
        <v>620</v>
      </c>
      <c r="Y127" s="40" t="s">
        <v>198</v>
      </c>
      <c r="Z127" s="40" t="s">
        <v>823</v>
      </c>
      <c r="AA127" s="40" t="s">
        <v>265</v>
      </c>
      <c r="AB127" s="40" t="s">
        <v>635</v>
      </c>
      <c r="AC127" s="40">
        <v>11.0</v>
      </c>
      <c r="AD127" s="41">
        <v>25.0</v>
      </c>
      <c r="AE127" s="40" t="s">
        <v>605</v>
      </c>
      <c r="AF127" s="40" t="s">
        <v>27</v>
      </c>
    </row>
    <row r="128" ht="14.25" hidden="1" customHeight="1">
      <c r="A128" s="40" t="s">
        <v>291</v>
      </c>
      <c r="B128" s="40" t="s">
        <v>595</v>
      </c>
      <c r="C128" s="40" t="s">
        <v>20</v>
      </c>
      <c r="E128" s="40">
        <v>17.04</v>
      </c>
      <c r="F128" s="40">
        <v>0.0</v>
      </c>
      <c r="G128" s="41">
        <v>17.04</v>
      </c>
      <c r="H128" s="40">
        <v>653470.0</v>
      </c>
      <c r="I128" s="40" t="s">
        <v>2</v>
      </c>
      <c r="J128" s="40" t="s">
        <v>292</v>
      </c>
      <c r="K128" s="40" t="s">
        <v>293</v>
      </c>
      <c r="L128" s="40" t="s">
        <v>294</v>
      </c>
      <c r="M128" s="40" t="s">
        <v>611</v>
      </c>
      <c r="N128" s="40">
        <v>689390.0</v>
      </c>
      <c r="O128" s="40" t="s">
        <v>31</v>
      </c>
      <c r="P128" s="40" t="s">
        <v>597</v>
      </c>
      <c r="Q128" s="40">
        <v>38399.0</v>
      </c>
      <c r="R128" s="40" t="s">
        <v>33</v>
      </c>
      <c r="S128" s="40" t="s">
        <v>34</v>
      </c>
      <c r="T128" s="40" t="s">
        <v>598</v>
      </c>
      <c r="U128" s="40" t="s">
        <v>599</v>
      </c>
      <c r="V128" s="40" t="s">
        <v>600</v>
      </c>
      <c r="W128" s="40" t="s">
        <v>824</v>
      </c>
      <c r="X128" s="40" t="s">
        <v>620</v>
      </c>
      <c r="Y128" s="40" t="s">
        <v>295</v>
      </c>
      <c r="Z128" s="40" t="s">
        <v>825</v>
      </c>
      <c r="AA128" s="40" t="s">
        <v>36</v>
      </c>
      <c r="AB128" s="40" t="s">
        <v>635</v>
      </c>
      <c r="AC128" s="40">
        <v>3.0</v>
      </c>
      <c r="AD128" s="41">
        <v>71.0</v>
      </c>
      <c r="AE128" s="40" t="s">
        <v>605</v>
      </c>
      <c r="AF128" s="40" t="s">
        <v>27</v>
      </c>
    </row>
    <row r="129" ht="14.25" hidden="1" customHeight="1">
      <c r="A129" s="40" t="s">
        <v>300</v>
      </c>
      <c r="B129" s="40" t="s">
        <v>595</v>
      </c>
      <c r="C129" s="40" t="s">
        <v>20</v>
      </c>
      <c r="E129" s="40">
        <v>4.07</v>
      </c>
      <c r="F129" s="40">
        <v>0.0</v>
      </c>
      <c r="G129" s="41">
        <v>4.07</v>
      </c>
      <c r="H129" s="40">
        <v>653470.0</v>
      </c>
      <c r="I129" s="40" t="s">
        <v>2</v>
      </c>
      <c r="J129" s="40" t="s">
        <v>296</v>
      </c>
      <c r="K129" s="40" t="s">
        <v>297</v>
      </c>
      <c r="L129" s="40" t="s">
        <v>298</v>
      </c>
      <c r="M129" s="40" t="s">
        <v>826</v>
      </c>
      <c r="N129" s="40">
        <v>703501.0</v>
      </c>
      <c r="O129" s="40" t="s">
        <v>75</v>
      </c>
      <c r="P129" s="40" t="s">
        <v>597</v>
      </c>
      <c r="Q129" s="40">
        <v>38593.0</v>
      </c>
      <c r="R129" s="40" t="s">
        <v>42</v>
      </c>
      <c r="S129" s="40" t="s">
        <v>34</v>
      </c>
      <c r="T129" s="40" t="s">
        <v>598</v>
      </c>
      <c r="U129" s="40" t="s">
        <v>617</v>
      </c>
      <c r="V129" s="40" t="s">
        <v>618</v>
      </c>
      <c r="W129" s="40" t="s">
        <v>827</v>
      </c>
      <c r="X129" s="40" t="s">
        <v>613</v>
      </c>
      <c r="Y129" s="40" t="s">
        <v>299</v>
      </c>
      <c r="Z129" s="40" t="s">
        <v>828</v>
      </c>
      <c r="AA129" s="40" t="s">
        <v>36</v>
      </c>
      <c r="AB129" s="40" t="s">
        <v>604</v>
      </c>
      <c r="AC129" s="40">
        <v>29.0</v>
      </c>
      <c r="AD129" s="41">
        <v>11.0</v>
      </c>
      <c r="AE129" s="40" t="s">
        <v>621</v>
      </c>
      <c r="AF129" s="40" t="s">
        <v>27</v>
      </c>
    </row>
    <row r="130" ht="14.25" hidden="1" customHeight="1">
      <c r="A130" s="40" t="s">
        <v>300</v>
      </c>
      <c r="B130" s="40" t="s">
        <v>595</v>
      </c>
      <c r="C130" s="40" t="s">
        <v>20</v>
      </c>
      <c r="E130" s="40">
        <v>4.07</v>
      </c>
      <c r="F130" s="40">
        <v>0.0</v>
      </c>
      <c r="G130" s="41">
        <v>4.07</v>
      </c>
      <c r="H130" s="40">
        <v>653470.0</v>
      </c>
      <c r="I130" s="40" t="s">
        <v>2</v>
      </c>
      <c r="J130" s="40" t="s">
        <v>301</v>
      </c>
      <c r="K130" s="40" t="s">
        <v>302</v>
      </c>
      <c r="L130" s="40" t="s">
        <v>303</v>
      </c>
      <c r="M130" s="40" t="s">
        <v>606</v>
      </c>
      <c r="N130" s="40">
        <v>678726.0</v>
      </c>
      <c r="O130" s="40" t="s">
        <v>60</v>
      </c>
      <c r="P130" s="40" t="s">
        <v>597</v>
      </c>
      <c r="Q130" s="40">
        <v>38593.0</v>
      </c>
      <c r="R130" s="40" t="s">
        <v>42</v>
      </c>
      <c r="S130" s="40" t="s">
        <v>34</v>
      </c>
      <c r="T130" s="40" t="s">
        <v>598</v>
      </c>
      <c r="U130" s="40" t="s">
        <v>617</v>
      </c>
      <c r="V130" s="40" t="s">
        <v>618</v>
      </c>
      <c r="W130" s="40" t="s">
        <v>829</v>
      </c>
      <c r="X130" s="40" t="s">
        <v>660</v>
      </c>
      <c r="Y130" s="40" t="s">
        <v>304</v>
      </c>
      <c r="Z130" s="40" t="s">
        <v>830</v>
      </c>
      <c r="AA130" s="40" t="s">
        <v>36</v>
      </c>
      <c r="AB130" s="40" t="s">
        <v>604</v>
      </c>
      <c r="AC130" s="40">
        <v>15.0</v>
      </c>
      <c r="AD130" s="41">
        <v>11.0</v>
      </c>
      <c r="AE130" s="40" t="s">
        <v>621</v>
      </c>
      <c r="AF130" s="40" t="s">
        <v>27</v>
      </c>
    </row>
    <row r="131" ht="14.25" hidden="1" customHeight="1">
      <c r="A131" s="40" t="s">
        <v>193</v>
      </c>
      <c r="B131" s="40" t="s">
        <v>595</v>
      </c>
      <c r="C131" s="40" t="s">
        <v>20</v>
      </c>
      <c r="E131" s="40">
        <v>6.48</v>
      </c>
      <c r="F131" s="40">
        <v>0.0</v>
      </c>
      <c r="G131" s="41">
        <v>6.48</v>
      </c>
      <c r="H131" s="40">
        <v>653470.0</v>
      </c>
      <c r="I131" s="40" t="s">
        <v>2</v>
      </c>
      <c r="J131" s="40" t="s">
        <v>305</v>
      </c>
      <c r="K131" s="40" t="s">
        <v>306</v>
      </c>
      <c r="L131" s="40" t="s">
        <v>307</v>
      </c>
      <c r="M131" s="40" t="s">
        <v>606</v>
      </c>
      <c r="N131" s="40">
        <v>798992.0</v>
      </c>
      <c r="O131" s="40" t="s">
        <v>90</v>
      </c>
      <c r="P131" s="40" t="s">
        <v>597</v>
      </c>
      <c r="Q131" s="40">
        <v>47133.0</v>
      </c>
      <c r="R131" s="40" t="s">
        <v>119</v>
      </c>
      <c r="S131" s="40" t="s">
        <v>34</v>
      </c>
      <c r="T131" s="40" t="s">
        <v>598</v>
      </c>
      <c r="U131" s="40" t="s">
        <v>599</v>
      </c>
      <c r="V131" s="40" t="s">
        <v>600</v>
      </c>
      <c r="W131" s="40" t="s">
        <v>831</v>
      </c>
      <c r="X131" s="40" t="s">
        <v>641</v>
      </c>
      <c r="Y131" s="40" t="s">
        <v>308</v>
      </c>
      <c r="Z131" s="40" t="s">
        <v>832</v>
      </c>
      <c r="AA131" s="40" t="s">
        <v>36</v>
      </c>
      <c r="AB131" s="40" t="s">
        <v>635</v>
      </c>
      <c r="AC131" s="40">
        <v>5.0</v>
      </c>
      <c r="AD131" s="41">
        <v>27.0</v>
      </c>
      <c r="AE131" s="40" t="s">
        <v>605</v>
      </c>
      <c r="AF131" s="40" t="s">
        <v>27</v>
      </c>
    </row>
    <row r="132" ht="14.25" hidden="1" customHeight="1">
      <c r="A132" s="40" t="s">
        <v>193</v>
      </c>
      <c r="B132" s="40" t="s">
        <v>595</v>
      </c>
      <c r="C132" s="40" t="s">
        <v>20</v>
      </c>
      <c r="E132" s="40">
        <v>15.6</v>
      </c>
      <c r="F132" s="40">
        <v>0.0</v>
      </c>
      <c r="G132" s="41">
        <v>15.6</v>
      </c>
      <c r="H132" s="40">
        <v>653470.0</v>
      </c>
      <c r="I132" s="40" t="s">
        <v>2</v>
      </c>
      <c r="J132" s="40" t="s">
        <v>309</v>
      </c>
      <c r="K132" s="40" t="s">
        <v>310</v>
      </c>
      <c r="L132" s="40" t="s">
        <v>311</v>
      </c>
      <c r="M132" s="40" t="s">
        <v>611</v>
      </c>
      <c r="N132" s="40">
        <v>689390.0</v>
      </c>
      <c r="O132" s="40" t="s">
        <v>31</v>
      </c>
      <c r="P132" s="40" t="s">
        <v>597</v>
      </c>
      <c r="Q132" s="40">
        <v>38399.0</v>
      </c>
      <c r="R132" s="40" t="s">
        <v>33</v>
      </c>
      <c r="S132" s="40" t="s">
        <v>34</v>
      </c>
      <c r="T132" s="40" t="s">
        <v>598</v>
      </c>
      <c r="U132" s="40" t="s">
        <v>599</v>
      </c>
      <c r="V132" s="40" t="s">
        <v>600</v>
      </c>
      <c r="W132" s="40" t="s">
        <v>833</v>
      </c>
      <c r="X132" s="40" t="s">
        <v>805</v>
      </c>
      <c r="Y132" s="40" t="s">
        <v>312</v>
      </c>
      <c r="Z132" s="40" t="s">
        <v>834</v>
      </c>
      <c r="AA132" s="40" t="s">
        <v>36</v>
      </c>
      <c r="AB132" s="40" t="s">
        <v>635</v>
      </c>
      <c r="AC132" s="40">
        <v>27.0</v>
      </c>
      <c r="AD132" s="41">
        <v>65.0</v>
      </c>
      <c r="AE132" s="40" t="s">
        <v>605</v>
      </c>
      <c r="AF132" s="40" t="s">
        <v>27</v>
      </c>
    </row>
    <row r="133" ht="14.25" hidden="1" customHeight="1">
      <c r="A133" s="40" t="s">
        <v>193</v>
      </c>
      <c r="B133" s="40" t="s">
        <v>595</v>
      </c>
      <c r="C133" s="40" t="s">
        <v>20</v>
      </c>
      <c r="E133" s="40">
        <v>4.07</v>
      </c>
      <c r="F133" s="40">
        <v>0.0</v>
      </c>
      <c r="G133" s="41">
        <v>4.07</v>
      </c>
      <c r="H133" s="40">
        <v>653470.0</v>
      </c>
      <c r="I133" s="40" t="s">
        <v>2</v>
      </c>
      <c r="J133" s="40" t="s">
        <v>255</v>
      </c>
      <c r="K133" s="40" t="s">
        <v>256</v>
      </c>
      <c r="L133" s="40" t="s">
        <v>257</v>
      </c>
      <c r="M133" s="40" t="s">
        <v>631</v>
      </c>
      <c r="N133" s="40">
        <v>759555.0</v>
      </c>
      <c r="O133" s="40" t="s">
        <v>48</v>
      </c>
      <c r="P133" s="40" t="s">
        <v>597</v>
      </c>
      <c r="Q133" s="40">
        <v>38593.0</v>
      </c>
      <c r="R133" s="40" t="s">
        <v>42</v>
      </c>
      <c r="S133" s="40" t="s">
        <v>34</v>
      </c>
      <c r="T133" s="40" t="s">
        <v>598</v>
      </c>
      <c r="U133" s="40" t="s">
        <v>617</v>
      </c>
      <c r="V133" s="40" t="s">
        <v>618</v>
      </c>
      <c r="W133" s="40" t="s">
        <v>835</v>
      </c>
      <c r="X133" s="40" t="s">
        <v>620</v>
      </c>
      <c r="Y133" s="40" t="s">
        <v>259</v>
      </c>
      <c r="Z133" s="40" t="s">
        <v>836</v>
      </c>
      <c r="AA133" s="40" t="s">
        <v>36</v>
      </c>
      <c r="AB133" s="40" t="s">
        <v>635</v>
      </c>
      <c r="AC133" s="40">
        <v>2.0</v>
      </c>
      <c r="AD133" s="41">
        <v>11.0</v>
      </c>
      <c r="AE133" s="40" t="s">
        <v>621</v>
      </c>
      <c r="AF133" s="40" t="s">
        <v>27</v>
      </c>
    </row>
    <row r="134" ht="14.25" hidden="1" customHeight="1">
      <c r="A134" s="40" t="s">
        <v>193</v>
      </c>
      <c r="B134" s="40" t="s">
        <v>595</v>
      </c>
      <c r="C134" s="40" t="s">
        <v>20</v>
      </c>
      <c r="E134" s="40">
        <v>1.05</v>
      </c>
      <c r="F134" s="40">
        <v>0.0</v>
      </c>
      <c r="G134" s="41">
        <v>1.05</v>
      </c>
      <c r="H134" s="40">
        <v>653470.0</v>
      </c>
      <c r="I134" s="40" t="s">
        <v>2</v>
      </c>
      <c r="J134" s="40" t="s">
        <v>313</v>
      </c>
      <c r="K134" s="40" t="s">
        <v>314</v>
      </c>
      <c r="L134" s="40" t="s">
        <v>315</v>
      </c>
      <c r="M134" s="40" t="s">
        <v>611</v>
      </c>
      <c r="N134" s="40">
        <v>720542.0</v>
      </c>
      <c r="O134" s="40" t="s">
        <v>316</v>
      </c>
      <c r="P134" s="40" t="s">
        <v>597</v>
      </c>
      <c r="Q134" s="40">
        <v>38398.0</v>
      </c>
      <c r="R134" s="40" t="s">
        <v>106</v>
      </c>
      <c r="S134" s="40" t="s">
        <v>34</v>
      </c>
      <c r="T134" s="40" t="s">
        <v>598</v>
      </c>
      <c r="U134" s="40" t="s">
        <v>599</v>
      </c>
      <c r="V134" s="40" t="s">
        <v>600</v>
      </c>
      <c r="W134" s="40" t="s">
        <v>833</v>
      </c>
      <c r="X134" s="40" t="s">
        <v>805</v>
      </c>
      <c r="Y134" s="40" t="s">
        <v>317</v>
      </c>
      <c r="Z134" s="40" t="s">
        <v>837</v>
      </c>
      <c r="AA134" s="40" t="s">
        <v>36</v>
      </c>
      <c r="AB134" s="40" t="s">
        <v>635</v>
      </c>
      <c r="AC134" s="40">
        <v>27.0</v>
      </c>
      <c r="AD134" s="41">
        <v>35.0</v>
      </c>
      <c r="AE134" s="40" t="s">
        <v>625</v>
      </c>
      <c r="AF134" s="40" t="s">
        <v>27</v>
      </c>
    </row>
    <row r="135" ht="14.25" hidden="1" customHeight="1">
      <c r="A135" s="40" t="s">
        <v>193</v>
      </c>
      <c r="B135" s="40" t="s">
        <v>595</v>
      </c>
      <c r="C135" s="40" t="s">
        <v>20</v>
      </c>
      <c r="E135" s="40">
        <v>6.0</v>
      </c>
      <c r="F135" s="40">
        <v>0.0</v>
      </c>
      <c r="G135" s="41">
        <v>6.0</v>
      </c>
      <c r="H135" s="40">
        <v>653470.0</v>
      </c>
      <c r="I135" s="40" t="s">
        <v>2</v>
      </c>
      <c r="J135" s="40" t="s">
        <v>255</v>
      </c>
      <c r="K135" s="40" t="s">
        <v>256</v>
      </c>
      <c r="L135" s="40" t="s">
        <v>257</v>
      </c>
      <c r="M135" s="40" t="s">
        <v>631</v>
      </c>
      <c r="N135" s="40">
        <v>759555.0</v>
      </c>
      <c r="O135" s="40" t="s">
        <v>48</v>
      </c>
      <c r="P135" s="40" t="s">
        <v>597</v>
      </c>
      <c r="Q135" s="40">
        <v>38796.0</v>
      </c>
      <c r="R135" s="40" t="s">
        <v>77</v>
      </c>
      <c r="S135" s="40" t="s">
        <v>34</v>
      </c>
      <c r="T135" s="40" t="s">
        <v>598</v>
      </c>
      <c r="U135" s="40" t="s">
        <v>599</v>
      </c>
      <c r="V135" s="40" t="s">
        <v>600</v>
      </c>
      <c r="W135" s="40" t="s">
        <v>835</v>
      </c>
      <c r="X135" s="40" t="s">
        <v>620</v>
      </c>
      <c r="Y135" s="40" t="s">
        <v>258</v>
      </c>
      <c r="Z135" s="40" t="s">
        <v>836</v>
      </c>
      <c r="AA135" s="40" t="s">
        <v>36</v>
      </c>
      <c r="AB135" s="40" t="s">
        <v>635</v>
      </c>
      <c r="AC135" s="40">
        <v>2.0</v>
      </c>
      <c r="AD135" s="41">
        <v>25.0</v>
      </c>
      <c r="AE135" s="40" t="s">
        <v>605</v>
      </c>
      <c r="AF135" s="40" t="s">
        <v>27</v>
      </c>
    </row>
    <row r="136" ht="14.25" hidden="1" customHeight="1">
      <c r="A136" s="40" t="s">
        <v>193</v>
      </c>
      <c r="B136" s="40" t="s">
        <v>595</v>
      </c>
      <c r="C136" s="40" t="s">
        <v>20</v>
      </c>
      <c r="E136" s="40">
        <v>6.48</v>
      </c>
      <c r="F136" s="40">
        <v>0.0</v>
      </c>
      <c r="G136" s="41">
        <v>6.48</v>
      </c>
      <c r="H136" s="40">
        <v>653470.0</v>
      </c>
      <c r="I136" s="40" t="s">
        <v>2</v>
      </c>
      <c r="J136" s="40" t="s">
        <v>190</v>
      </c>
      <c r="K136" s="40" t="s">
        <v>191</v>
      </c>
      <c r="L136" s="40" t="s">
        <v>180</v>
      </c>
      <c r="M136" s="40" t="s">
        <v>606</v>
      </c>
      <c r="N136" s="40">
        <v>678726.0</v>
      </c>
      <c r="O136" s="40" t="s">
        <v>60</v>
      </c>
      <c r="P136" s="40" t="s">
        <v>597</v>
      </c>
      <c r="Q136" s="40">
        <v>47133.0</v>
      </c>
      <c r="R136" s="40" t="s">
        <v>119</v>
      </c>
      <c r="S136" s="40" t="s">
        <v>34</v>
      </c>
      <c r="T136" s="40" t="s">
        <v>598</v>
      </c>
      <c r="U136" s="40" t="s">
        <v>599</v>
      </c>
      <c r="V136" s="40" t="s">
        <v>600</v>
      </c>
      <c r="W136" s="40" t="s">
        <v>838</v>
      </c>
      <c r="X136" s="40" t="s">
        <v>620</v>
      </c>
      <c r="Y136" s="40" t="s">
        <v>250</v>
      </c>
      <c r="Z136" s="40" t="s">
        <v>839</v>
      </c>
      <c r="AA136" s="40" t="s">
        <v>36</v>
      </c>
      <c r="AB136" s="40" t="s">
        <v>635</v>
      </c>
      <c r="AC136" s="40">
        <v>2.0</v>
      </c>
      <c r="AD136" s="41">
        <v>27.0</v>
      </c>
      <c r="AE136" s="40" t="s">
        <v>605</v>
      </c>
      <c r="AF136" s="40" t="s">
        <v>27</v>
      </c>
    </row>
    <row r="137" ht="14.25" hidden="1" customHeight="1">
      <c r="A137" s="40" t="s">
        <v>193</v>
      </c>
      <c r="B137" s="40" t="s">
        <v>595</v>
      </c>
      <c r="C137" s="40" t="s">
        <v>20</v>
      </c>
      <c r="E137" s="40">
        <v>4.07</v>
      </c>
      <c r="F137" s="40">
        <v>0.0</v>
      </c>
      <c r="G137" s="41">
        <v>4.07</v>
      </c>
      <c r="H137" s="40">
        <v>653470.0</v>
      </c>
      <c r="I137" s="40" t="s">
        <v>2</v>
      </c>
      <c r="J137" s="40" t="s">
        <v>190</v>
      </c>
      <c r="K137" s="40" t="s">
        <v>191</v>
      </c>
      <c r="L137" s="40" t="s">
        <v>180</v>
      </c>
      <c r="M137" s="40" t="s">
        <v>606</v>
      </c>
      <c r="N137" s="40">
        <v>678726.0</v>
      </c>
      <c r="O137" s="40" t="s">
        <v>60</v>
      </c>
      <c r="P137" s="40" t="s">
        <v>597</v>
      </c>
      <c r="Q137" s="40">
        <v>38593.0</v>
      </c>
      <c r="R137" s="40" t="s">
        <v>42</v>
      </c>
      <c r="S137" s="40" t="s">
        <v>34</v>
      </c>
      <c r="T137" s="40" t="s">
        <v>598</v>
      </c>
      <c r="U137" s="40" t="s">
        <v>617</v>
      </c>
      <c r="V137" s="40" t="s">
        <v>618</v>
      </c>
      <c r="W137" s="40" t="s">
        <v>838</v>
      </c>
      <c r="X137" s="40" t="s">
        <v>620</v>
      </c>
      <c r="Y137" s="40" t="s">
        <v>192</v>
      </c>
      <c r="Z137" s="40" t="s">
        <v>839</v>
      </c>
      <c r="AA137" s="40" t="s">
        <v>36</v>
      </c>
      <c r="AB137" s="40" t="s">
        <v>635</v>
      </c>
      <c r="AC137" s="40">
        <v>2.0</v>
      </c>
      <c r="AD137" s="41">
        <v>11.0</v>
      </c>
      <c r="AE137" s="40" t="s">
        <v>621</v>
      </c>
      <c r="AF137" s="40" t="s">
        <v>27</v>
      </c>
    </row>
    <row r="138" ht="14.25" hidden="1" customHeight="1">
      <c r="A138" s="40" t="s">
        <v>193</v>
      </c>
      <c r="B138" s="40" t="s">
        <v>595</v>
      </c>
      <c r="C138" s="40" t="s">
        <v>20</v>
      </c>
      <c r="E138" s="40">
        <v>6.0</v>
      </c>
      <c r="F138" s="40">
        <v>0.0</v>
      </c>
      <c r="G138" s="41">
        <v>6.0</v>
      </c>
      <c r="H138" s="40">
        <v>653470.0</v>
      </c>
      <c r="I138" s="40" t="s">
        <v>2</v>
      </c>
      <c r="J138" s="40" t="s">
        <v>194</v>
      </c>
      <c r="K138" s="40" t="s">
        <v>195</v>
      </c>
      <c r="L138" s="40" t="s">
        <v>196</v>
      </c>
      <c r="M138" s="40" t="s">
        <v>822</v>
      </c>
      <c r="N138" s="40">
        <v>847313.0</v>
      </c>
      <c r="O138" s="40" t="s">
        <v>197</v>
      </c>
      <c r="P138" s="40" t="s">
        <v>597</v>
      </c>
      <c r="Q138" s="40">
        <v>39849.0</v>
      </c>
      <c r="R138" s="40" t="s">
        <v>199</v>
      </c>
      <c r="S138" s="40" t="s">
        <v>34</v>
      </c>
      <c r="T138" s="40" t="s">
        <v>598</v>
      </c>
      <c r="U138" s="40" t="s">
        <v>599</v>
      </c>
      <c r="V138" s="40" t="s">
        <v>600</v>
      </c>
      <c r="W138" s="40" t="s">
        <v>666</v>
      </c>
      <c r="X138" s="40" t="s">
        <v>620</v>
      </c>
      <c r="Y138" s="40" t="s">
        <v>198</v>
      </c>
      <c r="Z138" s="40" t="s">
        <v>840</v>
      </c>
      <c r="AA138" s="40" t="s">
        <v>36</v>
      </c>
      <c r="AB138" s="40" t="s">
        <v>635</v>
      </c>
      <c r="AC138" s="40">
        <v>11.0</v>
      </c>
      <c r="AD138" s="41">
        <v>25.0</v>
      </c>
      <c r="AE138" s="40" t="s">
        <v>605</v>
      </c>
      <c r="AF138" s="40" t="s">
        <v>27</v>
      </c>
    </row>
    <row r="139" ht="14.25" hidden="1" customHeight="1">
      <c r="A139" s="40" t="s">
        <v>193</v>
      </c>
      <c r="B139" s="40" t="s">
        <v>595</v>
      </c>
      <c r="C139" s="40" t="s">
        <v>20</v>
      </c>
      <c r="E139" s="40">
        <v>4.07</v>
      </c>
      <c r="F139" s="40">
        <v>0.0</v>
      </c>
      <c r="G139" s="41">
        <v>4.07</v>
      </c>
      <c r="H139" s="40">
        <v>653470.0</v>
      </c>
      <c r="I139" s="40" t="s">
        <v>2</v>
      </c>
      <c r="J139" s="40" t="s">
        <v>200</v>
      </c>
      <c r="K139" s="40" t="s">
        <v>201</v>
      </c>
      <c r="L139" s="40" t="s">
        <v>202</v>
      </c>
      <c r="M139" s="40" t="s">
        <v>606</v>
      </c>
      <c r="N139" s="40">
        <v>723477.0</v>
      </c>
      <c r="O139" s="40" t="s">
        <v>203</v>
      </c>
      <c r="P139" s="40" t="s">
        <v>597</v>
      </c>
      <c r="Q139" s="40">
        <v>38593.0</v>
      </c>
      <c r="R139" s="40" t="s">
        <v>42</v>
      </c>
      <c r="S139" s="40" t="s">
        <v>34</v>
      </c>
      <c r="T139" s="40" t="s">
        <v>598</v>
      </c>
      <c r="U139" s="40" t="s">
        <v>617</v>
      </c>
      <c r="V139" s="40" t="s">
        <v>618</v>
      </c>
      <c r="W139" s="40" t="s">
        <v>841</v>
      </c>
      <c r="X139" s="40" t="s">
        <v>791</v>
      </c>
      <c r="Y139" s="40" t="s">
        <v>204</v>
      </c>
      <c r="Z139" s="40" t="s">
        <v>842</v>
      </c>
      <c r="AA139" s="40" t="s">
        <v>36</v>
      </c>
      <c r="AB139" s="40" t="s">
        <v>635</v>
      </c>
      <c r="AC139" s="40">
        <v>24.0</v>
      </c>
      <c r="AD139" s="41">
        <v>11.0</v>
      </c>
      <c r="AE139" s="40" t="s">
        <v>621</v>
      </c>
      <c r="AF139" s="40" t="s">
        <v>27</v>
      </c>
    </row>
    <row r="140" ht="14.25" hidden="1" customHeight="1">
      <c r="A140" s="40" t="s">
        <v>193</v>
      </c>
      <c r="B140" s="40" t="s">
        <v>595</v>
      </c>
      <c r="C140" s="40" t="s">
        <v>20</v>
      </c>
      <c r="E140" s="40">
        <v>17.04</v>
      </c>
      <c r="F140" s="40">
        <v>0.0</v>
      </c>
      <c r="G140" s="41">
        <v>17.04</v>
      </c>
      <c r="H140" s="40">
        <v>653470.0</v>
      </c>
      <c r="I140" s="40" t="s">
        <v>2</v>
      </c>
      <c r="J140" s="40" t="s">
        <v>205</v>
      </c>
      <c r="K140" s="40" t="s">
        <v>206</v>
      </c>
      <c r="L140" s="40" t="s">
        <v>207</v>
      </c>
      <c r="M140" s="40" t="s">
        <v>611</v>
      </c>
      <c r="N140" s="40">
        <v>689390.0</v>
      </c>
      <c r="O140" s="40" t="s">
        <v>31</v>
      </c>
      <c r="P140" s="40" t="s">
        <v>597</v>
      </c>
      <c r="Q140" s="40">
        <v>38399.0</v>
      </c>
      <c r="R140" s="40" t="s">
        <v>33</v>
      </c>
      <c r="S140" s="40" t="s">
        <v>34</v>
      </c>
      <c r="T140" s="40" t="s">
        <v>598</v>
      </c>
      <c r="U140" s="40" t="s">
        <v>599</v>
      </c>
      <c r="V140" s="40" t="s">
        <v>600</v>
      </c>
      <c r="W140" s="40" t="s">
        <v>843</v>
      </c>
      <c r="X140" s="40" t="s">
        <v>602</v>
      </c>
      <c r="Y140" s="40" t="s">
        <v>208</v>
      </c>
      <c r="Z140" s="40" t="s">
        <v>844</v>
      </c>
      <c r="AA140" s="40" t="s">
        <v>36</v>
      </c>
      <c r="AB140" s="40" t="s">
        <v>635</v>
      </c>
      <c r="AC140" s="40">
        <v>4.0</v>
      </c>
      <c r="AD140" s="41">
        <v>71.0</v>
      </c>
      <c r="AE140" s="40" t="s">
        <v>605</v>
      </c>
      <c r="AF140" s="40" t="s">
        <v>27</v>
      </c>
    </row>
    <row r="141" ht="14.25" hidden="1" customHeight="1">
      <c r="A141" s="40" t="s">
        <v>193</v>
      </c>
      <c r="B141" s="40" t="s">
        <v>595</v>
      </c>
      <c r="C141" s="40" t="s">
        <v>20</v>
      </c>
      <c r="E141" s="40">
        <v>8.0</v>
      </c>
      <c r="F141" s="40">
        <v>0.0</v>
      </c>
      <c r="G141" s="41">
        <v>8.0</v>
      </c>
      <c r="H141" s="40">
        <v>653470.0</v>
      </c>
      <c r="I141" s="40" t="s">
        <v>2</v>
      </c>
      <c r="J141" s="40" t="s">
        <v>209</v>
      </c>
      <c r="K141" s="40" t="s">
        <v>210</v>
      </c>
      <c r="L141" s="40" t="s">
        <v>211</v>
      </c>
      <c r="M141" s="40" t="s">
        <v>606</v>
      </c>
      <c r="N141" s="40">
        <v>678726.0</v>
      </c>
      <c r="O141" s="40" t="s">
        <v>60</v>
      </c>
      <c r="P141" s="40" t="s">
        <v>597</v>
      </c>
      <c r="Q141" s="40">
        <v>45041.0</v>
      </c>
      <c r="R141" s="40" t="s">
        <v>62</v>
      </c>
      <c r="S141" s="40" t="s">
        <v>34</v>
      </c>
      <c r="T141" s="40" t="s">
        <v>598</v>
      </c>
      <c r="U141" s="40" t="s">
        <v>599</v>
      </c>
      <c r="V141" s="40" t="s">
        <v>600</v>
      </c>
      <c r="W141" s="40" t="s">
        <v>845</v>
      </c>
      <c r="X141" s="40" t="s">
        <v>656</v>
      </c>
      <c r="Y141" s="40" t="s">
        <v>212</v>
      </c>
      <c r="Z141" s="40" t="s">
        <v>846</v>
      </c>
      <c r="AA141" s="40" t="s">
        <v>36</v>
      </c>
      <c r="AB141" s="40" t="s">
        <v>604</v>
      </c>
      <c r="AC141" s="40">
        <v>17.0</v>
      </c>
      <c r="AD141" s="41">
        <v>25.0</v>
      </c>
      <c r="AE141" s="40" t="s">
        <v>610</v>
      </c>
      <c r="AF141" s="40" t="s">
        <v>27</v>
      </c>
    </row>
    <row r="142" ht="14.25" hidden="1" customHeight="1">
      <c r="A142" s="40" t="s">
        <v>217</v>
      </c>
      <c r="B142" s="40" t="s">
        <v>595</v>
      </c>
      <c r="C142" s="40" t="s">
        <v>20</v>
      </c>
      <c r="E142" s="40">
        <v>9.6</v>
      </c>
      <c r="F142" s="40">
        <v>0.0</v>
      </c>
      <c r="G142" s="41">
        <v>9.6</v>
      </c>
      <c r="H142" s="40">
        <v>653470.0</v>
      </c>
      <c r="I142" s="40" t="s">
        <v>2</v>
      </c>
      <c r="J142" s="40" t="s">
        <v>213</v>
      </c>
      <c r="K142" s="40" t="s">
        <v>214</v>
      </c>
      <c r="L142" s="40" t="s">
        <v>215</v>
      </c>
      <c r="M142" s="40" t="s">
        <v>606</v>
      </c>
      <c r="N142" s="40">
        <v>678726.0</v>
      </c>
      <c r="O142" s="40" t="s">
        <v>60</v>
      </c>
      <c r="P142" s="40" t="s">
        <v>597</v>
      </c>
      <c r="Q142" s="40">
        <v>45041.0</v>
      </c>
      <c r="R142" s="40" t="s">
        <v>62</v>
      </c>
      <c r="S142" s="40" t="s">
        <v>34</v>
      </c>
      <c r="T142" s="40" t="s">
        <v>598</v>
      </c>
      <c r="U142" s="40" t="s">
        <v>599</v>
      </c>
      <c r="V142" s="40" t="s">
        <v>600</v>
      </c>
      <c r="W142" s="40" t="s">
        <v>754</v>
      </c>
      <c r="X142" s="40" t="s">
        <v>638</v>
      </c>
      <c r="Y142" s="40" t="s">
        <v>216</v>
      </c>
      <c r="Z142" s="40" t="s">
        <v>847</v>
      </c>
      <c r="AA142" s="40" t="s">
        <v>36</v>
      </c>
      <c r="AB142" s="40" t="s">
        <v>604</v>
      </c>
      <c r="AC142" s="40">
        <v>13.0</v>
      </c>
      <c r="AD142" s="41">
        <v>30.0</v>
      </c>
      <c r="AE142" s="40" t="s">
        <v>610</v>
      </c>
      <c r="AF142" s="40" t="s">
        <v>27</v>
      </c>
    </row>
    <row r="143" ht="14.25" hidden="1" customHeight="1">
      <c r="A143" s="40" t="s">
        <v>217</v>
      </c>
      <c r="B143" s="40" t="s">
        <v>595</v>
      </c>
      <c r="C143" s="40" t="s">
        <v>20</v>
      </c>
      <c r="E143" s="40">
        <v>4.07</v>
      </c>
      <c r="F143" s="40">
        <v>0.0</v>
      </c>
      <c r="G143" s="41">
        <v>4.07</v>
      </c>
      <c r="H143" s="40">
        <v>653470.0</v>
      </c>
      <c r="I143" s="40" t="s">
        <v>2</v>
      </c>
      <c r="J143" s="40" t="s">
        <v>218</v>
      </c>
      <c r="K143" s="40" t="s">
        <v>219</v>
      </c>
      <c r="L143" s="40" t="s">
        <v>220</v>
      </c>
      <c r="M143" s="40" t="s">
        <v>606</v>
      </c>
      <c r="N143" s="40">
        <v>798992.0</v>
      </c>
      <c r="O143" s="40" t="s">
        <v>90</v>
      </c>
      <c r="P143" s="40" t="s">
        <v>597</v>
      </c>
      <c r="Q143" s="40">
        <v>38593.0</v>
      </c>
      <c r="R143" s="40" t="s">
        <v>42</v>
      </c>
      <c r="S143" s="40" t="s">
        <v>34</v>
      </c>
      <c r="T143" s="40" t="s">
        <v>598</v>
      </c>
      <c r="U143" s="40" t="s">
        <v>617</v>
      </c>
      <c r="V143" s="40" t="s">
        <v>618</v>
      </c>
      <c r="W143" s="40" t="s">
        <v>848</v>
      </c>
      <c r="X143" s="40" t="s">
        <v>623</v>
      </c>
      <c r="Y143" s="40" t="s">
        <v>221</v>
      </c>
      <c r="Z143" s="40" t="s">
        <v>849</v>
      </c>
      <c r="AA143" s="40" t="s">
        <v>36</v>
      </c>
      <c r="AB143" s="40" t="s">
        <v>604</v>
      </c>
      <c r="AC143" s="40">
        <v>8.0</v>
      </c>
      <c r="AD143" s="41">
        <v>11.0</v>
      </c>
      <c r="AE143" s="40" t="s">
        <v>621</v>
      </c>
      <c r="AF143" s="40" t="s">
        <v>27</v>
      </c>
    </row>
    <row r="144" ht="14.25" hidden="1" customHeight="1">
      <c r="A144" s="40" t="s">
        <v>217</v>
      </c>
      <c r="B144" s="40" t="s">
        <v>595</v>
      </c>
      <c r="C144" s="40" t="s">
        <v>20</v>
      </c>
      <c r="E144" s="40">
        <v>4.07</v>
      </c>
      <c r="F144" s="40">
        <v>0.0</v>
      </c>
      <c r="G144" s="41">
        <v>4.07</v>
      </c>
      <c r="H144" s="40">
        <v>653470.0</v>
      </c>
      <c r="I144" s="40" t="s">
        <v>2</v>
      </c>
      <c r="J144" s="40" t="s">
        <v>222</v>
      </c>
      <c r="K144" s="40" t="s">
        <v>223</v>
      </c>
      <c r="L144" s="40" t="s">
        <v>224</v>
      </c>
      <c r="M144" s="40" t="s">
        <v>631</v>
      </c>
      <c r="N144" s="40">
        <v>764002.0</v>
      </c>
      <c r="O144" s="40" t="s">
        <v>84</v>
      </c>
      <c r="P144" s="40" t="s">
        <v>597</v>
      </c>
      <c r="Q144" s="40">
        <v>38593.0</v>
      </c>
      <c r="R144" s="40" t="s">
        <v>42</v>
      </c>
      <c r="S144" s="40" t="s">
        <v>34</v>
      </c>
      <c r="T144" s="40" t="s">
        <v>598</v>
      </c>
      <c r="U144" s="40" t="s">
        <v>617</v>
      </c>
      <c r="V144" s="40" t="s">
        <v>618</v>
      </c>
      <c r="W144" s="40" t="s">
        <v>850</v>
      </c>
      <c r="X144" s="40" t="s">
        <v>656</v>
      </c>
      <c r="Y144" s="40" t="s">
        <v>225</v>
      </c>
      <c r="Z144" s="40" t="s">
        <v>851</v>
      </c>
      <c r="AA144" s="40" t="s">
        <v>36</v>
      </c>
      <c r="AB144" s="40" t="s">
        <v>604</v>
      </c>
      <c r="AC144" s="40">
        <v>17.0</v>
      </c>
      <c r="AD144" s="41">
        <v>11.0</v>
      </c>
      <c r="AE144" s="40" t="s">
        <v>621</v>
      </c>
      <c r="AF144" s="40" t="s">
        <v>27</v>
      </c>
    </row>
    <row r="145" ht="14.25" hidden="1" customHeight="1">
      <c r="A145" s="40" t="s">
        <v>217</v>
      </c>
      <c r="B145" s="40" t="s">
        <v>595</v>
      </c>
      <c r="C145" s="40" t="s">
        <v>20</v>
      </c>
      <c r="E145" s="40">
        <v>8.0</v>
      </c>
      <c r="F145" s="40">
        <v>0.0</v>
      </c>
      <c r="G145" s="41">
        <v>8.0</v>
      </c>
      <c r="H145" s="40">
        <v>653470.0</v>
      </c>
      <c r="I145" s="40" t="s">
        <v>2</v>
      </c>
      <c r="J145" s="40" t="s">
        <v>226</v>
      </c>
      <c r="K145" s="40" t="s">
        <v>227</v>
      </c>
      <c r="L145" s="40" t="s">
        <v>228</v>
      </c>
      <c r="M145" s="40" t="s">
        <v>611</v>
      </c>
      <c r="N145" s="40">
        <v>820877.0</v>
      </c>
      <c r="O145" s="40" t="s">
        <v>229</v>
      </c>
      <c r="P145" s="40" t="s">
        <v>597</v>
      </c>
      <c r="Q145" s="40">
        <v>45041.0</v>
      </c>
      <c r="R145" s="40" t="s">
        <v>62</v>
      </c>
      <c r="S145" s="40" t="s">
        <v>34</v>
      </c>
      <c r="T145" s="40" t="s">
        <v>598</v>
      </c>
      <c r="U145" s="40" t="s">
        <v>599</v>
      </c>
      <c r="V145" s="40" t="s">
        <v>600</v>
      </c>
      <c r="W145" s="40" t="s">
        <v>852</v>
      </c>
      <c r="X145" s="40" t="s">
        <v>628</v>
      </c>
      <c r="Y145" s="40" t="s">
        <v>230</v>
      </c>
      <c r="Z145" s="40" t="s">
        <v>853</v>
      </c>
      <c r="AA145" s="40" t="s">
        <v>36</v>
      </c>
      <c r="AB145" s="40" t="s">
        <v>604</v>
      </c>
      <c r="AC145" s="40">
        <v>13.0</v>
      </c>
      <c r="AD145" s="41">
        <v>25.0</v>
      </c>
      <c r="AE145" s="40" t="s">
        <v>610</v>
      </c>
      <c r="AF145" s="40" t="s">
        <v>27</v>
      </c>
    </row>
    <row r="146" ht="14.25" hidden="1" customHeight="1">
      <c r="A146" s="40" t="s">
        <v>217</v>
      </c>
      <c r="B146" s="40" t="s">
        <v>595</v>
      </c>
      <c r="C146" s="40" t="s">
        <v>20</v>
      </c>
      <c r="E146" s="40">
        <v>6.48</v>
      </c>
      <c r="F146" s="40">
        <v>0.0</v>
      </c>
      <c r="G146" s="41">
        <v>6.48</v>
      </c>
      <c r="H146" s="40">
        <v>653470.0</v>
      </c>
      <c r="I146" s="40" t="s">
        <v>2</v>
      </c>
      <c r="J146" s="40" t="s">
        <v>218</v>
      </c>
      <c r="K146" s="40" t="s">
        <v>219</v>
      </c>
      <c r="L146" s="40" t="s">
        <v>220</v>
      </c>
      <c r="M146" s="40" t="s">
        <v>606</v>
      </c>
      <c r="N146" s="40">
        <v>798992.0</v>
      </c>
      <c r="O146" s="40" t="s">
        <v>90</v>
      </c>
      <c r="P146" s="40" t="s">
        <v>597</v>
      </c>
      <c r="Q146" s="40">
        <v>47133.0</v>
      </c>
      <c r="R146" s="40" t="s">
        <v>119</v>
      </c>
      <c r="S146" s="40" t="s">
        <v>34</v>
      </c>
      <c r="T146" s="40" t="s">
        <v>598</v>
      </c>
      <c r="U146" s="40" t="s">
        <v>599</v>
      </c>
      <c r="V146" s="40" t="s">
        <v>600</v>
      </c>
      <c r="W146" s="40" t="s">
        <v>848</v>
      </c>
      <c r="X146" s="40" t="s">
        <v>623</v>
      </c>
      <c r="Y146" s="40" t="s">
        <v>231</v>
      </c>
      <c r="Z146" s="40" t="s">
        <v>849</v>
      </c>
      <c r="AA146" s="40" t="s">
        <v>36</v>
      </c>
      <c r="AB146" s="40" t="s">
        <v>604</v>
      </c>
      <c r="AC146" s="40">
        <v>8.0</v>
      </c>
      <c r="AD146" s="41">
        <v>27.0</v>
      </c>
      <c r="AE146" s="40" t="s">
        <v>605</v>
      </c>
      <c r="AF146" s="40" t="s">
        <v>27</v>
      </c>
    </row>
    <row r="147" ht="14.25" hidden="1" customHeight="1">
      <c r="A147" s="40" t="s">
        <v>217</v>
      </c>
      <c r="B147" s="40" t="s">
        <v>595</v>
      </c>
      <c r="C147" s="40" t="s">
        <v>20</v>
      </c>
      <c r="E147" s="40">
        <v>4.07</v>
      </c>
      <c r="F147" s="40">
        <v>0.0</v>
      </c>
      <c r="G147" s="41">
        <v>4.07</v>
      </c>
      <c r="H147" s="40">
        <v>653470.0</v>
      </c>
      <c r="I147" s="40" t="s">
        <v>2</v>
      </c>
      <c r="J147" s="40" t="s">
        <v>232</v>
      </c>
      <c r="K147" s="40" t="s">
        <v>233</v>
      </c>
      <c r="L147" s="40" t="s">
        <v>234</v>
      </c>
      <c r="M147" s="40" t="s">
        <v>606</v>
      </c>
      <c r="N147" s="40">
        <v>798992.0</v>
      </c>
      <c r="O147" s="40" t="s">
        <v>90</v>
      </c>
      <c r="P147" s="40" t="s">
        <v>597</v>
      </c>
      <c r="Q147" s="40">
        <v>38593.0</v>
      </c>
      <c r="R147" s="40" t="s">
        <v>42</v>
      </c>
      <c r="S147" s="40" t="s">
        <v>34</v>
      </c>
      <c r="T147" s="40" t="s">
        <v>598</v>
      </c>
      <c r="U147" s="40" t="s">
        <v>617</v>
      </c>
      <c r="V147" s="40" t="s">
        <v>618</v>
      </c>
      <c r="W147" s="40" t="s">
        <v>848</v>
      </c>
      <c r="X147" s="40" t="s">
        <v>623</v>
      </c>
      <c r="Y147" s="40" t="s">
        <v>235</v>
      </c>
      <c r="Z147" s="40" t="s">
        <v>854</v>
      </c>
      <c r="AA147" s="40" t="s">
        <v>36</v>
      </c>
      <c r="AB147" s="40" t="s">
        <v>604</v>
      </c>
      <c r="AC147" s="40">
        <v>8.0</v>
      </c>
      <c r="AD147" s="41">
        <v>11.0</v>
      </c>
      <c r="AE147" s="40" t="s">
        <v>621</v>
      </c>
      <c r="AF147" s="40" t="s">
        <v>27</v>
      </c>
    </row>
    <row r="148" ht="14.25" hidden="1" customHeight="1">
      <c r="A148" s="40" t="s">
        <v>239</v>
      </c>
      <c r="B148" s="40" t="s">
        <v>595</v>
      </c>
      <c r="C148" s="40" t="s">
        <v>20</v>
      </c>
      <c r="E148" s="40">
        <v>17.76</v>
      </c>
      <c r="F148" s="40">
        <v>0.0</v>
      </c>
      <c r="G148" s="41">
        <v>17.76</v>
      </c>
      <c r="H148" s="40">
        <v>653470.0</v>
      </c>
      <c r="I148" s="40" t="s">
        <v>2</v>
      </c>
      <c r="J148" s="40" t="s">
        <v>236</v>
      </c>
      <c r="K148" s="40" t="s">
        <v>237</v>
      </c>
      <c r="L148" s="40" t="s">
        <v>30</v>
      </c>
      <c r="M148" s="40" t="s">
        <v>596</v>
      </c>
      <c r="N148" s="40">
        <v>689390.0</v>
      </c>
      <c r="O148" s="40" t="s">
        <v>31</v>
      </c>
      <c r="P148" s="40" t="s">
        <v>597</v>
      </c>
      <c r="Q148" s="40">
        <v>38399.0</v>
      </c>
      <c r="R148" s="40" t="s">
        <v>33</v>
      </c>
      <c r="S148" s="40" t="s">
        <v>34</v>
      </c>
      <c r="T148" s="40" t="s">
        <v>598</v>
      </c>
      <c r="U148" s="40" t="s">
        <v>599</v>
      </c>
      <c r="V148" s="40" t="s">
        <v>600</v>
      </c>
      <c r="W148" s="40" t="s">
        <v>824</v>
      </c>
      <c r="X148" s="40" t="s">
        <v>620</v>
      </c>
      <c r="Y148" s="40" t="s">
        <v>238</v>
      </c>
      <c r="Z148" s="40" t="s">
        <v>855</v>
      </c>
      <c r="AA148" s="40" t="s">
        <v>36</v>
      </c>
      <c r="AB148" s="40" t="s">
        <v>604</v>
      </c>
      <c r="AC148" s="40">
        <v>3.0</v>
      </c>
      <c r="AD148" s="41">
        <v>74.0</v>
      </c>
      <c r="AE148" s="40" t="s">
        <v>605</v>
      </c>
      <c r="AF148" s="40" t="s">
        <v>27</v>
      </c>
    </row>
    <row r="149" ht="14.25" hidden="1" customHeight="1">
      <c r="A149" s="40" t="s">
        <v>239</v>
      </c>
      <c r="B149" s="40" t="s">
        <v>595</v>
      </c>
      <c r="C149" s="40" t="s">
        <v>20</v>
      </c>
      <c r="E149" s="40">
        <v>4.29</v>
      </c>
      <c r="F149" s="40">
        <v>0.0</v>
      </c>
      <c r="G149" s="41">
        <v>4.29</v>
      </c>
      <c r="H149" s="40">
        <v>653470.0</v>
      </c>
      <c r="I149" s="40" t="s">
        <v>2</v>
      </c>
      <c r="J149" s="40" t="s">
        <v>240</v>
      </c>
      <c r="K149" s="40" t="s">
        <v>241</v>
      </c>
      <c r="L149" s="40" t="s">
        <v>242</v>
      </c>
      <c r="M149" s="40" t="s">
        <v>826</v>
      </c>
      <c r="N149" s="40">
        <v>711419.0</v>
      </c>
      <c r="O149" s="40" t="s">
        <v>40</v>
      </c>
      <c r="P149" s="40" t="s">
        <v>597</v>
      </c>
      <c r="Q149" s="40">
        <v>38399.0</v>
      </c>
      <c r="R149" s="40" t="s">
        <v>33</v>
      </c>
      <c r="S149" s="40" t="s">
        <v>56</v>
      </c>
      <c r="T149" s="40" t="s">
        <v>598</v>
      </c>
      <c r="U149" s="40" t="s">
        <v>599</v>
      </c>
      <c r="V149" s="40" t="s">
        <v>600</v>
      </c>
      <c r="W149" s="40" t="s">
        <v>856</v>
      </c>
      <c r="X149" s="40" t="s">
        <v>734</v>
      </c>
      <c r="Y149" s="40" t="s">
        <v>243</v>
      </c>
      <c r="Z149" s="40" t="s">
        <v>857</v>
      </c>
      <c r="AA149" s="40" t="s">
        <v>36</v>
      </c>
      <c r="AB149" s="40" t="s">
        <v>604</v>
      </c>
      <c r="AC149" s="40">
        <v>11.0</v>
      </c>
      <c r="AD149" s="41">
        <v>143.0</v>
      </c>
      <c r="AE149" s="40" t="s">
        <v>625</v>
      </c>
      <c r="AF149" s="40" t="s">
        <v>27</v>
      </c>
    </row>
    <row r="150" ht="14.25" hidden="1" customHeight="1">
      <c r="A150" s="40" t="s">
        <v>248</v>
      </c>
      <c r="B150" s="40" t="s">
        <v>595</v>
      </c>
      <c r="C150" s="40" t="s">
        <v>20</v>
      </c>
      <c r="E150" s="40">
        <v>6.48</v>
      </c>
      <c r="F150" s="40">
        <v>0.0</v>
      </c>
      <c r="G150" s="41">
        <v>6.48</v>
      </c>
      <c r="H150" s="40">
        <v>653470.0</v>
      </c>
      <c r="I150" s="40" t="s">
        <v>2</v>
      </c>
      <c r="J150" s="40" t="s">
        <v>244</v>
      </c>
      <c r="K150" s="40" t="s">
        <v>245</v>
      </c>
      <c r="L150" s="40" t="s">
        <v>246</v>
      </c>
      <c r="M150" s="40" t="s">
        <v>606</v>
      </c>
      <c r="N150" s="40">
        <v>678726.0</v>
      </c>
      <c r="O150" s="40" t="s">
        <v>60</v>
      </c>
      <c r="P150" s="40" t="s">
        <v>597</v>
      </c>
      <c r="Q150" s="40">
        <v>47133.0</v>
      </c>
      <c r="R150" s="40" t="s">
        <v>119</v>
      </c>
      <c r="S150" s="40" t="s">
        <v>34</v>
      </c>
      <c r="T150" s="40" t="s">
        <v>598</v>
      </c>
      <c r="U150" s="40" t="s">
        <v>599</v>
      </c>
      <c r="V150" s="40" t="s">
        <v>600</v>
      </c>
      <c r="W150" s="40" t="s">
        <v>858</v>
      </c>
      <c r="X150" s="40" t="s">
        <v>859</v>
      </c>
      <c r="Y150" s="40" t="s">
        <v>247</v>
      </c>
      <c r="Z150" s="40" t="s">
        <v>860</v>
      </c>
      <c r="AA150" s="40" t="s">
        <v>36</v>
      </c>
      <c r="AB150" s="40" t="s">
        <v>635</v>
      </c>
      <c r="AC150" s="40">
        <v>9.0</v>
      </c>
      <c r="AD150" s="41">
        <v>27.0</v>
      </c>
      <c r="AE150" s="40" t="s">
        <v>605</v>
      </c>
      <c r="AF150" s="40" t="s">
        <v>27</v>
      </c>
    </row>
    <row r="151" ht="14.25" hidden="1" customHeight="1">
      <c r="A151" s="40" t="s">
        <v>248</v>
      </c>
      <c r="B151" s="40" t="s">
        <v>595</v>
      </c>
      <c r="C151" s="40" t="s">
        <v>20</v>
      </c>
      <c r="E151" s="40">
        <v>4.07</v>
      </c>
      <c r="F151" s="40">
        <v>0.0</v>
      </c>
      <c r="G151" s="41">
        <v>4.07</v>
      </c>
      <c r="H151" s="40">
        <v>653470.0</v>
      </c>
      <c r="I151" s="40" t="s">
        <v>2</v>
      </c>
      <c r="J151" s="40" t="s">
        <v>244</v>
      </c>
      <c r="K151" s="40" t="s">
        <v>245</v>
      </c>
      <c r="L151" s="40" t="s">
        <v>246</v>
      </c>
      <c r="M151" s="40" t="s">
        <v>606</v>
      </c>
      <c r="N151" s="40">
        <v>678726.0</v>
      </c>
      <c r="O151" s="40" t="s">
        <v>60</v>
      </c>
      <c r="P151" s="40" t="s">
        <v>597</v>
      </c>
      <c r="Q151" s="40">
        <v>38593.0</v>
      </c>
      <c r="R151" s="40" t="s">
        <v>42</v>
      </c>
      <c r="S151" s="40" t="s">
        <v>34</v>
      </c>
      <c r="T151" s="40" t="s">
        <v>598</v>
      </c>
      <c r="U151" s="40" t="s">
        <v>617</v>
      </c>
      <c r="V151" s="40" t="s">
        <v>618</v>
      </c>
      <c r="W151" s="40" t="s">
        <v>858</v>
      </c>
      <c r="X151" s="40" t="s">
        <v>859</v>
      </c>
      <c r="Y151" s="40" t="s">
        <v>249</v>
      </c>
      <c r="Z151" s="40" t="s">
        <v>860</v>
      </c>
      <c r="AA151" s="40" t="s">
        <v>36</v>
      </c>
      <c r="AB151" s="40" t="s">
        <v>635</v>
      </c>
      <c r="AC151" s="40">
        <v>9.0</v>
      </c>
      <c r="AD151" s="41">
        <v>11.0</v>
      </c>
      <c r="AE151" s="40" t="s">
        <v>621</v>
      </c>
      <c r="AF151" s="40" t="s">
        <v>27</v>
      </c>
    </row>
    <row r="152" ht="14.25" hidden="1" customHeight="1">
      <c r="A152" s="40" t="s">
        <v>248</v>
      </c>
      <c r="B152" s="40" t="s">
        <v>595</v>
      </c>
      <c r="C152" s="40" t="s">
        <v>20</v>
      </c>
      <c r="E152" s="40">
        <v>4.07</v>
      </c>
      <c r="F152" s="40">
        <v>0.0</v>
      </c>
      <c r="G152" s="41">
        <v>4.07</v>
      </c>
      <c r="H152" s="40">
        <v>653470.0</v>
      </c>
      <c r="I152" s="40" t="s">
        <v>2</v>
      </c>
      <c r="J152" s="40" t="s">
        <v>537</v>
      </c>
      <c r="K152" s="40" t="s">
        <v>319</v>
      </c>
      <c r="L152" s="40" t="s">
        <v>538</v>
      </c>
      <c r="M152" s="40" t="s">
        <v>606</v>
      </c>
      <c r="N152" s="40">
        <v>678726.0</v>
      </c>
      <c r="O152" s="40" t="s">
        <v>60</v>
      </c>
      <c r="P152" s="40" t="s">
        <v>597</v>
      </c>
      <c r="Q152" s="40">
        <v>38593.0</v>
      </c>
      <c r="R152" s="40" t="s">
        <v>42</v>
      </c>
      <c r="S152" s="40" t="s">
        <v>34</v>
      </c>
      <c r="T152" s="40" t="s">
        <v>598</v>
      </c>
      <c r="U152" s="40" t="s">
        <v>617</v>
      </c>
      <c r="V152" s="40" t="s">
        <v>618</v>
      </c>
      <c r="W152" s="40" t="s">
        <v>655</v>
      </c>
      <c r="X152" s="40" t="s">
        <v>656</v>
      </c>
      <c r="Y152" s="40" t="s">
        <v>539</v>
      </c>
      <c r="Z152" s="40" t="s">
        <v>861</v>
      </c>
      <c r="AA152" s="40" t="s">
        <v>36</v>
      </c>
      <c r="AB152" s="40" t="s">
        <v>635</v>
      </c>
      <c r="AC152" s="40">
        <v>16.0</v>
      </c>
      <c r="AD152" s="41">
        <v>11.0</v>
      </c>
      <c r="AE152" s="40" t="s">
        <v>621</v>
      </c>
      <c r="AF152" s="40" t="s">
        <v>27</v>
      </c>
    </row>
    <row r="153" ht="14.25" hidden="1" customHeight="1">
      <c r="A153" s="40" t="s">
        <v>248</v>
      </c>
      <c r="B153" s="40" t="s">
        <v>595</v>
      </c>
      <c r="C153" s="40" t="s">
        <v>20</v>
      </c>
      <c r="E153" s="40">
        <v>8.0</v>
      </c>
      <c r="F153" s="40">
        <v>0.0</v>
      </c>
      <c r="G153" s="41">
        <v>8.0</v>
      </c>
      <c r="H153" s="40">
        <v>653470.0</v>
      </c>
      <c r="I153" s="40" t="s">
        <v>2</v>
      </c>
      <c r="J153" s="40" t="s">
        <v>537</v>
      </c>
      <c r="K153" s="40" t="s">
        <v>319</v>
      </c>
      <c r="L153" s="40" t="s">
        <v>538</v>
      </c>
      <c r="M153" s="40" t="s">
        <v>606</v>
      </c>
      <c r="N153" s="40">
        <v>678726.0</v>
      </c>
      <c r="O153" s="40" t="s">
        <v>60</v>
      </c>
      <c r="P153" s="40" t="s">
        <v>597</v>
      </c>
      <c r="Q153" s="40">
        <v>45041.0</v>
      </c>
      <c r="R153" s="40" t="s">
        <v>62</v>
      </c>
      <c r="S153" s="40" t="s">
        <v>34</v>
      </c>
      <c r="T153" s="40" t="s">
        <v>598</v>
      </c>
      <c r="U153" s="40" t="s">
        <v>599</v>
      </c>
      <c r="V153" s="40" t="s">
        <v>600</v>
      </c>
      <c r="W153" s="40" t="s">
        <v>655</v>
      </c>
      <c r="X153" s="40" t="s">
        <v>656</v>
      </c>
      <c r="Y153" s="40" t="s">
        <v>569</v>
      </c>
      <c r="Z153" s="40" t="s">
        <v>861</v>
      </c>
      <c r="AA153" s="40" t="s">
        <v>36</v>
      </c>
      <c r="AB153" s="40" t="s">
        <v>635</v>
      </c>
      <c r="AC153" s="40">
        <v>16.0</v>
      </c>
      <c r="AD153" s="41">
        <v>25.0</v>
      </c>
      <c r="AE153" s="40" t="s">
        <v>610</v>
      </c>
      <c r="AF153" s="40" t="s">
        <v>27</v>
      </c>
    </row>
    <row r="154" ht="14.25" hidden="1" customHeight="1"/>
    <row r="155" ht="14.25" hidden="1" customHeight="1"/>
    <row r="156" ht="14.25" hidden="1" customHeight="1"/>
    <row r="157" ht="14.25" hidden="1" customHeight="1"/>
    <row r="158" ht="14.25" hidden="1" customHeight="1"/>
    <row r="159" ht="14.25" hidden="1" customHeight="1"/>
    <row r="160" ht="14.25" hidden="1" customHeight="1"/>
    <row r="161" ht="14.25" hidden="1" customHeight="1"/>
    <row r="162" ht="14.25" hidden="1" customHeight="1"/>
    <row r="163" ht="14.25" hidden="1" customHeight="1"/>
    <row r="164" ht="14.25" hidden="1" customHeight="1"/>
    <row r="165" ht="14.25" hidden="1" customHeight="1"/>
    <row r="166" ht="14.25" hidden="1" customHeight="1"/>
    <row r="167" ht="14.25" hidden="1" customHeight="1"/>
    <row r="168" ht="14.25" hidden="1" customHeight="1"/>
    <row r="169" ht="14.25" hidden="1" customHeight="1"/>
    <row r="170" ht="14.25" hidden="1" customHeight="1"/>
    <row r="171" ht="14.25" hidden="1" customHeight="1"/>
    <row r="172" ht="14.25" hidden="1" customHeight="1"/>
    <row r="173" ht="14.25" hidden="1" customHeight="1"/>
    <row r="174" ht="14.25" hidden="1" customHeight="1"/>
    <row r="175" ht="14.25" hidden="1" customHeight="1"/>
    <row r="176" ht="14.25" hidden="1" customHeight="1"/>
    <row r="177" ht="14.25" hidden="1" customHeight="1"/>
    <row r="178" ht="14.25" hidden="1" customHeight="1"/>
    <row r="179" ht="14.25" hidden="1" customHeight="1"/>
    <row r="180" ht="14.25" hidden="1" customHeight="1"/>
    <row r="181" ht="14.25" hidden="1" customHeight="1"/>
    <row r="182" ht="14.25" hidden="1" customHeight="1"/>
    <row r="183" ht="14.25" hidden="1" customHeight="1"/>
    <row r="184" ht="14.25" hidden="1" customHeight="1"/>
    <row r="185" ht="14.25" hidden="1" customHeight="1"/>
    <row r="186" ht="14.25" hidden="1" customHeight="1"/>
    <row r="187" ht="14.25" hidden="1" customHeight="1"/>
    <row r="188" ht="14.25" hidden="1" customHeight="1"/>
    <row r="189" ht="14.25" hidden="1" customHeight="1"/>
    <row r="190" ht="14.25" hidden="1" customHeight="1"/>
    <row r="191" ht="14.25" hidden="1" customHeight="1"/>
    <row r="192" ht="14.25" hidden="1" customHeight="1"/>
    <row r="193" ht="14.25" hidden="1" customHeight="1"/>
    <row r="194" ht="14.25" hidden="1" customHeight="1"/>
    <row r="195" ht="14.25" hidden="1" customHeight="1"/>
    <row r="196" ht="14.25" hidden="1" customHeight="1"/>
    <row r="197" ht="14.25" hidden="1" customHeight="1"/>
    <row r="198" ht="14.25" hidden="1" customHeight="1"/>
    <row r="199" ht="14.25" hidden="1" customHeight="1"/>
    <row r="200" ht="14.25" hidden="1" customHeight="1"/>
    <row r="201" ht="14.25" hidden="1" customHeight="1"/>
    <row r="202" ht="14.25" hidden="1" customHeight="1"/>
    <row r="203" ht="14.25" hidden="1" customHeight="1"/>
    <row r="204" ht="14.25" hidden="1" customHeight="1"/>
    <row r="205" ht="14.25" hidden="1" customHeight="1"/>
    <row r="206" ht="14.25" hidden="1" customHeight="1"/>
    <row r="207" ht="14.25" hidden="1" customHeight="1"/>
    <row r="208" ht="14.25" hidden="1" customHeight="1"/>
    <row r="209" ht="14.25" hidden="1" customHeight="1"/>
    <row r="210" ht="14.25" hidden="1" customHeight="1"/>
    <row r="211" ht="14.25" hidden="1" customHeight="1"/>
    <row r="212" ht="14.25" hidden="1" customHeight="1"/>
    <row r="213" ht="14.25" hidden="1" customHeight="1"/>
    <row r="214" ht="14.25" hidden="1" customHeight="1"/>
    <row r="215" ht="14.25" hidden="1" customHeight="1"/>
    <row r="216" ht="14.25" hidden="1" customHeight="1"/>
    <row r="217" ht="14.25" hidden="1" customHeight="1"/>
    <row r="218" ht="14.25" hidden="1" customHeight="1"/>
    <row r="219" ht="14.25" hidden="1" customHeight="1"/>
    <row r="220" ht="14.25" hidden="1" customHeight="1"/>
    <row r="221" ht="14.25" hidden="1" customHeight="1"/>
    <row r="222" ht="14.25" hidden="1" customHeight="1"/>
    <row r="223" ht="14.25" hidden="1" customHeight="1"/>
    <row r="224" ht="14.25" hidden="1" customHeight="1"/>
    <row r="225" ht="14.25" hidden="1" customHeight="1"/>
    <row r="226" ht="14.25" hidden="1" customHeight="1"/>
    <row r="227" ht="14.25" hidden="1" customHeight="1"/>
    <row r="228" ht="14.25" hidden="1" customHeight="1"/>
    <row r="229" ht="14.25" hidden="1" customHeight="1"/>
    <row r="230" ht="14.25" hidden="1" customHeight="1"/>
    <row r="231" ht="14.25" hidden="1" customHeight="1"/>
    <row r="232" ht="14.25" hidden="1" customHeight="1"/>
    <row r="233" ht="14.25" hidden="1" customHeight="1"/>
    <row r="234" ht="14.25" hidden="1" customHeight="1"/>
    <row r="235" ht="14.25" hidden="1" customHeight="1"/>
    <row r="236" ht="14.25" hidden="1" customHeight="1"/>
    <row r="237" ht="14.25" hidden="1" customHeight="1"/>
    <row r="238" ht="14.25" hidden="1" customHeight="1"/>
    <row r="239" ht="14.25" hidden="1" customHeight="1"/>
    <row r="240" ht="14.25" hidden="1" customHeight="1"/>
    <row r="241" ht="14.25" hidden="1" customHeight="1"/>
    <row r="242" ht="14.25" hidden="1" customHeight="1"/>
    <row r="243" ht="14.25" hidden="1" customHeight="1"/>
    <row r="244" ht="14.25" hidden="1" customHeight="1"/>
    <row r="245" ht="14.25" hidden="1" customHeight="1"/>
    <row r="246" ht="14.25" hidden="1" customHeight="1"/>
    <row r="247" ht="14.25" hidden="1" customHeight="1"/>
    <row r="248" ht="14.25" hidden="1" customHeight="1"/>
    <row r="249" ht="14.25" hidden="1" customHeight="1"/>
    <row r="250" ht="14.25" hidden="1" customHeight="1"/>
    <row r="251" ht="14.25" hidden="1" customHeight="1"/>
    <row r="252" ht="14.25" hidden="1" customHeight="1"/>
    <row r="253" ht="14.25" hidden="1" customHeight="1"/>
    <row r="254" ht="14.25" hidden="1" customHeight="1"/>
    <row r="255" ht="14.25" hidden="1" customHeight="1"/>
    <row r="256" ht="14.25" hidden="1" customHeight="1"/>
    <row r="257" ht="14.25" hidden="1" customHeight="1"/>
    <row r="258" ht="14.25" hidden="1" customHeight="1"/>
    <row r="259" ht="14.25" hidden="1" customHeight="1"/>
    <row r="260" ht="14.25" hidden="1" customHeight="1"/>
    <row r="261" ht="14.25" hidden="1" customHeight="1"/>
    <row r="262" ht="14.25" hidden="1" customHeight="1"/>
    <row r="263" ht="14.25" hidden="1" customHeight="1"/>
    <row r="264" ht="14.25" hidden="1" customHeight="1"/>
    <row r="265" ht="14.25" hidden="1" customHeight="1"/>
    <row r="266" ht="14.25" hidden="1" customHeight="1"/>
    <row r="267" ht="14.25" hidden="1" customHeight="1"/>
    <row r="268" ht="14.25" hidden="1" customHeight="1"/>
    <row r="269" ht="14.25" hidden="1" customHeight="1"/>
    <row r="270" ht="14.25" hidden="1" customHeight="1"/>
    <row r="271" ht="14.25" hidden="1" customHeight="1"/>
    <row r="272" ht="14.25" hidden="1" customHeight="1"/>
    <row r="273" ht="14.25" hidden="1" customHeight="1"/>
    <row r="274" ht="14.25" hidden="1" customHeight="1"/>
    <row r="275" ht="14.25" hidden="1" customHeight="1"/>
    <row r="276" ht="14.25" hidden="1" customHeight="1"/>
    <row r="277" ht="14.25" hidden="1" customHeight="1"/>
    <row r="278" ht="14.25" hidden="1" customHeight="1"/>
    <row r="279" ht="14.25" hidden="1" customHeight="1"/>
    <row r="280" ht="14.25" hidden="1" customHeight="1"/>
    <row r="281" ht="14.25" hidden="1" customHeight="1"/>
    <row r="282" ht="14.25" hidden="1" customHeight="1"/>
    <row r="283" ht="14.25" hidden="1" customHeight="1"/>
    <row r="284" ht="14.25" hidden="1" customHeight="1"/>
    <row r="285" ht="14.25" hidden="1" customHeight="1"/>
    <row r="286" ht="14.25" hidden="1" customHeight="1"/>
    <row r="287" ht="14.25" hidden="1" customHeight="1"/>
    <row r="288" ht="14.25" hidden="1" customHeight="1"/>
    <row r="289" ht="14.25" hidden="1" customHeight="1"/>
    <row r="290" ht="14.25" hidden="1" customHeight="1"/>
    <row r="291" ht="14.25" hidden="1" customHeight="1"/>
    <row r="292" ht="14.25" hidden="1" customHeight="1"/>
    <row r="293" ht="14.25" hidden="1" customHeight="1"/>
    <row r="294" ht="14.25" hidden="1" customHeight="1"/>
    <row r="295" ht="14.25" hidden="1" customHeight="1"/>
    <row r="296" ht="14.25" hidden="1" customHeight="1"/>
    <row r="297" ht="14.25" hidden="1" customHeight="1"/>
    <row r="298" ht="14.25" hidden="1" customHeight="1"/>
    <row r="299" ht="14.25" hidden="1" customHeight="1"/>
    <row r="300" ht="14.25" hidden="1" customHeight="1"/>
    <row r="301" ht="14.25" hidden="1" customHeight="1"/>
    <row r="302" ht="14.25" hidden="1" customHeight="1"/>
    <row r="303" ht="14.25" hidden="1" customHeight="1"/>
    <row r="304" ht="14.25" hidden="1" customHeight="1"/>
    <row r="305" ht="14.25" hidden="1" customHeight="1"/>
    <row r="306" ht="14.25" hidden="1" customHeight="1"/>
    <row r="307" ht="14.25" hidden="1" customHeight="1"/>
    <row r="308" ht="14.25" hidden="1" customHeight="1"/>
    <row r="309" ht="14.25" hidden="1" customHeight="1"/>
    <row r="310" ht="14.25" hidden="1" customHeight="1"/>
    <row r="311" ht="14.25" hidden="1" customHeight="1"/>
    <row r="312" ht="14.25" hidden="1" customHeight="1"/>
    <row r="313" ht="14.25" hidden="1" customHeight="1"/>
    <row r="314" ht="14.25" hidden="1" customHeight="1"/>
    <row r="315" ht="14.25" hidden="1" customHeight="1"/>
    <row r="316" ht="14.25" hidden="1" customHeight="1"/>
    <row r="317" ht="14.25" hidden="1" customHeight="1"/>
    <row r="318" ht="14.25" hidden="1" customHeight="1"/>
    <row r="319" ht="14.25" hidden="1" customHeight="1"/>
    <row r="320" ht="14.25" hidden="1" customHeight="1"/>
    <row r="321" ht="14.25" hidden="1" customHeight="1"/>
    <row r="322" ht="14.25" hidden="1" customHeight="1"/>
    <row r="323" ht="14.25" hidden="1" customHeight="1"/>
    <row r="324" ht="14.25" hidden="1" customHeight="1"/>
    <row r="325" ht="14.25" hidden="1" customHeight="1"/>
    <row r="326" ht="14.25" hidden="1" customHeight="1"/>
    <row r="327" ht="14.25" hidden="1" customHeight="1"/>
    <row r="328" ht="14.25" hidden="1" customHeight="1"/>
    <row r="329" ht="14.25" hidden="1" customHeight="1"/>
    <row r="330" ht="14.25" hidden="1" customHeight="1"/>
    <row r="331" ht="14.25" hidden="1" customHeight="1"/>
    <row r="332" ht="14.25" hidden="1" customHeight="1"/>
    <row r="333" ht="14.25" hidden="1" customHeight="1"/>
    <row r="334" ht="14.25" hidden="1" customHeight="1"/>
    <row r="335" ht="14.25" hidden="1" customHeight="1"/>
    <row r="336" ht="14.25" hidden="1" customHeight="1"/>
    <row r="337" ht="14.25" hidden="1" customHeight="1"/>
    <row r="338" ht="14.25" hidden="1" customHeight="1"/>
    <row r="339" ht="14.25" hidden="1" customHeight="1"/>
    <row r="340" ht="14.25" hidden="1" customHeight="1"/>
    <row r="341" ht="14.25" hidden="1" customHeight="1"/>
    <row r="342" ht="14.25" hidden="1" customHeight="1"/>
    <row r="343" ht="14.25" hidden="1" customHeight="1"/>
    <row r="344" ht="14.25" hidden="1" customHeight="1"/>
    <row r="345" ht="14.25" hidden="1" customHeight="1"/>
    <row r="346" ht="14.25" hidden="1" customHeight="1"/>
    <row r="347" ht="14.25" hidden="1" customHeight="1"/>
    <row r="348" ht="14.25" hidden="1" customHeight="1"/>
    <row r="349" ht="14.25" hidden="1" customHeight="1"/>
    <row r="350" ht="14.25" hidden="1" customHeight="1"/>
    <row r="351" ht="14.25" hidden="1" customHeight="1"/>
    <row r="352" ht="14.25" hidden="1" customHeight="1"/>
    <row r="353" ht="14.25" hidden="1" customHeight="1"/>
    <row r="354" ht="14.25" hidden="1" customHeight="1"/>
    <row r="355" ht="14.25" hidden="1" customHeight="1"/>
    <row r="356" ht="14.25" hidden="1" customHeight="1"/>
    <row r="357" ht="14.25" hidden="1" customHeight="1"/>
    <row r="358" ht="14.25" hidden="1" customHeight="1"/>
    <row r="359" ht="14.25" hidden="1" customHeight="1"/>
    <row r="360" ht="14.25" hidden="1" customHeight="1"/>
    <row r="361" ht="14.25" hidden="1" customHeight="1"/>
    <row r="362" ht="14.25" hidden="1" customHeight="1"/>
    <row r="363" ht="14.25" hidden="1" customHeight="1"/>
    <row r="364" ht="14.25" hidden="1" customHeight="1"/>
    <row r="365" ht="14.25" hidden="1" customHeight="1"/>
    <row r="366" ht="14.25" hidden="1" customHeight="1"/>
    <row r="367" ht="14.25" hidden="1" customHeight="1"/>
    <row r="368" ht="14.25" hidden="1" customHeight="1"/>
    <row r="369" ht="14.25" hidden="1" customHeight="1"/>
    <row r="370" ht="14.25" hidden="1" customHeight="1"/>
    <row r="371" ht="14.25" hidden="1" customHeight="1"/>
    <row r="372" ht="14.25" hidden="1" customHeight="1"/>
    <row r="373" ht="14.25" hidden="1" customHeight="1"/>
    <row r="374" ht="14.25" hidden="1" customHeight="1"/>
    <row r="375" ht="14.25" hidden="1" customHeight="1"/>
    <row r="376" ht="14.25" hidden="1" customHeight="1"/>
    <row r="377" ht="14.25" hidden="1" customHeight="1"/>
    <row r="378" ht="14.25" hidden="1" customHeight="1"/>
    <row r="379" ht="14.25" hidden="1" customHeight="1"/>
    <row r="380" ht="14.25" hidden="1" customHeight="1"/>
    <row r="381" ht="14.25" hidden="1" customHeight="1"/>
    <row r="382" ht="14.25" hidden="1" customHeight="1"/>
    <row r="383" ht="14.25" hidden="1" customHeight="1"/>
    <row r="384" ht="14.25" hidden="1" customHeight="1"/>
    <row r="385" ht="14.25" hidden="1" customHeight="1"/>
    <row r="386" ht="14.25" hidden="1" customHeight="1"/>
    <row r="387" ht="14.25" hidden="1" customHeight="1"/>
    <row r="388" ht="14.25" hidden="1" customHeight="1"/>
    <row r="389" ht="14.25" hidden="1" customHeight="1"/>
    <row r="390" ht="14.25" hidden="1" customHeight="1"/>
    <row r="391" ht="14.25" hidden="1" customHeight="1"/>
    <row r="392" ht="14.25" hidden="1" customHeight="1"/>
    <row r="393" ht="14.25" hidden="1" customHeight="1"/>
    <row r="394" ht="14.25" hidden="1" customHeight="1"/>
    <row r="395" ht="14.25" hidden="1" customHeight="1"/>
    <row r="396" ht="14.25" hidden="1" customHeight="1"/>
    <row r="397" ht="14.25" hidden="1" customHeight="1"/>
    <row r="398" ht="14.25" hidden="1" customHeight="1"/>
    <row r="399" ht="14.25" hidden="1" customHeight="1"/>
    <row r="400" ht="14.25" hidden="1" customHeight="1"/>
    <row r="401" ht="14.25" hidden="1" customHeight="1"/>
    <row r="402" ht="14.25" hidden="1" customHeight="1"/>
    <row r="403" ht="14.25" hidden="1" customHeight="1"/>
    <row r="404" ht="14.25" hidden="1" customHeight="1"/>
    <row r="405" ht="14.25" hidden="1" customHeight="1"/>
    <row r="406" ht="14.25" hidden="1" customHeight="1"/>
    <row r="407" ht="14.25" hidden="1" customHeight="1"/>
    <row r="408" ht="14.25" hidden="1" customHeight="1"/>
    <row r="409" ht="14.25" hidden="1" customHeight="1"/>
    <row r="410" ht="14.25" hidden="1" customHeight="1"/>
    <row r="411" ht="14.25" hidden="1" customHeight="1"/>
    <row r="412" ht="14.25" hidden="1" customHeight="1"/>
    <row r="413" ht="14.25" hidden="1" customHeight="1"/>
    <row r="414" ht="14.25" hidden="1" customHeight="1"/>
    <row r="415" ht="14.25" hidden="1" customHeight="1"/>
    <row r="416" ht="14.25" hidden="1" customHeight="1"/>
    <row r="417" ht="14.25" hidden="1" customHeight="1"/>
    <row r="418" ht="14.25" hidden="1" customHeight="1"/>
    <row r="419" ht="14.25" hidden="1" customHeight="1"/>
    <row r="420" ht="14.25" hidden="1" customHeight="1"/>
    <row r="421" ht="14.25" hidden="1" customHeight="1"/>
    <row r="422" ht="14.25" hidden="1" customHeight="1"/>
    <row r="423" ht="14.25" hidden="1" customHeight="1"/>
    <row r="424" ht="14.25" hidden="1" customHeight="1"/>
    <row r="425" ht="14.25" hidden="1" customHeight="1"/>
    <row r="426" ht="14.25" hidden="1" customHeight="1"/>
    <row r="427" ht="14.25" hidden="1" customHeight="1"/>
    <row r="428" ht="14.25" hidden="1" customHeight="1"/>
    <row r="429" ht="14.25" hidden="1" customHeight="1"/>
    <row r="430" ht="14.25" hidden="1" customHeight="1"/>
    <row r="431" ht="14.25" hidden="1" customHeight="1"/>
    <row r="432" ht="14.25" hidden="1" customHeight="1"/>
    <row r="433" ht="14.25" hidden="1" customHeight="1"/>
    <row r="434" ht="14.25" hidden="1" customHeight="1"/>
    <row r="435" ht="14.25" hidden="1" customHeight="1"/>
    <row r="436" ht="14.25" hidden="1" customHeight="1"/>
    <row r="437" ht="14.25" hidden="1" customHeight="1"/>
    <row r="438" ht="14.25" hidden="1" customHeight="1"/>
    <row r="439" ht="14.25" hidden="1" customHeight="1"/>
    <row r="440" ht="14.25" hidden="1" customHeight="1"/>
    <row r="441" ht="14.25" hidden="1" customHeight="1"/>
    <row r="442" ht="14.25" hidden="1" customHeight="1"/>
    <row r="443" ht="14.25" hidden="1" customHeight="1"/>
    <row r="444" ht="14.25" hidden="1" customHeight="1"/>
    <row r="445" ht="14.25" hidden="1" customHeight="1"/>
    <row r="446" ht="14.25" hidden="1" customHeight="1"/>
    <row r="447" ht="14.25" hidden="1" customHeight="1"/>
    <row r="448" ht="14.25" hidden="1" customHeight="1"/>
    <row r="449" ht="14.25" hidden="1" customHeight="1"/>
    <row r="450" ht="14.25" hidden="1" customHeight="1"/>
    <row r="451" ht="14.25" hidden="1" customHeight="1"/>
    <row r="452" ht="14.25" hidden="1" customHeight="1"/>
    <row r="453" ht="14.25" hidden="1" customHeight="1"/>
    <row r="454" ht="14.25" hidden="1" customHeight="1"/>
    <row r="455" ht="14.25" hidden="1" customHeight="1"/>
    <row r="456" ht="14.25" hidden="1" customHeight="1"/>
    <row r="457" ht="14.25" hidden="1" customHeight="1"/>
    <row r="458" ht="14.25" hidden="1" customHeight="1"/>
    <row r="459" ht="14.25" hidden="1" customHeight="1"/>
    <row r="460" ht="14.25" hidden="1" customHeight="1"/>
    <row r="461" ht="14.25" hidden="1" customHeight="1"/>
    <row r="462" ht="14.25" hidden="1" customHeight="1"/>
    <row r="463" ht="14.25" hidden="1" customHeight="1"/>
    <row r="464" ht="14.25" hidden="1" customHeight="1"/>
    <row r="465" ht="14.25" hidden="1" customHeight="1"/>
    <row r="466" ht="14.25" hidden="1" customHeight="1"/>
    <row r="467" ht="14.25" hidden="1" customHeight="1"/>
    <row r="468" ht="14.25" hidden="1" customHeight="1"/>
    <row r="469" ht="14.25" hidden="1" customHeight="1"/>
    <row r="470" ht="14.25" hidden="1" customHeight="1"/>
    <row r="471" ht="14.25" hidden="1" customHeight="1"/>
    <row r="472" ht="14.25" hidden="1" customHeight="1"/>
    <row r="473" ht="14.25" hidden="1" customHeight="1"/>
    <row r="474" ht="14.25" hidden="1" customHeight="1"/>
    <row r="475" ht="14.25" hidden="1" customHeight="1"/>
    <row r="476" ht="14.25" hidden="1" customHeight="1"/>
    <row r="477" ht="14.25" hidden="1" customHeight="1"/>
    <row r="478" ht="14.25" hidden="1" customHeight="1"/>
    <row r="479" ht="14.25" hidden="1" customHeight="1"/>
    <row r="480" ht="14.25" hidden="1" customHeight="1"/>
    <row r="481" ht="14.25" hidden="1" customHeight="1"/>
    <row r="482" ht="14.25" hidden="1" customHeight="1"/>
    <row r="483" ht="14.25" hidden="1" customHeight="1"/>
    <row r="484" ht="14.25" hidden="1" customHeight="1"/>
    <row r="485" ht="14.25" hidden="1" customHeight="1"/>
    <row r="486" ht="14.25" hidden="1" customHeight="1"/>
    <row r="487" ht="14.25" hidden="1" customHeight="1"/>
    <row r="488" ht="14.25" hidden="1" customHeight="1"/>
    <row r="489" ht="14.25" hidden="1" customHeight="1"/>
    <row r="490" ht="14.25" hidden="1" customHeight="1"/>
    <row r="491" ht="14.25" hidden="1" customHeight="1"/>
    <row r="492" ht="14.25" hidden="1" customHeight="1"/>
    <row r="493" ht="14.25" hidden="1" customHeight="1"/>
    <row r="494" ht="14.25" hidden="1" customHeight="1"/>
    <row r="495" ht="14.25" hidden="1" customHeight="1"/>
    <row r="496" ht="14.25" hidden="1" customHeight="1"/>
    <row r="497" ht="14.25" hidden="1" customHeight="1"/>
    <row r="498" ht="14.25" hidden="1" customHeight="1"/>
    <row r="499" ht="14.25" hidden="1" customHeight="1"/>
    <row r="500" ht="14.25" hidden="1" customHeight="1"/>
    <row r="501" ht="14.25" hidden="1" customHeight="1"/>
    <row r="502" ht="14.25" hidden="1" customHeight="1"/>
    <row r="503" ht="14.25" hidden="1" customHeight="1"/>
    <row r="504" ht="14.25" hidden="1" customHeight="1"/>
    <row r="505" ht="14.25" hidden="1" customHeight="1"/>
    <row r="506" ht="14.25" hidden="1" customHeight="1"/>
    <row r="507" ht="14.25" hidden="1" customHeight="1"/>
    <row r="508" ht="14.25" hidden="1" customHeight="1"/>
    <row r="509" ht="14.25" hidden="1" customHeight="1"/>
    <row r="510" ht="14.25" hidden="1" customHeight="1"/>
    <row r="511" ht="14.25" hidden="1" customHeight="1"/>
    <row r="512" ht="14.25" hidden="1" customHeight="1"/>
    <row r="513" ht="14.25" hidden="1" customHeight="1"/>
    <row r="514" ht="14.25" hidden="1" customHeight="1"/>
    <row r="515" ht="14.25" hidden="1" customHeight="1"/>
    <row r="516" ht="14.25" hidden="1" customHeight="1"/>
    <row r="517" ht="14.25" hidden="1" customHeight="1"/>
    <row r="518" ht="14.25" hidden="1" customHeight="1"/>
    <row r="519" ht="14.25" hidden="1" customHeight="1"/>
    <row r="520" ht="14.25" hidden="1" customHeight="1"/>
    <row r="521" ht="14.25" hidden="1" customHeight="1"/>
    <row r="522" ht="14.25" hidden="1" customHeight="1"/>
    <row r="523" ht="14.25" hidden="1" customHeight="1"/>
    <row r="524" ht="14.25" hidden="1" customHeight="1"/>
    <row r="525" ht="14.25" hidden="1" customHeight="1"/>
    <row r="526" ht="14.25" hidden="1" customHeight="1"/>
    <row r="527" ht="14.25" hidden="1" customHeight="1"/>
    <row r="528" ht="14.25" hidden="1" customHeight="1"/>
    <row r="529" ht="14.25" hidden="1" customHeight="1"/>
    <row r="530" ht="14.25" hidden="1" customHeight="1"/>
    <row r="531" ht="14.25" hidden="1" customHeight="1"/>
    <row r="532" ht="14.25" hidden="1" customHeight="1"/>
    <row r="533" ht="14.25" hidden="1" customHeight="1"/>
    <row r="534" ht="14.25" hidden="1" customHeight="1"/>
    <row r="535" ht="14.25" hidden="1" customHeight="1"/>
    <row r="536" ht="14.25" hidden="1" customHeight="1"/>
    <row r="537" ht="14.25" hidden="1" customHeight="1"/>
    <row r="538" ht="14.25" hidden="1" customHeight="1"/>
    <row r="539" ht="14.25" hidden="1" customHeight="1"/>
    <row r="540" ht="14.25" hidden="1" customHeight="1"/>
    <row r="541" ht="14.25" hidden="1" customHeight="1"/>
    <row r="542" ht="14.25" hidden="1" customHeight="1"/>
    <row r="543" ht="14.25" hidden="1" customHeight="1"/>
    <row r="544" ht="14.25" hidden="1" customHeight="1"/>
    <row r="545" ht="14.25" hidden="1" customHeight="1"/>
    <row r="546" ht="14.25" hidden="1" customHeight="1"/>
    <row r="547" ht="14.25" hidden="1" customHeight="1"/>
    <row r="548" ht="14.25" hidden="1" customHeight="1"/>
    <row r="549" ht="14.25" hidden="1" customHeight="1"/>
    <row r="550" ht="14.25" hidden="1" customHeight="1"/>
    <row r="551" ht="14.25" hidden="1" customHeight="1"/>
    <row r="552" ht="14.25" hidden="1" customHeight="1"/>
    <row r="553" ht="14.25" hidden="1" customHeight="1"/>
    <row r="554" ht="14.25" hidden="1" customHeight="1"/>
    <row r="555" ht="14.25" hidden="1" customHeight="1"/>
    <row r="556" ht="14.25" hidden="1" customHeight="1"/>
    <row r="557" ht="14.25" hidden="1" customHeight="1"/>
    <row r="558" ht="14.25" hidden="1" customHeight="1"/>
    <row r="559" ht="14.25" hidden="1" customHeight="1"/>
    <row r="560" ht="14.25" hidden="1" customHeight="1"/>
    <row r="561" ht="14.25" hidden="1" customHeight="1"/>
    <row r="562" ht="14.25" hidden="1" customHeight="1"/>
    <row r="563" ht="14.25" hidden="1" customHeight="1"/>
    <row r="564" ht="14.25" hidden="1" customHeight="1"/>
    <row r="565" ht="14.25" hidden="1" customHeight="1"/>
    <row r="566" ht="14.25" hidden="1" customHeight="1"/>
    <row r="567" ht="14.25" hidden="1" customHeight="1"/>
    <row r="568" ht="14.25" hidden="1" customHeight="1"/>
    <row r="569" ht="14.25" hidden="1" customHeight="1"/>
    <row r="570" ht="14.25" hidden="1" customHeight="1"/>
    <row r="571" ht="14.25" hidden="1" customHeight="1"/>
    <row r="572" ht="14.25" hidden="1" customHeight="1"/>
    <row r="573" ht="14.25" hidden="1" customHeight="1"/>
    <row r="574" ht="14.25" hidden="1" customHeight="1"/>
    <row r="575" ht="14.25" hidden="1" customHeight="1"/>
    <row r="576" ht="14.25" hidden="1" customHeight="1"/>
    <row r="577" ht="14.25" hidden="1" customHeight="1"/>
    <row r="578" ht="14.25" hidden="1" customHeight="1"/>
    <row r="579" ht="14.25" hidden="1" customHeight="1"/>
    <row r="580" ht="14.25" hidden="1" customHeight="1"/>
    <row r="581" ht="14.25" hidden="1" customHeight="1"/>
    <row r="582" ht="14.25" hidden="1" customHeight="1"/>
    <row r="583" ht="14.25" hidden="1" customHeight="1"/>
    <row r="584" ht="14.25" hidden="1" customHeight="1"/>
    <row r="585" ht="14.25" hidden="1" customHeight="1"/>
    <row r="586" ht="14.25" hidden="1" customHeight="1"/>
    <row r="587" ht="14.25" hidden="1" customHeight="1"/>
    <row r="588" ht="14.25" hidden="1" customHeight="1"/>
    <row r="589" ht="14.25" hidden="1" customHeight="1"/>
    <row r="590" ht="14.25" hidden="1" customHeight="1"/>
    <row r="591" ht="14.25" hidden="1" customHeight="1"/>
    <row r="592" ht="14.25" hidden="1" customHeight="1"/>
    <row r="593" ht="14.25" hidden="1" customHeight="1"/>
    <row r="594" ht="14.25" hidden="1" customHeight="1"/>
    <row r="595" ht="14.25" hidden="1" customHeight="1"/>
    <row r="596" ht="14.25" hidden="1" customHeight="1"/>
    <row r="597" ht="14.25" hidden="1" customHeight="1"/>
    <row r="598" ht="14.25" hidden="1" customHeight="1"/>
    <row r="599" ht="14.25" hidden="1" customHeight="1"/>
    <row r="600" ht="14.25" hidden="1" customHeight="1"/>
    <row r="601" ht="14.25" hidden="1" customHeight="1"/>
    <row r="602" ht="14.25" hidden="1" customHeight="1"/>
    <row r="603" ht="14.25" hidden="1" customHeight="1"/>
    <row r="604" ht="14.25" hidden="1" customHeight="1"/>
    <row r="605" ht="14.25" hidden="1" customHeight="1"/>
    <row r="606" ht="14.25" hidden="1" customHeight="1"/>
    <row r="607" ht="14.25" hidden="1" customHeight="1"/>
    <row r="608" ht="14.25" hidden="1" customHeight="1"/>
    <row r="609" ht="14.25" hidden="1" customHeight="1"/>
    <row r="610" ht="14.25" hidden="1" customHeight="1"/>
    <row r="611" ht="14.25" hidden="1" customHeight="1"/>
    <row r="612" ht="14.25" hidden="1" customHeight="1"/>
    <row r="613" ht="14.25" hidden="1" customHeight="1"/>
    <row r="614" ht="14.25" hidden="1" customHeight="1"/>
    <row r="615" ht="14.25" hidden="1" customHeight="1"/>
    <row r="616" ht="14.25" hidden="1" customHeight="1"/>
    <row r="617" ht="14.25" hidden="1" customHeight="1"/>
    <row r="618" ht="14.25" hidden="1" customHeight="1"/>
    <row r="619" ht="14.25" hidden="1" customHeight="1"/>
    <row r="620" ht="14.25" hidden="1" customHeight="1"/>
    <row r="621" ht="14.25" hidden="1" customHeight="1"/>
    <row r="622" ht="14.25" hidden="1" customHeight="1"/>
    <row r="623" ht="14.25" hidden="1" customHeight="1"/>
    <row r="624" ht="14.25" hidden="1" customHeight="1"/>
    <row r="625" ht="14.25" hidden="1" customHeight="1"/>
    <row r="626" ht="14.25" hidden="1" customHeight="1"/>
    <row r="627" ht="14.25" hidden="1" customHeight="1"/>
    <row r="628" ht="14.25" hidden="1" customHeight="1"/>
    <row r="629" ht="14.25" hidden="1" customHeight="1"/>
    <row r="630" ht="14.25" hidden="1" customHeight="1"/>
    <row r="631" ht="14.25" hidden="1" customHeight="1"/>
    <row r="632" ht="14.25" hidden="1" customHeight="1"/>
    <row r="633" ht="14.25" hidden="1" customHeight="1"/>
    <row r="634" ht="14.25" hidden="1" customHeight="1"/>
    <row r="635" ht="14.25" hidden="1" customHeight="1"/>
    <row r="636" ht="14.25" hidden="1" customHeight="1"/>
    <row r="637" ht="14.25" hidden="1" customHeight="1"/>
    <row r="638" ht="14.25" hidden="1" customHeight="1"/>
    <row r="639" ht="14.25" hidden="1" customHeight="1"/>
    <row r="640" ht="14.25" hidden="1" customHeight="1"/>
    <row r="641" ht="14.25" hidden="1" customHeight="1"/>
    <row r="642" ht="14.25" hidden="1" customHeight="1"/>
    <row r="643" ht="14.25" hidden="1" customHeight="1"/>
    <row r="644" ht="14.25" hidden="1" customHeight="1"/>
    <row r="645" ht="14.25" hidden="1" customHeight="1"/>
    <row r="646" ht="14.25" hidden="1" customHeight="1"/>
    <row r="647" ht="14.25" hidden="1" customHeight="1"/>
    <row r="648" ht="14.25" hidden="1" customHeight="1"/>
    <row r="649" ht="14.25" hidden="1" customHeight="1"/>
    <row r="650" ht="14.25" hidden="1" customHeight="1"/>
    <row r="651" ht="14.25" hidden="1" customHeight="1"/>
    <row r="652" ht="14.25" hidden="1" customHeight="1"/>
    <row r="653" ht="14.25" hidden="1" customHeight="1"/>
    <row r="654" ht="14.25" hidden="1" customHeight="1"/>
    <row r="655" ht="14.25" hidden="1" customHeight="1"/>
    <row r="656" ht="14.25" hidden="1" customHeight="1"/>
    <row r="657" ht="14.25" hidden="1" customHeight="1"/>
    <row r="658" ht="14.25" hidden="1" customHeight="1"/>
    <row r="659" ht="14.25" hidden="1" customHeight="1"/>
    <row r="660" ht="14.25" hidden="1" customHeight="1"/>
    <row r="661" ht="14.25" hidden="1" customHeight="1"/>
    <row r="662" ht="14.25" hidden="1" customHeight="1"/>
    <row r="663" ht="14.25" hidden="1" customHeight="1"/>
    <row r="664" ht="14.25" hidden="1" customHeight="1"/>
    <row r="665" ht="14.25" hidden="1" customHeight="1"/>
    <row r="666" ht="14.25" hidden="1" customHeight="1"/>
    <row r="667" ht="14.25" hidden="1" customHeight="1"/>
    <row r="668" ht="14.25" hidden="1" customHeight="1"/>
    <row r="669" ht="14.25" hidden="1" customHeight="1"/>
    <row r="670" ht="14.25" hidden="1" customHeight="1"/>
    <row r="671" ht="14.25" hidden="1" customHeight="1"/>
    <row r="672" ht="14.25" hidden="1" customHeight="1"/>
    <row r="673" ht="14.25" hidden="1" customHeight="1"/>
    <row r="674" ht="14.25" hidden="1" customHeight="1"/>
    <row r="675" ht="14.25" hidden="1" customHeight="1"/>
    <row r="676" ht="14.25" hidden="1" customHeight="1"/>
    <row r="677" ht="14.25" hidden="1" customHeight="1"/>
    <row r="678" ht="14.25" hidden="1" customHeight="1"/>
    <row r="679" ht="14.25" hidden="1" customHeight="1"/>
    <row r="680" ht="14.25" hidden="1" customHeight="1"/>
    <row r="681" ht="14.25" hidden="1" customHeight="1"/>
    <row r="682" ht="14.25" hidden="1" customHeight="1"/>
    <row r="683" ht="14.25" hidden="1" customHeight="1"/>
    <row r="684" ht="14.25" hidden="1" customHeight="1"/>
    <row r="685" ht="14.25" hidden="1" customHeight="1"/>
    <row r="686" ht="14.25" hidden="1" customHeight="1"/>
    <row r="687" ht="14.25" hidden="1" customHeight="1"/>
    <row r="688" ht="14.25" hidden="1" customHeight="1"/>
    <row r="689" ht="14.25" hidden="1" customHeight="1"/>
    <row r="690" ht="14.25" hidden="1" customHeight="1"/>
    <row r="691" ht="14.25" hidden="1" customHeight="1"/>
    <row r="692" ht="14.25" hidden="1" customHeight="1"/>
    <row r="693" ht="14.25" hidden="1" customHeight="1"/>
    <row r="694" ht="14.25" hidden="1" customHeight="1"/>
    <row r="695" ht="14.25" hidden="1" customHeight="1"/>
    <row r="696" ht="14.25" hidden="1" customHeight="1"/>
    <row r="697" ht="14.25" hidden="1" customHeight="1"/>
    <row r="698" ht="14.25" hidden="1" customHeight="1"/>
    <row r="699" ht="14.25" hidden="1" customHeight="1"/>
    <row r="700" ht="14.25" hidden="1" customHeight="1"/>
    <row r="701" ht="14.25" hidden="1" customHeight="1"/>
    <row r="702" ht="14.25" hidden="1" customHeight="1"/>
    <row r="703" ht="14.25" hidden="1" customHeight="1"/>
    <row r="704" ht="14.25" hidden="1" customHeight="1"/>
    <row r="705" ht="14.25" hidden="1" customHeight="1"/>
    <row r="706" ht="14.25" hidden="1" customHeight="1"/>
    <row r="707" ht="14.25" hidden="1" customHeight="1"/>
    <row r="708" ht="14.25" hidden="1" customHeight="1"/>
    <row r="709" ht="14.25" hidden="1" customHeight="1"/>
    <row r="710" ht="14.25" hidden="1" customHeight="1"/>
    <row r="711" ht="14.25" hidden="1" customHeight="1"/>
    <row r="712" ht="14.25" hidden="1" customHeight="1"/>
    <row r="713" ht="14.25" hidden="1" customHeight="1"/>
    <row r="714" ht="14.25" hidden="1" customHeight="1"/>
    <row r="715" ht="14.25" hidden="1" customHeight="1"/>
    <row r="716" ht="14.25" hidden="1" customHeight="1"/>
    <row r="717" ht="14.25" hidden="1" customHeight="1"/>
    <row r="718" ht="14.25" hidden="1" customHeight="1"/>
    <row r="719" ht="14.25" hidden="1" customHeight="1"/>
    <row r="720" ht="14.25" hidden="1" customHeight="1"/>
    <row r="721" ht="14.25" hidden="1" customHeight="1"/>
    <row r="722" ht="14.25" hidden="1" customHeight="1"/>
    <row r="723" ht="14.25" hidden="1" customHeight="1"/>
    <row r="724" ht="14.25" hidden="1" customHeight="1"/>
    <row r="725" ht="14.25" hidden="1" customHeight="1"/>
    <row r="726" ht="14.25" hidden="1" customHeight="1"/>
    <row r="727" ht="14.25" hidden="1" customHeight="1"/>
    <row r="728" ht="14.25" hidden="1" customHeight="1"/>
    <row r="729" ht="14.25" hidden="1" customHeight="1"/>
    <row r="730" ht="14.25" hidden="1" customHeight="1"/>
    <row r="731" ht="14.25" hidden="1" customHeight="1"/>
    <row r="732" ht="14.25" hidden="1" customHeight="1"/>
    <row r="733" ht="14.25" hidden="1" customHeight="1"/>
    <row r="734" ht="14.25" hidden="1" customHeight="1"/>
    <row r="735" ht="14.25" hidden="1" customHeight="1"/>
    <row r="736" ht="14.25" hidden="1" customHeight="1"/>
    <row r="737" ht="14.25" hidden="1" customHeight="1"/>
    <row r="738" ht="14.25" hidden="1" customHeight="1"/>
    <row r="739" ht="14.25" hidden="1" customHeight="1"/>
    <row r="740" ht="14.25" hidden="1" customHeight="1"/>
    <row r="741" ht="14.25" hidden="1" customHeight="1"/>
    <row r="742" ht="14.25" hidden="1" customHeight="1"/>
    <row r="743" ht="14.25" hidden="1" customHeight="1"/>
    <row r="744" ht="14.25" hidden="1" customHeight="1"/>
    <row r="745" ht="14.25" hidden="1" customHeight="1"/>
    <row r="746" ht="14.25" hidden="1" customHeight="1"/>
    <row r="747" ht="14.25" hidden="1" customHeight="1"/>
    <row r="748" ht="14.25" hidden="1" customHeight="1"/>
    <row r="749" ht="14.25" hidden="1" customHeight="1"/>
    <row r="750" ht="14.25" hidden="1" customHeight="1"/>
    <row r="751" ht="14.25" hidden="1" customHeight="1"/>
    <row r="752" ht="14.25" hidden="1" customHeight="1"/>
    <row r="753" ht="14.25" hidden="1" customHeight="1"/>
    <row r="754" ht="14.25" hidden="1" customHeight="1"/>
    <row r="755" ht="14.25" hidden="1" customHeight="1"/>
    <row r="756" ht="14.25" hidden="1" customHeight="1"/>
    <row r="757" ht="14.25" hidden="1" customHeight="1"/>
    <row r="758" ht="14.25" hidden="1" customHeight="1"/>
    <row r="759" ht="14.25" hidden="1" customHeight="1"/>
    <row r="760" ht="14.25" hidden="1" customHeight="1"/>
    <row r="761" ht="14.25" hidden="1" customHeight="1"/>
    <row r="762" ht="14.25" hidden="1" customHeight="1"/>
    <row r="763" ht="14.25" hidden="1" customHeight="1"/>
    <row r="764" ht="14.25" hidden="1" customHeight="1"/>
    <row r="765" ht="14.25" hidden="1" customHeight="1"/>
    <row r="766" ht="14.25" hidden="1" customHeight="1"/>
    <row r="767" ht="14.25" hidden="1" customHeight="1"/>
    <row r="768" ht="14.25" hidden="1" customHeight="1"/>
    <row r="769" ht="14.25" hidden="1" customHeight="1"/>
    <row r="770" ht="14.25" hidden="1" customHeight="1"/>
    <row r="771" ht="14.25" hidden="1" customHeight="1"/>
    <row r="772" ht="14.25" hidden="1" customHeight="1"/>
    <row r="773" ht="14.25" hidden="1" customHeight="1"/>
    <row r="774" ht="14.25" hidden="1" customHeight="1"/>
    <row r="775" ht="14.25" hidden="1" customHeight="1"/>
    <row r="776" ht="14.25" hidden="1" customHeight="1"/>
    <row r="777" ht="14.25" hidden="1" customHeight="1"/>
    <row r="778" ht="14.25" hidden="1" customHeight="1"/>
    <row r="779" ht="14.25" hidden="1" customHeight="1"/>
    <row r="780" ht="14.25" hidden="1" customHeight="1"/>
    <row r="781" ht="14.25" hidden="1" customHeight="1"/>
    <row r="782" ht="14.25" hidden="1" customHeight="1"/>
    <row r="783" ht="14.25" hidden="1" customHeight="1"/>
    <row r="784" ht="14.25" hidden="1" customHeight="1"/>
    <row r="785" ht="14.25" hidden="1" customHeight="1"/>
    <row r="786" ht="14.25" hidden="1" customHeight="1"/>
    <row r="787" ht="14.25" hidden="1" customHeight="1"/>
    <row r="788" ht="14.25" hidden="1" customHeight="1"/>
    <row r="789" ht="14.25" hidden="1" customHeight="1"/>
    <row r="790" ht="14.25" hidden="1" customHeight="1"/>
    <row r="791" ht="14.25" hidden="1" customHeight="1"/>
    <row r="792" ht="14.25" hidden="1" customHeight="1"/>
    <row r="793" ht="14.25" hidden="1" customHeight="1"/>
    <row r="794" ht="14.25" hidden="1" customHeight="1"/>
    <row r="795" ht="14.25" hidden="1" customHeight="1"/>
    <row r="796" ht="14.25" hidden="1" customHeight="1"/>
    <row r="797" ht="14.25" hidden="1" customHeight="1"/>
    <row r="798" ht="14.25" hidden="1" customHeight="1"/>
    <row r="799" ht="14.25" hidden="1" customHeight="1"/>
    <row r="800" ht="14.25" hidden="1" customHeight="1"/>
    <row r="801" ht="14.25" hidden="1" customHeight="1"/>
    <row r="802" ht="14.25" hidden="1" customHeight="1"/>
    <row r="803" ht="14.25" hidden="1" customHeight="1"/>
    <row r="804" ht="14.25" hidden="1" customHeight="1"/>
    <row r="805" ht="14.25" hidden="1" customHeight="1"/>
    <row r="806" ht="14.25" hidden="1" customHeight="1"/>
    <row r="807" ht="14.25" hidden="1" customHeight="1"/>
    <row r="808" ht="14.25" hidden="1" customHeight="1"/>
    <row r="809" ht="14.25" hidden="1" customHeight="1"/>
    <row r="810" ht="14.25" hidden="1" customHeight="1"/>
    <row r="811" ht="14.25" hidden="1" customHeight="1"/>
    <row r="812" ht="14.25" hidden="1" customHeight="1"/>
    <row r="813" ht="14.25" hidden="1" customHeight="1"/>
    <row r="814" ht="14.25" hidden="1" customHeight="1"/>
    <row r="815" ht="14.25" hidden="1" customHeight="1"/>
    <row r="816" ht="14.25" hidden="1" customHeight="1"/>
    <row r="817" ht="14.25" hidden="1" customHeight="1"/>
    <row r="818" ht="14.25" hidden="1" customHeight="1"/>
    <row r="819" ht="14.25" hidden="1" customHeight="1"/>
    <row r="820" ht="14.25" hidden="1" customHeight="1"/>
    <row r="821" ht="14.25" hidden="1" customHeight="1"/>
    <row r="822" ht="14.25" hidden="1" customHeight="1"/>
    <row r="823" ht="14.25" hidden="1" customHeight="1"/>
    <row r="824" ht="14.25" hidden="1" customHeight="1"/>
    <row r="825" ht="14.25" hidden="1" customHeight="1"/>
    <row r="826" ht="14.25" hidden="1" customHeight="1"/>
    <row r="827" ht="14.25" hidden="1" customHeight="1"/>
    <row r="828" ht="14.25" hidden="1" customHeight="1"/>
    <row r="829" ht="14.25" hidden="1" customHeight="1"/>
    <row r="830" ht="14.25" hidden="1" customHeight="1"/>
    <row r="831" ht="14.25" hidden="1" customHeight="1"/>
    <row r="832" ht="14.25" hidden="1" customHeight="1"/>
    <row r="833" ht="14.25" hidden="1" customHeight="1"/>
    <row r="834" ht="14.25" hidden="1" customHeight="1"/>
    <row r="835" ht="14.25" hidden="1" customHeight="1"/>
    <row r="836" ht="14.25" hidden="1" customHeight="1"/>
    <row r="837" ht="14.25" hidden="1" customHeight="1"/>
    <row r="838" ht="14.25" hidden="1" customHeight="1"/>
    <row r="839" ht="14.25" hidden="1" customHeight="1"/>
    <row r="840" ht="14.25" hidden="1" customHeight="1"/>
    <row r="841" ht="14.25" hidden="1" customHeight="1"/>
    <row r="842" ht="14.25" hidden="1" customHeight="1"/>
    <row r="843" ht="14.25" hidden="1" customHeight="1"/>
    <row r="844" ht="14.25" hidden="1" customHeight="1"/>
    <row r="845" ht="14.25" hidden="1" customHeight="1"/>
    <row r="846" ht="14.25" hidden="1" customHeight="1"/>
    <row r="847" ht="14.25" hidden="1" customHeight="1"/>
    <row r="848" ht="14.25" hidden="1" customHeight="1"/>
    <row r="849" ht="14.25" hidden="1" customHeight="1"/>
    <row r="850" ht="14.25" hidden="1" customHeight="1"/>
    <row r="851" ht="14.25" hidden="1" customHeight="1"/>
    <row r="852" ht="14.25" hidden="1" customHeight="1"/>
    <row r="853" ht="14.25" hidden="1" customHeight="1"/>
    <row r="854" ht="14.25" hidden="1" customHeight="1"/>
    <row r="855" ht="14.25" hidden="1" customHeight="1"/>
    <row r="856" ht="14.25" hidden="1" customHeight="1"/>
    <row r="857" ht="14.25" hidden="1" customHeight="1"/>
    <row r="858" ht="14.25" hidden="1" customHeight="1"/>
    <row r="859" ht="14.25" hidden="1" customHeight="1"/>
    <row r="860" ht="14.25" hidden="1" customHeight="1"/>
    <row r="861" ht="14.25" hidden="1" customHeight="1"/>
    <row r="862" ht="14.25" hidden="1" customHeight="1"/>
    <row r="863" ht="14.25" hidden="1" customHeight="1"/>
    <row r="864" ht="14.25" hidden="1" customHeight="1"/>
    <row r="865" ht="14.25" hidden="1" customHeight="1"/>
    <row r="866" ht="14.25" hidden="1" customHeight="1"/>
    <row r="867" ht="14.25" hidden="1" customHeight="1"/>
    <row r="868" ht="14.25" hidden="1" customHeight="1"/>
    <row r="869" ht="14.25" hidden="1" customHeight="1"/>
    <row r="870" ht="14.25" hidden="1" customHeight="1"/>
    <row r="871" ht="14.25" hidden="1" customHeight="1"/>
    <row r="872" ht="14.25" hidden="1" customHeight="1"/>
    <row r="873" ht="14.25" hidden="1" customHeight="1"/>
    <row r="874" ht="14.25" hidden="1" customHeight="1"/>
    <row r="875" ht="14.25" hidden="1" customHeight="1"/>
    <row r="876" ht="14.25" hidden="1" customHeight="1"/>
    <row r="877" ht="14.25" hidden="1" customHeight="1"/>
    <row r="878" ht="14.25" hidden="1" customHeight="1"/>
    <row r="879" ht="14.25" hidden="1" customHeight="1"/>
    <row r="880" ht="14.25" hidden="1" customHeight="1"/>
    <row r="881" ht="14.25" hidden="1" customHeight="1"/>
    <row r="882" ht="14.25" hidden="1" customHeight="1"/>
    <row r="883" ht="14.25" hidden="1" customHeight="1"/>
    <row r="884" ht="14.25" hidden="1" customHeight="1"/>
    <row r="885" ht="14.25" hidden="1" customHeight="1"/>
    <row r="886" ht="14.25" hidden="1" customHeight="1"/>
    <row r="887" ht="14.25" hidden="1" customHeight="1"/>
    <row r="888" ht="14.25" hidden="1" customHeight="1"/>
    <row r="889" ht="14.25" hidden="1" customHeight="1"/>
    <row r="890" ht="14.25" hidden="1" customHeight="1"/>
    <row r="891" ht="14.25" hidden="1" customHeight="1"/>
    <row r="892" ht="14.25" hidden="1" customHeight="1"/>
    <row r="893" ht="14.25" hidden="1" customHeight="1"/>
    <row r="894" ht="14.25" hidden="1" customHeight="1"/>
    <row r="895" ht="14.25" hidden="1" customHeight="1"/>
    <row r="896" ht="14.25" hidden="1" customHeight="1"/>
    <row r="897" ht="14.25" hidden="1" customHeight="1"/>
    <row r="898" ht="14.25" hidden="1" customHeight="1"/>
    <row r="899" ht="14.25" hidden="1" customHeight="1"/>
    <row r="900" ht="14.25" hidden="1" customHeight="1"/>
    <row r="901" ht="14.25" hidden="1" customHeight="1"/>
    <row r="902" ht="14.25" hidden="1" customHeight="1"/>
    <row r="903" ht="14.25" hidden="1" customHeight="1"/>
    <row r="904" ht="14.25" hidden="1" customHeight="1"/>
    <row r="905" ht="14.25" hidden="1" customHeight="1"/>
    <row r="906" ht="14.25" hidden="1" customHeight="1"/>
    <row r="907" ht="14.25" hidden="1" customHeight="1"/>
    <row r="908" ht="14.25" hidden="1" customHeight="1"/>
    <row r="909" ht="14.25" hidden="1" customHeight="1"/>
    <row r="910" ht="14.25" hidden="1" customHeight="1"/>
    <row r="911" ht="14.25" hidden="1" customHeight="1"/>
    <row r="912" ht="14.25" hidden="1" customHeight="1"/>
    <row r="913" ht="14.25" hidden="1" customHeight="1"/>
    <row r="914" ht="14.25" hidden="1" customHeight="1"/>
    <row r="915" ht="14.25" hidden="1" customHeight="1"/>
    <row r="916" ht="14.25" hidden="1" customHeight="1"/>
    <row r="917" ht="14.25" hidden="1" customHeight="1"/>
    <row r="918" ht="14.25" hidden="1" customHeight="1"/>
    <row r="919" ht="14.25" hidden="1" customHeight="1"/>
    <row r="920" ht="14.25" hidden="1" customHeight="1"/>
    <row r="921" ht="14.25" hidden="1" customHeight="1"/>
    <row r="922" ht="14.25" hidden="1" customHeight="1"/>
    <row r="923" ht="14.25" hidden="1" customHeight="1"/>
    <row r="924" ht="14.25" hidden="1" customHeight="1"/>
    <row r="925" ht="14.25" hidden="1" customHeight="1"/>
    <row r="926" ht="14.25" hidden="1" customHeight="1"/>
    <row r="927" ht="14.25" hidden="1" customHeight="1"/>
    <row r="928" ht="14.25" hidden="1" customHeight="1"/>
    <row r="929" ht="14.25" hidden="1" customHeight="1"/>
    <row r="930" ht="14.25" hidden="1" customHeight="1"/>
    <row r="931" ht="14.25" hidden="1" customHeight="1"/>
    <row r="932" ht="14.25" hidden="1" customHeight="1"/>
    <row r="933" ht="14.25" hidden="1" customHeight="1"/>
    <row r="934" ht="14.25" hidden="1" customHeight="1"/>
    <row r="935" ht="14.25" hidden="1" customHeight="1"/>
    <row r="936" ht="14.25" hidden="1" customHeight="1"/>
    <row r="937" ht="14.25" hidden="1" customHeight="1"/>
    <row r="938" ht="14.25" hidden="1" customHeight="1"/>
    <row r="939" ht="14.25" hidden="1" customHeight="1"/>
    <row r="940" ht="14.25" hidden="1" customHeight="1"/>
    <row r="941" ht="14.25" hidden="1" customHeight="1"/>
    <row r="942" ht="14.25" hidden="1" customHeight="1"/>
    <row r="943" ht="14.25" hidden="1" customHeight="1"/>
    <row r="944" ht="14.25" hidden="1" customHeight="1"/>
    <row r="945" ht="14.25" hidden="1" customHeight="1"/>
    <row r="946" ht="14.25" hidden="1" customHeight="1"/>
    <row r="947" ht="14.25" hidden="1" customHeight="1"/>
    <row r="948" ht="14.25" hidden="1" customHeight="1"/>
    <row r="949" ht="14.25" hidden="1" customHeight="1"/>
    <row r="950" ht="14.25" hidden="1" customHeight="1"/>
    <row r="951" ht="14.25" hidden="1" customHeight="1"/>
    <row r="952" ht="14.25" hidden="1" customHeight="1"/>
    <row r="953" ht="14.25" hidden="1" customHeight="1"/>
    <row r="954" ht="14.25" hidden="1" customHeight="1"/>
    <row r="955" ht="14.25" hidden="1" customHeight="1"/>
    <row r="956" ht="14.25" hidden="1" customHeight="1"/>
    <row r="957" ht="14.25" hidden="1" customHeight="1"/>
    <row r="958" ht="14.25" hidden="1" customHeight="1"/>
    <row r="959" ht="14.25" hidden="1" customHeight="1"/>
    <row r="960" ht="14.25" hidden="1" customHeight="1"/>
    <row r="961" ht="14.25" hidden="1" customHeight="1"/>
    <row r="962" ht="14.25" hidden="1" customHeight="1"/>
    <row r="963" ht="14.25" hidden="1" customHeight="1"/>
    <row r="964" ht="14.25" hidden="1" customHeight="1"/>
    <row r="965" ht="14.25" hidden="1" customHeight="1"/>
    <row r="966" ht="14.25" hidden="1" customHeight="1"/>
    <row r="967" ht="14.25" hidden="1" customHeight="1"/>
    <row r="968" ht="14.25" hidden="1" customHeight="1"/>
    <row r="969" ht="14.25" hidden="1" customHeight="1"/>
    <row r="970" ht="14.25" hidden="1" customHeight="1"/>
    <row r="971" ht="14.25" hidden="1" customHeight="1"/>
    <row r="972" ht="14.25" hidden="1" customHeight="1"/>
    <row r="973" ht="14.25" hidden="1" customHeight="1"/>
    <row r="974" ht="14.25" hidden="1" customHeight="1"/>
    <row r="975" ht="14.25" hidden="1" customHeight="1"/>
    <row r="976" ht="14.25" hidden="1" customHeight="1"/>
    <row r="977" ht="14.25" hidden="1" customHeight="1"/>
    <row r="978" ht="14.25" hidden="1" customHeight="1"/>
    <row r="979" ht="14.25" hidden="1" customHeight="1"/>
    <row r="980" ht="14.25" hidden="1" customHeight="1"/>
    <row r="981" ht="14.25" hidden="1" customHeight="1"/>
    <row r="982" ht="14.25" hidden="1" customHeight="1"/>
    <row r="983" ht="14.25" hidden="1" customHeight="1"/>
    <row r="984" ht="14.25" hidden="1" customHeight="1"/>
    <row r="985" ht="14.25" hidden="1" customHeight="1"/>
    <row r="986" ht="14.25" hidden="1" customHeight="1"/>
    <row r="987" ht="14.25" hidden="1" customHeight="1"/>
    <row r="988" ht="14.25" hidden="1" customHeight="1"/>
    <row r="989" ht="14.25" hidden="1" customHeight="1"/>
    <row r="990" ht="14.25" hidden="1" customHeight="1"/>
    <row r="991" ht="14.25" hidden="1" customHeight="1"/>
    <row r="992" ht="14.25" hidden="1" customHeight="1"/>
    <row r="993" ht="14.25" hidden="1" customHeight="1"/>
    <row r="994" ht="14.25" hidden="1" customHeight="1"/>
    <row r="995" ht="14.25" hidden="1" customHeight="1"/>
    <row r="996" ht="14.25" hidden="1" customHeight="1"/>
    <row r="997" ht="14.25" hidden="1" customHeight="1"/>
    <row r="998" ht="14.25" hidden="1" customHeight="1"/>
    <row r="999" ht="14.25" hidden="1" customHeight="1"/>
    <row r="1000" ht="14.25" hidden="1" customHeight="1"/>
  </sheetData>
  <autoFilter ref="$A$1:$AF$1000">
    <filterColumn colId="30">
      <filters>
        <filter val="26%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8.71"/>
    <col customWidth="1" min="3" max="3" width="25.71"/>
    <col customWidth="1" min="4" max="4" width="5.71"/>
    <col customWidth="1" min="5" max="5" width="9.14"/>
    <col customWidth="1" min="6" max="6" width="30.0"/>
    <col customWidth="1" min="7" max="7" width="16.86"/>
    <col customWidth="1" min="8" max="8" width="9.29"/>
    <col customWidth="1" min="9" max="9" width="10.57"/>
    <col customWidth="1" min="10" max="13" width="11.71"/>
    <col customWidth="1" min="14" max="14" width="15.0"/>
    <col customWidth="1" min="15" max="15" width="10.29"/>
    <col customWidth="1" min="16" max="16" width="8.0"/>
    <col customWidth="1" min="17" max="17" width="7.0"/>
    <col customWidth="1" min="18" max="18" width="18.0"/>
    <col customWidth="1" min="19" max="19" width="23.43"/>
    <col customWidth="1" min="20" max="20" width="12.86"/>
    <col customWidth="1" min="21" max="36" width="8.71"/>
  </cols>
  <sheetData>
    <row r="1" ht="14.25" customHeight="1">
      <c r="A1" s="39" t="s">
        <v>578</v>
      </c>
      <c r="B1" s="39" t="s">
        <v>579</v>
      </c>
      <c r="C1" s="39"/>
      <c r="D1" s="39" t="s">
        <v>580</v>
      </c>
      <c r="E1" s="39" t="s">
        <v>17</v>
      </c>
      <c r="F1" s="39" t="s">
        <v>18</v>
      </c>
      <c r="G1" s="39" t="s">
        <v>583</v>
      </c>
      <c r="H1" s="39" t="s">
        <v>585</v>
      </c>
      <c r="I1" s="39" t="s">
        <v>586</v>
      </c>
      <c r="J1" s="39" t="s">
        <v>588</v>
      </c>
      <c r="K1" s="39"/>
      <c r="L1" s="39"/>
      <c r="M1" s="39"/>
      <c r="N1" s="39" t="s">
        <v>19</v>
      </c>
      <c r="O1" s="39" t="s">
        <v>593</v>
      </c>
      <c r="P1" s="39" t="s">
        <v>594</v>
      </c>
      <c r="Q1" s="39" t="s">
        <v>26</v>
      </c>
    </row>
    <row r="2" ht="14.25" customHeight="1">
      <c r="A2" s="42" t="s">
        <v>245</v>
      </c>
      <c r="B2" s="42" t="s">
        <v>371</v>
      </c>
      <c r="C2" s="42" t="str">
        <f t="shared" ref="C2:C151" si="1">CONCAT(A2," ",B2)</f>
        <v>#N/A</v>
      </c>
      <c r="D2" s="42" t="s">
        <v>631</v>
      </c>
      <c r="E2" s="42">
        <v>759555.0</v>
      </c>
      <c r="F2" s="42" t="s">
        <v>48</v>
      </c>
      <c r="G2" s="42" t="s">
        <v>42</v>
      </c>
      <c r="H2" s="42" t="s">
        <v>617</v>
      </c>
      <c r="I2" s="42" t="s">
        <v>618</v>
      </c>
      <c r="J2" s="42" t="s">
        <v>248</v>
      </c>
      <c r="K2" s="43">
        <v>46082.0</v>
      </c>
      <c r="L2" s="42">
        <f t="shared" ref="L2:L151" si="2">DATEDIF(J2,K2,"M")</f>
        <v>1</v>
      </c>
      <c r="M2" s="43" t="s">
        <v>862</v>
      </c>
      <c r="N2" s="44">
        <v>9.82416865E8</v>
      </c>
      <c r="O2" s="45">
        <v>11.0</v>
      </c>
      <c r="P2" s="46">
        <v>0.37</v>
      </c>
      <c r="Q2" s="45">
        <v>4.07</v>
      </c>
      <c r="R2" s="42" t="s">
        <v>863</v>
      </c>
      <c r="S2" s="42" t="s">
        <v>864</v>
      </c>
      <c r="T2" s="44" t="s">
        <v>865</v>
      </c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</row>
    <row r="3" ht="14.25" customHeight="1">
      <c r="A3" s="42" t="s">
        <v>268</v>
      </c>
      <c r="B3" s="42" t="s">
        <v>269</v>
      </c>
      <c r="C3" s="42" t="str">
        <f t="shared" si="1"/>
        <v>#N/A</v>
      </c>
      <c r="D3" s="42" t="s">
        <v>813</v>
      </c>
      <c r="E3" s="42">
        <v>759555.0</v>
      </c>
      <c r="F3" s="42" t="s">
        <v>48</v>
      </c>
      <c r="G3" s="42" t="s">
        <v>42</v>
      </c>
      <c r="H3" s="42" t="s">
        <v>617</v>
      </c>
      <c r="I3" s="42" t="s">
        <v>618</v>
      </c>
      <c r="J3" s="42" t="s">
        <v>248</v>
      </c>
      <c r="K3" s="43">
        <v>46082.0</v>
      </c>
      <c r="L3" s="42">
        <f t="shared" si="2"/>
        <v>1</v>
      </c>
      <c r="M3" s="43" t="s">
        <v>862</v>
      </c>
      <c r="N3" s="44">
        <v>7.32250029E8</v>
      </c>
      <c r="O3" s="45">
        <v>11.0</v>
      </c>
      <c r="P3" s="46">
        <v>0.37</v>
      </c>
      <c r="Q3" s="45">
        <v>4.07</v>
      </c>
      <c r="R3" s="42" t="s">
        <v>863</v>
      </c>
      <c r="S3" s="42" t="s">
        <v>864</v>
      </c>
      <c r="T3" s="44" t="s">
        <v>865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</row>
    <row r="4" ht="14.25" customHeight="1">
      <c r="A4" s="42" t="s">
        <v>339</v>
      </c>
      <c r="B4" s="42" t="s">
        <v>340</v>
      </c>
      <c r="C4" s="42" t="str">
        <f t="shared" si="1"/>
        <v>#N/A</v>
      </c>
      <c r="D4" s="42" t="s">
        <v>606</v>
      </c>
      <c r="E4" s="42">
        <v>678726.0</v>
      </c>
      <c r="F4" s="42" t="s">
        <v>60</v>
      </c>
      <c r="G4" s="42" t="s">
        <v>142</v>
      </c>
      <c r="H4" s="42" t="s">
        <v>599</v>
      </c>
      <c r="I4" s="42" t="s">
        <v>600</v>
      </c>
      <c r="J4" s="42" t="s">
        <v>248</v>
      </c>
      <c r="K4" s="43">
        <v>46082.0</v>
      </c>
      <c r="L4" s="42">
        <f t="shared" si="2"/>
        <v>1</v>
      </c>
      <c r="M4" s="43" t="s">
        <v>862</v>
      </c>
      <c r="N4" s="44">
        <v>3.55029732E8</v>
      </c>
      <c r="O4" s="45">
        <v>22.0</v>
      </c>
      <c r="P4" s="46">
        <v>0.24</v>
      </c>
      <c r="Q4" s="45">
        <v>5.28</v>
      </c>
      <c r="R4" s="42" t="s">
        <v>866</v>
      </c>
      <c r="S4" s="42" t="s">
        <v>867</v>
      </c>
      <c r="T4" s="44" t="s">
        <v>868</v>
      </c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</row>
    <row r="5" ht="14.25" customHeight="1">
      <c r="A5" s="42" t="s">
        <v>245</v>
      </c>
      <c r="B5" s="42" t="s">
        <v>371</v>
      </c>
      <c r="C5" s="42" t="str">
        <f t="shared" si="1"/>
        <v>#N/A</v>
      </c>
      <c r="D5" s="42" t="s">
        <v>631</v>
      </c>
      <c r="E5" s="42">
        <v>759555.0</v>
      </c>
      <c r="F5" s="42" t="s">
        <v>48</v>
      </c>
      <c r="G5" s="42" t="s">
        <v>106</v>
      </c>
      <c r="H5" s="42" t="s">
        <v>599</v>
      </c>
      <c r="I5" s="42" t="s">
        <v>600</v>
      </c>
      <c r="J5" s="42" t="s">
        <v>248</v>
      </c>
      <c r="K5" s="43">
        <v>46082.0</v>
      </c>
      <c r="L5" s="42">
        <f t="shared" si="2"/>
        <v>1</v>
      </c>
      <c r="M5" s="43" t="s">
        <v>862</v>
      </c>
      <c r="N5" s="44">
        <v>9.13646618E8</v>
      </c>
      <c r="O5" s="45">
        <v>52.0</v>
      </c>
      <c r="P5" s="46">
        <v>0.24</v>
      </c>
      <c r="Q5" s="45">
        <v>12.48</v>
      </c>
      <c r="R5" s="42" t="s">
        <v>866</v>
      </c>
      <c r="S5" s="42" t="s">
        <v>864</v>
      </c>
      <c r="T5" s="44" t="s">
        <v>865</v>
      </c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</row>
    <row r="6" ht="14.25" customHeight="1">
      <c r="A6" s="42" t="s">
        <v>268</v>
      </c>
      <c r="B6" s="42" t="s">
        <v>269</v>
      </c>
      <c r="C6" s="42" t="str">
        <f t="shared" si="1"/>
        <v>#N/A</v>
      </c>
      <c r="D6" s="42" t="s">
        <v>813</v>
      </c>
      <c r="E6" s="42">
        <v>759555.0</v>
      </c>
      <c r="F6" s="42" t="s">
        <v>48</v>
      </c>
      <c r="G6" s="42" t="s">
        <v>167</v>
      </c>
      <c r="H6" s="42" t="s">
        <v>599</v>
      </c>
      <c r="I6" s="42" t="s">
        <v>600</v>
      </c>
      <c r="J6" s="42" t="s">
        <v>248</v>
      </c>
      <c r="K6" s="43">
        <v>46082.0</v>
      </c>
      <c r="L6" s="42">
        <f t="shared" si="2"/>
        <v>1</v>
      </c>
      <c r="M6" s="43" t="s">
        <v>862</v>
      </c>
      <c r="N6" s="44">
        <v>3.97053575E8</v>
      </c>
      <c r="O6" s="45">
        <v>52.0</v>
      </c>
      <c r="P6" s="46">
        <v>0.24</v>
      </c>
      <c r="Q6" s="45">
        <v>12.48</v>
      </c>
      <c r="R6" s="42" t="s">
        <v>866</v>
      </c>
      <c r="S6" s="42" t="s">
        <v>864</v>
      </c>
      <c r="T6" s="44" t="s">
        <v>865</v>
      </c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</row>
    <row r="7" ht="14.25" customHeight="1">
      <c r="A7" s="42" t="s">
        <v>328</v>
      </c>
      <c r="B7" s="42" t="s">
        <v>174</v>
      </c>
      <c r="C7" s="42" t="str">
        <f t="shared" si="1"/>
        <v>#N/A</v>
      </c>
      <c r="D7" s="42" t="s">
        <v>631</v>
      </c>
      <c r="E7" s="42">
        <v>759555.0</v>
      </c>
      <c r="F7" s="42" t="s">
        <v>48</v>
      </c>
      <c r="G7" s="42" t="s">
        <v>42</v>
      </c>
      <c r="H7" s="42" t="s">
        <v>617</v>
      </c>
      <c r="I7" s="42" t="s">
        <v>618</v>
      </c>
      <c r="J7" s="42" t="s">
        <v>620</v>
      </c>
      <c r="K7" s="43">
        <v>46082.0</v>
      </c>
      <c r="L7" s="42">
        <f t="shared" si="2"/>
        <v>2</v>
      </c>
      <c r="M7" s="43" t="s">
        <v>862</v>
      </c>
      <c r="N7" s="44">
        <v>4.53596467E8</v>
      </c>
      <c r="O7" s="45">
        <v>11.0</v>
      </c>
      <c r="P7" s="46">
        <v>0.37</v>
      </c>
      <c r="Q7" s="45">
        <v>4.07</v>
      </c>
      <c r="R7" s="42" t="s">
        <v>863</v>
      </c>
      <c r="S7" s="42" t="s">
        <v>864</v>
      </c>
      <c r="T7" s="44" t="s">
        <v>865</v>
      </c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</row>
    <row r="8" ht="14.25" customHeight="1">
      <c r="A8" s="42" t="s">
        <v>256</v>
      </c>
      <c r="B8" s="42" t="s">
        <v>257</v>
      </c>
      <c r="C8" s="42" t="str">
        <f t="shared" si="1"/>
        <v>#N/A</v>
      </c>
      <c r="D8" s="42" t="s">
        <v>631</v>
      </c>
      <c r="E8" s="42">
        <v>759555.0</v>
      </c>
      <c r="F8" s="42" t="s">
        <v>48</v>
      </c>
      <c r="G8" s="42" t="s">
        <v>42</v>
      </c>
      <c r="H8" s="42" t="s">
        <v>617</v>
      </c>
      <c r="I8" s="42" t="s">
        <v>618</v>
      </c>
      <c r="J8" s="42" t="s">
        <v>620</v>
      </c>
      <c r="K8" s="43">
        <v>46082.0</v>
      </c>
      <c r="L8" s="42">
        <f t="shared" si="2"/>
        <v>2</v>
      </c>
      <c r="M8" s="43" t="s">
        <v>862</v>
      </c>
      <c r="N8" s="44">
        <v>1.82409727E8</v>
      </c>
      <c r="O8" s="45">
        <v>11.0</v>
      </c>
      <c r="P8" s="46">
        <v>0.37</v>
      </c>
      <c r="Q8" s="45">
        <v>4.07</v>
      </c>
      <c r="R8" s="42" t="s">
        <v>863</v>
      </c>
      <c r="S8" s="42" t="s">
        <v>864</v>
      </c>
      <c r="T8" s="44" t="s">
        <v>865</v>
      </c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</row>
    <row r="9" ht="14.25" customHeight="1">
      <c r="A9" s="42" t="s">
        <v>344</v>
      </c>
      <c r="B9" s="42" t="s">
        <v>345</v>
      </c>
      <c r="C9" s="42" t="str">
        <f t="shared" si="1"/>
        <v>#N/A</v>
      </c>
      <c r="D9" s="42" t="s">
        <v>606</v>
      </c>
      <c r="E9" s="42">
        <v>678726.0</v>
      </c>
      <c r="F9" s="42" t="s">
        <v>60</v>
      </c>
      <c r="G9" s="42" t="s">
        <v>42</v>
      </c>
      <c r="H9" s="42" t="s">
        <v>617</v>
      </c>
      <c r="I9" s="42" t="s">
        <v>618</v>
      </c>
      <c r="J9" s="42" t="s">
        <v>620</v>
      </c>
      <c r="K9" s="43">
        <v>46082.0</v>
      </c>
      <c r="L9" s="42">
        <f t="shared" si="2"/>
        <v>2</v>
      </c>
      <c r="M9" s="43" t="s">
        <v>862</v>
      </c>
      <c r="N9" s="44">
        <v>2.04103864E8</v>
      </c>
      <c r="O9" s="45">
        <v>11.0</v>
      </c>
      <c r="P9" s="46">
        <v>0.37</v>
      </c>
      <c r="Q9" s="45">
        <v>4.07</v>
      </c>
      <c r="R9" s="42" t="s">
        <v>863</v>
      </c>
      <c r="S9" s="42" t="s">
        <v>867</v>
      </c>
      <c r="T9" s="44" t="s">
        <v>868</v>
      </c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</row>
    <row r="10" ht="14.25" customHeight="1">
      <c r="A10" s="42" t="s">
        <v>502</v>
      </c>
      <c r="B10" s="42" t="s">
        <v>503</v>
      </c>
      <c r="C10" s="42" t="str">
        <f t="shared" si="1"/>
        <v>#N/A</v>
      </c>
      <c r="D10" s="42" t="s">
        <v>606</v>
      </c>
      <c r="E10" s="42">
        <v>678726.0</v>
      </c>
      <c r="F10" s="42" t="s">
        <v>60</v>
      </c>
      <c r="G10" s="42" t="s">
        <v>42</v>
      </c>
      <c r="H10" s="42" t="s">
        <v>617</v>
      </c>
      <c r="I10" s="42" t="s">
        <v>618</v>
      </c>
      <c r="J10" s="42" t="s">
        <v>620</v>
      </c>
      <c r="K10" s="43">
        <v>46082.0</v>
      </c>
      <c r="L10" s="42">
        <f t="shared" si="2"/>
        <v>2</v>
      </c>
      <c r="M10" s="43" t="s">
        <v>862</v>
      </c>
      <c r="N10" s="44">
        <v>8.80261314E8</v>
      </c>
      <c r="O10" s="45">
        <v>11.0</v>
      </c>
      <c r="P10" s="46">
        <v>0.37</v>
      </c>
      <c r="Q10" s="45">
        <v>4.07</v>
      </c>
      <c r="R10" s="42" t="s">
        <v>863</v>
      </c>
      <c r="S10" s="42" t="s">
        <v>867</v>
      </c>
      <c r="T10" s="44" t="s">
        <v>868</v>
      </c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</row>
    <row r="11" ht="14.25" customHeight="1">
      <c r="A11" s="42" t="s">
        <v>191</v>
      </c>
      <c r="B11" s="42" t="s">
        <v>180</v>
      </c>
      <c r="C11" s="42" t="str">
        <f t="shared" si="1"/>
        <v>#N/A</v>
      </c>
      <c r="D11" s="42" t="s">
        <v>606</v>
      </c>
      <c r="E11" s="42">
        <v>678726.0</v>
      </c>
      <c r="F11" s="42" t="s">
        <v>60</v>
      </c>
      <c r="G11" s="42" t="s">
        <v>42</v>
      </c>
      <c r="H11" s="42" t="s">
        <v>617</v>
      </c>
      <c r="I11" s="42" t="s">
        <v>618</v>
      </c>
      <c r="J11" s="42" t="s">
        <v>620</v>
      </c>
      <c r="K11" s="43">
        <v>46082.0</v>
      </c>
      <c r="L11" s="42">
        <f t="shared" si="2"/>
        <v>2</v>
      </c>
      <c r="M11" s="43" t="s">
        <v>862</v>
      </c>
      <c r="N11" s="44">
        <v>7.94112359E8</v>
      </c>
      <c r="O11" s="45">
        <v>11.0</v>
      </c>
      <c r="P11" s="46">
        <v>0.37</v>
      </c>
      <c r="Q11" s="45">
        <v>4.07</v>
      </c>
      <c r="R11" s="42" t="s">
        <v>863</v>
      </c>
      <c r="S11" s="42" t="s">
        <v>867</v>
      </c>
      <c r="T11" s="44" t="s">
        <v>868</v>
      </c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</row>
    <row r="12" ht="14.25" customHeight="1">
      <c r="A12" s="42" t="s">
        <v>195</v>
      </c>
      <c r="B12" s="42" t="s">
        <v>196</v>
      </c>
      <c r="C12" s="42" t="str">
        <f t="shared" si="1"/>
        <v>#N/A</v>
      </c>
      <c r="D12" s="42" t="s">
        <v>822</v>
      </c>
      <c r="E12" s="42">
        <v>847313.0</v>
      </c>
      <c r="F12" s="42" t="s">
        <v>197</v>
      </c>
      <c r="G12" s="42" t="s">
        <v>199</v>
      </c>
      <c r="H12" s="42" t="s">
        <v>599</v>
      </c>
      <c r="I12" s="42" t="s">
        <v>600</v>
      </c>
      <c r="J12" s="42" t="s">
        <v>620</v>
      </c>
      <c r="K12" s="43">
        <v>46082.0</v>
      </c>
      <c r="L12" s="42">
        <f t="shared" si="2"/>
        <v>2</v>
      </c>
      <c r="M12" s="43" t="s">
        <v>862</v>
      </c>
      <c r="N12" s="44">
        <v>8.04164269E8</v>
      </c>
      <c r="O12" s="45">
        <v>25.0</v>
      </c>
      <c r="P12" s="46">
        <v>0.24</v>
      </c>
      <c r="Q12" s="45">
        <v>6.0</v>
      </c>
      <c r="R12" s="42" t="s">
        <v>866</v>
      </c>
      <c r="S12" s="42" t="s">
        <v>869</v>
      </c>
      <c r="T12" s="44" t="s">
        <v>870</v>
      </c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</row>
    <row r="13" ht="14.25" customHeight="1">
      <c r="A13" s="42" t="s">
        <v>256</v>
      </c>
      <c r="B13" s="42" t="s">
        <v>257</v>
      </c>
      <c r="C13" s="42" t="str">
        <f t="shared" si="1"/>
        <v>#N/A</v>
      </c>
      <c r="D13" s="42" t="s">
        <v>631</v>
      </c>
      <c r="E13" s="42">
        <v>759555.0</v>
      </c>
      <c r="F13" s="42" t="s">
        <v>48</v>
      </c>
      <c r="G13" s="42" t="s">
        <v>77</v>
      </c>
      <c r="H13" s="42" t="s">
        <v>599</v>
      </c>
      <c r="I13" s="42" t="s">
        <v>600</v>
      </c>
      <c r="J13" s="42" t="s">
        <v>620</v>
      </c>
      <c r="K13" s="43">
        <v>46082.0</v>
      </c>
      <c r="L13" s="42">
        <f t="shared" si="2"/>
        <v>2</v>
      </c>
      <c r="M13" s="43" t="s">
        <v>862</v>
      </c>
      <c r="N13" s="44">
        <v>2.65025003E8</v>
      </c>
      <c r="O13" s="45">
        <v>25.0</v>
      </c>
      <c r="P13" s="46">
        <v>0.24</v>
      </c>
      <c r="Q13" s="45">
        <v>6.0</v>
      </c>
      <c r="R13" s="42" t="s">
        <v>866</v>
      </c>
      <c r="S13" s="42" t="s">
        <v>864</v>
      </c>
      <c r="T13" s="44" t="s">
        <v>865</v>
      </c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</row>
    <row r="14" ht="14.25" customHeight="1">
      <c r="A14" s="42" t="s">
        <v>272</v>
      </c>
      <c r="B14" s="42" t="s">
        <v>516</v>
      </c>
      <c r="C14" s="42" t="str">
        <f t="shared" si="1"/>
        <v>#N/A</v>
      </c>
      <c r="D14" s="42" t="s">
        <v>606</v>
      </c>
      <c r="E14" s="42">
        <v>798992.0</v>
      </c>
      <c r="F14" s="42" t="s">
        <v>90</v>
      </c>
      <c r="G14" s="42" t="s">
        <v>119</v>
      </c>
      <c r="H14" s="42" t="s">
        <v>599</v>
      </c>
      <c r="I14" s="42" t="s">
        <v>600</v>
      </c>
      <c r="J14" s="42" t="s">
        <v>620</v>
      </c>
      <c r="K14" s="43">
        <v>46082.0</v>
      </c>
      <c r="L14" s="42">
        <f t="shared" si="2"/>
        <v>2</v>
      </c>
      <c r="M14" s="43" t="s">
        <v>862</v>
      </c>
      <c r="N14" s="44">
        <v>5.56142794E8</v>
      </c>
      <c r="O14" s="45">
        <v>27.0</v>
      </c>
      <c r="P14" s="46">
        <v>0.24</v>
      </c>
      <c r="Q14" s="45">
        <v>6.48</v>
      </c>
      <c r="R14" s="42" t="s">
        <v>866</v>
      </c>
      <c r="S14" s="42" t="s">
        <v>871</v>
      </c>
      <c r="T14" s="44" t="s">
        <v>872</v>
      </c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</row>
    <row r="15" ht="14.25" customHeight="1">
      <c r="A15" s="42" t="s">
        <v>502</v>
      </c>
      <c r="B15" s="42" t="s">
        <v>503</v>
      </c>
      <c r="C15" s="42" t="str">
        <f t="shared" si="1"/>
        <v>#N/A</v>
      </c>
      <c r="D15" s="42" t="s">
        <v>606</v>
      </c>
      <c r="E15" s="42">
        <v>678726.0</v>
      </c>
      <c r="F15" s="42" t="s">
        <v>60</v>
      </c>
      <c r="G15" s="42" t="s">
        <v>119</v>
      </c>
      <c r="H15" s="42" t="s">
        <v>599</v>
      </c>
      <c r="I15" s="42" t="s">
        <v>600</v>
      </c>
      <c r="J15" s="42" t="s">
        <v>620</v>
      </c>
      <c r="K15" s="43">
        <v>46082.0</v>
      </c>
      <c r="L15" s="42">
        <f t="shared" si="2"/>
        <v>2</v>
      </c>
      <c r="M15" s="43" t="s">
        <v>862</v>
      </c>
      <c r="N15" s="44">
        <v>3.50067834E8</v>
      </c>
      <c r="O15" s="45">
        <v>27.0</v>
      </c>
      <c r="P15" s="46">
        <v>0.24</v>
      </c>
      <c r="Q15" s="45">
        <v>6.48</v>
      </c>
      <c r="R15" s="42" t="s">
        <v>866</v>
      </c>
      <c r="S15" s="42" t="s">
        <v>867</v>
      </c>
      <c r="T15" s="44" t="s">
        <v>868</v>
      </c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</row>
    <row r="16" ht="14.25" customHeight="1">
      <c r="A16" s="42" t="s">
        <v>191</v>
      </c>
      <c r="B16" s="42" t="s">
        <v>180</v>
      </c>
      <c r="C16" s="42" t="str">
        <f t="shared" si="1"/>
        <v>#N/A</v>
      </c>
      <c r="D16" s="42" t="s">
        <v>606</v>
      </c>
      <c r="E16" s="42">
        <v>678726.0</v>
      </c>
      <c r="F16" s="42" t="s">
        <v>60</v>
      </c>
      <c r="G16" s="42" t="s">
        <v>119</v>
      </c>
      <c r="H16" s="42" t="s">
        <v>599</v>
      </c>
      <c r="I16" s="42" t="s">
        <v>600</v>
      </c>
      <c r="J16" s="42" t="s">
        <v>620</v>
      </c>
      <c r="K16" s="43">
        <v>46082.0</v>
      </c>
      <c r="L16" s="42">
        <f t="shared" si="2"/>
        <v>2</v>
      </c>
      <c r="M16" s="43" t="s">
        <v>862</v>
      </c>
      <c r="N16" s="44">
        <v>4.00431428E8</v>
      </c>
      <c r="O16" s="45">
        <v>27.0</v>
      </c>
      <c r="P16" s="46">
        <v>0.24</v>
      </c>
      <c r="Q16" s="45">
        <v>6.48</v>
      </c>
      <c r="R16" s="42" t="s">
        <v>866</v>
      </c>
      <c r="S16" s="42" t="s">
        <v>867</v>
      </c>
      <c r="T16" s="44" t="s">
        <v>868</v>
      </c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</row>
    <row r="17" ht="14.25" customHeight="1">
      <c r="A17" s="42" t="s">
        <v>401</v>
      </c>
      <c r="B17" s="42" t="s">
        <v>402</v>
      </c>
      <c r="C17" s="42" t="str">
        <f t="shared" si="1"/>
        <v>#N/A</v>
      </c>
      <c r="D17" s="42" t="s">
        <v>606</v>
      </c>
      <c r="E17" s="42">
        <v>678726.0</v>
      </c>
      <c r="F17" s="42" t="s">
        <v>60</v>
      </c>
      <c r="G17" s="42" t="s">
        <v>42</v>
      </c>
      <c r="H17" s="42" t="s">
        <v>617</v>
      </c>
      <c r="I17" s="42" t="s">
        <v>618</v>
      </c>
      <c r="J17" s="42" t="s">
        <v>620</v>
      </c>
      <c r="K17" s="43">
        <v>46082.0</v>
      </c>
      <c r="L17" s="42">
        <f t="shared" si="2"/>
        <v>2</v>
      </c>
      <c r="M17" s="43" t="s">
        <v>862</v>
      </c>
      <c r="N17" s="44">
        <v>9.1439918E8</v>
      </c>
      <c r="O17" s="45">
        <v>20.0</v>
      </c>
      <c r="P17" s="46">
        <v>0.37</v>
      </c>
      <c r="Q17" s="45">
        <v>7.4</v>
      </c>
      <c r="R17" s="42" t="s">
        <v>863</v>
      </c>
      <c r="S17" s="42" t="s">
        <v>867</v>
      </c>
      <c r="T17" s="44" t="s">
        <v>868</v>
      </c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</row>
    <row r="18" ht="14.25" customHeight="1">
      <c r="A18" s="42" t="s">
        <v>328</v>
      </c>
      <c r="B18" s="42" t="s">
        <v>174</v>
      </c>
      <c r="C18" s="42" t="str">
        <f t="shared" si="1"/>
        <v>#N/A</v>
      </c>
      <c r="D18" s="42" t="s">
        <v>631</v>
      </c>
      <c r="E18" s="42">
        <v>759555.0</v>
      </c>
      <c r="F18" s="42" t="s">
        <v>48</v>
      </c>
      <c r="G18" s="42" t="s">
        <v>50</v>
      </c>
      <c r="H18" s="42" t="s">
        <v>599</v>
      </c>
      <c r="I18" s="42" t="s">
        <v>600</v>
      </c>
      <c r="J18" s="42" t="s">
        <v>620</v>
      </c>
      <c r="K18" s="43">
        <v>46082.0</v>
      </c>
      <c r="L18" s="42">
        <f t="shared" si="2"/>
        <v>2</v>
      </c>
      <c r="M18" s="43" t="s">
        <v>862</v>
      </c>
      <c r="N18" s="44">
        <v>3.12209549E8</v>
      </c>
      <c r="O18" s="45">
        <v>40.0</v>
      </c>
      <c r="P18" s="46">
        <v>0.24</v>
      </c>
      <c r="Q18" s="45">
        <v>9.6</v>
      </c>
      <c r="R18" s="42" t="s">
        <v>866</v>
      </c>
      <c r="S18" s="42" t="s">
        <v>864</v>
      </c>
      <c r="T18" s="44" t="s">
        <v>865</v>
      </c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</row>
    <row r="19" ht="14.25" customHeight="1">
      <c r="A19" s="42" t="s">
        <v>562</v>
      </c>
      <c r="B19" s="42" t="s">
        <v>563</v>
      </c>
      <c r="C19" s="42" t="str">
        <f t="shared" si="1"/>
        <v>#N/A</v>
      </c>
      <c r="D19" s="42" t="s">
        <v>707</v>
      </c>
      <c r="E19" s="42">
        <v>759555.0</v>
      </c>
      <c r="F19" s="42" t="s">
        <v>48</v>
      </c>
      <c r="G19" s="42" t="s">
        <v>106</v>
      </c>
      <c r="H19" s="42" t="s">
        <v>599</v>
      </c>
      <c r="I19" s="42" t="s">
        <v>600</v>
      </c>
      <c r="J19" s="42" t="s">
        <v>620</v>
      </c>
      <c r="K19" s="43">
        <v>46082.0</v>
      </c>
      <c r="L19" s="42">
        <f t="shared" si="2"/>
        <v>2</v>
      </c>
      <c r="M19" s="43" t="s">
        <v>862</v>
      </c>
      <c r="N19" s="44">
        <v>1.51982465E8</v>
      </c>
      <c r="O19" s="45">
        <v>52.0</v>
      </c>
      <c r="P19" s="46">
        <v>0.24</v>
      </c>
      <c r="Q19" s="45">
        <v>12.48</v>
      </c>
      <c r="R19" s="42" t="s">
        <v>866</v>
      </c>
      <c r="S19" s="42" t="s">
        <v>864</v>
      </c>
      <c r="T19" s="44" t="s">
        <v>865</v>
      </c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</row>
    <row r="20" ht="14.25" customHeight="1">
      <c r="A20" s="42" t="s">
        <v>164</v>
      </c>
      <c r="B20" s="42" t="s">
        <v>165</v>
      </c>
      <c r="C20" s="42" t="str">
        <f t="shared" si="1"/>
        <v>#N/A</v>
      </c>
      <c r="D20" s="42" t="s">
        <v>631</v>
      </c>
      <c r="E20" s="42">
        <v>759555.0</v>
      </c>
      <c r="F20" s="42" t="s">
        <v>48</v>
      </c>
      <c r="G20" s="42" t="s">
        <v>167</v>
      </c>
      <c r="H20" s="42" t="s">
        <v>599</v>
      </c>
      <c r="I20" s="42" t="s">
        <v>600</v>
      </c>
      <c r="J20" s="42" t="s">
        <v>620</v>
      </c>
      <c r="K20" s="43">
        <v>46082.0</v>
      </c>
      <c r="L20" s="42">
        <f t="shared" si="2"/>
        <v>2</v>
      </c>
      <c r="M20" s="43" t="s">
        <v>862</v>
      </c>
      <c r="N20" s="44">
        <v>8.95993426E8</v>
      </c>
      <c r="O20" s="45">
        <v>110.0</v>
      </c>
      <c r="P20" s="46">
        <v>0.24</v>
      </c>
      <c r="Q20" s="45">
        <v>26.4</v>
      </c>
      <c r="R20" s="42" t="s">
        <v>866</v>
      </c>
      <c r="S20" s="42" t="s">
        <v>864</v>
      </c>
      <c r="T20" s="44" t="s">
        <v>865</v>
      </c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</row>
    <row r="21" ht="14.25" customHeight="1">
      <c r="A21" s="42" t="s">
        <v>415</v>
      </c>
      <c r="B21" s="42" t="s">
        <v>416</v>
      </c>
      <c r="C21" s="42" t="str">
        <f t="shared" si="1"/>
        <v>#N/A</v>
      </c>
      <c r="D21" s="42" t="s">
        <v>606</v>
      </c>
      <c r="E21" s="42">
        <v>678726.0</v>
      </c>
      <c r="F21" s="42" t="s">
        <v>60</v>
      </c>
      <c r="G21" s="42" t="s">
        <v>42</v>
      </c>
      <c r="H21" s="42" t="s">
        <v>617</v>
      </c>
      <c r="I21" s="42" t="s">
        <v>618</v>
      </c>
      <c r="J21" s="42" t="s">
        <v>608</v>
      </c>
      <c r="K21" s="43">
        <v>46082.0</v>
      </c>
      <c r="L21" s="42">
        <f t="shared" si="2"/>
        <v>3</v>
      </c>
      <c r="M21" s="43" t="s">
        <v>862</v>
      </c>
      <c r="N21" s="44">
        <v>5.5733973E7</v>
      </c>
      <c r="O21" s="45">
        <v>11.0</v>
      </c>
      <c r="P21" s="46">
        <v>0.37</v>
      </c>
      <c r="Q21" s="45">
        <v>4.07</v>
      </c>
      <c r="R21" s="42" t="s">
        <v>863</v>
      </c>
      <c r="S21" s="42" t="s">
        <v>867</v>
      </c>
      <c r="T21" s="44" t="s">
        <v>868</v>
      </c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</row>
    <row r="22" ht="14.25" customHeight="1">
      <c r="A22" s="42" t="s">
        <v>126</v>
      </c>
      <c r="B22" s="42" t="s">
        <v>127</v>
      </c>
      <c r="C22" s="42" t="str">
        <f t="shared" si="1"/>
        <v>#N/A</v>
      </c>
      <c r="D22" s="42" t="s">
        <v>756</v>
      </c>
      <c r="E22" s="42">
        <v>678726.0</v>
      </c>
      <c r="F22" s="42" t="s">
        <v>60</v>
      </c>
      <c r="G22" s="42" t="s">
        <v>42</v>
      </c>
      <c r="H22" s="42" t="s">
        <v>617</v>
      </c>
      <c r="I22" s="42" t="s">
        <v>618</v>
      </c>
      <c r="J22" s="42" t="s">
        <v>608</v>
      </c>
      <c r="K22" s="43">
        <v>46082.0</v>
      </c>
      <c r="L22" s="42">
        <f t="shared" si="2"/>
        <v>3</v>
      </c>
      <c r="M22" s="43" t="s">
        <v>862</v>
      </c>
      <c r="N22" s="44">
        <v>7.89665275E8</v>
      </c>
      <c r="O22" s="45">
        <v>11.0</v>
      </c>
      <c r="P22" s="46">
        <v>0.37</v>
      </c>
      <c r="Q22" s="45">
        <v>4.07</v>
      </c>
      <c r="R22" s="42" t="s">
        <v>863</v>
      </c>
      <c r="S22" s="42" t="s">
        <v>867</v>
      </c>
      <c r="T22" s="44" t="s">
        <v>868</v>
      </c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</row>
    <row r="23" ht="14.25" customHeight="1">
      <c r="A23" s="42" t="s">
        <v>394</v>
      </c>
      <c r="B23" s="42" t="s">
        <v>127</v>
      </c>
      <c r="C23" s="42" t="str">
        <f t="shared" si="1"/>
        <v>#N/A</v>
      </c>
      <c r="D23" s="42" t="s">
        <v>606</v>
      </c>
      <c r="E23" s="42">
        <v>678726.0</v>
      </c>
      <c r="F23" s="42" t="s">
        <v>60</v>
      </c>
      <c r="G23" s="42" t="s">
        <v>42</v>
      </c>
      <c r="H23" s="42" t="s">
        <v>617</v>
      </c>
      <c r="I23" s="42" t="s">
        <v>618</v>
      </c>
      <c r="J23" s="42" t="s">
        <v>608</v>
      </c>
      <c r="K23" s="43">
        <v>46082.0</v>
      </c>
      <c r="L23" s="42">
        <f t="shared" si="2"/>
        <v>3</v>
      </c>
      <c r="M23" s="43" t="s">
        <v>862</v>
      </c>
      <c r="N23" s="44">
        <v>9.2801354E7</v>
      </c>
      <c r="O23" s="45">
        <v>15.0</v>
      </c>
      <c r="P23" s="46">
        <v>0.37</v>
      </c>
      <c r="Q23" s="45">
        <v>5.55</v>
      </c>
      <c r="R23" s="42" t="s">
        <v>863</v>
      </c>
      <c r="S23" s="42" t="s">
        <v>867</v>
      </c>
      <c r="T23" s="44" t="s">
        <v>868</v>
      </c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</row>
    <row r="24" ht="14.25" customHeight="1">
      <c r="A24" s="42" t="s">
        <v>126</v>
      </c>
      <c r="B24" s="42" t="s">
        <v>127</v>
      </c>
      <c r="C24" s="42" t="str">
        <f t="shared" si="1"/>
        <v>#N/A</v>
      </c>
      <c r="D24" s="42" t="s">
        <v>756</v>
      </c>
      <c r="E24" s="42">
        <v>678726.0</v>
      </c>
      <c r="F24" s="42" t="s">
        <v>60</v>
      </c>
      <c r="G24" s="42" t="s">
        <v>119</v>
      </c>
      <c r="H24" s="42" t="s">
        <v>599</v>
      </c>
      <c r="I24" s="42" t="s">
        <v>600</v>
      </c>
      <c r="J24" s="42" t="s">
        <v>608</v>
      </c>
      <c r="K24" s="43">
        <v>46082.0</v>
      </c>
      <c r="L24" s="42">
        <f t="shared" si="2"/>
        <v>3</v>
      </c>
      <c r="M24" s="43" t="s">
        <v>862</v>
      </c>
      <c r="N24" s="44">
        <v>5.20875518E8</v>
      </c>
      <c r="O24" s="45">
        <v>27.0</v>
      </c>
      <c r="P24" s="46">
        <v>0.24</v>
      </c>
      <c r="Q24" s="45">
        <v>6.48</v>
      </c>
      <c r="R24" s="42" t="s">
        <v>866</v>
      </c>
      <c r="S24" s="42" t="s">
        <v>867</v>
      </c>
      <c r="T24" s="44" t="s">
        <v>868</v>
      </c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</row>
    <row r="25" ht="14.25" customHeight="1">
      <c r="A25" s="42" t="s">
        <v>46</v>
      </c>
      <c r="B25" s="42" t="s">
        <v>47</v>
      </c>
      <c r="C25" s="42" t="str">
        <f t="shared" si="1"/>
        <v>#N/A</v>
      </c>
      <c r="D25" s="42" t="s">
        <v>631</v>
      </c>
      <c r="E25" s="42">
        <v>759555.0</v>
      </c>
      <c r="F25" s="42" t="s">
        <v>48</v>
      </c>
      <c r="G25" s="42" t="s">
        <v>50</v>
      </c>
      <c r="H25" s="42" t="s">
        <v>599</v>
      </c>
      <c r="I25" s="42" t="s">
        <v>600</v>
      </c>
      <c r="J25" s="42" t="s">
        <v>608</v>
      </c>
      <c r="K25" s="43">
        <v>46082.0</v>
      </c>
      <c r="L25" s="42">
        <f t="shared" si="2"/>
        <v>3</v>
      </c>
      <c r="M25" s="43" t="s">
        <v>862</v>
      </c>
      <c r="N25" s="44">
        <v>7.37401508E8</v>
      </c>
      <c r="O25" s="45">
        <v>40.0</v>
      </c>
      <c r="P25" s="46">
        <v>0.24</v>
      </c>
      <c r="Q25" s="45">
        <v>9.6</v>
      </c>
      <c r="R25" s="42" t="s">
        <v>866</v>
      </c>
      <c r="S25" s="42" t="s">
        <v>864</v>
      </c>
      <c r="T25" s="44" t="s">
        <v>865</v>
      </c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</row>
    <row r="26" ht="14.25" customHeight="1">
      <c r="A26" s="42" t="s">
        <v>394</v>
      </c>
      <c r="B26" s="42" t="s">
        <v>127</v>
      </c>
      <c r="C26" s="42" t="str">
        <f t="shared" si="1"/>
        <v>#N/A</v>
      </c>
      <c r="D26" s="42" t="s">
        <v>606</v>
      </c>
      <c r="E26" s="42">
        <v>678726.0</v>
      </c>
      <c r="F26" s="42" t="s">
        <v>60</v>
      </c>
      <c r="G26" s="42" t="s">
        <v>62</v>
      </c>
      <c r="H26" s="42" t="s">
        <v>599</v>
      </c>
      <c r="I26" s="42" t="s">
        <v>600</v>
      </c>
      <c r="J26" s="42" t="s">
        <v>608</v>
      </c>
      <c r="K26" s="43">
        <v>46082.0</v>
      </c>
      <c r="L26" s="42">
        <f t="shared" si="2"/>
        <v>3</v>
      </c>
      <c r="M26" s="43" t="s">
        <v>862</v>
      </c>
      <c r="N26" s="44">
        <v>1.67138801E8</v>
      </c>
      <c r="O26" s="45">
        <v>50.0</v>
      </c>
      <c r="P26" s="46">
        <v>0.32</v>
      </c>
      <c r="Q26" s="45">
        <v>16.0</v>
      </c>
      <c r="R26" s="42" t="s">
        <v>873</v>
      </c>
      <c r="S26" s="42" t="s">
        <v>867</v>
      </c>
      <c r="T26" s="44" t="s">
        <v>868</v>
      </c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</row>
    <row r="27" ht="14.25" customHeight="1">
      <c r="A27" s="42" t="s">
        <v>401</v>
      </c>
      <c r="B27" s="42" t="s">
        <v>402</v>
      </c>
      <c r="C27" s="42" t="str">
        <f t="shared" si="1"/>
        <v>#N/A</v>
      </c>
      <c r="D27" s="42" t="s">
        <v>606</v>
      </c>
      <c r="E27" s="42">
        <v>678726.0</v>
      </c>
      <c r="F27" s="42" t="s">
        <v>60</v>
      </c>
      <c r="G27" s="42" t="s">
        <v>106</v>
      </c>
      <c r="H27" s="42" t="s">
        <v>599</v>
      </c>
      <c r="I27" s="42" t="s">
        <v>600</v>
      </c>
      <c r="J27" s="42" t="s">
        <v>608</v>
      </c>
      <c r="K27" s="43">
        <v>46082.0</v>
      </c>
      <c r="L27" s="42">
        <f t="shared" si="2"/>
        <v>3</v>
      </c>
      <c r="M27" s="43" t="s">
        <v>862</v>
      </c>
      <c r="N27" s="44">
        <v>3.97825233E8</v>
      </c>
      <c r="O27" s="45">
        <v>97.0</v>
      </c>
      <c r="P27" s="46">
        <v>0.24</v>
      </c>
      <c r="Q27" s="45">
        <v>23.28</v>
      </c>
      <c r="R27" s="42" t="s">
        <v>866</v>
      </c>
      <c r="S27" s="42" t="s">
        <v>867</v>
      </c>
      <c r="T27" s="44" t="s">
        <v>868</v>
      </c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</row>
    <row r="28" ht="14.25" customHeight="1">
      <c r="A28" s="42" t="s">
        <v>261</v>
      </c>
      <c r="B28" s="42" t="s">
        <v>262</v>
      </c>
      <c r="C28" s="42" t="str">
        <f t="shared" si="1"/>
        <v>#N/A</v>
      </c>
      <c r="D28" s="42" t="s">
        <v>794</v>
      </c>
      <c r="E28" s="42">
        <v>847313.0</v>
      </c>
      <c r="F28" s="42" t="s">
        <v>197</v>
      </c>
      <c r="G28" s="42" t="s">
        <v>42</v>
      </c>
      <c r="H28" s="42" t="s">
        <v>617</v>
      </c>
      <c r="I28" s="42" t="s">
        <v>618</v>
      </c>
      <c r="J28" s="42" t="s">
        <v>602</v>
      </c>
      <c r="K28" s="43">
        <v>46082.0</v>
      </c>
      <c r="L28" s="42">
        <f t="shared" si="2"/>
        <v>4</v>
      </c>
      <c r="M28" s="43" t="s">
        <v>862</v>
      </c>
      <c r="N28" s="44">
        <v>6.05728351E8</v>
      </c>
      <c r="O28" s="45">
        <v>11.0</v>
      </c>
      <c r="P28" s="46">
        <v>0.37</v>
      </c>
      <c r="Q28" s="45">
        <v>4.07</v>
      </c>
      <c r="R28" s="42" t="s">
        <v>863</v>
      </c>
      <c r="S28" s="42" t="s">
        <v>869</v>
      </c>
      <c r="T28" s="44" t="s">
        <v>870</v>
      </c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</row>
    <row r="29" ht="14.25" customHeight="1">
      <c r="A29" s="42" t="s">
        <v>116</v>
      </c>
      <c r="B29" s="42" t="s">
        <v>117</v>
      </c>
      <c r="C29" s="42" t="str">
        <f t="shared" si="1"/>
        <v>#N/A</v>
      </c>
      <c r="D29" s="42" t="s">
        <v>736</v>
      </c>
      <c r="E29" s="42">
        <v>678726.0</v>
      </c>
      <c r="F29" s="42" t="s">
        <v>60</v>
      </c>
      <c r="G29" s="42" t="s">
        <v>119</v>
      </c>
      <c r="H29" s="42" t="s">
        <v>599</v>
      </c>
      <c r="I29" s="42" t="s">
        <v>600</v>
      </c>
      <c r="J29" s="42" t="s">
        <v>602</v>
      </c>
      <c r="K29" s="43">
        <v>46082.0</v>
      </c>
      <c r="L29" s="42">
        <f t="shared" si="2"/>
        <v>4</v>
      </c>
      <c r="M29" s="43" t="s">
        <v>862</v>
      </c>
      <c r="N29" s="44">
        <v>5.0538789E7</v>
      </c>
      <c r="O29" s="45">
        <v>27.0</v>
      </c>
      <c r="P29" s="46">
        <v>0.24</v>
      </c>
      <c r="Q29" s="45">
        <v>6.48</v>
      </c>
      <c r="R29" s="42" t="s">
        <v>866</v>
      </c>
      <c r="S29" s="42" t="s">
        <v>867</v>
      </c>
      <c r="T29" s="44" t="s">
        <v>868</v>
      </c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</row>
    <row r="30" ht="14.25" customHeight="1">
      <c r="A30" s="42" t="s">
        <v>410</v>
      </c>
      <c r="B30" s="42" t="s">
        <v>411</v>
      </c>
      <c r="C30" s="42" t="str">
        <f t="shared" si="1"/>
        <v>#N/A</v>
      </c>
      <c r="D30" s="42" t="s">
        <v>611</v>
      </c>
      <c r="E30" s="42">
        <v>820877.0</v>
      </c>
      <c r="F30" s="42" t="s">
        <v>229</v>
      </c>
      <c r="G30" s="42" t="s">
        <v>42</v>
      </c>
      <c r="H30" s="42" t="s">
        <v>617</v>
      </c>
      <c r="I30" s="42" t="s">
        <v>618</v>
      </c>
      <c r="J30" s="42" t="s">
        <v>623</v>
      </c>
      <c r="K30" s="43">
        <v>46082.0</v>
      </c>
      <c r="L30" s="42">
        <f t="shared" si="2"/>
        <v>7</v>
      </c>
      <c r="M30" s="43" t="s">
        <v>874</v>
      </c>
      <c r="N30" s="44">
        <v>9.82230107E8</v>
      </c>
      <c r="O30" s="45">
        <v>11.0</v>
      </c>
      <c r="P30" s="46">
        <v>0.37</v>
      </c>
      <c r="Q30" s="45">
        <v>4.07</v>
      </c>
      <c r="R30" s="42" t="s">
        <v>863</v>
      </c>
      <c r="S30" s="42" t="s">
        <v>875</v>
      </c>
      <c r="T30" s="44" t="s">
        <v>876</v>
      </c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</row>
    <row r="31" ht="14.25" customHeight="1">
      <c r="A31" s="42" t="s">
        <v>410</v>
      </c>
      <c r="B31" s="42" t="s">
        <v>411</v>
      </c>
      <c r="C31" s="42" t="str">
        <f t="shared" si="1"/>
        <v>#N/A</v>
      </c>
      <c r="D31" s="42" t="s">
        <v>611</v>
      </c>
      <c r="E31" s="42">
        <v>820877.0</v>
      </c>
      <c r="F31" s="42" t="s">
        <v>229</v>
      </c>
      <c r="G31" s="42" t="s">
        <v>106</v>
      </c>
      <c r="H31" s="42" t="s">
        <v>599</v>
      </c>
      <c r="I31" s="42" t="s">
        <v>600</v>
      </c>
      <c r="J31" s="42" t="s">
        <v>623</v>
      </c>
      <c r="K31" s="43">
        <v>46082.0</v>
      </c>
      <c r="L31" s="42">
        <f t="shared" si="2"/>
        <v>7</v>
      </c>
      <c r="M31" s="43" t="s">
        <v>874</v>
      </c>
      <c r="N31" s="44">
        <v>3.18112688E8</v>
      </c>
      <c r="O31" s="45">
        <v>42.0</v>
      </c>
      <c r="P31" s="46">
        <v>0.24</v>
      </c>
      <c r="Q31" s="45">
        <v>10.08</v>
      </c>
      <c r="R31" s="42" t="s">
        <v>866</v>
      </c>
      <c r="S31" s="42" t="s">
        <v>875</v>
      </c>
      <c r="T31" s="44" t="s">
        <v>876</v>
      </c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</row>
    <row r="32" ht="14.25" customHeight="1">
      <c r="A32" s="42" t="s">
        <v>468</v>
      </c>
      <c r="B32" s="42" t="s">
        <v>469</v>
      </c>
      <c r="C32" s="42" t="str">
        <f t="shared" si="1"/>
        <v>#N/A</v>
      </c>
      <c r="D32" s="42" t="s">
        <v>606</v>
      </c>
      <c r="E32" s="42">
        <v>678726.0</v>
      </c>
      <c r="F32" s="42" t="s">
        <v>60</v>
      </c>
      <c r="G32" s="42" t="s">
        <v>42</v>
      </c>
      <c r="H32" s="42" t="s">
        <v>617</v>
      </c>
      <c r="I32" s="42" t="s">
        <v>618</v>
      </c>
      <c r="J32" s="42" t="s">
        <v>727</v>
      </c>
      <c r="K32" s="43">
        <v>46082.0</v>
      </c>
      <c r="L32" s="42">
        <f t="shared" si="2"/>
        <v>8</v>
      </c>
      <c r="M32" s="43" t="s">
        <v>874</v>
      </c>
      <c r="N32" s="44">
        <v>7.60665662E8</v>
      </c>
      <c r="O32" s="45">
        <v>11.0</v>
      </c>
      <c r="P32" s="46">
        <v>0.37</v>
      </c>
      <c r="Q32" s="45">
        <v>4.07</v>
      </c>
      <c r="R32" s="42" t="s">
        <v>863</v>
      </c>
      <c r="S32" s="42" t="s">
        <v>867</v>
      </c>
      <c r="T32" s="44" t="s">
        <v>868</v>
      </c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</row>
    <row r="33" ht="14.25" customHeight="1">
      <c r="A33" s="42" t="s">
        <v>245</v>
      </c>
      <c r="B33" s="42" t="s">
        <v>246</v>
      </c>
      <c r="C33" s="42" t="str">
        <f t="shared" si="1"/>
        <v>#N/A</v>
      </c>
      <c r="D33" s="42" t="s">
        <v>606</v>
      </c>
      <c r="E33" s="42">
        <v>678726.0</v>
      </c>
      <c r="F33" s="42" t="s">
        <v>60</v>
      </c>
      <c r="G33" s="42" t="s">
        <v>42</v>
      </c>
      <c r="H33" s="42" t="s">
        <v>617</v>
      </c>
      <c r="I33" s="42" t="s">
        <v>618</v>
      </c>
      <c r="J33" s="42" t="s">
        <v>859</v>
      </c>
      <c r="K33" s="43">
        <v>46082.0</v>
      </c>
      <c r="L33" s="42">
        <f t="shared" si="2"/>
        <v>9</v>
      </c>
      <c r="M33" s="43" t="s">
        <v>874</v>
      </c>
      <c r="N33" s="44">
        <v>7.95235089E8</v>
      </c>
      <c r="O33" s="45">
        <v>11.0</v>
      </c>
      <c r="P33" s="46">
        <v>0.37</v>
      </c>
      <c r="Q33" s="45">
        <v>4.07</v>
      </c>
      <c r="R33" s="42" t="s">
        <v>863</v>
      </c>
      <c r="S33" s="42" t="s">
        <v>867</v>
      </c>
      <c r="T33" s="44" t="s">
        <v>868</v>
      </c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</row>
    <row r="34" ht="14.25" customHeight="1">
      <c r="A34" s="42" t="s">
        <v>245</v>
      </c>
      <c r="B34" s="42" t="s">
        <v>246</v>
      </c>
      <c r="C34" s="42" t="str">
        <f t="shared" si="1"/>
        <v>#N/A</v>
      </c>
      <c r="D34" s="42" t="s">
        <v>606</v>
      </c>
      <c r="E34" s="42">
        <v>678726.0</v>
      </c>
      <c r="F34" s="42" t="s">
        <v>60</v>
      </c>
      <c r="G34" s="42" t="s">
        <v>119</v>
      </c>
      <c r="H34" s="42" t="s">
        <v>599</v>
      </c>
      <c r="I34" s="42" t="s">
        <v>600</v>
      </c>
      <c r="J34" s="42" t="s">
        <v>859</v>
      </c>
      <c r="K34" s="43">
        <v>46082.0</v>
      </c>
      <c r="L34" s="42">
        <f t="shared" si="2"/>
        <v>9</v>
      </c>
      <c r="M34" s="43" t="s">
        <v>874</v>
      </c>
      <c r="N34" s="44">
        <v>4.28096508E8</v>
      </c>
      <c r="O34" s="45">
        <v>27.0</v>
      </c>
      <c r="P34" s="46">
        <v>0.24</v>
      </c>
      <c r="Q34" s="45">
        <v>6.48</v>
      </c>
      <c r="R34" s="42" t="s">
        <v>866</v>
      </c>
      <c r="S34" s="42" t="s">
        <v>867</v>
      </c>
      <c r="T34" s="44" t="s">
        <v>868</v>
      </c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</row>
    <row r="35" ht="14.25" customHeight="1">
      <c r="A35" s="42" t="s">
        <v>480</v>
      </c>
      <c r="B35" s="42" t="s">
        <v>481</v>
      </c>
      <c r="C35" s="42" t="str">
        <f t="shared" si="1"/>
        <v>#N/A</v>
      </c>
      <c r="D35" s="42" t="s">
        <v>611</v>
      </c>
      <c r="E35" s="42">
        <v>820877.0</v>
      </c>
      <c r="F35" s="42" t="s">
        <v>229</v>
      </c>
      <c r="G35" s="42" t="s">
        <v>62</v>
      </c>
      <c r="H35" s="42" t="s">
        <v>599</v>
      </c>
      <c r="I35" s="42" t="s">
        <v>600</v>
      </c>
      <c r="J35" s="42" t="s">
        <v>734</v>
      </c>
      <c r="K35" s="43">
        <v>46082.0</v>
      </c>
      <c r="L35" s="42">
        <f t="shared" si="2"/>
        <v>10</v>
      </c>
      <c r="M35" s="43" t="s">
        <v>874</v>
      </c>
      <c r="N35" s="44">
        <v>3.28251776E8</v>
      </c>
      <c r="O35" s="45">
        <v>46.0</v>
      </c>
      <c r="P35" s="46">
        <v>0.32</v>
      </c>
      <c r="Q35" s="45">
        <v>14.72</v>
      </c>
      <c r="R35" s="42" t="s">
        <v>873</v>
      </c>
      <c r="S35" s="42" t="s">
        <v>875</v>
      </c>
      <c r="T35" s="44" t="s">
        <v>876</v>
      </c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</row>
    <row r="36" ht="14.25" customHeight="1">
      <c r="A36" s="42" t="s">
        <v>420</v>
      </c>
      <c r="B36" s="42" t="s">
        <v>421</v>
      </c>
      <c r="C36" s="42" t="str">
        <f t="shared" si="1"/>
        <v>#N/A</v>
      </c>
      <c r="D36" s="42" t="s">
        <v>631</v>
      </c>
      <c r="E36" s="42">
        <v>760338.0</v>
      </c>
      <c r="F36" s="42" t="s">
        <v>422</v>
      </c>
      <c r="G36" s="42" t="s">
        <v>42</v>
      </c>
      <c r="H36" s="42" t="s">
        <v>617</v>
      </c>
      <c r="I36" s="42" t="s">
        <v>618</v>
      </c>
      <c r="J36" s="42" t="s">
        <v>633</v>
      </c>
      <c r="K36" s="43">
        <v>46082.0</v>
      </c>
      <c r="L36" s="42">
        <f t="shared" si="2"/>
        <v>11</v>
      </c>
      <c r="M36" s="43" t="s">
        <v>874</v>
      </c>
      <c r="N36" s="44">
        <v>2.60311117E8</v>
      </c>
      <c r="O36" s="45">
        <v>11.0</v>
      </c>
      <c r="P36" s="46">
        <v>0.37</v>
      </c>
      <c r="Q36" s="45">
        <v>4.07</v>
      </c>
      <c r="R36" s="42" t="s">
        <v>863</v>
      </c>
      <c r="S36" s="42" t="s">
        <v>877</v>
      </c>
      <c r="T36" s="44">
        <v>8814784.0</v>
      </c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</row>
    <row r="37" ht="14.25" customHeight="1">
      <c r="A37" s="42" t="s">
        <v>420</v>
      </c>
      <c r="B37" s="42" t="s">
        <v>421</v>
      </c>
      <c r="C37" s="42" t="str">
        <f t="shared" si="1"/>
        <v>#N/A</v>
      </c>
      <c r="D37" s="42" t="s">
        <v>631</v>
      </c>
      <c r="E37" s="42">
        <v>760338.0</v>
      </c>
      <c r="F37" s="42" t="s">
        <v>422</v>
      </c>
      <c r="G37" s="42" t="s">
        <v>77</v>
      </c>
      <c r="H37" s="42" t="s">
        <v>599</v>
      </c>
      <c r="I37" s="42" t="s">
        <v>600</v>
      </c>
      <c r="J37" s="42" t="s">
        <v>633</v>
      </c>
      <c r="K37" s="43">
        <v>46082.0</v>
      </c>
      <c r="L37" s="42">
        <f t="shared" si="2"/>
        <v>11</v>
      </c>
      <c r="M37" s="43" t="s">
        <v>874</v>
      </c>
      <c r="N37" s="44">
        <v>3.41203822E8</v>
      </c>
      <c r="O37" s="45">
        <v>25.0</v>
      </c>
      <c r="P37" s="46">
        <v>0.24</v>
      </c>
      <c r="Q37" s="45">
        <v>6.0</v>
      </c>
      <c r="R37" s="42" t="s">
        <v>866</v>
      </c>
      <c r="S37" s="42" t="s">
        <v>877</v>
      </c>
      <c r="T37" s="44">
        <v>8814784.0</v>
      </c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</row>
    <row r="38" ht="14.25" customHeight="1">
      <c r="A38" s="42" t="s">
        <v>475</v>
      </c>
      <c r="B38" s="42" t="s">
        <v>476</v>
      </c>
      <c r="C38" s="42" t="str">
        <f t="shared" si="1"/>
        <v>#N/A</v>
      </c>
      <c r="D38" s="42" t="s">
        <v>631</v>
      </c>
      <c r="E38" s="42">
        <v>760338.0</v>
      </c>
      <c r="F38" s="42" t="s">
        <v>422</v>
      </c>
      <c r="G38" s="42" t="s">
        <v>42</v>
      </c>
      <c r="H38" s="42" t="s">
        <v>617</v>
      </c>
      <c r="I38" s="42" t="s">
        <v>618</v>
      </c>
      <c r="J38" s="42" t="s">
        <v>628</v>
      </c>
      <c r="K38" s="43">
        <v>46082.0</v>
      </c>
      <c r="L38" s="42">
        <f t="shared" si="2"/>
        <v>12</v>
      </c>
      <c r="M38" s="43" t="s">
        <v>874</v>
      </c>
      <c r="N38" s="44">
        <v>6.25104953E8</v>
      </c>
      <c r="O38" s="45">
        <v>11.0</v>
      </c>
      <c r="P38" s="46">
        <v>0.37</v>
      </c>
      <c r="Q38" s="45">
        <v>4.07</v>
      </c>
      <c r="R38" s="42" t="s">
        <v>863</v>
      </c>
      <c r="S38" s="42" t="s">
        <v>877</v>
      </c>
      <c r="T38" s="44">
        <v>8814784.0</v>
      </c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</row>
    <row r="39" ht="14.25" customHeight="1">
      <c r="A39" s="42" t="s">
        <v>227</v>
      </c>
      <c r="B39" s="42" t="s">
        <v>228</v>
      </c>
      <c r="C39" s="42" t="str">
        <f t="shared" si="1"/>
        <v>#N/A</v>
      </c>
      <c r="D39" s="42" t="s">
        <v>611</v>
      </c>
      <c r="E39" s="42">
        <v>820877.0</v>
      </c>
      <c r="F39" s="42" t="s">
        <v>229</v>
      </c>
      <c r="G39" s="42" t="s">
        <v>62</v>
      </c>
      <c r="H39" s="42" t="s">
        <v>599</v>
      </c>
      <c r="I39" s="42" t="s">
        <v>600</v>
      </c>
      <c r="J39" s="42" t="s">
        <v>628</v>
      </c>
      <c r="K39" s="43">
        <v>46082.0</v>
      </c>
      <c r="L39" s="42">
        <f t="shared" si="2"/>
        <v>12</v>
      </c>
      <c r="M39" s="43" t="s">
        <v>874</v>
      </c>
      <c r="N39" s="44">
        <v>6.4448468E8</v>
      </c>
      <c r="O39" s="45">
        <v>25.0</v>
      </c>
      <c r="P39" s="46">
        <v>0.32</v>
      </c>
      <c r="Q39" s="45">
        <v>8.0</v>
      </c>
      <c r="R39" s="42" t="s">
        <v>873</v>
      </c>
      <c r="S39" s="42" t="s">
        <v>875</v>
      </c>
      <c r="T39" s="44" t="s">
        <v>878</v>
      </c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</row>
    <row r="40" ht="14.25" customHeight="1">
      <c r="A40" s="42" t="s">
        <v>475</v>
      </c>
      <c r="B40" s="42" t="s">
        <v>476</v>
      </c>
      <c r="C40" s="42" t="str">
        <f t="shared" si="1"/>
        <v>#N/A</v>
      </c>
      <c r="D40" s="42" t="s">
        <v>631</v>
      </c>
      <c r="E40" s="42">
        <v>760338.0</v>
      </c>
      <c r="F40" s="42" t="s">
        <v>422</v>
      </c>
      <c r="G40" s="42" t="s">
        <v>50</v>
      </c>
      <c r="H40" s="42" t="s">
        <v>599</v>
      </c>
      <c r="I40" s="42" t="s">
        <v>600</v>
      </c>
      <c r="J40" s="42" t="s">
        <v>628</v>
      </c>
      <c r="K40" s="43">
        <v>46082.0</v>
      </c>
      <c r="L40" s="42">
        <f t="shared" si="2"/>
        <v>12</v>
      </c>
      <c r="M40" s="43" t="s">
        <v>874</v>
      </c>
      <c r="N40" s="44">
        <v>6.92950875E8</v>
      </c>
      <c r="O40" s="45">
        <v>43.56</v>
      </c>
      <c r="P40" s="46">
        <v>0.24</v>
      </c>
      <c r="Q40" s="45">
        <v>10.45</v>
      </c>
      <c r="R40" s="42" t="s">
        <v>866</v>
      </c>
      <c r="S40" s="42" t="s">
        <v>877</v>
      </c>
      <c r="T40" s="44">
        <v>8814784.0</v>
      </c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</row>
    <row r="41" ht="14.25" customHeight="1">
      <c r="A41" s="42" t="s">
        <v>439</v>
      </c>
      <c r="B41" s="42" t="s">
        <v>440</v>
      </c>
      <c r="C41" s="42" t="str">
        <f t="shared" si="1"/>
        <v>#N/A</v>
      </c>
      <c r="D41" s="42" t="s">
        <v>631</v>
      </c>
      <c r="E41" s="42">
        <v>760338.0</v>
      </c>
      <c r="F41" s="42" t="s">
        <v>422</v>
      </c>
      <c r="G41" s="42" t="s">
        <v>77</v>
      </c>
      <c r="H41" s="42" t="s">
        <v>599</v>
      </c>
      <c r="I41" s="42" t="s">
        <v>600</v>
      </c>
      <c r="J41" s="42" t="s">
        <v>638</v>
      </c>
      <c r="K41" s="43">
        <v>46082.0</v>
      </c>
      <c r="L41" s="42">
        <f t="shared" si="2"/>
        <v>13</v>
      </c>
      <c r="M41" s="43" t="s">
        <v>874</v>
      </c>
      <c r="N41" s="44">
        <v>7.83299133E8</v>
      </c>
      <c r="O41" s="45">
        <v>25.0</v>
      </c>
      <c r="P41" s="46">
        <v>0.24</v>
      </c>
      <c r="Q41" s="45">
        <v>6.0</v>
      </c>
      <c r="R41" s="42" t="s">
        <v>866</v>
      </c>
      <c r="S41" s="42" t="s">
        <v>877</v>
      </c>
      <c r="T41" s="44">
        <v>8814784.0</v>
      </c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</row>
    <row r="42" ht="14.25" customHeight="1">
      <c r="A42" s="42" t="s">
        <v>384</v>
      </c>
      <c r="B42" s="42" t="s">
        <v>83</v>
      </c>
      <c r="C42" s="42" t="str">
        <f t="shared" si="1"/>
        <v>#N/A</v>
      </c>
      <c r="D42" s="42" t="s">
        <v>611</v>
      </c>
      <c r="E42" s="42">
        <v>820877.0</v>
      </c>
      <c r="F42" s="42" t="s">
        <v>229</v>
      </c>
      <c r="G42" s="42" t="s">
        <v>62</v>
      </c>
      <c r="H42" s="42" t="s">
        <v>599</v>
      </c>
      <c r="I42" s="42" t="s">
        <v>600</v>
      </c>
      <c r="J42" s="42" t="s">
        <v>638</v>
      </c>
      <c r="K42" s="43">
        <v>46082.0</v>
      </c>
      <c r="L42" s="42">
        <f t="shared" si="2"/>
        <v>13</v>
      </c>
      <c r="M42" s="43" t="s">
        <v>874</v>
      </c>
      <c r="N42" s="44">
        <v>4.37691397E8</v>
      </c>
      <c r="O42" s="45">
        <v>50.0</v>
      </c>
      <c r="P42" s="46">
        <v>0.32</v>
      </c>
      <c r="Q42" s="45">
        <v>16.0</v>
      </c>
      <c r="R42" s="42" t="s">
        <v>873</v>
      </c>
      <c r="S42" s="42" t="s">
        <v>875</v>
      </c>
      <c r="T42" s="44" t="s">
        <v>878</v>
      </c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</row>
    <row r="43" ht="14.25" customHeight="1">
      <c r="A43" s="47" t="s">
        <v>387</v>
      </c>
      <c r="B43" s="47" t="s">
        <v>332</v>
      </c>
      <c r="C43" s="42" t="str">
        <f t="shared" si="1"/>
        <v>#N/A</v>
      </c>
      <c r="D43" s="47" t="s">
        <v>611</v>
      </c>
      <c r="E43" s="47">
        <v>711419.0</v>
      </c>
      <c r="F43" s="47" t="s">
        <v>40</v>
      </c>
      <c r="G43" s="47" t="s">
        <v>42</v>
      </c>
      <c r="H43" s="47" t="s">
        <v>617</v>
      </c>
      <c r="I43" s="47" t="s">
        <v>618</v>
      </c>
      <c r="J43" s="47" t="s">
        <v>248</v>
      </c>
      <c r="K43" s="48">
        <v>46082.0</v>
      </c>
      <c r="L43" s="47">
        <f t="shared" si="2"/>
        <v>1</v>
      </c>
      <c r="M43" s="43" t="s">
        <v>874</v>
      </c>
      <c r="N43" s="49">
        <v>5.26144798E8</v>
      </c>
      <c r="O43" s="41">
        <v>0.33</v>
      </c>
      <c r="P43" s="50">
        <v>0.03</v>
      </c>
      <c r="Q43" s="41">
        <v>0.33</v>
      </c>
      <c r="R43" s="47" t="s">
        <v>879</v>
      </c>
      <c r="S43" s="47" t="s">
        <v>880</v>
      </c>
      <c r="T43" s="49">
        <v>2.0411454E7</v>
      </c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</row>
    <row r="44" ht="14.25" customHeight="1">
      <c r="A44" s="47" t="s">
        <v>103</v>
      </c>
      <c r="B44" s="47" t="s">
        <v>332</v>
      </c>
      <c r="C44" s="42" t="str">
        <f t="shared" si="1"/>
        <v>#N/A</v>
      </c>
      <c r="D44" s="47" t="s">
        <v>611</v>
      </c>
      <c r="E44" s="47">
        <v>711419.0</v>
      </c>
      <c r="F44" s="47" t="s">
        <v>40</v>
      </c>
      <c r="G44" s="47" t="s">
        <v>42</v>
      </c>
      <c r="H44" s="47" t="s">
        <v>617</v>
      </c>
      <c r="I44" s="47" t="s">
        <v>618</v>
      </c>
      <c r="J44" s="47" t="s">
        <v>248</v>
      </c>
      <c r="K44" s="48">
        <v>46082.0</v>
      </c>
      <c r="L44" s="47">
        <f t="shared" si="2"/>
        <v>1</v>
      </c>
      <c r="M44" s="43" t="s">
        <v>874</v>
      </c>
      <c r="N44" s="49">
        <v>8.23699893E8</v>
      </c>
      <c r="O44" s="41">
        <v>0.33</v>
      </c>
      <c r="P44" s="50">
        <v>0.03</v>
      </c>
      <c r="Q44" s="41">
        <v>0.33</v>
      </c>
      <c r="R44" s="47" t="s">
        <v>879</v>
      </c>
      <c r="S44" s="47" t="s">
        <v>880</v>
      </c>
      <c r="T44" s="49">
        <v>2.0411454E7</v>
      </c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</row>
    <row r="45" ht="14.25" customHeight="1">
      <c r="A45" s="47" t="s">
        <v>352</v>
      </c>
      <c r="B45" s="47" t="s">
        <v>332</v>
      </c>
      <c r="C45" s="42" t="str">
        <f t="shared" si="1"/>
        <v>#N/A</v>
      </c>
      <c r="D45" s="47" t="s">
        <v>611</v>
      </c>
      <c r="E45" s="47">
        <v>711419.0</v>
      </c>
      <c r="F45" s="47" t="s">
        <v>40</v>
      </c>
      <c r="G45" s="47" t="s">
        <v>42</v>
      </c>
      <c r="H45" s="47" t="s">
        <v>617</v>
      </c>
      <c r="I45" s="47" t="s">
        <v>618</v>
      </c>
      <c r="J45" s="47" t="s">
        <v>248</v>
      </c>
      <c r="K45" s="48">
        <v>46082.0</v>
      </c>
      <c r="L45" s="47">
        <f t="shared" si="2"/>
        <v>1</v>
      </c>
      <c r="M45" s="43" t="s">
        <v>874</v>
      </c>
      <c r="N45" s="49">
        <v>6.86198203E8</v>
      </c>
      <c r="O45" s="41">
        <v>0.33</v>
      </c>
      <c r="P45" s="50">
        <v>0.03</v>
      </c>
      <c r="Q45" s="41">
        <v>0.33</v>
      </c>
      <c r="R45" s="47" t="s">
        <v>879</v>
      </c>
      <c r="S45" s="47" t="s">
        <v>880</v>
      </c>
      <c r="T45" s="49">
        <v>2.0411454E7</v>
      </c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</row>
    <row r="46" ht="14.25" customHeight="1">
      <c r="A46" s="47" t="s">
        <v>103</v>
      </c>
      <c r="B46" s="47" t="s">
        <v>332</v>
      </c>
      <c r="C46" s="42" t="str">
        <f t="shared" si="1"/>
        <v>#N/A</v>
      </c>
      <c r="D46" s="47" t="s">
        <v>611</v>
      </c>
      <c r="E46" s="47">
        <v>711419.0</v>
      </c>
      <c r="F46" s="47" t="s">
        <v>40</v>
      </c>
      <c r="G46" s="47" t="s">
        <v>50</v>
      </c>
      <c r="H46" s="47" t="s">
        <v>599</v>
      </c>
      <c r="I46" s="47" t="s">
        <v>600</v>
      </c>
      <c r="J46" s="47" t="s">
        <v>248</v>
      </c>
      <c r="K46" s="48">
        <v>46082.0</v>
      </c>
      <c r="L46" s="47">
        <f t="shared" si="2"/>
        <v>1</v>
      </c>
      <c r="M46" s="43" t="s">
        <v>874</v>
      </c>
      <c r="N46" s="49">
        <v>1.92480227E8</v>
      </c>
      <c r="O46" s="41">
        <v>1.2</v>
      </c>
      <c r="P46" s="50">
        <v>0.03</v>
      </c>
      <c r="Q46" s="41">
        <v>1.2</v>
      </c>
      <c r="R46" s="47" t="s">
        <v>879</v>
      </c>
      <c r="S46" s="47" t="s">
        <v>880</v>
      </c>
      <c r="T46" s="49">
        <v>2.0411454E7</v>
      </c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</row>
    <row r="47" ht="14.25" customHeight="1">
      <c r="A47" s="47" t="s">
        <v>352</v>
      </c>
      <c r="B47" s="47" t="s">
        <v>332</v>
      </c>
      <c r="C47" s="42" t="str">
        <f t="shared" si="1"/>
        <v>#N/A</v>
      </c>
      <c r="D47" s="47" t="s">
        <v>611</v>
      </c>
      <c r="E47" s="47">
        <v>711419.0</v>
      </c>
      <c r="F47" s="47" t="s">
        <v>40</v>
      </c>
      <c r="G47" s="47" t="s">
        <v>50</v>
      </c>
      <c r="H47" s="47" t="s">
        <v>599</v>
      </c>
      <c r="I47" s="47" t="s">
        <v>600</v>
      </c>
      <c r="J47" s="47" t="s">
        <v>248</v>
      </c>
      <c r="K47" s="48">
        <v>46082.0</v>
      </c>
      <c r="L47" s="47">
        <f t="shared" si="2"/>
        <v>1</v>
      </c>
      <c r="M47" s="43" t="s">
        <v>874</v>
      </c>
      <c r="N47" s="49">
        <v>6.86425651E8</v>
      </c>
      <c r="O47" s="41">
        <v>1.2</v>
      </c>
      <c r="P47" s="50">
        <v>0.03</v>
      </c>
      <c r="Q47" s="41">
        <v>1.2</v>
      </c>
      <c r="R47" s="47" t="s">
        <v>879</v>
      </c>
      <c r="S47" s="47" t="s">
        <v>880</v>
      </c>
      <c r="T47" s="49">
        <v>2.0411454E7</v>
      </c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</row>
    <row r="48" ht="14.25" customHeight="1">
      <c r="A48" s="47" t="s">
        <v>365</v>
      </c>
      <c r="B48" s="47" t="s">
        <v>366</v>
      </c>
      <c r="C48" s="42" t="str">
        <f t="shared" si="1"/>
        <v>#N/A</v>
      </c>
      <c r="D48" s="47" t="s">
        <v>611</v>
      </c>
      <c r="E48" s="47">
        <v>653470.0</v>
      </c>
      <c r="F48" s="47" t="s">
        <v>2</v>
      </c>
      <c r="G48" s="47" t="s">
        <v>368</v>
      </c>
      <c r="H48" s="47" t="s">
        <v>599</v>
      </c>
      <c r="I48" s="47" t="s">
        <v>600</v>
      </c>
      <c r="J48" s="47" t="s">
        <v>248</v>
      </c>
      <c r="K48" s="48">
        <v>46082.0</v>
      </c>
      <c r="L48" s="47">
        <f t="shared" si="2"/>
        <v>1</v>
      </c>
      <c r="M48" s="43" t="s">
        <v>874</v>
      </c>
      <c r="N48" s="49">
        <v>5.3798821E8</v>
      </c>
      <c r="O48" s="41">
        <v>18.0</v>
      </c>
      <c r="P48" s="50">
        <v>0.32</v>
      </c>
      <c r="Q48" s="41">
        <v>5.76</v>
      </c>
      <c r="R48" s="47" t="s">
        <v>873</v>
      </c>
      <c r="S48" s="47" t="s">
        <v>881</v>
      </c>
      <c r="T48" s="49">
        <v>1.5278437E7</v>
      </c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</row>
    <row r="49" ht="14.25" customHeight="1">
      <c r="A49" s="47" t="s">
        <v>132</v>
      </c>
      <c r="B49" s="47" t="s">
        <v>133</v>
      </c>
      <c r="C49" s="42" t="str">
        <f t="shared" si="1"/>
        <v>#N/A</v>
      </c>
      <c r="D49" s="47" t="s">
        <v>631</v>
      </c>
      <c r="E49" s="47">
        <v>757929.0</v>
      </c>
      <c r="F49" s="47" t="s">
        <v>134</v>
      </c>
      <c r="G49" s="47" t="s">
        <v>42</v>
      </c>
      <c r="H49" s="47" t="s">
        <v>617</v>
      </c>
      <c r="I49" s="47" t="s">
        <v>618</v>
      </c>
      <c r="J49" s="47" t="s">
        <v>620</v>
      </c>
      <c r="K49" s="48">
        <v>46082.0</v>
      </c>
      <c r="L49" s="47">
        <f t="shared" si="2"/>
        <v>2</v>
      </c>
      <c r="M49" s="43" t="s">
        <v>874</v>
      </c>
      <c r="N49" s="49">
        <v>1035728.0</v>
      </c>
      <c r="O49" s="41">
        <v>11.0</v>
      </c>
      <c r="P49" s="50">
        <v>0.37</v>
      </c>
      <c r="Q49" s="41">
        <v>4.07</v>
      </c>
      <c r="R49" s="47" t="s">
        <v>863</v>
      </c>
      <c r="S49" s="47" t="s">
        <v>882</v>
      </c>
      <c r="T49" s="49">
        <v>9213293.0</v>
      </c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</row>
    <row r="50" ht="14.25" customHeight="1">
      <c r="A50" s="47" t="s">
        <v>545</v>
      </c>
      <c r="B50" s="47" t="s">
        <v>546</v>
      </c>
      <c r="C50" s="42" t="str">
        <f t="shared" si="1"/>
        <v>#N/A</v>
      </c>
      <c r="D50" s="47" t="s">
        <v>631</v>
      </c>
      <c r="E50" s="47">
        <v>757929.0</v>
      </c>
      <c r="F50" s="47" t="s">
        <v>134</v>
      </c>
      <c r="G50" s="47" t="s">
        <v>142</v>
      </c>
      <c r="H50" s="47" t="s">
        <v>599</v>
      </c>
      <c r="I50" s="47" t="s">
        <v>600</v>
      </c>
      <c r="J50" s="47" t="s">
        <v>620</v>
      </c>
      <c r="K50" s="48">
        <v>46082.0</v>
      </c>
      <c r="L50" s="47">
        <f t="shared" si="2"/>
        <v>2</v>
      </c>
      <c r="M50" s="43" t="s">
        <v>874</v>
      </c>
      <c r="N50" s="49">
        <v>2.20207712E8</v>
      </c>
      <c r="O50" s="41">
        <v>22.0</v>
      </c>
      <c r="P50" s="50">
        <v>0.24</v>
      </c>
      <c r="Q50" s="41">
        <v>5.28</v>
      </c>
      <c r="R50" s="47" t="s">
        <v>866</v>
      </c>
      <c r="S50" s="47" t="s">
        <v>882</v>
      </c>
      <c r="T50" s="49">
        <v>9213293.0</v>
      </c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</row>
    <row r="51" ht="14.25" customHeight="1">
      <c r="A51" s="47" t="s">
        <v>132</v>
      </c>
      <c r="B51" s="47" t="s">
        <v>133</v>
      </c>
      <c r="C51" s="42" t="str">
        <f t="shared" si="1"/>
        <v>#N/A</v>
      </c>
      <c r="D51" s="47" t="s">
        <v>631</v>
      </c>
      <c r="E51" s="47">
        <v>757929.0</v>
      </c>
      <c r="F51" s="47" t="s">
        <v>134</v>
      </c>
      <c r="G51" s="47" t="s">
        <v>142</v>
      </c>
      <c r="H51" s="47" t="s">
        <v>599</v>
      </c>
      <c r="I51" s="47" t="s">
        <v>600</v>
      </c>
      <c r="J51" s="47" t="s">
        <v>620</v>
      </c>
      <c r="K51" s="48">
        <v>46082.0</v>
      </c>
      <c r="L51" s="47">
        <f t="shared" si="2"/>
        <v>2</v>
      </c>
      <c r="M51" s="43" t="s">
        <v>874</v>
      </c>
      <c r="N51" s="49">
        <v>3.90580973E8</v>
      </c>
      <c r="O51" s="41">
        <v>22.0</v>
      </c>
      <c r="P51" s="50">
        <v>0.24</v>
      </c>
      <c r="Q51" s="41">
        <v>5.28</v>
      </c>
      <c r="R51" s="47" t="s">
        <v>866</v>
      </c>
      <c r="S51" s="47" t="s">
        <v>882</v>
      </c>
      <c r="T51" s="49">
        <v>9213293.0</v>
      </c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</row>
    <row r="52" ht="14.25" customHeight="1">
      <c r="A52" s="47" t="s">
        <v>293</v>
      </c>
      <c r="B52" s="47" t="s">
        <v>294</v>
      </c>
      <c r="C52" s="42" t="str">
        <f t="shared" si="1"/>
        <v>#N/A</v>
      </c>
      <c r="D52" s="47" t="s">
        <v>611</v>
      </c>
      <c r="E52" s="47">
        <v>689390.0</v>
      </c>
      <c r="F52" s="47" t="s">
        <v>31</v>
      </c>
      <c r="G52" s="47" t="s">
        <v>33</v>
      </c>
      <c r="H52" s="47" t="s">
        <v>599</v>
      </c>
      <c r="I52" s="47" t="s">
        <v>600</v>
      </c>
      <c r="J52" s="47" t="s">
        <v>620</v>
      </c>
      <c r="K52" s="48">
        <v>46082.0</v>
      </c>
      <c r="L52" s="47">
        <f t="shared" si="2"/>
        <v>2</v>
      </c>
      <c r="M52" s="43" t="s">
        <v>874</v>
      </c>
      <c r="N52" s="49">
        <v>1.85194902E8</v>
      </c>
      <c r="O52" s="41">
        <v>71.0</v>
      </c>
      <c r="P52" s="50">
        <v>0.24</v>
      </c>
      <c r="Q52" s="41">
        <v>17.04</v>
      </c>
      <c r="R52" s="47" t="s">
        <v>866</v>
      </c>
      <c r="S52" s="47" t="s">
        <v>883</v>
      </c>
      <c r="T52" s="49">
        <v>1.7425766E7</v>
      </c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</row>
    <row r="53" ht="14.25" customHeight="1">
      <c r="A53" s="47" t="s">
        <v>237</v>
      </c>
      <c r="B53" s="47" t="s">
        <v>30</v>
      </c>
      <c r="C53" s="42" t="str">
        <f t="shared" si="1"/>
        <v>#N/A</v>
      </c>
      <c r="D53" s="47" t="s">
        <v>596</v>
      </c>
      <c r="E53" s="47">
        <v>689390.0</v>
      </c>
      <c r="F53" s="47" t="s">
        <v>31</v>
      </c>
      <c r="G53" s="47" t="s">
        <v>33</v>
      </c>
      <c r="H53" s="47" t="s">
        <v>599</v>
      </c>
      <c r="I53" s="47" t="s">
        <v>600</v>
      </c>
      <c r="J53" s="47" t="s">
        <v>620</v>
      </c>
      <c r="K53" s="48">
        <v>46082.0</v>
      </c>
      <c r="L53" s="47">
        <f t="shared" si="2"/>
        <v>2</v>
      </c>
      <c r="M53" s="43" t="s">
        <v>874</v>
      </c>
      <c r="N53" s="49">
        <v>5.72801557E8</v>
      </c>
      <c r="O53" s="41">
        <v>74.0</v>
      </c>
      <c r="P53" s="50">
        <v>0.24</v>
      </c>
      <c r="Q53" s="41">
        <v>17.76</v>
      </c>
      <c r="R53" s="47" t="s">
        <v>866</v>
      </c>
      <c r="S53" s="47" t="s">
        <v>883</v>
      </c>
      <c r="T53" s="49">
        <v>1.7425766E7</v>
      </c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</row>
    <row r="54" ht="14.25" customHeight="1">
      <c r="A54" s="47" t="s">
        <v>206</v>
      </c>
      <c r="B54" s="47" t="s">
        <v>207</v>
      </c>
      <c r="C54" s="42" t="str">
        <f t="shared" si="1"/>
        <v>#N/A</v>
      </c>
      <c r="D54" s="47" t="s">
        <v>611</v>
      </c>
      <c r="E54" s="47">
        <v>689390.0</v>
      </c>
      <c r="F54" s="47" t="s">
        <v>31</v>
      </c>
      <c r="G54" s="47" t="s">
        <v>33</v>
      </c>
      <c r="H54" s="47" t="s">
        <v>599</v>
      </c>
      <c r="I54" s="47" t="s">
        <v>600</v>
      </c>
      <c r="J54" s="47" t="s">
        <v>602</v>
      </c>
      <c r="K54" s="48">
        <v>46082.0</v>
      </c>
      <c r="L54" s="47">
        <f t="shared" si="2"/>
        <v>4</v>
      </c>
      <c r="M54" s="43" t="s">
        <v>874</v>
      </c>
      <c r="N54" s="49">
        <v>3.17405573E8</v>
      </c>
      <c r="O54" s="41">
        <v>71.0</v>
      </c>
      <c r="P54" s="50">
        <v>0.24</v>
      </c>
      <c r="Q54" s="41">
        <v>17.04</v>
      </c>
      <c r="R54" s="47" t="s">
        <v>866</v>
      </c>
      <c r="S54" s="47" t="s">
        <v>883</v>
      </c>
      <c r="T54" s="49">
        <v>1.7425766E7</v>
      </c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</row>
    <row r="55" ht="14.25" customHeight="1">
      <c r="A55" s="47" t="s">
        <v>29</v>
      </c>
      <c r="B55" s="47" t="s">
        <v>30</v>
      </c>
      <c r="C55" s="42" t="str">
        <f t="shared" si="1"/>
        <v>#N/A</v>
      </c>
      <c r="D55" s="47" t="s">
        <v>596</v>
      </c>
      <c r="E55" s="47">
        <v>689390.0</v>
      </c>
      <c r="F55" s="47" t="s">
        <v>31</v>
      </c>
      <c r="G55" s="47" t="s">
        <v>33</v>
      </c>
      <c r="H55" s="47" t="s">
        <v>599</v>
      </c>
      <c r="I55" s="47" t="s">
        <v>600</v>
      </c>
      <c r="J55" s="47" t="s">
        <v>602</v>
      </c>
      <c r="K55" s="48">
        <v>46082.0</v>
      </c>
      <c r="L55" s="47">
        <f t="shared" si="2"/>
        <v>4</v>
      </c>
      <c r="M55" s="43" t="s">
        <v>874</v>
      </c>
      <c r="N55" s="49">
        <v>6.48787978E8</v>
      </c>
      <c r="O55" s="41">
        <v>74.0</v>
      </c>
      <c r="P55" s="50">
        <v>0.24</v>
      </c>
      <c r="Q55" s="41">
        <v>17.76</v>
      </c>
      <c r="R55" s="47" t="s">
        <v>866</v>
      </c>
      <c r="S55" s="47" t="s">
        <v>883</v>
      </c>
      <c r="T55" s="49">
        <v>1.7425766E7</v>
      </c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</row>
    <row r="56" ht="14.25" customHeight="1">
      <c r="A56" s="47" t="s">
        <v>38</v>
      </c>
      <c r="B56" s="47" t="s">
        <v>39</v>
      </c>
      <c r="C56" s="42" t="str">
        <f t="shared" si="1"/>
        <v>#N/A</v>
      </c>
      <c r="D56" s="47" t="s">
        <v>606</v>
      </c>
      <c r="E56" s="47">
        <v>711419.0</v>
      </c>
      <c r="F56" s="47" t="s">
        <v>40</v>
      </c>
      <c r="G56" s="47" t="s">
        <v>42</v>
      </c>
      <c r="H56" s="47" t="s">
        <v>617</v>
      </c>
      <c r="I56" s="47" t="s">
        <v>618</v>
      </c>
      <c r="J56" s="47" t="s">
        <v>641</v>
      </c>
      <c r="K56" s="48">
        <v>46082.0</v>
      </c>
      <c r="L56" s="47">
        <f t="shared" si="2"/>
        <v>5</v>
      </c>
      <c r="M56" s="43" t="s">
        <v>874</v>
      </c>
      <c r="N56" s="49">
        <v>5.18008986E8</v>
      </c>
      <c r="O56" s="41">
        <v>0.45</v>
      </c>
      <c r="P56" s="50">
        <v>0.03</v>
      </c>
      <c r="Q56" s="41">
        <v>0.45</v>
      </c>
      <c r="R56" s="47" t="s">
        <v>879</v>
      </c>
      <c r="S56" s="47" t="s">
        <v>880</v>
      </c>
      <c r="T56" s="49">
        <v>2.0411454E7</v>
      </c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</row>
    <row r="57" ht="14.25" customHeight="1">
      <c r="A57" s="47" t="s">
        <v>38</v>
      </c>
      <c r="B57" s="47" t="s">
        <v>434</v>
      </c>
      <c r="C57" s="42" t="str">
        <f t="shared" si="1"/>
        <v>#N/A</v>
      </c>
      <c r="D57" s="47" t="s">
        <v>611</v>
      </c>
      <c r="E57" s="47">
        <v>655758.0</v>
      </c>
      <c r="F57" s="47" t="s">
        <v>435</v>
      </c>
      <c r="G57" s="47" t="s">
        <v>142</v>
      </c>
      <c r="H57" s="47" t="s">
        <v>599</v>
      </c>
      <c r="I57" s="47" t="s">
        <v>600</v>
      </c>
      <c r="J57" s="47" t="s">
        <v>641</v>
      </c>
      <c r="K57" s="48">
        <v>46082.0</v>
      </c>
      <c r="L57" s="47">
        <f t="shared" si="2"/>
        <v>5</v>
      </c>
      <c r="M57" s="43" t="s">
        <v>874</v>
      </c>
      <c r="N57" s="49">
        <v>3.73547815E8</v>
      </c>
      <c r="O57" s="41">
        <v>22.0</v>
      </c>
      <c r="P57" s="50">
        <v>0.24</v>
      </c>
      <c r="Q57" s="41">
        <v>5.28</v>
      </c>
      <c r="R57" s="47" t="s">
        <v>866</v>
      </c>
      <c r="S57" s="47" t="s">
        <v>884</v>
      </c>
      <c r="T57" s="49" t="s">
        <v>885</v>
      </c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</row>
    <row r="58" ht="14.25" customHeight="1">
      <c r="A58" s="47" t="s">
        <v>306</v>
      </c>
      <c r="B58" s="47" t="s">
        <v>307</v>
      </c>
      <c r="C58" s="42" t="str">
        <f t="shared" si="1"/>
        <v>#N/A</v>
      </c>
      <c r="D58" s="47" t="s">
        <v>606</v>
      </c>
      <c r="E58" s="47">
        <v>798992.0</v>
      </c>
      <c r="F58" s="47" t="s">
        <v>90</v>
      </c>
      <c r="G58" s="47" t="s">
        <v>119</v>
      </c>
      <c r="H58" s="47" t="s">
        <v>599</v>
      </c>
      <c r="I58" s="47" t="s">
        <v>600</v>
      </c>
      <c r="J58" s="47" t="s">
        <v>641</v>
      </c>
      <c r="K58" s="48">
        <v>46082.0</v>
      </c>
      <c r="L58" s="47">
        <f t="shared" si="2"/>
        <v>5</v>
      </c>
      <c r="M58" s="43" t="s">
        <v>874</v>
      </c>
      <c r="N58" s="49">
        <v>3.53396219E8</v>
      </c>
      <c r="O58" s="41">
        <v>27.0</v>
      </c>
      <c r="P58" s="50">
        <v>0.24</v>
      </c>
      <c r="Q58" s="41">
        <v>6.48</v>
      </c>
      <c r="R58" s="47" t="s">
        <v>866</v>
      </c>
      <c r="S58" s="47" t="s">
        <v>871</v>
      </c>
      <c r="T58" s="49" t="s">
        <v>886</v>
      </c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</row>
    <row r="59" ht="14.25" customHeight="1">
      <c r="A59" s="47" t="s">
        <v>153</v>
      </c>
      <c r="B59" s="47" t="s">
        <v>472</v>
      </c>
      <c r="C59" s="42" t="str">
        <f t="shared" si="1"/>
        <v>#N/A</v>
      </c>
      <c r="D59" s="47" t="s">
        <v>631</v>
      </c>
      <c r="E59" s="47">
        <v>757929.0</v>
      </c>
      <c r="F59" s="47" t="s">
        <v>134</v>
      </c>
      <c r="G59" s="47" t="s">
        <v>50</v>
      </c>
      <c r="H59" s="47" t="s">
        <v>599</v>
      </c>
      <c r="I59" s="47" t="s">
        <v>600</v>
      </c>
      <c r="J59" s="47" t="s">
        <v>717</v>
      </c>
      <c r="K59" s="48">
        <v>46082.0</v>
      </c>
      <c r="L59" s="47">
        <f t="shared" si="2"/>
        <v>6</v>
      </c>
      <c r="M59" s="43" t="s">
        <v>874</v>
      </c>
      <c r="N59" s="49">
        <v>2.51856742E8</v>
      </c>
      <c r="O59" s="41">
        <v>40.0</v>
      </c>
      <c r="P59" s="50">
        <v>0.24</v>
      </c>
      <c r="Q59" s="41">
        <v>9.6</v>
      </c>
      <c r="R59" s="47" t="s">
        <v>866</v>
      </c>
      <c r="S59" s="47" t="s">
        <v>882</v>
      </c>
      <c r="T59" s="49">
        <v>9213293.0</v>
      </c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</row>
    <row r="60" ht="14.25" customHeight="1">
      <c r="A60" s="47" t="s">
        <v>288</v>
      </c>
      <c r="B60" s="47" t="s">
        <v>289</v>
      </c>
      <c r="C60" s="42" t="str">
        <f t="shared" si="1"/>
        <v>#N/A</v>
      </c>
      <c r="D60" s="47" t="s">
        <v>819</v>
      </c>
      <c r="E60" s="47">
        <v>689390.0</v>
      </c>
      <c r="F60" s="47" t="s">
        <v>31</v>
      </c>
      <c r="G60" s="47" t="s">
        <v>86</v>
      </c>
      <c r="H60" s="47" t="s">
        <v>599</v>
      </c>
      <c r="I60" s="47" t="s">
        <v>600</v>
      </c>
      <c r="J60" s="47" t="s">
        <v>717</v>
      </c>
      <c r="K60" s="48">
        <v>46082.0</v>
      </c>
      <c r="L60" s="47">
        <f t="shared" si="2"/>
        <v>6</v>
      </c>
      <c r="M60" s="43" t="s">
        <v>874</v>
      </c>
      <c r="N60" s="49">
        <v>3.77078631E8</v>
      </c>
      <c r="O60" s="41">
        <v>65.0</v>
      </c>
      <c r="P60" s="50">
        <v>0.24</v>
      </c>
      <c r="Q60" s="41">
        <v>15.6</v>
      </c>
      <c r="R60" s="47" t="s">
        <v>866</v>
      </c>
      <c r="S60" s="47" t="s">
        <v>883</v>
      </c>
      <c r="T60" s="49">
        <v>1.7425766E7</v>
      </c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14.25" customHeight="1">
      <c r="A61" s="47" t="s">
        <v>456</v>
      </c>
      <c r="B61" s="47" t="s">
        <v>457</v>
      </c>
      <c r="C61" s="42" t="str">
        <f t="shared" si="1"/>
        <v>#N/A</v>
      </c>
      <c r="D61" s="47" t="s">
        <v>715</v>
      </c>
      <c r="E61" s="47">
        <v>689390.0</v>
      </c>
      <c r="F61" s="47" t="s">
        <v>31</v>
      </c>
      <c r="G61" s="47" t="s">
        <v>33</v>
      </c>
      <c r="H61" s="47" t="s">
        <v>599</v>
      </c>
      <c r="I61" s="47" t="s">
        <v>600</v>
      </c>
      <c r="J61" s="47" t="s">
        <v>717</v>
      </c>
      <c r="K61" s="48">
        <v>46082.0</v>
      </c>
      <c r="L61" s="47">
        <f t="shared" si="2"/>
        <v>6</v>
      </c>
      <c r="M61" s="43" t="s">
        <v>874</v>
      </c>
      <c r="N61" s="49">
        <v>4.37400223E8</v>
      </c>
      <c r="O61" s="41">
        <v>71.0</v>
      </c>
      <c r="P61" s="50">
        <v>0.24</v>
      </c>
      <c r="Q61" s="41">
        <v>17.04</v>
      </c>
      <c r="R61" s="47" t="s">
        <v>866</v>
      </c>
      <c r="S61" s="47" t="s">
        <v>883</v>
      </c>
      <c r="T61" s="49">
        <v>1.7425766E7</v>
      </c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</row>
    <row r="62" ht="14.25" customHeight="1">
      <c r="A62" s="47" t="s">
        <v>406</v>
      </c>
      <c r="B62" s="47" t="s">
        <v>407</v>
      </c>
      <c r="C62" s="42" t="str">
        <f t="shared" si="1"/>
        <v>#N/A</v>
      </c>
      <c r="D62" s="47" t="s">
        <v>611</v>
      </c>
      <c r="E62" s="47">
        <v>711419.0</v>
      </c>
      <c r="F62" s="47" t="s">
        <v>40</v>
      </c>
      <c r="G62" s="47" t="s">
        <v>42</v>
      </c>
      <c r="H62" s="47" t="s">
        <v>617</v>
      </c>
      <c r="I62" s="47" t="s">
        <v>618</v>
      </c>
      <c r="J62" s="47" t="s">
        <v>623</v>
      </c>
      <c r="K62" s="48">
        <v>46082.0</v>
      </c>
      <c r="L62" s="47">
        <f t="shared" si="2"/>
        <v>7</v>
      </c>
      <c r="M62" s="43" t="s">
        <v>874</v>
      </c>
      <c r="N62" s="49">
        <v>1.04547957E8</v>
      </c>
      <c r="O62" s="41">
        <v>0.6</v>
      </c>
      <c r="P62" s="50">
        <v>0.03</v>
      </c>
      <c r="Q62" s="41">
        <v>0.6</v>
      </c>
      <c r="R62" s="47" t="s">
        <v>879</v>
      </c>
      <c r="S62" s="47" t="s">
        <v>880</v>
      </c>
      <c r="T62" s="49">
        <v>2.0411454E7</v>
      </c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</row>
    <row r="63" ht="14.25" customHeight="1">
      <c r="A63" s="47" t="s">
        <v>390</v>
      </c>
      <c r="B63" s="47" t="s">
        <v>391</v>
      </c>
      <c r="C63" s="42" t="str">
        <f t="shared" si="1"/>
        <v>#N/A</v>
      </c>
      <c r="D63" s="47" t="s">
        <v>606</v>
      </c>
      <c r="E63" s="47">
        <v>798992.0</v>
      </c>
      <c r="F63" s="47" t="s">
        <v>90</v>
      </c>
      <c r="G63" s="47" t="s">
        <v>42</v>
      </c>
      <c r="H63" s="47" t="s">
        <v>617</v>
      </c>
      <c r="I63" s="47" t="s">
        <v>618</v>
      </c>
      <c r="J63" s="47" t="s">
        <v>623</v>
      </c>
      <c r="K63" s="48">
        <v>46082.0</v>
      </c>
      <c r="L63" s="47">
        <f t="shared" si="2"/>
        <v>7</v>
      </c>
      <c r="M63" s="43" t="s">
        <v>874</v>
      </c>
      <c r="N63" s="49">
        <v>6.81883972E8</v>
      </c>
      <c r="O63" s="41">
        <v>11.0</v>
      </c>
      <c r="P63" s="50">
        <v>0.37</v>
      </c>
      <c r="Q63" s="41">
        <v>4.07</v>
      </c>
      <c r="R63" s="47" t="s">
        <v>863</v>
      </c>
      <c r="S63" s="47" t="s">
        <v>871</v>
      </c>
      <c r="T63" s="49" t="s">
        <v>886</v>
      </c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</row>
    <row r="64" ht="14.25" customHeight="1">
      <c r="A64" s="47" t="s">
        <v>219</v>
      </c>
      <c r="B64" s="47" t="s">
        <v>220</v>
      </c>
      <c r="C64" s="42" t="str">
        <f t="shared" si="1"/>
        <v>#N/A</v>
      </c>
      <c r="D64" s="47" t="s">
        <v>606</v>
      </c>
      <c r="E64" s="47">
        <v>798992.0</v>
      </c>
      <c r="F64" s="47" t="s">
        <v>90</v>
      </c>
      <c r="G64" s="47" t="s">
        <v>42</v>
      </c>
      <c r="H64" s="47" t="s">
        <v>617</v>
      </c>
      <c r="I64" s="47" t="s">
        <v>618</v>
      </c>
      <c r="J64" s="47" t="s">
        <v>623</v>
      </c>
      <c r="K64" s="48">
        <v>46082.0</v>
      </c>
      <c r="L64" s="47">
        <f t="shared" si="2"/>
        <v>7</v>
      </c>
      <c r="M64" s="43" t="s">
        <v>874</v>
      </c>
      <c r="N64" s="49">
        <v>1.29241253E8</v>
      </c>
      <c r="O64" s="41">
        <v>11.0</v>
      </c>
      <c r="P64" s="50">
        <v>0.37</v>
      </c>
      <c r="Q64" s="41">
        <v>4.07</v>
      </c>
      <c r="R64" s="47" t="s">
        <v>863</v>
      </c>
      <c r="S64" s="47" t="s">
        <v>871</v>
      </c>
      <c r="T64" s="49" t="s">
        <v>886</v>
      </c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</row>
    <row r="65" ht="14.25" customHeight="1">
      <c r="A65" s="47" t="s">
        <v>233</v>
      </c>
      <c r="B65" s="47" t="s">
        <v>234</v>
      </c>
      <c r="C65" s="42" t="str">
        <f t="shared" si="1"/>
        <v>#N/A</v>
      </c>
      <c r="D65" s="47" t="s">
        <v>606</v>
      </c>
      <c r="E65" s="47">
        <v>798992.0</v>
      </c>
      <c r="F65" s="47" t="s">
        <v>90</v>
      </c>
      <c r="G65" s="47" t="s">
        <v>42</v>
      </c>
      <c r="H65" s="47" t="s">
        <v>617</v>
      </c>
      <c r="I65" s="47" t="s">
        <v>618</v>
      </c>
      <c r="J65" s="47" t="s">
        <v>623</v>
      </c>
      <c r="K65" s="48">
        <v>46082.0</v>
      </c>
      <c r="L65" s="47">
        <f t="shared" si="2"/>
        <v>7</v>
      </c>
      <c r="M65" s="43" t="s">
        <v>874</v>
      </c>
      <c r="N65" s="49">
        <v>4.08114059E8</v>
      </c>
      <c r="O65" s="41">
        <v>11.0</v>
      </c>
      <c r="P65" s="50">
        <v>0.37</v>
      </c>
      <c r="Q65" s="41">
        <v>4.07</v>
      </c>
      <c r="R65" s="47" t="s">
        <v>863</v>
      </c>
      <c r="S65" s="47" t="s">
        <v>871</v>
      </c>
      <c r="T65" s="49" t="s">
        <v>886</v>
      </c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</row>
    <row r="66" ht="14.25" customHeight="1">
      <c r="A66" s="47" t="s">
        <v>219</v>
      </c>
      <c r="B66" s="47" t="s">
        <v>220</v>
      </c>
      <c r="C66" s="42" t="str">
        <f t="shared" si="1"/>
        <v>#N/A</v>
      </c>
      <c r="D66" s="47" t="s">
        <v>606</v>
      </c>
      <c r="E66" s="47">
        <v>798992.0</v>
      </c>
      <c r="F66" s="47" t="s">
        <v>90</v>
      </c>
      <c r="G66" s="47" t="s">
        <v>119</v>
      </c>
      <c r="H66" s="47" t="s">
        <v>599</v>
      </c>
      <c r="I66" s="47" t="s">
        <v>600</v>
      </c>
      <c r="J66" s="47" t="s">
        <v>623</v>
      </c>
      <c r="K66" s="48">
        <v>46082.0</v>
      </c>
      <c r="L66" s="47">
        <f t="shared" si="2"/>
        <v>7</v>
      </c>
      <c r="M66" s="43" t="s">
        <v>874</v>
      </c>
      <c r="N66" s="49">
        <v>6.9052199E7</v>
      </c>
      <c r="O66" s="41">
        <v>27.0</v>
      </c>
      <c r="P66" s="50">
        <v>0.24</v>
      </c>
      <c r="Q66" s="41">
        <v>6.48</v>
      </c>
      <c r="R66" s="47" t="s">
        <v>866</v>
      </c>
      <c r="S66" s="47" t="s">
        <v>871</v>
      </c>
      <c r="T66" s="49" t="s">
        <v>886</v>
      </c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</row>
    <row r="67" ht="14.25" customHeight="1">
      <c r="A67" s="47" t="s">
        <v>241</v>
      </c>
      <c r="B67" s="47" t="s">
        <v>242</v>
      </c>
      <c r="C67" s="42" t="str">
        <f t="shared" si="1"/>
        <v>#N/A</v>
      </c>
      <c r="D67" s="47" t="s">
        <v>826</v>
      </c>
      <c r="E67" s="47">
        <v>711419.0</v>
      </c>
      <c r="F67" s="47" t="s">
        <v>40</v>
      </c>
      <c r="G67" s="47" t="s">
        <v>33</v>
      </c>
      <c r="H67" s="47" t="s">
        <v>599</v>
      </c>
      <c r="I67" s="47" t="s">
        <v>600</v>
      </c>
      <c r="J67" s="47" t="s">
        <v>734</v>
      </c>
      <c r="K67" s="48">
        <v>46082.0</v>
      </c>
      <c r="L67" s="47">
        <f t="shared" si="2"/>
        <v>10</v>
      </c>
      <c r="M67" s="43" t="s">
        <v>874</v>
      </c>
      <c r="N67" s="49">
        <v>9.0182E8</v>
      </c>
      <c r="O67" s="41">
        <v>4.29</v>
      </c>
      <c r="P67" s="50">
        <v>0.03</v>
      </c>
      <c r="Q67" s="41">
        <v>4.29</v>
      </c>
      <c r="R67" s="47" t="s">
        <v>879</v>
      </c>
      <c r="S67" s="47" t="s">
        <v>880</v>
      </c>
      <c r="T67" s="49">
        <v>2.0411454E7</v>
      </c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</row>
    <row r="68" ht="14.25" customHeight="1">
      <c r="A68" s="47" t="s">
        <v>179</v>
      </c>
      <c r="B68" s="47" t="s">
        <v>180</v>
      </c>
      <c r="C68" s="42" t="str">
        <f t="shared" si="1"/>
        <v>#N/A</v>
      </c>
      <c r="D68" s="47" t="s">
        <v>606</v>
      </c>
      <c r="E68" s="47">
        <v>707256.0</v>
      </c>
      <c r="F68" s="47" t="s">
        <v>181</v>
      </c>
      <c r="G68" s="47" t="s">
        <v>62</v>
      </c>
      <c r="H68" s="47" t="s">
        <v>599</v>
      </c>
      <c r="I68" s="47" t="s">
        <v>600</v>
      </c>
      <c r="J68" s="47" t="s">
        <v>633</v>
      </c>
      <c r="K68" s="48">
        <v>46082.0</v>
      </c>
      <c r="L68" s="47">
        <f t="shared" si="2"/>
        <v>11</v>
      </c>
      <c r="M68" s="43" t="s">
        <v>874</v>
      </c>
      <c r="N68" s="49">
        <v>4.1803109E8</v>
      </c>
      <c r="O68" s="41">
        <v>25.0</v>
      </c>
      <c r="P68" s="50">
        <v>0.32</v>
      </c>
      <c r="Q68" s="41">
        <v>8.0</v>
      </c>
      <c r="R68" s="47" t="s">
        <v>873</v>
      </c>
      <c r="S68" s="47" t="s">
        <v>887</v>
      </c>
      <c r="T68" s="49">
        <v>7387433.0</v>
      </c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</row>
    <row r="69" ht="14.25" customHeight="1">
      <c r="A69" s="47" t="s">
        <v>529</v>
      </c>
      <c r="B69" s="47" t="s">
        <v>530</v>
      </c>
      <c r="C69" s="42" t="str">
        <f t="shared" si="1"/>
        <v>#N/A</v>
      </c>
      <c r="D69" s="47" t="s">
        <v>606</v>
      </c>
      <c r="E69" s="47">
        <v>678726.0</v>
      </c>
      <c r="F69" s="47" t="s">
        <v>60</v>
      </c>
      <c r="G69" s="47" t="s">
        <v>42</v>
      </c>
      <c r="H69" s="47" t="s">
        <v>617</v>
      </c>
      <c r="I69" s="47" t="s">
        <v>618</v>
      </c>
      <c r="J69" s="47" t="s">
        <v>628</v>
      </c>
      <c r="K69" s="48">
        <v>46082.0</v>
      </c>
      <c r="L69" s="47">
        <f t="shared" si="2"/>
        <v>12</v>
      </c>
      <c r="M69" s="43" t="s">
        <v>874</v>
      </c>
      <c r="N69" s="49">
        <v>5.26763175E8</v>
      </c>
      <c r="O69" s="41">
        <v>11.0</v>
      </c>
      <c r="P69" s="50">
        <v>0.37</v>
      </c>
      <c r="Q69" s="41">
        <v>4.07</v>
      </c>
      <c r="R69" s="47" t="s">
        <v>863</v>
      </c>
      <c r="S69" s="47" t="s">
        <v>867</v>
      </c>
      <c r="T69" s="49">
        <v>1.6202925E7</v>
      </c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</row>
    <row r="70" ht="14.25" customHeight="1">
      <c r="A70" s="47" t="s">
        <v>534</v>
      </c>
      <c r="B70" s="47" t="s">
        <v>535</v>
      </c>
      <c r="C70" s="42" t="str">
        <f t="shared" si="1"/>
        <v>#N/A</v>
      </c>
      <c r="D70" s="47" t="s">
        <v>606</v>
      </c>
      <c r="E70" s="47">
        <v>798992.0</v>
      </c>
      <c r="F70" s="47" t="s">
        <v>90</v>
      </c>
      <c r="G70" s="47" t="s">
        <v>62</v>
      </c>
      <c r="H70" s="47" t="s">
        <v>599</v>
      </c>
      <c r="I70" s="47" t="s">
        <v>600</v>
      </c>
      <c r="J70" s="47" t="s">
        <v>628</v>
      </c>
      <c r="K70" s="48">
        <v>46082.0</v>
      </c>
      <c r="L70" s="47">
        <f t="shared" si="2"/>
        <v>12</v>
      </c>
      <c r="M70" s="43" t="s">
        <v>874</v>
      </c>
      <c r="N70" s="49">
        <v>3.89218592E8</v>
      </c>
      <c r="O70" s="41">
        <v>25.0</v>
      </c>
      <c r="P70" s="50">
        <v>0.32</v>
      </c>
      <c r="Q70" s="41">
        <v>8.0</v>
      </c>
      <c r="R70" s="47" t="s">
        <v>873</v>
      </c>
      <c r="S70" s="47" t="s">
        <v>871</v>
      </c>
      <c r="T70" s="49" t="s">
        <v>886</v>
      </c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</row>
    <row r="71" ht="14.25" customHeight="1">
      <c r="A71" s="47" t="s">
        <v>415</v>
      </c>
      <c r="B71" s="47" t="s">
        <v>416</v>
      </c>
      <c r="C71" s="42" t="str">
        <f t="shared" si="1"/>
        <v>#N/A</v>
      </c>
      <c r="D71" s="47" t="s">
        <v>606</v>
      </c>
      <c r="E71" s="47">
        <v>678726.0</v>
      </c>
      <c r="F71" s="47" t="s">
        <v>60</v>
      </c>
      <c r="G71" s="47" t="s">
        <v>62</v>
      </c>
      <c r="H71" s="47" t="s">
        <v>599</v>
      </c>
      <c r="I71" s="47" t="s">
        <v>600</v>
      </c>
      <c r="J71" s="47" t="s">
        <v>628</v>
      </c>
      <c r="K71" s="48">
        <v>46082.0</v>
      </c>
      <c r="L71" s="47">
        <f t="shared" si="2"/>
        <v>12</v>
      </c>
      <c r="M71" s="43" t="s">
        <v>874</v>
      </c>
      <c r="N71" s="49">
        <v>3.84431357E8</v>
      </c>
      <c r="O71" s="41">
        <v>25.0</v>
      </c>
      <c r="P71" s="50">
        <v>0.32</v>
      </c>
      <c r="Q71" s="41">
        <v>8.0</v>
      </c>
      <c r="R71" s="47" t="s">
        <v>873</v>
      </c>
      <c r="S71" s="47" t="s">
        <v>867</v>
      </c>
      <c r="T71" s="49">
        <v>1.6202925E7</v>
      </c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</row>
    <row r="72" ht="14.25" customHeight="1">
      <c r="A72" s="47" t="s">
        <v>328</v>
      </c>
      <c r="B72" s="47" t="s">
        <v>541</v>
      </c>
      <c r="C72" s="42" t="str">
        <f t="shared" si="1"/>
        <v>#N/A</v>
      </c>
      <c r="D72" s="47" t="s">
        <v>606</v>
      </c>
      <c r="E72" s="47">
        <v>678726.0</v>
      </c>
      <c r="F72" s="47" t="s">
        <v>60</v>
      </c>
      <c r="G72" s="47" t="s">
        <v>62</v>
      </c>
      <c r="H72" s="47" t="s">
        <v>599</v>
      </c>
      <c r="I72" s="47" t="s">
        <v>600</v>
      </c>
      <c r="J72" s="47" t="s">
        <v>628</v>
      </c>
      <c r="K72" s="48">
        <v>46082.0</v>
      </c>
      <c r="L72" s="47">
        <f t="shared" si="2"/>
        <v>12</v>
      </c>
      <c r="M72" s="43" t="s">
        <v>874</v>
      </c>
      <c r="N72" s="49">
        <v>1.38655428E8</v>
      </c>
      <c r="O72" s="41">
        <v>25.0</v>
      </c>
      <c r="P72" s="50">
        <v>0.32</v>
      </c>
      <c r="Q72" s="41">
        <v>8.0</v>
      </c>
      <c r="R72" s="47" t="s">
        <v>873</v>
      </c>
      <c r="S72" s="47" t="s">
        <v>867</v>
      </c>
      <c r="T72" s="49">
        <v>1.6202925E7</v>
      </c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</row>
    <row r="73" ht="14.25" customHeight="1">
      <c r="A73" s="47" t="s">
        <v>511</v>
      </c>
      <c r="B73" s="47" t="s">
        <v>512</v>
      </c>
      <c r="C73" s="42" t="str">
        <f t="shared" si="1"/>
        <v>#N/A</v>
      </c>
      <c r="D73" s="47" t="s">
        <v>611</v>
      </c>
      <c r="E73" s="47">
        <v>689390.0</v>
      </c>
      <c r="F73" s="47" t="s">
        <v>31</v>
      </c>
      <c r="G73" s="47" t="s">
        <v>62</v>
      </c>
      <c r="H73" s="47" t="s">
        <v>599</v>
      </c>
      <c r="I73" s="47" t="s">
        <v>600</v>
      </c>
      <c r="J73" s="47" t="s">
        <v>628</v>
      </c>
      <c r="K73" s="48">
        <v>46082.0</v>
      </c>
      <c r="L73" s="47">
        <f t="shared" si="2"/>
        <v>12</v>
      </c>
      <c r="M73" s="43" t="s">
        <v>874</v>
      </c>
      <c r="N73" s="49">
        <v>5.88549415E8</v>
      </c>
      <c r="O73" s="41">
        <v>30.0</v>
      </c>
      <c r="P73" s="50">
        <v>0.32</v>
      </c>
      <c r="Q73" s="41">
        <v>9.6</v>
      </c>
      <c r="R73" s="47" t="s">
        <v>873</v>
      </c>
      <c r="S73" s="47" t="s">
        <v>883</v>
      </c>
      <c r="T73" s="49">
        <v>1.7425766E7</v>
      </c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</row>
    <row r="74" ht="14.25" customHeight="1">
      <c r="A74" s="47" t="s">
        <v>121</v>
      </c>
      <c r="B74" s="47" t="s">
        <v>122</v>
      </c>
      <c r="C74" s="42" t="str">
        <f t="shared" si="1"/>
        <v>#N/A</v>
      </c>
      <c r="D74" s="47" t="s">
        <v>606</v>
      </c>
      <c r="E74" s="47">
        <v>798992.0</v>
      </c>
      <c r="F74" s="47" t="s">
        <v>90</v>
      </c>
      <c r="G74" s="47" t="s">
        <v>62</v>
      </c>
      <c r="H74" s="47" t="s">
        <v>599</v>
      </c>
      <c r="I74" s="47" t="s">
        <v>600</v>
      </c>
      <c r="J74" s="47" t="s">
        <v>638</v>
      </c>
      <c r="K74" s="48">
        <v>46082.0</v>
      </c>
      <c r="L74" s="47">
        <f t="shared" si="2"/>
        <v>13</v>
      </c>
      <c r="M74" s="43" t="s">
        <v>874</v>
      </c>
      <c r="N74" s="49">
        <v>8.96294214E8</v>
      </c>
      <c r="O74" s="41">
        <v>25.0</v>
      </c>
      <c r="P74" s="50">
        <v>0.32</v>
      </c>
      <c r="Q74" s="41">
        <v>8.0</v>
      </c>
      <c r="R74" s="47" t="s">
        <v>873</v>
      </c>
      <c r="S74" s="47" t="s">
        <v>871</v>
      </c>
      <c r="T74" s="49" t="s">
        <v>886</v>
      </c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</row>
    <row r="75" ht="14.25" customHeight="1">
      <c r="A75" s="47" t="s">
        <v>429</v>
      </c>
      <c r="B75" s="47" t="s">
        <v>430</v>
      </c>
      <c r="C75" s="42" t="str">
        <f t="shared" si="1"/>
        <v>#N/A</v>
      </c>
      <c r="D75" s="47" t="s">
        <v>596</v>
      </c>
      <c r="E75" s="47">
        <v>749876.0</v>
      </c>
      <c r="F75" s="47" t="s">
        <v>431</v>
      </c>
      <c r="G75" s="47" t="s">
        <v>62</v>
      </c>
      <c r="H75" s="47" t="s">
        <v>599</v>
      </c>
      <c r="I75" s="47" t="s">
        <v>600</v>
      </c>
      <c r="J75" s="47" t="s">
        <v>638</v>
      </c>
      <c r="K75" s="48">
        <v>46082.0</v>
      </c>
      <c r="L75" s="47">
        <f t="shared" si="2"/>
        <v>13</v>
      </c>
      <c r="M75" s="43" t="s">
        <v>874</v>
      </c>
      <c r="N75" s="49">
        <v>1.76713886E8</v>
      </c>
      <c r="O75" s="41">
        <v>25.0</v>
      </c>
      <c r="P75" s="50">
        <v>0.32</v>
      </c>
      <c r="Q75" s="41">
        <v>8.0</v>
      </c>
      <c r="R75" s="47" t="s">
        <v>873</v>
      </c>
      <c r="S75" s="47" t="s">
        <v>888</v>
      </c>
      <c r="T75" s="49" t="s">
        <v>889</v>
      </c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</row>
    <row r="76" ht="14.25" customHeight="1">
      <c r="A76" s="47" t="s">
        <v>443</v>
      </c>
      <c r="B76" s="47" t="s">
        <v>444</v>
      </c>
      <c r="C76" s="42" t="str">
        <f t="shared" si="1"/>
        <v>#N/A</v>
      </c>
      <c r="D76" s="47" t="s">
        <v>606</v>
      </c>
      <c r="E76" s="47">
        <v>678726.0</v>
      </c>
      <c r="F76" s="47" t="s">
        <v>60</v>
      </c>
      <c r="G76" s="47" t="s">
        <v>62</v>
      </c>
      <c r="H76" s="47" t="s">
        <v>599</v>
      </c>
      <c r="I76" s="47" t="s">
        <v>600</v>
      </c>
      <c r="J76" s="47" t="s">
        <v>638</v>
      </c>
      <c r="K76" s="48">
        <v>46082.0</v>
      </c>
      <c r="L76" s="47">
        <f t="shared" si="2"/>
        <v>13</v>
      </c>
      <c r="M76" s="43" t="s">
        <v>874</v>
      </c>
      <c r="N76" s="49">
        <v>5.71135014E8</v>
      </c>
      <c r="O76" s="41">
        <v>25.0</v>
      </c>
      <c r="P76" s="50">
        <v>0.32</v>
      </c>
      <c r="Q76" s="41">
        <v>8.0</v>
      </c>
      <c r="R76" s="47" t="s">
        <v>873</v>
      </c>
      <c r="S76" s="47" t="s">
        <v>867</v>
      </c>
      <c r="T76" s="49">
        <v>1.6202925E7</v>
      </c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</row>
    <row r="77" ht="14.25" customHeight="1">
      <c r="A77" s="47" t="s">
        <v>214</v>
      </c>
      <c r="B77" s="47" t="s">
        <v>215</v>
      </c>
      <c r="C77" s="42" t="str">
        <f t="shared" si="1"/>
        <v>#N/A</v>
      </c>
      <c r="D77" s="47" t="s">
        <v>606</v>
      </c>
      <c r="E77" s="47">
        <v>678726.0</v>
      </c>
      <c r="F77" s="47" t="s">
        <v>60</v>
      </c>
      <c r="G77" s="47" t="s">
        <v>62</v>
      </c>
      <c r="H77" s="47" t="s">
        <v>599</v>
      </c>
      <c r="I77" s="47" t="s">
        <v>600</v>
      </c>
      <c r="J77" s="47" t="s">
        <v>638</v>
      </c>
      <c r="K77" s="48">
        <v>46082.0</v>
      </c>
      <c r="L77" s="47">
        <f t="shared" si="2"/>
        <v>13</v>
      </c>
      <c r="M77" s="43" t="s">
        <v>874</v>
      </c>
      <c r="N77" s="49">
        <v>2.98408887E8</v>
      </c>
      <c r="O77" s="41">
        <v>30.0</v>
      </c>
      <c r="P77" s="50">
        <v>0.32</v>
      </c>
      <c r="Q77" s="41">
        <v>9.6</v>
      </c>
      <c r="R77" s="47" t="s">
        <v>873</v>
      </c>
      <c r="S77" s="47" t="s">
        <v>867</v>
      </c>
      <c r="T77" s="49">
        <v>1.6202925E7</v>
      </c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</row>
    <row r="78" ht="14.25" customHeight="1">
      <c r="A78" s="47" t="s">
        <v>357</v>
      </c>
      <c r="B78" s="47" t="s">
        <v>358</v>
      </c>
      <c r="C78" s="42" t="str">
        <f t="shared" si="1"/>
        <v>#N/A</v>
      </c>
      <c r="D78" s="47" t="s">
        <v>606</v>
      </c>
      <c r="E78" s="47">
        <v>798992.0</v>
      </c>
      <c r="F78" s="47" t="s">
        <v>90</v>
      </c>
      <c r="G78" s="47" t="s">
        <v>62</v>
      </c>
      <c r="H78" s="47" t="s">
        <v>599</v>
      </c>
      <c r="I78" s="47" t="s">
        <v>600</v>
      </c>
      <c r="J78" s="47" t="s">
        <v>660</v>
      </c>
      <c r="K78" s="48">
        <v>46082.0</v>
      </c>
      <c r="L78" s="47">
        <f t="shared" si="2"/>
        <v>14</v>
      </c>
      <c r="M78" s="43" t="s">
        <v>874</v>
      </c>
      <c r="N78" s="49">
        <v>2.30444946E8</v>
      </c>
      <c r="O78" s="41">
        <v>-25.0</v>
      </c>
      <c r="P78" s="50">
        <v>0.32</v>
      </c>
      <c r="Q78" s="41">
        <v>-8.0</v>
      </c>
      <c r="R78" s="47" t="s">
        <v>873</v>
      </c>
      <c r="S78" s="47" t="s">
        <v>871</v>
      </c>
      <c r="T78" s="49" t="s">
        <v>886</v>
      </c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</row>
    <row r="79" ht="14.25" customHeight="1">
      <c r="A79" s="47" t="s">
        <v>88</v>
      </c>
      <c r="B79" s="47" t="s">
        <v>89</v>
      </c>
      <c r="C79" s="42" t="str">
        <f t="shared" si="1"/>
        <v>#N/A</v>
      </c>
      <c r="D79" s="47" t="s">
        <v>606</v>
      </c>
      <c r="E79" s="47">
        <v>798992.0</v>
      </c>
      <c r="F79" s="47" t="s">
        <v>90</v>
      </c>
      <c r="G79" s="47" t="s">
        <v>42</v>
      </c>
      <c r="H79" s="47" t="s">
        <v>617</v>
      </c>
      <c r="I79" s="47" t="s">
        <v>618</v>
      </c>
      <c r="J79" s="47" t="s">
        <v>660</v>
      </c>
      <c r="K79" s="48">
        <v>46082.0</v>
      </c>
      <c r="L79" s="47">
        <f t="shared" si="2"/>
        <v>14</v>
      </c>
      <c r="M79" s="43" t="s">
        <v>874</v>
      </c>
      <c r="N79" s="49">
        <v>2.45549848E8</v>
      </c>
      <c r="O79" s="41">
        <v>11.0</v>
      </c>
      <c r="P79" s="50">
        <v>0.37</v>
      </c>
      <c r="Q79" s="41">
        <v>4.07</v>
      </c>
      <c r="R79" s="47" t="s">
        <v>863</v>
      </c>
      <c r="S79" s="47" t="s">
        <v>871</v>
      </c>
      <c r="T79" s="49" t="s">
        <v>886</v>
      </c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</row>
    <row r="80" ht="14.25" customHeight="1">
      <c r="A80" s="47" t="s">
        <v>302</v>
      </c>
      <c r="B80" s="47" t="s">
        <v>303</v>
      </c>
      <c r="C80" s="42" t="str">
        <f t="shared" si="1"/>
        <v>#N/A</v>
      </c>
      <c r="D80" s="47" t="s">
        <v>606</v>
      </c>
      <c r="E80" s="47">
        <v>678726.0</v>
      </c>
      <c r="F80" s="47" t="s">
        <v>60</v>
      </c>
      <c r="G80" s="47" t="s">
        <v>42</v>
      </c>
      <c r="H80" s="47" t="s">
        <v>617</v>
      </c>
      <c r="I80" s="47" t="s">
        <v>618</v>
      </c>
      <c r="J80" s="47" t="s">
        <v>660</v>
      </c>
      <c r="K80" s="48">
        <v>46082.0</v>
      </c>
      <c r="L80" s="47">
        <f t="shared" si="2"/>
        <v>14</v>
      </c>
      <c r="M80" s="43" t="s">
        <v>874</v>
      </c>
      <c r="N80" s="49">
        <v>6.9819315E8</v>
      </c>
      <c r="O80" s="41">
        <v>11.0</v>
      </c>
      <c r="P80" s="50">
        <v>0.37</v>
      </c>
      <c r="Q80" s="41">
        <v>4.07</v>
      </c>
      <c r="R80" s="47" t="s">
        <v>863</v>
      </c>
      <c r="S80" s="47" t="s">
        <v>867</v>
      </c>
      <c r="T80" s="49">
        <v>1.6202925E7</v>
      </c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</row>
    <row r="81" ht="14.25" customHeight="1">
      <c r="A81" s="47" t="s">
        <v>549</v>
      </c>
      <c r="B81" s="47" t="s">
        <v>550</v>
      </c>
      <c r="C81" s="42" t="str">
        <f t="shared" si="1"/>
        <v>#N/A</v>
      </c>
      <c r="D81" s="47" t="s">
        <v>631</v>
      </c>
      <c r="E81" s="47">
        <v>757209.0</v>
      </c>
      <c r="F81" s="47" t="s">
        <v>150</v>
      </c>
      <c r="G81" s="47" t="s">
        <v>42</v>
      </c>
      <c r="H81" s="47" t="s">
        <v>617</v>
      </c>
      <c r="I81" s="47" t="s">
        <v>618</v>
      </c>
      <c r="J81" s="47" t="s">
        <v>660</v>
      </c>
      <c r="K81" s="48">
        <v>46082.0</v>
      </c>
      <c r="L81" s="47">
        <f t="shared" si="2"/>
        <v>14</v>
      </c>
      <c r="M81" s="43" t="s">
        <v>874</v>
      </c>
      <c r="N81" s="49">
        <v>9.90327518E8</v>
      </c>
      <c r="O81" s="41">
        <v>15.0</v>
      </c>
      <c r="P81" s="50">
        <v>0.37</v>
      </c>
      <c r="Q81" s="41">
        <v>5.55</v>
      </c>
      <c r="R81" s="47" t="s">
        <v>863</v>
      </c>
      <c r="S81" s="47" t="s">
        <v>890</v>
      </c>
      <c r="T81" s="49">
        <v>8244481.0</v>
      </c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</row>
    <row r="82" ht="14.25" customHeight="1">
      <c r="A82" s="47" t="s">
        <v>185</v>
      </c>
      <c r="B82" s="47" t="s">
        <v>186</v>
      </c>
      <c r="C82" s="42" t="str">
        <f t="shared" si="1"/>
        <v>#N/A</v>
      </c>
      <c r="D82" s="47" t="s">
        <v>606</v>
      </c>
      <c r="E82" s="47">
        <v>706472.0</v>
      </c>
      <c r="F82" s="47" t="s">
        <v>187</v>
      </c>
      <c r="G82" s="47" t="s">
        <v>62</v>
      </c>
      <c r="H82" s="47" t="s">
        <v>599</v>
      </c>
      <c r="I82" s="47" t="s">
        <v>600</v>
      </c>
      <c r="J82" s="47" t="s">
        <v>660</v>
      </c>
      <c r="K82" s="48">
        <v>46082.0</v>
      </c>
      <c r="L82" s="47">
        <f t="shared" si="2"/>
        <v>14</v>
      </c>
      <c r="M82" s="43" t="s">
        <v>874</v>
      </c>
      <c r="N82" s="49">
        <v>5.8861441E7</v>
      </c>
      <c r="O82" s="41">
        <v>25.0</v>
      </c>
      <c r="P82" s="50">
        <v>0.32</v>
      </c>
      <c r="Q82" s="41">
        <v>8.0</v>
      </c>
      <c r="R82" s="47" t="s">
        <v>873</v>
      </c>
      <c r="S82" s="47" t="s">
        <v>891</v>
      </c>
      <c r="T82" s="49">
        <v>1.719562E7</v>
      </c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</row>
    <row r="83" ht="14.25" customHeight="1">
      <c r="A83" s="47" t="s">
        <v>357</v>
      </c>
      <c r="B83" s="47" t="s">
        <v>358</v>
      </c>
      <c r="C83" s="42" t="str">
        <f t="shared" si="1"/>
        <v>#N/A</v>
      </c>
      <c r="D83" s="47" t="s">
        <v>606</v>
      </c>
      <c r="E83" s="47">
        <v>798992.0</v>
      </c>
      <c r="F83" s="47" t="s">
        <v>90</v>
      </c>
      <c r="G83" s="47" t="s">
        <v>62</v>
      </c>
      <c r="H83" s="47" t="s">
        <v>599</v>
      </c>
      <c r="I83" s="47" t="s">
        <v>600</v>
      </c>
      <c r="J83" s="47" t="s">
        <v>660</v>
      </c>
      <c r="K83" s="48">
        <v>46082.0</v>
      </c>
      <c r="L83" s="47">
        <f t="shared" si="2"/>
        <v>14</v>
      </c>
      <c r="M83" s="43" t="s">
        <v>874</v>
      </c>
      <c r="N83" s="49">
        <v>2.30444946E8</v>
      </c>
      <c r="O83" s="41">
        <v>25.0</v>
      </c>
      <c r="P83" s="50">
        <v>0.32</v>
      </c>
      <c r="Q83" s="41">
        <v>8.0</v>
      </c>
      <c r="R83" s="47" t="s">
        <v>873</v>
      </c>
      <c r="S83" s="47" t="s">
        <v>871</v>
      </c>
      <c r="T83" s="49" t="s">
        <v>886</v>
      </c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</row>
    <row r="84" ht="14.25" customHeight="1">
      <c r="A84" s="47" t="s">
        <v>357</v>
      </c>
      <c r="B84" s="47" t="s">
        <v>358</v>
      </c>
      <c r="C84" s="42" t="str">
        <f t="shared" si="1"/>
        <v>#N/A</v>
      </c>
      <c r="D84" s="47" t="s">
        <v>606</v>
      </c>
      <c r="E84" s="47">
        <v>798992.0</v>
      </c>
      <c r="F84" s="47" t="s">
        <v>90</v>
      </c>
      <c r="G84" s="47" t="s">
        <v>62</v>
      </c>
      <c r="H84" s="47" t="s">
        <v>599</v>
      </c>
      <c r="I84" s="47" t="s">
        <v>600</v>
      </c>
      <c r="J84" s="47" t="s">
        <v>660</v>
      </c>
      <c r="K84" s="48">
        <v>46082.0</v>
      </c>
      <c r="L84" s="47">
        <f t="shared" si="2"/>
        <v>14</v>
      </c>
      <c r="M84" s="43" t="s">
        <v>874</v>
      </c>
      <c r="N84" s="49">
        <v>2.30444946E8</v>
      </c>
      <c r="O84" s="41">
        <v>25.0</v>
      </c>
      <c r="P84" s="50">
        <v>0.32</v>
      </c>
      <c r="Q84" s="41">
        <v>8.0</v>
      </c>
      <c r="R84" s="47" t="s">
        <v>873</v>
      </c>
      <c r="S84" s="47" t="s">
        <v>871</v>
      </c>
      <c r="T84" s="49" t="s">
        <v>886</v>
      </c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</row>
    <row r="85" ht="14.25" customHeight="1">
      <c r="A85" s="47" t="s">
        <v>557</v>
      </c>
      <c r="B85" s="47" t="s">
        <v>558</v>
      </c>
      <c r="C85" s="42" t="str">
        <f t="shared" si="1"/>
        <v>#N/A</v>
      </c>
      <c r="D85" s="47" t="s">
        <v>606</v>
      </c>
      <c r="E85" s="47">
        <v>678726.0</v>
      </c>
      <c r="F85" s="47" t="s">
        <v>60</v>
      </c>
      <c r="G85" s="47" t="s">
        <v>62</v>
      </c>
      <c r="H85" s="47" t="s">
        <v>599</v>
      </c>
      <c r="I85" s="47" t="s">
        <v>600</v>
      </c>
      <c r="J85" s="47" t="s">
        <v>660</v>
      </c>
      <c r="K85" s="48">
        <v>46082.0</v>
      </c>
      <c r="L85" s="47">
        <f t="shared" si="2"/>
        <v>14</v>
      </c>
      <c r="M85" s="43" t="s">
        <v>874</v>
      </c>
      <c r="N85" s="49">
        <v>4.98487989E8</v>
      </c>
      <c r="O85" s="41">
        <v>25.0</v>
      </c>
      <c r="P85" s="50">
        <v>0.32</v>
      </c>
      <c r="Q85" s="41">
        <v>8.0</v>
      </c>
      <c r="R85" s="47" t="s">
        <v>873</v>
      </c>
      <c r="S85" s="47" t="s">
        <v>867</v>
      </c>
      <c r="T85" s="49">
        <v>1.6202925E7</v>
      </c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</row>
    <row r="86" ht="14.25" customHeight="1">
      <c r="A86" s="47" t="s">
        <v>138</v>
      </c>
      <c r="B86" s="47" t="s">
        <v>139</v>
      </c>
      <c r="C86" s="42" t="str">
        <f t="shared" si="1"/>
        <v>#N/A</v>
      </c>
      <c r="D86" s="47" t="s">
        <v>606</v>
      </c>
      <c r="E86" s="47">
        <v>678726.0</v>
      </c>
      <c r="F86" s="47" t="s">
        <v>60</v>
      </c>
      <c r="G86" s="47" t="s">
        <v>62</v>
      </c>
      <c r="H86" s="47" t="s">
        <v>599</v>
      </c>
      <c r="I86" s="47" t="s">
        <v>600</v>
      </c>
      <c r="J86" s="47" t="s">
        <v>660</v>
      </c>
      <c r="K86" s="48">
        <v>46082.0</v>
      </c>
      <c r="L86" s="47">
        <f t="shared" si="2"/>
        <v>14</v>
      </c>
      <c r="M86" s="43" t="s">
        <v>874</v>
      </c>
      <c r="N86" s="49">
        <v>4.78183816E8</v>
      </c>
      <c r="O86" s="41">
        <v>25.0</v>
      </c>
      <c r="P86" s="50">
        <v>0.32</v>
      </c>
      <c r="Q86" s="41">
        <v>8.0</v>
      </c>
      <c r="R86" s="47" t="s">
        <v>873</v>
      </c>
      <c r="S86" s="47" t="s">
        <v>867</v>
      </c>
      <c r="T86" s="49">
        <v>1.6202925E7</v>
      </c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</row>
    <row r="87" ht="14.25" customHeight="1">
      <c r="A87" s="47" t="s">
        <v>252</v>
      </c>
      <c r="B87" s="47" t="s">
        <v>253</v>
      </c>
      <c r="C87" s="42" t="str">
        <f t="shared" si="1"/>
        <v>#N/A</v>
      </c>
      <c r="D87" s="47" t="s">
        <v>606</v>
      </c>
      <c r="E87" s="47">
        <v>678726.0</v>
      </c>
      <c r="F87" s="47" t="s">
        <v>60</v>
      </c>
      <c r="G87" s="47" t="s">
        <v>62</v>
      </c>
      <c r="H87" s="47" t="s">
        <v>599</v>
      </c>
      <c r="I87" s="47" t="s">
        <v>600</v>
      </c>
      <c r="J87" s="47" t="s">
        <v>660</v>
      </c>
      <c r="K87" s="48">
        <v>46082.0</v>
      </c>
      <c r="L87" s="47">
        <f t="shared" si="2"/>
        <v>14</v>
      </c>
      <c r="M87" s="43" t="s">
        <v>874</v>
      </c>
      <c r="N87" s="49">
        <v>6.99319353E8</v>
      </c>
      <c r="O87" s="41">
        <v>25.0</v>
      </c>
      <c r="P87" s="50">
        <v>0.32</v>
      </c>
      <c r="Q87" s="41">
        <v>8.0</v>
      </c>
      <c r="R87" s="47" t="s">
        <v>873</v>
      </c>
      <c r="S87" s="47" t="s">
        <v>867</v>
      </c>
      <c r="T87" s="49">
        <v>1.6202925E7</v>
      </c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</row>
    <row r="88" ht="14.25" customHeight="1">
      <c r="A88" s="47" t="s">
        <v>88</v>
      </c>
      <c r="B88" s="47" t="s">
        <v>89</v>
      </c>
      <c r="C88" s="42" t="str">
        <f t="shared" si="1"/>
        <v>#N/A</v>
      </c>
      <c r="D88" s="47" t="s">
        <v>606</v>
      </c>
      <c r="E88" s="47">
        <v>798992.0</v>
      </c>
      <c r="F88" s="47" t="s">
        <v>90</v>
      </c>
      <c r="G88" s="47" t="s">
        <v>62</v>
      </c>
      <c r="H88" s="47" t="s">
        <v>599</v>
      </c>
      <c r="I88" s="47" t="s">
        <v>600</v>
      </c>
      <c r="J88" s="47" t="s">
        <v>660</v>
      </c>
      <c r="K88" s="48">
        <v>46082.0</v>
      </c>
      <c r="L88" s="47">
        <f t="shared" si="2"/>
        <v>14</v>
      </c>
      <c r="M88" s="43" t="s">
        <v>874</v>
      </c>
      <c r="N88" s="49">
        <v>9.84523223E8</v>
      </c>
      <c r="O88" s="41">
        <v>30.0</v>
      </c>
      <c r="P88" s="50">
        <v>0.32</v>
      </c>
      <c r="Q88" s="41">
        <v>9.6</v>
      </c>
      <c r="R88" s="47" t="s">
        <v>873</v>
      </c>
      <c r="S88" s="47" t="s">
        <v>871</v>
      </c>
      <c r="T88" s="49" t="s">
        <v>886</v>
      </c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</row>
    <row r="89" ht="14.25" customHeight="1">
      <c r="A89" s="47" t="s">
        <v>169</v>
      </c>
      <c r="B89" s="47" t="s">
        <v>170</v>
      </c>
      <c r="C89" s="42" t="str">
        <f t="shared" si="1"/>
        <v>#N/A</v>
      </c>
      <c r="D89" s="47" t="s">
        <v>606</v>
      </c>
      <c r="E89" s="47">
        <v>798992.0</v>
      </c>
      <c r="F89" s="47" t="s">
        <v>90</v>
      </c>
      <c r="G89" s="47" t="s">
        <v>33</v>
      </c>
      <c r="H89" s="47" t="s">
        <v>599</v>
      </c>
      <c r="I89" s="47" t="s">
        <v>600</v>
      </c>
      <c r="J89" s="47" t="s">
        <v>660</v>
      </c>
      <c r="K89" s="48">
        <v>46082.0</v>
      </c>
      <c r="L89" s="47">
        <f t="shared" si="2"/>
        <v>14</v>
      </c>
      <c r="M89" s="43" t="s">
        <v>874</v>
      </c>
      <c r="N89" s="49">
        <v>9.75782157E8</v>
      </c>
      <c r="O89" s="41">
        <v>66.0</v>
      </c>
      <c r="P89" s="50">
        <v>0.24</v>
      </c>
      <c r="Q89" s="41">
        <v>15.84</v>
      </c>
      <c r="R89" s="47" t="s">
        <v>866</v>
      </c>
      <c r="S89" s="47" t="s">
        <v>871</v>
      </c>
      <c r="T89" s="49" t="s">
        <v>886</v>
      </c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</row>
    <row r="90" ht="14.25" customHeight="1">
      <c r="A90" s="47" t="s">
        <v>494</v>
      </c>
      <c r="B90" s="47" t="s">
        <v>495</v>
      </c>
      <c r="C90" s="42" t="str">
        <f t="shared" si="1"/>
        <v>#N/A</v>
      </c>
      <c r="D90" s="47" t="s">
        <v>606</v>
      </c>
      <c r="E90" s="47">
        <v>706472.0</v>
      </c>
      <c r="F90" s="47" t="s">
        <v>187</v>
      </c>
      <c r="G90" s="47" t="s">
        <v>62</v>
      </c>
      <c r="H90" s="47" t="s">
        <v>599</v>
      </c>
      <c r="I90" s="47" t="s">
        <v>600</v>
      </c>
      <c r="J90" s="47" t="s">
        <v>660</v>
      </c>
      <c r="K90" s="48">
        <v>46082.0</v>
      </c>
      <c r="L90" s="47">
        <f t="shared" si="2"/>
        <v>14</v>
      </c>
      <c r="M90" s="43" t="s">
        <v>874</v>
      </c>
      <c r="N90" s="49">
        <v>9.5451888E8</v>
      </c>
      <c r="O90" s="41">
        <v>50.0</v>
      </c>
      <c r="P90" s="50">
        <v>0.32</v>
      </c>
      <c r="Q90" s="41">
        <v>16.0</v>
      </c>
      <c r="R90" s="47" t="s">
        <v>873</v>
      </c>
      <c r="S90" s="47" t="s">
        <v>891</v>
      </c>
      <c r="T90" s="49">
        <v>1.719562E7</v>
      </c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</row>
    <row r="91" ht="14.25" customHeight="1">
      <c r="A91" s="47" t="s">
        <v>144</v>
      </c>
      <c r="B91" s="47" t="s">
        <v>145</v>
      </c>
      <c r="C91" s="42" t="str">
        <f t="shared" si="1"/>
        <v>#N/A</v>
      </c>
      <c r="D91" s="47" t="s">
        <v>606</v>
      </c>
      <c r="E91" s="47">
        <v>678726.0</v>
      </c>
      <c r="F91" s="47" t="s">
        <v>60</v>
      </c>
      <c r="G91" s="47" t="s">
        <v>62</v>
      </c>
      <c r="H91" s="47" t="s">
        <v>599</v>
      </c>
      <c r="I91" s="47" t="s">
        <v>600</v>
      </c>
      <c r="J91" s="47" t="s">
        <v>660</v>
      </c>
      <c r="K91" s="48">
        <v>46082.0</v>
      </c>
      <c r="L91" s="47">
        <f t="shared" si="2"/>
        <v>14</v>
      </c>
      <c r="M91" s="43" t="s">
        <v>874</v>
      </c>
      <c r="N91" s="49">
        <v>8.7704436E8</v>
      </c>
      <c r="O91" s="41">
        <v>50.0</v>
      </c>
      <c r="P91" s="50">
        <v>0.32</v>
      </c>
      <c r="Q91" s="41">
        <v>16.0</v>
      </c>
      <c r="R91" s="47" t="s">
        <v>873</v>
      </c>
      <c r="S91" s="47" t="s">
        <v>867</v>
      </c>
      <c r="T91" s="49">
        <v>1.6202925E7</v>
      </c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</row>
    <row r="92" ht="14.25" customHeight="1">
      <c r="A92" s="47" t="s">
        <v>97</v>
      </c>
      <c r="B92" s="47" t="s">
        <v>98</v>
      </c>
      <c r="C92" s="42" t="str">
        <f t="shared" si="1"/>
        <v>#N/A</v>
      </c>
      <c r="D92" s="47" t="s">
        <v>606</v>
      </c>
      <c r="E92" s="47">
        <v>798992.0</v>
      </c>
      <c r="F92" s="47" t="s">
        <v>90</v>
      </c>
      <c r="G92" s="47" t="s">
        <v>62</v>
      </c>
      <c r="H92" s="47" t="s">
        <v>599</v>
      </c>
      <c r="I92" s="47" t="s">
        <v>600</v>
      </c>
      <c r="J92" s="47" t="s">
        <v>660</v>
      </c>
      <c r="K92" s="48">
        <v>46082.0</v>
      </c>
      <c r="L92" s="47">
        <f t="shared" si="2"/>
        <v>14</v>
      </c>
      <c r="M92" s="43" t="s">
        <v>874</v>
      </c>
      <c r="N92" s="49">
        <v>7.01882993E8</v>
      </c>
      <c r="O92" s="41">
        <v>58.0</v>
      </c>
      <c r="P92" s="50">
        <v>0.32</v>
      </c>
      <c r="Q92" s="41">
        <v>18.56</v>
      </c>
      <c r="R92" s="47" t="s">
        <v>873</v>
      </c>
      <c r="S92" s="47" t="s">
        <v>871</v>
      </c>
      <c r="T92" s="49" t="s">
        <v>886</v>
      </c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</row>
    <row r="93" ht="14.25" customHeight="1">
      <c r="A93" s="47" t="s">
        <v>272</v>
      </c>
      <c r="B93" s="47" t="s">
        <v>273</v>
      </c>
      <c r="C93" s="42" t="str">
        <f t="shared" si="1"/>
        <v>#N/A</v>
      </c>
      <c r="D93" s="47" t="s">
        <v>631</v>
      </c>
      <c r="E93" s="47">
        <v>757929.0</v>
      </c>
      <c r="F93" s="47" t="s">
        <v>134</v>
      </c>
      <c r="G93" s="47" t="s">
        <v>106</v>
      </c>
      <c r="H93" s="47" t="s">
        <v>599</v>
      </c>
      <c r="I93" s="47" t="s">
        <v>600</v>
      </c>
      <c r="J93" s="47" t="s">
        <v>660</v>
      </c>
      <c r="K93" s="48">
        <v>46082.0</v>
      </c>
      <c r="L93" s="47">
        <f t="shared" si="2"/>
        <v>14</v>
      </c>
      <c r="M93" s="43" t="s">
        <v>874</v>
      </c>
      <c r="N93" s="49">
        <v>3.48104279E8</v>
      </c>
      <c r="O93" s="41">
        <v>185.0</v>
      </c>
      <c r="P93" s="50">
        <v>0.24</v>
      </c>
      <c r="Q93" s="41">
        <v>44.4</v>
      </c>
      <c r="R93" s="47" t="s">
        <v>866</v>
      </c>
      <c r="S93" s="47" t="s">
        <v>882</v>
      </c>
      <c r="T93" s="49">
        <v>9213293.0</v>
      </c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</row>
    <row r="94" ht="14.25" customHeight="1">
      <c r="A94" s="47" t="s">
        <v>553</v>
      </c>
      <c r="B94" s="47" t="s">
        <v>554</v>
      </c>
      <c r="C94" s="42" t="str">
        <f t="shared" si="1"/>
        <v>#N/A</v>
      </c>
      <c r="D94" s="47" t="s">
        <v>606</v>
      </c>
      <c r="E94" s="47">
        <v>706472.0</v>
      </c>
      <c r="F94" s="47" t="s">
        <v>187</v>
      </c>
      <c r="G94" s="47" t="s">
        <v>42</v>
      </c>
      <c r="H94" s="47" t="s">
        <v>617</v>
      </c>
      <c r="I94" s="47" t="s">
        <v>618</v>
      </c>
      <c r="J94" s="47" t="s">
        <v>672</v>
      </c>
      <c r="K94" s="48">
        <v>46082.0</v>
      </c>
      <c r="L94" s="47">
        <f t="shared" si="2"/>
        <v>15</v>
      </c>
      <c r="M94" s="43" t="s">
        <v>874</v>
      </c>
      <c r="N94" s="49">
        <v>2.45268586E8</v>
      </c>
      <c r="O94" s="41">
        <v>15.0</v>
      </c>
      <c r="P94" s="50">
        <v>0.37</v>
      </c>
      <c r="Q94" s="41">
        <v>5.55</v>
      </c>
      <c r="R94" s="47" t="s">
        <v>863</v>
      </c>
      <c r="S94" s="47" t="s">
        <v>891</v>
      </c>
      <c r="T94" s="49">
        <v>1.719562E7</v>
      </c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</row>
    <row r="95" ht="14.25" customHeight="1">
      <c r="A95" s="47" t="s">
        <v>379</v>
      </c>
      <c r="B95" s="47" t="s">
        <v>380</v>
      </c>
      <c r="C95" s="42" t="str">
        <f t="shared" si="1"/>
        <v>#N/A</v>
      </c>
      <c r="D95" s="47" t="s">
        <v>606</v>
      </c>
      <c r="E95" s="47">
        <v>678726.0</v>
      </c>
      <c r="F95" s="47" t="s">
        <v>60</v>
      </c>
      <c r="G95" s="47" t="s">
        <v>62</v>
      </c>
      <c r="H95" s="47" t="s">
        <v>599</v>
      </c>
      <c r="I95" s="47" t="s">
        <v>600</v>
      </c>
      <c r="J95" s="47" t="s">
        <v>672</v>
      </c>
      <c r="K95" s="48">
        <v>46082.0</v>
      </c>
      <c r="L95" s="47">
        <f t="shared" si="2"/>
        <v>15</v>
      </c>
      <c r="M95" s="43" t="s">
        <v>874</v>
      </c>
      <c r="N95" s="49">
        <v>9.98017756E8</v>
      </c>
      <c r="O95" s="41">
        <v>25.0</v>
      </c>
      <c r="P95" s="50">
        <v>0.32</v>
      </c>
      <c r="Q95" s="41">
        <v>8.0</v>
      </c>
      <c r="R95" s="47" t="s">
        <v>873</v>
      </c>
      <c r="S95" s="47" t="s">
        <v>867</v>
      </c>
      <c r="T95" s="49">
        <v>1.6202925E7</v>
      </c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</row>
    <row r="96" ht="14.25" customHeight="1">
      <c r="A96" s="47" t="s">
        <v>525</v>
      </c>
      <c r="B96" s="47" t="s">
        <v>526</v>
      </c>
      <c r="C96" s="42" t="str">
        <f t="shared" si="1"/>
        <v>#N/A</v>
      </c>
      <c r="D96" s="47" t="s">
        <v>606</v>
      </c>
      <c r="E96" s="47">
        <v>678726.0</v>
      </c>
      <c r="F96" s="47" t="s">
        <v>60</v>
      </c>
      <c r="G96" s="47" t="s">
        <v>62</v>
      </c>
      <c r="H96" s="47" t="s">
        <v>599</v>
      </c>
      <c r="I96" s="47" t="s">
        <v>600</v>
      </c>
      <c r="J96" s="47" t="s">
        <v>672</v>
      </c>
      <c r="K96" s="48">
        <v>46082.0</v>
      </c>
      <c r="L96" s="47">
        <f t="shared" si="2"/>
        <v>15</v>
      </c>
      <c r="M96" s="43" t="s">
        <v>874</v>
      </c>
      <c r="N96" s="49">
        <v>8.9239339E8</v>
      </c>
      <c r="O96" s="41">
        <v>25.0</v>
      </c>
      <c r="P96" s="50">
        <v>0.32</v>
      </c>
      <c r="Q96" s="41">
        <v>8.0</v>
      </c>
      <c r="R96" s="47" t="s">
        <v>873</v>
      </c>
      <c r="S96" s="47" t="s">
        <v>867</v>
      </c>
      <c r="T96" s="49">
        <v>1.6202925E7</v>
      </c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</row>
    <row r="97" ht="14.25" customHeight="1">
      <c r="A97" s="47" t="s">
        <v>283</v>
      </c>
      <c r="B97" s="47" t="s">
        <v>284</v>
      </c>
      <c r="C97" s="42" t="str">
        <f t="shared" si="1"/>
        <v>#N/A</v>
      </c>
      <c r="D97" s="47" t="s">
        <v>606</v>
      </c>
      <c r="E97" s="47">
        <v>678726.0</v>
      </c>
      <c r="F97" s="47" t="s">
        <v>60</v>
      </c>
      <c r="G97" s="47" t="s">
        <v>62</v>
      </c>
      <c r="H97" s="47" t="s">
        <v>599</v>
      </c>
      <c r="I97" s="47" t="s">
        <v>600</v>
      </c>
      <c r="J97" s="47" t="s">
        <v>672</v>
      </c>
      <c r="K97" s="48">
        <v>46082.0</v>
      </c>
      <c r="L97" s="47">
        <f t="shared" si="2"/>
        <v>15</v>
      </c>
      <c r="M97" s="43" t="s">
        <v>874</v>
      </c>
      <c r="N97" s="49">
        <v>1.96153282E8</v>
      </c>
      <c r="O97" s="41">
        <v>25.0</v>
      </c>
      <c r="P97" s="50">
        <v>0.32</v>
      </c>
      <c r="Q97" s="41">
        <v>8.0</v>
      </c>
      <c r="R97" s="47" t="s">
        <v>873</v>
      </c>
      <c r="S97" s="47" t="s">
        <v>867</v>
      </c>
      <c r="T97" s="49">
        <v>1.6202925E7</v>
      </c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</row>
    <row r="98" ht="14.25" customHeight="1">
      <c r="A98" s="47" t="s">
        <v>553</v>
      </c>
      <c r="B98" s="47" t="s">
        <v>554</v>
      </c>
      <c r="C98" s="42" t="str">
        <f t="shared" si="1"/>
        <v>#N/A</v>
      </c>
      <c r="D98" s="47" t="s">
        <v>606</v>
      </c>
      <c r="E98" s="47">
        <v>706472.0</v>
      </c>
      <c r="F98" s="47" t="s">
        <v>187</v>
      </c>
      <c r="G98" s="47" t="s">
        <v>62</v>
      </c>
      <c r="H98" s="47" t="s">
        <v>599</v>
      </c>
      <c r="I98" s="47" t="s">
        <v>600</v>
      </c>
      <c r="J98" s="47" t="s">
        <v>672</v>
      </c>
      <c r="K98" s="48">
        <v>46082.0</v>
      </c>
      <c r="L98" s="47">
        <f t="shared" si="2"/>
        <v>15</v>
      </c>
      <c r="M98" s="43" t="s">
        <v>874</v>
      </c>
      <c r="N98" s="49">
        <v>7.62673318E8</v>
      </c>
      <c r="O98" s="41">
        <v>50.0</v>
      </c>
      <c r="P98" s="50">
        <v>0.32</v>
      </c>
      <c r="Q98" s="41">
        <v>16.0</v>
      </c>
      <c r="R98" s="47" t="s">
        <v>873</v>
      </c>
      <c r="S98" s="47" t="s">
        <v>891</v>
      </c>
      <c r="T98" s="49">
        <v>1.719562E7</v>
      </c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</row>
    <row r="99" ht="14.25" customHeight="1">
      <c r="A99" s="47" t="s">
        <v>520</v>
      </c>
      <c r="B99" s="47" t="s">
        <v>521</v>
      </c>
      <c r="C99" s="42" t="str">
        <f t="shared" si="1"/>
        <v>#N/A</v>
      </c>
      <c r="D99" s="47" t="s">
        <v>606</v>
      </c>
      <c r="E99" s="47">
        <v>678726.0</v>
      </c>
      <c r="F99" s="47" t="s">
        <v>60</v>
      </c>
      <c r="G99" s="47" t="s">
        <v>62</v>
      </c>
      <c r="H99" s="47" t="s">
        <v>599</v>
      </c>
      <c r="I99" s="47" t="s">
        <v>600</v>
      </c>
      <c r="J99" s="47" t="s">
        <v>672</v>
      </c>
      <c r="K99" s="48">
        <v>46082.0</v>
      </c>
      <c r="L99" s="47">
        <f t="shared" si="2"/>
        <v>15</v>
      </c>
      <c r="M99" s="43" t="s">
        <v>874</v>
      </c>
      <c r="N99" s="49">
        <v>5.36940641E8</v>
      </c>
      <c r="O99" s="41">
        <v>50.0</v>
      </c>
      <c r="P99" s="50">
        <v>0.32</v>
      </c>
      <c r="Q99" s="41">
        <v>16.0</v>
      </c>
      <c r="R99" s="47" t="s">
        <v>873</v>
      </c>
      <c r="S99" s="47" t="s">
        <v>867</v>
      </c>
      <c r="T99" s="49">
        <v>1.6202925E7</v>
      </c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</row>
    <row r="100" ht="14.25" customHeight="1">
      <c r="A100" s="47" t="s">
        <v>58</v>
      </c>
      <c r="B100" s="47" t="s">
        <v>59</v>
      </c>
      <c r="C100" s="42" t="str">
        <f t="shared" si="1"/>
        <v>#N/A</v>
      </c>
      <c r="D100" s="47" t="s">
        <v>606</v>
      </c>
      <c r="E100" s="47">
        <v>678726.0</v>
      </c>
      <c r="F100" s="47" t="s">
        <v>60</v>
      </c>
      <c r="G100" s="47" t="s">
        <v>62</v>
      </c>
      <c r="H100" s="47" t="s">
        <v>599</v>
      </c>
      <c r="I100" s="47" t="s">
        <v>600</v>
      </c>
      <c r="J100" s="47" t="s">
        <v>672</v>
      </c>
      <c r="K100" s="48">
        <v>46082.0</v>
      </c>
      <c r="L100" s="47">
        <f t="shared" si="2"/>
        <v>15</v>
      </c>
      <c r="M100" s="43" t="s">
        <v>874</v>
      </c>
      <c r="N100" s="49">
        <v>8.20303811E8</v>
      </c>
      <c r="O100" s="41">
        <v>60.0</v>
      </c>
      <c r="P100" s="50">
        <v>0.32</v>
      </c>
      <c r="Q100" s="41">
        <v>19.2</v>
      </c>
      <c r="R100" s="47" t="s">
        <v>873</v>
      </c>
      <c r="S100" s="47" t="s">
        <v>867</v>
      </c>
      <c r="T100" s="49">
        <v>1.6202925E7</v>
      </c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</row>
    <row r="101" ht="14.25" customHeight="1">
      <c r="A101" s="47" t="s">
        <v>223</v>
      </c>
      <c r="B101" s="47" t="s">
        <v>224</v>
      </c>
      <c r="C101" s="42" t="str">
        <f t="shared" si="1"/>
        <v>#N/A</v>
      </c>
      <c r="D101" s="47" t="s">
        <v>631</v>
      </c>
      <c r="E101" s="47">
        <v>764002.0</v>
      </c>
      <c r="F101" s="47" t="s">
        <v>84</v>
      </c>
      <c r="G101" s="47" t="s">
        <v>42</v>
      </c>
      <c r="H101" s="47" t="s">
        <v>617</v>
      </c>
      <c r="I101" s="47" t="s">
        <v>618</v>
      </c>
      <c r="J101" s="47" t="s">
        <v>656</v>
      </c>
      <c r="K101" s="48">
        <v>46082.0</v>
      </c>
      <c r="L101" s="47">
        <f t="shared" si="2"/>
        <v>16</v>
      </c>
      <c r="M101" s="43" t="s">
        <v>874</v>
      </c>
      <c r="N101" s="49">
        <v>8.25368073E8</v>
      </c>
      <c r="O101" s="41">
        <v>11.0</v>
      </c>
      <c r="P101" s="50">
        <v>0.37</v>
      </c>
      <c r="Q101" s="41">
        <v>4.07</v>
      </c>
      <c r="R101" s="47" t="s">
        <v>863</v>
      </c>
      <c r="S101" s="47" t="s">
        <v>892</v>
      </c>
      <c r="T101" s="49">
        <v>1.8828278E7</v>
      </c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</row>
    <row r="102" ht="14.25" customHeight="1">
      <c r="A102" s="47" t="s">
        <v>112</v>
      </c>
      <c r="B102" s="47" t="s">
        <v>113</v>
      </c>
      <c r="C102" s="42" t="str">
        <f t="shared" si="1"/>
        <v>#N/A</v>
      </c>
      <c r="D102" s="47" t="s">
        <v>606</v>
      </c>
      <c r="E102" s="47">
        <v>678726.0</v>
      </c>
      <c r="F102" s="47" t="s">
        <v>60</v>
      </c>
      <c r="G102" s="47" t="s">
        <v>42</v>
      </c>
      <c r="H102" s="47" t="s">
        <v>617</v>
      </c>
      <c r="I102" s="47" t="s">
        <v>618</v>
      </c>
      <c r="J102" s="47" t="s">
        <v>656</v>
      </c>
      <c r="K102" s="48">
        <v>46082.0</v>
      </c>
      <c r="L102" s="47">
        <f t="shared" si="2"/>
        <v>16</v>
      </c>
      <c r="M102" s="43" t="s">
        <v>874</v>
      </c>
      <c r="N102" s="49">
        <v>8.59724247E8</v>
      </c>
      <c r="O102" s="41">
        <v>11.0</v>
      </c>
      <c r="P102" s="50">
        <v>0.37</v>
      </c>
      <c r="Q102" s="41">
        <v>4.07</v>
      </c>
      <c r="R102" s="47" t="s">
        <v>863</v>
      </c>
      <c r="S102" s="47" t="s">
        <v>867</v>
      </c>
      <c r="T102" s="49">
        <v>1.6202925E7</v>
      </c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</row>
    <row r="103" ht="14.25" customHeight="1">
      <c r="A103" s="47" t="s">
        <v>277</v>
      </c>
      <c r="B103" s="47" t="s">
        <v>278</v>
      </c>
      <c r="C103" s="42" t="str">
        <f t="shared" si="1"/>
        <v>#N/A</v>
      </c>
      <c r="D103" s="47" t="s">
        <v>606</v>
      </c>
      <c r="E103" s="47">
        <v>678726.0</v>
      </c>
      <c r="F103" s="47" t="s">
        <v>60</v>
      </c>
      <c r="G103" s="47" t="s">
        <v>42</v>
      </c>
      <c r="H103" s="47" t="s">
        <v>617</v>
      </c>
      <c r="I103" s="47" t="s">
        <v>618</v>
      </c>
      <c r="J103" s="47" t="s">
        <v>656</v>
      </c>
      <c r="K103" s="48">
        <v>46082.0</v>
      </c>
      <c r="L103" s="47">
        <f t="shared" si="2"/>
        <v>16</v>
      </c>
      <c r="M103" s="43" t="s">
        <v>874</v>
      </c>
      <c r="N103" s="49">
        <v>6.07637254E8</v>
      </c>
      <c r="O103" s="41">
        <v>11.0</v>
      </c>
      <c r="P103" s="50">
        <v>0.37</v>
      </c>
      <c r="Q103" s="41">
        <v>4.07</v>
      </c>
      <c r="R103" s="47" t="s">
        <v>863</v>
      </c>
      <c r="S103" s="47" t="s">
        <v>867</v>
      </c>
      <c r="T103" s="49">
        <v>1.6202925E7</v>
      </c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</row>
    <row r="104" ht="14.25" customHeight="1">
      <c r="A104" s="47" t="s">
        <v>319</v>
      </c>
      <c r="B104" s="47" t="s">
        <v>538</v>
      </c>
      <c r="C104" s="42" t="str">
        <f t="shared" si="1"/>
        <v>#N/A</v>
      </c>
      <c r="D104" s="47" t="s">
        <v>606</v>
      </c>
      <c r="E104" s="47">
        <v>678726.0</v>
      </c>
      <c r="F104" s="47" t="s">
        <v>60</v>
      </c>
      <c r="G104" s="47" t="s">
        <v>42</v>
      </c>
      <c r="H104" s="47" t="s">
        <v>617</v>
      </c>
      <c r="I104" s="47" t="s">
        <v>618</v>
      </c>
      <c r="J104" s="47" t="s">
        <v>656</v>
      </c>
      <c r="K104" s="48">
        <v>46082.0</v>
      </c>
      <c r="L104" s="47">
        <f t="shared" si="2"/>
        <v>16</v>
      </c>
      <c r="M104" s="43" t="s">
        <v>874</v>
      </c>
      <c r="N104" s="49">
        <v>3.64920174E8</v>
      </c>
      <c r="O104" s="41">
        <v>11.0</v>
      </c>
      <c r="P104" s="50">
        <v>0.37</v>
      </c>
      <c r="Q104" s="41">
        <v>4.07</v>
      </c>
      <c r="R104" s="47" t="s">
        <v>863</v>
      </c>
      <c r="S104" s="47" t="s">
        <v>867</v>
      </c>
      <c r="T104" s="49">
        <v>1.6202925E7</v>
      </c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</row>
    <row r="105" ht="14.25" customHeight="1">
      <c r="A105" s="47" t="s">
        <v>112</v>
      </c>
      <c r="B105" s="47" t="s">
        <v>113</v>
      </c>
      <c r="C105" s="42" t="str">
        <f t="shared" si="1"/>
        <v>#N/A</v>
      </c>
      <c r="D105" s="47" t="s">
        <v>606</v>
      </c>
      <c r="E105" s="47">
        <v>678726.0</v>
      </c>
      <c r="F105" s="47" t="s">
        <v>60</v>
      </c>
      <c r="G105" s="47" t="s">
        <v>62</v>
      </c>
      <c r="H105" s="47" t="s">
        <v>599</v>
      </c>
      <c r="I105" s="47" t="s">
        <v>600</v>
      </c>
      <c r="J105" s="47" t="s">
        <v>656</v>
      </c>
      <c r="K105" s="48">
        <v>46082.0</v>
      </c>
      <c r="L105" s="47">
        <f t="shared" si="2"/>
        <v>16</v>
      </c>
      <c r="M105" s="43" t="s">
        <v>874</v>
      </c>
      <c r="N105" s="49">
        <v>8.5835346E8</v>
      </c>
      <c r="O105" s="41">
        <v>25.0</v>
      </c>
      <c r="P105" s="50">
        <v>0.32</v>
      </c>
      <c r="Q105" s="41">
        <v>8.0</v>
      </c>
      <c r="R105" s="47" t="s">
        <v>873</v>
      </c>
      <c r="S105" s="47" t="s">
        <v>867</v>
      </c>
      <c r="T105" s="49">
        <v>1.6202925E7</v>
      </c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</row>
    <row r="106" ht="14.25" customHeight="1">
      <c r="A106" s="47" t="s">
        <v>277</v>
      </c>
      <c r="B106" s="47" t="s">
        <v>278</v>
      </c>
      <c r="C106" s="42" t="str">
        <f t="shared" si="1"/>
        <v>#N/A</v>
      </c>
      <c r="D106" s="47" t="s">
        <v>606</v>
      </c>
      <c r="E106" s="47">
        <v>678726.0</v>
      </c>
      <c r="F106" s="47" t="s">
        <v>60</v>
      </c>
      <c r="G106" s="47" t="s">
        <v>62</v>
      </c>
      <c r="H106" s="47" t="s">
        <v>599</v>
      </c>
      <c r="I106" s="47" t="s">
        <v>600</v>
      </c>
      <c r="J106" s="47" t="s">
        <v>656</v>
      </c>
      <c r="K106" s="48">
        <v>46082.0</v>
      </c>
      <c r="L106" s="47">
        <f t="shared" si="2"/>
        <v>16</v>
      </c>
      <c r="M106" s="43" t="s">
        <v>874</v>
      </c>
      <c r="N106" s="49">
        <v>1.65329262E8</v>
      </c>
      <c r="O106" s="41">
        <v>25.0</v>
      </c>
      <c r="P106" s="50">
        <v>0.32</v>
      </c>
      <c r="Q106" s="41">
        <v>8.0</v>
      </c>
      <c r="R106" s="47" t="s">
        <v>873</v>
      </c>
      <c r="S106" s="47" t="s">
        <v>867</v>
      </c>
      <c r="T106" s="49">
        <v>1.6202925E7</v>
      </c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</row>
    <row r="107" ht="14.25" customHeight="1">
      <c r="A107" s="47" t="s">
        <v>210</v>
      </c>
      <c r="B107" s="47" t="s">
        <v>211</v>
      </c>
      <c r="C107" s="42" t="str">
        <f t="shared" si="1"/>
        <v>#N/A</v>
      </c>
      <c r="D107" s="47" t="s">
        <v>606</v>
      </c>
      <c r="E107" s="47">
        <v>678726.0</v>
      </c>
      <c r="F107" s="47" t="s">
        <v>60</v>
      </c>
      <c r="G107" s="47" t="s">
        <v>62</v>
      </c>
      <c r="H107" s="47" t="s">
        <v>599</v>
      </c>
      <c r="I107" s="47" t="s">
        <v>600</v>
      </c>
      <c r="J107" s="47" t="s">
        <v>656</v>
      </c>
      <c r="K107" s="48">
        <v>46082.0</v>
      </c>
      <c r="L107" s="47">
        <f t="shared" si="2"/>
        <v>16</v>
      </c>
      <c r="M107" s="43" t="s">
        <v>874</v>
      </c>
      <c r="N107" s="49">
        <v>7.08780484E8</v>
      </c>
      <c r="O107" s="41">
        <v>25.0</v>
      </c>
      <c r="P107" s="50">
        <v>0.32</v>
      </c>
      <c r="Q107" s="41">
        <v>8.0</v>
      </c>
      <c r="R107" s="47" t="s">
        <v>873</v>
      </c>
      <c r="S107" s="47" t="s">
        <v>867</v>
      </c>
      <c r="T107" s="49">
        <v>1.6202925E7</v>
      </c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</row>
    <row r="108" ht="14.25" customHeight="1">
      <c r="A108" s="47" t="s">
        <v>319</v>
      </c>
      <c r="B108" s="47" t="s">
        <v>538</v>
      </c>
      <c r="C108" s="42" t="str">
        <f t="shared" si="1"/>
        <v>#N/A</v>
      </c>
      <c r="D108" s="47" t="s">
        <v>606</v>
      </c>
      <c r="E108" s="47">
        <v>678726.0</v>
      </c>
      <c r="F108" s="47" t="s">
        <v>60</v>
      </c>
      <c r="G108" s="47" t="s">
        <v>62</v>
      </c>
      <c r="H108" s="47" t="s">
        <v>599</v>
      </c>
      <c r="I108" s="47" t="s">
        <v>600</v>
      </c>
      <c r="J108" s="47" t="s">
        <v>656</v>
      </c>
      <c r="K108" s="48">
        <v>46082.0</v>
      </c>
      <c r="L108" s="47">
        <f t="shared" si="2"/>
        <v>16</v>
      </c>
      <c r="M108" s="43" t="s">
        <v>874</v>
      </c>
      <c r="N108" s="49">
        <v>5.82065076E8</v>
      </c>
      <c r="O108" s="41">
        <v>25.0</v>
      </c>
      <c r="P108" s="50">
        <v>0.32</v>
      </c>
      <c r="Q108" s="41">
        <v>8.0</v>
      </c>
      <c r="R108" s="47" t="s">
        <v>873</v>
      </c>
      <c r="S108" s="47" t="s">
        <v>867</v>
      </c>
      <c r="T108" s="49">
        <v>1.6202925E7</v>
      </c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</row>
    <row r="109" ht="14.25" customHeight="1">
      <c r="A109" s="47" t="s">
        <v>348</v>
      </c>
      <c r="B109" s="47" t="s">
        <v>349</v>
      </c>
      <c r="C109" s="42" t="str">
        <f t="shared" si="1"/>
        <v>#N/A</v>
      </c>
      <c r="D109" s="47" t="s">
        <v>606</v>
      </c>
      <c r="E109" s="47">
        <v>706472.0</v>
      </c>
      <c r="F109" s="47" t="s">
        <v>187</v>
      </c>
      <c r="G109" s="47" t="s">
        <v>62</v>
      </c>
      <c r="H109" s="47" t="s">
        <v>599</v>
      </c>
      <c r="I109" s="47" t="s">
        <v>600</v>
      </c>
      <c r="J109" s="47" t="s">
        <v>656</v>
      </c>
      <c r="K109" s="48">
        <v>46082.0</v>
      </c>
      <c r="L109" s="47">
        <f t="shared" si="2"/>
        <v>16</v>
      </c>
      <c r="M109" s="43" t="s">
        <v>874</v>
      </c>
      <c r="N109" s="49">
        <v>4.59325166E8</v>
      </c>
      <c r="O109" s="41">
        <v>30.0</v>
      </c>
      <c r="P109" s="50">
        <v>0.32</v>
      </c>
      <c r="Q109" s="41">
        <v>9.6</v>
      </c>
      <c r="R109" s="47" t="s">
        <v>873</v>
      </c>
      <c r="S109" s="47" t="s">
        <v>891</v>
      </c>
      <c r="T109" s="49">
        <v>1.719562E7</v>
      </c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</row>
    <row r="110" ht="14.25" customHeight="1">
      <c r="A110" s="47" t="s">
        <v>361</v>
      </c>
      <c r="B110" s="47" t="s">
        <v>362</v>
      </c>
      <c r="C110" s="42" t="str">
        <f t="shared" si="1"/>
        <v>#N/A</v>
      </c>
      <c r="D110" s="47" t="s">
        <v>606</v>
      </c>
      <c r="E110" s="47">
        <v>678726.0</v>
      </c>
      <c r="F110" s="47" t="s">
        <v>60</v>
      </c>
      <c r="G110" s="47" t="s">
        <v>62</v>
      </c>
      <c r="H110" s="47" t="s">
        <v>599</v>
      </c>
      <c r="I110" s="47" t="s">
        <v>600</v>
      </c>
      <c r="J110" s="47" t="s">
        <v>656</v>
      </c>
      <c r="K110" s="48">
        <v>46082.0</v>
      </c>
      <c r="L110" s="47">
        <f t="shared" si="2"/>
        <v>16</v>
      </c>
      <c r="M110" s="43" t="s">
        <v>874</v>
      </c>
      <c r="N110" s="49">
        <v>3.10854872E8</v>
      </c>
      <c r="O110" s="41">
        <v>50.0</v>
      </c>
      <c r="P110" s="50">
        <v>0.32</v>
      </c>
      <c r="Q110" s="41">
        <v>16.0</v>
      </c>
      <c r="R110" s="47" t="s">
        <v>873</v>
      </c>
      <c r="S110" s="47" t="s">
        <v>867</v>
      </c>
      <c r="T110" s="49">
        <v>1.6202925E7</v>
      </c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</row>
    <row r="111" ht="14.25" customHeight="1">
      <c r="A111" s="47" t="s">
        <v>335</v>
      </c>
      <c r="B111" s="47" t="s">
        <v>336</v>
      </c>
      <c r="C111" s="42" t="str">
        <f t="shared" si="1"/>
        <v>#N/A</v>
      </c>
      <c r="D111" s="47" t="s">
        <v>606</v>
      </c>
      <c r="E111" s="47">
        <v>678726.0</v>
      </c>
      <c r="F111" s="47" t="s">
        <v>60</v>
      </c>
      <c r="G111" s="47" t="s">
        <v>42</v>
      </c>
      <c r="H111" s="47" t="s">
        <v>617</v>
      </c>
      <c r="I111" s="47" t="s">
        <v>618</v>
      </c>
      <c r="J111" s="47" t="s">
        <v>649</v>
      </c>
      <c r="K111" s="48">
        <v>46082.0</v>
      </c>
      <c r="L111" s="47">
        <f t="shared" si="2"/>
        <v>17</v>
      </c>
      <c r="M111" s="43" t="s">
        <v>874</v>
      </c>
      <c r="N111" s="49">
        <v>9.73153223E8</v>
      </c>
      <c r="O111" s="41">
        <v>11.0</v>
      </c>
      <c r="P111" s="50">
        <v>0.37</v>
      </c>
      <c r="Q111" s="41">
        <v>4.07</v>
      </c>
      <c r="R111" s="47" t="s">
        <v>863</v>
      </c>
      <c r="S111" s="47" t="s">
        <v>867</v>
      </c>
      <c r="T111" s="49">
        <v>1.6202925E7</v>
      </c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</row>
    <row r="112" ht="14.25" customHeight="1">
      <c r="A112" s="47" t="s">
        <v>69</v>
      </c>
      <c r="B112" s="47" t="s">
        <v>70</v>
      </c>
      <c r="C112" s="42" t="str">
        <f t="shared" si="1"/>
        <v>#N/A</v>
      </c>
      <c r="D112" s="47" t="s">
        <v>606</v>
      </c>
      <c r="E112" s="47">
        <v>678726.0</v>
      </c>
      <c r="F112" s="47" t="s">
        <v>60</v>
      </c>
      <c r="G112" s="47" t="s">
        <v>42</v>
      </c>
      <c r="H112" s="47" t="s">
        <v>617</v>
      </c>
      <c r="I112" s="47" t="s">
        <v>618</v>
      </c>
      <c r="J112" s="47" t="s">
        <v>649</v>
      </c>
      <c r="K112" s="48">
        <v>46082.0</v>
      </c>
      <c r="L112" s="47">
        <f t="shared" si="2"/>
        <v>17</v>
      </c>
      <c r="M112" s="43" t="s">
        <v>874</v>
      </c>
      <c r="N112" s="49">
        <v>5.74187796E8</v>
      </c>
      <c r="O112" s="41">
        <v>11.0</v>
      </c>
      <c r="P112" s="50">
        <v>0.37</v>
      </c>
      <c r="Q112" s="41">
        <v>4.07</v>
      </c>
      <c r="R112" s="47" t="s">
        <v>863</v>
      </c>
      <c r="S112" s="47" t="s">
        <v>867</v>
      </c>
      <c r="T112" s="49">
        <v>1.6202925E7</v>
      </c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</row>
    <row r="113" ht="14.25" customHeight="1">
      <c r="A113" s="47" t="s">
        <v>484</v>
      </c>
      <c r="B113" s="47" t="s">
        <v>485</v>
      </c>
      <c r="C113" s="42" t="str">
        <f t="shared" si="1"/>
        <v>#N/A</v>
      </c>
      <c r="D113" s="47" t="s">
        <v>736</v>
      </c>
      <c r="E113" s="47">
        <v>703501.0</v>
      </c>
      <c r="F113" s="47" t="s">
        <v>75</v>
      </c>
      <c r="G113" s="47" t="s">
        <v>77</v>
      </c>
      <c r="H113" s="47" t="s">
        <v>599</v>
      </c>
      <c r="I113" s="47" t="s">
        <v>600</v>
      </c>
      <c r="J113" s="47" t="s">
        <v>649</v>
      </c>
      <c r="K113" s="48">
        <v>46082.0</v>
      </c>
      <c r="L113" s="47">
        <f t="shared" si="2"/>
        <v>17</v>
      </c>
      <c r="M113" s="43" t="s">
        <v>874</v>
      </c>
      <c r="N113" s="49">
        <v>8.64594072E8</v>
      </c>
      <c r="O113" s="41">
        <v>25.0</v>
      </c>
      <c r="P113" s="50">
        <v>0.24</v>
      </c>
      <c r="Q113" s="41">
        <v>6.0</v>
      </c>
      <c r="R113" s="47" t="s">
        <v>866</v>
      </c>
      <c r="S113" s="47" t="s">
        <v>893</v>
      </c>
      <c r="T113" s="49">
        <v>1706194.0</v>
      </c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</row>
    <row r="114" ht="14.25" customHeight="1">
      <c r="A114" s="47" t="s">
        <v>73</v>
      </c>
      <c r="B114" s="47" t="s">
        <v>74</v>
      </c>
      <c r="C114" s="42" t="str">
        <f t="shared" si="1"/>
        <v>#N/A</v>
      </c>
      <c r="D114" s="47" t="s">
        <v>794</v>
      </c>
      <c r="E114" s="47">
        <v>703501.0</v>
      </c>
      <c r="F114" s="47" t="s">
        <v>75</v>
      </c>
      <c r="G114" s="47" t="s">
        <v>42</v>
      </c>
      <c r="H114" s="47" t="s">
        <v>617</v>
      </c>
      <c r="I114" s="47" t="s">
        <v>618</v>
      </c>
      <c r="J114" s="47" t="s">
        <v>649</v>
      </c>
      <c r="K114" s="48">
        <v>46082.0</v>
      </c>
      <c r="L114" s="47">
        <f t="shared" si="2"/>
        <v>17</v>
      </c>
      <c r="M114" s="43" t="s">
        <v>874</v>
      </c>
      <c r="N114" s="49">
        <v>6.6621E7</v>
      </c>
      <c r="O114" s="41">
        <v>20.0</v>
      </c>
      <c r="P114" s="50">
        <v>0.37</v>
      </c>
      <c r="Q114" s="41">
        <v>7.4</v>
      </c>
      <c r="R114" s="47" t="s">
        <v>863</v>
      </c>
      <c r="S114" s="47" t="s">
        <v>893</v>
      </c>
      <c r="T114" s="49">
        <v>1706194.0</v>
      </c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</row>
    <row r="115" ht="14.25" customHeight="1">
      <c r="A115" s="47" t="s">
        <v>185</v>
      </c>
      <c r="B115" s="47" t="s">
        <v>447</v>
      </c>
      <c r="C115" s="42" t="str">
        <f t="shared" si="1"/>
        <v>#N/A</v>
      </c>
      <c r="D115" s="47" t="s">
        <v>606</v>
      </c>
      <c r="E115" s="47">
        <v>678726.0</v>
      </c>
      <c r="F115" s="47" t="s">
        <v>60</v>
      </c>
      <c r="G115" s="47" t="s">
        <v>62</v>
      </c>
      <c r="H115" s="47" t="s">
        <v>599</v>
      </c>
      <c r="I115" s="47" t="s">
        <v>600</v>
      </c>
      <c r="J115" s="47" t="s">
        <v>649</v>
      </c>
      <c r="K115" s="48">
        <v>46082.0</v>
      </c>
      <c r="L115" s="47">
        <f t="shared" si="2"/>
        <v>17</v>
      </c>
      <c r="M115" s="43" t="s">
        <v>874</v>
      </c>
      <c r="N115" s="49">
        <v>5.24461911E8</v>
      </c>
      <c r="O115" s="41">
        <v>25.0</v>
      </c>
      <c r="P115" s="50">
        <v>0.32</v>
      </c>
      <c r="Q115" s="41">
        <v>8.0</v>
      </c>
      <c r="R115" s="47" t="s">
        <v>873</v>
      </c>
      <c r="S115" s="47" t="s">
        <v>867</v>
      </c>
      <c r="T115" s="49">
        <v>1.6202925E7</v>
      </c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</row>
    <row r="116" ht="14.25" customHeight="1">
      <c r="A116" s="47" t="s">
        <v>488</v>
      </c>
      <c r="B116" s="47" t="s">
        <v>489</v>
      </c>
      <c r="C116" s="42" t="str">
        <f t="shared" si="1"/>
        <v>#N/A</v>
      </c>
      <c r="D116" s="47" t="s">
        <v>606</v>
      </c>
      <c r="E116" s="47">
        <v>678726.0</v>
      </c>
      <c r="F116" s="47" t="s">
        <v>60</v>
      </c>
      <c r="G116" s="47" t="s">
        <v>62</v>
      </c>
      <c r="H116" s="47" t="s">
        <v>599</v>
      </c>
      <c r="I116" s="47" t="s">
        <v>600</v>
      </c>
      <c r="J116" s="47" t="s">
        <v>649</v>
      </c>
      <c r="K116" s="48">
        <v>46082.0</v>
      </c>
      <c r="L116" s="47">
        <f t="shared" si="2"/>
        <v>17</v>
      </c>
      <c r="M116" s="43" t="s">
        <v>874</v>
      </c>
      <c r="N116" s="49">
        <v>5.09666499E8</v>
      </c>
      <c r="O116" s="41">
        <v>25.0</v>
      </c>
      <c r="P116" s="50">
        <v>0.32</v>
      </c>
      <c r="Q116" s="41">
        <v>8.0</v>
      </c>
      <c r="R116" s="47" t="s">
        <v>873</v>
      </c>
      <c r="S116" s="47" t="s">
        <v>867</v>
      </c>
      <c r="T116" s="49">
        <v>1.6202925E7</v>
      </c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</row>
    <row r="117" ht="14.25" customHeight="1">
      <c r="A117" s="47" t="s">
        <v>328</v>
      </c>
      <c r="B117" s="47" t="s">
        <v>329</v>
      </c>
      <c r="C117" s="42" t="str">
        <f t="shared" si="1"/>
        <v>#N/A</v>
      </c>
      <c r="D117" s="47" t="s">
        <v>606</v>
      </c>
      <c r="E117" s="47">
        <v>678726.0</v>
      </c>
      <c r="F117" s="47" t="s">
        <v>60</v>
      </c>
      <c r="G117" s="47" t="s">
        <v>62</v>
      </c>
      <c r="H117" s="47" t="s">
        <v>599</v>
      </c>
      <c r="I117" s="47" t="s">
        <v>600</v>
      </c>
      <c r="J117" s="47" t="s">
        <v>649</v>
      </c>
      <c r="K117" s="48">
        <v>46082.0</v>
      </c>
      <c r="L117" s="47">
        <f t="shared" si="2"/>
        <v>17</v>
      </c>
      <c r="M117" s="43" t="s">
        <v>874</v>
      </c>
      <c r="N117" s="49">
        <v>8.76391898E8</v>
      </c>
      <c r="O117" s="41">
        <v>25.0</v>
      </c>
      <c r="P117" s="50">
        <v>0.32</v>
      </c>
      <c r="Q117" s="41">
        <v>8.0</v>
      </c>
      <c r="R117" s="47" t="s">
        <v>873</v>
      </c>
      <c r="S117" s="47" t="s">
        <v>867</v>
      </c>
      <c r="T117" s="49">
        <v>1.6202925E7</v>
      </c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</row>
    <row r="118" ht="14.25" customHeight="1">
      <c r="A118" s="47" t="s">
        <v>324</v>
      </c>
      <c r="B118" s="47" t="s">
        <v>325</v>
      </c>
      <c r="C118" s="42" t="str">
        <f t="shared" si="1"/>
        <v>#N/A</v>
      </c>
      <c r="D118" s="47" t="s">
        <v>606</v>
      </c>
      <c r="E118" s="47">
        <v>678726.0</v>
      </c>
      <c r="F118" s="47" t="s">
        <v>60</v>
      </c>
      <c r="G118" s="47" t="s">
        <v>62</v>
      </c>
      <c r="H118" s="47" t="s">
        <v>599</v>
      </c>
      <c r="I118" s="47" t="s">
        <v>600</v>
      </c>
      <c r="J118" s="47" t="s">
        <v>649</v>
      </c>
      <c r="K118" s="48">
        <v>46082.0</v>
      </c>
      <c r="L118" s="47">
        <f t="shared" si="2"/>
        <v>17</v>
      </c>
      <c r="M118" s="43" t="s">
        <v>874</v>
      </c>
      <c r="N118" s="49">
        <v>2.32438202E8</v>
      </c>
      <c r="O118" s="41">
        <v>25.0</v>
      </c>
      <c r="P118" s="50">
        <v>0.32</v>
      </c>
      <c r="Q118" s="41">
        <v>8.0</v>
      </c>
      <c r="R118" s="47" t="s">
        <v>873</v>
      </c>
      <c r="S118" s="47" t="s">
        <v>867</v>
      </c>
      <c r="T118" s="49">
        <v>1.6202925E7</v>
      </c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</row>
    <row r="119" ht="14.25" customHeight="1">
      <c r="A119" s="47" t="s">
        <v>335</v>
      </c>
      <c r="B119" s="47" t="s">
        <v>336</v>
      </c>
      <c r="C119" s="42" t="str">
        <f t="shared" si="1"/>
        <v>#N/A</v>
      </c>
      <c r="D119" s="47" t="s">
        <v>606</v>
      </c>
      <c r="E119" s="47">
        <v>678726.0</v>
      </c>
      <c r="F119" s="47" t="s">
        <v>60</v>
      </c>
      <c r="G119" s="47" t="s">
        <v>62</v>
      </c>
      <c r="H119" s="47" t="s">
        <v>599</v>
      </c>
      <c r="I119" s="47" t="s">
        <v>600</v>
      </c>
      <c r="J119" s="47" t="s">
        <v>649</v>
      </c>
      <c r="K119" s="48">
        <v>46082.0</v>
      </c>
      <c r="L119" s="47">
        <f t="shared" si="2"/>
        <v>17</v>
      </c>
      <c r="M119" s="43" t="s">
        <v>874</v>
      </c>
      <c r="N119" s="49">
        <v>1.68352383E8</v>
      </c>
      <c r="O119" s="41">
        <v>31.13</v>
      </c>
      <c r="P119" s="50">
        <v>0.32</v>
      </c>
      <c r="Q119" s="41">
        <v>9.96</v>
      </c>
      <c r="R119" s="47" t="s">
        <v>873</v>
      </c>
      <c r="S119" s="47" t="s">
        <v>867</v>
      </c>
      <c r="T119" s="49">
        <v>1.6202925E7</v>
      </c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</row>
    <row r="120" ht="14.25" customHeight="1">
      <c r="A120" s="47" t="s">
        <v>310</v>
      </c>
      <c r="B120" s="47" t="s">
        <v>489</v>
      </c>
      <c r="C120" s="42" t="str">
        <f t="shared" si="1"/>
        <v>#N/A</v>
      </c>
      <c r="D120" s="47" t="s">
        <v>606</v>
      </c>
      <c r="E120" s="47">
        <v>678726.0</v>
      </c>
      <c r="F120" s="47" t="s">
        <v>60</v>
      </c>
      <c r="G120" s="47" t="s">
        <v>62</v>
      </c>
      <c r="H120" s="47" t="s">
        <v>599</v>
      </c>
      <c r="I120" s="47" t="s">
        <v>600</v>
      </c>
      <c r="J120" s="47" t="s">
        <v>649</v>
      </c>
      <c r="K120" s="48">
        <v>46082.0</v>
      </c>
      <c r="L120" s="47">
        <f t="shared" si="2"/>
        <v>17</v>
      </c>
      <c r="M120" s="43" t="s">
        <v>874</v>
      </c>
      <c r="N120" s="49">
        <v>5.28354958E8</v>
      </c>
      <c r="O120" s="41">
        <v>50.0</v>
      </c>
      <c r="P120" s="50">
        <v>0.32</v>
      </c>
      <c r="Q120" s="41">
        <v>16.0</v>
      </c>
      <c r="R120" s="47" t="s">
        <v>873</v>
      </c>
      <c r="S120" s="47" t="s">
        <v>867</v>
      </c>
      <c r="T120" s="49">
        <v>1.6202925E7</v>
      </c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</row>
    <row r="121" ht="14.25" customHeight="1">
      <c r="A121" s="47" t="s">
        <v>319</v>
      </c>
      <c r="B121" s="47" t="s">
        <v>320</v>
      </c>
      <c r="C121" s="42" t="str">
        <f t="shared" si="1"/>
        <v>#N/A</v>
      </c>
      <c r="D121" s="47" t="s">
        <v>606</v>
      </c>
      <c r="E121" s="47">
        <v>678726.0</v>
      </c>
      <c r="F121" s="47" t="s">
        <v>60</v>
      </c>
      <c r="G121" s="47" t="s">
        <v>62</v>
      </c>
      <c r="H121" s="47" t="s">
        <v>599</v>
      </c>
      <c r="I121" s="47" t="s">
        <v>600</v>
      </c>
      <c r="J121" s="47" t="s">
        <v>649</v>
      </c>
      <c r="K121" s="48">
        <v>46082.0</v>
      </c>
      <c r="L121" s="47">
        <f t="shared" si="2"/>
        <v>17</v>
      </c>
      <c r="M121" s="43" t="s">
        <v>874</v>
      </c>
      <c r="N121" s="49">
        <v>9.1483359E8</v>
      </c>
      <c r="O121" s="41">
        <v>50.0</v>
      </c>
      <c r="P121" s="50">
        <v>0.32</v>
      </c>
      <c r="Q121" s="41">
        <v>16.0</v>
      </c>
      <c r="R121" s="47" t="s">
        <v>873</v>
      </c>
      <c r="S121" s="47" t="s">
        <v>867</v>
      </c>
      <c r="T121" s="49">
        <v>1.6202925E7</v>
      </c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</row>
    <row r="122" ht="14.25" customHeight="1">
      <c r="A122" s="47" t="s">
        <v>73</v>
      </c>
      <c r="B122" s="47" t="s">
        <v>74</v>
      </c>
      <c r="C122" s="42" t="str">
        <f t="shared" si="1"/>
        <v>#N/A</v>
      </c>
      <c r="D122" s="47" t="s">
        <v>794</v>
      </c>
      <c r="E122" s="47">
        <v>703501.0</v>
      </c>
      <c r="F122" s="47" t="s">
        <v>75</v>
      </c>
      <c r="G122" s="47" t="s">
        <v>77</v>
      </c>
      <c r="H122" s="47" t="s">
        <v>599</v>
      </c>
      <c r="I122" s="47" t="s">
        <v>600</v>
      </c>
      <c r="J122" s="47" t="s">
        <v>649</v>
      </c>
      <c r="K122" s="48">
        <v>46082.0</v>
      </c>
      <c r="L122" s="47">
        <f t="shared" si="2"/>
        <v>17</v>
      </c>
      <c r="M122" s="43" t="s">
        <v>874</v>
      </c>
      <c r="N122" s="49">
        <v>6.90892951E8</v>
      </c>
      <c r="O122" s="41">
        <v>93.0</v>
      </c>
      <c r="P122" s="50">
        <v>0.24</v>
      </c>
      <c r="Q122" s="41">
        <v>22.32</v>
      </c>
      <c r="R122" s="47" t="s">
        <v>866</v>
      </c>
      <c r="S122" s="47" t="s">
        <v>893</v>
      </c>
      <c r="T122" s="49">
        <v>1706194.0</v>
      </c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</row>
    <row r="123" ht="14.25" customHeight="1">
      <c r="A123" s="47" t="s">
        <v>374</v>
      </c>
      <c r="B123" s="47" t="s">
        <v>375</v>
      </c>
      <c r="C123" s="42" t="str">
        <f t="shared" si="1"/>
        <v>#N/A</v>
      </c>
      <c r="D123" s="47" t="s">
        <v>606</v>
      </c>
      <c r="E123" s="47">
        <v>678726.0</v>
      </c>
      <c r="F123" s="47" t="s">
        <v>60</v>
      </c>
      <c r="G123" s="47" t="s">
        <v>42</v>
      </c>
      <c r="H123" s="47" t="s">
        <v>617</v>
      </c>
      <c r="I123" s="47" t="s">
        <v>618</v>
      </c>
      <c r="J123" s="47" t="s">
        <v>669</v>
      </c>
      <c r="K123" s="48">
        <v>46082.0</v>
      </c>
      <c r="L123" s="47">
        <f t="shared" si="2"/>
        <v>18</v>
      </c>
      <c r="M123" s="43" t="s">
        <v>874</v>
      </c>
      <c r="N123" s="49">
        <v>6.76321759E8</v>
      </c>
      <c r="O123" s="41">
        <v>11.0</v>
      </c>
      <c r="P123" s="50">
        <v>0.37</v>
      </c>
      <c r="Q123" s="41">
        <v>4.07</v>
      </c>
      <c r="R123" s="47" t="s">
        <v>863</v>
      </c>
      <c r="S123" s="47" t="s">
        <v>867</v>
      </c>
      <c r="T123" s="49">
        <v>1.6202925E7</v>
      </c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</row>
    <row r="124" ht="14.25" customHeight="1">
      <c r="A124" s="47" t="s">
        <v>173</v>
      </c>
      <c r="B124" s="47" t="s">
        <v>174</v>
      </c>
      <c r="C124" s="42" t="str">
        <f t="shared" si="1"/>
        <v>#N/A</v>
      </c>
      <c r="D124" s="47" t="s">
        <v>606</v>
      </c>
      <c r="E124" s="47">
        <v>781535.0</v>
      </c>
      <c r="F124" s="47" t="s">
        <v>54</v>
      </c>
      <c r="G124" s="47" t="s">
        <v>42</v>
      </c>
      <c r="H124" s="47" t="s">
        <v>617</v>
      </c>
      <c r="I124" s="47" t="s">
        <v>618</v>
      </c>
      <c r="J124" s="47" t="s">
        <v>669</v>
      </c>
      <c r="K124" s="48">
        <v>46082.0</v>
      </c>
      <c r="L124" s="47">
        <f t="shared" si="2"/>
        <v>18</v>
      </c>
      <c r="M124" s="43" t="s">
        <v>874</v>
      </c>
      <c r="N124" s="49">
        <v>1.25532058E8</v>
      </c>
      <c r="O124" s="41">
        <v>11.0</v>
      </c>
      <c r="P124" s="50">
        <v>0.37</v>
      </c>
      <c r="Q124" s="41">
        <v>4.07</v>
      </c>
      <c r="R124" s="47" t="s">
        <v>863</v>
      </c>
      <c r="S124" s="47" t="s">
        <v>894</v>
      </c>
      <c r="T124" s="49">
        <v>1.8010408E7</v>
      </c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</row>
    <row r="125" ht="14.25" customHeight="1">
      <c r="A125" s="47" t="s">
        <v>195</v>
      </c>
      <c r="B125" s="47" t="s">
        <v>507</v>
      </c>
      <c r="C125" s="42" t="str">
        <f t="shared" si="1"/>
        <v>#N/A</v>
      </c>
      <c r="D125" s="47" t="s">
        <v>611</v>
      </c>
      <c r="E125" s="47">
        <v>781535.0</v>
      </c>
      <c r="F125" s="47" t="s">
        <v>54</v>
      </c>
      <c r="G125" s="47" t="s">
        <v>42</v>
      </c>
      <c r="H125" s="47" t="s">
        <v>617</v>
      </c>
      <c r="I125" s="47" t="s">
        <v>618</v>
      </c>
      <c r="J125" s="47" t="s">
        <v>669</v>
      </c>
      <c r="K125" s="48">
        <v>46082.0</v>
      </c>
      <c r="L125" s="47">
        <f t="shared" si="2"/>
        <v>18</v>
      </c>
      <c r="M125" s="43" t="s">
        <v>874</v>
      </c>
      <c r="N125" s="49">
        <v>8.68422442E8</v>
      </c>
      <c r="O125" s="41">
        <v>15.0</v>
      </c>
      <c r="P125" s="50">
        <v>0.37</v>
      </c>
      <c r="Q125" s="41">
        <v>5.55</v>
      </c>
      <c r="R125" s="47" t="s">
        <v>863</v>
      </c>
      <c r="S125" s="47" t="s">
        <v>894</v>
      </c>
      <c r="T125" s="49">
        <v>1.8010408E7</v>
      </c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</row>
    <row r="126" ht="14.25" customHeight="1">
      <c r="A126" s="47" t="s">
        <v>52</v>
      </c>
      <c r="B126" s="47" t="s">
        <v>53</v>
      </c>
      <c r="C126" s="42" t="str">
        <f t="shared" si="1"/>
        <v>#N/A</v>
      </c>
      <c r="D126" s="47" t="s">
        <v>611</v>
      </c>
      <c r="E126" s="47">
        <v>781535.0</v>
      </c>
      <c r="F126" s="47" t="s">
        <v>54</v>
      </c>
      <c r="G126" s="47" t="s">
        <v>42</v>
      </c>
      <c r="H126" s="47" t="s">
        <v>617</v>
      </c>
      <c r="I126" s="47" t="s">
        <v>618</v>
      </c>
      <c r="J126" s="47" t="s">
        <v>669</v>
      </c>
      <c r="K126" s="48">
        <v>46082.0</v>
      </c>
      <c r="L126" s="47">
        <f t="shared" si="2"/>
        <v>18</v>
      </c>
      <c r="M126" s="43" t="s">
        <v>874</v>
      </c>
      <c r="N126" s="49">
        <v>5.83635919E8</v>
      </c>
      <c r="O126" s="41">
        <v>15.0</v>
      </c>
      <c r="P126" s="50">
        <v>0.37</v>
      </c>
      <c r="Q126" s="41">
        <v>5.55</v>
      </c>
      <c r="R126" s="47" t="s">
        <v>863</v>
      </c>
      <c r="S126" s="47" t="s">
        <v>894</v>
      </c>
      <c r="T126" s="49">
        <v>1.8010408E7</v>
      </c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</row>
    <row r="127" ht="14.25" customHeight="1">
      <c r="A127" s="47" t="s">
        <v>450</v>
      </c>
      <c r="B127" s="47" t="s">
        <v>451</v>
      </c>
      <c r="C127" s="42" t="str">
        <f t="shared" si="1"/>
        <v>#N/A</v>
      </c>
      <c r="D127" s="47" t="s">
        <v>631</v>
      </c>
      <c r="E127" s="47">
        <v>759555.0</v>
      </c>
      <c r="F127" s="47" t="s">
        <v>48</v>
      </c>
      <c r="G127" s="47" t="s">
        <v>42</v>
      </c>
      <c r="H127" s="47" t="s">
        <v>617</v>
      </c>
      <c r="I127" s="47" t="s">
        <v>618</v>
      </c>
      <c r="J127" s="47" t="s">
        <v>669</v>
      </c>
      <c r="K127" s="48">
        <v>46082.0</v>
      </c>
      <c r="L127" s="47">
        <f t="shared" si="2"/>
        <v>18</v>
      </c>
      <c r="M127" s="43" t="s">
        <v>874</v>
      </c>
      <c r="N127" s="49">
        <v>6.29957651E8</v>
      </c>
      <c r="O127" s="41">
        <v>20.0</v>
      </c>
      <c r="P127" s="50">
        <v>0.37</v>
      </c>
      <c r="Q127" s="41">
        <v>7.4</v>
      </c>
      <c r="R127" s="47" t="s">
        <v>863</v>
      </c>
      <c r="S127" s="47" t="s">
        <v>864</v>
      </c>
      <c r="T127" s="49">
        <v>1.9200754E7</v>
      </c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</row>
    <row r="128" ht="14.25" customHeight="1">
      <c r="A128" s="47" t="s">
        <v>173</v>
      </c>
      <c r="B128" s="47" t="s">
        <v>174</v>
      </c>
      <c r="C128" s="42" t="str">
        <f t="shared" si="1"/>
        <v>#N/A</v>
      </c>
      <c r="D128" s="47" t="s">
        <v>606</v>
      </c>
      <c r="E128" s="47">
        <v>781535.0</v>
      </c>
      <c r="F128" s="47" t="s">
        <v>54</v>
      </c>
      <c r="G128" s="47" t="s">
        <v>33</v>
      </c>
      <c r="H128" s="47" t="s">
        <v>599</v>
      </c>
      <c r="I128" s="47" t="s">
        <v>600</v>
      </c>
      <c r="J128" s="47" t="s">
        <v>669</v>
      </c>
      <c r="K128" s="48">
        <v>46082.0</v>
      </c>
      <c r="L128" s="47">
        <f t="shared" si="2"/>
        <v>18</v>
      </c>
      <c r="M128" s="43" t="s">
        <v>874</v>
      </c>
      <c r="N128" s="49">
        <v>3.84672439E8</v>
      </c>
      <c r="O128" s="41">
        <v>66.0</v>
      </c>
      <c r="P128" s="50">
        <v>0.24</v>
      </c>
      <c r="Q128" s="41">
        <v>15.84</v>
      </c>
      <c r="R128" s="47" t="s">
        <v>866</v>
      </c>
      <c r="S128" s="47" t="s">
        <v>894</v>
      </c>
      <c r="T128" s="49">
        <v>1.8010408E7</v>
      </c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</row>
    <row r="129" ht="14.25" customHeight="1">
      <c r="A129" s="47" t="s">
        <v>450</v>
      </c>
      <c r="B129" s="47" t="s">
        <v>451</v>
      </c>
      <c r="C129" s="42" t="str">
        <f t="shared" si="1"/>
        <v>#N/A</v>
      </c>
      <c r="D129" s="47" t="s">
        <v>631</v>
      </c>
      <c r="E129" s="47">
        <v>759555.0</v>
      </c>
      <c r="F129" s="47" t="s">
        <v>48</v>
      </c>
      <c r="G129" s="47" t="s">
        <v>106</v>
      </c>
      <c r="H129" s="47" t="s">
        <v>599</v>
      </c>
      <c r="I129" s="47" t="s">
        <v>600</v>
      </c>
      <c r="J129" s="47" t="s">
        <v>669</v>
      </c>
      <c r="K129" s="48">
        <v>46082.0</v>
      </c>
      <c r="L129" s="47">
        <f t="shared" si="2"/>
        <v>18</v>
      </c>
      <c r="M129" s="43" t="s">
        <v>874</v>
      </c>
      <c r="N129" s="49">
        <v>6.73613358E8</v>
      </c>
      <c r="O129" s="41">
        <v>112.0</v>
      </c>
      <c r="P129" s="50">
        <v>0.24</v>
      </c>
      <c r="Q129" s="41">
        <v>26.88</v>
      </c>
      <c r="R129" s="47" t="s">
        <v>866</v>
      </c>
      <c r="S129" s="47" t="s">
        <v>864</v>
      </c>
      <c r="T129" s="49">
        <v>1.9200754E7</v>
      </c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</row>
    <row r="130" ht="14.25" customHeight="1">
      <c r="A130" s="47" t="s">
        <v>195</v>
      </c>
      <c r="B130" s="47" t="s">
        <v>507</v>
      </c>
      <c r="C130" s="42" t="str">
        <f t="shared" si="1"/>
        <v>#N/A</v>
      </c>
      <c r="D130" s="47" t="s">
        <v>611</v>
      </c>
      <c r="E130" s="47">
        <v>781535.0</v>
      </c>
      <c r="F130" s="47" t="s">
        <v>54</v>
      </c>
      <c r="G130" s="47" t="s">
        <v>33</v>
      </c>
      <c r="H130" s="47" t="s">
        <v>599</v>
      </c>
      <c r="I130" s="47" t="s">
        <v>600</v>
      </c>
      <c r="J130" s="47" t="s">
        <v>669</v>
      </c>
      <c r="K130" s="48">
        <v>46082.0</v>
      </c>
      <c r="L130" s="47">
        <f t="shared" si="2"/>
        <v>18</v>
      </c>
      <c r="M130" s="43" t="s">
        <v>874</v>
      </c>
      <c r="N130" s="49">
        <v>4.0198305E7</v>
      </c>
      <c r="O130" s="41">
        <v>121.0</v>
      </c>
      <c r="P130" s="50">
        <v>0.24</v>
      </c>
      <c r="Q130" s="41">
        <v>29.04</v>
      </c>
      <c r="R130" s="47" t="s">
        <v>866</v>
      </c>
      <c r="S130" s="47" t="s">
        <v>894</v>
      </c>
      <c r="T130" s="49">
        <v>1.8010408E7</v>
      </c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</row>
    <row r="131" ht="14.25" customHeight="1">
      <c r="A131" s="47" t="s">
        <v>52</v>
      </c>
      <c r="B131" s="47" t="s">
        <v>53</v>
      </c>
      <c r="C131" s="42" t="str">
        <f t="shared" si="1"/>
        <v>#N/A</v>
      </c>
      <c r="D131" s="47" t="s">
        <v>611</v>
      </c>
      <c r="E131" s="47">
        <v>781535.0</v>
      </c>
      <c r="F131" s="47" t="s">
        <v>54</v>
      </c>
      <c r="G131" s="47" t="s">
        <v>33</v>
      </c>
      <c r="H131" s="47" t="s">
        <v>599</v>
      </c>
      <c r="I131" s="47" t="s">
        <v>600</v>
      </c>
      <c r="J131" s="47" t="s">
        <v>669</v>
      </c>
      <c r="K131" s="48">
        <v>46082.0</v>
      </c>
      <c r="L131" s="47">
        <f t="shared" si="2"/>
        <v>18</v>
      </c>
      <c r="M131" s="43" t="s">
        <v>874</v>
      </c>
      <c r="N131" s="49">
        <v>4.76855083E8</v>
      </c>
      <c r="O131" s="41">
        <v>132.0</v>
      </c>
      <c r="P131" s="50">
        <v>0.24</v>
      </c>
      <c r="Q131" s="41">
        <v>31.68</v>
      </c>
      <c r="R131" s="47" t="s">
        <v>866</v>
      </c>
      <c r="S131" s="47" t="s">
        <v>894</v>
      </c>
      <c r="T131" s="49">
        <v>1.8010408E7</v>
      </c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</row>
    <row r="132" ht="14.25" customHeight="1">
      <c r="A132" s="47" t="s">
        <v>82</v>
      </c>
      <c r="B132" s="47" t="s">
        <v>83</v>
      </c>
      <c r="C132" s="42" t="str">
        <f t="shared" si="1"/>
        <v>#N/A</v>
      </c>
      <c r="D132" s="47" t="s">
        <v>631</v>
      </c>
      <c r="E132" s="47">
        <v>764002.0</v>
      </c>
      <c r="F132" s="47" t="s">
        <v>84</v>
      </c>
      <c r="G132" s="47" t="s">
        <v>86</v>
      </c>
      <c r="H132" s="47" t="s">
        <v>599</v>
      </c>
      <c r="I132" s="47" t="s">
        <v>600</v>
      </c>
      <c r="J132" s="47" t="s">
        <v>797</v>
      </c>
      <c r="K132" s="48">
        <v>46082.0</v>
      </c>
      <c r="L132" s="47">
        <f t="shared" si="2"/>
        <v>19</v>
      </c>
      <c r="M132" s="43" t="s">
        <v>874</v>
      </c>
      <c r="N132" s="49">
        <v>6.04649461E8</v>
      </c>
      <c r="O132" s="41">
        <v>124.0</v>
      </c>
      <c r="P132" s="50">
        <v>0.24</v>
      </c>
      <c r="Q132" s="41">
        <v>29.76</v>
      </c>
      <c r="R132" s="47" t="s">
        <v>866</v>
      </c>
      <c r="S132" s="47" t="s">
        <v>892</v>
      </c>
      <c r="T132" s="49">
        <v>1.8828278E7</v>
      </c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</row>
    <row r="133" ht="14.25" customHeight="1">
      <c r="A133" s="47" t="s">
        <v>461</v>
      </c>
      <c r="B133" s="47" t="s">
        <v>462</v>
      </c>
      <c r="C133" s="42" t="str">
        <f t="shared" si="1"/>
        <v>#N/A</v>
      </c>
      <c r="D133" s="47" t="s">
        <v>719</v>
      </c>
      <c r="E133" s="47">
        <v>653470.0</v>
      </c>
      <c r="F133" s="47" t="s">
        <v>2</v>
      </c>
      <c r="G133" s="47" t="s">
        <v>464</v>
      </c>
      <c r="H133" s="47" t="s">
        <v>599</v>
      </c>
      <c r="I133" s="47" t="s">
        <v>600</v>
      </c>
      <c r="J133" s="47" t="s">
        <v>721</v>
      </c>
      <c r="K133" s="48">
        <v>46082.0</v>
      </c>
      <c r="L133" s="47">
        <f t="shared" si="2"/>
        <v>20</v>
      </c>
      <c r="M133" s="43" t="s">
        <v>874</v>
      </c>
      <c r="N133" s="49">
        <v>6.94607964E8</v>
      </c>
      <c r="O133" s="41">
        <v>172.0</v>
      </c>
      <c r="P133" s="50">
        <v>0.26</v>
      </c>
      <c r="Q133" s="41">
        <v>44.72</v>
      </c>
      <c r="R133" s="47" t="s">
        <v>895</v>
      </c>
      <c r="S133" s="47" t="s">
        <v>881</v>
      </c>
      <c r="T133" s="49">
        <v>1.5278437E7</v>
      </c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</row>
    <row r="134" ht="14.25" customHeight="1">
      <c r="A134" s="47" t="s">
        <v>158</v>
      </c>
      <c r="B134" s="47" t="s">
        <v>159</v>
      </c>
      <c r="C134" s="42" t="str">
        <f t="shared" si="1"/>
        <v>#N/A</v>
      </c>
      <c r="D134" s="47" t="s">
        <v>736</v>
      </c>
      <c r="E134" s="47">
        <v>657149.0</v>
      </c>
      <c r="F134" s="47" t="s">
        <v>160</v>
      </c>
      <c r="G134" s="47" t="s">
        <v>162</v>
      </c>
      <c r="H134" s="47" t="s">
        <v>599</v>
      </c>
      <c r="I134" s="47" t="s">
        <v>600</v>
      </c>
      <c r="J134" s="47" t="s">
        <v>721</v>
      </c>
      <c r="K134" s="48">
        <v>46082.0</v>
      </c>
      <c r="L134" s="47">
        <f t="shared" si="2"/>
        <v>20</v>
      </c>
      <c r="M134" s="43" t="s">
        <v>874</v>
      </c>
      <c r="N134" s="49">
        <v>1.72575174E8</v>
      </c>
      <c r="O134" s="41">
        <v>212.0</v>
      </c>
      <c r="P134" s="50">
        <v>0.26</v>
      </c>
      <c r="Q134" s="41">
        <v>55.12</v>
      </c>
      <c r="R134" s="47" t="s">
        <v>895</v>
      </c>
      <c r="S134" s="47" t="s">
        <v>896</v>
      </c>
      <c r="T134" s="49">
        <v>9079571.0</v>
      </c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</row>
    <row r="135" ht="14.25" customHeight="1">
      <c r="A135" s="47" t="s">
        <v>148</v>
      </c>
      <c r="B135" s="47" t="s">
        <v>149</v>
      </c>
      <c r="C135" s="42" t="str">
        <f t="shared" si="1"/>
        <v>#N/A</v>
      </c>
      <c r="D135" s="47" t="s">
        <v>631</v>
      </c>
      <c r="E135" s="47">
        <v>757209.0</v>
      </c>
      <c r="F135" s="47" t="s">
        <v>150</v>
      </c>
      <c r="G135" s="47" t="s">
        <v>42</v>
      </c>
      <c r="H135" s="47" t="s">
        <v>617</v>
      </c>
      <c r="I135" s="47" t="s">
        <v>618</v>
      </c>
      <c r="J135" s="47" t="s">
        <v>765</v>
      </c>
      <c r="K135" s="48">
        <v>46082.0</v>
      </c>
      <c r="L135" s="47">
        <f t="shared" si="2"/>
        <v>21</v>
      </c>
      <c r="M135" s="43" t="s">
        <v>874</v>
      </c>
      <c r="N135" s="49">
        <v>3.87100933E8</v>
      </c>
      <c r="O135" s="41">
        <v>15.0</v>
      </c>
      <c r="P135" s="50">
        <v>0.37</v>
      </c>
      <c r="Q135" s="41">
        <v>5.55</v>
      </c>
      <c r="R135" s="47" t="s">
        <v>863</v>
      </c>
      <c r="S135" s="47" t="s">
        <v>890</v>
      </c>
      <c r="T135" s="49">
        <v>8244481.0</v>
      </c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</row>
    <row r="136" ht="14.25" customHeight="1">
      <c r="A136" s="47" t="s">
        <v>153</v>
      </c>
      <c r="B136" s="47" t="s">
        <v>154</v>
      </c>
      <c r="C136" s="42" t="str">
        <f t="shared" si="1"/>
        <v>#N/A</v>
      </c>
      <c r="D136" s="47" t="s">
        <v>631</v>
      </c>
      <c r="E136" s="47">
        <v>757929.0</v>
      </c>
      <c r="F136" s="47" t="s">
        <v>134</v>
      </c>
      <c r="G136" s="47" t="s">
        <v>50</v>
      </c>
      <c r="H136" s="47" t="s">
        <v>599</v>
      </c>
      <c r="I136" s="47" t="s">
        <v>600</v>
      </c>
      <c r="J136" s="47" t="s">
        <v>765</v>
      </c>
      <c r="K136" s="48">
        <v>46082.0</v>
      </c>
      <c r="L136" s="47">
        <f t="shared" si="2"/>
        <v>21</v>
      </c>
      <c r="M136" s="43" t="s">
        <v>874</v>
      </c>
      <c r="N136" s="49">
        <v>3.79471379E8</v>
      </c>
      <c r="O136" s="41">
        <v>40.0</v>
      </c>
      <c r="P136" s="50">
        <v>0.24</v>
      </c>
      <c r="Q136" s="41">
        <v>9.6</v>
      </c>
      <c r="R136" s="47" t="s">
        <v>866</v>
      </c>
      <c r="S136" s="47" t="s">
        <v>882</v>
      </c>
      <c r="T136" s="49">
        <v>9213293.0</v>
      </c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</row>
    <row r="137" ht="14.25" customHeight="1">
      <c r="A137" s="47" t="s">
        <v>148</v>
      </c>
      <c r="B137" s="47" t="s">
        <v>149</v>
      </c>
      <c r="C137" s="42" t="str">
        <f t="shared" si="1"/>
        <v>#N/A</v>
      </c>
      <c r="D137" s="47" t="s">
        <v>631</v>
      </c>
      <c r="E137" s="47">
        <v>757209.0</v>
      </c>
      <c r="F137" s="47" t="s">
        <v>150</v>
      </c>
      <c r="G137" s="47" t="s">
        <v>50</v>
      </c>
      <c r="H137" s="47" t="s">
        <v>599</v>
      </c>
      <c r="I137" s="47" t="s">
        <v>600</v>
      </c>
      <c r="J137" s="47" t="s">
        <v>765</v>
      </c>
      <c r="K137" s="48">
        <v>46082.0</v>
      </c>
      <c r="L137" s="47">
        <f t="shared" si="2"/>
        <v>21</v>
      </c>
      <c r="M137" s="43" t="s">
        <v>874</v>
      </c>
      <c r="N137" s="49">
        <v>5.38144779E8</v>
      </c>
      <c r="O137" s="41">
        <v>95.0</v>
      </c>
      <c r="P137" s="50">
        <v>0.24</v>
      </c>
      <c r="Q137" s="41">
        <v>22.8</v>
      </c>
      <c r="R137" s="47" t="s">
        <v>866</v>
      </c>
      <c r="S137" s="47" t="s">
        <v>890</v>
      </c>
      <c r="T137" s="49">
        <v>8244481.0</v>
      </c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</row>
    <row r="138" ht="14.25" customHeight="1">
      <c r="A138" s="47" t="s">
        <v>93</v>
      </c>
      <c r="B138" s="47" t="s">
        <v>94</v>
      </c>
      <c r="C138" s="42" t="str">
        <f t="shared" si="1"/>
        <v>#N/A</v>
      </c>
      <c r="D138" s="47" t="s">
        <v>611</v>
      </c>
      <c r="E138" s="47">
        <v>653470.0</v>
      </c>
      <c r="F138" s="47" t="s">
        <v>2</v>
      </c>
      <c r="G138" s="47" t="s">
        <v>42</v>
      </c>
      <c r="H138" s="47" t="s">
        <v>617</v>
      </c>
      <c r="I138" s="47" t="s">
        <v>618</v>
      </c>
      <c r="J138" s="47" t="s">
        <v>745</v>
      </c>
      <c r="K138" s="48">
        <v>46082.0</v>
      </c>
      <c r="L138" s="47">
        <f t="shared" si="2"/>
        <v>22</v>
      </c>
      <c r="M138" s="43" t="s">
        <v>874</v>
      </c>
      <c r="N138" s="49">
        <v>7.84351926E8</v>
      </c>
      <c r="O138" s="41">
        <v>15.0</v>
      </c>
      <c r="P138" s="50">
        <v>0.37</v>
      </c>
      <c r="Q138" s="41">
        <v>5.55</v>
      </c>
      <c r="R138" s="47" t="s">
        <v>863</v>
      </c>
      <c r="S138" s="47" t="s">
        <v>881</v>
      </c>
      <c r="T138" s="49">
        <v>1.5278437E7</v>
      </c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</row>
    <row r="139" ht="14.25" customHeight="1">
      <c r="A139" s="47" t="s">
        <v>498</v>
      </c>
      <c r="B139" s="47" t="s">
        <v>499</v>
      </c>
      <c r="C139" s="42" t="str">
        <f t="shared" si="1"/>
        <v>#N/A</v>
      </c>
      <c r="D139" s="47" t="s">
        <v>596</v>
      </c>
      <c r="E139" s="47">
        <v>689390.0</v>
      </c>
      <c r="F139" s="47" t="s">
        <v>31</v>
      </c>
      <c r="G139" s="47" t="s">
        <v>33</v>
      </c>
      <c r="H139" s="47" t="s">
        <v>599</v>
      </c>
      <c r="I139" s="47" t="s">
        <v>600</v>
      </c>
      <c r="J139" s="47" t="s">
        <v>745</v>
      </c>
      <c r="K139" s="48">
        <v>46082.0</v>
      </c>
      <c r="L139" s="47">
        <f t="shared" si="2"/>
        <v>22</v>
      </c>
      <c r="M139" s="43" t="s">
        <v>874</v>
      </c>
      <c r="N139" s="49">
        <v>9.70685148E8</v>
      </c>
      <c r="O139" s="41">
        <v>66.0</v>
      </c>
      <c r="P139" s="50">
        <v>0.24</v>
      </c>
      <c r="Q139" s="41">
        <v>15.84</v>
      </c>
      <c r="R139" s="47" t="s">
        <v>866</v>
      </c>
      <c r="S139" s="47" t="s">
        <v>883</v>
      </c>
      <c r="T139" s="49" t="s">
        <v>897</v>
      </c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</row>
    <row r="140" ht="14.25" customHeight="1">
      <c r="A140" s="47" t="s">
        <v>201</v>
      </c>
      <c r="B140" s="47" t="s">
        <v>202</v>
      </c>
      <c r="C140" s="42" t="str">
        <f t="shared" si="1"/>
        <v>#N/A</v>
      </c>
      <c r="D140" s="47" t="s">
        <v>606</v>
      </c>
      <c r="E140" s="47">
        <v>723477.0</v>
      </c>
      <c r="F140" s="47" t="s">
        <v>203</v>
      </c>
      <c r="G140" s="47" t="s">
        <v>42</v>
      </c>
      <c r="H140" s="47" t="s">
        <v>617</v>
      </c>
      <c r="I140" s="47" t="s">
        <v>618</v>
      </c>
      <c r="J140" s="47" t="s">
        <v>791</v>
      </c>
      <c r="K140" s="48">
        <v>46082.0</v>
      </c>
      <c r="L140" s="47">
        <f t="shared" si="2"/>
        <v>24</v>
      </c>
      <c r="M140" s="43" t="s">
        <v>874</v>
      </c>
      <c r="N140" s="49">
        <v>1.73898668E8</v>
      </c>
      <c r="O140" s="41">
        <v>11.0</v>
      </c>
      <c r="P140" s="50">
        <v>0.37</v>
      </c>
      <c r="Q140" s="41">
        <v>4.07</v>
      </c>
      <c r="R140" s="47" t="s">
        <v>863</v>
      </c>
      <c r="S140" s="47" t="s">
        <v>898</v>
      </c>
      <c r="T140" s="49">
        <v>2.076909E7</v>
      </c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</row>
    <row r="141" ht="14.25" customHeight="1">
      <c r="A141" s="47" t="s">
        <v>64</v>
      </c>
      <c r="B141" s="47" t="s">
        <v>65</v>
      </c>
      <c r="C141" s="42" t="str">
        <f t="shared" si="1"/>
        <v>#N/A</v>
      </c>
      <c r="D141" s="47" t="s">
        <v>596</v>
      </c>
      <c r="E141" s="47">
        <v>689390.0</v>
      </c>
      <c r="F141" s="47" t="s">
        <v>31</v>
      </c>
      <c r="G141" s="47" t="s">
        <v>42</v>
      </c>
      <c r="H141" s="47" t="s">
        <v>617</v>
      </c>
      <c r="I141" s="47" t="s">
        <v>618</v>
      </c>
      <c r="J141" s="47" t="s">
        <v>791</v>
      </c>
      <c r="K141" s="48">
        <v>46082.0</v>
      </c>
      <c r="L141" s="47">
        <f t="shared" si="2"/>
        <v>24</v>
      </c>
      <c r="M141" s="43" t="s">
        <v>874</v>
      </c>
      <c r="N141" s="49">
        <v>2.52126537E8</v>
      </c>
      <c r="O141" s="41">
        <v>15.0</v>
      </c>
      <c r="P141" s="50">
        <v>0.37</v>
      </c>
      <c r="Q141" s="41">
        <v>5.55</v>
      </c>
      <c r="R141" s="47" t="s">
        <v>863</v>
      </c>
      <c r="S141" s="47" t="s">
        <v>883</v>
      </c>
      <c r="T141" s="49" t="s">
        <v>897</v>
      </c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</row>
    <row r="142" ht="14.25" customHeight="1">
      <c r="A142" s="47" t="s">
        <v>64</v>
      </c>
      <c r="B142" s="47" t="s">
        <v>65</v>
      </c>
      <c r="C142" s="42" t="str">
        <f t="shared" si="1"/>
        <v>#N/A</v>
      </c>
      <c r="D142" s="47" t="s">
        <v>596</v>
      </c>
      <c r="E142" s="47">
        <v>689390.0</v>
      </c>
      <c r="F142" s="47" t="s">
        <v>31</v>
      </c>
      <c r="G142" s="47" t="s">
        <v>33</v>
      </c>
      <c r="H142" s="47" t="s">
        <v>599</v>
      </c>
      <c r="I142" s="47" t="s">
        <v>600</v>
      </c>
      <c r="J142" s="47" t="s">
        <v>791</v>
      </c>
      <c r="K142" s="48">
        <v>46082.0</v>
      </c>
      <c r="L142" s="47">
        <f t="shared" si="2"/>
        <v>24</v>
      </c>
      <c r="M142" s="43" t="s">
        <v>874</v>
      </c>
      <c r="N142" s="49">
        <v>2.97820482E8</v>
      </c>
      <c r="O142" s="41">
        <v>134.0</v>
      </c>
      <c r="P142" s="50">
        <v>0.24</v>
      </c>
      <c r="Q142" s="41">
        <v>32.16</v>
      </c>
      <c r="R142" s="47" t="s">
        <v>866</v>
      </c>
      <c r="S142" s="47" t="s">
        <v>883</v>
      </c>
      <c r="T142" s="49" t="s">
        <v>897</v>
      </c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</row>
    <row r="143" ht="14.25" customHeight="1">
      <c r="A143" s="47" t="s">
        <v>566</v>
      </c>
      <c r="B143" s="47" t="s">
        <v>567</v>
      </c>
      <c r="C143" s="42" t="str">
        <f t="shared" si="1"/>
        <v>#N/A</v>
      </c>
      <c r="D143" s="47" t="s">
        <v>611</v>
      </c>
      <c r="E143" s="47">
        <v>689390.0</v>
      </c>
      <c r="F143" s="47" t="s">
        <v>31</v>
      </c>
      <c r="G143" s="47" t="s">
        <v>33</v>
      </c>
      <c r="H143" s="47" t="s">
        <v>599</v>
      </c>
      <c r="I143" s="47" t="s">
        <v>600</v>
      </c>
      <c r="J143" s="47" t="s">
        <v>696</v>
      </c>
      <c r="K143" s="48">
        <v>46082.0</v>
      </c>
      <c r="L143" s="47">
        <f t="shared" si="2"/>
        <v>26</v>
      </c>
      <c r="M143" s="43" t="s">
        <v>874</v>
      </c>
      <c r="N143" s="49">
        <v>4.38557821E8</v>
      </c>
      <c r="O143" s="41">
        <v>60.0</v>
      </c>
      <c r="P143" s="50">
        <v>0.24</v>
      </c>
      <c r="Q143" s="41">
        <v>14.4</v>
      </c>
      <c r="R143" s="47" t="s">
        <v>866</v>
      </c>
      <c r="S143" s="47" t="s">
        <v>883</v>
      </c>
      <c r="T143" s="49" t="s">
        <v>897</v>
      </c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</row>
    <row r="144" ht="14.25" customHeight="1">
      <c r="A144" s="47" t="s">
        <v>103</v>
      </c>
      <c r="B144" s="47" t="s">
        <v>104</v>
      </c>
      <c r="C144" s="42" t="str">
        <f t="shared" si="1"/>
        <v>#N/A</v>
      </c>
      <c r="D144" s="47" t="s">
        <v>611</v>
      </c>
      <c r="E144" s="47">
        <v>689390.0</v>
      </c>
      <c r="F144" s="47" t="s">
        <v>31</v>
      </c>
      <c r="G144" s="47" t="s">
        <v>106</v>
      </c>
      <c r="H144" s="47" t="s">
        <v>599</v>
      </c>
      <c r="I144" s="47" t="s">
        <v>600</v>
      </c>
      <c r="J144" s="47" t="s">
        <v>696</v>
      </c>
      <c r="K144" s="48">
        <v>46082.0</v>
      </c>
      <c r="L144" s="47">
        <f t="shared" si="2"/>
        <v>26</v>
      </c>
      <c r="M144" s="43" t="s">
        <v>874</v>
      </c>
      <c r="N144" s="49">
        <v>6.54081029E8</v>
      </c>
      <c r="O144" s="41">
        <v>76.0</v>
      </c>
      <c r="P144" s="50">
        <v>0.24</v>
      </c>
      <c r="Q144" s="41">
        <v>18.24</v>
      </c>
      <c r="R144" s="47" t="s">
        <v>866</v>
      </c>
      <c r="S144" s="47" t="s">
        <v>883</v>
      </c>
      <c r="T144" s="49" t="s">
        <v>897</v>
      </c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</row>
    <row r="145" ht="14.25" customHeight="1">
      <c r="A145" s="47" t="s">
        <v>108</v>
      </c>
      <c r="B145" s="47" t="s">
        <v>109</v>
      </c>
      <c r="C145" s="42" t="str">
        <f t="shared" si="1"/>
        <v>#N/A</v>
      </c>
      <c r="D145" s="47" t="s">
        <v>611</v>
      </c>
      <c r="E145" s="47">
        <v>689390.0</v>
      </c>
      <c r="F145" s="47" t="s">
        <v>31</v>
      </c>
      <c r="G145" s="47" t="s">
        <v>106</v>
      </c>
      <c r="H145" s="47" t="s">
        <v>599</v>
      </c>
      <c r="I145" s="47" t="s">
        <v>600</v>
      </c>
      <c r="J145" s="47" t="s">
        <v>696</v>
      </c>
      <c r="K145" s="48">
        <v>46082.0</v>
      </c>
      <c r="L145" s="47">
        <f t="shared" si="2"/>
        <v>26</v>
      </c>
      <c r="M145" s="43" t="s">
        <v>874</v>
      </c>
      <c r="N145" s="49">
        <v>1.18665193E8</v>
      </c>
      <c r="O145" s="41">
        <v>76.0</v>
      </c>
      <c r="P145" s="50">
        <v>0.24</v>
      </c>
      <c r="Q145" s="41">
        <v>18.24</v>
      </c>
      <c r="R145" s="47" t="s">
        <v>866</v>
      </c>
      <c r="S145" s="47" t="s">
        <v>883</v>
      </c>
      <c r="T145" s="49" t="s">
        <v>897</v>
      </c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</row>
    <row r="146" ht="14.25" customHeight="1">
      <c r="A146" s="47" t="s">
        <v>93</v>
      </c>
      <c r="B146" s="47" t="s">
        <v>94</v>
      </c>
      <c r="C146" s="42" t="str">
        <f t="shared" si="1"/>
        <v>#N/A</v>
      </c>
      <c r="D146" s="47" t="s">
        <v>611</v>
      </c>
      <c r="E146" s="47">
        <v>653470.0</v>
      </c>
      <c r="F146" s="47" t="s">
        <v>2</v>
      </c>
      <c r="G146" s="47" t="s">
        <v>33</v>
      </c>
      <c r="H146" s="47" t="s">
        <v>599</v>
      </c>
      <c r="I146" s="47" t="s">
        <v>600</v>
      </c>
      <c r="J146" s="47" t="s">
        <v>696</v>
      </c>
      <c r="K146" s="48">
        <v>46082.0</v>
      </c>
      <c r="L146" s="47">
        <f t="shared" si="2"/>
        <v>26</v>
      </c>
      <c r="M146" s="43" t="s">
        <v>874</v>
      </c>
      <c r="N146" s="49">
        <v>1.8199516E8</v>
      </c>
      <c r="O146" s="41">
        <v>120.0</v>
      </c>
      <c r="P146" s="50">
        <v>0.24</v>
      </c>
      <c r="Q146" s="41">
        <v>28.8</v>
      </c>
      <c r="R146" s="47" t="s">
        <v>866</v>
      </c>
      <c r="S146" s="47" t="s">
        <v>881</v>
      </c>
      <c r="T146" s="49">
        <v>1.5278437E7</v>
      </c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</row>
    <row r="147" ht="14.25" customHeight="1">
      <c r="A147" s="47" t="s">
        <v>314</v>
      </c>
      <c r="B147" s="47" t="s">
        <v>315</v>
      </c>
      <c r="C147" s="42" t="str">
        <f t="shared" si="1"/>
        <v>#N/A</v>
      </c>
      <c r="D147" s="47" t="s">
        <v>611</v>
      </c>
      <c r="E147" s="47">
        <v>720542.0</v>
      </c>
      <c r="F147" s="47" t="s">
        <v>316</v>
      </c>
      <c r="G147" s="47" t="s">
        <v>106</v>
      </c>
      <c r="H147" s="47" t="s">
        <v>599</v>
      </c>
      <c r="I147" s="47" t="s">
        <v>600</v>
      </c>
      <c r="J147" s="47" t="s">
        <v>805</v>
      </c>
      <c r="K147" s="48">
        <v>46082.0</v>
      </c>
      <c r="L147" s="47">
        <f t="shared" si="2"/>
        <v>27</v>
      </c>
      <c r="M147" s="43" t="s">
        <v>874</v>
      </c>
      <c r="N147" s="49">
        <v>7534852.0</v>
      </c>
      <c r="O147" s="41">
        <v>35.0</v>
      </c>
      <c r="P147" s="50">
        <v>0.03</v>
      </c>
      <c r="Q147" s="41">
        <v>1.05</v>
      </c>
      <c r="R147" s="47" t="s">
        <v>866</v>
      </c>
      <c r="S147" s="47" t="s">
        <v>899</v>
      </c>
      <c r="T147" s="49">
        <v>1.9861194E7</v>
      </c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</row>
    <row r="148" ht="14.25" customHeight="1">
      <c r="A148" s="47" t="s">
        <v>310</v>
      </c>
      <c r="B148" s="47" t="s">
        <v>311</v>
      </c>
      <c r="C148" s="42" t="str">
        <f t="shared" si="1"/>
        <v>#N/A</v>
      </c>
      <c r="D148" s="47" t="s">
        <v>611</v>
      </c>
      <c r="E148" s="47">
        <v>689390.0</v>
      </c>
      <c r="F148" s="47" t="s">
        <v>31</v>
      </c>
      <c r="G148" s="47" t="s">
        <v>33</v>
      </c>
      <c r="H148" s="47" t="s">
        <v>599</v>
      </c>
      <c r="I148" s="47" t="s">
        <v>600</v>
      </c>
      <c r="J148" s="47" t="s">
        <v>805</v>
      </c>
      <c r="K148" s="48">
        <v>46082.0</v>
      </c>
      <c r="L148" s="47">
        <f t="shared" si="2"/>
        <v>27</v>
      </c>
      <c r="M148" s="43" t="s">
        <v>874</v>
      </c>
      <c r="N148" s="49">
        <v>7.8980217E7</v>
      </c>
      <c r="O148" s="41">
        <v>65.0</v>
      </c>
      <c r="P148" s="50">
        <v>0.24</v>
      </c>
      <c r="Q148" s="41">
        <v>15.6</v>
      </c>
      <c r="R148" s="47" t="s">
        <v>866</v>
      </c>
      <c r="S148" s="47" t="s">
        <v>883</v>
      </c>
      <c r="T148" s="49" t="s">
        <v>897</v>
      </c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</row>
    <row r="149" ht="14.25" customHeight="1">
      <c r="A149" s="47" t="s">
        <v>297</v>
      </c>
      <c r="B149" s="47" t="s">
        <v>298</v>
      </c>
      <c r="C149" s="42" t="str">
        <f t="shared" si="1"/>
        <v>#N/A</v>
      </c>
      <c r="D149" s="47" t="s">
        <v>826</v>
      </c>
      <c r="E149" s="47">
        <v>703501.0</v>
      </c>
      <c r="F149" s="47" t="s">
        <v>75</v>
      </c>
      <c r="G149" s="47" t="s">
        <v>42</v>
      </c>
      <c r="H149" s="47" t="s">
        <v>617</v>
      </c>
      <c r="I149" s="47" t="s">
        <v>618</v>
      </c>
      <c r="J149" s="47" t="s">
        <v>613</v>
      </c>
      <c r="K149" s="48">
        <v>46082.0</v>
      </c>
      <c r="L149" s="47">
        <f t="shared" si="2"/>
        <v>28</v>
      </c>
      <c r="M149" s="43" t="s">
        <v>874</v>
      </c>
      <c r="N149" s="49">
        <v>4.6450342E8</v>
      </c>
      <c r="O149" s="41">
        <v>11.0</v>
      </c>
      <c r="P149" s="50">
        <v>0.37</v>
      </c>
      <c r="Q149" s="41">
        <v>4.07</v>
      </c>
      <c r="R149" s="47" t="s">
        <v>863</v>
      </c>
      <c r="S149" s="47" t="s">
        <v>893</v>
      </c>
      <c r="T149" s="49">
        <v>1706194.0</v>
      </c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</row>
    <row r="150" ht="14.25" customHeight="1">
      <c r="A150" s="47" t="s">
        <v>397</v>
      </c>
      <c r="B150" s="47" t="s">
        <v>398</v>
      </c>
      <c r="C150" s="42" t="str">
        <f t="shared" si="1"/>
        <v>#N/A</v>
      </c>
      <c r="D150" s="47" t="s">
        <v>611</v>
      </c>
      <c r="E150" s="47">
        <v>689390.0</v>
      </c>
      <c r="F150" s="47" t="s">
        <v>31</v>
      </c>
      <c r="G150" s="47" t="s">
        <v>33</v>
      </c>
      <c r="H150" s="47" t="s">
        <v>599</v>
      </c>
      <c r="I150" s="47" t="s">
        <v>600</v>
      </c>
      <c r="J150" s="47" t="s">
        <v>613</v>
      </c>
      <c r="K150" s="48">
        <v>46082.0</v>
      </c>
      <c r="L150" s="47">
        <f t="shared" si="2"/>
        <v>28</v>
      </c>
      <c r="M150" s="43" t="s">
        <v>874</v>
      </c>
      <c r="N150" s="49">
        <v>3.86395185E8</v>
      </c>
      <c r="O150" s="41">
        <v>60.0</v>
      </c>
      <c r="P150" s="50">
        <v>0.24</v>
      </c>
      <c r="Q150" s="41">
        <v>14.4</v>
      </c>
      <c r="R150" s="47" t="s">
        <v>866</v>
      </c>
      <c r="S150" s="47" t="s">
        <v>883</v>
      </c>
      <c r="T150" s="49" t="s">
        <v>897</v>
      </c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</row>
    <row r="151" ht="14.25" customHeight="1">
      <c r="A151" s="47" t="s">
        <v>461</v>
      </c>
      <c r="B151" s="47" t="s">
        <v>462</v>
      </c>
      <c r="C151" s="42" t="str">
        <f t="shared" si="1"/>
        <v>#N/A</v>
      </c>
      <c r="D151" s="47" t="s">
        <v>719</v>
      </c>
      <c r="E151" s="47">
        <v>653470.0</v>
      </c>
      <c r="F151" s="47" t="s">
        <v>2</v>
      </c>
      <c r="G151" s="47" t="s">
        <v>466</v>
      </c>
      <c r="H151" s="47" t="s">
        <v>617</v>
      </c>
      <c r="I151" s="47" t="s">
        <v>618</v>
      </c>
      <c r="J151" s="47" t="s">
        <v>725</v>
      </c>
      <c r="K151" s="48">
        <v>46082.0</v>
      </c>
      <c r="L151" s="47">
        <f t="shared" si="2"/>
        <v>39</v>
      </c>
      <c r="M151" s="43" t="s">
        <v>874</v>
      </c>
      <c r="N151" s="49">
        <v>2.41002988E8</v>
      </c>
      <c r="O151" s="41">
        <v>48.0</v>
      </c>
      <c r="P151" s="50">
        <v>0.26</v>
      </c>
      <c r="Q151" s="41">
        <v>12.48</v>
      </c>
      <c r="R151" s="47" t="s">
        <v>863</v>
      </c>
      <c r="S151" s="47" t="s">
        <v>881</v>
      </c>
      <c r="T151" s="49">
        <v>1.5278437E7</v>
      </c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</row>
    <row r="152" ht="14.25" customHeight="1">
      <c r="L152" s="47"/>
    </row>
    <row r="153" ht="14.25" customHeight="1">
      <c r="L153" s="47"/>
    </row>
    <row r="154" ht="14.25" customHeight="1">
      <c r="A154" s="51" t="s">
        <v>195</v>
      </c>
      <c r="B154" s="51" t="s">
        <v>196</v>
      </c>
      <c r="C154" s="51"/>
      <c r="D154" s="51" t="s">
        <v>822</v>
      </c>
      <c r="E154" s="51">
        <v>847313.0</v>
      </c>
      <c r="F154" s="51" t="s">
        <v>197</v>
      </c>
      <c r="G154" s="51" t="s">
        <v>199</v>
      </c>
      <c r="H154" s="51" t="s">
        <v>599</v>
      </c>
      <c r="I154" s="51" t="s">
        <v>600</v>
      </c>
      <c r="J154" s="51" t="s">
        <v>620</v>
      </c>
      <c r="K154" s="52">
        <v>46082.0</v>
      </c>
      <c r="L154" s="51">
        <f t="shared" ref="L154:L155" si="3">DATEDIF(J154,K154,"M")</f>
        <v>2</v>
      </c>
      <c r="M154" s="52" t="s">
        <v>862</v>
      </c>
      <c r="N154" s="53">
        <v>8.04164269E8</v>
      </c>
      <c r="O154" s="54">
        <v>-25.0</v>
      </c>
      <c r="P154" s="55">
        <v>0.24</v>
      </c>
      <c r="Q154" s="54">
        <v>-6.0</v>
      </c>
      <c r="R154" s="51" t="s">
        <v>866</v>
      </c>
      <c r="S154" s="51" t="s">
        <v>869</v>
      </c>
      <c r="T154" s="53" t="s">
        <v>870</v>
      </c>
      <c r="U154" s="51" t="s">
        <v>900</v>
      </c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</row>
    <row r="155" ht="14.25" customHeight="1">
      <c r="A155" s="51" t="s">
        <v>261</v>
      </c>
      <c r="B155" s="51" t="s">
        <v>262</v>
      </c>
      <c r="C155" s="51"/>
      <c r="D155" s="51" t="s">
        <v>794</v>
      </c>
      <c r="E155" s="51">
        <v>847313.0</v>
      </c>
      <c r="F155" s="51" t="s">
        <v>197</v>
      </c>
      <c r="G155" s="51" t="s">
        <v>42</v>
      </c>
      <c r="H155" s="51" t="s">
        <v>617</v>
      </c>
      <c r="I155" s="51" t="s">
        <v>618</v>
      </c>
      <c r="J155" s="51" t="s">
        <v>602</v>
      </c>
      <c r="K155" s="52">
        <v>46082.0</v>
      </c>
      <c r="L155" s="51">
        <f t="shared" si="3"/>
        <v>4</v>
      </c>
      <c r="M155" s="52" t="s">
        <v>862</v>
      </c>
      <c r="N155" s="53">
        <v>6.05728351E8</v>
      </c>
      <c r="O155" s="54">
        <v>-11.0</v>
      </c>
      <c r="P155" s="55">
        <v>0.37</v>
      </c>
      <c r="Q155" s="54">
        <v>-4.07</v>
      </c>
      <c r="R155" s="51" t="s">
        <v>863</v>
      </c>
      <c r="S155" s="51" t="s">
        <v>869</v>
      </c>
      <c r="T155" s="53" t="s">
        <v>870</v>
      </c>
      <c r="U155" s="51" t="s">
        <v>900</v>
      </c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</row>
    <row r="156" ht="14.25" customHeight="1">
      <c r="L156" s="47"/>
    </row>
    <row r="157" ht="14.25" customHeight="1">
      <c r="L157" s="47"/>
    </row>
    <row r="158" ht="14.25" customHeight="1">
      <c r="L158" s="47"/>
    </row>
    <row r="159" ht="14.25" customHeight="1">
      <c r="L159" s="47"/>
    </row>
    <row r="160" ht="14.25" customHeight="1">
      <c r="L160" s="47"/>
    </row>
    <row r="161" ht="14.25" customHeight="1">
      <c r="L161" s="47"/>
    </row>
    <row r="162" ht="14.25" customHeight="1">
      <c r="L162" s="47"/>
    </row>
    <row r="163" ht="14.25" customHeight="1">
      <c r="L163" s="47"/>
    </row>
    <row r="164" ht="14.25" customHeight="1">
      <c r="L164" s="47"/>
    </row>
    <row r="165" ht="14.25" customHeight="1">
      <c r="L165" s="47"/>
    </row>
    <row r="166" ht="14.25" customHeight="1">
      <c r="L166" s="47"/>
    </row>
    <row r="167" ht="14.25" customHeight="1">
      <c r="L167" s="47"/>
    </row>
    <row r="168" ht="14.25" customHeight="1">
      <c r="L168" s="47"/>
    </row>
    <row r="169" ht="14.25" customHeight="1">
      <c r="L169" s="47"/>
    </row>
    <row r="170" ht="14.25" customHeight="1">
      <c r="L170" s="47"/>
    </row>
    <row r="171" ht="14.25" customHeight="1">
      <c r="L171" s="47"/>
    </row>
    <row r="172" ht="14.25" customHeight="1">
      <c r="L172" s="47"/>
    </row>
    <row r="173" ht="14.25" customHeight="1">
      <c r="L173" s="47"/>
    </row>
    <row r="174" ht="14.25" customHeight="1">
      <c r="L174" s="47"/>
    </row>
    <row r="175" ht="14.25" customHeight="1">
      <c r="L175" s="47"/>
    </row>
    <row r="176" ht="14.25" customHeight="1">
      <c r="L176" s="47"/>
    </row>
    <row r="177" ht="14.25" customHeight="1">
      <c r="L177" s="47"/>
    </row>
    <row r="178" ht="14.25" customHeight="1">
      <c r="L178" s="47"/>
    </row>
    <row r="179" ht="14.25" customHeight="1">
      <c r="L179" s="47"/>
    </row>
    <row r="180" ht="14.25" customHeight="1">
      <c r="L180" s="47"/>
    </row>
    <row r="181" ht="14.25" customHeight="1">
      <c r="L181" s="47"/>
    </row>
    <row r="182" ht="14.25" customHeight="1">
      <c r="L182" s="47"/>
    </row>
    <row r="183" ht="14.25" customHeight="1">
      <c r="L183" s="47"/>
    </row>
    <row r="184" ht="14.25" customHeight="1">
      <c r="L184" s="47"/>
    </row>
    <row r="185" ht="14.25" customHeight="1">
      <c r="L185" s="47"/>
    </row>
    <row r="186" ht="14.25" customHeight="1">
      <c r="L186" s="47"/>
    </row>
    <row r="187" ht="14.25" customHeight="1">
      <c r="L187" s="47"/>
    </row>
    <row r="188" ht="14.25" customHeight="1">
      <c r="L188" s="47"/>
    </row>
    <row r="189" ht="14.25" customHeight="1">
      <c r="L189" s="47"/>
    </row>
    <row r="190" ht="14.25" customHeight="1">
      <c r="L190" s="47"/>
    </row>
    <row r="191" ht="14.25" customHeight="1">
      <c r="L191" s="47"/>
    </row>
    <row r="192" ht="14.25" customHeight="1">
      <c r="L192" s="47"/>
    </row>
    <row r="193" ht="14.25" customHeight="1">
      <c r="L193" s="47"/>
    </row>
    <row r="194" ht="14.25" customHeight="1">
      <c r="L194" s="47"/>
    </row>
    <row r="195" ht="14.25" customHeight="1">
      <c r="L195" s="47"/>
    </row>
    <row r="196" ht="14.25" customHeight="1">
      <c r="L196" s="47"/>
    </row>
    <row r="197" ht="14.25" customHeight="1">
      <c r="L197" s="47"/>
    </row>
    <row r="198" ht="14.25" customHeight="1">
      <c r="L198" s="47"/>
    </row>
    <row r="199" ht="14.25" customHeight="1">
      <c r="L199" s="47"/>
    </row>
    <row r="200" ht="14.25" customHeight="1">
      <c r="L200" s="47"/>
    </row>
    <row r="201" ht="14.25" customHeight="1">
      <c r="L201" s="47"/>
    </row>
    <row r="202" ht="14.25" customHeight="1">
      <c r="L202" s="47"/>
    </row>
    <row r="203" ht="14.25" customHeight="1">
      <c r="L203" s="47"/>
    </row>
    <row r="204" ht="14.25" customHeight="1">
      <c r="L204" s="47"/>
    </row>
    <row r="205" ht="14.25" customHeight="1">
      <c r="L205" s="47"/>
    </row>
    <row r="206" ht="14.25" customHeight="1">
      <c r="L206" s="47"/>
    </row>
    <row r="207" ht="14.25" customHeight="1">
      <c r="L207" s="47"/>
    </row>
    <row r="208" ht="14.25" customHeight="1">
      <c r="L208" s="47"/>
    </row>
    <row r="209" ht="14.25" customHeight="1">
      <c r="L209" s="47"/>
    </row>
    <row r="210" ht="14.25" customHeight="1">
      <c r="L210" s="47"/>
    </row>
    <row r="211" ht="14.25" customHeight="1">
      <c r="L211" s="47"/>
    </row>
    <row r="212" ht="14.25" customHeight="1">
      <c r="L212" s="47"/>
    </row>
    <row r="213" ht="14.25" customHeight="1">
      <c r="L213" s="47"/>
    </row>
    <row r="214" ht="14.25" customHeight="1">
      <c r="L214" s="47"/>
    </row>
    <row r="215" ht="14.25" customHeight="1">
      <c r="L215" s="47"/>
    </row>
    <row r="216" ht="14.25" customHeight="1">
      <c r="L216" s="47"/>
    </row>
    <row r="217" ht="14.25" customHeight="1">
      <c r="L217" s="47"/>
    </row>
    <row r="218" ht="14.25" customHeight="1">
      <c r="L218" s="47"/>
    </row>
    <row r="219" ht="14.25" customHeight="1">
      <c r="L219" s="47"/>
    </row>
    <row r="220" ht="14.25" customHeight="1">
      <c r="L220" s="47"/>
    </row>
    <row r="221" ht="14.25" customHeight="1">
      <c r="L221" s="47"/>
    </row>
    <row r="222" ht="14.25" customHeight="1">
      <c r="L222" s="47"/>
    </row>
    <row r="223" ht="14.25" customHeight="1">
      <c r="L223" s="47"/>
    </row>
    <row r="224" ht="14.25" customHeight="1">
      <c r="L224" s="47"/>
    </row>
    <row r="225" ht="14.25" customHeight="1">
      <c r="L225" s="47"/>
    </row>
    <row r="226" ht="14.25" customHeight="1">
      <c r="L226" s="47"/>
    </row>
    <row r="227" ht="14.25" customHeight="1">
      <c r="L227" s="47"/>
    </row>
    <row r="228" ht="14.25" customHeight="1">
      <c r="L228" s="47"/>
    </row>
    <row r="229" ht="14.25" customHeight="1">
      <c r="L229" s="47"/>
    </row>
    <row r="230" ht="14.25" customHeight="1">
      <c r="L230" s="47"/>
    </row>
    <row r="231" ht="14.25" customHeight="1">
      <c r="L231" s="47"/>
    </row>
    <row r="232" ht="14.25" customHeight="1">
      <c r="L232" s="47"/>
    </row>
    <row r="233" ht="14.25" customHeight="1">
      <c r="L233" s="47"/>
    </row>
    <row r="234" ht="14.25" customHeight="1">
      <c r="L234" s="47"/>
    </row>
    <row r="235" ht="14.25" customHeight="1">
      <c r="L235" s="47"/>
    </row>
    <row r="236" ht="14.25" customHeight="1">
      <c r="L236" s="47"/>
    </row>
    <row r="237" ht="14.25" customHeight="1">
      <c r="L237" s="47"/>
    </row>
    <row r="238" ht="14.25" customHeight="1">
      <c r="L238" s="47"/>
    </row>
    <row r="239" ht="14.25" customHeight="1">
      <c r="L239" s="47"/>
    </row>
    <row r="240" ht="14.25" customHeight="1">
      <c r="L240" s="47"/>
    </row>
    <row r="241" ht="14.25" customHeight="1">
      <c r="L241" s="47"/>
    </row>
    <row r="242" ht="14.25" customHeight="1">
      <c r="L242" s="47"/>
    </row>
    <row r="243" ht="14.25" customHeight="1">
      <c r="L243" s="47"/>
    </row>
    <row r="244" ht="14.25" customHeight="1">
      <c r="L244" s="47"/>
    </row>
    <row r="245" ht="14.25" customHeight="1">
      <c r="L245" s="47"/>
    </row>
    <row r="246" ht="14.25" customHeight="1">
      <c r="L246" s="47"/>
    </row>
    <row r="247" ht="14.25" customHeight="1">
      <c r="L247" s="47"/>
    </row>
    <row r="248" ht="14.25" customHeight="1">
      <c r="L248" s="47"/>
    </row>
    <row r="249" ht="14.25" customHeight="1">
      <c r="L249" s="47"/>
    </row>
    <row r="250" ht="14.25" customHeight="1">
      <c r="L250" s="47"/>
    </row>
    <row r="251" ht="14.25" customHeight="1">
      <c r="L251" s="47"/>
    </row>
    <row r="252" ht="14.25" customHeight="1">
      <c r="L252" s="47"/>
    </row>
    <row r="253" ht="14.25" customHeight="1">
      <c r="L253" s="47"/>
    </row>
    <row r="254" ht="14.25" customHeight="1">
      <c r="L254" s="47"/>
    </row>
    <row r="255" ht="14.25" customHeight="1">
      <c r="L255" s="47"/>
    </row>
    <row r="256" ht="14.25" customHeight="1">
      <c r="L256" s="47"/>
    </row>
    <row r="257" ht="14.25" customHeight="1">
      <c r="L257" s="47"/>
    </row>
    <row r="258" ht="14.25" customHeight="1">
      <c r="L258" s="47"/>
    </row>
    <row r="259" ht="14.25" customHeight="1">
      <c r="L259" s="47"/>
    </row>
    <row r="260" ht="14.25" customHeight="1">
      <c r="L260" s="47"/>
    </row>
    <row r="261" ht="14.25" customHeight="1">
      <c r="L261" s="47"/>
    </row>
    <row r="262" ht="14.25" customHeight="1">
      <c r="L262" s="47"/>
    </row>
    <row r="263" ht="14.25" customHeight="1">
      <c r="L263" s="47"/>
    </row>
    <row r="264" ht="14.25" customHeight="1">
      <c r="L264" s="47"/>
    </row>
    <row r="265" ht="14.25" customHeight="1">
      <c r="L265" s="47"/>
    </row>
    <row r="266" ht="14.25" customHeight="1">
      <c r="L266" s="47"/>
    </row>
    <row r="267" ht="14.25" customHeight="1">
      <c r="L267" s="47"/>
    </row>
    <row r="268" ht="14.25" customHeight="1">
      <c r="L268" s="47"/>
    </row>
    <row r="269" ht="14.25" customHeight="1">
      <c r="L269" s="47"/>
    </row>
    <row r="270" ht="14.25" customHeight="1">
      <c r="L270" s="47"/>
    </row>
    <row r="271" ht="14.25" customHeight="1">
      <c r="L271" s="47"/>
    </row>
    <row r="272" ht="14.25" customHeight="1">
      <c r="L272" s="47"/>
    </row>
    <row r="273" ht="14.25" customHeight="1">
      <c r="L273" s="47"/>
    </row>
    <row r="274" ht="14.25" customHeight="1">
      <c r="L274" s="47"/>
    </row>
    <row r="275" ht="14.25" customHeight="1">
      <c r="L275" s="47"/>
    </row>
    <row r="276" ht="14.25" customHeight="1">
      <c r="L276" s="47"/>
    </row>
    <row r="277" ht="14.25" customHeight="1">
      <c r="L277" s="47"/>
    </row>
    <row r="278" ht="14.25" customHeight="1">
      <c r="L278" s="47"/>
    </row>
    <row r="279" ht="14.25" customHeight="1">
      <c r="L279" s="47"/>
    </row>
    <row r="280" ht="14.25" customHeight="1">
      <c r="L280" s="47"/>
    </row>
    <row r="281" ht="14.25" customHeight="1">
      <c r="L281" s="47"/>
    </row>
    <row r="282" ht="14.25" customHeight="1">
      <c r="L282" s="47"/>
    </row>
    <row r="283" ht="14.25" customHeight="1">
      <c r="L283" s="47"/>
    </row>
    <row r="284" ht="14.25" customHeight="1">
      <c r="L284" s="47"/>
    </row>
    <row r="285" ht="14.25" customHeight="1">
      <c r="L285" s="47"/>
    </row>
    <row r="286" ht="14.25" customHeight="1">
      <c r="L286" s="47"/>
    </row>
    <row r="287" ht="14.25" customHeight="1">
      <c r="L287" s="47"/>
    </row>
    <row r="288" ht="14.25" customHeight="1">
      <c r="L288" s="47"/>
    </row>
    <row r="289" ht="14.25" customHeight="1">
      <c r="L289" s="47"/>
    </row>
    <row r="290" ht="14.25" customHeight="1">
      <c r="L290" s="47"/>
    </row>
    <row r="291" ht="14.25" customHeight="1">
      <c r="L291" s="47"/>
    </row>
    <row r="292" ht="14.25" customHeight="1">
      <c r="L292" s="47"/>
    </row>
    <row r="293" ht="14.25" customHeight="1">
      <c r="L293" s="47"/>
    </row>
    <row r="294" ht="14.25" customHeight="1">
      <c r="L294" s="47"/>
    </row>
    <row r="295" ht="14.25" customHeight="1">
      <c r="L295" s="47"/>
    </row>
    <row r="296" ht="14.25" customHeight="1">
      <c r="L296" s="47"/>
    </row>
    <row r="297" ht="14.25" customHeight="1">
      <c r="L297" s="47"/>
    </row>
    <row r="298" ht="14.25" customHeight="1">
      <c r="L298" s="47"/>
    </row>
    <row r="299" ht="14.25" customHeight="1">
      <c r="L299" s="47"/>
    </row>
    <row r="300" ht="14.25" customHeight="1">
      <c r="L300" s="47"/>
    </row>
    <row r="301" ht="14.25" customHeight="1">
      <c r="L301" s="47"/>
    </row>
    <row r="302" ht="14.25" customHeight="1">
      <c r="L302" s="47"/>
    </row>
    <row r="303" ht="14.25" customHeight="1">
      <c r="L303" s="47"/>
    </row>
    <row r="304" ht="14.25" customHeight="1">
      <c r="L304" s="47"/>
    </row>
    <row r="305" ht="14.25" customHeight="1">
      <c r="L305" s="47"/>
    </row>
    <row r="306" ht="14.25" customHeight="1">
      <c r="L306" s="47"/>
    </row>
    <row r="307" ht="14.25" customHeight="1">
      <c r="L307" s="47"/>
    </row>
    <row r="308" ht="14.25" customHeight="1">
      <c r="L308" s="47"/>
    </row>
    <row r="309" ht="14.25" customHeight="1">
      <c r="L309" s="47"/>
    </row>
    <row r="310" ht="14.25" customHeight="1">
      <c r="L310" s="47"/>
    </row>
    <row r="311" ht="14.25" customHeight="1">
      <c r="L311" s="47"/>
    </row>
    <row r="312" ht="14.25" customHeight="1">
      <c r="L312" s="47"/>
    </row>
    <row r="313" ht="14.25" customHeight="1">
      <c r="L313" s="47"/>
    </row>
    <row r="314" ht="14.25" customHeight="1">
      <c r="L314" s="47"/>
    </row>
    <row r="315" ht="14.25" customHeight="1">
      <c r="L315" s="47"/>
    </row>
    <row r="316" ht="14.25" customHeight="1">
      <c r="L316" s="47"/>
    </row>
    <row r="317" ht="14.25" customHeight="1">
      <c r="L317" s="47"/>
    </row>
    <row r="318" ht="14.25" customHeight="1">
      <c r="L318" s="47"/>
    </row>
    <row r="319" ht="14.25" customHeight="1">
      <c r="L319" s="47"/>
    </row>
    <row r="320" ht="14.25" customHeight="1">
      <c r="L320" s="47"/>
    </row>
    <row r="321" ht="14.25" customHeight="1">
      <c r="L321" s="47"/>
    </row>
    <row r="322" ht="14.25" customHeight="1">
      <c r="L322" s="47"/>
    </row>
    <row r="323" ht="14.25" customHeight="1">
      <c r="L323" s="47"/>
    </row>
    <row r="324" ht="14.25" customHeight="1">
      <c r="L324" s="47"/>
    </row>
    <row r="325" ht="14.25" customHeight="1">
      <c r="L325" s="47"/>
    </row>
    <row r="326" ht="14.25" customHeight="1">
      <c r="L326" s="47"/>
    </row>
    <row r="327" ht="14.25" customHeight="1">
      <c r="L327" s="47"/>
    </row>
    <row r="328" ht="14.25" customHeight="1">
      <c r="L328" s="47"/>
    </row>
    <row r="329" ht="14.25" customHeight="1">
      <c r="L329" s="47"/>
    </row>
    <row r="330" ht="14.25" customHeight="1">
      <c r="L330" s="47"/>
    </row>
    <row r="331" ht="14.25" customHeight="1">
      <c r="L331" s="47"/>
    </row>
    <row r="332" ht="14.25" customHeight="1">
      <c r="L332" s="47"/>
    </row>
    <row r="333" ht="14.25" customHeight="1">
      <c r="L333" s="47"/>
    </row>
    <row r="334" ht="14.25" customHeight="1">
      <c r="L334" s="47"/>
    </row>
    <row r="335" ht="14.25" customHeight="1">
      <c r="L335" s="47"/>
    </row>
    <row r="336" ht="14.25" customHeight="1">
      <c r="L336" s="47"/>
    </row>
    <row r="337" ht="14.25" customHeight="1">
      <c r="L337" s="47"/>
    </row>
    <row r="338" ht="14.25" customHeight="1">
      <c r="L338" s="47"/>
    </row>
    <row r="339" ht="14.25" customHeight="1">
      <c r="L339" s="47"/>
    </row>
    <row r="340" ht="14.25" customHeight="1">
      <c r="L340" s="47"/>
    </row>
    <row r="341" ht="14.25" customHeight="1">
      <c r="L341" s="47"/>
    </row>
    <row r="342" ht="14.25" customHeight="1">
      <c r="L342" s="47"/>
    </row>
    <row r="343" ht="14.25" customHeight="1">
      <c r="L343" s="47"/>
    </row>
    <row r="344" ht="14.25" customHeight="1">
      <c r="L344" s="47"/>
    </row>
    <row r="345" ht="14.25" customHeight="1">
      <c r="L345" s="47"/>
    </row>
    <row r="346" ht="14.25" customHeight="1">
      <c r="L346" s="47"/>
    </row>
    <row r="347" ht="14.25" customHeight="1">
      <c r="L347" s="47"/>
    </row>
    <row r="348" ht="14.25" customHeight="1">
      <c r="L348" s="47"/>
    </row>
    <row r="349" ht="14.25" customHeight="1">
      <c r="L349" s="47"/>
    </row>
    <row r="350" ht="14.25" customHeight="1">
      <c r="L350" s="47"/>
    </row>
    <row r="351" ht="14.25" customHeight="1">
      <c r="L351" s="47"/>
    </row>
    <row r="352" ht="14.25" customHeight="1">
      <c r="L352" s="47"/>
    </row>
    <row r="353" ht="14.25" customHeight="1">
      <c r="L353" s="47"/>
    </row>
    <row r="354" ht="14.25" customHeight="1">
      <c r="L354" s="47"/>
    </row>
    <row r="355" ht="14.25" customHeight="1">
      <c r="L355" s="47"/>
    </row>
    <row r="356" ht="14.25" customHeight="1">
      <c r="L356" s="47"/>
    </row>
    <row r="357" ht="14.25" customHeight="1">
      <c r="L357" s="47"/>
    </row>
    <row r="358" ht="14.25" customHeight="1">
      <c r="L358" s="47"/>
    </row>
    <row r="359" ht="14.25" customHeight="1">
      <c r="L359" s="47"/>
    </row>
    <row r="360" ht="14.25" customHeight="1">
      <c r="L360" s="47"/>
    </row>
    <row r="361" ht="14.25" customHeight="1">
      <c r="L361" s="47"/>
    </row>
    <row r="362" ht="14.25" customHeight="1">
      <c r="L362" s="47"/>
    </row>
    <row r="363" ht="14.25" customHeight="1">
      <c r="L363" s="47"/>
    </row>
    <row r="364" ht="14.25" customHeight="1">
      <c r="L364" s="47"/>
    </row>
    <row r="365" ht="14.25" customHeight="1">
      <c r="L365" s="47"/>
    </row>
    <row r="366" ht="14.25" customHeight="1">
      <c r="L366" s="47"/>
    </row>
    <row r="367" ht="14.25" customHeight="1">
      <c r="L367" s="47"/>
    </row>
    <row r="368" ht="14.25" customHeight="1">
      <c r="L368" s="47"/>
    </row>
    <row r="369" ht="14.25" customHeight="1">
      <c r="L369" s="47"/>
    </row>
    <row r="370" ht="14.25" customHeight="1">
      <c r="L370" s="47"/>
    </row>
    <row r="371" ht="14.25" customHeight="1">
      <c r="L371" s="47"/>
    </row>
    <row r="372" ht="14.25" customHeight="1">
      <c r="L372" s="47"/>
    </row>
    <row r="373" ht="14.25" customHeight="1">
      <c r="L373" s="47"/>
    </row>
    <row r="374" ht="14.25" customHeight="1">
      <c r="L374" s="47"/>
    </row>
    <row r="375" ht="14.25" customHeight="1">
      <c r="L375" s="47"/>
    </row>
    <row r="376" ht="14.25" customHeight="1">
      <c r="L376" s="47"/>
    </row>
    <row r="377" ht="14.25" customHeight="1">
      <c r="L377" s="47"/>
    </row>
    <row r="378" ht="14.25" customHeight="1">
      <c r="L378" s="47"/>
    </row>
    <row r="379" ht="14.25" customHeight="1">
      <c r="L379" s="47"/>
    </row>
    <row r="380" ht="14.25" customHeight="1">
      <c r="L380" s="47"/>
    </row>
    <row r="381" ht="14.25" customHeight="1">
      <c r="L381" s="47"/>
    </row>
    <row r="382" ht="14.25" customHeight="1">
      <c r="L382" s="47"/>
    </row>
    <row r="383" ht="14.25" customHeight="1">
      <c r="L383" s="47"/>
    </row>
    <row r="384" ht="14.25" customHeight="1">
      <c r="L384" s="47"/>
    </row>
    <row r="385" ht="14.25" customHeight="1">
      <c r="L385" s="47"/>
    </row>
    <row r="386" ht="14.25" customHeight="1">
      <c r="L386" s="47"/>
    </row>
    <row r="387" ht="14.25" customHeight="1">
      <c r="L387" s="47"/>
    </row>
    <row r="388" ht="14.25" customHeight="1">
      <c r="L388" s="47"/>
    </row>
    <row r="389" ht="14.25" customHeight="1">
      <c r="L389" s="47"/>
    </row>
    <row r="390" ht="14.25" customHeight="1">
      <c r="L390" s="47"/>
    </row>
    <row r="391" ht="14.25" customHeight="1">
      <c r="L391" s="47"/>
    </row>
    <row r="392" ht="14.25" customHeight="1">
      <c r="L392" s="47"/>
    </row>
    <row r="393" ht="14.25" customHeight="1">
      <c r="L393" s="47"/>
    </row>
    <row r="394" ht="14.25" customHeight="1">
      <c r="L394" s="47"/>
    </row>
    <row r="395" ht="14.25" customHeight="1">
      <c r="L395" s="47"/>
    </row>
    <row r="396" ht="14.25" customHeight="1">
      <c r="L396" s="47"/>
    </row>
    <row r="397" ht="14.25" customHeight="1">
      <c r="L397" s="47"/>
    </row>
    <row r="398" ht="14.25" customHeight="1">
      <c r="L398" s="47"/>
    </row>
    <row r="399" ht="14.25" customHeight="1">
      <c r="L399" s="47"/>
    </row>
    <row r="400" ht="14.25" customHeight="1">
      <c r="L400" s="47"/>
    </row>
    <row r="401" ht="14.25" customHeight="1">
      <c r="L401" s="47"/>
    </row>
    <row r="402" ht="14.25" customHeight="1">
      <c r="L402" s="47"/>
    </row>
    <row r="403" ht="14.25" customHeight="1">
      <c r="L403" s="47"/>
    </row>
    <row r="404" ht="14.25" customHeight="1">
      <c r="L404" s="47"/>
    </row>
    <row r="405" ht="14.25" customHeight="1">
      <c r="L405" s="47"/>
    </row>
    <row r="406" ht="14.25" customHeight="1">
      <c r="L406" s="47"/>
    </row>
    <row r="407" ht="14.25" customHeight="1">
      <c r="L407" s="47"/>
    </row>
    <row r="408" ht="14.25" customHeight="1">
      <c r="L408" s="47"/>
    </row>
    <row r="409" ht="14.25" customHeight="1">
      <c r="L409" s="47"/>
    </row>
    <row r="410" ht="14.25" customHeight="1">
      <c r="L410" s="47"/>
    </row>
    <row r="411" ht="14.25" customHeight="1">
      <c r="L411" s="47"/>
    </row>
    <row r="412" ht="14.25" customHeight="1">
      <c r="L412" s="47"/>
    </row>
    <row r="413" ht="14.25" customHeight="1">
      <c r="L413" s="47"/>
    </row>
    <row r="414" ht="14.25" customHeight="1">
      <c r="L414" s="47"/>
    </row>
    <row r="415" ht="14.25" customHeight="1">
      <c r="L415" s="47"/>
    </row>
    <row r="416" ht="14.25" customHeight="1">
      <c r="L416" s="47"/>
    </row>
    <row r="417" ht="14.25" customHeight="1">
      <c r="L417" s="47"/>
    </row>
    <row r="418" ht="14.25" customHeight="1">
      <c r="L418" s="47"/>
    </row>
    <row r="419" ht="14.25" customHeight="1">
      <c r="L419" s="47"/>
    </row>
    <row r="420" ht="14.25" customHeight="1">
      <c r="L420" s="47"/>
    </row>
    <row r="421" ht="14.25" customHeight="1">
      <c r="L421" s="47"/>
    </row>
    <row r="422" ht="14.25" customHeight="1">
      <c r="L422" s="47"/>
    </row>
    <row r="423" ht="14.25" customHeight="1">
      <c r="L423" s="47"/>
    </row>
    <row r="424" ht="14.25" customHeight="1">
      <c r="L424" s="47"/>
    </row>
    <row r="425" ht="14.25" customHeight="1">
      <c r="L425" s="47"/>
    </row>
    <row r="426" ht="14.25" customHeight="1">
      <c r="L426" s="47"/>
    </row>
    <row r="427" ht="14.25" customHeight="1">
      <c r="L427" s="47"/>
    </row>
    <row r="428" ht="14.25" customHeight="1">
      <c r="L428" s="47"/>
    </row>
    <row r="429" ht="14.25" customHeight="1">
      <c r="L429" s="47"/>
    </row>
    <row r="430" ht="14.25" customHeight="1">
      <c r="L430" s="47"/>
    </row>
    <row r="431" ht="14.25" customHeight="1">
      <c r="L431" s="47"/>
    </row>
    <row r="432" ht="14.25" customHeight="1">
      <c r="L432" s="47"/>
    </row>
    <row r="433" ht="14.25" customHeight="1">
      <c r="L433" s="47"/>
    </row>
    <row r="434" ht="14.25" customHeight="1">
      <c r="L434" s="47"/>
    </row>
    <row r="435" ht="14.25" customHeight="1">
      <c r="L435" s="47"/>
    </row>
    <row r="436" ht="14.25" customHeight="1">
      <c r="L436" s="47"/>
    </row>
    <row r="437" ht="14.25" customHeight="1">
      <c r="L437" s="47"/>
    </row>
    <row r="438" ht="14.25" customHeight="1">
      <c r="L438" s="47"/>
    </row>
    <row r="439" ht="14.25" customHeight="1">
      <c r="L439" s="47"/>
    </row>
    <row r="440" ht="14.25" customHeight="1">
      <c r="L440" s="47"/>
    </row>
    <row r="441" ht="14.25" customHeight="1">
      <c r="L441" s="47"/>
    </row>
    <row r="442" ht="14.25" customHeight="1">
      <c r="L442" s="47"/>
    </row>
    <row r="443" ht="14.25" customHeight="1">
      <c r="L443" s="47"/>
    </row>
    <row r="444" ht="14.25" customHeight="1">
      <c r="L444" s="47"/>
    </row>
    <row r="445" ht="14.25" customHeight="1">
      <c r="L445" s="47"/>
    </row>
    <row r="446" ht="14.25" customHeight="1">
      <c r="L446" s="47"/>
    </row>
    <row r="447" ht="14.25" customHeight="1">
      <c r="L447" s="47"/>
    </row>
    <row r="448" ht="14.25" customHeight="1">
      <c r="L448" s="47"/>
    </row>
    <row r="449" ht="14.25" customHeight="1">
      <c r="L449" s="47"/>
    </row>
    <row r="450" ht="14.25" customHeight="1">
      <c r="L450" s="47"/>
    </row>
    <row r="451" ht="14.25" customHeight="1">
      <c r="L451" s="47"/>
    </row>
    <row r="452" ht="14.25" customHeight="1">
      <c r="L452" s="47"/>
    </row>
    <row r="453" ht="14.25" customHeight="1">
      <c r="L453" s="47"/>
    </row>
    <row r="454" ht="14.25" customHeight="1">
      <c r="L454" s="47"/>
    </row>
    <row r="455" ht="14.25" customHeight="1">
      <c r="L455" s="47"/>
    </row>
    <row r="456" ht="14.25" customHeight="1">
      <c r="L456" s="47"/>
    </row>
    <row r="457" ht="14.25" customHeight="1">
      <c r="L457" s="47"/>
    </row>
    <row r="458" ht="14.25" customHeight="1">
      <c r="L458" s="47"/>
    </row>
    <row r="459" ht="14.25" customHeight="1">
      <c r="L459" s="47"/>
    </row>
    <row r="460" ht="14.25" customHeight="1">
      <c r="L460" s="47"/>
    </row>
    <row r="461" ht="14.25" customHeight="1">
      <c r="L461" s="47"/>
    </row>
    <row r="462" ht="14.25" customHeight="1">
      <c r="L462" s="47"/>
    </row>
    <row r="463" ht="14.25" customHeight="1">
      <c r="L463" s="47"/>
    </row>
    <row r="464" ht="14.25" customHeight="1">
      <c r="L464" s="47"/>
    </row>
    <row r="465" ht="14.25" customHeight="1">
      <c r="L465" s="47"/>
    </row>
    <row r="466" ht="14.25" customHeight="1">
      <c r="L466" s="47"/>
    </row>
    <row r="467" ht="14.25" customHeight="1">
      <c r="L467" s="47"/>
    </row>
    <row r="468" ht="14.25" customHeight="1">
      <c r="L468" s="47"/>
    </row>
    <row r="469" ht="14.25" customHeight="1">
      <c r="L469" s="47"/>
    </row>
    <row r="470" ht="14.25" customHeight="1">
      <c r="L470" s="47"/>
    </row>
    <row r="471" ht="14.25" customHeight="1">
      <c r="L471" s="47"/>
    </row>
    <row r="472" ht="14.25" customHeight="1">
      <c r="L472" s="47"/>
    </row>
    <row r="473" ht="14.25" customHeight="1">
      <c r="L473" s="47"/>
    </row>
    <row r="474" ht="14.25" customHeight="1">
      <c r="L474" s="47"/>
    </row>
    <row r="475" ht="14.25" customHeight="1">
      <c r="L475" s="47"/>
    </row>
    <row r="476" ht="14.25" customHeight="1">
      <c r="L476" s="47"/>
    </row>
    <row r="477" ht="14.25" customHeight="1">
      <c r="L477" s="47"/>
    </row>
    <row r="478" ht="14.25" customHeight="1">
      <c r="L478" s="47"/>
    </row>
    <row r="479" ht="14.25" customHeight="1">
      <c r="L479" s="47"/>
    </row>
    <row r="480" ht="14.25" customHeight="1">
      <c r="L480" s="47"/>
    </row>
    <row r="481" ht="14.25" customHeight="1">
      <c r="L481" s="47"/>
    </row>
    <row r="482" ht="14.25" customHeight="1">
      <c r="L482" s="47"/>
    </row>
    <row r="483" ht="14.25" customHeight="1">
      <c r="L483" s="47"/>
    </row>
    <row r="484" ht="14.25" customHeight="1">
      <c r="L484" s="47"/>
    </row>
    <row r="485" ht="14.25" customHeight="1">
      <c r="L485" s="47"/>
    </row>
    <row r="486" ht="14.25" customHeight="1">
      <c r="L486" s="47"/>
    </row>
    <row r="487" ht="14.25" customHeight="1">
      <c r="L487" s="47"/>
    </row>
    <row r="488" ht="14.25" customHeight="1">
      <c r="L488" s="47"/>
    </row>
    <row r="489" ht="14.25" customHeight="1">
      <c r="L489" s="47"/>
    </row>
    <row r="490" ht="14.25" customHeight="1">
      <c r="L490" s="47"/>
    </row>
    <row r="491" ht="14.25" customHeight="1">
      <c r="L491" s="47"/>
    </row>
    <row r="492" ht="14.25" customHeight="1">
      <c r="L492" s="47"/>
    </row>
    <row r="493" ht="14.25" customHeight="1">
      <c r="L493" s="47"/>
    </row>
    <row r="494" ht="14.25" customHeight="1">
      <c r="L494" s="47"/>
    </row>
    <row r="495" ht="14.25" customHeight="1">
      <c r="L495" s="47"/>
    </row>
    <row r="496" ht="14.25" customHeight="1">
      <c r="L496" s="47"/>
    </row>
    <row r="497" ht="14.25" customHeight="1">
      <c r="L497" s="47"/>
    </row>
    <row r="498" ht="14.25" customHeight="1">
      <c r="L498" s="47"/>
    </row>
    <row r="499" ht="14.25" customHeight="1">
      <c r="L499" s="47"/>
    </row>
    <row r="500" ht="14.25" customHeight="1">
      <c r="L500" s="47"/>
    </row>
    <row r="501" ht="14.25" customHeight="1">
      <c r="L501" s="47"/>
    </row>
    <row r="502" ht="14.25" customHeight="1">
      <c r="L502" s="47"/>
    </row>
    <row r="503" ht="14.25" customHeight="1">
      <c r="L503" s="47"/>
    </row>
    <row r="504" ht="14.25" customHeight="1">
      <c r="L504" s="47"/>
    </row>
    <row r="505" ht="14.25" customHeight="1">
      <c r="L505" s="47"/>
    </row>
    <row r="506" ht="14.25" customHeight="1">
      <c r="L506" s="47"/>
    </row>
    <row r="507" ht="14.25" customHeight="1">
      <c r="L507" s="47"/>
    </row>
    <row r="508" ht="14.25" customHeight="1">
      <c r="L508" s="47"/>
    </row>
    <row r="509" ht="14.25" customHeight="1">
      <c r="L509" s="47"/>
    </row>
    <row r="510" ht="14.25" customHeight="1">
      <c r="L510" s="47"/>
    </row>
    <row r="511" ht="14.25" customHeight="1">
      <c r="L511" s="47"/>
    </row>
    <row r="512" ht="14.25" customHeight="1">
      <c r="L512" s="47"/>
    </row>
    <row r="513" ht="14.25" customHeight="1">
      <c r="L513" s="47"/>
    </row>
    <row r="514" ht="14.25" customHeight="1">
      <c r="L514" s="47"/>
    </row>
    <row r="515" ht="14.25" customHeight="1">
      <c r="L515" s="47"/>
    </row>
    <row r="516" ht="14.25" customHeight="1">
      <c r="L516" s="47"/>
    </row>
    <row r="517" ht="14.25" customHeight="1">
      <c r="L517" s="47"/>
    </row>
    <row r="518" ht="14.25" customHeight="1">
      <c r="L518" s="47"/>
    </row>
    <row r="519" ht="14.25" customHeight="1">
      <c r="L519" s="47"/>
    </row>
    <row r="520" ht="14.25" customHeight="1">
      <c r="L520" s="47"/>
    </row>
    <row r="521" ht="14.25" customHeight="1">
      <c r="L521" s="47"/>
    </row>
    <row r="522" ht="14.25" customHeight="1">
      <c r="L522" s="47"/>
    </row>
    <row r="523" ht="14.25" customHeight="1">
      <c r="L523" s="47"/>
    </row>
    <row r="524" ht="14.25" customHeight="1">
      <c r="L524" s="47"/>
    </row>
    <row r="525" ht="14.25" customHeight="1">
      <c r="L525" s="47"/>
    </row>
    <row r="526" ht="14.25" customHeight="1">
      <c r="L526" s="47"/>
    </row>
    <row r="527" ht="14.25" customHeight="1">
      <c r="L527" s="47"/>
    </row>
    <row r="528" ht="14.25" customHeight="1">
      <c r="L528" s="47"/>
    </row>
    <row r="529" ht="14.25" customHeight="1">
      <c r="L529" s="47"/>
    </row>
    <row r="530" ht="14.25" customHeight="1">
      <c r="L530" s="47"/>
    </row>
    <row r="531" ht="14.25" customHeight="1">
      <c r="L531" s="47"/>
    </row>
    <row r="532" ht="14.25" customHeight="1">
      <c r="L532" s="47"/>
    </row>
    <row r="533" ht="14.25" customHeight="1">
      <c r="L533" s="47"/>
    </row>
    <row r="534" ht="14.25" customHeight="1">
      <c r="L534" s="47"/>
    </row>
    <row r="535" ht="14.25" customHeight="1">
      <c r="L535" s="47"/>
    </row>
    <row r="536" ht="14.25" customHeight="1">
      <c r="L536" s="47"/>
    </row>
    <row r="537" ht="14.25" customHeight="1">
      <c r="L537" s="47"/>
    </row>
    <row r="538" ht="14.25" customHeight="1">
      <c r="L538" s="47"/>
    </row>
    <row r="539" ht="14.25" customHeight="1">
      <c r="L539" s="47"/>
    </row>
    <row r="540" ht="14.25" customHeight="1">
      <c r="L540" s="47"/>
    </row>
    <row r="541" ht="14.25" customHeight="1">
      <c r="L541" s="47"/>
    </row>
    <row r="542" ht="14.25" customHeight="1">
      <c r="L542" s="47"/>
    </row>
    <row r="543" ht="14.25" customHeight="1">
      <c r="L543" s="47"/>
    </row>
    <row r="544" ht="14.25" customHeight="1">
      <c r="L544" s="47"/>
    </row>
    <row r="545" ht="14.25" customHeight="1">
      <c r="L545" s="47"/>
    </row>
    <row r="546" ht="14.25" customHeight="1">
      <c r="L546" s="47"/>
    </row>
    <row r="547" ht="14.25" customHeight="1">
      <c r="L547" s="47"/>
    </row>
    <row r="548" ht="14.25" customHeight="1">
      <c r="L548" s="47"/>
    </row>
    <row r="549" ht="14.25" customHeight="1">
      <c r="L549" s="47"/>
    </row>
    <row r="550" ht="14.25" customHeight="1">
      <c r="L550" s="47"/>
    </row>
    <row r="551" ht="14.25" customHeight="1">
      <c r="L551" s="47"/>
    </row>
    <row r="552" ht="14.25" customHeight="1">
      <c r="L552" s="47"/>
    </row>
    <row r="553" ht="14.25" customHeight="1">
      <c r="L553" s="47"/>
    </row>
    <row r="554" ht="14.25" customHeight="1">
      <c r="L554" s="47"/>
    </row>
    <row r="555" ht="14.25" customHeight="1">
      <c r="L555" s="47"/>
    </row>
    <row r="556" ht="14.25" customHeight="1">
      <c r="L556" s="47"/>
    </row>
    <row r="557" ht="14.25" customHeight="1">
      <c r="L557" s="47"/>
    </row>
    <row r="558" ht="14.25" customHeight="1">
      <c r="L558" s="47"/>
    </row>
    <row r="559" ht="14.25" customHeight="1">
      <c r="L559" s="47"/>
    </row>
    <row r="560" ht="14.25" customHeight="1">
      <c r="L560" s="47"/>
    </row>
    <row r="561" ht="14.25" customHeight="1">
      <c r="L561" s="47"/>
    </row>
    <row r="562" ht="14.25" customHeight="1">
      <c r="L562" s="47"/>
    </row>
    <row r="563" ht="14.25" customHeight="1">
      <c r="L563" s="47"/>
    </row>
    <row r="564" ht="14.25" customHeight="1">
      <c r="L564" s="47"/>
    </row>
    <row r="565" ht="14.25" customHeight="1">
      <c r="L565" s="47"/>
    </row>
    <row r="566" ht="14.25" customHeight="1">
      <c r="L566" s="47"/>
    </row>
    <row r="567" ht="14.25" customHeight="1">
      <c r="L567" s="47"/>
    </row>
    <row r="568" ht="14.25" customHeight="1">
      <c r="L568" s="47"/>
    </row>
    <row r="569" ht="14.25" customHeight="1">
      <c r="L569" s="47"/>
    </row>
    <row r="570" ht="14.25" customHeight="1">
      <c r="L570" s="47"/>
    </row>
    <row r="571" ht="14.25" customHeight="1">
      <c r="L571" s="47"/>
    </row>
    <row r="572" ht="14.25" customHeight="1">
      <c r="L572" s="47"/>
    </row>
    <row r="573" ht="14.25" customHeight="1">
      <c r="L573" s="47"/>
    </row>
    <row r="574" ht="14.25" customHeight="1">
      <c r="L574" s="47"/>
    </row>
    <row r="575" ht="14.25" customHeight="1">
      <c r="L575" s="47"/>
    </row>
    <row r="576" ht="14.25" customHeight="1">
      <c r="L576" s="47"/>
    </row>
    <row r="577" ht="14.25" customHeight="1">
      <c r="L577" s="47"/>
    </row>
    <row r="578" ht="14.25" customHeight="1">
      <c r="L578" s="47"/>
    </row>
    <row r="579" ht="14.25" customHeight="1">
      <c r="L579" s="47"/>
    </row>
    <row r="580" ht="14.25" customHeight="1">
      <c r="L580" s="47"/>
    </row>
    <row r="581" ht="14.25" customHeight="1">
      <c r="L581" s="47"/>
    </row>
    <row r="582" ht="14.25" customHeight="1">
      <c r="L582" s="47"/>
    </row>
    <row r="583" ht="14.25" customHeight="1">
      <c r="L583" s="47"/>
    </row>
    <row r="584" ht="14.25" customHeight="1">
      <c r="L584" s="47"/>
    </row>
    <row r="585" ht="14.25" customHeight="1">
      <c r="L585" s="47"/>
    </row>
    <row r="586" ht="14.25" customHeight="1">
      <c r="L586" s="47"/>
    </row>
    <row r="587" ht="14.25" customHeight="1">
      <c r="L587" s="47"/>
    </row>
    <row r="588" ht="14.25" customHeight="1">
      <c r="L588" s="47"/>
    </row>
    <row r="589" ht="14.25" customHeight="1">
      <c r="L589" s="47"/>
    </row>
    <row r="590" ht="14.25" customHeight="1">
      <c r="L590" s="47"/>
    </row>
    <row r="591" ht="14.25" customHeight="1">
      <c r="L591" s="47"/>
    </row>
    <row r="592" ht="14.25" customHeight="1">
      <c r="L592" s="47"/>
    </row>
    <row r="593" ht="14.25" customHeight="1">
      <c r="L593" s="47"/>
    </row>
    <row r="594" ht="14.25" customHeight="1">
      <c r="L594" s="47"/>
    </row>
    <row r="595" ht="14.25" customHeight="1">
      <c r="L595" s="47"/>
    </row>
    <row r="596" ht="14.25" customHeight="1">
      <c r="L596" s="47"/>
    </row>
    <row r="597" ht="14.25" customHeight="1">
      <c r="L597" s="47"/>
    </row>
    <row r="598" ht="14.25" customHeight="1">
      <c r="L598" s="47"/>
    </row>
    <row r="599" ht="14.25" customHeight="1">
      <c r="L599" s="47"/>
    </row>
    <row r="600" ht="14.25" customHeight="1">
      <c r="L600" s="47"/>
    </row>
    <row r="601" ht="14.25" customHeight="1">
      <c r="L601" s="47"/>
    </row>
    <row r="602" ht="14.25" customHeight="1">
      <c r="L602" s="47"/>
    </row>
    <row r="603" ht="14.25" customHeight="1">
      <c r="L603" s="47"/>
    </row>
    <row r="604" ht="14.25" customHeight="1">
      <c r="L604" s="47"/>
    </row>
    <row r="605" ht="14.25" customHeight="1">
      <c r="L605" s="47"/>
    </row>
    <row r="606" ht="14.25" customHeight="1">
      <c r="L606" s="47"/>
    </row>
    <row r="607" ht="14.25" customHeight="1">
      <c r="L607" s="47"/>
    </row>
    <row r="608" ht="14.25" customHeight="1">
      <c r="L608" s="47"/>
    </row>
    <row r="609" ht="14.25" customHeight="1">
      <c r="L609" s="47"/>
    </row>
    <row r="610" ht="14.25" customHeight="1">
      <c r="L610" s="47"/>
    </row>
    <row r="611" ht="14.25" customHeight="1">
      <c r="L611" s="47"/>
    </row>
    <row r="612" ht="14.25" customHeight="1">
      <c r="L612" s="47"/>
    </row>
    <row r="613" ht="14.25" customHeight="1">
      <c r="L613" s="47"/>
    </row>
    <row r="614" ht="14.25" customHeight="1">
      <c r="L614" s="47"/>
    </row>
    <row r="615" ht="14.25" customHeight="1">
      <c r="L615" s="47"/>
    </row>
    <row r="616" ht="14.25" customHeight="1">
      <c r="L616" s="47"/>
    </row>
    <row r="617" ht="14.25" customHeight="1">
      <c r="L617" s="47"/>
    </row>
    <row r="618" ht="14.25" customHeight="1">
      <c r="L618" s="47"/>
    </row>
    <row r="619" ht="14.25" customHeight="1">
      <c r="L619" s="47"/>
    </row>
    <row r="620" ht="14.25" customHeight="1">
      <c r="L620" s="47"/>
    </row>
    <row r="621" ht="14.25" customHeight="1">
      <c r="L621" s="47"/>
    </row>
    <row r="622" ht="14.25" customHeight="1">
      <c r="L622" s="47"/>
    </row>
    <row r="623" ht="14.25" customHeight="1">
      <c r="L623" s="47"/>
    </row>
    <row r="624" ht="14.25" customHeight="1">
      <c r="L624" s="47"/>
    </row>
    <row r="625" ht="14.25" customHeight="1">
      <c r="L625" s="47"/>
    </row>
    <row r="626" ht="14.25" customHeight="1">
      <c r="L626" s="47"/>
    </row>
    <row r="627" ht="14.25" customHeight="1">
      <c r="L627" s="47"/>
    </row>
    <row r="628" ht="14.25" customHeight="1">
      <c r="L628" s="47"/>
    </row>
    <row r="629" ht="14.25" customHeight="1">
      <c r="L629" s="47"/>
    </row>
    <row r="630" ht="14.25" customHeight="1">
      <c r="L630" s="47"/>
    </row>
    <row r="631" ht="14.25" customHeight="1">
      <c r="L631" s="47"/>
    </row>
    <row r="632" ht="14.25" customHeight="1">
      <c r="L632" s="47"/>
    </row>
    <row r="633" ht="14.25" customHeight="1">
      <c r="L633" s="47"/>
    </row>
    <row r="634" ht="14.25" customHeight="1">
      <c r="L634" s="47"/>
    </row>
    <row r="635" ht="14.25" customHeight="1">
      <c r="L635" s="47"/>
    </row>
    <row r="636" ht="14.25" customHeight="1">
      <c r="L636" s="47"/>
    </row>
    <row r="637" ht="14.25" customHeight="1">
      <c r="L637" s="47"/>
    </row>
    <row r="638" ht="14.25" customHeight="1">
      <c r="L638" s="47"/>
    </row>
    <row r="639" ht="14.25" customHeight="1">
      <c r="L639" s="47"/>
    </row>
    <row r="640" ht="14.25" customHeight="1">
      <c r="L640" s="47"/>
    </row>
    <row r="641" ht="14.25" customHeight="1">
      <c r="L641" s="47"/>
    </row>
    <row r="642" ht="14.25" customHeight="1">
      <c r="L642" s="47"/>
    </row>
    <row r="643" ht="14.25" customHeight="1">
      <c r="L643" s="47"/>
    </row>
    <row r="644" ht="14.25" customHeight="1">
      <c r="L644" s="47"/>
    </row>
    <row r="645" ht="14.25" customHeight="1">
      <c r="L645" s="47"/>
    </row>
    <row r="646" ht="14.25" customHeight="1">
      <c r="L646" s="47"/>
    </row>
    <row r="647" ht="14.25" customHeight="1">
      <c r="L647" s="47"/>
    </row>
    <row r="648" ht="14.25" customHeight="1">
      <c r="L648" s="47"/>
    </row>
    <row r="649" ht="14.25" customHeight="1">
      <c r="L649" s="47"/>
    </row>
    <row r="650" ht="14.25" customHeight="1">
      <c r="L650" s="47"/>
    </row>
    <row r="651" ht="14.25" customHeight="1">
      <c r="L651" s="47"/>
    </row>
    <row r="652" ht="14.25" customHeight="1">
      <c r="L652" s="47"/>
    </row>
    <row r="653" ht="14.25" customHeight="1">
      <c r="L653" s="47"/>
    </row>
    <row r="654" ht="14.25" customHeight="1">
      <c r="L654" s="47"/>
    </row>
    <row r="655" ht="14.25" customHeight="1">
      <c r="L655" s="47"/>
    </row>
    <row r="656" ht="14.25" customHeight="1">
      <c r="L656" s="47"/>
    </row>
    <row r="657" ht="14.25" customHeight="1">
      <c r="L657" s="47"/>
    </row>
    <row r="658" ht="14.25" customHeight="1">
      <c r="L658" s="47"/>
    </row>
    <row r="659" ht="14.25" customHeight="1">
      <c r="L659" s="47"/>
    </row>
    <row r="660" ht="14.25" customHeight="1">
      <c r="L660" s="47"/>
    </row>
    <row r="661" ht="14.25" customHeight="1">
      <c r="L661" s="47"/>
    </row>
    <row r="662" ht="14.25" customHeight="1">
      <c r="L662" s="47"/>
    </row>
    <row r="663" ht="14.25" customHeight="1">
      <c r="L663" s="47"/>
    </row>
    <row r="664" ht="14.25" customHeight="1">
      <c r="L664" s="47"/>
    </row>
    <row r="665" ht="14.25" customHeight="1">
      <c r="L665" s="47"/>
    </row>
    <row r="666" ht="14.25" customHeight="1">
      <c r="L666" s="47"/>
    </row>
    <row r="667" ht="14.25" customHeight="1">
      <c r="L667" s="47"/>
    </row>
    <row r="668" ht="14.25" customHeight="1">
      <c r="L668" s="47"/>
    </row>
    <row r="669" ht="14.25" customHeight="1">
      <c r="L669" s="47"/>
    </row>
    <row r="670" ht="14.25" customHeight="1">
      <c r="L670" s="47"/>
    </row>
    <row r="671" ht="14.25" customHeight="1">
      <c r="L671" s="47"/>
    </row>
    <row r="672" ht="14.25" customHeight="1">
      <c r="L672" s="47"/>
    </row>
    <row r="673" ht="14.25" customHeight="1">
      <c r="L673" s="47"/>
    </row>
    <row r="674" ht="14.25" customHeight="1">
      <c r="L674" s="47"/>
    </row>
    <row r="675" ht="14.25" customHeight="1">
      <c r="L675" s="47"/>
    </row>
    <row r="676" ht="14.25" customHeight="1">
      <c r="L676" s="47"/>
    </row>
    <row r="677" ht="14.25" customHeight="1">
      <c r="L677" s="47"/>
    </row>
    <row r="678" ht="14.25" customHeight="1">
      <c r="L678" s="47"/>
    </row>
    <row r="679" ht="14.25" customHeight="1">
      <c r="L679" s="47"/>
    </row>
    <row r="680" ht="14.25" customHeight="1">
      <c r="L680" s="47"/>
    </row>
    <row r="681" ht="14.25" customHeight="1">
      <c r="L681" s="47"/>
    </row>
    <row r="682" ht="14.25" customHeight="1">
      <c r="L682" s="47"/>
    </row>
    <row r="683" ht="14.25" customHeight="1">
      <c r="L683" s="47"/>
    </row>
    <row r="684" ht="14.25" customHeight="1">
      <c r="L684" s="47"/>
    </row>
    <row r="685" ht="14.25" customHeight="1">
      <c r="L685" s="47"/>
    </row>
    <row r="686" ht="14.25" customHeight="1">
      <c r="L686" s="47"/>
    </row>
    <row r="687" ht="14.25" customHeight="1">
      <c r="L687" s="47"/>
    </row>
    <row r="688" ht="14.25" customHeight="1">
      <c r="L688" s="47"/>
    </row>
    <row r="689" ht="14.25" customHeight="1">
      <c r="L689" s="47"/>
    </row>
    <row r="690" ht="14.25" customHeight="1">
      <c r="L690" s="47"/>
    </row>
    <row r="691" ht="14.25" customHeight="1">
      <c r="L691" s="47"/>
    </row>
    <row r="692" ht="14.25" customHeight="1">
      <c r="L692" s="47"/>
    </row>
    <row r="693" ht="14.25" customHeight="1">
      <c r="L693" s="47"/>
    </row>
    <row r="694" ht="14.25" customHeight="1">
      <c r="L694" s="47"/>
    </row>
    <row r="695" ht="14.25" customHeight="1">
      <c r="L695" s="47"/>
    </row>
    <row r="696" ht="14.25" customHeight="1">
      <c r="L696" s="47"/>
    </row>
    <row r="697" ht="14.25" customHeight="1">
      <c r="L697" s="47"/>
    </row>
    <row r="698" ht="14.25" customHeight="1">
      <c r="L698" s="47"/>
    </row>
    <row r="699" ht="14.25" customHeight="1">
      <c r="L699" s="47"/>
    </row>
    <row r="700" ht="14.25" customHeight="1">
      <c r="L700" s="47"/>
    </row>
    <row r="701" ht="14.25" customHeight="1">
      <c r="L701" s="47"/>
    </row>
    <row r="702" ht="14.25" customHeight="1">
      <c r="L702" s="47"/>
    </row>
    <row r="703" ht="14.25" customHeight="1">
      <c r="L703" s="47"/>
    </row>
    <row r="704" ht="14.25" customHeight="1">
      <c r="L704" s="47"/>
    </row>
    <row r="705" ht="14.25" customHeight="1">
      <c r="L705" s="47"/>
    </row>
    <row r="706" ht="14.25" customHeight="1">
      <c r="L706" s="47"/>
    </row>
    <row r="707" ht="14.25" customHeight="1">
      <c r="L707" s="47"/>
    </row>
    <row r="708" ht="14.25" customHeight="1">
      <c r="L708" s="47"/>
    </row>
    <row r="709" ht="14.25" customHeight="1">
      <c r="L709" s="47"/>
    </row>
    <row r="710" ht="14.25" customHeight="1">
      <c r="L710" s="47"/>
    </row>
    <row r="711" ht="14.25" customHeight="1">
      <c r="L711" s="47"/>
    </row>
    <row r="712" ht="14.25" customHeight="1">
      <c r="L712" s="47"/>
    </row>
    <row r="713" ht="14.25" customHeight="1">
      <c r="L713" s="47"/>
    </row>
    <row r="714" ht="14.25" customHeight="1">
      <c r="L714" s="47"/>
    </row>
    <row r="715" ht="14.25" customHeight="1">
      <c r="L715" s="47"/>
    </row>
    <row r="716" ht="14.25" customHeight="1">
      <c r="L716" s="47"/>
    </row>
    <row r="717" ht="14.25" customHeight="1">
      <c r="L717" s="47"/>
    </row>
    <row r="718" ht="14.25" customHeight="1">
      <c r="L718" s="47"/>
    </row>
    <row r="719" ht="14.25" customHeight="1">
      <c r="L719" s="47"/>
    </row>
    <row r="720" ht="14.25" customHeight="1">
      <c r="L720" s="47"/>
    </row>
    <row r="721" ht="14.25" customHeight="1">
      <c r="L721" s="47"/>
    </row>
    <row r="722" ht="14.25" customHeight="1">
      <c r="L722" s="47"/>
    </row>
    <row r="723" ht="14.25" customHeight="1">
      <c r="L723" s="47"/>
    </row>
    <row r="724" ht="14.25" customHeight="1">
      <c r="L724" s="47"/>
    </row>
    <row r="725" ht="14.25" customHeight="1">
      <c r="L725" s="47"/>
    </row>
    <row r="726" ht="14.25" customHeight="1">
      <c r="L726" s="47"/>
    </row>
    <row r="727" ht="14.25" customHeight="1">
      <c r="L727" s="47"/>
    </row>
    <row r="728" ht="14.25" customHeight="1">
      <c r="L728" s="47"/>
    </row>
    <row r="729" ht="14.25" customHeight="1">
      <c r="L729" s="47"/>
    </row>
    <row r="730" ht="14.25" customHeight="1">
      <c r="L730" s="47"/>
    </row>
    <row r="731" ht="14.25" customHeight="1">
      <c r="L731" s="47"/>
    </row>
    <row r="732" ht="14.25" customHeight="1">
      <c r="L732" s="47"/>
    </row>
    <row r="733" ht="14.25" customHeight="1">
      <c r="L733" s="47"/>
    </row>
    <row r="734" ht="14.25" customHeight="1">
      <c r="L734" s="47"/>
    </row>
    <row r="735" ht="14.25" customHeight="1">
      <c r="L735" s="47"/>
    </row>
    <row r="736" ht="14.25" customHeight="1">
      <c r="L736" s="47"/>
    </row>
    <row r="737" ht="14.25" customHeight="1">
      <c r="L737" s="47"/>
    </row>
    <row r="738" ht="14.25" customHeight="1">
      <c r="L738" s="47"/>
    </row>
    <row r="739" ht="14.25" customHeight="1">
      <c r="L739" s="47"/>
    </row>
    <row r="740" ht="14.25" customHeight="1">
      <c r="L740" s="47"/>
    </row>
    <row r="741" ht="14.25" customHeight="1">
      <c r="L741" s="47"/>
    </row>
    <row r="742" ht="14.25" customHeight="1">
      <c r="L742" s="47"/>
    </row>
    <row r="743" ht="14.25" customHeight="1">
      <c r="L743" s="47"/>
    </row>
    <row r="744" ht="14.25" customHeight="1">
      <c r="L744" s="47"/>
    </row>
    <row r="745" ht="14.25" customHeight="1">
      <c r="L745" s="47"/>
    </row>
    <row r="746" ht="14.25" customHeight="1">
      <c r="L746" s="47"/>
    </row>
    <row r="747" ht="14.25" customHeight="1">
      <c r="L747" s="47"/>
    </row>
    <row r="748" ht="14.25" customHeight="1">
      <c r="L748" s="47"/>
    </row>
    <row r="749" ht="14.25" customHeight="1">
      <c r="L749" s="47"/>
    </row>
    <row r="750" ht="14.25" customHeight="1">
      <c r="L750" s="47"/>
    </row>
    <row r="751" ht="14.25" customHeight="1">
      <c r="L751" s="47"/>
    </row>
    <row r="752" ht="14.25" customHeight="1">
      <c r="L752" s="47"/>
    </row>
    <row r="753" ht="14.25" customHeight="1">
      <c r="L753" s="47"/>
    </row>
    <row r="754" ht="14.25" customHeight="1">
      <c r="L754" s="47"/>
    </row>
    <row r="755" ht="14.25" customHeight="1">
      <c r="L755" s="47"/>
    </row>
    <row r="756" ht="14.25" customHeight="1">
      <c r="L756" s="47"/>
    </row>
    <row r="757" ht="14.25" customHeight="1">
      <c r="L757" s="47"/>
    </row>
    <row r="758" ht="14.25" customHeight="1">
      <c r="L758" s="47"/>
    </row>
    <row r="759" ht="14.25" customHeight="1">
      <c r="L759" s="47"/>
    </row>
    <row r="760" ht="14.25" customHeight="1">
      <c r="L760" s="47"/>
    </row>
    <row r="761" ht="14.25" customHeight="1">
      <c r="L761" s="47"/>
    </row>
    <row r="762" ht="14.25" customHeight="1">
      <c r="L762" s="47"/>
    </row>
    <row r="763" ht="14.25" customHeight="1">
      <c r="L763" s="47"/>
    </row>
    <row r="764" ht="14.25" customHeight="1">
      <c r="L764" s="47"/>
    </row>
    <row r="765" ht="14.25" customHeight="1">
      <c r="L765" s="47"/>
    </row>
    <row r="766" ht="14.25" customHeight="1">
      <c r="L766" s="47"/>
    </row>
    <row r="767" ht="14.25" customHeight="1">
      <c r="L767" s="47"/>
    </row>
    <row r="768" ht="14.25" customHeight="1">
      <c r="L768" s="47"/>
    </row>
    <row r="769" ht="14.25" customHeight="1">
      <c r="L769" s="47"/>
    </row>
    <row r="770" ht="14.25" customHeight="1">
      <c r="L770" s="47"/>
    </row>
    <row r="771" ht="14.25" customHeight="1">
      <c r="L771" s="47"/>
    </row>
    <row r="772" ht="14.25" customHeight="1">
      <c r="L772" s="47"/>
    </row>
    <row r="773" ht="14.25" customHeight="1">
      <c r="L773" s="47"/>
    </row>
    <row r="774" ht="14.25" customHeight="1">
      <c r="L774" s="47"/>
    </row>
    <row r="775" ht="14.25" customHeight="1">
      <c r="L775" s="47"/>
    </row>
    <row r="776" ht="14.25" customHeight="1">
      <c r="L776" s="47"/>
    </row>
    <row r="777" ht="14.25" customHeight="1">
      <c r="L777" s="47"/>
    </row>
    <row r="778" ht="14.25" customHeight="1">
      <c r="L778" s="47"/>
    </row>
    <row r="779" ht="14.25" customHeight="1">
      <c r="L779" s="47"/>
    </row>
    <row r="780" ht="14.25" customHeight="1">
      <c r="L780" s="47"/>
    </row>
    <row r="781" ht="14.25" customHeight="1">
      <c r="L781" s="47"/>
    </row>
    <row r="782" ht="14.25" customHeight="1">
      <c r="L782" s="47"/>
    </row>
    <row r="783" ht="14.25" customHeight="1">
      <c r="L783" s="47"/>
    </row>
    <row r="784" ht="14.25" customHeight="1">
      <c r="L784" s="47"/>
    </row>
    <row r="785" ht="14.25" customHeight="1">
      <c r="L785" s="47"/>
    </row>
    <row r="786" ht="14.25" customHeight="1">
      <c r="L786" s="47"/>
    </row>
    <row r="787" ht="14.25" customHeight="1">
      <c r="L787" s="47"/>
    </row>
    <row r="788" ht="14.25" customHeight="1">
      <c r="L788" s="47"/>
    </row>
    <row r="789" ht="14.25" customHeight="1">
      <c r="L789" s="47"/>
    </row>
    <row r="790" ht="14.25" customHeight="1">
      <c r="L790" s="47"/>
    </row>
    <row r="791" ht="14.25" customHeight="1">
      <c r="L791" s="47"/>
    </row>
    <row r="792" ht="14.25" customHeight="1">
      <c r="L792" s="47"/>
    </row>
    <row r="793" ht="14.25" customHeight="1">
      <c r="L793" s="47"/>
    </row>
    <row r="794" ht="14.25" customHeight="1">
      <c r="L794" s="47"/>
    </row>
    <row r="795" ht="14.25" customHeight="1">
      <c r="L795" s="47"/>
    </row>
    <row r="796" ht="14.25" customHeight="1">
      <c r="L796" s="47"/>
    </row>
    <row r="797" ht="14.25" customHeight="1">
      <c r="L797" s="47"/>
    </row>
    <row r="798" ht="14.25" customHeight="1">
      <c r="L798" s="47"/>
    </row>
    <row r="799" ht="14.25" customHeight="1">
      <c r="L799" s="47"/>
    </row>
    <row r="800" ht="14.25" customHeight="1">
      <c r="L800" s="47"/>
    </row>
    <row r="801" ht="14.25" customHeight="1">
      <c r="L801" s="47"/>
    </row>
    <row r="802" ht="14.25" customHeight="1">
      <c r="L802" s="47"/>
    </row>
    <row r="803" ht="14.25" customHeight="1">
      <c r="L803" s="47"/>
    </row>
    <row r="804" ht="14.25" customHeight="1">
      <c r="L804" s="47"/>
    </row>
    <row r="805" ht="14.25" customHeight="1">
      <c r="L805" s="47"/>
    </row>
    <row r="806" ht="14.25" customHeight="1">
      <c r="L806" s="47"/>
    </row>
    <row r="807" ht="14.25" customHeight="1">
      <c r="L807" s="47"/>
    </row>
    <row r="808" ht="14.25" customHeight="1">
      <c r="L808" s="47"/>
    </row>
    <row r="809" ht="14.25" customHeight="1">
      <c r="L809" s="47"/>
    </row>
    <row r="810" ht="14.25" customHeight="1">
      <c r="L810" s="47"/>
    </row>
    <row r="811" ht="14.25" customHeight="1">
      <c r="L811" s="47"/>
    </row>
    <row r="812" ht="14.25" customHeight="1">
      <c r="L812" s="47"/>
    </row>
    <row r="813" ht="14.25" customHeight="1">
      <c r="L813" s="47"/>
    </row>
    <row r="814" ht="14.25" customHeight="1">
      <c r="L814" s="47"/>
    </row>
    <row r="815" ht="14.25" customHeight="1">
      <c r="L815" s="47"/>
    </row>
    <row r="816" ht="14.25" customHeight="1">
      <c r="L816" s="47"/>
    </row>
    <row r="817" ht="14.25" customHeight="1">
      <c r="L817" s="47"/>
    </row>
    <row r="818" ht="14.25" customHeight="1">
      <c r="L818" s="47"/>
    </row>
    <row r="819" ht="14.25" customHeight="1">
      <c r="L819" s="47"/>
    </row>
    <row r="820" ht="14.25" customHeight="1">
      <c r="L820" s="47"/>
    </row>
    <row r="821" ht="14.25" customHeight="1">
      <c r="L821" s="47"/>
    </row>
    <row r="822" ht="14.25" customHeight="1">
      <c r="L822" s="47"/>
    </row>
    <row r="823" ht="14.25" customHeight="1">
      <c r="L823" s="47"/>
    </row>
    <row r="824" ht="14.25" customHeight="1">
      <c r="L824" s="47"/>
    </row>
    <row r="825" ht="14.25" customHeight="1">
      <c r="L825" s="47"/>
    </row>
    <row r="826" ht="14.25" customHeight="1">
      <c r="L826" s="47"/>
    </row>
    <row r="827" ht="14.25" customHeight="1">
      <c r="L827" s="47"/>
    </row>
    <row r="828" ht="14.25" customHeight="1">
      <c r="L828" s="47"/>
    </row>
    <row r="829" ht="14.25" customHeight="1">
      <c r="L829" s="47"/>
    </row>
    <row r="830" ht="14.25" customHeight="1">
      <c r="L830" s="47"/>
    </row>
    <row r="831" ht="14.25" customHeight="1">
      <c r="L831" s="47"/>
    </row>
    <row r="832" ht="14.25" customHeight="1">
      <c r="L832" s="47"/>
    </row>
    <row r="833" ht="14.25" customHeight="1">
      <c r="L833" s="47"/>
    </row>
    <row r="834" ht="14.25" customHeight="1">
      <c r="L834" s="47"/>
    </row>
    <row r="835" ht="14.25" customHeight="1">
      <c r="L835" s="47"/>
    </row>
    <row r="836" ht="14.25" customHeight="1">
      <c r="L836" s="47"/>
    </row>
    <row r="837" ht="14.25" customHeight="1">
      <c r="L837" s="47"/>
    </row>
    <row r="838" ht="14.25" customHeight="1">
      <c r="L838" s="47"/>
    </row>
    <row r="839" ht="14.25" customHeight="1">
      <c r="L839" s="47"/>
    </row>
    <row r="840" ht="14.25" customHeight="1">
      <c r="L840" s="47"/>
    </row>
    <row r="841" ht="14.25" customHeight="1">
      <c r="L841" s="47"/>
    </row>
    <row r="842" ht="14.25" customHeight="1">
      <c r="L842" s="47"/>
    </row>
    <row r="843" ht="14.25" customHeight="1">
      <c r="L843" s="47"/>
    </row>
    <row r="844" ht="14.25" customHeight="1">
      <c r="L844" s="47"/>
    </row>
    <row r="845" ht="14.25" customHeight="1">
      <c r="L845" s="47"/>
    </row>
    <row r="846" ht="14.25" customHeight="1">
      <c r="L846" s="47"/>
    </row>
    <row r="847" ht="14.25" customHeight="1">
      <c r="L847" s="47"/>
    </row>
    <row r="848" ht="14.25" customHeight="1">
      <c r="L848" s="47"/>
    </row>
    <row r="849" ht="14.25" customHeight="1">
      <c r="L849" s="47"/>
    </row>
    <row r="850" ht="14.25" customHeight="1">
      <c r="L850" s="47"/>
    </row>
    <row r="851" ht="14.25" customHeight="1">
      <c r="L851" s="47"/>
    </row>
    <row r="852" ht="14.25" customHeight="1">
      <c r="L852" s="47"/>
    </row>
    <row r="853" ht="14.25" customHeight="1">
      <c r="L853" s="47"/>
    </row>
    <row r="854" ht="14.25" customHeight="1">
      <c r="L854" s="47"/>
    </row>
    <row r="855" ht="14.25" customHeight="1">
      <c r="L855" s="47"/>
    </row>
    <row r="856" ht="14.25" customHeight="1">
      <c r="L856" s="47"/>
    </row>
    <row r="857" ht="14.25" customHeight="1">
      <c r="L857" s="47"/>
    </row>
    <row r="858" ht="14.25" customHeight="1">
      <c r="L858" s="47"/>
    </row>
    <row r="859" ht="14.25" customHeight="1">
      <c r="L859" s="47"/>
    </row>
    <row r="860" ht="14.25" customHeight="1">
      <c r="L860" s="47"/>
    </row>
    <row r="861" ht="14.25" customHeight="1">
      <c r="L861" s="47"/>
    </row>
    <row r="862" ht="14.25" customHeight="1">
      <c r="L862" s="47"/>
    </row>
    <row r="863" ht="14.25" customHeight="1">
      <c r="L863" s="47"/>
    </row>
    <row r="864" ht="14.25" customHeight="1">
      <c r="L864" s="47"/>
    </row>
    <row r="865" ht="14.25" customHeight="1">
      <c r="L865" s="47"/>
    </row>
    <row r="866" ht="14.25" customHeight="1">
      <c r="L866" s="47"/>
    </row>
    <row r="867" ht="14.25" customHeight="1">
      <c r="L867" s="47"/>
    </row>
    <row r="868" ht="14.25" customHeight="1">
      <c r="L868" s="47"/>
    </row>
    <row r="869" ht="14.25" customHeight="1">
      <c r="L869" s="47"/>
    </row>
    <row r="870" ht="14.25" customHeight="1">
      <c r="L870" s="47"/>
    </row>
    <row r="871" ht="14.25" customHeight="1">
      <c r="L871" s="47"/>
    </row>
    <row r="872" ht="14.25" customHeight="1">
      <c r="L872" s="47"/>
    </row>
    <row r="873" ht="14.25" customHeight="1">
      <c r="L873" s="47"/>
    </row>
    <row r="874" ht="14.25" customHeight="1">
      <c r="L874" s="47"/>
    </row>
    <row r="875" ht="14.25" customHeight="1">
      <c r="L875" s="47"/>
    </row>
    <row r="876" ht="14.25" customHeight="1">
      <c r="L876" s="47"/>
    </row>
    <row r="877" ht="14.25" customHeight="1">
      <c r="L877" s="47"/>
    </row>
    <row r="878" ht="14.25" customHeight="1">
      <c r="L878" s="47"/>
    </row>
    <row r="879" ht="14.25" customHeight="1">
      <c r="L879" s="47"/>
    </row>
    <row r="880" ht="14.25" customHeight="1">
      <c r="L880" s="47"/>
    </row>
    <row r="881" ht="14.25" customHeight="1">
      <c r="L881" s="47"/>
    </row>
    <row r="882" ht="14.25" customHeight="1">
      <c r="L882" s="47"/>
    </row>
    <row r="883" ht="14.25" customHeight="1">
      <c r="L883" s="47"/>
    </row>
    <row r="884" ht="14.25" customHeight="1">
      <c r="L884" s="47"/>
    </row>
    <row r="885" ht="14.25" customHeight="1">
      <c r="L885" s="47"/>
    </row>
    <row r="886" ht="14.25" customHeight="1">
      <c r="L886" s="47"/>
    </row>
    <row r="887" ht="14.25" customHeight="1">
      <c r="L887" s="47"/>
    </row>
    <row r="888" ht="14.25" customHeight="1">
      <c r="L888" s="47"/>
    </row>
    <row r="889" ht="14.25" customHeight="1">
      <c r="L889" s="47"/>
    </row>
    <row r="890" ht="14.25" customHeight="1">
      <c r="L890" s="47"/>
    </row>
    <row r="891" ht="14.25" customHeight="1">
      <c r="L891" s="47"/>
    </row>
    <row r="892" ht="14.25" customHeight="1">
      <c r="L892" s="47"/>
    </row>
    <row r="893" ht="14.25" customHeight="1">
      <c r="L893" s="47"/>
    </row>
    <row r="894" ht="14.25" customHeight="1">
      <c r="L894" s="47"/>
    </row>
    <row r="895" ht="14.25" customHeight="1">
      <c r="L895" s="47"/>
    </row>
    <row r="896" ht="14.25" customHeight="1">
      <c r="L896" s="47"/>
    </row>
    <row r="897" ht="14.25" customHeight="1">
      <c r="L897" s="47"/>
    </row>
    <row r="898" ht="14.25" customHeight="1">
      <c r="L898" s="47"/>
    </row>
    <row r="899" ht="14.25" customHeight="1">
      <c r="L899" s="47"/>
    </row>
    <row r="900" ht="14.25" customHeight="1">
      <c r="L900" s="47"/>
    </row>
    <row r="901" ht="14.25" customHeight="1">
      <c r="L901" s="47"/>
    </row>
    <row r="902" ht="14.25" customHeight="1">
      <c r="L902" s="47"/>
    </row>
    <row r="903" ht="14.25" customHeight="1">
      <c r="L903" s="47"/>
    </row>
    <row r="904" ht="14.25" customHeight="1">
      <c r="L904" s="47"/>
    </row>
    <row r="905" ht="14.25" customHeight="1">
      <c r="L905" s="47"/>
    </row>
    <row r="906" ht="14.25" customHeight="1">
      <c r="L906" s="47"/>
    </row>
    <row r="907" ht="14.25" customHeight="1">
      <c r="L907" s="47"/>
    </row>
    <row r="908" ht="14.25" customHeight="1">
      <c r="L908" s="47"/>
    </row>
    <row r="909" ht="14.25" customHeight="1">
      <c r="L909" s="47"/>
    </row>
    <row r="910" ht="14.25" customHeight="1">
      <c r="L910" s="47"/>
    </row>
    <row r="911" ht="14.25" customHeight="1">
      <c r="L911" s="47"/>
    </row>
    <row r="912" ht="14.25" customHeight="1">
      <c r="L912" s="47"/>
    </row>
    <row r="913" ht="14.25" customHeight="1">
      <c r="L913" s="47"/>
    </row>
    <row r="914" ht="14.25" customHeight="1">
      <c r="L914" s="47"/>
    </row>
    <row r="915" ht="14.25" customHeight="1">
      <c r="L915" s="47"/>
    </row>
    <row r="916" ht="14.25" customHeight="1">
      <c r="L916" s="47"/>
    </row>
    <row r="917" ht="14.25" customHeight="1">
      <c r="L917" s="47"/>
    </row>
    <row r="918" ht="14.25" customHeight="1">
      <c r="L918" s="47"/>
    </row>
    <row r="919" ht="14.25" customHeight="1">
      <c r="L919" s="47"/>
    </row>
    <row r="920" ht="14.25" customHeight="1">
      <c r="L920" s="47"/>
    </row>
    <row r="921" ht="14.25" customHeight="1">
      <c r="L921" s="47"/>
    </row>
    <row r="922" ht="14.25" customHeight="1">
      <c r="L922" s="47"/>
    </row>
    <row r="923" ht="14.25" customHeight="1">
      <c r="L923" s="47"/>
    </row>
    <row r="924" ht="14.25" customHeight="1">
      <c r="L924" s="47"/>
    </row>
    <row r="925" ht="14.25" customHeight="1">
      <c r="L925" s="47"/>
    </row>
    <row r="926" ht="14.25" customHeight="1">
      <c r="L926" s="47"/>
    </row>
    <row r="927" ht="14.25" customHeight="1">
      <c r="L927" s="47"/>
    </row>
    <row r="928" ht="14.25" customHeight="1">
      <c r="L928" s="47"/>
    </row>
    <row r="929" ht="14.25" customHeight="1">
      <c r="L929" s="47"/>
    </row>
    <row r="930" ht="14.25" customHeight="1">
      <c r="L930" s="47"/>
    </row>
    <row r="931" ht="14.25" customHeight="1">
      <c r="L931" s="47"/>
    </row>
    <row r="932" ht="14.25" customHeight="1">
      <c r="L932" s="47"/>
    </row>
    <row r="933" ht="14.25" customHeight="1">
      <c r="L933" s="47"/>
    </row>
    <row r="934" ht="14.25" customHeight="1">
      <c r="L934" s="47"/>
    </row>
    <row r="935" ht="14.25" customHeight="1">
      <c r="L935" s="47"/>
    </row>
    <row r="936" ht="14.25" customHeight="1">
      <c r="L936" s="47"/>
    </row>
    <row r="937" ht="14.25" customHeight="1">
      <c r="L937" s="47"/>
    </row>
    <row r="938" ht="14.25" customHeight="1">
      <c r="L938" s="47"/>
    </row>
    <row r="939" ht="14.25" customHeight="1">
      <c r="L939" s="47"/>
    </row>
    <row r="940" ht="14.25" customHeight="1">
      <c r="L940" s="47"/>
    </row>
    <row r="941" ht="14.25" customHeight="1">
      <c r="L941" s="47"/>
    </row>
    <row r="942" ht="14.25" customHeight="1">
      <c r="L942" s="47"/>
    </row>
    <row r="943" ht="14.25" customHeight="1">
      <c r="L943" s="47"/>
    </row>
    <row r="944" ht="14.25" customHeight="1">
      <c r="L944" s="47"/>
    </row>
    <row r="945" ht="14.25" customHeight="1">
      <c r="L945" s="47"/>
    </row>
    <row r="946" ht="14.25" customHeight="1">
      <c r="L946" s="47"/>
    </row>
    <row r="947" ht="14.25" customHeight="1">
      <c r="L947" s="47"/>
    </row>
    <row r="948" ht="14.25" customHeight="1">
      <c r="L948" s="47"/>
    </row>
    <row r="949" ht="14.25" customHeight="1">
      <c r="L949" s="47"/>
    </row>
    <row r="950" ht="14.25" customHeight="1">
      <c r="L950" s="47"/>
    </row>
    <row r="951" ht="14.25" customHeight="1">
      <c r="L951" s="47"/>
    </row>
    <row r="952" ht="14.25" customHeight="1">
      <c r="L952" s="47"/>
    </row>
    <row r="953" ht="14.25" customHeight="1">
      <c r="L953" s="47"/>
    </row>
    <row r="954" ht="14.25" customHeight="1">
      <c r="L954" s="47"/>
    </row>
    <row r="955" ht="14.25" customHeight="1">
      <c r="L955" s="47"/>
    </row>
    <row r="956" ht="14.25" customHeight="1">
      <c r="L956" s="47"/>
    </row>
    <row r="957" ht="14.25" customHeight="1">
      <c r="L957" s="47"/>
    </row>
    <row r="958" ht="14.25" customHeight="1">
      <c r="L958" s="47"/>
    </row>
    <row r="959" ht="14.25" customHeight="1">
      <c r="L959" s="47"/>
    </row>
    <row r="960" ht="14.25" customHeight="1">
      <c r="L960" s="47"/>
    </row>
    <row r="961" ht="14.25" customHeight="1">
      <c r="L961" s="47"/>
    </row>
    <row r="962" ht="14.25" customHeight="1">
      <c r="L962" s="47"/>
    </row>
    <row r="963" ht="14.25" customHeight="1">
      <c r="L963" s="47"/>
    </row>
    <row r="964" ht="14.25" customHeight="1">
      <c r="L964" s="47"/>
    </row>
    <row r="965" ht="14.25" customHeight="1">
      <c r="L965" s="47"/>
    </row>
    <row r="966" ht="14.25" customHeight="1">
      <c r="L966" s="47"/>
    </row>
    <row r="967" ht="14.25" customHeight="1">
      <c r="L967" s="47"/>
    </row>
    <row r="968" ht="14.25" customHeight="1">
      <c r="L968" s="47"/>
    </row>
    <row r="969" ht="14.25" customHeight="1">
      <c r="L969" s="47"/>
    </row>
    <row r="970" ht="14.25" customHeight="1">
      <c r="L970" s="47"/>
    </row>
    <row r="971" ht="14.25" customHeight="1">
      <c r="L971" s="47"/>
    </row>
    <row r="972" ht="14.25" customHeight="1">
      <c r="L972" s="47"/>
    </row>
    <row r="973" ht="14.25" customHeight="1">
      <c r="L973" s="47"/>
    </row>
    <row r="974" ht="14.25" customHeight="1">
      <c r="L974" s="47"/>
    </row>
    <row r="975" ht="14.25" customHeight="1">
      <c r="L975" s="47"/>
    </row>
    <row r="976" ht="14.25" customHeight="1">
      <c r="L976" s="47"/>
    </row>
    <row r="977" ht="14.25" customHeight="1">
      <c r="L977" s="47"/>
    </row>
    <row r="978" ht="14.25" customHeight="1">
      <c r="L978" s="47"/>
    </row>
    <row r="979" ht="14.25" customHeight="1">
      <c r="L979" s="47"/>
    </row>
    <row r="980" ht="14.25" customHeight="1">
      <c r="L980" s="47"/>
    </row>
    <row r="981" ht="14.25" customHeight="1">
      <c r="L981" s="47"/>
    </row>
    <row r="982" ht="14.25" customHeight="1">
      <c r="L982" s="47"/>
    </row>
    <row r="983" ht="14.25" customHeight="1">
      <c r="L983" s="47"/>
    </row>
    <row r="984" ht="14.25" customHeight="1">
      <c r="L984" s="47"/>
    </row>
    <row r="985" ht="14.25" customHeight="1">
      <c r="L985" s="47"/>
    </row>
    <row r="986" ht="14.25" customHeight="1">
      <c r="L986" s="47"/>
    </row>
    <row r="987" ht="14.25" customHeight="1">
      <c r="L987" s="47"/>
    </row>
    <row r="988" ht="14.25" customHeight="1">
      <c r="L988" s="47"/>
    </row>
    <row r="989" ht="14.25" customHeight="1">
      <c r="L989" s="47"/>
    </row>
    <row r="990" ht="14.25" customHeight="1">
      <c r="L990" s="47"/>
    </row>
    <row r="991" ht="14.25" customHeight="1">
      <c r="L991" s="47"/>
    </row>
    <row r="992" ht="14.25" customHeight="1">
      <c r="L992" s="47"/>
    </row>
    <row r="993" ht="14.25" customHeight="1">
      <c r="L993" s="47"/>
    </row>
    <row r="994" ht="14.25" customHeight="1">
      <c r="L994" s="47"/>
    </row>
    <row r="995" ht="14.25" customHeight="1">
      <c r="L995" s="47"/>
    </row>
    <row r="996" ht="14.25" customHeight="1">
      <c r="L996" s="47"/>
    </row>
    <row r="997" ht="14.25" customHeight="1">
      <c r="L997" s="47"/>
    </row>
    <row r="998" ht="14.25" customHeight="1">
      <c r="L998" s="47"/>
    </row>
    <row r="999" ht="14.25" customHeight="1">
      <c r="L999" s="47"/>
    </row>
    <row r="1000" ht="14.25" customHeight="1">
      <c r="L1000" s="4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2026-03-05T18:08:39Z</dcterms:created>
  <dc:creator>openpyxl</dc:creator>
</cp:coreProperties>
</file>