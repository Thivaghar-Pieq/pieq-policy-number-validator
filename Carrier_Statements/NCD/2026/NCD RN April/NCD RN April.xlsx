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NCD\2026\NCD RN April\"/>
    </mc:Choice>
  </mc:AlternateContent>
  <xr:revisionPtr revIDLastSave="0" documentId="13_ncr:1_{31D890EA-98E2-4223-8687-A3F7ACC4C791}" xr6:coauthVersionLast="47" xr6:coauthVersionMax="47" xr10:uidLastSave="{00000000-0000-0000-0000-000000000000}"/>
  <bookViews>
    <workbookView xWindow="28680" yWindow="-30" windowWidth="29040" windowHeight="1572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9" i="3" l="1"/>
  <c r="C166" i="3"/>
  <c r="C144" i="3"/>
  <c r="C159" i="3"/>
  <c r="C17" i="3"/>
  <c r="C80" i="3"/>
  <c r="C53" i="3"/>
  <c r="C155" i="3"/>
  <c r="C59" i="3"/>
  <c r="C114" i="3"/>
  <c r="C54" i="3"/>
  <c r="C18" i="3"/>
  <c r="C145" i="3"/>
  <c r="C109" i="3"/>
  <c r="C60" i="3"/>
  <c r="C12" i="3"/>
  <c r="C122" i="3"/>
  <c r="C132" i="3"/>
  <c r="C158" i="3"/>
  <c r="C19" i="3"/>
  <c r="C20" i="3"/>
  <c r="C9" i="3"/>
  <c r="C14" i="3"/>
  <c r="C136" i="3"/>
  <c r="C21" i="3"/>
  <c r="C115" i="3"/>
  <c r="C83" i="3"/>
  <c r="C84" i="3"/>
  <c r="C22" i="3"/>
  <c r="C85" i="3"/>
  <c r="C116" i="3"/>
  <c r="C15" i="3"/>
  <c r="C10" i="3"/>
  <c r="C23" i="3"/>
  <c r="C110" i="3"/>
  <c r="C24" i="3"/>
  <c r="C126" i="3"/>
  <c r="C86" i="3"/>
  <c r="C69" i="3"/>
  <c r="C70" i="3"/>
  <c r="C87" i="3"/>
  <c r="C88" i="3"/>
  <c r="C25" i="3"/>
  <c r="C61" i="3"/>
  <c r="C146" i="3"/>
  <c r="C89" i="3"/>
  <c r="C26" i="3"/>
  <c r="C117" i="3"/>
  <c r="C90" i="3"/>
  <c r="C147" i="3"/>
  <c r="C2" i="3"/>
  <c r="C127" i="3"/>
  <c r="C91" i="3"/>
  <c r="C92" i="3"/>
  <c r="C148" i="3"/>
  <c r="C93" i="3"/>
  <c r="C27" i="3"/>
  <c r="C137" i="3"/>
  <c r="C62" i="3"/>
  <c r="C149" i="3"/>
  <c r="C175" i="3"/>
  <c r="C131" i="3"/>
  <c r="C94" i="3"/>
  <c r="C28" i="3"/>
  <c r="C150" i="3"/>
  <c r="C124" i="3"/>
  <c r="C55" i="3"/>
  <c r="C95" i="3"/>
  <c r="C96" i="3"/>
  <c r="C151" i="3"/>
  <c r="C56" i="3"/>
  <c r="C152" i="3"/>
  <c r="C97" i="3"/>
  <c r="C170" i="3"/>
  <c r="C63" i="3"/>
  <c r="C81" i="3"/>
  <c r="C168" i="3"/>
  <c r="C29" i="3"/>
  <c r="C98" i="3"/>
  <c r="C111" i="3"/>
  <c r="C99" i="3"/>
  <c r="C165" i="3"/>
  <c r="C64" i="3"/>
  <c r="C176" i="3"/>
  <c r="C6" i="3"/>
  <c r="C5" i="3"/>
  <c r="C73" i="3"/>
  <c r="C30" i="3"/>
  <c r="C156" i="3"/>
  <c r="C31" i="3"/>
  <c r="C112" i="3"/>
  <c r="C141" i="3"/>
  <c r="C57" i="3"/>
  <c r="C153" i="3"/>
  <c r="C163" i="3"/>
  <c r="C123" i="3"/>
  <c r="C32" i="3"/>
  <c r="C120" i="3"/>
  <c r="C138" i="3"/>
  <c r="C100" i="3"/>
  <c r="C174" i="3"/>
  <c r="C71" i="3"/>
  <c r="C118" i="3"/>
  <c r="C33" i="3"/>
  <c r="C101" i="3"/>
  <c r="C34" i="3"/>
  <c r="C102" i="3"/>
  <c r="C103" i="3"/>
  <c r="C139" i="3"/>
  <c r="C128" i="3"/>
  <c r="C35" i="3"/>
  <c r="C7" i="3"/>
  <c r="C160" i="3"/>
  <c r="C161" i="3"/>
  <c r="C36" i="3"/>
  <c r="C65" i="3"/>
  <c r="C173" i="3"/>
  <c r="C164" i="3"/>
  <c r="C82" i="3"/>
  <c r="C37" i="3"/>
  <c r="C134" i="3"/>
  <c r="C167" i="3"/>
  <c r="C104" i="3"/>
  <c r="C3" i="3"/>
  <c r="C172" i="3"/>
  <c r="C66" i="3"/>
  <c r="C38" i="3"/>
  <c r="C39" i="3"/>
  <c r="C105" i="3"/>
  <c r="C40" i="3"/>
  <c r="C74" i="3"/>
  <c r="C162" i="3"/>
  <c r="C67" i="3"/>
  <c r="C169" i="3"/>
  <c r="C106" i="3"/>
  <c r="C11" i="3"/>
  <c r="C135" i="3"/>
  <c r="C75" i="3"/>
  <c r="C41" i="3"/>
  <c r="C113" i="3"/>
  <c r="C42" i="3"/>
  <c r="C142" i="3"/>
  <c r="C171" i="3"/>
  <c r="C43" i="3"/>
  <c r="C143" i="3"/>
  <c r="C58" i="3"/>
  <c r="C72" i="3"/>
  <c r="C44" i="3"/>
  <c r="C45" i="3"/>
  <c r="C129" i="3"/>
  <c r="C46" i="3"/>
  <c r="C76" i="3"/>
  <c r="C107" i="3"/>
  <c r="C47" i="3"/>
  <c r="C48" i="3"/>
  <c r="C125" i="3"/>
  <c r="C49" i="3"/>
  <c r="C130" i="3"/>
  <c r="C140" i="3"/>
  <c r="C77" i="3"/>
  <c r="C157" i="3"/>
  <c r="C121" i="3"/>
  <c r="C52" i="3"/>
  <c r="C78" i="3"/>
  <c r="C108" i="3"/>
  <c r="C50" i="3"/>
  <c r="C51" i="3"/>
  <c r="C79" i="3"/>
  <c r="C13" i="3"/>
  <c r="C154" i="3"/>
  <c r="C4" i="3"/>
  <c r="C133" i="3"/>
  <c r="C68" i="3"/>
  <c r="C8" i="3"/>
  <c r="C16" i="3"/>
  <c r="O196" i="1"/>
</calcChain>
</file>

<file path=xl/sharedStrings.xml><?xml version="1.0" encoding="utf-8"?>
<sst xmlns="http://schemas.openxmlformats.org/spreadsheetml/2006/main" count="7694" uniqueCount="988">
  <si>
    <t>Renewal Commission Statement</t>
  </si>
  <si>
    <t>AGENT</t>
  </si>
  <si>
    <t>Main Line Benefits LLC</t>
  </si>
  <si>
    <t>PERIOD</t>
  </si>
  <si>
    <t>April 2026 Renewals</t>
  </si>
  <si>
    <t>PAYOUT DATE</t>
  </si>
  <si>
    <t>05.08.2026</t>
  </si>
  <si>
    <t>Statement Totals</t>
  </si>
  <si>
    <t>Compensation Amount</t>
  </si>
  <si>
    <t>Renewal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</si>
  <si>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</si>
  <si>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</si>
  <si>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</si>
  <si>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</si>
  <si>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</si>
  <si>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</si>
  <si>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</si>
  <si>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</si>
  <si>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</si>
  <si>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</si>
  <si>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</si>
  <si>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</si>
  <si>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</si>
  <si>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</si>
  <si>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</si>
  <si>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</si>
  <si>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</si>
  <si>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Renewal</t>
  </si>
  <si>
    <t>685993021</t>
  </si>
  <si>
    <t>Evangeline</t>
  </si>
  <si>
    <t>Mastromarino</t>
  </si>
  <si>
    <t xml:space="preserve"> Main Line Benefits - Thomas Kucan</t>
  </si>
  <si>
    <t>204103864</t>
  </si>
  <si>
    <t>VSP Preferred Plan by NCD</t>
  </si>
  <si>
    <t>Member</t>
  </si>
  <si>
    <t>4/30/2026</t>
  </si>
  <si>
    <t>SALE</t>
  </si>
  <si>
    <t>686192188</t>
  </si>
  <si>
    <t>Toni</t>
  </si>
  <si>
    <t>Gosa</t>
  </si>
  <si>
    <t>Main Line Benefits LLC -Ricardo D Santos</t>
  </si>
  <si>
    <t>732250029</t>
  </si>
  <si>
    <t>4/6/2026</t>
  </si>
  <si>
    <t>683563883</t>
  </si>
  <si>
    <t>Melissa</t>
  </si>
  <si>
    <t>Mahaney</t>
  </si>
  <si>
    <t>698193150</t>
  </si>
  <si>
    <t>REFUND</t>
  </si>
  <si>
    <t>Refund Reversal</t>
  </si>
  <si>
    <t>681694666</t>
  </si>
  <si>
    <t>Robert</t>
  </si>
  <si>
    <t>Steinberg</t>
  </si>
  <si>
    <t>Main Line Benefits - Carol Foley</t>
  </si>
  <si>
    <t>654081029</t>
  </si>
  <si>
    <t>NCD Essentials by MetLife</t>
  </si>
  <si>
    <t>Member plus Spouse</t>
  </si>
  <si>
    <t>4/5/2026</t>
  </si>
  <si>
    <t>681802160</t>
  </si>
  <si>
    <t>Leon</t>
  </si>
  <si>
    <t>Hankin</t>
  </si>
  <si>
    <t>118665193</t>
  </si>
  <si>
    <t>681549155</t>
  </si>
  <si>
    <t>Lisa</t>
  </si>
  <si>
    <t>Hopkins</t>
  </si>
  <si>
    <t>Main Line Benefits - Matthew Daugherty</t>
  </si>
  <si>
    <t>464503420</t>
  </si>
  <si>
    <t>682171350</t>
  </si>
  <si>
    <t>Richard</t>
  </si>
  <si>
    <t>Golden</t>
  </si>
  <si>
    <t>252126537</t>
  </si>
  <si>
    <t>Member + 1</t>
  </si>
  <si>
    <t>297820482</t>
  </si>
  <si>
    <t>NCD Complete by MetLife</t>
  </si>
  <si>
    <t>683092185</t>
  </si>
  <si>
    <t>Roderick</t>
  </si>
  <si>
    <t>Acha</t>
  </si>
  <si>
    <t>690892951</t>
  </si>
  <si>
    <t>NCD Value by MetLife</t>
  </si>
  <si>
    <t>Family</t>
  </si>
  <si>
    <t>397053575</t>
  </si>
  <si>
    <t>NCD Elite 3000 by MetLife</t>
  </si>
  <si>
    <t>66621000</t>
  </si>
  <si>
    <t>686482688</t>
  </si>
  <si>
    <t>Andrea</t>
  </si>
  <si>
    <t>Baldwin</t>
  </si>
  <si>
    <t>Main Line Benefits LLC-Heidi Berthelsen</t>
  </si>
  <si>
    <t>170297622</t>
  </si>
  <si>
    <t>4/4/2026</t>
  </si>
  <si>
    <t>686026326</t>
  </si>
  <si>
    <t>Milos</t>
  </si>
  <si>
    <t>Radovanovic</t>
  </si>
  <si>
    <t>895993426</t>
  </si>
  <si>
    <t>683206913</t>
  </si>
  <si>
    <t>Cornell</t>
  </si>
  <si>
    <t>Jackson</t>
  </si>
  <si>
    <t>708780484</t>
  </si>
  <si>
    <t>NCD Smile 2500 by MetLife</t>
  </si>
  <si>
    <t>683138813</t>
  </si>
  <si>
    <t>Twanna</t>
  </si>
  <si>
    <t>Delva</t>
  </si>
  <si>
    <t>5274878</t>
  </si>
  <si>
    <t>CHARGEBACK</t>
  </si>
  <si>
    <t>Chargeback Reversal</t>
  </si>
  <si>
    <t>682949028</t>
  </si>
  <si>
    <t>Dana</t>
  </si>
  <si>
    <t>Wasimin</t>
  </si>
  <si>
    <t>Main Line Benefits LLC-William Schaeffer</t>
  </si>
  <si>
    <t>476855083</t>
  </si>
  <si>
    <t>4/3/2026</t>
  </si>
  <si>
    <t>583635919</t>
  </si>
  <si>
    <t>683078236</t>
  </si>
  <si>
    <t>Sheryll</t>
  </si>
  <si>
    <t>Aldred</t>
  </si>
  <si>
    <t>574187796</t>
  </si>
  <si>
    <t>683202494</t>
  </si>
  <si>
    <t>Sally</t>
  </si>
  <si>
    <t>Noonan</t>
  </si>
  <si>
    <t>Main Line Benefits LLC-Michael Dunavant</t>
  </si>
  <si>
    <t>825368073</t>
  </si>
  <si>
    <t>683312848</t>
  </si>
  <si>
    <t>Emily</t>
  </si>
  <si>
    <t>Whitacre</t>
  </si>
  <si>
    <t>858353460</t>
  </si>
  <si>
    <t>685124323</t>
  </si>
  <si>
    <t>Charles</t>
  </si>
  <si>
    <t>Vickers</t>
  </si>
  <si>
    <t>377078631</t>
  </si>
  <si>
    <t>NCD Elite 5000 by MetLife</t>
  </si>
  <si>
    <t>4/7/2026</t>
  </si>
  <si>
    <t>683552927</t>
  </si>
  <si>
    <t>Dudley</t>
  </si>
  <si>
    <t>Hinegardner</t>
  </si>
  <si>
    <t>699319353</t>
  </si>
  <si>
    <t>4/9/2026</t>
  </si>
  <si>
    <t>685711160</t>
  </si>
  <si>
    <t>Kimberly</t>
  </si>
  <si>
    <t>Mooney</t>
  </si>
  <si>
    <t>185194902</t>
  </si>
  <si>
    <t>4/14/2026</t>
  </si>
  <si>
    <t>686029638</t>
  </si>
  <si>
    <t>Klaudia</t>
  </si>
  <si>
    <t>Tac</t>
  </si>
  <si>
    <t>Main Line Benefits LLC-Gary Portugal</t>
  </si>
  <si>
    <t>1035728</t>
  </si>
  <si>
    <t>4/13/2026</t>
  </si>
  <si>
    <t>685091958</t>
  </si>
  <si>
    <t>Janice</t>
  </si>
  <si>
    <t>Pietrucha</t>
  </si>
  <si>
    <t>251856742</t>
  </si>
  <si>
    <t>NCD Elite 1500 by MetLife</t>
  </si>
  <si>
    <t>682456860</t>
  </si>
  <si>
    <t>Nancy</t>
  </si>
  <si>
    <t>Tiburzio</t>
  </si>
  <si>
    <t>970685148</t>
  </si>
  <si>
    <t>390580973</t>
  </si>
  <si>
    <t>NCD Bright 1000 by MetLife</t>
  </si>
  <si>
    <t>683589666</t>
  </si>
  <si>
    <t>Gene</t>
  </si>
  <si>
    <t>Gerzsenyi</t>
  </si>
  <si>
    <t>877044360</t>
  </si>
  <si>
    <t>683438413</t>
  </si>
  <si>
    <t>A Thomas</t>
  </si>
  <si>
    <t>Loy</t>
  </si>
  <si>
    <t>820303811</t>
  </si>
  <si>
    <t>4/12/2026</t>
  </si>
  <si>
    <t>683978293</t>
  </si>
  <si>
    <t>Kristen</t>
  </si>
  <si>
    <t>Facchini</t>
  </si>
  <si>
    <t>Main Line Benefits LLC -Frank Liskovec</t>
  </si>
  <si>
    <t>692950875</t>
  </si>
  <si>
    <t>4/11/2026</t>
  </si>
  <si>
    <t>683324516</t>
  </si>
  <si>
    <t xml:space="preserve">Jennifer </t>
  </si>
  <si>
    <t>Harbin</t>
  </si>
  <si>
    <t>196153282</t>
  </si>
  <si>
    <t>625104953</t>
  </si>
  <si>
    <t>684314332</t>
  </si>
  <si>
    <t>Carl</t>
  </si>
  <si>
    <t>Pine</t>
  </si>
  <si>
    <t>Main Line Benefits LLC-Alison Luse</t>
  </si>
  <si>
    <t>328251776</t>
  </si>
  <si>
    <t>683609699</t>
  </si>
  <si>
    <t>Michael</t>
  </si>
  <si>
    <t>Suskin</t>
  </si>
  <si>
    <t>Mainline Benefits co</t>
  </si>
  <si>
    <t>58861441</t>
  </si>
  <si>
    <t>683593204</t>
  </si>
  <si>
    <t>Steven</t>
  </si>
  <si>
    <t>Cohen</t>
  </si>
  <si>
    <t>348104279</t>
  </si>
  <si>
    <t>4/10/2026</t>
  </si>
  <si>
    <t>683080241</t>
  </si>
  <si>
    <t>Jospeh</t>
  </si>
  <si>
    <t>Morris II</t>
  </si>
  <si>
    <t>864594072</t>
  </si>
  <si>
    <t>683551481</t>
  </si>
  <si>
    <t>Brigitte</t>
  </si>
  <si>
    <t>Wilkinson</t>
  </si>
  <si>
    <t>Main Line Benefits LLC-Jared Kinyua</t>
  </si>
  <si>
    <t>984523223</t>
  </si>
  <si>
    <t>245549848</t>
  </si>
  <si>
    <t>683221739</t>
  </si>
  <si>
    <t>Minas</t>
  </si>
  <si>
    <t>Giorgakis</t>
  </si>
  <si>
    <t>165329262</t>
  </si>
  <si>
    <t>607637254</t>
  </si>
  <si>
    <t>685784618</t>
  </si>
  <si>
    <t>Hadley</t>
  </si>
  <si>
    <t>Beckstrand</t>
  </si>
  <si>
    <t>789665275</t>
  </si>
  <si>
    <t>859724247</t>
  </si>
  <si>
    <t>683608024</t>
  </si>
  <si>
    <t>Zuleika</t>
  </si>
  <si>
    <t>Rosa Salgado</t>
  </si>
  <si>
    <t>701882993</t>
  </si>
  <si>
    <t>Member plus Children</t>
  </si>
  <si>
    <t>686658070</t>
  </si>
  <si>
    <t>Reginald</t>
  </si>
  <si>
    <t>Fleming Sr</t>
  </si>
  <si>
    <t>323523851</t>
  </si>
  <si>
    <t>4/2/2026</t>
  </si>
  <si>
    <t>868824557</t>
  </si>
  <si>
    <t>686156605</t>
  </si>
  <si>
    <t>Melita</t>
  </si>
  <si>
    <t>Laroco</t>
  </si>
  <si>
    <t>182409727</t>
  </si>
  <si>
    <t>685669083</t>
  </si>
  <si>
    <t>William</t>
  </si>
  <si>
    <t>Kates</t>
  </si>
  <si>
    <t>664991529</t>
  </si>
  <si>
    <t>681792691</t>
  </si>
  <si>
    <t>Kathleen</t>
  </si>
  <si>
    <t>McClain</t>
  </si>
  <si>
    <t>78980217</t>
  </si>
  <si>
    <t>685469893</t>
  </si>
  <si>
    <t>Dorothy</t>
  </si>
  <si>
    <t>Musi</t>
  </si>
  <si>
    <t>353396219</t>
  </si>
  <si>
    <t>NCD Bright 1500 by MetLife</t>
  </si>
  <si>
    <t>685688372</t>
  </si>
  <si>
    <t>Laura</t>
  </si>
  <si>
    <t>Beatty</t>
  </si>
  <si>
    <t>317405573</t>
  </si>
  <si>
    <t>684613851</t>
  </si>
  <si>
    <t>Maria</t>
  </si>
  <si>
    <t>VonNordeck</t>
  </si>
  <si>
    <t>795235089</t>
  </si>
  <si>
    <t>684285941</t>
  </si>
  <si>
    <t>Dennis</t>
  </si>
  <si>
    <t>Matyas</t>
  </si>
  <si>
    <t>Lori Tunstall</t>
  </si>
  <si>
    <t>901820000</t>
  </si>
  <si>
    <t>684068645</t>
  </si>
  <si>
    <t>Sharrod</t>
  </si>
  <si>
    <t>Walker</t>
  </si>
  <si>
    <t>848578973</t>
  </si>
  <si>
    <t>685969620</t>
  </si>
  <si>
    <t>Cynthia</t>
  </si>
  <si>
    <t>Brown</t>
  </si>
  <si>
    <t>794112359</t>
  </si>
  <si>
    <t>682221319</t>
  </si>
  <si>
    <t>Miosotis</t>
  </si>
  <si>
    <t>Ledesma</t>
  </si>
  <si>
    <t>Main Line Benefits LLC - Aidan Barber</t>
  </si>
  <si>
    <t>173898668</t>
  </si>
  <si>
    <t>685799092</t>
  </si>
  <si>
    <t>Gloria</t>
  </si>
  <si>
    <t>Jacobs</t>
  </si>
  <si>
    <t>945678431</t>
  </si>
  <si>
    <t>681791772</t>
  </si>
  <si>
    <t>Thomas</t>
  </si>
  <si>
    <t>DeCoudres</t>
  </si>
  <si>
    <t>Margaret Finnegan</t>
  </si>
  <si>
    <t>7534852</t>
  </si>
  <si>
    <t>683654568</t>
  </si>
  <si>
    <t>Michelle</t>
  </si>
  <si>
    <t>Barnowski</t>
  </si>
  <si>
    <t>760186562</t>
  </si>
  <si>
    <t>4/1/2026</t>
  </si>
  <si>
    <t>686008045</t>
  </si>
  <si>
    <t>Olanike</t>
  </si>
  <si>
    <t>Oyefeso</t>
  </si>
  <si>
    <t>350067834</t>
  </si>
  <si>
    <t>686048826</t>
  </si>
  <si>
    <t>Francis</t>
  </si>
  <si>
    <t>Conroy</t>
  </si>
  <si>
    <t>Main Line Benefits - Anne Marie Kozacheck</t>
  </si>
  <si>
    <t>181914820</t>
  </si>
  <si>
    <t>400431428</t>
  </si>
  <si>
    <t>685478544</t>
  </si>
  <si>
    <t>Tracy</t>
  </si>
  <si>
    <t>Macdonald</t>
  </si>
  <si>
    <t>50538789</t>
  </si>
  <si>
    <t>683297683</t>
  </si>
  <si>
    <t>Mary</t>
  </si>
  <si>
    <t>Rosencranz</t>
  </si>
  <si>
    <t>582065076</t>
  </si>
  <si>
    <t>364920174</t>
  </si>
  <si>
    <t>681703836</t>
  </si>
  <si>
    <t>Liane</t>
  </si>
  <si>
    <t>Lefever</t>
  </si>
  <si>
    <t>784351926</t>
  </si>
  <si>
    <t>181995160</t>
  </si>
  <si>
    <t>683954249</t>
  </si>
  <si>
    <t>Margaret</t>
  </si>
  <si>
    <t>Stoner</t>
  </si>
  <si>
    <t>644484680</t>
  </si>
  <si>
    <t>685130230</t>
  </si>
  <si>
    <t>Patrick</t>
  </si>
  <si>
    <t>Heller</t>
  </si>
  <si>
    <t>518008986</t>
  </si>
  <si>
    <t>684866005</t>
  </si>
  <si>
    <t>Natividad</t>
  </si>
  <si>
    <t>Hernandez Luna</t>
  </si>
  <si>
    <t>69052199</t>
  </si>
  <si>
    <t>129241253</t>
  </si>
  <si>
    <t>685875685</t>
  </si>
  <si>
    <t>Fidel</t>
  </si>
  <si>
    <t>Estanda</t>
  </si>
  <si>
    <t>737401508</t>
  </si>
  <si>
    <t>428096508</t>
  </si>
  <si>
    <t>682967565</t>
  </si>
  <si>
    <t>Demetris</t>
  </si>
  <si>
    <t>Jones</t>
  </si>
  <si>
    <t>125532058</t>
  </si>
  <si>
    <t>682932267</t>
  </si>
  <si>
    <t>Cheryl</t>
  </si>
  <si>
    <t>Gaines</t>
  </si>
  <si>
    <t>604649461</t>
  </si>
  <si>
    <t>684866083</t>
  </si>
  <si>
    <t>Hellen</t>
  </si>
  <si>
    <t>Nyaberi</t>
  </si>
  <si>
    <t>408114059</t>
  </si>
  <si>
    <t>683724724</t>
  </si>
  <si>
    <t>Eugene</t>
  </si>
  <si>
    <t>Hanes Jr.</t>
  </si>
  <si>
    <t>975782157</t>
  </si>
  <si>
    <t>686196766</t>
  </si>
  <si>
    <t>Zain</t>
  </si>
  <si>
    <t>Lakhani</t>
  </si>
  <si>
    <t>355029732</t>
  </si>
  <si>
    <t>265025003</t>
  </si>
  <si>
    <t>275150335</t>
  </si>
  <si>
    <t>686449763</t>
  </si>
  <si>
    <t>Medina</t>
  </si>
  <si>
    <t>866239746</t>
  </si>
  <si>
    <t>660719533</t>
  </si>
  <si>
    <t>384672439</t>
  </si>
  <si>
    <t>983602993</t>
  </si>
  <si>
    <t>520875518</t>
  </si>
  <si>
    <t>684234107</t>
  </si>
  <si>
    <t>Elizabeth</t>
  </si>
  <si>
    <t>Zane</t>
  </si>
  <si>
    <t>260311117</t>
  </si>
  <si>
    <t>4/15/2026</t>
  </si>
  <si>
    <t>686386363</t>
  </si>
  <si>
    <t>Lilick</t>
  </si>
  <si>
    <t>192480227</t>
  </si>
  <si>
    <t>681647925</t>
  </si>
  <si>
    <t>Siti</t>
  </si>
  <si>
    <t>Freedman</t>
  </si>
  <si>
    <t>386395185</t>
  </si>
  <si>
    <t>685070819</t>
  </si>
  <si>
    <t>Karli</t>
  </si>
  <si>
    <t>Helman</t>
  </si>
  <si>
    <t>982230107</t>
  </si>
  <si>
    <t>683301317</t>
  </si>
  <si>
    <t xml:space="preserve">Ann </t>
  </si>
  <si>
    <t>Morgan</t>
  </si>
  <si>
    <t>459325166</t>
  </si>
  <si>
    <t>4/28/2026</t>
  </si>
  <si>
    <t>683929409</t>
  </si>
  <si>
    <t>Lori</t>
  </si>
  <si>
    <t>Bottenfield</t>
  </si>
  <si>
    <t>Main Line Benefits LLC - Michelle McCorkle</t>
  </si>
  <si>
    <t>176713886</t>
  </si>
  <si>
    <t>684004299</t>
  </si>
  <si>
    <t>Jean</t>
  </si>
  <si>
    <t>Harrell</t>
  </si>
  <si>
    <t>384431357</t>
  </si>
  <si>
    <t>55733973</t>
  </si>
  <si>
    <t>683478651</t>
  </si>
  <si>
    <t>Tyrell</t>
  </si>
  <si>
    <t>Weaver</t>
  </si>
  <si>
    <t>698731916</t>
  </si>
  <si>
    <t>823699893</t>
  </si>
  <si>
    <t>683707400</t>
  </si>
  <si>
    <t>Fawn</t>
  </si>
  <si>
    <t>Taylor</t>
  </si>
  <si>
    <t>128182846</t>
  </si>
  <si>
    <t>4/27/2026</t>
  </si>
  <si>
    <t>686386370</t>
  </si>
  <si>
    <t>Justin</t>
  </si>
  <si>
    <t>686198203</t>
  </si>
  <si>
    <t>686429300</t>
  </si>
  <si>
    <t>Swaraj</t>
  </si>
  <si>
    <t>Chadha</t>
  </si>
  <si>
    <t>654997781</t>
  </si>
  <si>
    <t>4/26/2026</t>
  </si>
  <si>
    <t>169495881</t>
  </si>
  <si>
    <t>686385933</t>
  </si>
  <si>
    <t>982416865</t>
  </si>
  <si>
    <t>913646618</t>
  </si>
  <si>
    <t>683899850</t>
  </si>
  <si>
    <t xml:space="preserve">William </t>
  </si>
  <si>
    <t>Custer</t>
  </si>
  <si>
    <t>571135014</t>
  </si>
  <si>
    <t>684143314</t>
  </si>
  <si>
    <t>Sarah</t>
  </si>
  <si>
    <t>Yoder</t>
  </si>
  <si>
    <t>537988210</t>
  </si>
  <si>
    <t>NCD Smile 1000 by MetLife</t>
  </si>
  <si>
    <t>683900706</t>
  </si>
  <si>
    <t>Karla</t>
  </si>
  <si>
    <t>Cutting</t>
  </si>
  <si>
    <t>783299133</t>
  </si>
  <si>
    <t>686425651</t>
  </si>
  <si>
    <t>683168016</t>
  </si>
  <si>
    <t>Scarpulla</t>
  </si>
  <si>
    <t>524461911</t>
  </si>
  <si>
    <t>686540477</t>
  </si>
  <si>
    <t>Marie</t>
  </si>
  <si>
    <t>Washington</t>
  </si>
  <si>
    <t>387924097</t>
  </si>
  <si>
    <t>129472514</t>
  </si>
  <si>
    <t>683178395</t>
  </si>
  <si>
    <t>Abigail</t>
  </si>
  <si>
    <t>Duncan</t>
  </si>
  <si>
    <t>168352383</t>
  </si>
  <si>
    <t>685724727</t>
  </si>
  <si>
    <t>Katrin</t>
  </si>
  <si>
    <t>Urban</t>
  </si>
  <si>
    <t>397825233</t>
  </si>
  <si>
    <t>685696048</t>
  </si>
  <si>
    <t>Teri</t>
  </si>
  <si>
    <t>Weissman</t>
  </si>
  <si>
    <t>648787978</t>
  </si>
  <si>
    <t>973153223</t>
  </si>
  <si>
    <t>914399180</t>
  </si>
  <si>
    <t>685256667</t>
  </si>
  <si>
    <t>Breedy</t>
  </si>
  <si>
    <t>373547815</t>
  </si>
  <si>
    <t>683534011</t>
  </si>
  <si>
    <t>John</t>
  </si>
  <si>
    <t>Fritz</t>
  </si>
  <si>
    <t>303162685</t>
  </si>
  <si>
    <t>685063060</t>
  </si>
  <si>
    <t>Loise</t>
  </si>
  <si>
    <t>Maina</t>
  </si>
  <si>
    <t>681883972</t>
  </si>
  <si>
    <t>683720644</t>
  </si>
  <si>
    <t>Jon</t>
  </si>
  <si>
    <t>92801354</t>
  </si>
  <si>
    <t>685988551</t>
  </si>
  <si>
    <t>Donna</t>
  </si>
  <si>
    <t>453596467</t>
  </si>
  <si>
    <t>167138801</t>
  </si>
  <si>
    <t>312209549</t>
  </si>
  <si>
    <t>685070366</t>
  </si>
  <si>
    <t>Martin</t>
  </si>
  <si>
    <t>Burman</t>
  </si>
  <si>
    <t>104547957</t>
  </si>
  <si>
    <t>318112688</t>
  </si>
  <si>
    <t>683829007</t>
  </si>
  <si>
    <t>Edlawit</t>
  </si>
  <si>
    <t>Tesfaye</t>
  </si>
  <si>
    <t>298408887</t>
  </si>
  <si>
    <t>341203822</t>
  </si>
  <si>
    <t>683497808</t>
  </si>
  <si>
    <t xml:space="preserve">Susan </t>
  </si>
  <si>
    <t>Belden</t>
  </si>
  <si>
    <t>998017756</t>
  </si>
  <si>
    <t>683448864</t>
  </si>
  <si>
    <t>Scott</t>
  </si>
  <si>
    <t>Crump</t>
  </si>
  <si>
    <t>Main Line Benefits LLC-Pam Deaton Inc</t>
  </si>
  <si>
    <t>990327518</t>
  </si>
  <si>
    <t>4/24/2026</t>
  </si>
  <si>
    <t>686029305</t>
  </si>
  <si>
    <t xml:space="preserve"> Shelli </t>
  </si>
  <si>
    <t xml:space="preserve"> Sheridan</t>
  </si>
  <si>
    <t>220207712</t>
  </si>
  <si>
    <t>4/17/2026</t>
  </si>
  <si>
    <t>683124480</t>
  </si>
  <si>
    <t xml:space="preserve">Shane </t>
  </si>
  <si>
    <t>Abrams</t>
  </si>
  <si>
    <t>509666499</t>
  </si>
  <si>
    <t>683828176</t>
  </si>
  <si>
    <t>Satya</t>
  </si>
  <si>
    <t>Southall</t>
  </si>
  <si>
    <t>896294214</t>
  </si>
  <si>
    <t>683659785</t>
  </si>
  <si>
    <t>Julie</t>
  </si>
  <si>
    <t>Bryant</t>
  </si>
  <si>
    <t>954518880</t>
  </si>
  <si>
    <t>686045048</t>
  </si>
  <si>
    <t>Rahwa</t>
  </si>
  <si>
    <t>Hagos</t>
  </si>
  <si>
    <t>689762261</t>
  </si>
  <si>
    <t>4/16/2026</t>
  </si>
  <si>
    <t>683089560</t>
  </si>
  <si>
    <t>Pross</t>
  </si>
  <si>
    <t>914833590</t>
  </si>
  <si>
    <t>683089576</t>
  </si>
  <si>
    <t>Tarmon</t>
  </si>
  <si>
    <t>876391898</t>
  </si>
  <si>
    <t>682971882</t>
  </si>
  <si>
    <t>Monica</t>
  </si>
  <si>
    <t>ODonnell</t>
  </si>
  <si>
    <t>40198305</t>
  </si>
  <si>
    <t>686803805</t>
  </si>
  <si>
    <t>Laurie</t>
  </si>
  <si>
    <t>Shakur</t>
  </si>
  <si>
    <t>Main Line Benefits LLC-Kristen Facchini</t>
  </si>
  <si>
    <t>708841979</t>
  </si>
  <si>
    <t>868422442</t>
  </si>
  <si>
    <t>682974980</t>
  </si>
  <si>
    <t>Mindi</t>
  </si>
  <si>
    <t>Kane</t>
  </si>
  <si>
    <t>673613358</t>
  </si>
  <si>
    <t>684680721</t>
  </si>
  <si>
    <t xml:space="preserve">Jacob </t>
  </si>
  <si>
    <t>Moorhead</t>
  </si>
  <si>
    <t>760665662</t>
  </si>
  <si>
    <t>684135257</t>
  </si>
  <si>
    <t>Alonzo</t>
  </si>
  <si>
    <t>Carolyn W Smith</t>
  </si>
  <si>
    <t>418031090</t>
  </si>
  <si>
    <t>682581055</t>
  </si>
  <si>
    <t>Dziekonski</t>
  </si>
  <si>
    <t>379471379</t>
  </si>
  <si>
    <t>683532101</t>
  </si>
  <si>
    <t>Amberly</t>
  </si>
  <si>
    <t>Litchfield</t>
  </si>
  <si>
    <t>478183816</t>
  </si>
  <si>
    <t>682580771</t>
  </si>
  <si>
    <t>Roxanne</t>
  </si>
  <si>
    <t>Hartrich</t>
  </si>
  <si>
    <t>538144779</t>
  </si>
  <si>
    <t>387100933</t>
  </si>
  <si>
    <t>680314593</t>
  </si>
  <si>
    <t>Kenneth</t>
  </si>
  <si>
    <t>Johnson</t>
  </si>
  <si>
    <t>Main Line Benefits - Adam Richter</t>
  </si>
  <si>
    <t>172575174</t>
  </si>
  <si>
    <t>NCD Standard 5000 by MetLife</t>
  </si>
  <si>
    <t>629957651</t>
  </si>
  <si>
    <t>683013826</t>
  </si>
  <si>
    <t>Matthew</t>
  </si>
  <si>
    <t>Lowing</t>
  </si>
  <si>
    <t>676321759</t>
  </si>
  <si>
    <t>4/25/2026</t>
  </si>
  <si>
    <t>683124501</t>
  </si>
  <si>
    <t>528354958</t>
  </si>
  <si>
    <t>683120098</t>
  </si>
  <si>
    <t>Alycea</t>
  </si>
  <si>
    <t>Rivera</t>
  </si>
  <si>
    <t>232438202</t>
  </si>
  <si>
    <t>683887722</t>
  </si>
  <si>
    <t>Gary</t>
  </si>
  <si>
    <t>437691397</t>
  </si>
  <si>
    <t>684158179</t>
  </si>
  <si>
    <t>Arrich</t>
  </si>
  <si>
    <t>138655428</t>
  </si>
  <si>
    <t>4/23/2026</t>
  </si>
  <si>
    <t>683877755</t>
  </si>
  <si>
    <t>Debbie</t>
  </si>
  <si>
    <t>Rice</t>
  </si>
  <si>
    <t>526763175</t>
  </si>
  <si>
    <t>684061797</t>
  </si>
  <si>
    <t>Calogero</t>
  </si>
  <si>
    <t>Interrante</t>
  </si>
  <si>
    <t>588549415</t>
  </si>
  <si>
    <t>683654707</t>
  </si>
  <si>
    <t>Jean Francois</t>
  </si>
  <si>
    <t>Agbodjogbe</t>
  </si>
  <si>
    <t>230444946</t>
  </si>
  <si>
    <t>4/22/2026</t>
  </si>
  <si>
    <t>683478663</t>
  </si>
  <si>
    <t>Hollie</t>
  </si>
  <si>
    <t>Cacace</t>
  </si>
  <si>
    <t>536940641</t>
  </si>
  <si>
    <t>685953624</t>
  </si>
  <si>
    <t>Lindsey</t>
  </si>
  <si>
    <t>Cleland</t>
  </si>
  <si>
    <t>151982465</t>
  </si>
  <si>
    <t>65004796</t>
  </si>
  <si>
    <t>683498152</t>
  </si>
  <si>
    <t>Joshua</t>
  </si>
  <si>
    <t>Tutchton</t>
  </si>
  <si>
    <t>892393390</t>
  </si>
  <si>
    <t>683275166</t>
  </si>
  <si>
    <t>Kevin</t>
  </si>
  <si>
    <t>Husemann</t>
  </si>
  <si>
    <t>310854872</t>
  </si>
  <si>
    <t>684087263</t>
  </si>
  <si>
    <t>Zhenhua</t>
  </si>
  <si>
    <t>Jiang</t>
  </si>
  <si>
    <t>389218592</t>
  </si>
  <si>
    <t>4/21/2026</t>
  </si>
  <si>
    <t>686836857</t>
  </si>
  <si>
    <t xml:space="preserve">Kayla </t>
  </si>
  <si>
    <t>Fleming</t>
  </si>
  <si>
    <t>Main Line Benefits LLC-Taliah Ferguson</t>
  </si>
  <si>
    <t>961091863</t>
  </si>
  <si>
    <t>4/20/2026</t>
  </si>
  <si>
    <t>681829783</t>
  </si>
  <si>
    <t>Lizanne</t>
  </si>
  <si>
    <t>Hayes</t>
  </si>
  <si>
    <t>438557821</t>
  </si>
  <si>
    <t>683463955</t>
  </si>
  <si>
    <t>Jose</t>
  </si>
  <si>
    <t>Manansala</t>
  </si>
  <si>
    <t>245268586</t>
  </si>
  <si>
    <t>4/19/2026</t>
  </si>
  <si>
    <t>762673318</t>
  </si>
  <si>
    <t>679972196</t>
  </si>
  <si>
    <t>Jack</t>
  </si>
  <si>
    <t>Stein</t>
  </si>
  <si>
    <t>694607964</t>
  </si>
  <si>
    <t>NCD Standard 3000 by MetLife</t>
  </si>
  <si>
    <t>4/18/2026</t>
  </si>
  <si>
    <t>241002988</t>
  </si>
  <si>
    <t>NCD - Vision</t>
  </si>
  <si>
    <t>683602218</t>
  </si>
  <si>
    <t>Tyler</t>
  </si>
  <si>
    <t>Fortney</t>
  </si>
  <si>
    <t>498487989</t>
  </si>
  <si>
    <t>880261314</t>
  </si>
  <si>
    <t>Renewal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</si>
  <si>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</si>
  <si>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</si>
  <si>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</si>
  <si>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</si>
  <si>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</si>
  <si>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</si>
  <si>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</si>
  <si>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</si>
  <si>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</si>
  <si>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</si>
  <si>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</si>
  <si>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</si>
  <si>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</si>
  <si>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</si>
  <si>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</si>
  <si>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</si>
  <si>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</si>
  <si>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</si>
  <si>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</si>
  <si>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</si>
  <si>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</si>
  <si>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</si>
  <si>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</si>
  <si>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</si>
  <si>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</si>
  <si>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MD</t>
  </si>
  <si>
    <t>Field</t>
  </si>
  <si>
    <t>Monthly</t>
  </si>
  <si>
    <t>Vision</t>
  </si>
  <si>
    <t>VSP</t>
  </si>
  <si>
    <t>12/10/2025</t>
  </si>
  <si>
    <t>1/1/2026</t>
  </si>
  <si>
    <t>12005681549</t>
  </si>
  <si>
    <t>CC</t>
  </si>
  <si>
    <t>37%</t>
  </si>
  <si>
    <t>Dental</t>
  </si>
  <si>
    <t>MetLife</t>
  </si>
  <si>
    <t>9/30/2024</t>
  </si>
  <si>
    <t>10/1/2024</t>
  </si>
  <si>
    <t>12005568092</t>
  </si>
  <si>
    <t>32%</t>
  </si>
  <si>
    <t>11/4/2025</t>
  </si>
  <si>
    <t>12/1/2025</t>
  </si>
  <si>
    <t>12005647802</t>
  </si>
  <si>
    <t>24%</t>
  </si>
  <si>
    <t>12/16/2024</t>
  </si>
  <si>
    <t>1/1/2025</t>
  </si>
  <si>
    <t>11991032641</t>
  </si>
  <si>
    <t>ACH</t>
  </si>
  <si>
    <t>FL</t>
  </si>
  <si>
    <t>10/30/2025</t>
  </si>
  <si>
    <t>11/1/2025</t>
  </si>
  <si>
    <t>12005752843</t>
  </si>
  <si>
    <t>12/9/2025</t>
  </si>
  <si>
    <t>PA</t>
  </si>
  <si>
    <t>8/26/2025</t>
  </si>
  <si>
    <t>10/1/2025</t>
  </si>
  <si>
    <t>12005704511</t>
  </si>
  <si>
    <t>12/2/2024</t>
  </si>
  <si>
    <t>11987875693</t>
  </si>
  <si>
    <t>10/31/2025</t>
  </si>
  <si>
    <t>12005589781</t>
  </si>
  <si>
    <t>1/15/2025</t>
  </si>
  <si>
    <t>2/1/2025</t>
  </si>
  <si>
    <t>11987871326</t>
  </si>
  <si>
    <t>1/6/2026</t>
  </si>
  <si>
    <t>2/1/2026</t>
  </si>
  <si>
    <t>12005691222</t>
  </si>
  <si>
    <t>IL</t>
  </si>
  <si>
    <t>12005681388</t>
  </si>
  <si>
    <t>12/15/2025</t>
  </si>
  <si>
    <t>11991049072</t>
  </si>
  <si>
    <t>7/31/2025</t>
  </si>
  <si>
    <t>8/1/2025</t>
  </si>
  <si>
    <t>12005699621</t>
  </si>
  <si>
    <t>3%</t>
  </si>
  <si>
    <t>12005699899</t>
  </si>
  <si>
    <t>2/11/2026</t>
  </si>
  <si>
    <t>11987889315</t>
  </si>
  <si>
    <t>7/30/2025</t>
  </si>
  <si>
    <t>12005620732</t>
  </si>
  <si>
    <t>1/23/2026</t>
  </si>
  <si>
    <t>12005791571</t>
  </si>
  <si>
    <t>10/31/2023</t>
  </si>
  <si>
    <t>11/1/2023</t>
  </si>
  <si>
    <t>12005591800</t>
  </si>
  <si>
    <t>10/28/2024</t>
  </si>
  <si>
    <t>11/1/2024</t>
  </si>
  <si>
    <t>11997682413</t>
  </si>
  <si>
    <t>1/28/2025</t>
  </si>
  <si>
    <t>11997742624</t>
  </si>
  <si>
    <t>2/11/2025</t>
  </si>
  <si>
    <t>3/1/2025</t>
  </si>
  <si>
    <t>11997692387</t>
  </si>
  <si>
    <t>11/6/2025</t>
  </si>
  <si>
    <t>11/19/2024</t>
  </si>
  <si>
    <t>12/1/2024</t>
  </si>
  <si>
    <t>11997685460</t>
  </si>
  <si>
    <t>12/27/2024</t>
  </si>
  <si>
    <t>11993644080</t>
  </si>
  <si>
    <t>11993672107</t>
  </si>
  <si>
    <t>GA</t>
  </si>
  <si>
    <t>1/26/2026</t>
  </si>
  <si>
    <t>11991056492</t>
  </si>
  <si>
    <t>1/22/2026</t>
  </si>
  <si>
    <t>11975334671</t>
  </si>
  <si>
    <t>1/22/2025</t>
  </si>
  <si>
    <t>11975325896</t>
  </si>
  <si>
    <t>1/5/2026</t>
  </si>
  <si>
    <t>11991032450</t>
  </si>
  <si>
    <t>11975326212</t>
  </si>
  <si>
    <t>9/26/2024</t>
  </si>
  <si>
    <t>11991020344</t>
  </si>
  <si>
    <t>11/22/2024</t>
  </si>
  <si>
    <t>11975324200</t>
  </si>
  <si>
    <t>8/21/2024</t>
  </si>
  <si>
    <t>9/1/2024</t>
  </si>
  <si>
    <t>11971564878</t>
  </si>
  <si>
    <t>11/14/2024</t>
  </si>
  <si>
    <t>11942979538</t>
  </si>
  <si>
    <t>1/20/2025</t>
  </si>
  <si>
    <t>11967317131</t>
  </si>
  <si>
    <t>3/7/2025</t>
  </si>
  <si>
    <t>11956844554</t>
  </si>
  <si>
    <t>1/17/2025</t>
  </si>
  <si>
    <t>11956843257</t>
  </si>
  <si>
    <t>2/19/2025</t>
  </si>
  <si>
    <t>11964512614</t>
  </si>
  <si>
    <t>11952629258</t>
  </si>
  <si>
    <t>11975310909</t>
  </si>
  <si>
    <t>7/31/2024</t>
  </si>
  <si>
    <t>8/1/2024</t>
  </si>
  <si>
    <t>11929767277</t>
  </si>
  <si>
    <t>WI</t>
  </si>
  <si>
    <t>12/4/2025</t>
  </si>
  <si>
    <t>11952642193</t>
  </si>
  <si>
    <t>11975311198</t>
  </si>
  <si>
    <t>12/10/2024</t>
  </si>
  <si>
    <t>11952628919</t>
  </si>
  <si>
    <t>10/23/2024</t>
  </si>
  <si>
    <t>11953732536</t>
  </si>
  <si>
    <t>2/21/2025</t>
  </si>
  <si>
    <t>11971558678</t>
  </si>
  <si>
    <t>3/20/2026</t>
  </si>
  <si>
    <t>11967311484</t>
  </si>
  <si>
    <t>12/7/2023</t>
  </si>
  <si>
    <t>1/1/2024</t>
  </si>
  <si>
    <t>11967294373</t>
  </si>
  <si>
    <t>11/15/2024</t>
  </si>
  <si>
    <t>11947550668</t>
  </si>
  <si>
    <t>NJ</t>
  </si>
  <si>
    <t>5/29/2024</t>
  </si>
  <si>
    <t>7/1/2024</t>
  </si>
  <si>
    <t>11961397776</t>
  </si>
  <si>
    <t>26%</t>
  </si>
  <si>
    <t>10/18/2022</t>
  </si>
  <si>
    <t>12/1/2022</t>
  </si>
  <si>
    <t>9/16/2024</t>
  </si>
  <si>
    <t>11956820343</t>
  </si>
  <si>
    <t>3/13/2026</t>
  </si>
  <si>
    <t>11938843252</t>
  </si>
  <si>
    <t>9/17/2024</t>
  </si>
  <si>
    <t>11956821103</t>
  </si>
  <si>
    <t>12/13/2025</t>
  </si>
  <si>
    <t>11938842381</t>
  </si>
  <si>
    <t>11956820931</t>
  </si>
  <si>
    <t>11957020875</t>
  </si>
  <si>
    <t>12/17/2024</t>
  </si>
  <si>
    <t>11956822637</t>
  </si>
  <si>
    <t>11952624512</t>
  </si>
  <si>
    <t>9/10/2024</t>
  </si>
  <si>
    <t>11927895712</t>
  </si>
  <si>
    <t>11927895773</t>
  </si>
  <si>
    <t>8/12/2024</t>
  </si>
  <si>
    <t>11936221282</t>
  </si>
  <si>
    <t>11936209314</t>
  </si>
  <si>
    <t>6/10/2025</t>
  </si>
  <si>
    <t>7/1/2025</t>
  </si>
  <si>
    <t>11932805688</t>
  </si>
  <si>
    <t>3/3/2025</t>
  </si>
  <si>
    <t>4/1/2025</t>
  </si>
  <si>
    <t>11947522832</t>
  </si>
  <si>
    <t>5/9/2024</t>
  </si>
  <si>
    <t>6/1/2024</t>
  </si>
  <si>
    <t>11923815728</t>
  </si>
  <si>
    <t>11923817218</t>
  </si>
  <si>
    <t>11923815688</t>
  </si>
  <si>
    <t>VA</t>
  </si>
  <si>
    <t>5/18/2024</t>
  </si>
  <si>
    <t>11923827727</t>
  </si>
  <si>
    <t>3/24/2025</t>
  </si>
  <si>
    <t>11902692479</t>
  </si>
  <si>
    <t>DC</t>
  </si>
  <si>
    <t>11/14/2025</t>
  </si>
  <si>
    <t>11942985468</t>
  </si>
  <si>
    <t>11/2/2025</t>
  </si>
  <si>
    <t>11897436623</t>
  </si>
  <si>
    <t>11938834051</t>
  </si>
  <si>
    <t>8/4/2025</t>
  </si>
  <si>
    <t>9/1/2025</t>
  </si>
  <si>
    <t>11919884800</t>
  </si>
  <si>
    <t>4/8/2024</t>
  </si>
  <si>
    <t>5/1/2024</t>
  </si>
  <si>
    <t>11919880936</t>
  </si>
  <si>
    <t>12/9/2024</t>
  </si>
  <si>
    <t>11938830158</t>
  </si>
  <si>
    <t>11/12/2024</t>
  </si>
  <si>
    <t>11936196769</t>
  </si>
  <si>
    <t>2/7/2025</t>
  </si>
  <si>
    <t>11915960142</t>
  </si>
  <si>
    <t>9/20/2024</t>
  </si>
  <si>
    <t>11918645620</t>
  </si>
  <si>
    <t>4/7/2025</t>
  </si>
  <si>
    <t>5/1/2025</t>
  </si>
  <si>
    <t>11915970667</t>
  </si>
  <si>
    <t>12/11/2024</t>
  </si>
  <si>
    <t>11932950364</t>
  </si>
  <si>
    <t>11927881121</t>
  </si>
  <si>
    <t>9/6/2024</t>
  </si>
  <si>
    <t>11911720042</t>
  </si>
  <si>
    <t>12/4/2024</t>
  </si>
  <si>
    <t>11906200631</t>
  </si>
  <si>
    <t>10/9/2024</t>
  </si>
  <si>
    <t>11923804257</t>
  </si>
  <si>
    <t>11909237815</t>
  </si>
  <si>
    <t>11915948674</t>
  </si>
  <si>
    <t>DE</t>
  </si>
  <si>
    <t>8/7/2025</t>
  </si>
  <si>
    <t>11915960836</t>
  </si>
  <si>
    <t>TN</t>
  </si>
  <si>
    <t>11913865195</t>
  </si>
  <si>
    <t>12/5/2024</t>
  </si>
  <si>
    <t>11914208053</t>
  </si>
  <si>
    <t>11/10/2023</t>
  </si>
  <si>
    <t>11891569251</t>
  </si>
  <si>
    <t>12/1/2023</t>
  </si>
  <si>
    <t>11891571214</t>
  </si>
  <si>
    <t>NC</t>
  </si>
  <si>
    <t>10/5/2023</t>
  </si>
  <si>
    <t>11909229139</t>
  </si>
  <si>
    <t>2/1/2024</t>
  </si>
  <si>
    <t>3/1/2024</t>
  </si>
  <si>
    <t>11891554112</t>
  </si>
  <si>
    <t>TX</t>
  </si>
  <si>
    <t>11891585481</t>
  </si>
  <si>
    <t>11909230165</t>
  </si>
  <si>
    <t>NE</t>
  </si>
  <si>
    <t>2/4/2026</t>
  </si>
  <si>
    <t>3/1/2026</t>
  </si>
  <si>
    <t>11906175611</t>
  </si>
  <si>
    <t>12/12/2025</t>
  </si>
  <si>
    <t>11886410481</t>
  </si>
  <si>
    <t>10/4/2024</t>
  </si>
  <si>
    <t>11906177367</t>
  </si>
  <si>
    <t>73ACA386B43B25B31D4C715D118F590C</t>
  </si>
  <si>
    <t>8/6/2024</t>
  </si>
  <si>
    <t>11882468187</t>
  </si>
  <si>
    <t>11882464502</t>
  </si>
  <si>
    <t>10/3/2024</t>
  </si>
  <si>
    <t>11901773727</t>
  </si>
  <si>
    <t>10/30/2024</t>
  </si>
  <si>
    <t>11882469354</t>
  </si>
  <si>
    <t>9/30/2025</t>
  </si>
  <si>
    <t>11882506700</t>
  </si>
  <si>
    <t>11882475462</t>
  </si>
  <si>
    <t>4/19/2024</t>
  </si>
  <si>
    <t>11882457969</t>
  </si>
  <si>
    <t>11/13/2023</t>
  </si>
  <si>
    <t>2/3/2025</t>
  </si>
  <si>
    <t>11901792058</t>
  </si>
  <si>
    <t>8/8/2025</t>
  </si>
  <si>
    <t>11882499976</t>
  </si>
  <si>
    <t>11904606199</t>
  </si>
  <si>
    <t>7/3/2025</t>
  </si>
  <si>
    <t>11901786583</t>
  </si>
  <si>
    <t>11/21/2025</t>
  </si>
  <si>
    <t>11882518330</t>
  </si>
  <si>
    <t>8/9/2024</t>
  </si>
  <si>
    <t>11882463008</t>
  </si>
  <si>
    <t>11882462694</t>
  </si>
  <si>
    <t>11901786778</t>
  </si>
  <si>
    <t>12/31/2024</t>
  </si>
  <si>
    <t>11882478016</t>
  </si>
  <si>
    <t>11902071302</t>
  </si>
  <si>
    <t>12/29/2025</t>
  </si>
  <si>
    <t>11879878321</t>
  </si>
  <si>
    <t>10/27/2025</t>
  </si>
  <si>
    <t>11871558968</t>
  </si>
  <si>
    <t>1/28/2026</t>
  </si>
  <si>
    <t>11876491264</t>
  </si>
  <si>
    <t>11876460613</t>
  </si>
  <si>
    <t>5/28/2025</t>
  </si>
  <si>
    <t>6/1/2025</t>
  </si>
  <si>
    <t>11876472383</t>
  </si>
  <si>
    <t>2/25/2026</t>
  </si>
  <si>
    <t>11876501936</t>
  </si>
  <si>
    <t>11/29/2023</t>
  </si>
  <si>
    <t>11879875307</t>
  </si>
  <si>
    <t>9/29/2025</t>
  </si>
  <si>
    <t>11879874939</t>
  </si>
  <si>
    <t>10/29/2025</t>
  </si>
  <si>
    <t>11879883908</t>
  </si>
  <si>
    <t>11871549944</t>
  </si>
  <si>
    <t>4/2/2025</t>
  </si>
  <si>
    <t>11897417078</t>
  </si>
  <si>
    <t>12/8/2025</t>
  </si>
  <si>
    <t>11879877767</t>
  </si>
  <si>
    <t>2/20/2025</t>
  </si>
  <si>
    <t>11871553725</t>
  </si>
  <si>
    <t>2/12/2024</t>
  </si>
  <si>
    <t>11879865147</t>
  </si>
  <si>
    <t>11/17/2025</t>
  </si>
  <si>
    <t>11876482178</t>
  </si>
  <si>
    <t>11879875178</t>
  </si>
  <si>
    <t>11867685186</t>
  </si>
  <si>
    <t>12/11/2025</t>
  </si>
  <si>
    <t>D939BE89F119B89FCD7824551F9F63DD</t>
  </si>
  <si>
    <t>11867703685</t>
  </si>
  <si>
    <t>Metlife Vision</t>
  </si>
  <si>
    <t>MetLife Dental</t>
  </si>
  <si>
    <t>NCD MetLife -24%</t>
  </si>
  <si>
    <t>NCD override</t>
  </si>
  <si>
    <t>NCD - Dental $3,000</t>
  </si>
  <si>
    <t>16202925AV6</t>
  </si>
  <si>
    <t>19278370old</t>
  </si>
  <si>
    <t>19200754AV6</t>
  </si>
  <si>
    <t>9254978AV6</t>
  </si>
  <si>
    <t>19279958AV6</t>
  </si>
  <si>
    <t>19279958old</t>
  </si>
  <si>
    <t>17425766OLD</t>
  </si>
  <si>
    <t>18710070N</t>
  </si>
  <si>
    <t>9254978N</t>
  </si>
  <si>
    <t>21561165AV6</t>
  </si>
  <si>
    <t>21718544AV6</t>
  </si>
  <si>
    <t>19617796AV6</t>
  </si>
  <si>
    <t>THOMAS  KUCAN</t>
  </si>
  <si>
    <t>CAROL  FOLEY</t>
  </si>
  <si>
    <t>ANNE MARIE  KOZACHECK</t>
  </si>
  <si>
    <t>RICARDO  SANTOS</t>
  </si>
  <si>
    <t>MAIN LINE  BENEFITS</t>
  </si>
  <si>
    <t>ALISON  LUSE</t>
  </si>
  <si>
    <t>JARED  KINYUA</t>
  </si>
  <si>
    <t>CATHY LEMON</t>
  </si>
  <si>
    <t>MICHELLE  MCCORKLE</t>
  </si>
  <si>
    <t>JASON  HOFFMANN</t>
  </si>
  <si>
    <t>FRANK  LISKOVEC</t>
  </si>
  <si>
    <t>PAMELA  DEATON</t>
  </si>
  <si>
    <t>MICHAEL  DUNAVANT</t>
  </si>
  <si>
    <t>TALIAH  FERGUSON</t>
  </si>
  <si>
    <t>KRISTEN  FACCHINI</t>
  </si>
  <si>
    <t>GARY  PORTUGAL</t>
  </si>
  <si>
    <t>WILLIAM  SCHAEFFER</t>
  </si>
  <si>
    <t>CAROLYN WILSON SMITH</t>
  </si>
  <si>
    <t>ADAM  RICHTER</t>
  </si>
  <si>
    <t>MATTHEW  DAUGHERTY</t>
  </si>
  <si>
    <t>HEIDI  BERTHELSEN</t>
  </si>
  <si>
    <t>AIDAN  BARBER</t>
  </si>
  <si>
    <t>MARGARET FINNEGAN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</si>
</sst>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3764"/>
      <name val="Arial"/>
      <family val="2"/>
    </font>
    <font>
      <b/>
      <sz val="7.5"/>
      <color rgb="FFC0C4CA"/>
      <name val="Arial"/>
      <family val="2"/>
    </font>
    <font>
      <b/>
      <sz val="11"/>
      <color rgb="FF003764"/>
      <name val="Arial"/>
      <family val="2"/>
    </font>
    <font>
      <sz val="10"/>
      <color rgb="FF4A4F57"/>
      <name val="Arial"/>
      <family val="2"/>
    </font>
    <font>
      <b/>
      <sz val="9"/>
      <color rgb="FFFFFFFF"/>
      <name val="Arial"/>
      <family val="2"/>
    </font>
    <font>
      <sz val="9"/>
      <color rgb="FF555D66"/>
      <name val="Arial"/>
      <family val="2"/>
    </font>
    <font>
      <sz val="9"/>
      <color rgb="FF4A4F57"/>
      <name val="Arial"/>
      <family val="2"/>
    </font>
    <font>
      <b/>
      <sz val="10"/>
      <color rgb="FFFF8C3E"/>
      <name val="Arial"/>
      <family val="2"/>
    </font>
    <font>
      <b/>
      <sz val="12"/>
      <color rgb="FFFF8C3E"/>
      <name val="Arial"/>
      <family val="2"/>
    </font>
    <font>
      <b/>
      <sz val="8"/>
      <color rgb="FF4A4F57"/>
      <name val="Arial"/>
      <family val="2"/>
    </font>
    <font>
      <b/>
      <sz val="10"/>
      <color rgb="FF003764"/>
      <name val="Arial"/>
      <family val="2"/>
    </font>
    <font>
      <b/>
      <sz val="8"/>
      <color rgb="FFFFFFFF"/>
      <name val="Arial"/>
      <family val="2"/>
    </font>
    <font>
      <sz val="8.5"/>
      <color rgb="FF555D66"/>
      <name val="Arial"/>
      <family val="2"/>
    </font>
    <font>
      <b/>
      <sz val="9"/>
      <color rgb="FF003764"/>
      <name val="Arial"/>
      <family val="2"/>
    </font>
    <font>
      <b/>
      <sz val="9"/>
      <color rgb="FFFF8C3E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7.5"/>
      <color rgb="FFC0C4C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0F5FA"/>
      </patternFill>
    </fill>
    <fill>
      <patternFill patternType="solid">
        <fgColor rgb="FFFFF0E6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indent="1"/>
    </xf>
    <xf numFmtId="0" fontId="0" fillId="8" borderId="4" xfId="0" applyFill="1" applyBorder="1"/>
    <xf numFmtId="165" fontId="9" fillId="8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1" fillId="0" borderId="0" xfId="0" applyFont="1"/>
    <xf numFmtId="164" fontId="0" fillId="0" borderId="0" xfId="0" applyNumberFormat="1"/>
    <xf numFmtId="0" fontId="5" fillId="2" borderId="0" xfId="0" applyFont="1" applyFill="1"/>
    <xf numFmtId="0" fontId="0" fillId="0" borderId="0" xfId="0"/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19" fillId="0" borderId="0" xfId="0" applyFont="1"/>
    <xf numFmtId="0" fontId="6" fillId="3" borderId="0" xfId="0" applyFont="1" applyFill="1" applyAlignment="1">
      <alignment vertical="center" indent="1"/>
    </xf>
    <xf numFmtId="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9" borderId="0" xfId="0" applyFill="1" applyAlignment="1">
      <alignment horizontal="left"/>
    </xf>
    <xf numFmtId="0" fontId="0" fillId="9" borderId="0" xfId="0" applyNumberFormat="1" applyFill="1" applyAlignment="1">
      <alignment horizontal="left"/>
    </xf>
    <xf numFmtId="164" fontId="0" fillId="9" borderId="0" xfId="0" applyNumberFormat="1" applyFill="1" applyAlignment="1">
      <alignment horizontal="left"/>
    </xf>
    <xf numFmtId="9" fontId="0" fillId="9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1"/>
  <sheetViews>
    <sheetView showGridLines="0" workbookViewId="0"/>
  </sheetViews>
  <sheetFormatPr defaultRowHeight="14.4" x14ac:dyDescent="0.3"/>
  <cols>
    <col min="1" max="1" width="2.441406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4140625" customWidth="1"/>
    <col min="17" max="49" width="13" hidden="1" customWidth="1"/>
  </cols>
  <sheetData>
    <row r="1" spans="1:16" ht="8.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3" t="s">
        <v>0</v>
      </c>
      <c r="M2" s="22"/>
      <c r="N2" s="22"/>
      <c r="O2" s="22"/>
      <c r="P2" s="1"/>
    </row>
    <row r="3" spans="1:16" ht="27.9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2"/>
      <c r="M3" s="22"/>
      <c r="N3" s="22"/>
      <c r="O3" s="22"/>
      <c r="P3" s="1"/>
    </row>
    <row r="4" spans="1:16" ht="3.9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3">
      <c r="A7" s="1"/>
      <c r="B7" s="3" t="s">
        <v>1</v>
      </c>
      <c r="C7" s="28" t="s">
        <v>2</v>
      </c>
      <c r="D7" s="22"/>
      <c r="E7" s="22"/>
      <c r="F7" s="22"/>
      <c r="G7" s="22"/>
      <c r="H7" s="22"/>
      <c r="I7" s="1"/>
      <c r="J7" s="1"/>
      <c r="K7" s="1"/>
      <c r="L7" s="1"/>
      <c r="M7" s="1"/>
      <c r="N7" s="1"/>
      <c r="O7" s="1"/>
      <c r="P7" s="1"/>
    </row>
    <row r="8" spans="1:16" ht="15" customHeight="1" x14ac:dyDescent="0.3">
      <c r="A8" s="1"/>
      <c r="B8" s="3" t="s">
        <v>3</v>
      </c>
      <c r="C8" s="21" t="s">
        <v>4</v>
      </c>
      <c r="D8" s="22"/>
      <c r="E8" s="22"/>
      <c r="F8" s="22"/>
      <c r="G8" s="22"/>
      <c r="H8" s="22"/>
      <c r="I8" s="1"/>
      <c r="J8" s="1"/>
      <c r="K8" s="1"/>
      <c r="L8" s="1"/>
      <c r="M8" s="1"/>
      <c r="N8" s="1"/>
      <c r="O8" s="1"/>
      <c r="P8" s="1"/>
    </row>
    <row r="9" spans="1:16" ht="15" customHeight="1" x14ac:dyDescent="0.3">
      <c r="A9" s="1"/>
      <c r="B9" s="3" t="s">
        <v>5</v>
      </c>
      <c r="C9" s="21" t="s">
        <v>6</v>
      </c>
      <c r="D9" s="22"/>
      <c r="E9" s="22"/>
      <c r="F9" s="22"/>
      <c r="G9" s="22"/>
      <c r="H9" s="22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4" t="s">
        <v>7</v>
      </c>
      <c r="M11" s="22"/>
      <c r="N11" s="31" t="s">
        <v>8</v>
      </c>
      <c r="O11" s="22"/>
      <c r="P11" s="1"/>
    </row>
    <row r="12" spans="1:16" ht="21.9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9" t="s">
        <v>9</v>
      </c>
      <c r="M12" s="30"/>
      <c r="N12" s="32">
        <v>1650.95</v>
      </c>
      <c r="O12" s="30"/>
      <c r="P12" s="1"/>
    </row>
    <row r="13" spans="1:16" ht="27.9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5" t="s">
        <v>10</v>
      </c>
      <c r="M13" s="26"/>
      <c r="N13" s="27">
        <v>1650.95</v>
      </c>
      <c r="O13" s="26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4" t="s">
        <v>11</v>
      </c>
      <c r="M15" s="22"/>
      <c r="N15" s="22"/>
      <c r="O15" s="22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" customHeight="1" x14ac:dyDescent="0.3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" customHeight="1" x14ac:dyDescent="0.3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3">
      <c r="A21" s="1"/>
      <c r="B21" s="6" t="s">
        <v>27</v>
      </c>
      <c r="C21" s="6" t="s">
        <v>28</v>
      </c>
      <c r="D21" s="6" t="s">
        <v>29</v>
      </c>
      <c r="E21" s="6" t="s">
        <v>30</v>
      </c>
      <c r="F21" s="6">
        <v>678726</v>
      </c>
      <c r="G21" s="6" t="s">
        <v>31</v>
      </c>
      <c r="H21" s="6" t="s">
        <v>32</v>
      </c>
      <c r="I21" s="6" t="s">
        <v>33</v>
      </c>
      <c r="J21" s="6" t="s">
        <v>34</v>
      </c>
      <c r="K21" s="6" t="s">
        <v>35</v>
      </c>
      <c r="L21" s="6" t="s">
        <v>36</v>
      </c>
      <c r="M21" s="6"/>
      <c r="N21" s="7">
        <v>11</v>
      </c>
      <c r="O21" s="8">
        <v>4.07</v>
      </c>
      <c r="P21" s="1"/>
    </row>
    <row r="22" spans="1:16" ht="24" customHeight="1" x14ac:dyDescent="0.3">
      <c r="A22" s="1"/>
      <c r="B22" s="9" t="s">
        <v>27</v>
      </c>
      <c r="C22" s="9" t="s">
        <v>37</v>
      </c>
      <c r="D22" s="9" t="s">
        <v>38</v>
      </c>
      <c r="E22" s="9" t="s">
        <v>39</v>
      </c>
      <c r="F22" s="9">
        <v>759555</v>
      </c>
      <c r="G22" s="9" t="s">
        <v>40</v>
      </c>
      <c r="H22" s="9" t="s">
        <v>41</v>
      </c>
      <c r="I22" s="9" t="s">
        <v>33</v>
      </c>
      <c r="J22" s="9" t="s">
        <v>34</v>
      </c>
      <c r="K22" s="9" t="s">
        <v>42</v>
      </c>
      <c r="L22" s="9" t="s">
        <v>36</v>
      </c>
      <c r="M22" s="9"/>
      <c r="N22" s="10">
        <v>11</v>
      </c>
      <c r="O22" s="11">
        <v>4.07</v>
      </c>
      <c r="P22" s="1"/>
    </row>
    <row r="23" spans="1:16" ht="24" customHeight="1" x14ac:dyDescent="0.3">
      <c r="A23" s="1"/>
      <c r="B23" s="6" t="s">
        <v>27</v>
      </c>
      <c r="C23" s="6" t="s">
        <v>43</v>
      </c>
      <c r="D23" s="6" t="s">
        <v>44</v>
      </c>
      <c r="E23" s="6" t="s">
        <v>45</v>
      </c>
      <c r="F23" s="6">
        <v>678726</v>
      </c>
      <c r="G23" s="6" t="s">
        <v>31</v>
      </c>
      <c r="H23" s="6" t="s">
        <v>46</v>
      </c>
      <c r="I23" s="6" t="s">
        <v>33</v>
      </c>
      <c r="J23" s="6" t="s">
        <v>34</v>
      </c>
      <c r="K23" s="6" t="s">
        <v>42</v>
      </c>
      <c r="L23" s="6" t="s">
        <v>47</v>
      </c>
      <c r="M23" s="6" t="s">
        <v>48</v>
      </c>
      <c r="N23" s="7">
        <v>11</v>
      </c>
      <c r="O23" s="8">
        <v>-4.07</v>
      </c>
      <c r="P23" s="1"/>
    </row>
    <row r="24" spans="1:16" ht="24" customHeight="1" x14ac:dyDescent="0.3">
      <c r="A24" s="1"/>
      <c r="B24" s="9" t="s">
        <v>27</v>
      </c>
      <c r="C24" s="9" t="s">
        <v>49</v>
      </c>
      <c r="D24" s="9" t="s">
        <v>50</v>
      </c>
      <c r="E24" s="9" t="s">
        <v>51</v>
      </c>
      <c r="F24" s="9">
        <v>689390</v>
      </c>
      <c r="G24" s="9" t="s">
        <v>52</v>
      </c>
      <c r="H24" s="9" t="s">
        <v>53</v>
      </c>
      <c r="I24" s="9" t="s">
        <v>54</v>
      </c>
      <c r="J24" s="9" t="s">
        <v>55</v>
      </c>
      <c r="K24" s="9" t="s">
        <v>56</v>
      </c>
      <c r="L24" s="9" t="s">
        <v>36</v>
      </c>
      <c r="M24" s="9"/>
      <c r="N24" s="10">
        <v>76</v>
      </c>
      <c r="O24" s="11">
        <v>18.239999999999998</v>
      </c>
      <c r="P24" s="1"/>
    </row>
    <row r="25" spans="1:16" ht="24" customHeight="1" x14ac:dyDescent="0.3">
      <c r="A25" s="1"/>
      <c r="B25" s="6" t="s">
        <v>27</v>
      </c>
      <c r="C25" s="6" t="s">
        <v>57</v>
      </c>
      <c r="D25" s="6" t="s">
        <v>58</v>
      </c>
      <c r="E25" s="6" t="s">
        <v>59</v>
      </c>
      <c r="F25" s="6">
        <v>689390</v>
      </c>
      <c r="G25" s="6" t="s">
        <v>52</v>
      </c>
      <c r="H25" s="6" t="s">
        <v>60</v>
      </c>
      <c r="I25" s="6" t="s">
        <v>54</v>
      </c>
      <c r="J25" s="6" t="s">
        <v>55</v>
      </c>
      <c r="K25" s="6" t="s">
        <v>56</v>
      </c>
      <c r="L25" s="6" t="s">
        <v>36</v>
      </c>
      <c r="M25" s="6"/>
      <c r="N25" s="7">
        <v>76</v>
      </c>
      <c r="O25" s="8">
        <v>18.239999999999998</v>
      </c>
      <c r="P25" s="1"/>
    </row>
    <row r="26" spans="1:16" ht="24" customHeight="1" x14ac:dyDescent="0.3">
      <c r="A26" s="1"/>
      <c r="B26" s="9" t="s">
        <v>27</v>
      </c>
      <c r="C26" s="9" t="s">
        <v>61</v>
      </c>
      <c r="D26" s="9" t="s">
        <v>62</v>
      </c>
      <c r="E26" s="9" t="s">
        <v>63</v>
      </c>
      <c r="F26" s="9">
        <v>703501</v>
      </c>
      <c r="G26" s="9" t="s">
        <v>64</v>
      </c>
      <c r="H26" s="9" t="s">
        <v>65</v>
      </c>
      <c r="I26" s="9" t="s">
        <v>33</v>
      </c>
      <c r="J26" s="9" t="s">
        <v>34</v>
      </c>
      <c r="K26" s="9" t="s">
        <v>56</v>
      </c>
      <c r="L26" s="9" t="s">
        <v>36</v>
      </c>
      <c r="M26" s="9"/>
      <c r="N26" s="10">
        <v>11</v>
      </c>
      <c r="O26" s="11">
        <v>4.07</v>
      </c>
      <c r="P26" s="1"/>
    </row>
    <row r="27" spans="1:16" ht="24" customHeight="1" x14ac:dyDescent="0.3">
      <c r="A27" s="1"/>
      <c r="B27" s="6" t="s">
        <v>27</v>
      </c>
      <c r="C27" s="6" t="s">
        <v>66</v>
      </c>
      <c r="D27" s="6" t="s">
        <v>67</v>
      </c>
      <c r="E27" s="6" t="s">
        <v>68</v>
      </c>
      <c r="F27" s="6">
        <v>689390</v>
      </c>
      <c r="G27" s="6" t="s">
        <v>52</v>
      </c>
      <c r="H27" s="6" t="s">
        <v>69</v>
      </c>
      <c r="I27" s="6" t="s">
        <v>33</v>
      </c>
      <c r="J27" s="6" t="s">
        <v>70</v>
      </c>
      <c r="K27" s="6" t="s">
        <v>56</v>
      </c>
      <c r="L27" s="6" t="s">
        <v>36</v>
      </c>
      <c r="M27" s="6"/>
      <c r="N27" s="7">
        <v>15</v>
      </c>
      <c r="O27" s="8">
        <v>5.55</v>
      </c>
      <c r="P27" s="1"/>
    </row>
    <row r="28" spans="1:16" ht="24" customHeight="1" x14ac:dyDescent="0.3">
      <c r="A28" s="1"/>
      <c r="B28" s="9" t="s">
        <v>27</v>
      </c>
      <c r="C28" s="9" t="s">
        <v>66</v>
      </c>
      <c r="D28" s="9" t="s">
        <v>67</v>
      </c>
      <c r="E28" s="9" t="s">
        <v>68</v>
      </c>
      <c r="F28" s="9">
        <v>689390</v>
      </c>
      <c r="G28" s="9" t="s">
        <v>52</v>
      </c>
      <c r="H28" s="9" t="s">
        <v>71</v>
      </c>
      <c r="I28" s="9" t="s">
        <v>72</v>
      </c>
      <c r="J28" s="9" t="s">
        <v>55</v>
      </c>
      <c r="K28" s="9" t="s">
        <v>56</v>
      </c>
      <c r="L28" s="9" t="s">
        <v>36</v>
      </c>
      <c r="M28" s="9"/>
      <c r="N28" s="10">
        <v>134</v>
      </c>
      <c r="O28" s="11">
        <v>32.159999999999997</v>
      </c>
      <c r="P28" s="1"/>
    </row>
    <row r="29" spans="1:16" ht="24" customHeight="1" x14ac:dyDescent="0.3">
      <c r="A29" s="1"/>
      <c r="B29" s="6" t="s">
        <v>27</v>
      </c>
      <c r="C29" s="6" t="s">
        <v>73</v>
      </c>
      <c r="D29" s="6" t="s">
        <v>74</v>
      </c>
      <c r="E29" s="6" t="s">
        <v>75</v>
      </c>
      <c r="F29" s="6">
        <v>703501</v>
      </c>
      <c r="G29" s="6" t="s">
        <v>64</v>
      </c>
      <c r="H29" s="6" t="s">
        <v>76</v>
      </c>
      <c r="I29" s="6" t="s">
        <v>77</v>
      </c>
      <c r="J29" s="6" t="s">
        <v>78</v>
      </c>
      <c r="K29" s="6" t="s">
        <v>56</v>
      </c>
      <c r="L29" s="6" t="s">
        <v>36</v>
      </c>
      <c r="M29" s="6"/>
      <c r="N29" s="7">
        <v>93</v>
      </c>
      <c r="O29" s="8">
        <v>22.32</v>
      </c>
      <c r="P29" s="1"/>
    </row>
    <row r="30" spans="1:16" ht="24" customHeight="1" x14ac:dyDescent="0.3">
      <c r="A30" s="1"/>
      <c r="B30" s="9" t="s">
        <v>27</v>
      </c>
      <c r="C30" s="9" t="s">
        <v>37</v>
      </c>
      <c r="D30" s="9" t="s">
        <v>38</v>
      </c>
      <c r="E30" s="9" t="s">
        <v>39</v>
      </c>
      <c r="F30" s="9">
        <v>759555</v>
      </c>
      <c r="G30" s="9" t="s">
        <v>40</v>
      </c>
      <c r="H30" s="9" t="s">
        <v>79</v>
      </c>
      <c r="I30" s="9" t="s">
        <v>80</v>
      </c>
      <c r="J30" s="9" t="s">
        <v>34</v>
      </c>
      <c r="K30" s="9" t="s">
        <v>42</v>
      </c>
      <c r="L30" s="9" t="s">
        <v>36</v>
      </c>
      <c r="M30" s="9"/>
      <c r="N30" s="10">
        <v>52</v>
      </c>
      <c r="O30" s="11">
        <v>12.48</v>
      </c>
      <c r="P30" s="1"/>
    </row>
    <row r="31" spans="1:16" ht="24" customHeight="1" x14ac:dyDescent="0.3">
      <c r="A31" s="1"/>
      <c r="B31" s="6" t="s">
        <v>27</v>
      </c>
      <c r="C31" s="6" t="s">
        <v>73</v>
      </c>
      <c r="D31" s="6" t="s">
        <v>74</v>
      </c>
      <c r="E31" s="6" t="s">
        <v>75</v>
      </c>
      <c r="F31" s="6">
        <v>703501</v>
      </c>
      <c r="G31" s="6" t="s">
        <v>64</v>
      </c>
      <c r="H31" s="6" t="s">
        <v>81</v>
      </c>
      <c r="I31" s="6" t="s">
        <v>33</v>
      </c>
      <c r="J31" s="6" t="s">
        <v>78</v>
      </c>
      <c r="K31" s="6" t="s">
        <v>56</v>
      </c>
      <c r="L31" s="6" t="s">
        <v>36</v>
      </c>
      <c r="M31" s="6"/>
      <c r="N31" s="7">
        <v>20</v>
      </c>
      <c r="O31" s="8">
        <v>7.4</v>
      </c>
      <c r="P31" s="1"/>
    </row>
    <row r="32" spans="1:16" ht="24" customHeight="1" x14ac:dyDescent="0.3">
      <c r="A32" s="1"/>
      <c r="B32" s="9" t="s">
        <v>27</v>
      </c>
      <c r="C32" s="9" t="s">
        <v>82</v>
      </c>
      <c r="D32" s="9" t="s">
        <v>83</v>
      </c>
      <c r="E32" s="9" t="s">
        <v>84</v>
      </c>
      <c r="F32" s="9">
        <v>891766</v>
      </c>
      <c r="G32" s="9" t="s">
        <v>85</v>
      </c>
      <c r="H32" s="9" t="s">
        <v>86</v>
      </c>
      <c r="I32" s="9" t="s">
        <v>80</v>
      </c>
      <c r="J32" s="9" t="s">
        <v>34</v>
      </c>
      <c r="K32" s="9" t="s">
        <v>87</v>
      </c>
      <c r="L32" s="9" t="s">
        <v>36</v>
      </c>
      <c r="M32" s="9"/>
      <c r="N32" s="10">
        <v>57</v>
      </c>
      <c r="O32" s="11">
        <v>13.68</v>
      </c>
      <c r="P32" s="1"/>
    </row>
    <row r="33" spans="1:16" ht="24" customHeight="1" x14ac:dyDescent="0.3">
      <c r="A33" s="1"/>
      <c r="B33" s="6" t="s">
        <v>27</v>
      </c>
      <c r="C33" s="6" t="s">
        <v>88</v>
      </c>
      <c r="D33" s="6" t="s">
        <v>89</v>
      </c>
      <c r="E33" s="6" t="s">
        <v>90</v>
      </c>
      <c r="F33" s="6">
        <v>759555</v>
      </c>
      <c r="G33" s="6" t="s">
        <v>40</v>
      </c>
      <c r="H33" s="6" t="s">
        <v>91</v>
      </c>
      <c r="I33" s="6" t="s">
        <v>80</v>
      </c>
      <c r="J33" s="6" t="s">
        <v>55</v>
      </c>
      <c r="K33" s="6" t="s">
        <v>87</v>
      </c>
      <c r="L33" s="6" t="s">
        <v>36</v>
      </c>
      <c r="M33" s="6"/>
      <c r="N33" s="7">
        <v>110</v>
      </c>
      <c r="O33" s="8">
        <v>26.4</v>
      </c>
      <c r="P33" s="1"/>
    </row>
    <row r="34" spans="1:16" ht="24" customHeight="1" x14ac:dyDescent="0.3">
      <c r="A34" s="1"/>
      <c r="B34" s="9" t="s">
        <v>27</v>
      </c>
      <c r="C34" s="9" t="s">
        <v>92</v>
      </c>
      <c r="D34" s="9" t="s">
        <v>93</v>
      </c>
      <c r="E34" s="9" t="s">
        <v>94</v>
      </c>
      <c r="F34" s="9">
        <v>678726</v>
      </c>
      <c r="G34" s="9" t="s">
        <v>31</v>
      </c>
      <c r="H34" s="9" t="s">
        <v>95</v>
      </c>
      <c r="I34" s="9" t="s">
        <v>96</v>
      </c>
      <c r="J34" s="9" t="s">
        <v>34</v>
      </c>
      <c r="K34" s="9" t="s">
        <v>87</v>
      </c>
      <c r="L34" s="9" t="s">
        <v>36</v>
      </c>
      <c r="M34" s="9"/>
      <c r="N34" s="10">
        <v>25</v>
      </c>
      <c r="O34" s="11">
        <v>8</v>
      </c>
      <c r="P34" s="1"/>
    </row>
    <row r="35" spans="1:16" ht="24" customHeight="1" x14ac:dyDescent="0.3">
      <c r="A35" s="1"/>
      <c r="B35" s="6" t="s">
        <v>27</v>
      </c>
      <c r="C35" s="6" t="s">
        <v>97</v>
      </c>
      <c r="D35" s="6" t="s">
        <v>98</v>
      </c>
      <c r="E35" s="6" t="s">
        <v>99</v>
      </c>
      <c r="F35" s="6">
        <v>678726</v>
      </c>
      <c r="G35" s="6" t="s">
        <v>31</v>
      </c>
      <c r="H35" s="6" t="s">
        <v>100</v>
      </c>
      <c r="I35" s="6" t="s">
        <v>96</v>
      </c>
      <c r="J35" s="6" t="s">
        <v>34</v>
      </c>
      <c r="K35" s="6" t="s">
        <v>87</v>
      </c>
      <c r="L35" s="6" t="s">
        <v>101</v>
      </c>
      <c r="M35" s="6" t="s">
        <v>102</v>
      </c>
      <c r="N35" s="7">
        <v>31.13</v>
      </c>
      <c r="O35" s="8">
        <v>-9.9600000000000009</v>
      </c>
      <c r="P35" s="1"/>
    </row>
    <row r="36" spans="1:16" ht="24" customHeight="1" x14ac:dyDescent="0.3">
      <c r="A36" s="1"/>
      <c r="B36" s="9" t="s">
        <v>27</v>
      </c>
      <c r="C36" s="9" t="s">
        <v>103</v>
      </c>
      <c r="D36" s="9" t="s">
        <v>104</v>
      </c>
      <c r="E36" s="9" t="s">
        <v>105</v>
      </c>
      <c r="F36" s="9">
        <v>781535</v>
      </c>
      <c r="G36" s="9" t="s">
        <v>106</v>
      </c>
      <c r="H36" s="9" t="s">
        <v>107</v>
      </c>
      <c r="I36" s="9" t="s">
        <v>72</v>
      </c>
      <c r="J36" s="9" t="s">
        <v>55</v>
      </c>
      <c r="K36" s="9" t="s">
        <v>108</v>
      </c>
      <c r="L36" s="9" t="s">
        <v>36</v>
      </c>
      <c r="M36" s="9"/>
      <c r="N36" s="10">
        <v>132</v>
      </c>
      <c r="O36" s="11">
        <v>31.68</v>
      </c>
      <c r="P36" s="1"/>
    </row>
    <row r="37" spans="1:16" ht="24" customHeight="1" x14ac:dyDescent="0.3">
      <c r="A37" s="1"/>
      <c r="B37" s="6" t="s">
        <v>27</v>
      </c>
      <c r="C37" s="6" t="s">
        <v>103</v>
      </c>
      <c r="D37" s="6" t="s">
        <v>104</v>
      </c>
      <c r="E37" s="6" t="s">
        <v>105</v>
      </c>
      <c r="F37" s="6">
        <v>781535</v>
      </c>
      <c r="G37" s="6" t="s">
        <v>106</v>
      </c>
      <c r="H37" s="6" t="s">
        <v>109</v>
      </c>
      <c r="I37" s="6" t="s">
        <v>33</v>
      </c>
      <c r="J37" s="6" t="s">
        <v>70</v>
      </c>
      <c r="K37" s="6" t="s">
        <v>108</v>
      </c>
      <c r="L37" s="6" t="s">
        <v>36</v>
      </c>
      <c r="M37" s="6"/>
      <c r="N37" s="7">
        <v>15</v>
      </c>
      <c r="O37" s="8">
        <v>5.55</v>
      </c>
      <c r="P37" s="1"/>
    </row>
    <row r="38" spans="1:16" ht="24" customHeight="1" x14ac:dyDescent="0.3">
      <c r="A38" s="1"/>
      <c r="B38" s="9" t="s">
        <v>27</v>
      </c>
      <c r="C38" s="9" t="s">
        <v>110</v>
      </c>
      <c r="D38" s="9" t="s">
        <v>111</v>
      </c>
      <c r="E38" s="9" t="s">
        <v>112</v>
      </c>
      <c r="F38" s="9">
        <v>678726</v>
      </c>
      <c r="G38" s="9" t="s">
        <v>31</v>
      </c>
      <c r="H38" s="9" t="s">
        <v>113</v>
      </c>
      <c r="I38" s="9" t="s">
        <v>33</v>
      </c>
      <c r="J38" s="9" t="s">
        <v>34</v>
      </c>
      <c r="K38" s="9" t="s">
        <v>108</v>
      </c>
      <c r="L38" s="9" t="s">
        <v>36</v>
      </c>
      <c r="M38" s="9"/>
      <c r="N38" s="10">
        <v>11</v>
      </c>
      <c r="O38" s="11">
        <v>4.07</v>
      </c>
      <c r="P38" s="1"/>
    </row>
    <row r="39" spans="1:16" ht="24" customHeight="1" x14ac:dyDescent="0.3">
      <c r="A39" s="1"/>
      <c r="B39" s="6" t="s">
        <v>27</v>
      </c>
      <c r="C39" s="6" t="s">
        <v>114</v>
      </c>
      <c r="D39" s="6" t="s">
        <v>115</v>
      </c>
      <c r="E39" s="6" t="s">
        <v>116</v>
      </c>
      <c r="F39" s="6">
        <v>764002</v>
      </c>
      <c r="G39" s="6" t="s">
        <v>117</v>
      </c>
      <c r="H39" s="6" t="s">
        <v>118</v>
      </c>
      <c r="I39" s="6" t="s">
        <v>33</v>
      </c>
      <c r="J39" s="6" t="s">
        <v>34</v>
      </c>
      <c r="K39" s="6" t="s">
        <v>108</v>
      </c>
      <c r="L39" s="6" t="s">
        <v>36</v>
      </c>
      <c r="M39" s="6"/>
      <c r="N39" s="7">
        <v>11</v>
      </c>
      <c r="O39" s="8">
        <v>4.07</v>
      </c>
      <c r="P39" s="1"/>
    </row>
    <row r="40" spans="1:16" ht="24" customHeight="1" x14ac:dyDescent="0.3">
      <c r="A40" s="1"/>
      <c r="B40" s="9" t="s">
        <v>27</v>
      </c>
      <c r="C40" s="9" t="s">
        <v>43</v>
      </c>
      <c r="D40" s="9" t="s">
        <v>44</v>
      </c>
      <c r="E40" s="9" t="s">
        <v>45</v>
      </c>
      <c r="F40" s="9">
        <v>678726</v>
      </c>
      <c r="G40" s="9" t="s">
        <v>31</v>
      </c>
      <c r="H40" s="9" t="s">
        <v>46</v>
      </c>
      <c r="I40" s="9" t="s">
        <v>33</v>
      </c>
      <c r="J40" s="9" t="s">
        <v>34</v>
      </c>
      <c r="K40" s="9" t="s">
        <v>56</v>
      </c>
      <c r="L40" s="9" t="s">
        <v>36</v>
      </c>
      <c r="M40" s="9"/>
      <c r="N40" s="10">
        <v>11</v>
      </c>
      <c r="O40" s="11">
        <v>4.07</v>
      </c>
      <c r="P40" s="1"/>
    </row>
    <row r="41" spans="1:16" ht="24" customHeight="1" x14ac:dyDescent="0.3">
      <c r="A41" s="1"/>
      <c r="B41" s="6" t="s">
        <v>27</v>
      </c>
      <c r="C41" s="6" t="s">
        <v>119</v>
      </c>
      <c r="D41" s="6" t="s">
        <v>120</v>
      </c>
      <c r="E41" s="6" t="s">
        <v>121</v>
      </c>
      <c r="F41" s="6">
        <v>678726</v>
      </c>
      <c r="G41" s="6" t="s">
        <v>31</v>
      </c>
      <c r="H41" s="6" t="s">
        <v>122</v>
      </c>
      <c r="I41" s="6" t="s">
        <v>96</v>
      </c>
      <c r="J41" s="6" t="s">
        <v>34</v>
      </c>
      <c r="K41" s="6" t="s">
        <v>108</v>
      </c>
      <c r="L41" s="6" t="s">
        <v>36</v>
      </c>
      <c r="M41" s="6"/>
      <c r="N41" s="7">
        <v>25</v>
      </c>
      <c r="O41" s="8">
        <v>8</v>
      </c>
      <c r="P41" s="1"/>
    </row>
    <row r="42" spans="1:16" ht="24" customHeight="1" x14ac:dyDescent="0.3">
      <c r="A42" s="1"/>
      <c r="B42" s="9" t="s">
        <v>27</v>
      </c>
      <c r="C42" s="9" t="s">
        <v>123</v>
      </c>
      <c r="D42" s="9" t="s">
        <v>124</v>
      </c>
      <c r="E42" s="9" t="s">
        <v>125</v>
      </c>
      <c r="F42" s="9">
        <v>689390</v>
      </c>
      <c r="G42" s="9" t="s">
        <v>52</v>
      </c>
      <c r="H42" s="9" t="s">
        <v>126</v>
      </c>
      <c r="I42" s="9" t="s">
        <v>127</v>
      </c>
      <c r="J42" s="9" t="s">
        <v>34</v>
      </c>
      <c r="K42" s="9" t="s">
        <v>128</v>
      </c>
      <c r="L42" s="9" t="s">
        <v>36</v>
      </c>
      <c r="M42" s="9"/>
      <c r="N42" s="10">
        <v>65</v>
      </c>
      <c r="O42" s="11">
        <v>15.6</v>
      </c>
      <c r="P42" s="1"/>
    </row>
    <row r="43" spans="1:16" ht="24" customHeight="1" x14ac:dyDescent="0.3">
      <c r="A43" s="1"/>
      <c r="B43" s="6" t="s">
        <v>27</v>
      </c>
      <c r="C43" s="6" t="s">
        <v>129</v>
      </c>
      <c r="D43" s="6" t="s">
        <v>130</v>
      </c>
      <c r="E43" s="6" t="s">
        <v>131</v>
      </c>
      <c r="F43" s="6">
        <v>678726</v>
      </c>
      <c r="G43" s="6" t="s">
        <v>31</v>
      </c>
      <c r="H43" s="6" t="s">
        <v>132</v>
      </c>
      <c r="I43" s="6" t="s">
        <v>96</v>
      </c>
      <c r="J43" s="6" t="s">
        <v>34</v>
      </c>
      <c r="K43" s="6" t="s">
        <v>133</v>
      </c>
      <c r="L43" s="6" t="s">
        <v>36</v>
      </c>
      <c r="M43" s="6"/>
      <c r="N43" s="7">
        <v>25</v>
      </c>
      <c r="O43" s="8">
        <v>8</v>
      </c>
      <c r="P43" s="1"/>
    </row>
    <row r="44" spans="1:16" ht="24" customHeight="1" x14ac:dyDescent="0.3">
      <c r="A44" s="1"/>
      <c r="B44" s="9" t="s">
        <v>27</v>
      </c>
      <c r="C44" s="9" t="s">
        <v>134</v>
      </c>
      <c r="D44" s="9" t="s">
        <v>135</v>
      </c>
      <c r="E44" s="9" t="s">
        <v>136</v>
      </c>
      <c r="F44" s="9">
        <v>689390</v>
      </c>
      <c r="G44" s="9" t="s">
        <v>52</v>
      </c>
      <c r="H44" s="9" t="s">
        <v>137</v>
      </c>
      <c r="I44" s="9" t="s">
        <v>72</v>
      </c>
      <c r="J44" s="9" t="s">
        <v>34</v>
      </c>
      <c r="K44" s="9" t="s">
        <v>138</v>
      </c>
      <c r="L44" s="9" t="s">
        <v>36</v>
      </c>
      <c r="M44" s="9"/>
      <c r="N44" s="10">
        <v>71</v>
      </c>
      <c r="O44" s="11">
        <v>17.04</v>
      </c>
      <c r="P44" s="1"/>
    </row>
    <row r="45" spans="1:16" ht="24" customHeight="1" x14ac:dyDescent="0.3">
      <c r="A45" s="1"/>
      <c r="B45" s="6" t="s">
        <v>27</v>
      </c>
      <c r="C45" s="6" t="s">
        <v>139</v>
      </c>
      <c r="D45" s="6" t="s">
        <v>140</v>
      </c>
      <c r="E45" s="6" t="s">
        <v>141</v>
      </c>
      <c r="F45" s="6">
        <v>757929</v>
      </c>
      <c r="G45" s="6" t="s">
        <v>142</v>
      </c>
      <c r="H45" s="6" t="s">
        <v>143</v>
      </c>
      <c r="I45" s="6" t="s">
        <v>33</v>
      </c>
      <c r="J45" s="6" t="s">
        <v>34</v>
      </c>
      <c r="K45" s="6" t="s">
        <v>144</v>
      </c>
      <c r="L45" s="6" t="s">
        <v>36</v>
      </c>
      <c r="M45" s="6"/>
      <c r="N45" s="7">
        <v>11</v>
      </c>
      <c r="O45" s="8">
        <v>4.07</v>
      </c>
      <c r="P45" s="1"/>
    </row>
    <row r="46" spans="1:16" ht="24" customHeight="1" x14ac:dyDescent="0.3">
      <c r="A46" s="1"/>
      <c r="B46" s="9" t="s">
        <v>27</v>
      </c>
      <c r="C46" s="9" t="s">
        <v>145</v>
      </c>
      <c r="D46" s="9" t="s">
        <v>146</v>
      </c>
      <c r="E46" s="9" t="s">
        <v>147</v>
      </c>
      <c r="F46" s="9">
        <v>757929</v>
      </c>
      <c r="G46" s="9" t="s">
        <v>142</v>
      </c>
      <c r="H46" s="9" t="s">
        <v>148</v>
      </c>
      <c r="I46" s="9" t="s">
        <v>149</v>
      </c>
      <c r="J46" s="9" t="s">
        <v>34</v>
      </c>
      <c r="K46" s="9" t="s">
        <v>144</v>
      </c>
      <c r="L46" s="9" t="s">
        <v>36</v>
      </c>
      <c r="M46" s="9"/>
      <c r="N46" s="10">
        <v>40</v>
      </c>
      <c r="O46" s="11">
        <v>9.6</v>
      </c>
      <c r="P46" s="1"/>
    </row>
    <row r="47" spans="1:16" ht="24" customHeight="1" x14ac:dyDescent="0.3">
      <c r="A47" s="1"/>
      <c r="B47" s="6" t="s">
        <v>27</v>
      </c>
      <c r="C47" s="6" t="s">
        <v>150</v>
      </c>
      <c r="D47" s="6" t="s">
        <v>151</v>
      </c>
      <c r="E47" s="6" t="s">
        <v>152</v>
      </c>
      <c r="F47" s="6">
        <v>689390</v>
      </c>
      <c r="G47" s="6" t="s">
        <v>52</v>
      </c>
      <c r="H47" s="6" t="s">
        <v>153</v>
      </c>
      <c r="I47" s="6" t="s">
        <v>72</v>
      </c>
      <c r="J47" s="6" t="s">
        <v>34</v>
      </c>
      <c r="K47" s="6" t="s">
        <v>144</v>
      </c>
      <c r="L47" s="6" t="s">
        <v>36</v>
      </c>
      <c r="M47" s="6"/>
      <c r="N47" s="7">
        <v>66</v>
      </c>
      <c r="O47" s="8">
        <v>15.84</v>
      </c>
      <c r="P47" s="1"/>
    </row>
    <row r="48" spans="1:16" ht="24" customHeight="1" x14ac:dyDescent="0.3">
      <c r="A48" s="1"/>
      <c r="B48" s="9" t="s">
        <v>27</v>
      </c>
      <c r="C48" s="9" t="s">
        <v>139</v>
      </c>
      <c r="D48" s="9" t="s">
        <v>140</v>
      </c>
      <c r="E48" s="9" t="s">
        <v>141</v>
      </c>
      <c r="F48" s="9">
        <v>757929</v>
      </c>
      <c r="G48" s="9" t="s">
        <v>142</v>
      </c>
      <c r="H48" s="9" t="s">
        <v>154</v>
      </c>
      <c r="I48" s="9" t="s">
        <v>155</v>
      </c>
      <c r="J48" s="9" t="s">
        <v>34</v>
      </c>
      <c r="K48" s="9" t="s">
        <v>144</v>
      </c>
      <c r="L48" s="9" t="s">
        <v>36</v>
      </c>
      <c r="M48" s="9"/>
      <c r="N48" s="10">
        <v>22</v>
      </c>
      <c r="O48" s="11">
        <v>5.28</v>
      </c>
      <c r="P48" s="1"/>
    </row>
    <row r="49" spans="1:16" ht="24" customHeight="1" x14ac:dyDescent="0.3">
      <c r="A49" s="1"/>
      <c r="B49" s="6" t="s">
        <v>27</v>
      </c>
      <c r="C49" s="6" t="s">
        <v>156</v>
      </c>
      <c r="D49" s="6" t="s">
        <v>157</v>
      </c>
      <c r="E49" s="6" t="s">
        <v>158</v>
      </c>
      <c r="F49" s="6">
        <v>678726</v>
      </c>
      <c r="G49" s="6" t="s">
        <v>31</v>
      </c>
      <c r="H49" s="6" t="s">
        <v>159</v>
      </c>
      <c r="I49" s="6" t="s">
        <v>96</v>
      </c>
      <c r="J49" s="6" t="s">
        <v>55</v>
      </c>
      <c r="K49" s="6" t="s">
        <v>144</v>
      </c>
      <c r="L49" s="6" t="s">
        <v>36</v>
      </c>
      <c r="M49" s="6"/>
      <c r="N49" s="7">
        <v>50</v>
      </c>
      <c r="O49" s="8">
        <v>16</v>
      </c>
      <c r="P49" s="1"/>
    </row>
    <row r="50" spans="1:16" ht="24" customHeight="1" x14ac:dyDescent="0.3">
      <c r="A50" s="1"/>
      <c r="B50" s="9" t="s">
        <v>27</v>
      </c>
      <c r="C50" s="9" t="s">
        <v>160</v>
      </c>
      <c r="D50" s="9" t="s">
        <v>161</v>
      </c>
      <c r="E50" s="9" t="s">
        <v>162</v>
      </c>
      <c r="F50" s="9">
        <v>678726</v>
      </c>
      <c r="G50" s="9" t="s">
        <v>31</v>
      </c>
      <c r="H50" s="9" t="s">
        <v>163</v>
      </c>
      <c r="I50" s="9" t="s">
        <v>96</v>
      </c>
      <c r="J50" s="9" t="s">
        <v>55</v>
      </c>
      <c r="K50" s="9" t="s">
        <v>164</v>
      </c>
      <c r="L50" s="9" t="s">
        <v>36</v>
      </c>
      <c r="M50" s="9"/>
      <c r="N50" s="10">
        <v>60</v>
      </c>
      <c r="O50" s="11">
        <v>19.2</v>
      </c>
      <c r="P50" s="1"/>
    </row>
    <row r="51" spans="1:16" ht="24" customHeight="1" x14ac:dyDescent="0.3">
      <c r="A51" s="1"/>
      <c r="B51" s="6" t="s">
        <v>27</v>
      </c>
      <c r="C51" s="6" t="s">
        <v>165</v>
      </c>
      <c r="D51" s="6" t="s">
        <v>166</v>
      </c>
      <c r="E51" s="6" t="s">
        <v>167</v>
      </c>
      <c r="F51" s="6">
        <v>760338</v>
      </c>
      <c r="G51" s="6" t="s">
        <v>168</v>
      </c>
      <c r="H51" s="6" t="s">
        <v>169</v>
      </c>
      <c r="I51" s="6" t="s">
        <v>149</v>
      </c>
      <c r="J51" s="6" t="s">
        <v>34</v>
      </c>
      <c r="K51" s="6" t="s">
        <v>170</v>
      </c>
      <c r="L51" s="6" t="s">
        <v>36</v>
      </c>
      <c r="M51" s="6"/>
      <c r="N51" s="7">
        <v>43.56</v>
      </c>
      <c r="O51" s="8">
        <v>10.45</v>
      </c>
      <c r="P51" s="1"/>
    </row>
    <row r="52" spans="1:16" ht="24" customHeight="1" x14ac:dyDescent="0.3">
      <c r="A52" s="1"/>
      <c r="B52" s="9" t="s">
        <v>27</v>
      </c>
      <c r="C52" s="9" t="s">
        <v>171</v>
      </c>
      <c r="D52" s="9" t="s">
        <v>172</v>
      </c>
      <c r="E52" s="9" t="s">
        <v>173</v>
      </c>
      <c r="F52" s="9">
        <v>678726</v>
      </c>
      <c r="G52" s="9" t="s">
        <v>31</v>
      </c>
      <c r="H52" s="9" t="s">
        <v>174</v>
      </c>
      <c r="I52" s="9" t="s">
        <v>96</v>
      </c>
      <c r="J52" s="9" t="s">
        <v>34</v>
      </c>
      <c r="K52" s="9" t="s">
        <v>128</v>
      </c>
      <c r="L52" s="9" t="s">
        <v>36</v>
      </c>
      <c r="M52" s="9"/>
      <c r="N52" s="10">
        <v>25</v>
      </c>
      <c r="O52" s="11">
        <v>8</v>
      </c>
      <c r="P52" s="1"/>
    </row>
    <row r="53" spans="1:16" ht="24" customHeight="1" x14ac:dyDescent="0.3">
      <c r="A53" s="1"/>
      <c r="B53" s="6" t="s">
        <v>27</v>
      </c>
      <c r="C53" s="6" t="s">
        <v>165</v>
      </c>
      <c r="D53" s="6" t="s">
        <v>166</v>
      </c>
      <c r="E53" s="6" t="s">
        <v>167</v>
      </c>
      <c r="F53" s="6">
        <v>760338</v>
      </c>
      <c r="G53" s="6" t="s">
        <v>168</v>
      </c>
      <c r="H53" s="6" t="s">
        <v>175</v>
      </c>
      <c r="I53" s="6" t="s">
        <v>33</v>
      </c>
      <c r="J53" s="6" t="s">
        <v>34</v>
      </c>
      <c r="K53" s="6" t="s">
        <v>170</v>
      </c>
      <c r="L53" s="6" t="s">
        <v>36</v>
      </c>
      <c r="M53" s="6"/>
      <c r="N53" s="7">
        <v>11</v>
      </c>
      <c r="O53" s="8">
        <v>4.07</v>
      </c>
      <c r="P53" s="1"/>
    </row>
    <row r="54" spans="1:16" ht="24" customHeight="1" x14ac:dyDescent="0.3">
      <c r="A54" s="1"/>
      <c r="B54" s="9" t="s">
        <v>27</v>
      </c>
      <c r="C54" s="9" t="s">
        <v>176</v>
      </c>
      <c r="D54" s="9" t="s">
        <v>177</v>
      </c>
      <c r="E54" s="9" t="s">
        <v>178</v>
      </c>
      <c r="F54" s="9">
        <v>820877</v>
      </c>
      <c r="G54" s="9" t="s">
        <v>179</v>
      </c>
      <c r="H54" s="9" t="s">
        <v>180</v>
      </c>
      <c r="I54" s="9" t="s">
        <v>96</v>
      </c>
      <c r="J54" s="9" t="s">
        <v>55</v>
      </c>
      <c r="K54" s="9" t="s">
        <v>170</v>
      </c>
      <c r="L54" s="9" t="s">
        <v>36</v>
      </c>
      <c r="M54" s="9"/>
      <c r="N54" s="10">
        <v>46</v>
      </c>
      <c r="O54" s="11">
        <v>14.72</v>
      </c>
      <c r="P54" s="1"/>
    </row>
    <row r="55" spans="1:16" ht="24" customHeight="1" x14ac:dyDescent="0.3">
      <c r="B55" s="6" t="s">
        <v>27</v>
      </c>
      <c r="C55" s="6" t="s">
        <v>181</v>
      </c>
      <c r="D55" s="6" t="s">
        <v>182</v>
      </c>
      <c r="E55" s="6" t="s">
        <v>183</v>
      </c>
      <c r="F55" s="6">
        <v>706472</v>
      </c>
      <c r="G55" s="6" t="s">
        <v>184</v>
      </c>
      <c r="H55" s="6" t="s">
        <v>185</v>
      </c>
      <c r="I55" s="6" t="s">
        <v>96</v>
      </c>
      <c r="J55" s="6" t="s">
        <v>34</v>
      </c>
      <c r="K55" s="6" t="s">
        <v>170</v>
      </c>
      <c r="L55" s="6" t="s">
        <v>36</v>
      </c>
      <c r="M55" s="6"/>
      <c r="N55" s="7">
        <v>25</v>
      </c>
      <c r="O55" s="8">
        <v>8</v>
      </c>
    </row>
    <row r="56" spans="1:16" ht="24" customHeight="1" x14ac:dyDescent="0.3">
      <c r="B56" s="9" t="s">
        <v>27</v>
      </c>
      <c r="C56" s="9" t="s">
        <v>186</v>
      </c>
      <c r="D56" s="9" t="s">
        <v>187</v>
      </c>
      <c r="E56" s="9" t="s">
        <v>188</v>
      </c>
      <c r="F56" s="9">
        <v>757929</v>
      </c>
      <c r="G56" s="9" t="s">
        <v>142</v>
      </c>
      <c r="H56" s="9" t="s">
        <v>189</v>
      </c>
      <c r="I56" s="9" t="s">
        <v>54</v>
      </c>
      <c r="J56" s="9" t="s">
        <v>78</v>
      </c>
      <c r="K56" s="9" t="s">
        <v>190</v>
      </c>
      <c r="L56" s="9" t="s">
        <v>36</v>
      </c>
      <c r="M56" s="9"/>
      <c r="N56" s="10">
        <v>185</v>
      </c>
      <c r="O56" s="11">
        <v>44.4</v>
      </c>
    </row>
    <row r="57" spans="1:16" ht="24" customHeight="1" x14ac:dyDescent="0.3">
      <c r="B57" s="6" t="s">
        <v>27</v>
      </c>
      <c r="C57" s="6" t="s">
        <v>191</v>
      </c>
      <c r="D57" s="6" t="s">
        <v>192</v>
      </c>
      <c r="E57" s="6" t="s">
        <v>193</v>
      </c>
      <c r="F57" s="6">
        <v>703501</v>
      </c>
      <c r="G57" s="6" t="s">
        <v>64</v>
      </c>
      <c r="H57" s="6" t="s">
        <v>194</v>
      </c>
      <c r="I57" s="6" t="s">
        <v>77</v>
      </c>
      <c r="J57" s="6" t="s">
        <v>34</v>
      </c>
      <c r="K57" s="6" t="s">
        <v>190</v>
      </c>
      <c r="L57" s="6" t="s">
        <v>36</v>
      </c>
      <c r="M57" s="6"/>
      <c r="N57" s="7">
        <v>25</v>
      </c>
      <c r="O57" s="8">
        <v>6</v>
      </c>
    </row>
    <row r="58" spans="1:16" ht="24" customHeight="1" x14ac:dyDescent="0.3">
      <c r="B58" s="9" t="s">
        <v>27</v>
      </c>
      <c r="C58" s="9" t="s">
        <v>195</v>
      </c>
      <c r="D58" s="9" t="s">
        <v>196</v>
      </c>
      <c r="E58" s="9" t="s">
        <v>197</v>
      </c>
      <c r="F58" s="9">
        <v>798992</v>
      </c>
      <c r="G58" s="9" t="s">
        <v>198</v>
      </c>
      <c r="H58" s="9" t="s">
        <v>199</v>
      </c>
      <c r="I58" s="9" t="s">
        <v>96</v>
      </c>
      <c r="J58" s="9" t="s">
        <v>34</v>
      </c>
      <c r="K58" s="9" t="s">
        <v>133</v>
      </c>
      <c r="L58" s="9" t="s">
        <v>36</v>
      </c>
      <c r="M58" s="9"/>
      <c r="N58" s="10">
        <v>30</v>
      </c>
      <c r="O58" s="11">
        <v>9.6</v>
      </c>
    </row>
    <row r="59" spans="1:16" ht="24" customHeight="1" x14ac:dyDescent="0.3">
      <c r="B59" s="6" t="s">
        <v>27</v>
      </c>
      <c r="C59" s="6" t="s">
        <v>195</v>
      </c>
      <c r="D59" s="6" t="s">
        <v>196</v>
      </c>
      <c r="E59" s="6" t="s">
        <v>197</v>
      </c>
      <c r="F59" s="6">
        <v>798992</v>
      </c>
      <c r="G59" s="6" t="s">
        <v>198</v>
      </c>
      <c r="H59" s="6" t="s">
        <v>200</v>
      </c>
      <c r="I59" s="6" t="s">
        <v>33</v>
      </c>
      <c r="J59" s="6" t="s">
        <v>34</v>
      </c>
      <c r="K59" s="6" t="s">
        <v>133</v>
      </c>
      <c r="L59" s="6" t="s">
        <v>36</v>
      </c>
      <c r="M59" s="6"/>
      <c r="N59" s="7">
        <v>11</v>
      </c>
      <c r="O59" s="8">
        <v>4.07</v>
      </c>
    </row>
    <row r="60" spans="1:16" ht="24" customHeight="1" x14ac:dyDescent="0.3">
      <c r="B60" s="9" t="s">
        <v>27</v>
      </c>
      <c r="C60" s="9" t="s">
        <v>201</v>
      </c>
      <c r="D60" s="9" t="s">
        <v>202</v>
      </c>
      <c r="E60" s="9" t="s">
        <v>203</v>
      </c>
      <c r="F60" s="9">
        <v>678726</v>
      </c>
      <c r="G60" s="9" t="s">
        <v>31</v>
      </c>
      <c r="H60" s="9" t="s">
        <v>204</v>
      </c>
      <c r="I60" s="9" t="s">
        <v>96</v>
      </c>
      <c r="J60" s="9" t="s">
        <v>34</v>
      </c>
      <c r="K60" s="9" t="s">
        <v>133</v>
      </c>
      <c r="L60" s="9" t="s">
        <v>36</v>
      </c>
      <c r="M60" s="9"/>
      <c r="N60" s="10">
        <v>25</v>
      </c>
      <c r="O60" s="11">
        <v>8</v>
      </c>
    </row>
    <row r="61" spans="1:16" ht="24" customHeight="1" x14ac:dyDescent="0.3">
      <c r="B61" s="6" t="s">
        <v>27</v>
      </c>
      <c r="C61" s="6" t="s">
        <v>201</v>
      </c>
      <c r="D61" s="6" t="s">
        <v>202</v>
      </c>
      <c r="E61" s="6" t="s">
        <v>203</v>
      </c>
      <c r="F61" s="6">
        <v>678726</v>
      </c>
      <c r="G61" s="6" t="s">
        <v>31</v>
      </c>
      <c r="H61" s="6" t="s">
        <v>205</v>
      </c>
      <c r="I61" s="6" t="s">
        <v>33</v>
      </c>
      <c r="J61" s="6" t="s">
        <v>34</v>
      </c>
      <c r="K61" s="6" t="s">
        <v>133</v>
      </c>
      <c r="L61" s="6" t="s">
        <v>36</v>
      </c>
      <c r="M61" s="6"/>
      <c r="N61" s="7">
        <v>11</v>
      </c>
      <c r="O61" s="8">
        <v>4.07</v>
      </c>
    </row>
    <row r="62" spans="1:16" ht="24" customHeight="1" x14ac:dyDescent="0.3">
      <c r="B62" s="9" t="s">
        <v>27</v>
      </c>
      <c r="C62" s="9" t="s">
        <v>97</v>
      </c>
      <c r="D62" s="9" t="s">
        <v>98</v>
      </c>
      <c r="E62" s="9" t="s">
        <v>99</v>
      </c>
      <c r="F62" s="9">
        <v>678726</v>
      </c>
      <c r="G62" s="9" t="s">
        <v>31</v>
      </c>
      <c r="H62" s="9" t="s">
        <v>100</v>
      </c>
      <c r="I62" s="9" t="s">
        <v>96</v>
      </c>
      <c r="J62" s="9" t="s">
        <v>34</v>
      </c>
      <c r="K62" s="9" t="s">
        <v>170</v>
      </c>
      <c r="L62" s="9" t="s">
        <v>36</v>
      </c>
      <c r="M62" s="9"/>
      <c r="N62" s="10">
        <v>31.13</v>
      </c>
      <c r="O62" s="11">
        <v>9.9600000000000009</v>
      </c>
    </row>
    <row r="63" spans="1:16" ht="24" customHeight="1" x14ac:dyDescent="0.3">
      <c r="B63" s="6" t="s">
        <v>27</v>
      </c>
      <c r="C63" s="6" t="s">
        <v>206</v>
      </c>
      <c r="D63" s="6" t="s">
        <v>207</v>
      </c>
      <c r="E63" s="6" t="s">
        <v>208</v>
      </c>
      <c r="F63" s="6">
        <v>678726</v>
      </c>
      <c r="G63" s="6" t="s">
        <v>31</v>
      </c>
      <c r="H63" s="6" t="s">
        <v>209</v>
      </c>
      <c r="I63" s="6" t="s">
        <v>33</v>
      </c>
      <c r="J63" s="6" t="s">
        <v>34</v>
      </c>
      <c r="K63" s="6" t="s">
        <v>138</v>
      </c>
      <c r="L63" s="6" t="s">
        <v>36</v>
      </c>
      <c r="M63" s="6"/>
      <c r="N63" s="7">
        <v>11</v>
      </c>
      <c r="O63" s="8">
        <v>4.07</v>
      </c>
    </row>
    <row r="64" spans="1:16" ht="24" customHeight="1" x14ac:dyDescent="0.3">
      <c r="B64" s="9" t="s">
        <v>27</v>
      </c>
      <c r="C64" s="9" t="s">
        <v>119</v>
      </c>
      <c r="D64" s="9" t="s">
        <v>120</v>
      </c>
      <c r="E64" s="9" t="s">
        <v>121</v>
      </c>
      <c r="F64" s="9">
        <v>678726</v>
      </c>
      <c r="G64" s="9" t="s">
        <v>31</v>
      </c>
      <c r="H64" s="9" t="s">
        <v>210</v>
      </c>
      <c r="I64" s="9" t="s">
        <v>33</v>
      </c>
      <c r="J64" s="9" t="s">
        <v>34</v>
      </c>
      <c r="K64" s="9" t="s">
        <v>108</v>
      </c>
      <c r="L64" s="9" t="s">
        <v>36</v>
      </c>
      <c r="M64" s="9"/>
      <c r="N64" s="10">
        <v>11</v>
      </c>
      <c r="O64" s="11">
        <v>4.07</v>
      </c>
    </row>
    <row r="65" spans="2:15" ht="24" customHeight="1" x14ac:dyDescent="0.3">
      <c r="B65" s="6" t="s">
        <v>27</v>
      </c>
      <c r="C65" s="6" t="s">
        <v>211</v>
      </c>
      <c r="D65" s="6" t="s">
        <v>212</v>
      </c>
      <c r="E65" s="6" t="s">
        <v>213</v>
      </c>
      <c r="F65" s="6">
        <v>798992</v>
      </c>
      <c r="G65" s="6" t="s">
        <v>198</v>
      </c>
      <c r="H65" s="6" t="s">
        <v>214</v>
      </c>
      <c r="I65" s="6" t="s">
        <v>96</v>
      </c>
      <c r="J65" s="6" t="s">
        <v>215</v>
      </c>
      <c r="K65" s="6" t="s">
        <v>108</v>
      </c>
      <c r="L65" s="6" t="s">
        <v>36</v>
      </c>
      <c r="M65" s="6"/>
      <c r="N65" s="7">
        <v>58</v>
      </c>
      <c r="O65" s="8">
        <v>18.559999999999999</v>
      </c>
    </row>
    <row r="66" spans="2:15" ht="24" customHeight="1" x14ac:dyDescent="0.3">
      <c r="B66" s="9" t="s">
        <v>27</v>
      </c>
      <c r="C66" s="9" t="s">
        <v>216</v>
      </c>
      <c r="D66" s="9" t="s">
        <v>217</v>
      </c>
      <c r="E66" s="9" t="s">
        <v>218</v>
      </c>
      <c r="F66" s="9">
        <v>678726</v>
      </c>
      <c r="G66" s="9" t="s">
        <v>31</v>
      </c>
      <c r="H66" s="9" t="s">
        <v>219</v>
      </c>
      <c r="I66" s="9" t="s">
        <v>33</v>
      </c>
      <c r="J66" s="9" t="s">
        <v>34</v>
      </c>
      <c r="K66" s="9" t="s">
        <v>220</v>
      </c>
      <c r="L66" s="9" t="s">
        <v>36</v>
      </c>
      <c r="M66" s="9"/>
      <c r="N66" s="10">
        <v>11</v>
      </c>
      <c r="O66" s="11">
        <v>4.07</v>
      </c>
    </row>
    <row r="67" spans="2:15" ht="24" customHeight="1" x14ac:dyDescent="0.3">
      <c r="B67" s="6" t="s">
        <v>27</v>
      </c>
      <c r="C67" s="6" t="s">
        <v>216</v>
      </c>
      <c r="D67" s="6" t="s">
        <v>217</v>
      </c>
      <c r="E67" s="6" t="s">
        <v>218</v>
      </c>
      <c r="F67" s="6">
        <v>678726</v>
      </c>
      <c r="G67" s="6" t="s">
        <v>31</v>
      </c>
      <c r="H67" s="6" t="s">
        <v>221</v>
      </c>
      <c r="I67" s="6" t="s">
        <v>54</v>
      </c>
      <c r="J67" s="6" t="s">
        <v>34</v>
      </c>
      <c r="K67" s="6" t="s">
        <v>220</v>
      </c>
      <c r="L67" s="6" t="s">
        <v>36</v>
      </c>
      <c r="M67" s="6"/>
      <c r="N67" s="7">
        <v>48</v>
      </c>
      <c r="O67" s="8">
        <v>11.52</v>
      </c>
    </row>
    <row r="68" spans="2:15" ht="24" customHeight="1" x14ac:dyDescent="0.3">
      <c r="B68" s="9" t="s">
        <v>27</v>
      </c>
      <c r="C68" s="9" t="s">
        <v>222</v>
      </c>
      <c r="D68" s="9" t="s">
        <v>223</v>
      </c>
      <c r="E68" s="9" t="s">
        <v>224</v>
      </c>
      <c r="F68" s="9">
        <v>759555</v>
      </c>
      <c r="G68" s="9" t="s">
        <v>40</v>
      </c>
      <c r="H68" s="9" t="s">
        <v>225</v>
      </c>
      <c r="I68" s="9" t="s">
        <v>33</v>
      </c>
      <c r="J68" s="9" t="s">
        <v>34</v>
      </c>
      <c r="K68" s="9" t="s">
        <v>220</v>
      </c>
      <c r="L68" s="9" t="s">
        <v>36</v>
      </c>
      <c r="M68" s="9"/>
      <c r="N68" s="10">
        <v>11</v>
      </c>
      <c r="O68" s="11">
        <v>4.07</v>
      </c>
    </row>
    <row r="69" spans="2:15" ht="24" customHeight="1" x14ac:dyDescent="0.3">
      <c r="B69" s="6" t="s">
        <v>27</v>
      </c>
      <c r="C69" s="6" t="s">
        <v>226</v>
      </c>
      <c r="D69" s="6" t="s">
        <v>227</v>
      </c>
      <c r="E69" s="6" t="s">
        <v>228</v>
      </c>
      <c r="F69" s="6">
        <v>759555</v>
      </c>
      <c r="G69" s="6" t="s">
        <v>40</v>
      </c>
      <c r="H69" s="6" t="s">
        <v>229</v>
      </c>
      <c r="I69" s="6" t="s">
        <v>54</v>
      </c>
      <c r="J69" s="6" t="s">
        <v>34</v>
      </c>
      <c r="K69" s="6" t="s">
        <v>220</v>
      </c>
      <c r="L69" s="6" t="s">
        <v>36</v>
      </c>
      <c r="M69" s="6"/>
      <c r="N69" s="7">
        <v>52</v>
      </c>
      <c r="O69" s="8">
        <v>12.48</v>
      </c>
    </row>
    <row r="70" spans="2:15" ht="24" customHeight="1" x14ac:dyDescent="0.3">
      <c r="B70" s="9" t="s">
        <v>27</v>
      </c>
      <c r="C70" s="9" t="s">
        <v>230</v>
      </c>
      <c r="D70" s="9" t="s">
        <v>231</v>
      </c>
      <c r="E70" s="9" t="s">
        <v>232</v>
      </c>
      <c r="F70" s="9">
        <v>689390</v>
      </c>
      <c r="G70" s="9" t="s">
        <v>52</v>
      </c>
      <c r="H70" s="9" t="s">
        <v>233</v>
      </c>
      <c r="I70" s="9" t="s">
        <v>72</v>
      </c>
      <c r="J70" s="9" t="s">
        <v>34</v>
      </c>
      <c r="K70" s="9" t="s">
        <v>220</v>
      </c>
      <c r="L70" s="9" t="s">
        <v>36</v>
      </c>
      <c r="M70" s="9"/>
      <c r="N70" s="10">
        <v>65</v>
      </c>
      <c r="O70" s="11">
        <v>15.6</v>
      </c>
    </row>
    <row r="71" spans="2:15" ht="24" customHeight="1" x14ac:dyDescent="0.3">
      <c r="B71" s="6" t="s">
        <v>27</v>
      </c>
      <c r="C71" s="6" t="s">
        <v>234</v>
      </c>
      <c r="D71" s="6" t="s">
        <v>235</v>
      </c>
      <c r="E71" s="6" t="s">
        <v>236</v>
      </c>
      <c r="F71" s="6">
        <v>798992</v>
      </c>
      <c r="G71" s="6" t="s">
        <v>198</v>
      </c>
      <c r="H71" s="6" t="s">
        <v>237</v>
      </c>
      <c r="I71" s="6" t="s">
        <v>238</v>
      </c>
      <c r="J71" s="6" t="s">
        <v>34</v>
      </c>
      <c r="K71" s="6" t="s">
        <v>220</v>
      </c>
      <c r="L71" s="6" t="s">
        <v>36</v>
      </c>
      <c r="M71" s="6"/>
      <c r="N71" s="7">
        <v>27</v>
      </c>
      <c r="O71" s="8">
        <v>6.48</v>
      </c>
    </row>
    <row r="72" spans="2:15" ht="24" customHeight="1" x14ac:dyDescent="0.3">
      <c r="B72" s="9" t="s">
        <v>27</v>
      </c>
      <c r="C72" s="9" t="s">
        <v>239</v>
      </c>
      <c r="D72" s="9" t="s">
        <v>240</v>
      </c>
      <c r="E72" s="9" t="s">
        <v>241</v>
      </c>
      <c r="F72" s="9">
        <v>689390</v>
      </c>
      <c r="G72" s="9" t="s">
        <v>52</v>
      </c>
      <c r="H72" s="9" t="s">
        <v>242</v>
      </c>
      <c r="I72" s="9" t="s">
        <v>72</v>
      </c>
      <c r="J72" s="9" t="s">
        <v>34</v>
      </c>
      <c r="K72" s="9" t="s">
        <v>220</v>
      </c>
      <c r="L72" s="9" t="s">
        <v>36</v>
      </c>
      <c r="M72" s="9"/>
      <c r="N72" s="10">
        <v>71</v>
      </c>
      <c r="O72" s="11">
        <v>17.04</v>
      </c>
    </row>
    <row r="73" spans="2:15" ht="24" customHeight="1" x14ac:dyDescent="0.3">
      <c r="B73" s="6" t="s">
        <v>27</v>
      </c>
      <c r="C73" s="6" t="s">
        <v>97</v>
      </c>
      <c r="D73" s="6" t="s">
        <v>98</v>
      </c>
      <c r="E73" s="6" t="s">
        <v>99</v>
      </c>
      <c r="F73" s="6">
        <v>678726</v>
      </c>
      <c r="G73" s="6" t="s">
        <v>31</v>
      </c>
      <c r="H73" s="6" t="s">
        <v>100</v>
      </c>
      <c r="I73" s="6" t="s">
        <v>96</v>
      </c>
      <c r="J73" s="6" t="s">
        <v>34</v>
      </c>
      <c r="K73" s="6" t="s">
        <v>220</v>
      </c>
      <c r="L73" s="6" t="s">
        <v>36</v>
      </c>
      <c r="M73" s="6"/>
      <c r="N73" s="7">
        <v>31.13</v>
      </c>
      <c r="O73" s="8">
        <v>9.9600000000000009</v>
      </c>
    </row>
    <row r="74" spans="2:15" ht="24" customHeight="1" x14ac:dyDescent="0.3">
      <c r="B74" s="9" t="s">
        <v>27</v>
      </c>
      <c r="C74" s="9" t="s">
        <v>243</v>
      </c>
      <c r="D74" s="9" t="s">
        <v>244</v>
      </c>
      <c r="E74" s="9" t="s">
        <v>245</v>
      </c>
      <c r="F74" s="9">
        <v>678726</v>
      </c>
      <c r="G74" s="9" t="s">
        <v>31</v>
      </c>
      <c r="H74" s="9" t="s">
        <v>246</v>
      </c>
      <c r="I74" s="9" t="s">
        <v>33</v>
      </c>
      <c r="J74" s="9" t="s">
        <v>34</v>
      </c>
      <c r="K74" s="9" t="s">
        <v>220</v>
      </c>
      <c r="L74" s="9" t="s">
        <v>36</v>
      </c>
      <c r="M74" s="9"/>
      <c r="N74" s="10">
        <v>11</v>
      </c>
      <c r="O74" s="11">
        <v>4.07</v>
      </c>
    </row>
    <row r="75" spans="2:15" ht="24" customHeight="1" x14ac:dyDescent="0.3">
      <c r="B75" s="6" t="s">
        <v>27</v>
      </c>
      <c r="C75" s="6" t="s">
        <v>247</v>
      </c>
      <c r="D75" s="6" t="s">
        <v>248</v>
      </c>
      <c r="E75" s="6" t="s">
        <v>249</v>
      </c>
      <c r="F75" s="6">
        <v>711419</v>
      </c>
      <c r="G75" s="6" t="s">
        <v>250</v>
      </c>
      <c r="H75" s="6" t="s">
        <v>251</v>
      </c>
      <c r="I75" s="6" t="s">
        <v>72</v>
      </c>
      <c r="J75" s="6" t="s">
        <v>55</v>
      </c>
      <c r="K75" s="6" t="s">
        <v>220</v>
      </c>
      <c r="L75" s="6" t="s">
        <v>36</v>
      </c>
      <c r="M75" s="6"/>
      <c r="N75" s="7">
        <v>143</v>
      </c>
      <c r="O75" s="8">
        <v>4.29</v>
      </c>
    </row>
    <row r="76" spans="2:15" ht="24" customHeight="1" x14ac:dyDescent="0.3">
      <c r="B76" s="9" t="s">
        <v>27</v>
      </c>
      <c r="C76" s="9" t="s">
        <v>252</v>
      </c>
      <c r="D76" s="9" t="s">
        <v>253</v>
      </c>
      <c r="E76" s="9" t="s">
        <v>254</v>
      </c>
      <c r="F76" s="9">
        <v>678726</v>
      </c>
      <c r="G76" s="9" t="s">
        <v>31</v>
      </c>
      <c r="H76" s="9" t="s">
        <v>255</v>
      </c>
      <c r="I76" s="9" t="s">
        <v>96</v>
      </c>
      <c r="J76" s="9" t="s">
        <v>34</v>
      </c>
      <c r="K76" s="9" t="s">
        <v>220</v>
      </c>
      <c r="L76" s="9" t="s">
        <v>36</v>
      </c>
      <c r="M76" s="9"/>
      <c r="N76" s="10">
        <v>25</v>
      </c>
      <c r="O76" s="11">
        <v>8</v>
      </c>
    </row>
    <row r="77" spans="2:15" ht="24" customHeight="1" x14ac:dyDescent="0.3">
      <c r="B77" s="6" t="s">
        <v>27</v>
      </c>
      <c r="C77" s="6" t="s">
        <v>256</v>
      </c>
      <c r="D77" s="6" t="s">
        <v>257</v>
      </c>
      <c r="E77" s="6" t="s">
        <v>258</v>
      </c>
      <c r="F77" s="6">
        <v>678726</v>
      </c>
      <c r="G77" s="6" t="s">
        <v>31</v>
      </c>
      <c r="H77" s="6" t="s">
        <v>259</v>
      </c>
      <c r="I77" s="6" t="s">
        <v>33</v>
      </c>
      <c r="J77" s="6" t="s">
        <v>34</v>
      </c>
      <c r="K77" s="6" t="s">
        <v>220</v>
      </c>
      <c r="L77" s="6" t="s">
        <v>36</v>
      </c>
      <c r="M77" s="6"/>
      <c r="N77" s="7">
        <v>11</v>
      </c>
      <c r="O77" s="8">
        <v>4.07</v>
      </c>
    </row>
    <row r="78" spans="2:15" ht="24" customHeight="1" x14ac:dyDescent="0.3">
      <c r="B78" s="9" t="s">
        <v>27</v>
      </c>
      <c r="C78" s="9" t="s">
        <v>260</v>
      </c>
      <c r="D78" s="9" t="s">
        <v>261</v>
      </c>
      <c r="E78" s="9" t="s">
        <v>262</v>
      </c>
      <c r="F78" s="9">
        <v>723477</v>
      </c>
      <c r="G78" s="9" t="s">
        <v>263</v>
      </c>
      <c r="H78" s="9" t="s">
        <v>264</v>
      </c>
      <c r="I78" s="9" t="s">
        <v>33</v>
      </c>
      <c r="J78" s="9" t="s">
        <v>34</v>
      </c>
      <c r="K78" s="9" t="s">
        <v>220</v>
      </c>
      <c r="L78" s="9" t="s">
        <v>36</v>
      </c>
      <c r="M78" s="9"/>
      <c r="N78" s="10">
        <v>11</v>
      </c>
      <c r="O78" s="11">
        <v>4.07</v>
      </c>
    </row>
    <row r="79" spans="2:15" ht="24" customHeight="1" x14ac:dyDescent="0.3">
      <c r="B79" s="6" t="s">
        <v>27</v>
      </c>
      <c r="C79" s="6" t="s">
        <v>265</v>
      </c>
      <c r="D79" s="6" t="s">
        <v>266</v>
      </c>
      <c r="E79" s="6" t="s">
        <v>267</v>
      </c>
      <c r="F79" s="6">
        <v>678726</v>
      </c>
      <c r="G79" s="6" t="s">
        <v>31</v>
      </c>
      <c r="H79" s="6" t="s">
        <v>268</v>
      </c>
      <c r="I79" s="6" t="s">
        <v>238</v>
      </c>
      <c r="J79" s="6" t="s">
        <v>34</v>
      </c>
      <c r="K79" s="6" t="s">
        <v>220</v>
      </c>
      <c r="L79" s="6" t="s">
        <v>36</v>
      </c>
      <c r="M79" s="6"/>
      <c r="N79" s="7">
        <v>27</v>
      </c>
      <c r="O79" s="8">
        <v>6.48</v>
      </c>
    </row>
    <row r="80" spans="2:15" ht="24" customHeight="1" x14ac:dyDescent="0.3">
      <c r="B80" s="9" t="s">
        <v>27</v>
      </c>
      <c r="C80" s="9" t="s">
        <v>269</v>
      </c>
      <c r="D80" s="9" t="s">
        <v>270</v>
      </c>
      <c r="E80" s="9" t="s">
        <v>271</v>
      </c>
      <c r="F80" s="9">
        <v>720542</v>
      </c>
      <c r="G80" s="9" t="s">
        <v>272</v>
      </c>
      <c r="H80" s="9" t="s">
        <v>273</v>
      </c>
      <c r="I80" s="9" t="s">
        <v>54</v>
      </c>
      <c r="J80" s="9" t="s">
        <v>34</v>
      </c>
      <c r="K80" s="9" t="s">
        <v>220</v>
      </c>
      <c r="L80" s="9" t="s">
        <v>36</v>
      </c>
      <c r="M80" s="9"/>
      <c r="N80" s="10">
        <v>35</v>
      </c>
      <c r="O80" s="11">
        <v>1.05</v>
      </c>
    </row>
    <row r="81" spans="2:15" ht="24" customHeight="1" x14ac:dyDescent="0.3">
      <c r="B81" s="6" t="s">
        <v>27</v>
      </c>
      <c r="C81" s="6" t="s">
        <v>274</v>
      </c>
      <c r="D81" s="6" t="s">
        <v>275</v>
      </c>
      <c r="E81" s="6" t="s">
        <v>276</v>
      </c>
      <c r="F81" s="6">
        <v>678726</v>
      </c>
      <c r="G81" s="6" t="s">
        <v>31</v>
      </c>
      <c r="H81" s="6" t="s">
        <v>277</v>
      </c>
      <c r="I81" s="6" t="s">
        <v>96</v>
      </c>
      <c r="J81" s="6" t="s">
        <v>55</v>
      </c>
      <c r="K81" s="6" t="s">
        <v>278</v>
      </c>
      <c r="L81" s="6" t="s">
        <v>36</v>
      </c>
      <c r="M81" s="6"/>
      <c r="N81" s="7">
        <v>50</v>
      </c>
      <c r="O81" s="8">
        <v>16</v>
      </c>
    </row>
    <row r="82" spans="2:15" ht="24" customHeight="1" x14ac:dyDescent="0.3">
      <c r="B82" s="9" t="s">
        <v>27</v>
      </c>
      <c r="C82" s="9" t="s">
        <v>279</v>
      </c>
      <c r="D82" s="9" t="s">
        <v>280</v>
      </c>
      <c r="E82" s="9" t="s">
        <v>281</v>
      </c>
      <c r="F82" s="9">
        <v>678726</v>
      </c>
      <c r="G82" s="9" t="s">
        <v>31</v>
      </c>
      <c r="H82" s="9" t="s">
        <v>282</v>
      </c>
      <c r="I82" s="9" t="s">
        <v>238</v>
      </c>
      <c r="J82" s="9" t="s">
        <v>34</v>
      </c>
      <c r="K82" s="9" t="s">
        <v>278</v>
      </c>
      <c r="L82" s="9" t="s">
        <v>101</v>
      </c>
      <c r="M82" s="9" t="s">
        <v>102</v>
      </c>
      <c r="N82" s="10">
        <v>27</v>
      </c>
      <c r="O82" s="11">
        <v>-6.48</v>
      </c>
    </row>
    <row r="83" spans="2:15" ht="24" customHeight="1" x14ac:dyDescent="0.3">
      <c r="B83" s="6" t="s">
        <v>27</v>
      </c>
      <c r="C83" s="6" t="s">
        <v>283</v>
      </c>
      <c r="D83" s="6" t="s">
        <v>284</v>
      </c>
      <c r="E83" s="6" t="s">
        <v>285</v>
      </c>
      <c r="F83" s="6">
        <v>655758</v>
      </c>
      <c r="G83" s="6" t="s">
        <v>286</v>
      </c>
      <c r="H83" s="6" t="s">
        <v>287</v>
      </c>
      <c r="I83" s="6" t="s">
        <v>238</v>
      </c>
      <c r="J83" s="6" t="s">
        <v>55</v>
      </c>
      <c r="K83" s="6" t="s">
        <v>278</v>
      </c>
      <c r="L83" s="6" t="s">
        <v>36</v>
      </c>
      <c r="M83" s="6"/>
      <c r="N83" s="7">
        <v>54</v>
      </c>
      <c r="O83" s="8">
        <v>12.96</v>
      </c>
    </row>
    <row r="84" spans="2:15" ht="24" customHeight="1" x14ac:dyDescent="0.3">
      <c r="B84" s="9" t="s">
        <v>27</v>
      </c>
      <c r="C84" s="9" t="s">
        <v>256</v>
      </c>
      <c r="D84" s="9" t="s">
        <v>257</v>
      </c>
      <c r="E84" s="9" t="s">
        <v>258</v>
      </c>
      <c r="F84" s="9">
        <v>678726</v>
      </c>
      <c r="G84" s="9" t="s">
        <v>31</v>
      </c>
      <c r="H84" s="9" t="s">
        <v>288</v>
      </c>
      <c r="I84" s="9" t="s">
        <v>238</v>
      </c>
      <c r="J84" s="9" t="s">
        <v>34</v>
      </c>
      <c r="K84" s="9" t="s">
        <v>220</v>
      </c>
      <c r="L84" s="9" t="s">
        <v>36</v>
      </c>
      <c r="M84" s="9"/>
      <c r="N84" s="10">
        <v>27</v>
      </c>
      <c r="O84" s="11">
        <v>6.48</v>
      </c>
    </row>
    <row r="85" spans="2:15" ht="24" customHeight="1" x14ac:dyDescent="0.3">
      <c r="B85" s="6" t="s">
        <v>27</v>
      </c>
      <c r="C85" s="6" t="s">
        <v>289</v>
      </c>
      <c r="D85" s="6" t="s">
        <v>290</v>
      </c>
      <c r="E85" s="6" t="s">
        <v>291</v>
      </c>
      <c r="F85" s="6">
        <v>678726</v>
      </c>
      <c r="G85" s="6" t="s">
        <v>31</v>
      </c>
      <c r="H85" s="6" t="s">
        <v>292</v>
      </c>
      <c r="I85" s="6" t="s">
        <v>238</v>
      </c>
      <c r="J85" s="6" t="s">
        <v>34</v>
      </c>
      <c r="K85" s="6" t="s">
        <v>108</v>
      </c>
      <c r="L85" s="6" t="s">
        <v>36</v>
      </c>
      <c r="M85" s="6"/>
      <c r="N85" s="7">
        <v>27</v>
      </c>
      <c r="O85" s="8">
        <v>6.48</v>
      </c>
    </row>
    <row r="86" spans="2:15" ht="24" customHeight="1" x14ac:dyDescent="0.3">
      <c r="B86" s="9" t="s">
        <v>27</v>
      </c>
      <c r="C86" s="9" t="s">
        <v>293</v>
      </c>
      <c r="D86" s="9" t="s">
        <v>294</v>
      </c>
      <c r="E86" s="9" t="s">
        <v>295</v>
      </c>
      <c r="F86" s="9">
        <v>678726</v>
      </c>
      <c r="G86" s="9" t="s">
        <v>31</v>
      </c>
      <c r="H86" s="9" t="s">
        <v>296</v>
      </c>
      <c r="I86" s="9" t="s">
        <v>96</v>
      </c>
      <c r="J86" s="9" t="s">
        <v>34</v>
      </c>
      <c r="K86" s="9" t="s">
        <v>220</v>
      </c>
      <c r="L86" s="9" t="s">
        <v>36</v>
      </c>
      <c r="M86" s="9"/>
      <c r="N86" s="10">
        <v>25</v>
      </c>
      <c r="O86" s="11">
        <v>8</v>
      </c>
    </row>
    <row r="87" spans="2:15" ht="24" customHeight="1" x14ac:dyDescent="0.3">
      <c r="B87" s="6" t="s">
        <v>27</v>
      </c>
      <c r="C87" s="6" t="s">
        <v>293</v>
      </c>
      <c r="D87" s="6" t="s">
        <v>294</v>
      </c>
      <c r="E87" s="6" t="s">
        <v>295</v>
      </c>
      <c r="F87" s="6">
        <v>678726</v>
      </c>
      <c r="G87" s="6" t="s">
        <v>31</v>
      </c>
      <c r="H87" s="6" t="s">
        <v>297</v>
      </c>
      <c r="I87" s="6" t="s">
        <v>33</v>
      </c>
      <c r="J87" s="6" t="s">
        <v>34</v>
      </c>
      <c r="K87" s="6" t="s">
        <v>220</v>
      </c>
      <c r="L87" s="6" t="s">
        <v>36</v>
      </c>
      <c r="M87" s="6"/>
      <c r="N87" s="7">
        <v>11</v>
      </c>
      <c r="O87" s="8">
        <v>4.07</v>
      </c>
    </row>
    <row r="88" spans="2:15" ht="24" customHeight="1" x14ac:dyDescent="0.3">
      <c r="B88" s="9" t="s">
        <v>27</v>
      </c>
      <c r="C88" s="9" t="s">
        <v>298</v>
      </c>
      <c r="D88" s="9" t="s">
        <v>299</v>
      </c>
      <c r="E88" s="9" t="s">
        <v>300</v>
      </c>
      <c r="F88" s="9">
        <v>653470</v>
      </c>
      <c r="G88" s="9" t="s">
        <v>2</v>
      </c>
      <c r="H88" s="9" t="s">
        <v>301</v>
      </c>
      <c r="I88" s="9" t="s">
        <v>33</v>
      </c>
      <c r="J88" s="9" t="s">
        <v>70</v>
      </c>
      <c r="K88" s="9" t="s">
        <v>108</v>
      </c>
      <c r="L88" s="9" t="s">
        <v>36</v>
      </c>
      <c r="M88" s="9"/>
      <c r="N88" s="10">
        <v>15</v>
      </c>
      <c r="O88" s="11">
        <v>5.55</v>
      </c>
    </row>
    <row r="89" spans="2:15" ht="24" customHeight="1" x14ac:dyDescent="0.3">
      <c r="B89" s="6" t="s">
        <v>27</v>
      </c>
      <c r="C89" s="6" t="s">
        <v>298</v>
      </c>
      <c r="D89" s="6" t="s">
        <v>299</v>
      </c>
      <c r="E89" s="6" t="s">
        <v>300</v>
      </c>
      <c r="F89" s="6">
        <v>653470</v>
      </c>
      <c r="G89" s="6" t="s">
        <v>2</v>
      </c>
      <c r="H89" s="6" t="s">
        <v>302</v>
      </c>
      <c r="I89" s="6" t="s">
        <v>72</v>
      </c>
      <c r="J89" s="6" t="s">
        <v>55</v>
      </c>
      <c r="K89" s="6" t="s">
        <v>108</v>
      </c>
      <c r="L89" s="6" t="s">
        <v>36</v>
      </c>
      <c r="M89" s="6"/>
      <c r="N89" s="7">
        <v>120</v>
      </c>
      <c r="O89" s="8">
        <v>28.8</v>
      </c>
    </row>
    <row r="90" spans="2:15" ht="24" customHeight="1" x14ac:dyDescent="0.3">
      <c r="B90" s="9" t="s">
        <v>27</v>
      </c>
      <c r="C90" s="9" t="s">
        <v>303</v>
      </c>
      <c r="D90" s="9" t="s">
        <v>304</v>
      </c>
      <c r="E90" s="9" t="s">
        <v>305</v>
      </c>
      <c r="F90" s="9">
        <v>820877</v>
      </c>
      <c r="G90" s="9" t="s">
        <v>179</v>
      </c>
      <c r="H90" s="9" t="s">
        <v>306</v>
      </c>
      <c r="I90" s="9" t="s">
        <v>96</v>
      </c>
      <c r="J90" s="9" t="s">
        <v>34</v>
      </c>
      <c r="K90" s="9" t="s">
        <v>108</v>
      </c>
      <c r="L90" s="9" t="s">
        <v>36</v>
      </c>
      <c r="M90" s="9"/>
      <c r="N90" s="10">
        <v>25</v>
      </c>
      <c r="O90" s="11">
        <v>8</v>
      </c>
    </row>
    <row r="91" spans="2:15" ht="24" customHeight="1" x14ac:dyDescent="0.3">
      <c r="B91" s="6" t="s">
        <v>27</v>
      </c>
      <c r="C91" s="6" t="s">
        <v>307</v>
      </c>
      <c r="D91" s="6" t="s">
        <v>308</v>
      </c>
      <c r="E91" s="6" t="s">
        <v>309</v>
      </c>
      <c r="F91" s="6">
        <v>711419</v>
      </c>
      <c r="G91" s="6" t="s">
        <v>250</v>
      </c>
      <c r="H91" s="6" t="s">
        <v>310</v>
      </c>
      <c r="I91" s="6" t="s">
        <v>33</v>
      </c>
      <c r="J91" s="6" t="s">
        <v>70</v>
      </c>
      <c r="K91" s="6" t="s">
        <v>108</v>
      </c>
      <c r="L91" s="6" t="s">
        <v>36</v>
      </c>
      <c r="M91" s="6"/>
      <c r="N91" s="7">
        <v>15</v>
      </c>
      <c r="O91" s="8">
        <v>0.45</v>
      </c>
    </row>
    <row r="92" spans="2:15" ht="24" customHeight="1" x14ac:dyDescent="0.3">
      <c r="B92" s="9" t="s">
        <v>27</v>
      </c>
      <c r="C92" s="9" t="s">
        <v>82</v>
      </c>
      <c r="D92" s="9" t="s">
        <v>83</v>
      </c>
      <c r="E92" s="9" t="s">
        <v>84</v>
      </c>
      <c r="F92" s="9">
        <v>891766</v>
      </c>
      <c r="G92" s="9" t="s">
        <v>85</v>
      </c>
      <c r="H92" s="9" t="s">
        <v>86</v>
      </c>
      <c r="I92" s="9" t="s">
        <v>80</v>
      </c>
      <c r="J92" s="9" t="s">
        <v>34</v>
      </c>
      <c r="K92" s="9" t="s">
        <v>108</v>
      </c>
      <c r="L92" s="9" t="s">
        <v>36</v>
      </c>
      <c r="M92" s="9"/>
      <c r="N92" s="10">
        <v>57</v>
      </c>
      <c r="O92" s="11">
        <v>13.68</v>
      </c>
    </row>
    <row r="93" spans="2:15" ht="24" customHeight="1" x14ac:dyDescent="0.3">
      <c r="B93" s="6" t="s">
        <v>27</v>
      </c>
      <c r="C93" s="6" t="s">
        <v>311</v>
      </c>
      <c r="D93" s="6" t="s">
        <v>312</v>
      </c>
      <c r="E93" s="6" t="s">
        <v>313</v>
      </c>
      <c r="F93" s="6">
        <v>798992</v>
      </c>
      <c r="G93" s="6" t="s">
        <v>198</v>
      </c>
      <c r="H93" s="6" t="s">
        <v>314</v>
      </c>
      <c r="I93" s="6" t="s">
        <v>238</v>
      </c>
      <c r="J93" s="6" t="s">
        <v>34</v>
      </c>
      <c r="K93" s="6" t="s">
        <v>108</v>
      </c>
      <c r="L93" s="6" t="s">
        <v>36</v>
      </c>
      <c r="M93" s="6"/>
      <c r="N93" s="7">
        <v>27</v>
      </c>
      <c r="O93" s="8">
        <v>6.48</v>
      </c>
    </row>
    <row r="94" spans="2:15" ht="24" customHeight="1" x14ac:dyDescent="0.3">
      <c r="B94" s="9" t="s">
        <v>27</v>
      </c>
      <c r="C94" s="9" t="s">
        <v>311</v>
      </c>
      <c r="D94" s="9" t="s">
        <v>312</v>
      </c>
      <c r="E94" s="9" t="s">
        <v>313</v>
      </c>
      <c r="F94" s="9">
        <v>798992</v>
      </c>
      <c r="G94" s="9" t="s">
        <v>198</v>
      </c>
      <c r="H94" s="9" t="s">
        <v>315</v>
      </c>
      <c r="I94" s="9" t="s">
        <v>33</v>
      </c>
      <c r="J94" s="9" t="s">
        <v>34</v>
      </c>
      <c r="K94" s="9" t="s">
        <v>108</v>
      </c>
      <c r="L94" s="9" t="s">
        <v>36</v>
      </c>
      <c r="M94" s="9"/>
      <c r="N94" s="10">
        <v>11</v>
      </c>
      <c r="O94" s="11">
        <v>4.07</v>
      </c>
    </row>
    <row r="95" spans="2:15" ht="24" customHeight="1" x14ac:dyDescent="0.3">
      <c r="B95" s="6" t="s">
        <v>27</v>
      </c>
      <c r="C95" s="6" t="s">
        <v>316</v>
      </c>
      <c r="D95" s="6" t="s">
        <v>317</v>
      </c>
      <c r="E95" s="6" t="s">
        <v>318</v>
      </c>
      <c r="F95" s="6">
        <v>759555</v>
      </c>
      <c r="G95" s="6" t="s">
        <v>40</v>
      </c>
      <c r="H95" s="6" t="s">
        <v>319</v>
      </c>
      <c r="I95" s="6" t="s">
        <v>149</v>
      </c>
      <c r="J95" s="6" t="s">
        <v>34</v>
      </c>
      <c r="K95" s="6" t="s">
        <v>108</v>
      </c>
      <c r="L95" s="6" t="s">
        <v>36</v>
      </c>
      <c r="M95" s="6"/>
      <c r="N95" s="7">
        <v>40</v>
      </c>
      <c r="O95" s="8">
        <v>9.6</v>
      </c>
    </row>
    <row r="96" spans="2:15" ht="24" customHeight="1" x14ac:dyDescent="0.3">
      <c r="B96" s="9" t="s">
        <v>27</v>
      </c>
      <c r="C96" s="9" t="s">
        <v>243</v>
      </c>
      <c r="D96" s="9" t="s">
        <v>244</v>
      </c>
      <c r="E96" s="9" t="s">
        <v>245</v>
      </c>
      <c r="F96" s="9">
        <v>678726</v>
      </c>
      <c r="G96" s="9" t="s">
        <v>31</v>
      </c>
      <c r="H96" s="9" t="s">
        <v>320</v>
      </c>
      <c r="I96" s="9" t="s">
        <v>238</v>
      </c>
      <c r="J96" s="9" t="s">
        <v>34</v>
      </c>
      <c r="K96" s="9" t="s">
        <v>220</v>
      </c>
      <c r="L96" s="9" t="s">
        <v>36</v>
      </c>
      <c r="M96" s="9"/>
      <c r="N96" s="10">
        <v>27</v>
      </c>
      <c r="O96" s="11">
        <v>6.48</v>
      </c>
    </row>
    <row r="97" spans="2:15" ht="24" customHeight="1" x14ac:dyDescent="0.3">
      <c r="B97" s="6" t="s">
        <v>27</v>
      </c>
      <c r="C97" s="6" t="s">
        <v>321</v>
      </c>
      <c r="D97" s="6" t="s">
        <v>322</v>
      </c>
      <c r="E97" s="6" t="s">
        <v>323</v>
      </c>
      <c r="F97" s="6">
        <v>781535</v>
      </c>
      <c r="G97" s="6" t="s">
        <v>106</v>
      </c>
      <c r="H97" s="6" t="s">
        <v>324</v>
      </c>
      <c r="I97" s="6" t="s">
        <v>33</v>
      </c>
      <c r="J97" s="6" t="s">
        <v>34</v>
      </c>
      <c r="K97" s="6" t="s">
        <v>108</v>
      </c>
      <c r="L97" s="6" t="s">
        <v>36</v>
      </c>
      <c r="M97" s="6"/>
      <c r="N97" s="7">
        <v>11</v>
      </c>
      <c r="O97" s="8">
        <v>4.07</v>
      </c>
    </row>
    <row r="98" spans="2:15" ht="24" customHeight="1" x14ac:dyDescent="0.3">
      <c r="B98" s="9" t="s">
        <v>27</v>
      </c>
      <c r="C98" s="9" t="s">
        <v>325</v>
      </c>
      <c r="D98" s="9" t="s">
        <v>326</v>
      </c>
      <c r="E98" s="9" t="s">
        <v>327</v>
      </c>
      <c r="F98" s="9">
        <v>764002</v>
      </c>
      <c r="G98" s="9" t="s">
        <v>117</v>
      </c>
      <c r="H98" s="9" t="s">
        <v>328</v>
      </c>
      <c r="I98" s="9" t="s">
        <v>127</v>
      </c>
      <c r="J98" s="9" t="s">
        <v>55</v>
      </c>
      <c r="K98" s="9" t="s">
        <v>108</v>
      </c>
      <c r="L98" s="9" t="s">
        <v>36</v>
      </c>
      <c r="M98" s="9"/>
      <c r="N98" s="10">
        <v>124</v>
      </c>
      <c r="O98" s="11">
        <v>29.76</v>
      </c>
    </row>
    <row r="99" spans="2:15" ht="24" customHeight="1" x14ac:dyDescent="0.3">
      <c r="B99" s="6" t="s">
        <v>27</v>
      </c>
      <c r="C99" s="6" t="s">
        <v>329</v>
      </c>
      <c r="D99" s="6" t="s">
        <v>330</v>
      </c>
      <c r="E99" s="6" t="s">
        <v>331</v>
      </c>
      <c r="F99" s="6">
        <v>798992</v>
      </c>
      <c r="G99" s="6" t="s">
        <v>198</v>
      </c>
      <c r="H99" s="6" t="s">
        <v>332</v>
      </c>
      <c r="I99" s="6" t="s">
        <v>33</v>
      </c>
      <c r="J99" s="6" t="s">
        <v>34</v>
      </c>
      <c r="K99" s="6" t="s">
        <v>108</v>
      </c>
      <c r="L99" s="6" t="s">
        <v>36</v>
      </c>
      <c r="M99" s="6"/>
      <c r="N99" s="7">
        <v>11</v>
      </c>
      <c r="O99" s="8">
        <v>4.07</v>
      </c>
    </row>
    <row r="100" spans="2:15" ht="24" customHeight="1" x14ac:dyDescent="0.3">
      <c r="B100" s="9" t="s">
        <v>27</v>
      </c>
      <c r="C100" s="9" t="s">
        <v>333</v>
      </c>
      <c r="D100" s="9" t="s">
        <v>334</v>
      </c>
      <c r="E100" s="9" t="s">
        <v>335</v>
      </c>
      <c r="F100" s="9">
        <v>798992</v>
      </c>
      <c r="G100" s="9" t="s">
        <v>198</v>
      </c>
      <c r="H100" s="9" t="s">
        <v>336</v>
      </c>
      <c r="I100" s="9" t="s">
        <v>72</v>
      </c>
      <c r="J100" s="9" t="s">
        <v>34</v>
      </c>
      <c r="K100" s="9" t="s">
        <v>108</v>
      </c>
      <c r="L100" s="9" t="s">
        <v>36</v>
      </c>
      <c r="M100" s="9"/>
      <c r="N100" s="10">
        <v>66</v>
      </c>
      <c r="O100" s="11">
        <v>15.84</v>
      </c>
    </row>
    <row r="101" spans="2:15" ht="24" customHeight="1" x14ac:dyDescent="0.3">
      <c r="B101" s="6" t="s">
        <v>27</v>
      </c>
      <c r="C101" s="6" t="s">
        <v>337</v>
      </c>
      <c r="D101" s="6" t="s">
        <v>338</v>
      </c>
      <c r="E101" s="6" t="s">
        <v>339</v>
      </c>
      <c r="F101" s="6">
        <v>678726</v>
      </c>
      <c r="G101" s="6" t="s">
        <v>31</v>
      </c>
      <c r="H101" s="6" t="s">
        <v>340</v>
      </c>
      <c r="I101" s="6" t="s">
        <v>155</v>
      </c>
      <c r="J101" s="6" t="s">
        <v>34</v>
      </c>
      <c r="K101" s="6" t="s">
        <v>108</v>
      </c>
      <c r="L101" s="6" t="s">
        <v>36</v>
      </c>
      <c r="M101" s="6"/>
      <c r="N101" s="7">
        <v>22</v>
      </c>
      <c r="O101" s="8">
        <v>5.28</v>
      </c>
    </row>
    <row r="102" spans="2:15" ht="24" customHeight="1" x14ac:dyDescent="0.3">
      <c r="B102" s="9" t="s">
        <v>27</v>
      </c>
      <c r="C102" s="9" t="s">
        <v>222</v>
      </c>
      <c r="D102" s="9" t="s">
        <v>223</v>
      </c>
      <c r="E102" s="9" t="s">
        <v>224</v>
      </c>
      <c r="F102" s="9">
        <v>759555</v>
      </c>
      <c r="G102" s="9" t="s">
        <v>40</v>
      </c>
      <c r="H102" s="9" t="s">
        <v>341</v>
      </c>
      <c r="I102" s="9" t="s">
        <v>77</v>
      </c>
      <c r="J102" s="9" t="s">
        <v>34</v>
      </c>
      <c r="K102" s="9" t="s">
        <v>220</v>
      </c>
      <c r="L102" s="9" t="s">
        <v>36</v>
      </c>
      <c r="M102" s="9"/>
      <c r="N102" s="10">
        <v>25</v>
      </c>
      <c r="O102" s="11">
        <v>6</v>
      </c>
    </row>
    <row r="103" spans="2:15" ht="24" customHeight="1" x14ac:dyDescent="0.3">
      <c r="B103" s="6" t="s">
        <v>27</v>
      </c>
      <c r="C103" s="6" t="s">
        <v>226</v>
      </c>
      <c r="D103" s="6" t="s">
        <v>227</v>
      </c>
      <c r="E103" s="6" t="s">
        <v>228</v>
      </c>
      <c r="F103" s="6">
        <v>759555</v>
      </c>
      <c r="G103" s="6" t="s">
        <v>40</v>
      </c>
      <c r="H103" s="6" t="s">
        <v>342</v>
      </c>
      <c r="I103" s="6" t="s">
        <v>33</v>
      </c>
      <c r="J103" s="6" t="s">
        <v>34</v>
      </c>
      <c r="K103" s="6" t="s">
        <v>220</v>
      </c>
      <c r="L103" s="6" t="s">
        <v>36</v>
      </c>
      <c r="M103" s="6"/>
      <c r="N103" s="7">
        <v>11</v>
      </c>
      <c r="O103" s="8">
        <v>4.07</v>
      </c>
    </row>
    <row r="104" spans="2:15" ht="24" customHeight="1" x14ac:dyDescent="0.3">
      <c r="B104" s="9" t="s">
        <v>27</v>
      </c>
      <c r="C104" s="9" t="s">
        <v>343</v>
      </c>
      <c r="D104" s="9" t="s">
        <v>244</v>
      </c>
      <c r="E104" s="9" t="s">
        <v>344</v>
      </c>
      <c r="F104" s="9">
        <v>759555</v>
      </c>
      <c r="G104" s="9" t="s">
        <v>40</v>
      </c>
      <c r="H104" s="9" t="s">
        <v>345</v>
      </c>
      <c r="I104" s="9" t="s">
        <v>33</v>
      </c>
      <c r="J104" s="9" t="s">
        <v>34</v>
      </c>
      <c r="K104" s="9" t="s">
        <v>220</v>
      </c>
      <c r="L104" s="9" t="s">
        <v>36</v>
      </c>
      <c r="M104" s="9"/>
      <c r="N104" s="10">
        <v>11</v>
      </c>
      <c r="O104" s="11">
        <v>4.07</v>
      </c>
    </row>
    <row r="105" spans="2:15" ht="24" customHeight="1" x14ac:dyDescent="0.3">
      <c r="B105" s="6" t="s">
        <v>27</v>
      </c>
      <c r="C105" s="6" t="s">
        <v>343</v>
      </c>
      <c r="D105" s="6" t="s">
        <v>244</v>
      </c>
      <c r="E105" s="6" t="s">
        <v>344</v>
      </c>
      <c r="F105" s="6">
        <v>759555</v>
      </c>
      <c r="G105" s="6" t="s">
        <v>40</v>
      </c>
      <c r="H105" s="6" t="s">
        <v>346</v>
      </c>
      <c r="I105" s="6" t="s">
        <v>54</v>
      </c>
      <c r="J105" s="6" t="s">
        <v>34</v>
      </c>
      <c r="K105" s="6" t="s">
        <v>220</v>
      </c>
      <c r="L105" s="6" t="s">
        <v>36</v>
      </c>
      <c r="M105" s="6"/>
      <c r="N105" s="7">
        <v>52</v>
      </c>
      <c r="O105" s="8">
        <v>12.48</v>
      </c>
    </row>
    <row r="106" spans="2:15" ht="24" customHeight="1" x14ac:dyDescent="0.3">
      <c r="B106" s="9" t="s">
        <v>27</v>
      </c>
      <c r="C106" s="9" t="s">
        <v>321</v>
      </c>
      <c r="D106" s="9" t="s">
        <v>322</v>
      </c>
      <c r="E106" s="9" t="s">
        <v>323</v>
      </c>
      <c r="F106" s="9">
        <v>781535</v>
      </c>
      <c r="G106" s="9" t="s">
        <v>106</v>
      </c>
      <c r="H106" s="9" t="s">
        <v>347</v>
      </c>
      <c r="I106" s="9" t="s">
        <v>72</v>
      </c>
      <c r="J106" s="9" t="s">
        <v>34</v>
      </c>
      <c r="K106" s="9" t="s">
        <v>108</v>
      </c>
      <c r="L106" s="9" t="s">
        <v>36</v>
      </c>
      <c r="M106" s="9"/>
      <c r="N106" s="10">
        <v>66</v>
      </c>
      <c r="O106" s="11">
        <v>15.84</v>
      </c>
    </row>
    <row r="107" spans="2:15" ht="24" customHeight="1" x14ac:dyDescent="0.3">
      <c r="B107" s="6" t="s">
        <v>27</v>
      </c>
      <c r="C107" s="6" t="s">
        <v>283</v>
      </c>
      <c r="D107" s="6" t="s">
        <v>284</v>
      </c>
      <c r="E107" s="6" t="s">
        <v>285</v>
      </c>
      <c r="F107" s="6">
        <v>655758</v>
      </c>
      <c r="G107" s="6" t="s">
        <v>286</v>
      </c>
      <c r="H107" s="6" t="s">
        <v>348</v>
      </c>
      <c r="I107" s="6" t="s">
        <v>33</v>
      </c>
      <c r="J107" s="6" t="s">
        <v>70</v>
      </c>
      <c r="K107" s="6" t="s">
        <v>278</v>
      </c>
      <c r="L107" s="6" t="s">
        <v>36</v>
      </c>
      <c r="M107" s="6"/>
      <c r="N107" s="7">
        <v>15</v>
      </c>
      <c r="O107" s="8">
        <v>5.55</v>
      </c>
    </row>
    <row r="108" spans="2:15" ht="24" customHeight="1" x14ac:dyDescent="0.3">
      <c r="B108" s="9" t="s">
        <v>27</v>
      </c>
      <c r="C108" s="9" t="s">
        <v>206</v>
      </c>
      <c r="D108" s="9" t="s">
        <v>207</v>
      </c>
      <c r="E108" s="9" t="s">
        <v>208</v>
      </c>
      <c r="F108" s="9">
        <v>678726</v>
      </c>
      <c r="G108" s="9" t="s">
        <v>31</v>
      </c>
      <c r="H108" s="9" t="s">
        <v>349</v>
      </c>
      <c r="I108" s="9" t="s">
        <v>238</v>
      </c>
      <c r="J108" s="9" t="s">
        <v>34</v>
      </c>
      <c r="K108" s="9" t="s">
        <v>138</v>
      </c>
      <c r="L108" s="9" t="s">
        <v>36</v>
      </c>
      <c r="M108" s="9"/>
      <c r="N108" s="10">
        <v>27</v>
      </c>
      <c r="O108" s="11">
        <v>6.48</v>
      </c>
    </row>
    <row r="109" spans="2:15" ht="24" customHeight="1" x14ac:dyDescent="0.3">
      <c r="B109" s="6" t="s">
        <v>27</v>
      </c>
      <c r="C109" s="6" t="s">
        <v>350</v>
      </c>
      <c r="D109" s="6" t="s">
        <v>351</v>
      </c>
      <c r="E109" s="6" t="s">
        <v>352</v>
      </c>
      <c r="F109" s="6">
        <v>760338</v>
      </c>
      <c r="G109" s="6" t="s">
        <v>168</v>
      </c>
      <c r="H109" s="6" t="s">
        <v>353</v>
      </c>
      <c r="I109" s="6" t="s">
        <v>33</v>
      </c>
      <c r="J109" s="6" t="s">
        <v>34</v>
      </c>
      <c r="K109" s="6" t="s">
        <v>354</v>
      </c>
      <c r="L109" s="6" t="s">
        <v>47</v>
      </c>
      <c r="M109" s="6" t="s">
        <v>48</v>
      </c>
      <c r="N109" s="7">
        <v>11</v>
      </c>
      <c r="O109" s="8">
        <v>-4.07</v>
      </c>
    </row>
    <row r="110" spans="2:15" ht="24" customHeight="1" x14ac:dyDescent="0.3">
      <c r="B110" s="9" t="s">
        <v>27</v>
      </c>
      <c r="C110" s="9" t="s">
        <v>355</v>
      </c>
      <c r="D110" s="9" t="s">
        <v>50</v>
      </c>
      <c r="E110" s="9" t="s">
        <v>356</v>
      </c>
      <c r="F110" s="9">
        <v>711419</v>
      </c>
      <c r="G110" s="9" t="s">
        <v>250</v>
      </c>
      <c r="H110" s="9" t="s">
        <v>357</v>
      </c>
      <c r="I110" s="9" t="s">
        <v>149</v>
      </c>
      <c r="J110" s="9" t="s">
        <v>34</v>
      </c>
      <c r="K110" s="9" t="s">
        <v>35</v>
      </c>
      <c r="L110" s="9" t="s">
        <v>36</v>
      </c>
      <c r="M110" s="9"/>
      <c r="N110" s="10">
        <v>40</v>
      </c>
      <c r="O110" s="11">
        <v>1.2</v>
      </c>
    </row>
    <row r="111" spans="2:15" ht="24" customHeight="1" x14ac:dyDescent="0.3">
      <c r="B111" s="6" t="s">
        <v>27</v>
      </c>
      <c r="C111" s="6" t="s">
        <v>358</v>
      </c>
      <c r="D111" s="6" t="s">
        <v>359</v>
      </c>
      <c r="E111" s="6" t="s">
        <v>360</v>
      </c>
      <c r="F111" s="6">
        <v>689390</v>
      </c>
      <c r="G111" s="6" t="s">
        <v>52</v>
      </c>
      <c r="H111" s="6" t="s">
        <v>361</v>
      </c>
      <c r="I111" s="6" t="s">
        <v>72</v>
      </c>
      <c r="J111" s="6" t="s">
        <v>34</v>
      </c>
      <c r="K111" s="6" t="s">
        <v>35</v>
      </c>
      <c r="L111" s="6" t="s">
        <v>36</v>
      </c>
      <c r="M111" s="6"/>
      <c r="N111" s="7">
        <v>60</v>
      </c>
      <c r="O111" s="8">
        <v>14.4</v>
      </c>
    </row>
    <row r="112" spans="2:15" ht="24" customHeight="1" x14ac:dyDescent="0.3">
      <c r="B112" s="9" t="s">
        <v>27</v>
      </c>
      <c r="C112" s="9" t="s">
        <v>362</v>
      </c>
      <c r="D112" s="9" t="s">
        <v>363</v>
      </c>
      <c r="E112" s="9" t="s">
        <v>364</v>
      </c>
      <c r="F112" s="9">
        <v>820877</v>
      </c>
      <c r="G112" s="9" t="s">
        <v>179</v>
      </c>
      <c r="H112" s="9" t="s">
        <v>365</v>
      </c>
      <c r="I112" s="9" t="s">
        <v>33</v>
      </c>
      <c r="J112" s="9" t="s">
        <v>34</v>
      </c>
      <c r="K112" s="9" t="s">
        <v>35</v>
      </c>
      <c r="L112" s="9" t="s">
        <v>36</v>
      </c>
      <c r="M112" s="9"/>
      <c r="N112" s="10">
        <v>11</v>
      </c>
      <c r="O112" s="11">
        <v>4.07</v>
      </c>
    </row>
    <row r="113" spans="2:15" ht="24" customHeight="1" x14ac:dyDescent="0.3">
      <c r="B113" s="6" t="s">
        <v>27</v>
      </c>
      <c r="C113" s="6" t="s">
        <v>366</v>
      </c>
      <c r="D113" s="6" t="s">
        <v>367</v>
      </c>
      <c r="E113" s="6" t="s">
        <v>368</v>
      </c>
      <c r="F113" s="6">
        <v>706472</v>
      </c>
      <c r="G113" s="6" t="s">
        <v>184</v>
      </c>
      <c r="H113" s="6" t="s">
        <v>369</v>
      </c>
      <c r="I113" s="6" t="s">
        <v>96</v>
      </c>
      <c r="J113" s="6" t="s">
        <v>34</v>
      </c>
      <c r="K113" s="6" t="s">
        <v>370</v>
      </c>
      <c r="L113" s="6" t="s">
        <v>36</v>
      </c>
      <c r="M113" s="6"/>
      <c r="N113" s="7">
        <v>30</v>
      </c>
      <c r="O113" s="8">
        <v>9.6</v>
      </c>
    </row>
    <row r="114" spans="2:15" ht="24" customHeight="1" x14ac:dyDescent="0.3">
      <c r="B114" s="9" t="s">
        <v>27</v>
      </c>
      <c r="C114" s="9" t="s">
        <v>371</v>
      </c>
      <c r="D114" s="9" t="s">
        <v>372</v>
      </c>
      <c r="E114" s="9" t="s">
        <v>373</v>
      </c>
      <c r="F114" s="9">
        <v>749876</v>
      </c>
      <c r="G114" s="9" t="s">
        <v>374</v>
      </c>
      <c r="H114" s="9" t="s">
        <v>375</v>
      </c>
      <c r="I114" s="9" t="s">
        <v>96</v>
      </c>
      <c r="J114" s="9" t="s">
        <v>34</v>
      </c>
      <c r="K114" s="9" t="s">
        <v>370</v>
      </c>
      <c r="L114" s="9" t="s">
        <v>36</v>
      </c>
      <c r="M114" s="9"/>
      <c r="N114" s="10">
        <v>25</v>
      </c>
      <c r="O114" s="11">
        <v>8</v>
      </c>
    </row>
    <row r="115" spans="2:15" ht="24" customHeight="1" x14ac:dyDescent="0.3">
      <c r="B115" s="6" t="s">
        <v>27</v>
      </c>
      <c r="C115" s="6" t="s">
        <v>376</v>
      </c>
      <c r="D115" s="6" t="s">
        <v>377</v>
      </c>
      <c r="E115" s="6" t="s">
        <v>378</v>
      </c>
      <c r="F115" s="6">
        <v>678726</v>
      </c>
      <c r="G115" s="6" t="s">
        <v>31</v>
      </c>
      <c r="H115" s="6" t="s">
        <v>379</v>
      </c>
      <c r="I115" s="6" t="s">
        <v>96</v>
      </c>
      <c r="J115" s="6" t="s">
        <v>34</v>
      </c>
      <c r="K115" s="6" t="s">
        <v>370</v>
      </c>
      <c r="L115" s="6" t="s">
        <v>36</v>
      </c>
      <c r="M115" s="6"/>
      <c r="N115" s="7">
        <v>25</v>
      </c>
      <c r="O115" s="8">
        <v>8</v>
      </c>
    </row>
    <row r="116" spans="2:15" ht="24" customHeight="1" x14ac:dyDescent="0.3">
      <c r="B116" s="9" t="s">
        <v>27</v>
      </c>
      <c r="C116" s="9" t="s">
        <v>376</v>
      </c>
      <c r="D116" s="9" t="s">
        <v>377</v>
      </c>
      <c r="E116" s="9" t="s">
        <v>378</v>
      </c>
      <c r="F116" s="9">
        <v>678726</v>
      </c>
      <c r="G116" s="9" t="s">
        <v>31</v>
      </c>
      <c r="H116" s="9" t="s">
        <v>380</v>
      </c>
      <c r="I116" s="9" t="s">
        <v>33</v>
      </c>
      <c r="J116" s="9" t="s">
        <v>34</v>
      </c>
      <c r="K116" s="9" t="s">
        <v>370</v>
      </c>
      <c r="L116" s="9" t="s">
        <v>36</v>
      </c>
      <c r="M116" s="9"/>
      <c r="N116" s="10">
        <v>11</v>
      </c>
      <c r="O116" s="11">
        <v>4.07</v>
      </c>
    </row>
    <row r="117" spans="2:15" ht="24" customHeight="1" x14ac:dyDescent="0.3">
      <c r="B117" s="6" t="s">
        <v>27</v>
      </c>
      <c r="C117" s="6" t="s">
        <v>381</v>
      </c>
      <c r="D117" s="6" t="s">
        <v>382</v>
      </c>
      <c r="E117" s="6" t="s">
        <v>383</v>
      </c>
      <c r="F117" s="6">
        <v>678726</v>
      </c>
      <c r="G117" s="6" t="s">
        <v>31</v>
      </c>
      <c r="H117" s="6" t="s">
        <v>384</v>
      </c>
      <c r="I117" s="6" t="s">
        <v>96</v>
      </c>
      <c r="J117" s="6" t="s">
        <v>34</v>
      </c>
      <c r="K117" s="6" t="s">
        <v>370</v>
      </c>
      <c r="L117" s="6" t="s">
        <v>36</v>
      </c>
      <c r="M117" s="6"/>
      <c r="N117" s="7">
        <v>25</v>
      </c>
      <c r="O117" s="8">
        <v>8</v>
      </c>
    </row>
    <row r="118" spans="2:15" ht="24" customHeight="1" x14ac:dyDescent="0.3">
      <c r="B118" s="9" t="s">
        <v>27</v>
      </c>
      <c r="C118" s="9" t="s">
        <v>355</v>
      </c>
      <c r="D118" s="9" t="s">
        <v>50</v>
      </c>
      <c r="E118" s="9" t="s">
        <v>356</v>
      </c>
      <c r="F118" s="9">
        <v>711419</v>
      </c>
      <c r="G118" s="9" t="s">
        <v>250</v>
      </c>
      <c r="H118" s="9" t="s">
        <v>385</v>
      </c>
      <c r="I118" s="9" t="s">
        <v>33</v>
      </c>
      <c r="J118" s="9" t="s">
        <v>34</v>
      </c>
      <c r="K118" s="9" t="s">
        <v>35</v>
      </c>
      <c r="L118" s="9" t="s">
        <v>36</v>
      </c>
      <c r="M118" s="9"/>
      <c r="N118" s="10">
        <v>11</v>
      </c>
      <c r="O118" s="11">
        <v>0.33</v>
      </c>
    </row>
    <row r="119" spans="2:15" ht="24" customHeight="1" x14ac:dyDescent="0.3">
      <c r="B119" s="6" t="s">
        <v>27</v>
      </c>
      <c r="C119" s="6" t="s">
        <v>386</v>
      </c>
      <c r="D119" s="6" t="s">
        <v>387</v>
      </c>
      <c r="E119" s="6" t="s">
        <v>388</v>
      </c>
      <c r="F119" s="6">
        <v>678726</v>
      </c>
      <c r="G119" s="6" t="s">
        <v>31</v>
      </c>
      <c r="H119" s="6" t="s">
        <v>389</v>
      </c>
      <c r="I119" s="6" t="s">
        <v>96</v>
      </c>
      <c r="J119" s="6" t="s">
        <v>34</v>
      </c>
      <c r="K119" s="6" t="s">
        <v>390</v>
      </c>
      <c r="L119" s="6" t="s">
        <v>36</v>
      </c>
      <c r="M119" s="6"/>
      <c r="N119" s="7">
        <v>30</v>
      </c>
      <c r="O119" s="8">
        <v>9.6</v>
      </c>
    </row>
    <row r="120" spans="2:15" ht="24" customHeight="1" x14ac:dyDescent="0.3">
      <c r="B120" s="9" t="s">
        <v>27</v>
      </c>
      <c r="C120" s="9" t="s">
        <v>391</v>
      </c>
      <c r="D120" s="9" t="s">
        <v>392</v>
      </c>
      <c r="E120" s="9" t="s">
        <v>356</v>
      </c>
      <c r="F120" s="9">
        <v>711419</v>
      </c>
      <c r="G120" s="9" t="s">
        <v>250</v>
      </c>
      <c r="H120" s="9" t="s">
        <v>393</v>
      </c>
      <c r="I120" s="9" t="s">
        <v>33</v>
      </c>
      <c r="J120" s="9" t="s">
        <v>34</v>
      </c>
      <c r="K120" s="9" t="s">
        <v>390</v>
      </c>
      <c r="L120" s="9" t="s">
        <v>36</v>
      </c>
      <c r="M120" s="9"/>
      <c r="N120" s="10">
        <v>11</v>
      </c>
      <c r="O120" s="11">
        <v>0.33</v>
      </c>
    </row>
    <row r="121" spans="2:15" ht="24" customHeight="1" x14ac:dyDescent="0.3">
      <c r="B121" s="6" t="s">
        <v>27</v>
      </c>
      <c r="C121" s="6" t="s">
        <v>394</v>
      </c>
      <c r="D121" s="6" t="s">
        <v>395</v>
      </c>
      <c r="E121" s="6" t="s">
        <v>396</v>
      </c>
      <c r="F121" s="6">
        <v>759555</v>
      </c>
      <c r="G121" s="6" t="s">
        <v>40</v>
      </c>
      <c r="H121" s="6" t="s">
        <v>397</v>
      </c>
      <c r="I121" s="6" t="s">
        <v>33</v>
      </c>
      <c r="J121" s="6" t="s">
        <v>34</v>
      </c>
      <c r="K121" s="6" t="s">
        <v>398</v>
      </c>
      <c r="L121" s="6" t="s">
        <v>36</v>
      </c>
      <c r="M121" s="6"/>
      <c r="N121" s="7">
        <v>11</v>
      </c>
      <c r="O121" s="8">
        <v>4.07</v>
      </c>
    </row>
    <row r="122" spans="2:15" ht="24" customHeight="1" x14ac:dyDescent="0.3">
      <c r="B122" s="9" t="s">
        <v>27</v>
      </c>
      <c r="C122" s="9" t="s">
        <v>394</v>
      </c>
      <c r="D122" s="9" t="s">
        <v>395</v>
      </c>
      <c r="E122" s="9" t="s">
        <v>396</v>
      </c>
      <c r="F122" s="9">
        <v>759555</v>
      </c>
      <c r="G122" s="9" t="s">
        <v>40</v>
      </c>
      <c r="H122" s="9" t="s">
        <v>399</v>
      </c>
      <c r="I122" s="9" t="s">
        <v>149</v>
      </c>
      <c r="J122" s="9" t="s">
        <v>34</v>
      </c>
      <c r="K122" s="9" t="s">
        <v>398</v>
      </c>
      <c r="L122" s="9" t="s">
        <v>36</v>
      </c>
      <c r="M122" s="9"/>
      <c r="N122" s="10">
        <v>40</v>
      </c>
      <c r="O122" s="11">
        <v>9.6</v>
      </c>
    </row>
    <row r="123" spans="2:15" ht="24" customHeight="1" x14ac:dyDescent="0.3">
      <c r="B123" s="6" t="s">
        <v>27</v>
      </c>
      <c r="C123" s="6" t="s">
        <v>400</v>
      </c>
      <c r="D123" s="6" t="s">
        <v>244</v>
      </c>
      <c r="E123" s="6" t="s">
        <v>344</v>
      </c>
      <c r="F123" s="6">
        <v>759555</v>
      </c>
      <c r="G123" s="6" t="s">
        <v>40</v>
      </c>
      <c r="H123" s="6" t="s">
        <v>401</v>
      </c>
      <c r="I123" s="6" t="s">
        <v>33</v>
      </c>
      <c r="J123" s="6" t="s">
        <v>34</v>
      </c>
      <c r="K123" s="6" t="s">
        <v>398</v>
      </c>
      <c r="L123" s="6" t="s">
        <v>36</v>
      </c>
      <c r="M123" s="6"/>
      <c r="N123" s="7">
        <v>11</v>
      </c>
      <c r="O123" s="8">
        <v>4.07</v>
      </c>
    </row>
    <row r="124" spans="2:15" ht="24" customHeight="1" x14ac:dyDescent="0.3">
      <c r="B124" s="9" t="s">
        <v>27</v>
      </c>
      <c r="C124" s="9" t="s">
        <v>400</v>
      </c>
      <c r="D124" s="9" t="s">
        <v>244</v>
      </c>
      <c r="E124" s="9" t="s">
        <v>344</v>
      </c>
      <c r="F124" s="9">
        <v>759555</v>
      </c>
      <c r="G124" s="9" t="s">
        <v>40</v>
      </c>
      <c r="H124" s="9" t="s">
        <v>402</v>
      </c>
      <c r="I124" s="9" t="s">
        <v>54</v>
      </c>
      <c r="J124" s="9" t="s">
        <v>34</v>
      </c>
      <c r="K124" s="9" t="s">
        <v>398</v>
      </c>
      <c r="L124" s="9" t="s">
        <v>36</v>
      </c>
      <c r="M124" s="9"/>
      <c r="N124" s="10">
        <v>52</v>
      </c>
      <c r="O124" s="11">
        <v>12.48</v>
      </c>
    </row>
    <row r="125" spans="2:15" ht="24" customHeight="1" x14ac:dyDescent="0.3">
      <c r="B125" s="6" t="s">
        <v>27</v>
      </c>
      <c r="C125" s="6" t="s">
        <v>403</v>
      </c>
      <c r="D125" s="6" t="s">
        <v>404</v>
      </c>
      <c r="E125" s="6" t="s">
        <v>405</v>
      </c>
      <c r="F125" s="6">
        <v>678726</v>
      </c>
      <c r="G125" s="6" t="s">
        <v>31</v>
      </c>
      <c r="H125" s="6" t="s">
        <v>406</v>
      </c>
      <c r="I125" s="6" t="s">
        <v>96</v>
      </c>
      <c r="J125" s="6" t="s">
        <v>34</v>
      </c>
      <c r="K125" s="6" t="s">
        <v>398</v>
      </c>
      <c r="L125" s="6" t="s">
        <v>36</v>
      </c>
      <c r="M125" s="6"/>
      <c r="N125" s="7">
        <v>25</v>
      </c>
      <c r="O125" s="8">
        <v>8</v>
      </c>
    </row>
    <row r="126" spans="2:15" ht="24" customHeight="1" x14ac:dyDescent="0.3">
      <c r="B126" s="9" t="s">
        <v>27</v>
      </c>
      <c r="C126" s="9" t="s">
        <v>407</v>
      </c>
      <c r="D126" s="9" t="s">
        <v>408</v>
      </c>
      <c r="E126" s="9" t="s">
        <v>409</v>
      </c>
      <c r="F126" s="9">
        <v>653470</v>
      </c>
      <c r="G126" s="9" t="s">
        <v>2</v>
      </c>
      <c r="H126" s="9" t="s">
        <v>410</v>
      </c>
      <c r="I126" s="9" t="s">
        <v>411</v>
      </c>
      <c r="J126" s="9" t="s">
        <v>34</v>
      </c>
      <c r="K126" s="9" t="s">
        <v>398</v>
      </c>
      <c r="L126" s="9" t="s">
        <v>36</v>
      </c>
      <c r="M126" s="9"/>
      <c r="N126" s="10">
        <v>18</v>
      </c>
      <c r="O126" s="11">
        <v>5.76</v>
      </c>
    </row>
    <row r="127" spans="2:15" ht="24" customHeight="1" x14ac:dyDescent="0.3">
      <c r="B127" s="6" t="s">
        <v>27</v>
      </c>
      <c r="C127" s="6" t="s">
        <v>412</v>
      </c>
      <c r="D127" s="6" t="s">
        <v>413</v>
      </c>
      <c r="E127" s="6" t="s">
        <v>414</v>
      </c>
      <c r="F127" s="6">
        <v>760338</v>
      </c>
      <c r="G127" s="6" t="s">
        <v>168</v>
      </c>
      <c r="H127" s="6" t="s">
        <v>415</v>
      </c>
      <c r="I127" s="6" t="s">
        <v>77</v>
      </c>
      <c r="J127" s="6" t="s">
        <v>34</v>
      </c>
      <c r="K127" s="6" t="s">
        <v>398</v>
      </c>
      <c r="L127" s="6" t="s">
        <v>36</v>
      </c>
      <c r="M127" s="6"/>
      <c r="N127" s="7">
        <v>25</v>
      </c>
      <c r="O127" s="8">
        <v>6</v>
      </c>
    </row>
    <row r="128" spans="2:15" ht="24" customHeight="1" x14ac:dyDescent="0.3">
      <c r="B128" s="9" t="s">
        <v>27</v>
      </c>
      <c r="C128" s="9" t="s">
        <v>391</v>
      </c>
      <c r="D128" s="9" t="s">
        <v>392</v>
      </c>
      <c r="E128" s="9" t="s">
        <v>356</v>
      </c>
      <c r="F128" s="9">
        <v>711419</v>
      </c>
      <c r="G128" s="9" t="s">
        <v>250</v>
      </c>
      <c r="H128" s="9" t="s">
        <v>416</v>
      </c>
      <c r="I128" s="9" t="s">
        <v>149</v>
      </c>
      <c r="J128" s="9" t="s">
        <v>34</v>
      </c>
      <c r="K128" s="9" t="s">
        <v>390</v>
      </c>
      <c r="L128" s="9" t="s">
        <v>36</v>
      </c>
      <c r="M128" s="9"/>
      <c r="N128" s="10">
        <v>40</v>
      </c>
      <c r="O128" s="11">
        <v>1.2</v>
      </c>
    </row>
    <row r="129" spans="2:15" ht="24" customHeight="1" x14ac:dyDescent="0.3">
      <c r="B129" s="6" t="s">
        <v>27</v>
      </c>
      <c r="C129" s="6" t="s">
        <v>417</v>
      </c>
      <c r="D129" s="6" t="s">
        <v>182</v>
      </c>
      <c r="E129" s="6" t="s">
        <v>418</v>
      </c>
      <c r="F129" s="6">
        <v>678726</v>
      </c>
      <c r="G129" s="6" t="s">
        <v>31</v>
      </c>
      <c r="H129" s="6" t="s">
        <v>419</v>
      </c>
      <c r="I129" s="6" t="s">
        <v>96</v>
      </c>
      <c r="J129" s="6" t="s">
        <v>34</v>
      </c>
      <c r="K129" s="6" t="s">
        <v>398</v>
      </c>
      <c r="L129" s="6" t="s">
        <v>36</v>
      </c>
      <c r="M129" s="6"/>
      <c r="N129" s="7">
        <v>25</v>
      </c>
      <c r="O129" s="8">
        <v>8</v>
      </c>
    </row>
    <row r="130" spans="2:15" ht="24" customHeight="1" x14ac:dyDescent="0.3">
      <c r="B130" s="9" t="s">
        <v>27</v>
      </c>
      <c r="C130" s="9" t="s">
        <v>420</v>
      </c>
      <c r="D130" s="9" t="s">
        <v>421</v>
      </c>
      <c r="E130" s="9" t="s">
        <v>422</v>
      </c>
      <c r="F130" s="9">
        <v>798992</v>
      </c>
      <c r="G130" s="9" t="s">
        <v>198</v>
      </c>
      <c r="H130" s="9" t="s">
        <v>423</v>
      </c>
      <c r="I130" s="9" t="s">
        <v>33</v>
      </c>
      <c r="J130" s="9" t="s">
        <v>34</v>
      </c>
      <c r="K130" s="9" t="s">
        <v>35</v>
      </c>
      <c r="L130" s="9" t="s">
        <v>36</v>
      </c>
      <c r="M130" s="9"/>
      <c r="N130" s="10">
        <v>11</v>
      </c>
      <c r="O130" s="11">
        <v>4.07</v>
      </c>
    </row>
    <row r="131" spans="2:15" ht="24" customHeight="1" x14ac:dyDescent="0.3">
      <c r="B131" s="6" t="s">
        <v>27</v>
      </c>
      <c r="C131" s="6" t="s">
        <v>420</v>
      </c>
      <c r="D131" s="6" t="s">
        <v>421</v>
      </c>
      <c r="E131" s="6" t="s">
        <v>422</v>
      </c>
      <c r="F131" s="6">
        <v>798992</v>
      </c>
      <c r="G131" s="6" t="s">
        <v>198</v>
      </c>
      <c r="H131" s="6" t="s">
        <v>424</v>
      </c>
      <c r="I131" s="6" t="s">
        <v>72</v>
      </c>
      <c r="J131" s="6" t="s">
        <v>34</v>
      </c>
      <c r="K131" s="6" t="s">
        <v>35</v>
      </c>
      <c r="L131" s="6" t="s">
        <v>36</v>
      </c>
      <c r="M131" s="6"/>
      <c r="N131" s="7">
        <v>72</v>
      </c>
      <c r="O131" s="8">
        <v>17.28</v>
      </c>
    </row>
    <row r="132" spans="2:15" ht="24" customHeight="1" x14ac:dyDescent="0.3">
      <c r="B132" s="9" t="s">
        <v>27</v>
      </c>
      <c r="C132" s="9" t="s">
        <v>425</v>
      </c>
      <c r="D132" s="9" t="s">
        <v>426</v>
      </c>
      <c r="E132" s="9" t="s">
        <v>427</v>
      </c>
      <c r="F132" s="9">
        <v>678726</v>
      </c>
      <c r="G132" s="9" t="s">
        <v>31</v>
      </c>
      <c r="H132" s="9" t="s">
        <v>428</v>
      </c>
      <c r="I132" s="9" t="s">
        <v>96</v>
      </c>
      <c r="J132" s="9" t="s">
        <v>34</v>
      </c>
      <c r="K132" s="9" t="s">
        <v>35</v>
      </c>
      <c r="L132" s="9" t="s">
        <v>36</v>
      </c>
      <c r="M132" s="9"/>
      <c r="N132" s="10">
        <v>31.13</v>
      </c>
      <c r="O132" s="11">
        <v>9.9600000000000009</v>
      </c>
    </row>
    <row r="133" spans="2:15" ht="24" customHeight="1" x14ac:dyDescent="0.3">
      <c r="B133" s="6" t="s">
        <v>27</v>
      </c>
      <c r="C133" s="6" t="s">
        <v>429</v>
      </c>
      <c r="D133" s="6" t="s">
        <v>430</v>
      </c>
      <c r="E133" s="6" t="s">
        <v>431</v>
      </c>
      <c r="F133" s="6">
        <v>678726</v>
      </c>
      <c r="G133" s="6" t="s">
        <v>31</v>
      </c>
      <c r="H133" s="6" t="s">
        <v>432</v>
      </c>
      <c r="I133" s="6" t="s">
        <v>54</v>
      </c>
      <c r="J133" s="6" t="s">
        <v>215</v>
      </c>
      <c r="K133" s="6" t="s">
        <v>35</v>
      </c>
      <c r="L133" s="6" t="s">
        <v>36</v>
      </c>
      <c r="M133" s="6"/>
      <c r="N133" s="7">
        <v>97</v>
      </c>
      <c r="O133" s="8">
        <v>23.28</v>
      </c>
    </row>
    <row r="134" spans="2:15" ht="24" customHeight="1" x14ac:dyDescent="0.3">
      <c r="B134" s="9" t="s">
        <v>27</v>
      </c>
      <c r="C134" s="9" t="s">
        <v>274</v>
      </c>
      <c r="D134" s="9" t="s">
        <v>275</v>
      </c>
      <c r="E134" s="9" t="s">
        <v>276</v>
      </c>
      <c r="F134" s="9">
        <v>678726</v>
      </c>
      <c r="G134" s="9" t="s">
        <v>31</v>
      </c>
      <c r="H134" s="9" t="s">
        <v>277</v>
      </c>
      <c r="I134" s="9" t="s">
        <v>96</v>
      </c>
      <c r="J134" s="9" t="s">
        <v>55</v>
      </c>
      <c r="K134" s="9" t="s">
        <v>35</v>
      </c>
      <c r="L134" s="9" t="s">
        <v>36</v>
      </c>
      <c r="M134" s="9"/>
      <c r="N134" s="10">
        <v>50</v>
      </c>
      <c r="O134" s="11">
        <v>16</v>
      </c>
    </row>
    <row r="135" spans="2:15" ht="24" customHeight="1" x14ac:dyDescent="0.3">
      <c r="B135" s="6" t="s">
        <v>27</v>
      </c>
      <c r="C135" s="6" t="s">
        <v>433</v>
      </c>
      <c r="D135" s="6" t="s">
        <v>434</v>
      </c>
      <c r="E135" s="6" t="s">
        <v>435</v>
      </c>
      <c r="F135" s="6">
        <v>689390</v>
      </c>
      <c r="G135" s="6" t="s">
        <v>52</v>
      </c>
      <c r="H135" s="6" t="s">
        <v>436</v>
      </c>
      <c r="I135" s="6" t="s">
        <v>72</v>
      </c>
      <c r="J135" s="6" t="s">
        <v>34</v>
      </c>
      <c r="K135" s="6" t="s">
        <v>35</v>
      </c>
      <c r="L135" s="6" t="s">
        <v>36</v>
      </c>
      <c r="M135" s="6"/>
      <c r="N135" s="7">
        <v>74</v>
      </c>
      <c r="O135" s="8">
        <v>17.760000000000002</v>
      </c>
    </row>
    <row r="136" spans="2:15" ht="24" customHeight="1" x14ac:dyDescent="0.3">
      <c r="B136" s="9" t="s">
        <v>27</v>
      </c>
      <c r="C136" s="9" t="s">
        <v>425</v>
      </c>
      <c r="D136" s="9" t="s">
        <v>426</v>
      </c>
      <c r="E136" s="9" t="s">
        <v>427</v>
      </c>
      <c r="F136" s="9">
        <v>678726</v>
      </c>
      <c r="G136" s="9" t="s">
        <v>31</v>
      </c>
      <c r="H136" s="9" t="s">
        <v>437</v>
      </c>
      <c r="I136" s="9" t="s">
        <v>33</v>
      </c>
      <c r="J136" s="9" t="s">
        <v>34</v>
      </c>
      <c r="K136" s="9" t="s">
        <v>35</v>
      </c>
      <c r="L136" s="9" t="s">
        <v>36</v>
      </c>
      <c r="M136" s="9"/>
      <c r="N136" s="10">
        <v>11</v>
      </c>
      <c r="O136" s="11">
        <v>4.07</v>
      </c>
    </row>
    <row r="137" spans="2:15" ht="24" customHeight="1" x14ac:dyDescent="0.3">
      <c r="B137" s="6" t="s">
        <v>27</v>
      </c>
      <c r="C137" s="6" t="s">
        <v>429</v>
      </c>
      <c r="D137" s="6" t="s">
        <v>430</v>
      </c>
      <c r="E137" s="6" t="s">
        <v>431</v>
      </c>
      <c r="F137" s="6">
        <v>678726</v>
      </c>
      <c r="G137" s="6" t="s">
        <v>31</v>
      </c>
      <c r="H137" s="6" t="s">
        <v>438</v>
      </c>
      <c r="I137" s="6" t="s">
        <v>33</v>
      </c>
      <c r="J137" s="6" t="s">
        <v>78</v>
      </c>
      <c r="K137" s="6" t="s">
        <v>35</v>
      </c>
      <c r="L137" s="6" t="s">
        <v>36</v>
      </c>
      <c r="M137" s="6"/>
      <c r="N137" s="7">
        <v>20</v>
      </c>
      <c r="O137" s="8">
        <v>7.4</v>
      </c>
    </row>
    <row r="138" spans="2:15" ht="24" customHeight="1" x14ac:dyDescent="0.3">
      <c r="B138" s="9" t="s">
        <v>27</v>
      </c>
      <c r="C138" s="9" t="s">
        <v>439</v>
      </c>
      <c r="D138" s="9" t="s">
        <v>308</v>
      </c>
      <c r="E138" s="9" t="s">
        <v>440</v>
      </c>
      <c r="F138" s="9">
        <v>655758</v>
      </c>
      <c r="G138" s="9" t="s">
        <v>286</v>
      </c>
      <c r="H138" s="9" t="s">
        <v>441</v>
      </c>
      <c r="I138" s="9" t="s">
        <v>155</v>
      </c>
      <c r="J138" s="9" t="s">
        <v>34</v>
      </c>
      <c r="K138" s="9" t="s">
        <v>35</v>
      </c>
      <c r="L138" s="9" t="s">
        <v>36</v>
      </c>
      <c r="M138" s="9"/>
      <c r="N138" s="10">
        <v>22</v>
      </c>
      <c r="O138" s="11">
        <v>5.28</v>
      </c>
    </row>
    <row r="139" spans="2:15" ht="24" customHeight="1" x14ac:dyDescent="0.3">
      <c r="B139" s="6" t="s">
        <v>27</v>
      </c>
      <c r="C139" s="6" t="s">
        <v>442</v>
      </c>
      <c r="D139" s="6" t="s">
        <v>443</v>
      </c>
      <c r="E139" s="6" t="s">
        <v>444</v>
      </c>
      <c r="F139" s="6">
        <v>689390</v>
      </c>
      <c r="G139" s="6" t="s">
        <v>52</v>
      </c>
      <c r="H139" s="6" t="s">
        <v>445</v>
      </c>
      <c r="I139" s="6" t="s">
        <v>72</v>
      </c>
      <c r="J139" s="6" t="s">
        <v>34</v>
      </c>
      <c r="K139" s="6" t="s">
        <v>35</v>
      </c>
      <c r="L139" s="6" t="s">
        <v>36</v>
      </c>
      <c r="M139" s="6"/>
      <c r="N139" s="7">
        <v>71</v>
      </c>
      <c r="O139" s="8">
        <v>17.04</v>
      </c>
    </row>
    <row r="140" spans="2:15" ht="24" customHeight="1" x14ac:dyDescent="0.3">
      <c r="B140" s="9" t="s">
        <v>27</v>
      </c>
      <c r="C140" s="9" t="s">
        <v>446</v>
      </c>
      <c r="D140" s="9" t="s">
        <v>447</v>
      </c>
      <c r="E140" s="9" t="s">
        <v>448</v>
      </c>
      <c r="F140" s="9">
        <v>798992</v>
      </c>
      <c r="G140" s="9" t="s">
        <v>198</v>
      </c>
      <c r="H140" s="9" t="s">
        <v>449</v>
      </c>
      <c r="I140" s="9" t="s">
        <v>33</v>
      </c>
      <c r="J140" s="9" t="s">
        <v>34</v>
      </c>
      <c r="K140" s="9" t="s">
        <v>35</v>
      </c>
      <c r="L140" s="9" t="s">
        <v>36</v>
      </c>
      <c r="M140" s="9"/>
      <c r="N140" s="10">
        <v>11</v>
      </c>
      <c r="O140" s="11">
        <v>4.07</v>
      </c>
    </row>
    <row r="141" spans="2:15" ht="24" customHeight="1" x14ac:dyDescent="0.3">
      <c r="B141" s="6" t="s">
        <v>27</v>
      </c>
      <c r="C141" s="6" t="s">
        <v>450</v>
      </c>
      <c r="D141" s="6" t="s">
        <v>451</v>
      </c>
      <c r="E141" s="6" t="s">
        <v>208</v>
      </c>
      <c r="F141" s="6">
        <v>678726</v>
      </c>
      <c r="G141" s="6" t="s">
        <v>31</v>
      </c>
      <c r="H141" s="6" t="s">
        <v>452</v>
      </c>
      <c r="I141" s="6" t="s">
        <v>33</v>
      </c>
      <c r="J141" s="6" t="s">
        <v>70</v>
      </c>
      <c r="K141" s="6" t="s">
        <v>35</v>
      </c>
      <c r="L141" s="6" t="s">
        <v>36</v>
      </c>
      <c r="M141" s="6"/>
      <c r="N141" s="7">
        <v>15</v>
      </c>
      <c r="O141" s="8">
        <v>5.55</v>
      </c>
    </row>
    <row r="142" spans="2:15" ht="24" customHeight="1" x14ac:dyDescent="0.3">
      <c r="B142" s="9" t="s">
        <v>27</v>
      </c>
      <c r="C142" s="9" t="s">
        <v>337</v>
      </c>
      <c r="D142" s="9" t="s">
        <v>338</v>
      </c>
      <c r="E142" s="9" t="s">
        <v>339</v>
      </c>
      <c r="F142" s="9">
        <v>678726</v>
      </c>
      <c r="G142" s="9" t="s">
        <v>31</v>
      </c>
      <c r="H142" s="9" t="s">
        <v>340</v>
      </c>
      <c r="I142" s="9" t="s">
        <v>155</v>
      </c>
      <c r="J142" s="9" t="s">
        <v>34</v>
      </c>
      <c r="K142" s="9" t="s">
        <v>35</v>
      </c>
      <c r="L142" s="9" t="s">
        <v>36</v>
      </c>
      <c r="M142" s="9"/>
      <c r="N142" s="10">
        <v>22</v>
      </c>
      <c r="O142" s="11">
        <v>5.28</v>
      </c>
    </row>
    <row r="143" spans="2:15" ht="24" customHeight="1" x14ac:dyDescent="0.3">
      <c r="B143" s="6" t="s">
        <v>27</v>
      </c>
      <c r="C143" s="6" t="s">
        <v>453</v>
      </c>
      <c r="D143" s="6" t="s">
        <v>454</v>
      </c>
      <c r="E143" s="6" t="s">
        <v>323</v>
      </c>
      <c r="F143" s="6">
        <v>759555</v>
      </c>
      <c r="G143" s="6" t="s">
        <v>40</v>
      </c>
      <c r="H143" s="6" t="s">
        <v>455</v>
      </c>
      <c r="I143" s="6" t="s">
        <v>33</v>
      </c>
      <c r="J143" s="6" t="s">
        <v>34</v>
      </c>
      <c r="K143" s="6" t="s">
        <v>35</v>
      </c>
      <c r="L143" s="6" t="s">
        <v>36</v>
      </c>
      <c r="M143" s="6"/>
      <c r="N143" s="7">
        <v>11</v>
      </c>
      <c r="O143" s="8">
        <v>4.07</v>
      </c>
    </row>
    <row r="144" spans="2:15" ht="24" customHeight="1" x14ac:dyDescent="0.3">
      <c r="B144" s="9" t="s">
        <v>27</v>
      </c>
      <c r="C144" s="9" t="s">
        <v>450</v>
      </c>
      <c r="D144" s="9" t="s">
        <v>451</v>
      </c>
      <c r="E144" s="9" t="s">
        <v>208</v>
      </c>
      <c r="F144" s="9">
        <v>678726</v>
      </c>
      <c r="G144" s="9" t="s">
        <v>31</v>
      </c>
      <c r="H144" s="9" t="s">
        <v>456</v>
      </c>
      <c r="I144" s="9" t="s">
        <v>96</v>
      </c>
      <c r="J144" s="9" t="s">
        <v>55</v>
      </c>
      <c r="K144" s="9" t="s">
        <v>35</v>
      </c>
      <c r="L144" s="9" t="s">
        <v>36</v>
      </c>
      <c r="M144" s="9"/>
      <c r="N144" s="10">
        <v>50</v>
      </c>
      <c r="O144" s="11">
        <v>16</v>
      </c>
    </row>
    <row r="145" spans="2:15" ht="24" customHeight="1" x14ac:dyDescent="0.3">
      <c r="B145" s="6" t="s">
        <v>27</v>
      </c>
      <c r="C145" s="6" t="s">
        <v>453</v>
      </c>
      <c r="D145" s="6" t="s">
        <v>454</v>
      </c>
      <c r="E145" s="6" t="s">
        <v>323</v>
      </c>
      <c r="F145" s="6">
        <v>759555</v>
      </c>
      <c r="G145" s="6" t="s">
        <v>40</v>
      </c>
      <c r="H145" s="6" t="s">
        <v>457</v>
      </c>
      <c r="I145" s="6" t="s">
        <v>149</v>
      </c>
      <c r="J145" s="6" t="s">
        <v>34</v>
      </c>
      <c r="K145" s="6" t="s">
        <v>35</v>
      </c>
      <c r="L145" s="6" t="s">
        <v>36</v>
      </c>
      <c r="M145" s="6"/>
      <c r="N145" s="7">
        <v>40</v>
      </c>
      <c r="O145" s="8">
        <v>9.6</v>
      </c>
    </row>
    <row r="146" spans="2:15" ht="24" customHeight="1" x14ac:dyDescent="0.3">
      <c r="B146" s="9" t="s">
        <v>27</v>
      </c>
      <c r="C146" s="9" t="s">
        <v>283</v>
      </c>
      <c r="D146" s="9" t="s">
        <v>284</v>
      </c>
      <c r="E146" s="9" t="s">
        <v>285</v>
      </c>
      <c r="F146" s="9">
        <v>655758</v>
      </c>
      <c r="G146" s="9" t="s">
        <v>286</v>
      </c>
      <c r="H146" s="9" t="s">
        <v>348</v>
      </c>
      <c r="I146" s="9" t="s">
        <v>33</v>
      </c>
      <c r="J146" s="9" t="s">
        <v>70</v>
      </c>
      <c r="K146" s="9" t="s">
        <v>35</v>
      </c>
      <c r="L146" s="9" t="s">
        <v>36</v>
      </c>
      <c r="M146" s="9"/>
      <c r="N146" s="10">
        <v>15</v>
      </c>
      <c r="O146" s="11">
        <v>5.55</v>
      </c>
    </row>
    <row r="147" spans="2:15" ht="24" customHeight="1" x14ac:dyDescent="0.3">
      <c r="B147" s="6" t="s">
        <v>27</v>
      </c>
      <c r="C147" s="6" t="s">
        <v>458</v>
      </c>
      <c r="D147" s="6" t="s">
        <v>459</v>
      </c>
      <c r="E147" s="6" t="s">
        <v>460</v>
      </c>
      <c r="F147" s="6">
        <v>711419</v>
      </c>
      <c r="G147" s="6" t="s">
        <v>250</v>
      </c>
      <c r="H147" s="6" t="s">
        <v>461</v>
      </c>
      <c r="I147" s="6" t="s">
        <v>33</v>
      </c>
      <c r="J147" s="6" t="s">
        <v>78</v>
      </c>
      <c r="K147" s="6" t="s">
        <v>35</v>
      </c>
      <c r="L147" s="6" t="s">
        <v>36</v>
      </c>
      <c r="M147" s="6"/>
      <c r="N147" s="7">
        <v>20</v>
      </c>
      <c r="O147" s="8">
        <v>0.6</v>
      </c>
    </row>
    <row r="148" spans="2:15" ht="24" customHeight="1" x14ac:dyDescent="0.3">
      <c r="B148" s="9" t="s">
        <v>27</v>
      </c>
      <c r="C148" s="9" t="s">
        <v>362</v>
      </c>
      <c r="D148" s="9" t="s">
        <v>363</v>
      </c>
      <c r="E148" s="9" t="s">
        <v>364</v>
      </c>
      <c r="F148" s="9">
        <v>820877</v>
      </c>
      <c r="G148" s="9" t="s">
        <v>179</v>
      </c>
      <c r="H148" s="9" t="s">
        <v>462</v>
      </c>
      <c r="I148" s="9" t="s">
        <v>54</v>
      </c>
      <c r="J148" s="9" t="s">
        <v>34</v>
      </c>
      <c r="K148" s="9" t="s">
        <v>35</v>
      </c>
      <c r="L148" s="9" t="s">
        <v>36</v>
      </c>
      <c r="M148" s="9"/>
      <c r="N148" s="10">
        <v>42</v>
      </c>
      <c r="O148" s="11">
        <v>10.08</v>
      </c>
    </row>
    <row r="149" spans="2:15" ht="24" customHeight="1" x14ac:dyDescent="0.3">
      <c r="B149" s="6" t="s">
        <v>27</v>
      </c>
      <c r="C149" s="6" t="s">
        <v>283</v>
      </c>
      <c r="D149" s="6" t="s">
        <v>284</v>
      </c>
      <c r="E149" s="6" t="s">
        <v>285</v>
      </c>
      <c r="F149" s="6">
        <v>655758</v>
      </c>
      <c r="G149" s="6" t="s">
        <v>286</v>
      </c>
      <c r="H149" s="6" t="s">
        <v>287</v>
      </c>
      <c r="I149" s="6" t="s">
        <v>238</v>
      </c>
      <c r="J149" s="6" t="s">
        <v>55</v>
      </c>
      <c r="K149" s="6" t="s">
        <v>35</v>
      </c>
      <c r="L149" s="6" t="s">
        <v>36</v>
      </c>
      <c r="M149" s="6"/>
      <c r="N149" s="7">
        <v>54</v>
      </c>
      <c r="O149" s="8">
        <v>12.96</v>
      </c>
    </row>
    <row r="150" spans="2:15" ht="24" customHeight="1" x14ac:dyDescent="0.3">
      <c r="B150" s="9" t="s">
        <v>27</v>
      </c>
      <c r="C150" s="9" t="s">
        <v>463</v>
      </c>
      <c r="D150" s="9" t="s">
        <v>464</v>
      </c>
      <c r="E150" s="9" t="s">
        <v>465</v>
      </c>
      <c r="F150" s="9">
        <v>678726</v>
      </c>
      <c r="G150" s="9" t="s">
        <v>31</v>
      </c>
      <c r="H150" s="9" t="s">
        <v>466</v>
      </c>
      <c r="I150" s="9" t="s">
        <v>96</v>
      </c>
      <c r="J150" s="9" t="s">
        <v>34</v>
      </c>
      <c r="K150" s="9" t="s">
        <v>35</v>
      </c>
      <c r="L150" s="9" t="s">
        <v>36</v>
      </c>
      <c r="M150" s="9"/>
      <c r="N150" s="10">
        <v>30</v>
      </c>
      <c r="O150" s="11">
        <v>9.6</v>
      </c>
    </row>
    <row r="151" spans="2:15" ht="24" customHeight="1" x14ac:dyDescent="0.3">
      <c r="B151" s="6" t="s">
        <v>27</v>
      </c>
      <c r="C151" s="6" t="s">
        <v>350</v>
      </c>
      <c r="D151" s="6" t="s">
        <v>351</v>
      </c>
      <c r="E151" s="6" t="s">
        <v>352</v>
      </c>
      <c r="F151" s="6">
        <v>760338</v>
      </c>
      <c r="G151" s="6" t="s">
        <v>168</v>
      </c>
      <c r="H151" s="6" t="s">
        <v>467</v>
      </c>
      <c r="I151" s="6" t="s">
        <v>77</v>
      </c>
      <c r="J151" s="6" t="s">
        <v>34</v>
      </c>
      <c r="K151" s="6" t="s">
        <v>354</v>
      </c>
      <c r="L151" s="6" t="s">
        <v>47</v>
      </c>
      <c r="M151" s="6" t="s">
        <v>48</v>
      </c>
      <c r="N151" s="7">
        <v>25</v>
      </c>
      <c r="O151" s="8">
        <v>-6</v>
      </c>
    </row>
    <row r="152" spans="2:15" ht="24" customHeight="1" x14ac:dyDescent="0.3">
      <c r="B152" s="9" t="s">
        <v>27</v>
      </c>
      <c r="C152" s="9" t="s">
        <v>468</v>
      </c>
      <c r="D152" s="9" t="s">
        <v>469</v>
      </c>
      <c r="E152" s="9" t="s">
        <v>470</v>
      </c>
      <c r="F152" s="9">
        <v>678726</v>
      </c>
      <c r="G152" s="9" t="s">
        <v>31</v>
      </c>
      <c r="H152" s="9" t="s">
        <v>471</v>
      </c>
      <c r="I152" s="9" t="s">
        <v>96</v>
      </c>
      <c r="J152" s="9" t="s">
        <v>34</v>
      </c>
      <c r="K152" s="9" t="s">
        <v>398</v>
      </c>
      <c r="L152" s="9" t="s">
        <v>36</v>
      </c>
      <c r="M152" s="9"/>
      <c r="N152" s="10">
        <v>25</v>
      </c>
      <c r="O152" s="11">
        <v>8</v>
      </c>
    </row>
    <row r="153" spans="2:15" ht="24" customHeight="1" x14ac:dyDescent="0.3">
      <c r="B153" s="6" t="s">
        <v>27</v>
      </c>
      <c r="C153" s="6" t="s">
        <v>472</v>
      </c>
      <c r="D153" s="6" t="s">
        <v>473</v>
      </c>
      <c r="E153" s="6" t="s">
        <v>474</v>
      </c>
      <c r="F153" s="6">
        <v>757209</v>
      </c>
      <c r="G153" s="6" t="s">
        <v>475</v>
      </c>
      <c r="H153" s="6" t="s">
        <v>476</v>
      </c>
      <c r="I153" s="6" t="s">
        <v>33</v>
      </c>
      <c r="J153" s="6" t="s">
        <v>70</v>
      </c>
      <c r="K153" s="6" t="s">
        <v>477</v>
      </c>
      <c r="L153" s="6" t="s">
        <v>36</v>
      </c>
      <c r="M153" s="6"/>
      <c r="N153" s="7">
        <v>15</v>
      </c>
      <c r="O153" s="8">
        <v>5.55</v>
      </c>
    </row>
    <row r="154" spans="2:15" ht="24" customHeight="1" x14ac:dyDescent="0.3">
      <c r="B154" s="9" t="s">
        <v>27</v>
      </c>
      <c r="C154" s="9" t="s">
        <v>478</v>
      </c>
      <c r="D154" s="9" t="s">
        <v>479</v>
      </c>
      <c r="E154" s="9" t="s">
        <v>480</v>
      </c>
      <c r="F154" s="9">
        <v>757929</v>
      </c>
      <c r="G154" s="9" t="s">
        <v>142</v>
      </c>
      <c r="H154" s="9" t="s">
        <v>481</v>
      </c>
      <c r="I154" s="9" t="s">
        <v>155</v>
      </c>
      <c r="J154" s="9" t="s">
        <v>34</v>
      </c>
      <c r="K154" s="9" t="s">
        <v>482</v>
      </c>
      <c r="L154" s="9" t="s">
        <v>36</v>
      </c>
      <c r="M154" s="9"/>
      <c r="N154" s="10">
        <v>22</v>
      </c>
      <c r="O154" s="11">
        <v>5.28</v>
      </c>
    </row>
    <row r="155" spans="2:15" ht="24" customHeight="1" x14ac:dyDescent="0.3">
      <c r="B155" s="6" t="s">
        <v>27</v>
      </c>
      <c r="C155" s="6" t="s">
        <v>483</v>
      </c>
      <c r="D155" s="6" t="s">
        <v>484</v>
      </c>
      <c r="E155" s="6" t="s">
        <v>485</v>
      </c>
      <c r="F155" s="6">
        <v>678726</v>
      </c>
      <c r="G155" s="6" t="s">
        <v>31</v>
      </c>
      <c r="H155" s="6" t="s">
        <v>486</v>
      </c>
      <c r="I155" s="6" t="s">
        <v>96</v>
      </c>
      <c r="J155" s="6" t="s">
        <v>34</v>
      </c>
      <c r="K155" s="6" t="s">
        <v>482</v>
      </c>
      <c r="L155" s="6" t="s">
        <v>36</v>
      </c>
      <c r="M155" s="6"/>
      <c r="N155" s="7">
        <v>25</v>
      </c>
      <c r="O155" s="8">
        <v>8</v>
      </c>
    </row>
    <row r="156" spans="2:15" ht="24" customHeight="1" x14ac:dyDescent="0.3">
      <c r="B156" s="9" t="s">
        <v>27</v>
      </c>
      <c r="C156" s="9" t="s">
        <v>487</v>
      </c>
      <c r="D156" s="9" t="s">
        <v>488</v>
      </c>
      <c r="E156" s="9" t="s">
        <v>489</v>
      </c>
      <c r="F156" s="9">
        <v>798992</v>
      </c>
      <c r="G156" s="9" t="s">
        <v>198</v>
      </c>
      <c r="H156" s="9" t="s">
        <v>490</v>
      </c>
      <c r="I156" s="9" t="s">
        <v>96</v>
      </c>
      <c r="J156" s="9" t="s">
        <v>34</v>
      </c>
      <c r="K156" s="9" t="s">
        <v>482</v>
      </c>
      <c r="L156" s="9" t="s">
        <v>36</v>
      </c>
      <c r="M156" s="9"/>
      <c r="N156" s="10">
        <v>25</v>
      </c>
      <c r="O156" s="11">
        <v>8</v>
      </c>
    </row>
    <row r="157" spans="2:15" ht="24" customHeight="1" x14ac:dyDescent="0.3">
      <c r="B157" s="6" t="s">
        <v>27</v>
      </c>
      <c r="C157" s="6" t="s">
        <v>491</v>
      </c>
      <c r="D157" s="6" t="s">
        <v>492</v>
      </c>
      <c r="E157" s="6" t="s">
        <v>493</v>
      </c>
      <c r="F157" s="6">
        <v>706472</v>
      </c>
      <c r="G157" s="6" t="s">
        <v>184</v>
      </c>
      <c r="H157" s="6" t="s">
        <v>494</v>
      </c>
      <c r="I157" s="6" t="s">
        <v>96</v>
      </c>
      <c r="J157" s="6" t="s">
        <v>55</v>
      </c>
      <c r="K157" s="6" t="s">
        <v>482</v>
      </c>
      <c r="L157" s="6" t="s">
        <v>36</v>
      </c>
      <c r="M157" s="6"/>
      <c r="N157" s="7">
        <v>50</v>
      </c>
      <c r="O157" s="8">
        <v>16</v>
      </c>
    </row>
    <row r="158" spans="2:15" ht="24" customHeight="1" x14ac:dyDescent="0.3">
      <c r="B158" s="9" t="s">
        <v>27</v>
      </c>
      <c r="C158" s="9" t="s">
        <v>495</v>
      </c>
      <c r="D158" s="9" t="s">
        <v>496</v>
      </c>
      <c r="E158" s="9" t="s">
        <v>497</v>
      </c>
      <c r="F158" s="9">
        <v>678726</v>
      </c>
      <c r="G158" s="9" t="s">
        <v>31</v>
      </c>
      <c r="H158" s="9" t="s">
        <v>498</v>
      </c>
      <c r="I158" s="9" t="s">
        <v>155</v>
      </c>
      <c r="J158" s="9" t="s">
        <v>34</v>
      </c>
      <c r="K158" s="9" t="s">
        <v>499</v>
      </c>
      <c r="L158" s="9" t="s">
        <v>36</v>
      </c>
      <c r="M158" s="9"/>
      <c r="N158" s="10">
        <v>22</v>
      </c>
      <c r="O158" s="11">
        <v>5.28</v>
      </c>
    </row>
    <row r="159" spans="2:15" ht="24" customHeight="1" x14ac:dyDescent="0.3">
      <c r="B159" s="6" t="s">
        <v>27</v>
      </c>
      <c r="C159" s="6" t="s">
        <v>500</v>
      </c>
      <c r="D159" s="6" t="s">
        <v>294</v>
      </c>
      <c r="E159" s="6" t="s">
        <v>501</v>
      </c>
      <c r="F159" s="6">
        <v>678726</v>
      </c>
      <c r="G159" s="6" t="s">
        <v>31</v>
      </c>
      <c r="H159" s="6" t="s">
        <v>502</v>
      </c>
      <c r="I159" s="6" t="s">
        <v>96</v>
      </c>
      <c r="J159" s="6" t="s">
        <v>55</v>
      </c>
      <c r="K159" s="6" t="s">
        <v>499</v>
      </c>
      <c r="L159" s="6" t="s">
        <v>36</v>
      </c>
      <c r="M159" s="6"/>
      <c r="N159" s="7">
        <v>50</v>
      </c>
      <c r="O159" s="8">
        <v>16</v>
      </c>
    </row>
    <row r="160" spans="2:15" ht="24" customHeight="1" x14ac:dyDescent="0.3">
      <c r="B160" s="9" t="s">
        <v>27</v>
      </c>
      <c r="C160" s="9" t="s">
        <v>503</v>
      </c>
      <c r="D160" s="9" t="s">
        <v>454</v>
      </c>
      <c r="E160" s="9" t="s">
        <v>504</v>
      </c>
      <c r="F160" s="9">
        <v>678726</v>
      </c>
      <c r="G160" s="9" t="s">
        <v>31</v>
      </c>
      <c r="H160" s="9" t="s">
        <v>505</v>
      </c>
      <c r="I160" s="9" t="s">
        <v>96</v>
      </c>
      <c r="J160" s="9" t="s">
        <v>34</v>
      </c>
      <c r="K160" s="9" t="s">
        <v>499</v>
      </c>
      <c r="L160" s="9" t="s">
        <v>36</v>
      </c>
      <c r="M160" s="9"/>
      <c r="N160" s="10">
        <v>25</v>
      </c>
      <c r="O160" s="11">
        <v>8</v>
      </c>
    </row>
    <row r="161" spans="2:15" ht="24" customHeight="1" x14ac:dyDescent="0.3">
      <c r="B161" s="6" t="s">
        <v>27</v>
      </c>
      <c r="C161" s="6" t="s">
        <v>506</v>
      </c>
      <c r="D161" s="6" t="s">
        <v>507</v>
      </c>
      <c r="E161" s="6" t="s">
        <v>508</v>
      </c>
      <c r="F161" s="6">
        <v>781535</v>
      </c>
      <c r="G161" s="6" t="s">
        <v>106</v>
      </c>
      <c r="H161" s="6" t="s">
        <v>509</v>
      </c>
      <c r="I161" s="6" t="s">
        <v>72</v>
      </c>
      <c r="J161" s="6" t="s">
        <v>55</v>
      </c>
      <c r="K161" s="6" t="s">
        <v>499</v>
      </c>
      <c r="L161" s="6" t="s">
        <v>36</v>
      </c>
      <c r="M161" s="6"/>
      <c r="N161" s="7">
        <v>121</v>
      </c>
      <c r="O161" s="8">
        <v>29.04</v>
      </c>
    </row>
    <row r="162" spans="2:15" ht="24" customHeight="1" x14ac:dyDescent="0.3">
      <c r="B162" s="9" t="s">
        <v>27</v>
      </c>
      <c r="C162" s="9" t="s">
        <v>510</v>
      </c>
      <c r="D162" s="9" t="s">
        <v>511</v>
      </c>
      <c r="E162" s="9" t="s">
        <v>512</v>
      </c>
      <c r="F162" s="9">
        <v>949252</v>
      </c>
      <c r="G162" s="9" t="s">
        <v>513</v>
      </c>
      <c r="H162" s="9" t="s">
        <v>514</v>
      </c>
      <c r="I162" s="9" t="s">
        <v>149</v>
      </c>
      <c r="J162" s="9" t="s">
        <v>34</v>
      </c>
      <c r="K162" s="9" t="s">
        <v>482</v>
      </c>
      <c r="L162" s="9" t="s">
        <v>36</v>
      </c>
      <c r="M162" s="9"/>
      <c r="N162" s="10">
        <v>45</v>
      </c>
      <c r="O162" s="11">
        <v>10.8</v>
      </c>
    </row>
    <row r="163" spans="2:15" ht="24" customHeight="1" x14ac:dyDescent="0.3">
      <c r="B163" s="6" t="s">
        <v>27</v>
      </c>
      <c r="C163" s="6" t="s">
        <v>506</v>
      </c>
      <c r="D163" s="6" t="s">
        <v>507</v>
      </c>
      <c r="E163" s="6" t="s">
        <v>508</v>
      </c>
      <c r="F163" s="6">
        <v>781535</v>
      </c>
      <c r="G163" s="6" t="s">
        <v>106</v>
      </c>
      <c r="H163" s="6" t="s">
        <v>515</v>
      </c>
      <c r="I163" s="6" t="s">
        <v>33</v>
      </c>
      <c r="J163" s="6" t="s">
        <v>70</v>
      </c>
      <c r="K163" s="6" t="s">
        <v>499</v>
      </c>
      <c r="L163" s="6" t="s">
        <v>36</v>
      </c>
      <c r="M163" s="6"/>
      <c r="N163" s="7">
        <v>15</v>
      </c>
      <c r="O163" s="8">
        <v>5.55</v>
      </c>
    </row>
    <row r="164" spans="2:15" ht="24" customHeight="1" x14ac:dyDescent="0.3">
      <c r="B164" s="9" t="s">
        <v>27</v>
      </c>
      <c r="C164" s="9" t="s">
        <v>516</v>
      </c>
      <c r="D164" s="9" t="s">
        <v>517</v>
      </c>
      <c r="E164" s="9" t="s">
        <v>518</v>
      </c>
      <c r="F164" s="9">
        <v>759555</v>
      </c>
      <c r="G164" s="9" t="s">
        <v>40</v>
      </c>
      <c r="H164" s="9" t="s">
        <v>519</v>
      </c>
      <c r="I164" s="9" t="s">
        <v>54</v>
      </c>
      <c r="J164" s="9" t="s">
        <v>215</v>
      </c>
      <c r="K164" s="9" t="s">
        <v>499</v>
      </c>
      <c r="L164" s="9" t="s">
        <v>36</v>
      </c>
      <c r="M164" s="9"/>
      <c r="N164" s="10">
        <v>112</v>
      </c>
      <c r="O164" s="11">
        <v>26.88</v>
      </c>
    </row>
    <row r="165" spans="2:15" ht="24" customHeight="1" x14ac:dyDescent="0.3">
      <c r="B165" s="6" t="s">
        <v>27</v>
      </c>
      <c r="C165" s="6" t="s">
        <v>520</v>
      </c>
      <c r="D165" s="6" t="s">
        <v>521</v>
      </c>
      <c r="E165" s="6" t="s">
        <v>522</v>
      </c>
      <c r="F165" s="6">
        <v>678726</v>
      </c>
      <c r="G165" s="6" t="s">
        <v>31</v>
      </c>
      <c r="H165" s="6" t="s">
        <v>523</v>
      </c>
      <c r="I165" s="6" t="s">
        <v>33</v>
      </c>
      <c r="J165" s="6" t="s">
        <v>34</v>
      </c>
      <c r="K165" s="6" t="s">
        <v>499</v>
      </c>
      <c r="L165" s="6" t="s">
        <v>36</v>
      </c>
      <c r="M165" s="6"/>
      <c r="N165" s="7">
        <v>11</v>
      </c>
      <c r="O165" s="8">
        <v>4.07</v>
      </c>
    </row>
    <row r="166" spans="2:15" ht="24" customHeight="1" x14ac:dyDescent="0.3">
      <c r="B166" s="9" t="s">
        <v>27</v>
      </c>
      <c r="C166" s="9" t="s">
        <v>524</v>
      </c>
      <c r="D166" s="9" t="s">
        <v>525</v>
      </c>
      <c r="E166" s="9" t="s">
        <v>258</v>
      </c>
      <c r="F166" s="9">
        <v>707256</v>
      </c>
      <c r="G166" s="9" t="s">
        <v>526</v>
      </c>
      <c r="H166" s="9" t="s">
        <v>527</v>
      </c>
      <c r="I166" s="9" t="s">
        <v>96</v>
      </c>
      <c r="J166" s="9" t="s">
        <v>34</v>
      </c>
      <c r="K166" s="9" t="s">
        <v>354</v>
      </c>
      <c r="L166" s="9" t="s">
        <v>36</v>
      </c>
      <c r="M166" s="9"/>
      <c r="N166" s="10">
        <v>25</v>
      </c>
      <c r="O166" s="11">
        <v>8</v>
      </c>
    </row>
    <row r="167" spans="2:15" ht="24" customHeight="1" x14ac:dyDescent="0.3">
      <c r="B167" s="6" t="s">
        <v>27</v>
      </c>
      <c r="C167" s="6" t="s">
        <v>528</v>
      </c>
      <c r="D167" s="6" t="s">
        <v>146</v>
      </c>
      <c r="E167" s="6" t="s">
        <v>529</v>
      </c>
      <c r="F167" s="6">
        <v>757929</v>
      </c>
      <c r="G167" s="6" t="s">
        <v>142</v>
      </c>
      <c r="H167" s="6" t="s">
        <v>530</v>
      </c>
      <c r="I167" s="6" t="s">
        <v>149</v>
      </c>
      <c r="J167" s="6" t="s">
        <v>34</v>
      </c>
      <c r="K167" s="6" t="s">
        <v>354</v>
      </c>
      <c r="L167" s="6" t="s">
        <v>36</v>
      </c>
      <c r="M167" s="6"/>
      <c r="N167" s="7">
        <v>40</v>
      </c>
      <c r="O167" s="8">
        <v>9.6</v>
      </c>
    </row>
    <row r="168" spans="2:15" ht="24" customHeight="1" x14ac:dyDescent="0.3">
      <c r="B168" s="9" t="s">
        <v>27</v>
      </c>
      <c r="C168" s="9" t="s">
        <v>531</v>
      </c>
      <c r="D168" s="9" t="s">
        <v>532</v>
      </c>
      <c r="E168" s="9" t="s">
        <v>533</v>
      </c>
      <c r="F168" s="9">
        <v>678726</v>
      </c>
      <c r="G168" s="9" t="s">
        <v>31</v>
      </c>
      <c r="H168" s="9" t="s">
        <v>534</v>
      </c>
      <c r="I168" s="9" t="s">
        <v>96</v>
      </c>
      <c r="J168" s="9" t="s">
        <v>34</v>
      </c>
      <c r="K168" s="9" t="s">
        <v>354</v>
      </c>
      <c r="L168" s="9" t="s">
        <v>36</v>
      </c>
      <c r="M168" s="9"/>
      <c r="N168" s="10">
        <v>25</v>
      </c>
      <c r="O168" s="11">
        <v>8</v>
      </c>
    </row>
    <row r="169" spans="2:15" ht="24" customHeight="1" x14ac:dyDescent="0.3">
      <c r="B169" s="6" t="s">
        <v>27</v>
      </c>
      <c r="C169" s="6" t="s">
        <v>535</v>
      </c>
      <c r="D169" s="6" t="s">
        <v>536</v>
      </c>
      <c r="E169" s="6" t="s">
        <v>537</v>
      </c>
      <c r="F169" s="6">
        <v>757209</v>
      </c>
      <c r="G169" s="6" t="s">
        <v>475</v>
      </c>
      <c r="H169" s="6" t="s">
        <v>538</v>
      </c>
      <c r="I169" s="6" t="s">
        <v>149</v>
      </c>
      <c r="J169" s="6" t="s">
        <v>215</v>
      </c>
      <c r="K169" s="6" t="s">
        <v>354</v>
      </c>
      <c r="L169" s="6" t="s">
        <v>36</v>
      </c>
      <c r="M169" s="6"/>
      <c r="N169" s="7">
        <v>95</v>
      </c>
      <c r="O169" s="8">
        <v>22.8</v>
      </c>
    </row>
    <row r="170" spans="2:15" ht="24" customHeight="1" x14ac:dyDescent="0.3">
      <c r="B170" s="9" t="s">
        <v>27</v>
      </c>
      <c r="C170" s="9" t="s">
        <v>535</v>
      </c>
      <c r="D170" s="9" t="s">
        <v>536</v>
      </c>
      <c r="E170" s="9" t="s">
        <v>537</v>
      </c>
      <c r="F170" s="9">
        <v>757209</v>
      </c>
      <c r="G170" s="9" t="s">
        <v>475</v>
      </c>
      <c r="H170" s="9" t="s">
        <v>539</v>
      </c>
      <c r="I170" s="9" t="s">
        <v>33</v>
      </c>
      <c r="J170" s="9" t="s">
        <v>70</v>
      </c>
      <c r="K170" s="9" t="s">
        <v>354</v>
      </c>
      <c r="L170" s="9" t="s">
        <v>36</v>
      </c>
      <c r="M170" s="9"/>
      <c r="N170" s="10">
        <v>15</v>
      </c>
      <c r="O170" s="11">
        <v>5.55</v>
      </c>
    </row>
    <row r="171" spans="2:15" ht="24" customHeight="1" x14ac:dyDescent="0.3">
      <c r="B171" s="6" t="s">
        <v>27</v>
      </c>
      <c r="C171" s="6" t="s">
        <v>540</v>
      </c>
      <c r="D171" s="6" t="s">
        <v>541</v>
      </c>
      <c r="E171" s="6" t="s">
        <v>542</v>
      </c>
      <c r="F171" s="6">
        <v>657149</v>
      </c>
      <c r="G171" s="6" t="s">
        <v>543</v>
      </c>
      <c r="H171" s="6" t="s">
        <v>544</v>
      </c>
      <c r="I171" s="6" t="s">
        <v>545</v>
      </c>
      <c r="J171" s="6" t="s">
        <v>78</v>
      </c>
      <c r="K171" s="6" t="s">
        <v>354</v>
      </c>
      <c r="L171" s="6" t="s">
        <v>36</v>
      </c>
      <c r="M171" s="6"/>
      <c r="N171" s="7">
        <v>212</v>
      </c>
      <c r="O171" s="8">
        <v>55.12</v>
      </c>
    </row>
    <row r="172" spans="2:15" ht="24" customHeight="1" x14ac:dyDescent="0.3">
      <c r="B172" s="9" t="s">
        <v>27</v>
      </c>
      <c r="C172" s="9" t="s">
        <v>516</v>
      </c>
      <c r="D172" s="9" t="s">
        <v>517</v>
      </c>
      <c r="E172" s="9" t="s">
        <v>518</v>
      </c>
      <c r="F172" s="9">
        <v>759555</v>
      </c>
      <c r="G172" s="9" t="s">
        <v>40</v>
      </c>
      <c r="H172" s="9" t="s">
        <v>546</v>
      </c>
      <c r="I172" s="9" t="s">
        <v>33</v>
      </c>
      <c r="J172" s="9" t="s">
        <v>78</v>
      </c>
      <c r="K172" s="9" t="s">
        <v>499</v>
      </c>
      <c r="L172" s="9" t="s">
        <v>36</v>
      </c>
      <c r="M172" s="9"/>
      <c r="N172" s="10">
        <v>20</v>
      </c>
      <c r="O172" s="11">
        <v>7.4</v>
      </c>
    </row>
    <row r="173" spans="2:15" ht="24" customHeight="1" x14ac:dyDescent="0.3">
      <c r="B173" s="6" t="s">
        <v>27</v>
      </c>
      <c r="C173" s="6" t="s">
        <v>547</v>
      </c>
      <c r="D173" s="6" t="s">
        <v>548</v>
      </c>
      <c r="E173" s="6" t="s">
        <v>549</v>
      </c>
      <c r="F173" s="6">
        <v>678726</v>
      </c>
      <c r="G173" s="6" t="s">
        <v>31</v>
      </c>
      <c r="H173" s="6" t="s">
        <v>550</v>
      </c>
      <c r="I173" s="6" t="s">
        <v>33</v>
      </c>
      <c r="J173" s="6" t="s">
        <v>34</v>
      </c>
      <c r="K173" s="6" t="s">
        <v>551</v>
      </c>
      <c r="L173" s="6" t="s">
        <v>36</v>
      </c>
      <c r="M173" s="6"/>
      <c r="N173" s="7">
        <v>11</v>
      </c>
      <c r="O173" s="8">
        <v>4.07</v>
      </c>
    </row>
    <row r="174" spans="2:15" ht="24" customHeight="1" x14ac:dyDescent="0.3">
      <c r="B174" s="9" t="s">
        <v>27</v>
      </c>
      <c r="C174" s="9" t="s">
        <v>552</v>
      </c>
      <c r="D174" s="9" t="s">
        <v>231</v>
      </c>
      <c r="E174" s="9" t="s">
        <v>485</v>
      </c>
      <c r="F174" s="9">
        <v>678726</v>
      </c>
      <c r="G174" s="9" t="s">
        <v>31</v>
      </c>
      <c r="H174" s="9" t="s">
        <v>553</v>
      </c>
      <c r="I174" s="9" t="s">
        <v>96</v>
      </c>
      <c r="J174" s="9" t="s">
        <v>55</v>
      </c>
      <c r="K174" s="9" t="s">
        <v>482</v>
      </c>
      <c r="L174" s="9" t="s">
        <v>36</v>
      </c>
      <c r="M174" s="9"/>
      <c r="N174" s="10">
        <v>50</v>
      </c>
      <c r="O174" s="11">
        <v>16</v>
      </c>
    </row>
    <row r="175" spans="2:15" ht="24" customHeight="1" x14ac:dyDescent="0.3">
      <c r="B175" s="6" t="s">
        <v>27</v>
      </c>
      <c r="C175" s="6" t="s">
        <v>554</v>
      </c>
      <c r="D175" s="6" t="s">
        <v>555</v>
      </c>
      <c r="E175" s="6" t="s">
        <v>556</v>
      </c>
      <c r="F175" s="6">
        <v>678726</v>
      </c>
      <c r="G175" s="6" t="s">
        <v>31</v>
      </c>
      <c r="H175" s="6" t="s">
        <v>557</v>
      </c>
      <c r="I175" s="6" t="s">
        <v>96</v>
      </c>
      <c r="J175" s="6" t="s">
        <v>34</v>
      </c>
      <c r="K175" s="6" t="s">
        <v>482</v>
      </c>
      <c r="L175" s="6" t="s">
        <v>36</v>
      </c>
      <c r="M175" s="6"/>
      <c r="N175" s="7">
        <v>25</v>
      </c>
      <c r="O175" s="8">
        <v>8</v>
      </c>
    </row>
    <row r="176" spans="2:15" ht="24" customHeight="1" x14ac:dyDescent="0.3">
      <c r="B176" s="9" t="s">
        <v>27</v>
      </c>
      <c r="C176" s="9" t="s">
        <v>558</v>
      </c>
      <c r="D176" s="9" t="s">
        <v>559</v>
      </c>
      <c r="E176" s="9" t="s">
        <v>327</v>
      </c>
      <c r="F176" s="9">
        <v>820877</v>
      </c>
      <c r="G176" s="9" t="s">
        <v>179</v>
      </c>
      <c r="H176" s="9" t="s">
        <v>560</v>
      </c>
      <c r="I176" s="9" t="s">
        <v>96</v>
      </c>
      <c r="J176" s="9" t="s">
        <v>55</v>
      </c>
      <c r="K176" s="9" t="s">
        <v>477</v>
      </c>
      <c r="L176" s="9" t="s">
        <v>36</v>
      </c>
      <c r="M176" s="9"/>
      <c r="N176" s="10">
        <v>50</v>
      </c>
      <c r="O176" s="11">
        <v>16</v>
      </c>
    </row>
    <row r="177" spans="2:15" ht="24" customHeight="1" x14ac:dyDescent="0.3">
      <c r="B177" s="6" t="s">
        <v>27</v>
      </c>
      <c r="C177" s="6" t="s">
        <v>561</v>
      </c>
      <c r="D177" s="6" t="s">
        <v>454</v>
      </c>
      <c r="E177" s="6" t="s">
        <v>562</v>
      </c>
      <c r="F177" s="6">
        <v>678726</v>
      </c>
      <c r="G177" s="6" t="s">
        <v>31</v>
      </c>
      <c r="H177" s="6" t="s">
        <v>563</v>
      </c>
      <c r="I177" s="6" t="s">
        <v>96</v>
      </c>
      <c r="J177" s="6" t="s">
        <v>34</v>
      </c>
      <c r="K177" s="6" t="s">
        <v>564</v>
      </c>
      <c r="L177" s="6" t="s">
        <v>36</v>
      </c>
      <c r="M177" s="6"/>
      <c r="N177" s="7">
        <v>25</v>
      </c>
      <c r="O177" s="8">
        <v>8</v>
      </c>
    </row>
    <row r="178" spans="2:15" ht="24" customHeight="1" x14ac:dyDescent="0.3">
      <c r="B178" s="9" t="s">
        <v>27</v>
      </c>
      <c r="C178" s="9" t="s">
        <v>565</v>
      </c>
      <c r="D178" s="9" t="s">
        <v>566</v>
      </c>
      <c r="E178" s="9" t="s">
        <v>567</v>
      </c>
      <c r="F178" s="9">
        <v>678726</v>
      </c>
      <c r="G178" s="9" t="s">
        <v>31</v>
      </c>
      <c r="H178" s="9" t="s">
        <v>568</v>
      </c>
      <c r="I178" s="9" t="s">
        <v>33</v>
      </c>
      <c r="J178" s="9" t="s">
        <v>34</v>
      </c>
      <c r="K178" s="9" t="s">
        <v>564</v>
      </c>
      <c r="L178" s="9" t="s">
        <v>36</v>
      </c>
      <c r="M178" s="9"/>
      <c r="N178" s="10">
        <v>11</v>
      </c>
      <c r="O178" s="11">
        <v>4.07</v>
      </c>
    </row>
    <row r="179" spans="2:15" ht="24" customHeight="1" x14ac:dyDescent="0.3">
      <c r="B179" s="6" t="s">
        <v>27</v>
      </c>
      <c r="C179" s="6" t="s">
        <v>569</v>
      </c>
      <c r="D179" s="6" t="s">
        <v>570</v>
      </c>
      <c r="E179" s="6" t="s">
        <v>571</v>
      </c>
      <c r="F179" s="6">
        <v>689390</v>
      </c>
      <c r="G179" s="6" t="s">
        <v>52</v>
      </c>
      <c r="H179" s="6" t="s">
        <v>572</v>
      </c>
      <c r="I179" s="6" t="s">
        <v>96</v>
      </c>
      <c r="J179" s="6" t="s">
        <v>34</v>
      </c>
      <c r="K179" s="6" t="s">
        <v>564</v>
      </c>
      <c r="L179" s="6" t="s">
        <v>36</v>
      </c>
      <c r="M179" s="6"/>
      <c r="N179" s="7">
        <v>30</v>
      </c>
      <c r="O179" s="8">
        <v>9.6</v>
      </c>
    </row>
    <row r="180" spans="2:15" ht="24" customHeight="1" x14ac:dyDescent="0.3">
      <c r="B180" s="9" t="s">
        <v>27</v>
      </c>
      <c r="C180" s="9" t="s">
        <v>573</v>
      </c>
      <c r="D180" s="9" t="s">
        <v>574</v>
      </c>
      <c r="E180" s="9" t="s">
        <v>575</v>
      </c>
      <c r="F180" s="9">
        <v>798992</v>
      </c>
      <c r="G180" s="9" t="s">
        <v>198</v>
      </c>
      <c r="H180" s="9" t="s">
        <v>576</v>
      </c>
      <c r="I180" s="9" t="s">
        <v>96</v>
      </c>
      <c r="J180" s="9" t="s">
        <v>34</v>
      </c>
      <c r="K180" s="9" t="s">
        <v>577</v>
      </c>
      <c r="L180" s="9" t="s">
        <v>36</v>
      </c>
      <c r="M180" s="9"/>
      <c r="N180" s="10">
        <v>25</v>
      </c>
      <c r="O180" s="11">
        <v>8</v>
      </c>
    </row>
    <row r="181" spans="2:15" ht="24" customHeight="1" x14ac:dyDescent="0.3">
      <c r="B181" s="6" t="s">
        <v>27</v>
      </c>
      <c r="C181" s="6" t="s">
        <v>578</v>
      </c>
      <c r="D181" s="6" t="s">
        <v>579</v>
      </c>
      <c r="E181" s="6" t="s">
        <v>580</v>
      </c>
      <c r="F181" s="6">
        <v>678726</v>
      </c>
      <c r="G181" s="6" t="s">
        <v>31</v>
      </c>
      <c r="H181" s="6" t="s">
        <v>581</v>
      </c>
      <c r="I181" s="6" t="s">
        <v>96</v>
      </c>
      <c r="J181" s="6" t="s">
        <v>55</v>
      </c>
      <c r="K181" s="6" t="s">
        <v>577</v>
      </c>
      <c r="L181" s="6" t="s">
        <v>36</v>
      </c>
      <c r="M181" s="6"/>
      <c r="N181" s="7">
        <v>50</v>
      </c>
      <c r="O181" s="8">
        <v>16</v>
      </c>
    </row>
    <row r="182" spans="2:15" ht="24" customHeight="1" x14ac:dyDescent="0.3">
      <c r="B182" s="9" t="s">
        <v>27</v>
      </c>
      <c r="C182" s="9" t="s">
        <v>325</v>
      </c>
      <c r="D182" s="9" t="s">
        <v>326</v>
      </c>
      <c r="E182" s="9" t="s">
        <v>327</v>
      </c>
      <c r="F182" s="9">
        <v>764002</v>
      </c>
      <c r="G182" s="9" t="s">
        <v>117</v>
      </c>
      <c r="H182" s="9" t="s">
        <v>328</v>
      </c>
      <c r="I182" s="9" t="s">
        <v>127</v>
      </c>
      <c r="J182" s="9" t="s">
        <v>55</v>
      </c>
      <c r="K182" s="9" t="s">
        <v>577</v>
      </c>
      <c r="L182" s="9" t="s">
        <v>47</v>
      </c>
      <c r="M182" s="9" t="s">
        <v>48</v>
      </c>
      <c r="N182" s="10">
        <v>124</v>
      </c>
      <c r="O182" s="11">
        <v>-29.76</v>
      </c>
    </row>
    <row r="183" spans="2:15" ht="24" customHeight="1" x14ac:dyDescent="0.3">
      <c r="B183" s="6" t="s">
        <v>27</v>
      </c>
      <c r="C183" s="6" t="s">
        <v>582</v>
      </c>
      <c r="D183" s="6" t="s">
        <v>583</v>
      </c>
      <c r="E183" s="6" t="s">
        <v>584</v>
      </c>
      <c r="F183" s="6">
        <v>759555</v>
      </c>
      <c r="G183" s="6" t="s">
        <v>40</v>
      </c>
      <c r="H183" s="6" t="s">
        <v>585</v>
      </c>
      <c r="I183" s="6" t="s">
        <v>54</v>
      </c>
      <c r="J183" s="6" t="s">
        <v>34</v>
      </c>
      <c r="K183" s="6" t="s">
        <v>577</v>
      </c>
      <c r="L183" s="6" t="s">
        <v>36</v>
      </c>
      <c r="M183" s="6"/>
      <c r="N183" s="7">
        <v>52</v>
      </c>
      <c r="O183" s="8">
        <v>12.48</v>
      </c>
    </row>
    <row r="184" spans="2:15" ht="24" customHeight="1" x14ac:dyDescent="0.3">
      <c r="B184" s="9" t="s">
        <v>27</v>
      </c>
      <c r="C184" s="9" t="s">
        <v>510</v>
      </c>
      <c r="D184" s="9" t="s">
        <v>511</v>
      </c>
      <c r="E184" s="9" t="s">
        <v>512</v>
      </c>
      <c r="F184" s="9">
        <v>949252</v>
      </c>
      <c r="G184" s="9" t="s">
        <v>513</v>
      </c>
      <c r="H184" s="9" t="s">
        <v>586</v>
      </c>
      <c r="I184" s="9" t="s">
        <v>33</v>
      </c>
      <c r="J184" s="9" t="s">
        <v>34</v>
      </c>
      <c r="K184" s="9" t="s">
        <v>482</v>
      </c>
      <c r="L184" s="9" t="s">
        <v>36</v>
      </c>
      <c r="M184" s="9"/>
      <c r="N184" s="10">
        <v>11</v>
      </c>
      <c r="O184" s="11">
        <v>4.07</v>
      </c>
    </row>
    <row r="185" spans="2:15" ht="24" customHeight="1" x14ac:dyDescent="0.3">
      <c r="B185" s="6" t="s">
        <v>27</v>
      </c>
      <c r="C185" s="6" t="s">
        <v>587</v>
      </c>
      <c r="D185" s="6" t="s">
        <v>588</v>
      </c>
      <c r="E185" s="6" t="s">
        <v>589</v>
      </c>
      <c r="F185" s="6">
        <v>678726</v>
      </c>
      <c r="G185" s="6" t="s">
        <v>31</v>
      </c>
      <c r="H185" s="6" t="s">
        <v>590</v>
      </c>
      <c r="I185" s="6" t="s">
        <v>96</v>
      </c>
      <c r="J185" s="6" t="s">
        <v>34</v>
      </c>
      <c r="K185" s="6" t="s">
        <v>577</v>
      </c>
      <c r="L185" s="6" t="s">
        <v>36</v>
      </c>
      <c r="M185" s="6"/>
      <c r="N185" s="7">
        <v>25</v>
      </c>
      <c r="O185" s="8">
        <v>8</v>
      </c>
    </row>
    <row r="186" spans="2:15" ht="24" customHeight="1" x14ac:dyDescent="0.3">
      <c r="B186" s="9" t="s">
        <v>27</v>
      </c>
      <c r="C186" s="9" t="s">
        <v>591</v>
      </c>
      <c r="D186" s="9" t="s">
        <v>592</v>
      </c>
      <c r="E186" s="9" t="s">
        <v>593</v>
      </c>
      <c r="F186" s="9">
        <v>678726</v>
      </c>
      <c r="G186" s="9" t="s">
        <v>31</v>
      </c>
      <c r="H186" s="9" t="s">
        <v>594</v>
      </c>
      <c r="I186" s="9" t="s">
        <v>96</v>
      </c>
      <c r="J186" s="9" t="s">
        <v>55</v>
      </c>
      <c r="K186" s="9" t="s">
        <v>577</v>
      </c>
      <c r="L186" s="9" t="s">
        <v>36</v>
      </c>
      <c r="M186" s="9"/>
      <c r="N186" s="10">
        <v>50</v>
      </c>
      <c r="O186" s="11">
        <v>16</v>
      </c>
    </row>
    <row r="187" spans="2:15" ht="24" customHeight="1" x14ac:dyDescent="0.3">
      <c r="B187" s="6" t="s">
        <v>27</v>
      </c>
      <c r="C187" s="6" t="s">
        <v>595</v>
      </c>
      <c r="D187" s="6" t="s">
        <v>596</v>
      </c>
      <c r="E187" s="6" t="s">
        <v>597</v>
      </c>
      <c r="F187" s="6">
        <v>798992</v>
      </c>
      <c r="G187" s="6" t="s">
        <v>198</v>
      </c>
      <c r="H187" s="6" t="s">
        <v>598</v>
      </c>
      <c r="I187" s="6" t="s">
        <v>96</v>
      </c>
      <c r="J187" s="6" t="s">
        <v>34</v>
      </c>
      <c r="K187" s="6" t="s">
        <v>599</v>
      </c>
      <c r="L187" s="6" t="s">
        <v>36</v>
      </c>
      <c r="M187" s="6"/>
      <c r="N187" s="7">
        <v>25</v>
      </c>
      <c r="O187" s="8">
        <v>8</v>
      </c>
    </row>
    <row r="188" spans="2:15" ht="24" customHeight="1" x14ac:dyDescent="0.3">
      <c r="B188" s="9" t="s">
        <v>27</v>
      </c>
      <c r="C188" s="9" t="s">
        <v>600</v>
      </c>
      <c r="D188" s="9" t="s">
        <v>601</v>
      </c>
      <c r="E188" s="9" t="s">
        <v>602</v>
      </c>
      <c r="F188" s="9">
        <v>958499</v>
      </c>
      <c r="G188" s="9" t="s">
        <v>603</v>
      </c>
      <c r="H188" s="9" t="s">
        <v>604</v>
      </c>
      <c r="I188" s="9" t="s">
        <v>33</v>
      </c>
      <c r="J188" s="9" t="s">
        <v>34</v>
      </c>
      <c r="K188" s="9" t="s">
        <v>605</v>
      </c>
      <c r="L188" s="9" t="s">
        <v>36</v>
      </c>
      <c r="M188" s="9"/>
      <c r="N188" s="10">
        <v>11</v>
      </c>
      <c r="O188" s="11">
        <v>4.07</v>
      </c>
    </row>
    <row r="189" spans="2:15" ht="24" customHeight="1" x14ac:dyDescent="0.3">
      <c r="B189" s="6" t="s">
        <v>27</v>
      </c>
      <c r="C189" s="6" t="s">
        <v>606</v>
      </c>
      <c r="D189" s="6" t="s">
        <v>607</v>
      </c>
      <c r="E189" s="6" t="s">
        <v>608</v>
      </c>
      <c r="F189" s="6">
        <v>689390</v>
      </c>
      <c r="G189" s="6" t="s">
        <v>52</v>
      </c>
      <c r="H189" s="6" t="s">
        <v>609</v>
      </c>
      <c r="I189" s="6" t="s">
        <v>72</v>
      </c>
      <c r="J189" s="6" t="s">
        <v>34</v>
      </c>
      <c r="K189" s="6" t="s">
        <v>605</v>
      </c>
      <c r="L189" s="6" t="s">
        <v>36</v>
      </c>
      <c r="M189" s="6"/>
      <c r="N189" s="7">
        <v>60</v>
      </c>
      <c r="O189" s="8">
        <v>14.4</v>
      </c>
    </row>
    <row r="190" spans="2:15" ht="24" customHeight="1" x14ac:dyDescent="0.3">
      <c r="B190" s="9" t="s">
        <v>27</v>
      </c>
      <c r="C190" s="9" t="s">
        <v>610</v>
      </c>
      <c r="D190" s="9" t="s">
        <v>611</v>
      </c>
      <c r="E190" s="9" t="s">
        <v>612</v>
      </c>
      <c r="F190" s="9">
        <v>706472</v>
      </c>
      <c r="G190" s="9" t="s">
        <v>184</v>
      </c>
      <c r="H190" s="9" t="s">
        <v>613</v>
      </c>
      <c r="I190" s="9" t="s">
        <v>33</v>
      </c>
      <c r="J190" s="9" t="s">
        <v>70</v>
      </c>
      <c r="K190" s="9" t="s">
        <v>614</v>
      </c>
      <c r="L190" s="9" t="s">
        <v>36</v>
      </c>
      <c r="M190" s="9"/>
      <c r="N190" s="10">
        <v>15</v>
      </c>
      <c r="O190" s="11">
        <v>5.55</v>
      </c>
    </row>
    <row r="191" spans="2:15" ht="24" customHeight="1" x14ac:dyDescent="0.3">
      <c r="B191" s="6" t="s">
        <v>27</v>
      </c>
      <c r="C191" s="6" t="s">
        <v>610</v>
      </c>
      <c r="D191" s="6" t="s">
        <v>611</v>
      </c>
      <c r="E191" s="6" t="s">
        <v>612</v>
      </c>
      <c r="F191" s="6">
        <v>706472</v>
      </c>
      <c r="G191" s="6" t="s">
        <v>184</v>
      </c>
      <c r="H191" s="6" t="s">
        <v>615</v>
      </c>
      <c r="I191" s="6" t="s">
        <v>96</v>
      </c>
      <c r="J191" s="6" t="s">
        <v>55</v>
      </c>
      <c r="K191" s="6" t="s">
        <v>614</v>
      </c>
      <c r="L191" s="6" t="s">
        <v>36</v>
      </c>
      <c r="M191" s="6"/>
      <c r="N191" s="7">
        <v>50</v>
      </c>
      <c r="O191" s="8">
        <v>16</v>
      </c>
    </row>
    <row r="192" spans="2:15" ht="24" customHeight="1" x14ac:dyDescent="0.3">
      <c r="B192" s="9" t="s">
        <v>27</v>
      </c>
      <c r="C192" s="9" t="s">
        <v>616</v>
      </c>
      <c r="D192" s="9" t="s">
        <v>617</v>
      </c>
      <c r="E192" s="9" t="s">
        <v>618</v>
      </c>
      <c r="F192" s="9">
        <v>653470</v>
      </c>
      <c r="G192" s="9" t="s">
        <v>2</v>
      </c>
      <c r="H192" s="9" t="s">
        <v>619</v>
      </c>
      <c r="I192" s="9" t="s">
        <v>620</v>
      </c>
      <c r="J192" s="9" t="s">
        <v>78</v>
      </c>
      <c r="K192" s="9" t="s">
        <v>621</v>
      </c>
      <c r="L192" s="9" t="s">
        <v>36</v>
      </c>
      <c r="M192" s="9"/>
      <c r="N192" s="10">
        <v>172</v>
      </c>
      <c r="O192" s="11">
        <v>44.72</v>
      </c>
    </row>
    <row r="193" spans="2:15" ht="24" customHeight="1" x14ac:dyDescent="0.3">
      <c r="B193" s="6" t="s">
        <v>27</v>
      </c>
      <c r="C193" s="6" t="s">
        <v>616</v>
      </c>
      <c r="D193" s="6" t="s">
        <v>617</v>
      </c>
      <c r="E193" s="6" t="s">
        <v>618</v>
      </c>
      <c r="F193" s="6">
        <v>653470</v>
      </c>
      <c r="G193" s="6" t="s">
        <v>2</v>
      </c>
      <c r="H193" s="6" t="s">
        <v>622</v>
      </c>
      <c r="I193" s="6" t="s">
        <v>623</v>
      </c>
      <c r="J193" s="6" t="s">
        <v>78</v>
      </c>
      <c r="K193" s="6" t="s">
        <v>621</v>
      </c>
      <c r="L193" s="6" t="s">
        <v>36</v>
      </c>
      <c r="M193" s="6"/>
      <c r="N193" s="7">
        <v>48</v>
      </c>
      <c r="O193" s="8">
        <v>12.48</v>
      </c>
    </row>
    <row r="194" spans="2:15" ht="24" customHeight="1" x14ac:dyDescent="0.3">
      <c r="B194" s="9" t="s">
        <v>27</v>
      </c>
      <c r="C194" s="9" t="s">
        <v>624</v>
      </c>
      <c r="D194" s="9" t="s">
        <v>625</v>
      </c>
      <c r="E194" s="9" t="s">
        <v>626</v>
      </c>
      <c r="F194" s="9">
        <v>678726</v>
      </c>
      <c r="G194" s="9" t="s">
        <v>31</v>
      </c>
      <c r="H194" s="9" t="s">
        <v>627</v>
      </c>
      <c r="I194" s="9" t="s">
        <v>96</v>
      </c>
      <c r="J194" s="9" t="s">
        <v>34</v>
      </c>
      <c r="K194" s="9" t="s">
        <v>577</v>
      </c>
      <c r="L194" s="9" t="s">
        <v>36</v>
      </c>
      <c r="M194" s="9"/>
      <c r="N194" s="10">
        <v>25</v>
      </c>
      <c r="O194" s="11">
        <v>8</v>
      </c>
    </row>
    <row r="195" spans="2:15" ht="24" customHeight="1" x14ac:dyDescent="0.3">
      <c r="B195" s="6" t="s">
        <v>27</v>
      </c>
      <c r="C195" s="6" t="s">
        <v>279</v>
      </c>
      <c r="D195" s="6" t="s">
        <v>280</v>
      </c>
      <c r="E195" s="6" t="s">
        <v>281</v>
      </c>
      <c r="F195" s="6">
        <v>678726</v>
      </c>
      <c r="G195" s="6" t="s">
        <v>31</v>
      </c>
      <c r="H195" s="6" t="s">
        <v>628</v>
      </c>
      <c r="I195" s="6" t="s">
        <v>33</v>
      </c>
      <c r="J195" s="6" t="s">
        <v>34</v>
      </c>
      <c r="K195" s="6" t="s">
        <v>278</v>
      </c>
      <c r="L195" s="6" t="s">
        <v>101</v>
      </c>
      <c r="M195" s="6" t="s">
        <v>102</v>
      </c>
      <c r="N195" s="7">
        <v>11</v>
      </c>
      <c r="O195" s="8">
        <v>-4.07</v>
      </c>
    </row>
    <row r="196" spans="2:15" ht="26.1" customHeight="1" x14ac:dyDescent="0.3">
      <c r="B196" s="12" t="s">
        <v>629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4">
        <f>SUM(O21:O195)</f>
        <v>1650.9499999999996</v>
      </c>
    </row>
    <row r="197" spans="2:15" ht="3.9" customHeigh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2:15" ht="32.1" customHeight="1" x14ac:dyDescent="0.3">
      <c r="B198" s="15" t="s">
        <v>10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7">
        <v>1650.95</v>
      </c>
    </row>
    <row r="200" spans="2:15" x14ac:dyDescent="0.3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2:15" x14ac:dyDescent="0.3">
      <c r="B201" s="33" t="s">
        <v>630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</row>
  </sheetData>
  <mergeCells count="12">
    <mergeCell ref="B201:O201"/>
    <mergeCell ref="C9:H9"/>
    <mergeCell ref="L11:M11"/>
    <mergeCell ref="C8:H8"/>
    <mergeCell ref="L2:O3"/>
    <mergeCell ref="L15:O15"/>
    <mergeCell ref="L13:M13"/>
    <mergeCell ref="N13:O13"/>
    <mergeCell ref="C7:H7"/>
    <mergeCell ref="L12:M12"/>
    <mergeCell ref="N11:O11"/>
    <mergeCell ref="N12:O12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6"/>
  <sheetViews>
    <sheetView workbookViewId="0">
      <selection sqref="A1:XFD1048576"/>
    </sheetView>
  </sheetViews>
  <sheetFormatPr defaultRowHeight="14.4" x14ac:dyDescent="0.3"/>
  <cols>
    <col min="1" max="1" width="13" customWidth="1"/>
    <col min="2" max="2" width="6" customWidth="1"/>
    <col min="3" max="3" width="9" customWidth="1"/>
    <col min="4" max="4" width="21" customWidth="1"/>
    <col min="5" max="5" width="8" customWidth="1"/>
    <col min="6" max="6" width="7" customWidth="1"/>
    <col min="7" max="7" width="8" customWidth="1"/>
    <col min="8" max="8" width="16" customWidth="1"/>
    <col min="9" max="9" width="24" customWidth="1"/>
    <col min="10" max="10" width="11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30" customWidth="1"/>
    <col min="19" max="19" width="22" customWidth="1"/>
    <col min="20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30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3">
      <c r="A1" s="19" t="s">
        <v>22</v>
      </c>
      <c r="B1" s="19" t="s">
        <v>631</v>
      </c>
      <c r="C1" s="19" t="s">
        <v>632</v>
      </c>
      <c r="D1" s="19" t="s">
        <v>24</v>
      </c>
      <c r="E1" s="19" t="s">
        <v>633</v>
      </c>
      <c r="F1" s="19" t="s">
        <v>634</v>
      </c>
      <c r="G1" s="19" t="s">
        <v>26</v>
      </c>
      <c r="H1" s="19" t="s">
        <v>635</v>
      </c>
      <c r="I1" s="19" t="s">
        <v>636</v>
      </c>
      <c r="J1" s="19" t="s">
        <v>14</v>
      </c>
      <c r="K1" s="19" t="s">
        <v>637</v>
      </c>
      <c r="L1" s="19" t="s">
        <v>638</v>
      </c>
      <c r="M1" s="19" t="s">
        <v>639</v>
      </c>
      <c r="N1" s="19" t="s">
        <v>17</v>
      </c>
      <c r="O1" s="19" t="s">
        <v>18</v>
      </c>
      <c r="P1" s="19" t="s">
        <v>640</v>
      </c>
      <c r="Q1" s="19" t="s">
        <v>641</v>
      </c>
      <c r="R1" s="19" t="s">
        <v>642</v>
      </c>
      <c r="S1" s="19" t="s">
        <v>21</v>
      </c>
      <c r="T1" s="19" t="s">
        <v>643</v>
      </c>
      <c r="U1" s="19" t="s">
        <v>644</v>
      </c>
      <c r="V1" s="19" t="s">
        <v>645</v>
      </c>
      <c r="W1" s="19" t="s">
        <v>646</v>
      </c>
      <c r="X1" s="19" t="s">
        <v>647</v>
      </c>
      <c r="Y1" s="19" t="s">
        <v>19</v>
      </c>
      <c r="Z1" s="19" t="s">
        <v>648</v>
      </c>
      <c r="AA1" s="19" t="s">
        <v>649</v>
      </c>
      <c r="AB1" s="19" t="s">
        <v>650</v>
      </c>
      <c r="AC1" s="19" t="s">
        <v>651</v>
      </c>
      <c r="AD1" s="19" t="s">
        <v>652</v>
      </c>
      <c r="AE1" s="19" t="s">
        <v>653</v>
      </c>
      <c r="AF1" s="19" t="s">
        <v>13</v>
      </c>
    </row>
    <row r="2" spans="1:32" x14ac:dyDescent="0.3">
      <c r="A2" t="s">
        <v>35</v>
      </c>
      <c r="B2" t="s">
        <v>654</v>
      </c>
      <c r="C2" t="s">
        <v>20</v>
      </c>
      <c r="E2">
        <v>4.07</v>
      </c>
      <c r="F2">
        <v>0</v>
      </c>
      <c r="G2" s="20">
        <v>4.07</v>
      </c>
      <c r="H2">
        <v>653470</v>
      </c>
      <c r="I2" t="s">
        <v>2</v>
      </c>
      <c r="J2" t="s">
        <v>28</v>
      </c>
      <c r="K2" t="s">
        <v>29</v>
      </c>
      <c r="L2" t="s">
        <v>30</v>
      </c>
      <c r="M2" t="s">
        <v>655</v>
      </c>
      <c r="N2">
        <v>678726</v>
      </c>
      <c r="O2" t="s">
        <v>31</v>
      </c>
      <c r="P2" t="s">
        <v>656</v>
      </c>
      <c r="Q2">
        <v>38593</v>
      </c>
      <c r="R2" t="s">
        <v>33</v>
      </c>
      <c r="S2" t="s">
        <v>34</v>
      </c>
      <c r="T2" t="s">
        <v>657</v>
      </c>
      <c r="U2" t="s">
        <v>658</v>
      </c>
      <c r="V2" t="s">
        <v>659</v>
      </c>
      <c r="W2" t="s">
        <v>660</v>
      </c>
      <c r="X2" t="s">
        <v>661</v>
      </c>
      <c r="Y2" t="s">
        <v>32</v>
      </c>
      <c r="Z2" t="s">
        <v>662</v>
      </c>
      <c r="AA2" t="s">
        <v>36</v>
      </c>
      <c r="AB2" t="s">
        <v>663</v>
      </c>
      <c r="AC2">
        <v>5</v>
      </c>
      <c r="AD2" s="20">
        <v>11</v>
      </c>
      <c r="AE2" t="s">
        <v>664</v>
      </c>
      <c r="AF2" t="s">
        <v>27</v>
      </c>
    </row>
    <row r="3" spans="1:32" x14ac:dyDescent="0.3">
      <c r="A3" t="s">
        <v>35</v>
      </c>
      <c r="B3" t="s">
        <v>654</v>
      </c>
      <c r="C3" t="s">
        <v>20</v>
      </c>
      <c r="E3">
        <v>9.9600000000000009</v>
      </c>
      <c r="F3">
        <v>0</v>
      </c>
      <c r="G3" s="20">
        <v>9.9600000000000009</v>
      </c>
      <c r="H3">
        <v>653470</v>
      </c>
      <c r="I3" t="s">
        <v>2</v>
      </c>
      <c r="J3" t="s">
        <v>425</v>
      </c>
      <c r="K3" t="s">
        <v>426</v>
      </c>
      <c r="L3" t="s">
        <v>427</v>
      </c>
      <c r="M3" t="s">
        <v>655</v>
      </c>
      <c r="N3">
        <v>678726</v>
      </c>
      <c r="O3" t="s">
        <v>31</v>
      </c>
      <c r="P3" t="s">
        <v>656</v>
      </c>
      <c r="Q3">
        <v>45041</v>
      </c>
      <c r="R3" t="s">
        <v>96</v>
      </c>
      <c r="S3" t="s">
        <v>34</v>
      </c>
      <c r="T3" t="s">
        <v>657</v>
      </c>
      <c r="U3" t="s">
        <v>665</v>
      </c>
      <c r="V3" t="s">
        <v>666</v>
      </c>
      <c r="W3" t="s">
        <v>667</v>
      </c>
      <c r="X3" t="s">
        <v>668</v>
      </c>
      <c r="Y3" t="s">
        <v>428</v>
      </c>
      <c r="Z3" t="s">
        <v>669</v>
      </c>
      <c r="AA3" t="s">
        <v>36</v>
      </c>
      <c r="AB3" t="s">
        <v>663</v>
      </c>
      <c r="AC3">
        <v>20</v>
      </c>
      <c r="AD3" s="20">
        <v>31.13</v>
      </c>
      <c r="AE3" t="s">
        <v>670</v>
      </c>
      <c r="AF3" t="s">
        <v>27</v>
      </c>
    </row>
    <row r="4" spans="1:32" x14ac:dyDescent="0.3">
      <c r="A4" t="s">
        <v>35</v>
      </c>
      <c r="B4" t="s">
        <v>654</v>
      </c>
      <c r="C4" t="s">
        <v>20</v>
      </c>
      <c r="E4">
        <v>23.28</v>
      </c>
      <c r="F4">
        <v>0</v>
      </c>
      <c r="G4" s="20">
        <v>23.28</v>
      </c>
      <c r="H4">
        <v>653470</v>
      </c>
      <c r="I4" t="s">
        <v>2</v>
      </c>
      <c r="J4" t="s">
        <v>429</v>
      </c>
      <c r="K4" t="s">
        <v>430</v>
      </c>
      <c r="L4" t="s">
        <v>431</v>
      </c>
      <c r="M4" t="s">
        <v>655</v>
      </c>
      <c r="N4">
        <v>678726</v>
      </c>
      <c r="O4" t="s">
        <v>31</v>
      </c>
      <c r="P4" t="s">
        <v>656</v>
      </c>
      <c r="Q4">
        <v>38398</v>
      </c>
      <c r="R4" t="s">
        <v>54</v>
      </c>
      <c r="S4" t="s">
        <v>215</v>
      </c>
      <c r="T4" t="s">
        <v>657</v>
      </c>
      <c r="U4" t="s">
        <v>665</v>
      </c>
      <c r="V4" t="s">
        <v>666</v>
      </c>
      <c r="W4" t="s">
        <v>671</v>
      </c>
      <c r="X4" t="s">
        <v>672</v>
      </c>
      <c r="Y4" t="s">
        <v>432</v>
      </c>
      <c r="Z4" t="s">
        <v>673</v>
      </c>
      <c r="AA4" t="s">
        <v>36</v>
      </c>
      <c r="AB4" t="s">
        <v>663</v>
      </c>
      <c r="AC4">
        <v>6</v>
      </c>
      <c r="AD4" s="20">
        <v>97</v>
      </c>
      <c r="AE4" t="s">
        <v>674</v>
      </c>
      <c r="AF4" t="s">
        <v>27</v>
      </c>
    </row>
    <row r="5" spans="1:32" x14ac:dyDescent="0.3">
      <c r="A5" t="s">
        <v>35</v>
      </c>
      <c r="B5" t="s">
        <v>654</v>
      </c>
      <c r="C5" t="s">
        <v>20</v>
      </c>
      <c r="E5">
        <v>16</v>
      </c>
      <c r="F5">
        <v>0</v>
      </c>
      <c r="G5" s="20">
        <v>16</v>
      </c>
      <c r="H5">
        <v>653470</v>
      </c>
      <c r="I5" t="s">
        <v>2</v>
      </c>
      <c r="J5" t="s">
        <v>274</v>
      </c>
      <c r="K5" t="s">
        <v>275</v>
      </c>
      <c r="L5" t="s">
        <v>276</v>
      </c>
      <c r="M5" t="s">
        <v>655</v>
      </c>
      <c r="N5">
        <v>678726</v>
      </c>
      <c r="O5" t="s">
        <v>31</v>
      </c>
      <c r="P5" t="s">
        <v>656</v>
      </c>
      <c r="Q5">
        <v>45041</v>
      </c>
      <c r="R5" t="s">
        <v>96</v>
      </c>
      <c r="S5" t="s">
        <v>55</v>
      </c>
      <c r="T5" t="s">
        <v>657</v>
      </c>
      <c r="U5" t="s">
        <v>665</v>
      </c>
      <c r="V5" t="s">
        <v>666</v>
      </c>
      <c r="W5" t="s">
        <v>675</v>
      </c>
      <c r="X5" t="s">
        <v>676</v>
      </c>
      <c r="Y5" t="s">
        <v>277</v>
      </c>
      <c r="Z5" t="s">
        <v>677</v>
      </c>
      <c r="AA5" t="s">
        <v>36</v>
      </c>
      <c r="AB5" t="s">
        <v>678</v>
      </c>
      <c r="AC5">
        <v>17</v>
      </c>
      <c r="AD5" s="20">
        <v>50</v>
      </c>
      <c r="AE5" t="s">
        <v>670</v>
      </c>
      <c r="AF5" t="s">
        <v>27</v>
      </c>
    </row>
    <row r="6" spans="1:32" x14ac:dyDescent="0.3">
      <c r="A6" t="s">
        <v>35</v>
      </c>
      <c r="B6" t="s">
        <v>654</v>
      </c>
      <c r="C6" t="s">
        <v>20</v>
      </c>
      <c r="E6">
        <v>17.760000000000002</v>
      </c>
      <c r="F6">
        <v>0</v>
      </c>
      <c r="G6" s="20">
        <v>17.760000000000002</v>
      </c>
      <c r="H6">
        <v>653470</v>
      </c>
      <c r="I6" t="s">
        <v>2</v>
      </c>
      <c r="J6" t="s">
        <v>433</v>
      </c>
      <c r="K6" t="s">
        <v>434</v>
      </c>
      <c r="L6" t="s">
        <v>435</v>
      </c>
      <c r="M6" t="s">
        <v>679</v>
      </c>
      <c r="N6">
        <v>689390</v>
      </c>
      <c r="O6" t="s">
        <v>52</v>
      </c>
      <c r="P6" t="s">
        <v>656</v>
      </c>
      <c r="Q6">
        <v>38399</v>
      </c>
      <c r="R6" t="s">
        <v>72</v>
      </c>
      <c r="S6" t="s">
        <v>34</v>
      </c>
      <c r="T6" t="s">
        <v>657</v>
      </c>
      <c r="U6" t="s">
        <v>665</v>
      </c>
      <c r="V6" t="s">
        <v>666</v>
      </c>
      <c r="W6" t="s">
        <v>680</v>
      </c>
      <c r="X6" t="s">
        <v>681</v>
      </c>
      <c r="Y6" t="s">
        <v>436</v>
      </c>
      <c r="Z6" t="s">
        <v>682</v>
      </c>
      <c r="AA6" t="s">
        <v>36</v>
      </c>
      <c r="AB6" t="s">
        <v>663</v>
      </c>
      <c r="AC6">
        <v>7</v>
      </c>
      <c r="AD6" s="20">
        <v>74</v>
      </c>
      <c r="AE6" t="s">
        <v>674</v>
      </c>
      <c r="AF6" t="s">
        <v>27</v>
      </c>
    </row>
    <row r="7" spans="1:32" x14ac:dyDescent="0.3">
      <c r="A7" t="s">
        <v>35</v>
      </c>
      <c r="B7" t="s">
        <v>654</v>
      </c>
      <c r="C7" t="s">
        <v>20</v>
      </c>
      <c r="E7">
        <v>4.07</v>
      </c>
      <c r="F7">
        <v>0</v>
      </c>
      <c r="G7" s="20">
        <v>4.07</v>
      </c>
      <c r="H7">
        <v>653470</v>
      </c>
      <c r="I7" t="s">
        <v>2</v>
      </c>
      <c r="J7" t="s">
        <v>425</v>
      </c>
      <c r="K7" t="s">
        <v>426</v>
      </c>
      <c r="L7" t="s">
        <v>427</v>
      </c>
      <c r="M7" t="s">
        <v>655</v>
      </c>
      <c r="N7">
        <v>678726</v>
      </c>
      <c r="O7" t="s">
        <v>31</v>
      </c>
      <c r="P7" t="s">
        <v>656</v>
      </c>
      <c r="Q7">
        <v>38593</v>
      </c>
      <c r="R7" t="s">
        <v>33</v>
      </c>
      <c r="S7" t="s">
        <v>34</v>
      </c>
      <c r="T7" t="s">
        <v>657</v>
      </c>
      <c r="U7" t="s">
        <v>658</v>
      </c>
      <c r="V7" t="s">
        <v>659</v>
      </c>
      <c r="W7" t="s">
        <v>667</v>
      </c>
      <c r="X7" t="s">
        <v>668</v>
      </c>
      <c r="Y7" t="s">
        <v>437</v>
      </c>
      <c r="Z7" t="s">
        <v>669</v>
      </c>
      <c r="AA7" t="s">
        <v>36</v>
      </c>
      <c r="AB7" t="s">
        <v>663</v>
      </c>
      <c r="AC7">
        <v>20</v>
      </c>
      <c r="AD7" s="20">
        <v>11</v>
      </c>
      <c r="AE7" t="s">
        <v>664</v>
      </c>
      <c r="AF7" t="s">
        <v>27</v>
      </c>
    </row>
    <row r="8" spans="1:32" x14ac:dyDescent="0.3">
      <c r="A8" t="s">
        <v>35</v>
      </c>
      <c r="B8" t="s">
        <v>654</v>
      </c>
      <c r="C8" t="s">
        <v>20</v>
      </c>
      <c r="E8">
        <v>7.4</v>
      </c>
      <c r="F8">
        <v>0</v>
      </c>
      <c r="G8" s="20">
        <v>7.4</v>
      </c>
      <c r="H8">
        <v>653470</v>
      </c>
      <c r="I8" t="s">
        <v>2</v>
      </c>
      <c r="J8" t="s">
        <v>429</v>
      </c>
      <c r="K8" t="s">
        <v>430</v>
      </c>
      <c r="L8" t="s">
        <v>431</v>
      </c>
      <c r="M8" t="s">
        <v>655</v>
      </c>
      <c r="N8">
        <v>678726</v>
      </c>
      <c r="O8" t="s">
        <v>31</v>
      </c>
      <c r="P8" t="s">
        <v>656</v>
      </c>
      <c r="Q8">
        <v>38593</v>
      </c>
      <c r="R8" t="s">
        <v>33</v>
      </c>
      <c r="S8" t="s">
        <v>78</v>
      </c>
      <c r="T8" t="s">
        <v>657</v>
      </c>
      <c r="U8" t="s">
        <v>658</v>
      </c>
      <c r="V8" t="s">
        <v>659</v>
      </c>
      <c r="W8" t="s">
        <v>683</v>
      </c>
      <c r="X8" t="s">
        <v>661</v>
      </c>
      <c r="Y8" t="s">
        <v>438</v>
      </c>
      <c r="Z8" t="s">
        <v>673</v>
      </c>
      <c r="AA8" t="s">
        <v>36</v>
      </c>
      <c r="AB8" t="s">
        <v>663</v>
      </c>
      <c r="AC8">
        <v>5</v>
      </c>
      <c r="AD8" s="20">
        <v>20</v>
      </c>
      <c r="AE8" t="s">
        <v>664</v>
      </c>
      <c r="AF8" t="s">
        <v>27</v>
      </c>
    </row>
    <row r="9" spans="1:32" x14ac:dyDescent="0.3">
      <c r="A9" t="s">
        <v>35</v>
      </c>
      <c r="B9" t="s">
        <v>654</v>
      </c>
      <c r="C9" t="s">
        <v>20</v>
      </c>
      <c r="E9">
        <v>5.28</v>
      </c>
      <c r="F9">
        <v>0</v>
      </c>
      <c r="G9" s="20">
        <v>5.28</v>
      </c>
      <c r="H9">
        <v>653470</v>
      </c>
      <c r="I9" t="s">
        <v>2</v>
      </c>
      <c r="J9" t="s">
        <v>439</v>
      </c>
      <c r="K9" t="s">
        <v>308</v>
      </c>
      <c r="L9" t="s">
        <v>440</v>
      </c>
      <c r="M9" t="s">
        <v>684</v>
      </c>
      <c r="N9">
        <v>655758</v>
      </c>
      <c r="O9" t="s">
        <v>286</v>
      </c>
      <c r="P9" t="s">
        <v>656</v>
      </c>
      <c r="Q9">
        <v>47132</v>
      </c>
      <c r="R9" t="s">
        <v>155</v>
      </c>
      <c r="S9" t="s">
        <v>34</v>
      </c>
      <c r="T9" t="s">
        <v>657</v>
      </c>
      <c r="U9" t="s">
        <v>665</v>
      </c>
      <c r="V9" t="s">
        <v>666</v>
      </c>
      <c r="W9" t="s">
        <v>685</v>
      </c>
      <c r="X9" t="s">
        <v>686</v>
      </c>
      <c r="Y9" t="s">
        <v>441</v>
      </c>
      <c r="Z9" t="s">
        <v>687</v>
      </c>
      <c r="AA9" t="s">
        <v>36</v>
      </c>
      <c r="AB9" t="s">
        <v>663</v>
      </c>
      <c r="AC9">
        <v>8</v>
      </c>
      <c r="AD9" s="20">
        <v>22</v>
      </c>
      <c r="AE9" t="s">
        <v>674</v>
      </c>
      <c r="AF9" t="s">
        <v>27</v>
      </c>
    </row>
    <row r="10" spans="1:32" x14ac:dyDescent="0.3">
      <c r="A10" t="s">
        <v>35</v>
      </c>
      <c r="B10" t="s">
        <v>654</v>
      </c>
      <c r="C10" t="s">
        <v>20</v>
      </c>
      <c r="E10">
        <v>17.04</v>
      </c>
      <c r="F10">
        <v>0</v>
      </c>
      <c r="G10" s="20">
        <v>17.04</v>
      </c>
      <c r="H10">
        <v>653470</v>
      </c>
      <c r="I10" t="s">
        <v>2</v>
      </c>
      <c r="J10" t="s">
        <v>442</v>
      </c>
      <c r="K10" t="s">
        <v>443</v>
      </c>
      <c r="L10" t="s">
        <v>444</v>
      </c>
      <c r="M10" t="s">
        <v>684</v>
      </c>
      <c r="N10">
        <v>689390</v>
      </c>
      <c r="O10" t="s">
        <v>52</v>
      </c>
      <c r="P10" t="s">
        <v>656</v>
      </c>
      <c r="Q10">
        <v>38399</v>
      </c>
      <c r="R10" t="s">
        <v>72</v>
      </c>
      <c r="S10" t="s">
        <v>34</v>
      </c>
      <c r="T10" t="s">
        <v>657</v>
      </c>
      <c r="U10" t="s">
        <v>665</v>
      </c>
      <c r="V10" t="s">
        <v>666</v>
      </c>
      <c r="W10" t="s">
        <v>688</v>
      </c>
      <c r="X10" t="s">
        <v>676</v>
      </c>
      <c r="Y10" t="s">
        <v>445</v>
      </c>
      <c r="Z10" t="s">
        <v>689</v>
      </c>
      <c r="AA10" t="s">
        <v>36</v>
      </c>
      <c r="AB10" t="s">
        <v>678</v>
      </c>
      <c r="AC10">
        <v>17</v>
      </c>
      <c r="AD10" s="20">
        <v>71</v>
      </c>
      <c r="AE10" t="s">
        <v>674</v>
      </c>
      <c r="AF10" t="s">
        <v>27</v>
      </c>
    </row>
    <row r="11" spans="1:32" x14ac:dyDescent="0.3">
      <c r="A11" t="s">
        <v>35</v>
      </c>
      <c r="B11" t="s">
        <v>654</v>
      </c>
      <c r="C11" t="s">
        <v>20</v>
      </c>
      <c r="E11">
        <v>5.55</v>
      </c>
      <c r="F11">
        <v>0</v>
      </c>
      <c r="G11" s="20">
        <v>5.55</v>
      </c>
      <c r="H11">
        <v>653470</v>
      </c>
      <c r="I11" t="s">
        <v>2</v>
      </c>
      <c r="J11" t="s">
        <v>450</v>
      </c>
      <c r="K11" t="s">
        <v>451</v>
      </c>
      <c r="L11" t="s">
        <v>208</v>
      </c>
      <c r="M11" t="s">
        <v>655</v>
      </c>
      <c r="N11">
        <v>678726</v>
      </c>
      <c r="O11" t="s">
        <v>31</v>
      </c>
      <c r="P11" t="s">
        <v>656</v>
      </c>
      <c r="Q11">
        <v>38593</v>
      </c>
      <c r="R11" t="s">
        <v>33</v>
      </c>
      <c r="S11" t="s">
        <v>70</v>
      </c>
      <c r="T11" t="s">
        <v>657</v>
      </c>
      <c r="U11" t="s">
        <v>658</v>
      </c>
      <c r="V11" t="s">
        <v>659</v>
      </c>
      <c r="W11" t="s">
        <v>690</v>
      </c>
      <c r="X11" t="s">
        <v>672</v>
      </c>
      <c r="Y11" t="s">
        <v>452</v>
      </c>
      <c r="Z11" t="s">
        <v>691</v>
      </c>
      <c r="AA11" t="s">
        <v>36</v>
      </c>
      <c r="AB11" t="s">
        <v>663</v>
      </c>
      <c r="AC11">
        <v>17</v>
      </c>
      <c r="AD11" s="20">
        <v>15</v>
      </c>
      <c r="AE11" t="s">
        <v>664</v>
      </c>
      <c r="AF11" t="s">
        <v>27</v>
      </c>
    </row>
    <row r="12" spans="1:32" x14ac:dyDescent="0.3">
      <c r="A12" t="s">
        <v>35</v>
      </c>
      <c r="B12" t="s">
        <v>654</v>
      </c>
      <c r="C12" t="s">
        <v>20</v>
      </c>
      <c r="E12">
        <v>9.6</v>
      </c>
      <c r="F12">
        <v>0</v>
      </c>
      <c r="G12" s="20">
        <v>9.6</v>
      </c>
      <c r="H12">
        <v>653470</v>
      </c>
      <c r="I12" t="s">
        <v>2</v>
      </c>
      <c r="J12" t="s">
        <v>463</v>
      </c>
      <c r="K12" t="s">
        <v>464</v>
      </c>
      <c r="L12" t="s">
        <v>465</v>
      </c>
      <c r="M12" t="s">
        <v>655</v>
      </c>
      <c r="N12">
        <v>678726</v>
      </c>
      <c r="O12" t="s">
        <v>31</v>
      </c>
      <c r="P12" t="s">
        <v>656</v>
      </c>
      <c r="Q12">
        <v>45041</v>
      </c>
      <c r="R12" t="s">
        <v>96</v>
      </c>
      <c r="S12" t="s">
        <v>34</v>
      </c>
      <c r="T12" t="s">
        <v>657</v>
      </c>
      <c r="U12" t="s">
        <v>665</v>
      </c>
      <c r="V12" t="s">
        <v>666</v>
      </c>
      <c r="W12" t="s">
        <v>692</v>
      </c>
      <c r="X12" t="s">
        <v>693</v>
      </c>
      <c r="Y12" t="s">
        <v>466</v>
      </c>
      <c r="Z12" t="s">
        <v>694</v>
      </c>
      <c r="AA12" t="s">
        <v>36</v>
      </c>
      <c r="AB12" t="s">
        <v>678</v>
      </c>
      <c r="AC12">
        <v>16</v>
      </c>
      <c r="AD12" s="20">
        <v>30</v>
      </c>
      <c r="AE12" t="s">
        <v>670</v>
      </c>
      <c r="AF12" t="s">
        <v>27</v>
      </c>
    </row>
    <row r="13" spans="1:32" x14ac:dyDescent="0.3">
      <c r="A13" t="s">
        <v>35</v>
      </c>
      <c r="B13" t="s">
        <v>654</v>
      </c>
      <c r="C13" t="s">
        <v>20</v>
      </c>
      <c r="E13">
        <v>5.28</v>
      </c>
      <c r="F13">
        <v>0</v>
      </c>
      <c r="G13" s="20">
        <v>5.28</v>
      </c>
      <c r="H13">
        <v>653470</v>
      </c>
      <c r="I13" t="s">
        <v>2</v>
      </c>
      <c r="J13" t="s">
        <v>337</v>
      </c>
      <c r="K13" t="s">
        <v>338</v>
      </c>
      <c r="L13" t="s">
        <v>339</v>
      </c>
      <c r="M13" t="s">
        <v>655</v>
      </c>
      <c r="N13">
        <v>678726</v>
      </c>
      <c r="O13" t="s">
        <v>31</v>
      </c>
      <c r="P13" t="s">
        <v>656</v>
      </c>
      <c r="Q13">
        <v>47132</v>
      </c>
      <c r="R13" t="s">
        <v>155</v>
      </c>
      <c r="S13" t="s">
        <v>34</v>
      </c>
      <c r="T13" t="s">
        <v>657</v>
      </c>
      <c r="U13" t="s">
        <v>665</v>
      </c>
      <c r="V13" t="s">
        <v>666</v>
      </c>
      <c r="W13" t="s">
        <v>695</v>
      </c>
      <c r="X13" t="s">
        <v>696</v>
      </c>
      <c r="Y13" t="s">
        <v>340</v>
      </c>
      <c r="Z13" t="s">
        <v>697</v>
      </c>
      <c r="AA13" t="s">
        <v>36</v>
      </c>
      <c r="AB13" t="s">
        <v>663</v>
      </c>
      <c r="AC13">
        <v>4</v>
      </c>
      <c r="AD13" s="20">
        <v>22</v>
      </c>
      <c r="AE13" t="s">
        <v>674</v>
      </c>
      <c r="AF13" t="s">
        <v>27</v>
      </c>
    </row>
    <row r="14" spans="1:32" x14ac:dyDescent="0.3">
      <c r="A14" t="s">
        <v>35</v>
      </c>
      <c r="B14" t="s">
        <v>654</v>
      </c>
      <c r="C14" t="s">
        <v>20</v>
      </c>
      <c r="E14">
        <v>4.07</v>
      </c>
      <c r="F14">
        <v>0</v>
      </c>
      <c r="G14" s="20">
        <v>4.07</v>
      </c>
      <c r="H14">
        <v>653470</v>
      </c>
      <c r="I14" t="s">
        <v>2</v>
      </c>
      <c r="J14" t="s">
        <v>453</v>
      </c>
      <c r="K14" t="s">
        <v>454</v>
      </c>
      <c r="L14" t="s">
        <v>323</v>
      </c>
      <c r="M14" t="s">
        <v>698</v>
      </c>
      <c r="N14">
        <v>759555</v>
      </c>
      <c r="O14" t="s">
        <v>40</v>
      </c>
      <c r="P14" t="s">
        <v>656</v>
      </c>
      <c r="Q14">
        <v>38593</v>
      </c>
      <c r="R14" t="s">
        <v>33</v>
      </c>
      <c r="S14" t="s">
        <v>34</v>
      </c>
      <c r="T14" t="s">
        <v>657</v>
      </c>
      <c r="U14" t="s">
        <v>658</v>
      </c>
      <c r="V14" t="s">
        <v>659</v>
      </c>
      <c r="W14" t="s">
        <v>683</v>
      </c>
      <c r="X14" t="s">
        <v>661</v>
      </c>
      <c r="Y14" t="s">
        <v>455</v>
      </c>
      <c r="Z14" t="s">
        <v>699</v>
      </c>
      <c r="AA14" t="s">
        <v>36</v>
      </c>
      <c r="AB14" t="s">
        <v>663</v>
      </c>
      <c r="AC14">
        <v>5</v>
      </c>
      <c r="AD14" s="20">
        <v>11</v>
      </c>
      <c r="AE14" t="s">
        <v>664</v>
      </c>
      <c r="AF14" t="s">
        <v>27</v>
      </c>
    </row>
    <row r="15" spans="1:32" x14ac:dyDescent="0.3">
      <c r="A15" t="s">
        <v>35</v>
      </c>
      <c r="B15" t="s">
        <v>654</v>
      </c>
      <c r="C15" t="s">
        <v>20</v>
      </c>
      <c r="E15">
        <v>16</v>
      </c>
      <c r="F15">
        <v>0</v>
      </c>
      <c r="G15" s="20">
        <v>16</v>
      </c>
      <c r="H15">
        <v>653470</v>
      </c>
      <c r="I15" t="s">
        <v>2</v>
      </c>
      <c r="J15" t="s">
        <v>450</v>
      </c>
      <c r="K15" t="s">
        <v>451</v>
      </c>
      <c r="L15" t="s">
        <v>208</v>
      </c>
      <c r="M15" t="s">
        <v>655</v>
      </c>
      <c r="N15">
        <v>678726</v>
      </c>
      <c r="O15" t="s">
        <v>31</v>
      </c>
      <c r="P15" t="s">
        <v>656</v>
      </c>
      <c r="Q15">
        <v>45041</v>
      </c>
      <c r="R15" t="s">
        <v>96</v>
      </c>
      <c r="S15" t="s">
        <v>55</v>
      </c>
      <c r="T15" t="s">
        <v>657</v>
      </c>
      <c r="U15" t="s">
        <v>665</v>
      </c>
      <c r="V15" t="s">
        <v>666</v>
      </c>
      <c r="W15" t="s">
        <v>690</v>
      </c>
      <c r="X15" t="s">
        <v>672</v>
      </c>
      <c r="Y15" t="s">
        <v>456</v>
      </c>
      <c r="Z15" t="s">
        <v>691</v>
      </c>
      <c r="AA15" t="s">
        <v>36</v>
      </c>
      <c r="AB15" t="s">
        <v>663</v>
      </c>
      <c r="AC15">
        <v>17</v>
      </c>
      <c r="AD15" s="20">
        <v>50</v>
      </c>
      <c r="AE15" t="s">
        <v>670</v>
      </c>
      <c r="AF15" t="s">
        <v>27</v>
      </c>
    </row>
    <row r="16" spans="1:32" x14ac:dyDescent="0.3">
      <c r="A16" t="s">
        <v>35</v>
      </c>
      <c r="B16" t="s">
        <v>654</v>
      </c>
      <c r="C16" t="s">
        <v>20</v>
      </c>
      <c r="E16">
        <v>9.6</v>
      </c>
      <c r="F16">
        <v>0</v>
      </c>
      <c r="G16" s="20">
        <v>9.6</v>
      </c>
      <c r="H16">
        <v>653470</v>
      </c>
      <c r="I16" t="s">
        <v>2</v>
      </c>
      <c r="J16" t="s">
        <v>453</v>
      </c>
      <c r="K16" t="s">
        <v>454</v>
      </c>
      <c r="L16" t="s">
        <v>323</v>
      </c>
      <c r="M16" t="s">
        <v>698</v>
      </c>
      <c r="N16">
        <v>759555</v>
      </c>
      <c r="O16" t="s">
        <v>40</v>
      </c>
      <c r="P16" t="s">
        <v>656</v>
      </c>
      <c r="Q16">
        <v>42249</v>
      </c>
      <c r="R16" t="s">
        <v>149</v>
      </c>
      <c r="S16" t="s">
        <v>34</v>
      </c>
      <c r="T16" t="s">
        <v>657</v>
      </c>
      <c r="U16" t="s">
        <v>665</v>
      </c>
      <c r="V16" t="s">
        <v>666</v>
      </c>
      <c r="W16" t="s">
        <v>683</v>
      </c>
      <c r="X16" t="s">
        <v>661</v>
      </c>
      <c r="Y16" t="s">
        <v>457</v>
      </c>
      <c r="Z16" t="s">
        <v>699</v>
      </c>
      <c r="AA16" t="s">
        <v>36</v>
      </c>
      <c r="AB16" t="s">
        <v>663</v>
      </c>
      <c r="AC16">
        <v>5</v>
      </c>
      <c r="AD16" s="20">
        <v>40</v>
      </c>
      <c r="AE16" t="s">
        <v>674</v>
      </c>
      <c r="AF16" t="s">
        <v>27</v>
      </c>
    </row>
    <row r="17" spans="1:32" x14ac:dyDescent="0.3">
      <c r="A17" t="s">
        <v>35</v>
      </c>
      <c r="B17" t="s">
        <v>654</v>
      </c>
      <c r="C17" t="s">
        <v>20</v>
      </c>
      <c r="E17">
        <v>5.55</v>
      </c>
      <c r="F17">
        <v>0</v>
      </c>
      <c r="G17" s="20">
        <v>5.55</v>
      </c>
      <c r="H17">
        <v>653470</v>
      </c>
      <c r="I17" t="s">
        <v>2</v>
      </c>
      <c r="J17" t="s">
        <v>283</v>
      </c>
      <c r="K17" t="s">
        <v>284</v>
      </c>
      <c r="L17" t="s">
        <v>285</v>
      </c>
      <c r="M17" t="s">
        <v>684</v>
      </c>
      <c r="N17">
        <v>655758</v>
      </c>
      <c r="O17" t="s">
        <v>286</v>
      </c>
      <c r="P17" t="s">
        <v>656</v>
      </c>
      <c r="Q17">
        <v>38593</v>
      </c>
      <c r="R17" t="s">
        <v>33</v>
      </c>
      <c r="S17" t="s">
        <v>70</v>
      </c>
      <c r="T17" t="s">
        <v>657</v>
      </c>
      <c r="U17" t="s">
        <v>658</v>
      </c>
      <c r="V17" t="s">
        <v>659</v>
      </c>
      <c r="W17" t="s">
        <v>700</v>
      </c>
      <c r="X17" t="s">
        <v>661</v>
      </c>
      <c r="Y17" t="s">
        <v>348</v>
      </c>
      <c r="Z17" t="s">
        <v>701</v>
      </c>
      <c r="AA17" t="s">
        <v>36</v>
      </c>
      <c r="AB17" t="s">
        <v>678</v>
      </c>
      <c r="AC17">
        <v>5</v>
      </c>
      <c r="AD17" s="20">
        <v>15</v>
      </c>
      <c r="AE17" t="s">
        <v>664</v>
      </c>
      <c r="AF17" t="s">
        <v>27</v>
      </c>
    </row>
    <row r="18" spans="1:32" x14ac:dyDescent="0.3">
      <c r="A18" t="s">
        <v>35</v>
      </c>
      <c r="B18" t="s">
        <v>654</v>
      </c>
      <c r="C18" t="s">
        <v>20</v>
      </c>
      <c r="E18">
        <v>0.6</v>
      </c>
      <c r="F18">
        <v>0</v>
      </c>
      <c r="G18" s="20">
        <v>0.6</v>
      </c>
      <c r="H18">
        <v>653470</v>
      </c>
      <c r="I18" t="s">
        <v>2</v>
      </c>
      <c r="J18" t="s">
        <v>458</v>
      </c>
      <c r="K18" t="s">
        <v>459</v>
      </c>
      <c r="L18" t="s">
        <v>460</v>
      </c>
      <c r="M18" t="s">
        <v>684</v>
      </c>
      <c r="N18">
        <v>711419</v>
      </c>
      <c r="O18" t="s">
        <v>250</v>
      </c>
      <c r="P18" t="s">
        <v>656</v>
      </c>
      <c r="Q18">
        <v>38593</v>
      </c>
      <c r="R18" t="s">
        <v>33</v>
      </c>
      <c r="S18" t="s">
        <v>78</v>
      </c>
      <c r="T18" t="s">
        <v>657</v>
      </c>
      <c r="U18" t="s">
        <v>658</v>
      </c>
      <c r="V18" t="s">
        <v>659</v>
      </c>
      <c r="W18" t="s">
        <v>702</v>
      </c>
      <c r="X18" t="s">
        <v>703</v>
      </c>
      <c r="Y18" t="s">
        <v>461</v>
      </c>
      <c r="Z18" t="s">
        <v>704</v>
      </c>
      <c r="AA18" t="s">
        <v>36</v>
      </c>
      <c r="AB18" t="s">
        <v>663</v>
      </c>
      <c r="AC18">
        <v>10</v>
      </c>
      <c r="AD18" s="20">
        <v>20</v>
      </c>
      <c r="AE18" t="s">
        <v>705</v>
      </c>
      <c r="AF18" t="s">
        <v>27</v>
      </c>
    </row>
    <row r="19" spans="1:32" x14ac:dyDescent="0.3">
      <c r="A19" t="s">
        <v>35</v>
      </c>
      <c r="B19" t="s">
        <v>654</v>
      </c>
      <c r="C19" t="s">
        <v>20</v>
      </c>
      <c r="E19">
        <v>10.08</v>
      </c>
      <c r="F19">
        <v>0</v>
      </c>
      <c r="G19" s="20">
        <v>10.08</v>
      </c>
      <c r="H19">
        <v>653470</v>
      </c>
      <c r="I19" t="s">
        <v>2</v>
      </c>
      <c r="J19" t="s">
        <v>362</v>
      </c>
      <c r="K19" t="s">
        <v>363</v>
      </c>
      <c r="L19" t="s">
        <v>364</v>
      </c>
      <c r="M19" t="s">
        <v>684</v>
      </c>
      <c r="N19">
        <v>820877</v>
      </c>
      <c r="O19" t="s">
        <v>179</v>
      </c>
      <c r="P19" t="s">
        <v>656</v>
      </c>
      <c r="Q19">
        <v>38398</v>
      </c>
      <c r="R19" t="s">
        <v>54</v>
      </c>
      <c r="S19" t="s">
        <v>34</v>
      </c>
      <c r="T19" t="s">
        <v>657</v>
      </c>
      <c r="U19" t="s">
        <v>665</v>
      </c>
      <c r="V19" t="s">
        <v>666</v>
      </c>
      <c r="W19" t="s">
        <v>702</v>
      </c>
      <c r="X19" t="s">
        <v>703</v>
      </c>
      <c r="Y19" t="s">
        <v>462</v>
      </c>
      <c r="Z19" t="s">
        <v>706</v>
      </c>
      <c r="AA19" t="s">
        <v>36</v>
      </c>
      <c r="AB19" t="s">
        <v>663</v>
      </c>
      <c r="AC19">
        <v>10</v>
      </c>
      <c r="AD19" s="20">
        <v>42</v>
      </c>
      <c r="AE19" t="s">
        <v>674</v>
      </c>
      <c r="AF19" t="s">
        <v>27</v>
      </c>
    </row>
    <row r="20" spans="1:32" x14ac:dyDescent="0.3">
      <c r="A20" t="s">
        <v>35</v>
      </c>
      <c r="B20" t="s">
        <v>654</v>
      </c>
      <c r="C20" t="s">
        <v>20</v>
      </c>
      <c r="E20">
        <v>12.96</v>
      </c>
      <c r="F20">
        <v>0</v>
      </c>
      <c r="G20" s="20">
        <v>12.96</v>
      </c>
      <c r="H20">
        <v>653470</v>
      </c>
      <c r="I20" t="s">
        <v>2</v>
      </c>
      <c r="J20" t="s">
        <v>283</v>
      </c>
      <c r="K20" t="s">
        <v>284</v>
      </c>
      <c r="L20" t="s">
        <v>285</v>
      </c>
      <c r="M20" t="s">
        <v>684</v>
      </c>
      <c r="N20">
        <v>655758</v>
      </c>
      <c r="O20" t="s">
        <v>286</v>
      </c>
      <c r="P20" t="s">
        <v>656</v>
      </c>
      <c r="Q20">
        <v>47133</v>
      </c>
      <c r="R20" t="s">
        <v>238</v>
      </c>
      <c r="S20" t="s">
        <v>55</v>
      </c>
      <c r="T20" t="s">
        <v>657</v>
      </c>
      <c r="U20" t="s">
        <v>665</v>
      </c>
      <c r="V20" t="s">
        <v>666</v>
      </c>
      <c r="W20" t="s">
        <v>700</v>
      </c>
      <c r="X20" t="s">
        <v>661</v>
      </c>
      <c r="Y20" t="s">
        <v>287</v>
      </c>
      <c r="Z20" t="s">
        <v>701</v>
      </c>
      <c r="AA20" t="s">
        <v>36</v>
      </c>
      <c r="AB20" t="s">
        <v>678</v>
      </c>
      <c r="AC20">
        <v>5</v>
      </c>
      <c r="AD20" s="20">
        <v>54</v>
      </c>
      <c r="AE20" t="s">
        <v>674</v>
      </c>
      <c r="AF20" t="s">
        <v>27</v>
      </c>
    </row>
    <row r="21" spans="1:32" x14ac:dyDescent="0.3">
      <c r="A21" t="s">
        <v>35</v>
      </c>
      <c r="B21" t="s">
        <v>654</v>
      </c>
      <c r="C21" t="s">
        <v>20</v>
      </c>
      <c r="E21">
        <v>17.28</v>
      </c>
      <c r="F21">
        <v>0</v>
      </c>
      <c r="G21" s="20">
        <v>17.28</v>
      </c>
      <c r="H21">
        <v>653470</v>
      </c>
      <c r="I21" t="s">
        <v>2</v>
      </c>
      <c r="J21" t="s">
        <v>420</v>
      </c>
      <c r="K21" t="s">
        <v>421</v>
      </c>
      <c r="L21" t="s">
        <v>422</v>
      </c>
      <c r="M21" t="s">
        <v>655</v>
      </c>
      <c r="N21">
        <v>798992</v>
      </c>
      <c r="O21" t="s">
        <v>198</v>
      </c>
      <c r="P21" t="s">
        <v>656</v>
      </c>
      <c r="Q21">
        <v>49819</v>
      </c>
      <c r="R21" t="s">
        <v>72</v>
      </c>
      <c r="S21" t="s">
        <v>34</v>
      </c>
      <c r="T21" t="s">
        <v>657</v>
      </c>
      <c r="U21" t="s">
        <v>665</v>
      </c>
      <c r="V21" t="s">
        <v>666</v>
      </c>
      <c r="W21" t="s">
        <v>707</v>
      </c>
      <c r="X21" t="s">
        <v>278</v>
      </c>
      <c r="Y21" t="s">
        <v>424</v>
      </c>
      <c r="Z21" t="s">
        <v>708</v>
      </c>
      <c r="AA21" t="s">
        <v>36</v>
      </c>
      <c r="AB21" t="s">
        <v>678</v>
      </c>
      <c r="AC21">
        <v>2</v>
      </c>
      <c r="AD21" s="20">
        <v>72</v>
      </c>
      <c r="AE21" t="s">
        <v>674</v>
      </c>
      <c r="AF21" t="s">
        <v>27</v>
      </c>
    </row>
    <row r="22" spans="1:32" x14ac:dyDescent="0.3">
      <c r="A22" t="s">
        <v>35</v>
      </c>
      <c r="B22" t="s">
        <v>654</v>
      </c>
      <c r="C22" t="s">
        <v>20</v>
      </c>
      <c r="E22">
        <v>4.07</v>
      </c>
      <c r="F22">
        <v>0</v>
      </c>
      <c r="G22" s="20">
        <v>4.07</v>
      </c>
      <c r="H22">
        <v>653470</v>
      </c>
      <c r="I22" t="s">
        <v>2</v>
      </c>
      <c r="J22" t="s">
        <v>446</v>
      </c>
      <c r="K22" t="s">
        <v>447</v>
      </c>
      <c r="L22" t="s">
        <v>448</v>
      </c>
      <c r="M22" t="s">
        <v>655</v>
      </c>
      <c r="N22">
        <v>798992</v>
      </c>
      <c r="O22" t="s">
        <v>198</v>
      </c>
      <c r="P22" t="s">
        <v>656</v>
      </c>
      <c r="Q22">
        <v>38593</v>
      </c>
      <c r="R22" t="s">
        <v>33</v>
      </c>
      <c r="S22" t="s">
        <v>34</v>
      </c>
      <c r="T22" t="s">
        <v>657</v>
      </c>
      <c r="U22" t="s">
        <v>658</v>
      </c>
      <c r="V22" t="s">
        <v>659</v>
      </c>
      <c r="W22" t="s">
        <v>709</v>
      </c>
      <c r="X22" t="s">
        <v>703</v>
      </c>
      <c r="Y22" t="s">
        <v>449</v>
      </c>
      <c r="Z22" t="s">
        <v>710</v>
      </c>
      <c r="AA22" t="s">
        <v>36</v>
      </c>
      <c r="AB22" t="s">
        <v>663</v>
      </c>
      <c r="AC22">
        <v>10</v>
      </c>
      <c r="AD22" s="20">
        <v>11</v>
      </c>
      <c r="AE22" t="s">
        <v>664</v>
      </c>
      <c r="AF22" t="s">
        <v>27</v>
      </c>
    </row>
    <row r="23" spans="1:32" x14ac:dyDescent="0.3">
      <c r="A23" t="s">
        <v>35</v>
      </c>
      <c r="B23" t="s">
        <v>654</v>
      </c>
      <c r="C23" t="s">
        <v>20</v>
      </c>
      <c r="E23">
        <v>4.07</v>
      </c>
      <c r="F23">
        <v>0</v>
      </c>
      <c r="G23" s="20">
        <v>4.07</v>
      </c>
      <c r="H23">
        <v>653470</v>
      </c>
      <c r="I23" t="s">
        <v>2</v>
      </c>
      <c r="J23" t="s">
        <v>420</v>
      </c>
      <c r="K23" t="s">
        <v>421</v>
      </c>
      <c r="L23" t="s">
        <v>422</v>
      </c>
      <c r="M23" t="s">
        <v>655</v>
      </c>
      <c r="N23">
        <v>798992</v>
      </c>
      <c r="O23" t="s">
        <v>198</v>
      </c>
      <c r="P23" t="s">
        <v>656</v>
      </c>
      <c r="Q23">
        <v>38593</v>
      </c>
      <c r="R23" t="s">
        <v>33</v>
      </c>
      <c r="S23" t="s">
        <v>34</v>
      </c>
      <c r="T23" t="s">
        <v>657</v>
      </c>
      <c r="U23" t="s">
        <v>658</v>
      </c>
      <c r="V23" t="s">
        <v>659</v>
      </c>
      <c r="W23" t="s">
        <v>707</v>
      </c>
      <c r="X23" t="s">
        <v>278</v>
      </c>
      <c r="Y23" t="s">
        <v>423</v>
      </c>
      <c r="Z23" t="s">
        <v>708</v>
      </c>
      <c r="AA23" t="s">
        <v>36</v>
      </c>
      <c r="AB23" t="s">
        <v>678</v>
      </c>
      <c r="AC23">
        <v>2</v>
      </c>
      <c r="AD23" s="20">
        <v>11</v>
      </c>
      <c r="AE23" t="s">
        <v>664</v>
      </c>
      <c r="AF23" t="s">
        <v>27</v>
      </c>
    </row>
    <row r="24" spans="1:32" x14ac:dyDescent="0.3">
      <c r="A24" t="s">
        <v>35</v>
      </c>
      <c r="B24" t="s">
        <v>654</v>
      </c>
      <c r="C24" t="s">
        <v>20</v>
      </c>
      <c r="E24">
        <v>0.33</v>
      </c>
      <c r="F24">
        <v>0</v>
      </c>
      <c r="G24" s="20">
        <v>0.33</v>
      </c>
      <c r="H24">
        <v>653470</v>
      </c>
      <c r="I24" t="s">
        <v>2</v>
      </c>
      <c r="J24" t="s">
        <v>355</v>
      </c>
      <c r="K24" t="s">
        <v>50</v>
      </c>
      <c r="L24" t="s">
        <v>356</v>
      </c>
      <c r="M24" t="s">
        <v>684</v>
      </c>
      <c r="N24">
        <v>711419</v>
      </c>
      <c r="O24" t="s">
        <v>250</v>
      </c>
      <c r="P24" t="s">
        <v>656</v>
      </c>
      <c r="Q24">
        <v>38593</v>
      </c>
      <c r="R24" t="s">
        <v>33</v>
      </c>
      <c r="S24" t="s">
        <v>34</v>
      </c>
      <c r="T24" t="s">
        <v>657</v>
      </c>
      <c r="U24" t="s">
        <v>658</v>
      </c>
      <c r="V24" t="s">
        <v>659</v>
      </c>
      <c r="W24" t="s">
        <v>711</v>
      </c>
      <c r="X24" t="s">
        <v>696</v>
      </c>
      <c r="Y24" t="s">
        <v>385</v>
      </c>
      <c r="Z24" t="s">
        <v>712</v>
      </c>
      <c r="AA24" t="s">
        <v>36</v>
      </c>
      <c r="AB24" t="s">
        <v>663</v>
      </c>
      <c r="AC24">
        <v>4</v>
      </c>
      <c r="AD24" s="20">
        <v>11</v>
      </c>
      <c r="AE24" t="s">
        <v>705</v>
      </c>
      <c r="AF24" t="s">
        <v>27</v>
      </c>
    </row>
    <row r="25" spans="1:32" x14ac:dyDescent="0.3">
      <c r="A25" t="s">
        <v>35</v>
      </c>
      <c r="B25" t="s">
        <v>654</v>
      </c>
      <c r="C25" t="s">
        <v>20</v>
      </c>
      <c r="E25">
        <v>1.2</v>
      </c>
      <c r="F25">
        <v>0</v>
      </c>
      <c r="G25" s="20">
        <v>1.2</v>
      </c>
      <c r="H25">
        <v>653470</v>
      </c>
      <c r="I25" t="s">
        <v>2</v>
      </c>
      <c r="J25" t="s">
        <v>355</v>
      </c>
      <c r="K25" t="s">
        <v>50</v>
      </c>
      <c r="L25" t="s">
        <v>356</v>
      </c>
      <c r="M25" t="s">
        <v>684</v>
      </c>
      <c r="N25">
        <v>711419</v>
      </c>
      <c r="O25" t="s">
        <v>250</v>
      </c>
      <c r="P25" t="s">
        <v>656</v>
      </c>
      <c r="Q25">
        <v>42249</v>
      </c>
      <c r="R25" t="s">
        <v>149</v>
      </c>
      <c r="S25" t="s">
        <v>34</v>
      </c>
      <c r="T25" t="s">
        <v>657</v>
      </c>
      <c r="U25" t="s">
        <v>665</v>
      </c>
      <c r="V25" t="s">
        <v>666</v>
      </c>
      <c r="W25" t="s">
        <v>711</v>
      </c>
      <c r="X25" t="s">
        <v>696</v>
      </c>
      <c r="Y25" t="s">
        <v>357</v>
      </c>
      <c r="Z25" t="s">
        <v>712</v>
      </c>
      <c r="AA25" t="s">
        <v>36</v>
      </c>
      <c r="AB25" t="s">
        <v>663</v>
      </c>
      <c r="AC25">
        <v>4</v>
      </c>
      <c r="AD25" s="20">
        <v>40</v>
      </c>
      <c r="AE25" t="s">
        <v>705</v>
      </c>
      <c r="AF25" t="s">
        <v>27</v>
      </c>
    </row>
    <row r="26" spans="1:32" x14ac:dyDescent="0.3">
      <c r="A26" t="s">
        <v>35</v>
      </c>
      <c r="B26" t="s">
        <v>654</v>
      </c>
      <c r="C26" t="s">
        <v>20</v>
      </c>
      <c r="E26">
        <v>14.4</v>
      </c>
      <c r="F26">
        <v>0</v>
      </c>
      <c r="G26" s="20">
        <v>14.4</v>
      </c>
      <c r="H26">
        <v>653470</v>
      </c>
      <c r="I26" t="s">
        <v>2</v>
      </c>
      <c r="J26" t="s">
        <v>358</v>
      </c>
      <c r="K26" t="s">
        <v>359</v>
      </c>
      <c r="L26" t="s">
        <v>360</v>
      </c>
      <c r="M26" t="s">
        <v>684</v>
      </c>
      <c r="N26">
        <v>689390</v>
      </c>
      <c r="O26" t="s">
        <v>52</v>
      </c>
      <c r="P26" t="s">
        <v>656</v>
      </c>
      <c r="Q26">
        <v>38399</v>
      </c>
      <c r="R26" t="s">
        <v>72</v>
      </c>
      <c r="S26" t="s">
        <v>34</v>
      </c>
      <c r="T26" t="s">
        <v>657</v>
      </c>
      <c r="U26" t="s">
        <v>665</v>
      </c>
      <c r="V26" t="s">
        <v>666</v>
      </c>
      <c r="W26" t="s">
        <v>713</v>
      </c>
      <c r="X26" t="s">
        <v>714</v>
      </c>
      <c r="Y26" t="s">
        <v>361</v>
      </c>
      <c r="Z26" t="s">
        <v>715</v>
      </c>
      <c r="AA26" t="s">
        <v>36</v>
      </c>
      <c r="AB26" t="s">
        <v>663</v>
      </c>
      <c r="AC26">
        <v>31</v>
      </c>
      <c r="AD26" s="20">
        <v>60</v>
      </c>
      <c r="AE26" t="s">
        <v>674</v>
      </c>
      <c r="AF26" t="s">
        <v>27</v>
      </c>
    </row>
    <row r="27" spans="1:32" x14ac:dyDescent="0.3">
      <c r="A27" t="s">
        <v>35</v>
      </c>
      <c r="B27" t="s">
        <v>654</v>
      </c>
      <c r="C27" t="s">
        <v>20</v>
      </c>
      <c r="E27">
        <v>4.07</v>
      </c>
      <c r="F27">
        <v>0</v>
      </c>
      <c r="G27" s="20">
        <v>4.07</v>
      </c>
      <c r="H27">
        <v>653470</v>
      </c>
      <c r="I27" t="s">
        <v>2</v>
      </c>
      <c r="J27" t="s">
        <v>362</v>
      </c>
      <c r="K27" t="s">
        <v>363</v>
      </c>
      <c r="L27" t="s">
        <v>364</v>
      </c>
      <c r="M27" t="s">
        <v>684</v>
      </c>
      <c r="N27">
        <v>820877</v>
      </c>
      <c r="O27" t="s">
        <v>179</v>
      </c>
      <c r="P27" t="s">
        <v>656</v>
      </c>
      <c r="Q27">
        <v>38593</v>
      </c>
      <c r="R27" t="s">
        <v>33</v>
      </c>
      <c r="S27" t="s">
        <v>34</v>
      </c>
      <c r="T27" t="s">
        <v>657</v>
      </c>
      <c r="U27" t="s">
        <v>658</v>
      </c>
      <c r="V27" t="s">
        <v>659</v>
      </c>
      <c r="W27" t="s">
        <v>702</v>
      </c>
      <c r="X27" t="s">
        <v>703</v>
      </c>
      <c r="Y27" t="s">
        <v>365</v>
      </c>
      <c r="Z27" t="s">
        <v>706</v>
      </c>
      <c r="AA27" t="s">
        <v>36</v>
      </c>
      <c r="AB27" t="s">
        <v>663</v>
      </c>
      <c r="AC27">
        <v>10</v>
      </c>
      <c r="AD27" s="20">
        <v>11</v>
      </c>
      <c r="AE27" t="s">
        <v>664</v>
      </c>
      <c r="AF27" t="s">
        <v>27</v>
      </c>
    </row>
    <row r="28" spans="1:32" x14ac:dyDescent="0.3">
      <c r="A28" t="s">
        <v>370</v>
      </c>
      <c r="B28" t="s">
        <v>654</v>
      </c>
      <c r="C28" t="s">
        <v>20</v>
      </c>
      <c r="E28">
        <v>9.6</v>
      </c>
      <c r="F28">
        <v>0</v>
      </c>
      <c r="G28" s="20">
        <v>9.6</v>
      </c>
      <c r="H28">
        <v>653470</v>
      </c>
      <c r="I28" t="s">
        <v>2</v>
      </c>
      <c r="J28" t="s">
        <v>366</v>
      </c>
      <c r="K28" t="s">
        <v>367</v>
      </c>
      <c r="L28" t="s">
        <v>368</v>
      </c>
      <c r="M28" t="s">
        <v>655</v>
      </c>
      <c r="N28">
        <v>706472</v>
      </c>
      <c r="O28" t="s">
        <v>184</v>
      </c>
      <c r="P28" t="s">
        <v>656</v>
      </c>
      <c r="Q28">
        <v>45041</v>
      </c>
      <c r="R28" t="s">
        <v>96</v>
      </c>
      <c r="S28" t="s">
        <v>34</v>
      </c>
      <c r="T28" t="s">
        <v>657</v>
      </c>
      <c r="U28" t="s">
        <v>665</v>
      </c>
      <c r="V28" t="s">
        <v>666</v>
      </c>
      <c r="W28" t="s">
        <v>716</v>
      </c>
      <c r="X28" t="s">
        <v>717</v>
      </c>
      <c r="Y28" t="s">
        <v>369</v>
      </c>
      <c r="Z28" t="s">
        <v>718</v>
      </c>
      <c r="AA28" t="s">
        <v>36</v>
      </c>
      <c r="AB28" t="s">
        <v>663</v>
      </c>
      <c r="AC28">
        <v>19</v>
      </c>
      <c r="AD28" s="20">
        <v>30</v>
      </c>
      <c r="AE28" t="s">
        <v>670</v>
      </c>
      <c r="AF28" t="s">
        <v>27</v>
      </c>
    </row>
    <row r="29" spans="1:32" x14ac:dyDescent="0.3">
      <c r="A29" t="s">
        <v>370</v>
      </c>
      <c r="B29" t="s">
        <v>654</v>
      </c>
      <c r="C29" t="s">
        <v>20</v>
      </c>
      <c r="E29">
        <v>8</v>
      </c>
      <c r="F29">
        <v>0</v>
      </c>
      <c r="G29" s="20">
        <v>8</v>
      </c>
      <c r="H29">
        <v>653470</v>
      </c>
      <c r="I29" t="s">
        <v>2</v>
      </c>
      <c r="J29" t="s">
        <v>371</v>
      </c>
      <c r="K29" t="s">
        <v>372</v>
      </c>
      <c r="L29" t="s">
        <v>373</v>
      </c>
      <c r="M29" t="s">
        <v>679</v>
      </c>
      <c r="N29">
        <v>749876</v>
      </c>
      <c r="O29" t="s">
        <v>374</v>
      </c>
      <c r="P29" t="s">
        <v>656</v>
      </c>
      <c r="Q29">
        <v>45041</v>
      </c>
      <c r="R29" t="s">
        <v>96</v>
      </c>
      <c r="S29" t="s">
        <v>34</v>
      </c>
      <c r="T29" t="s">
        <v>657</v>
      </c>
      <c r="U29" t="s">
        <v>665</v>
      </c>
      <c r="V29" t="s">
        <v>666</v>
      </c>
      <c r="W29" t="s">
        <v>719</v>
      </c>
      <c r="X29" t="s">
        <v>693</v>
      </c>
      <c r="Y29" t="s">
        <v>375</v>
      </c>
      <c r="Z29" t="s">
        <v>720</v>
      </c>
      <c r="AA29" t="s">
        <v>36</v>
      </c>
      <c r="AB29" t="s">
        <v>663</v>
      </c>
      <c r="AC29">
        <v>16</v>
      </c>
      <c r="AD29" s="20">
        <v>25</v>
      </c>
      <c r="AE29" t="s">
        <v>670</v>
      </c>
      <c r="AF29" t="s">
        <v>27</v>
      </c>
    </row>
    <row r="30" spans="1:32" x14ac:dyDescent="0.3">
      <c r="A30" t="s">
        <v>370</v>
      </c>
      <c r="B30" t="s">
        <v>654</v>
      </c>
      <c r="C30" t="s">
        <v>20</v>
      </c>
      <c r="E30">
        <v>8</v>
      </c>
      <c r="F30">
        <v>0</v>
      </c>
      <c r="G30" s="20">
        <v>8</v>
      </c>
      <c r="H30">
        <v>653470</v>
      </c>
      <c r="I30" t="s">
        <v>2</v>
      </c>
      <c r="J30" t="s">
        <v>376</v>
      </c>
      <c r="K30" t="s">
        <v>377</v>
      </c>
      <c r="L30" t="s">
        <v>378</v>
      </c>
      <c r="M30" t="s">
        <v>655</v>
      </c>
      <c r="N30">
        <v>678726</v>
      </c>
      <c r="O30" t="s">
        <v>31</v>
      </c>
      <c r="P30" t="s">
        <v>656</v>
      </c>
      <c r="Q30">
        <v>45041</v>
      </c>
      <c r="R30" t="s">
        <v>96</v>
      </c>
      <c r="S30" t="s">
        <v>34</v>
      </c>
      <c r="T30" t="s">
        <v>657</v>
      </c>
      <c r="U30" t="s">
        <v>665</v>
      </c>
      <c r="V30" t="s">
        <v>666</v>
      </c>
      <c r="W30" t="s">
        <v>721</v>
      </c>
      <c r="X30" t="s">
        <v>722</v>
      </c>
      <c r="Y30" t="s">
        <v>379</v>
      </c>
      <c r="Z30" t="s">
        <v>723</v>
      </c>
      <c r="AA30" t="s">
        <v>36</v>
      </c>
      <c r="AB30" t="s">
        <v>663</v>
      </c>
      <c r="AC30">
        <v>15</v>
      </c>
      <c r="AD30" s="20">
        <v>25</v>
      </c>
      <c r="AE30" t="s">
        <v>670</v>
      </c>
      <c r="AF30" t="s">
        <v>27</v>
      </c>
    </row>
    <row r="31" spans="1:32" x14ac:dyDescent="0.3">
      <c r="A31" t="s">
        <v>370</v>
      </c>
      <c r="B31" t="s">
        <v>654</v>
      </c>
      <c r="C31" t="s">
        <v>20</v>
      </c>
      <c r="E31">
        <v>4.07</v>
      </c>
      <c r="F31">
        <v>0</v>
      </c>
      <c r="G31" s="20">
        <v>4.07</v>
      </c>
      <c r="H31">
        <v>653470</v>
      </c>
      <c r="I31" t="s">
        <v>2</v>
      </c>
      <c r="J31" t="s">
        <v>376</v>
      </c>
      <c r="K31" t="s">
        <v>377</v>
      </c>
      <c r="L31" t="s">
        <v>378</v>
      </c>
      <c r="M31" t="s">
        <v>655</v>
      </c>
      <c r="N31">
        <v>678726</v>
      </c>
      <c r="O31" t="s">
        <v>31</v>
      </c>
      <c r="P31" t="s">
        <v>656</v>
      </c>
      <c r="Q31">
        <v>38967</v>
      </c>
      <c r="R31" t="s">
        <v>33</v>
      </c>
      <c r="S31" t="s">
        <v>34</v>
      </c>
      <c r="T31" t="s">
        <v>657</v>
      </c>
      <c r="U31" t="s">
        <v>658</v>
      </c>
      <c r="V31" t="s">
        <v>659</v>
      </c>
      <c r="W31" t="s">
        <v>724</v>
      </c>
      <c r="X31" t="s">
        <v>672</v>
      </c>
      <c r="Y31" t="s">
        <v>380</v>
      </c>
      <c r="Z31" t="s">
        <v>723</v>
      </c>
      <c r="AA31" t="s">
        <v>36</v>
      </c>
      <c r="AB31" t="s">
        <v>663</v>
      </c>
      <c r="AC31">
        <v>6</v>
      </c>
      <c r="AD31" s="20">
        <v>11</v>
      </c>
      <c r="AE31" t="s">
        <v>664</v>
      </c>
      <c r="AF31" t="s">
        <v>27</v>
      </c>
    </row>
    <row r="32" spans="1:32" x14ac:dyDescent="0.3">
      <c r="A32" t="s">
        <v>370</v>
      </c>
      <c r="B32" t="s">
        <v>654</v>
      </c>
      <c r="C32" t="s">
        <v>20</v>
      </c>
      <c r="E32">
        <v>8</v>
      </c>
      <c r="F32">
        <v>0</v>
      </c>
      <c r="G32" s="20">
        <v>8</v>
      </c>
      <c r="H32">
        <v>653470</v>
      </c>
      <c r="I32" t="s">
        <v>2</v>
      </c>
      <c r="J32" t="s">
        <v>381</v>
      </c>
      <c r="K32" t="s">
        <v>382</v>
      </c>
      <c r="L32" t="s">
        <v>383</v>
      </c>
      <c r="M32" t="s">
        <v>655</v>
      </c>
      <c r="N32">
        <v>678726</v>
      </c>
      <c r="O32" t="s">
        <v>31</v>
      </c>
      <c r="P32" t="s">
        <v>656</v>
      </c>
      <c r="Q32">
        <v>45041</v>
      </c>
      <c r="R32" t="s">
        <v>96</v>
      </c>
      <c r="S32" t="s">
        <v>34</v>
      </c>
      <c r="T32" t="s">
        <v>657</v>
      </c>
      <c r="U32" t="s">
        <v>665</v>
      </c>
      <c r="V32" t="s">
        <v>666</v>
      </c>
      <c r="W32" t="s">
        <v>725</v>
      </c>
      <c r="X32" t="s">
        <v>726</v>
      </c>
      <c r="Y32" t="s">
        <v>384</v>
      </c>
      <c r="Z32" t="s">
        <v>727</v>
      </c>
      <c r="AA32" t="s">
        <v>36</v>
      </c>
      <c r="AB32" t="s">
        <v>663</v>
      </c>
      <c r="AC32">
        <v>18</v>
      </c>
      <c r="AD32" s="20">
        <v>25</v>
      </c>
      <c r="AE32" t="s">
        <v>670</v>
      </c>
      <c r="AF32" t="s">
        <v>27</v>
      </c>
    </row>
    <row r="33" spans="1:32" x14ac:dyDescent="0.3">
      <c r="A33" t="s">
        <v>390</v>
      </c>
      <c r="B33" t="s">
        <v>654</v>
      </c>
      <c r="C33" t="s">
        <v>20</v>
      </c>
      <c r="E33">
        <v>9.6</v>
      </c>
      <c r="F33">
        <v>0</v>
      </c>
      <c r="G33" s="20">
        <v>9.6</v>
      </c>
      <c r="H33">
        <v>653470</v>
      </c>
      <c r="I33" t="s">
        <v>2</v>
      </c>
      <c r="J33" t="s">
        <v>386</v>
      </c>
      <c r="K33" t="s">
        <v>387</v>
      </c>
      <c r="L33" t="s">
        <v>388</v>
      </c>
      <c r="M33" t="s">
        <v>655</v>
      </c>
      <c r="N33">
        <v>678726</v>
      </c>
      <c r="O33" t="s">
        <v>31</v>
      </c>
      <c r="P33" t="s">
        <v>656</v>
      </c>
      <c r="Q33">
        <v>45041</v>
      </c>
      <c r="R33" t="s">
        <v>96</v>
      </c>
      <c r="S33" t="s">
        <v>34</v>
      </c>
      <c r="T33" t="s">
        <v>657</v>
      </c>
      <c r="U33" t="s">
        <v>665</v>
      </c>
      <c r="V33" t="s">
        <v>666</v>
      </c>
      <c r="W33" t="s">
        <v>728</v>
      </c>
      <c r="X33" t="s">
        <v>676</v>
      </c>
      <c r="Y33" t="s">
        <v>389</v>
      </c>
      <c r="Z33" t="s">
        <v>729</v>
      </c>
      <c r="AA33" t="s">
        <v>36</v>
      </c>
      <c r="AB33" t="s">
        <v>663</v>
      </c>
      <c r="AC33">
        <v>17</v>
      </c>
      <c r="AD33" s="20">
        <v>30</v>
      </c>
      <c r="AE33" t="s">
        <v>670</v>
      </c>
      <c r="AF33" t="s">
        <v>27</v>
      </c>
    </row>
    <row r="34" spans="1:32" x14ac:dyDescent="0.3">
      <c r="A34" t="s">
        <v>390</v>
      </c>
      <c r="B34" t="s">
        <v>654</v>
      </c>
      <c r="C34" t="s">
        <v>20</v>
      </c>
      <c r="E34">
        <v>1.2</v>
      </c>
      <c r="F34">
        <v>0</v>
      </c>
      <c r="G34" s="20">
        <v>1.2</v>
      </c>
      <c r="H34">
        <v>653470</v>
      </c>
      <c r="I34" t="s">
        <v>2</v>
      </c>
      <c r="J34" t="s">
        <v>391</v>
      </c>
      <c r="K34" t="s">
        <v>392</v>
      </c>
      <c r="L34" t="s">
        <v>356</v>
      </c>
      <c r="M34" t="s">
        <v>684</v>
      </c>
      <c r="N34">
        <v>711419</v>
      </c>
      <c r="O34" t="s">
        <v>250</v>
      </c>
      <c r="P34" t="s">
        <v>656</v>
      </c>
      <c r="Q34">
        <v>42249</v>
      </c>
      <c r="R34" t="s">
        <v>149</v>
      </c>
      <c r="S34" t="s">
        <v>34</v>
      </c>
      <c r="T34" t="s">
        <v>657</v>
      </c>
      <c r="U34" t="s">
        <v>665</v>
      </c>
      <c r="V34" t="s">
        <v>666</v>
      </c>
      <c r="W34" t="s">
        <v>711</v>
      </c>
      <c r="X34" t="s">
        <v>696</v>
      </c>
      <c r="Y34" t="s">
        <v>416</v>
      </c>
      <c r="Z34" t="s">
        <v>730</v>
      </c>
      <c r="AA34" t="s">
        <v>36</v>
      </c>
      <c r="AB34" t="s">
        <v>663</v>
      </c>
      <c r="AC34">
        <v>4</v>
      </c>
      <c r="AD34" s="20">
        <v>40</v>
      </c>
      <c r="AE34" t="s">
        <v>705</v>
      </c>
      <c r="AF34" t="s">
        <v>27</v>
      </c>
    </row>
    <row r="35" spans="1:32" x14ac:dyDescent="0.3">
      <c r="A35" t="s">
        <v>390</v>
      </c>
      <c r="B35" t="s">
        <v>654</v>
      </c>
      <c r="C35" t="s">
        <v>20</v>
      </c>
      <c r="E35">
        <v>0.33</v>
      </c>
      <c r="F35">
        <v>0</v>
      </c>
      <c r="G35" s="20">
        <v>0.33</v>
      </c>
      <c r="H35">
        <v>653470</v>
      </c>
      <c r="I35" t="s">
        <v>2</v>
      </c>
      <c r="J35" t="s">
        <v>391</v>
      </c>
      <c r="K35" t="s">
        <v>392</v>
      </c>
      <c r="L35" t="s">
        <v>356</v>
      </c>
      <c r="M35" t="s">
        <v>684</v>
      </c>
      <c r="N35">
        <v>711419</v>
      </c>
      <c r="O35" t="s">
        <v>250</v>
      </c>
      <c r="P35" t="s">
        <v>656</v>
      </c>
      <c r="Q35">
        <v>38593</v>
      </c>
      <c r="R35" t="s">
        <v>33</v>
      </c>
      <c r="S35" t="s">
        <v>34</v>
      </c>
      <c r="T35" t="s">
        <v>657</v>
      </c>
      <c r="U35" t="s">
        <v>658</v>
      </c>
      <c r="V35" t="s">
        <v>659</v>
      </c>
      <c r="W35" t="s">
        <v>711</v>
      </c>
      <c r="X35" t="s">
        <v>696</v>
      </c>
      <c r="Y35" t="s">
        <v>393</v>
      </c>
      <c r="Z35" t="s">
        <v>730</v>
      </c>
      <c r="AA35" t="s">
        <v>36</v>
      </c>
      <c r="AB35" t="s">
        <v>663</v>
      </c>
      <c r="AC35">
        <v>4</v>
      </c>
      <c r="AD35" s="20">
        <v>11</v>
      </c>
      <c r="AE35" t="s">
        <v>705</v>
      </c>
      <c r="AF35" t="s">
        <v>27</v>
      </c>
    </row>
    <row r="36" spans="1:32" x14ac:dyDescent="0.3">
      <c r="A36" t="s">
        <v>398</v>
      </c>
      <c r="B36" t="s">
        <v>654</v>
      </c>
      <c r="C36" t="s">
        <v>20</v>
      </c>
      <c r="E36">
        <v>4.07</v>
      </c>
      <c r="F36">
        <v>0</v>
      </c>
      <c r="G36" s="20">
        <v>4.07</v>
      </c>
      <c r="H36">
        <v>653470</v>
      </c>
      <c r="I36" t="s">
        <v>2</v>
      </c>
      <c r="J36" t="s">
        <v>394</v>
      </c>
      <c r="K36" t="s">
        <v>395</v>
      </c>
      <c r="L36" t="s">
        <v>396</v>
      </c>
      <c r="M36" t="s">
        <v>731</v>
      </c>
      <c r="N36">
        <v>759555</v>
      </c>
      <c r="O36" t="s">
        <v>40</v>
      </c>
      <c r="P36" t="s">
        <v>656</v>
      </c>
      <c r="Q36">
        <v>38593</v>
      </c>
      <c r="R36" t="s">
        <v>33</v>
      </c>
      <c r="S36" t="s">
        <v>34</v>
      </c>
      <c r="T36" t="s">
        <v>657</v>
      </c>
      <c r="U36" t="s">
        <v>658</v>
      </c>
      <c r="V36" t="s">
        <v>659</v>
      </c>
      <c r="W36" t="s">
        <v>732</v>
      </c>
      <c r="X36" t="s">
        <v>696</v>
      </c>
      <c r="Y36" t="s">
        <v>397</v>
      </c>
      <c r="Z36" t="s">
        <v>733</v>
      </c>
      <c r="AA36" t="s">
        <v>36</v>
      </c>
      <c r="AB36" t="s">
        <v>663</v>
      </c>
      <c r="AC36">
        <v>4</v>
      </c>
      <c r="AD36" s="20">
        <v>11</v>
      </c>
      <c r="AE36" t="s">
        <v>664</v>
      </c>
      <c r="AF36" t="s">
        <v>27</v>
      </c>
    </row>
    <row r="37" spans="1:32" x14ac:dyDescent="0.3">
      <c r="A37" t="s">
        <v>398</v>
      </c>
      <c r="B37" t="s">
        <v>654</v>
      </c>
      <c r="C37" t="s">
        <v>20</v>
      </c>
      <c r="E37">
        <v>9.6</v>
      </c>
      <c r="F37">
        <v>0</v>
      </c>
      <c r="G37" s="20">
        <v>9.6</v>
      </c>
      <c r="H37">
        <v>653470</v>
      </c>
      <c r="I37" t="s">
        <v>2</v>
      </c>
      <c r="J37" t="s">
        <v>394</v>
      </c>
      <c r="K37" t="s">
        <v>395</v>
      </c>
      <c r="L37" t="s">
        <v>396</v>
      </c>
      <c r="M37" t="s">
        <v>731</v>
      </c>
      <c r="N37">
        <v>759555</v>
      </c>
      <c r="O37" t="s">
        <v>40</v>
      </c>
      <c r="P37" t="s">
        <v>656</v>
      </c>
      <c r="Q37">
        <v>42249</v>
      </c>
      <c r="R37" t="s">
        <v>149</v>
      </c>
      <c r="S37" t="s">
        <v>34</v>
      </c>
      <c r="T37" t="s">
        <v>657</v>
      </c>
      <c r="U37" t="s">
        <v>665</v>
      </c>
      <c r="V37" t="s">
        <v>666</v>
      </c>
      <c r="W37" t="s">
        <v>732</v>
      </c>
      <c r="X37" t="s">
        <v>696</v>
      </c>
      <c r="Y37" t="s">
        <v>399</v>
      </c>
      <c r="Z37" t="s">
        <v>733</v>
      </c>
      <c r="AA37" t="s">
        <v>36</v>
      </c>
      <c r="AB37" t="s">
        <v>663</v>
      </c>
      <c r="AC37">
        <v>4</v>
      </c>
      <c r="AD37" s="20">
        <v>40</v>
      </c>
      <c r="AE37" t="s">
        <v>674</v>
      </c>
      <c r="AF37" t="s">
        <v>27</v>
      </c>
    </row>
    <row r="38" spans="1:32" x14ac:dyDescent="0.3">
      <c r="A38" t="s">
        <v>398</v>
      </c>
      <c r="B38" t="s">
        <v>654</v>
      </c>
      <c r="C38" t="s">
        <v>20</v>
      </c>
      <c r="E38">
        <v>4.07</v>
      </c>
      <c r="F38">
        <v>0</v>
      </c>
      <c r="G38" s="20">
        <v>4.07</v>
      </c>
      <c r="H38">
        <v>653470</v>
      </c>
      <c r="I38" t="s">
        <v>2</v>
      </c>
      <c r="J38" t="s">
        <v>400</v>
      </c>
      <c r="K38" t="s">
        <v>244</v>
      </c>
      <c r="L38" t="s">
        <v>344</v>
      </c>
      <c r="M38" t="s">
        <v>698</v>
      </c>
      <c r="N38">
        <v>759555</v>
      </c>
      <c r="O38" t="s">
        <v>40</v>
      </c>
      <c r="P38" t="s">
        <v>656</v>
      </c>
      <c r="Q38">
        <v>38593</v>
      </c>
      <c r="R38" t="s">
        <v>33</v>
      </c>
      <c r="S38" t="s">
        <v>34</v>
      </c>
      <c r="T38" t="s">
        <v>657</v>
      </c>
      <c r="U38" t="s">
        <v>658</v>
      </c>
      <c r="V38" t="s">
        <v>659</v>
      </c>
      <c r="W38" t="s">
        <v>734</v>
      </c>
      <c r="X38" t="s">
        <v>696</v>
      </c>
      <c r="Y38" t="s">
        <v>401</v>
      </c>
      <c r="Z38" t="s">
        <v>735</v>
      </c>
      <c r="AA38" t="s">
        <v>36</v>
      </c>
      <c r="AB38" t="s">
        <v>678</v>
      </c>
      <c r="AC38">
        <v>4</v>
      </c>
      <c r="AD38" s="20">
        <v>11</v>
      </c>
      <c r="AE38" t="s">
        <v>664</v>
      </c>
      <c r="AF38" t="s">
        <v>27</v>
      </c>
    </row>
    <row r="39" spans="1:32" x14ac:dyDescent="0.3">
      <c r="A39" t="s">
        <v>398</v>
      </c>
      <c r="B39" t="s">
        <v>654</v>
      </c>
      <c r="C39" t="s">
        <v>20</v>
      </c>
      <c r="E39">
        <v>12.48</v>
      </c>
      <c r="F39">
        <v>0</v>
      </c>
      <c r="G39" s="20">
        <v>12.48</v>
      </c>
      <c r="H39">
        <v>653470</v>
      </c>
      <c r="I39" t="s">
        <v>2</v>
      </c>
      <c r="J39" t="s">
        <v>400</v>
      </c>
      <c r="K39" t="s">
        <v>244</v>
      </c>
      <c r="L39" t="s">
        <v>344</v>
      </c>
      <c r="M39" t="s">
        <v>698</v>
      </c>
      <c r="N39">
        <v>759555</v>
      </c>
      <c r="O39" t="s">
        <v>40</v>
      </c>
      <c r="P39" t="s">
        <v>656</v>
      </c>
      <c r="Q39">
        <v>38398</v>
      </c>
      <c r="R39" t="s">
        <v>54</v>
      </c>
      <c r="S39" t="s">
        <v>34</v>
      </c>
      <c r="T39" t="s">
        <v>657</v>
      </c>
      <c r="U39" t="s">
        <v>665</v>
      </c>
      <c r="V39" t="s">
        <v>666</v>
      </c>
      <c r="W39" t="s">
        <v>734</v>
      </c>
      <c r="X39" t="s">
        <v>696</v>
      </c>
      <c r="Y39" t="s">
        <v>402</v>
      </c>
      <c r="Z39" t="s">
        <v>735</v>
      </c>
      <c r="AA39" t="s">
        <v>36</v>
      </c>
      <c r="AB39" t="s">
        <v>678</v>
      </c>
      <c r="AC39">
        <v>4</v>
      </c>
      <c r="AD39" s="20">
        <v>52</v>
      </c>
      <c r="AE39" t="s">
        <v>674</v>
      </c>
      <c r="AF39" t="s">
        <v>27</v>
      </c>
    </row>
    <row r="40" spans="1:32" x14ac:dyDescent="0.3">
      <c r="A40" t="s">
        <v>398</v>
      </c>
      <c r="B40" t="s">
        <v>654</v>
      </c>
      <c r="C40" t="s">
        <v>20</v>
      </c>
      <c r="E40">
        <v>8</v>
      </c>
      <c r="F40">
        <v>0</v>
      </c>
      <c r="G40" s="20">
        <v>8</v>
      </c>
      <c r="H40">
        <v>653470</v>
      </c>
      <c r="I40" t="s">
        <v>2</v>
      </c>
      <c r="J40" t="s">
        <v>403</v>
      </c>
      <c r="K40" t="s">
        <v>404</v>
      </c>
      <c r="L40" t="s">
        <v>405</v>
      </c>
      <c r="M40" t="s">
        <v>655</v>
      </c>
      <c r="N40">
        <v>678726</v>
      </c>
      <c r="O40" t="s">
        <v>31</v>
      </c>
      <c r="P40" t="s">
        <v>656</v>
      </c>
      <c r="Q40">
        <v>45041</v>
      </c>
      <c r="R40" t="s">
        <v>96</v>
      </c>
      <c r="S40" t="s">
        <v>34</v>
      </c>
      <c r="T40" t="s">
        <v>657</v>
      </c>
      <c r="U40" t="s">
        <v>665</v>
      </c>
      <c r="V40" t="s">
        <v>666</v>
      </c>
      <c r="W40" t="s">
        <v>736</v>
      </c>
      <c r="X40" t="s">
        <v>693</v>
      </c>
      <c r="Y40" t="s">
        <v>406</v>
      </c>
      <c r="Z40" t="s">
        <v>737</v>
      </c>
      <c r="AA40" t="s">
        <v>36</v>
      </c>
      <c r="AB40" t="s">
        <v>678</v>
      </c>
      <c r="AC40">
        <v>16</v>
      </c>
      <c r="AD40" s="20">
        <v>25</v>
      </c>
      <c r="AE40" t="s">
        <v>670</v>
      </c>
      <c r="AF40" t="s">
        <v>27</v>
      </c>
    </row>
    <row r="41" spans="1:32" x14ac:dyDescent="0.3">
      <c r="A41" t="s">
        <v>398</v>
      </c>
      <c r="B41" t="s">
        <v>654</v>
      </c>
      <c r="C41" t="s">
        <v>20</v>
      </c>
      <c r="E41">
        <v>5.76</v>
      </c>
      <c r="F41">
        <v>0</v>
      </c>
      <c r="G41" s="20">
        <v>5.76</v>
      </c>
      <c r="H41">
        <v>653470</v>
      </c>
      <c r="I41" t="s">
        <v>2</v>
      </c>
      <c r="J41" t="s">
        <v>407</v>
      </c>
      <c r="K41" t="s">
        <v>408</v>
      </c>
      <c r="L41" t="s">
        <v>409</v>
      </c>
      <c r="M41" t="s">
        <v>684</v>
      </c>
      <c r="N41">
        <v>653470</v>
      </c>
      <c r="O41" t="s">
        <v>2</v>
      </c>
      <c r="P41" t="s">
        <v>656</v>
      </c>
      <c r="Q41">
        <v>45035</v>
      </c>
      <c r="R41" t="s">
        <v>411</v>
      </c>
      <c r="S41" t="s">
        <v>34</v>
      </c>
      <c r="T41" t="s">
        <v>657</v>
      </c>
      <c r="U41" t="s">
        <v>665</v>
      </c>
      <c r="V41" t="s">
        <v>666</v>
      </c>
      <c r="W41" t="s">
        <v>738</v>
      </c>
      <c r="X41" t="s">
        <v>696</v>
      </c>
      <c r="Y41" t="s">
        <v>410</v>
      </c>
      <c r="Z41" t="s">
        <v>739</v>
      </c>
      <c r="AA41" t="s">
        <v>36</v>
      </c>
      <c r="AB41" t="s">
        <v>663</v>
      </c>
      <c r="AC41">
        <v>14</v>
      </c>
      <c r="AD41" s="20">
        <v>18</v>
      </c>
      <c r="AE41" t="s">
        <v>670</v>
      </c>
      <c r="AF41" t="s">
        <v>27</v>
      </c>
    </row>
    <row r="42" spans="1:32" x14ac:dyDescent="0.3">
      <c r="A42" t="s">
        <v>398</v>
      </c>
      <c r="B42" t="s">
        <v>654</v>
      </c>
      <c r="C42" t="s">
        <v>20</v>
      </c>
      <c r="E42">
        <v>6</v>
      </c>
      <c r="F42">
        <v>0</v>
      </c>
      <c r="G42" s="20">
        <v>6</v>
      </c>
      <c r="H42">
        <v>653470</v>
      </c>
      <c r="I42" t="s">
        <v>2</v>
      </c>
      <c r="J42" t="s">
        <v>412</v>
      </c>
      <c r="K42" t="s">
        <v>413</v>
      </c>
      <c r="L42" t="s">
        <v>414</v>
      </c>
      <c r="M42" t="s">
        <v>698</v>
      </c>
      <c r="N42">
        <v>760338</v>
      </c>
      <c r="O42" t="s">
        <v>168</v>
      </c>
      <c r="P42" t="s">
        <v>656</v>
      </c>
      <c r="Q42">
        <v>38796</v>
      </c>
      <c r="R42" t="s">
        <v>77</v>
      </c>
      <c r="S42" t="s">
        <v>34</v>
      </c>
      <c r="T42" t="s">
        <v>657</v>
      </c>
      <c r="U42" t="s">
        <v>665</v>
      </c>
      <c r="V42" t="s">
        <v>666</v>
      </c>
      <c r="W42" t="s">
        <v>736</v>
      </c>
      <c r="X42" t="s">
        <v>693</v>
      </c>
      <c r="Y42" t="s">
        <v>415</v>
      </c>
      <c r="Z42" t="s">
        <v>740</v>
      </c>
      <c r="AA42" t="s">
        <v>36</v>
      </c>
      <c r="AB42" t="s">
        <v>678</v>
      </c>
      <c r="AC42">
        <v>16</v>
      </c>
      <c r="AD42" s="20">
        <v>25</v>
      </c>
      <c r="AE42" t="s">
        <v>674</v>
      </c>
      <c r="AF42" t="s">
        <v>27</v>
      </c>
    </row>
    <row r="43" spans="1:32" x14ac:dyDescent="0.3">
      <c r="A43" t="s">
        <v>398</v>
      </c>
      <c r="B43" t="s">
        <v>654</v>
      </c>
      <c r="C43" t="s">
        <v>20</v>
      </c>
      <c r="E43">
        <v>8</v>
      </c>
      <c r="F43">
        <v>0</v>
      </c>
      <c r="G43" s="20">
        <v>8</v>
      </c>
      <c r="H43">
        <v>653470</v>
      </c>
      <c r="I43" t="s">
        <v>2</v>
      </c>
      <c r="J43" t="s">
        <v>417</v>
      </c>
      <c r="K43" t="s">
        <v>182</v>
      </c>
      <c r="L43" t="s">
        <v>418</v>
      </c>
      <c r="M43" t="s">
        <v>655</v>
      </c>
      <c r="N43">
        <v>678726</v>
      </c>
      <c r="O43" t="s">
        <v>31</v>
      </c>
      <c r="P43" t="s">
        <v>656</v>
      </c>
      <c r="Q43">
        <v>45041</v>
      </c>
      <c r="R43" t="s">
        <v>96</v>
      </c>
      <c r="S43" t="s">
        <v>34</v>
      </c>
      <c r="T43" t="s">
        <v>657</v>
      </c>
      <c r="U43" t="s">
        <v>665</v>
      </c>
      <c r="V43" t="s">
        <v>666</v>
      </c>
      <c r="W43" t="s">
        <v>741</v>
      </c>
      <c r="X43" t="s">
        <v>668</v>
      </c>
      <c r="Y43" t="s">
        <v>419</v>
      </c>
      <c r="Z43" t="s">
        <v>742</v>
      </c>
      <c r="AA43" t="s">
        <v>36</v>
      </c>
      <c r="AB43" t="s">
        <v>663</v>
      </c>
      <c r="AC43">
        <v>20</v>
      </c>
      <c r="AD43" s="20">
        <v>25</v>
      </c>
      <c r="AE43" t="s">
        <v>670</v>
      </c>
      <c r="AF43" t="s">
        <v>27</v>
      </c>
    </row>
    <row r="44" spans="1:32" x14ac:dyDescent="0.3">
      <c r="A44" t="s">
        <v>398</v>
      </c>
      <c r="B44" t="s">
        <v>654</v>
      </c>
      <c r="C44" t="s">
        <v>20</v>
      </c>
      <c r="E44">
        <v>8</v>
      </c>
      <c r="F44">
        <v>0</v>
      </c>
      <c r="G44" s="20">
        <v>8</v>
      </c>
      <c r="H44">
        <v>653470</v>
      </c>
      <c r="I44" t="s">
        <v>2</v>
      </c>
      <c r="J44" t="s">
        <v>468</v>
      </c>
      <c r="K44" t="s">
        <v>469</v>
      </c>
      <c r="L44" t="s">
        <v>470</v>
      </c>
      <c r="M44" t="s">
        <v>655</v>
      </c>
      <c r="N44">
        <v>678726</v>
      </c>
      <c r="O44" t="s">
        <v>31</v>
      </c>
      <c r="P44" t="s">
        <v>656</v>
      </c>
      <c r="Q44">
        <v>45041</v>
      </c>
      <c r="R44" t="s">
        <v>96</v>
      </c>
      <c r="S44" t="s">
        <v>34</v>
      </c>
      <c r="T44" t="s">
        <v>657</v>
      </c>
      <c r="U44" t="s">
        <v>665</v>
      </c>
      <c r="V44" t="s">
        <v>666</v>
      </c>
      <c r="W44" t="s">
        <v>743</v>
      </c>
      <c r="X44" t="s">
        <v>726</v>
      </c>
      <c r="Y44" t="s">
        <v>471</v>
      </c>
      <c r="Z44" t="s">
        <v>744</v>
      </c>
      <c r="AA44" t="s">
        <v>36</v>
      </c>
      <c r="AB44" t="s">
        <v>678</v>
      </c>
      <c r="AC44">
        <v>18</v>
      </c>
      <c r="AD44" s="20">
        <v>25</v>
      </c>
      <c r="AE44" t="s">
        <v>670</v>
      </c>
      <c r="AF44" t="s">
        <v>27</v>
      </c>
    </row>
    <row r="45" spans="1:32" x14ac:dyDescent="0.3">
      <c r="A45" t="s">
        <v>551</v>
      </c>
      <c r="B45" t="s">
        <v>654</v>
      </c>
      <c r="C45" t="s">
        <v>20</v>
      </c>
      <c r="E45">
        <v>4.07</v>
      </c>
      <c r="F45">
        <v>0</v>
      </c>
      <c r="G45" s="20">
        <v>4.07</v>
      </c>
      <c r="H45">
        <v>653470</v>
      </c>
      <c r="I45" t="s">
        <v>2</v>
      </c>
      <c r="J45" t="s">
        <v>547</v>
      </c>
      <c r="K45" t="s">
        <v>548</v>
      </c>
      <c r="L45" t="s">
        <v>549</v>
      </c>
      <c r="M45" t="s">
        <v>655</v>
      </c>
      <c r="N45">
        <v>678726</v>
      </c>
      <c r="O45" t="s">
        <v>31</v>
      </c>
      <c r="P45" t="s">
        <v>656</v>
      </c>
      <c r="Q45">
        <v>38593</v>
      </c>
      <c r="R45" t="s">
        <v>33</v>
      </c>
      <c r="S45" t="s">
        <v>34</v>
      </c>
      <c r="T45" t="s">
        <v>657</v>
      </c>
      <c r="U45" t="s">
        <v>658</v>
      </c>
      <c r="V45" t="s">
        <v>659</v>
      </c>
      <c r="W45" t="s">
        <v>745</v>
      </c>
      <c r="X45" t="s">
        <v>746</v>
      </c>
      <c r="Y45" t="s">
        <v>550</v>
      </c>
      <c r="Z45" t="s">
        <v>747</v>
      </c>
      <c r="AA45" t="s">
        <v>36</v>
      </c>
      <c r="AB45" t="s">
        <v>678</v>
      </c>
      <c r="AC45">
        <v>21</v>
      </c>
      <c r="AD45" s="20">
        <v>11</v>
      </c>
      <c r="AE45" t="s">
        <v>664</v>
      </c>
      <c r="AF45" t="s">
        <v>27</v>
      </c>
    </row>
    <row r="46" spans="1:32" x14ac:dyDescent="0.3">
      <c r="A46" t="s">
        <v>477</v>
      </c>
      <c r="B46" t="s">
        <v>654</v>
      </c>
      <c r="C46" t="s">
        <v>20</v>
      </c>
      <c r="E46">
        <v>5.55</v>
      </c>
      <c r="F46">
        <v>0</v>
      </c>
      <c r="G46" s="20">
        <v>5.55</v>
      </c>
      <c r="H46">
        <v>653470</v>
      </c>
      <c r="I46" t="s">
        <v>2</v>
      </c>
      <c r="J46" t="s">
        <v>472</v>
      </c>
      <c r="K46" t="s">
        <v>473</v>
      </c>
      <c r="L46" t="s">
        <v>474</v>
      </c>
      <c r="M46" t="s">
        <v>698</v>
      </c>
      <c r="N46">
        <v>757209</v>
      </c>
      <c r="O46" t="s">
        <v>475</v>
      </c>
      <c r="P46" t="s">
        <v>656</v>
      </c>
      <c r="Q46">
        <v>38593</v>
      </c>
      <c r="R46" t="s">
        <v>33</v>
      </c>
      <c r="S46" t="s">
        <v>70</v>
      </c>
      <c r="T46" t="s">
        <v>657</v>
      </c>
      <c r="U46" t="s">
        <v>658</v>
      </c>
      <c r="V46" t="s">
        <v>659</v>
      </c>
      <c r="W46" t="s">
        <v>748</v>
      </c>
      <c r="X46" t="s">
        <v>676</v>
      </c>
      <c r="Y46" t="s">
        <v>476</v>
      </c>
      <c r="Z46" t="s">
        <v>749</v>
      </c>
      <c r="AA46" t="s">
        <v>36</v>
      </c>
      <c r="AB46" t="s">
        <v>678</v>
      </c>
      <c r="AC46">
        <v>17</v>
      </c>
      <c r="AD46" s="20">
        <v>15</v>
      </c>
      <c r="AE46" t="s">
        <v>664</v>
      </c>
      <c r="AF46" t="s">
        <v>27</v>
      </c>
    </row>
    <row r="47" spans="1:32" x14ac:dyDescent="0.3">
      <c r="A47" t="s">
        <v>477</v>
      </c>
      <c r="B47" t="s">
        <v>654</v>
      </c>
      <c r="C47" t="s">
        <v>20</v>
      </c>
      <c r="E47">
        <v>16</v>
      </c>
      <c r="F47">
        <v>0</v>
      </c>
      <c r="G47" s="20">
        <v>16</v>
      </c>
      <c r="H47">
        <v>653470</v>
      </c>
      <c r="I47" t="s">
        <v>2</v>
      </c>
      <c r="J47" t="s">
        <v>558</v>
      </c>
      <c r="K47" t="s">
        <v>559</v>
      </c>
      <c r="L47" t="s">
        <v>327</v>
      </c>
      <c r="M47" t="s">
        <v>684</v>
      </c>
      <c r="N47">
        <v>820877</v>
      </c>
      <c r="O47" t="s">
        <v>179</v>
      </c>
      <c r="P47" t="s">
        <v>656</v>
      </c>
      <c r="Q47">
        <v>45041</v>
      </c>
      <c r="R47" t="s">
        <v>96</v>
      </c>
      <c r="S47" t="s">
        <v>55</v>
      </c>
      <c r="T47" t="s">
        <v>657</v>
      </c>
      <c r="U47" t="s">
        <v>665</v>
      </c>
      <c r="V47" t="s">
        <v>666</v>
      </c>
      <c r="W47" t="s">
        <v>750</v>
      </c>
      <c r="X47" t="s">
        <v>693</v>
      </c>
      <c r="Y47" t="s">
        <v>560</v>
      </c>
      <c r="Z47" t="s">
        <v>751</v>
      </c>
      <c r="AA47" t="s">
        <v>36</v>
      </c>
      <c r="AB47" t="s">
        <v>678</v>
      </c>
      <c r="AC47">
        <v>16</v>
      </c>
      <c r="AD47" s="20">
        <v>50</v>
      </c>
      <c r="AE47" t="s">
        <v>670</v>
      </c>
      <c r="AF47" t="s">
        <v>27</v>
      </c>
    </row>
    <row r="48" spans="1:32" x14ac:dyDescent="0.3">
      <c r="A48" t="s">
        <v>564</v>
      </c>
      <c r="B48" t="s">
        <v>654</v>
      </c>
      <c r="C48" t="s">
        <v>20</v>
      </c>
      <c r="E48">
        <v>8</v>
      </c>
      <c r="F48">
        <v>0</v>
      </c>
      <c r="G48" s="20">
        <v>8</v>
      </c>
      <c r="H48">
        <v>653470</v>
      </c>
      <c r="I48" t="s">
        <v>2</v>
      </c>
      <c r="J48" t="s">
        <v>561</v>
      </c>
      <c r="K48" t="s">
        <v>454</v>
      </c>
      <c r="L48" t="s">
        <v>562</v>
      </c>
      <c r="M48" t="s">
        <v>655</v>
      </c>
      <c r="N48">
        <v>678726</v>
      </c>
      <c r="O48" t="s">
        <v>31</v>
      </c>
      <c r="P48" t="s">
        <v>656</v>
      </c>
      <c r="Q48">
        <v>45041</v>
      </c>
      <c r="R48" t="s">
        <v>96</v>
      </c>
      <c r="S48" t="s">
        <v>34</v>
      </c>
      <c r="T48" t="s">
        <v>657</v>
      </c>
      <c r="U48" t="s">
        <v>665</v>
      </c>
      <c r="V48" t="s">
        <v>666</v>
      </c>
      <c r="W48" t="s">
        <v>752</v>
      </c>
      <c r="X48" t="s">
        <v>722</v>
      </c>
      <c r="Y48" t="s">
        <v>563</v>
      </c>
      <c r="Z48" t="s">
        <v>753</v>
      </c>
      <c r="AA48" t="s">
        <v>36</v>
      </c>
      <c r="AB48" t="s">
        <v>678</v>
      </c>
      <c r="AC48">
        <v>19</v>
      </c>
      <c r="AD48" s="20">
        <v>25</v>
      </c>
      <c r="AE48" t="s">
        <v>670</v>
      </c>
      <c r="AF48" t="s">
        <v>27</v>
      </c>
    </row>
    <row r="49" spans="1:32" x14ac:dyDescent="0.3">
      <c r="A49" t="s">
        <v>564</v>
      </c>
      <c r="B49" t="s">
        <v>654</v>
      </c>
      <c r="C49" t="s">
        <v>20</v>
      </c>
      <c r="E49">
        <v>4.07</v>
      </c>
      <c r="F49">
        <v>0</v>
      </c>
      <c r="G49" s="20">
        <v>4.07</v>
      </c>
      <c r="H49">
        <v>653470</v>
      </c>
      <c r="I49" t="s">
        <v>2</v>
      </c>
      <c r="J49" t="s">
        <v>565</v>
      </c>
      <c r="K49" t="s">
        <v>566</v>
      </c>
      <c r="L49" t="s">
        <v>567</v>
      </c>
      <c r="M49" t="s">
        <v>655</v>
      </c>
      <c r="N49">
        <v>678726</v>
      </c>
      <c r="O49" t="s">
        <v>31</v>
      </c>
      <c r="P49" t="s">
        <v>656</v>
      </c>
      <c r="Q49">
        <v>38593</v>
      </c>
      <c r="R49" t="s">
        <v>33</v>
      </c>
      <c r="S49" t="s">
        <v>34</v>
      </c>
      <c r="T49" t="s">
        <v>657</v>
      </c>
      <c r="U49" t="s">
        <v>658</v>
      </c>
      <c r="V49" t="s">
        <v>659</v>
      </c>
      <c r="W49" t="s">
        <v>754</v>
      </c>
      <c r="X49" t="s">
        <v>722</v>
      </c>
      <c r="Y49" t="s">
        <v>568</v>
      </c>
      <c r="Z49" t="s">
        <v>755</v>
      </c>
      <c r="AA49" t="s">
        <v>36</v>
      </c>
      <c r="AB49" t="s">
        <v>678</v>
      </c>
      <c r="AC49">
        <v>15</v>
      </c>
      <c r="AD49" s="20">
        <v>11</v>
      </c>
      <c r="AE49" t="s">
        <v>664</v>
      </c>
      <c r="AF49" t="s">
        <v>27</v>
      </c>
    </row>
    <row r="50" spans="1:32" x14ac:dyDescent="0.3">
      <c r="A50" t="s">
        <v>564</v>
      </c>
      <c r="B50" t="s">
        <v>654</v>
      </c>
      <c r="C50" t="s">
        <v>20</v>
      </c>
      <c r="E50">
        <v>9.6</v>
      </c>
      <c r="F50">
        <v>0</v>
      </c>
      <c r="G50" s="20">
        <v>9.6</v>
      </c>
      <c r="H50">
        <v>653470</v>
      </c>
      <c r="I50" t="s">
        <v>2</v>
      </c>
      <c r="J50" t="s">
        <v>569</v>
      </c>
      <c r="K50" t="s">
        <v>570</v>
      </c>
      <c r="L50" t="s">
        <v>571</v>
      </c>
      <c r="M50" t="s">
        <v>684</v>
      </c>
      <c r="N50">
        <v>689390</v>
      </c>
      <c r="O50" t="s">
        <v>52</v>
      </c>
      <c r="P50" t="s">
        <v>656</v>
      </c>
      <c r="Q50">
        <v>45041</v>
      </c>
      <c r="R50" t="s">
        <v>96</v>
      </c>
      <c r="S50" t="s">
        <v>34</v>
      </c>
      <c r="T50" t="s">
        <v>657</v>
      </c>
      <c r="U50" t="s">
        <v>665</v>
      </c>
      <c r="V50" t="s">
        <v>666</v>
      </c>
      <c r="W50" t="s">
        <v>756</v>
      </c>
      <c r="X50" t="s">
        <v>722</v>
      </c>
      <c r="Y50" t="s">
        <v>572</v>
      </c>
      <c r="Z50" t="s">
        <v>757</v>
      </c>
      <c r="AA50" t="s">
        <v>36</v>
      </c>
      <c r="AB50" t="s">
        <v>678</v>
      </c>
      <c r="AC50">
        <v>15</v>
      </c>
      <c r="AD50" s="20">
        <v>30</v>
      </c>
      <c r="AE50" t="s">
        <v>670</v>
      </c>
      <c r="AF50" t="s">
        <v>27</v>
      </c>
    </row>
    <row r="51" spans="1:32" x14ac:dyDescent="0.3">
      <c r="A51" t="s">
        <v>577</v>
      </c>
      <c r="B51" t="s">
        <v>654</v>
      </c>
      <c r="C51" t="s">
        <v>20</v>
      </c>
      <c r="E51">
        <v>8</v>
      </c>
      <c r="F51">
        <v>0</v>
      </c>
      <c r="G51" s="20">
        <v>8</v>
      </c>
      <c r="H51">
        <v>653470</v>
      </c>
      <c r="I51" t="s">
        <v>2</v>
      </c>
      <c r="J51" t="s">
        <v>573</v>
      </c>
      <c r="K51" t="s">
        <v>574</v>
      </c>
      <c r="L51" t="s">
        <v>575</v>
      </c>
      <c r="M51" t="s">
        <v>655</v>
      </c>
      <c r="N51">
        <v>798992</v>
      </c>
      <c r="O51" t="s">
        <v>198</v>
      </c>
      <c r="P51" t="s">
        <v>656</v>
      </c>
      <c r="Q51">
        <v>45041</v>
      </c>
      <c r="R51" t="s">
        <v>96</v>
      </c>
      <c r="S51" t="s">
        <v>34</v>
      </c>
      <c r="T51" t="s">
        <v>657</v>
      </c>
      <c r="U51" t="s">
        <v>665</v>
      </c>
      <c r="V51" t="s">
        <v>666</v>
      </c>
      <c r="W51" t="s">
        <v>675</v>
      </c>
      <c r="X51" t="s">
        <v>676</v>
      </c>
      <c r="Y51" t="s">
        <v>576</v>
      </c>
      <c r="Z51" t="s">
        <v>758</v>
      </c>
      <c r="AA51" t="s">
        <v>36</v>
      </c>
      <c r="AB51" t="s">
        <v>678</v>
      </c>
      <c r="AC51">
        <v>17</v>
      </c>
      <c r="AD51" s="20">
        <v>25</v>
      </c>
      <c r="AE51" t="s">
        <v>670</v>
      </c>
      <c r="AF51" t="s">
        <v>27</v>
      </c>
    </row>
    <row r="52" spans="1:32" x14ac:dyDescent="0.3">
      <c r="A52" t="s">
        <v>577</v>
      </c>
      <c r="B52" t="s">
        <v>654</v>
      </c>
      <c r="C52" t="s">
        <v>20</v>
      </c>
      <c r="E52">
        <v>16</v>
      </c>
      <c r="F52">
        <v>0</v>
      </c>
      <c r="G52" s="20">
        <v>16</v>
      </c>
      <c r="H52">
        <v>653470</v>
      </c>
      <c r="I52" t="s">
        <v>2</v>
      </c>
      <c r="J52" t="s">
        <v>578</v>
      </c>
      <c r="K52" t="s">
        <v>579</v>
      </c>
      <c r="L52" t="s">
        <v>580</v>
      </c>
      <c r="M52" t="s">
        <v>655</v>
      </c>
      <c r="N52">
        <v>678726</v>
      </c>
      <c r="O52" t="s">
        <v>31</v>
      </c>
      <c r="P52" t="s">
        <v>656</v>
      </c>
      <c r="Q52">
        <v>45041</v>
      </c>
      <c r="R52" t="s">
        <v>96</v>
      </c>
      <c r="S52" t="s">
        <v>55</v>
      </c>
      <c r="T52" t="s">
        <v>657</v>
      </c>
      <c r="U52" t="s">
        <v>665</v>
      </c>
      <c r="V52" t="s">
        <v>666</v>
      </c>
      <c r="W52" t="s">
        <v>725</v>
      </c>
      <c r="X52" t="s">
        <v>726</v>
      </c>
      <c r="Y52" t="s">
        <v>581</v>
      </c>
      <c r="Z52" t="s">
        <v>759</v>
      </c>
      <c r="AA52" t="s">
        <v>36</v>
      </c>
      <c r="AB52" t="s">
        <v>663</v>
      </c>
      <c r="AC52">
        <v>18</v>
      </c>
      <c r="AD52" s="20">
        <v>50</v>
      </c>
      <c r="AE52" t="s">
        <v>670</v>
      </c>
      <c r="AF52" t="s">
        <v>27</v>
      </c>
    </row>
    <row r="53" spans="1:32" x14ac:dyDescent="0.3">
      <c r="A53" t="s">
        <v>577</v>
      </c>
      <c r="B53" t="s">
        <v>654</v>
      </c>
      <c r="C53" t="s">
        <v>20</v>
      </c>
      <c r="D53" t="s">
        <v>48</v>
      </c>
      <c r="E53">
        <v>0</v>
      </c>
      <c r="F53">
        <v>29.76</v>
      </c>
      <c r="G53" s="20">
        <v>-29.76</v>
      </c>
      <c r="H53">
        <v>653470</v>
      </c>
      <c r="I53" t="s">
        <v>2</v>
      </c>
      <c r="J53" t="s">
        <v>325</v>
      </c>
      <c r="K53" t="s">
        <v>326</v>
      </c>
      <c r="L53" t="s">
        <v>327</v>
      </c>
      <c r="M53" t="s">
        <v>698</v>
      </c>
      <c r="N53">
        <v>764002</v>
      </c>
      <c r="O53" t="s">
        <v>117</v>
      </c>
      <c r="P53" t="s">
        <v>656</v>
      </c>
      <c r="Q53">
        <v>42251</v>
      </c>
      <c r="R53" t="s">
        <v>127</v>
      </c>
      <c r="S53" t="s">
        <v>55</v>
      </c>
      <c r="T53" t="s">
        <v>657</v>
      </c>
      <c r="U53" t="s">
        <v>665</v>
      </c>
      <c r="V53" t="s">
        <v>666</v>
      </c>
      <c r="W53" t="s">
        <v>760</v>
      </c>
      <c r="X53" t="s">
        <v>761</v>
      </c>
      <c r="Y53" t="s">
        <v>328</v>
      </c>
      <c r="Z53" t="s">
        <v>762</v>
      </c>
      <c r="AA53" t="s">
        <v>47</v>
      </c>
      <c r="AB53" t="s">
        <v>678</v>
      </c>
      <c r="AC53">
        <v>21</v>
      </c>
      <c r="AD53" s="20">
        <v>124</v>
      </c>
      <c r="AE53" t="s">
        <v>674</v>
      </c>
      <c r="AF53" t="s">
        <v>27</v>
      </c>
    </row>
    <row r="54" spans="1:32" x14ac:dyDescent="0.3">
      <c r="A54" t="s">
        <v>577</v>
      </c>
      <c r="B54" t="s">
        <v>654</v>
      </c>
      <c r="C54" t="s">
        <v>20</v>
      </c>
      <c r="E54">
        <v>12.48</v>
      </c>
      <c r="F54">
        <v>0</v>
      </c>
      <c r="G54" s="20">
        <v>12.48</v>
      </c>
      <c r="H54">
        <v>653470</v>
      </c>
      <c r="I54" t="s">
        <v>2</v>
      </c>
      <c r="J54" t="s">
        <v>582</v>
      </c>
      <c r="K54" t="s">
        <v>583</v>
      </c>
      <c r="L54" t="s">
        <v>584</v>
      </c>
      <c r="M54" t="s">
        <v>763</v>
      </c>
      <c r="N54">
        <v>759555</v>
      </c>
      <c r="O54" t="s">
        <v>40</v>
      </c>
      <c r="P54" t="s">
        <v>656</v>
      </c>
      <c r="Q54">
        <v>38398</v>
      </c>
      <c r="R54" t="s">
        <v>54</v>
      </c>
      <c r="S54" t="s">
        <v>34</v>
      </c>
      <c r="T54" t="s">
        <v>657</v>
      </c>
      <c r="U54" t="s">
        <v>665</v>
      </c>
      <c r="V54" t="s">
        <v>666</v>
      </c>
      <c r="W54" t="s">
        <v>764</v>
      </c>
      <c r="X54" t="s">
        <v>661</v>
      </c>
      <c r="Y54" t="s">
        <v>585</v>
      </c>
      <c r="Z54" t="s">
        <v>765</v>
      </c>
      <c r="AA54" t="s">
        <v>36</v>
      </c>
      <c r="AB54" t="s">
        <v>678</v>
      </c>
      <c r="AC54">
        <v>5</v>
      </c>
      <c r="AD54" s="20">
        <v>52</v>
      </c>
      <c r="AE54" t="s">
        <v>674</v>
      </c>
      <c r="AF54" t="s">
        <v>27</v>
      </c>
    </row>
    <row r="55" spans="1:32" x14ac:dyDescent="0.3">
      <c r="A55" t="s">
        <v>577</v>
      </c>
      <c r="B55" t="s">
        <v>654</v>
      </c>
      <c r="C55" t="s">
        <v>20</v>
      </c>
      <c r="E55">
        <v>8</v>
      </c>
      <c r="F55">
        <v>0</v>
      </c>
      <c r="G55" s="20">
        <v>8</v>
      </c>
      <c r="H55">
        <v>653470</v>
      </c>
      <c r="I55" t="s">
        <v>2</v>
      </c>
      <c r="J55" t="s">
        <v>587</v>
      </c>
      <c r="K55" t="s">
        <v>588</v>
      </c>
      <c r="L55" t="s">
        <v>589</v>
      </c>
      <c r="M55" t="s">
        <v>655</v>
      </c>
      <c r="N55">
        <v>678726</v>
      </c>
      <c r="O55" t="s">
        <v>31</v>
      </c>
      <c r="P55" t="s">
        <v>656</v>
      </c>
      <c r="Q55">
        <v>45041</v>
      </c>
      <c r="R55" t="s">
        <v>96</v>
      </c>
      <c r="S55" t="s">
        <v>34</v>
      </c>
      <c r="T55" t="s">
        <v>657</v>
      </c>
      <c r="U55" t="s">
        <v>665</v>
      </c>
      <c r="V55" t="s">
        <v>666</v>
      </c>
      <c r="W55" t="s">
        <v>743</v>
      </c>
      <c r="X55" t="s">
        <v>726</v>
      </c>
      <c r="Y55" t="s">
        <v>590</v>
      </c>
      <c r="Z55" t="s">
        <v>766</v>
      </c>
      <c r="AA55" t="s">
        <v>36</v>
      </c>
      <c r="AB55" t="s">
        <v>663</v>
      </c>
      <c r="AC55">
        <v>18</v>
      </c>
      <c r="AD55" s="20">
        <v>25</v>
      </c>
      <c r="AE55" t="s">
        <v>670</v>
      </c>
      <c r="AF55" t="s">
        <v>27</v>
      </c>
    </row>
    <row r="56" spans="1:32" x14ac:dyDescent="0.3">
      <c r="A56" t="s">
        <v>577</v>
      </c>
      <c r="B56" t="s">
        <v>654</v>
      </c>
      <c r="C56" t="s">
        <v>20</v>
      </c>
      <c r="E56">
        <v>8</v>
      </c>
      <c r="F56">
        <v>0</v>
      </c>
      <c r="G56" s="20">
        <v>8</v>
      </c>
      <c r="H56">
        <v>653470</v>
      </c>
      <c r="I56" t="s">
        <v>2</v>
      </c>
      <c r="J56" t="s">
        <v>624</v>
      </c>
      <c r="K56" t="s">
        <v>625</v>
      </c>
      <c r="L56" t="s">
        <v>626</v>
      </c>
      <c r="M56" t="s">
        <v>655</v>
      </c>
      <c r="N56">
        <v>678726</v>
      </c>
      <c r="O56" t="s">
        <v>31</v>
      </c>
      <c r="P56" t="s">
        <v>656</v>
      </c>
      <c r="Q56">
        <v>45041</v>
      </c>
      <c r="R56" t="s">
        <v>96</v>
      </c>
      <c r="S56" t="s">
        <v>34</v>
      </c>
      <c r="T56" t="s">
        <v>657</v>
      </c>
      <c r="U56" t="s">
        <v>665</v>
      </c>
      <c r="V56" t="s">
        <v>666</v>
      </c>
      <c r="W56" t="s">
        <v>767</v>
      </c>
      <c r="X56" t="s">
        <v>676</v>
      </c>
      <c r="Y56" t="s">
        <v>627</v>
      </c>
      <c r="Z56" t="s">
        <v>768</v>
      </c>
      <c r="AA56" t="s">
        <v>36</v>
      </c>
      <c r="AB56" t="s">
        <v>678</v>
      </c>
      <c r="AC56">
        <v>17</v>
      </c>
      <c r="AD56" s="20">
        <v>25</v>
      </c>
      <c r="AE56" t="s">
        <v>670</v>
      </c>
      <c r="AF56" t="s">
        <v>27</v>
      </c>
    </row>
    <row r="57" spans="1:32" x14ac:dyDescent="0.3">
      <c r="A57" t="s">
        <v>577</v>
      </c>
      <c r="B57" t="s">
        <v>654</v>
      </c>
      <c r="C57" t="s">
        <v>20</v>
      </c>
      <c r="E57">
        <v>16</v>
      </c>
      <c r="F57">
        <v>0</v>
      </c>
      <c r="G57" s="20">
        <v>16</v>
      </c>
      <c r="H57">
        <v>653470</v>
      </c>
      <c r="I57" t="s">
        <v>2</v>
      </c>
      <c r="J57" t="s">
        <v>591</v>
      </c>
      <c r="K57" t="s">
        <v>592</v>
      </c>
      <c r="L57" t="s">
        <v>593</v>
      </c>
      <c r="M57" t="s">
        <v>655</v>
      </c>
      <c r="N57">
        <v>678726</v>
      </c>
      <c r="O57" t="s">
        <v>31</v>
      </c>
      <c r="P57" t="s">
        <v>656</v>
      </c>
      <c r="Q57">
        <v>45041</v>
      </c>
      <c r="R57" t="s">
        <v>96</v>
      </c>
      <c r="S57" t="s">
        <v>55</v>
      </c>
      <c r="T57" t="s">
        <v>657</v>
      </c>
      <c r="U57" t="s">
        <v>665</v>
      </c>
      <c r="V57" t="s">
        <v>666</v>
      </c>
      <c r="W57" t="s">
        <v>769</v>
      </c>
      <c r="X57" t="s">
        <v>717</v>
      </c>
      <c r="Y57" t="s">
        <v>594</v>
      </c>
      <c r="Z57" t="s">
        <v>770</v>
      </c>
      <c r="AA57" t="s">
        <v>36</v>
      </c>
      <c r="AB57" t="s">
        <v>678</v>
      </c>
      <c r="AC57">
        <v>19</v>
      </c>
      <c r="AD57" s="20">
        <v>50</v>
      </c>
      <c r="AE57" t="s">
        <v>670</v>
      </c>
      <c r="AF57" t="s">
        <v>27</v>
      </c>
    </row>
    <row r="58" spans="1:32" x14ac:dyDescent="0.3">
      <c r="A58" t="s">
        <v>599</v>
      </c>
      <c r="B58" t="s">
        <v>654</v>
      </c>
      <c r="C58" t="s">
        <v>20</v>
      </c>
      <c r="E58">
        <v>8</v>
      </c>
      <c r="F58">
        <v>0</v>
      </c>
      <c r="G58" s="20">
        <v>8</v>
      </c>
      <c r="H58">
        <v>653470</v>
      </c>
      <c r="I58" t="s">
        <v>2</v>
      </c>
      <c r="J58" t="s">
        <v>595</v>
      </c>
      <c r="K58" t="s">
        <v>596</v>
      </c>
      <c r="L58" t="s">
        <v>597</v>
      </c>
      <c r="M58" t="s">
        <v>655</v>
      </c>
      <c r="N58">
        <v>798992</v>
      </c>
      <c r="O58" t="s">
        <v>198</v>
      </c>
      <c r="P58" t="s">
        <v>656</v>
      </c>
      <c r="Q58">
        <v>45041</v>
      </c>
      <c r="R58" t="s">
        <v>96</v>
      </c>
      <c r="S58" t="s">
        <v>34</v>
      </c>
      <c r="T58" t="s">
        <v>657</v>
      </c>
      <c r="U58" t="s">
        <v>665</v>
      </c>
      <c r="V58" t="s">
        <v>666</v>
      </c>
      <c r="W58" t="s">
        <v>771</v>
      </c>
      <c r="X58" t="s">
        <v>722</v>
      </c>
      <c r="Y58" t="s">
        <v>598</v>
      </c>
      <c r="Z58" t="s">
        <v>772</v>
      </c>
      <c r="AA58" t="s">
        <v>36</v>
      </c>
      <c r="AB58" t="s">
        <v>663</v>
      </c>
      <c r="AC58">
        <v>15</v>
      </c>
      <c r="AD58" s="20">
        <v>25</v>
      </c>
      <c r="AE58" t="s">
        <v>670</v>
      </c>
      <c r="AF58" t="s">
        <v>27</v>
      </c>
    </row>
    <row r="59" spans="1:32" x14ac:dyDescent="0.3">
      <c r="A59" t="s">
        <v>605</v>
      </c>
      <c r="B59" t="s">
        <v>654</v>
      </c>
      <c r="C59" t="s">
        <v>20</v>
      </c>
      <c r="E59">
        <v>4.07</v>
      </c>
      <c r="F59">
        <v>0</v>
      </c>
      <c r="G59" s="20">
        <v>4.07</v>
      </c>
      <c r="H59">
        <v>653470</v>
      </c>
      <c r="I59" t="s">
        <v>2</v>
      </c>
      <c r="J59" t="s">
        <v>600</v>
      </c>
      <c r="K59" t="s">
        <v>601</v>
      </c>
      <c r="L59" t="s">
        <v>602</v>
      </c>
      <c r="M59" t="s">
        <v>655</v>
      </c>
      <c r="N59">
        <v>958499</v>
      </c>
      <c r="O59" t="s">
        <v>603</v>
      </c>
      <c r="P59" t="s">
        <v>656</v>
      </c>
      <c r="Q59">
        <v>38593</v>
      </c>
      <c r="R59" t="s">
        <v>33</v>
      </c>
      <c r="S59" t="s">
        <v>34</v>
      </c>
      <c r="T59" t="s">
        <v>657</v>
      </c>
      <c r="U59" t="s">
        <v>658</v>
      </c>
      <c r="V59" t="s">
        <v>659</v>
      </c>
      <c r="W59" t="s">
        <v>773</v>
      </c>
      <c r="X59" t="s">
        <v>278</v>
      </c>
      <c r="Y59" t="s">
        <v>604</v>
      </c>
      <c r="Z59" t="s">
        <v>774</v>
      </c>
      <c r="AA59" t="s">
        <v>36</v>
      </c>
      <c r="AB59" t="s">
        <v>663</v>
      </c>
      <c r="AC59">
        <v>2</v>
      </c>
      <c r="AD59" s="20">
        <v>11</v>
      </c>
      <c r="AE59" t="s">
        <v>664</v>
      </c>
      <c r="AF59" t="s">
        <v>27</v>
      </c>
    </row>
    <row r="60" spans="1:32" x14ac:dyDescent="0.3">
      <c r="A60" t="s">
        <v>605</v>
      </c>
      <c r="B60" t="s">
        <v>654</v>
      </c>
      <c r="C60" t="s">
        <v>20</v>
      </c>
      <c r="E60">
        <v>14.4</v>
      </c>
      <c r="F60">
        <v>0</v>
      </c>
      <c r="G60" s="20">
        <v>14.4</v>
      </c>
      <c r="H60">
        <v>653470</v>
      </c>
      <c r="I60" t="s">
        <v>2</v>
      </c>
      <c r="J60" t="s">
        <v>606</v>
      </c>
      <c r="K60" t="s">
        <v>607</v>
      </c>
      <c r="L60" t="s">
        <v>608</v>
      </c>
      <c r="M60" t="s">
        <v>684</v>
      </c>
      <c r="N60">
        <v>689390</v>
      </c>
      <c r="O60" t="s">
        <v>52</v>
      </c>
      <c r="P60" t="s">
        <v>656</v>
      </c>
      <c r="Q60">
        <v>38399</v>
      </c>
      <c r="R60" t="s">
        <v>72</v>
      </c>
      <c r="S60" t="s">
        <v>34</v>
      </c>
      <c r="T60" t="s">
        <v>657</v>
      </c>
      <c r="U60" t="s">
        <v>665</v>
      </c>
      <c r="V60" t="s">
        <v>666</v>
      </c>
      <c r="W60" t="s">
        <v>775</v>
      </c>
      <c r="X60" t="s">
        <v>776</v>
      </c>
      <c r="Y60" t="s">
        <v>609</v>
      </c>
      <c r="Z60" t="s">
        <v>777</v>
      </c>
      <c r="AA60" t="s">
        <v>36</v>
      </c>
      <c r="AB60" t="s">
        <v>663</v>
      </c>
      <c r="AC60">
        <v>29</v>
      </c>
      <c r="AD60" s="20">
        <v>60</v>
      </c>
      <c r="AE60" t="s">
        <v>674</v>
      </c>
      <c r="AF60" t="s">
        <v>27</v>
      </c>
    </row>
    <row r="61" spans="1:32" x14ac:dyDescent="0.3">
      <c r="A61" t="s">
        <v>614</v>
      </c>
      <c r="B61" t="s">
        <v>654</v>
      </c>
      <c r="C61" t="s">
        <v>20</v>
      </c>
      <c r="E61">
        <v>5.55</v>
      </c>
      <c r="F61">
        <v>0</v>
      </c>
      <c r="G61" s="20">
        <v>5.55</v>
      </c>
      <c r="H61">
        <v>653470</v>
      </c>
      <c r="I61" t="s">
        <v>2</v>
      </c>
      <c r="J61" t="s">
        <v>610</v>
      </c>
      <c r="K61" t="s">
        <v>611</v>
      </c>
      <c r="L61" t="s">
        <v>612</v>
      </c>
      <c r="M61" t="s">
        <v>655</v>
      </c>
      <c r="N61">
        <v>706472</v>
      </c>
      <c r="O61" t="s">
        <v>184</v>
      </c>
      <c r="P61" t="s">
        <v>656</v>
      </c>
      <c r="Q61">
        <v>38593</v>
      </c>
      <c r="R61" t="s">
        <v>33</v>
      </c>
      <c r="S61" t="s">
        <v>70</v>
      </c>
      <c r="T61" t="s">
        <v>657</v>
      </c>
      <c r="U61" t="s">
        <v>658</v>
      </c>
      <c r="V61" t="s">
        <v>659</v>
      </c>
      <c r="W61" t="s">
        <v>778</v>
      </c>
      <c r="X61" t="s">
        <v>726</v>
      </c>
      <c r="Y61" t="s">
        <v>613</v>
      </c>
      <c r="Z61" t="s">
        <v>779</v>
      </c>
      <c r="AA61" t="s">
        <v>36</v>
      </c>
      <c r="AB61" t="s">
        <v>678</v>
      </c>
      <c r="AC61">
        <v>18</v>
      </c>
      <c r="AD61" s="20">
        <v>15</v>
      </c>
      <c r="AE61" t="s">
        <v>664</v>
      </c>
      <c r="AF61" t="s">
        <v>27</v>
      </c>
    </row>
    <row r="62" spans="1:32" x14ac:dyDescent="0.3">
      <c r="A62" t="s">
        <v>614</v>
      </c>
      <c r="B62" t="s">
        <v>654</v>
      </c>
      <c r="C62" t="s">
        <v>20</v>
      </c>
      <c r="E62">
        <v>16</v>
      </c>
      <c r="F62">
        <v>0</v>
      </c>
      <c r="G62" s="20">
        <v>16</v>
      </c>
      <c r="H62">
        <v>653470</v>
      </c>
      <c r="I62" t="s">
        <v>2</v>
      </c>
      <c r="J62" t="s">
        <v>610</v>
      </c>
      <c r="K62" t="s">
        <v>611</v>
      </c>
      <c r="L62" t="s">
        <v>612</v>
      </c>
      <c r="M62" t="s">
        <v>655</v>
      </c>
      <c r="N62">
        <v>706472</v>
      </c>
      <c r="O62" t="s">
        <v>184</v>
      </c>
      <c r="P62" t="s">
        <v>656</v>
      </c>
      <c r="Q62">
        <v>45041</v>
      </c>
      <c r="R62" t="s">
        <v>96</v>
      </c>
      <c r="S62" t="s">
        <v>55</v>
      </c>
      <c r="T62" t="s">
        <v>657</v>
      </c>
      <c r="U62" t="s">
        <v>665</v>
      </c>
      <c r="V62" t="s">
        <v>666</v>
      </c>
      <c r="W62" t="s">
        <v>778</v>
      </c>
      <c r="X62" t="s">
        <v>726</v>
      </c>
      <c r="Y62" t="s">
        <v>615</v>
      </c>
      <c r="Z62" t="s">
        <v>779</v>
      </c>
      <c r="AA62" t="s">
        <v>36</v>
      </c>
      <c r="AB62" t="s">
        <v>678</v>
      </c>
      <c r="AC62">
        <v>18</v>
      </c>
      <c r="AD62" s="20">
        <v>50</v>
      </c>
      <c r="AE62" t="s">
        <v>670</v>
      </c>
      <c r="AF62" t="s">
        <v>27</v>
      </c>
    </row>
    <row r="63" spans="1:32" x14ac:dyDescent="0.3">
      <c r="A63" t="s">
        <v>621</v>
      </c>
      <c r="B63" t="s">
        <v>654</v>
      </c>
      <c r="C63" t="s">
        <v>20</v>
      </c>
      <c r="E63">
        <v>44.72</v>
      </c>
      <c r="F63">
        <v>0</v>
      </c>
      <c r="G63" s="20">
        <v>44.72</v>
      </c>
      <c r="H63">
        <v>653470</v>
      </c>
      <c r="I63" t="s">
        <v>2</v>
      </c>
      <c r="J63" t="s">
        <v>616</v>
      </c>
      <c r="K63" t="s">
        <v>617</v>
      </c>
      <c r="L63" t="s">
        <v>618</v>
      </c>
      <c r="M63" t="s">
        <v>780</v>
      </c>
      <c r="N63">
        <v>653470</v>
      </c>
      <c r="O63" t="s">
        <v>2</v>
      </c>
      <c r="P63" t="s">
        <v>656</v>
      </c>
      <c r="Q63">
        <v>43553</v>
      </c>
      <c r="R63" t="s">
        <v>620</v>
      </c>
      <c r="S63" t="s">
        <v>78</v>
      </c>
      <c r="T63" t="s">
        <v>657</v>
      </c>
      <c r="U63" t="s">
        <v>665</v>
      </c>
      <c r="V63" t="s">
        <v>666</v>
      </c>
      <c r="W63" t="s">
        <v>781</v>
      </c>
      <c r="X63" t="s">
        <v>782</v>
      </c>
      <c r="Y63" t="s">
        <v>619</v>
      </c>
      <c r="Z63" t="s">
        <v>783</v>
      </c>
      <c r="AA63" t="s">
        <v>36</v>
      </c>
      <c r="AB63" t="s">
        <v>663</v>
      </c>
      <c r="AC63">
        <v>41</v>
      </c>
      <c r="AD63" s="20">
        <v>172</v>
      </c>
      <c r="AE63" t="s">
        <v>784</v>
      </c>
      <c r="AF63" t="s">
        <v>27</v>
      </c>
    </row>
    <row r="64" spans="1:32" x14ac:dyDescent="0.3">
      <c r="A64" t="s">
        <v>621</v>
      </c>
      <c r="B64" t="s">
        <v>654</v>
      </c>
      <c r="C64" t="s">
        <v>20</v>
      </c>
      <c r="E64">
        <v>12.48</v>
      </c>
      <c r="F64">
        <v>0</v>
      </c>
      <c r="G64" s="20">
        <v>12.48</v>
      </c>
      <c r="H64">
        <v>653470</v>
      </c>
      <c r="I64" t="s">
        <v>2</v>
      </c>
      <c r="J64" t="s">
        <v>616</v>
      </c>
      <c r="K64" t="s">
        <v>617</v>
      </c>
      <c r="L64" t="s">
        <v>618</v>
      </c>
      <c r="M64" t="s">
        <v>780</v>
      </c>
      <c r="N64">
        <v>653470</v>
      </c>
      <c r="O64" t="s">
        <v>2</v>
      </c>
      <c r="P64" t="s">
        <v>656</v>
      </c>
      <c r="Q64">
        <v>27711</v>
      </c>
      <c r="R64" t="s">
        <v>623</v>
      </c>
      <c r="S64" t="s">
        <v>78</v>
      </c>
      <c r="T64" t="s">
        <v>657</v>
      </c>
      <c r="U64" t="s">
        <v>658</v>
      </c>
      <c r="V64" t="s">
        <v>659</v>
      </c>
      <c r="W64" t="s">
        <v>785</v>
      </c>
      <c r="X64" t="s">
        <v>786</v>
      </c>
      <c r="Y64" t="s">
        <v>622</v>
      </c>
      <c r="Z64" t="s">
        <v>783</v>
      </c>
      <c r="AA64" t="s">
        <v>36</v>
      </c>
      <c r="AB64" t="s">
        <v>663</v>
      </c>
      <c r="AC64">
        <v>42</v>
      </c>
      <c r="AD64" s="20">
        <v>48</v>
      </c>
      <c r="AE64" t="s">
        <v>784</v>
      </c>
      <c r="AF64" t="s">
        <v>27</v>
      </c>
    </row>
    <row r="65" spans="1:32" x14ac:dyDescent="0.3">
      <c r="A65" t="s">
        <v>482</v>
      </c>
      <c r="B65" t="s">
        <v>654</v>
      </c>
      <c r="C65" t="s">
        <v>20</v>
      </c>
      <c r="E65">
        <v>8</v>
      </c>
      <c r="F65">
        <v>0</v>
      </c>
      <c r="G65" s="20">
        <v>8</v>
      </c>
      <c r="H65">
        <v>653470</v>
      </c>
      <c r="I65" t="s">
        <v>2</v>
      </c>
      <c r="J65" t="s">
        <v>554</v>
      </c>
      <c r="K65" t="s">
        <v>555</v>
      </c>
      <c r="L65" t="s">
        <v>556</v>
      </c>
      <c r="M65" t="s">
        <v>655</v>
      </c>
      <c r="N65">
        <v>678726</v>
      </c>
      <c r="O65" t="s">
        <v>31</v>
      </c>
      <c r="P65" t="s">
        <v>656</v>
      </c>
      <c r="Q65">
        <v>45041</v>
      </c>
      <c r="R65" t="s">
        <v>96</v>
      </c>
      <c r="S65" t="s">
        <v>34</v>
      </c>
      <c r="T65" t="s">
        <v>657</v>
      </c>
      <c r="U65" t="s">
        <v>665</v>
      </c>
      <c r="V65" t="s">
        <v>666</v>
      </c>
      <c r="W65" t="s">
        <v>787</v>
      </c>
      <c r="X65" t="s">
        <v>668</v>
      </c>
      <c r="Y65" t="s">
        <v>557</v>
      </c>
      <c r="Z65" t="s">
        <v>788</v>
      </c>
      <c r="AA65" t="s">
        <v>36</v>
      </c>
      <c r="AB65" t="s">
        <v>663</v>
      </c>
      <c r="AC65">
        <v>20</v>
      </c>
      <c r="AD65" s="20">
        <v>25</v>
      </c>
      <c r="AE65" t="s">
        <v>670</v>
      </c>
      <c r="AF65" t="s">
        <v>27</v>
      </c>
    </row>
    <row r="66" spans="1:32" x14ac:dyDescent="0.3">
      <c r="A66" t="s">
        <v>482</v>
      </c>
      <c r="B66" t="s">
        <v>654</v>
      </c>
      <c r="C66" t="s">
        <v>20</v>
      </c>
      <c r="E66">
        <v>4.07</v>
      </c>
      <c r="F66">
        <v>0</v>
      </c>
      <c r="G66" s="20">
        <v>4.07</v>
      </c>
      <c r="H66">
        <v>653470</v>
      </c>
      <c r="I66" t="s">
        <v>2</v>
      </c>
      <c r="J66" t="s">
        <v>510</v>
      </c>
      <c r="K66" t="s">
        <v>511</v>
      </c>
      <c r="L66" t="s">
        <v>512</v>
      </c>
      <c r="M66" t="s">
        <v>698</v>
      </c>
      <c r="N66">
        <v>949252</v>
      </c>
      <c r="O66" t="s">
        <v>513</v>
      </c>
      <c r="P66" t="s">
        <v>656</v>
      </c>
      <c r="Q66">
        <v>38593</v>
      </c>
      <c r="R66" t="s">
        <v>33</v>
      </c>
      <c r="S66" t="s">
        <v>34</v>
      </c>
      <c r="T66" t="s">
        <v>657</v>
      </c>
      <c r="U66" t="s">
        <v>658</v>
      </c>
      <c r="V66" t="s">
        <v>659</v>
      </c>
      <c r="W66" t="s">
        <v>789</v>
      </c>
      <c r="X66" t="s">
        <v>278</v>
      </c>
      <c r="Y66" t="s">
        <v>586</v>
      </c>
      <c r="Z66" t="s">
        <v>790</v>
      </c>
      <c r="AA66" t="s">
        <v>36</v>
      </c>
      <c r="AB66" t="s">
        <v>678</v>
      </c>
      <c r="AC66">
        <v>2</v>
      </c>
      <c r="AD66" s="20">
        <v>11</v>
      </c>
      <c r="AE66" t="s">
        <v>664</v>
      </c>
      <c r="AF66" t="s">
        <v>27</v>
      </c>
    </row>
    <row r="67" spans="1:32" x14ac:dyDescent="0.3">
      <c r="A67" t="s">
        <v>482</v>
      </c>
      <c r="B67" t="s">
        <v>654</v>
      </c>
      <c r="C67" t="s">
        <v>20</v>
      </c>
      <c r="E67">
        <v>16</v>
      </c>
      <c r="F67">
        <v>0</v>
      </c>
      <c r="G67" s="20">
        <v>16</v>
      </c>
      <c r="H67">
        <v>653470</v>
      </c>
      <c r="I67" t="s">
        <v>2</v>
      </c>
      <c r="J67" t="s">
        <v>552</v>
      </c>
      <c r="K67" t="s">
        <v>231</v>
      </c>
      <c r="L67" t="s">
        <v>485</v>
      </c>
      <c r="M67" t="s">
        <v>655</v>
      </c>
      <c r="N67">
        <v>678726</v>
      </c>
      <c r="O67" t="s">
        <v>31</v>
      </c>
      <c r="P67" t="s">
        <v>656</v>
      </c>
      <c r="Q67">
        <v>45041</v>
      </c>
      <c r="R67" t="s">
        <v>96</v>
      </c>
      <c r="S67" t="s">
        <v>55</v>
      </c>
      <c r="T67" t="s">
        <v>657</v>
      </c>
      <c r="U67" t="s">
        <v>665</v>
      </c>
      <c r="V67" t="s">
        <v>666</v>
      </c>
      <c r="W67" t="s">
        <v>791</v>
      </c>
      <c r="X67" t="s">
        <v>668</v>
      </c>
      <c r="Y67" t="s">
        <v>553</v>
      </c>
      <c r="Z67" t="s">
        <v>792</v>
      </c>
      <c r="AA67" t="s">
        <v>36</v>
      </c>
      <c r="AB67" t="s">
        <v>663</v>
      </c>
      <c r="AC67">
        <v>20</v>
      </c>
      <c r="AD67" s="20">
        <v>50</v>
      </c>
      <c r="AE67" t="s">
        <v>670</v>
      </c>
      <c r="AF67" t="s">
        <v>27</v>
      </c>
    </row>
    <row r="68" spans="1:32" x14ac:dyDescent="0.3">
      <c r="A68" t="s">
        <v>482</v>
      </c>
      <c r="B68" t="s">
        <v>654</v>
      </c>
      <c r="C68" t="s">
        <v>20</v>
      </c>
      <c r="E68">
        <v>10.8</v>
      </c>
      <c r="F68">
        <v>0</v>
      </c>
      <c r="G68" s="20">
        <v>10.8</v>
      </c>
      <c r="H68">
        <v>653470</v>
      </c>
      <c r="I68" t="s">
        <v>2</v>
      </c>
      <c r="J68" t="s">
        <v>510</v>
      </c>
      <c r="K68" t="s">
        <v>511</v>
      </c>
      <c r="L68" t="s">
        <v>512</v>
      </c>
      <c r="M68" t="s">
        <v>698</v>
      </c>
      <c r="N68">
        <v>949252</v>
      </c>
      <c r="O68" t="s">
        <v>513</v>
      </c>
      <c r="P68" t="s">
        <v>656</v>
      </c>
      <c r="Q68">
        <v>49824</v>
      </c>
      <c r="R68" t="s">
        <v>149</v>
      </c>
      <c r="S68" t="s">
        <v>34</v>
      </c>
      <c r="T68" t="s">
        <v>657</v>
      </c>
      <c r="U68" t="s">
        <v>665</v>
      </c>
      <c r="V68" t="s">
        <v>666</v>
      </c>
      <c r="W68" t="s">
        <v>789</v>
      </c>
      <c r="X68" t="s">
        <v>278</v>
      </c>
      <c r="Y68" t="s">
        <v>514</v>
      </c>
      <c r="Z68" t="s">
        <v>790</v>
      </c>
      <c r="AA68" t="s">
        <v>36</v>
      </c>
      <c r="AB68" t="s">
        <v>678</v>
      </c>
      <c r="AC68">
        <v>2</v>
      </c>
      <c r="AD68" s="20">
        <v>45</v>
      </c>
      <c r="AE68" t="s">
        <v>674</v>
      </c>
      <c r="AF68" t="s">
        <v>27</v>
      </c>
    </row>
    <row r="69" spans="1:32" x14ac:dyDescent="0.3">
      <c r="A69" t="s">
        <v>482</v>
      </c>
      <c r="B69" t="s">
        <v>654</v>
      </c>
      <c r="C69" t="s">
        <v>20</v>
      </c>
      <c r="E69">
        <v>5.28</v>
      </c>
      <c r="F69">
        <v>0</v>
      </c>
      <c r="G69" s="20">
        <v>5.28</v>
      </c>
      <c r="H69">
        <v>653470</v>
      </c>
      <c r="I69" t="s">
        <v>2</v>
      </c>
      <c r="J69" t="s">
        <v>478</v>
      </c>
      <c r="K69" t="s">
        <v>479</v>
      </c>
      <c r="L69" t="s">
        <v>480</v>
      </c>
      <c r="M69" t="s">
        <v>698</v>
      </c>
      <c r="N69">
        <v>757929</v>
      </c>
      <c r="O69" t="s">
        <v>142</v>
      </c>
      <c r="P69" t="s">
        <v>656</v>
      </c>
      <c r="Q69">
        <v>47132</v>
      </c>
      <c r="R69" t="s">
        <v>155</v>
      </c>
      <c r="S69" t="s">
        <v>34</v>
      </c>
      <c r="T69" t="s">
        <v>657</v>
      </c>
      <c r="U69" t="s">
        <v>665</v>
      </c>
      <c r="V69" t="s">
        <v>666</v>
      </c>
      <c r="W69" t="s">
        <v>793</v>
      </c>
      <c r="X69" t="s">
        <v>661</v>
      </c>
      <c r="Y69" t="s">
        <v>481</v>
      </c>
      <c r="Z69" t="s">
        <v>794</v>
      </c>
      <c r="AA69" t="s">
        <v>36</v>
      </c>
      <c r="AB69" t="s">
        <v>678</v>
      </c>
      <c r="AC69">
        <v>5</v>
      </c>
      <c r="AD69" s="20">
        <v>22</v>
      </c>
      <c r="AE69" t="s">
        <v>674</v>
      </c>
      <c r="AF69" t="s">
        <v>27</v>
      </c>
    </row>
    <row r="70" spans="1:32" x14ac:dyDescent="0.3">
      <c r="A70" t="s">
        <v>482</v>
      </c>
      <c r="B70" t="s">
        <v>654</v>
      </c>
      <c r="C70" t="s">
        <v>20</v>
      </c>
      <c r="E70">
        <v>8</v>
      </c>
      <c r="F70">
        <v>0</v>
      </c>
      <c r="G70" s="20">
        <v>8</v>
      </c>
      <c r="H70">
        <v>653470</v>
      </c>
      <c r="I70" t="s">
        <v>2</v>
      </c>
      <c r="J70" t="s">
        <v>483</v>
      </c>
      <c r="K70" t="s">
        <v>484</v>
      </c>
      <c r="L70" t="s">
        <v>485</v>
      </c>
      <c r="M70" t="s">
        <v>655</v>
      </c>
      <c r="N70">
        <v>678726</v>
      </c>
      <c r="O70" t="s">
        <v>31</v>
      </c>
      <c r="P70" t="s">
        <v>656</v>
      </c>
      <c r="Q70">
        <v>45041</v>
      </c>
      <c r="R70" t="s">
        <v>96</v>
      </c>
      <c r="S70" t="s">
        <v>34</v>
      </c>
      <c r="T70" t="s">
        <v>657</v>
      </c>
      <c r="U70" t="s">
        <v>665</v>
      </c>
      <c r="V70" t="s">
        <v>666</v>
      </c>
      <c r="W70" t="s">
        <v>791</v>
      </c>
      <c r="X70" t="s">
        <v>668</v>
      </c>
      <c r="Y70" t="s">
        <v>486</v>
      </c>
      <c r="Z70" t="s">
        <v>795</v>
      </c>
      <c r="AA70" t="s">
        <v>36</v>
      </c>
      <c r="AB70" t="s">
        <v>663</v>
      </c>
      <c r="AC70">
        <v>20</v>
      </c>
      <c r="AD70" s="20">
        <v>25</v>
      </c>
      <c r="AE70" t="s">
        <v>670</v>
      </c>
      <c r="AF70" t="s">
        <v>27</v>
      </c>
    </row>
    <row r="71" spans="1:32" x14ac:dyDescent="0.3">
      <c r="A71" t="s">
        <v>482</v>
      </c>
      <c r="B71" t="s">
        <v>654</v>
      </c>
      <c r="C71" t="s">
        <v>20</v>
      </c>
      <c r="E71">
        <v>8</v>
      </c>
      <c r="F71">
        <v>0</v>
      </c>
      <c r="G71" s="20">
        <v>8</v>
      </c>
      <c r="H71">
        <v>653470</v>
      </c>
      <c r="I71" t="s">
        <v>2</v>
      </c>
      <c r="J71" t="s">
        <v>487</v>
      </c>
      <c r="K71" t="s">
        <v>488</v>
      </c>
      <c r="L71" t="s">
        <v>489</v>
      </c>
      <c r="M71" t="s">
        <v>655</v>
      </c>
      <c r="N71">
        <v>798992</v>
      </c>
      <c r="O71" t="s">
        <v>198</v>
      </c>
      <c r="P71" t="s">
        <v>656</v>
      </c>
      <c r="Q71">
        <v>45041</v>
      </c>
      <c r="R71" t="s">
        <v>96</v>
      </c>
      <c r="S71" t="s">
        <v>34</v>
      </c>
      <c r="T71" t="s">
        <v>657</v>
      </c>
      <c r="U71" t="s">
        <v>665</v>
      </c>
      <c r="V71" t="s">
        <v>666</v>
      </c>
      <c r="W71" t="s">
        <v>692</v>
      </c>
      <c r="X71" t="s">
        <v>693</v>
      </c>
      <c r="Y71" t="s">
        <v>490</v>
      </c>
      <c r="Z71" t="s">
        <v>796</v>
      </c>
      <c r="AA71" t="s">
        <v>36</v>
      </c>
      <c r="AB71" t="s">
        <v>663</v>
      </c>
      <c r="AC71">
        <v>16</v>
      </c>
      <c r="AD71" s="20">
        <v>25</v>
      </c>
      <c r="AE71" t="s">
        <v>670</v>
      </c>
      <c r="AF71" t="s">
        <v>27</v>
      </c>
    </row>
    <row r="72" spans="1:32" x14ac:dyDescent="0.3">
      <c r="A72" t="s">
        <v>482</v>
      </c>
      <c r="B72" t="s">
        <v>654</v>
      </c>
      <c r="C72" t="s">
        <v>20</v>
      </c>
      <c r="E72">
        <v>16</v>
      </c>
      <c r="F72">
        <v>0</v>
      </c>
      <c r="G72" s="20">
        <v>16</v>
      </c>
      <c r="H72">
        <v>653470</v>
      </c>
      <c r="I72" t="s">
        <v>2</v>
      </c>
      <c r="J72" t="s">
        <v>491</v>
      </c>
      <c r="K72" t="s">
        <v>492</v>
      </c>
      <c r="L72" t="s">
        <v>493</v>
      </c>
      <c r="M72" t="s">
        <v>655</v>
      </c>
      <c r="N72">
        <v>706472</v>
      </c>
      <c r="O72" t="s">
        <v>184</v>
      </c>
      <c r="P72" t="s">
        <v>656</v>
      </c>
      <c r="Q72">
        <v>45041</v>
      </c>
      <c r="R72" t="s">
        <v>96</v>
      </c>
      <c r="S72" t="s">
        <v>55</v>
      </c>
      <c r="T72" t="s">
        <v>657</v>
      </c>
      <c r="U72" t="s">
        <v>665</v>
      </c>
      <c r="V72" t="s">
        <v>666</v>
      </c>
      <c r="W72" t="s">
        <v>797</v>
      </c>
      <c r="X72" t="s">
        <v>676</v>
      </c>
      <c r="Y72" t="s">
        <v>494</v>
      </c>
      <c r="Z72" t="s">
        <v>798</v>
      </c>
      <c r="AA72" t="s">
        <v>36</v>
      </c>
      <c r="AB72" t="s">
        <v>663</v>
      </c>
      <c r="AC72">
        <v>17</v>
      </c>
      <c r="AD72" s="20">
        <v>50</v>
      </c>
      <c r="AE72" t="s">
        <v>670</v>
      </c>
      <c r="AF72" t="s">
        <v>27</v>
      </c>
    </row>
    <row r="73" spans="1:32" x14ac:dyDescent="0.3">
      <c r="A73" t="s">
        <v>499</v>
      </c>
      <c r="B73" t="s">
        <v>654</v>
      </c>
      <c r="C73" t="s">
        <v>20</v>
      </c>
      <c r="E73">
        <v>5.28</v>
      </c>
      <c r="F73">
        <v>0</v>
      </c>
      <c r="G73" s="20">
        <v>5.28</v>
      </c>
      <c r="H73">
        <v>653470</v>
      </c>
      <c r="I73" t="s">
        <v>2</v>
      </c>
      <c r="J73" t="s">
        <v>495</v>
      </c>
      <c r="K73" t="s">
        <v>496</v>
      </c>
      <c r="L73" t="s">
        <v>497</v>
      </c>
      <c r="M73" t="s">
        <v>655</v>
      </c>
      <c r="N73">
        <v>678726</v>
      </c>
      <c r="O73" t="s">
        <v>31</v>
      </c>
      <c r="P73" t="s">
        <v>656</v>
      </c>
      <c r="Q73">
        <v>47132</v>
      </c>
      <c r="R73" t="s">
        <v>155</v>
      </c>
      <c r="S73" t="s">
        <v>34</v>
      </c>
      <c r="T73" t="s">
        <v>657</v>
      </c>
      <c r="U73" t="s">
        <v>665</v>
      </c>
      <c r="V73" t="s">
        <v>666</v>
      </c>
      <c r="W73" t="s">
        <v>700</v>
      </c>
      <c r="X73" t="s">
        <v>661</v>
      </c>
      <c r="Y73" t="s">
        <v>498</v>
      </c>
      <c r="Z73" t="s">
        <v>799</v>
      </c>
      <c r="AA73" t="s">
        <v>36</v>
      </c>
      <c r="AB73" t="s">
        <v>663</v>
      </c>
      <c r="AC73">
        <v>5</v>
      </c>
      <c r="AD73" s="20">
        <v>22</v>
      </c>
      <c r="AE73" t="s">
        <v>674</v>
      </c>
      <c r="AF73" t="s">
        <v>27</v>
      </c>
    </row>
    <row r="74" spans="1:32" x14ac:dyDescent="0.3">
      <c r="A74" t="s">
        <v>499</v>
      </c>
      <c r="B74" t="s">
        <v>654</v>
      </c>
      <c r="C74" t="s">
        <v>20</v>
      </c>
      <c r="E74">
        <v>16</v>
      </c>
      <c r="F74">
        <v>0</v>
      </c>
      <c r="G74" s="20">
        <v>16</v>
      </c>
      <c r="H74">
        <v>653470</v>
      </c>
      <c r="I74" t="s">
        <v>2</v>
      </c>
      <c r="J74" t="s">
        <v>500</v>
      </c>
      <c r="K74" t="s">
        <v>294</v>
      </c>
      <c r="L74" t="s">
        <v>501</v>
      </c>
      <c r="M74" t="s">
        <v>655</v>
      </c>
      <c r="N74">
        <v>678726</v>
      </c>
      <c r="O74" t="s">
        <v>31</v>
      </c>
      <c r="P74" t="s">
        <v>656</v>
      </c>
      <c r="Q74">
        <v>45041</v>
      </c>
      <c r="R74" t="s">
        <v>96</v>
      </c>
      <c r="S74" t="s">
        <v>55</v>
      </c>
      <c r="T74" t="s">
        <v>657</v>
      </c>
      <c r="U74" t="s">
        <v>665</v>
      </c>
      <c r="V74" t="s">
        <v>666</v>
      </c>
      <c r="W74" t="s">
        <v>800</v>
      </c>
      <c r="X74" t="s">
        <v>668</v>
      </c>
      <c r="Y74" t="s">
        <v>502</v>
      </c>
      <c r="Z74" t="s">
        <v>801</v>
      </c>
      <c r="AA74" t="s">
        <v>36</v>
      </c>
      <c r="AB74" t="s">
        <v>678</v>
      </c>
      <c r="AC74">
        <v>20</v>
      </c>
      <c r="AD74" s="20">
        <v>50</v>
      </c>
      <c r="AE74" t="s">
        <v>670</v>
      </c>
      <c r="AF74" t="s">
        <v>27</v>
      </c>
    </row>
    <row r="75" spans="1:32" x14ac:dyDescent="0.3">
      <c r="A75" t="s">
        <v>499</v>
      </c>
      <c r="B75" t="s">
        <v>654</v>
      </c>
      <c r="C75" t="s">
        <v>20</v>
      </c>
      <c r="E75">
        <v>8</v>
      </c>
      <c r="F75">
        <v>0</v>
      </c>
      <c r="G75" s="20">
        <v>8</v>
      </c>
      <c r="H75">
        <v>653470</v>
      </c>
      <c r="I75" t="s">
        <v>2</v>
      </c>
      <c r="J75" t="s">
        <v>503</v>
      </c>
      <c r="K75" t="s">
        <v>454</v>
      </c>
      <c r="L75" t="s">
        <v>504</v>
      </c>
      <c r="M75" t="s">
        <v>655</v>
      </c>
      <c r="N75">
        <v>678726</v>
      </c>
      <c r="O75" t="s">
        <v>31</v>
      </c>
      <c r="P75" t="s">
        <v>656</v>
      </c>
      <c r="Q75">
        <v>45041</v>
      </c>
      <c r="R75" t="s">
        <v>96</v>
      </c>
      <c r="S75" t="s">
        <v>34</v>
      </c>
      <c r="T75" t="s">
        <v>657</v>
      </c>
      <c r="U75" t="s">
        <v>665</v>
      </c>
      <c r="V75" t="s">
        <v>666</v>
      </c>
      <c r="W75" t="s">
        <v>800</v>
      </c>
      <c r="X75" t="s">
        <v>668</v>
      </c>
      <c r="Y75" t="s">
        <v>505</v>
      </c>
      <c r="Z75" t="s">
        <v>802</v>
      </c>
      <c r="AA75" t="s">
        <v>36</v>
      </c>
      <c r="AB75" t="s">
        <v>678</v>
      </c>
      <c r="AC75">
        <v>20</v>
      </c>
      <c r="AD75" s="20">
        <v>25</v>
      </c>
      <c r="AE75" t="s">
        <v>670</v>
      </c>
      <c r="AF75" t="s">
        <v>27</v>
      </c>
    </row>
    <row r="76" spans="1:32" x14ac:dyDescent="0.3">
      <c r="A76" t="s">
        <v>499</v>
      </c>
      <c r="B76" t="s">
        <v>654</v>
      </c>
      <c r="C76" t="s">
        <v>20</v>
      </c>
      <c r="E76">
        <v>29.04</v>
      </c>
      <c r="F76">
        <v>0</v>
      </c>
      <c r="G76" s="20">
        <v>29.04</v>
      </c>
      <c r="H76">
        <v>653470</v>
      </c>
      <c r="I76" t="s">
        <v>2</v>
      </c>
      <c r="J76" t="s">
        <v>506</v>
      </c>
      <c r="K76" t="s">
        <v>507</v>
      </c>
      <c r="L76" t="s">
        <v>508</v>
      </c>
      <c r="M76" t="s">
        <v>684</v>
      </c>
      <c r="N76">
        <v>781535</v>
      </c>
      <c r="O76" t="s">
        <v>106</v>
      </c>
      <c r="P76" t="s">
        <v>656</v>
      </c>
      <c r="Q76">
        <v>38399</v>
      </c>
      <c r="R76" t="s">
        <v>72</v>
      </c>
      <c r="S76" t="s">
        <v>55</v>
      </c>
      <c r="T76" t="s">
        <v>657</v>
      </c>
      <c r="U76" t="s">
        <v>665</v>
      </c>
      <c r="V76" t="s">
        <v>666</v>
      </c>
      <c r="W76" t="s">
        <v>803</v>
      </c>
      <c r="X76" t="s">
        <v>746</v>
      </c>
      <c r="Y76" t="s">
        <v>509</v>
      </c>
      <c r="Z76" t="s">
        <v>804</v>
      </c>
      <c r="AA76" t="s">
        <v>36</v>
      </c>
      <c r="AB76" t="s">
        <v>678</v>
      </c>
      <c r="AC76">
        <v>21</v>
      </c>
      <c r="AD76" s="20">
        <v>121</v>
      </c>
      <c r="AE76" t="s">
        <v>674</v>
      </c>
      <c r="AF76" t="s">
        <v>27</v>
      </c>
    </row>
    <row r="77" spans="1:32" x14ac:dyDescent="0.3">
      <c r="A77" t="s">
        <v>499</v>
      </c>
      <c r="B77" t="s">
        <v>654</v>
      </c>
      <c r="C77" t="s">
        <v>20</v>
      </c>
      <c r="E77">
        <v>5.55</v>
      </c>
      <c r="F77">
        <v>0</v>
      </c>
      <c r="G77" s="20">
        <v>5.55</v>
      </c>
      <c r="H77">
        <v>653470</v>
      </c>
      <c r="I77" t="s">
        <v>2</v>
      </c>
      <c r="J77" t="s">
        <v>506</v>
      </c>
      <c r="K77" t="s">
        <v>507</v>
      </c>
      <c r="L77" t="s">
        <v>508</v>
      </c>
      <c r="M77" t="s">
        <v>684</v>
      </c>
      <c r="N77">
        <v>781535</v>
      </c>
      <c r="O77" t="s">
        <v>106</v>
      </c>
      <c r="P77" t="s">
        <v>656</v>
      </c>
      <c r="Q77">
        <v>38593</v>
      </c>
      <c r="R77" t="s">
        <v>33</v>
      </c>
      <c r="S77" t="s">
        <v>70</v>
      </c>
      <c r="T77" t="s">
        <v>657</v>
      </c>
      <c r="U77" t="s">
        <v>658</v>
      </c>
      <c r="V77" t="s">
        <v>659</v>
      </c>
      <c r="W77" t="s">
        <v>803</v>
      </c>
      <c r="X77" t="s">
        <v>746</v>
      </c>
      <c r="Y77" t="s">
        <v>515</v>
      </c>
      <c r="Z77" t="s">
        <v>804</v>
      </c>
      <c r="AA77" t="s">
        <v>36</v>
      </c>
      <c r="AB77" t="s">
        <v>678</v>
      </c>
      <c r="AC77">
        <v>21</v>
      </c>
      <c r="AD77" s="20">
        <v>15</v>
      </c>
      <c r="AE77" t="s">
        <v>664</v>
      </c>
      <c r="AF77" t="s">
        <v>27</v>
      </c>
    </row>
    <row r="78" spans="1:32" x14ac:dyDescent="0.3">
      <c r="A78" t="s">
        <v>499</v>
      </c>
      <c r="B78" t="s">
        <v>654</v>
      </c>
      <c r="C78" t="s">
        <v>20</v>
      </c>
      <c r="E78">
        <v>7.4</v>
      </c>
      <c r="F78">
        <v>0</v>
      </c>
      <c r="G78" s="20">
        <v>7.4</v>
      </c>
      <c r="H78">
        <v>653470</v>
      </c>
      <c r="I78" t="s">
        <v>2</v>
      </c>
      <c r="J78" t="s">
        <v>516</v>
      </c>
      <c r="K78" t="s">
        <v>517</v>
      </c>
      <c r="L78" t="s">
        <v>518</v>
      </c>
      <c r="M78" t="s">
        <v>698</v>
      </c>
      <c r="N78">
        <v>759555</v>
      </c>
      <c r="O78" t="s">
        <v>40</v>
      </c>
      <c r="P78" t="s">
        <v>656</v>
      </c>
      <c r="Q78">
        <v>38593</v>
      </c>
      <c r="R78" t="s">
        <v>33</v>
      </c>
      <c r="S78" t="s">
        <v>78</v>
      </c>
      <c r="T78" t="s">
        <v>657</v>
      </c>
      <c r="U78" t="s">
        <v>658</v>
      </c>
      <c r="V78" t="s">
        <v>659</v>
      </c>
      <c r="W78" t="s">
        <v>803</v>
      </c>
      <c r="X78" t="s">
        <v>746</v>
      </c>
      <c r="Y78" t="s">
        <v>546</v>
      </c>
      <c r="Z78" t="s">
        <v>805</v>
      </c>
      <c r="AA78" t="s">
        <v>36</v>
      </c>
      <c r="AB78" t="s">
        <v>678</v>
      </c>
      <c r="AC78">
        <v>21</v>
      </c>
      <c r="AD78" s="20">
        <v>20</v>
      </c>
      <c r="AE78" t="s">
        <v>664</v>
      </c>
      <c r="AF78" t="s">
        <v>27</v>
      </c>
    </row>
    <row r="79" spans="1:32" x14ac:dyDescent="0.3">
      <c r="A79" t="s">
        <v>499</v>
      </c>
      <c r="B79" t="s">
        <v>654</v>
      </c>
      <c r="C79" t="s">
        <v>20</v>
      </c>
      <c r="E79">
        <v>26.88</v>
      </c>
      <c r="F79">
        <v>0</v>
      </c>
      <c r="G79" s="20">
        <v>26.88</v>
      </c>
      <c r="H79">
        <v>653470</v>
      </c>
      <c r="I79" t="s">
        <v>2</v>
      </c>
      <c r="J79" t="s">
        <v>516</v>
      </c>
      <c r="K79" t="s">
        <v>517</v>
      </c>
      <c r="L79" t="s">
        <v>518</v>
      </c>
      <c r="M79" t="s">
        <v>698</v>
      </c>
      <c r="N79">
        <v>759555</v>
      </c>
      <c r="O79" t="s">
        <v>40</v>
      </c>
      <c r="P79" t="s">
        <v>656</v>
      </c>
      <c r="Q79">
        <v>38398</v>
      </c>
      <c r="R79" t="s">
        <v>54</v>
      </c>
      <c r="S79" t="s">
        <v>215</v>
      </c>
      <c r="T79" t="s">
        <v>657</v>
      </c>
      <c r="U79" t="s">
        <v>665</v>
      </c>
      <c r="V79" t="s">
        <v>666</v>
      </c>
      <c r="W79" t="s">
        <v>803</v>
      </c>
      <c r="X79" t="s">
        <v>746</v>
      </c>
      <c r="Y79" t="s">
        <v>519</v>
      </c>
      <c r="Z79" t="s">
        <v>805</v>
      </c>
      <c r="AA79" t="s">
        <v>36</v>
      </c>
      <c r="AB79" t="s">
        <v>678</v>
      </c>
      <c r="AC79">
        <v>21</v>
      </c>
      <c r="AD79" s="20">
        <v>112</v>
      </c>
      <c r="AE79" t="s">
        <v>674</v>
      </c>
      <c r="AF79" t="s">
        <v>27</v>
      </c>
    </row>
    <row r="80" spans="1:32" x14ac:dyDescent="0.3">
      <c r="A80" t="s">
        <v>499</v>
      </c>
      <c r="B80" t="s">
        <v>654</v>
      </c>
      <c r="C80" t="s">
        <v>20</v>
      </c>
      <c r="E80">
        <v>4.07</v>
      </c>
      <c r="F80">
        <v>0</v>
      </c>
      <c r="G80" s="20">
        <v>4.07</v>
      </c>
      <c r="H80">
        <v>653470</v>
      </c>
      <c r="I80" t="s">
        <v>2</v>
      </c>
      <c r="J80" t="s">
        <v>520</v>
      </c>
      <c r="K80" t="s">
        <v>521</v>
      </c>
      <c r="L80" t="s">
        <v>522</v>
      </c>
      <c r="M80" t="s">
        <v>655</v>
      </c>
      <c r="N80">
        <v>678726</v>
      </c>
      <c r="O80" t="s">
        <v>31</v>
      </c>
      <c r="P80" t="s">
        <v>656</v>
      </c>
      <c r="Q80">
        <v>38593</v>
      </c>
      <c r="R80" t="s">
        <v>33</v>
      </c>
      <c r="S80" t="s">
        <v>34</v>
      </c>
      <c r="T80" t="s">
        <v>657</v>
      </c>
      <c r="U80" t="s">
        <v>658</v>
      </c>
      <c r="V80" t="s">
        <v>659</v>
      </c>
      <c r="W80" t="s">
        <v>806</v>
      </c>
      <c r="X80" t="s">
        <v>807</v>
      </c>
      <c r="Y80" t="s">
        <v>523</v>
      </c>
      <c r="Z80" t="s">
        <v>808</v>
      </c>
      <c r="AA80" t="s">
        <v>36</v>
      </c>
      <c r="AB80" t="s">
        <v>678</v>
      </c>
      <c r="AC80">
        <v>11</v>
      </c>
      <c r="AD80" s="20">
        <v>11</v>
      </c>
      <c r="AE80" t="s">
        <v>664</v>
      </c>
      <c r="AF80" t="s">
        <v>27</v>
      </c>
    </row>
    <row r="81" spans="1:32" x14ac:dyDescent="0.3">
      <c r="A81" t="s">
        <v>354</v>
      </c>
      <c r="B81" t="s">
        <v>654</v>
      </c>
      <c r="C81" t="s">
        <v>20</v>
      </c>
      <c r="E81">
        <v>8</v>
      </c>
      <c r="F81">
        <v>0</v>
      </c>
      <c r="G81" s="20">
        <v>8</v>
      </c>
      <c r="H81">
        <v>653470</v>
      </c>
      <c r="I81" t="s">
        <v>2</v>
      </c>
      <c r="J81" t="s">
        <v>524</v>
      </c>
      <c r="K81" t="s">
        <v>525</v>
      </c>
      <c r="L81" t="s">
        <v>258</v>
      </c>
      <c r="M81" t="s">
        <v>655</v>
      </c>
      <c r="N81">
        <v>707256</v>
      </c>
      <c r="O81" t="s">
        <v>526</v>
      </c>
      <c r="P81" t="s">
        <v>656</v>
      </c>
      <c r="Q81">
        <v>45041</v>
      </c>
      <c r="R81" t="s">
        <v>96</v>
      </c>
      <c r="S81" t="s">
        <v>34</v>
      </c>
      <c r="T81" t="s">
        <v>657</v>
      </c>
      <c r="U81" t="s">
        <v>665</v>
      </c>
      <c r="V81" t="s">
        <v>666</v>
      </c>
      <c r="W81" t="s">
        <v>809</v>
      </c>
      <c r="X81" t="s">
        <v>810</v>
      </c>
      <c r="Y81" t="s">
        <v>527</v>
      </c>
      <c r="Z81" t="s">
        <v>811</v>
      </c>
      <c r="AA81" t="s">
        <v>36</v>
      </c>
      <c r="AB81" t="s">
        <v>663</v>
      </c>
      <c r="AC81">
        <v>14</v>
      </c>
      <c r="AD81" s="20">
        <v>25</v>
      </c>
      <c r="AE81" t="s">
        <v>670</v>
      </c>
      <c r="AF81" t="s">
        <v>27</v>
      </c>
    </row>
    <row r="82" spans="1:32" x14ac:dyDescent="0.3">
      <c r="A82" t="s">
        <v>354</v>
      </c>
      <c r="B82" t="s">
        <v>654</v>
      </c>
      <c r="C82" t="s">
        <v>20</v>
      </c>
      <c r="E82">
        <v>9.6</v>
      </c>
      <c r="F82">
        <v>0</v>
      </c>
      <c r="G82" s="20">
        <v>9.6</v>
      </c>
      <c r="H82">
        <v>653470</v>
      </c>
      <c r="I82" t="s">
        <v>2</v>
      </c>
      <c r="J82" t="s">
        <v>528</v>
      </c>
      <c r="K82" t="s">
        <v>146</v>
      </c>
      <c r="L82" t="s">
        <v>529</v>
      </c>
      <c r="M82" t="s">
        <v>698</v>
      </c>
      <c r="N82">
        <v>757929</v>
      </c>
      <c r="O82" t="s">
        <v>142</v>
      </c>
      <c r="P82" t="s">
        <v>656</v>
      </c>
      <c r="Q82">
        <v>42249</v>
      </c>
      <c r="R82" t="s">
        <v>149</v>
      </c>
      <c r="S82" t="s">
        <v>34</v>
      </c>
      <c r="T82" t="s">
        <v>657</v>
      </c>
      <c r="U82" t="s">
        <v>665</v>
      </c>
      <c r="V82" t="s">
        <v>666</v>
      </c>
      <c r="W82" t="s">
        <v>812</v>
      </c>
      <c r="X82" t="s">
        <v>813</v>
      </c>
      <c r="Y82" t="s">
        <v>530</v>
      </c>
      <c r="Z82" t="s">
        <v>814</v>
      </c>
      <c r="AA82" t="s">
        <v>36</v>
      </c>
      <c r="AB82" t="s">
        <v>678</v>
      </c>
      <c r="AC82">
        <v>24</v>
      </c>
      <c r="AD82" s="20">
        <v>40</v>
      </c>
      <c r="AE82" t="s">
        <v>674</v>
      </c>
      <c r="AF82" t="s">
        <v>27</v>
      </c>
    </row>
    <row r="83" spans="1:32" x14ac:dyDescent="0.3">
      <c r="A83" t="s">
        <v>354</v>
      </c>
      <c r="B83" t="s">
        <v>654</v>
      </c>
      <c r="C83" t="s">
        <v>20</v>
      </c>
      <c r="E83">
        <v>8</v>
      </c>
      <c r="F83">
        <v>0</v>
      </c>
      <c r="G83" s="20">
        <v>8</v>
      </c>
      <c r="H83">
        <v>653470</v>
      </c>
      <c r="I83" t="s">
        <v>2</v>
      </c>
      <c r="J83" t="s">
        <v>531</v>
      </c>
      <c r="K83" t="s">
        <v>532</v>
      </c>
      <c r="L83" t="s">
        <v>533</v>
      </c>
      <c r="M83" t="s">
        <v>655</v>
      </c>
      <c r="N83">
        <v>678726</v>
      </c>
      <c r="O83" t="s">
        <v>31</v>
      </c>
      <c r="P83" t="s">
        <v>656</v>
      </c>
      <c r="Q83">
        <v>45041</v>
      </c>
      <c r="R83" t="s">
        <v>96</v>
      </c>
      <c r="S83" t="s">
        <v>34</v>
      </c>
      <c r="T83" t="s">
        <v>657</v>
      </c>
      <c r="U83" t="s">
        <v>665</v>
      </c>
      <c r="V83" t="s">
        <v>666</v>
      </c>
      <c r="W83" t="s">
        <v>688</v>
      </c>
      <c r="X83" t="s">
        <v>676</v>
      </c>
      <c r="Y83" t="s">
        <v>534</v>
      </c>
      <c r="Z83" t="s">
        <v>815</v>
      </c>
      <c r="AA83" t="s">
        <v>36</v>
      </c>
      <c r="AB83" t="s">
        <v>678</v>
      </c>
      <c r="AC83">
        <v>17</v>
      </c>
      <c r="AD83" s="20">
        <v>25</v>
      </c>
      <c r="AE83" t="s">
        <v>670</v>
      </c>
      <c r="AF83" t="s">
        <v>27</v>
      </c>
    </row>
    <row r="84" spans="1:32" x14ac:dyDescent="0.3">
      <c r="A84" t="s">
        <v>354</v>
      </c>
      <c r="B84" t="s">
        <v>654</v>
      </c>
      <c r="C84" t="s">
        <v>20</v>
      </c>
      <c r="E84">
        <v>22.8</v>
      </c>
      <c r="F84">
        <v>0</v>
      </c>
      <c r="G84" s="20">
        <v>22.8</v>
      </c>
      <c r="H84">
        <v>653470</v>
      </c>
      <c r="I84" t="s">
        <v>2</v>
      </c>
      <c r="J84" t="s">
        <v>535</v>
      </c>
      <c r="K84" t="s">
        <v>536</v>
      </c>
      <c r="L84" t="s">
        <v>537</v>
      </c>
      <c r="M84" t="s">
        <v>698</v>
      </c>
      <c r="N84">
        <v>757209</v>
      </c>
      <c r="O84" t="s">
        <v>475</v>
      </c>
      <c r="P84" t="s">
        <v>656</v>
      </c>
      <c r="Q84">
        <v>42249</v>
      </c>
      <c r="R84" t="s">
        <v>149</v>
      </c>
      <c r="S84" t="s">
        <v>215</v>
      </c>
      <c r="T84" t="s">
        <v>657</v>
      </c>
      <c r="U84" t="s">
        <v>665</v>
      </c>
      <c r="V84" t="s">
        <v>666</v>
      </c>
      <c r="W84" t="s">
        <v>812</v>
      </c>
      <c r="X84" t="s">
        <v>813</v>
      </c>
      <c r="Y84" t="s">
        <v>538</v>
      </c>
      <c r="Z84" t="s">
        <v>816</v>
      </c>
      <c r="AA84" t="s">
        <v>36</v>
      </c>
      <c r="AB84" t="s">
        <v>678</v>
      </c>
      <c r="AC84">
        <v>24</v>
      </c>
      <c r="AD84" s="20">
        <v>95</v>
      </c>
      <c r="AE84" t="s">
        <v>674</v>
      </c>
      <c r="AF84" t="s">
        <v>27</v>
      </c>
    </row>
    <row r="85" spans="1:32" x14ac:dyDescent="0.3">
      <c r="A85" t="s">
        <v>354</v>
      </c>
      <c r="B85" t="s">
        <v>654</v>
      </c>
      <c r="C85" t="s">
        <v>20</v>
      </c>
      <c r="E85">
        <v>5.55</v>
      </c>
      <c r="F85">
        <v>0</v>
      </c>
      <c r="G85" s="20">
        <v>5.55</v>
      </c>
      <c r="H85">
        <v>653470</v>
      </c>
      <c r="I85" t="s">
        <v>2</v>
      </c>
      <c r="J85" t="s">
        <v>535</v>
      </c>
      <c r="K85" t="s">
        <v>536</v>
      </c>
      <c r="L85" t="s">
        <v>537</v>
      </c>
      <c r="M85" t="s">
        <v>698</v>
      </c>
      <c r="N85">
        <v>757209</v>
      </c>
      <c r="O85" t="s">
        <v>475</v>
      </c>
      <c r="P85" t="s">
        <v>656</v>
      </c>
      <c r="Q85">
        <v>38593</v>
      </c>
      <c r="R85" t="s">
        <v>33</v>
      </c>
      <c r="S85" t="s">
        <v>70</v>
      </c>
      <c r="T85" t="s">
        <v>657</v>
      </c>
      <c r="U85" t="s">
        <v>658</v>
      </c>
      <c r="V85" t="s">
        <v>659</v>
      </c>
      <c r="W85" t="s">
        <v>812</v>
      </c>
      <c r="X85" t="s">
        <v>813</v>
      </c>
      <c r="Y85" t="s">
        <v>539</v>
      </c>
      <c r="Z85" t="s">
        <v>816</v>
      </c>
      <c r="AA85" t="s">
        <v>36</v>
      </c>
      <c r="AB85" t="s">
        <v>678</v>
      </c>
      <c r="AC85">
        <v>24</v>
      </c>
      <c r="AD85" s="20">
        <v>15</v>
      </c>
      <c r="AE85" t="s">
        <v>664</v>
      </c>
      <c r="AF85" t="s">
        <v>27</v>
      </c>
    </row>
    <row r="86" spans="1:32" x14ac:dyDescent="0.3">
      <c r="A86" t="s">
        <v>354</v>
      </c>
      <c r="B86" t="s">
        <v>654</v>
      </c>
      <c r="C86" t="s">
        <v>20</v>
      </c>
      <c r="E86">
        <v>55.12</v>
      </c>
      <c r="F86">
        <v>0</v>
      </c>
      <c r="G86" s="20">
        <v>55.12</v>
      </c>
      <c r="H86">
        <v>653470</v>
      </c>
      <c r="I86" t="s">
        <v>2</v>
      </c>
      <c r="J86" t="s">
        <v>540</v>
      </c>
      <c r="K86" t="s">
        <v>541</v>
      </c>
      <c r="L86" t="s">
        <v>542</v>
      </c>
      <c r="M86" t="s">
        <v>817</v>
      </c>
      <c r="N86">
        <v>657149</v>
      </c>
      <c r="O86" t="s">
        <v>543</v>
      </c>
      <c r="P86" t="s">
        <v>656</v>
      </c>
      <c r="Q86">
        <v>43554</v>
      </c>
      <c r="R86" t="s">
        <v>545</v>
      </c>
      <c r="S86" t="s">
        <v>78</v>
      </c>
      <c r="T86" t="s">
        <v>657</v>
      </c>
      <c r="U86" t="s">
        <v>665</v>
      </c>
      <c r="V86" t="s">
        <v>666</v>
      </c>
      <c r="W86" t="s">
        <v>818</v>
      </c>
      <c r="X86" t="s">
        <v>782</v>
      </c>
      <c r="Y86" t="s">
        <v>544</v>
      </c>
      <c r="Z86" t="s">
        <v>819</v>
      </c>
      <c r="AA86" t="s">
        <v>36</v>
      </c>
      <c r="AB86" t="s">
        <v>678</v>
      </c>
      <c r="AC86">
        <v>40</v>
      </c>
      <c r="AD86" s="20">
        <v>212</v>
      </c>
      <c r="AE86" t="s">
        <v>784</v>
      </c>
      <c r="AF86" t="s">
        <v>27</v>
      </c>
    </row>
    <row r="87" spans="1:32" x14ac:dyDescent="0.3">
      <c r="A87" t="s">
        <v>354</v>
      </c>
      <c r="B87" t="s">
        <v>654</v>
      </c>
      <c r="C87" t="s">
        <v>20</v>
      </c>
      <c r="D87" t="s">
        <v>48</v>
      </c>
      <c r="E87">
        <v>0</v>
      </c>
      <c r="F87">
        <v>4.07</v>
      </c>
      <c r="G87" s="20">
        <v>-4.07</v>
      </c>
      <c r="H87">
        <v>653470</v>
      </c>
      <c r="I87" t="s">
        <v>2</v>
      </c>
      <c r="J87" t="s">
        <v>350</v>
      </c>
      <c r="K87" t="s">
        <v>351</v>
      </c>
      <c r="L87" t="s">
        <v>352</v>
      </c>
      <c r="M87" t="s">
        <v>698</v>
      </c>
      <c r="N87">
        <v>760338</v>
      </c>
      <c r="O87" t="s">
        <v>168</v>
      </c>
      <c r="P87" t="s">
        <v>656</v>
      </c>
      <c r="Q87">
        <v>38593</v>
      </c>
      <c r="R87" t="s">
        <v>33</v>
      </c>
      <c r="S87" t="s">
        <v>34</v>
      </c>
      <c r="T87" t="s">
        <v>657</v>
      </c>
      <c r="U87" t="s">
        <v>658</v>
      </c>
      <c r="V87" t="s">
        <v>659</v>
      </c>
      <c r="W87" t="s">
        <v>820</v>
      </c>
      <c r="X87" t="s">
        <v>810</v>
      </c>
      <c r="Y87" t="s">
        <v>353</v>
      </c>
      <c r="Z87" t="s">
        <v>821</v>
      </c>
      <c r="AA87" t="s">
        <v>47</v>
      </c>
      <c r="AB87" t="s">
        <v>678</v>
      </c>
      <c r="AC87">
        <v>13</v>
      </c>
      <c r="AD87" s="20">
        <v>11</v>
      </c>
      <c r="AE87" t="s">
        <v>664</v>
      </c>
      <c r="AF87" t="s">
        <v>27</v>
      </c>
    </row>
    <row r="88" spans="1:32" x14ac:dyDescent="0.3">
      <c r="A88" t="s">
        <v>354</v>
      </c>
      <c r="B88" t="s">
        <v>654</v>
      </c>
      <c r="C88" t="s">
        <v>20</v>
      </c>
      <c r="D88" t="s">
        <v>48</v>
      </c>
      <c r="E88">
        <v>0</v>
      </c>
      <c r="F88">
        <v>6</v>
      </c>
      <c r="G88" s="20">
        <v>-6</v>
      </c>
      <c r="H88">
        <v>653470</v>
      </c>
      <c r="I88" t="s">
        <v>2</v>
      </c>
      <c r="J88" t="s">
        <v>350</v>
      </c>
      <c r="K88" t="s">
        <v>351</v>
      </c>
      <c r="L88" t="s">
        <v>352</v>
      </c>
      <c r="M88" t="s">
        <v>698</v>
      </c>
      <c r="N88">
        <v>760338</v>
      </c>
      <c r="O88" t="s">
        <v>168</v>
      </c>
      <c r="P88" t="s">
        <v>656</v>
      </c>
      <c r="Q88">
        <v>38796</v>
      </c>
      <c r="R88" t="s">
        <v>77</v>
      </c>
      <c r="S88" t="s">
        <v>34</v>
      </c>
      <c r="T88" t="s">
        <v>657</v>
      </c>
      <c r="U88" t="s">
        <v>665</v>
      </c>
      <c r="V88" t="s">
        <v>666</v>
      </c>
      <c r="W88" t="s">
        <v>820</v>
      </c>
      <c r="X88" t="s">
        <v>810</v>
      </c>
      <c r="Y88" t="s">
        <v>467</v>
      </c>
      <c r="Z88" t="s">
        <v>821</v>
      </c>
      <c r="AA88" t="s">
        <v>47</v>
      </c>
      <c r="AB88" t="s">
        <v>678</v>
      </c>
      <c r="AC88">
        <v>13</v>
      </c>
      <c r="AD88" s="20">
        <v>25</v>
      </c>
      <c r="AE88" t="s">
        <v>674</v>
      </c>
      <c r="AF88" t="s">
        <v>27</v>
      </c>
    </row>
    <row r="89" spans="1:32" x14ac:dyDescent="0.3">
      <c r="A89" t="s">
        <v>138</v>
      </c>
      <c r="B89" t="s">
        <v>654</v>
      </c>
      <c r="C89" t="s">
        <v>20</v>
      </c>
      <c r="E89">
        <v>6.48</v>
      </c>
      <c r="F89">
        <v>0</v>
      </c>
      <c r="G89" s="20">
        <v>6.48</v>
      </c>
      <c r="H89">
        <v>653470</v>
      </c>
      <c r="I89" t="s">
        <v>2</v>
      </c>
      <c r="J89" t="s">
        <v>206</v>
      </c>
      <c r="K89" t="s">
        <v>207</v>
      </c>
      <c r="L89" t="s">
        <v>208</v>
      </c>
      <c r="M89" t="s">
        <v>822</v>
      </c>
      <c r="N89">
        <v>678726</v>
      </c>
      <c r="O89" t="s">
        <v>31</v>
      </c>
      <c r="P89" t="s">
        <v>656</v>
      </c>
      <c r="Q89">
        <v>47133</v>
      </c>
      <c r="R89" t="s">
        <v>238</v>
      </c>
      <c r="S89" t="s">
        <v>34</v>
      </c>
      <c r="T89" t="s">
        <v>657</v>
      </c>
      <c r="U89" t="s">
        <v>665</v>
      </c>
      <c r="V89" t="s">
        <v>666</v>
      </c>
      <c r="W89" t="s">
        <v>823</v>
      </c>
      <c r="X89" t="s">
        <v>672</v>
      </c>
      <c r="Y89" t="s">
        <v>349</v>
      </c>
      <c r="Z89" t="s">
        <v>824</v>
      </c>
      <c r="AA89" t="s">
        <v>36</v>
      </c>
      <c r="AB89" t="s">
        <v>663</v>
      </c>
      <c r="AC89">
        <v>6</v>
      </c>
      <c r="AD89" s="20">
        <v>27</v>
      </c>
      <c r="AE89" t="s">
        <v>674</v>
      </c>
      <c r="AF89" t="s">
        <v>27</v>
      </c>
    </row>
    <row r="90" spans="1:32" x14ac:dyDescent="0.3">
      <c r="A90" t="s">
        <v>138</v>
      </c>
      <c r="B90" t="s">
        <v>654</v>
      </c>
      <c r="C90" t="s">
        <v>20</v>
      </c>
      <c r="E90">
        <v>4.07</v>
      </c>
      <c r="F90">
        <v>0</v>
      </c>
      <c r="G90" s="20">
        <v>4.07</v>
      </c>
      <c r="H90">
        <v>653470</v>
      </c>
      <c r="I90" t="s">
        <v>2</v>
      </c>
      <c r="J90" t="s">
        <v>206</v>
      </c>
      <c r="K90" t="s">
        <v>207</v>
      </c>
      <c r="L90" t="s">
        <v>208</v>
      </c>
      <c r="M90" t="s">
        <v>822</v>
      </c>
      <c r="N90">
        <v>678726</v>
      </c>
      <c r="O90" t="s">
        <v>31</v>
      </c>
      <c r="P90" t="s">
        <v>656</v>
      </c>
      <c r="Q90">
        <v>38593</v>
      </c>
      <c r="R90" t="s">
        <v>33</v>
      </c>
      <c r="S90" t="s">
        <v>34</v>
      </c>
      <c r="T90" t="s">
        <v>657</v>
      </c>
      <c r="U90" t="s">
        <v>658</v>
      </c>
      <c r="V90" t="s">
        <v>659</v>
      </c>
      <c r="W90" t="s">
        <v>823</v>
      </c>
      <c r="X90" t="s">
        <v>672</v>
      </c>
      <c r="Y90" t="s">
        <v>209</v>
      </c>
      <c r="Z90" t="s">
        <v>824</v>
      </c>
      <c r="AA90" t="s">
        <v>36</v>
      </c>
      <c r="AB90" t="s">
        <v>663</v>
      </c>
      <c r="AC90">
        <v>6</v>
      </c>
      <c r="AD90" s="20">
        <v>11</v>
      </c>
      <c r="AE90" t="s">
        <v>664</v>
      </c>
      <c r="AF90" t="s">
        <v>27</v>
      </c>
    </row>
    <row r="91" spans="1:32" x14ac:dyDescent="0.3">
      <c r="A91" t="s">
        <v>138</v>
      </c>
      <c r="B91" t="s">
        <v>654</v>
      </c>
      <c r="C91" t="s">
        <v>20</v>
      </c>
      <c r="E91">
        <v>17.04</v>
      </c>
      <c r="F91">
        <v>0</v>
      </c>
      <c r="G91" s="20">
        <v>17.04</v>
      </c>
      <c r="H91">
        <v>653470</v>
      </c>
      <c r="I91" t="s">
        <v>2</v>
      </c>
      <c r="J91" t="s">
        <v>134</v>
      </c>
      <c r="K91" t="s">
        <v>135</v>
      </c>
      <c r="L91" t="s">
        <v>136</v>
      </c>
      <c r="M91" t="s">
        <v>684</v>
      </c>
      <c r="N91">
        <v>689390</v>
      </c>
      <c r="O91" t="s">
        <v>52</v>
      </c>
      <c r="P91" t="s">
        <v>656</v>
      </c>
      <c r="Q91">
        <v>38399</v>
      </c>
      <c r="R91" t="s">
        <v>72</v>
      </c>
      <c r="S91" t="s">
        <v>34</v>
      </c>
      <c r="T91" t="s">
        <v>657</v>
      </c>
      <c r="U91" t="s">
        <v>665</v>
      </c>
      <c r="V91" t="s">
        <v>666</v>
      </c>
      <c r="W91" t="s">
        <v>825</v>
      </c>
      <c r="X91" t="s">
        <v>661</v>
      </c>
      <c r="Y91" t="s">
        <v>137</v>
      </c>
      <c r="Z91" t="s">
        <v>826</v>
      </c>
      <c r="AA91" t="s">
        <v>36</v>
      </c>
      <c r="AB91" t="s">
        <v>678</v>
      </c>
      <c r="AC91">
        <v>5</v>
      </c>
      <c r="AD91" s="20">
        <v>71</v>
      </c>
      <c r="AE91" t="s">
        <v>674</v>
      </c>
      <c r="AF91" t="s">
        <v>27</v>
      </c>
    </row>
    <row r="92" spans="1:32" x14ac:dyDescent="0.3">
      <c r="A92" t="s">
        <v>144</v>
      </c>
      <c r="B92" t="s">
        <v>654</v>
      </c>
      <c r="C92" t="s">
        <v>20</v>
      </c>
      <c r="E92">
        <v>4.07</v>
      </c>
      <c r="F92">
        <v>0</v>
      </c>
      <c r="G92" s="20">
        <v>4.07</v>
      </c>
      <c r="H92">
        <v>653470</v>
      </c>
      <c r="I92" t="s">
        <v>2</v>
      </c>
      <c r="J92" t="s">
        <v>139</v>
      </c>
      <c r="K92" t="s">
        <v>140</v>
      </c>
      <c r="L92" t="s">
        <v>141</v>
      </c>
      <c r="M92" t="s">
        <v>698</v>
      </c>
      <c r="N92">
        <v>757929</v>
      </c>
      <c r="O92" t="s">
        <v>142</v>
      </c>
      <c r="P92" t="s">
        <v>656</v>
      </c>
      <c r="Q92">
        <v>38593</v>
      </c>
      <c r="R92" t="s">
        <v>33</v>
      </c>
      <c r="S92" t="s">
        <v>34</v>
      </c>
      <c r="T92" t="s">
        <v>657</v>
      </c>
      <c r="U92" t="s">
        <v>658</v>
      </c>
      <c r="V92" t="s">
        <v>659</v>
      </c>
      <c r="W92" t="s">
        <v>793</v>
      </c>
      <c r="X92" t="s">
        <v>661</v>
      </c>
      <c r="Y92" t="s">
        <v>143</v>
      </c>
      <c r="Z92" t="s">
        <v>827</v>
      </c>
      <c r="AA92" t="s">
        <v>36</v>
      </c>
      <c r="AB92" t="s">
        <v>663</v>
      </c>
      <c r="AC92">
        <v>5</v>
      </c>
      <c r="AD92" s="20">
        <v>11</v>
      </c>
      <c r="AE92" t="s">
        <v>664</v>
      </c>
      <c r="AF92" t="s">
        <v>27</v>
      </c>
    </row>
    <row r="93" spans="1:32" x14ac:dyDescent="0.3">
      <c r="A93" t="s">
        <v>144</v>
      </c>
      <c r="B93" t="s">
        <v>654</v>
      </c>
      <c r="C93" t="s">
        <v>20</v>
      </c>
      <c r="E93">
        <v>9.6</v>
      </c>
      <c r="F93">
        <v>0</v>
      </c>
      <c r="G93" s="20">
        <v>9.6</v>
      </c>
      <c r="H93">
        <v>653470</v>
      </c>
      <c r="I93" t="s">
        <v>2</v>
      </c>
      <c r="J93" t="s">
        <v>145</v>
      </c>
      <c r="K93" t="s">
        <v>146</v>
      </c>
      <c r="L93" t="s">
        <v>147</v>
      </c>
      <c r="M93" t="s">
        <v>698</v>
      </c>
      <c r="N93">
        <v>757929</v>
      </c>
      <c r="O93" t="s">
        <v>142</v>
      </c>
      <c r="P93" t="s">
        <v>656</v>
      </c>
      <c r="Q93">
        <v>42249</v>
      </c>
      <c r="R93" t="s">
        <v>149</v>
      </c>
      <c r="S93" t="s">
        <v>34</v>
      </c>
      <c r="T93" t="s">
        <v>657</v>
      </c>
      <c r="U93" t="s">
        <v>665</v>
      </c>
      <c r="V93" t="s">
        <v>666</v>
      </c>
      <c r="W93" t="s">
        <v>828</v>
      </c>
      <c r="X93" t="s">
        <v>829</v>
      </c>
      <c r="Y93" t="s">
        <v>148</v>
      </c>
      <c r="Z93" t="s">
        <v>830</v>
      </c>
      <c r="AA93" t="s">
        <v>36</v>
      </c>
      <c r="AB93" t="s">
        <v>678</v>
      </c>
      <c r="AC93">
        <v>9</v>
      </c>
      <c r="AD93" s="20">
        <v>40</v>
      </c>
      <c r="AE93" t="s">
        <v>674</v>
      </c>
      <c r="AF93" t="s">
        <v>27</v>
      </c>
    </row>
    <row r="94" spans="1:32" x14ac:dyDescent="0.3">
      <c r="A94" t="s">
        <v>144</v>
      </c>
      <c r="B94" t="s">
        <v>654</v>
      </c>
      <c r="C94" t="s">
        <v>20</v>
      </c>
      <c r="E94">
        <v>15.84</v>
      </c>
      <c r="F94">
        <v>0</v>
      </c>
      <c r="G94" s="20">
        <v>15.84</v>
      </c>
      <c r="H94">
        <v>653470</v>
      </c>
      <c r="I94" t="s">
        <v>2</v>
      </c>
      <c r="J94" t="s">
        <v>150</v>
      </c>
      <c r="K94" t="s">
        <v>151</v>
      </c>
      <c r="L94" t="s">
        <v>152</v>
      </c>
      <c r="M94" t="s">
        <v>679</v>
      </c>
      <c r="N94">
        <v>689390</v>
      </c>
      <c r="O94" t="s">
        <v>52</v>
      </c>
      <c r="P94" t="s">
        <v>656</v>
      </c>
      <c r="Q94">
        <v>38399</v>
      </c>
      <c r="R94" t="s">
        <v>72</v>
      </c>
      <c r="S94" t="s">
        <v>34</v>
      </c>
      <c r="T94" t="s">
        <v>657</v>
      </c>
      <c r="U94" t="s">
        <v>665</v>
      </c>
      <c r="V94" t="s">
        <v>666</v>
      </c>
      <c r="W94" t="s">
        <v>831</v>
      </c>
      <c r="X94" t="s">
        <v>832</v>
      </c>
      <c r="Y94" t="s">
        <v>153</v>
      </c>
      <c r="Z94" t="s">
        <v>833</v>
      </c>
      <c r="AA94" t="s">
        <v>36</v>
      </c>
      <c r="AB94" t="s">
        <v>678</v>
      </c>
      <c r="AC94">
        <v>25</v>
      </c>
      <c r="AD94" s="20">
        <v>66</v>
      </c>
      <c r="AE94" t="s">
        <v>674</v>
      </c>
      <c r="AF94" t="s">
        <v>27</v>
      </c>
    </row>
    <row r="95" spans="1:32" x14ac:dyDescent="0.3">
      <c r="A95" t="s">
        <v>144</v>
      </c>
      <c r="B95" t="s">
        <v>654</v>
      </c>
      <c r="C95" t="s">
        <v>20</v>
      </c>
      <c r="E95">
        <v>5.28</v>
      </c>
      <c r="F95">
        <v>0</v>
      </c>
      <c r="G95" s="20">
        <v>5.28</v>
      </c>
      <c r="H95">
        <v>653470</v>
      </c>
      <c r="I95" t="s">
        <v>2</v>
      </c>
      <c r="J95" t="s">
        <v>139</v>
      </c>
      <c r="K95" t="s">
        <v>140</v>
      </c>
      <c r="L95" t="s">
        <v>141</v>
      </c>
      <c r="M95" t="s">
        <v>698</v>
      </c>
      <c r="N95">
        <v>757929</v>
      </c>
      <c r="O95" t="s">
        <v>142</v>
      </c>
      <c r="P95" t="s">
        <v>656</v>
      </c>
      <c r="Q95">
        <v>47132</v>
      </c>
      <c r="R95" t="s">
        <v>155</v>
      </c>
      <c r="S95" t="s">
        <v>34</v>
      </c>
      <c r="T95" t="s">
        <v>657</v>
      </c>
      <c r="U95" t="s">
        <v>665</v>
      </c>
      <c r="V95" t="s">
        <v>666</v>
      </c>
      <c r="W95" t="s">
        <v>793</v>
      </c>
      <c r="X95" t="s">
        <v>661</v>
      </c>
      <c r="Y95" t="s">
        <v>154</v>
      </c>
      <c r="Z95" t="s">
        <v>827</v>
      </c>
      <c r="AA95" t="s">
        <v>36</v>
      </c>
      <c r="AB95" t="s">
        <v>663</v>
      </c>
      <c r="AC95">
        <v>5</v>
      </c>
      <c r="AD95" s="20">
        <v>22</v>
      </c>
      <c r="AE95" t="s">
        <v>674</v>
      </c>
      <c r="AF95" t="s">
        <v>27</v>
      </c>
    </row>
    <row r="96" spans="1:32" x14ac:dyDescent="0.3">
      <c r="A96" t="s">
        <v>144</v>
      </c>
      <c r="B96" t="s">
        <v>654</v>
      </c>
      <c r="C96" t="s">
        <v>20</v>
      </c>
      <c r="E96">
        <v>16</v>
      </c>
      <c r="F96">
        <v>0</v>
      </c>
      <c r="G96" s="20">
        <v>16</v>
      </c>
      <c r="H96">
        <v>653470</v>
      </c>
      <c r="I96" t="s">
        <v>2</v>
      </c>
      <c r="J96" t="s">
        <v>156</v>
      </c>
      <c r="K96" t="s">
        <v>157</v>
      </c>
      <c r="L96" t="s">
        <v>158</v>
      </c>
      <c r="M96" t="s">
        <v>655</v>
      </c>
      <c r="N96">
        <v>678726</v>
      </c>
      <c r="O96" t="s">
        <v>31</v>
      </c>
      <c r="P96" t="s">
        <v>656</v>
      </c>
      <c r="Q96">
        <v>45041</v>
      </c>
      <c r="R96" t="s">
        <v>96</v>
      </c>
      <c r="S96" t="s">
        <v>55</v>
      </c>
      <c r="T96" t="s">
        <v>657</v>
      </c>
      <c r="U96" t="s">
        <v>665</v>
      </c>
      <c r="V96" t="s">
        <v>666</v>
      </c>
      <c r="W96" t="s">
        <v>834</v>
      </c>
      <c r="X96" t="s">
        <v>676</v>
      </c>
      <c r="Y96" t="s">
        <v>159</v>
      </c>
      <c r="Z96" t="s">
        <v>835</v>
      </c>
      <c r="AA96" t="s">
        <v>36</v>
      </c>
      <c r="AB96" t="s">
        <v>663</v>
      </c>
      <c r="AC96">
        <v>17</v>
      </c>
      <c r="AD96" s="20">
        <v>50</v>
      </c>
      <c r="AE96" t="s">
        <v>670</v>
      </c>
      <c r="AF96" t="s">
        <v>27</v>
      </c>
    </row>
    <row r="97" spans="1:32" x14ac:dyDescent="0.3">
      <c r="A97" t="s">
        <v>164</v>
      </c>
      <c r="B97" t="s">
        <v>654</v>
      </c>
      <c r="C97" t="s">
        <v>20</v>
      </c>
      <c r="E97">
        <v>19.2</v>
      </c>
      <c r="F97">
        <v>0</v>
      </c>
      <c r="G97" s="20">
        <v>19.2</v>
      </c>
      <c r="H97">
        <v>653470</v>
      </c>
      <c r="I97" t="s">
        <v>2</v>
      </c>
      <c r="J97" t="s">
        <v>160</v>
      </c>
      <c r="K97" t="s">
        <v>161</v>
      </c>
      <c r="L97" t="s">
        <v>162</v>
      </c>
      <c r="M97" t="s">
        <v>655</v>
      </c>
      <c r="N97">
        <v>678726</v>
      </c>
      <c r="O97" t="s">
        <v>31</v>
      </c>
      <c r="P97" t="s">
        <v>656</v>
      </c>
      <c r="Q97">
        <v>45041</v>
      </c>
      <c r="R97" t="s">
        <v>96</v>
      </c>
      <c r="S97" t="s">
        <v>55</v>
      </c>
      <c r="T97" t="s">
        <v>657</v>
      </c>
      <c r="U97" t="s">
        <v>665</v>
      </c>
      <c r="V97" t="s">
        <v>666</v>
      </c>
      <c r="W97" t="s">
        <v>836</v>
      </c>
      <c r="X97" t="s">
        <v>726</v>
      </c>
      <c r="Y97" t="s">
        <v>163</v>
      </c>
      <c r="Z97" t="s">
        <v>837</v>
      </c>
      <c r="AA97" t="s">
        <v>36</v>
      </c>
      <c r="AB97" t="s">
        <v>663</v>
      </c>
      <c r="AC97">
        <v>18</v>
      </c>
      <c r="AD97" s="20">
        <v>60</v>
      </c>
      <c r="AE97" t="s">
        <v>670</v>
      </c>
      <c r="AF97" t="s">
        <v>27</v>
      </c>
    </row>
    <row r="98" spans="1:32" x14ac:dyDescent="0.3">
      <c r="A98" t="s">
        <v>170</v>
      </c>
      <c r="B98" t="s">
        <v>654</v>
      </c>
      <c r="C98" t="s">
        <v>20</v>
      </c>
      <c r="E98">
        <v>10.45</v>
      </c>
      <c r="F98">
        <v>0</v>
      </c>
      <c r="G98" s="20">
        <v>10.45</v>
      </c>
      <c r="H98">
        <v>653470</v>
      </c>
      <c r="I98" t="s">
        <v>2</v>
      </c>
      <c r="J98" t="s">
        <v>165</v>
      </c>
      <c r="K98" t="s">
        <v>166</v>
      </c>
      <c r="L98" t="s">
        <v>167</v>
      </c>
      <c r="M98" t="s">
        <v>698</v>
      </c>
      <c r="N98">
        <v>760338</v>
      </c>
      <c r="O98" t="s">
        <v>168</v>
      </c>
      <c r="P98" t="s">
        <v>656</v>
      </c>
      <c r="Q98">
        <v>42249</v>
      </c>
      <c r="R98" t="s">
        <v>149</v>
      </c>
      <c r="S98" t="s">
        <v>34</v>
      </c>
      <c r="T98" t="s">
        <v>657</v>
      </c>
      <c r="U98" t="s">
        <v>665</v>
      </c>
      <c r="V98" t="s">
        <v>666</v>
      </c>
      <c r="W98" t="s">
        <v>838</v>
      </c>
      <c r="X98" t="s">
        <v>722</v>
      </c>
      <c r="Y98" t="s">
        <v>169</v>
      </c>
      <c r="Z98" t="s">
        <v>839</v>
      </c>
      <c r="AA98" t="s">
        <v>36</v>
      </c>
      <c r="AB98" t="s">
        <v>678</v>
      </c>
      <c r="AC98">
        <v>15</v>
      </c>
      <c r="AD98" s="20">
        <v>43.56</v>
      </c>
      <c r="AE98" t="s">
        <v>674</v>
      </c>
      <c r="AF98" t="s">
        <v>27</v>
      </c>
    </row>
    <row r="99" spans="1:32" x14ac:dyDescent="0.3">
      <c r="A99" t="s">
        <v>170</v>
      </c>
      <c r="B99" t="s">
        <v>654</v>
      </c>
      <c r="C99" t="s">
        <v>20</v>
      </c>
      <c r="E99">
        <v>4.07</v>
      </c>
      <c r="F99">
        <v>0</v>
      </c>
      <c r="G99" s="20">
        <v>4.07</v>
      </c>
      <c r="H99">
        <v>653470</v>
      </c>
      <c r="I99" t="s">
        <v>2</v>
      </c>
      <c r="J99" t="s">
        <v>165</v>
      </c>
      <c r="K99" t="s">
        <v>166</v>
      </c>
      <c r="L99" t="s">
        <v>167</v>
      </c>
      <c r="M99" t="s">
        <v>698</v>
      </c>
      <c r="N99">
        <v>760338</v>
      </c>
      <c r="O99" t="s">
        <v>168</v>
      </c>
      <c r="P99" t="s">
        <v>656</v>
      </c>
      <c r="Q99">
        <v>38593</v>
      </c>
      <c r="R99" t="s">
        <v>33</v>
      </c>
      <c r="S99" t="s">
        <v>34</v>
      </c>
      <c r="T99" t="s">
        <v>657</v>
      </c>
      <c r="U99" t="s">
        <v>658</v>
      </c>
      <c r="V99" t="s">
        <v>659</v>
      </c>
      <c r="W99" t="s">
        <v>838</v>
      </c>
      <c r="X99" t="s">
        <v>722</v>
      </c>
      <c r="Y99" t="s">
        <v>175</v>
      </c>
      <c r="Z99" t="s">
        <v>839</v>
      </c>
      <c r="AA99" t="s">
        <v>36</v>
      </c>
      <c r="AB99" t="s">
        <v>678</v>
      </c>
      <c r="AC99">
        <v>15</v>
      </c>
      <c r="AD99" s="20">
        <v>11</v>
      </c>
      <c r="AE99" t="s">
        <v>664</v>
      </c>
      <c r="AF99" t="s">
        <v>27</v>
      </c>
    </row>
    <row r="100" spans="1:32" x14ac:dyDescent="0.3">
      <c r="A100" t="s">
        <v>170</v>
      </c>
      <c r="B100" t="s">
        <v>654</v>
      </c>
      <c r="C100" t="s">
        <v>20</v>
      </c>
      <c r="E100">
        <v>9.9600000000000009</v>
      </c>
      <c r="F100">
        <v>0</v>
      </c>
      <c r="G100" s="20">
        <v>9.9600000000000009</v>
      </c>
      <c r="H100">
        <v>653470</v>
      </c>
      <c r="I100" t="s">
        <v>2</v>
      </c>
      <c r="J100" t="s">
        <v>97</v>
      </c>
      <c r="K100" t="s">
        <v>98</v>
      </c>
      <c r="L100" t="s">
        <v>99</v>
      </c>
      <c r="M100" t="s">
        <v>655</v>
      </c>
      <c r="N100">
        <v>678726</v>
      </c>
      <c r="O100" t="s">
        <v>31</v>
      </c>
      <c r="P100" t="s">
        <v>656</v>
      </c>
      <c r="Q100">
        <v>45041</v>
      </c>
      <c r="R100" t="s">
        <v>96</v>
      </c>
      <c r="S100" t="s">
        <v>34</v>
      </c>
      <c r="T100" t="s">
        <v>657</v>
      </c>
      <c r="U100" t="s">
        <v>665</v>
      </c>
      <c r="V100" t="s">
        <v>666</v>
      </c>
      <c r="W100" t="s">
        <v>840</v>
      </c>
      <c r="X100" t="s">
        <v>668</v>
      </c>
      <c r="Y100" t="s">
        <v>100</v>
      </c>
      <c r="Z100" t="s">
        <v>841</v>
      </c>
      <c r="AA100" t="s">
        <v>36</v>
      </c>
      <c r="AB100" t="s">
        <v>678</v>
      </c>
      <c r="AC100">
        <v>19</v>
      </c>
      <c r="AD100" s="20">
        <v>31.13</v>
      </c>
      <c r="AE100" t="s">
        <v>670</v>
      </c>
      <c r="AF100" t="s">
        <v>27</v>
      </c>
    </row>
    <row r="101" spans="1:32" x14ac:dyDescent="0.3">
      <c r="A101" t="s">
        <v>170</v>
      </c>
      <c r="B101" t="s">
        <v>654</v>
      </c>
      <c r="C101" t="s">
        <v>20</v>
      </c>
      <c r="E101">
        <v>14.72</v>
      </c>
      <c r="F101">
        <v>0</v>
      </c>
      <c r="G101" s="20">
        <v>14.72</v>
      </c>
      <c r="H101">
        <v>653470</v>
      </c>
      <c r="I101" t="s">
        <v>2</v>
      </c>
      <c r="J101" t="s">
        <v>176</v>
      </c>
      <c r="K101" t="s">
        <v>177</v>
      </c>
      <c r="L101" t="s">
        <v>178</v>
      </c>
      <c r="M101" t="s">
        <v>684</v>
      </c>
      <c r="N101">
        <v>820877</v>
      </c>
      <c r="O101" t="s">
        <v>179</v>
      </c>
      <c r="P101" t="s">
        <v>656</v>
      </c>
      <c r="Q101">
        <v>45041</v>
      </c>
      <c r="R101" t="s">
        <v>96</v>
      </c>
      <c r="S101" t="s">
        <v>55</v>
      </c>
      <c r="T101" t="s">
        <v>657</v>
      </c>
      <c r="U101" t="s">
        <v>665</v>
      </c>
      <c r="V101" t="s">
        <v>666</v>
      </c>
      <c r="W101" t="s">
        <v>842</v>
      </c>
      <c r="X101" t="s">
        <v>843</v>
      </c>
      <c r="Y101" t="s">
        <v>180</v>
      </c>
      <c r="Z101" t="s">
        <v>844</v>
      </c>
      <c r="AA101" t="s">
        <v>36</v>
      </c>
      <c r="AB101" t="s">
        <v>678</v>
      </c>
      <c r="AC101">
        <v>13</v>
      </c>
      <c r="AD101" s="20">
        <v>46</v>
      </c>
      <c r="AE101" t="s">
        <v>670</v>
      </c>
      <c r="AF101" t="s">
        <v>27</v>
      </c>
    </row>
    <row r="102" spans="1:32" x14ac:dyDescent="0.3">
      <c r="A102" t="s">
        <v>170</v>
      </c>
      <c r="B102" t="s">
        <v>654</v>
      </c>
      <c r="C102" t="s">
        <v>20</v>
      </c>
      <c r="E102">
        <v>8</v>
      </c>
      <c r="F102">
        <v>0</v>
      </c>
      <c r="G102" s="20">
        <v>8</v>
      </c>
      <c r="H102">
        <v>653470</v>
      </c>
      <c r="I102" t="s">
        <v>2</v>
      </c>
      <c r="J102" t="s">
        <v>181</v>
      </c>
      <c r="K102" t="s">
        <v>182</v>
      </c>
      <c r="L102" t="s">
        <v>183</v>
      </c>
      <c r="M102" t="s">
        <v>655</v>
      </c>
      <c r="N102">
        <v>706472</v>
      </c>
      <c r="O102" t="s">
        <v>184</v>
      </c>
      <c r="P102" t="s">
        <v>656</v>
      </c>
      <c r="Q102">
        <v>45041</v>
      </c>
      <c r="R102" t="s">
        <v>96</v>
      </c>
      <c r="S102" t="s">
        <v>34</v>
      </c>
      <c r="T102" t="s">
        <v>657</v>
      </c>
      <c r="U102" t="s">
        <v>665</v>
      </c>
      <c r="V102" t="s">
        <v>666</v>
      </c>
      <c r="W102" t="s">
        <v>845</v>
      </c>
      <c r="X102" t="s">
        <v>676</v>
      </c>
      <c r="Y102" t="s">
        <v>185</v>
      </c>
      <c r="Z102" t="s">
        <v>846</v>
      </c>
      <c r="AA102" t="s">
        <v>36</v>
      </c>
      <c r="AB102" t="s">
        <v>663</v>
      </c>
      <c r="AC102">
        <v>17</v>
      </c>
      <c r="AD102" s="20">
        <v>25</v>
      </c>
      <c r="AE102" t="s">
        <v>670</v>
      </c>
      <c r="AF102" t="s">
        <v>27</v>
      </c>
    </row>
    <row r="103" spans="1:32" x14ac:dyDescent="0.3">
      <c r="A103" t="s">
        <v>190</v>
      </c>
      <c r="B103" t="s">
        <v>654</v>
      </c>
      <c r="C103" t="s">
        <v>20</v>
      </c>
      <c r="E103">
        <v>44.4</v>
      </c>
      <c r="F103">
        <v>0</v>
      </c>
      <c r="G103" s="20">
        <v>44.4</v>
      </c>
      <c r="H103">
        <v>653470</v>
      </c>
      <c r="I103" t="s">
        <v>2</v>
      </c>
      <c r="J103" t="s">
        <v>186</v>
      </c>
      <c r="K103" t="s">
        <v>187</v>
      </c>
      <c r="L103" t="s">
        <v>188</v>
      </c>
      <c r="M103" t="s">
        <v>698</v>
      </c>
      <c r="N103">
        <v>757929</v>
      </c>
      <c r="O103" t="s">
        <v>142</v>
      </c>
      <c r="P103" t="s">
        <v>656</v>
      </c>
      <c r="Q103">
        <v>38398</v>
      </c>
      <c r="R103" t="s">
        <v>54</v>
      </c>
      <c r="S103" t="s">
        <v>78</v>
      </c>
      <c r="T103" t="s">
        <v>657</v>
      </c>
      <c r="U103" t="s">
        <v>665</v>
      </c>
      <c r="V103" t="s">
        <v>666</v>
      </c>
      <c r="W103" t="s">
        <v>767</v>
      </c>
      <c r="X103" t="s">
        <v>676</v>
      </c>
      <c r="Y103" t="s">
        <v>189</v>
      </c>
      <c r="Z103" t="s">
        <v>847</v>
      </c>
      <c r="AA103" t="s">
        <v>36</v>
      </c>
      <c r="AB103" t="s">
        <v>663</v>
      </c>
      <c r="AC103">
        <v>17</v>
      </c>
      <c r="AD103" s="20">
        <v>185</v>
      </c>
      <c r="AE103" t="s">
        <v>674</v>
      </c>
      <c r="AF103" t="s">
        <v>27</v>
      </c>
    </row>
    <row r="104" spans="1:32" x14ac:dyDescent="0.3">
      <c r="A104" t="s">
        <v>190</v>
      </c>
      <c r="B104" t="s">
        <v>654</v>
      </c>
      <c r="C104" t="s">
        <v>20</v>
      </c>
      <c r="E104">
        <v>6</v>
      </c>
      <c r="F104">
        <v>0</v>
      </c>
      <c r="G104" s="20">
        <v>6</v>
      </c>
      <c r="H104">
        <v>653470</v>
      </c>
      <c r="I104" t="s">
        <v>2</v>
      </c>
      <c r="J104" t="s">
        <v>191</v>
      </c>
      <c r="K104" t="s">
        <v>192</v>
      </c>
      <c r="L104" t="s">
        <v>193</v>
      </c>
      <c r="M104" t="s">
        <v>817</v>
      </c>
      <c r="N104">
        <v>703501</v>
      </c>
      <c r="O104" t="s">
        <v>64</v>
      </c>
      <c r="P104" t="s">
        <v>656</v>
      </c>
      <c r="Q104">
        <v>38796</v>
      </c>
      <c r="R104" t="s">
        <v>77</v>
      </c>
      <c r="S104" t="s">
        <v>34</v>
      </c>
      <c r="T104" t="s">
        <v>657</v>
      </c>
      <c r="U104" t="s">
        <v>665</v>
      </c>
      <c r="V104" t="s">
        <v>666</v>
      </c>
      <c r="W104" t="s">
        <v>848</v>
      </c>
      <c r="X104" t="s">
        <v>668</v>
      </c>
      <c r="Y104" t="s">
        <v>194</v>
      </c>
      <c r="Z104" t="s">
        <v>849</v>
      </c>
      <c r="AA104" t="s">
        <v>36</v>
      </c>
      <c r="AB104" t="s">
        <v>678</v>
      </c>
      <c r="AC104">
        <v>20</v>
      </c>
      <c r="AD104" s="20">
        <v>25</v>
      </c>
      <c r="AE104" t="s">
        <v>674</v>
      </c>
      <c r="AF104" t="s">
        <v>27</v>
      </c>
    </row>
    <row r="105" spans="1:32" x14ac:dyDescent="0.3">
      <c r="A105" t="s">
        <v>133</v>
      </c>
      <c r="B105" t="s">
        <v>654</v>
      </c>
      <c r="C105" t="s">
        <v>20</v>
      </c>
      <c r="E105">
        <v>9.6</v>
      </c>
      <c r="F105">
        <v>0</v>
      </c>
      <c r="G105" s="20">
        <v>9.6</v>
      </c>
      <c r="H105">
        <v>653470</v>
      </c>
      <c r="I105" t="s">
        <v>2</v>
      </c>
      <c r="J105" t="s">
        <v>195</v>
      </c>
      <c r="K105" t="s">
        <v>196</v>
      </c>
      <c r="L105" t="s">
        <v>197</v>
      </c>
      <c r="M105" t="s">
        <v>655</v>
      </c>
      <c r="N105">
        <v>798992</v>
      </c>
      <c r="O105" t="s">
        <v>198</v>
      </c>
      <c r="P105" t="s">
        <v>656</v>
      </c>
      <c r="Q105">
        <v>45041</v>
      </c>
      <c r="R105" t="s">
        <v>96</v>
      </c>
      <c r="S105" t="s">
        <v>34</v>
      </c>
      <c r="T105" t="s">
        <v>657</v>
      </c>
      <c r="U105" t="s">
        <v>665</v>
      </c>
      <c r="V105" t="s">
        <v>666</v>
      </c>
      <c r="W105" t="s">
        <v>850</v>
      </c>
      <c r="X105" t="s">
        <v>676</v>
      </c>
      <c r="Y105" t="s">
        <v>199</v>
      </c>
      <c r="Z105" t="s">
        <v>851</v>
      </c>
      <c r="AA105" t="s">
        <v>36</v>
      </c>
      <c r="AB105" t="s">
        <v>678</v>
      </c>
      <c r="AC105">
        <v>17</v>
      </c>
      <c r="AD105" s="20">
        <v>30</v>
      </c>
      <c r="AE105" t="s">
        <v>670</v>
      </c>
      <c r="AF105" t="s">
        <v>27</v>
      </c>
    </row>
    <row r="106" spans="1:32" x14ac:dyDescent="0.3">
      <c r="A106" t="s">
        <v>133</v>
      </c>
      <c r="B106" t="s">
        <v>654</v>
      </c>
      <c r="C106" t="s">
        <v>20</v>
      </c>
      <c r="E106">
        <v>4.07</v>
      </c>
      <c r="F106">
        <v>0</v>
      </c>
      <c r="G106" s="20">
        <v>4.07</v>
      </c>
      <c r="H106">
        <v>653470</v>
      </c>
      <c r="I106" t="s">
        <v>2</v>
      </c>
      <c r="J106" t="s">
        <v>195</v>
      </c>
      <c r="K106" t="s">
        <v>196</v>
      </c>
      <c r="L106" t="s">
        <v>197</v>
      </c>
      <c r="M106" t="s">
        <v>655</v>
      </c>
      <c r="N106">
        <v>798992</v>
      </c>
      <c r="O106" t="s">
        <v>198</v>
      </c>
      <c r="P106" t="s">
        <v>656</v>
      </c>
      <c r="Q106">
        <v>38593</v>
      </c>
      <c r="R106" t="s">
        <v>33</v>
      </c>
      <c r="S106" t="s">
        <v>34</v>
      </c>
      <c r="T106" t="s">
        <v>657</v>
      </c>
      <c r="U106" t="s">
        <v>658</v>
      </c>
      <c r="V106" t="s">
        <v>659</v>
      </c>
      <c r="W106" t="s">
        <v>850</v>
      </c>
      <c r="X106" t="s">
        <v>676</v>
      </c>
      <c r="Y106" t="s">
        <v>200</v>
      </c>
      <c r="Z106" t="s">
        <v>851</v>
      </c>
      <c r="AA106" t="s">
        <v>36</v>
      </c>
      <c r="AB106" t="s">
        <v>678</v>
      </c>
      <c r="AC106">
        <v>17</v>
      </c>
      <c r="AD106" s="20">
        <v>11</v>
      </c>
      <c r="AE106" t="s">
        <v>664</v>
      </c>
      <c r="AF106" t="s">
        <v>27</v>
      </c>
    </row>
    <row r="107" spans="1:32" x14ac:dyDescent="0.3">
      <c r="A107" t="s">
        <v>133</v>
      </c>
      <c r="B107" t="s">
        <v>654</v>
      </c>
      <c r="C107" t="s">
        <v>20</v>
      </c>
      <c r="E107">
        <v>8</v>
      </c>
      <c r="F107">
        <v>0</v>
      </c>
      <c r="G107" s="20">
        <v>8</v>
      </c>
      <c r="H107">
        <v>653470</v>
      </c>
      <c r="I107" t="s">
        <v>2</v>
      </c>
      <c r="J107" t="s">
        <v>201</v>
      </c>
      <c r="K107" t="s">
        <v>202</v>
      </c>
      <c r="L107" t="s">
        <v>203</v>
      </c>
      <c r="M107" t="s">
        <v>655</v>
      </c>
      <c r="N107">
        <v>678726</v>
      </c>
      <c r="O107" t="s">
        <v>31</v>
      </c>
      <c r="P107" t="s">
        <v>656</v>
      </c>
      <c r="Q107">
        <v>45041</v>
      </c>
      <c r="R107" t="s">
        <v>96</v>
      </c>
      <c r="S107" t="s">
        <v>34</v>
      </c>
      <c r="T107" t="s">
        <v>657</v>
      </c>
      <c r="U107" t="s">
        <v>665</v>
      </c>
      <c r="V107" t="s">
        <v>666</v>
      </c>
      <c r="W107" t="s">
        <v>852</v>
      </c>
      <c r="X107" t="s">
        <v>717</v>
      </c>
      <c r="Y107" t="s">
        <v>204</v>
      </c>
      <c r="Z107" t="s">
        <v>853</v>
      </c>
      <c r="AA107" t="s">
        <v>36</v>
      </c>
      <c r="AB107" t="s">
        <v>663</v>
      </c>
      <c r="AC107">
        <v>19</v>
      </c>
      <c r="AD107" s="20">
        <v>25</v>
      </c>
      <c r="AE107" t="s">
        <v>670</v>
      </c>
      <c r="AF107" t="s">
        <v>27</v>
      </c>
    </row>
    <row r="108" spans="1:32" x14ac:dyDescent="0.3">
      <c r="A108" t="s">
        <v>133</v>
      </c>
      <c r="B108" t="s">
        <v>654</v>
      </c>
      <c r="C108" t="s">
        <v>20</v>
      </c>
      <c r="E108">
        <v>4.07</v>
      </c>
      <c r="F108">
        <v>0</v>
      </c>
      <c r="G108" s="20">
        <v>4.07</v>
      </c>
      <c r="H108">
        <v>653470</v>
      </c>
      <c r="I108" t="s">
        <v>2</v>
      </c>
      <c r="J108" t="s">
        <v>201</v>
      </c>
      <c r="K108" t="s">
        <v>202</v>
      </c>
      <c r="L108" t="s">
        <v>203</v>
      </c>
      <c r="M108" t="s">
        <v>655</v>
      </c>
      <c r="N108">
        <v>678726</v>
      </c>
      <c r="O108" t="s">
        <v>31</v>
      </c>
      <c r="P108" t="s">
        <v>656</v>
      </c>
      <c r="Q108">
        <v>38593</v>
      </c>
      <c r="R108" t="s">
        <v>33</v>
      </c>
      <c r="S108" t="s">
        <v>34</v>
      </c>
      <c r="T108" t="s">
        <v>657</v>
      </c>
      <c r="U108" t="s">
        <v>658</v>
      </c>
      <c r="V108" t="s">
        <v>659</v>
      </c>
      <c r="W108" t="s">
        <v>852</v>
      </c>
      <c r="X108" t="s">
        <v>717</v>
      </c>
      <c r="Y108" t="s">
        <v>205</v>
      </c>
      <c r="Z108" t="s">
        <v>853</v>
      </c>
      <c r="AA108" t="s">
        <v>36</v>
      </c>
      <c r="AB108" t="s">
        <v>663</v>
      </c>
      <c r="AC108">
        <v>19</v>
      </c>
      <c r="AD108" s="20">
        <v>11</v>
      </c>
      <c r="AE108" t="s">
        <v>664</v>
      </c>
      <c r="AF108" t="s">
        <v>27</v>
      </c>
    </row>
    <row r="109" spans="1:32" x14ac:dyDescent="0.3">
      <c r="A109" t="s">
        <v>133</v>
      </c>
      <c r="B109" t="s">
        <v>654</v>
      </c>
      <c r="C109" t="s">
        <v>20</v>
      </c>
      <c r="E109">
        <v>8</v>
      </c>
      <c r="F109">
        <v>0</v>
      </c>
      <c r="G109" s="20">
        <v>8</v>
      </c>
      <c r="H109">
        <v>653470</v>
      </c>
      <c r="I109" t="s">
        <v>2</v>
      </c>
      <c r="J109" t="s">
        <v>129</v>
      </c>
      <c r="K109" t="s">
        <v>130</v>
      </c>
      <c r="L109" t="s">
        <v>131</v>
      </c>
      <c r="M109" t="s">
        <v>655</v>
      </c>
      <c r="N109">
        <v>678726</v>
      </c>
      <c r="O109" t="s">
        <v>31</v>
      </c>
      <c r="P109" t="s">
        <v>656</v>
      </c>
      <c r="Q109">
        <v>45041</v>
      </c>
      <c r="R109" t="s">
        <v>96</v>
      </c>
      <c r="S109" t="s">
        <v>34</v>
      </c>
      <c r="T109" t="s">
        <v>657</v>
      </c>
      <c r="U109" t="s">
        <v>665</v>
      </c>
      <c r="V109" t="s">
        <v>666</v>
      </c>
      <c r="W109" t="s">
        <v>850</v>
      </c>
      <c r="X109" t="s">
        <v>676</v>
      </c>
      <c r="Y109" t="s">
        <v>132</v>
      </c>
      <c r="Z109" t="s">
        <v>854</v>
      </c>
      <c r="AA109" t="s">
        <v>36</v>
      </c>
      <c r="AB109" t="s">
        <v>678</v>
      </c>
      <c r="AC109">
        <v>17</v>
      </c>
      <c r="AD109" s="20">
        <v>25</v>
      </c>
      <c r="AE109" t="s">
        <v>670</v>
      </c>
      <c r="AF109" t="s">
        <v>27</v>
      </c>
    </row>
    <row r="110" spans="1:32" x14ac:dyDescent="0.3">
      <c r="A110" t="s">
        <v>128</v>
      </c>
      <c r="B110" t="s">
        <v>654</v>
      </c>
      <c r="C110" t="s">
        <v>20</v>
      </c>
      <c r="E110">
        <v>8</v>
      </c>
      <c r="F110">
        <v>0</v>
      </c>
      <c r="G110" s="20">
        <v>8</v>
      </c>
      <c r="H110">
        <v>653470</v>
      </c>
      <c r="I110" t="s">
        <v>2</v>
      </c>
      <c r="J110" t="s">
        <v>171</v>
      </c>
      <c r="K110" t="s">
        <v>172</v>
      </c>
      <c r="L110" t="s">
        <v>173</v>
      </c>
      <c r="M110" t="s">
        <v>655</v>
      </c>
      <c r="N110">
        <v>678726</v>
      </c>
      <c r="O110" t="s">
        <v>31</v>
      </c>
      <c r="P110" t="s">
        <v>656</v>
      </c>
      <c r="Q110">
        <v>45041</v>
      </c>
      <c r="R110" t="s">
        <v>96</v>
      </c>
      <c r="S110" t="s">
        <v>34</v>
      </c>
      <c r="T110" t="s">
        <v>657</v>
      </c>
      <c r="U110" t="s">
        <v>665</v>
      </c>
      <c r="V110" t="s">
        <v>666</v>
      </c>
      <c r="W110" t="s">
        <v>717</v>
      </c>
      <c r="X110" t="s">
        <v>726</v>
      </c>
      <c r="Y110" t="s">
        <v>174</v>
      </c>
      <c r="Z110" t="s">
        <v>855</v>
      </c>
      <c r="AA110" t="s">
        <v>36</v>
      </c>
      <c r="AB110" t="s">
        <v>663</v>
      </c>
      <c r="AC110">
        <v>18</v>
      </c>
      <c r="AD110" s="20">
        <v>25</v>
      </c>
      <c r="AE110" t="s">
        <v>670</v>
      </c>
      <c r="AF110" t="s">
        <v>27</v>
      </c>
    </row>
    <row r="111" spans="1:32" x14ac:dyDescent="0.3">
      <c r="A111" t="s">
        <v>128</v>
      </c>
      <c r="B111" t="s">
        <v>654</v>
      </c>
      <c r="C111" t="s">
        <v>20</v>
      </c>
      <c r="E111">
        <v>15.6</v>
      </c>
      <c r="F111">
        <v>0</v>
      </c>
      <c r="G111" s="20">
        <v>15.6</v>
      </c>
      <c r="H111">
        <v>653470</v>
      </c>
      <c r="I111" t="s">
        <v>2</v>
      </c>
      <c r="J111" t="s">
        <v>123</v>
      </c>
      <c r="K111" t="s">
        <v>124</v>
      </c>
      <c r="L111" t="s">
        <v>125</v>
      </c>
      <c r="M111" t="s">
        <v>856</v>
      </c>
      <c r="N111">
        <v>689390</v>
      </c>
      <c r="O111" t="s">
        <v>52</v>
      </c>
      <c r="P111" t="s">
        <v>656</v>
      </c>
      <c r="Q111">
        <v>42251</v>
      </c>
      <c r="R111" t="s">
        <v>127</v>
      </c>
      <c r="S111" t="s">
        <v>34</v>
      </c>
      <c r="T111" t="s">
        <v>657</v>
      </c>
      <c r="U111" t="s">
        <v>665</v>
      </c>
      <c r="V111" t="s">
        <v>666</v>
      </c>
      <c r="W111" t="s">
        <v>857</v>
      </c>
      <c r="X111" t="s">
        <v>829</v>
      </c>
      <c r="Y111" t="s">
        <v>126</v>
      </c>
      <c r="Z111" t="s">
        <v>858</v>
      </c>
      <c r="AA111" t="s">
        <v>36</v>
      </c>
      <c r="AB111" t="s">
        <v>663</v>
      </c>
      <c r="AC111">
        <v>9</v>
      </c>
      <c r="AD111" s="20">
        <v>65</v>
      </c>
      <c r="AE111" t="s">
        <v>674</v>
      </c>
      <c r="AF111" t="s">
        <v>27</v>
      </c>
    </row>
    <row r="112" spans="1:32" x14ac:dyDescent="0.3">
      <c r="A112" t="s">
        <v>42</v>
      </c>
      <c r="B112" t="s">
        <v>654</v>
      </c>
      <c r="C112" t="s">
        <v>20</v>
      </c>
      <c r="E112">
        <v>12.48</v>
      </c>
      <c r="F112">
        <v>0</v>
      </c>
      <c r="G112" s="20">
        <v>12.48</v>
      </c>
      <c r="H112">
        <v>653470</v>
      </c>
      <c r="I112" t="s">
        <v>2</v>
      </c>
      <c r="J112" t="s">
        <v>37</v>
      </c>
      <c r="K112" t="s">
        <v>38</v>
      </c>
      <c r="L112" t="s">
        <v>39</v>
      </c>
      <c r="M112" t="s">
        <v>859</v>
      </c>
      <c r="N112">
        <v>759555</v>
      </c>
      <c r="O112" t="s">
        <v>40</v>
      </c>
      <c r="P112" t="s">
        <v>656</v>
      </c>
      <c r="Q112">
        <v>42250</v>
      </c>
      <c r="R112" t="s">
        <v>80</v>
      </c>
      <c r="S112" t="s">
        <v>34</v>
      </c>
      <c r="T112" t="s">
        <v>657</v>
      </c>
      <c r="U112" t="s">
        <v>665</v>
      </c>
      <c r="V112" t="s">
        <v>666</v>
      </c>
      <c r="W112" t="s">
        <v>738</v>
      </c>
      <c r="X112" t="s">
        <v>696</v>
      </c>
      <c r="Y112" t="s">
        <v>79</v>
      </c>
      <c r="Z112" t="s">
        <v>860</v>
      </c>
      <c r="AA112" t="s">
        <v>36</v>
      </c>
      <c r="AB112" t="s">
        <v>663</v>
      </c>
      <c r="AC112">
        <v>4</v>
      </c>
      <c r="AD112" s="20">
        <v>52</v>
      </c>
      <c r="AE112" t="s">
        <v>674</v>
      </c>
      <c r="AF112" t="s">
        <v>27</v>
      </c>
    </row>
    <row r="113" spans="1:32" x14ac:dyDescent="0.3">
      <c r="A113" t="s">
        <v>42</v>
      </c>
      <c r="B113" t="s">
        <v>654</v>
      </c>
      <c r="C113" t="s">
        <v>20</v>
      </c>
      <c r="E113">
        <v>4.07</v>
      </c>
      <c r="F113">
        <v>0</v>
      </c>
      <c r="G113" s="20">
        <v>4.07</v>
      </c>
      <c r="H113">
        <v>653470</v>
      </c>
      <c r="I113" t="s">
        <v>2</v>
      </c>
      <c r="J113" t="s">
        <v>37</v>
      </c>
      <c r="K113" t="s">
        <v>38</v>
      </c>
      <c r="L113" t="s">
        <v>39</v>
      </c>
      <c r="M113" t="s">
        <v>859</v>
      </c>
      <c r="N113">
        <v>759555</v>
      </c>
      <c r="O113" t="s">
        <v>40</v>
      </c>
      <c r="P113" t="s">
        <v>656</v>
      </c>
      <c r="Q113">
        <v>38593</v>
      </c>
      <c r="R113" t="s">
        <v>33</v>
      </c>
      <c r="S113" t="s">
        <v>34</v>
      </c>
      <c r="T113" t="s">
        <v>657</v>
      </c>
      <c r="U113" t="s">
        <v>658</v>
      </c>
      <c r="V113" t="s">
        <v>659</v>
      </c>
      <c r="W113" t="s">
        <v>738</v>
      </c>
      <c r="X113" t="s">
        <v>696</v>
      </c>
      <c r="Y113" t="s">
        <v>41</v>
      </c>
      <c r="Z113" t="s">
        <v>860</v>
      </c>
      <c r="AA113" t="s">
        <v>36</v>
      </c>
      <c r="AB113" t="s">
        <v>663</v>
      </c>
      <c r="AC113">
        <v>4</v>
      </c>
      <c r="AD113" s="20">
        <v>11</v>
      </c>
      <c r="AE113" t="s">
        <v>664</v>
      </c>
      <c r="AF113" t="s">
        <v>27</v>
      </c>
    </row>
    <row r="114" spans="1:32" x14ac:dyDescent="0.3">
      <c r="A114" t="s">
        <v>42</v>
      </c>
      <c r="B114" t="s">
        <v>654</v>
      </c>
      <c r="C114" t="s">
        <v>20</v>
      </c>
      <c r="D114" t="s">
        <v>48</v>
      </c>
      <c r="E114">
        <v>0</v>
      </c>
      <c r="F114">
        <v>4.07</v>
      </c>
      <c r="G114" s="20">
        <v>-4.07</v>
      </c>
      <c r="H114">
        <v>653470</v>
      </c>
      <c r="I114" t="s">
        <v>2</v>
      </c>
      <c r="J114" t="s">
        <v>43</v>
      </c>
      <c r="K114" t="s">
        <v>44</v>
      </c>
      <c r="L114" t="s">
        <v>45</v>
      </c>
      <c r="M114" t="s">
        <v>655</v>
      </c>
      <c r="N114">
        <v>678726</v>
      </c>
      <c r="O114" t="s">
        <v>31</v>
      </c>
      <c r="P114" t="s">
        <v>656</v>
      </c>
      <c r="Q114">
        <v>38593</v>
      </c>
      <c r="R114" t="s">
        <v>33</v>
      </c>
      <c r="S114" t="s">
        <v>34</v>
      </c>
      <c r="T114" t="s">
        <v>657</v>
      </c>
      <c r="U114" t="s">
        <v>658</v>
      </c>
      <c r="V114" t="s">
        <v>659</v>
      </c>
      <c r="W114" t="s">
        <v>861</v>
      </c>
      <c r="X114" t="s">
        <v>676</v>
      </c>
      <c r="Y114" t="s">
        <v>46</v>
      </c>
      <c r="Z114" t="s">
        <v>862</v>
      </c>
      <c r="AA114" t="s">
        <v>47</v>
      </c>
      <c r="AB114" t="s">
        <v>663</v>
      </c>
      <c r="AC114">
        <v>17</v>
      </c>
      <c r="AD114" s="20">
        <v>11</v>
      </c>
      <c r="AE114" t="s">
        <v>664</v>
      </c>
      <c r="AF114" t="s">
        <v>27</v>
      </c>
    </row>
    <row r="115" spans="1:32" x14ac:dyDescent="0.3">
      <c r="A115" t="s">
        <v>56</v>
      </c>
      <c r="B115" t="s">
        <v>654</v>
      </c>
      <c r="C115" t="s">
        <v>20</v>
      </c>
      <c r="E115">
        <v>18.239999999999998</v>
      </c>
      <c r="F115">
        <v>0</v>
      </c>
      <c r="G115" s="20">
        <v>18.239999999999998</v>
      </c>
      <c r="H115">
        <v>653470</v>
      </c>
      <c r="I115" t="s">
        <v>2</v>
      </c>
      <c r="J115" t="s">
        <v>49</v>
      </c>
      <c r="K115" t="s">
        <v>50</v>
      </c>
      <c r="L115" t="s">
        <v>51</v>
      </c>
      <c r="M115" t="s">
        <v>684</v>
      </c>
      <c r="N115">
        <v>689390</v>
      </c>
      <c r="O115" t="s">
        <v>52</v>
      </c>
      <c r="P115" t="s">
        <v>656</v>
      </c>
      <c r="Q115">
        <v>38398</v>
      </c>
      <c r="R115" t="s">
        <v>54</v>
      </c>
      <c r="S115" t="s">
        <v>55</v>
      </c>
      <c r="T115" t="s">
        <v>657</v>
      </c>
      <c r="U115" t="s">
        <v>665</v>
      </c>
      <c r="V115" t="s">
        <v>666</v>
      </c>
      <c r="W115" t="s">
        <v>863</v>
      </c>
      <c r="X115" t="s">
        <v>776</v>
      </c>
      <c r="Y115" t="s">
        <v>53</v>
      </c>
      <c r="Z115" t="s">
        <v>864</v>
      </c>
      <c r="AA115" t="s">
        <v>36</v>
      </c>
      <c r="AB115" t="s">
        <v>678</v>
      </c>
      <c r="AC115">
        <v>28</v>
      </c>
      <c r="AD115" s="20">
        <v>76</v>
      </c>
      <c r="AE115" t="s">
        <v>674</v>
      </c>
      <c r="AF115" t="s">
        <v>27</v>
      </c>
    </row>
    <row r="116" spans="1:32" x14ac:dyDescent="0.3">
      <c r="A116" t="s">
        <v>56</v>
      </c>
      <c r="B116" t="s">
        <v>654</v>
      </c>
      <c r="C116" t="s">
        <v>20</v>
      </c>
      <c r="E116">
        <v>18.239999999999998</v>
      </c>
      <c r="F116">
        <v>0</v>
      </c>
      <c r="G116" s="20">
        <v>18.239999999999998</v>
      </c>
      <c r="H116">
        <v>653470</v>
      </c>
      <c r="I116" t="s">
        <v>2</v>
      </c>
      <c r="J116" t="s">
        <v>57</v>
      </c>
      <c r="K116" t="s">
        <v>58</v>
      </c>
      <c r="L116" t="s">
        <v>59</v>
      </c>
      <c r="M116" t="s">
        <v>684</v>
      </c>
      <c r="N116">
        <v>689390</v>
      </c>
      <c r="O116" t="s">
        <v>52</v>
      </c>
      <c r="P116" t="s">
        <v>656</v>
      </c>
      <c r="Q116">
        <v>38398</v>
      </c>
      <c r="R116" t="s">
        <v>54</v>
      </c>
      <c r="S116" t="s">
        <v>55</v>
      </c>
      <c r="T116" t="s">
        <v>657</v>
      </c>
      <c r="U116" t="s">
        <v>665</v>
      </c>
      <c r="V116" t="s">
        <v>666</v>
      </c>
      <c r="W116" t="s">
        <v>865</v>
      </c>
      <c r="X116" t="s">
        <v>776</v>
      </c>
      <c r="Y116" t="s">
        <v>60</v>
      </c>
      <c r="Z116" t="s">
        <v>866</v>
      </c>
      <c r="AA116" t="s">
        <v>36</v>
      </c>
      <c r="AB116" t="s">
        <v>678</v>
      </c>
      <c r="AC116">
        <v>29</v>
      </c>
      <c r="AD116" s="20">
        <v>76</v>
      </c>
      <c r="AE116" t="s">
        <v>674</v>
      </c>
      <c r="AF116" t="s">
        <v>27</v>
      </c>
    </row>
    <row r="117" spans="1:32" x14ac:dyDescent="0.3">
      <c r="A117" t="s">
        <v>56</v>
      </c>
      <c r="B117" t="s">
        <v>654</v>
      </c>
      <c r="C117" t="s">
        <v>20</v>
      </c>
      <c r="E117">
        <v>4.07</v>
      </c>
      <c r="F117">
        <v>0</v>
      </c>
      <c r="G117" s="20">
        <v>4.07</v>
      </c>
      <c r="H117">
        <v>653470</v>
      </c>
      <c r="I117" t="s">
        <v>2</v>
      </c>
      <c r="J117" t="s">
        <v>61</v>
      </c>
      <c r="K117" t="s">
        <v>62</v>
      </c>
      <c r="L117" t="s">
        <v>63</v>
      </c>
      <c r="M117" t="s">
        <v>867</v>
      </c>
      <c r="N117">
        <v>703501</v>
      </c>
      <c r="O117" t="s">
        <v>64</v>
      </c>
      <c r="P117" t="s">
        <v>656</v>
      </c>
      <c r="Q117">
        <v>38593</v>
      </c>
      <c r="R117" t="s">
        <v>33</v>
      </c>
      <c r="S117" t="s">
        <v>34</v>
      </c>
      <c r="T117" t="s">
        <v>657</v>
      </c>
      <c r="U117" t="s">
        <v>658</v>
      </c>
      <c r="V117" t="s">
        <v>659</v>
      </c>
      <c r="W117" t="s">
        <v>868</v>
      </c>
      <c r="X117" t="s">
        <v>714</v>
      </c>
      <c r="Y117" t="s">
        <v>65</v>
      </c>
      <c r="Z117" t="s">
        <v>869</v>
      </c>
      <c r="AA117" t="s">
        <v>36</v>
      </c>
      <c r="AB117" t="s">
        <v>663</v>
      </c>
      <c r="AC117">
        <v>31</v>
      </c>
      <c r="AD117" s="20">
        <v>11</v>
      </c>
      <c r="AE117" t="s">
        <v>664</v>
      </c>
      <c r="AF117" t="s">
        <v>27</v>
      </c>
    </row>
    <row r="118" spans="1:32" x14ac:dyDescent="0.3">
      <c r="A118" t="s">
        <v>56</v>
      </c>
      <c r="B118" t="s">
        <v>654</v>
      </c>
      <c r="C118" t="s">
        <v>20</v>
      </c>
      <c r="E118">
        <v>5.55</v>
      </c>
      <c r="F118">
        <v>0</v>
      </c>
      <c r="G118" s="20">
        <v>5.55</v>
      </c>
      <c r="H118">
        <v>653470</v>
      </c>
      <c r="I118" t="s">
        <v>2</v>
      </c>
      <c r="J118" t="s">
        <v>66</v>
      </c>
      <c r="K118" t="s">
        <v>67</v>
      </c>
      <c r="L118" t="s">
        <v>68</v>
      </c>
      <c r="M118" t="s">
        <v>679</v>
      </c>
      <c r="N118">
        <v>689390</v>
      </c>
      <c r="O118" t="s">
        <v>52</v>
      </c>
      <c r="P118" t="s">
        <v>656</v>
      </c>
      <c r="Q118">
        <v>38593</v>
      </c>
      <c r="R118" t="s">
        <v>33</v>
      </c>
      <c r="S118" t="s">
        <v>70</v>
      </c>
      <c r="T118" t="s">
        <v>657</v>
      </c>
      <c r="U118" t="s">
        <v>658</v>
      </c>
      <c r="V118" t="s">
        <v>659</v>
      </c>
      <c r="W118" t="s">
        <v>870</v>
      </c>
      <c r="X118" t="s">
        <v>871</v>
      </c>
      <c r="Y118" t="s">
        <v>69</v>
      </c>
      <c r="Z118" t="s">
        <v>872</v>
      </c>
      <c r="AA118" t="s">
        <v>36</v>
      </c>
      <c r="AB118" t="s">
        <v>678</v>
      </c>
      <c r="AC118">
        <v>27</v>
      </c>
      <c r="AD118" s="20">
        <v>15</v>
      </c>
      <c r="AE118" t="s">
        <v>664</v>
      </c>
      <c r="AF118" t="s">
        <v>27</v>
      </c>
    </row>
    <row r="119" spans="1:32" x14ac:dyDescent="0.3">
      <c r="A119" t="s">
        <v>56</v>
      </c>
      <c r="B119" t="s">
        <v>654</v>
      </c>
      <c r="C119" t="s">
        <v>20</v>
      </c>
      <c r="E119">
        <v>32.159999999999997</v>
      </c>
      <c r="F119">
        <v>0</v>
      </c>
      <c r="G119" s="20">
        <v>32.159999999999997</v>
      </c>
      <c r="H119">
        <v>653470</v>
      </c>
      <c r="I119" t="s">
        <v>2</v>
      </c>
      <c r="J119" t="s">
        <v>66</v>
      </c>
      <c r="K119" t="s">
        <v>67</v>
      </c>
      <c r="L119" t="s">
        <v>68</v>
      </c>
      <c r="M119" t="s">
        <v>679</v>
      </c>
      <c r="N119">
        <v>689390</v>
      </c>
      <c r="O119" t="s">
        <v>52</v>
      </c>
      <c r="P119" t="s">
        <v>656</v>
      </c>
      <c r="Q119">
        <v>38399</v>
      </c>
      <c r="R119" t="s">
        <v>72</v>
      </c>
      <c r="S119" t="s">
        <v>55</v>
      </c>
      <c r="T119" t="s">
        <v>657</v>
      </c>
      <c r="U119" t="s">
        <v>665</v>
      </c>
      <c r="V119" t="s">
        <v>666</v>
      </c>
      <c r="W119" t="s">
        <v>870</v>
      </c>
      <c r="X119" t="s">
        <v>871</v>
      </c>
      <c r="Y119" t="s">
        <v>71</v>
      </c>
      <c r="Z119" t="s">
        <v>872</v>
      </c>
      <c r="AA119" t="s">
        <v>36</v>
      </c>
      <c r="AB119" t="s">
        <v>678</v>
      </c>
      <c r="AC119">
        <v>27</v>
      </c>
      <c r="AD119" s="20">
        <v>134</v>
      </c>
      <c r="AE119" t="s">
        <v>674</v>
      </c>
      <c r="AF119" t="s">
        <v>27</v>
      </c>
    </row>
    <row r="120" spans="1:32" x14ac:dyDescent="0.3">
      <c r="A120" t="s">
        <v>56</v>
      </c>
      <c r="B120" t="s">
        <v>654</v>
      </c>
      <c r="C120" t="s">
        <v>20</v>
      </c>
      <c r="E120">
        <v>22.32</v>
      </c>
      <c r="F120">
        <v>0</v>
      </c>
      <c r="G120" s="20">
        <v>22.32</v>
      </c>
      <c r="H120">
        <v>653470</v>
      </c>
      <c r="I120" t="s">
        <v>2</v>
      </c>
      <c r="J120" t="s">
        <v>73</v>
      </c>
      <c r="K120" t="s">
        <v>74</v>
      </c>
      <c r="L120" t="s">
        <v>75</v>
      </c>
      <c r="M120" t="s">
        <v>873</v>
      </c>
      <c r="N120">
        <v>703501</v>
      </c>
      <c r="O120" t="s">
        <v>64</v>
      </c>
      <c r="P120" t="s">
        <v>656</v>
      </c>
      <c r="Q120">
        <v>38796</v>
      </c>
      <c r="R120" t="s">
        <v>77</v>
      </c>
      <c r="S120" t="s">
        <v>78</v>
      </c>
      <c r="T120" t="s">
        <v>657</v>
      </c>
      <c r="U120" t="s">
        <v>665</v>
      </c>
      <c r="V120" t="s">
        <v>666</v>
      </c>
      <c r="W120" t="s">
        <v>800</v>
      </c>
      <c r="X120" t="s">
        <v>668</v>
      </c>
      <c r="Y120" t="s">
        <v>76</v>
      </c>
      <c r="Z120" t="s">
        <v>874</v>
      </c>
      <c r="AA120" t="s">
        <v>36</v>
      </c>
      <c r="AB120" t="s">
        <v>678</v>
      </c>
      <c r="AC120">
        <v>19</v>
      </c>
      <c r="AD120" s="20">
        <v>93</v>
      </c>
      <c r="AE120" t="s">
        <v>674</v>
      </c>
      <c r="AF120" t="s">
        <v>27</v>
      </c>
    </row>
    <row r="121" spans="1:32" x14ac:dyDescent="0.3">
      <c r="A121" t="s">
        <v>56</v>
      </c>
      <c r="B121" t="s">
        <v>654</v>
      </c>
      <c r="C121" t="s">
        <v>20</v>
      </c>
      <c r="E121">
        <v>7.4</v>
      </c>
      <c r="F121">
        <v>0</v>
      </c>
      <c r="G121" s="20">
        <v>7.4</v>
      </c>
      <c r="H121">
        <v>653470</v>
      </c>
      <c r="I121" t="s">
        <v>2</v>
      </c>
      <c r="J121" t="s">
        <v>73</v>
      </c>
      <c r="K121" t="s">
        <v>74</v>
      </c>
      <c r="L121" t="s">
        <v>75</v>
      </c>
      <c r="M121" t="s">
        <v>873</v>
      </c>
      <c r="N121">
        <v>703501</v>
      </c>
      <c r="O121" t="s">
        <v>64</v>
      </c>
      <c r="P121" t="s">
        <v>656</v>
      </c>
      <c r="Q121">
        <v>38593</v>
      </c>
      <c r="R121" t="s">
        <v>33</v>
      </c>
      <c r="S121" t="s">
        <v>78</v>
      </c>
      <c r="T121" t="s">
        <v>657</v>
      </c>
      <c r="U121" t="s">
        <v>658</v>
      </c>
      <c r="V121" t="s">
        <v>659</v>
      </c>
      <c r="W121" t="s">
        <v>800</v>
      </c>
      <c r="X121" t="s">
        <v>668</v>
      </c>
      <c r="Y121" t="s">
        <v>81</v>
      </c>
      <c r="Z121" t="s">
        <v>874</v>
      </c>
      <c r="AA121" t="s">
        <v>36</v>
      </c>
      <c r="AB121" t="s">
        <v>678</v>
      </c>
      <c r="AC121">
        <v>19</v>
      </c>
      <c r="AD121" s="20">
        <v>20</v>
      </c>
      <c r="AE121" t="s">
        <v>664</v>
      </c>
      <c r="AF121" t="s">
        <v>27</v>
      </c>
    </row>
    <row r="122" spans="1:32" x14ac:dyDescent="0.3">
      <c r="A122" t="s">
        <v>56</v>
      </c>
      <c r="B122" t="s">
        <v>654</v>
      </c>
      <c r="C122" t="s">
        <v>20</v>
      </c>
      <c r="E122">
        <v>4.07</v>
      </c>
      <c r="F122">
        <v>0</v>
      </c>
      <c r="G122" s="20">
        <v>4.07</v>
      </c>
      <c r="H122">
        <v>653470</v>
      </c>
      <c r="I122" t="s">
        <v>2</v>
      </c>
      <c r="J122" t="s">
        <v>43</v>
      </c>
      <c r="K122" t="s">
        <v>44</v>
      </c>
      <c r="L122" t="s">
        <v>45</v>
      </c>
      <c r="M122" t="s">
        <v>655</v>
      </c>
      <c r="N122">
        <v>678726</v>
      </c>
      <c r="O122" t="s">
        <v>31</v>
      </c>
      <c r="P122" t="s">
        <v>656</v>
      </c>
      <c r="Q122">
        <v>38593</v>
      </c>
      <c r="R122" t="s">
        <v>33</v>
      </c>
      <c r="S122" t="s">
        <v>34</v>
      </c>
      <c r="T122" t="s">
        <v>657</v>
      </c>
      <c r="U122" t="s">
        <v>658</v>
      </c>
      <c r="V122" t="s">
        <v>659</v>
      </c>
      <c r="W122" t="s">
        <v>861</v>
      </c>
      <c r="X122" t="s">
        <v>676</v>
      </c>
      <c r="Y122" t="s">
        <v>46</v>
      </c>
      <c r="Z122" t="s">
        <v>875</v>
      </c>
      <c r="AA122" t="s">
        <v>36</v>
      </c>
      <c r="AB122" t="s">
        <v>663</v>
      </c>
      <c r="AC122">
        <v>17</v>
      </c>
      <c r="AD122" s="20">
        <v>11</v>
      </c>
      <c r="AE122" t="s">
        <v>664</v>
      </c>
      <c r="AF122" t="s">
        <v>27</v>
      </c>
    </row>
    <row r="123" spans="1:32" x14ac:dyDescent="0.3">
      <c r="A123" t="s">
        <v>87</v>
      </c>
      <c r="B123" t="s">
        <v>654</v>
      </c>
      <c r="C123" t="s">
        <v>20</v>
      </c>
      <c r="E123">
        <v>13.68</v>
      </c>
      <c r="F123">
        <v>0</v>
      </c>
      <c r="G123" s="20">
        <v>13.68</v>
      </c>
      <c r="H123">
        <v>653470</v>
      </c>
      <c r="I123" t="s">
        <v>2</v>
      </c>
      <c r="J123" t="s">
        <v>82</v>
      </c>
      <c r="K123" t="s">
        <v>83</v>
      </c>
      <c r="L123" t="s">
        <v>84</v>
      </c>
      <c r="M123" t="s">
        <v>876</v>
      </c>
      <c r="N123">
        <v>891766</v>
      </c>
      <c r="O123" t="s">
        <v>85</v>
      </c>
      <c r="P123" t="s">
        <v>656</v>
      </c>
      <c r="Q123">
        <v>49825</v>
      </c>
      <c r="R123" t="s">
        <v>80</v>
      </c>
      <c r="S123" t="s">
        <v>34</v>
      </c>
      <c r="T123" t="s">
        <v>657</v>
      </c>
      <c r="U123" t="s">
        <v>665</v>
      </c>
      <c r="V123" t="s">
        <v>666</v>
      </c>
      <c r="W123" t="s">
        <v>877</v>
      </c>
      <c r="X123" t="s">
        <v>878</v>
      </c>
      <c r="Y123" t="s">
        <v>86</v>
      </c>
      <c r="Z123" t="s">
        <v>879</v>
      </c>
      <c r="AA123" t="s">
        <v>36</v>
      </c>
      <c r="AB123" t="s">
        <v>663</v>
      </c>
      <c r="AC123">
        <v>3</v>
      </c>
      <c r="AD123" s="20">
        <v>57</v>
      </c>
      <c r="AE123" t="s">
        <v>674</v>
      </c>
      <c r="AF123" t="s">
        <v>27</v>
      </c>
    </row>
    <row r="124" spans="1:32" x14ac:dyDescent="0.3">
      <c r="A124" t="s">
        <v>87</v>
      </c>
      <c r="B124" t="s">
        <v>654</v>
      </c>
      <c r="C124" t="s">
        <v>20</v>
      </c>
      <c r="E124">
        <v>26.4</v>
      </c>
      <c r="F124">
        <v>0</v>
      </c>
      <c r="G124" s="20">
        <v>26.4</v>
      </c>
      <c r="H124">
        <v>653470</v>
      </c>
      <c r="I124" t="s">
        <v>2</v>
      </c>
      <c r="J124" t="s">
        <v>88</v>
      </c>
      <c r="K124" t="s">
        <v>89</v>
      </c>
      <c r="L124" t="s">
        <v>90</v>
      </c>
      <c r="M124" t="s">
        <v>698</v>
      </c>
      <c r="N124">
        <v>759555</v>
      </c>
      <c r="O124" t="s">
        <v>40</v>
      </c>
      <c r="P124" t="s">
        <v>656</v>
      </c>
      <c r="Q124">
        <v>42250</v>
      </c>
      <c r="R124" t="s">
        <v>80</v>
      </c>
      <c r="S124" t="s">
        <v>55</v>
      </c>
      <c r="T124" t="s">
        <v>657</v>
      </c>
      <c r="U124" t="s">
        <v>665</v>
      </c>
      <c r="V124" t="s">
        <v>666</v>
      </c>
      <c r="W124" t="s">
        <v>880</v>
      </c>
      <c r="X124" t="s">
        <v>661</v>
      </c>
      <c r="Y124" t="s">
        <v>91</v>
      </c>
      <c r="Z124" t="s">
        <v>881</v>
      </c>
      <c r="AA124" t="s">
        <v>36</v>
      </c>
      <c r="AB124" t="s">
        <v>678</v>
      </c>
      <c r="AC124">
        <v>4</v>
      </c>
      <c r="AD124" s="20">
        <v>110</v>
      </c>
      <c r="AE124" t="s">
        <v>674</v>
      </c>
      <c r="AF124" t="s">
        <v>27</v>
      </c>
    </row>
    <row r="125" spans="1:32" x14ac:dyDescent="0.3">
      <c r="A125" t="s">
        <v>87</v>
      </c>
      <c r="B125" t="s">
        <v>654</v>
      </c>
      <c r="C125" t="s">
        <v>20</v>
      </c>
      <c r="E125">
        <v>8</v>
      </c>
      <c r="F125">
        <v>0</v>
      </c>
      <c r="G125" s="20">
        <v>8</v>
      </c>
      <c r="H125">
        <v>653470</v>
      </c>
      <c r="I125" t="s">
        <v>2</v>
      </c>
      <c r="J125" t="s">
        <v>92</v>
      </c>
      <c r="K125" t="s">
        <v>93</v>
      </c>
      <c r="L125" t="s">
        <v>94</v>
      </c>
      <c r="M125" t="s">
        <v>655</v>
      </c>
      <c r="N125">
        <v>678726</v>
      </c>
      <c r="O125" t="s">
        <v>31</v>
      </c>
      <c r="P125" t="s">
        <v>656</v>
      </c>
      <c r="Q125">
        <v>45041</v>
      </c>
      <c r="R125" t="s">
        <v>96</v>
      </c>
      <c r="S125" t="s">
        <v>34</v>
      </c>
      <c r="T125" t="s">
        <v>657</v>
      </c>
      <c r="U125" t="s">
        <v>665</v>
      </c>
      <c r="V125" t="s">
        <v>666</v>
      </c>
      <c r="W125" t="s">
        <v>882</v>
      </c>
      <c r="X125" t="s">
        <v>717</v>
      </c>
      <c r="Y125" t="s">
        <v>95</v>
      </c>
      <c r="Z125" t="s">
        <v>883</v>
      </c>
      <c r="AA125" t="s">
        <v>36</v>
      </c>
      <c r="AB125" t="s">
        <v>663</v>
      </c>
      <c r="AC125">
        <v>19</v>
      </c>
      <c r="AD125" s="20">
        <v>25</v>
      </c>
      <c r="AE125" t="s">
        <v>670</v>
      </c>
      <c r="AF125" t="s">
        <v>27</v>
      </c>
    </row>
    <row r="126" spans="1:32" x14ac:dyDescent="0.3">
      <c r="A126" t="s">
        <v>87</v>
      </c>
      <c r="B126" t="s">
        <v>654</v>
      </c>
      <c r="C126" t="s">
        <v>20</v>
      </c>
      <c r="D126" t="s">
        <v>102</v>
      </c>
      <c r="E126">
        <v>0</v>
      </c>
      <c r="F126">
        <v>9.9600000000000009</v>
      </c>
      <c r="G126" s="20">
        <v>-9.9600000000000009</v>
      </c>
      <c r="H126">
        <v>653470</v>
      </c>
      <c r="I126" t="s">
        <v>2</v>
      </c>
      <c r="J126" t="s">
        <v>97</v>
      </c>
      <c r="K126" t="s">
        <v>98</v>
      </c>
      <c r="L126" t="s">
        <v>99</v>
      </c>
      <c r="M126" t="s">
        <v>655</v>
      </c>
      <c r="N126">
        <v>678726</v>
      </c>
      <c r="O126" t="s">
        <v>31</v>
      </c>
      <c r="P126" t="s">
        <v>656</v>
      </c>
      <c r="Q126">
        <v>45041</v>
      </c>
      <c r="R126" t="s">
        <v>96</v>
      </c>
      <c r="S126" t="s">
        <v>34</v>
      </c>
      <c r="T126" t="s">
        <v>657</v>
      </c>
      <c r="U126" t="s">
        <v>665</v>
      </c>
      <c r="V126" t="s">
        <v>666</v>
      </c>
      <c r="W126" t="s">
        <v>840</v>
      </c>
      <c r="X126" t="s">
        <v>668</v>
      </c>
      <c r="Y126" t="s">
        <v>100</v>
      </c>
      <c r="Z126" t="s">
        <v>884</v>
      </c>
      <c r="AA126" t="s">
        <v>101</v>
      </c>
      <c r="AB126" t="s">
        <v>678</v>
      </c>
      <c r="AC126">
        <v>19</v>
      </c>
      <c r="AD126" s="20">
        <v>31.13</v>
      </c>
      <c r="AE126" t="s">
        <v>670</v>
      </c>
      <c r="AF126" t="s">
        <v>27</v>
      </c>
    </row>
    <row r="127" spans="1:32" x14ac:dyDescent="0.3">
      <c r="A127" t="s">
        <v>108</v>
      </c>
      <c r="B127" t="s">
        <v>654</v>
      </c>
      <c r="C127" t="s">
        <v>20</v>
      </c>
      <c r="E127">
        <v>31.68</v>
      </c>
      <c r="F127">
        <v>0</v>
      </c>
      <c r="G127" s="20">
        <v>31.68</v>
      </c>
      <c r="H127">
        <v>653470</v>
      </c>
      <c r="I127" t="s">
        <v>2</v>
      </c>
      <c r="J127" t="s">
        <v>103</v>
      </c>
      <c r="K127" t="s">
        <v>104</v>
      </c>
      <c r="L127" t="s">
        <v>105</v>
      </c>
      <c r="M127" t="s">
        <v>684</v>
      </c>
      <c r="N127">
        <v>781535</v>
      </c>
      <c r="O127" t="s">
        <v>106</v>
      </c>
      <c r="P127" t="s">
        <v>656</v>
      </c>
      <c r="Q127">
        <v>38399</v>
      </c>
      <c r="R127" t="s">
        <v>72</v>
      </c>
      <c r="S127" t="s">
        <v>55</v>
      </c>
      <c r="T127" t="s">
        <v>657</v>
      </c>
      <c r="U127" t="s">
        <v>665</v>
      </c>
      <c r="V127" t="s">
        <v>666</v>
      </c>
      <c r="W127" t="s">
        <v>885</v>
      </c>
      <c r="X127" t="s">
        <v>746</v>
      </c>
      <c r="Y127" t="s">
        <v>107</v>
      </c>
      <c r="Z127" t="s">
        <v>886</v>
      </c>
      <c r="AA127" t="s">
        <v>36</v>
      </c>
      <c r="AB127" t="s">
        <v>678</v>
      </c>
      <c r="AC127">
        <v>20</v>
      </c>
      <c r="AD127" s="20">
        <v>132</v>
      </c>
      <c r="AE127" t="s">
        <v>674</v>
      </c>
      <c r="AF127" t="s">
        <v>27</v>
      </c>
    </row>
    <row r="128" spans="1:32" x14ac:dyDescent="0.3">
      <c r="A128" t="s">
        <v>108</v>
      </c>
      <c r="B128" t="s">
        <v>654</v>
      </c>
      <c r="C128" t="s">
        <v>20</v>
      </c>
      <c r="E128">
        <v>5.55</v>
      </c>
      <c r="F128">
        <v>0</v>
      </c>
      <c r="G128" s="20">
        <v>5.55</v>
      </c>
      <c r="H128">
        <v>653470</v>
      </c>
      <c r="I128" t="s">
        <v>2</v>
      </c>
      <c r="J128" t="s">
        <v>103</v>
      </c>
      <c r="K128" t="s">
        <v>104</v>
      </c>
      <c r="L128" t="s">
        <v>105</v>
      </c>
      <c r="M128" t="s">
        <v>684</v>
      </c>
      <c r="N128">
        <v>781535</v>
      </c>
      <c r="O128" t="s">
        <v>106</v>
      </c>
      <c r="P128" t="s">
        <v>656</v>
      </c>
      <c r="Q128">
        <v>38593</v>
      </c>
      <c r="R128" t="s">
        <v>33</v>
      </c>
      <c r="S128" t="s">
        <v>70</v>
      </c>
      <c r="T128" t="s">
        <v>657</v>
      </c>
      <c r="U128" t="s">
        <v>658</v>
      </c>
      <c r="V128" t="s">
        <v>659</v>
      </c>
      <c r="W128" t="s">
        <v>885</v>
      </c>
      <c r="X128" t="s">
        <v>746</v>
      </c>
      <c r="Y128" t="s">
        <v>109</v>
      </c>
      <c r="Z128" t="s">
        <v>886</v>
      </c>
      <c r="AA128" t="s">
        <v>36</v>
      </c>
      <c r="AB128" t="s">
        <v>678</v>
      </c>
      <c r="AC128">
        <v>20</v>
      </c>
      <c r="AD128" s="20">
        <v>15</v>
      </c>
      <c r="AE128" t="s">
        <v>664</v>
      </c>
      <c r="AF128" t="s">
        <v>27</v>
      </c>
    </row>
    <row r="129" spans="1:32" x14ac:dyDescent="0.3">
      <c r="A129" t="s">
        <v>108</v>
      </c>
      <c r="B129" t="s">
        <v>654</v>
      </c>
      <c r="C129" t="s">
        <v>20</v>
      </c>
      <c r="E129">
        <v>4.07</v>
      </c>
      <c r="F129">
        <v>0</v>
      </c>
      <c r="G129" s="20">
        <v>4.07</v>
      </c>
      <c r="H129">
        <v>653470</v>
      </c>
      <c r="I129" t="s">
        <v>2</v>
      </c>
      <c r="J129" t="s">
        <v>110</v>
      </c>
      <c r="K129" t="s">
        <v>111</v>
      </c>
      <c r="L129" t="s">
        <v>112</v>
      </c>
      <c r="M129" t="s">
        <v>655</v>
      </c>
      <c r="N129">
        <v>678726</v>
      </c>
      <c r="O129" t="s">
        <v>31</v>
      </c>
      <c r="P129" t="s">
        <v>656</v>
      </c>
      <c r="Q129">
        <v>38593</v>
      </c>
      <c r="R129" t="s">
        <v>33</v>
      </c>
      <c r="S129" t="s">
        <v>34</v>
      </c>
      <c r="T129" t="s">
        <v>657</v>
      </c>
      <c r="U129" t="s">
        <v>658</v>
      </c>
      <c r="V129" t="s">
        <v>659</v>
      </c>
      <c r="W129" t="s">
        <v>848</v>
      </c>
      <c r="X129" t="s">
        <v>668</v>
      </c>
      <c r="Y129" t="s">
        <v>113</v>
      </c>
      <c r="Z129" t="s">
        <v>887</v>
      </c>
      <c r="AA129" t="s">
        <v>36</v>
      </c>
      <c r="AB129" t="s">
        <v>678</v>
      </c>
      <c r="AC129">
        <v>19</v>
      </c>
      <c r="AD129" s="20">
        <v>11</v>
      </c>
      <c r="AE129" t="s">
        <v>664</v>
      </c>
      <c r="AF129" t="s">
        <v>27</v>
      </c>
    </row>
    <row r="130" spans="1:32" x14ac:dyDescent="0.3">
      <c r="A130" t="s">
        <v>108</v>
      </c>
      <c r="B130" t="s">
        <v>654</v>
      </c>
      <c r="C130" t="s">
        <v>20</v>
      </c>
      <c r="E130">
        <v>4.07</v>
      </c>
      <c r="F130">
        <v>0</v>
      </c>
      <c r="G130" s="20">
        <v>4.07</v>
      </c>
      <c r="H130">
        <v>653470</v>
      </c>
      <c r="I130" t="s">
        <v>2</v>
      </c>
      <c r="J130" t="s">
        <v>114</v>
      </c>
      <c r="K130" t="s">
        <v>115</v>
      </c>
      <c r="L130" t="s">
        <v>116</v>
      </c>
      <c r="M130" t="s">
        <v>698</v>
      </c>
      <c r="N130">
        <v>764002</v>
      </c>
      <c r="O130" t="s">
        <v>117</v>
      </c>
      <c r="P130" t="s">
        <v>656</v>
      </c>
      <c r="Q130">
        <v>38593</v>
      </c>
      <c r="R130" t="s">
        <v>33</v>
      </c>
      <c r="S130" t="s">
        <v>34</v>
      </c>
      <c r="T130" t="s">
        <v>657</v>
      </c>
      <c r="U130" t="s">
        <v>658</v>
      </c>
      <c r="V130" t="s">
        <v>659</v>
      </c>
      <c r="W130" t="s">
        <v>888</v>
      </c>
      <c r="X130" t="s">
        <v>717</v>
      </c>
      <c r="Y130" t="s">
        <v>118</v>
      </c>
      <c r="Z130" t="s">
        <v>889</v>
      </c>
      <c r="AA130" t="s">
        <v>36</v>
      </c>
      <c r="AB130" t="s">
        <v>663</v>
      </c>
      <c r="AC130">
        <v>19</v>
      </c>
      <c r="AD130" s="20">
        <v>11</v>
      </c>
      <c r="AE130" t="s">
        <v>664</v>
      </c>
      <c r="AF130" t="s">
        <v>27</v>
      </c>
    </row>
    <row r="131" spans="1:32" x14ac:dyDescent="0.3">
      <c r="A131" t="s">
        <v>108</v>
      </c>
      <c r="B131" t="s">
        <v>654</v>
      </c>
      <c r="C131" t="s">
        <v>20</v>
      </c>
      <c r="E131">
        <v>8</v>
      </c>
      <c r="F131">
        <v>0</v>
      </c>
      <c r="G131" s="20">
        <v>8</v>
      </c>
      <c r="H131">
        <v>653470</v>
      </c>
      <c r="I131" t="s">
        <v>2</v>
      </c>
      <c r="J131" t="s">
        <v>119</v>
      </c>
      <c r="K131" t="s">
        <v>120</v>
      </c>
      <c r="L131" t="s">
        <v>121</v>
      </c>
      <c r="M131" t="s">
        <v>655</v>
      </c>
      <c r="N131">
        <v>678726</v>
      </c>
      <c r="O131" t="s">
        <v>31</v>
      </c>
      <c r="P131" t="s">
        <v>656</v>
      </c>
      <c r="Q131">
        <v>45041</v>
      </c>
      <c r="R131" t="s">
        <v>96</v>
      </c>
      <c r="S131" t="s">
        <v>34</v>
      </c>
      <c r="T131" t="s">
        <v>657</v>
      </c>
      <c r="U131" t="s">
        <v>665</v>
      </c>
      <c r="V131" t="s">
        <v>666</v>
      </c>
      <c r="W131" t="s">
        <v>890</v>
      </c>
      <c r="X131" t="s">
        <v>717</v>
      </c>
      <c r="Y131" t="s">
        <v>122</v>
      </c>
      <c r="Z131" t="s">
        <v>891</v>
      </c>
      <c r="AA131" t="s">
        <v>36</v>
      </c>
      <c r="AB131" t="s">
        <v>678</v>
      </c>
      <c r="AC131">
        <v>18</v>
      </c>
      <c r="AD131" s="20">
        <v>25</v>
      </c>
      <c r="AE131" t="s">
        <v>670</v>
      </c>
      <c r="AF131" t="s">
        <v>27</v>
      </c>
    </row>
    <row r="132" spans="1:32" x14ac:dyDescent="0.3">
      <c r="A132" t="s">
        <v>108</v>
      </c>
      <c r="B132" t="s">
        <v>654</v>
      </c>
      <c r="C132" t="s">
        <v>20</v>
      </c>
      <c r="E132">
        <v>4.07</v>
      </c>
      <c r="F132">
        <v>0</v>
      </c>
      <c r="G132" s="20">
        <v>4.07</v>
      </c>
      <c r="H132">
        <v>653470</v>
      </c>
      <c r="I132" t="s">
        <v>2</v>
      </c>
      <c r="J132" t="s">
        <v>119</v>
      </c>
      <c r="K132" t="s">
        <v>120</v>
      </c>
      <c r="L132" t="s">
        <v>121</v>
      </c>
      <c r="M132" t="s">
        <v>655</v>
      </c>
      <c r="N132">
        <v>678726</v>
      </c>
      <c r="O132" t="s">
        <v>31</v>
      </c>
      <c r="P132" t="s">
        <v>656</v>
      </c>
      <c r="Q132">
        <v>38593</v>
      </c>
      <c r="R132" t="s">
        <v>33</v>
      </c>
      <c r="S132" t="s">
        <v>34</v>
      </c>
      <c r="T132" t="s">
        <v>657</v>
      </c>
      <c r="U132" t="s">
        <v>658</v>
      </c>
      <c r="V132" t="s">
        <v>659</v>
      </c>
      <c r="W132" t="s">
        <v>890</v>
      </c>
      <c r="X132" t="s">
        <v>717</v>
      </c>
      <c r="Y132" t="s">
        <v>210</v>
      </c>
      <c r="Z132" t="s">
        <v>891</v>
      </c>
      <c r="AA132" t="s">
        <v>36</v>
      </c>
      <c r="AB132" t="s">
        <v>678</v>
      </c>
      <c r="AC132">
        <v>18</v>
      </c>
      <c r="AD132" s="20">
        <v>11</v>
      </c>
      <c r="AE132" t="s">
        <v>664</v>
      </c>
      <c r="AF132" t="s">
        <v>27</v>
      </c>
    </row>
    <row r="133" spans="1:32" x14ac:dyDescent="0.3">
      <c r="A133" t="s">
        <v>108</v>
      </c>
      <c r="B133" t="s">
        <v>654</v>
      </c>
      <c r="C133" t="s">
        <v>20</v>
      </c>
      <c r="E133">
        <v>6.48</v>
      </c>
      <c r="F133">
        <v>0</v>
      </c>
      <c r="G133" s="20">
        <v>6.48</v>
      </c>
      <c r="H133">
        <v>653470</v>
      </c>
      <c r="I133" t="s">
        <v>2</v>
      </c>
      <c r="J133" t="s">
        <v>289</v>
      </c>
      <c r="K133" t="s">
        <v>290</v>
      </c>
      <c r="L133" t="s">
        <v>291</v>
      </c>
      <c r="M133" t="s">
        <v>817</v>
      </c>
      <c r="N133">
        <v>678726</v>
      </c>
      <c r="O133" t="s">
        <v>31</v>
      </c>
      <c r="P133" t="s">
        <v>656</v>
      </c>
      <c r="Q133">
        <v>47133</v>
      </c>
      <c r="R133" t="s">
        <v>238</v>
      </c>
      <c r="S133" t="s">
        <v>34</v>
      </c>
      <c r="T133" t="s">
        <v>657</v>
      </c>
      <c r="U133" t="s">
        <v>665</v>
      </c>
      <c r="V133" t="s">
        <v>666</v>
      </c>
      <c r="W133" t="s">
        <v>892</v>
      </c>
      <c r="X133" t="s">
        <v>681</v>
      </c>
      <c r="Y133" t="s">
        <v>292</v>
      </c>
      <c r="Z133" t="s">
        <v>893</v>
      </c>
      <c r="AA133" t="s">
        <v>36</v>
      </c>
      <c r="AB133" t="s">
        <v>678</v>
      </c>
      <c r="AC133">
        <v>6</v>
      </c>
      <c r="AD133" s="20">
        <v>27</v>
      </c>
      <c r="AE133" t="s">
        <v>674</v>
      </c>
      <c r="AF133" t="s">
        <v>27</v>
      </c>
    </row>
    <row r="134" spans="1:32" x14ac:dyDescent="0.3">
      <c r="A134" t="s">
        <v>108</v>
      </c>
      <c r="B134" t="s">
        <v>654</v>
      </c>
      <c r="C134" t="s">
        <v>20</v>
      </c>
      <c r="E134">
        <v>18.559999999999999</v>
      </c>
      <c r="F134">
        <v>0</v>
      </c>
      <c r="G134" s="20">
        <v>18.559999999999999</v>
      </c>
      <c r="H134">
        <v>653470</v>
      </c>
      <c r="I134" t="s">
        <v>2</v>
      </c>
      <c r="J134" t="s">
        <v>211</v>
      </c>
      <c r="K134" t="s">
        <v>212</v>
      </c>
      <c r="L134" t="s">
        <v>213</v>
      </c>
      <c r="M134" t="s">
        <v>655</v>
      </c>
      <c r="N134">
        <v>798992</v>
      </c>
      <c r="O134" t="s">
        <v>198</v>
      </c>
      <c r="P134" t="s">
        <v>656</v>
      </c>
      <c r="Q134">
        <v>45041</v>
      </c>
      <c r="R134" t="s">
        <v>96</v>
      </c>
      <c r="S134" t="s">
        <v>215</v>
      </c>
      <c r="T134" t="s">
        <v>657</v>
      </c>
      <c r="U134" t="s">
        <v>665</v>
      </c>
      <c r="V134" t="s">
        <v>666</v>
      </c>
      <c r="W134" t="s">
        <v>845</v>
      </c>
      <c r="X134" t="s">
        <v>676</v>
      </c>
      <c r="Y134" t="s">
        <v>214</v>
      </c>
      <c r="Z134" t="s">
        <v>894</v>
      </c>
      <c r="AA134" t="s">
        <v>36</v>
      </c>
      <c r="AB134" t="s">
        <v>678</v>
      </c>
      <c r="AC134">
        <v>16</v>
      </c>
      <c r="AD134" s="20">
        <v>58</v>
      </c>
      <c r="AE134" t="s">
        <v>670</v>
      </c>
      <c r="AF134" t="s">
        <v>27</v>
      </c>
    </row>
    <row r="135" spans="1:32" x14ac:dyDescent="0.3">
      <c r="A135" t="s">
        <v>108</v>
      </c>
      <c r="B135" t="s">
        <v>654</v>
      </c>
      <c r="C135" t="s">
        <v>20</v>
      </c>
      <c r="E135">
        <v>5.55</v>
      </c>
      <c r="F135">
        <v>0</v>
      </c>
      <c r="G135" s="20">
        <v>5.55</v>
      </c>
      <c r="H135">
        <v>653470</v>
      </c>
      <c r="I135" t="s">
        <v>2</v>
      </c>
      <c r="J135" t="s">
        <v>298</v>
      </c>
      <c r="K135" t="s">
        <v>299</v>
      </c>
      <c r="L135" t="s">
        <v>300</v>
      </c>
      <c r="M135" t="s">
        <v>684</v>
      </c>
      <c r="N135">
        <v>653470</v>
      </c>
      <c r="O135" t="s">
        <v>2</v>
      </c>
      <c r="P135" t="s">
        <v>656</v>
      </c>
      <c r="Q135">
        <v>38967</v>
      </c>
      <c r="R135" t="s">
        <v>33</v>
      </c>
      <c r="S135" t="s">
        <v>70</v>
      </c>
      <c r="T135" t="s">
        <v>657</v>
      </c>
      <c r="U135" t="s">
        <v>658</v>
      </c>
      <c r="V135" t="s">
        <v>659</v>
      </c>
      <c r="W135" t="s">
        <v>895</v>
      </c>
      <c r="X135" t="s">
        <v>832</v>
      </c>
      <c r="Y135" t="s">
        <v>301</v>
      </c>
      <c r="Z135" t="s">
        <v>896</v>
      </c>
      <c r="AA135" t="s">
        <v>36</v>
      </c>
      <c r="AB135" t="s">
        <v>678</v>
      </c>
      <c r="AC135">
        <v>24</v>
      </c>
      <c r="AD135" s="20">
        <v>15</v>
      </c>
      <c r="AE135" t="s">
        <v>664</v>
      </c>
      <c r="AF135" t="s">
        <v>27</v>
      </c>
    </row>
    <row r="136" spans="1:32" x14ac:dyDescent="0.3">
      <c r="A136" t="s">
        <v>108</v>
      </c>
      <c r="B136" t="s">
        <v>654</v>
      </c>
      <c r="C136" t="s">
        <v>20</v>
      </c>
      <c r="E136">
        <v>28.8</v>
      </c>
      <c r="F136">
        <v>0</v>
      </c>
      <c r="G136" s="20">
        <v>28.8</v>
      </c>
      <c r="H136">
        <v>653470</v>
      </c>
      <c r="I136" t="s">
        <v>2</v>
      </c>
      <c r="J136" t="s">
        <v>298</v>
      </c>
      <c r="K136" t="s">
        <v>299</v>
      </c>
      <c r="L136" t="s">
        <v>300</v>
      </c>
      <c r="M136" t="s">
        <v>684</v>
      </c>
      <c r="N136">
        <v>653470</v>
      </c>
      <c r="O136" t="s">
        <v>2</v>
      </c>
      <c r="P136" t="s">
        <v>656</v>
      </c>
      <c r="Q136">
        <v>38399</v>
      </c>
      <c r="R136" t="s">
        <v>72</v>
      </c>
      <c r="S136" t="s">
        <v>55</v>
      </c>
      <c r="T136" t="s">
        <v>657</v>
      </c>
      <c r="U136" t="s">
        <v>665</v>
      </c>
      <c r="V136" t="s">
        <v>666</v>
      </c>
      <c r="W136" t="s">
        <v>897</v>
      </c>
      <c r="X136" t="s">
        <v>776</v>
      </c>
      <c r="Y136" t="s">
        <v>302</v>
      </c>
      <c r="Z136" t="s">
        <v>896</v>
      </c>
      <c r="AA136" t="s">
        <v>36</v>
      </c>
      <c r="AB136" t="s">
        <v>678</v>
      </c>
      <c r="AC136">
        <v>28</v>
      </c>
      <c r="AD136" s="20">
        <v>120</v>
      </c>
      <c r="AE136" t="s">
        <v>674</v>
      </c>
      <c r="AF136" t="s">
        <v>27</v>
      </c>
    </row>
    <row r="137" spans="1:32" x14ac:dyDescent="0.3">
      <c r="A137" t="s">
        <v>108</v>
      </c>
      <c r="B137" t="s">
        <v>654</v>
      </c>
      <c r="C137" t="s">
        <v>20</v>
      </c>
      <c r="E137">
        <v>8</v>
      </c>
      <c r="F137">
        <v>0</v>
      </c>
      <c r="G137" s="20">
        <v>8</v>
      </c>
      <c r="H137">
        <v>653470</v>
      </c>
      <c r="I137" t="s">
        <v>2</v>
      </c>
      <c r="J137" t="s">
        <v>303</v>
      </c>
      <c r="K137" t="s">
        <v>304</v>
      </c>
      <c r="L137" t="s">
        <v>305</v>
      </c>
      <c r="M137" t="s">
        <v>684</v>
      </c>
      <c r="N137">
        <v>820877</v>
      </c>
      <c r="O137" t="s">
        <v>179</v>
      </c>
      <c r="P137" t="s">
        <v>656</v>
      </c>
      <c r="Q137">
        <v>45041</v>
      </c>
      <c r="R137" t="s">
        <v>96</v>
      </c>
      <c r="S137" t="s">
        <v>34</v>
      </c>
      <c r="T137" t="s">
        <v>657</v>
      </c>
      <c r="U137" t="s">
        <v>665</v>
      </c>
      <c r="V137" t="s">
        <v>666</v>
      </c>
      <c r="W137" t="s">
        <v>898</v>
      </c>
      <c r="X137" t="s">
        <v>722</v>
      </c>
      <c r="Y137" t="s">
        <v>306</v>
      </c>
      <c r="Z137" t="s">
        <v>899</v>
      </c>
      <c r="AA137" t="s">
        <v>36</v>
      </c>
      <c r="AB137" t="s">
        <v>663</v>
      </c>
      <c r="AC137">
        <v>15</v>
      </c>
      <c r="AD137" s="20">
        <v>25</v>
      </c>
      <c r="AE137" t="s">
        <v>670</v>
      </c>
      <c r="AF137" t="s">
        <v>27</v>
      </c>
    </row>
    <row r="138" spans="1:32" x14ac:dyDescent="0.3">
      <c r="A138" t="s">
        <v>108</v>
      </c>
      <c r="B138" t="s">
        <v>654</v>
      </c>
      <c r="C138" t="s">
        <v>20</v>
      </c>
      <c r="E138">
        <v>0.45</v>
      </c>
      <c r="F138">
        <v>0</v>
      </c>
      <c r="G138" s="20">
        <v>0.45</v>
      </c>
      <c r="H138">
        <v>653470</v>
      </c>
      <c r="I138" t="s">
        <v>2</v>
      </c>
      <c r="J138" t="s">
        <v>307</v>
      </c>
      <c r="K138" t="s">
        <v>308</v>
      </c>
      <c r="L138" t="s">
        <v>309</v>
      </c>
      <c r="M138" t="s">
        <v>655</v>
      </c>
      <c r="N138">
        <v>711419</v>
      </c>
      <c r="O138" t="s">
        <v>250</v>
      </c>
      <c r="P138" t="s">
        <v>656</v>
      </c>
      <c r="Q138">
        <v>38593</v>
      </c>
      <c r="R138" t="s">
        <v>33</v>
      </c>
      <c r="S138" t="s">
        <v>70</v>
      </c>
      <c r="T138" t="s">
        <v>657</v>
      </c>
      <c r="U138" t="s">
        <v>658</v>
      </c>
      <c r="V138" t="s">
        <v>659</v>
      </c>
      <c r="W138" t="s">
        <v>900</v>
      </c>
      <c r="X138" t="s">
        <v>686</v>
      </c>
      <c r="Y138" t="s">
        <v>310</v>
      </c>
      <c r="Z138" t="s">
        <v>901</v>
      </c>
      <c r="AA138" t="s">
        <v>36</v>
      </c>
      <c r="AB138" t="s">
        <v>678</v>
      </c>
      <c r="AC138">
        <v>7</v>
      </c>
      <c r="AD138" s="20">
        <v>15</v>
      </c>
      <c r="AE138" t="s">
        <v>705</v>
      </c>
      <c r="AF138" t="s">
        <v>27</v>
      </c>
    </row>
    <row r="139" spans="1:32" x14ac:dyDescent="0.3">
      <c r="A139" t="s">
        <v>108</v>
      </c>
      <c r="B139" t="s">
        <v>654</v>
      </c>
      <c r="C139" t="s">
        <v>20</v>
      </c>
      <c r="E139">
        <v>13.68</v>
      </c>
      <c r="F139">
        <v>0</v>
      </c>
      <c r="G139" s="20">
        <v>13.68</v>
      </c>
      <c r="H139">
        <v>653470</v>
      </c>
      <c r="I139" t="s">
        <v>2</v>
      </c>
      <c r="J139" t="s">
        <v>82</v>
      </c>
      <c r="K139" t="s">
        <v>83</v>
      </c>
      <c r="L139" t="s">
        <v>84</v>
      </c>
      <c r="M139" t="s">
        <v>876</v>
      </c>
      <c r="N139">
        <v>891766</v>
      </c>
      <c r="O139" t="s">
        <v>85</v>
      </c>
      <c r="P139" t="s">
        <v>656</v>
      </c>
      <c r="Q139">
        <v>49825</v>
      </c>
      <c r="R139" t="s">
        <v>80</v>
      </c>
      <c r="S139" t="s">
        <v>34</v>
      </c>
      <c r="T139" t="s">
        <v>657</v>
      </c>
      <c r="U139" t="s">
        <v>665</v>
      </c>
      <c r="V139" t="s">
        <v>666</v>
      </c>
      <c r="W139" t="s">
        <v>877</v>
      </c>
      <c r="X139" t="s">
        <v>878</v>
      </c>
      <c r="Y139" t="s">
        <v>86</v>
      </c>
      <c r="Z139" t="s">
        <v>902</v>
      </c>
      <c r="AA139" t="s">
        <v>36</v>
      </c>
      <c r="AB139" t="s">
        <v>663</v>
      </c>
      <c r="AC139">
        <v>2</v>
      </c>
      <c r="AD139" s="20">
        <v>57</v>
      </c>
      <c r="AE139" t="s">
        <v>674</v>
      </c>
      <c r="AF139" t="s">
        <v>27</v>
      </c>
    </row>
    <row r="140" spans="1:32" x14ac:dyDescent="0.3">
      <c r="A140" t="s">
        <v>108</v>
      </c>
      <c r="B140" t="s">
        <v>654</v>
      </c>
      <c r="C140" t="s">
        <v>20</v>
      </c>
      <c r="E140">
        <v>6.48</v>
      </c>
      <c r="F140">
        <v>0</v>
      </c>
      <c r="G140" s="20">
        <v>6.48</v>
      </c>
      <c r="H140">
        <v>653470</v>
      </c>
      <c r="I140" t="s">
        <v>2</v>
      </c>
      <c r="J140" t="s">
        <v>311</v>
      </c>
      <c r="K140" t="s">
        <v>312</v>
      </c>
      <c r="L140" t="s">
        <v>313</v>
      </c>
      <c r="M140" t="s">
        <v>655</v>
      </c>
      <c r="N140">
        <v>798992</v>
      </c>
      <c r="O140" t="s">
        <v>198</v>
      </c>
      <c r="P140" t="s">
        <v>656</v>
      </c>
      <c r="Q140">
        <v>47133</v>
      </c>
      <c r="R140" t="s">
        <v>238</v>
      </c>
      <c r="S140" t="s">
        <v>34</v>
      </c>
      <c r="T140" t="s">
        <v>657</v>
      </c>
      <c r="U140" t="s">
        <v>665</v>
      </c>
      <c r="V140" t="s">
        <v>666</v>
      </c>
      <c r="W140" t="s">
        <v>903</v>
      </c>
      <c r="X140" t="s">
        <v>703</v>
      </c>
      <c r="Y140" t="s">
        <v>314</v>
      </c>
      <c r="Z140" t="s">
        <v>904</v>
      </c>
      <c r="AA140" t="s">
        <v>36</v>
      </c>
      <c r="AB140" t="s">
        <v>663</v>
      </c>
      <c r="AC140">
        <v>10</v>
      </c>
      <c r="AD140" s="20">
        <v>27</v>
      </c>
      <c r="AE140" t="s">
        <v>674</v>
      </c>
      <c r="AF140" t="s">
        <v>27</v>
      </c>
    </row>
    <row r="141" spans="1:32" x14ac:dyDescent="0.3">
      <c r="A141" t="s">
        <v>108</v>
      </c>
      <c r="B141" t="s">
        <v>654</v>
      </c>
      <c r="C141" t="s">
        <v>20</v>
      </c>
      <c r="E141">
        <v>4.07</v>
      </c>
      <c r="F141">
        <v>0</v>
      </c>
      <c r="G141" s="20">
        <v>4.07</v>
      </c>
      <c r="H141">
        <v>653470</v>
      </c>
      <c r="I141" t="s">
        <v>2</v>
      </c>
      <c r="J141" t="s">
        <v>311</v>
      </c>
      <c r="K141" t="s">
        <v>312</v>
      </c>
      <c r="L141" t="s">
        <v>313</v>
      </c>
      <c r="M141" t="s">
        <v>655</v>
      </c>
      <c r="N141">
        <v>798992</v>
      </c>
      <c r="O141" t="s">
        <v>198</v>
      </c>
      <c r="P141" t="s">
        <v>656</v>
      </c>
      <c r="Q141">
        <v>38593</v>
      </c>
      <c r="R141" t="s">
        <v>33</v>
      </c>
      <c r="S141" t="s">
        <v>34</v>
      </c>
      <c r="T141" t="s">
        <v>657</v>
      </c>
      <c r="U141" t="s">
        <v>658</v>
      </c>
      <c r="V141" t="s">
        <v>659</v>
      </c>
      <c r="W141" t="s">
        <v>903</v>
      </c>
      <c r="X141" t="s">
        <v>703</v>
      </c>
      <c r="Y141" t="s">
        <v>315</v>
      </c>
      <c r="Z141" t="s">
        <v>904</v>
      </c>
      <c r="AA141" t="s">
        <v>36</v>
      </c>
      <c r="AB141" t="s">
        <v>663</v>
      </c>
      <c r="AC141">
        <v>10</v>
      </c>
      <c r="AD141" s="20">
        <v>11</v>
      </c>
      <c r="AE141" t="s">
        <v>664</v>
      </c>
      <c r="AF141" t="s">
        <v>27</v>
      </c>
    </row>
    <row r="142" spans="1:32" x14ac:dyDescent="0.3">
      <c r="A142" t="s">
        <v>108</v>
      </c>
      <c r="B142" t="s">
        <v>654</v>
      </c>
      <c r="C142" t="s">
        <v>20</v>
      </c>
      <c r="E142">
        <v>9.6</v>
      </c>
      <c r="F142">
        <v>0</v>
      </c>
      <c r="G142" s="20">
        <v>9.6</v>
      </c>
      <c r="H142">
        <v>653470</v>
      </c>
      <c r="I142" t="s">
        <v>2</v>
      </c>
      <c r="J142" t="s">
        <v>316</v>
      </c>
      <c r="K142" t="s">
        <v>317</v>
      </c>
      <c r="L142" t="s">
        <v>318</v>
      </c>
      <c r="M142" t="s">
        <v>698</v>
      </c>
      <c r="N142">
        <v>759555</v>
      </c>
      <c r="O142" t="s">
        <v>40</v>
      </c>
      <c r="P142" t="s">
        <v>656</v>
      </c>
      <c r="Q142">
        <v>42249</v>
      </c>
      <c r="R142" t="s">
        <v>149</v>
      </c>
      <c r="S142" t="s">
        <v>34</v>
      </c>
      <c r="T142" t="s">
        <v>657</v>
      </c>
      <c r="U142" t="s">
        <v>665</v>
      </c>
      <c r="V142" t="s">
        <v>666</v>
      </c>
      <c r="W142" t="s">
        <v>905</v>
      </c>
      <c r="X142" t="s">
        <v>672</v>
      </c>
      <c r="Y142" t="s">
        <v>319</v>
      </c>
      <c r="Z142" t="s">
        <v>906</v>
      </c>
      <c r="AA142" t="s">
        <v>36</v>
      </c>
      <c r="AB142" t="s">
        <v>678</v>
      </c>
      <c r="AC142">
        <v>5</v>
      </c>
      <c r="AD142" s="20">
        <v>40</v>
      </c>
      <c r="AE142" t="s">
        <v>674</v>
      </c>
      <c r="AF142" t="s">
        <v>27</v>
      </c>
    </row>
    <row r="143" spans="1:32" x14ac:dyDescent="0.3">
      <c r="A143" t="s">
        <v>108</v>
      </c>
      <c r="B143" t="s">
        <v>654</v>
      </c>
      <c r="C143" t="s">
        <v>20</v>
      </c>
      <c r="E143">
        <v>4.07</v>
      </c>
      <c r="F143">
        <v>0</v>
      </c>
      <c r="G143" s="20">
        <v>4.07</v>
      </c>
      <c r="H143">
        <v>653470</v>
      </c>
      <c r="I143" t="s">
        <v>2</v>
      </c>
      <c r="J143" t="s">
        <v>321</v>
      </c>
      <c r="K143" t="s">
        <v>322</v>
      </c>
      <c r="L143" t="s">
        <v>323</v>
      </c>
      <c r="M143" t="s">
        <v>655</v>
      </c>
      <c r="N143">
        <v>781535</v>
      </c>
      <c r="O143" t="s">
        <v>106</v>
      </c>
      <c r="P143" t="s">
        <v>656</v>
      </c>
      <c r="Q143">
        <v>38593</v>
      </c>
      <c r="R143" t="s">
        <v>33</v>
      </c>
      <c r="S143" t="s">
        <v>34</v>
      </c>
      <c r="T143" t="s">
        <v>657</v>
      </c>
      <c r="U143" t="s">
        <v>658</v>
      </c>
      <c r="V143" t="s">
        <v>659</v>
      </c>
      <c r="W143" t="s">
        <v>907</v>
      </c>
      <c r="X143" t="s">
        <v>746</v>
      </c>
      <c r="Y143" t="s">
        <v>324</v>
      </c>
      <c r="Z143" t="s">
        <v>908</v>
      </c>
      <c r="AA143" t="s">
        <v>36</v>
      </c>
      <c r="AB143" t="s">
        <v>678</v>
      </c>
      <c r="AC143">
        <v>20</v>
      </c>
      <c r="AD143" s="20">
        <v>11</v>
      </c>
      <c r="AE143" t="s">
        <v>664</v>
      </c>
      <c r="AF143" t="s">
        <v>27</v>
      </c>
    </row>
    <row r="144" spans="1:32" x14ac:dyDescent="0.3">
      <c r="A144" t="s">
        <v>108</v>
      </c>
      <c r="B144" t="s">
        <v>654</v>
      </c>
      <c r="C144" t="s">
        <v>20</v>
      </c>
      <c r="E144">
        <v>15.84</v>
      </c>
      <c r="F144">
        <v>0</v>
      </c>
      <c r="G144" s="20">
        <v>15.84</v>
      </c>
      <c r="H144">
        <v>653470</v>
      </c>
      <c r="I144" t="s">
        <v>2</v>
      </c>
      <c r="J144" t="s">
        <v>321</v>
      </c>
      <c r="K144" t="s">
        <v>322</v>
      </c>
      <c r="L144" t="s">
        <v>323</v>
      </c>
      <c r="M144" t="s">
        <v>655</v>
      </c>
      <c r="N144">
        <v>781535</v>
      </c>
      <c r="O144" t="s">
        <v>106</v>
      </c>
      <c r="P144" t="s">
        <v>656</v>
      </c>
      <c r="Q144">
        <v>38399</v>
      </c>
      <c r="R144" t="s">
        <v>72</v>
      </c>
      <c r="S144" t="s">
        <v>34</v>
      </c>
      <c r="T144" t="s">
        <v>657</v>
      </c>
      <c r="U144" t="s">
        <v>665</v>
      </c>
      <c r="V144" t="s">
        <v>666</v>
      </c>
      <c r="W144" t="s">
        <v>907</v>
      </c>
      <c r="X144" t="s">
        <v>746</v>
      </c>
      <c r="Y144" t="s">
        <v>347</v>
      </c>
      <c r="Z144" t="s">
        <v>908</v>
      </c>
      <c r="AA144" t="s">
        <v>36</v>
      </c>
      <c r="AB144" t="s">
        <v>678</v>
      </c>
      <c r="AC144">
        <v>20</v>
      </c>
      <c r="AD144" s="20">
        <v>66</v>
      </c>
      <c r="AE144" t="s">
        <v>674</v>
      </c>
      <c r="AF144" t="s">
        <v>27</v>
      </c>
    </row>
    <row r="145" spans="1:32" x14ac:dyDescent="0.3">
      <c r="A145" t="s">
        <v>108</v>
      </c>
      <c r="B145" t="s">
        <v>654</v>
      </c>
      <c r="C145" t="s">
        <v>20</v>
      </c>
      <c r="E145">
        <v>29.76</v>
      </c>
      <c r="F145">
        <v>0</v>
      </c>
      <c r="G145" s="20">
        <v>29.76</v>
      </c>
      <c r="H145">
        <v>653470</v>
      </c>
      <c r="I145" t="s">
        <v>2</v>
      </c>
      <c r="J145" t="s">
        <v>325</v>
      </c>
      <c r="K145" t="s">
        <v>326</v>
      </c>
      <c r="L145" t="s">
        <v>327</v>
      </c>
      <c r="M145" t="s">
        <v>698</v>
      </c>
      <c r="N145">
        <v>764002</v>
      </c>
      <c r="O145" t="s">
        <v>117</v>
      </c>
      <c r="P145" t="s">
        <v>656</v>
      </c>
      <c r="Q145">
        <v>42251</v>
      </c>
      <c r="R145" t="s">
        <v>127</v>
      </c>
      <c r="S145" t="s">
        <v>55</v>
      </c>
      <c r="T145" t="s">
        <v>657</v>
      </c>
      <c r="U145" t="s">
        <v>665</v>
      </c>
      <c r="V145" t="s">
        <v>666</v>
      </c>
      <c r="W145" t="s">
        <v>760</v>
      </c>
      <c r="X145" t="s">
        <v>761</v>
      </c>
      <c r="Y145" t="s">
        <v>328</v>
      </c>
      <c r="Z145" t="s">
        <v>909</v>
      </c>
      <c r="AA145" t="s">
        <v>36</v>
      </c>
      <c r="AB145" t="s">
        <v>678</v>
      </c>
      <c r="AC145">
        <v>21</v>
      </c>
      <c r="AD145" s="20">
        <v>124</v>
      </c>
      <c r="AE145" t="s">
        <v>674</v>
      </c>
      <c r="AF145" t="s">
        <v>27</v>
      </c>
    </row>
    <row r="146" spans="1:32" x14ac:dyDescent="0.3">
      <c r="A146" t="s">
        <v>108</v>
      </c>
      <c r="B146" t="s">
        <v>654</v>
      </c>
      <c r="C146" t="s">
        <v>20</v>
      </c>
      <c r="E146">
        <v>4.07</v>
      </c>
      <c r="F146">
        <v>0</v>
      </c>
      <c r="G146" s="20">
        <v>4.07</v>
      </c>
      <c r="H146">
        <v>653470</v>
      </c>
      <c r="I146" t="s">
        <v>2</v>
      </c>
      <c r="J146" t="s">
        <v>329</v>
      </c>
      <c r="K146" t="s">
        <v>330</v>
      </c>
      <c r="L146" t="s">
        <v>331</v>
      </c>
      <c r="M146" t="s">
        <v>655</v>
      </c>
      <c r="N146">
        <v>798992</v>
      </c>
      <c r="O146" t="s">
        <v>198</v>
      </c>
      <c r="P146" t="s">
        <v>656</v>
      </c>
      <c r="Q146">
        <v>38593</v>
      </c>
      <c r="R146" t="s">
        <v>33</v>
      </c>
      <c r="S146" t="s">
        <v>34</v>
      </c>
      <c r="T146" t="s">
        <v>657</v>
      </c>
      <c r="U146" t="s">
        <v>658</v>
      </c>
      <c r="V146" t="s">
        <v>659</v>
      </c>
      <c r="W146" t="s">
        <v>903</v>
      </c>
      <c r="X146" t="s">
        <v>703</v>
      </c>
      <c r="Y146" t="s">
        <v>332</v>
      </c>
      <c r="Z146" t="s">
        <v>910</v>
      </c>
      <c r="AA146" t="s">
        <v>36</v>
      </c>
      <c r="AB146" t="s">
        <v>663</v>
      </c>
      <c r="AC146">
        <v>10</v>
      </c>
      <c r="AD146" s="20">
        <v>11</v>
      </c>
      <c r="AE146" t="s">
        <v>664</v>
      </c>
      <c r="AF146" t="s">
        <v>27</v>
      </c>
    </row>
    <row r="147" spans="1:32" x14ac:dyDescent="0.3">
      <c r="A147" t="s">
        <v>108</v>
      </c>
      <c r="B147" t="s">
        <v>654</v>
      </c>
      <c r="C147" t="s">
        <v>20</v>
      </c>
      <c r="E147">
        <v>15.84</v>
      </c>
      <c r="F147">
        <v>0</v>
      </c>
      <c r="G147" s="20">
        <v>15.84</v>
      </c>
      <c r="H147">
        <v>653470</v>
      </c>
      <c r="I147" t="s">
        <v>2</v>
      </c>
      <c r="J147" t="s">
        <v>333</v>
      </c>
      <c r="K147" t="s">
        <v>334</v>
      </c>
      <c r="L147" t="s">
        <v>335</v>
      </c>
      <c r="M147" t="s">
        <v>655</v>
      </c>
      <c r="N147">
        <v>798992</v>
      </c>
      <c r="O147" t="s">
        <v>198</v>
      </c>
      <c r="P147" t="s">
        <v>656</v>
      </c>
      <c r="Q147">
        <v>38399</v>
      </c>
      <c r="R147" t="s">
        <v>72</v>
      </c>
      <c r="S147" t="s">
        <v>34</v>
      </c>
      <c r="T147" t="s">
        <v>657</v>
      </c>
      <c r="U147" t="s">
        <v>665</v>
      </c>
      <c r="V147" t="s">
        <v>666</v>
      </c>
      <c r="W147" t="s">
        <v>911</v>
      </c>
      <c r="X147" t="s">
        <v>676</v>
      </c>
      <c r="Y147" t="s">
        <v>336</v>
      </c>
      <c r="Z147" t="s">
        <v>912</v>
      </c>
      <c r="AA147" t="s">
        <v>36</v>
      </c>
      <c r="AB147" t="s">
        <v>678</v>
      </c>
      <c r="AC147">
        <v>16</v>
      </c>
      <c r="AD147" s="20">
        <v>66</v>
      </c>
      <c r="AE147" t="s">
        <v>674</v>
      </c>
      <c r="AF147" t="s">
        <v>27</v>
      </c>
    </row>
    <row r="148" spans="1:32" x14ac:dyDescent="0.3">
      <c r="A148" t="s">
        <v>108</v>
      </c>
      <c r="B148" t="s">
        <v>654</v>
      </c>
      <c r="C148" t="s">
        <v>20</v>
      </c>
      <c r="E148">
        <v>5.28</v>
      </c>
      <c r="F148">
        <v>0</v>
      </c>
      <c r="G148" s="20">
        <v>5.28</v>
      </c>
      <c r="H148">
        <v>653470</v>
      </c>
      <c r="I148" t="s">
        <v>2</v>
      </c>
      <c r="J148" t="s">
        <v>337</v>
      </c>
      <c r="K148" t="s">
        <v>338</v>
      </c>
      <c r="L148" t="s">
        <v>339</v>
      </c>
      <c r="M148" t="s">
        <v>655</v>
      </c>
      <c r="N148">
        <v>678726</v>
      </c>
      <c r="O148" t="s">
        <v>31</v>
      </c>
      <c r="P148" t="s">
        <v>656</v>
      </c>
      <c r="Q148">
        <v>47132</v>
      </c>
      <c r="R148" t="s">
        <v>155</v>
      </c>
      <c r="S148" t="s">
        <v>34</v>
      </c>
      <c r="T148" t="s">
        <v>657</v>
      </c>
      <c r="U148" t="s">
        <v>665</v>
      </c>
      <c r="V148" t="s">
        <v>666</v>
      </c>
      <c r="W148" t="s">
        <v>695</v>
      </c>
      <c r="X148" t="s">
        <v>696</v>
      </c>
      <c r="Y148" t="s">
        <v>340</v>
      </c>
      <c r="Z148" t="s">
        <v>913</v>
      </c>
      <c r="AA148" t="s">
        <v>36</v>
      </c>
      <c r="AB148" t="s">
        <v>663</v>
      </c>
      <c r="AC148">
        <v>3</v>
      </c>
      <c r="AD148" s="20">
        <v>22</v>
      </c>
      <c r="AE148" t="s">
        <v>674</v>
      </c>
      <c r="AF148" t="s">
        <v>27</v>
      </c>
    </row>
    <row r="149" spans="1:32" x14ac:dyDescent="0.3">
      <c r="A149" t="s">
        <v>220</v>
      </c>
      <c r="B149" t="s">
        <v>654</v>
      </c>
      <c r="C149" t="s">
        <v>20</v>
      </c>
      <c r="E149">
        <v>6</v>
      </c>
      <c r="F149">
        <v>0</v>
      </c>
      <c r="G149" s="20">
        <v>6</v>
      </c>
      <c r="H149">
        <v>653470</v>
      </c>
      <c r="I149" t="s">
        <v>2</v>
      </c>
      <c r="J149" t="s">
        <v>222</v>
      </c>
      <c r="K149" t="s">
        <v>223</v>
      </c>
      <c r="L149" t="s">
        <v>224</v>
      </c>
      <c r="M149" t="s">
        <v>698</v>
      </c>
      <c r="N149">
        <v>759555</v>
      </c>
      <c r="O149" t="s">
        <v>40</v>
      </c>
      <c r="P149" t="s">
        <v>656</v>
      </c>
      <c r="Q149">
        <v>38796</v>
      </c>
      <c r="R149" t="s">
        <v>77</v>
      </c>
      <c r="S149" t="s">
        <v>34</v>
      </c>
      <c r="T149" t="s">
        <v>657</v>
      </c>
      <c r="U149" t="s">
        <v>665</v>
      </c>
      <c r="V149" t="s">
        <v>666</v>
      </c>
      <c r="W149" t="s">
        <v>914</v>
      </c>
      <c r="X149" t="s">
        <v>661</v>
      </c>
      <c r="Y149" t="s">
        <v>341</v>
      </c>
      <c r="Z149" t="s">
        <v>915</v>
      </c>
      <c r="AA149" t="s">
        <v>36</v>
      </c>
      <c r="AB149" t="s">
        <v>678</v>
      </c>
      <c r="AC149">
        <v>4</v>
      </c>
      <c r="AD149" s="20">
        <v>25</v>
      </c>
      <c r="AE149" t="s">
        <v>674</v>
      </c>
      <c r="AF149" t="s">
        <v>27</v>
      </c>
    </row>
    <row r="150" spans="1:32" x14ac:dyDescent="0.3">
      <c r="A150" t="s">
        <v>220</v>
      </c>
      <c r="B150" t="s">
        <v>654</v>
      </c>
      <c r="C150" t="s">
        <v>20</v>
      </c>
      <c r="E150">
        <v>4.07</v>
      </c>
      <c r="F150">
        <v>0</v>
      </c>
      <c r="G150" s="20">
        <v>4.07</v>
      </c>
      <c r="H150">
        <v>653470</v>
      </c>
      <c r="I150" t="s">
        <v>2</v>
      </c>
      <c r="J150" t="s">
        <v>226</v>
      </c>
      <c r="K150" t="s">
        <v>227</v>
      </c>
      <c r="L150" t="s">
        <v>228</v>
      </c>
      <c r="M150" t="s">
        <v>698</v>
      </c>
      <c r="N150">
        <v>759555</v>
      </c>
      <c r="O150" t="s">
        <v>40</v>
      </c>
      <c r="P150" t="s">
        <v>656</v>
      </c>
      <c r="Q150">
        <v>38593</v>
      </c>
      <c r="R150" t="s">
        <v>33</v>
      </c>
      <c r="S150" t="s">
        <v>34</v>
      </c>
      <c r="T150" t="s">
        <v>657</v>
      </c>
      <c r="U150" t="s">
        <v>658</v>
      </c>
      <c r="V150" t="s">
        <v>659</v>
      </c>
      <c r="W150" t="s">
        <v>916</v>
      </c>
      <c r="X150" t="s">
        <v>681</v>
      </c>
      <c r="Y150" t="s">
        <v>342</v>
      </c>
      <c r="Z150" t="s">
        <v>917</v>
      </c>
      <c r="AA150" t="s">
        <v>36</v>
      </c>
      <c r="AB150" t="s">
        <v>678</v>
      </c>
      <c r="AC150">
        <v>6</v>
      </c>
      <c r="AD150" s="20">
        <v>11</v>
      </c>
      <c r="AE150" t="s">
        <v>664</v>
      </c>
      <c r="AF150" t="s">
        <v>27</v>
      </c>
    </row>
    <row r="151" spans="1:32" x14ac:dyDescent="0.3">
      <c r="A151" t="s">
        <v>220</v>
      </c>
      <c r="B151" t="s">
        <v>654</v>
      </c>
      <c r="C151" t="s">
        <v>20</v>
      </c>
      <c r="E151">
        <v>4.07</v>
      </c>
      <c r="F151">
        <v>0</v>
      </c>
      <c r="G151" s="20">
        <v>4.07</v>
      </c>
      <c r="H151">
        <v>653470</v>
      </c>
      <c r="I151" t="s">
        <v>2</v>
      </c>
      <c r="J151" t="s">
        <v>343</v>
      </c>
      <c r="K151" t="s">
        <v>244</v>
      </c>
      <c r="L151" t="s">
        <v>344</v>
      </c>
      <c r="M151" t="s">
        <v>698</v>
      </c>
      <c r="N151">
        <v>759555</v>
      </c>
      <c r="O151" t="s">
        <v>40</v>
      </c>
      <c r="P151" t="s">
        <v>656</v>
      </c>
      <c r="Q151">
        <v>38593</v>
      </c>
      <c r="R151" t="s">
        <v>33</v>
      </c>
      <c r="S151" t="s">
        <v>34</v>
      </c>
      <c r="T151" t="s">
        <v>657</v>
      </c>
      <c r="U151" t="s">
        <v>658</v>
      </c>
      <c r="V151" t="s">
        <v>659</v>
      </c>
      <c r="W151" t="s">
        <v>918</v>
      </c>
      <c r="X151" t="s">
        <v>696</v>
      </c>
      <c r="Y151" t="s">
        <v>345</v>
      </c>
      <c r="Z151" t="s">
        <v>919</v>
      </c>
      <c r="AA151" t="s">
        <v>36</v>
      </c>
      <c r="AB151" t="s">
        <v>678</v>
      </c>
      <c r="AC151">
        <v>3</v>
      </c>
      <c r="AD151" s="20">
        <v>11</v>
      </c>
      <c r="AE151" t="s">
        <v>664</v>
      </c>
      <c r="AF151" t="s">
        <v>27</v>
      </c>
    </row>
    <row r="152" spans="1:32" x14ac:dyDescent="0.3">
      <c r="A152" t="s">
        <v>220</v>
      </c>
      <c r="B152" t="s">
        <v>654</v>
      </c>
      <c r="C152" t="s">
        <v>20</v>
      </c>
      <c r="E152">
        <v>12.48</v>
      </c>
      <c r="F152">
        <v>0</v>
      </c>
      <c r="G152" s="20">
        <v>12.48</v>
      </c>
      <c r="H152">
        <v>653470</v>
      </c>
      <c r="I152" t="s">
        <v>2</v>
      </c>
      <c r="J152" t="s">
        <v>343</v>
      </c>
      <c r="K152" t="s">
        <v>244</v>
      </c>
      <c r="L152" t="s">
        <v>344</v>
      </c>
      <c r="M152" t="s">
        <v>698</v>
      </c>
      <c r="N152">
        <v>759555</v>
      </c>
      <c r="O152" t="s">
        <v>40</v>
      </c>
      <c r="P152" t="s">
        <v>656</v>
      </c>
      <c r="Q152">
        <v>38398</v>
      </c>
      <c r="R152" t="s">
        <v>54</v>
      </c>
      <c r="S152" t="s">
        <v>34</v>
      </c>
      <c r="T152" t="s">
        <v>657</v>
      </c>
      <c r="U152" t="s">
        <v>665</v>
      </c>
      <c r="V152" t="s">
        <v>666</v>
      </c>
      <c r="W152" t="s">
        <v>918</v>
      </c>
      <c r="X152" t="s">
        <v>696</v>
      </c>
      <c r="Y152" t="s">
        <v>346</v>
      </c>
      <c r="Z152" t="s">
        <v>919</v>
      </c>
      <c r="AA152" t="s">
        <v>36</v>
      </c>
      <c r="AB152" t="s">
        <v>678</v>
      </c>
      <c r="AC152">
        <v>3</v>
      </c>
      <c r="AD152" s="20">
        <v>52</v>
      </c>
      <c r="AE152" t="s">
        <v>674</v>
      </c>
      <c r="AF152" t="s">
        <v>27</v>
      </c>
    </row>
    <row r="153" spans="1:32" x14ac:dyDescent="0.3">
      <c r="A153" t="s">
        <v>220</v>
      </c>
      <c r="B153" t="s">
        <v>654</v>
      </c>
      <c r="C153" t="s">
        <v>20</v>
      </c>
      <c r="E153">
        <v>4.07</v>
      </c>
      <c r="F153">
        <v>0</v>
      </c>
      <c r="G153" s="20">
        <v>4.07</v>
      </c>
      <c r="H153">
        <v>653470</v>
      </c>
      <c r="I153" t="s">
        <v>2</v>
      </c>
      <c r="J153" t="s">
        <v>293</v>
      </c>
      <c r="K153" t="s">
        <v>294</v>
      </c>
      <c r="L153" t="s">
        <v>295</v>
      </c>
      <c r="M153" t="s">
        <v>655</v>
      </c>
      <c r="N153">
        <v>678726</v>
      </c>
      <c r="O153" t="s">
        <v>31</v>
      </c>
      <c r="P153" t="s">
        <v>656</v>
      </c>
      <c r="Q153">
        <v>38593</v>
      </c>
      <c r="R153" t="s">
        <v>33</v>
      </c>
      <c r="S153" t="s">
        <v>34</v>
      </c>
      <c r="T153" t="s">
        <v>657</v>
      </c>
      <c r="U153" t="s">
        <v>658</v>
      </c>
      <c r="V153" t="s">
        <v>659</v>
      </c>
      <c r="W153" t="s">
        <v>716</v>
      </c>
      <c r="X153" t="s">
        <v>717</v>
      </c>
      <c r="Y153" t="s">
        <v>297</v>
      </c>
      <c r="Z153" t="s">
        <v>920</v>
      </c>
      <c r="AA153" t="s">
        <v>36</v>
      </c>
      <c r="AB153" t="s">
        <v>678</v>
      </c>
      <c r="AC153">
        <v>18</v>
      </c>
      <c r="AD153" s="20">
        <v>11</v>
      </c>
      <c r="AE153" t="s">
        <v>664</v>
      </c>
      <c r="AF153" t="s">
        <v>27</v>
      </c>
    </row>
    <row r="154" spans="1:32" x14ac:dyDescent="0.3">
      <c r="A154" t="s">
        <v>220</v>
      </c>
      <c r="B154" t="s">
        <v>654</v>
      </c>
      <c r="C154" t="s">
        <v>20</v>
      </c>
      <c r="E154">
        <v>6.48</v>
      </c>
      <c r="F154">
        <v>0</v>
      </c>
      <c r="G154" s="20">
        <v>6.48</v>
      </c>
      <c r="H154">
        <v>653470</v>
      </c>
      <c r="I154" t="s">
        <v>2</v>
      </c>
      <c r="J154" t="s">
        <v>243</v>
      </c>
      <c r="K154" t="s">
        <v>244</v>
      </c>
      <c r="L154" t="s">
        <v>245</v>
      </c>
      <c r="M154" t="s">
        <v>655</v>
      </c>
      <c r="N154">
        <v>678726</v>
      </c>
      <c r="O154" t="s">
        <v>31</v>
      </c>
      <c r="P154" t="s">
        <v>656</v>
      </c>
      <c r="Q154">
        <v>47133</v>
      </c>
      <c r="R154" t="s">
        <v>238</v>
      </c>
      <c r="S154" t="s">
        <v>34</v>
      </c>
      <c r="T154" t="s">
        <v>657</v>
      </c>
      <c r="U154" t="s">
        <v>665</v>
      </c>
      <c r="V154" t="s">
        <v>666</v>
      </c>
      <c r="W154" t="s">
        <v>921</v>
      </c>
      <c r="X154" t="s">
        <v>922</v>
      </c>
      <c r="Y154" t="s">
        <v>320</v>
      </c>
      <c r="Z154" t="s">
        <v>923</v>
      </c>
      <c r="AA154" t="s">
        <v>36</v>
      </c>
      <c r="AB154" t="s">
        <v>678</v>
      </c>
      <c r="AC154">
        <v>11</v>
      </c>
      <c r="AD154" s="20">
        <v>27</v>
      </c>
      <c r="AE154" t="s">
        <v>674</v>
      </c>
      <c r="AF154" t="s">
        <v>27</v>
      </c>
    </row>
    <row r="155" spans="1:32" x14ac:dyDescent="0.3">
      <c r="A155" t="s">
        <v>220</v>
      </c>
      <c r="B155" t="s">
        <v>654</v>
      </c>
      <c r="C155" t="s">
        <v>20</v>
      </c>
      <c r="E155">
        <v>8</v>
      </c>
      <c r="F155">
        <v>0</v>
      </c>
      <c r="G155" s="20">
        <v>8</v>
      </c>
      <c r="H155">
        <v>653470</v>
      </c>
      <c r="I155" t="s">
        <v>2</v>
      </c>
      <c r="J155" t="s">
        <v>293</v>
      </c>
      <c r="K155" t="s">
        <v>294</v>
      </c>
      <c r="L155" t="s">
        <v>295</v>
      </c>
      <c r="M155" t="s">
        <v>655</v>
      </c>
      <c r="N155">
        <v>678726</v>
      </c>
      <c r="O155" t="s">
        <v>31</v>
      </c>
      <c r="P155" t="s">
        <v>656</v>
      </c>
      <c r="Q155">
        <v>45041</v>
      </c>
      <c r="R155" t="s">
        <v>96</v>
      </c>
      <c r="S155" t="s">
        <v>34</v>
      </c>
      <c r="T155" t="s">
        <v>657</v>
      </c>
      <c r="U155" t="s">
        <v>665</v>
      </c>
      <c r="V155" t="s">
        <v>666</v>
      </c>
      <c r="W155" t="s">
        <v>716</v>
      </c>
      <c r="X155" t="s">
        <v>717</v>
      </c>
      <c r="Y155" t="s">
        <v>296</v>
      </c>
      <c r="Z155" t="s">
        <v>920</v>
      </c>
      <c r="AA155" t="s">
        <v>36</v>
      </c>
      <c r="AB155" t="s">
        <v>678</v>
      </c>
      <c r="AC155">
        <v>18</v>
      </c>
      <c r="AD155" s="20">
        <v>25</v>
      </c>
      <c r="AE155" t="s">
        <v>670</v>
      </c>
      <c r="AF155" t="s">
        <v>27</v>
      </c>
    </row>
    <row r="156" spans="1:32" x14ac:dyDescent="0.3">
      <c r="A156" t="s">
        <v>220</v>
      </c>
      <c r="B156" t="s">
        <v>654</v>
      </c>
      <c r="C156" t="s">
        <v>20</v>
      </c>
      <c r="E156">
        <v>4.07</v>
      </c>
      <c r="F156">
        <v>0</v>
      </c>
      <c r="G156" s="20">
        <v>4.07</v>
      </c>
      <c r="H156">
        <v>653470</v>
      </c>
      <c r="I156" t="s">
        <v>2</v>
      </c>
      <c r="J156" t="s">
        <v>243</v>
      </c>
      <c r="K156" t="s">
        <v>244</v>
      </c>
      <c r="L156" t="s">
        <v>245</v>
      </c>
      <c r="M156" t="s">
        <v>655</v>
      </c>
      <c r="N156">
        <v>678726</v>
      </c>
      <c r="O156" t="s">
        <v>31</v>
      </c>
      <c r="P156" t="s">
        <v>656</v>
      </c>
      <c r="Q156">
        <v>38593</v>
      </c>
      <c r="R156" t="s">
        <v>33</v>
      </c>
      <c r="S156" t="s">
        <v>34</v>
      </c>
      <c r="T156" t="s">
        <v>657</v>
      </c>
      <c r="U156" t="s">
        <v>658</v>
      </c>
      <c r="V156" t="s">
        <v>659</v>
      </c>
      <c r="W156" t="s">
        <v>921</v>
      </c>
      <c r="X156" t="s">
        <v>922</v>
      </c>
      <c r="Y156" t="s">
        <v>246</v>
      </c>
      <c r="Z156" t="s">
        <v>923</v>
      </c>
      <c r="AA156" t="s">
        <v>36</v>
      </c>
      <c r="AB156" t="s">
        <v>678</v>
      </c>
      <c r="AC156">
        <v>11</v>
      </c>
      <c r="AD156" s="20">
        <v>11</v>
      </c>
      <c r="AE156" t="s">
        <v>664</v>
      </c>
      <c r="AF156" t="s">
        <v>27</v>
      </c>
    </row>
    <row r="157" spans="1:32" x14ac:dyDescent="0.3">
      <c r="A157" t="s">
        <v>220</v>
      </c>
      <c r="B157" t="s">
        <v>654</v>
      </c>
      <c r="C157" t="s">
        <v>20</v>
      </c>
      <c r="E157">
        <v>4.07</v>
      </c>
      <c r="F157">
        <v>0</v>
      </c>
      <c r="G157" s="20">
        <v>4.07</v>
      </c>
      <c r="H157">
        <v>653470</v>
      </c>
      <c r="I157" t="s">
        <v>2</v>
      </c>
      <c r="J157" t="s">
        <v>216</v>
      </c>
      <c r="K157" t="s">
        <v>217</v>
      </c>
      <c r="L157" t="s">
        <v>218</v>
      </c>
      <c r="M157" t="s">
        <v>655</v>
      </c>
      <c r="N157">
        <v>678726</v>
      </c>
      <c r="O157" t="s">
        <v>31</v>
      </c>
      <c r="P157" t="s">
        <v>656</v>
      </c>
      <c r="Q157">
        <v>38593</v>
      </c>
      <c r="R157" t="s">
        <v>33</v>
      </c>
      <c r="S157" t="s">
        <v>34</v>
      </c>
      <c r="T157" t="s">
        <v>657</v>
      </c>
      <c r="U157" t="s">
        <v>658</v>
      </c>
      <c r="V157" t="s">
        <v>659</v>
      </c>
      <c r="W157" t="s">
        <v>924</v>
      </c>
      <c r="X157" t="s">
        <v>878</v>
      </c>
      <c r="Y157" t="s">
        <v>219</v>
      </c>
      <c r="Z157" t="s">
        <v>925</v>
      </c>
      <c r="AA157" t="s">
        <v>36</v>
      </c>
      <c r="AB157" t="s">
        <v>678</v>
      </c>
      <c r="AC157">
        <v>2</v>
      </c>
      <c r="AD157" s="20">
        <v>11</v>
      </c>
      <c r="AE157" t="s">
        <v>664</v>
      </c>
      <c r="AF157" t="s">
        <v>27</v>
      </c>
    </row>
    <row r="158" spans="1:32" x14ac:dyDescent="0.3">
      <c r="A158" t="s">
        <v>220</v>
      </c>
      <c r="B158" t="s">
        <v>654</v>
      </c>
      <c r="C158" t="s">
        <v>20</v>
      </c>
      <c r="E158">
        <v>11.52</v>
      </c>
      <c r="F158">
        <v>0</v>
      </c>
      <c r="G158" s="20">
        <v>11.52</v>
      </c>
      <c r="H158">
        <v>653470</v>
      </c>
      <c r="I158" t="s">
        <v>2</v>
      </c>
      <c r="J158" t="s">
        <v>216</v>
      </c>
      <c r="K158" t="s">
        <v>217</v>
      </c>
      <c r="L158" t="s">
        <v>218</v>
      </c>
      <c r="M158" t="s">
        <v>655</v>
      </c>
      <c r="N158">
        <v>678726</v>
      </c>
      <c r="O158" t="s">
        <v>31</v>
      </c>
      <c r="P158" t="s">
        <v>656</v>
      </c>
      <c r="Q158">
        <v>49815</v>
      </c>
      <c r="R158" t="s">
        <v>54</v>
      </c>
      <c r="S158" t="s">
        <v>34</v>
      </c>
      <c r="T158" t="s">
        <v>657</v>
      </c>
      <c r="U158" t="s">
        <v>665</v>
      </c>
      <c r="V158" t="s">
        <v>666</v>
      </c>
      <c r="W158" t="s">
        <v>924</v>
      </c>
      <c r="X158" t="s">
        <v>878</v>
      </c>
      <c r="Y158" t="s">
        <v>221</v>
      </c>
      <c r="Z158" t="s">
        <v>925</v>
      </c>
      <c r="AA158" t="s">
        <v>36</v>
      </c>
      <c r="AB158" t="s">
        <v>678</v>
      </c>
      <c r="AC158">
        <v>2</v>
      </c>
      <c r="AD158" s="20">
        <v>48</v>
      </c>
      <c r="AE158" t="s">
        <v>674</v>
      </c>
      <c r="AF158" t="s">
        <v>27</v>
      </c>
    </row>
    <row r="159" spans="1:32" x14ac:dyDescent="0.3">
      <c r="A159" t="s">
        <v>220</v>
      </c>
      <c r="B159" t="s">
        <v>654</v>
      </c>
      <c r="C159" t="s">
        <v>20</v>
      </c>
      <c r="E159">
        <v>4.07</v>
      </c>
      <c r="F159">
        <v>0</v>
      </c>
      <c r="G159" s="20">
        <v>4.07</v>
      </c>
      <c r="H159">
        <v>653470</v>
      </c>
      <c r="I159" t="s">
        <v>2</v>
      </c>
      <c r="J159" t="s">
        <v>222</v>
      </c>
      <c r="K159" t="s">
        <v>223</v>
      </c>
      <c r="L159" t="s">
        <v>224</v>
      </c>
      <c r="M159" t="s">
        <v>698</v>
      </c>
      <c r="N159">
        <v>759555</v>
      </c>
      <c r="O159" t="s">
        <v>40</v>
      </c>
      <c r="P159" t="s">
        <v>656</v>
      </c>
      <c r="Q159">
        <v>38593</v>
      </c>
      <c r="R159" t="s">
        <v>33</v>
      </c>
      <c r="S159" t="s">
        <v>34</v>
      </c>
      <c r="T159" t="s">
        <v>657</v>
      </c>
      <c r="U159" t="s">
        <v>658</v>
      </c>
      <c r="V159" t="s">
        <v>659</v>
      </c>
      <c r="W159" t="s">
        <v>914</v>
      </c>
      <c r="X159" t="s">
        <v>661</v>
      </c>
      <c r="Y159" t="s">
        <v>225</v>
      </c>
      <c r="Z159" t="s">
        <v>915</v>
      </c>
      <c r="AA159" t="s">
        <v>36</v>
      </c>
      <c r="AB159" t="s">
        <v>678</v>
      </c>
      <c r="AC159">
        <v>4</v>
      </c>
      <c r="AD159" s="20">
        <v>11</v>
      </c>
      <c r="AE159" t="s">
        <v>664</v>
      </c>
      <c r="AF159" t="s">
        <v>27</v>
      </c>
    </row>
    <row r="160" spans="1:32" x14ac:dyDescent="0.3">
      <c r="A160" t="s">
        <v>220</v>
      </c>
      <c r="B160" t="s">
        <v>654</v>
      </c>
      <c r="C160" t="s">
        <v>20</v>
      </c>
      <c r="E160">
        <v>12.48</v>
      </c>
      <c r="F160">
        <v>0</v>
      </c>
      <c r="G160" s="20">
        <v>12.48</v>
      </c>
      <c r="H160">
        <v>653470</v>
      </c>
      <c r="I160" t="s">
        <v>2</v>
      </c>
      <c r="J160" t="s">
        <v>226</v>
      </c>
      <c r="K160" t="s">
        <v>227</v>
      </c>
      <c r="L160" t="s">
        <v>228</v>
      </c>
      <c r="M160" t="s">
        <v>698</v>
      </c>
      <c r="N160">
        <v>759555</v>
      </c>
      <c r="O160" t="s">
        <v>40</v>
      </c>
      <c r="P160" t="s">
        <v>656</v>
      </c>
      <c r="Q160">
        <v>38398</v>
      </c>
      <c r="R160" t="s">
        <v>54</v>
      </c>
      <c r="S160" t="s">
        <v>34</v>
      </c>
      <c r="T160" t="s">
        <v>657</v>
      </c>
      <c r="U160" t="s">
        <v>665</v>
      </c>
      <c r="V160" t="s">
        <v>666</v>
      </c>
      <c r="W160" t="s">
        <v>916</v>
      </c>
      <c r="X160" t="s">
        <v>681</v>
      </c>
      <c r="Y160" t="s">
        <v>229</v>
      </c>
      <c r="Z160" t="s">
        <v>917</v>
      </c>
      <c r="AA160" t="s">
        <v>36</v>
      </c>
      <c r="AB160" t="s">
        <v>678</v>
      </c>
      <c r="AC160">
        <v>6</v>
      </c>
      <c r="AD160" s="20">
        <v>52</v>
      </c>
      <c r="AE160" t="s">
        <v>674</v>
      </c>
      <c r="AF160" t="s">
        <v>27</v>
      </c>
    </row>
    <row r="161" spans="1:32" x14ac:dyDescent="0.3">
      <c r="A161" t="s">
        <v>220</v>
      </c>
      <c r="B161" t="s">
        <v>654</v>
      </c>
      <c r="C161" t="s">
        <v>20</v>
      </c>
      <c r="E161">
        <v>15.6</v>
      </c>
      <c r="F161">
        <v>0</v>
      </c>
      <c r="G161" s="20">
        <v>15.6</v>
      </c>
      <c r="H161">
        <v>653470</v>
      </c>
      <c r="I161" t="s">
        <v>2</v>
      </c>
      <c r="J161" t="s">
        <v>230</v>
      </c>
      <c r="K161" t="s">
        <v>231</v>
      </c>
      <c r="L161" t="s">
        <v>232</v>
      </c>
      <c r="M161" t="s">
        <v>684</v>
      </c>
      <c r="N161">
        <v>689390</v>
      </c>
      <c r="O161" t="s">
        <v>52</v>
      </c>
      <c r="P161" t="s">
        <v>656</v>
      </c>
      <c r="Q161">
        <v>38399</v>
      </c>
      <c r="R161" t="s">
        <v>72</v>
      </c>
      <c r="S161" t="s">
        <v>34</v>
      </c>
      <c r="T161" t="s">
        <v>657</v>
      </c>
      <c r="U161" t="s">
        <v>665</v>
      </c>
      <c r="V161" t="s">
        <v>666</v>
      </c>
      <c r="W161" t="s">
        <v>926</v>
      </c>
      <c r="X161" t="s">
        <v>865</v>
      </c>
      <c r="Y161" t="s">
        <v>233</v>
      </c>
      <c r="Z161" t="s">
        <v>927</v>
      </c>
      <c r="AA161" t="s">
        <v>36</v>
      </c>
      <c r="AB161" t="s">
        <v>678</v>
      </c>
      <c r="AC161">
        <v>29</v>
      </c>
      <c r="AD161" s="20">
        <v>65</v>
      </c>
      <c r="AE161" t="s">
        <v>674</v>
      </c>
      <c r="AF161" t="s">
        <v>27</v>
      </c>
    </row>
    <row r="162" spans="1:32" x14ac:dyDescent="0.3">
      <c r="A162" t="s">
        <v>220</v>
      </c>
      <c r="B162" t="s">
        <v>654</v>
      </c>
      <c r="C162" t="s">
        <v>20</v>
      </c>
      <c r="E162">
        <v>6.48</v>
      </c>
      <c r="F162">
        <v>0</v>
      </c>
      <c r="G162" s="20">
        <v>6.48</v>
      </c>
      <c r="H162">
        <v>653470</v>
      </c>
      <c r="I162" t="s">
        <v>2</v>
      </c>
      <c r="J162" t="s">
        <v>234</v>
      </c>
      <c r="K162" t="s">
        <v>235</v>
      </c>
      <c r="L162" t="s">
        <v>236</v>
      </c>
      <c r="M162" t="s">
        <v>655</v>
      </c>
      <c r="N162">
        <v>798992</v>
      </c>
      <c r="O162" t="s">
        <v>198</v>
      </c>
      <c r="P162" t="s">
        <v>656</v>
      </c>
      <c r="Q162">
        <v>47133</v>
      </c>
      <c r="R162" t="s">
        <v>238</v>
      </c>
      <c r="S162" t="s">
        <v>34</v>
      </c>
      <c r="T162" t="s">
        <v>657</v>
      </c>
      <c r="U162" t="s">
        <v>665</v>
      </c>
      <c r="V162" t="s">
        <v>666</v>
      </c>
      <c r="W162" t="s">
        <v>928</v>
      </c>
      <c r="X162" t="s">
        <v>686</v>
      </c>
      <c r="Y162" t="s">
        <v>237</v>
      </c>
      <c r="Z162" t="s">
        <v>929</v>
      </c>
      <c r="AA162" t="s">
        <v>36</v>
      </c>
      <c r="AB162" t="s">
        <v>678</v>
      </c>
      <c r="AC162">
        <v>7</v>
      </c>
      <c r="AD162" s="20">
        <v>27</v>
      </c>
      <c r="AE162" t="s">
        <v>674</v>
      </c>
      <c r="AF162" t="s">
        <v>27</v>
      </c>
    </row>
    <row r="163" spans="1:32" x14ac:dyDescent="0.3">
      <c r="A163" t="s">
        <v>220</v>
      </c>
      <c r="B163" t="s">
        <v>654</v>
      </c>
      <c r="C163" t="s">
        <v>20</v>
      </c>
      <c r="E163">
        <v>17.04</v>
      </c>
      <c r="F163">
        <v>0</v>
      </c>
      <c r="G163" s="20">
        <v>17.04</v>
      </c>
      <c r="H163">
        <v>653470</v>
      </c>
      <c r="I163" t="s">
        <v>2</v>
      </c>
      <c r="J163" t="s">
        <v>239</v>
      </c>
      <c r="K163" t="s">
        <v>240</v>
      </c>
      <c r="L163" t="s">
        <v>241</v>
      </c>
      <c r="M163" t="s">
        <v>684</v>
      </c>
      <c r="N163">
        <v>689390</v>
      </c>
      <c r="O163" t="s">
        <v>52</v>
      </c>
      <c r="P163" t="s">
        <v>656</v>
      </c>
      <c r="Q163">
        <v>38399</v>
      </c>
      <c r="R163" t="s">
        <v>72</v>
      </c>
      <c r="S163" t="s">
        <v>34</v>
      </c>
      <c r="T163" t="s">
        <v>657</v>
      </c>
      <c r="U163" t="s">
        <v>665</v>
      </c>
      <c r="V163" t="s">
        <v>666</v>
      </c>
      <c r="W163" t="s">
        <v>930</v>
      </c>
      <c r="X163" t="s">
        <v>681</v>
      </c>
      <c r="Y163" t="s">
        <v>242</v>
      </c>
      <c r="Z163" t="s">
        <v>931</v>
      </c>
      <c r="AA163" t="s">
        <v>36</v>
      </c>
      <c r="AB163" t="s">
        <v>678</v>
      </c>
      <c r="AC163">
        <v>6</v>
      </c>
      <c r="AD163" s="20">
        <v>71</v>
      </c>
      <c r="AE163" t="s">
        <v>674</v>
      </c>
      <c r="AF163" t="s">
        <v>27</v>
      </c>
    </row>
    <row r="164" spans="1:32" x14ac:dyDescent="0.3">
      <c r="A164" t="s">
        <v>220</v>
      </c>
      <c r="B164" t="s">
        <v>654</v>
      </c>
      <c r="C164" t="s">
        <v>20</v>
      </c>
      <c r="E164">
        <v>9.9600000000000009</v>
      </c>
      <c r="F164">
        <v>0</v>
      </c>
      <c r="G164" s="20">
        <v>9.9600000000000009</v>
      </c>
      <c r="H164">
        <v>653470</v>
      </c>
      <c r="I164" t="s">
        <v>2</v>
      </c>
      <c r="J164" t="s">
        <v>97</v>
      </c>
      <c r="K164" t="s">
        <v>98</v>
      </c>
      <c r="L164" t="s">
        <v>99</v>
      </c>
      <c r="M164" t="s">
        <v>655</v>
      </c>
      <c r="N164">
        <v>678726</v>
      </c>
      <c r="O164" t="s">
        <v>31</v>
      </c>
      <c r="P164" t="s">
        <v>656</v>
      </c>
      <c r="Q164">
        <v>45041</v>
      </c>
      <c r="R164" t="s">
        <v>96</v>
      </c>
      <c r="S164" t="s">
        <v>34</v>
      </c>
      <c r="T164" t="s">
        <v>657</v>
      </c>
      <c r="U164" t="s">
        <v>665</v>
      </c>
      <c r="V164" t="s">
        <v>666</v>
      </c>
      <c r="W164" t="s">
        <v>840</v>
      </c>
      <c r="X164" t="s">
        <v>668</v>
      </c>
      <c r="Y164" t="s">
        <v>100</v>
      </c>
      <c r="Z164" t="s">
        <v>932</v>
      </c>
      <c r="AA164" t="s">
        <v>36</v>
      </c>
      <c r="AB164" t="s">
        <v>678</v>
      </c>
      <c r="AC164">
        <v>19</v>
      </c>
      <c r="AD164" s="20">
        <v>31.13</v>
      </c>
      <c r="AE164" t="s">
        <v>670</v>
      </c>
      <c r="AF164" t="s">
        <v>27</v>
      </c>
    </row>
    <row r="165" spans="1:32" x14ac:dyDescent="0.3">
      <c r="A165" t="s">
        <v>220</v>
      </c>
      <c r="B165" t="s">
        <v>654</v>
      </c>
      <c r="C165" t="s">
        <v>20</v>
      </c>
      <c r="E165">
        <v>4.29</v>
      </c>
      <c r="F165">
        <v>0</v>
      </c>
      <c r="G165" s="20">
        <v>4.29</v>
      </c>
      <c r="H165">
        <v>653470</v>
      </c>
      <c r="I165" t="s">
        <v>2</v>
      </c>
      <c r="J165" t="s">
        <v>247</v>
      </c>
      <c r="K165" t="s">
        <v>248</v>
      </c>
      <c r="L165" t="s">
        <v>249</v>
      </c>
      <c r="M165" t="s">
        <v>867</v>
      </c>
      <c r="N165">
        <v>711419</v>
      </c>
      <c r="O165" t="s">
        <v>250</v>
      </c>
      <c r="P165" t="s">
        <v>656</v>
      </c>
      <c r="Q165">
        <v>38399</v>
      </c>
      <c r="R165" t="s">
        <v>72</v>
      </c>
      <c r="S165" t="s">
        <v>55</v>
      </c>
      <c r="T165" t="s">
        <v>657</v>
      </c>
      <c r="U165" t="s">
        <v>665</v>
      </c>
      <c r="V165" t="s">
        <v>666</v>
      </c>
      <c r="W165" t="s">
        <v>933</v>
      </c>
      <c r="X165" t="s">
        <v>843</v>
      </c>
      <c r="Y165" t="s">
        <v>251</v>
      </c>
      <c r="Z165" t="s">
        <v>934</v>
      </c>
      <c r="AA165" t="s">
        <v>36</v>
      </c>
      <c r="AB165" t="s">
        <v>663</v>
      </c>
      <c r="AC165">
        <v>13</v>
      </c>
      <c r="AD165" s="20">
        <v>143</v>
      </c>
      <c r="AE165" t="s">
        <v>705</v>
      </c>
      <c r="AF165" t="s">
        <v>27</v>
      </c>
    </row>
    <row r="166" spans="1:32" x14ac:dyDescent="0.3">
      <c r="A166" t="s">
        <v>220</v>
      </c>
      <c r="B166" t="s">
        <v>654</v>
      </c>
      <c r="C166" t="s">
        <v>20</v>
      </c>
      <c r="E166">
        <v>6.48</v>
      </c>
      <c r="F166">
        <v>0</v>
      </c>
      <c r="G166" s="20">
        <v>6.48</v>
      </c>
      <c r="H166">
        <v>653470</v>
      </c>
      <c r="I166" t="s">
        <v>2</v>
      </c>
      <c r="J166" t="s">
        <v>256</v>
      </c>
      <c r="K166" t="s">
        <v>257</v>
      </c>
      <c r="L166" t="s">
        <v>258</v>
      </c>
      <c r="M166" t="s">
        <v>655</v>
      </c>
      <c r="N166">
        <v>678726</v>
      </c>
      <c r="O166" t="s">
        <v>31</v>
      </c>
      <c r="P166" t="s">
        <v>656</v>
      </c>
      <c r="Q166">
        <v>47133</v>
      </c>
      <c r="R166" t="s">
        <v>238</v>
      </c>
      <c r="S166" t="s">
        <v>34</v>
      </c>
      <c r="T166" t="s">
        <v>657</v>
      </c>
      <c r="U166" t="s">
        <v>665</v>
      </c>
      <c r="V166" t="s">
        <v>666</v>
      </c>
      <c r="W166" t="s">
        <v>935</v>
      </c>
      <c r="X166" t="s">
        <v>661</v>
      </c>
      <c r="Y166" t="s">
        <v>288</v>
      </c>
      <c r="Z166" t="s">
        <v>936</v>
      </c>
      <c r="AA166" t="s">
        <v>36</v>
      </c>
      <c r="AB166" t="s">
        <v>678</v>
      </c>
      <c r="AC166">
        <v>4</v>
      </c>
      <c r="AD166" s="20">
        <v>27</v>
      </c>
      <c r="AE166" t="s">
        <v>674</v>
      </c>
      <c r="AF166" t="s">
        <v>27</v>
      </c>
    </row>
    <row r="167" spans="1:32" x14ac:dyDescent="0.3">
      <c r="A167" t="s">
        <v>220</v>
      </c>
      <c r="B167" t="s">
        <v>654</v>
      </c>
      <c r="C167" t="s">
        <v>20</v>
      </c>
      <c r="E167">
        <v>8</v>
      </c>
      <c r="F167">
        <v>0</v>
      </c>
      <c r="G167" s="20">
        <v>8</v>
      </c>
      <c r="H167">
        <v>653470</v>
      </c>
      <c r="I167" t="s">
        <v>2</v>
      </c>
      <c r="J167" t="s">
        <v>252</v>
      </c>
      <c r="K167" t="s">
        <v>253</v>
      </c>
      <c r="L167" t="s">
        <v>254</v>
      </c>
      <c r="M167" t="s">
        <v>655</v>
      </c>
      <c r="N167">
        <v>678726</v>
      </c>
      <c r="O167" t="s">
        <v>31</v>
      </c>
      <c r="P167" t="s">
        <v>656</v>
      </c>
      <c r="Q167">
        <v>45041</v>
      </c>
      <c r="R167" t="s">
        <v>96</v>
      </c>
      <c r="S167" t="s">
        <v>34</v>
      </c>
      <c r="T167" t="s">
        <v>657</v>
      </c>
      <c r="U167" t="s">
        <v>665</v>
      </c>
      <c r="V167" t="s">
        <v>666</v>
      </c>
      <c r="W167" t="s">
        <v>937</v>
      </c>
      <c r="X167" t="s">
        <v>722</v>
      </c>
      <c r="Y167" t="s">
        <v>255</v>
      </c>
      <c r="Z167" t="s">
        <v>938</v>
      </c>
      <c r="AA167" t="s">
        <v>36</v>
      </c>
      <c r="AB167" t="s">
        <v>678</v>
      </c>
      <c r="AC167">
        <v>14</v>
      </c>
      <c r="AD167" s="20">
        <v>25</v>
      </c>
      <c r="AE167" t="s">
        <v>670</v>
      </c>
      <c r="AF167" t="s">
        <v>27</v>
      </c>
    </row>
    <row r="168" spans="1:32" x14ac:dyDescent="0.3">
      <c r="A168" t="s">
        <v>220</v>
      </c>
      <c r="B168" t="s">
        <v>654</v>
      </c>
      <c r="C168" t="s">
        <v>20</v>
      </c>
      <c r="E168">
        <v>4.07</v>
      </c>
      <c r="F168">
        <v>0</v>
      </c>
      <c r="G168" s="20">
        <v>4.07</v>
      </c>
      <c r="H168">
        <v>653470</v>
      </c>
      <c r="I168" t="s">
        <v>2</v>
      </c>
      <c r="J168" t="s">
        <v>256</v>
      </c>
      <c r="K168" t="s">
        <v>257</v>
      </c>
      <c r="L168" t="s">
        <v>258</v>
      </c>
      <c r="M168" t="s">
        <v>655</v>
      </c>
      <c r="N168">
        <v>678726</v>
      </c>
      <c r="O168" t="s">
        <v>31</v>
      </c>
      <c r="P168" t="s">
        <v>656</v>
      </c>
      <c r="Q168">
        <v>38593</v>
      </c>
      <c r="R168" t="s">
        <v>33</v>
      </c>
      <c r="S168" t="s">
        <v>34</v>
      </c>
      <c r="T168" t="s">
        <v>657</v>
      </c>
      <c r="U168" t="s">
        <v>658</v>
      </c>
      <c r="V168" t="s">
        <v>659</v>
      </c>
      <c r="W168" t="s">
        <v>935</v>
      </c>
      <c r="X168" t="s">
        <v>661</v>
      </c>
      <c r="Y168" t="s">
        <v>259</v>
      </c>
      <c r="Z168" t="s">
        <v>936</v>
      </c>
      <c r="AA168" t="s">
        <v>36</v>
      </c>
      <c r="AB168" t="s">
        <v>678</v>
      </c>
      <c r="AC168">
        <v>4</v>
      </c>
      <c r="AD168" s="20">
        <v>11</v>
      </c>
      <c r="AE168" t="s">
        <v>664</v>
      </c>
      <c r="AF168" t="s">
        <v>27</v>
      </c>
    </row>
    <row r="169" spans="1:32" x14ac:dyDescent="0.3">
      <c r="A169" t="s">
        <v>220</v>
      </c>
      <c r="B169" t="s">
        <v>654</v>
      </c>
      <c r="C169" t="s">
        <v>20</v>
      </c>
      <c r="E169">
        <v>4.07</v>
      </c>
      <c r="F169">
        <v>0</v>
      </c>
      <c r="G169" s="20">
        <v>4.07</v>
      </c>
      <c r="H169">
        <v>653470</v>
      </c>
      <c r="I169" t="s">
        <v>2</v>
      </c>
      <c r="J169" t="s">
        <v>260</v>
      </c>
      <c r="K169" t="s">
        <v>261</v>
      </c>
      <c r="L169" t="s">
        <v>262</v>
      </c>
      <c r="M169" t="s">
        <v>655</v>
      </c>
      <c r="N169">
        <v>723477</v>
      </c>
      <c r="O169" t="s">
        <v>263</v>
      </c>
      <c r="P169" t="s">
        <v>656</v>
      </c>
      <c r="Q169">
        <v>38593</v>
      </c>
      <c r="R169" t="s">
        <v>33</v>
      </c>
      <c r="S169" t="s">
        <v>34</v>
      </c>
      <c r="T169" t="s">
        <v>657</v>
      </c>
      <c r="U169" t="s">
        <v>658</v>
      </c>
      <c r="V169" t="s">
        <v>659</v>
      </c>
      <c r="W169" t="s">
        <v>939</v>
      </c>
      <c r="X169" t="s">
        <v>871</v>
      </c>
      <c r="Y169" t="s">
        <v>264</v>
      </c>
      <c r="Z169" t="s">
        <v>940</v>
      </c>
      <c r="AA169" t="s">
        <v>36</v>
      </c>
      <c r="AB169" t="s">
        <v>678</v>
      </c>
      <c r="AC169">
        <v>26</v>
      </c>
      <c r="AD169" s="20">
        <v>11</v>
      </c>
      <c r="AE169" t="s">
        <v>664</v>
      </c>
      <c r="AF169" t="s">
        <v>27</v>
      </c>
    </row>
    <row r="170" spans="1:32" x14ac:dyDescent="0.3">
      <c r="A170" t="s">
        <v>220</v>
      </c>
      <c r="B170" t="s">
        <v>654</v>
      </c>
      <c r="C170" t="s">
        <v>20</v>
      </c>
      <c r="E170">
        <v>6.48</v>
      </c>
      <c r="F170">
        <v>0</v>
      </c>
      <c r="G170" s="20">
        <v>6.48</v>
      </c>
      <c r="H170">
        <v>653470</v>
      </c>
      <c r="I170" t="s">
        <v>2</v>
      </c>
      <c r="J170" t="s">
        <v>265</v>
      </c>
      <c r="K170" t="s">
        <v>266</v>
      </c>
      <c r="L170" t="s">
        <v>267</v>
      </c>
      <c r="M170" t="s">
        <v>655</v>
      </c>
      <c r="N170">
        <v>678726</v>
      </c>
      <c r="O170" t="s">
        <v>31</v>
      </c>
      <c r="P170" t="s">
        <v>656</v>
      </c>
      <c r="Q170">
        <v>47133</v>
      </c>
      <c r="R170" t="s">
        <v>238</v>
      </c>
      <c r="S170" t="s">
        <v>34</v>
      </c>
      <c r="T170" t="s">
        <v>657</v>
      </c>
      <c r="U170" t="s">
        <v>665</v>
      </c>
      <c r="V170" t="s">
        <v>666</v>
      </c>
      <c r="W170" t="s">
        <v>941</v>
      </c>
      <c r="X170" t="s">
        <v>672</v>
      </c>
      <c r="Y170" t="s">
        <v>268</v>
      </c>
      <c r="Z170" t="s">
        <v>942</v>
      </c>
      <c r="AA170" t="s">
        <v>36</v>
      </c>
      <c r="AB170" t="s">
        <v>678</v>
      </c>
      <c r="AC170">
        <v>5</v>
      </c>
      <c r="AD170" s="20">
        <v>27</v>
      </c>
      <c r="AE170" t="s">
        <v>674</v>
      </c>
      <c r="AF170" t="s">
        <v>27</v>
      </c>
    </row>
    <row r="171" spans="1:32" x14ac:dyDescent="0.3">
      <c r="A171" t="s">
        <v>220</v>
      </c>
      <c r="B171" t="s">
        <v>654</v>
      </c>
      <c r="C171" t="s">
        <v>20</v>
      </c>
      <c r="E171">
        <v>1.05</v>
      </c>
      <c r="F171">
        <v>0</v>
      </c>
      <c r="G171" s="20">
        <v>1.05</v>
      </c>
      <c r="H171">
        <v>653470</v>
      </c>
      <c r="I171" t="s">
        <v>2</v>
      </c>
      <c r="J171" t="s">
        <v>269</v>
      </c>
      <c r="K171" t="s">
        <v>270</v>
      </c>
      <c r="L171" t="s">
        <v>271</v>
      </c>
      <c r="M171" t="s">
        <v>684</v>
      </c>
      <c r="N171">
        <v>720542</v>
      </c>
      <c r="O171" t="s">
        <v>272</v>
      </c>
      <c r="P171" t="s">
        <v>656</v>
      </c>
      <c r="Q171">
        <v>38398</v>
      </c>
      <c r="R171" t="s">
        <v>54</v>
      </c>
      <c r="S171" t="s">
        <v>34</v>
      </c>
      <c r="T171" t="s">
        <v>657</v>
      </c>
      <c r="U171" t="s">
        <v>665</v>
      </c>
      <c r="V171" t="s">
        <v>666</v>
      </c>
      <c r="W171" t="s">
        <v>926</v>
      </c>
      <c r="X171" t="s">
        <v>865</v>
      </c>
      <c r="Y171" t="s">
        <v>273</v>
      </c>
      <c r="Z171" t="s">
        <v>943</v>
      </c>
      <c r="AA171" t="s">
        <v>36</v>
      </c>
      <c r="AB171" t="s">
        <v>678</v>
      </c>
      <c r="AC171">
        <v>29</v>
      </c>
      <c r="AD171" s="20">
        <v>35</v>
      </c>
      <c r="AE171" t="s">
        <v>705</v>
      </c>
      <c r="AF171" t="s">
        <v>27</v>
      </c>
    </row>
    <row r="172" spans="1:32" x14ac:dyDescent="0.3">
      <c r="A172" t="s">
        <v>278</v>
      </c>
      <c r="B172" t="s">
        <v>654</v>
      </c>
      <c r="C172" t="s">
        <v>20</v>
      </c>
      <c r="E172">
        <v>16</v>
      </c>
      <c r="F172">
        <v>0</v>
      </c>
      <c r="G172" s="20">
        <v>16</v>
      </c>
      <c r="H172">
        <v>653470</v>
      </c>
      <c r="I172" t="s">
        <v>2</v>
      </c>
      <c r="J172" t="s">
        <v>274</v>
      </c>
      <c r="K172" t="s">
        <v>275</v>
      </c>
      <c r="L172" t="s">
        <v>276</v>
      </c>
      <c r="M172" t="s">
        <v>655</v>
      </c>
      <c r="N172">
        <v>678726</v>
      </c>
      <c r="O172" t="s">
        <v>31</v>
      </c>
      <c r="P172" t="s">
        <v>656</v>
      </c>
      <c r="Q172">
        <v>45041</v>
      </c>
      <c r="R172" t="s">
        <v>96</v>
      </c>
      <c r="S172" t="s">
        <v>55</v>
      </c>
      <c r="T172" t="s">
        <v>657</v>
      </c>
      <c r="U172" t="s">
        <v>665</v>
      </c>
      <c r="V172" t="s">
        <v>666</v>
      </c>
      <c r="W172" t="s">
        <v>675</v>
      </c>
      <c r="X172" t="s">
        <v>676</v>
      </c>
      <c r="Y172" t="s">
        <v>277</v>
      </c>
      <c r="Z172" t="s">
        <v>944</v>
      </c>
      <c r="AA172" t="s">
        <v>36</v>
      </c>
      <c r="AB172" t="s">
        <v>678</v>
      </c>
      <c r="AC172">
        <v>16</v>
      </c>
      <c r="AD172" s="20">
        <v>50</v>
      </c>
      <c r="AE172" t="s">
        <v>670</v>
      </c>
      <c r="AF172" t="s">
        <v>27</v>
      </c>
    </row>
    <row r="173" spans="1:32" x14ac:dyDescent="0.3">
      <c r="A173" t="s">
        <v>278</v>
      </c>
      <c r="B173" t="s">
        <v>654</v>
      </c>
      <c r="C173" t="s">
        <v>20</v>
      </c>
      <c r="D173" t="s">
        <v>102</v>
      </c>
      <c r="E173">
        <v>0</v>
      </c>
      <c r="F173">
        <v>6.48</v>
      </c>
      <c r="G173" s="20">
        <v>-6.48</v>
      </c>
      <c r="H173">
        <v>653470</v>
      </c>
      <c r="I173" t="s">
        <v>2</v>
      </c>
      <c r="J173" t="s">
        <v>279</v>
      </c>
      <c r="K173" t="s">
        <v>280</v>
      </c>
      <c r="L173" t="s">
        <v>281</v>
      </c>
      <c r="M173" t="s">
        <v>655</v>
      </c>
      <c r="N173">
        <v>678726</v>
      </c>
      <c r="O173" t="s">
        <v>31</v>
      </c>
      <c r="P173" t="s">
        <v>656</v>
      </c>
      <c r="Q173">
        <v>47133</v>
      </c>
      <c r="R173" t="s">
        <v>238</v>
      </c>
      <c r="S173" t="s">
        <v>34</v>
      </c>
      <c r="T173" t="s">
        <v>657</v>
      </c>
      <c r="U173" t="s">
        <v>665</v>
      </c>
      <c r="V173" t="s">
        <v>666</v>
      </c>
      <c r="W173" t="s">
        <v>945</v>
      </c>
      <c r="X173" t="s">
        <v>661</v>
      </c>
      <c r="Y173" t="s">
        <v>282</v>
      </c>
      <c r="Z173" t="s">
        <v>946</v>
      </c>
      <c r="AA173" t="s">
        <v>101</v>
      </c>
      <c r="AB173" t="s">
        <v>678</v>
      </c>
      <c r="AC173">
        <v>4</v>
      </c>
      <c r="AD173" s="20">
        <v>27</v>
      </c>
      <c r="AE173" t="s">
        <v>674</v>
      </c>
      <c r="AF173" t="s">
        <v>27</v>
      </c>
    </row>
    <row r="174" spans="1:32" x14ac:dyDescent="0.3">
      <c r="A174" t="s">
        <v>278</v>
      </c>
      <c r="B174" t="s">
        <v>654</v>
      </c>
      <c r="C174" t="s">
        <v>20</v>
      </c>
      <c r="E174">
        <v>12.96</v>
      </c>
      <c r="F174">
        <v>0</v>
      </c>
      <c r="G174" s="20">
        <v>12.96</v>
      </c>
      <c r="H174">
        <v>653470</v>
      </c>
      <c r="I174" t="s">
        <v>2</v>
      </c>
      <c r="J174" t="s">
        <v>283</v>
      </c>
      <c r="K174" t="s">
        <v>284</v>
      </c>
      <c r="L174" t="s">
        <v>285</v>
      </c>
      <c r="M174" t="s">
        <v>684</v>
      </c>
      <c r="N174">
        <v>655758</v>
      </c>
      <c r="O174" t="s">
        <v>286</v>
      </c>
      <c r="P174" t="s">
        <v>656</v>
      </c>
      <c r="Q174">
        <v>47133</v>
      </c>
      <c r="R174" t="s">
        <v>238</v>
      </c>
      <c r="S174" t="s">
        <v>55</v>
      </c>
      <c r="T174" t="s">
        <v>657</v>
      </c>
      <c r="U174" t="s">
        <v>665</v>
      </c>
      <c r="V174" t="s">
        <v>666</v>
      </c>
      <c r="W174" t="s">
        <v>700</v>
      </c>
      <c r="X174" t="s">
        <v>661</v>
      </c>
      <c r="Y174" t="s">
        <v>287</v>
      </c>
      <c r="Z174" t="s">
        <v>947</v>
      </c>
      <c r="AA174" t="s">
        <v>36</v>
      </c>
      <c r="AB174" t="s">
        <v>678</v>
      </c>
      <c r="AC174">
        <v>4</v>
      </c>
      <c r="AD174" s="20">
        <v>54</v>
      </c>
      <c r="AE174" t="s">
        <v>674</v>
      </c>
      <c r="AF174" t="s">
        <v>27</v>
      </c>
    </row>
    <row r="175" spans="1:32" x14ac:dyDescent="0.3">
      <c r="A175" t="s">
        <v>278</v>
      </c>
      <c r="B175" t="s">
        <v>654</v>
      </c>
      <c r="C175" t="s">
        <v>20</v>
      </c>
      <c r="E175">
        <v>5.55</v>
      </c>
      <c r="F175">
        <v>0</v>
      </c>
      <c r="G175" s="20">
        <v>5.55</v>
      </c>
      <c r="H175">
        <v>653470</v>
      </c>
      <c r="I175" t="s">
        <v>2</v>
      </c>
      <c r="J175" t="s">
        <v>283</v>
      </c>
      <c r="K175" t="s">
        <v>284</v>
      </c>
      <c r="L175" t="s">
        <v>285</v>
      </c>
      <c r="M175" t="s">
        <v>684</v>
      </c>
      <c r="N175">
        <v>655758</v>
      </c>
      <c r="O175" t="s">
        <v>286</v>
      </c>
      <c r="P175" t="s">
        <v>656</v>
      </c>
      <c r="Q175">
        <v>38593</v>
      </c>
      <c r="R175" t="s">
        <v>33</v>
      </c>
      <c r="S175" t="s">
        <v>70</v>
      </c>
      <c r="T175" t="s">
        <v>657</v>
      </c>
      <c r="U175" t="s">
        <v>658</v>
      </c>
      <c r="V175" t="s">
        <v>659</v>
      </c>
      <c r="W175" t="s">
        <v>700</v>
      </c>
      <c r="X175" t="s">
        <v>661</v>
      </c>
      <c r="Y175" t="s">
        <v>348</v>
      </c>
      <c r="Z175" t="s">
        <v>947</v>
      </c>
      <c r="AA175" t="s">
        <v>36</v>
      </c>
      <c r="AB175" t="s">
        <v>678</v>
      </c>
      <c r="AC175">
        <v>4</v>
      </c>
      <c r="AD175" s="20">
        <v>15</v>
      </c>
      <c r="AE175" t="s">
        <v>664</v>
      </c>
      <c r="AF175" t="s">
        <v>27</v>
      </c>
    </row>
    <row r="176" spans="1:32" x14ac:dyDescent="0.3">
      <c r="A176" t="s">
        <v>278</v>
      </c>
      <c r="B176" t="s">
        <v>654</v>
      </c>
      <c r="C176" t="s">
        <v>20</v>
      </c>
      <c r="D176" t="s">
        <v>102</v>
      </c>
      <c r="E176">
        <v>0</v>
      </c>
      <c r="F176">
        <v>4.07</v>
      </c>
      <c r="G176" s="20">
        <v>-4.07</v>
      </c>
      <c r="H176">
        <v>653470</v>
      </c>
      <c r="I176" t="s">
        <v>2</v>
      </c>
      <c r="J176" t="s">
        <v>279</v>
      </c>
      <c r="K176" t="s">
        <v>280</v>
      </c>
      <c r="L176" t="s">
        <v>281</v>
      </c>
      <c r="M176" t="s">
        <v>655</v>
      </c>
      <c r="N176">
        <v>678726</v>
      </c>
      <c r="O176" t="s">
        <v>31</v>
      </c>
      <c r="P176" t="s">
        <v>656</v>
      </c>
      <c r="Q176">
        <v>38593</v>
      </c>
      <c r="R176" t="s">
        <v>33</v>
      </c>
      <c r="S176" t="s">
        <v>34</v>
      </c>
      <c r="T176" t="s">
        <v>657</v>
      </c>
      <c r="U176" t="s">
        <v>658</v>
      </c>
      <c r="V176" t="s">
        <v>659</v>
      </c>
      <c r="W176" t="s">
        <v>945</v>
      </c>
      <c r="X176" t="s">
        <v>661</v>
      </c>
      <c r="Y176" t="s">
        <v>628</v>
      </c>
      <c r="Z176" t="s">
        <v>946</v>
      </c>
      <c r="AA176" t="s">
        <v>101</v>
      </c>
      <c r="AB176" t="s">
        <v>678</v>
      </c>
      <c r="AC176">
        <v>4</v>
      </c>
      <c r="AD176" s="20">
        <v>11</v>
      </c>
      <c r="AE176" t="s">
        <v>664</v>
      </c>
      <c r="AF176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CC17-7DCF-4C6B-ABA4-33ABC580F1E1}">
  <dimension ref="A1:R176"/>
  <sheetViews>
    <sheetView tabSelected="1" topLeftCell="A138" workbookViewId="0">
      <selection activeCell="Q2" sqref="Q2:Q176"/>
    </sheetView>
  </sheetViews>
  <sheetFormatPr defaultRowHeight="14.4" x14ac:dyDescent="0.3"/>
  <cols>
    <col min="1" max="1" width="11.109375" style="38" customWidth="1"/>
    <col min="2" max="3" width="11.33203125" style="38" customWidth="1"/>
    <col min="4" max="4" width="7.44140625" style="38" customWidth="1"/>
    <col min="5" max="5" width="12.6640625" style="38" customWidth="1"/>
    <col min="6" max="6" width="30" style="38" customWidth="1"/>
    <col min="7" max="7" width="13.77734375" style="38" customWidth="1"/>
    <col min="8" max="8" width="9" style="38" customWidth="1"/>
    <col min="9" max="9" width="8.44140625" style="38" customWidth="1"/>
    <col min="10" max="10" width="11.109375" style="38" customWidth="1"/>
    <col min="11" max="11" width="12" style="38" customWidth="1"/>
    <col min="12" max="12" width="15" style="38" customWidth="1"/>
    <col min="13" max="13" width="9.109375" style="38" customWidth="1"/>
    <col min="14" max="15" width="8" style="38" customWidth="1"/>
    <col min="16" max="16" width="7" style="38" customWidth="1"/>
    <col min="17" max="17" width="8" style="38" customWidth="1"/>
    <col min="18" max="16384" width="8.88671875" style="38"/>
  </cols>
  <sheetData>
    <row r="1" spans="1:18" x14ac:dyDescent="0.3">
      <c r="A1" s="39" t="s">
        <v>637</v>
      </c>
      <c r="B1" s="39" t="s">
        <v>638</v>
      </c>
      <c r="C1" s="39"/>
      <c r="D1" s="39" t="s">
        <v>639</v>
      </c>
      <c r="E1" s="39" t="s">
        <v>17</v>
      </c>
      <c r="F1" s="39" t="s">
        <v>18</v>
      </c>
      <c r="G1" s="39" t="s">
        <v>642</v>
      </c>
      <c r="H1" s="39" t="s">
        <v>643</v>
      </c>
      <c r="I1" s="39" t="s">
        <v>644</v>
      </c>
      <c r="J1" s="39" t="s">
        <v>645</v>
      </c>
      <c r="K1" s="39" t="s">
        <v>647</v>
      </c>
      <c r="L1" s="39" t="s">
        <v>19</v>
      </c>
      <c r="M1" s="39" t="s">
        <v>652</v>
      </c>
      <c r="N1" s="39" t="s">
        <v>653</v>
      </c>
      <c r="O1" s="39" t="s">
        <v>633</v>
      </c>
      <c r="P1" s="39" t="s">
        <v>634</v>
      </c>
      <c r="Q1" s="39" t="s">
        <v>26</v>
      </c>
    </row>
    <row r="2" spans="1:18" s="40" customFormat="1" x14ac:dyDescent="0.3">
      <c r="A2" s="40" t="s">
        <v>326</v>
      </c>
      <c r="B2" s="40" t="s">
        <v>327</v>
      </c>
      <c r="C2" s="40" t="str">
        <f>CONCATENATE(A2," ",B2)</f>
        <v>Cheryl Gaines</v>
      </c>
      <c r="D2" s="40" t="s">
        <v>698</v>
      </c>
      <c r="E2" s="40">
        <v>18828278</v>
      </c>
      <c r="F2" s="40" t="s">
        <v>977</v>
      </c>
      <c r="G2" s="40" t="s">
        <v>127</v>
      </c>
      <c r="H2" s="40" t="s">
        <v>657</v>
      </c>
      <c r="I2" s="40" t="s">
        <v>665</v>
      </c>
      <c r="J2" s="40" t="s">
        <v>666</v>
      </c>
      <c r="K2" s="40" t="s">
        <v>761</v>
      </c>
      <c r="L2" s="41">
        <v>604649461</v>
      </c>
      <c r="M2" s="42">
        <v>-124</v>
      </c>
      <c r="N2" s="43">
        <v>0.24</v>
      </c>
      <c r="O2" s="40">
        <v>29.76</v>
      </c>
      <c r="P2" s="40">
        <v>29.76</v>
      </c>
      <c r="Q2" s="42">
        <v>-29.76</v>
      </c>
      <c r="R2" s="40" t="s">
        <v>950</v>
      </c>
    </row>
    <row r="3" spans="1:18" s="40" customFormat="1" x14ac:dyDescent="0.3">
      <c r="A3" s="40" t="s">
        <v>98</v>
      </c>
      <c r="B3" s="40" t="s">
        <v>99</v>
      </c>
      <c r="C3" s="40" t="str">
        <f>CONCATENATE(A3," ",B3)</f>
        <v>Twanna Delva</v>
      </c>
      <c r="D3" s="40" t="s">
        <v>655</v>
      </c>
      <c r="E3" s="40">
        <v>16202925</v>
      </c>
      <c r="F3" s="40" t="s">
        <v>965</v>
      </c>
      <c r="G3" s="40" t="s">
        <v>96</v>
      </c>
      <c r="H3" s="40" t="s">
        <v>657</v>
      </c>
      <c r="I3" s="40" t="s">
        <v>665</v>
      </c>
      <c r="J3" s="40" t="s">
        <v>666</v>
      </c>
      <c r="K3" s="40" t="s">
        <v>668</v>
      </c>
      <c r="L3" s="41">
        <v>5274878</v>
      </c>
      <c r="M3" s="42">
        <v>-31.13</v>
      </c>
      <c r="N3" s="43">
        <v>0.32</v>
      </c>
      <c r="O3" s="40">
        <v>9.9600000000000009</v>
      </c>
      <c r="P3" s="40">
        <v>9.9600000000000009</v>
      </c>
      <c r="Q3" s="42">
        <v>-9.9600000000000009</v>
      </c>
      <c r="R3" s="40" t="s">
        <v>949</v>
      </c>
    </row>
    <row r="4" spans="1:18" s="40" customFormat="1" x14ac:dyDescent="0.3">
      <c r="A4" s="40" t="s">
        <v>280</v>
      </c>
      <c r="B4" s="40" t="s">
        <v>281</v>
      </c>
      <c r="C4" s="40" t="str">
        <f>CONCATENATE(A4," ",B4)</f>
        <v>Olanike Oyefeso</v>
      </c>
      <c r="D4" s="40" t="s">
        <v>655</v>
      </c>
      <c r="E4" s="40" t="s">
        <v>953</v>
      </c>
      <c r="F4" s="40" t="s">
        <v>965</v>
      </c>
      <c r="G4" s="40" t="s">
        <v>238</v>
      </c>
      <c r="H4" s="40" t="s">
        <v>657</v>
      </c>
      <c r="I4" s="40" t="s">
        <v>665</v>
      </c>
      <c r="J4" s="40" t="s">
        <v>666</v>
      </c>
      <c r="K4" s="40" t="s">
        <v>661</v>
      </c>
      <c r="L4" s="41">
        <v>350067834</v>
      </c>
      <c r="M4" s="42">
        <v>-27</v>
      </c>
      <c r="N4" s="43">
        <v>0.24</v>
      </c>
      <c r="O4" s="40">
        <v>6.48</v>
      </c>
      <c r="P4" s="40">
        <v>6.48</v>
      </c>
      <c r="Q4" s="42">
        <v>-6.48</v>
      </c>
      <c r="R4" s="40" t="s">
        <v>950</v>
      </c>
    </row>
    <row r="5" spans="1:18" s="40" customFormat="1" x14ac:dyDescent="0.3">
      <c r="A5" s="40" t="s">
        <v>351</v>
      </c>
      <c r="B5" s="40" t="s">
        <v>352</v>
      </c>
      <c r="C5" s="40" t="str">
        <f>CONCATENATE(A5," ",B5)</f>
        <v>Elizabeth Zane</v>
      </c>
      <c r="D5" s="40" t="s">
        <v>698</v>
      </c>
      <c r="E5" s="40">
        <v>8814784</v>
      </c>
      <c r="F5" s="40" t="s">
        <v>975</v>
      </c>
      <c r="G5" s="40" t="s">
        <v>77</v>
      </c>
      <c r="H5" s="40" t="s">
        <v>657</v>
      </c>
      <c r="I5" s="40" t="s">
        <v>665</v>
      </c>
      <c r="J5" s="40" t="s">
        <v>666</v>
      </c>
      <c r="K5" s="40" t="s">
        <v>810</v>
      </c>
      <c r="L5" s="41">
        <v>341203822</v>
      </c>
      <c r="M5" s="42">
        <v>-25</v>
      </c>
      <c r="N5" s="43">
        <v>0.24</v>
      </c>
      <c r="O5" s="40">
        <v>0</v>
      </c>
      <c r="P5" s="40">
        <v>6</v>
      </c>
      <c r="Q5" s="42">
        <v>-6</v>
      </c>
      <c r="R5" s="40" t="s">
        <v>950</v>
      </c>
    </row>
    <row r="6" spans="1:18" s="40" customFormat="1" x14ac:dyDescent="0.3">
      <c r="A6" s="40" t="s">
        <v>351</v>
      </c>
      <c r="B6" s="40" t="s">
        <v>352</v>
      </c>
      <c r="C6" s="40" t="str">
        <f>CONCATENATE(A6," ",B6)</f>
        <v>Elizabeth Zane</v>
      </c>
      <c r="D6" s="40" t="s">
        <v>698</v>
      </c>
      <c r="E6" s="40">
        <v>8814784</v>
      </c>
      <c r="F6" s="40" t="s">
        <v>975</v>
      </c>
      <c r="G6" s="40" t="s">
        <v>33</v>
      </c>
      <c r="H6" s="40" t="s">
        <v>657</v>
      </c>
      <c r="I6" s="40" t="s">
        <v>658</v>
      </c>
      <c r="J6" s="40" t="s">
        <v>659</v>
      </c>
      <c r="K6" s="40" t="s">
        <v>810</v>
      </c>
      <c r="L6" s="41">
        <v>260311117</v>
      </c>
      <c r="M6" s="42">
        <v>-11</v>
      </c>
      <c r="N6" s="43">
        <v>0.37</v>
      </c>
      <c r="O6" s="40">
        <v>4.07</v>
      </c>
      <c r="P6" s="40">
        <v>4.07</v>
      </c>
      <c r="Q6" s="42">
        <v>-4.07</v>
      </c>
      <c r="R6" s="40" t="s">
        <v>948</v>
      </c>
    </row>
    <row r="7" spans="1:18" s="40" customFormat="1" x14ac:dyDescent="0.3">
      <c r="A7" s="40" t="s">
        <v>44</v>
      </c>
      <c r="B7" s="40" t="s">
        <v>45</v>
      </c>
      <c r="C7" s="40" t="str">
        <f>CONCATENATE(A7," ",B7)</f>
        <v>Melissa Mahaney</v>
      </c>
      <c r="D7" s="40" t="s">
        <v>655</v>
      </c>
      <c r="E7" s="40">
        <v>16202925</v>
      </c>
      <c r="F7" s="40" t="s">
        <v>965</v>
      </c>
      <c r="G7" s="40" t="s">
        <v>33</v>
      </c>
      <c r="H7" s="40" t="s">
        <v>657</v>
      </c>
      <c r="I7" s="40" t="s">
        <v>658</v>
      </c>
      <c r="J7" s="40" t="s">
        <v>659</v>
      </c>
      <c r="K7" s="40" t="s">
        <v>676</v>
      </c>
      <c r="L7" s="41">
        <v>698193150</v>
      </c>
      <c r="M7" s="42">
        <v>-11</v>
      </c>
      <c r="N7" s="43">
        <v>0.37</v>
      </c>
      <c r="O7" s="40">
        <v>4.07</v>
      </c>
      <c r="P7" s="40">
        <v>4.07</v>
      </c>
      <c r="Q7" s="42">
        <v>-4.07</v>
      </c>
      <c r="R7" s="40" t="s">
        <v>948</v>
      </c>
    </row>
    <row r="8" spans="1:18" s="40" customFormat="1" x14ac:dyDescent="0.3">
      <c r="A8" s="40" t="s">
        <v>280</v>
      </c>
      <c r="B8" s="40" t="s">
        <v>281</v>
      </c>
      <c r="C8" s="40" t="str">
        <f>CONCATENATE(A8," ",B8)</f>
        <v>Olanike Oyefeso</v>
      </c>
      <c r="D8" s="40" t="s">
        <v>655</v>
      </c>
      <c r="E8" s="40" t="s">
        <v>953</v>
      </c>
      <c r="F8" s="40" t="s">
        <v>965</v>
      </c>
      <c r="G8" s="40" t="s">
        <v>33</v>
      </c>
      <c r="H8" s="40" t="s">
        <v>657</v>
      </c>
      <c r="I8" s="40" t="s">
        <v>658</v>
      </c>
      <c r="J8" s="40" t="s">
        <v>659</v>
      </c>
      <c r="K8" s="40" t="s">
        <v>661</v>
      </c>
      <c r="L8" s="41">
        <v>880261314</v>
      </c>
      <c r="M8" s="42">
        <v>-11</v>
      </c>
      <c r="N8" s="43">
        <v>0.37</v>
      </c>
      <c r="O8" s="40">
        <v>4.07</v>
      </c>
      <c r="P8" s="40">
        <v>4.07</v>
      </c>
      <c r="Q8" s="42">
        <v>-4.07</v>
      </c>
      <c r="R8" s="40" t="s">
        <v>948</v>
      </c>
    </row>
    <row r="9" spans="1:18" x14ac:dyDescent="0.3">
      <c r="A9" s="38" t="s">
        <v>50</v>
      </c>
      <c r="B9" s="38" t="s">
        <v>356</v>
      </c>
      <c r="C9" s="38" t="str">
        <f>CONCATENATE(A9," ",B9)</f>
        <v>Robert Lilick</v>
      </c>
      <c r="D9" s="38" t="s">
        <v>684</v>
      </c>
      <c r="E9" s="38">
        <v>20411454</v>
      </c>
      <c r="F9" s="38" t="s">
        <v>969</v>
      </c>
      <c r="G9" s="38" t="s">
        <v>33</v>
      </c>
      <c r="H9" s="38" t="s">
        <v>657</v>
      </c>
      <c r="I9" s="38" t="s">
        <v>658</v>
      </c>
      <c r="J9" s="38" t="s">
        <v>659</v>
      </c>
      <c r="K9" s="38" t="s">
        <v>696</v>
      </c>
      <c r="L9" s="35">
        <v>823699893</v>
      </c>
      <c r="M9" s="36">
        <v>0.33</v>
      </c>
      <c r="N9" s="37">
        <v>0.03</v>
      </c>
      <c r="O9" s="38">
        <v>0.33</v>
      </c>
      <c r="P9" s="38">
        <v>0</v>
      </c>
      <c r="Q9" s="36">
        <v>0.33</v>
      </c>
      <c r="R9" s="38" t="s">
        <v>951</v>
      </c>
    </row>
    <row r="10" spans="1:18" x14ac:dyDescent="0.3">
      <c r="A10" s="38" t="s">
        <v>392</v>
      </c>
      <c r="B10" s="38" t="s">
        <v>356</v>
      </c>
      <c r="C10" s="38" t="str">
        <f>CONCATENATE(A10," ",B10)</f>
        <v>Justin Lilick</v>
      </c>
      <c r="D10" s="38" t="s">
        <v>684</v>
      </c>
      <c r="E10" s="38">
        <v>20411454</v>
      </c>
      <c r="F10" s="38" t="s">
        <v>969</v>
      </c>
      <c r="G10" s="38" t="s">
        <v>33</v>
      </c>
      <c r="H10" s="38" t="s">
        <v>657</v>
      </c>
      <c r="I10" s="38" t="s">
        <v>658</v>
      </c>
      <c r="J10" s="38" t="s">
        <v>659</v>
      </c>
      <c r="K10" s="38" t="s">
        <v>696</v>
      </c>
      <c r="L10" s="35">
        <v>686198203</v>
      </c>
      <c r="M10" s="36">
        <v>0.33</v>
      </c>
      <c r="N10" s="37">
        <v>0.03</v>
      </c>
      <c r="O10" s="38">
        <v>0.33</v>
      </c>
      <c r="P10" s="38">
        <v>0</v>
      </c>
      <c r="Q10" s="36">
        <v>0.33</v>
      </c>
      <c r="R10" s="38" t="s">
        <v>951</v>
      </c>
    </row>
    <row r="11" spans="1:18" x14ac:dyDescent="0.3">
      <c r="A11" s="38" t="s">
        <v>308</v>
      </c>
      <c r="B11" s="38" t="s">
        <v>309</v>
      </c>
      <c r="C11" s="38" t="str">
        <f>CONCATENATE(A11," ",B11)</f>
        <v>Patrick Heller</v>
      </c>
      <c r="D11" s="38" t="s">
        <v>655</v>
      </c>
      <c r="E11" s="38">
        <v>20411454</v>
      </c>
      <c r="F11" s="38" t="s">
        <v>969</v>
      </c>
      <c r="G11" s="38" t="s">
        <v>33</v>
      </c>
      <c r="H11" s="38" t="s">
        <v>657</v>
      </c>
      <c r="I11" s="38" t="s">
        <v>658</v>
      </c>
      <c r="J11" s="38" t="s">
        <v>659</v>
      </c>
      <c r="K11" s="38" t="s">
        <v>686</v>
      </c>
      <c r="L11" s="35">
        <v>518008986</v>
      </c>
      <c r="M11" s="36">
        <v>0.45</v>
      </c>
      <c r="N11" s="37">
        <v>0.03</v>
      </c>
      <c r="O11" s="38">
        <v>0.45</v>
      </c>
      <c r="P11" s="38">
        <v>0</v>
      </c>
      <c r="Q11" s="36">
        <v>0.45</v>
      </c>
      <c r="R11" s="38" t="s">
        <v>951</v>
      </c>
    </row>
    <row r="12" spans="1:18" x14ac:dyDescent="0.3">
      <c r="A12" s="38" t="s">
        <v>459</v>
      </c>
      <c r="B12" s="38" t="s">
        <v>460</v>
      </c>
      <c r="C12" s="38" t="str">
        <f>CONCATENATE(A12," ",B12)</f>
        <v>Martin Burman</v>
      </c>
      <c r="D12" s="38" t="s">
        <v>684</v>
      </c>
      <c r="E12" s="38">
        <v>20411454</v>
      </c>
      <c r="F12" s="38" t="s">
        <v>969</v>
      </c>
      <c r="G12" s="38" t="s">
        <v>33</v>
      </c>
      <c r="H12" s="38" t="s">
        <v>657</v>
      </c>
      <c r="I12" s="38" t="s">
        <v>658</v>
      </c>
      <c r="J12" s="38" t="s">
        <v>659</v>
      </c>
      <c r="K12" s="38" t="s">
        <v>703</v>
      </c>
      <c r="L12" s="35">
        <v>104547957</v>
      </c>
      <c r="M12" s="36">
        <v>0.6</v>
      </c>
      <c r="N12" s="37">
        <v>0.03</v>
      </c>
      <c r="O12" s="38">
        <v>0.6</v>
      </c>
      <c r="P12" s="38">
        <v>0</v>
      </c>
      <c r="Q12" s="36">
        <v>0.6</v>
      </c>
      <c r="R12" s="38" t="s">
        <v>951</v>
      </c>
    </row>
    <row r="13" spans="1:18" x14ac:dyDescent="0.3">
      <c r="A13" s="38" t="s">
        <v>270</v>
      </c>
      <c r="B13" s="38" t="s">
        <v>271</v>
      </c>
      <c r="C13" s="38" t="str">
        <f>CONCATENATE(A13," ",B13)</f>
        <v>Thomas DeCoudres</v>
      </c>
      <c r="D13" s="38" t="s">
        <v>684</v>
      </c>
      <c r="E13" s="38">
        <v>19861194</v>
      </c>
      <c r="F13" s="38" t="s">
        <v>987</v>
      </c>
      <c r="G13" s="38" t="s">
        <v>54</v>
      </c>
      <c r="H13" s="38" t="s">
        <v>657</v>
      </c>
      <c r="I13" s="38" t="s">
        <v>665</v>
      </c>
      <c r="J13" s="38" t="s">
        <v>666</v>
      </c>
      <c r="K13" s="38" t="s">
        <v>865</v>
      </c>
      <c r="L13" s="35">
        <v>7534852</v>
      </c>
      <c r="M13" s="36">
        <v>35</v>
      </c>
      <c r="N13" s="37">
        <v>0.03</v>
      </c>
      <c r="O13" s="38">
        <v>1.05</v>
      </c>
      <c r="P13" s="38">
        <v>0</v>
      </c>
      <c r="Q13" s="36">
        <v>1.05</v>
      </c>
      <c r="R13" s="38" t="s">
        <v>950</v>
      </c>
    </row>
    <row r="14" spans="1:18" x14ac:dyDescent="0.3">
      <c r="A14" s="38" t="s">
        <v>50</v>
      </c>
      <c r="B14" s="38" t="s">
        <v>356</v>
      </c>
      <c r="C14" s="38" t="str">
        <f>CONCATENATE(A14," ",B14)</f>
        <v>Robert Lilick</v>
      </c>
      <c r="D14" s="38" t="s">
        <v>684</v>
      </c>
      <c r="E14" s="38">
        <v>20411454</v>
      </c>
      <c r="F14" s="38" t="s">
        <v>969</v>
      </c>
      <c r="G14" s="38" t="s">
        <v>149</v>
      </c>
      <c r="H14" s="38" t="s">
        <v>657</v>
      </c>
      <c r="I14" s="38" t="s">
        <v>665</v>
      </c>
      <c r="J14" s="38" t="s">
        <v>666</v>
      </c>
      <c r="K14" s="38" t="s">
        <v>696</v>
      </c>
      <c r="L14" s="35">
        <v>192480227</v>
      </c>
      <c r="M14" s="36">
        <v>1.2</v>
      </c>
      <c r="N14" s="37">
        <v>0.03</v>
      </c>
      <c r="O14" s="38">
        <v>1.2</v>
      </c>
      <c r="P14" s="38">
        <v>0</v>
      </c>
      <c r="Q14" s="36">
        <v>1.2</v>
      </c>
      <c r="R14" s="38" t="s">
        <v>951</v>
      </c>
    </row>
    <row r="15" spans="1:18" x14ac:dyDescent="0.3">
      <c r="A15" s="38" t="s">
        <v>392</v>
      </c>
      <c r="B15" s="38" t="s">
        <v>356</v>
      </c>
      <c r="C15" s="38" t="str">
        <f>CONCATENATE(A15," ",B15)</f>
        <v>Justin Lilick</v>
      </c>
      <c r="D15" s="38" t="s">
        <v>684</v>
      </c>
      <c r="E15" s="38">
        <v>20411454</v>
      </c>
      <c r="F15" s="38" t="s">
        <v>969</v>
      </c>
      <c r="G15" s="38" t="s">
        <v>149</v>
      </c>
      <c r="H15" s="38" t="s">
        <v>657</v>
      </c>
      <c r="I15" s="38" t="s">
        <v>665</v>
      </c>
      <c r="J15" s="38" t="s">
        <v>666</v>
      </c>
      <c r="K15" s="38" t="s">
        <v>696</v>
      </c>
      <c r="L15" s="35">
        <v>686425651</v>
      </c>
      <c r="M15" s="36">
        <v>1.2</v>
      </c>
      <c r="N15" s="37">
        <v>0.03</v>
      </c>
      <c r="O15" s="38">
        <v>1.2</v>
      </c>
      <c r="P15" s="38">
        <v>0</v>
      </c>
      <c r="Q15" s="36">
        <v>1.2</v>
      </c>
      <c r="R15" s="38" t="s">
        <v>951</v>
      </c>
    </row>
    <row r="16" spans="1:18" x14ac:dyDescent="0.3">
      <c r="A16" s="38" t="s">
        <v>29</v>
      </c>
      <c r="B16" s="38" t="s">
        <v>30</v>
      </c>
      <c r="C16" s="38" t="str">
        <f>CONCATENATE(A16," ",B16)</f>
        <v>Evangeline Mastromarino</v>
      </c>
      <c r="D16" s="38" t="s">
        <v>655</v>
      </c>
      <c r="E16" s="38" t="s">
        <v>953</v>
      </c>
      <c r="F16" s="38" t="s">
        <v>965</v>
      </c>
      <c r="G16" s="38" t="s">
        <v>33</v>
      </c>
      <c r="H16" s="38" t="s">
        <v>657</v>
      </c>
      <c r="I16" s="38" t="s">
        <v>658</v>
      </c>
      <c r="J16" s="38" t="s">
        <v>659</v>
      </c>
      <c r="K16" s="38" t="s">
        <v>661</v>
      </c>
      <c r="L16" s="35">
        <v>204103864</v>
      </c>
      <c r="M16" s="36">
        <v>11</v>
      </c>
      <c r="N16" s="37">
        <v>0.37</v>
      </c>
      <c r="O16" s="38">
        <v>4.07</v>
      </c>
      <c r="P16" s="38">
        <v>0</v>
      </c>
      <c r="Q16" s="36">
        <v>4.07</v>
      </c>
      <c r="R16" s="38" t="s">
        <v>948</v>
      </c>
    </row>
    <row r="17" spans="1:18" x14ac:dyDescent="0.3">
      <c r="A17" s="38" t="s">
        <v>426</v>
      </c>
      <c r="B17" s="38" t="s">
        <v>427</v>
      </c>
      <c r="C17" s="38" t="str">
        <f>CONCATENATE(A17," ",B17)</f>
        <v>Abigail Duncan</v>
      </c>
      <c r="D17" s="38" t="s">
        <v>655</v>
      </c>
      <c r="E17" s="38">
        <v>16202925</v>
      </c>
      <c r="F17" s="38" t="s">
        <v>965</v>
      </c>
      <c r="G17" s="38" t="s">
        <v>33</v>
      </c>
      <c r="H17" s="38" t="s">
        <v>657</v>
      </c>
      <c r="I17" s="38" t="s">
        <v>658</v>
      </c>
      <c r="J17" s="38" t="s">
        <v>659</v>
      </c>
      <c r="K17" s="38" t="s">
        <v>668</v>
      </c>
      <c r="L17" s="35">
        <v>973153223</v>
      </c>
      <c r="M17" s="36">
        <v>11</v>
      </c>
      <c r="N17" s="37">
        <v>0.37</v>
      </c>
      <c r="O17" s="38">
        <v>4.07</v>
      </c>
      <c r="P17" s="38">
        <v>0</v>
      </c>
      <c r="Q17" s="36">
        <v>4.07</v>
      </c>
      <c r="R17" s="38" t="s">
        <v>948</v>
      </c>
    </row>
    <row r="18" spans="1:18" x14ac:dyDescent="0.3">
      <c r="A18" s="38" t="s">
        <v>454</v>
      </c>
      <c r="B18" s="38" t="s">
        <v>323</v>
      </c>
      <c r="C18" s="38" t="str">
        <f>CONCATENATE(A18," ",B18)</f>
        <v>Donna Jones</v>
      </c>
      <c r="D18" s="38" t="s">
        <v>698</v>
      </c>
      <c r="E18" s="38" t="s">
        <v>955</v>
      </c>
      <c r="F18" s="38" t="s">
        <v>968</v>
      </c>
      <c r="G18" s="38" t="s">
        <v>33</v>
      </c>
      <c r="H18" s="38" t="s">
        <v>657</v>
      </c>
      <c r="I18" s="38" t="s">
        <v>658</v>
      </c>
      <c r="J18" s="38" t="s">
        <v>659</v>
      </c>
      <c r="K18" s="38" t="s">
        <v>661</v>
      </c>
      <c r="L18" s="35">
        <v>453596467</v>
      </c>
      <c r="M18" s="36">
        <v>11</v>
      </c>
      <c r="N18" s="37">
        <v>0.37</v>
      </c>
      <c r="O18" s="38">
        <v>4.07</v>
      </c>
      <c r="P18" s="38">
        <v>0</v>
      </c>
      <c r="Q18" s="36">
        <v>4.07</v>
      </c>
      <c r="R18" s="38" t="s">
        <v>948</v>
      </c>
    </row>
    <row r="19" spans="1:18" x14ac:dyDescent="0.3">
      <c r="A19" s="38" t="s">
        <v>447</v>
      </c>
      <c r="B19" s="38" t="s">
        <v>448</v>
      </c>
      <c r="C19" s="38" t="str">
        <f>CONCATENATE(A19," ",B19)</f>
        <v>Loise Maina</v>
      </c>
      <c r="D19" s="38" t="s">
        <v>655</v>
      </c>
      <c r="E19" s="38" t="s">
        <v>958</v>
      </c>
      <c r="F19" s="38" t="s">
        <v>971</v>
      </c>
      <c r="G19" s="38" t="s">
        <v>33</v>
      </c>
      <c r="H19" s="38" t="s">
        <v>657</v>
      </c>
      <c r="I19" s="38" t="s">
        <v>658</v>
      </c>
      <c r="J19" s="38" t="s">
        <v>659</v>
      </c>
      <c r="K19" s="38" t="s">
        <v>703</v>
      </c>
      <c r="L19" s="35">
        <v>681883972</v>
      </c>
      <c r="M19" s="36">
        <v>11</v>
      </c>
      <c r="N19" s="37">
        <v>0.37</v>
      </c>
      <c r="O19" s="38">
        <v>4.07</v>
      </c>
      <c r="P19" s="38">
        <v>0</v>
      </c>
      <c r="Q19" s="36">
        <v>4.07</v>
      </c>
      <c r="R19" s="38" t="s">
        <v>948</v>
      </c>
    </row>
    <row r="20" spans="1:18" x14ac:dyDescent="0.3">
      <c r="A20" s="38" t="s">
        <v>421</v>
      </c>
      <c r="B20" s="38" t="s">
        <v>422</v>
      </c>
      <c r="C20" s="38" t="str">
        <f>CONCATENATE(A20," ",B20)</f>
        <v>Marie Washington</v>
      </c>
      <c r="D20" s="38" t="s">
        <v>655</v>
      </c>
      <c r="E20" s="38" t="s">
        <v>957</v>
      </c>
      <c r="F20" s="38" t="s">
        <v>971</v>
      </c>
      <c r="G20" s="38" t="s">
        <v>33</v>
      </c>
      <c r="H20" s="38" t="s">
        <v>657</v>
      </c>
      <c r="I20" s="38" t="s">
        <v>658</v>
      </c>
      <c r="J20" s="38" t="s">
        <v>659</v>
      </c>
      <c r="K20" s="38" t="s">
        <v>278</v>
      </c>
      <c r="L20" s="35">
        <v>387924097</v>
      </c>
      <c r="M20" s="36">
        <v>11</v>
      </c>
      <c r="N20" s="37">
        <v>0.37</v>
      </c>
      <c r="O20" s="38">
        <v>4.07</v>
      </c>
      <c r="P20" s="38">
        <v>0</v>
      </c>
      <c r="Q20" s="36">
        <v>4.07</v>
      </c>
      <c r="R20" s="38" t="s">
        <v>948</v>
      </c>
    </row>
    <row r="21" spans="1:18" x14ac:dyDescent="0.3">
      <c r="A21" s="38" t="s">
        <v>363</v>
      </c>
      <c r="B21" s="38" t="s">
        <v>364</v>
      </c>
      <c r="C21" s="38" t="str">
        <f>CONCATENATE(A21," ",B21)</f>
        <v>Karli Helman</v>
      </c>
      <c r="D21" s="38" t="s">
        <v>684</v>
      </c>
      <c r="E21" s="38" t="s">
        <v>956</v>
      </c>
      <c r="F21" s="38" t="s">
        <v>970</v>
      </c>
      <c r="G21" s="38" t="s">
        <v>33</v>
      </c>
      <c r="H21" s="38" t="s">
        <v>657</v>
      </c>
      <c r="I21" s="38" t="s">
        <v>658</v>
      </c>
      <c r="J21" s="38" t="s">
        <v>659</v>
      </c>
      <c r="K21" s="38" t="s">
        <v>703</v>
      </c>
      <c r="L21" s="35">
        <v>982230107</v>
      </c>
      <c r="M21" s="36">
        <v>11</v>
      </c>
      <c r="N21" s="37">
        <v>0.37</v>
      </c>
      <c r="O21" s="38">
        <v>4.07</v>
      </c>
      <c r="P21" s="38">
        <v>0</v>
      </c>
      <c r="Q21" s="36">
        <v>4.07</v>
      </c>
      <c r="R21" s="38" t="s">
        <v>948</v>
      </c>
    </row>
    <row r="22" spans="1:18" x14ac:dyDescent="0.3">
      <c r="A22" s="38" t="s">
        <v>377</v>
      </c>
      <c r="B22" s="38" t="s">
        <v>378</v>
      </c>
      <c r="C22" s="38" t="str">
        <f>CONCATENATE(A22," ",B22)</f>
        <v>Jean Harrell</v>
      </c>
      <c r="D22" s="38" t="s">
        <v>655</v>
      </c>
      <c r="E22" s="38" t="s">
        <v>953</v>
      </c>
      <c r="F22" s="38" t="s">
        <v>965</v>
      </c>
      <c r="G22" s="38" t="s">
        <v>33</v>
      </c>
      <c r="H22" s="38" t="s">
        <v>657</v>
      </c>
      <c r="I22" s="38" t="s">
        <v>658</v>
      </c>
      <c r="J22" s="38" t="s">
        <v>659</v>
      </c>
      <c r="K22" s="38" t="s">
        <v>672</v>
      </c>
      <c r="L22" s="35">
        <v>55733973</v>
      </c>
      <c r="M22" s="36">
        <v>11</v>
      </c>
      <c r="N22" s="37">
        <v>0.37</v>
      </c>
      <c r="O22" s="38">
        <v>4.07</v>
      </c>
      <c r="P22" s="38">
        <v>0</v>
      </c>
      <c r="Q22" s="36">
        <v>4.07</v>
      </c>
      <c r="R22" s="38" t="s">
        <v>948</v>
      </c>
    </row>
    <row r="23" spans="1:18" x14ac:dyDescent="0.3">
      <c r="A23" s="38" t="s">
        <v>395</v>
      </c>
      <c r="B23" s="38" t="s">
        <v>396</v>
      </c>
      <c r="C23" s="38" t="str">
        <f>CONCATENATE(A23," ",B23)</f>
        <v>Swaraj Chadha</v>
      </c>
      <c r="D23" s="38" t="s">
        <v>731</v>
      </c>
      <c r="E23" s="38" t="s">
        <v>955</v>
      </c>
      <c r="F23" s="38" t="s">
        <v>968</v>
      </c>
      <c r="G23" s="38" t="s">
        <v>33</v>
      </c>
      <c r="H23" s="38" t="s">
        <v>657</v>
      </c>
      <c r="I23" s="38" t="s">
        <v>658</v>
      </c>
      <c r="J23" s="38" t="s">
        <v>659</v>
      </c>
      <c r="K23" s="38" t="s">
        <v>696</v>
      </c>
      <c r="L23" s="35">
        <v>654997781</v>
      </c>
      <c r="M23" s="36">
        <v>11</v>
      </c>
      <c r="N23" s="37">
        <v>0.37</v>
      </c>
      <c r="O23" s="38">
        <v>4.07</v>
      </c>
      <c r="P23" s="38">
        <v>0</v>
      </c>
      <c r="Q23" s="36">
        <v>4.07</v>
      </c>
      <c r="R23" s="38" t="s">
        <v>948</v>
      </c>
    </row>
    <row r="24" spans="1:18" x14ac:dyDescent="0.3">
      <c r="A24" s="38" t="s">
        <v>244</v>
      </c>
      <c r="B24" s="38" t="s">
        <v>344</v>
      </c>
      <c r="C24" s="38" t="str">
        <f>CONCATENATE(A24," ",B24)</f>
        <v>Maria Medina</v>
      </c>
      <c r="D24" s="38" t="s">
        <v>698</v>
      </c>
      <c r="E24" s="38" t="s">
        <v>955</v>
      </c>
      <c r="F24" s="38" t="s">
        <v>968</v>
      </c>
      <c r="G24" s="38" t="s">
        <v>33</v>
      </c>
      <c r="H24" s="38" t="s">
        <v>657</v>
      </c>
      <c r="I24" s="38" t="s">
        <v>658</v>
      </c>
      <c r="J24" s="38" t="s">
        <v>659</v>
      </c>
      <c r="K24" s="38" t="s">
        <v>696</v>
      </c>
      <c r="L24" s="35">
        <v>982416865</v>
      </c>
      <c r="M24" s="36">
        <v>11</v>
      </c>
      <c r="N24" s="37">
        <v>0.37</v>
      </c>
      <c r="O24" s="38">
        <v>4.07</v>
      </c>
      <c r="P24" s="38">
        <v>0</v>
      </c>
      <c r="Q24" s="36">
        <v>4.07</v>
      </c>
      <c r="R24" s="38" t="s">
        <v>948</v>
      </c>
    </row>
    <row r="25" spans="1:18" x14ac:dyDescent="0.3">
      <c r="A25" s="38" t="s">
        <v>548</v>
      </c>
      <c r="B25" s="38" t="s">
        <v>549</v>
      </c>
      <c r="C25" s="38" t="str">
        <f>CONCATENATE(A25," ",B25)</f>
        <v>Matthew Lowing</v>
      </c>
      <c r="D25" s="38" t="s">
        <v>655</v>
      </c>
      <c r="E25" s="38">
        <v>16202925</v>
      </c>
      <c r="F25" s="38" t="s">
        <v>965</v>
      </c>
      <c r="G25" s="38" t="s">
        <v>33</v>
      </c>
      <c r="H25" s="38" t="s">
        <v>657</v>
      </c>
      <c r="I25" s="38" t="s">
        <v>658</v>
      </c>
      <c r="J25" s="38" t="s">
        <v>659</v>
      </c>
      <c r="K25" s="38" t="s">
        <v>746</v>
      </c>
      <c r="L25" s="35">
        <v>676321759</v>
      </c>
      <c r="M25" s="36">
        <v>11</v>
      </c>
      <c r="N25" s="37">
        <v>0.37</v>
      </c>
      <c r="O25" s="38">
        <v>4.07</v>
      </c>
      <c r="P25" s="38">
        <v>0</v>
      </c>
      <c r="Q25" s="36">
        <v>4.07</v>
      </c>
      <c r="R25" s="38" t="s">
        <v>948</v>
      </c>
    </row>
    <row r="26" spans="1:18" x14ac:dyDescent="0.3">
      <c r="A26" s="38" t="s">
        <v>566</v>
      </c>
      <c r="B26" s="38" t="s">
        <v>567</v>
      </c>
      <c r="C26" s="38" t="str">
        <f>CONCATENATE(A26," ",B26)</f>
        <v>Debbie Rice</v>
      </c>
      <c r="D26" s="38" t="s">
        <v>655</v>
      </c>
      <c r="E26" s="38">
        <v>16202925</v>
      </c>
      <c r="F26" s="38" t="s">
        <v>965</v>
      </c>
      <c r="G26" s="38" t="s">
        <v>33</v>
      </c>
      <c r="H26" s="38" t="s">
        <v>657</v>
      </c>
      <c r="I26" s="38" t="s">
        <v>658</v>
      </c>
      <c r="J26" s="38" t="s">
        <v>659</v>
      </c>
      <c r="K26" s="38" t="s">
        <v>722</v>
      </c>
      <c r="L26" s="35">
        <v>526763175</v>
      </c>
      <c r="M26" s="36">
        <v>11</v>
      </c>
      <c r="N26" s="37">
        <v>0.37</v>
      </c>
      <c r="O26" s="38">
        <v>4.07</v>
      </c>
      <c r="P26" s="38">
        <v>0</v>
      </c>
      <c r="Q26" s="36">
        <v>4.07</v>
      </c>
      <c r="R26" s="38" t="s">
        <v>948</v>
      </c>
    </row>
    <row r="27" spans="1:18" x14ac:dyDescent="0.3">
      <c r="A27" s="38" t="s">
        <v>601</v>
      </c>
      <c r="B27" s="38" t="s">
        <v>602</v>
      </c>
      <c r="C27" s="38" t="str">
        <f>CONCATENATE(A27," ",B27)</f>
        <v>Kayla  Fleming</v>
      </c>
      <c r="D27" s="38" t="s">
        <v>655</v>
      </c>
      <c r="E27" s="38" t="s">
        <v>962</v>
      </c>
      <c r="F27" s="38" t="s">
        <v>978</v>
      </c>
      <c r="G27" s="38" t="s">
        <v>33</v>
      </c>
      <c r="H27" s="38" t="s">
        <v>657</v>
      </c>
      <c r="I27" s="38" t="s">
        <v>658</v>
      </c>
      <c r="J27" s="38" t="s">
        <v>659</v>
      </c>
      <c r="K27" s="38" t="s">
        <v>278</v>
      </c>
      <c r="L27" s="35">
        <v>961091863</v>
      </c>
      <c r="M27" s="36">
        <v>11</v>
      </c>
      <c r="N27" s="37">
        <v>0.37</v>
      </c>
      <c r="O27" s="38">
        <v>4.07</v>
      </c>
      <c r="P27" s="38">
        <v>0</v>
      </c>
      <c r="Q27" s="36">
        <v>4.07</v>
      </c>
      <c r="R27" s="38" t="s">
        <v>948</v>
      </c>
    </row>
    <row r="28" spans="1:18" x14ac:dyDescent="0.3">
      <c r="A28" s="38" t="s">
        <v>511</v>
      </c>
      <c r="B28" s="38" t="s">
        <v>512</v>
      </c>
      <c r="C28" s="38" t="str">
        <f>CONCATENATE(A28," ",B28)</f>
        <v>Laurie Shakur</v>
      </c>
      <c r="D28" s="38" t="s">
        <v>698</v>
      </c>
      <c r="E28" s="38" t="s">
        <v>963</v>
      </c>
      <c r="F28" s="38" t="s">
        <v>979</v>
      </c>
      <c r="G28" s="38" t="s">
        <v>33</v>
      </c>
      <c r="H28" s="38" t="s">
        <v>657</v>
      </c>
      <c r="I28" s="38" t="s">
        <v>658</v>
      </c>
      <c r="J28" s="38" t="s">
        <v>659</v>
      </c>
      <c r="K28" s="38" t="s">
        <v>278</v>
      </c>
      <c r="L28" s="35">
        <v>65004796</v>
      </c>
      <c r="M28" s="36">
        <v>11</v>
      </c>
      <c r="N28" s="37">
        <v>0.37</v>
      </c>
      <c r="O28" s="38">
        <v>4.07</v>
      </c>
      <c r="P28" s="38">
        <v>0</v>
      </c>
      <c r="Q28" s="36">
        <v>4.07</v>
      </c>
      <c r="R28" s="38" t="s">
        <v>948</v>
      </c>
    </row>
    <row r="29" spans="1:18" x14ac:dyDescent="0.3">
      <c r="A29" s="38" t="s">
        <v>521</v>
      </c>
      <c r="B29" s="38" t="s">
        <v>522</v>
      </c>
      <c r="C29" s="38" t="str">
        <f>CONCATENATE(A29," ",B29)</f>
        <v>Jacob  Moorhead</v>
      </c>
      <c r="D29" s="38" t="s">
        <v>655</v>
      </c>
      <c r="E29" s="38" t="s">
        <v>953</v>
      </c>
      <c r="F29" s="38" t="s">
        <v>965</v>
      </c>
      <c r="G29" s="38" t="s">
        <v>33</v>
      </c>
      <c r="H29" s="38" t="s">
        <v>657</v>
      </c>
      <c r="I29" s="38" t="s">
        <v>658</v>
      </c>
      <c r="J29" s="38" t="s">
        <v>659</v>
      </c>
      <c r="K29" s="38" t="s">
        <v>807</v>
      </c>
      <c r="L29" s="35">
        <v>760665662</v>
      </c>
      <c r="M29" s="36">
        <v>11</v>
      </c>
      <c r="N29" s="37">
        <v>0.37</v>
      </c>
      <c r="O29" s="38">
        <v>4.07</v>
      </c>
      <c r="P29" s="38">
        <v>0</v>
      </c>
      <c r="Q29" s="36">
        <v>4.07</v>
      </c>
      <c r="R29" s="38" t="s">
        <v>948</v>
      </c>
    </row>
    <row r="30" spans="1:18" x14ac:dyDescent="0.3">
      <c r="A30" s="38" t="s">
        <v>207</v>
      </c>
      <c r="B30" s="38" t="s">
        <v>208</v>
      </c>
      <c r="C30" s="38" t="str">
        <f>CONCATENATE(A30," ",B30)</f>
        <v>Hadley Beckstrand</v>
      </c>
      <c r="D30" s="38" t="s">
        <v>822</v>
      </c>
      <c r="E30" s="38" t="s">
        <v>953</v>
      </c>
      <c r="F30" s="38" t="s">
        <v>965</v>
      </c>
      <c r="G30" s="38" t="s">
        <v>33</v>
      </c>
      <c r="H30" s="38" t="s">
        <v>657</v>
      </c>
      <c r="I30" s="38" t="s">
        <v>658</v>
      </c>
      <c r="J30" s="38" t="s">
        <v>659</v>
      </c>
      <c r="K30" s="38" t="s">
        <v>672</v>
      </c>
      <c r="L30" s="35">
        <v>789665275</v>
      </c>
      <c r="M30" s="36">
        <v>11</v>
      </c>
      <c r="N30" s="37">
        <v>0.37</v>
      </c>
      <c r="O30" s="38">
        <v>4.07</v>
      </c>
      <c r="P30" s="38">
        <v>0</v>
      </c>
      <c r="Q30" s="36">
        <v>4.07</v>
      </c>
      <c r="R30" s="38" t="s">
        <v>948</v>
      </c>
    </row>
    <row r="31" spans="1:18" x14ac:dyDescent="0.3">
      <c r="A31" s="38" t="s">
        <v>140</v>
      </c>
      <c r="B31" s="38" t="s">
        <v>141</v>
      </c>
      <c r="C31" s="38" t="str">
        <f>CONCATENATE(A31," ",B31)</f>
        <v>Klaudia Tac</v>
      </c>
      <c r="D31" s="38" t="s">
        <v>698</v>
      </c>
      <c r="E31" s="38">
        <v>9213293</v>
      </c>
      <c r="F31" s="38" t="s">
        <v>980</v>
      </c>
      <c r="G31" s="38" t="s">
        <v>33</v>
      </c>
      <c r="H31" s="38" t="s">
        <v>657</v>
      </c>
      <c r="I31" s="38" t="s">
        <v>658</v>
      </c>
      <c r="J31" s="38" t="s">
        <v>659</v>
      </c>
      <c r="K31" s="38" t="s">
        <v>661</v>
      </c>
      <c r="L31" s="35">
        <v>1035728</v>
      </c>
      <c r="M31" s="36">
        <v>11</v>
      </c>
      <c r="N31" s="37">
        <v>0.37</v>
      </c>
      <c r="O31" s="38">
        <v>4.07</v>
      </c>
      <c r="P31" s="38">
        <v>0</v>
      </c>
      <c r="Q31" s="36">
        <v>4.07</v>
      </c>
      <c r="R31" s="38" t="s">
        <v>948</v>
      </c>
    </row>
    <row r="32" spans="1:18" x14ac:dyDescent="0.3">
      <c r="A32" s="38" t="s">
        <v>166</v>
      </c>
      <c r="B32" s="38" t="s">
        <v>167</v>
      </c>
      <c r="C32" s="38" t="str">
        <f>CONCATENATE(A32," ",B32)</f>
        <v>Kristen Facchini</v>
      </c>
      <c r="D32" s="38" t="s">
        <v>698</v>
      </c>
      <c r="E32" s="38">
        <v>8814784</v>
      </c>
      <c r="F32" s="38" t="s">
        <v>975</v>
      </c>
      <c r="G32" s="38" t="s">
        <v>33</v>
      </c>
      <c r="H32" s="38" t="s">
        <v>657</v>
      </c>
      <c r="I32" s="38" t="s">
        <v>658</v>
      </c>
      <c r="J32" s="38" t="s">
        <v>659</v>
      </c>
      <c r="K32" s="38" t="s">
        <v>722</v>
      </c>
      <c r="L32" s="35">
        <v>625104953</v>
      </c>
      <c r="M32" s="36">
        <v>11</v>
      </c>
      <c r="N32" s="37">
        <v>0.37</v>
      </c>
      <c r="O32" s="38">
        <v>4.07</v>
      </c>
      <c r="P32" s="38">
        <v>0</v>
      </c>
      <c r="Q32" s="36">
        <v>4.07</v>
      </c>
      <c r="R32" s="38" t="s">
        <v>948</v>
      </c>
    </row>
    <row r="33" spans="1:18" x14ac:dyDescent="0.3">
      <c r="A33" s="38" t="s">
        <v>196</v>
      </c>
      <c r="B33" s="38" t="s">
        <v>197</v>
      </c>
      <c r="C33" s="38" t="str">
        <f>CONCATENATE(A33," ",B33)</f>
        <v>Brigitte Wilkinson</v>
      </c>
      <c r="D33" s="38" t="s">
        <v>655</v>
      </c>
      <c r="E33" s="38" t="s">
        <v>958</v>
      </c>
      <c r="F33" s="38" t="s">
        <v>971</v>
      </c>
      <c r="G33" s="38" t="s">
        <v>33</v>
      </c>
      <c r="H33" s="38" t="s">
        <v>657</v>
      </c>
      <c r="I33" s="38" t="s">
        <v>658</v>
      </c>
      <c r="J33" s="38" t="s">
        <v>659</v>
      </c>
      <c r="K33" s="38" t="s">
        <v>676</v>
      </c>
      <c r="L33" s="35">
        <v>245549848</v>
      </c>
      <c r="M33" s="36">
        <v>11</v>
      </c>
      <c r="N33" s="37">
        <v>0.37</v>
      </c>
      <c r="O33" s="38">
        <v>4.07</v>
      </c>
      <c r="P33" s="38">
        <v>0</v>
      </c>
      <c r="Q33" s="36">
        <v>4.07</v>
      </c>
      <c r="R33" s="38" t="s">
        <v>948</v>
      </c>
    </row>
    <row r="34" spans="1:18" x14ac:dyDescent="0.3">
      <c r="A34" s="38" t="s">
        <v>202</v>
      </c>
      <c r="B34" s="38" t="s">
        <v>203</v>
      </c>
      <c r="C34" s="38" t="str">
        <f>CONCATENATE(A34," ",B34)</f>
        <v>Minas Giorgakis</v>
      </c>
      <c r="D34" s="38" t="s">
        <v>655</v>
      </c>
      <c r="E34" s="38">
        <v>16202925</v>
      </c>
      <c r="F34" s="38" t="s">
        <v>965</v>
      </c>
      <c r="G34" s="38" t="s">
        <v>33</v>
      </c>
      <c r="H34" s="38" t="s">
        <v>657</v>
      </c>
      <c r="I34" s="38" t="s">
        <v>658</v>
      </c>
      <c r="J34" s="38" t="s">
        <v>659</v>
      </c>
      <c r="K34" s="38" t="s">
        <v>717</v>
      </c>
      <c r="L34" s="35">
        <v>607637254</v>
      </c>
      <c r="M34" s="36">
        <v>11</v>
      </c>
      <c r="N34" s="37">
        <v>0.37</v>
      </c>
      <c r="O34" s="38">
        <v>4.07</v>
      </c>
      <c r="P34" s="38">
        <v>0</v>
      </c>
      <c r="Q34" s="36">
        <v>4.07</v>
      </c>
      <c r="R34" s="38" t="s">
        <v>948</v>
      </c>
    </row>
    <row r="35" spans="1:18" x14ac:dyDescent="0.3">
      <c r="A35" s="38" t="s">
        <v>38</v>
      </c>
      <c r="B35" s="38" t="s">
        <v>39</v>
      </c>
      <c r="C35" s="38" t="str">
        <f>CONCATENATE(A35," ",B35)</f>
        <v>Toni Gosa</v>
      </c>
      <c r="D35" s="38" t="s">
        <v>859</v>
      </c>
      <c r="E35" s="38" t="s">
        <v>955</v>
      </c>
      <c r="F35" s="38" t="s">
        <v>968</v>
      </c>
      <c r="G35" s="38" t="s">
        <v>33</v>
      </c>
      <c r="H35" s="38" t="s">
        <v>657</v>
      </c>
      <c r="I35" s="38" t="s">
        <v>658</v>
      </c>
      <c r="J35" s="38" t="s">
        <v>659</v>
      </c>
      <c r="K35" s="38" t="s">
        <v>696</v>
      </c>
      <c r="L35" s="35">
        <v>732250029</v>
      </c>
      <c r="M35" s="36">
        <v>11</v>
      </c>
      <c r="N35" s="37">
        <v>0.37</v>
      </c>
      <c r="O35" s="38">
        <v>4.07</v>
      </c>
      <c r="P35" s="38">
        <v>0</v>
      </c>
      <c r="Q35" s="36">
        <v>4.07</v>
      </c>
      <c r="R35" s="38" t="s">
        <v>948</v>
      </c>
    </row>
    <row r="36" spans="1:18" x14ac:dyDescent="0.3">
      <c r="A36" s="38" t="s">
        <v>62</v>
      </c>
      <c r="B36" s="38" t="s">
        <v>63</v>
      </c>
      <c r="C36" s="38" t="str">
        <f>CONCATENATE(A36," ",B36)</f>
        <v>Lisa Hopkins</v>
      </c>
      <c r="D36" s="38" t="s">
        <v>867</v>
      </c>
      <c r="E36" s="38">
        <v>1706194</v>
      </c>
      <c r="F36" s="38" t="s">
        <v>984</v>
      </c>
      <c r="G36" s="38" t="s">
        <v>33</v>
      </c>
      <c r="H36" s="38" t="s">
        <v>657</v>
      </c>
      <c r="I36" s="38" t="s">
        <v>658</v>
      </c>
      <c r="J36" s="38" t="s">
        <v>659</v>
      </c>
      <c r="K36" s="38" t="s">
        <v>714</v>
      </c>
      <c r="L36" s="35">
        <v>464503420</v>
      </c>
      <c r="M36" s="36">
        <v>11</v>
      </c>
      <c r="N36" s="37">
        <v>0.37</v>
      </c>
      <c r="O36" s="38">
        <v>4.07</v>
      </c>
      <c r="P36" s="38">
        <v>0</v>
      </c>
      <c r="Q36" s="36">
        <v>4.07</v>
      </c>
      <c r="R36" s="38" t="s">
        <v>948</v>
      </c>
    </row>
    <row r="37" spans="1:18" x14ac:dyDescent="0.3">
      <c r="A37" s="38" t="s">
        <v>44</v>
      </c>
      <c r="B37" s="38" t="s">
        <v>45</v>
      </c>
      <c r="C37" s="38" t="str">
        <f>CONCATENATE(A37," ",B37)</f>
        <v>Melissa Mahaney</v>
      </c>
      <c r="D37" s="38" t="s">
        <v>655</v>
      </c>
      <c r="E37" s="38">
        <v>16202925</v>
      </c>
      <c r="F37" s="38" t="s">
        <v>965</v>
      </c>
      <c r="G37" s="38" t="s">
        <v>33</v>
      </c>
      <c r="H37" s="38" t="s">
        <v>657</v>
      </c>
      <c r="I37" s="38" t="s">
        <v>658</v>
      </c>
      <c r="J37" s="38" t="s">
        <v>659</v>
      </c>
      <c r="K37" s="38" t="s">
        <v>676</v>
      </c>
      <c r="L37" s="35">
        <v>698193150</v>
      </c>
      <c r="M37" s="36">
        <v>11</v>
      </c>
      <c r="N37" s="37">
        <v>0.37</v>
      </c>
      <c r="O37" s="38">
        <v>4.07</v>
      </c>
      <c r="P37" s="38">
        <v>0</v>
      </c>
      <c r="Q37" s="36">
        <v>4.07</v>
      </c>
      <c r="R37" s="38" t="s">
        <v>948</v>
      </c>
    </row>
    <row r="38" spans="1:18" x14ac:dyDescent="0.3">
      <c r="A38" s="38" t="s">
        <v>111</v>
      </c>
      <c r="B38" s="38" t="s">
        <v>112</v>
      </c>
      <c r="C38" s="38" t="str">
        <f>CONCATENATE(A38," ",B38)</f>
        <v>Sheryll Aldred</v>
      </c>
      <c r="D38" s="38" t="s">
        <v>655</v>
      </c>
      <c r="E38" s="38">
        <v>16202925</v>
      </c>
      <c r="F38" s="38" t="s">
        <v>965</v>
      </c>
      <c r="G38" s="38" t="s">
        <v>33</v>
      </c>
      <c r="H38" s="38" t="s">
        <v>657</v>
      </c>
      <c r="I38" s="38" t="s">
        <v>658</v>
      </c>
      <c r="J38" s="38" t="s">
        <v>659</v>
      </c>
      <c r="K38" s="38" t="s">
        <v>668</v>
      </c>
      <c r="L38" s="35">
        <v>574187796</v>
      </c>
      <c r="M38" s="36">
        <v>11</v>
      </c>
      <c r="N38" s="37">
        <v>0.37</v>
      </c>
      <c r="O38" s="38">
        <v>4.07</v>
      </c>
      <c r="P38" s="38">
        <v>0</v>
      </c>
      <c r="Q38" s="36">
        <v>4.07</v>
      </c>
      <c r="R38" s="38" t="s">
        <v>948</v>
      </c>
    </row>
    <row r="39" spans="1:18" x14ac:dyDescent="0.3">
      <c r="A39" s="38" t="s">
        <v>115</v>
      </c>
      <c r="B39" s="38" t="s">
        <v>116</v>
      </c>
      <c r="C39" s="38" t="str">
        <f>CONCATENATE(A39," ",B39)</f>
        <v>Sally Noonan</v>
      </c>
      <c r="D39" s="38" t="s">
        <v>698</v>
      </c>
      <c r="E39" s="38">
        <v>18828278</v>
      </c>
      <c r="F39" s="38" t="s">
        <v>977</v>
      </c>
      <c r="G39" s="38" t="s">
        <v>33</v>
      </c>
      <c r="H39" s="38" t="s">
        <v>657</v>
      </c>
      <c r="I39" s="38" t="s">
        <v>658</v>
      </c>
      <c r="J39" s="38" t="s">
        <v>659</v>
      </c>
      <c r="K39" s="38" t="s">
        <v>717</v>
      </c>
      <c r="L39" s="35">
        <v>825368073</v>
      </c>
      <c r="M39" s="36">
        <v>11</v>
      </c>
      <c r="N39" s="37">
        <v>0.37</v>
      </c>
      <c r="O39" s="38">
        <v>4.07</v>
      </c>
      <c r="P39" s="38">
        <v>0</v>
      </c>
      <c r="Q39" s="36">
        <v>4.07</v>
      </c>
      <c r="R39" s="38" t="s">
        <v>948</v>
      </c>
    </row>
    <row r="40" spans="1:18" x14ac:dyDescent="0.3">
      <c r="A40" s="38" t="s">
        <v>120</v>
      </c>
      <c r="B40" s="38" t="s">
        <v>121</v>
      </c>
      <c r="C40" s="38" t="str">
        <f>CONCATENATE(A40," ",B40)</f>
        <v>Emily Whitacre</v>
      </c>
      <c r="D40" s="38" t="s">
        <v>655</v>
      </c>
      <c r="E40" s="38">
        <v>16202925</v>
      </c>
      <c r="F40" s="38" t="s">
        <v>965</v>
      </c>
      <c r="G40" s="38" t="s">
        <v>33</v>
      </c>
      <c r="H40" s="38" t="s">
        <v>657</v>
      </c>
      <c r="I40" s="38" t="s">
        <v>658</v>
      </c>
      <c r="J40" s="38" t="s">
        <v>659</v>
      </c>
      <c r="K40" s="38" t="s">
        <v>717</v>
      </c>
      <c r="L40" s="35">
        <v>859724247</v>
      </c>
      <c r="M40" s="36">
        <v>11</v>
      </c>
      <c r="N40" s="37">
        <v>0.37</v>
      </c>
      <c r="O40" s="38">
        <v>4.07</v>
      </c>
      <c r="P40" s="38">
        <v>0</v>
      </c>
      <c r="Q40" s="36">
        <v>4.07</v>
      </c>
      <c r="R40" s="38" t="s">
        <v>948</v>
      </c>
    </row>
    <row r="41" spans="1:18" x14ac:dyDescent="0.3">
      <c r="A41" s="38" t="s">
        <v>312</v>
      </c>
      <c r="B41" s="38" t="s">
        <v>313</v>
      </c>
      <c r="C41" s="38" t="str">
        <f>CONCATENATE(A41," ",B41)</f>
        <v>Natividad Hernandez Luna</v>
      </c>
      <c r="D41" s="38" t="s">
        <v>655</v>
      </c>
      <c r="E41" s="38" t="s">
        <v>958</v>
      </c>
      <c r="F41" s="38" t="s">
        <v>971</v>
      </c>
      <c r="G41" s="38" t="s">
        <v>33</v>
      </c>
      <c r="H41" s="38" t="s">
        <v>657</v>
      </c>
      <c r="I41" s="38" t="s">
        <v>658</v>
      </c>
      <c r="J41" s="38" t="s">
        <v>659</v>
      </c>
      <c r="K41" s="38" t="s">
        <v>703</v>
      </c>
      <c r="L41" s="35">
        <v>129241253</v>
      </c>
      <c r="M41" s="36">
        <v>11</v>
      </c>
      <c r="N41" s="37">
        <v>0.37</v>
      </c>
      <c r="O41" s="38">
        <v>4.07</v>
      </c>
      <c r="P41" s="38">
        <v>0</v>
      </c>
      <c r="Q41" s="36">
        <v>4.07</v>
      </c>
      <c r="R41" s="38" t="s">
        <v>948</v>
      </c>
    </row>
    <row r="42" spans="1:18" x14ac:dyDescent="0.3">
      <c r="A42" s="38" t="s">
        <v>322</v>
      </c>
      <c r="B42" s="38" t="s">
        <v>323</v>
      </c>
      <c r="C42" s="38" t="str">
        <f>CONCATENATE(A42," ",B42)</f>
        <v>Demetris Jones</v>
      </c>
      <c r="D42" s="38" t="s">
        <v>655</v>
      </c>
      <c r="E42" s="38">
        <v>18010408</v>
      </c>
      <c r="F42" s="38" t="s">
        <v>981</v>
      </c>
      <c r="G42" s="38" t="s">
        <v>33</v>
      </c>
      <c r="H42" s="38" t="s">
        <v>657</v>
      </c>
      <c r="I42" s="38" t="s">
        <v>658</v>
      </c>
      <c r="J42" s="38" t="s">
        <v>659</v>
      </c>
      <c r="K42" s="38" t="s">
        <v>746</v>
      </c>
      <c r="L42" s="35">
        <v>125532058</v>
      </c>
      <c r="M42" s="36">
        <v>11</v>
      </c>
      <c r="N42" s="37">
        <v>0.37</v>
      </c>
      <c r="O42" s="38">
        <v>4.07</v>
      </c>
      <c r="P42" s="38">
        <v>0</v>
      </c>
      <c r="Q42" s="36">
        <v>4.07</v>
      </c>
      <c r="R42" s="38" t="s">
        <v>948</v>
      </c>
    </row>
    <row r="43" spans="1:18" x14ac:dyDescent="0.3">
      <c r="A43" s="38" t="s">
        <v>330</v>
      </c>
      <c r="B43" s="38" t="s">
        <v>331</v>
      </c>
      <c r="C43" s="38" t="str">
        <f>CONCATENATE(A43," ",B43)</f>
        <v>Hellen Nyaberi</v>
      </c>
      <c r="D43" s="38" t="s">
        <v>655</v>
      </c>
      <c r="E43" s="38" t="s">
        <v>958</v>
      </c>
      <c r="F43" s="38" t="s">
        <v>971</v>
      </c>
      <c r="G43" s="38" t="s">
        <v>33</v>
      </c>
      <c r="H43" s="38" t="s">
        <v>657</v>
      </c>
      <c r="I43" s="38" t="s">
        <v>658</v>
      </c>
      <c r="J43" s="38" t="s">
        <v>659</v>
      </c>
      <c r="K43" s="38" t="s">
        <v>703</v>
      </c>
      <c r="L43" s="35">
        <v>408114059</v>
      </c>
      <c r="M43" s="36">
        <v>11</v>
      </c>
      <c r="N43" s="37">
        <v>0.37</v>
      </c>
      <c r="O43" s="38">
        <v>4.07</v>
      </c>
      <c r="P43" s="38">
        <v>0</v>
      </c>
      <c r="Q43" s="36">
        <v>4.07</v>
      </c>
      <c r="R43" s="38" t="s">
        <v>948</v>
      </c>
    </row>
    <row r="44" spans="1:18" x14ac:dyDescent="0.3">
      <c r="A44" s="38" t="s">
        <v>227</v>
      </c>
      <c r="B44" s="38" t="s">
        <v>228</v>
      </c>
      <c r="C44" s="38" t="str">
        <f>CONCATENATE(A44," ",B44)</f>
        <v>William Kates</v>
      </c>
      <c r="D44" s="38" t="s">
        <v>698</v>
      </c>
      <c r="E44" s="38" t="s">
        <v>955</v>
      </c>
      <c r="F44" s="38" t="s">
        <v>968</v>
      </c>
      <c r="G44" s="38" t="s">
        <v>33</v>
      </c>
      <c r="H44" s="38" t="s">
        <v>657</v>
      </c>
      <c r="I44" s="38" t="s">
        <v>658</v>
      </c>
      <c r="J44" s="38" t="s">
        <v>659</v>
      </c>
      <c r="K44" s="38" t="s">
        <v>681</v>
      </c>
      <c r="L44" s="35">
        <v>275150335</v>
      </c>
      <c r="M44" s="36">
        <v>11</v>
      </c>
      <c r="N44" s="37">
        <v>0.37</v>
      </c>
      <c r="O44" s="38">
        <v>4.07</v>
      </c>
      <c r="P44" s="38">
        <v>0</v>
      </c>
      <c r="Q44" s="36">
        <v>4.07</v>
      </c>
      <c r="R44" s="38" t="s">
        <v>948</v>
      </c>
    </row>
    <row r="45" spans="1:18" x14ac:dyDescent="0.3">
      <c r="A45" s="38" t="s">
        <v>244</v>
      </c>
      <c r="B45" s="38" t="s">
        <v>344</v>
      </c>
      <c r="C45" s="38" t="str">
        <f>CONCATENATE(A45," ",B45)</f>
        <v>Maria Medina</v>
      </c>
      <c r="D45" s="38" t="s">
        <v>698</v>
      </c>
      <c r="E45" s="38" t="s">
        <v>955</v>
      </c>
      <c r="F45" s="38" t="s">
        <v>968</v>
      </c>
      <c r="G45" s="38" t="s">
        <v>33</v>
      </c>
      <c r="H45" s="38" t="s">
        <v>657</v>
      </c>
      <c r="I45" s="38" t="s">
        <v>658</v>
      </c>
      <c r="J45" s="38" t="s">
        <v>659</v>
      </c>
      <c r="K45" s="38" t="s">
        <v>696</v>
      </c>
      <c r="L45" s="35">
        <v>866239746</v>
      </c>
      <c r="M45" s="36">
        <v>11</v>
      </c>
      <c r="N45" s="37">
        <v>0.37</v>
      </c>
      <c r="O45" s="38">
        <v>4.07</v>
      </c>
      <c r="P45" s="38">
        <v>0</v>
      </c>
      <c r="Q45" s="36">
        <v>4.07</v>
      </c>
      <c r="R45" s="38" t="s">
        <v>948</v>
      </c>
    </row>
    <row r="46" spans="1:18" x14ac:dyDescent="0.3">
      <c r="A46" s="38" t="s">
        <v>294</v>
      </c>
      <c r="B46" s="38" t="s">
        <v>295</v>
      </c>
      <c r="C46" s="38" t="str">
        <f>CONCATENATE(A46," ",B46)</f>
        <v>Mary Rosencranz</v>
      </c>
      <c r="D46" s="38" t="s">
        <v>655</v>
      </c>
      <c r="E46" s="38">
        <v>16202925</v>
      </c>
      <c r="F46" s="38" t="s">
        <v>965</v>
      </c>
      <c r="G46" s="38" t="s">
        <v>33</v>
      </c>
      <c r="H46" s="38" t="s">
        <v>657</v>
      </c>
      <c r="I46" s="38" t="s">
        <v>658</v>
      </c>
      <c r="J46" s="38" t="s">
        <v>659</v>
      </c>
      <c r="K46" s="38" t="s">
        <v>717</v>
      </c>
      <c r="L46" s="35">
        <v>364920174</v>
      </c>
      <c r="M46" s="36">
        <v>11</v>
      </c>
      <c r="N46" s="37">
        <v>0.37</v>
      </c>
      <c r="O46" s="38">
        <v>4.07</v>
      </c>
      <c r="P46" s="38">
        <v>0</v>
      </c>
      <c r="Q46" s="36">
        <v>4.07</v>
      </c>
      <c r="R46" s="38" t="s">
        <v>948</v>
      </c>
    </row>
    <row r="47" spans="1:18" x14ac:dyDescent="0.3">
      <c r="A47" s="38" t="s">
        <v>244</v>
      </c>
      <c r="B47" s="38" t="s">
        <v>245</v>
      </c>
      <c r="C47" s="38" t="str">
        <f>CONCATENATE(A47," ",B47)</f>
        <v>Maria VonNordeck</v>
      </c>
      <c r="D47" s="38" t="s">
        <v>655</v>
      </c>
      <c r="E47" s="38" t="s">
        <v>953</v>
      </c>
      <c r="F47" s="38" t="s">
        <v>965</v>
      </c>
      <c r="G47" s="38" t="s">
        <v>33</v>
      </c>
      <c r="H47" s="38" t="s">
        <v>657</v>
      </c>
      <c r="I47" s="38" t="s">
        <v>658</v>
      </c>
      <c r="J47" s="38" t="s">
        <v>659</v>
      </c>
      <c r="K47" s="38" t="s">
        <v>922</v>
      </c>
      <c r="L47" s="35">
        <v>795235089</v>
      </c>
      <c r="M47" s="36">
        <v>11</v>
      </c>
      <c r="N47" s="37">
        <v>0.37</v>
      </c>
      <c r="O47" s="38">
        <v>4.07</v>
      </c>
      <c r="P47" s="38">
        <v>0</v>
      </c>
      <c r="Q47" s="36">
        <v>4.07</v>
      </c>
      <c r="R47" s="38" t="s">
        <v>948</v>
      </c>
    </row>
    <row r="48" spans="1:18" x14ac:dyDescent="0.3">
      <c r="A48" s="38" t="s">
        <v>217</v>
      </c>
      <c r="B48" s="38" t="s">
        <v>218</v>
      </c>
      <c r="C48" s="38" t="str">
        <f>CONCATENATE(A48," ",B48)</f>
        <v>Reginald Fleming Sr</v>
      </c>
      <c r="D48" s="38" t="s">
        <v>655</v>
      </c>
      <c r="E48" s="38" t="s">
        <v>953</v>
      </c>
      <c r="F48" s="38" t="s">
        <v>965</v>
      </c>
      <c r="G48" s="38" t="s">
        <v>33</v>
      </c>
      <c r="H48" s="38" t="s">
        <v>657</v>
      </c>
      <c r="I48" s="38" t="s">
        <v>658</v>
      </c>
      <c r="J48" s="38" t="s">
        <v>659</v>
      </c>
      <c r="K48" s="38" t="s">
        <v>878</v>
      </c>
      <c r="L48" s="35">
        <v>323523851</v>
      </c>
      <c r="M48" s="36">
        <v>11</v>
      </c>
      <c r="N48" s="37">
        <v>0.37</v>
      </c>
      <c r="O48" s="38">
        <v>4.07</v>
      </c>
      <c r="P48" s="38">
        <v>0</v>
      </c>
      <c r="Q48" s="36">
        <v>4.07</v>
      </c>
      <c r="R48" s="38" t="s">
        <v>948</v>
      </c>
    </row>
    <row r="49" spans="1:18" x14ac:dyDescent="0.3">
      <c r="A49" s="38" t="s">
        <v>223</v>
      </c>
      <c r="B49" s="38" t="s">
        <v>224</v>
      </c>
      <c r="C49" s="38" t="str">
        <f>CONCATENATE(A49," ",B49)</f>
        <v>Melita Laroco</v>
      </c>
      <c r="D49" s="38" t="s">
        <v>698</v>
      </c>
      <c r="E49" s="38" t="s">
        <v>955</v>
      </c>
      <c r="F49" s="38" t="s">
        <v>968</v>
      </c>
      <c r="G49" s="38" t="s">
        <v>33</v>
      </c>
      <c r="H49" s="38" t="s">
        <v>657</v>
      </c>
      <c r="I49" s="38" t="s">
        <v>658</v>
      </c>
      <c r="J49" s="38" t="s">
        <v>659</v>
      </c>
      <c r="K49" s="38" t="s">
        <v>661</v>
      </c>
      <c r="L49" s="35">
        <v>182409727</v>
      </c>
      <c r="M49" s="36">
        <v>11</v>
      </c>
      <c r="N49" s="37">
        <v>0.37</v>
      </c>
      <c r="O49" s="38">
        <v>4.07</v>
      </c>
      <c r="P49" s="38">
        <v>0</v>
      </c>
      <c r="Q49" s="36">
        <v>4.07</v>
      </c>
      <c r="R49" s="38" t="s">
        <v>948</v>
      </c>
    </row>
    <row r="50" spans="1:18" x14ac:dyDescent="0.3">
      <c r="A50" s="38" t="s">
        <v>257</v>
      </c>
      <c r="B50" s="38" t="s">
        <v>258</v>
      </c>
      <c r="C50" s="38" t="str">
        <f>CONCATENATE(A50," ",B50)</f>
        <v>Cynthia Brown</v>
      </c>
      <c r="D50" s="38" t="s">
        <v>655</v>
      </c>
      <c r="E50" s="38" t="s">
        <v>953</v>
      </c>
      <c r="F50" s="38" t="s">
        <v>965</v>
      </c>
      <c r="G50" s="38" t="s">
        <v>33</v>
      </c>
      <c r="H50" s="38" t="s">
        <v>657</v>
      </c>
      <c r="I50" s="38" t="s">
        <v>658</v>
      </c>
      <c r="J50" s="38" t="s">
        <v>659</v>
      </c>
      <c r="K50" s="38" t="s">
        <v>661</v>
      </c>
      <c r="L50" s="35">
        <v>794112359</v>
      </c>
      <c r="M50" s="36">
        <v>11</v>
      </c>
      <c r="N50" s="37">
        <v>0.37</v>
      </c>
      <c r="O50" s="38">
        <v>4.07</v>
      </c>
      <c r="P50" s="38">
        <v>0</v>
      </c>
      <c r="Q50" s="36">
        <v>4.07</v>
      </c>
      <c r="R50" s="38" t="s">
        <v>948</v>
      </c>
    </row>
    <row r="51" spans="1:18" x14ac:dyDescent="0.3">
      <c r="A51" s="38" t="s">
        <v>261</v>
      </c>
      <c r="B51" s="38" t="s">
        <v>262</v>
      </c>
      <c r="C51" s="38" t="str">
        <f>CONCATENATE(A51," ",B51)</f>
        <v>Miosotis Ledesma</v>
      </c>
      <c r="D51" s="38" t="s">
        <v>655</v>
      </c>
      <c r="E51" s="38">
        <v>20769090</v>
      </c>
      <c r="F51" s="38" t="s">
        <v>986</v>
      </c>
      <c r="G51" s="38" t="s">
        <v>33</v>
      </c>
      <c r="H51" s="38" t="s">
        <v>657</v>
      </c>
      <c r="I51" s="38" t="s">
        <v>658</v>
      </c>
      <c r="J51" s="38" t="s">
        <v>659</v>
      </c>
      <c r="K51" s="38" t="s">
        <v>871</v>
      </c>
      <c r="L51" s="35">
        <v>173898668</v>
      </c>
      <c r="M51" s="36">
        <v>11</v>
      </c>
      <c r="N51" s="37">
        <v>0.37</v>
      </c>
      <c r="O51" s="38">
        <v>4.07</v>
      </c>
      <c r="P51" s="38">
        <v>0</v>
      </c>
      <c r="Q51" s="36">
        <v>4.07</v>
      </c>
      <c r="R51" s="38" t="s">
        <v>948</v>
      </c>
    </row>
    <row r="52" spans="1:18" x14ac:dyDescent="0.3">
      <c r="A52" s="38" t="s">
        <v>248</v>
      </c>
      <c r="B52" s="38" t="s">
        <v>249</v>
      </c>
      <c r="C52" s="38" t="str">
        <f>CONCATENATE(A52," ",B52)</f>
        <v>Dennis Matyas</v>
      </c>
      <c r="D52" s="38" t="s">
        <v>867</v>
      </c>
      <c r="E52" s="38">
        <v>20411454</v>
      </c>
      <c r="F52" s="38" t="s">
        <v>969</v>
      </c>
      <c r="G52" s="38" t="s">
        <v>72</v>
      </c>
      <c r="H52" s="38" t="s">
        <v>657</v>
      </c>
      <c r="I52" s="38" t="s">
        <v>665</v>
      </c>
      <c r="J52" s="38" t="s">
        <v>666</v>
      </c>
      <c r="K52" s="38" t="s">
        <v>843</v>
      </c>
      <c r="L52" s="35">
        <v>901820000</v>
      </c>
      <c r="M52" s="36">
        <v>4.29</v>
      </c>
      <c r="N52" s="37">
        <v>0.03</v>
      </c>
      <c r="O52" s="38">
        <v>4.29</v>
      </c>
      <c r="P52" s="38">
        <v>0</v>
      </c>
      <c r="Q52" s="36">
        <v>4.29</v>
      </c>
      <c r="R52" s="38" t="s">
        <v>951</v>
      </c>
    </row>
    <row r="53" spans="1:18" x14ac:dyDescent="0.3">
      <c r="A53" s="38" t="s">
        <v>308</v>
      </c>
      <c r="B53" s="38" t="s">
        <v>440</v>
      </c>
      <c r="C53" s="38" t="str">
        <f>CONCATENATE(A53," ",B53)</f>
        <v>Patrick Breedy</v>
      </c>
      <c r="D53" s="38" t="s">
        <v>684</v>
      </c>
      <c r="E53" s="38" t="s">
        <v>954</v>
      </c>
      <c r="F53" s="38" t="s">
        <v>967</v>
      </c>
      <c r="G53" s="38" t="s">
        <v>155</v>
      </c>
      <c r="H53" s="38" t="s">
        <v>657</v>
      </c>
      <c r="I53" s="38" t="s">
        <v>665</v>
      </c>
      <c r="J53" s="38" t="s">
        <v>666</v>
      </c>
      <c r="K53" s="38" t="s">
        <v>686</v>
      </c>
      <c r="L53" s="35">
        <v>373547815</v>
      </c>
      <c r="M53" s="36">
        <v>22</v>
      </c>
      <c r="N53" s="37">
        <v>0.24</v>
      </c>
      <c r="O53" s="38">
        <v>5.28</v>
      </c>
      <c r="P53" s="38">
        <v>0</v>
      </c>
      <c r="Q53" s="36">
        <v>5.28</v>
      </c>
      <c r="R53" s="38" t="s">
        <v>950</v>
      </c>
    </row>
    <row r="54" spans="1:18" x14ac:dyDescent="0.3">
      <c r="A54" s="38" t="s">
        <v>338</v>
      </c>
      <c r="B54" s="38" t="s">
        <v>339</v>
      </c>
      <c r="C54" s="38" t="str">
        <f>CONCATENATE(A54," ",B54)</f>
        <v>Zain Lakhani</v>
      </c>
      <c r="D54" s="38" t="s">
        <v>655</v>
      </c>
      <c r="E54" s="38" t="s">
        <v>953</v>
      </c>
      <c r="F54" s="38" t="s">
        <v>965</v>
      </c>
      <c r="G54" s="38" t="s">
        <v>155</v>
      </c>
      <c r="H54" s="38" t="s">
        <v>657</v>
      </c>
      <c r="I54" s="38" t="s">
        <v>665</v>
      </c>
      <c r="J54" s="38" t="s">
        <v>666</v>
      </c>
      <c r="K54" s="38" t="s">
        <v>696</v>
      </c>
      <c r="L54" s="35">
        <v>355029732</v>
      </c>
      <c r="M54" s="36">
        <v>22</v>
      </c>
      <c r="N54" s="37">
        <v>0.24</v>
      </c>
      <c r="O54" s="38">
        <v>5.28</v>
      </c>
      <c r="P54" s="38">
        <v>0</v>
      </c>
      <c r="Q54" s="36">
        <v>5.28</v>
      </c>
      <c r="R54" s="38" t="s">
        <v>950</v>
      </c>
    </row>
    <row r="55" spans="1:18" x14ac:dyDescent="0.3">
      <c r="A55" s="38" t="s">
        <v>479</v>
      </c>
      <c r="B55" s="38" t="s">
        <v>480</v>
      </c>
      <c r="C55" s="38" t="str">
        <f>CONCATENATE(A55," ",B55)</f>
        <v xml:space="preserve"> Shelli   Sheridan</v>
      </c>
      <c r="D55" s="38" t="s">
        <v>698</v>
      </c>
      <c r="E55" s="38">
        <v>9213293</v>
      </c>
      <c r="F55" s="38" t="s">
        <v>980</v>
      </c>
      <c r="G55" s="38" t="s">
        <v>155</v>
      </c>
      <c r="H55" s="38" t="s">
        <v>657</v>
      </c>
      <c r="I55" s="38" t="s">
        <v>665</v>
      </c>
      <c r="J55" s="38" t="s">
        <v>666</v>
      </c>
      <c r="K55" s="38" t="s">
        <v>661</v>
      </c>
      <c r="L55" s="35">
        <v>220207712</v>
      </c>
      <c r="M55" s="36">
        <v>22</v>
      </c>
      <c r="N55" s="37">
        <v>0.24</v>
      </c>
      <c r="O55" s="38">
        <v>5.28</v>
      </c>
      <c r="P55" s="38">
        <v>0</v>
      </c>
      <c r="Q55" s="36">
        <v>5.28</v>
      </c>
      <c r="R55" s="38" t="s">
        <v>950</v>
      </c>
    </row>
    <row r="56" spans="1:18" x14ac:dyDescent="0.3">
      <c r="A56" s="38" t="s">
        <v>496</v>
      </c>
      <c r="B56" s="38" t="s">
        <v>497</v>
      </c>
      <c r="C56" s="38" t="str">
        <f>CONCATENATE(A56," ",B56)</f>
        <v>Rahwa Hagos</v>
      </c>
      <c r="D56" s="38" t="s">
        <v>655</v>
      </c>
      <c r="E56" s="38" t="s">
        <v>953</v>
      </c>
      <c r="F56" s="38" t="s">
        <v>965</v>
      </c>
      <c r="G56" s="38" t="s">
        <v>155</v>
      </c>
      <c r="H56" s="38" t="s">
        <v>657</v>
      </c>
      <c r="I56" s="38" t="s">
        <v>665</v>
      </c>
      <c r="J56" s="38" t="s">
        <v>666</v>
      </c>
      <c r="K56" s="38" t="s">
        <v>661</v>
      </c>
      <c r="L56" s="35">
        <v>689762261</v>
      </c>
      <c r="M56" s="36">
        <v>22</v>
      </c>
      <c r="N56" s="37">
        <v>0.24</v>
      </c>
      <c r="O56" s="38">
        <v>5.28</v>
      </c>
      <c r="P56" s="38">
        <v>0</v>
      </c>
      <c r="Q56" s="36">
        <v>5.28</v>
      </c>
      <c r="R56" s="38" t="s">
        <v>950</v>
      </c>
    </row>
    <row r="57" spans="1:18" x14ac:dyDescent="0.3">
      <c r="A57" s="38" t="s">
        <v>140</v>
      </c>
      <c r="B57" s="38" t="s">
        <v>141</v>
      </c>
      <c r="C57" s="38" t="str">
        <f>CONCATENATE(A57," ",B57)</f>
        <v>Klaudia Tac</v>
      </c>
      <c r="D57" s="38" t="s">
        <v>698</v>
      </c>
      <c r="E57" s="38">
        <v>9213293</v>
      </c>
      <c r="F57" s="38" t="s">
        <v>980</v>
      </c>
      <c r="G57" s="38" t="s">
        <v>155</v>
      </c>
      <c r="H57" s="38" t="s">
        <v>657</v>
      </c>
      <c r="I57" s="38" t="s">
        <v>665</v>
      </c>
      <c r="J57" s="38" t="s">
        <v>666</v>
      </c>
      <c r="K57" s="38" t="s">
        <v>661</v>
      </c>
      <c r="L57" s="35">
        <v>390580973</v>
      </c>
      <c r="M57" s="36">
        <v>22</v>
      </c>
      <c r="N57" s="37">
        <v>0.24</v>
      </c>
      <c r="O57" s="38">
        <v>5.28</v>
      </c>
      <c r="P57" s="38">
        <v>0</v>
      </c>
      <c r="Q57" s="36">
        <v>5.28</v>
      </c>
      <c r="R57" s="38" t="s">
        <v>950</v>
      </c>
    </row>
    <row r="58" spans="1:18" x14ac:dyDescent="0.3">
      <c r="A58" s="38" t="s">
        <v>338</v>
      </c>
      <c r="B58" s="38" t="s">
        <v>339</v>
      </c>
      <c r="C58" s="38" t="str">
        <f>CONCATENATE(A58," ",B58)</f>
        <v>Zain Lakhani</v>
      </c>
      <c r="D58" s="38" t="s">
        <v>655</v>
      </c>
      <c r="E58" s="38" t="s">
        <v>953</v>
      </c>
      <c r="F58" s="38" t="s">
        <v>965</v>
      </c>
      <c r="G58" s="38" t="s">
        <v>155</v>
      </c>
      <c r="H58" s="38" t="s">
        <v>657</v>
      </c>
      <c r="I58" s="38" t="s">
        <v>665</v>
      </c>
      <c r="J58" s="38" t="s">
        <v>666</v>
      </c>
      <c r="K58" s="38" t="s">
        <v>696</v>
      </c>
      <c r="L58" s="35">
        <v>355029732</v>
      </c>
      <c r="M58" s="36">
        <v>22</v>
      </c>
      <c r="N58" s="37">
        <v>0.24</v>
      </c>
      <c r="O58" s="38">
        <v>5.28</v>
      </c>
      <c r="P58" s="38">
        <v>0</v>
      </c>
      <c r="Q58" s="36">
        <v>5.28</v>
      </c>
      <c r="R58" s="38" t="s">
        <v>950</v>
      </c>
    </row>
    <row r="59" spans="1:18" x14ac:dyDescent="0.3">
      <c r="A59" s="38" t="s">
        <v>451</v>
      </c>
      <c r="B59" s="38" t="s">
        <v>208</v>
      </c>
      <c r="C59" s="38" t="str">
        <f>CONCATENATE(A59," ",B59)</f>
        <v>Jon Beckstrand</v>
      </c>
      <c r="D59" s="38" t="s">
        <v>655</v>
      </c>
      <c r="E59" s="38" t="s">
        <v>953</v>
      </c>
      <c r="F59" s="38" t="s">
        <v>965</v>
      </c>
      <c r="G59" s="38" t="s">
        <v>33</v>
      </c>
      <c r="H59" s="38" t="s">
        <v>657</v>
      </c>
      <c r="I59" s="38" t="s">
        <v>658</v>
      </c>
      <c r="J59" s="38" t="s">
        <v>659</v>
      </c>
      <c r="K59" s="38" t="s">
        <v>672</v>
      </c>
      <c r="L59" s="35">
        <v>92801354</v>
      </c>
      <c r="M59" s="36">
        <v>15</v>
      </c>
      <c r="N59" s="37">
        <v>0.37</v>
      </c>
      <c r="O59" s="38">
        <v>5.55</v>
      </c>
      <c r="P59" s="38">
        <v>0</v>
      </c>
      <c r="Q59" s="36">
        <v>5.55</v>
      </c>
      <c r="R59" s="38" t="s">
        <v>948</v>
      </c>
    </row>
    <row r="60" spans="1:18" x14ac:dyDescent="0.3">
      <c r="A60" s="38" t="s">
        <v>284</v>
      </c>
      <c r="B60" s="38" t="s">
        <v>285</v>
      </c>
      <c r="C60" s="38" t="str">
        <f>CONCATENATE(A60," ",B60)</f>
        <v>Francis Conroy</v>
      </c>
      <c r="D60" s="38" t="s">
        <v>684</v>
      </c>
      <c r="E60" s="38" t="s">
        <v>954</v>
      </c>
      <c r="F60" s="38" t="s">
        <v>967</v>
      </c>
      <c r="G60" s="38" t="s">
        <v>33</v>
      </c>
      <c r="H60" s="38" t="s">
        <v>657</v>
      </c>
      <c r="I60" s="38" t="s">
        <v>658</v>
      </c>
      <c r="J60" s="38" t="s">
        <v>659</v>
      </c>
      <c r="K60" s="38" t="s">
        <v>661</v>
      </c>
      <c r="L60" s="35">
        <v>983602993</v>
      </c>
      <c r="M60" s="36">
        <v>15</v>
      </c>
      <c r="N60" s="37">
        <v>0.37</v>
      </c>
      <c r="O60" s="38">
        <v>5.55</v>
      </c>
      <c r="P60" s="38">
        <v>0</v>
      </c>
      <c r="Q60" s="36">
        <v>5.55</v>
      </c>
      <c r="R60" s="38" t="s">
        <v>948</v>
      </c>
    </row>
    <row r="61" spans="1:18" x14ac:dyDescent="0.3">
      <c r="A61" s="38" t="s">
        <v>473</v>
      </c>
      <c r="B61" s="38" t="s">
        <v>474</v>
      </c>
      <c r="C61" s="38" t="str">
        <f>CONCATENATE(A61," ",B61)</f>
        <v>Scott Crump</v>
      </c>
      <c r="D61" s="38" t="s">
        <v>698</v>
      </c>
      <c r="E61" s="38">
        <v>8244481</v>
      </c>
      <c r="F61" s="38" t="s">
        <v>976</v>
      </c>
      <c r="G61" s="38" t="s">
        <v>33</v>
      </c>
      <c r="H61" s="38" t="s">
        <v>657</v>
      </c>
      <c r="I61" s="38" t="s">
        <v>658</v>
      </c>
      <c r="J61" s="38" t="s">
        <v>659</v>
      </c>
      <c r="K61" s="38" t="s">
        <v>676</v>
      </c>
      <c r="L61" s="35">
        <v>990327518</v>
      </c>
      <c r="M61" s="36">
        <v>15</v>
      </c>
      <c r="N61" s="37">
        <v>0.37</v>
      </c>
      <c r="O61" s="38">
        <v>5.55</v>
      </c>
      <c r="P61" s="38">
        <v>0</v>
      </c>
      <c r="Q61" s="36">
        <v>5.55</v>
      </c>
      <c r="R61" s="38" t="s">
        <v>948</v>
      </c>
    </row>
    <row r="62" spans="1:18" x14ac:dyDescent="0.3">
      <c r="A62" s="38" t="s">
        <v>611</v>
      </c>
      <c r="B62" s="38" t="s">
        <v>612</v>
      </c>
      <c r="C62" s="38" t="str">
        <f>CONCATENATE(A62," ",B62)</f>
        <v>Jose Manansala</v>
      </c>
      <c r="D62" s="38" t="s">
        <v>655</v>
      </c>
      <c r="E62" s="38">
        <v>17195620</v>
      </c>
      <c r="F62" s="38" t="s">
        <v>972</v>
      </c>
      <c r="G62" s="38" t="s">
        <v>33</v>
      </c>
      <c r="H62" s="38" t="s">
        <v>657</v>
      </c>
      <c r="I62" s="38" t="s">
        <v>658</v>
      </c>
      <c r="J62" s="38" t="s">
        <v>659</v>
      </c>
      <c r="K62" s="38" t="s">
        <v>726</v>
      </c>
      <c r="L62" s="35">
        <v>245268586</v>
      </c>
      <c r="M62" s="36">
        <v>15</v>
      </c>
      <c r="N62" s="37">
        <v>0.37</v>
      </c>
      <c r="O62" s="38">
        <v>5.55</v>
      </c>
      <c r="P62" s="38">
        <v>0</v>
      </c>
      <c r="Q62" s="36">
        <v>5.55</v>
      </c>
      <c r="R62" s="38" t="s">
        <v>948</v>
      </c>
    </row>
    <row r="63" spans="1:18" x14ac:dyDescent="0.3">
      <c r="A63" s="38" t="s">
        <v>507</v>
      </c>
      <c r="B63" s="38" t="s">
        <v>508</v>
      </c>
      <c r="C63" s="38" t="str">
        <f>CONCATENATE(A63," ",B63)</f>
        <v>Monica ODonnell</v>
      </c>
      <c r="D63" s="38" t="s">
        <v>684</v>
      </c>
      <c r="E63" s="38">
        <v>18010408</v>
      </c>
      <c r="F63" s="38" t="s">
        <v>981</v>
      </c>
      <c r="G63" s="38" t="s">
        <v>33</v>
      </c>
      <c r="H63" s="38" t="s">
        <v>657</v>
      </c>
      <c r="I63" s="38" t="s">
        <v>658</v>
      </c>
      <c r="J63" s="38" t="s">
        <v>659</v>
      </c>
      <c r="K63" s="38" t="s">
        <v>746</v>
      </c>
      <c r="L63" s="35">
        <v>868422442</v>
      </c>
      <c r="M63" s="36">
        <v>15</v>
      </c>
      <c r="N63" s="37">
        <v>0.37</v>
      </c>
      <c r="O63" s="38">
        <v>5.55</v>
      </c>
      <c r="P63" s="38">
        <v>0</v>
      </c>
      <c r="Q63" s="36">
        <v>5.55</v>
      </c>
      <c r="R63" s="38" t="s">
        <v>948</v>
      </c>
    </row>
    <row r="64" spans="1:18" x14ac:dyDescent="0.3">
      <c r="A64" s="38" t="s">
        <v>536</v>
      </c>
      <c r="B64" s="38" t="s">
        <v>537</v>
      </c>
      <c r="C64" s="38" t="str">
        <f>CONCATENATE(A64," ",B64)</f>
        <v>Roxanne Hartrich</v>
      </c>
      <c r="D64" s="38" t="s">
        <v>698</v>
      </c>
      <c r="E64" s="38">
        <v>8244481</v>
      </c>
      <c r="F64" s="38" t="s">
        <v>976</v>
      </c>
      <c r="G64" s="38" t="s">
        <v>33</v>
      </c>
      <c r="H64" s="38" t="s">
        <v>657</v>
      </c>
      <c r="I64" s="38" t="s">
        <v>658</v>
      </c>
      <c r="J64" s="38" t="s">
        <v>659</v>
      </c>
      <c r="K64" s="38" t="s">
        <v>813</v>
      </c>
      <c r="L64" s="35">
        <v>387100933</v>
      </c>
      <c r="M64" s="36">
        <v>15</v>
      </c>
      <c r="N64" s="37">
        <v>0.37</v>
      </c>
      <c r="O64" s="38">
        <v>5.55</v>
      </c>
      <c r="P64" s="38">
        <v>0</v>
      </c>
      <c r="Q64" s="36">
        <v>5.55</v>
      </c>
      <c r="R64" s="38" t="s">
        <v>948</v>
      </c>
    </row>
    <row r="65" spans="1:18" x14ac:dyDescent="0.3">
      <c r="A65" s="38" t="s">
        <v>67</v>
      </c>
      <c r="B65" s="38" t="s">
        <v>68</v>
      </c>
      <c r="C65" s="38" t="str">
        <f>CONCATENATE(A65," ",B65)</f>
        <v>Richard Golden</v>
      </c>
      <c r="D65" s="38" t="s">
        <v>679</v>
      </c>
      <c r="E65" s="38" t="s">
        <v>959</v>
      </c>
      <c r="F65" s="38" t="s">
        <v>966</v>
      </c>
      <c r="G65" s="38" t="s">
        <v>33</v>
      </c>
      <c r="H65" s="38" t="s">
        <v>657</v>
      </c>
      <c r="I65" s="38" t="s">
        <v>658</v>
      </c>
      <c r="J65" s="38" t="s">
        <v>659</v>
      </c>
      <c r="K65" s="38" t="s">
        <v>871</v>
      </c>
      <c r="L65" s="35">
        <v>252126537</v>
      </c>
      <c r="M65" s="36">
        <v>15</v>
      </c>
      <c r="N65" s="37">
        <v>0.37</v>
      </c>
      <c r="O65" s="38">
        <v>5.55</v>
      </c>
      <c r="P65" s="38">
        <v>0</v>
      </c>
      <c r="Q65" s="36">
        <v>5.55</v>
      </c>
      <c r="R65" s="38" t="s">
        <v>948</v>
      </c>
    </row>
    <row r="66" spans="1:18" x14ac:dyDescent="0.3">
      <c r="A66" s="38" t="s">
        <v>104</v>
      </c>
      <c r="B66" s="38" t="s">
        <v>105</v>
      </c>
      <c r="C66" s="38" t="str">
        <f>CONCATENATE(A66," ",B66)</f>
        <v>Dana Wasimin</v>
      </c>
      <c r="D66" s="38" t="s">
        <v>684</v>
      </c>
      <c r="E66" s="38">
        <v>18010408</v>
      </c>
      <c r="F66" s="38" t="s">
        <v>981</v>
      </c>
      <c r="G66" s="38" t="s">
        <v>33</v>
      </c>
      <c r="H66" s="38" t="s">
        <v>657</v>
      </c>
      <c r="I66" s="38" t="s">
        <v>658</v>
      </c>
      <c r="J66" s="38" t="s">
        <v>659</v>
      </c>
      <c r="K66" s="38" t="s">
        <v>746</v>
      </c>
      <c r="L66" s="35">
        <v>583635919</v>
      </c>
      <c r="M66" s="36">
        <v>15</v>
      </c>
      <c r="N66" s="37">
        <v>0.37</v>
      </c>
      <c r="O66" s="38">
        <v>5.55</v>
      </c>
      <c r="P66" s="38">
        <v>0</v>
      </c>
      <c r="Q66" s="36">
        <v>5.55</v>
      </c>
      <c r="R66" s="38" t="s">
        <v>948</v>
      </c>
    </row>
    <row r="67" spans="1:18" x14ac:dyDescent="0.3">
      <c r="A67" s="38" t="s">
        <v>299</v>
      </c>
      <c r="B67" s="38" t="s">
        <v>300</v>
      </c>
      <c r="C67" s="38" t="str">
        <f>CONCATENATE(A67," ",B67)</f>
        <v>Liane Lefever</v>
      </c>
      <c r="D67" s="38" t="s">
        <v>684</v>
      </c>
      <c r="E67" s="38">
        <v>15278437</v>
      </c>
      <c r="F67" s="38" t="s">
        <v>974</v>
      </c>
      <c r="G67" s="38" t="s">
        <v>33</v>
      </c>
      <c r="H67" s="38" t="s">
        <v>657</v>
      </c>
      <c r="I67" s="38" t="s">
        <v>658</v>
      </c>
      <c r="J67" s="38" t="s">
        <v>659</v>
      </c>
      <c r="K67" s="38" t="s">
        <v>832</v>
      </c>
      <c r="L67" s="35">
        <v>784351926</v>
      </c>
      <c r="M67" s="36">
        <v>15</v>
      </c>
      <c r="N67" s="37">
        <v>0.37</v>
      </c>
      <c r="O67" s="38">
        <v>5.55</v>
      </c>
      <c r="P67" s="38">
        <v>0</v>
      </c>
      <c r="Q67" s="36">
        <v>5.55</v>
      </c>
      <c r="R67" s="38" t="s">
        <v>948</v>
      </c>
    </row>
    <row r="68" spans="1:18" x14ac:dyDescent="0.3">
      <c r="A68" s="38" t="s">
        <v>284</v>
      </c>
      <c r="B68" s="38" t="s">
        <v>285</v>
      </c>
      <c r="C68" s="38" t="str">
        <f>CONCATENATE(A68," ",B68)</f>
        <v>Francis Conroy</v>
      </c>
      <c r="D68" s="38" t="s">
        <v>684</v>
      </c>
      <c r="E68" s="38" t="s">
        <v>954</v>
      </c>
      <c r="F68" s="38" t="s">
        <v>967</v>
      </c>
      <c r="G68" s="38" t="s">
        <v>33</v>
      </c>
      <c r="H68" s="38" t="s">
        <v>657</v>
      </c>
      <c r="I68" s="38" t="s">
        <v>658</v>
      </c>
      <c r="J68" s="38" t="s">
        <v>659</v>
      </c>
      <c r="K68" s="38" t="s">
        <v>661</v>
      </c>
      <c r="L68" s="35">
        <v>983602993</v>
      </c>
      <c r="M68" s="36">
        <v>15</v>
      </c>
      <c r="N68" s="37">
        <v>0.37</v>
      </c>
      <c r="O68" s="38">
        <v>5.55</v>
      </c>
      <c r="P68" s="38">
        <v>0</v>
      </c>
      <c r="Q68" s="36">
        <v>5.55</v>
      </c>
      <c r="R68" s="38" t="s">
        <v>948</v>
      </c>
    </row>
    <row r="69" spans="1:18" x14ac:dyDescent="0.3">
      <c r="A69" s="38" t="s">
        <v>408</v>
      </c>
      <c r="B69" s="38" t="s">
        <v>409</v>
      </c>
      <c r="C69" s="38" t="str">
        <f>CONCATENATE(A69," ",B69)</f>
        <v>Sarah Yoder</v>
      </c>
      <c r="D69" s="38" t="s">
        <v>684</v>
      </c>
      <c r="E69" s="38">
        <v>15278437</v>
      </c>
      <c r="F69" s="38" t="s">
        <v>974</v>
      </c>
      <c r="G69" s="38" t="s">
        <v>411</v>
      </c>
      <c r="H69" s="38" t="s">
        <v>657</v>
      </c>
      <c r="I69" s="38" t="s">
        <v>665</v>
      </c>
      <c r="J69" s="38" t="s">
        <v>666</v>
      </c>
      <c r="K69" s="38" t="s">
        <v>696</v>
      </c>
      <c r="L69" s="35">
        <v>537988210</v>
      </c>
      <c r="M69" s="36">
        <v>18</v>
      </c>
      <c r="N69" s="37">
        <v>0.32</v>
      </c>
      <c r="O69" s="38">
        <v>5.76</v>
      </c>
      <c r="P69" s="38">
        <v>0</v>
      </c>
      <c r="Q69" s="36">
        <v>5.76</v>
      </c>
      <c r="R69" s="38" t="s">
        <v>949</v>
      </c>
    </row>
    <row r="70" spans="1:18" x14ac:dyDescent="0.3">
      <c r="A70" s="38" t="s">
        <v>413</v>
      </c>
      <c r="B70" s="38" t="s">
        <v>414</v>
      </c>
      <c r="C70" s="38" t="str">
        <f>CONCATENATE(A70," ",B70)</f>
        <v>Karla Cutting</v>
      </c>
      <c r="D70" s="38" t="s">
        <v>698</v>
      </c>
      <c r="E70" s="38">
        <v>8814784</v>
      </c>
      <c r="F70" s="38" t="s">
        <v>975</v>
      </c>
      <c r="G70" s="38" t="s">
        <v>77</v>
      </c>
      <c r="H70" s="38" t="s">
        <v>657</v>
      </c>
      <c r="I70" s="38" t="s">
        <v>665</v>
      </c>
      <c r="J70" s="38" t="s">
        <v>666</v>
      </c>
      <c r="K70" s="38" t="s">
        <v>693</v>
      </c>
      <c r="L70" s="35">
        <v>783299133</v>
      </c>
      <c r="M70" s="36">
        <v>25</v>
      </c>
      <c r="N70" s="37">
        <v>0.24</v>
      </c>
      <c r="O70" s="38">
        <v>6</v>
      </c>
      <c r="P70" s="38">
        <v>0</v>
      </c>
      <c r="Q70" s="36">
        <v>6</v>
      </c>
      <c r="R70" s="38" t="s">
        <v>950</v>
      </c>
    </row>
    <row r="71" spans="1:18" x14ac:dyDescent="0.3">
      <c r="A71" s="38" t="s">
        <v>192</v>
      </c>
      <c r="B71" s="38" t="s">
        <v>193</v>
      </c>
      <c r="C71" s="38" t="str">
        <f>CONCATENATE(A71," ",B71)</f>
        <v>Jospeh Morris II</v>
      </c>
      <c r="D71" s="38" t="s">
        <v>817</v>
      </c>
      <c r="E71" s="38">
        <v>1706194</v>
      </c>
      <c r="F71" s="38" t="s">
        <v>984</v>
      </c>
      <c r="G71" s="38" t="s">
        <v>77</v>
      </c>
      <c r="H71" s="38" t="s">
        <v>657</v>
      </c>
      <c r="I71" s="38" t="s">
        <v>665</v>
      </c>
      <c r="J71" s="38" t="s">
        <v>666</v>
      </c>
      <c r="K71" s="38" t="s">
        <v>668</v>
      </c>
      <c r="L71" s="35">
        <v>864594072</v>
      </c>
      <c r="M71" s="36">
        <v>25</v>
      </c>
      <c r="N71" s="37">
        <v>0.24</v>
      </c>
      <c r="O71" s="38">
        <v>6</v>
      </c>
      <c r="P71" s="38">
        <v>0</v>
      </c>
      <c r="Q71" s="36">
        <v>6</v>
      </c>
      <c r="R71" s="38" t="s">
        <v>950</v>
      </c>
    </row>
    <row r="72" spans="1:18" x14ac:dyDescent="0.3">
      <c r="A72" s="38" t="s">
        <v>223</v>
      </c>
      <c r="B72" s="38" t="s">
        <v>224</v>
      </c>
      <c r="C72" s="38" t="str">
        <f>CONCATENATE(A72," ",B72)</f>
        <v>Melita Laroco</v>
      </c>
      <c r="D72" s="38" t="s">
        <v>698</v>
      </c>
      <c r="E72" s="38" t="s">
        <v>955</v>
      </c>
      <c r="F72" s="38" t="s">
        <v>968</v>
      </c>
      <c r="G72" s="38" t="s">
        <v>77</v>
      </c>
      <c r="H72" s="38" t="s">
        <v>657</v>
      </c>
      <c r="I72" s="38" t="s">
        <v>665</v>
      </c>
      <c r="J72" s="38" t="s">
        <v>666</v>
      </c>
      <c r="K72" s="38" t="s">
        <v>661</v>
      </c>
      <c r="L72" s="35">
        <v>265025003</v>
      </c>
      <c r="M72" s="36">
        <v>25</v>
      </c>
      <c r="N72" s="37">
        <v>0.24</v>
      </c>
      <c r="O72" s="38">
        <v>6</v>
      </c>
      <c r="P72" s="38">
        <v>0</v>
      </c>
      <c r="Q72" s="36">
        <v>6</v>
      </c>
      <c r="R72" s="38" t="s">
        <v>950</v>
      </c>
    </row>
    <row r="73" spans="1:18" x14ac:dyDescent="0.3">
      <c r="A73" s="38" t="s">
        <v>207</v>
      </c>
      <c r="B73" s="38" t="s">
        <v>208</v>
      </c>
      <c r="C73" s="38" t="str">
        <f>CONCATENATE(A73," ",B73)</f>
        <v>Hadley Beckstrand</v>
      </c>
      <c r="D73" s="38" t="s">
        <v>822</v>
      </c>
      <c r="E73" s="38" t="s">
        <v>953</v>
      </c>
      <c r="F73" s="38" t="s">
        <v>965</v>
      </c>
      <c r="G73" s="38" t="s">
        <v>238</v>
      </c>
      <c r="H73" s="38" t="s">
        <v>657</v>
      </c>
      <c r="I73" s="38" t="s">
        <v>665</v>
      </c>
      <c r="J73" s="38" t="s">
        <v>666</v>
      </c>
      <c r="K73" s="38" t="s">
        <v>672</v>
      </c>
      <c r="L73" s="35">
        <v>520875518</v>
      </c>
      <c r="M73" s="36">
        <v>27</v>
      </c>
      <c r="N73" s="37">
        <v>0.24</v>
      </c>
      <c r="O73" s="38">
        <v>6.48</v>
      </c>
      <c r="P73" s="38">
        <v>0</v>
      </c>
      <c r="Q73" s="36">
        <v>6.48</v>
      </c>
      <c r="R73" s="38" t="s">
        <v>950</v>
      </c>
    </row>
    <row r="74" spans="1:18" x14ac:dyDescent="0.3">
      <c r="A74" s="38" t="s">
        <v>290</v>
      </c>
      <c r="B74" s="38" t="s">
        <v>291</v>
      </c>
      <c r="C74" s="38" t="str">
        <f>CONCATENATE(A74," ",B74)</f>
        <v>Tracy Macdonald</v>
      </c>
      <c r="D74" s="38" t="s">
        <v>817</v>
      </c>
      <c r="E74" s="38" t="s">
        <v>953</v>
      </c>
      <c r="F74" s="38" t="s">
        <v>965</v>
      </c>
      <c r="G74" s="38" t="s">
        <v>238</v>
      </c>
      <c r="H74" s="38" t="s">
        <v>657</v>
      </c>
      <c r="I74" s="38" t="s">
        <v>665</v>
      </c>
      <c r="J74" s="38" t="s">
        <v>666</v>
      </c>
      <c r="K74" s="38" t="s">
        <v>681</v>
      </c>
      <c r="L74" s="35">
        <v>50538789</v>
      </c>
      <c r="M74" s="36">
        <v>27</v>
      </c>
      <c r="N74" s="37">
        <v>0.24</v>
      </c>
      <c r="O74" s="38">
        <v>6.48</v>
      </c>
      <c r="P74" s="38">
        <v>0</v>
      </c>
      <c r="Q74" s="36">
        <v>6.48</v>
      </c>
      <c r="R74" s="38" t="s">
        <v>950</v>
      </c>
    </row>
    <row r="75" spans="1:18" x14ac:dyDescent="0.3">
      <c r="A75" s="38" t="s">
        <v>312</v>
      </c>
      <c r="B75" s="38" t="s">
        <v>313</v>
      </c>
      <c r="C75" s="38" t="str">
        <f>CONCATENATE(A75," ",B75)</f>
        <v>Natividad Hernandez Luna</v>
      </c>
      <c r="D75" s="38" t="s">
        <v>655</v>
      </c>
      <c r="E75" s="38" t="s">
        <v>958</v>
      </c>
      <c r="F75" s="38" t="s">
        <v>971</v>
      </c>
      <c r="G75" s="38" t="s">
        <v>238</v>
      </c>
      <c r="H75" s="38" t="s">
        <v>657</v>
      </c>
      <c r="I75" s="38" t="s">
        <v>665</v>
      </c>
      <c r="J75" s="38" t="s">
        <v>666</v>
      </c>
      <c r="K75" s="38" t="s">
        <v>703</v>
      </c>
      <c r="L75" s="35">
        <v>69052199</v>
      </c>
      <c r="M75" s="36">
        <v>27</v>
      </c>
      <c r="N75" s="37">
        <v>0.24</v>
      </c>
      <c r="O75" s="38">
        <v>6.48</v>
      </c>
      <c r="P75" s="38">
        <v>0</v>
      </c>
      <c r="Q75" s="36">
        <v>6.48</v>
      </c>
      <c r="R75" s="38" t="s">
        <v>950</v>
      </c>
    </row>
    <row r="76" spans="1:18" x14ac:dyDescent="0.3">
      <c r="A76" s="38" t="s">
        <v>244</v>
      </c>
      <c r="B76" s="38" t="s">
        <v>245</v>
      </c>
      <c r="C76" s="38" t="str">
        <f>CONCATENATE(A76," ",B76)</f>
        <v>Maria VonNordeck</v>
      </c>
      <c r="D76" s="38" t="s">
        <v>655</v>
      </c>
      <c r="E76" s="38" t="s">
        <v>953</v>
      </c>
      <c r="F76" s="38" t="s">
        <v>965</v>
      </c>
      <c r="G76" s="38" t="s">
        <v>238</v>
      </c>
      <c r="H76" s="38" t="s">
        <v>657</v>
      </c>
      <c r="I76" s="38" t="s">
        <v>665</v>
      </c>
      <c r="J76" s="38" t="s">
        <v>666</v>
      </c>
      <c r="K76" s="38" t="s">
        <v>922</v>
      </c>
      <c r="L76" s="35">
        <v>428096508</v>
      </c>
      <c r="M76" s="36">
        <v>27</v>
      </c>
      <c r="N76" s="37">
        <v>0.24</v>
      </c>
      <c r="O76" s="38">
        <v>6.48</v>
      </c>
      <c r="P76" s="38">
        <v>0</v>
      </c>
      <c r="Q76" s="36">
        <v>6.48</v>
      </c>
      <c r="R76" s="38" t="s">
        <v>950</v>
      </c>
    </row>
    <row r="77" spans="1:18" x14ac:dyDescent="0.3">
      <c r="A77" s="38" t="s">
        <v>235</v>
      </c>
      <c r="B77" s="38" t="s">
        <v>236</v>
      </c>
      <c r="C77" s="38" t="str">
        <f>CONCATENATE(A77," ",B77)</f>
        <v>Dorothy Musi</v>
      </c>
      <c r="D77" s="38" t="s">
        <v>655</v>
      </c>
      <c r="E77" s="38" t="s">
        <v>958</v>
      </c>
      <c r="F77" s="38" t="s">
        <v>971</v>
      </c>
      <c r="G77" s="38" t="s">
        <v>238</v>
      </c>
      <c r="H77" s="38" t="s">
        <v>657</v>
      </c>
      <c r="I77" s="38" t="s">
        <v>665</v>
      </c>
      <c r="J77" s="38" t="s">
        <v>666</v>
      </c>
      <c r="K77" s="38" t="s">
        <v>686</v>
      </c>
      <c r="L77" s="35">
        <v>353396219</v>
      </c>
      <c r="M77" s="36">
        <v>27</v>
      </c>
      <c r="N77" s="37">
        <v>0.24</v>
      </c>
      <c r="O77" s="38">
        <v>6.48</v>
      </c>
      <c r="P77" s="38">
        <v>0</v>
      </c>
      <c r="Q77" s="36">
        <v>6.48</v>
      </c>
      <c r="R77" s="38" t="s">
        <v>950</v>
      </c>
    </row>
    <row r="78" spans="1:18" x14ac:dyDescent="0.3">
      <c r="A78" s="38" t="s">
        <v>257</v>
      </c>
      <c r="B78" s="38" t="s">
        <v>258</v>
      </c>
      <c r="C78" s="38" t="str">
        <f>CONCATENATE(A78," ",B78)</f>
        <v>Cynthia Brown</v>
      </c>
      <c r="D78" s="38" t="s">
        <v>655</v>
      </c>
      <c r="E78" s="38" t="s">
        <v>953</v>
      </c>
      <c r="F78" s="38" t="s">
        <v>965</v>
      </c>
      <c r="G78" s="38" t="s">
        <v>238</v>
      </c>
      <c r="H78" s="38" t="s">
        <v>657</v>
      </c>
      <c r="I78" s="38" t="s">
        <v>665</v>
      </c>
      <c r="J78" s="38" t="s">
        <v>666</v>
      </c>
      <c r="K78" s="38" t="s">
        <v>661</v>
      </c>
      <c r="L78" s="35">
        <v>400431428</v>
      </c>
      <c r="M78" s="36">
        <v>27</v>
      </c>
      <c r="N78" s="37">
        <v>0.24</v>
      </c>
      <c r="O78" s="38">
        <v>6.48</v>
      </c>
      <c r="P78" s="38">
        <v>0</v>
      </c>
      <c r="Q78" s="36">
        <v>6.48</v>
      </c>
      <c r="R78" s="38" t="s">
        <v>950</v>
      </c>
    </row>
    <row r="79" spans="1:18" x14ac:dyDescent="0.3">
      <c r="A79" s="38" t="s">
        <v>266</v>
      </c>
      <c r="B79" s="38" t="s">
        <v>267</v>
      </c>
      <c r="C79" s="38" t="str">
        <f>CONCATENATE(A79," ",B79)</f>
        <v>Gloria Jacobs</v>
      </c>
      <c r="D79" s="38" t="s">
        <v>655</v>
      </c>
      <c r="E79" s="38" t="s">
        <v>953</v>
      </c>
      <c r="F79" s="38" t="s">
        <v>965</v>
      </c>
      <c r="G79" s="38" t="s">
        <v>238</v>
      </c>
      <c r="H79" s="38" t="s">
        <v>657</v>
      </c>
      <c r="I79" s="38" t="s">
        <v>665</v>
      </c>
      <c r="J79" s="38" t="s">
        <v>666</v>
      </c>
      <c r="K79" s="38" t="s">
        <v>672</v>
      </c>
      <c r="L79" s="35">
        <v>945678431</v>
      </c>
      <c r="M79" s="36">
        <v>27</v>
      </c>
      <c r="N79" s="37">
        <v>0.24</v>
      </c>
      <c r="O79" s="38">
        <v>6.48</v>
      </c>
      <c r="P79" s="38">
        <v>0</v>
      </c>
      <c r="Q79" s="36">
        <v>6.48</v>
      </c>
      <c r="R79" s="38" t="s">
        <v>950</v>
      </c>
    </row>
    <row r="80" spans="1:18" x14ac:dyDescent="0.3">
      <c r="A80" s="38" t="s">
        <v>430</v>
      </c>
      <c r="B80" s="38" t="s">
        <v>431</v>
      </c>
      <c r="C80" s="38" t="str">
        <f>CONCATENATE(A80," ",B80)</f>
        <v>Katrin Urban</v>
      </c>
      <c r="D80" s="38" t="s">
        <v>655</v>
      </c>
      <c r="E80" s="38" t="s">
        <v>953</v>
      </c>
      <c r="F80" s="38" t="s">
        <v>965</v>
      </c>
      <c r="G80" s="38" t="s">
        <v>33</v>
      </c>
      <c r="H80" s="38" t="s">
        <v>657</v>
      </c>
      <c r="I80" s="38" t="s">
        <v>658</v>
      </c>
      <c r="J80" s="38" t="s">
        <v>659</v>
      </c>
      <c r="K80" s="38" t="s">
        <v>661</v>
      </c>
      <c r="L80" s="35">
        <v>914399180</v>
      </c>
      <c r="M80" s="36">
        <v>20</v>
      </c>
      <c r="N80" s="37">
        <v>0.37</v>
      </c>
      <c r="O80" s="38">
        <v>7.4</v>
      </c>
      <c r="P80" s="38">
        <v>0</v>
      </c>
      <c r="Q80" s="36">
        <v>7.4</v>
      </c>
      <c r="R80" s="38" t="s">
        <v>948</v>
      </c>
    </row>
    <row r="81" spans="1:18" x14ac:dyDescent="0.3">
      <c r="A81" s="38" t="s">
        <v>517</v>
      </c>
      <c r="B81" s="38" t="s">
        <v>518</v>
      </c>
      <c r="C81" s="38" t="str">
        <f>CONCATENATE(A81," ",B81)</f>
        <v>Mindi Kane</v>
      </c>
      <c r="D81" s="38" t="s">
        <v>698</v>
      </c>
      <c r="E81" s="38">
        <v>19200754</v>
      </c>
      <c r="F81" s="38" t="s">
        <v>968</v>
      </c>
      <c r="G81" s="38" t="s">
        <v>33</v>
      </c>
      <c r="H81" s="38" t="s">
        <v>657</v>
      </c>
      <c r="I81" s="38" t="s">
        <v>658</v>
      </c>
      <c r="J81" s="38" t="s">
        <v>659</v>
      </c>
      <c r="K81" s="38" t="s">
        <v>746</v>
      </c>
      <c r="L81" s="35">
        <v>629957651</v>
      </c>
      <c r="M81" s="36">
        <v>20</v>
      </c>
      <c r="N81" s="37">
        <v>0.37</v>
      </c>
      <c r="O81" s="38">
        <v>7.4</v>
      </c>
      <c r="P81" s="38">
        <v>0</v>
      </c>
      <c r="Q81" s="36">
        <v>7.4</v>
      </c>
      <c r="R81" s="38" t="s">
        <v>948</v>
      </c>
    </row>
    <row r="82" spans="1:18" x14ac:dyDescent="0.3">
      <c r="A82" s="38" t="s">
        <v>74</v>
      </c>
      <c r="B82" s="38" t="s">
        <v>75</v>
      </c>
      <c r="C82" s="38" t="str">
        <f>CONCATENATE(A82," ",B82)</f>
        <v>Roderick Acha</v>
      </c>
      <c r="D82" s="38" t="s">
        <v>873</v>
      </c>
      <c r="E82" s="38">
        <v>1706194</v>
      </c>
      <c r="F82" s="38" t="s">
        <v>984</v>
      </c>
      <c r="G82" s="38" t="s">
        <v>33</v>
      </c>
      <c r="H82" s="38" t="s">
        <v>657</v>
      </c>
      <c r="I82" s="38" t="s">
        <v>658</v>
      </c>
      <c r="J82" s="38" t="s">
        <v>659</v>
      </c>
      <c r="K82" s="38" t="s">
        <v>668</v>
      </c>
      <c r="L82" s="35">
        <v>66621000</v>
      </c>
      <c r="M82" s="36">
        <v>20</v>
      </c>
      <c r="N82" s="37">
        <v>0.37</v>
      </c>
      <c r="O82" s="38">
        <v>7.4</v>
      </c>
      <c r="P82" s="38">
        <v>0</v>
      </c>
      <c r="Q82" s="36">
        <v>7.4</v>
      </c>
      <c r="R82" s="38" t="s">
        <v>948</v>
      </c>
    </row>
    <row r="83" spans="1:18" x14ac:dyDescent="0.3">
      <c r="A83" s="38" t="s">
        <v>372</v>
      </c>
      <c r="B83" s="38" t="s">
        <v>373</v>
      </c>
      <c r="C83" s="38" t="str">
        <f>CONCATENATE(A83," ",B83)</f>
        <v>Lori Bottenfield</v>
      </c>
      <c r="D83" s="38" t="s">
        <v>679</v>
      </c>
      <c r="E83" s="38" t="s">
        <v>960</v>
      </c>
      <c r="F83" s="38" t="s">
        <v>973</v>
      </c>
      <c r="G83" s="38" t="s">
        <v>96</v>
      </c>
      <c r="H83" s="38" t="s">
        <v>657</v>
      </c>
      <c r="I83" s="38" t="s">
        <v>665</v>
      </c>
      <c r="J83" s="38" t="s">
        <v>666</v>
      </c>
      <c r="K83" s="38" t="s">
        <v>693</v>
      </c>
      <c r="L83" s="35">
        <v>176713886</v>
      </c>
      <c r="M83" s="36">
        <v>25</v>
      </c>
      <c r="N83" s="37">
        <v>0.32</v>
      </c>
      <c r="O83" s="38">
        <v>8</v>
      </c>
      <c r="P83" s="38">
        <v>0</v>
      </c>
      <c r="Q83" s="36">
        <v>8</v>
      </c>
      <c r="R83" s="38" t="s">
        <v>949</v>
      </c>
    </row>
    <row r="84" spans="1:18" x14ac:dyDescent="0.3">
      <c r="A84" s="38" t="s">
        <v>377</v>
      </c>
      <c r="B84" s="38" t="s">
        <v>378</v>
      </c>
      <c r="C84" s="38" t="str">
        <f>CONCATENATE(A84," ",B84)</f>
        <v>Jean Harrell</v>
      </c>
      <c r="D84" s="38" t="s">
        <v>655</v>
      </c>
      <c r="E84" s="38">
        <v>16202925</v>
      </c>
      <c r="F84" s="38" t="s">
        <v>965</v>
      </c>
      <c r="G84" s="38" t="s">
        <v>96</v>
      </c>
      <c r="H84" s="38" t="s">
        <v>657</v>
      </c>
      <c r="I84" s="38" t="s">
        <v>665</v>
      </c>
      <c r="J84" s="38" t="s">
        <v>666</v>
      </c>
      <c r="K84" s="38" t="s">
        <v>722</v>
      </c>
      <c r="L84" s="35">
        <v>384431357</v>
      </c>
      <c r="M84" s="36">
        <v>25</v>
      </c>
      <c r="N84" s="37">
        <v>0.32</v>
      </c>
      <c r="O84" s="38">
        <v>8</v>
      </c>
      <c r="P84" s="38">
        <v>0</v>
      </c>
      <c r="Q84" s="36">
        <v>8</v>
      </c>
      <c r="R84" s="38" t="s">
        <v>949</v>
      </c>
    </row>
    <row r="85" spans="1:18" x14ac:dyDescent="0.3">
      <c r="A85" s="38" t="s">
        <v>382</v>
      </c>
      <c r="B85" s="38" t="s">
        <v>383</v>
      </c>
      <c r="C85" s="38" t="str">
        <f>CONCATENATE(A85," ",B85)</f>
        <v>Tyrell Weaver</v>
      </c>
      <c r="D85" s="38" t="s">
        <v>655</v>
      </c>
      <c r="E85" s="38">
        <v>16202925</v>
      </c>
      <c r="F85" s="38" t="s">
        <v>965</v>
      </c>
      <c r="G85" s="38" t="s">
        <v>96</v>
      </c>
      <c r="H85" s="38" t="s">
        <v>657</v>
      </c>
      <c r="I85" s="38" t="s">
        <v>665</v>
      </c>
      <c r="J85" s="38" t="s">
        <v>666</v>
      </c>
      <c r="K85" s="38" t="s">
        <v>726</v>
      </c>
      <c r="L85" s="35">
        <v>698731916</v>
      </c>
      <c r="M85" s="36">
        <v>25</v>
      </c>
      <c r="N85" s="37">
        <v>0.32</v>
      </c>
      <c r="O85" s="38">
        <v>8</v>
      </c>
      <c r="P85" s="38">
        <v>0</v>
      </c>
      <c r="Q85" s="36">
        <v>8</v>
      </c>
      <c r="R85" s="38" t="s">
        <v>949</v>
      </c>
    </row>
    <row r="86" spans="1:18" x14ac:dyDescent="0.3">
      <c r="A86" s="38" t="s">
        <v>404</v>
      </c>
      <c r="B86" s="38" t="s">
        <v>405</v>
      </c>
      <c r="C86" s="38" t="str">
        <f>CONCATENATE(A86," ",B86)</f>
        <v>William  Custer</v>
      </c>
      <c r="D86" s="38" t="s">
        <v>655</v>
      </c>
      <c r="E86" s="38">
        <v>16202925</v>
      </c>
      <c r="F86" s="38" t="s">
        <v>965</v>
      </c>
      <c r="G86" s="38" t="s">
        <v>96</v>
      </c>
      <c r="H86" s="38" t="s">
        <v>657</v>
      </c>
      <c r="I86" s="38" t="s">
        <v>665</v>
      </c>
      <c r="J86" s="38" t="s">
        <v>666</v>
      </c>
      <c r="K86" s="38" t="s">
        <v>693</v>
      </c>
      <c r="L86" s="35">
        <v>571135014</v>
      </c>
      <c r="M86" s="36">
        <v>25</v>
      </c>
      <c r="N86" s="37">
        <v>0.32</v>
      </c>
      <c r="O86" s="38">
        <v>8</v>
      </c>
      <c r="P86" s="38">
        <v>0</v>
      </c>
      <c r="Q86" s="36">
        <v>8</v>
      </c>
      <c r="R86" s="38" t="s">
        <v>949</v>
      </c>
    </row>
    <row r="87" spans="1:18" x14ac:dyDescent="0.3">
      <c r="A87" s="38" t="s">
        <v>182</v>
      </c>
      <c r="B87" s="38" t="s">
        <v>418</v>
      </c>
      <c r="C87" s="38" t="str">
        <f>CONCATENATE(A87," ",B87)</f>
        <v>Michael Scarpulla</v>
      </c>
      <c r="D87" s="38" t="s">
        <v>655</v>
      </c>
      <c r="E87" s="38">
        <v>16202925</v>
      </c>
      <c r="F87" s="38" t="s">
        <v>965</v>
      </c>
      <c r="G87" s="38" t="s">
        <v>96</v>
      </c>
      <c r="H87" s="38" t="s">
        <v>657</v>
      </c>
      <c r="I87" s="38" t="s">
        <v>665</v>
      </c>
      <c r="J87" s="38" t="s">
        <v>666</v>
      </c>
      <c r="K87" s="38" t="s">
        <v>668</v>
      </c>
      <c r="L87" s="35">
        <v>524461911</v>
      </c>
      <c r="M87" s="36">
        <v>25</v>
      </c>
      <c r="N87" s="37">
        <v>0.32</v>
      </c>
      <c r="O87" s="38">
        <v>8</v>
      </c>
      <c r="P87" s="38">
        <v>0</v>
      </c>
      <c r="Q87" s="36">
        <v>8</v>
      </c>
      <c r="R87" s="38" t="s">
        <v>949</v>
      </c>
    </row>
    <row r="88" spans="1:18" x14ac:dyDescent="0.3">
      <c r="A88" s="38" t="s">
        <v>469</v>
      </c>
      <c r="B88" s="38" t="s">
        <v>470</v>
      </c>
      <c r="C88" s="38" t="str">
        <f>CONCATENATE(A88," ",B88)</f>
        <v>Susan  Belden</v>
      </c>
      <c r="D88" s="38" t="s">
        <v>655</v>
      </c>
      <c r="E88" s="38">
        <v>16202925</v>
      </c>
      <c r="F88" s="38" t="s">
        <v>965</v>
      </c>
      <c r="G88" s="38" t="s">
        <v>96</v>
      </c>
      <c r="H88" s="38" t="s">
        <v>657</v>
      </c>
      <c r="I88" s="38" t="s">
        <v>665</v>
      </c>
      <c r="J88" s="38" t="s">
        <v>666</v>
      </c>
      <c r="K88" s="38" t="s">
        <v>726</v>
      </c>
      <c r="L88" s="35">
        <v>998017756</v>
      </c>
      <c r="M88" s="36">
        <v>25</v>
      </c>
      <c r="N88" s="37">
        <v>0.32</v>
      </c>
      <c r="O88" s="38">
        <v>8</v>
      </c>
      <c r="P88" s="38">
        <v>0</v>
      </c>
      <c r="Q88" s="36">
        <v>8</v>
      </c>
      <c r="R88" s="38" t="s">
        <v>949</v>
      </c>
    </row>
    <row r="89" spans="1:18" x14ac:dyDescent="0.3">
      <c r="A89" s="38" t="s">
        <v>454</v>
      </c>
      <c r="B89" s="38" t="s">
        <v>562</v>
      </c>
      <c r="C89" s="38" t="str">
        <f>CONCATENATE(A89," ",B89)</f>
        <v>Donna Arrich</v>
      </c>
      <c r="D89" s="38" t="s">
        <v>655</v>
      </c>
      <c r="E89" s="38">
        <v>16202925</v>
      </c>
      <c r="F89" s="38" t="s">
        <v>965</v>
      </c>
      <c r="G89" s="38" t="s">
        <v>96</v>
      </c>
      <c r="H89" s="38" t="s">
        <v>657</v>
      </c>
      <c r="I89" s="38" t="s">
        <v>665</v>
      </c>
      <c r="J89" s="38" t="s">
        <v>666</v>
      </c>
      <c r="K89" s="38" t="s">
        <v>722</v>
      </c>
      <c r="L89" s="35">
        <v>138655428</v>
      </c>
      <c r="M89" s="36">
        <v>25</v>
      </c>
      <c r="N89" s="37">
        <v>0.32</v>
      </c>
      <c r="O89" s="38">
        <v>8</v>
      </c>
      <c r="P89" s="38">
        <v>0</v>
      </c>
      <c r="Q89" s="36">
        <v>8</v>
      </c>
      <c r="R89" s="38" t="s">
        <v>949</v>
      </c>
    </row>
    <row r="90" spans="1:18" x14ac:dyDescent="0.3">
      <c r="A90" s="38" t="s">
        <v>574</v>
      </c>
      <c r="B90" s="38" t="s">
        <v>575</v>
      </c>
      <c r="C90" s="38" t="str">
        <f>CONCATENATE(A90," ",B90)</f>
        <v>Jean Francois Agbodjogbe</v>
      </c>
      <c r="D90" s="38" t="s">
        <v>655</v>
      </c>
      <c r="E90" s="38" t="s">
        <v>958</v>
      </c>
      <c r="F90" s="38" t="s">
        <v>971</v>
      </c>
      <c r="G90" s="38" t="s">
        <v>96</v>
      </c>
      <c r="H90" s="38" t="s">
        <v>657</v>
      </c>
      <c r="I90" s="38" t="s">
        <v>665</v>
      </c>
      <c r="J90" s="38" t="s">
        <v>666</v>
      </c>
      <c r="K90" s="38" t="s">
        <v>676</v>
      </c>
      <c r="L90" s="35">
        <v>230444946</v>
      </c>
      <c r="M90" s="36">
        <v>25</v>
      </c>
      <c r="N90" s="37">
        <v>0.32</v>
      </c>
      <c r="O90" s="38">
        <v>8</v>
      </c>
      <c r="P90" s="38">
        <v>0</v>
      </c>
      <c r="Q90" s="36">
        <v>8</v>
      </c>
      <c r="R90" s="38" t="s">
        <v>949</v>
      </c>
    </row>
    <row r="91" spans="1:18" x14ac:dyDescent="0.3">
      <c r="A91" s="38" t="s">
        <v>588</v>
      </c>
      <c r="B91" s="38" t="s">
        <v>589</v>
      </c>
      <c r="C91" s="38" t="str">
        <f>CONCATENATE(A91," ",B91)</f>
        <v>Joshua Tutchton</v>
      </c>
      <c r="D91" s="38" t="s">
        <v>655</v>
      </c>
      <c r="E91" s="38">
        <v>16202925</v>
      </c>
      <c r="F91" s="38" t="s">
        <v>965</v>
      </c>
      <c r="G91" s="38" t="s">
        <v>96</v>
      </c>
      <c r="H91" s="38" t="s">
        <v>657</v>
      </c>
      <c r="I91" s="38" t="s">
        <v>665</v>
      </c>
      <c r="J91" s="38" t="s">
        <v>666</v>
      </c>
      <c r="K91" s="38" t="s">
        <v>726</v>
      </c>
      <c r="L91" s="35">
        <v>892393390</v>
      </c>
      <c r="M91" s="36">
        <v>25</v>
      </c>
      <c r="N91" s="37">
        <v>0.32</v>
      </c>
      <c r="O91" s="38">
        <v>8</v>
      </c>
      <c r="P91" s="38">
        <v>0</v>
      </c>
      <c r="Q91" s="36">
        <v>8</v>
      </c>
      <c r="R91" s="38" t="s">
        <v>949</v>
      </c>
    </row>
    <row r="92" spans="1:18" x14ac:dyDescent="0.3">
      <c r="A92" s="38" t="s">
        <v>625</v>
      </c>
      <c r="B92" s="38" t="s">
        <v>626</v>
      </c>
      <c r="C92" s="38" t="str">
        <f>CONCATENATE(A92," ",B92)</f>
        <v>Tyler Fortney</v>
      </c>
      <c r="D92" s="38" t="s">
        <v>655</v>
      </c>
      <c r="E92" s="38">
        <v>16202925</v>
      </c>
      <c r="F92" s="38" t="s">
        <v>965</v>
      </c>
      <c r="G92" s="38" t="s">
        <v>96</v>
      </c>
      <c r="H92" s="38" t="s">
        <v>657</v>
      </c>
      <c r="I92" s="38" t="s">
        <v>665</v>
      </c>
      <c r="J92" s="38" t="s">
        <v>666</v>
      </c>
      <c r="K92" s="38" t="s">
        <v>676</v>
      </c>
      <c r="L92" s="35">
        <v>498487989</v>
      </c>
      <c r="M92" s="36">
        <v>25</v>
      </c>
      <c r="N92" s="37">
        <v>0.32</v>
      </c>
      <c r="O92" s="38">
        <v>8</v>
      </c>
      <c r="P92" s="38">
        <v>0</v>
      </c>
      <c r="Q92" s="36">
        <v>8</v>
      </c>
      <c r="R92" s="38" t="s">
        <v>949</v>
      </c>
    </row>
    <row r="93" spans="1:18" x14ac:dyDescent="0.3">
      <c r="A93" s="38" t="s">
        <v>596</v>
      </c>
      <c r="B93" s="38" t="s">
        <v>597</v>
      </c>
      <c r="C93" s="38" t="str">
        <f>CONCATENATE(A93," ",B93)</f>
        <v>Zhenhua Jiang</v>
      </c>
      <c r="D93" s="38" t="s">
        <v>655</v>
      </c>
      <c r="E93" s="38" t="s">
        <v>958</v>
      </c>
      <c r="F93" s="38" t="s">
        <v>971</v>
      </c>
      <c r="G93" s="38" t="s">
        <v>96</v>
      </c>
      <c r="H93" s="38" t="s">
        <v>657</v>
      </c>
      <c r="I93" s="38" t="s">
        <v>665</v>
      </c>
      <c r="J93" s="38" t="s">
        <v>666</v>
      </c>
      <c r="K93" s="38" t="s">
        <v>722</v>
      </c>
      <c r="L93" s="35">
        <v>389218592</v>
      </c>
      <c r="M93" s="36">
        <v>25</v>
      </c>
      <c r="N93" s="37">
        <v>0.32</v>
      </c>
      <c r="O93" s="38">
        <v>8</v>
      </c>
      <c r="P93" s="38">
        <v>0</v>
      </c>
      <c r="Q93" s="36">
        <v>8</v>
      </c>
      <c r="R93" s="38" t="s">
        <v>949</v>
      </c>
    </row>
    <row r="94" spans="1:18" x14ac:dyDescent="0.3">
      <c r="A94" s="38" t="s">
        <v>555</v>
      </c>
      <c r="B94" s="38" t="s">
        <v>556</v>
      </c>
      <c r="C94" s="38" t="str">
        <f>CONCATENATE(A94," ",B94)</f>
        <v>Alycea Rivera</v>
      </c>
      <c r="D94" s="38" t="s">
        <v>655</v>
      </c>
      <c r="E94" s="38">
        <v>16202925</v>
      </c>
      <c r="F94" s="38" t="s">
        <v>965</v>
      </c>
      <c r="G94" s="38" t="s">
        <v>96</v>
      </c>
      <c r="H94" s="38" t="s">
        <v>657</v>
      </c>
      <c r="I94" s="38" t="s">
        <v>665</v>
      </c>
      <c r="J94" s="38" t="s">
        <v>666</v>
      </c>
      <c r="K94" s="38" t="s">
        <v>668</v>
      </c>
      <c r="L94" s="35">
        <v>232438202</v>
      </c>
      <c r="M94" s="36">
        <v>25</v>
      </c>
      <c r="N94" s="37">
        <v>0.32</v>
      </c>
      <c r="O94" s="38">
        <v>8</v>
      </c>
      <c r="P94" s="38">
        <v>0</v>
      </c>
      <c r="Q94" s="36">
        <v>8</v>
      </c>
      <c r="R94" s="38" t="s">
        <v>949</v>
      </c>
    </row>
    <row r="95" spans="1:18" x14ac:dyDescent="0.3">
      <c r="A95" s="38" t="s">
        <v>484</v>
      </c>
      <c r="B95" s="38" t="s">
        <v>485</v>
      </c>
      <c r="C95" s="38" t="str">
        <f>CONCATENATE(A95," ",B95)</f>
        <v>Shane  Abrams</v>
      </c>
      <c r="D95" s="38" t="s">
        <v>655</v>
      </c>
      <c r="E95" s="38">
        <v>16202925</v>
      </c>
      <c r="F95" s="38" t="s">
        <v>965</v>
      </c>
      <c r="G95" s="38" t="s">
        <v>96</v>
      </c>
      <c r="H95" s="38" t="s">
        <v>657</v>
      </c>
      <c r="I95" s="38" t="s">
        <v>665</v>
      </c>
      <c r="J95" s="38" t="s">
        <v>666</v>
      </c>
      <c r="K95" s="38" t="s">
        <v>668</v>
      </c>
      <c r="L95" s="35">
        <v>509666499</v>
      </c>
      <c r="M95" s="36">
        <v>25</v>
      </c>
      <c r="N95" s="37">
        <v>0.32</v>
      </c>
      <c r="O95" s="38">
        <v>8</v>
      </c>
      <c r="P95" s="38">
        <v>0</v>
      </c>
      <c r="Q95" s="36">
        <v>8</v>
      </c>
      <c r="R95" s="38" t="s">
        <v>949</v>
      </c>
    </row>
    <row r="96" spans="1:18" x14ac:dyDescent="0.3">
      <c r="A96" s="38" t="s">
        <v>488</v>
      </c>
      <c r="B96" s="38" t="s">
        <v>489</v>
      </c>
      <c r="C96" s="38" t="str">
        <f>CONCATENATE(A96," ",B96)</f>
        <v>Satya Southall</v>
      </c>
      <c r="D96" s="38" t="s">
        <v>655</v>
      </c>
      <c r="E96" s="38" t="s">
        <v>958</v>
      </c>
      <c r="F96" s="38" t="s">
        <v>971</v>
      </c>
      <c r="G96" s="38" t="s">
        <v>96</v>
      </c>
      <c r="H96" s="38" t="s">
        <v>657</v>
      </c>
      <c r="I96" s="38" t="s">
        <v>665</v>
      </c>
      <c r="J96" s="38" t="s">
        <v>666</v>
      </c>
      <c r="K96" s="38" t="s">
        <v>693</v>
      </c>
      <c r="L96" s="35">
        <v>896294214</v>
      </c>
      <c r="M96" s="36">
        <v>25</v>
      </c>
      <c r="N96" s="37">
        <v>0.32</v>
      </c>
      <c r="O96" s="38">
        <v>8</v>
      </c>
      <c r="P96" s="38">
        <v>0</v>
      </c>
      <c r="Q96" s="36">
        <v>8</v>
      </c>
      <c r="R96" s="38" t="s">
        <v>949</v>
      </c>
    </row>
    <row r="97" spans="1:18" x14ac:dyDescent="0.3">
      <c r="A97" s="38" t="s">
        <v>454</v>
      </c>
      <c r="B97" s="38" t="s">
        <v>504</v>
      </c>
      <c r="C97" s="38" t="str">
        <f>CONCATENATE(A97," ",B97)</f>
        <v>Donna Tarmon</v>
      </c>
      <c r="D97" s="38" t="s">
        <v>655</v>
      </c>
      <c r="E97" s="38">
        <v>16202925</v>
      </c>
      <c r="F97" s="38" t="s">
        <v>965</v>
      </c>
      <c r="G97" s="38" t="s">
        <v>96</v>
      </c>
      <c r="H97" s="38" t="s">
        <v>657</v>
      </c>
      <c r="I97" s="38" t="s">
        <v>665</v>
      </c>
      <c r="J97" s="38" t="s">
        <v>666</v>
      </c>
      <c r="K97" s="38" t="s">
        <v>668</v>
      </c>
      <c r="L97" s="35">
        <v>876391898</v>
      </c>
      <c r="M97" s="36">
        <v>25</v>
      </c>
      <c r="N97" s="37">
        <v>0.32</v>
      </c>
      <c r="O97" s="38">
        <v>8</v>
      </c>
      <c r="P97" s="38">
        <v>0</v>
      </c>
      <c r="Q97" s="36">
        <v>8</v>
      </c>
      <c r="R97" s="38" t="s">
        <v>949</v>
      </c>
    </row>
    <row r="98" spans="1:18" x14ac:dyDescent="0.3">
      <c r="A98" s="38" t="s">
        <v>525</v>
      </c>
      <c r="B98" s="38" t="s">
        <v>258</v>
      </c>
      <c r="C98" s="38" t="str">
        <f>CONCATENATE(A98," ",B98)</f>
        <v>Alonzo Brown</v>
      </c>
      <c r="D98" s="38" t="s">
        <v>655</v>
      </c>
      <c r="E98" s="38">
        <v>7387433</v>
      </c>
      <c r="F98" s="38" t="s">
        <v>982</v>
      </c>
      <c r="G98" s="38" t="s">
        <v>96</v>
      </c>
      <c r="H98" s="38" t="s">
        <v>657</v>
      </c>
      <c r="I98" s="38" t="s">
        <v>665</v>
      </c>
      <c r="J98" s="38" t="s">
        <v>666</v>
      </c>
      <c r="K98" s="38" t="s">
        <v>810</v>
      </c>
      <c r="L98" s="35">
        <v>418031090</v>
      </c>
      <c r="M98" s="36">
        <v>25</v>
      </c>
      <c r="N98" s="37">
        <v>0.32</v>
      </c>
      <c r="O98" s="38">
        <v>8</v>
      </c>
      <c r="P98" s="38">
        <v>0</v>
      </c>
      <c r="Q98" s="36">
        <v>8</v>
      </c>
      <c r="R98" s="38" t="s">
        <v>949</v>
      </c>
    </row>
    <row r="99" spans="1:18" x14ac:dyDescent="0.3">
      <c r="A99" s="38" t="s">
        <v>532</v>
      </c>
      <c r="B99" s="38" t="s">
        <v>533</v>
      </c>
      <c r="C99" s="38" t="str">
        <f>CONCATENATE(A99," ",B99)</f>
        <v>Amberly Litchfield</v>
      </c>
      <c r="D99" s="38" t="s">
        <v>655</v>
      </c>
      <c r="E99" s="38">
        <v>16202925</v>
      </c>
      <c r="F99" s="38" t="s">
        <v>965</v>
      </c>
      <c r="G99" s="38" t="s">
        <v>96</v>
      </c>
      <c r="H99" s="38" t="s">
        <v>657</v>
      </c>
      <c r="I99" s="38" t="s">
        <v>665</v>
      </c>
      <c r="J99" s="38" t="s">
        <v>666</v>
      </c>
      <c r="K99" s="38" t="s">
        <v>676</v>
      </c>
      <c r="L99" s="35">
        <v>478183816</v>
      </c>
      <c r="M99" s="36">
        <v>25</v>
      </c>
      <c r="N99" s="37">
        <v>0.32</v>
      </c>
      <c r="O99" s="38">
        <v>8</v>
      </c>
      <c r="P99" s="38">
        <v>0</v>
      </c>
      <c r="Q99" s="36">
        <v>8</v>
      </c>
      <c r="R99" s="38" t="s">
        <v>949</v>
      </c>
    </row>
    <row r="100" spans="1:18" x14ac:dyDescent="0.3">
      <c r="A100" s="38" t="s">
        <v>182</v>
      </c>
      <c r="B100" s="38" t="s">
        <v>183</v>
      </c>
      <c r="C100" s="38" t="str">
        <f>CONCATENATE(A100," ",B100)</f>
        <v>Michael Suskin</v>
      </c>
      <c r="D100" s="38" t="s">
        <v>655</v>
      </c>
      <c r="E100" s="38">
        <v>17195620</v>
      </c>
      <c r="F100" s="38" t="s">
        <v>972</v>
      </c>
      <c r="G100" s="38" t="s">
        <v>96</v>
      </c>
      <c r="H100" s="38" t="s">
        <v>657</v>
      </c>
      <c r="I100" s="38" t="s">
        <v>665</v>
      </c>
      <c r="J100" s="38" t="s">
        <v>666</v>
      </c>
      <c r="K100" s="38" t="s">
        <v>676</v>
      </c>
      <c r="L100" s="35">
        <v>58861441</v>
      </c>
      <c r="M100" s="36">
        <v>25</v>
      </c>
      <c r="N100" s="37">
        <v>0.32</v>
      </c>
      <c r="O100" s="38">
        <v>8</v>
      </c>
      <c r="P100" s="38">
        <v>0</v>
      </c>
      <c r="Q100" s="36">
        <v>8</v>
      </c>
      <c r="R100" s="38" t="s">
        <v>949</v>
      </c>
    </row>
    <row r="101" spans="1:18" x14ac:dyDescent="0.3">
      <c r="A101" s="38" t="s">
        <v>202</v>
      </c>
      <c r="B101" s="38" t="s">
        <v>203</v>
      </c>
      <c r="C101" s="38" t="str">
        <f>CONCATENATE(A101," ",B101)</f>
        <v>Minas Giorgakis</v>
      </c>
      <c r="D101" s="38" t="s">
        <v>655</v>
      </c>
      <c r="E101" s="38">
        <v>16202925</v>
      </c>
      <c r="F101" s="38" t="s">
        <v>965</v>
      </c>
      <c r="G101" s="38" t="s">
        <v>96</v>
      </c>
      <c r="H101" s="38" t="s">
        <v>657</v>
      </c>
      <c r="I101" s="38" t="s">
        <v>665</v>
      </c>
      <c r="J101" s="38" t="s">
        <v>666</v>
      </c>
      <c r="K101" s="38" t="s">
        <v>717</v>
      </c>
      <c r="L101" s="35">
        <v>165329262</v>
      </c>
      <c r="M101" s="36">
        <v>25</v>
      </c>
      <c r="N101" s="37">
        <v>0.32</v>
      </c>
      <c r="O101" s="38">
        <v>8</v>
      </c>
      <c r="P101" s="38">
        <v>0</v>
      </c>
      <c r="Q101" s="36">
        <v>8</v>
      </c>
      <c r="R101" s="38" t="s">
        <v>949</v>
      </c>
    </row>
    <row r="102" spans="1:18" x14ac:dyDescent="0.3">
      <c r="A102" s="38" t="s">
        <v>130</v>
      </c>
      <c r="B102" s="38" t="s">
        <v>131</v>
      </c>
      <c r="C102" s="38" t="str">
        <f>CONCATENATE(A102," ",B102)</f>
        <v>Dudley Hinegardner</v>
      </c>
      <c r="D102" s="38" t="s">
        <v>655</v>
      </c>
      <c r="E102" s="38">
        <v>16202925</v>
      </c>
      <c r="F102" s="38" t="s">
        <v>965</v>
      </c>
      <c r="G102" s="38" t="s">
        <v>96</v>
      </c>
      <c r="H102" s="38" t="s">
        <v>657</v>
      </c>
      <c r="I102" s="38" t="s">
        <v>665</v>
      </c>
      <c r="J102" s="38" t="s">
        <v>666</v>
      </c>
      <c r="K102" s="38" t="s">
        <v>676</v>
      </c>
      <c r="L102" s="35">
        <v>699319353</v>
      </c>
      <c r="M102" s="36">
        <v>25</v>
      </c>
      <c r="N102" s="37">
        <v>0.32</v>
      </c>
      <c r="O102" s="38">
        <v>8</v>
      </c>
      <c r="P102" s="38">
        <v>0</v>
      </c>
      <c r="Q102" s="36">
        <v>8</v>
      </c>
      <c r="R102" s="38" t="s">
        <v>949</v>
      </c>
    </row>
    <row r="103" spans="1:18" x14ac:dyDescent="0.3">
      <c r="A103" s="38" t="s">
        <v>172</v>
      </c>
      <c r="B103" s="38" t="s">
        <v>173</v>
      </c>
      <c r="C103" s="38" t="str">
        <f>CONCATENATE(A103," ",B103)</f>
        <v>Jennifer  Harbin</v>
      </c>
      <c r="D103" s="38" t="s">
        <v>655</v>
      </c>
      <c r="E103" s="38">
        <v>16202925</v>
      </c>
      <c r="F103" s="38" t="s">
        <v>965</v>
      </c>
      <c r="G103" s="38" t="s">
        <v>96</v>
      </c>
      <c r="H103" s="38" t="s">
        <v>657</v>
      </c>
      <c r="I103" s="38" t="s">
        <v>665</v>
      </c>
      <c r="J103" s="38" t="s">
        <v>666</v>
      </c>
      <c r="K103" s="38" t="s">
        <v>726</v>
      </c>
      <c r="L103" s="35">
        <v>196153282</v>
      </c>
      <c r="M103" s="36">
        <v>25</v>
      </c>
      <c r="N103" s="37">
        <v>0.32</v>
      </c>
      <c r="O103" s="38">
        <v>8</v>
      </c>
      <c r="P103" s="38">
        <v>0</v>
      </c>
      <c r="Q103" s="36">
        <v>8</v>
      </c>
      <c r="R103" s="38" t="s">
        <v>949</v>
      </c>
    </row>
    <row r="104" spans="1:18" x14ac:dyDescent="0.3">
      <c r="A104" s="38" t="s">
        <v>93</v>
      </c>
      <c r="B104" s="38" t="s">
        <v>94</v>
      </c>
      <c r="C104" s="38" t="str">
        <f>CONCATENATE(A104," ",B104)</f>
        <v>Cornell Jackson</v>
      </c>
      <c r="D104" s="38" t="s">
        <v>655</v>
      </c>
      <c r="E104" s="38">
        <v>16202925</v>
      </c>
      <c r="F104" s="38" t="s">
        <v>965</v>
      </c>
      <c r="G104" s="38" t="s">
        <v>96</v>
      </c>
      <c r="H104" s="38" t="s">
        <v>657</v>
      </c>
      <c r="I104" s="38" t="s">
        <v>665</v>
      </c>
      <c r="J104" s="38" t="s">
        <v>666</v>
      </c>
      <c r="K104" s="38" t="s">
        <v>717</v>
      </c>
      <c r="L104" s="35">
        <v>708780484</v>
      </c>
      <c r="M104" s="36">
        <v>25</v>
      </c>
      <c r="N104" s="37">
        <v>0.32</v>
      </c>
      <c r="O104" s="38">
        <v>8</v>
      </c>
      <c r="P104" s="38">
        <v>0</v>
      </c>
      <c r="Q104" s="36">
        <v>8</v>
      </c>
      <c r="R104" s="38" t="s">
        <v>949</v>
      </c>
    </row>
    <row r="105" spans="1:18" x14ac:dyDescent="0.3">
      <c r="A105" s="38" t="s">
        <v>120</v>
      </c>
      <c r="B105" s="38" t="s">
        <v>121</v>
      </c>
      <c r="C105" s="38" t="str">
        <f>CONCATENATE(A105," ",B105)</f>
        <v>Emily Whitacre</v>
      </c>
      <c r="D105" s="38" t="s">
        <v>655</v>
      </c>
      <c r="E105" s="38">
        <v>16202925</v>
      </c>
      <c r="F105" s="38" t="s">
        <v>965</v>
      </c>
      <c r="G105" s="38" t="s">
        <v>96</v>
      </c>
      <c r="H105" s="38" t="s">
        <v>657</v>
      </c>
      <c r="I105" s="38" t="s">
        <v>665</v>
      </c>
      <c r="J105" s="38" t="s">
        <v>666</v>
      </c>
      <c r="K105" s="38" t="s">
        <v>717</v>
      </c>
      <c r="L105" s="35">
        <v>858353460</v>
      </c>
      <c r="M105" s="36">
        <v>25</v>
      </c>
      <c r="N105" s="37">
        <v>0.32</v>
      </c>
      <c r="O105" s="38">
        <v>8</v>
      </c>
      <c r="P105" s="38">
        <v>0</v>
      </c>
      <c r="Q105" s="36">
        <v>8</v>
      </c>
      <c r="R105" s="38" t="s">
        <v>949</v>
      </c>
    </row>
    <row r="106" spans="1:18" x14ac:dyDescent="0.3">
      <c r="A106" s="38" t="s">
        <v>304</v>
      </c>
      <c r="B106" s="38" t="s">
        <v>305</v>
      </c>
      <c r="C106" s="38" t="str">
        <f>CONCATENATE(A106," ",B106)</f>
        <v>Margaret Stoner</v>
      </c>
      <c r="D106" s="38" t="s">
        <v>684</v>
      </c>
      <c r="E106" s="38" t="s">
        <v>961</v>
      </c>
      <c r="F106" s="38" t="s">
        <v>970</v>
      </c>
      <c r="G106" s="38" t="s">
        <v>96</v>
      </c>
      <c r="H106" s="38" t="s">
        <v>657</v>
      </c>
      <c r="I106" s="38" t="s">
        <v>665</v>
      </c>
      <c r="J106" s="38" t="s">
        <v>666</v>
      </c>
      <c r="K106" s="38" t="s">
        <v>722</v>
      </c>
      <c r="L106" s="35">
        <v>644484680</v>
      </c>
      <c r="M106" s="36">
        <v>25</v>
      </c>
      <c r="N106" s="37">
        <v>0.32</v>
      </c>
      <c r="O106" s="38">
        <v>8</v>
      </c>
      <c r="P106" s="38">
        <v>0</v>
      </c>
      <c r="Q106" s="36">
        <v>8</v>
      </c>
      <c r="R106" s="38" t="s">
        <v>949</v>
      </c>
    </row>
    <row r="107" spans="1:18" x14ac:dyDescent="0.3">
      <c r="A107" s="38" t="s">
        <v>294</v>
      </c>
      <c r="B107" s="38" t="s">
        <v>295</v>
      </c>
      <c r="C107" s="38" t="str">
        <f>CONCATENATE(A107," ",B107)</f>
        <v>Mary Rosencranz</v>
      </c>
      <c r="D107" s="38" t="s">
        <v>655</v>
      </c>
      <c r="E107" s="38">
        <v>16202925</v>
      </c>
      <c r="F107" s="38" t="s">
        <v>965</v>
      </c>
      <c r="G107" s="38" t="s">
        <v>96</v>
      </c>
      <c r="H107" s="38" t="s">
        <v>657</v>
      </c>
      <c r="I107" s="38" t="s">
        <v>665</v>
      </c>
      <c r="J107" s="38" t="s">
        <v>666</v>
      </c>
      <c r="K107" s="38" t="s">
        <v>717</v>
      </c>
      <c r="L107" s="35">
        <v>582065076</v>
      </c>
      <c r="M107" s="36">
        <v>25</v>
      </c>
      <c r="N107" s="37">
        <v>0.32</v>
      </c>
      <c r="O107" s="38">
        <v>8</v>
      </c>
      <c r="P107" s="38">
        <v>0</v>
      </c>
      <c r="Q107" s="36">
        <v>8</v>
      </c>
      <c r="R107" s="38" t="s">
        <v>949</v>
      </c>
    </row>
    <row r="108" spans="1:18" x14ac:dyDescent="0.3">
      <c r="A108" s="38" t="s">
        <v>253</v>
      </c>
      <c r="B108" s="38" t="s">
        <v>254</v>
      </c>
      <c r="C108" s="38" t="str">
        <f>CONCATENATE(A108," ",B108)</f>
        <v>Sharrod Walker</v>
      </c>
      <c r="D108" s="38" t="s">
        <v>655</v>
      </c>
      <c r="E108" s="38">
        <v>16202925</v>
      </c>
      <c r="F108" s="38" t="s">
        <v>965</v>
      </c>
      <c r="G108" s="38" t="s">
        <v>96</v>
      </c>
      <c r="H108" s="38" t="s">
        <v>657</v>
      </c>
      <c r="I108" s="38" t="s">
        <v>665</v>
      </c>
      <c r="J108" s="38" t="s">
        <v>666</v>
      </c>
      <c r="K108" s="38" t="s">
        <v>722</v>
      </c>
      <c r="L108" s="35">
        <v>848578973</v>
      </c>
      <c r="M108" s="36">
        <v>25</v>
      </c>
      <c r="N108" s="37">
        <v>0.32</v>
      </c>
      <c r="O108" s="38">
        <v>8</v>
      </c>
      <c r="P108" s="38">
        <v>0</v>
      </c>
      <c r="Q108" s="36">
        <v>8</v>
      </c>
      <c r="R108" s="38" t="s">
        <v>949</v>
      </c>
    </row>
    <row r="109" spans="1:18" x14ac:dyDescent="0.3">
      <c r="A109" s="38" t="s">
        <v>454</v>
      </c>
      <c r="B109" s="38" t="s">
        <v>323</v>
      </c>
      <c r="C109" s="38" t="str">
        <f>CONCATENATE(A109," ",B109)</f>
        <v>Donna Jones</v>
      </c>
      <c r="D109" s="38" t="s">
        <v>698</v>
      </c>
      <c r="E109" s="38" t="s">
        <v>955</v>
      </c>
      <c r="F109" s="38" t="s">
        <v>968</v>
      </c>
      <c r="G109" s="38" t="s">
        <v>149</v>
      </c>
      <c r="H109" s="38" t="s">
        <v>657</v>
      </c>
      <c r="I109" s="38" t="s">
        <v>665</v>
      </c>
      <c r="J109" s="38" t="s">
        <v>666</v>
      </c>
      <c r="K109" s="38" t="s">
        <v>661</v>
      </c>
      <c r="L109" s="35">
        <v>312209549</v>
      </c>
      <c r="M109" s="36">
        <v>40</v>
      </c>
      <c r="N109" s="37">
        <v>0.24</v>
      </c>
      <c r="O109" s="38">
        <v>9.6</v>
      </c>
      <c r="P109" s="38">
        <v>0</v>
      </c>
      <c r="Q109" s="36">
        <v>9.6</v>
      </c>
      <c r="R109" s="38" t="s">
        <v>950</v>
      </c>
    </row>
    <row r="110" spans="1:18" x14ac:dyDescent="0.3">
      <c r="A110" s="38" t="s">
        <v>395</v>
      </c>
      <c r="B110" s="38" t="s">
        <v>396</v>
      </c>
      <c r="C110" s="38" t="str">
        <f>CONCATENATE(A110," ",B110)</f>
        <v>Swaraj Chadha</v>
      </c>
      <c r="D110" s="38" t="s">
        <v>731</v>
      </c>
      <c r="E110" s="38" t="s">
        <v>955</v>
      </c>
      <c r="F110" s="38" t="s">
        <v>968</v>
      </c>
      <c r="G110" s="38" t="s">
        <v>149</v>
      </c>
      <c r="H110" s="38" t="s">
        <v>657</v>
      </c>
      <c r="I110" s="38" t="s">
        <v>665</v>
      </c>
      <c r="J110" s="38" t="s">
        <v>666</v>
      </c>
      <c r="K110" s="38" t="s">
        <v>696</v>
      </c>
      <c r="L110" s="35">
        <v>169495881</v>
      </c>
      <c r="M110" s="36">
        <v>40</v>
      </c>
      <c r="N110" s="37">
        <v>0.24</v>
      </c>
      <c r="O110" s="38">
        <v>9.6</v>
      </c>
      <c r="P110" s="38">
        <v>0</v>
      </c>
      <c r="Q110" s="36">
        <v>9.6</v>
      </c>
      <c r="R110" s="38" t="s">
        <v>950</v>
      </c>
    </row>
    <row r="111" spans="1:18" x14ac:dyDescent="0.3">
      <c r="A111" s="38" t="s">
        <v>146</v>
      </c>
      <c r="B111" s="38" t="s">
        <v>529</v>
      </c>
      <c r="C111" s="38" t="str">
        <f>CONCATENATE(A111," ",B111)</f>
        <v>Janice Dziekonski</v>
      </c>
      <c r="D111" s="38" t="s">
        <v>698</v>
      </c>
      <c r="E111" s="38">
        <v>9213293</v>
      </c>
      <c r="F111" s="38" t="s">
        <v>980</v>
      </c>
      <c r="G111" s="38" t="s">
        <v>149</v>
      </c>
      <c r="H111" s="38" t="s">
        <v>657</v>
      </c>
      <c r="I111" s="38" t="s">
        <v>665</v>
      </c>
      <c r="J111" s="38" t="s">
        <v>666</v>
      </c>
      <c r="K111" s="38" t="s">
        <v>813</v>
      </c>
      <c r="L111" s="35">
        <v>379471379</v>
      </c>
      <c r="M111" s="36">
        <v>40</v>
      </c>
      <c r="N111" s="37">
        <v>0.24</v>
      </c>
      <c r="O111" s="38">
        <v>9.6</v>
      </c>
      <c r="P111" s="38">
        <v>0</v>
      </c>
      <c r="Q111" s="36">
        <v>9.6</v>
      </c>
      <c r="R111" s="38" t="s">
        <v>950</v>
      </c>
    </row>
    <row r="112" spans="1:18" x14ac:dyDescent="0.3">
      <c r="A112" s="38" t="s">
        <v>146</v>
      </c>
      <c r="B112" s="38" t="s">
        <v>147</v>
      </c>
      <c r="C112" s="38" t="str">
        <f>CONCATENATE(A112," ",B112)</f>
        <v>Janice Pietrucha</v>
      </c>
      <c r="D112" s="38" t="s">
        <v>698</v>
      </c>
      <c r="E112" s="38">
        <v>9213293</v>
      </c>
      <c r="F112" s="38" t="s">
        <v>980</v>
      </c>
      <c r="G112" s="38" t="s">
        <v>149</v>
      </c>
      <c r="H112" s="38" t="s">
        <v>657</v>
      </c>
      <c r="I112" s="38" t="s">
        <v>665</v>
      </c>
      <c r="J112" s="38" t="s">
        <v>666</v>
      </c>
      <c r="K112" s="38" t="s">
        <v>829</v>
      </c>
      <c r="L112" s="35">
        <v>251856742</v>
      </c>
      <c r="M112" s="36">
        <v>40</v>
      </c>
      <c r="N112" s="37">
        <v>0.24</v>
      </c>
      <c r="O112" s="38">
        <v>9.6</v>
      </c>
      <c r="P112" s="38">
        <v>0</v>
      </c>
      <c r="Q112" s="36">
        <v>9.6</v>
      </c>
      <c r="R112" s="38" t="s">
        <v>950</v>
      </c>
    </row>
    <row r="113" spans="1:18" x14ac:dyDescent="0.3">
      <c r="A113" s="38" t="s">
        <v>317</v>
      </c>
      <c r="B113" s="38" t="s">
        <v>318</v>
      </c>
      <c r="C113" s="38" t="str">
        <f>CONCATENATE(A113," ",B113)</f>
        <v>Fidel Estanda</v>
      </c>
      <c r="D113" s="38" t="s">
        <v>698</v>
      </c>
      <c r="E113" s="38" t="s">
        <v>955</v>
      </c>
      <c r="F113" s="38" t="s">
        <v>968</v>
      </c>
      <c r="G113" s="38" t="s">
        <v>149</v>
      </c>
      <c r="H113" s="38" t="s">
        <v>657</v>
      </c>
      <c r="I113" s="38" t="s">
        <v>665</v>
      </c>
      <c r="J113" s="38" t="s">
        <v>666</v>
      </c>
      <c r="K113" s="38" t="s">
        <v>672</v>
      </c>
      <c r="L113" s="35">
        <v>737401508</v>
      </c>
      <c r="M113" s="36">
        <v>40</v>
      </c>
      <c r="N113" s="37">
        <v>0.24</v>
      </c>
      <c r="O113" s="38">
        <v>9.6</v>
      </c>
      <c r="P113" s="38">
        <v>0</v>
      </c>
      <c r="Q113" s="36">
        <v>9.6</v>
      </c>
      <c r="R113" s="38" t="s">
        <v>950</v>
      </c>
    </row>
    <row r="114" spans="1:18" x14ac:dyDescent="0.3">
      <c r="A114" s="38" t="s">
        <v>464</v>
      </c>
      <c r="B114" s="38" t="s">
        <v>465</v>
      </c>
      <c r="C114" s="38" t="str">
        <f>CONCATENATE(A114," ",B114)</f>
        <v>Edlawit Tesfaye</v>
      </c>
      <c r="D114" s="38" t="s">
        <v>655</v>
      </c>
      <c r="E114" s="38">
        <v>16202925</v>
      </c>
      <c r="F114" s="38" t="s">
        <v>965</v>
      </c>
      <c r="G114" s="38" t="s">
        <v>96</v>
      </c>
      <c r="H114" s="38" t="s">
        <v>657</v>
      </c>
      <c r="I114" s="38" t="s">
        <v>665</v>
      </c>
      <c r="J114" s="38" t="s">
        <v>666</v>
      </c>
      <c r="K114" s="38" t="s">
        <v>693</v>
      </c>
      <c r="L114" s="35">
        <v>298408887</v>
      </c>
      <c r="M114" s="36">
        <v>30</v>
      </c>
      <c r="N114" s="37">
        <v>0.32</v>
      </c>
      <c r="O114" s="38">
        <v>9.6</v>
      </c>
      <c r="P114" s="38">
        <v>0</v>
      </c>
      <c r="Q114" s="36">
        <v>9.6</v>
      </c>
      <c r="R114" s="38" t="s">
        <v>949</v>
      </c>
    </row>
    <row r="115" spans="1:18" x14ac:dyDescent="0.3">
      <c r="A115" s="38" t="s">
        <v>367</v>
      </c>
      <c r="B115" s="38" t="s">
        <v>368</v>
      </c>
      <c r="C115" s="38" t="str">
        <f>CONCATENATE(A115," ",B115)</f>
        <v>Ann  Morgan</v>
      </c>
      <c r="D115" s="38" t="s">
        <v>655</v>
      </c>
      <c r="E115" s="38">
        <v>17195620</v>
      </c>
      <c r="F115" s="38" t="s">
        <v>972</v>
      </c>
      <c r="G115" s="38" t="s">
        <v>96</v>
      </c>
      <c r="H115" s="38" t="s">
        <v>657</v>
      </c>
      <c r="I115" s="38" t="s">
        <v>665</v>
      </c>
      <c r="J115" s="38" t="s">
        <v>666</v>
      </c>
      <c r="K115" s="38" t="s">
        <v>717</v>
      </c>
      <c r="L115" s="35">
        <v>459325166</v>
      </c>
      <c r="M115" s="36">
        <v>30</v>
      </c>
      <c r="N115" s="37">
        <v>0.32</v>
      </c>
      <c r="O115" s="38">
        <v>9.6</v>
      </c>
      <c r="P115" s="38">
        <v>0</v>
      </c>
      <c r="Q115" s="36">
        <v>9.6</v>
      </c>
      <c r="R115" s="38" t="s">
        <v>949</v>
      </c>
    </row>
    <row r="116" spans="1:18" x14ac:dyDescent="0.3">
      <c r="A116" s="38" t="s">
        <v>387</v>
      </c>
      <c r="B116" s="38" t="s">
        <v>388</v>
      </c>
      <c r="C116" s="38" t="str">
        <f>CONCATENATE(A116," ",B116)</f>
        <v>Fawn Taylor</v>
      </c>
      <c r="D116" s="38" t="s">
        <v>655</v>
      </c>
      <c r="E116" s="38">
        <v>16202925</v>
      </c>
      <c r="F116" s="38" t="s">
        <v>965</v>
      </c>
      <c r="G116" s="38" t="s">
        <v>96</v>
      </c>
      <c r="H116" s="38" t="s">
        <v>657</v>
      </c>
      <c r="I116" s="38" t="s">
        <v>665</v>
      </c>
      <c r="J116" s="38" t="s">
        <v>666</v>
      </c>
      <c r="K116" s="38" t="s">
        <v>676</v>
      </c>
      <c r="L116" s="35">
        <v>128182846</v>
      </c>
      <c r="M116" s="36">
        <v>30</v>
      </c>
      <c r="N116" s="37">
        <v>0.32</v>
      </c>
      <c r="O116" s="38">
        <v>9.6</v>
      </c>
      <c r="P116" s="38">
        <v>0</v>
      </c>
      <c r="Q116" s="36">
        <v>9.6</v>
      </c>
      <c r="R116" s="38" t="s">
        <v>949</v>
      </c>
    </row>
    <row r="117" spans="1:18" x14ac:dyDescent="0.3">
      <c r="A117" s="38" t="s">
        <v>570</v>
      </c>
      <c r="B117" s="38" t="s">
        <v>571</v>
      </c>
      <c r="C117" s="38" t="str">
        <f>CONCATENATE(A117," ",B117)</f>
        <v>Calogero Interrante</v>
      </c>
      <c r="D117" s="38" t="s">
        <v>684</v>
      </c>
      <c r="E117" s="38">
        <v>17425766</v>
      </c>
      <c r="F117" s="38" t="s">
        <v>966</v>
      </c>
      <c r="G117" s="38" t="s">
        <v>96</v>
      </c>
      <c r="H117" s="38" t="s">
        <v>657</v>
      </c>
      <c r="I117" s="38" t="s">
        <v>665</v>
      </c>
      <c r="J117" s="38" t="s">
        <v>666</v>
      </c>
      <c r="K117" s="38" t="s">
        <v>722</v>
      </c>
      <c r="L117" s="35">
        <v>588549415</v>
      </c>
      <c r="M117" s="36">
        <v>30</v>
      </c>
      <c r="N117" s="37">
        <v>0.32</v>
      </c>
      <c r="O117" s="38">
        <v>9.6</v>
      </c>
      <c r="P117" s="38">
        <v>0</v>
      </c>
      <c r="Q117" s="36">
        <v>9.6</v>
      </c>
      <c r="R117" s="38" t="s">
        <v>949</v>
      </c>
    </row>
    <row r="118" spans="1:18" x14ac:dyDescent="0.3">
      <c r="A118" s="38" t="s">
        <v>196</v>
      </c>
      <c r="B118" s="38" t="s">
        <v>197</v>
      </c>
      <c r="C118" s="38" t="str">
        <f>CONCATENATE(A118," ",B118)</f>
        <v>Brigitte Wilkinson</v>
      </c>
      <c r="D118" s="38" t="s">
        <v>655</v>
      </c>
      <c r="E118" s="38" t="s">
        <v>958</v>
      </c>
      <c r="F118" s="38" t="s">
        <v>971</v>
      </c>
      <c r="G118" s="38" t="s">
        <v>96</v>
      </c>
      <c r="H118" s="38" t="s">
        <v>657</v>
      </c>
      <c r="I118" s="38" t="s">
        <v>665</v>
      </c>
      <c r="J118" s="38" t="s">
        <v>666</v>
      </c>
      <c r="K118" s="38" t="s">
        <v>676</v>
      </c>
      <c r="L118" s="35">
        <v>984523223</v>
      </c>
      <c r="M118" s="36">
        <v>30</v>
      </c>
      <c r="N118" s="37">
        <v>0.32</v>
      </c>
      <c r="O118" s="38">
        <v>9.6</v>
      </c>
      <c r="P118" s="38">
        <v>0</v>
      </c>
      <c r="Q118" s="36">
        <v>9.6</v>
      </c>
      <c r="R118" s="38" t="s">
        <v>949</v>
      </c>
    </row>
    <row r="119" spans="1:18" x14ac:dyDescent="0.3">
      <c r="A119" s="38" t="s">
        <v>426</v>
      </c>
      <c r="B119" s="38" t="s">
        <v>427</v>
      </c>
      <c r="C119" s="38" t="str">
        <f>CONCATENATE(A119," ",B119)</f>
        <v>Abigail Duncan</v>
      </c>
      <c r="D119" s="38" t="s">
        <v>655</v>
      </c>
      <c r="E119" s="38">
        <v>16202925</v>
      </c>
      <c r="F119" s="38" t="s">
        <v>965</v>
      </c>
      <c r="G119" s="38" t="s">
        <v>96</v>
      </c>
      <c r="H119" s="38" t="s">
        <v>657</v>
      </c>
      <c r="I119" s="38" t="s">
        <v>665</v>
      </c>
      <c r="J119" s="38" t="s">
        <v>666</v>
      </c>
      <c r="K119" s="38" t="s">
        <v>668</v>
      </c>
      <c r="L119" s="35">
        <v>168352383</v>
      </c>
      <c r="M119" s="36">
        <v>31.13</v>
      </c>
      <c r="N119" s="37">
        <v>0.32</v>
      </c>
      <c r="O119" s="38">
        <v>9.9600000000000009</v>
      </c>
      <c r="P119" s="38">
        <v>0</v>
      </c>
      <c r="Q119" s="36">
        <v>9.9600000000000009</v>
      </c>
      <c r="R119" s="38" t="s">
        <v>949</v>
      </c>
    </row>
    <row r="120" spans="1:18" x14ac:dyDescent="0.3">
      <c r="A120" s="38" t="s">
        <v>98</v>
      </c>
      <c r="B120" s="38" t="s">
        <v>99</v>
      </c>
      <c r="C120" s="38" t="str">
        <f>CONCATENATE(A120," ",B120)</f>
        <v>Twanna Delva</v>
      </c>
      <c r="D120" s="38" t="s">
        <v>655</v>
      </c>
      <c r="E120" s="38">
        <v>16202925</v>
      </c>
      <c r="F120" s="38" t="s">
        <v>965</v>
      </c>
      <c r="G120" s="38" t="s">
        <v>96</v>
      </c>
      <c r="H120" s="38" t="s">
        <v>657</v>
      </c>
      <c r="I120" s="38" t="s">
        <v>665</v>
      </c>
      <c r="J120" s="38" t="s">
        <v>666</v>
      </c>
      <c r="K120" s="38" t="s">
        <v>668</v>
      </c>
      <c r="L120" s="35">
        <v>5274878</v>
      </c>
      <c r="M120" s="36">
        <v>31.13</v>
      </c>
      <c r="N120" s="37">
        <v>0.32</v>
      </c>
      <c r="O120" s="38">
        <v>9.9600000000000009</v>
      </c>
      <c r="P120" s="38">
        <v>0</v>
      </c>
      <c r="Q120" s="36">
        <v>9.9600000000000009</v>
      </c>
      <c r="R120" s="38" t="s">
        <v>949</v>
      </c>
    </row>
    <row r="121" spans="1:18" x14ac:dyDescent="0.3">
      <c r="A121" s="38" t="s">
        <v>98</v>
      </c>
      <c r="B121" s="38" t="s">
        <v>99</v>
      </c>
      <c r="C121" s="38" t="str">
        <f>CONCATENATE(A121," ",B121)</f>
        <v>Twanna Delva</v>
      </c>
      <c r="D121" s="38" t="s">
        <v>655</v>
      </c>
      <c r="E121" s="38">
        <v>16202925</v>
      </c>
      <c r="F121" s="38" t="s">
        <v>965</v>
      </c>
      <c r="G121" s="38" t="s">
        <v>96</v>
      </c>
      <c r="H121" s="38" t="s">
        <v>657</v>
      </c>
      <c r="I121" s="38" t="s">
        <v>665</v>
      </c>
      <c r="J121" s="38" t="s">
        <v>666</v>
      </c>
      <c r="K121" s="38" t="s">
        <v>668</v>
      </c>
      <c r="L121" s="35">
        <v>5274878</v>
      </c>
      <c r="M121" s="36">
        <v>31.13</v>
      </c>
      <c r="N121" s="37">
        <v>0.32</v>
      </c>
      <c r="O121" s="38">
        <v>9.9600000000000009</v>
      </c>
      <c r="P121" s="38">
        <v>0</v>
      </c>
      <c r="Q121" s="36">
        <v>9.9600000000000009</v>
      </c>
      <c r="R121" s="38" t="s">
        <v>949</v>
      </c>
    </row>
    <row r="122" spans="1:18" x14ac:dyDescent="0.3">
      <c r="A122" s="38" t="s">
        <v>363</v>
      </c>
      <c r="B122" s="38" t="s">
        <v>364</v>
      </c>
      <c r="C122" s="38" t="str">
        <f>CONCATENATE(A122," ",B122)</f>
        <v>Karli Helman</v>
      </c>
      <c r="D122" s="38" t="s">
        <v>684</v>
      </c>
      <c r="E122" s="38" t="s">
        <v>956</v>
      </c>
      <c r="F122" s="38" t="s">
        <v>970</v>
      </c>
      <c r="G122" s="38" t="s">
        <v>54</v>
      </c>
      <c r="H122" s="38" t="s">
        <v>657</v>
      </c>
      <c r="I122" s="38" t="s">
        <v>665</v>
      </c>
      <c r="J122" s="38" t="s">
        <v>666</v>
      </c>
      <c r="K122" s="38" t="s">
        <v>703</v>
      </c>
      <c r="L122" s="35">
        <v>318112688</v>
      </c>
      <c r="M122" s="36">
        <v>42</v>
      </c>
      <c r="N122" s="37">
        <v>0.24</v>
      </c>
      <c r="O122" s="38">
        <v>10.08</v>
      </c>
      <c r="P122" s="38">
        <v>0</v>
      </c>
      <c r="Q122" s="36">
        <v>10.08</v>
      </c>
      <c r="R122" s="38" t="s">
        <v>950</v>
      </c>
    </row>
    <row r="123" spans="1:18" x14ac:dyDescent="0.3">
      <c r="A123" s="38" t="s">
        <v>166</v>
      </c>
      <c r="B123" s="38" t="s">
        <v>167</v>
      </c>
      <c r="C123" s="38" t="str">
        <f>CONCATENATE(A123," ",B123)</f>
        <v>Kristen Facchini</v>
      </c>
      <c r="D123" s="38" t="s">
        <v>698</v>
      </c>
      <c r="E123" s="38">
        <v>8814784</v>
      </c>
      <c r="F123" s="38" t="s">
        <v>975</v>
      </c>
      <c r="G123" s="38" t="s">
        <v>149</v>
      </c>
      <c r="H123" s="38" t="s">
        <v>657</v>
      </c>
      <c r="I123" s="38" t="s">
        <v>665</v>
      </c>
      <c r="J123" s="38" t="s">
        <v>666</v>
      </c>
      <c r="K123" s="38" t="s">
        <v>722</v>
      </c>
      <c r="L123" s="35">
        <v>692950875</v>
      </c>
      <c r="M123" s="36">
        <v>43.56</v>
      </c>
      <c r="N123" s="37">
        <v>0.24</v>
      </c>
      <c r="O123" s="38">
        <v>10.45</v>
      </c>
      <c r="P123" s="38">
        <v>0</v>
      </c>
      <c r="Q123" s="36">
        <v>10.45</v>
      </c>
      <c r="R123" s="38" t="s">
        <v>950</v>
      </c>
    </row>
    <row r="124" spans="1:18" x14ac:dyDescent="0.3">
      <c r="A124" s="38" t="s">
        <v>511</v>
      </c>
      <c r="B124" s="38" t="s">
        <v>512</v>
      </c>
      <c r="C124" s="38" t="str">
        <f>CONCATENATE(A124," ",B124)</f>
        <v>Laurie Shakur</v>
      </c>
      <c r="D124" s="38" t="s">
        <v>698</v>
      </c>
      <c r="E124" s="38" t="s">
        <v>963</v>
      </c>
      <c r="F124" s="38" t="s">
        <v>979</v>
      </c>
      <c r="G124" s="38" t="s">
        <v>149</v>
      </c>
      <c r="H124" s="38" t="s">
        <v>657</v>
      </c>
      <c r="I124" s="38" t="s">
        <v>665</v>
      </c>
      <c r="J124" s="38" t="s">
        <v>666</v>
      </c>
      <c r="K124" s="38" t="s">
        <v>278</v>
      </c>
      <c r="L124" s="35">
        <v>708841979</v>
      </c>
      <c r="M124" s="36">
        <v>45</v>
      </c>
      <c r="N124" s="37">
        <v>0.24</v>
      </c>
      <c r="O124" s="38">
        <v>10.8</v>
      </c>
      <c r="P124" s="38">
        <v>0</v>
      </c>
      <c r="Q124" s="36">
        <v>10.8</v>
      </c>
      <c r="R124" s="38" t="s">
        <v>950</v>
      </c>
    </row>
    <row r="125" spans="1:18" x14ac:dyDescent="0.3">
      <c r="A125" s="38" t="s">
        <v>217</v>
      </c>
      <c r="B125" s="38" t="s">
        <v>218</v>
      </c>
      <c r="C125" s="38" t="str">
        <f>CONCATENATE(A125," ",B125)</f>
        <v>Reginald Fleming Sr</v>
      </c>
      <c r="D125" s="38" t="s">
        <v>655</v>
      </c>
      <c r="E125" s="38" t="s">
        <v>953</v>
      </c>
      <c r="F125" s="38" t="s">
        <v>965</v>
      </c>
      <c r="G125" s="38" t="s">
        <v>54</v>
      </c>
      <c r="H125" s="38" t="s">
        <v>657</v>
      </c>
      <c r="I125" s="38" t="s">
        <v>665</v>
      </c>
      <c r="J125" s="38" t="s">
        <v>666</v>
      </c>
      <c r="K125" s="38" t="s">
        <v>878</v>
      </c>
      <c r="L125" s="35">
        <v>868824557</v>
      </c>
      <c r="M125" s="36">
        <v>48</v>
      </c>
      <c r="N125" s="37">
        <v>0.24</v>
      </c>
      <c r="O125" s="38">
        <v>11.52</v>
      </c>
      <c r="P125" s="38">
        <v>0</v>
      </c>
      <c r="Q125" s="36">
        <v>11.52</v>
      </c>
      <c r="R125" s="38" t="s">
        <v>950</v>
      </c>
    </row>
    <row r="126" spans="1:18" x14ac:dyDescent="0.3">
      <c r="A126" s="38" t="s">
        <v>244</v>
      </c>
      <c r="B126" s="38" t="s">
        <v>344</v>
      </c>
      <c r="C126" s="38" t="str">
        <f>CONCATENATE(A126," ",B126)</f>
        <v>Maria Medina</v>
      </c>
      <c r="D126" s="38" t="s">
        <v>698</v>
      </c>
      <c r="E126" s="38" t="s">
        <v>955</v>
      </c>
      <c r="F126" s="38" t="s">
        <v>968</v>
      </c>
      <c r="G126" s="38" t="s">
        <v>54</v>
      </c>
      <c r="H126" s="38" t="s">
        <v>657</v>
      </c>
      <c r="I126" s="38" t="s">
        <v>665</v>
      </c>
      <c r="J126" s="38" t="s">
        <v>666</v>
      </c>
      <c r="K126" s="38" t="s">
        <v>696</v>
      </c>
      <c r="L126" s="35">
        <v>913646618</v>
      </c>
      <c r="M126" s="36">
        <v>52</v>
      </c>
      <c r="N126" s="37">
        <v>0.24</v>
      </c>
      <c r="O126" s="38">
        <v>12.48</v>
      </c>
      <c r="P126" s="38">
        <v>0</v>
      </c>
      <c r="Q126" s="36">
        <v>12.48</v>
      </c>
      <c r="R126" s="38" t="s">
        <v>950</v>
      </c>
    </row>
    <row r="127" spans="1:18" x14ac:dyDescent="0.3">
      <c r="A127" s="38" t="s">
        <v>583</v>
      </c>
      <c r="B127" s="38" t="s">
        <v>584</v>
      </c>
      <c r="C127" s="38" t="str">
        <f>CONCATENATE(A127," ",B127)</f>
        <v>Lindsey Cleland</v>
      </c>
      <c r="D127" s="38" t="s">
        <v>763</v>
      </c>
      <c r="E127" s="38" t="s">
        <v>955</v>
      </c>
      <c r="F127" s="38" t="s">
        <v>968</v>
      </c>
      <c r="G127" s="38" t="s">
        <v>54</v>
      </c>
      <c r="H127" s="38" t="s">
        <v>657</v>
      </c>
      <c r="I127" s="38" t="s">
        <v>665</v>
      </c>
      <c r="J127" s="38" t="s">
        <v>666</v>
      </c>
      <c r="K127" s="38" t="s">
        <v>661</v>
      </c>
      <c r="L127" s="35">
        <v>151982465</v>
      </c>
      <c r="M127" s="36">
        <v>52</v>
      </c>
      <c r="N127" s="37">
        <v>0.24</v>
      </c>
      <c r="O127" s="38">
        <v>12.48</v>
      </c>
      <c r="P127" s="38">
        <v>0</v>
      </c>
      <c r="Q127" s="36">
        <v>12.48</v>
      </c>
      <c r="R127" s="38" t="s">
        <v>950</v>
      </c>
    </row>
    <row r="128" spans="1:18" x14ac:dyDescent="0.3">
      <c r="A128" s="38" t="s">
        <v>38</v>
      </c>
      <c r="B128" s="38" t="s">
        <v>39</v>
      </c>
      <c r="C128" s="38" t="str">
        <f>CONCATENATE(A128," ",B128)</f>
        <v>Toni Gosa</v>
      </c>
      <c r="D128" s="38" t="s">
        <v>859</v>
      </c>
      <c r="E128" s="38" t="s">
        <v>955</v>
      </c>
      <c r="F128" s="38" t="s">
        <v>968</v>
      </c>
      <c r="G128" s="38" t="s">
        <v>80</v>
      </c>
      <c r="H128" s="38" t="s">
        <v>657</v>
      </c>
      <c r="I128" s="38" t="s">
        <v>665</v>
      </c>
      <c r="J128" s="38" t="s">
        <v>666</v>
      </c>
      <c r="K128" s="38" t="s">
        <v>696</v>
      </c>
      <c r="L128" s="35">
        <v>397053575</v>
      </c>
      <c r="M128" s="36">
        <v>52</v>
      </c>
      <c r="N128" s="37">
        <v>0.24</v>
      </c>
      <c r="O128" s="38">
        <v>12.48</v>
      </c>
      <c r="P128" s="38">
        <v>0</v>
      </c>
      <c r="Q128" s="36">
        <v>12.48</v>
      </c>
      <c r="R128" s="38" t="s">
        <v>950</v>
      </c>
    </row>
    <row r="129" spans="1:18" x14ac:dyDescent="0.3">
      <c r="A129" s="38" t="s">
        <v>244</v>
      </c>
      <c r="B129" s="38" t="s">
        <v>344</v>
      </c>
      <c r="C129" s="38" t="str">
        <f>CONCATENATE(A129," ",B129)</f>
        <v>Maria Medina</v>
      </c>
      <c r="D129" s="38" t="s">
        <v>698</v>
      </c>
      <c r="E129" s="38" t="s">
        <v>955</v>
      </c>
      <c r="F129" s="38" t="s">
        <v>968</v>
      </c>
      <c r="G129" s="38" t="s">
        <v>54</v>
      </c>
      <c r="H129" s="38" t="s">
        <v>657</v>
      </c>
      <c r="I129" s="38" t="s">
        <v>665</v>
      </c>
      <c r="J129" s="38" t="s">
        <v>666</v>
      </c>
      <c r="K129" s="38" t="s">
        <v>696</v>
      </c>
      <c r="L129" s="35">
        <v>660719533</v>
      </c>
      <c r="M129" s="36">
        <v>52</v>
      </c>
      <c r="N129" s="37">
        <v>0.24</v>
      </c>
      <c r="O129" s="38">
        <v>12.48</v>
      </c>
      <c r="P129" s="38">
        <v>0</v>
      </c>
      <c r="Q129" s="36">
        <v>12.48</v>
      </c>
      <c r="R129" s="38" t="s">
        <v>950</v>
      </c>
    </row>
    <row r="130" spans="1:18" x14ac:dyDescent="0.3">
      <c r="A130" s="38" t="s">
        <v>227</v>
      </c>
      <c r="B130" s="38" t="s">
        <v>228</v>
      </c>
      <c r="C130" s="38" t="str">
        <f>CONCATENATE(A130," ",B130)</f>
        <v>William Kates</v>
      </c>
      <c r="D130" s="38" t="s">
        <v>698</v>
      </c>
      <c r="E130" s="38" t="s">
        <v>955</v>
      </c>
      <c r="F130" s="38" t="s">
        <v>968</v>
      </c>
      <c r="G130" s="38" t="s">
        <v>54</v>
      </c>
      <c r="H130" s="38" t="s">
        <v>657</v>
      </c>
      <c r="I130" s="38" t="s">
        <v>665</v>
      </c>
      <c r="J130" s="38" t="s">
        <v>666</v>
      </c>
      <c r="K130" s="38" t="s">
        <v>681</v>
      </c>
      <c r="L130" s="35">
        <v>664991529</v>
      </c>
      <c r="M130" s="36">
        <v>52</v>
      </c>
      <c r="N130" s="37">
        <v>0.24</v>
      </c>
      <c r="O130" s="38">
        <v>12.48</v>
      </c>
      <c r="P130" s="38">
        <v>0</v>
      </c>
      <c r="Q130" s="36">
        <v>12.48</v>
      </c>
      <c r="R130" s="38" t="s">
        <v>950</v>
      </c>
    </row>
    <row r="131" spans="1:18" x14ac:dyDescent="0.3">
      <c r="A131" s="38" t="s">
        <v>617</v>
      </c>
      <c r="B131" s="38" t="s">
        <v>618</v>
      </c>
      <c r="C131" s="38" t="str">
        <f>CONCATENATE(A131," ",B131)</f>
        <v>Jack Stein</v>
      </c>
      <c r="D131" s="38" t="s">
        <v>780</v>
      </c>
      <c r="E131" s="38">
        <v>15278437</v>
      </c>
      <c r="F131" s="38" t="s">
        <v>974</v>
      </c>
      <c r="G131" s="38" t="s">
        <v>623</v>
      </c>
      <c r="H131" s="38" t="s">
        <v>657</v>
      </c>
      <c r="I131" s="38" t="s">
        <v>658</v>
      </c>
      <c r="J131" s="38" t="s">
        <v>659</v>
      </c>
      <c r="K131" s="38" t="s">
        <v>786</v>
      </c>
      <c r="L131" s="35">
        <v>241002988</v>
      </c>
      <c r="M131" s="36">
        <v>48</v>
      </c>
      <c r="N131" s="37">
        <v>0.26</v>
      </c>
      <c r="O131" s="38">
        <v>12.48</v>
      </c>
      <c r="P131" s="38">
        <v>0</v>
      </c>
      <c r="Q131" s="36">
        <v>12.48</v>
      </c>
      <c r="R131" s="38" t="s">
        <v>948</v>
      </c>
    </row>
    <row r="132" spans="1:18" x14ac:dyDescent="0.3">
      <c r="A132" s="38" t="s">
        <v>284</v>
      </c>
      <c r="B132" s="38" t="s">
        <v>285</v>
      </c>
      <c r="C132" s="38" t="str">
        <f>CONCATENATE(A132," ",B132)</f>
        <v>Francis Conroy</v>
      </c>
      <c r="D132" s="38" t="s">
        <v>684</v>
      </c>
      <c r="E132" s="38" t="s">
        <v>954</v>
      </c>
      <c r="F132" s="38" t="s">
        <v>967</v>
      </c>
      <c r="G132" s="38" t="s">
        <v>238</v>
      </c>
      <c r="H132" s="38" t="s">
        <v>657</v>
      </c>
      <c r="I132" s="38" t="s">
        <v>665</v>
      </c>
      <c r="J132" s="38" t="s">
        <v>666</v>
      </c>
      <c r="K132" s="38" t="s">
        <v>661</v>
      </c>
      <c r="L132" s="35">
        <v>181914820</v>
      </c>
      <c r="M132" s="36">
        <v>54</v>
      </c>
      <c r="N132" s="37">
        <v>0.24</v>
      </c>
      <c r="O132" s="38">
        <v>12.96</v>
      </c>
      <c r="P132" s="38">
        <v>0</v>
      </c>
      <c r="Q132" s="36">
        <v>12.96</v>
      </c>
      <c r="R132" s="38" t="s">
        <v>950</v>
      </c>
    </row>
    <row r="133" spans="1:18" x14ac:dyDescent="0.3">
      <c r="A133" s="38" t="s">
        <v>284</v>
      </c>
      <c r="B133" s="38" t="s">
        <v>285</v>
      </c>
      <c r="C133" s="38" t="str">
        <f>CONCATENATE(A133," ",B133)</f>
        <v>Francis Conroy</v>
      </c>
      <c r="D133" s="38" t="s">
        <v>684</v>
      </c>
      <c r="E133" s="38" t="s">
        <v>954</v>
      </c>
      <c r="F133" s="38" t="s">
        <v>967</v>
      </c>
      <c r="G133" s="38" t="s">
        <v>238</v>
      </c>
      <c r="H133" s="38" t="s">
        <v>657</v>
      </c>
      <c r="I133" s="38" t="s">
        <v>665</v>
      </c>
      <c r="J133" s="38" t="s">
        <v>666</v>
      </c>
      <c r="K133" s="38" t="s">
        <v>661</v>
      </c>
      <c r="L133" s="35">
        <v>181914820</v>
      </c>
      <c r="M133" s="36">
        <v>54</v>
      </c>
      <c r="N133" s="37">
        <v>0.24</v>
      </c>
      <c r="O133" s="38">
        <v>12.96</v>
      </c>
      <c r="P133" s="38">
        <v>0</v>
      </c>
      <c r="Q133" s="36">
        <v>12.96</v>
      </c>
      <c r="R133" s="38" t="s">
        <v>950</v>
      </c>
    </row>
    <row r="134" spans="1:18" x14ac:dyDescent="0.3">
      <c r="A134" s="38" t="s">
        <v>83</v>
      </c>
      <c r="B134" s="38" t="s">
        <v>84</v>
      </c>
      <c r="C134" s="38" t="str">
        <f>CONCATENATE(A134," ",B134)</f>
        <v>Andrea Baldwin</v>
      </c>
      <c r="D134" s="38" t="s">
        <v>876</v>
      </c>
      <c r="E134" s="38" t="s">
        <v>964</v>
      </c>
      <c r="F134" s="38" t="s">
        <v>985</v>
      </c>
      <c r="G134" s="38" t="s">
        <v>80</v>
      </c>
      <c r="H134" s="38" t="s">
        <v>657</v>
      </c>
      <c r="I134" s="38" t="s">
        <v>665</v>
      </c>
      <c r="J134" s="38" t="s">
        <v>666</v>
      </c>
      <c r="K134" s="38" t="s">
        <v>878</v>
      </c>
      <c r="L134" s="35">
        <v>170297622</v>
      </c>
      <c r="M134" s="36">
        <v>57</v>
      </c>
      <c r="N134" s="37">
        <v>0.24</v>
      </c>
      <c r="O134" s="38">
        <v>13.68</v>
      </c>
      <c r="P134" s="38">
        <v>0</v>
      </c>
      <c r="Q134" s="36">
        <v>13.68</v>
      </c>
      <c r="R134" s="38" t="s">
        <v>950</v>
      </c>
    </row>
    <row r="135" spans="1:18" x14ac:dyDescent="0.3">
      <c r="A135" s="38" t="s">
        <v>83</v>
      </c>
      <c r="B135" s="38" t="s">
        <v>84</v>
      </c>
      <c r="C135" s="38" t="str">
        <f>CONCATENATE(A135," ",B135)</f>
        <v>Andrea Baldwin</v>
      </c>
      <c r="D135" s="38" t="s">
        <v>876</v>
      </c>
      <c r="E135" s="38" t="s">
        <v>964</v>
      </c>
      <c r="F135" s="38" t="s">
        <v>985</v>
      </c>
      <c r="G135" s="38" t="s">
        <v>80</v>
      </c>
      <c r="H135" s="38" t="s">
        <v>657</v>
      </c>
      <c r="I135" s="38" t="s">
        <v>665</v>
      </c>
      <c r="J135" s="38" t="s">
        <v>666</v>
      </c>
      <c r="K135" s="38" t="s">
        <v>878</v>
      </c>
      <c r="L135" s="35">
        <v>170297622</v>
      </c>
      <c r="M135" s="36">
        <v>57</v>
      </c>
      <c r="N135" s="37">
        <v>0.24</v>
      </c>
      <c r="O135" s="38">
        <v>13.68</v>
      </c>
      <c r="P135" s="38">
        <v>0</v>
      </c>
      <c r="Q135" s="36">
        <v>13.68</v>
      </c>
      <c r="R135" s="38" t="s">
        <v>950</v>
      </c>
    </row>
    <row r="136" spans="1:18" x14ac:dyDescent="0.3">
      <c r="A136" s="38" t="s">
        <v>359</v>
      </c>
      <c r="B136" s="38" t="s">
        <v>360</v>
      </c>
      <c r="C136" s="38" t="str">
        <f>CONCATENATE(A136," ",B136)</f>
        <v>Siti Freedman</v>
      </c>
      <c r="D136" s="38" t="s">
        <v>684</v>
      </c>
      <c r="E136" s="38" t="s">
        <v>959</v>
      </c>
      <c r="F136" s="38" t="s">
        <v>966</v>
      </c>
      <c r="G136" s="38" t="s">
        <v>72</v>
      </c>
      <c r="H136" s="38" t="s">
        <v>657</v>
      </c>
      <c r="I136" s="38" t="s">
        <v>665</v>
      </c>
      <c r="J136" s="38" t="s">
        <v>666</v>
      </c>
      <c r="K136" s="38" t="s">
        <v>714</v>
      </c>
      <c r="L136" s="35">
        <v>386395185</v>
      </c>
      <c r="M136" s="36">
        <v>60</v>
      </c>
      <c r="N136" s="37">
        <v>0.24</v>
      </c>
      <c r="O136" s="38">
        <v>14.4</v>
      </c>
      <c r="P136" s="38">
        <v>0</v>
      </c>
      <c r="Q136" s="36">
        <v>14.4</v>
      </c>
      <c r="R136" s="38" t="s">
        <v>950</v>
      </c>
    </row>
    <row r="137" spans="1:18" x14ac:dyDescent="0.3">
      <c r="A137" s="38" t="s">
        <v>607</v>
      </c>
      <c r="B137" s="38" t="s">
        <v>608</v>
      </c>
      <c r="C137" s="38" t="str">
        <f>CONCATENATE(A137," ",B137)</f>
        <v>Lizanne Hayes</v>
      </c>
      <c r="D137" s="38" t="s">
        <v>684</v>
      </c>
      <c r="E137" s="38" t="s">
        <v>959</v>
      </c>
      <c r="F137" s="38" t="s">
        <v>966</v>
      </c>
      <c r="G137" s="38" t="s">
        <v>72</v>
      </c>
      <c r="H137" s="38" t="s">
        <v>657</v>
      </c>
      <c r="I137" s="38" t="s">
        <v>665</v>
      </c>
      <c r="J137" s="38" t="s">
        <v>666</v>
      </c>
      <c r="K137" s="38" t="s">
        <v>776</v>
      </c>
      <c r="L137" s="35">
        <v>438557821</v>
      </c>
      <c r="M137" s="36">
        <v>60</v>
      </c>
      <c r="N137" s="37">
        <v>0.24</v>
      </c>
      <c r="O137" s="38">
        <v>14.4</v>
      </c>
      <c r="P137" s="38">
        <v>0</v>
      </c>
      <c r="Q137" s="36">
        <v>14.4</v>
      </c>
      <c r="R137" s="38" t="s">
        <v>950</v>
      </c>
    </row>
    <row r="138" spans="1:18" x14ac:dyDescent="0.3">
      <c r="A138" s="38" t="s">
        <v>177</v>
      </c>
      <c r="B138" s="38" t="s">
        <v>178</v>
      </c>
      <c r="C138" s="38" t="str">
        <f>CONCATENATE(A138," ",B138)</f>
        <v>Carl Pine</v>
      </c>
      <c r="D138" s="38" t="s">
        <v>684</v>
      </c>
      <c r="E138" s="38" t="s">
        <v>956</v>
      </c>
      <c r="F138" s="38" t="s">
        <v>970</v>
      </c>
      <c r="G138" s="38" t="s">
        <v>96</v>
      </c>
      <c r="H138" s="38" t="s">
        <v>657</v>
      </c>
      <c r="I138" s="38" t="s">
        <v>665</v>
      </c>
      <c r="J138" s="38" t="s">
        <v>666</v>
      </c>
      <c r="K138" s="38" t="s">
        <v>843</v>
      </c>
      <c r="L138" s="35">
        <v>328251776</v>
      </c>
      <c r="M138" s="36">
        <v>46</v>
      </c>
      <c r="N138" s="37">
        <v>0.32</v>
      </c>
      <c r="O138" s="38">
        <v>14.72</v>
      </c>
      <c r="P138" s="38">
        <v>0</v>
      </c>
      <c r="Q138" s="36">
        <v>14.72</v>
      </c>
      <c r="R138" s="38" t="s">
        <v>949</v>
      </c>
    </row>
    <row r="139" spans="1:18" x14ac:dyDescent="0.3">
      <c r="A139" s="38" t="s">
        <v>124</v>
      </c>
      <c r="B139" s="38" t="s">
        <v>125</v>
      </c>
      <c r="C139" s="38" t="str">
        <f>CONCATENATE(A139," ",B139)</f>
        <v>Charles Vickers</v>
      </c>
      <c r="D139" s="38" t="s">
        <v>856</v>
      </c>
      <c r="E139" s="38">
        <v>17425766</v>
      </c>
      <c r="F139" s="38" t="s">
        <v>966</v>
      </c>
      <c r="G139" s="38" t="s">
        <v>127</v>
      </c>
      <c r="H139" s="38" t="s">
        <v>657</v>
      </c>
      <c r="I139" s="38" t="s">
        <v>665</v>
      </c>
      <c r="J139" s="38" t="s">
        <v>666</v>
      </c>
      <c r="K139" s="38" t="s">
        <v>829</v>
      </c>
      <c r="L139" s="35">
        <v>377078631</v>
      </c>
      <c r="M139" s="36">
        <v>65</v>
      </c>
      <c r="N139" s="37">
        <v>0.24</v>
      </c>
      <c r="O139" s="38">
        <v>15.6</v>
      </c>
      <c r="P139" s="38">
        <v>0</v>
      </c>
      <c r="Q139" s="36">
        <v>15.6</v>
      </c>
      <c r="R139" s="38" t="s">
        <v>950</v>
      </c>
    </row>
    <row r="140" spans="1:18" x14ac:dyDescent="0.3">
      <c r="A140" s="38" t="s">
        <v>231</v>
      </c>
      <c r="B140" s="38" t="s">
        <v>232</v>
      </c>
      <c r="C140" s="38" t="str">
        <f>CONCATENATE(A140," ",B140)</f>
        <v>Kathleen McClain</v>
      </c>
      <c r="D140" s="38" t="s">
        <v>684</v>
      </c>
      <c r="E140" s="38" t="s">
        <v>959</v>
      </c>
      <c r="F140" s="38" t="s">
        <v>966</v>
      </c>
      <c r="G140" s="38" t="s">
        <v>72</v>
      </c>
      <c r="H140" s="38" t="s">
        <v>657</v>
      </c>
      <c r="I140" s="38" t="s">
        <v>665</v>
      </c>
      <c r="J140" s="38" t="s">
        <v>666</v>
      </c>
      <c r="K140" s="38" t="s">
        <v>865</v>
      </c>
      <c r="L140" s="35">
        <v>78980217</v>
      </c>
      <c r="M140" s="36">
        <v>65</v>
      </c>
      <c r="N140" s="37">
        <v>0.24</v>
      </c>
      <c r="O140" s="38">
        <v>15.6</v>
      </c>
      <c r="P140" s="38">
        <v>0</v>
      </c>
      <c r="Q140" s="36">
        <v>15.6</v>
      </c>
      <c r="R140" s="38" t="s">
        <v>950</v>
      </c>
    </row>
    <row r="141" spans="1:18" x14ac:dyDescent="0.3">
      <c r="A141" s="38" t="s">
        <v>151</v>
      </c>
      <c r="B141" s="38" t="s">
        <v>152</v>
      </c>
      <c r="C141" s="38" t="str">
        <f>CONCATENATE(A141," ",B141)</f>
        <v>Nancy Tiburzio</v>
      </c>
      <c r="D141" s="38" t="s">
        <v>679</v>
      </c>
      <c r="E141" s="38" t="s">
        <v>959</v>
      </c>
      <c r="F141" s="38" t="s">
        <v>966</v>
      </c>
      <c r="G141" s="38" t="s">
        <v>72</v>
      </c>
      <c r="H141" s="38" t="s">
        <v>657</v>
      </c>
      <c r="I141" s="38" t="s">
        <v>665</v>
      </c>
      <c r="J141" s="38" t="s">
        <v>666</v>
      </c>
      <c r="K141" s="38" t="s">
        <v>832</v>
      </c>
      <c r="L141" s="35">
        <v>970685148</v>
      </c>
      <c r="M141" s="36">
        <v>66</v>
      </c>
      <c r="N141" s="37">
        <v>0.24</v>
      </c>
      <c r="O141" s="38">
        <v>15.84</v>
      </c>
      <c r="P141" s="38">
        <v>0</v>
      </c>
      <c r="Q141" s="36">
        <v>15.84</v>
      </c>
      <c r="R141" s="38" t="s">
        <v>950</v>
      </c>
    </row>
    <row r="142" spans="1:18" x14ac:dyDescent="0.3">
      <c r="A142" s="38" t="s">
        <v>322</v>
      </c>
      <c r="B142" s="38" t="s">
        <v>323</v>
      </c>
      <c r="C142" s="38" t="str">
        <f>CONCATENATE(A142," ",B142)</f>
        <v>Demetris Jones</v>
      </c>
      <c r="D142" s="38" t="s">
        <v>655</v>
      </c>
      <c r="E142" s="38">
        <v>18010408</v>
      </c>
      <c r="F142" s="38" t="s">
        <v>981</v>
      </c>
      <c r="G142" s="38" t="s">
        <v>72</v>
      </c>
      <c r="H142" s="38" t="s">
        <v>657</v>
      </c>
      <c r="I142" s="38" t="s">
        <v>665</v>
      </c>
      <c r="J142" s="38" t="s">
        <v>666</v>
      </c>
      <c r="K142" s="38" t="s">
        <v>746</v>
      </c>
      <c r="L142" s="35">
        <v>384672439</v>
      </c>
      <c r="M142" s="36">
        <v>66</v>
      </c>
      <c r="N142" s="37">
        <v>0.24</v>
      </c>
      <c r="O142" s="38">
        <v>15.84</v>
      </c>
      <c r="P142" s="38">
        <v>0</v>
      </c>
      <c r="Q142" s="36">
        <v>15.84</v>
      </c>
      <c r="R142" s="38" t="s">
        <v>950</v>
      </c>
    </row>
    <row r="143" spans="1:18" x14ac:dyDescent="0.3">
      <c r="A143" s="38" t="s">
        <v>334</v>
      </c>
      <c r="B143" s="38" t="s">
        <v>335</v>
      </c>
      <c r="C143" s="38" t="str">
        <f>CONCATENATE(A143," ",B143)</f>
        <v>Eugene Hanes Jr.</v>
      </c>
      <c r="D143" s="38" t="s">
        <v>655</v>
      </c>
      <c r="E143" s="38" t="s">
        <v>958</v>
      </c>
      <c r="F143" s="38" t="s">
        <v>971</v>
      </c>
      <c r="G143" s="38" t="s">
        <v>72</v>
      </c>
      <c r="H143" s="38" t="s">
        <v>657</v>
      </c>
      <c r="I143" s="38" t="s">
        <v>665</v>
      </c>
      <c r="J143" s="38" t="s">
        <v>666</v>
      </c>
      <c r="K143" s="38" t="s">
        <v>676</v>
      </c>
      <c r="L143" s="35">
        <v>975782157</v>
      </c>
      <c r="M143" s="36">
        <v>66</v>
      </c>
      <c r="N143" s="37">
        <v>0.24</v>
      </c>
      <c r="O143" s="38">
        <v>15.84</v>
      </c>
      <c r="P143" s="38">
        <v>0</v>
      </c>
      <c r="Q143" s="36">
        <v>15.84</v>
      </c>
      <c r="R143" s="38" t="s">
        <v>950</v>
      </c>
    </row>
    <row r="144" spans="1:18" x14ac:dyDescent="0.3">
      <c r="A144" s="38" t="s">
        <v>275</v>
      </c>
      <c r="B144" s="38" t="s">
        <v>276</v>
      </c>
      <c r="C144" s="38" t="str">
        <f>CONCATENATE(A144," ",B144)</f>
        <v>Michelle Barnowski</v>
      </c>
      <c r="D144" s="38" t="s">
        <v>655</v>
      </c>
      <c r="E144" s="38">
        <v>16202925</v>
      </c>
      <c r="F144" s="38" t="s">
        <v>965</v>
      </c>
      <c r="G144" s="38" t="s">
        <v>96</v>
      </c>
      <c r="H144" s="38" t="s">
        <v>657</v>
      </c>
      <c r="I144" s="38" t="s">
        <v>665</v>
      </c>
      <c r="J144" s="38" t="s">
        <v>666</v>
      </c>
      <c r="K144" s="38" t="s">
        <v>676</v>
      </c>
      <c r="L144" s="35">
        <v>760186562</v>
      </c>
      <c r="M144" s="36">
        <v>50</v>
      </c>
      <c r="N144" s="37">
        <v>0.32</v>
      </c>
      <c r="O144" s="38">
        <v>16</v>
      </c>
      <c r="P144" s="38">
        <v>0</v>
      </c>
      <c r="Q144" s="36">
        <v>16</v>
      </c>
      <c r="R144" s="38" t="s">
        <v>949</v>
      </c>
    </row>
    <row r="145" spans="1:18" x14ac:dyDescent="0.3">
      <c r="A145" s="38" t="s">
        <v>451</v>
      </c>
      <c r="B145" s="38" t="s">
        <v>208</v>
      </c>
      <c r="C145" s="38" t="str">
        <f>CONCATENATE(A145," ",B145)</f>
        <v>Jon Beckstrand</v>
      </c>
      <c r="D145" s="38" t="s">
        <v>655</v>
      </c>
      <c r="E145" s="38" t="s">
        <v>953</v>
      </c>
      <c r="F145" s="38" t="s">
        <v>965</v>
      </c>
      <c r="G145" s="38" t="s">
        <v>96</v>
      </c>
      <c r="H145" s="38" t="s">
        <v>657</v>
      </c>
      <c r="I145" s="38" t="s">
        <v>665</v>
      </c>
      <c r="J145" s="38" t="s">
        <v>666</v>
      </c>
      <c r="K145" s="38" t="s">
        <v>672</v>
      </c>
      <c r="L145" s="35">
        <v>167138801</v>
      </c>
      <c r="M145" s="36">
        <v>50</v>
      </c>
      <c r="N145" s="37">
        <v>0.32</v>
      </c>
      <c r="O145" s="38">
        <v>16</v>
      </c>
      <c r="P145" s="38">
        <v>0</v>
      </c>
      <c r="Q145" s="36">
        <v>16</v>
      </c>
      <c r="R145" s="38" t="s">
        <v>949</v>
      </c>
    </row>
    <row r="146" spans="1:18" x14ac:dyDescent="0.3">
      <c r="A146" s="38" t="s">
        <v>559</v>
      </c>
      <c r="B146" s="38" t="s">
        <v>327</v>
      </c>
      <c r="C146" s="38" t="str">
        <f>CONCATENATE(A146," ",B146)</f>
        <v>Gary Gaines</v>
      </c>
      <c r="D146" s="38" t="s">
        <v>684</v>
      </c>
      <c r="E146" s="38" t="s">
        <v>961</v>
      </c>
      <c r="F146" s="38" t="s">
        <v>970</v>
      </c>
      <c r="G146" s="38" t="s">
        <v>96</v>
      </c>
      <c r="H146" s="38" t="s">
        <v>657</v>
      </c>
      <c r="I146" s="38" t="s">
        <v>665</v>
      </c>
      <c r="J146" s="38" t="s">
        <v>666</v>
      </c>
      <c r="K146" s="38" t="s">
        <v>693</v>
      </c>
      <c r="L146" s="35">
        <v>437691397</v>
      </c>
      <c r="M146" s="36">
        <v>50</v>
      </c>
      <c r="N146" s="37">
        <v>0.32</v>
      </c>
      <c r="O146" s="38">
        <v>16</v>
      </c>
      <c r="P146" s="38">
        <v>0</v>
      </c>
      <c r="Q146" s="36">
        <v>16</v>
      </c>
      <c r="R146" s="38" t="s">
        <v>949</v>
      </c>
    </row>
    <row r="147" spans="1:18" x14ac:dyDescent="0.3">
      <c r="A147" s="38" t="s">
        <v>579</v>
      </c>
      <c r="B147" s="38" t="s">
        <v>580</v>
      </c>
      <c r="C147" s="38" t="str">
        <f>CONCATENATE(A147," ",B147)</f>
        <v>Hollie Cacace</v>
      </c>
      <c r="D147" s="38" t="s">
        <v>655</v>
      </c>
      <c r="E147" s="38">
        <v>16202925</v>
      </c>
      <c r="F147" s="38" t="s">
        <v>965</v>
      </c>
      <c r="G147" s="38" t="s">
        <v>96</v>
      </c>
      <c r="H147" s="38" t="s">
        <v>657</v>
      </c>
      <c r="I147" s="38" t="s">
        <v>665</v>
      </c>
      <c r="J147" s="38" t="s">
        <v>666</v>
      </c>
      <c r="K147" s="38" t="s">
        <v>726</v>
      </c>
      <c r="L147" s="35">
        <v>536940641</v>
      </c>
      <c r="M147" s="36">
        <v>50</v>
      </c>
      <c r="N147" s="37">
        <v>0.32</v>
      </c>
      <c r="O147" s="38">
        <v>16</v>
      </c>
      <c r="P147" s="38">
        <v>0</v>
      </c>
      <c r="Q147" s="36">
        <v>16</v>
      </c>
      <c r="R147" s="38" t="s">
        <v>949</v>
      </c>
    </row>
    <row r="148" spans="1:18" x14ac:dyDescent="0.3">
      <c r="A148" s="38" t="s">
        <v>592</v>
      </c>
      <c r="B148" s="38" t="s">
        <v>593</v>
      </c>
      <c r="C148" s="38" t="str">
        <f>CONCATENATE(A148," ",B148)</f>
        <v>Kevin Husemann</v>
      </c>
      <c r="D148" s="38" t="s">
        <v>655</v>
      </c>
      <c r="E148" s="38">
        <v>16202925</v>
      </c>
      <c r="F148" s="38" t="s">
        <v>965</v>
      </c>
      <c r="G148" s="38" t="s">
        <v>96</v>
      </c>
      <c r="H148" s="38" t="s">
        <v>657</v>
      </c>
      <c r="I148" s="38" t="s">
        <v>665</v>
      </c>
      <c r="J148" s="38" t="s">
        <v>666</v>
      </c>
      <c r="K148" s="38" t="s">
        <v>717</v>
      </c>
      <c r="L148" s="35">
        <v>310854872</v>
      </c>
      <c r="M148" s="36">
        <v>50</v>
      </c>
      <c r="N148" s="37">
        <v>0.32</v>
      </c>
      <c r="O148" s="38">
        <v>16</v>
      </c>
      <c r="P148" s="38">
        <v>0</v>
      </c>
      <c r="Q148" s="36">
        <v>16</v>
      </c>
      <c r="R148" s="38" t="s">
        <v>949</v>
      </c>
    </row>
    <row r="149" spans="1:18" x14ac:dyDescent="0.3">
      <c r="A149" s="38" t="s">
        <v>611</v>
      </c>
      <c r="B149" s="38" t="s">
        <v>612</v>
      </c>
      <c r="C149" s="38" t="str">
        <f>CONCATENATE(A149," ",B149)</f>
        <v>Jose Manansala</v>
      </c>
      <c r="D149" s="38" t="s">
        <v>655</v>
      </c>
      <c r="E149" s="38">
        <v>17195620</v>
      </c>
      <c r="F149" s="38" t="s">
        <v>972</v>
      </c>
      <c r="G149" s="38" t="s">
        <v>96</v>
      </c>
      <c r="H149" s="38" t="s">
        <v>657</v>
      </c>
      <c r="I149" s="38" t="s">
        <v>665</v>
      </c>
      <c r="J149" s="38" t="s">
        <v>666</v>
      </c>
      <c r="K149" s="38" t="s">
        <v>726</v>
      </c>
      <c r="L149" s="35">
        <v>762673318</v>
      </c>
      <c r="M149" s="36">
        <v>50</v>
      </c>
      <c r="N149" s="37">
        <v>0.32</v>
      </c>
      <c r="O149" s="38">
        <v>16</v>
      </c>
      <c r="P149" s="38">
        <v>0</v>
      </c>
      <c r="Q149" s="36">
        <v>16</v>
      </c>
      <c r="R149" s="38" t="s">
        <v>949</v>
      </c>
    </row>
    <row r="150" spans="1:18" x14ac:dyDescent="0.3">
      <c r="A150" s="38" t="s">
        <v>231</v>
      </c>
      <c r="B150" s="38" t="s">
        <v>485</v>
      </c>
      <c r="C150" s="38" t="str">
        <f>CONCATENATE(A150," ",B150)</f>
        <v>Kathleen Abrams</v>
      </c>
      <c r="D150" s="38" t="s">
        <v>655</v>
      </c>
      <c r="E150" s="38">
        <v>16202925</v>
      </c>
      <c r="F150" s="38" t="s">
        <v>965</v>
      </c>
      <c r="G150" s="38" t="s">
        <v>96</v>
      </c>
      <c r="H150" s="38" t="s">
        <v>657</v>
      </c>
      <c r="I150" s="38" t="s">
        <v>665</v>
      </c>
      <c r="J150" s="38" t="s">
        <v>666</v>
      </c>
      <c r="K150" s="38" t="s">
        <v>668</v>
      </c>
      <c r="L150" s="35">
        <v>528354958</v>
      </c>
      <c r="M150" s="36">
        <v>50</v>
      </c>
      <c r="N150" s="37">
        <v>0.32</v>
      </c>
      <c r="O150" s="38">
        <v>16</v>
      </c>
      <c r="P150" s="38">
        <v>0</v>
      </c>
      <c r="Q150" s="36">
        <v>16</v>
      </c>
      <c r="R150" s="38" t="s">
        <v>949</v>
      </c>
    </row>
    <row r="151" spans="1:18" x14ac:dyDescent="0.3">
      <c r="A151" s="38" t="s">
        <v>492</v>
      </c>
      <c r="B151" s="38" t="s">
        <v>493</v>
      </c>
      <c r="C151" s="38" t="str">
        <f>CONCATENATE(A151," ",B151)</f>
        <v>Julie Bryant</v>
      </c>
      <c r="D151" s="38" t="s">
        <v>655</v>
      </c>
      <c r="E151" s="38">
        <v>17195620</v>
      </c>
      <c r="F151" s="38" t="s">
        <v>972</v>
      </c>
      <c r="G151" s="38" t="s">
        <v>96</v>
      </c>
      <c r="H151" s="38" t="s">
        <v>657</v>
      </c>
      <c r="I151" s="38" t="s">
        <v>665</v>
      </c>
      <c r="J151" s="38" t="s">
        <v>666</v>
      </c>
      <c r="K151" s="38" t="s">
        <v>676</v>
      </c>
      <c r="L151" s="35">
        <v>954518880</v>
      </c>
      <c r="M151" s="36">
        <v>50</v>
      </c>
      <c r="N151" s="37">
        <v>0.32</v>
      </c>
      <c r="O151" s="38">
        <v>16</v>
      </c>
      <c r="P151" s="38">
        <v>0</v>
      </c>
      <c r="Q151" s="36">
        <v>16</v>
      </c>
      <c r="R151" s="38" t="s">
        <v>949</v>
      </c>
    </row>
    <row r="152" spans="1:18" x14ac:dyDescent="0.3">
      <c r="A152" s="38" t="s">
        <v>294</v>
      </c>
      <c r="B152" s="38" t="s">
        <v>501</v>
      </c>
      <c r="C152" s="38" t="str">
        <f>CONCATENATE(A152," ",B152)</f>
        <v>Mary Pross</v>
      </c>
      <c r="D152" s="38" t="s">
        <v>655</v>
      </c>
      <c r="E152" s="38">
        <v>16202925</v>
      </c>
      <c r="F152" s="38" t="s">
        <v>965</v>
      </c>
      <c r="G152" s="38" t="s">
        <v>96</v>
      </c>
      <c r="H152" s="38" t="s">
        <v>657</v>
      </c>
      <c r="I152" s="38" t="s">
        <v>665</v>
      </c>
      <c r="J152" s="38" t="s">
        <v>666</v>
      </c>
      <c r="K152" s="38" t="s">
        <v>668</v>
      </c>
      <c r="L152" s="35">
        <v>914833590</v>
      </c>
      <c r="M152" s="36">
        <v>50</v>
      </c>
      <c r="N152" s="37">
        <v>0.32</v>
      </c>
      <c r="O152" s="38">
        <v>16</v>
      </c>
      <c r="P152" s="38">
        <v>0</v>
      </c>
      <c r="Q152" s="36">
        <v>16</v>
      </c>
      <c r="R152" s="38" t="s">
        <v>949</v>
      </c>
    </row>
    <row r="153" spans="1:18" x14ac:dyDescent="0.3">
      <c r="A153" s="38" t="s">
        <v>157</v>
      </c>
      <c r="B153" s="38" t="s">
        <v>158</v>
      </c>
      <c r="C153" s="38" t="str">
        <f>CONCATENATE(A153," ",B153)</f>
        <v>Gene Gerzsenyi</v>
      </c>
      <c r="D153" s="38" t="s">
        <v>655</v>
      </c>
      <c r="E153" s="38">
        <v>16202925</v>
      </c>
      <c r="F153" s="38" t="s">
        <v>965</v>
      </c>
      <c r="G153" s="38" t="s">
        <v>96</v>
      </c>
      <c r="H153" s="38" t="s">
        <v>657</v>
      </c>
      <c r="I153" s="38" t="s">
        <v>665</v>
      </c>
      <c r="J153" s="38" t="s">
        <v>666</v>
      </c>
      <c r="K153" s="38" t="s">
        <v>676</v>
      </c>
      <c r="L153" s="35">
        <v>877044360</v>
      </c>
      <c r="M153" s="36">
        <v>50</v>
      </c>
      <c r="N153" s="37">
        <v>0.32</v>
      </c>
      <c r="O153" s="38">
        <v>16</v>
      </c>
      <c r="P153" s="38">
        <v>0</v>
      </c>
      <c r="Q153" s="36">
        <v>16</v>
      </c>
      <c r="R153" s="38" t="s">
        <v>949</v>
      </c>
    </row>
    <row r="154" spans="1:18" x14ac:dyDescent="0.3">
      <c r="A154" s="38" t="s">
        <v>275</v>
      </c>
      <c r="B154" s="38" t="s">
        <v>276</v>
      </c>
      <c r="C154" s="38" t="str">
        <f>CONCATENATE(A154," ",B154)</f>
        <v>Michelle Barnowski</v>
      </c>
      <c r="D154" s="38" t="s">
        <v>655</v>
      </c>
      <c r="E154" s="38">
        <v>16202925</v>
      </c>
      <c r="F154" s="38" t="s">
        <v>965</v>
      </c>
      <c r="G154" s="38" t="s">
        <v>96</v>
      </c>
      <c r="H154" s="38" t="s">
        <v>657</v>
      </c>
      <c r="I154" s="38" t="s">
        <v>665</v>
      </c>
      <c r="J154" s="38" t="s">
        <v>666</v>
      </c>
      <c r="K154" s="38" t="s">
        <v>676</v>
      </c>
      <c r="L154" s="35">
        <v>760186562</v>
      </c>
      <c r="M154" s="36">
        <v>50</v>
      </c>
      <c r="N154" s="37">
        <v>0.32</v>
      </c>
      <c r="O154" s="38">
        <v>16</v>
      </c>
      <c r="P154" s="38">
        <v>0</v>
      </c>
      <c r="Q154" s="36">
        <v>16</v>
      </c>
      <c r="R154" s="38" t="s">
        <v>949</v>
      </c>
    </row>
    <row r="155" spans="1:18" x14ac:dyDescent="0.3">
      <c r="A155" s="38" t="s">
        <v>443</v>
      </c>
      <c r="B155" s="38" t="s">
        <v>444</v>
      </c>
      <c r="C155" s="38" t="str">
        <f>CONCATENATE(A155," ",B155)</f>
        <v>John Fritz</v>
      </c>
      <c r="D155" s="38" t="s">
        <v>684</v>
      </c>
      <c r="E155" s="38">
        <v>17425766</v>
      </c>
      <c r="F155" s="38" t="s">
        <v>966</v>
      </c>
      <c r="G155" s="38" t="s">
        <v>72</v>
      </c>
      <c r="H155" s="38" t="s">
        <v>657</v>
      </c>
      <c r="I155" s="38" t="s">
        <v>665</v>
      </c>
      <c r="J155" s="38" t="s">
        <v>666</v>
      </c>
      <c r="K155" s="38" t="s">
        <v>676</v>
      </c>
      <c r="L155" s="35">
        <v>303162685</v>
      </c>
      <c r="M155" s="36">
        <v>71</v>
      </c>
      <c r="N155" s="37">
        <v>0.24</v>
      </c>
      <c r="O155" s="38">
        <v>17.04</v>
      </c>
      <c r="P155" s="38">
        <v>0</v>
      </c>
      <c r="Q155" s="36">
        <v>17.04</v>
      </c>
      <c r="R155" s="38" t="s">
        <v>950</v>
      </c>
    </row>
    <row r="156" spans="1:18" x14ac:dyDescent="0.3">
      <c r="A156" s="38" t="s">
        <v>135</v>
      </c>
      <c r="B156" s="38" t="s">
        <v>136</v>
      </c>
      <c r="C156" s="38" t="str">
        <f>CONCATENATE(A156," ",B156)</f>
        <v>Kimberly Mooney</v>
      </c>
      <c r="D156" s="38" t="s">
        <v>684</v>
      </c>
      <c r="E156" s="38">
        <v>17425766</v>
      </c>
      <c r="F156" s="38" t="s">
        <v>966</v>
      </c>
      <c r="G156" s="38" t="s">
        <v>72</v>
      </c>
      <c r="H156" s="38" t="s">
        <v>657</v>
      </c>
      <c r="I156" s="38" t="s">
        <v>665</v>
      </c>
      <c r="J156" s="38" t="s">
        <v>666</v>
      </c>
      <c r="K156" s="38" t="s">
        <v>661</v>
      </c>
      <c r="L156" s="35">
        <v>185194902</v>
      </c>
      <c r="M156" s="36">
        <v>71</v>
      </c>
      <c r="N156" s="37">
        <v>0.24</v>
      </c>
      <c r="O156" s="38">
        <v>17.04</v>
      </c>
      <c r="P156" s="38">
        <v>0</v>
      </c>
      <c r="Q156" s="36">
        <v>17.04</v>
      </c>
      <c r="R156" s="38" t="s">
        <v>950</v>
      </c>
    </row>
    <row r="157" spans="1:18" x14ac:dyDescent="0.3">
      <c r="A157" s="38" t="s">
        <v>240</v>
      </c>
      <c r="B157" s="38" t="s">
        <v>241</v>
      </c>
      <c r="C157" s="38" t="str">
        <f>CONCATENATE(A157," ",B157)</f>
        <v>Laura Beatty</v>
      </c>
      <c r="D157" s="38" t="s">
        <v>684</v>
      </c>
      <c r="E157" s="38">
        <v>17425766</v>
      </c>
      <c r="F157" s="38" t="s">
        <v>966</v>
      </c>
      <c r="G157" s="38" t="s">
        <v>72</v>
      </c>
      <c r="H157" s="38" t="s">
        <v>657</v>
      </c>
      <c r="I157" s="38" t="s">
        <v>665</v>
      </c>
      <c r="J157" s="38" t="s">
        <v>666</v>
      </c>
      <c r="K157" s="38" t="s">
        <v>681</v>
      </c>
      <c r="L157" s="35">
        <v>317405573</v>
      </c>
      <c r="M157" s="36">
        <v>71</v>
      </c>
      <c r="N157" s="37">
        <v>0.24</v>
      </c>
      <c r="O157" s="38">
        <v>17.04</v>
      </c>
      <c r="P157" s="38">
        <v>0</v>
      </c>
      <c r="Q157" s="36">
        <v>17.04</v>
      </c>
      <c r="R157" s="38" t="s">
        <v>950</v>
      </c>
    </row>
    <row r="158" spans="1:18" x14ac:dyDescent="0.3">
      <c r="A158" s="38" t="s">
        <v>421</v>
      </c>
      <c r="B158" s="38" t="s">
        <v>422</v>
      </c>
      <c r="C158" s="38" t="str">
        <f>CONCATENATE(A158," ",B158)</f>
        <v>Marie Washington</v>
      </c>
      <c r="D158" s="38" t="s">
        <v>655</v>
      </c>
      <c r="E158" s="38" t="s">
        <v>957</v>
      </c>
      <c r="F158" s="38" t="s">
        <v>971</v>
      </c>
      <c r="G158" s="38" t="s">
        <v>72</v>
      </c>
      <c r="H158" s="38" t="s">
        <v>657</v>
      </c>
      <c r="I158" s="38" t="s">
        <v>665</v>
      </c>
      <c r="J158" s="38" t="s">
        <v>666</v>
      </c>
      <c r="K158" s="38" t="s">
        <v>278</v>
      </c>
      <c r="L158" s="35">
        <v>129472514</v>
      </c>
      <c r="M158" s="36">
        <v>72</v>
      </c>
      <c r="N158" s="37">
        <v>0.24</v>
      </c>
      <c r="O158" s="38">
        <v>17.28</v>
      </c>
      <c r="P158" s="38">
        <v>0</v>
      </c>
      <c r="Q158" s="36">
        <v>17.28</v>
      </c>
      <c r="R158" s="38" t="s">
        <v>950</v>
      </c>
    </row>
    <row r="159" spans="1:18" x14ac:dyDescent="0.3">
      <c r="A159" s="38" t="s">
        <v>434</v>
      </c>
      <c r="B159" s="38" t="s">
        <v>435</v>
      </c>
      <c r="C159" s="38" t="str">
        <f>CONCATENATE(A159," ",B159)</f>
        <v>Teri Weissman</v>
      </c>
      <c r="D159" s="38" t="s">
        <v>679</v>
      </c>
      <c r="E159" s="38">
        <v>17425766</v>
      </c>
      <c r="F159" s="38" t="s">
        <v>966</v>
      </c>
      <c r="G159" s="38" t="s">
        <v>72</v>
      </c>
      <c r="H159" s="38" t="s">
        <v>657</v>
      </c>
      <c r="I159" s="38" t="s">
        <v>665</v>
      </c>
      <c r="J159" s="38" t="s">
        <v>666</v>
      </c>
      <c r="K159" s="38" t="s">
        <v>681</v>
      </c>
      <c r="L159" s="35">
        <v>648787978</v>
      </c>
      <c r="M159" s="36">
        <v>74</v>
      </c>
      <c r="N159" s="37">
        <v>0.24</v>
      </c>
      <c r="O159" s="38">
        <v>17.760000000000002</v>
      </c>
      <c r="P159" s="38">
        <v>0</v>
      </c>
      <c r="Q159" s="36">
        <v>17.760000000000002</v>
      </c>
      <c r="R159" s="38" t="s">
        <v>950</v>
      </c>
    </row>
    <row r="160" spans="1:18" x14ac:dyDescent="0.3">
      <c r="A160" s="38" t="s">
        <v>50</v>
      </c>
      <c r="B160" s="38" t="s">
        <v>51</v>
      </c>
      <c r="C160" s="38" t="str">
        <f>CONCATENATE(A160," ",B160)</f>
        <v>Robert Steinberg</v>
      </c>
      <c r="D160" s="38" t="s">
        <v>684</v>
      </c>
      <c r="E160" s="38" t="s">
        <v>959</v>
      </c>
      <c r="F160" s="38" t="s">
        <v>966</v>
      </c>
      <c r="G160" s="38" t="s">
        <v>54</v>
      </c>
      <c r="H160" s="38" t="s">
        <v>657</v>
      </c>
      <c r="I160" s="38" t="s">
        <v>665</v>
      </c>
      <c r="J160" s="38" t="s">
        <v>666</v>
      </c>
      <c r="K160" s="38" t="s">
        <v>776</v>
      </c>
      <c r="L160" s="35">
        <v>654081029</v>
      </c>
      <c r="M160" s="36">
        <v>76</v>
      </c>
      <c r="N160" s="37">
        <v>0.24</v>
      </c>
      <c r="O160" s="38">
        <v>18.239999999999998</v>
      </c>
      <c r="P160" s="38">
        <v>0</v>
      </c>
      <c r="Q160" s="36">
        <v>18.239999999999998</v>
      </c>
      <c r="R160" s="38" t="s">
        <v>950</v>
      </c>
    </row>
    <row r="161" spans="1:18" x14ac:dyDescent="0.3">
      <c r="A161" s="38" t="s">
        <v>58</v>
      </c>
      <c r="B161" s="38" t="s">
        <v>59</v>
      </c>
      <c r="C161" s="38" t="str">
        <f>CONCATENATE(A161," ",B161)</f>
        <v>Leon Hankin</v>
      </c>
      <c r="D161" s="38" t="s">
        <v>684</v>
      </c>
      <c r="E161" s="38" t="s">
        <v>959</v>
      </c>
      <c r="F161" s="38" t="s">
        <v>966</v>
      </c>
      <c r="G161" s="38" t="s">
        <v>54</v>
      </c>
      <c r="H161" s="38" t="s">
        <v>657</v>
      </c>
      <c r="I161" s="38" t="s">
        <v>665</v>
      </c>
      <c r="J161" s="38" t="s">
        <v>666</v>
      </c>
      <c r="K161" s="38" t="s">
        <v>776</v>
      </c>
      <c r="L161" s="35">
        <v>118665193</v>
      </c>
      <c r="M161" s="36">
        <v>76</v>
      </c>
      <c r="N161" s="37">
        <v>0.24</v>
      </c>
      <c r="O161" s="38">
        <v>18.239999999999998</v>
      </c>
      <c r="P161" s="38">
        <v>0</v>
      </c>
      <c r="Q161" s="36">
        <v>18.239999999999998</v>
      </c>
      <c r="R161" s="38" t="s">
        <v>950</v>
      </c>
    </row>
    <row r="162" spans="1:18" x14ac:dyDescent="0.3">
      <c r="A162" s="38" t="s">
        <v>212</v>
      </c>
      <c r="B162" s="38" t="s">
        <v>213</v>
      </c>
      <c r="C162" s="38" t="str">
        <f>CONCATENATE(A162," ",B162)</f>
        <v>Zuleika Rosa Salgado</v>
      </c>
      <c r="D162" s="38" t="s">
        <v>655</v>
      </c>
      <c r="E162" s="38" t="s">
        <v>958</v>
      </c>
      <c r="F162" s="38" t="s">
        <v>971</v>
      </c>
      <c r="G162" s="38" t="s">
        <v>96</v>
      </c>
      <c r="H162" s="38" t="s">
        <v>657</v>
      </c>
      <c r="I162" s="38" t="s">
        <v>665</v>
      </c>
      <c r="J162" s="38" t="s">
        <v>666</v>
      </c>
      <c r="K162" s="38" t="s">
        <v>676</v>
      </c>
      <c r="L162" s="35">
        <v>701882993</v>
      </c>
      <c r="M162" s="36">
        <v>58</v>
      </c>
      <c r="N162" s="37">
        <v>0.32</v>
      </c>
      <c r="O162" s="38">
        <v>18.559999999999999</v>
      </c>
      <c r="P162" s="38">
        <v>0</v>
      </c>
      <c r="Q162" s="36">
        <v>18.559999999999999</v>
      </c>
      <c r="R162" s="38" t="s">
        <v>949</v>
      </c>
    </row>
    <row r="163" spans="1:18" x14ac:dyDescent="0.3">
      <c r="A163" s="38" t="s">
        <v>161</v>
      </c>
      <c r="B163" s="38" t="s">
        <v>162</v>
      </c>
      <c r="C163" s="38" t="str">
        <f>CONCATENATE(A163," ",B163)</f>
        <v>A Thomas Loy</v>
      </c>
      <c r="D163" s="38" t="s">
        <v>655</v>
      </c>
      <c r="E163" s="38">
        <v>16202925</v>
      </c>
      <c r="F163" s="38" t="s">
        <v>965</v>
      </c>
      <c r="G163" s="38" t="s">
        <v>96</v>
      </c>
      <c r="H163" s="38" t="s">
        <v>657</v>
      </c>
      <c r="I163" s="38" t="s">
        <v>665</v>
      </c>
      <c r="J163" s="38" t="s">
        <v>666</v>
      </c>
      <c r="K163" s="38" t="s">
        <v>726</v>
      </c>
      <c r="L163" s="35">
        <v>820303811</v>
      </c>
      <c r="M163" s="36">
        <v>60</v>
      </c>
      <c r="N163" s="37">
        <v>0.32</v>
      </c>
      <c r="O163" s="38">
        <v>19.2</v>
      </c>
      <c r="P163" s="38">
        <v>0</v>
      </c>
      <c r="Q163" s="36">
        <v>19.2</v>
      </c>
      <c r="R163" s="38" t="s">
        <v>949</v>
      </c>
    </row>
    <row r="164" spans="1:18" x14ac:dyDescent="0.3">
      <c r="A164" s="38" t="s">
        <v>74</v>
      </c>
      <c r="B164" s="38" t="s">
        <v>75</v>
      </c>
      <c r="C164" s="38" t="str">
        <f>CONCATENATE(A164," ",B164)</f>
        <v>Roderick Acha</v>
      </c>
      <c r="D164" s="38" t="s">
        <v>873</v>
      </c>
      <c r="E164" s="38">
        <v>1706194</v>
      </c>
      <c r="F164" s="38" t="s">
        <v>984</v>
      </c>
      <c r="G164" s="38" t="s">
        <v>77</v>
      </c>
      <c r="H164" s="38" t="s">
        <v>657</v>
      </c>
      <c r="I164" s="38" t="s">
        <v>665</v>
      </c>
      <c r="J164" s="38" t="s">
        <v>666</v>
      </c>
      <c r="K164" s="38" t="s">
        <v>668</v>
      </c>
      <c r="L164" s="35">
        <v>690892951</v>
      </c>
      <c r="M164" s="36">
        <v>93</v>
      </c>
      <c r="N164" s="37">
        <v>0.24</v>
      </c>
      <c r="O164" s="38">
        <v>22.32</v>
      </c>
      <c r="P164" s="38">
        <v>0</v>
      </c>
      <c r="Q164" s="36">
        <v>22.32</v>
      </c>
      <c r="R164" s="38" t="s">
        <v>950</v>
      </c>
    </row>
    <row r="165" spans="1:18" x14ac:dyDescent="0.3">
      <c r="A165" s="38" t="s">
        <v>536</v>
      </c>
      <c r="B165" s="38" t="s">
        <v>537</v>
      </c>
      <c r="C165" s="38" t="str">
        <f>CONCATENATE(A165," ",B165)</f>
        <v>Roxanne Hartrich</v>
      </c>
      <c r="D165" s="38" t="s">
        <v>698</v>
      </c>
      <c r="E165" s="38">
        <v>8244481</v>
      </c>
      <c r="F165" s="38" t="s">
        <v>976</v>
      </c>
      <c r="G165" s="38" t="s">
        <v>149</v>
      </c>
      <c r="H165" s="38" t="s">
        <v>657</v>
      </c>
      <c r="I165" s="38" t="s">
        <v>665</v>
      </c>
      <c r="J165" s="38" t="s">
        <v>666</v>
      </c>
      <c r="K165" s="38" t="s">
        <v>813</v>
      </c>
      <c r="L165" s="35">
        <v>538144779</v>
      </c>
      <c r="M165" s="36">
        <v>95</v>
      </c>
      <c r="N165" s="37">
        <v>0.24</v>
      </c>
      <c r="O165" s="38">
        <v>22.8</v>
      </c>
      <c r="P165" s="38">
        <v>0</v>
      </c>
      <c r="Q165" s="36">
        <v>22.8</v>
      </c>
      <c r="R165" s="38" t="s">
        <v>950</v>
      </c>
    </row>
    <row r="166" spans="1:18" x14ac:dyDescent="0.3">
      <c r="A166" s="38" t="s">
        <v>430</v>
      </c>
      <c r="B166" s="38" t="s">
        <v>431</v>
      </c>
      <c r="C166" s="38" t="str">
        <f>CONCATENATE(A166," ",B166)</f>
        <v>Katrin Urban</v>
      </c>
      <c r="D166" s="38" t="s">
        <v>655</v>
      </c>
      <c r="E166" s="38" t="s">
        <v>953</v>
      </c>
      <c r="F166" s="38" t="s">
        <v>965</v>
      </c>
      <c r="G166" s="38" t="s">
        <v>54</v>
      </c>
      <c r="H166" s="38" t="s">
        <v>657</v>
      </c>
      <c r="I166" s="38" t="s">
        <v>665</v>
      </c>
      <c r="J166" s="38" t="s">
        <v>666</v>
      </c>
      <c r="K166" s="38" t="s">
        <v>672</v>
      </c>
      <c r="L166" s="35">
        <v>397825233</v>
      </c>
      <c r="M166" s="36">
        <v>97</v>
      </c>
      <c r="N166" s="37">
        <v>0.24</v>
      </c>
      <c r="O166" s="38">
        <v>23.28</v>
      </c>
      <c r="P166" s="38">
        <v>0</v>
      </c>
      <c r="Q166" s="36">
        <v>23.28</v>
      </c>
      <c r="R166" s="38" t="s">
        <v>950</v>
      </c>
    </row>
    <row r="167" spans="1:18" x14ac:dyDescent="0.3">
      <c r="A167" s="38" t="s">
        <v>89</v>
      </c>
      <c r="B167" s="38" t="s">
        <v>90</v>
      </c>
      <c r="C167" s="38" t="str">
        <f>CONCATENATE(A167," ",B167)</f>
        <v>Milos Radovanovic</v>
      </c>
      <c r="D167" s="38" t="s">
        <v>698</v>
      </c>
      <c r="E167" s="38" t="s">
        <v>955</v>
      </c>
      <c r="F167" s="38" t="s">
        <v>968</v>
      </c>
      <c r="G167" s="38" t="s">
        <v>80</v>
      </c>
      <c r="H167" s="38" t="s">
        <v>657</v>
      </c>
      <c r="I167" s="38" t="s">
        <v>665</v>
      </c>
      <c r="J167" s="38" t="s">
        <v>666</v>
      </c>
      <c r="K167" s="38" t="s">
        <v>661</v>
      </c>
      <c r="L167" s="35">
        <v>895993426</v>
      </c>
      <c r="M167" s="36">
        <v>110</v>
      </c>
      <c r="N167" s="37">
        <v>0.24</v>
      </c>
      <c r="O167" s="38">
        <v>26.4</v>
      </c>
      <c r="P167" s="38">
        <v>0</v>
      </c>
      <c r="Q167" s="36">
        <v>26.4</v>
      </c>
      <c r="R167" s="38" t="s">
        <v>950</v>
      </c>
    </row>
    <row r="168" spans="1:18" x14ac:dyDescent="0.3">
      <c r="A168" s="38" t="s">
        <v>517</v>
      </c>
      <c r="B168" s="38" t="s">
        <v>518</v>
      </c>
      <c r="C168" s="38" t="str">
        <f>CONCATENATE(A168," ",B168)</f>
        <v>Mindi Kane</v>
      </c>
      <c r="D168" s="38" t="s">
        <v>698</v>
      </c>
      <c r="E168" s="38">
        <v>19200754</v>
      </c>
      <c r="F168" s="38" t="s">
        <v>968</v>
      </c>
      <c r="G168" s="38" t="s">
        <v>54</v>
      </c>
      <c r="H168" s="38" t="s">
        <v>657</v>
      </c>
      <c r="I168" s="38" t="s">
        <v>665</v>
      </c>
      <c r="J168" s="38" t="s">
        <v>666</v>
      </c>
      <c r="K168" s="38" t="s">
        <v>746</v>
      </c>
      <c r="L168" s="35">
        <v>673613358</v>
      </c>
      <c r="M168" s="36">
        <v>112</v>
      </c>
      <c r="N168" s="37">
        <v>0.24</v>
      </c>
      <c r="O168" s="38">
        <v>26.88</v>
      </c>
      <c r="P168" s="38">
        <v>0</v>
      </c>
      <c r="Q168" s="36">
        <v>26.88</v>
      </c>
      <c r="R168" s="38" t="s">
        <v>950</v>
      </c>
    </row>
    <row r="169" spans="1:18" x14ac:dyDescent="0.3">
      <c r="A169" s="38" t="s">
        <v>299</v>
      </c>
      <c r="B169" s="38" t="s">
        <v>300</v>
      </c>
      <c r="C169" s="38" t="str">
        <f>CONCATENATE(A169," ",B169)</f>
        <v>Liane Lefever</v>
      </c>
      <c r="D169" s="38" t="s">
        <v>684</v>
      </c>
      <c r="E169" s="38">
        <v>15278437</v>
      </c>
      <c r="F169" s="38" t="s">
        <v>974</v>
      </c>
      <c r="G169" s="38" t="s">
        <v>72</v>
      </c>
      <c r="H169" s="38" t="s">
        <v>657</v>
      </c>
      <c r="I169" s="38" t="s">
        <v>665</v>
      </c>
      <c r="J169" s="38" t="s">
        <v>666</v>
      </c>
      <c r="K169" s="38" t="s">
        <v>776</v>
      </c>
      <c r="L169" s="35">
        <v>181995160</v>
      </c>
      <c r="M169" s="36">
        <v>120</v>
      </c>
      <c r="N169" s="37">
        <v>0.24</v>
      </c>
      <c r="O169" s="38">
        <v>28.8</v>
      </c>
      <c r="P169" s="38">
        <v>0</v>
      </c>
      <c r="Q169" s="36">
        <v>28.8</v>
      </c>
      <c r="R169" s="38" t="s">
        <v>950</v>
      </c>
    </row>
    <row r="170" spans="1:18" x14ac:dyDescent="0.3">
      <c r="A170" s="38" t="s">
        <v>507</v>
      </c>
      <c r="B170" s="38" t="s">
        <v>508</v>
      </c>
      <c r="C170" s="38" t="str">
        <f>CONCATENATE(A170," ",B170)</f>
        <v>Monica ODonnell</v>
      </c>
      <c r="D170" s="38" t="s">
        <v>684</v>
      </c>
      <c r="E170" s="38">
        <v>18010408</v>
      </c>
      <c r="F170" s="38" t="s">
        <v>981</v>
      </c>
      <c r="G170" s="38" t="s">
        <v>72</v>
      </c>
      <c r="H170" s="38" t="s">
        <v>657</v>
      </c>
      <c r="I170" s="38" t="s">
        <v>665</v>
      </c>
      <c r="J170" s="38" t="s">
        <v>666</v>
      </c>
      <c r="K170" s="38" t="s">
        <v>746</v>
      </c>
      <c r="L170" s="35">
        <v>40198305</v>
      </c>
      <c r="M170" s="36">
        <v>121</v>
      </c>
      <c r="N170" s="37">
        <v>0.24</v>
      </c>
      <c r="O170" s="38">
        <v>29.04</v>
      </c>
      <c r="P170" s="38">
        <v>0</v>
      </c>
      <c r="Q170" s="36">
        <v>29.04</v>
      </c>
      <c r="R170" s="38" t="s">
        <v>950</v>
      </c>
    </row>
    <row r="171" spans="1:18" x14ac:dyDescent="0.3">
      <c r="A171" s="38" t="s">
        <v>326</v>
      </c>
      <c r="B171" s="38" t="s">
        <v>327</v>
      </c>
      <c r="C171" s="38" t="str">
        <f>CONCATENATE(A171," ",B171)</f>
        <v>Cheryl Gaines</v>
      </c>
      <c r="D171" s="38" t="s">
        <v>698</v>
      </c>
      <c r="E171" s="38">
        <v>18828278</v>
      </c>
      <c r="F171" s="38" t="s">
        <v>977</v>
      </c>
      <c r="G171" s="38" t="s">
        <v>127</v>
      </c>
      <c r="H171" s="38" t="s">
        <v>657</v>
      </c>
      <c r="I171" s="38" t="s">
        <v>665</v>
      </c>
      <c r="J171" s="38" t="s">
        <v>666</v>
      </c>
      <c r="K171" s="38" t="s">
        <v>761</v>
      </c>
      <c r="L171" s="35">
        <v>604649461</v>
      </c>
      <c r="M171" s="36">
        <v>124</v>
      </c>
      <c r="N171" s="37">
        <v>0.24</v>
      </c>
      <c r="O171" s="38">
        <v>29.76</v>
      </c>
      <c r="P171" s="38">
        <v>0</v>
      </c>
      <c r="Q171" s="36">
        <v>29.76</v>
      </c>
      <c r="R171" s="38" t="s">
        <v>950</v>
      </c>
    </row>
    <row r="172" spans="1:18" x14ac:dyDescent="0.3">
      <c r="A172" s="38" t="s">
        <v>104</v>
      </c>
      <c r="B172" s="38" t="s">
        <v>105</v>
      </c>
      <c r="C172" s="38" t="str">
        <f>CONCATENATE(A172," ",B172)</f>
        <v>Dana Wasimin</v>
      </c>
      <c r="D172" s="38" t="s">
        <v>684</v>
      </c>
      <c r="E172" s="38">
        <v>18010408</v>
      </c>
      <c r="F172" s="38" t="s">
        <v>981</v>
      </c>
      <c r="G172" s="38" t="s">
        <v>72</v>
      </c>
      <c r="H172" s="38" t="s">
        <v>657</v>
      </c>
      <c r="I172" s="38" t="s">
        <v>665</v>
      </c>
      <c r="J172" s="38" t="s">
        <v>666</v>
      </c>
      <c r="K172" s="38" t="s">
        <v>746</v>
      </c>
      <c r="L172" s="35">
        <v>476855083</v>
      </c>
      <c r="M172" s="36">
        <v>132</v>
      </c>
      <c r="N172" s="37">
        <v>0.24</v>
      </c>
      <c r="O172" s="38">
        <v>31.68</v>
      </c>
      <c r="P172" s="38">
        <v>0</v>
      </c>
      <c r="Q172" s="36">
        <v>31.68</v>
      </c>
      <c r="R172" s="38" t="s">
        <v>950</v>
      </c>
    </row>
    <row r="173" spans="1:18" x14ac:dyDescent="0.3">
      <c r="A173" s="38" t="s">
        <v>67</v>
      </c>
      <c r="B173" s="38" t="s">
        <v>68</v>
      </c>
      <c r="C173" s="38" t="str">
        <f>CONCATENATE(A173," ",B173)</f>
        <v>Richard Golden</v>
      </c>
      <c r="D173" s="38" t="s">
        <v>679</v>
      </c>
      <c r="E173" s="38" t="s">
        <v>959</v>
      </c>
      <c r="F173" s="38" t="s">
        <v>966</v>
      </c>
      <c r="G173" s="38" t="s">
        <v>72</v>
      </c>
      <c r="H173" s="38" t="s">
        <v>657</v>
      </c>
      <c r="I173" s="38" t="s">
        <v>665</v>
      </c>
      <c r="J173" s="38" t="s">
        <v>666</v>
      </c>
      <c r="K173" s="38" t="s">
        <v>871</v>
      </c>
      <c r="L173" s="35">
        <v>297820482</v>
      </c>
      <c r="M173" s="36">
        <v>134</v>
      </c>
      <c r="N173" s="37">
        <v>0.24</v>
      </c>
      <c r="O173" s="38">
        <v>32.159999999999997</v>
      </c>
      <c r="P173" s="38">
        <v>0</v>
      </c>
      <c r="Q173" s="36">
        <v>32.159999999999997</v>
      </c>
      <c r="R173" s="38" t="s">
        <v>950</v>
      </c>
    </row>
    <row r="174" spans="1:18" x14ac:dyDescent="0.3">
      <c r="A174" s="38" t="s">
        <v>187</v>
      </c>
      <c r="B174" s="38" t="s">
        <v>188</v>
      </c>
      <c r="C174" s="38" t="str">
        <f>CONCATENATE(A174," ",B174)</f>
        <v>Steven Cohen</v>
      </c>
      <c r="D174" s="38" t="s">
        <v>698</v>
      </c>
      <c r="E174" s="38">
        <v>9213293</v>
      </c>
      <c r="F174" s="38" t="s">
        <v>980</v>
      </c>
      <c r="G174" s="38" t="s">
        <v>54</v>
      </c>
      <c r="H174" s="38" t="s">
        <v>657</v>
      </c>
      <c r="I174" s="38" t="s">
        <v>665</v>
      </c>
      <c r="J174" s="38" t="s">
        <v>666</v>
      </c>
      <c r="K174" s="38" t="s">
        <v>676</v>
      </c>
      <c r="L174" s="35">
        <v>348104279</v>
      </c>
      <c r="M174" s="36">
        <v>185</v>
      </c>
      <c r="N174" s="37">
        <v>0.24</v>
      </c>
      <c r="O174" s="38">
        <v>44.4</v>
      </c>
      <c r="P174" s="38">
        <v>0</v>
      </c>
      <c r="Q174" s="36">
        <v>44.4</v>
      </c>
      <c r="R174" s="38" t="s">
        <v>950</v>
      </c>
    </row>
    <row r="175" spans="1:18" x14ac:dyDescent="0.3">
      <c r="A175" s="38" t="s">
        <v>617</v>
      </c>
      <c r="B175" s="38" t="s">
        <v>618</v>
      </c>
      <c r="C175" s="38" t="str">
        <f>CONCATENATE(A175," ",B175)</f>
        <v>Jack Stein</v>
      </c>
      <c r="D175" s="38" t="s">
        <v>780</v>
      </c>
      <c r="E175" s="38">
        <v>15278437</v>
      </c>
      <c r="F175" s="38" t="s">
        <v>974</v>
      </c>
      <c r="G175" s="38" t="s">
        <v>620</v>
      </c>
      <c r="H175" s="38" t="s">
        <v>657</v>
      </c>
      <c r="I175" s="38" t="s">
        <v>665</v>
      </c>
      <c r="J175" s="38" t="s">
        <v>666</v>
      </c>
      <c r="K175" s="38" t="s">
        <v>782</v>
      </c>
      <c r="L175" s="35">
        <v>694607964</v>
      </c>
      <c r="M175" s="36">
        <v>172</v>
      </c>
      <c r="N175" s="37">
        <v>0.26</v>
      </c>
      <c r="O175" s="38">
        <v>44.72</v>
      </c>
      <c r="P175" s="38">
        <v>0</v>
      </c>
      <c r="Q175" s="36">
        <v>44.72</v>
      </c>
      <c r="R175" s="38" t="s">
        <v>952</v>
      </c>
    </row>
    <row r="176" spans="1:18" x14ac:dyDescent="0.3">
      <c r="A176" s="38" t="s">
        <v>541</v>
      </c>
      <c r="B176" s="38" t="s">
        <v>542</v>
      </c>
      <c r="C176" s="38" t="str">
        <f>CONCATENATE(A176," ",B176)</f>
        <v>Kenneth Johnson</v>
      </c>
      <c r="D176" s="38" t="s">
        <v>817</v>
      </c>
      <c r="E176" s="38">
        <v>9079571</v>
      </c>
      <c r="F176" s="38" t="s">
        <v>983</v>
      </c>
      <c r="G176" s="38" t="s">
        <v>545</v>
      </c>
      <c r="H176" s="38" t="s">
        <v>657</v>
      </c>
      <c r="I176" s="38" t="s">
        <v>665</v>
      </c>
      <c r="J176" s="38" t="s">
        <v>666</v>
      </c>
      <c r="K176" s="38" t="s">
        <v>782</v>
      </c>
      <c r="L176" s="35">
        <v>172575174</v>
      </c>
      <c r="M176" s="36">
        <v>212</v>
      </c>
      <c r="N176" s="37">
        <v>0.26</v>
      </c>
      <c r="O176" s="38">
        <v>55.12</v>
      </c>
      <c r="P176" s="38">
        <v>0</v>
      </c>
      <c r="Q176" s="36">
        <v>55.12</v>
      </c>
      <c r="R176" s="38" t="s">
        <v>952</v>
      </c>
    </row>
  </sheetData>
  <sortState xmlns:xlrd2="http://schemas.microsoft.com/office/spreadsheetml/2017/richdata2" ref="A2:AG176">
    <sortCondition ref="Q2:Q1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</cp:lastModifiedBy>
  <dcterms:created xsi:type="dcterms:W3CDTF">2026-05-07T16:05:36Z</dcterms:created>
  <dcterms:modified xsi:type="dcterms:W3CDTF">2026-05-12T15:18:35Z</dcterms:modified>
</cp:coreProperties>
</file>