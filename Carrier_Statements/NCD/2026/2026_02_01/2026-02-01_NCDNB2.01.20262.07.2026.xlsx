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2026\NCD NB 2-1-26 to 2-7-26\"/>
    </mc:Choice>
  </mc:AlternateContent>
  <xr:revisionPtr revIDLastSave="0" documentId="13_ncr:1_{10977B39-65AE-48E5-8BFB-FC777A69FC72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Statement" sheetId="1" r:id="rId1"/>
    <sheet name="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C3" i="3" l="1"/>
  <c r="C4" i="3"/>
  <c r="C5" i="3"/>
  <c r="C6" i="3"/>
  <c r="C2" i="3"/>
</calcChain>
</file>

<file path=xl/sharedStrings.xml><?xml version="1.0" encoding="utf-8"?>
<sst xmlns="http://schemas.openxmlformats.org/spreadsheetml/2006/main" count="277" uniqueCount="94">
  <si>
    <t>NCD</t>
  </si>
  <si>
    <t>Agent Label: Main Line Benefits LLC</t>
  </si>
  <si>
    <t>For the Period: NB 02.01.2026-02.07.2026</t>
  </si>
  <si>
    <t>Payout Date: 02.13.2026</t>
  </si>
  <si>
    <t>Earned Payout</t>
  </si>
  <si>
    <t>Total Payout</t>
  </si>
  <si>
    <t>Payout Type</t>
  </si>
  <si>
    <t>Member ID</t>
  </si>
  <si>
    <t>Member First Name</t>
  </si>
  <si>
    <t>Member Last Name</t>
  </si>
  <si>
    <t>Member Agent ID</t>
  </si>
  <si>
    <t>Member Agent Label</t>
  </si>
  <si>
    <t>Policy Number</t>
  </si>
  <si>
    <t>Product Label</t>
  </si>
  <si>
    <t>Benefit</t>
  </si>
  <si>
    <t>Posted Date</t>
  </si>
  <si>
    <t>Transaction Type</t>
  </si>
  <si>
    <t>Notes</t>
  </si>
  <si>
    <t>Commissionable Amount</t>
  </si>
  <si>
    <t>Total</t>
  </si>
  <si>
    <t>Earned</t>
  </si>
  <si>
    <t>Joseph</t>
  </si>
  <si>
    <t>Wilhelm</t>
  </si>
  <si>
    <t>Main Line Benefits - Carol Foley</t>
  </si>
  <si>
    <t>947887711</t>
  </si>
  <si>
    <t>NCD Elite 3000 by MetLife</t>
  </si>
  <si>
    <t>Member</t>
  </si>
  <si>
    <t>2/2/2026</t>
  </si>
  <si>
    <t>SALE</t>
  </si>
  <si>
    <t>Justin</t>
  </si>
  <si>
    <t>Lilick</t>
  </si>
  <si>
    <t>Lori Tunstall</t>
  </si>
  <si>
    <t>686425651</t>
  </si>
  <si>
    <t>NCD Elite 1500 by MetLife</t>
  </si>
  <si>
    <t>686198203</t>
  </si>
  <si>
    <t>VSP Preferred Plan by NCD</t>
  </si>
  <si>
    <t>Maria</t>
  </si>
  <si>
    <t>Medina</t>
  </si>
  <si>
    <t>Main Line Benefits LLC -Ricardo D Santos</t>
  </si>
  <si>
    <t>866239746</t>
  </si>
  <si>
    <t>2/1/2026</t>
  </si>
  <si>
    <t>660719533</t>
  </si>
  <si>
    <t>NCD Essentials by MetLife</t>
  </si>
  <si>
    <t>Earned Total</t>
  </si>
  <si>
    <t>Created Date</t>
  </si>
  <si>
    <t>Type</t>
  </si>
  <si>
    <t>Subtype</t>
  </si>
  <si>
    <t>Credit</t>
  </si>
  <si>
    <t>Debit</t>
  </si>
  <si>
    <t>Payee Agent ID</t>
  </si>
  <si>
    <t>Payee Agent Label</t>
  </si>
  <si>
    <t>Member State</t>
  </si>
  <si>
    <t>Member Agent Category</t>
  </si>
  <si>
    <t>Product ID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</si>
  <si>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</si>
  <si>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</si>
  <si>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</si>
  <si>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</si>
  <si>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</si>
  <si>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</si>
  <si>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Payment Type</t>
  </si>
  <si>
    <t>Transaction Payment</t>
  </si>
  <si>
    <t>Transaction Paid Through Start</t>
  </si>
  <si>
    <t>Transaction Paid Through End</t>
  </si>
  <si>
    <t>Payout</t>
  </si>
  <si>
    <t>Payable ID</t>
  </si>
  <si>
    <t>2/9/2026</t>
  </si>
  <si>
    <t>COMM</t>
  </si>
  <si>
    <t>Product</t>
  </si>
  <si>
    <t>Main Line Benefits LLC</t>
  </si>
  <si>
    <t>PA</t>
  </si>
  <si>
    <t>Field</t>
  </si>
  <si>
    <t>Monthly</t>
  </si>
  <si>
    <t>Dental</t>
  </si>
  <si>
    <t>MetLife</t>
  </si>
  <si>
    <t>3/1/2026</t>
  </si>
  <si>
    <t>11661078955</t>
  </si>
  <si>
    <t>CC</t>
  </si>
  <si>
    <t>2/28/2026</t>
  </si>
  <si>
    <t>1/23/2026</t>
  </si>
  <si>
    <t>11659045745</t>
  </si>
  <si>
    <t>Vision</t>
  </si>
  <si>
    <t>VSP</t>
  </si>
  <si>
    <t>IL</t>
  </si>
  <si>
    <t>1/28/2026</t>
  </si>
  <si>
    <t>11640449835</t>
  </si>
  <si>
    <t>ACH</t>
  </si>
  <si>
    <t>Carol Foley</t>
  </si>
  <si>
    <t>Ricardo D Santos</t>
  </si>
  <si>
    <t>NCD MetLife -24%</t>
  </si>
  <si>
    <t>Metlife Vision</t>
  </si>
  <si>
    <t>NCD override</t>
  </si>
  <si>
    <t>Main Line Benefits</t>
  </si>
  <si>
    <t>19200754AV6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</si>
</sst>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8"/>
      <color rgb="FFFFFFFF"/>
      <name val="Calibri"/>
      <family val="2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sz val="1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3764"/>
        <bgColor rgb="FF003764"/>
      </patternFill>
    </fill>
    <fill>
      <patternFill patternType="solid">
        <fgColor rgb="FFFFFFFF"/>
        <bgColor rgb="FFFFFFFF"/>
      </patternFill>
    </fill>
    <fill>
      <patternFill patternType="solid">
        <fgColor rgb="FF0082B5"/>
        <bgColor rgb="FF0082B5"/>
      </patternFill>
    </fill>
    <fill>
      <patternFill patternType="solid">
        <fgColor rgb="FFFFFFFF"/>
        <bgColor rgb="FFF2F2F2"/>
      </patternFill>
    </fill>
    <fill>
      <patternFill patternType="solid">
        <fgColor rgb="FFFF8C3E"/>
        <bgColor rgb="FFFF8C3E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5" fillId="4" borderId="1" xfId="0" applyFont="1" applyFill="1" applyBorder="1"/>
    <xf numFmtId="164" fontId="6" fillId="5" borderId="1" xfId="0" applyNumberFormat="1" applyFont="1" applyFill="1" applyBorder="1"/>
    <xf numFmtId="0" fontId="5" fillId="6" borderId="1" xfId="0" applyFont="1" applyFill="1" applyBorder="1"/>
    <xf numFmtId="0" fontId="4" fillId="4" borderId="0" xfId="0" applyFont="1" applyFill="1"/>
    <xf numFmtId="164" fontId="0" fillId="0" borderId="0" xfId="0" applyNumberFormat="1"/>
    <xf numFmtId="164" fontId="4" fillId="4" borderId="0" xfId="0" applyNumberFormat="1" applyFont="1" applyFill="1"/>
    <xf numFmtId="0" fontId="1" fillId="0" borderId="0" xfId="0" applyFont="1"/>
    <xf numFmtId="9" fontId="0" fillId="0" borderId="0" xfId="0" applyNumberFormat="1"/>
    <xf numFmtId="0" fontId="0" fillId="7" borderId="0" xfId="0" applyFill="1"/>
    <xf numFmtId="164" fontId="0" fillId="7" borderId="0" xfId="0" applyNumberFormat="1" applyFill="1"/>
    <xf numFmtId="9" fontId="0" fillId="7" borderId="0" xfId="0" applyNumberFormat="1" applyFill="1"/>
    <xf numFmtId="0" fontId="0" fillId="8" borderId="0" xfId="0" applyFill="1"/>
    <xf numFmtId="164" fontId="0" fillId="8" borderId="0" xfId="0" applyNumberFormat="1" applyFill="1"/>
    <xf numFmtId="9" fontId="0" fillId="8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6"/>
  <sheetViews>
    <sheetView workbookViewId="0">
      <selection activeCell="B11" sqref="B11"/>
    </sheetView>
  </sheetViews>
  <sheetFormatPr defaultRowHeight="15" x14ac:dyDescent="0.25"/>
  <cols>
    <col min="1" max="1" width="42" customWidth="1"/>
    <col min="2" max="2" width="16" customWidth="1"/>
    <col min="3" max="3" width="19" customWidth="1"/>
    <col min="4" max="4" width="18" customWidth="1"/>
    <col min="5" max="5" width="17" customWidth="1"/>
    <col min="6" max="6" width="42" customWidth="1"/>
    <col min="7" max="7" width="15" customWidth="1"/>
    <col min="8" max="8" width="27" customWidth="1"/>
    <col min="9" max="9" width="10" customWidth="1"/>
    <col min="10" max="10" width="13" customWidth="1"/>
    <col min="11" max="11" width="18" customWidth="1"/>
    <col min="12" max="12" width="10" customWidth="1"/>
    <col min="13" max="13" width="23" customWidth="1"/>
    <col min="14" max="14" width="10" customWidth="1"/>
    <col min="15" max="49" width="13" hidden="1" customWidth="1"/>
  </cols>
  <sheetData>
    <row r="1" spans="1:14" ht="26.1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8.75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8.75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8.75" x14ac:dyDescent="0.3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21" x14ac:dyDescent="0.35">
      <c r="A5" s="4"/>
      <c r="B5" s="4"/>
      <c r="C5" s="5" t="s">
        <v>4</v>
      </c>
      <c r="D5" s="6">
        <v>31.76</v>
      </c>
      <c r="E5" s="7" t="s">
        <v>5</v>
      </c>
      <c r="F5" s="6">
        <v>31.76</v>
      </c>
      <c r="G5" s="4"/>
      <c r="H5" s="4"/>
      <c r="I5" s="4"/>
      <c r="J5" s="4"/>
      <c r="K5" s="4"/>
      <c r="L5" s="4"/>
      <c r="M5" s="4"/>
      <c r="N5" s="4"/>
    </row>
    <row r="6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8" t="s">
        <v>6</v>
      </c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8" t="s">
        <v>16</v>
      </c>
      <c r="L10" s="8" t="s">
        <v>17</v>
      </c>
      <c r="M10" s="8" t="s">
        <v>18</v>
      </c>
      <c r="N10" s="8" t="s">
        <v>19</v>
      </c>
    </row>
    <row r="11" spans="1:14" x14ac:dyDescent="0.25">
      <c r="A11" t="s">
        <v>20</v>
      </c>
      <c r="B11">
        <v>686473161</v>
      </c>
      <c r="C11" t="s">
        <v>21</v>
      </c>
      <c r="D11" t="s">
        <v>22</v>
      </c>
      <c r="E11">
        <v>689390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M11" s="9">
        <v>57</v>
      </c>
      <c r="N11" s="9">
        <v>13.68</v>
      </c>
    </row>
    <row r="12" spans="1:14" x14ac:dyDescent="0.25">
      <c r="A12" t="s">
        <v>20</v>
      </c>
      <c r="B12">
        <v>686386370</v>
      </c>
      <c r="C12" t="s">
        <v>29</v>
      </c>
      <c r="D12" t="s">
        <v>30</v>
      </c>
      <c r="E12">
        <v>711419</v>
      </c>
      <c r="F12" t="s">
        <v>31</v>
      </c>
      <c r="G12" t="s">
        <v>32</v>
      </c>
      <c r="H12" t="s">
        <v>33</v>
      </c>
      <c r="I12" t="s">
        <v>26</v>
      </c>
      <c r="J12" t="s">
        <v>27</v>
      </c>
      <c r="K12" t="s">
        <v>28</v>
      </c>
      <c r="M12" s="9">
        <v>40</v>
      </c>
      <c r="N12" s="9">
        <v>1.2</v>
      </c>
    </row>
    <row r="13" spans="1:14" x14ac:dyDescent="0.25">
      <c r="A13" t="s">
        <v>20</v>
      </c>
      <c r="B13">
        <v>686386370</v>
      </c>
      <c r="C13" t="s">
        <v>29</v>
      </c>
      <c r="D13" t="s">
        <v>30</v>
      </c>
      <c r="E13">
        <v>711419</v>
      </c>
      <c r="F13" t="s">
        <v>31</v>
      </c>
      <c r="G13" t="s">
        <v>34</v>
      </c>
      <c r="H13" t="s">
        <v>35</v>
      </c>
      <c r="I13" t="s">
        <v>26</v>
      </c>
      <c r="J13" t="s">
        <v>27</v>
      </c>
      <c r="K13" t="s">
        <v>28</v>
      </c>
      <c r="M13" s="9">
        <v>11</v>
      </c>
      <c r="N13" s="9">
        <v>0.33</v>
      </c>
    </row>
    <row r="14" spans="1:14" x14ac:dyDescent="0.25">
      <c r="A14" t="s">
        <v>20</v>
      </c>
      <c r="B14">
        <v>686449763</v>
      </c>
      <c r="C14" t="s">
        <v>36</v>
      </c>
      <c r="D14" t="s">
        <v>37</v>
      </c>
      <c r="E14">
        <v>759555</v>
      </c>
      <c r="F14" t="s">
        <v>38</v>
      </c>
      <c r="G14" t="s">
        <v>39</v>
      </c>
      <c r="H14" t="s">
        <v>35</v>
      </c>
      <c r="I14" t="s">
        <v>26</v>
      </c>
      <c r="J14" t="s">
        <v>40</v>
      </c>
      <c r="K14" t="s">
        <v>28</v>
      </c>
      <c r="M14" s="9">
        <v>11</v>
      </c>
      <c r="N14" s="9">
        <v>4.07</v>
      </c>
    </row>
    <row r="15" spans="1:14" x14ac:dyDescent="0.25">
      <c r="A15" t="s">
        <v>20</v>
      </c>
      <c r="B15">
        <v>686449763</v>
      </c>
      <c r="C15" t="s">
        <v>36</v>
      </c>
      <c r="D15" t="s">
        <v>37</v>
      </c>
      <c r="E15">
        <v>759555</v>
      </c>
      <c r="F15" t="s">
        <v>38</v>
      </c>
      <c r="G15" t="s">
        <v>41</v>
      </c>
      <c r="H15" t="s">
        <v>42</v>
      </c>
      <c r="I15" t="s">
        <v>26</v>
      </c>
      <c r="J15" t="s">
        <v>40</v>
      </c>
      <c r="K15" t="s">
        <v>28</v>
      </c>
      <c r="M15" s="9">
        <v>52</v>
      </c>
      <c r="N15" s="9">
        <v>12.48</v>
      </c>
    </row>
    <row r="16" spans="1:14" x14ac:dyDescent="0.25">
      <c r="A16" s="8" t="s">
        <v>43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10">
        <v>31.76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"/>
  <sheetViews>
    <sheetView topLeftCell="T1" workbookViewId="0">
      <selection activeCell="T1" sqref="A1:XFD1048576"/>
    </sheetView>
  </sheetViews>
  <sheetFormatPr defaultRowHeight="15" x14ac:dyDescent="0.25"/>
  <cols>
    <col min="1" max="1" width="13" customWidth="1"/>
    <col min="2" max="2" width="14" customWidth="1"/>
    <col min="3" max="3" width="6" customWidth="1"/>
    <col min="4" max="4" width="9" customWidth="1"/>
    <col min="5" max="5" width="7" customWidth="1"/>
    <col min="6" max="6" width="8" customWidth="1"/>
    <col min="7" max="8" width="7" customWidth="1"/>
    <col min="9" max="9" width="16" customWidth="1"/>
    <col min="10" max="10" width="24" customWidth="1"/>
    <col min="11" max="11" width="13" customWidth="1"/>
    <col min="12" max="12" width="19" customWidth="1"/>
    <col min="13" max="13" width="18" customWidth="1"/>
    <col min="14" max="14" width="14" customWidth="1"/>
    <col min="15" max="15" width="17" customWidth="1"/>
    <col min="16" max="16" width="30" customWidth="1"/>
    <col min="17" max="17" width="23" customWidth="1"/>
    <col min="18" max="18" width="12" customWidth="1"/>
    <col min="19" max="19" width="27" customWidth="1"/>
    <col min="20" max="21" width="9" customWidth="1"/>
    <col min="22" max="22" width="18" customWidth="1"/>
    <col min="23" max="23" width="20" customWidth="1"/>
    <col min="24" max="24" width="22" customWidth="1"/>
    <col min="25" max="25" width="21" customWidth="1"/>
    <col min="26" max="26" width="15" customWidth="1"/>
    <col min="27" max="27" width="16" customWidth="1"/>
    <col min="28" max="28" width="18" customWidth="1"/>
    <col min="29" max="29" width="14" customWidth="1"/>
    <col min="30" max="30" width="21" customWidth="1"/>
    <col min="31" max="32" width="30" customWidth="1"/>
    <col min="33" max="33" width="23" customWidth="1"/>
    <col min="34" max="34" width="8" customWidth="1"/>
    <col min="35" max="35" width="14" customWidth="1"/>
    <col min="36" max="36" width="13" customWidth="1"/>
  </cols>
  <sheetData>
    <row r="1" spans="1:36" x14ac:dyDescent="0.25">
      <c r="A1" s="11" t="s">
        <v>15</v>
      </c>
      <c r="B1" s="11" t="s">
        <v>44</v>
      </c>
      <c r="C1" s="11" t="s">
        <v>45</v>
      </c>
      <c r="D1" s="11" t="s">
        <v>46</v>
      </c>
      <c r="E1" s="11" t="s">
        <v>17</v>
      </c>
      <c r="F1" s="11" t="s">
        <v>47</v>
      </c>
      <c r="G1" s="11" t="s">
        <v>48</v>
      </c>
      <c r="H1" s="11" t="s">
        <v>19</v>
      </c>
      <c r="I1" s="11" t="s">
        <v>49</v>
      </c>
      <c r="J1" s="11" t="s">
        <v>50</v>
      </c>
      <c r="K1" s="11" t="s">
        <v>7</v>
      </c>
      <c r="L1" s="11" t="s">
        <v>8</v>
      </c>
      <c r="M1" s="11" t="s">
        <v>9</v>
      </c>
      <c r="N1" s="11" t="s">
        <v>51</v>
      </c>
      <c r="O1" s="11" t="s">
        <v>10</v>
      </c>
      <c r="P1" s="11" t="s">
        <v>11</v>
      </c>
      <c r="Q1" s="11" t="s">
        <v>52</v>
      </c>
      <c r="R1" s="11" t="s">
        <v>53</v>
      </c>
      <c r="S1" s="11" t="s">
        <v>13</v>
      </c>
      <c r="T1" s="11" t="s">
        <v>14</v>
      </c>
      <c r="U1" s="11" t="s">
        <v>54</v>
      </c>
      <c r="V1" s="11" t="s">
        <v>55</v>
      </c>
      <c r="W1" s="11" t="s">
        <v>56</v>
      </c>
      <c r="X1" s="11" t="s">
        <v>57</v>
      </c>
      <c r="Y1" s="11" t="s">
        <v>58</v>
      </c>
      <c r="Z1" s="11" t="s">
        <v>12</v>
      </c>
      <c r="AA1" s="11" t="s">
        <v>59</v>
      </c>
      <c r="AB1" s="11" t="s">
        <v>16</v>
      </c>
      <c r="AC1" s="11" t="s">
        <v>60</v>
      </c>
      <c r="AD1" s="11" t="s">
        <v>61</v>
      </c>
      <c r="AE1" s="11" t="s">
        <v>62</v>
      </c>
      <c r="AF1" s="11" t="s">
        <v>63</v>
      </c>
      <c r="AG1" s="11" t="s">
        <v>18</v>
      </c>
      <c r="AH1" s="11" t="s">
        <v>64</v>
      </c>
      <c r="AI1" s="11" t="s">
        <v>65</v>
      </c>
      <c r="AJ1" s="11" t="s">
        <v>6</v>
      </c>
    </row>
    <row r="2" spans="1:36" x14ac:dyDescent="0.25">
      <c r="A2" t="s">
        <v>27</v>
      </c>
      <c r="B2" t="s">
        <v>66</v>
      </c>
      <c r="C2" t="s">
        <v>67</v>
      </c>
      <c r="D2" t="s">
        <v>68</v>
      </c>
      <c r="F2">
        <v>13.68</v>
      </c>
      <c r="G2">
        <v>0</v>
      </c>
      <c r="H2" s="9">
        <v>13.68</v>
      </c>
      <c r="I2">
        <v>653470</v>
      </c>
      <c r="J2" t="s">
        <v>69</v>
      </c>
      <c r="K2">
        <v>686473161</v>
      </c>
      <c r="L2" t="s">
        <v>21</v>
      </c>
      <c r="M2" t="s">
        <v>22</v>
      </c>
      <c r="N2" t="s">
        <v>70</v>
      </c>
      <c r="O2">
        <v>689390</v>
      </c>
      <c r="P2" t="s">
        <v>23</v>
      </c>
      <c r="Q2" t="s">
        <v>71</v>
      </c>
      <c r="R2">
        <v>49825</v>
      </c>
      <c r="S2" t="s">
        <v>25</v>
      </c>
      <c r="T2" t="s">
        <v>26</v>
      </c>
      <c r="U2" t="s">
        <v>72</v>
      </c>
      <c r="V2" t="s">
        <v>73</v>
      </c>
      <c r="W2" t="s">
        <v>74</v>
      </c>
      <c r="X2" t="s">
        <v>27</v>
      </c>
      <c r="Y2" t="s">
        <v>75</v>
      </c>
      <c r="Z2">
        <v>947887711</v>
      </c>
      <c r="AA2" t="s">
        <v>76</v>
      </c>
      <c r="AB2" t="s">
        <v>28</v>
      </c>
      <c r="AC2" t="s">
        <v>77</v>
      </c>
      <c r="AD2">
        <v>1</v>
      </c>
      <c r="AE2" t="s">
        <v>40</v>
      </c>
      <c r="AF2" t="s">
        <v>78</v>
      </c>
      <c r="AG2" s="9">
        <v>57</v>
      </c>
      <c r="AH2" s="12">
        <v>0.24</v>
      </c>
      <c r="AI2">
        <v>1563280221</v>
      </c>
      <c r="AJ2" t="s">
        <v>20</v>
      </c>
    </row>
    <row r="3" spans="1:36" x14ac:dyDescent="0.25">
      <c r="A3" t="s">
        <v>27</v>
      </c>
      <c r="B3" t="s">
        <v>66</v>
      </c>
      <c r="C3" t="s">
        <v>67</v>
      </c>
      <c r="D3" t="s">
        <v>68</v>
      </c>
      <c r="F3">
        <v>1.2</v>
      </c>
      <c r="G3">
        <v>0</v>
      </c>
      <c r="H3" s="9">
        <v>1.2</v>
      </c>
      <c r="I3">
        <v>653470</v>
      </c>
      <c r="J3" t="s">
        <v>69</v>
      </c>
      <c r="K3">
        <v>686386370</v>
      </c>
      <c r="L3" t="s">
        <v>29</v>
      </c>
      <c r="M3" t="s">
        <v>30</v>
      </c>
      <c r="N3" t="s">
        <v>70</v>
      </c>
      <c r="O3">
        <v>711419</v>
      </c>
      <c r="P3" t="s">
        <v>31</v>
      </c>
      <c r="Q3" t="s">
        <v>71</v>
      </c>
      <c r="R3">
        <v>42249</v>
      </c>
      <c r="S3" t="s">
        <v>33</v>
      </c>
      <c r="T3" t="s">
        <v>26</v>
      </c>
      <c r="U3" t="s">
        <v>72</v>
      </c>
      <c r="V3" t="s">
        <v>73</v>
      </c>
      <c r="W3" t="s">
        <v>74</v>
      </c>
      <c r="X3" t="s">
        <v>79</v>
      </c>
      <c r="Y3" t="s">
        <v>40</v>
      </c>
      <c r="Z3">
        <v>686425651</v>
      </c>
      <c r="AA3" t="s">
        <v>80</v>
      </c>
      <c r="AB3" t="s">
        <v>28</v>
      </c>
      <c r="AC3" t="s">
        <v>77</v>
      </c>
      <c r="AD3">
        <v>1</v>
      </c>
      <c r="AE3" t="s">
        <v>40</v>
      </c>
      <c r="AF3" t="s">
        <v>78</v>
      </c>
      <c r="AG3" s="9">
        <v>40</v>
      </c>
      <c r="AH3" s="12">
        <v>0.03</v>
      </c>
      <c r="AI3">
        <v>1563281594</v>
      </c>
      <c r="AJ3" t="s">
        <v>20</v>
      </c>
    </row>
    <row r="4" spans="1:36" x14ac:dyDescent="0.25">
      <c r="A4" t="s">
        <v>27</v>
      </c>
      <c r="B4" t="s">
        <v>66</v>
      </c>
      <c r="C4" t="s">
        <v>67</v>
      </c>
      <c r="D4" t="s">
        <v>68</v>
      </c>
      <c r="F4">
        <v>0.33</v>
      </c>
      <c r="G4">
        <v>0</v>
      </c>
      <c r="H4" s="9">
        <v>0.33</v>
      </c>
      <c r="I4">
        <v>653470</v>
      </c>
      <c r="J4" t="s">
        <v>69</v>
      </c>
      <c r="K4">
        <v>686386370</v>
      </c>
      <c r="L4" t="s">
        <v>29</v>
      </c>
      <c r="M4" t="s">
        <v>30</v>
      </c>
      <c r="N4" t="s">
        <v>70</v>
      </c>
      <c r="O4">
        <v>711419</v>
      </c>
      <c r="P4" t="s">
        <v>31</v>
      </c>
      <c r="Q4" t="s">
        <v>71</v>
      </c>
      <c r="R4">
        <v>38593</v>
      </c>
      <c r="S4" t="s">
        <v>35</v>
      </c>
      <c r="T4" t="s">
        <v>26</v>
      </c>
      <c r="U4" t="s">
        <v>72</v>
      </c>
      <c r="V4" t="s">
        <v>81</v>
      </c>
      <c r="W4" t="s">
        <v>82</v>
      </c>
      <c r="X4" t="s">
        <v>79</v>
      </c>
      <c r="Y4" t="s">
        <v>40</v>
      </c>
      <c r="Z4">
        <v>686198203</v>
      </c>
      <c r="AA4" t="s">
        <v>80</v>
      </c>
      <c r="AB4" t="s">
        <v>28</v>
      </c>
      <c r="AC4" t="s">
        <v>77</v>
      </c>
      <c r="AD4">
        <v>1</v>
      </c>
      <c r="AE4" t="s">
        <v>40</v>
      </c>
      <c r="AF4" t="s">
        <v>78</v>
      </c>
      <c r="AG4" s="9">
        <v>11</v>
      </c>
      <c r="AH4" s="12">
        <v>0.03</v>
      </c>
      <c r="AI4">
        <v>1563281591</v>
      </c>
      <c r="AJ4" t="s">
        <v>20</v>
      </c>
    </row>
    <row r="5" spans="1:36" x14ac:dyDescent="0.25">
      <c r="A5" t="s">
        <v>40</v>
      </c>
      <c r="B5" t="s">
        <v>66</v>
      </c>
      <c r="C5" t="s">
        <v>67</v>
      </c>
      <c r="D5" t="s">
        <v>68</v>
      </c>
      <c r="F5">
        <v>4.07</v>
      </c>
      <c r="G5">
        <v>0</v>
      </c>
      <c r="H5" s="9">
        <v>4.07</v>
      </c>
      <c r="I5">
        <v>653470</v>
      </c>
      <c r="J5" t="s">
        <v>69</v>
      </c>
      <c r="K5">
        <v>686449763</v>
      </c>
      <c r="L5" t="s">
        <v>36</v>
      </c>
      <c r="M5" t="s">
        <v>37</v>
      </c>
      <c r="N5" t="s">
        <v>83</v>
      </c>
      <c r="O5">
        <v>759555</v>
      </c>
      <c r="P5" t="s">
        <v>38</v>
      </c>
      <c r="Q5" t="s">
        <v>71</v>
      </c>
      <c r="R5">
        <v>38593</v>
      </c>
      <c r="S5" t="s">
        <v>35</v>
      </c>
      <c r="T5" t="s">
        <v>26</v>
      </c>
      <c r="U5" t="s">
        <v>72</v>
      </c>
      <c r="V5" t="s">
        <v>81</v>
      </c>
      <c r="W5" t="s">
        <v>82</v>
      </c>
      <c r="X5" t="s">
        <v>84</v>
      </c>
      <c r="Y5" t="s">
        <v>40</v>
      </c>
      <c r="Z5">
        <v>866239746</v>
      </c>
      <c r="AA5" t="s">
        <v>85</v>
      </c>
      <c r="AB5" t="s">
        <v>28</v>
      </c>
      <c r="AC5" t="s">
        <v>86</v>
      </c>
      <c r="AD5">
        <v>1</v>
      </c>
      <c r="AE5" t="s">
        <v>40</v>
      </c>
      <c r="AF5" t="s">
        <v>78</v>
      </c>
      <c r="AG5" s="9">
        <v>11</v>
      </c>
      <c r="AH5" s="12">
        <v>0.37</v>
      </c>
      <c r="AI5">
        <v>1563286488</v>
      </c>
      <c r="AJ5" t="s">
        <v>20</v>
      </c>
    </row>
    <row r="6" spans="1:36" x14ac:dyDescent="0.25">
      <c r="A6" t="s">
        <v>40</v>
      </c>
      <c r="B6" t="s">
        <v>66</v>
      </c>
      <c r="C6" t="s">
        <v>67</v>
      </c>
      <c r="D6" t="s">
        <v>68</v>
      </c>
      <c r="F6">
        <v>12.48</v>
      </c>
      <c r="G6">
        <v>0</v>
      </c>
      <c r="H6" s="9">
        <v>12.48</v>
      </c>
      <c r="I6">
        <v>653470</v>
      </c>
      <c r="J6" t="s">
        <v>69</v>
      </c>
      <c r="K6">
        <v>686449763</v>
      </c>
      <c r="L6" t="s">
        <v>36</v>
      </c>
      <c r="M6" t="s">
        <v>37</v>
      </c>
      <c r="N6" t="s">
        <v>83</v>
      </c>
      <c r="O6">
        <v>759555</v>
      </c>
      <c r="P6" t="s">
        <v>38</v>
      </c>
      <c r="Q6" t="s">
        <v>71</v>
      </c>
      <c r="R6">
        <v>38398</v>
      </c>
      <c r="S6" t="s">
        <v>42</v>
      </c>
      <c r="T6" t="s">
        <v>26</v>
      </c>
      <c r="U6" t="s">
        <v>72</v>
      </c>
      <c r="V6" t="s">
        <v>73</v>
      </c>
      <c r="W6" t="s">
        <v>74</v>
      </c>
      <c r="X6" t="s">
        <v>84</v>
      </c>
      <c r="Y6" t="s">
        <v>40</v>
      </c>
      <c r="Z6">
        <v>660719533</v>
      </c>
      <c r="AA6" t="s">
        <v>85</v>
      </c>
      <c r="AB6" t="s">
        <v>28</v>
      </c>
      <c r="AC6" t="s">
        <v>86</v>
      </c>
      <c r="AD6">
        <v>1</v>
      </c>
      <c r="AE6" t="s">
        <v>40</v>
      </c>
      <c r="AF6" t="s">
        <v>78</v>
      </c>
      <c r="AG6" s="9">
        <v>52</v>
      </c>
      <c r="AH6" s="12">
        <v>0.24</v>
      </c>
      <c r="AI6">
        <v>1563286486</v>
      </c>
      <c r="AJ6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53AF6-244A-4593-A6AB-B94B1045954B}">
  <dimension ref="A1:O6"/>
  <sheetViews>
    <sheetView tabSelected="1" workbookViewId="0">
      <selection activeCell="N2" sqref="N2:N6"/>
    </sheetView>
  </sheetViews>
  <sheetFormatPr defaultRowHeight="15" x14ac:dyDescent="0.25"/>
  <cols>
    <col min="1" max="1" width="7.85546875" customWidth="1"/>
    <col min="2" max="3" width="10.140625" customWidth="1"/>
    <col min="4" max="4" width="6.42578125" customWidth="1"/>
    <col min="5" max="5" width="11.28515625" customWidth="1"/>
    <col min="6" max="6" width="30" customWidth="1"/>
    <col min="7" max="7" width="27" customWidth="1"/>
    <col min="8" max="9" width="9.28515625" customWidth="1"/>
    <col min="10" max="10" width="12.28515625" customWidth="1"/>
    <col min="11" max="11" width="15" customWidth="1"/>
    <col min="12" max="12" width="23" customWidth="1"/>
    <col min="13" max="13" width="8" customWidth="1"/>
    <col min="14" max="14" width="7" customWidth="1"/>
  </cols>
  <sheetData>
    <row r="1" spans="1:15" x14ac:dyDescent="0.25">
      <c r="A1" s="11" t="s">
        <v>8</v>
      </c>
      <c r="B1" s="11" t="s">
        <v>9</v>
      </c>
      <c r="C1" s="11"/>
      <c r="D1" s="11" t="s">
        <v>51</v>
      </c>
      <c r="E1" s="11" t="s">
        <v>10</v>
      </c>
      <c r="F1" s="11" t="s">
        <v>11</v>
      </c>
      <c r="G1" s="11" t="s">
        <v>13</v>
      </c>
      <c r="H1" s="11" t="s">
        <v>55</v>
      </c>
      <c r="I1" s="11" t="s">
        <v>56</v>
      </c>
      <c r="J1" s="11" t="s">
        <v>58</v>
      </c>
      <c r="K1" s="11" t="s">
        <v>12</v>
      </c>
      <c r="L1" s="11" t="s">
        <v>18</v>
      </c>
      <c r="M1" s="11" t="s">
        <v>64</v>
      </c>
      <c r="N1" s="11" t="s">
        <v>19</v>
      </c>
    </row>
    <row r="2" spans="1:15" x14ac:dyDescent="0.25">
      <c r="A2" t="s">
        <v>21</v>
      </c>
      <c r="B2" t="s">
        <v>22</v>
      </c>
      <c r="C2" t="str">
        <f>CONCATENATE(A2," ",B2)</f>
        <v>Joseph Wilhelm</v>
      </c>
      <c r="D2" t="s">
        <v>70</v>
      </c>
      <c r="E2">
        <v>17425766</v>
      </c>
      <c r="F2" t="s">
        <v>87</v>
      </c>
      <c r="G2" t="s">
        <v>25</v>
      </c>
      <c r="H2" t="s">
        <v>73</v>
      </c>
      <c r="I2" t="s">
        <v>74</v>
      </c>
      <c r="J2" t="s">
        <v>75</v>
      </c>
      <c r="K2">
        <v>947887711</v>
      </c>
      <c r="L2" s="9">
        <v>57</v>
      </c>
      <c r="M2" s="12">
        <v>0.24</v>
      </c>
      <c r="N2" s="9">
        <v>13.68</v>
      </c>
      <c r="O2" t="s">
        <v>89</v>
      </c>
    </row>
    <row r="3" spans="1:15" s="16" customFormat="1" x14ac:dyDescent="0.25">
      <c r="A3" s="16" t="s">
        <v>29</v>
      </c>
      <c r="B3" s="16" t="s">
        <v>30</v>
      </c>
      <c r="C3" t="str">
        <f t="shared" ref="C3:C6" si="0">CONCATENATE(A3," ",B3)</f>
        <v>Justin Lilick</v>
      </c>
      <c r="D3" s="16" t="s">
        <v>70</v>
      </c>
      <c r="E3" s="16">
        <v>20411454</v>
      </c>
      <c r="F3" s="16" t="s">
        <v>92</v>
      </c>
      <c r="G3" s="16" t="s">
        <v>33</v>
      </c>
      <c r="H3" s="16" t="s">
        <v>73</v>
      </c>
      <c r="I3" s="16" t="s">
        <v>74</v>
      </c>
      <c r="J3" s="16" t="s">
        <v>40</v>
      </c>
      <c r="K3" s="16">
        <v>686425651</v>
      </c>
      <c r="L3" s="17">
        <v>40</v>
      </c>
      <c r="M3" s="18">
        <v>0.03</v>
      </c>
      <c r="N3" s="17">
        <v>1.2</v>
      </c>
      <c r="O3" s="16" t="s">
        <v>91</v>
      </c>
    </row>
    <row r="4" spans="1:15" s="16" customFormat="1" x14ac:dyDescent="0.25">
      <c r="A4" s="16" t="s">
        <v>29</v>
      </c>
      <c r="B4" s="16" t="s">
        <v>30</v>
      </c>
      <c r="C4" t="str">
        <f t="shared" si="0"/>
        <v>Justin Lilick</v>
      </c>
      <c r="D4" s="16" t="s">
        <v>70</v>
      </c>
      <c r="E4" s="16">
        <v>20411454</v>
      </c>
      <c r="F4" s="16" t="s">
        <v>92</v>
      </c>
      <c r="G4" s="16" t="s">
        <v>35</v>
      </c>
      <c r="H4" s="16" t="s">
        <v>81</v>
      </c>
      <c r="I4" s="16" t="s">
        <v>82</v>
      </c>
      <c r="J4" s="16" t="s">
        <v>40</v>
      </c>
      <c r="K4" s="16">
        <v>686198203</v>
      </c>
      <c r="L4" s="17">
        <v>11</v>
      </c>
      <c r="M4" s="18">
        <v>0.03</v>
      </c>
      <c r="N4" s="17">
        <v>0.33</v>
      </c>
      <c r="O4" s="16" t="s">
        <v>91</v>
      </c>
    </row>
    <row r="5" spans="1:15" s="13" customFormat="1" x14ac:dyDescent="0.25">
      <c r="A5" s="13" t="s">
        <v>36</v>
      </c>
      <c r="B5" s="13" t="s">
        <v>37</v>
      </c>
      <c r="C5" t="str">
        <f t="shared" si="0"/>
        <v>Maria Medina</v>
      </c>
      <c r="D5" s="13" t="s">
        <v>83</v>
      </c>
      <c r="E5" s="13" t="s">
        <v>93</v>
      </c>
      <c r="F5" s="13" t="s">
        <v>88</v>
      </c>
      <c r="G5" s="13" t="s">
        <v>35</v>
      </c>
      <c r="H5" s="13" t="s">
        <v>81</v>
      </c>
      <c r="I5" s="13" t="s">
        <v>82</v>
      </c>
      <c r="J5" s="13" t="s">
        <v>40</v>
      </c>
      <c r="K5" s="13">
        <v>866239746</v>
      </c>
      <c r="L5" s="14">
        <v>11</v>
      </c>
      <c r="M5" s="15">
        <v>0.37</v>
      </c>
      <c r="N5" s="14">
        <v>4.07</v>
      </c>
      <c r="O5" s="13" t="s">
        <v>90</v>
      </c>
    </row>
    <row r="6" spans="1:15" s="13" customFormat="1" x14ac:dyDescent="0.25">
      <c r="A6" s="13" t="s">
        <v>36</v>
      </c>
      <c r="B6" s="13" t="s">
        <v>37</v>
      </c>
      <c r="C6" t="str">
        <f t="shared" si="0"/>
        <v>Maria Medina</v>
      </c>
      <c r="D6" s="13" t="s">
        <v>83</v>
      </c>
      <c r="E6" s="13" t="s">
        <v>93</v>
      </c>
      <c r="F6" s="13" t="s">
        <v>88</v>
      </c>
      <c r="G6" s="13" t="s">
        <v>42</v>
      </c>
      <c r="H6" s="13" t="s">
        <v>73</v>
      </c>
      <c r="I6" s="13" t="s">
        <v>74</v>
      </c>
      <c r="J6" s="13" t="s">
        <v>40</v>
      </c>
      <c r="K6" s="13">
        <v>660719533</v>
      </c>
      <c r="L6" s="14">
        <v>52</v>
      </c>
      <c r="M6" s="15">
        <v>0.24</v>
      </c>
      <c r="N6" s="14">
        <v>12.48</v>
      </c>
      <c r="O6" s="1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Statement</vt:lpstr>
      <vt:lpstr>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Loula Irene Cabel</cp:lastModifiedBy>
  <dcterms:created xsi:type="dcterms:W3CDTF">2026-02-12T15:45:46Z</dcterms:created>
  <dcterms:modified xsi:type="dcterms:W3CDTF">2026-02-24T19:45:51Z</dcterms:modified>
</cp:coreProperties>
</file>