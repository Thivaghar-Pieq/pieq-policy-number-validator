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ement" sheetId="1" r:id="rId4"/>
    <sheet state="visible" name="Details" sheetId="2" r:id="rId5"/>
    <sheet state="visible" name="Sheet1" sheetId="3" r:id="rId6"/>
  </sheets>
  <definedNames/>
  <calcPr/>
  <extLst>
    <ext uri="GoogleSheetsCustomDataVersion2">
      <go:sheetsCustomData xmlns:go="http://customooxmlschemas.google.com/" r:id="rId7" roundtripDataChecksum="yTx8UffSP740LtkCbmrNlUwbDzXICMJYukhGr5T9GbM="/>
    </ext>
  </extLst>
</workbook>
</file>

<file path=xl/sharedStrings.xml><?xml version="1.0" encoding="utf-8"?>
<sst xmlns="http://schemas.openxmlformats.org/spreadsheetml/2006/main" count="446" uniqueCount="110">
  <si>
    <t>NCD</t>
  </si>
  <si>
    <t>Agent Label: Main Line Benefits LLC</t>
  </si>
  <si>
    <t>For the Period: NB 01.25.2026-01.31.2026</t>
  </si>
  <si>
    <t>Payout Date: 02.06.2026</t>
  </si>
  <si>
    <t>Earned Payout</t>
  </si>
  <si>
    <t>Total Payout</t>
  </si>
  <si>
    <t>Payout Type</t>
  </si>
  <si>
    <t>Member ID</t>
  </si>
  <si>
    <t>Member First Name</t>
  </si>
  <si>
    <t>Member Last Name</t>
  </si>
  <si>
    <t>Member Agent ID</t>
  </si>
  <si>
    <t>Member Agent Label</t>
  </si>
  <si>
    <t>Policy Number</t>
  </si>
  <si>
    <t>Product Label</t>
  </si>
  <si>
    <t>Benefit</t>
  </si>
  <si>
    <t>Posted Date</t>
  </si>
  <si>
    <t>Transaction Type</t>
  </si>
  <si>
    <t>Notes</t>
  </si>
  <si>
    <t>Commissionable Amount</t>
  </si>
  <si>
    <t>Total</t>
  </si>
  <si>
    <t>Earned</t>
  </si>
  <si>
    <t>Robert</t>
  </si>
  <si>
    <t>Lilick</t>
  </si>
  <si>
    <t>Lori Tunstall</t>
  </si>
  <si>
    <t>192480227</t>
  </si>
  <si>
    <t>NCD Elite 1500 by MetLife</t>
  </si>
  <si>
    <t>Member</t>
  </si>
  <si>
    <t>1/31/2026</t>
  </si>
  <si>
    <t>SALE</t>
  </si>
  <si>
    <t>823699893</t>
  </si>
  <si>
    <t>VSP Preferred Plan by NCD</t>
  </si>
  <si>
    <t>Carol</t>
  </si>
  <si>
    <t>526144798</t>
  </si>
  <si>
    <t>Zain</t>
  </si>
  <si>
    <t>Lakhani</t>
  </si>
  <si>
    <t xml:space="preserve"> Main Line Benefits - Thomas Kucan</t>
  </si>
  <si>
    <t>355029732</t>
  </si>
  <si>
    <t>NCD Bright 1000 by MetLife</t>
  </si>
  <si>
    <t>1/30/2026</t>
  </si>
  <si>
    <t>Maria</t>
  </si>
  <si>
    <t>Medina</t>
  </si>
  <si>
    <t>Main Line Benefits LLC -Ricardo D Santos</t>
  </si>
  <si>
    <t>913646618</t>
  </si>
  <si>
    <t>NCD Essentials by MetLife</t>
  </si>
  <si>
    <t>1/28/2026</t>
  </si>
  <si>
    <t>982416865</t>
  </si>
  <si>
    <t>Swaraj</t>
  </si>
  <si>
    <t>Chadha</t>
  </si>
  <si>
    <t>169495881</t>
  </si>
  <si>
    <t>1/26/2026</t>
  </si>
  <si>
    <t>654997781</t>
  </si>
  <si>
    <t>Earned Total</t>
  </si>
  <si>
    <t>Created Date</t>
  </si>
  <si>
    <t>Type</t>
  </si>
  <si>
    <t>Subtype</t>
  </si>
  <si>
    <t>Credit</t>
  </si>
  <si>
    <t>Debit</t>
  </si>
  <si>
    <t>Payee Agent ID</t>
  </si>
  <si>
    <t>Payee Agent Label</t>
  </si>
  <si>
    <t>Member State</t>
  </si>
  <si>
    <t>Member Agent Category</t>
  </si>
  <si>
    <t>Product ID</t>
  </si>
  <si>
    <t>Period</t>
  </si>
  <si>
    <t>Product Category</t>
  </si>
  <si>
    <t>Product Category 2</t>
  </si>
  <si>
    <t>Product Created Date</t>
  </si>
  <si>
    <t>Product Active Date</t>
  </si>
  <si>
    <t>Transaction ID</t>
  </si>
  <si>
    <t>Payment Type</t>
  </si>
  <si>
    <t>Transaction Payment</t>
  </si>
  <si>
    <t>Transaction Paid Through Start</t>
  </si>
  <si>
    <t>Transaction Paid Through End</t>
  </si>
  <si>
    <t>Payout</t>
  </si>
  <si>
    <t>Payable ID</t>
  </si>
  <si>
    <t>2/1/2026</t>
  </si>
  <si>
    <t>COMM</t>
  </si>
  <si>
    <t>Product</t>
  </si>
  <si>
    <t>Main Line Benefits LLC</t>
  </si>
  <si>
    <t>PA</t>
  </si>
  <si>
    <t>Field</t>
  </si>
  <si>
    <t>Monthly</t>
  </si>
  <si>
    <t>Dental</t>
  </si>
  <si>
    <t>MetLife</t>
  </si>
  <si>
    <t>1/23/2026</t>
  </si>
  <si>
    <t>11649909947</t>
  </si>
  <si>
    <t>CC</t>
  </si>
  <si>
    <t>2/28/2026</t>
  </si>
  <si>
    <t>3%</t>
  </si>
  <si>
    <t>Vision</t>
  </si>
  <si>
    <t>VSP</t>
  </si>
  <si>
    <t>11649910292</t>
  </si>
  <si>
    <t>MD</t>
  </si>
  <si>
    <t>1/6/2026</t>
  </si>
  <si>
    <t>11644970480</t>
  </si>
  <si>
    <t>24%</t>
  </si>
  <si>
    <t>IL</t>
  </si>
  <si>
    <t>1/22/2026</t>
  </si>
  <si>
    <t>11619535363</t>
  </si>
  <si>
    <t>ACH</t>
  </si>
  <si>
    <t>37%</t>
  </si>
  <si>
    <t>GA</t>
  </si>
  <si>
    <t>11633614600</t>
  </si>
  <si>
    <t>Main Line Benefits</t>
  </si>
  <si>
    <t>NCD override</t>
  </si>
  <si>
    <t>16202925AV6</t>
  </si>
  <si>
    <t>Thomas Kucan</t>
  </si>
  <si>
    <t>NCD MetLife -24%</t>
  </si>
  <si>
    <t>19200754AV6</t>
  </si>
  <si>
    <t>Ricardo D Santos</t>
  </si>
  <si>
    <t>Metlife Vision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</si>
</sst>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9">
    <font>
      <sz val="11.0"/>
      <color theme="1"/>
      <name val="Calibri"/>
      <scheme val="minor"/>
    </font>
    <font>
      <b/>
      <sz val="18.0"/>
      <color rgb="FFFFFFFF"/>
      <name val="Calibri"/>
    </font>
    <font>
      <sz val="11.0"/>
      <color theme="1"/>
      <name val="Calibri"/>
    </font>
    <font>
      <b/>
      <sz val="14.0"/>
      <color rgb="FF000000"/>
      <name val="Calibri"/>
    </font>
    <font>
      <b/>
      <sz val="16.0"/>
      <color rgb="FFFFFFFF"/>
      <name val="Calibri"/>
    </font>
    <font>
      <sz val="16.0"/>
      <color theme="1"/>
      <name val="Calibri"/>
    </font>
    <font>
      <b/>
      <sz val="11.0"/>
      <color rgb="FFFFFFFF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03764"/>
        <bgColor rgb="FF003764"/>
      </patternFill>
    </fill>
    <fill>
      <patternFill patternType="solid">
        <fgColor rgb="FFFFFFFF"/>
        <bgColor rgb="FFFFFFFF"/>
      </patternFill>
    </fill>
    <fill>
      <patternFill patternType="solid">
        <fgColor rgb="FF0082B5"/>
        <bgColor rgb="FF0082B5"/>
      </patternFill>
    </fill>
    <fill>
      <patternFill patternType="solid">
        <fgColor rgb="FFFF8C3E"/>
        <bgColor rgb="FFFF8C3E"/>
      </patternFill>
    </fill>
  </fills>
  <borders count="3">
    <border/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3" fontId="3" numFmtId="0" xfId="0" applyBorder="1" applyFill="1" applyFont="1"/>
    <xf borderId="1" fillId="3" fontId="2" numFmtId="0" xfId="0" applyBorder="1" applyFont="1"/>
    <xf borderId="2" fillId="4" fontId="4" numFmtId="0" xfId="0" applyBorder="1" applyFill="1" applyFont="1"/>
    <xf borderId="2" fillId="3" fontId="5" numFmtId="164" xfId="0" applyBorder="1" applyFont="1" applyNumberFormat="1"/>
    <xf borderId="2" fillId="5" fontId="4" numFmtId="0" xfId="0" applyBorder="1" applyFill="1" applyFont="1"/>
    <xf borderId="1" fillId="4" fontId="6" numFmtId="0" xfId="0" applyBorder="1" applyFont="1"/>
    <xf borderId="0" fillId="0" fontId="7" numFmtId="0" xfId="0" applyFont="1"/>
    <xf borderId="0" fillId="0" fontId="2" numFmtId="164" xfId="0" applyFont="1" applyNumberFormat="1"/>
    <xf borderId="1" fillId="4" fontId="6" numFmtId="164" xfId="0" applyBorder="1" applyFont="1" applyNumberFormat="1"/>
    <xf borderId="0" fillId="0" fontId="8" numFmtId="0" xfId="0" applyFont="1"/>
    <xf borderId="0" fillId="0" fontId="2" numFmtId="0" xfId="0" applyFont="1"/>
    <xf borderId="0" fillId="0" fontId="2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0"/>
    <col customWidth="1" min="2" max="2" width="16.0"/>
    <col customWidth="1" min="3" max="3" width="19.0"/>
    <col customWidth="1" min="4" max="4" width="18.0"/>
    <col customWidth="1" min="5" max="5" width="17.0"/>
    <col customWidth="1" min="6" max="6" width="42.0"/>
    <col customWidth="1" min="7" max="7" width="15.0"/>
    <col customWidth="1" min="8" max="8" width="28.0"/>
    <col customWidth="1" min="9" max="9" width="10.0"/>
    <col customWidth="1" min="10" max="10" width="13.0"/>
    <col customWidth="1" min="11" max="11" width="18.0"/>
    <col customWidth="1" min="12" max="12" width="10.0"/>
    <col customWidth="1" min="13" max="13" width="23.0"/>
    <col customWidth="1" min="14" max="14" width="10.0"/>
    <col customWidth="1" min="15" max="26" width="8.71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>
      <c r="A5" s="4"/>
      <c r="B5" s="4"/>
      <c r="C5" s="5" t="s">
        <v>4</v>
      </c>
      <c r="D5" s="6">
        <v>37.36</v>
      </c>
      <c r="E5" s="7" t="s">
        <v>5</v>
      </c>
      <c r="F5" s="6">
        <v>37.36</v>
      </c>
      <c r="G5" s="4"/>
      <c r="H5" s="4"/>
      <c r="I5" s="4"/>
      <c r="J5" s="4"/>
      <c r="K5" s="4"/>
      <c r="L5" s="4"/>
      <c r="M5" s="4"/>
      <c r="N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>
      <c r="A10" s="8" t="s">
        <v>6</v>
      </c>
      <c r="B10" s="8" t="s">
        <v>7</v>
      </c>
      <c r="C10" s="8" t="s">
        <v>8</v>
      </c>
      <c r="D10" s="8" t="s">
        <v>9</v>
      </c>
      <c r="E10" s="8" t="s">
        <v>10</v>
      </c>
      <c r="F10" s="8" t="s">
        <v>11</v>
      </c>
      <c r="G10" s="8" t="s">
        <v>12</v>
      </c>
      <c r="H10" s="8" t="s">
        <v>13</v>
      </c>
      <c r="I10" s="8" t="s">
        <v>14</v>
      </c>
      <c r="J10" s="8" t="s">
        <v>15</v>
      </c>
      <c r="K10" s="8" t="s">
        <v>16</v>
      </c>
      <c r="L10" s="8" t="s">
        <v>17</v>
      </c>
      <c r="M10" s="8" t="s">
        <v>18</v>
      </c>
      <c r="N10" s="8" t="s">
        <v>19</v>
      </c>
    </row>
    <row r="11">
      <c r="A11" s="9" t="s">
        <v>20</v>
      </c>
      <c r="B11" s="9">
        <v>6.86386363E8</v>
      </c>
      <c r="C11" s="9" t="s">
        <v>21</v>
      </c>
      <c r="D11" s="9" t="s">
        <v>22</v>
      </c>
      <c r="E11" s="9">
        <v>711419.0</v>
      </c>
      <c r="F11" s="9" t="s">
        <v>23</v>
      </c>
      <c r="G11" s="9" t="s">
        <v>24</v>
      </c>
      <c r="H11" s="9" t="s">
        <v>25</v>
      </c>
      <c r="I11" s="9" t="s">
        <v>26</v>
      </c>
      <c r="J11" s="9" t="s">
        <v>27</v>
      </c>
      <c r="K11" s="9" t="s">
        <v>28</v>
      </c>
      <c r="M11" s="10">
        <v>40.0</v>
      </c>
      <c r="N11" s="10">
        <v>1.2</v>
      </c>
    </row>
    <row r="12">
      <c r="A12" s="9" t="s">
        <v>20</v>
      </c>
      <c r="B12" s="9">
        <v>6.86386363E8</v>
      </c>
      <c r="C12" s="9" t="s">
        <v>21</v>
      </c>
      <c r="D12" s="9" t="s">
        <v>22</v>
      </c>
      <c r="E12" s="9">
        <v>711419.0</v>
      </c>
      <c r="F12" s="9" t="s">
        <v>23</v>
      </c>
      <c r="G12" s="9" t="s">
        <v>29</v>
      </c>
      <c r="H12" s="9" t="s">
        <v>30</v>
      </c>
      <c r="I12" s="9" t="s">
        <v>26</v>
      </c>
      <c r="J12" s="9" t="s">
        <v>27</v>
      </c>
      <c r="K12" s="9" t="s">
        <v>28</v>
      </c>
      <c r="M12" s="10">
        <v>11.0</v>
      </c>
      <c r="N12" s="10">
        <v>0.33</v>
      </c>
    </row>
    <row r="13">
      <c r="A13" s="9" t="s">
        <v>20</v>
      </c>
      <c r="B13" s="9">
        <v>6.86386374E8</v>
      </c>
      <c r="C13" s="9" t="s">
        <v>31</v>
      </c>
      <c r="D13" s="9" t="s">
        <v>22</v>
      </c>
      <c r="E13" s="9">
        <v>711419.0</v>
      </c>
      <c r="F13" s="9" t="s">
        <v>23</v>
      </c>
      <c r="G13" s="9" t="s">
        <v>32</v>
      </c>
      <c r="H13" s="9" t="s">
        <v>30</v>
      </c>
      <c r="I13" s="9" t="s">
        <v>26</v>
      </c>
      <c r="J13" s="9" t="s">
        <v>27</v>
      </c>
      <c r="K13" s="9" t="s">
        <v>28</v>
      </c>
      <c r="M13" s="10">
        <v>11.0</v>
      </c>
      <c r="N13" s="10">
        <v>0.33</v>
      </c>
    </row>
    <row r="14">
      <c r="A14" s="9" t="s">
        <v>20</v>
      </c>
      <c r="B14" s="9">
        <v>6.86196766E8</v>
      </c>
      <c r="C14" s="9" t="s">
        <v>33</v>
      </c>
      <c r="D14" s="9" t="s">
        <v>34</v>
      </c>
      <c r="E14" s="9">
        <v>678726.0</v>
      </c>
      <c r="F14" s="9" t="s">
        <v>35</v>
      </c>
      <c r="G14" s="9" t="s">
        <v>36</v>
      </c>
      <c r="H14" s="9" t="s">
        <v>37</v>
      </c>
      <c r="I14" s="9" t="s">
        <v>26</v>
      </c>
      <c r="J14" s="9" t="s">
        <v>38</v>
      </c>
      <c r="K14" s="9" t="s">
        <v>28</v>
      </c>
      <c r="M14" s="10">
        <v>22.0</v>
      </c>
      <c r="N14" s="10">
        <v>5.28</v>
      </c>
    </row>
    <row r="15">
      <c r="A15" s="9" t="s">
        <v>20</v>
      </c>
      <c r="B15" s="9">
        <v>6.86385933E8</v>
      </c>
      <c r="C15" s="9" t="s">
        <v>39</v>
      </c>
      <c r="D15" s="9" t="s">
        <v>40</v>
      </c>
      <c r="E15" s="9">
        <v>759555.0</v>
      </c>
      <c r="F15" s="9" t="s">
        <v>41</v>
      </c>
      <c r="G15" s="9" t="s">
        <v>42</v>
      </c>
      <c r="H15" s="9" t="s">
        <v>43</v>
      </c>
      <c r="I15" s="9" t="s">
        <v>26</v>
      </c>
      <c r="J15" s="9" t="s">
        <v>44</v>
      </c>
      <c r="K15" s="9" t="s">
        <v>28</v>
      </c>
      <c r="M15" s="10">
        <v>52.0</v>
      </c>
      <c r="N15" s="10">
        <v>12.48</v>
      </c>
    </row>
    <row r="16">
      <c r="A16" s="9" t="s">
        <v>20</v>
      </c>
      <c r="B16" s="9">
        <v>6.86385933E8</v>
      </c>
      <c r="C16" s="9" t="s">
        <v>39</v>
      </c>
      <c r="D16" s="9" t="s">
        <v>40</v>
      </c>
      <c r="E16" s="9">
        <v>759555.0</v>
      </c>
      <c r="F16" s="9" t="s">
        <v>41</v>
      </c>
      <c r="G16" s="9" t="s">
        <v>45</v>
      </c>
      <c r="H16" s="9" t="s">
        <v>30</v>
      </c>
      <c r="I16" s="9" t="s">
        <v>26</v>
      </c>
      <c r="J16" s="9" t="s">
        <v>44</v>
      </c>
      <c r="K16" s="9" t="s">
        <v>28</v>
      </c>
      <c r="M16" s="10">
        <v>11.0</v>
      </c>
      <c r="N16" s="10">
        <v>4.07</v>
      </c>
    </row>
    <row r="17">
      <c r="A17" s="9" t="s">
        <v>20</v>
      </c>
      <c r="B17" s="9">
        <v>6.864293E8</v>
      </c>
      <c r="C17" s="9" t="s">
        <v>46</v>
      </c>
      <c r="D17" s="9" t="s">
        <v>47</v>
      </c>
      <c r="E17" s="9">
        <v>759555.0</v>
      </c>
      <c r="F17" s="9" t="s">
        <v>41</v>
      </c>
      <c r="G17" s="9" t="s">
        <v>48</v>
      </c>
      <c r="H17" s="9" t="s">
        <v>25</v>
      </c>
      <c r="I17" s="9" t="s">
        <v>26</v>
      </c>
      <c r="J17" s="9" t="s">
        <v>49</v>
      </c>
      <c r="K17" s="9" t="s">
        <v>28</v>
      </c>
      <c r="M17" s="10">
        <v>40.0</v>
      </c>
      <c r="N17" s="10">
        <v>9.6</v>
      </c>
    </row>
    <row r="18">
      <c r="A18" s="9" t="s">
        <v>20</v>
      </c>
      <c r="B18" s="9">
        <v>6.864293E8</v>
      </c>
      <c r="C18" s="9" t="s">
        <v>46</v>
      </c>
      <c r="D18" s="9" t="s">
        <v>47</v>
      </c>
      <c r="E18" s="9">
        <v>759555.0</v>
      </c>
      <c r="F18" s="9" t="s">
        <v>41</v>
      </c>
      <c r="G18" s="9" t="s">
        <v>50</v>
      </c>
      <c r="H18" s="9" t="s">
        <v>30</v>
      </c>
      <c r="I18" s="9" t="s">
        <v>26</v>
      </c>
      <c r="J18" s="9" t="s">
        <v>49</v>
      </c>
      <c r="K18" s="9" t="s">
        <v>28</v>
      </c>
      <c r="M18" s="10">
        <v>11.0</v>
      </c>
      <c r="N18" s="10">
        <v>4.07</v>
      </c>
    </row>
    <row r="19">
      <c r="A19" s="8" t="s">
        <v>51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11">
        <v>37.36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2.43"/>
    <col customWidth="1" min="3" max="3" width="7.14"/>
    <col customWidth="1" min="4" max="4" width="8.29"/>
    <col customWidth="1" min="5" max="5" width="6.29"/>
    <col customWidth="1" min="6" max="6" width="6.43"/>
    <col customWidth="1" min="7" max="7" width="5.86"/>
    <col customWidth="1" min="8" max="8" width="7.0"/>
    <col customWidth="1" min="9" max="9" width="14.29"/>
    <col customWidth="1" min="10" max="10" width="20.29"/>
    <col customWidth="1" min="11" max="11" width="11.0"/>
    <col customWidth="1" min="12" max="12" width="18.57"/>
    <col customWidth="1" min="13" max="13" width="18.29"/>
    <col customWidth="1" min="14" max="14" width="13.57"/>
    <col customWidth="1" min="15" max="15" width="16.57"/>
    <col customWidth="1" min="16" max="16" width="35.57"/>
    <col customWidth="1" min="17" max="17" width="22.43"/>
    <col customWidth="1" min="18" max="18" width="10.29"/>
    <col customWidth="1" min="19" max="19" width="24.71"/>
    <col customWidth="1" min="20" max="20" width="8.57"/>
    <col customWidth="1" min="21" max="21" width="8.29"/>
    <col customWidth="1" min="22" max="22" width="16.14"/>
    <col customWidth="1" min="23" max="23" width="17.71"/>
    <col customWidth="1" min="24" max="24" width="19.71"/>
    <col customWidth="1" min="25" max="25" width="18.43"/>
    <col customWidth="1" min="26" max="26" width="13.86"/>
    <col customWidth="1" min="27" max="27" width="13.57"/>
    <col customWidth="1" min="28" max="28" width="15.71"/>
    <col customWidth="1" min="29" max="29" width="13.43"/>
    <col customWidth="1" min="30" max="30" width="19.29"/>
    <col customWidth="1" min="31" max="31" width="27.71"/>
    <col customWidth="1" min="32" max="32" width="26.86"/>
    <col customWidth="1" min="33" max="33" width="23.0"/>
    <col customWidth="1" min="34" max="34" width="7.14"/>
    <col customWidth="1" min="35" max="36" width="11.71"/>
  </cols>
  <sheetData>
    <row r="1">
      <c r="A1" s="12" t="s">
        <v>15</v>
      </c>
      <c r="B1" s="12" t="s">
        <v>52</v>
      </c>
      <c r="C1" s="12" t="s">
        <v>53</v>
      </c>
      <c r="D1" s="12" t="s">
        <v>54</v>
      </c>
      <c r="E1" s="12" t="s">
        <v>17</v>
      </c>
      <c r="F1" s="12" t="s">
        <v>55</v>
      </c>
      <c r="G1" s="12" t="s">
        <v>56</v>
      </c>
      <c r="H1" s="12" t="s">
        <v>19</v>
      </c>
      <c r="I1" s="12" t="s">
        <v>57</v>
      </c>
      <c r="J1" s="12" t="s">
        <v>58</v>
      </c>
      <c r="K1" s="12" t="s">
        <v>7</v>
      </c>
      <c r="L1" s="12" t="s">
        <v>8</v>
      </c>
      <c r="M1" s="12" t="s">
        <v>9</v>
      </c>
      <c r="N1" s="12" t="s">
        <v>59</v>
      </c>
      <c r="O1" s="12" t="s">
        <v>10</v>
      </c>
      <c r="P1" s="12" t="s">
        <v>11</v>
      </c>
      <c r="Q1" s="12" t="s">
        <v>60</v>
      </c>
      <c r="R1" s="12" t="s">
        <v>61</v>
      </c>
      <c r="S1" s="12" t="s">
        <v>13</v>
      </c>
      <c r="T1" s="12" t="s">
        <v>14</v>
      </c>
      <c r="U1" s="12" t="s">
        <v>62</v>
      </c>
      <c r="V1" s="12" t="s">
        <v>63</v>
      </c>
      <c r="W1" s="12" t="s">
        <v>64</v>
      </c>
      <c r="X1" s="12" t="s">
        <v>65</v>
      </c>
      <c r="Y1" s="12" t="s">
        <v>66</v>
      </c>
      <c r="Z1" s="12" t="s">
        <v>12</v>
      </c>
      <c r="AA1" s="12" t="s">
        <v>67</v>
      </c>
      <c r="AB1" s="12" t="s">
        <v>16</v>
      </c>
      <c r="AC1" s="12" t="s">
        <v>68</v>
      </c>
      <c r="AD1" s="12" t="s">
        <v>69</v>
      </c>
      <c r="AE1" s="12" t="s">
        <v>70</v>
      </c>
      <c r="AF1" s="12" t="s">
        <v>71</v>
      </c>
      <c r="AG1" s="12" t="s">
        <v>18</v>
      </c>
      <c r="AH1" s="12" t="s">
        <v>72</v>
      </c>
      <c r="AI1" s="12" t="s">
        <v>73</v>
      </c>
      <c r="AJ1" s="12" t="s">
        <v>6</v>
      </c>
    </row>
    <row r="2">
      <c r="A2" s="9" t="s">
        <v>27</v>
      </c>
      <c r="B2" s="9" t="s">
        <v>74</v>
      </c>
      <c r="C2" s="9" t="s">
        <v>75</v>
      </c>
      <c r="D2" s="9" t="s">
        <v>76</v>
      </c>
      <c r="F2" s="9">
        <v>1.2</v>
      </c>
      <c r="G2" s="9">
        <v>0.0</v>
      </c>
      <c r="H2" s="10">
        <v>1.2</v>
      </c>
      <c r="I2" s="9">
        <v>653470.0</v>
      </c>
      <c r="J2" s="9" t="s">
        <v>77</v>
      </c>
      <c r="K2" s="9">
        <v>6.86386363E8</v>
      </c>
      <c r="L2" s="9" t="s">
        <v>21</v>
      </c>
      <c r="M2" s="9" t="s">
        <v>22</v>
      </c>
      <c r="N2" s="9" t="s">
        <v>78</v>
      </c>
      <c r="O2" s="9">
        <v>711419.0</v>
      </c>
      <c r="P2" s="9" t="s">
        <v>23</v>
      </c>
      <c r="Q2" s="9" t="s">
        <v>79</v>
      </c>
      <c r="R2" s="9">
        <v>42249.0</v>
      </c>
      <c r="S2" s="9" t="s">
        <v>25</v>
      </c>
      <c r="T2" s="9" t="s">
        <v>26</v>
      </c>
      <c r="U2" s="9" t="s">
        <v>80</v>
      </c>
      <c r="V2" s="9" t="s">
        <v>81</v>
      </c>
      <c r="W2" s="9" t="s">
        <v>82</v>
      </c>
      <c r="X2" s="9" t="s">
        <v>83</v>
      </c>
      <c r="Y2" s="9" t="s">
        <v>74</v>
      </c>
      <c r="Z2" s="9" t="s">
        <v>24</v>
      </c>
      <c r="AA2" s="9" t="s">
        <v>84</v>
      </c>
      <c r="AB2" s="9" t="s">
        <v>28</v>
      </c>
      <c r="AC2" s="9" t="s">
        <v>85</v>
      </c>
      <c r="AD2" s="9">
        <v>1.0</v>
      </c>
      <c r="AE2" s="9" t="s">
        <v>74</v>
      </c>
      <c r="AF2" s="9" t="s">
        <v>86</v>
      </c>
      <c r="AG2" s="10">
        <v>40.0</v>
      </c>
      <c r="AH2" s="9" t="s">
        <v>87</v>
      </c>
      <c r="AI2" s="9">
        <v>1.554092286E9</v>
      </c>
      <c r="AJ2" s="9" t="s">
        <v>20</v>
      </c>
    </row>
    <row r="3">
      <c r="A3" s="9" t="s">
        <v>27</v>
      </c>
      <c r="B3" s="9" t="s">
        <v>74</v>
      </c>
      <c r="C3" s="9" t="s">
        <v>75</v>
      </c>
      <c r="D3" s="9" t="s">
        <v>76</v>
      </c>
      <c r="F3" s="9">
        <v>0.33</v>
      </c>
      <c r="G3" s="9">
        <v>0.0</v>
      </c>
      <c r="H3" s="10">
        <v>0.33</v>
      </c>
      <c r="I3" s="9">
        <v>653470.0</v>
      </c>
      <c r="J3" s="9" t="s">
        <v>77</v>
      </c>
      <c r="K3" s="9">
        <v>6.86386363E8</v>
      </c>
      <c r="L3" s="9" t="s">
        <v>21</v>
      </c>
      <c r="M3" s="9" t="s">
        <v>22</v>
      </c>
      <c r="N3" s="9" t="s">
        <v>78</v>
      </c>
      <c r="O3" s="9">
        <v>711419.0</v>
      </c>
      <c r="P3" s="9" t="s">
        <v>23</v>
      </c>
      <c r="Q3" s="9" t="s">
        <v>79</v>
      </c>
      <c r="R3" s="9">
        <v>38593.0</v>
      </c>
      <c r="S3" s="9" t="s">
        <v>30</v>
      </c>
      <c r="T3" s="9" t="s">
        <v>26</v>
      </c>
      <c r="U3" s="9" t="s">
        <v>80</v>
      </c>
      <c r="V3" s="9" t="s">
        <v>88</v>
      </c>
      <c r="W3" s="9" t="s">
        <v>89</v>
      </c>
      <c r="X3" s="9" t="s">
        <v>83</v>
      </c>
      <c r="Y3" s="9" t="s">
        <v>74</v>
      </c>
      <c r="Z3" s="9" t="s">
        <v>29</v>
      </c>
      <c r="AA3" s="9" t="s">
        <v>84</v>
      </c>
      <c r="AB3" s="9" t="s">
        <v>28</v>
      </c>
      <c r="AC3" s="9" t="s">
        <v>85</v>
      </c>
      <c r="AD3" s="9">
        <v>1.0</v>
      </c>
      <c r="AE3" s="9" t="s">
        <v>74</v>
      </c>
      <c r="AF3" s="9" t="s">
        <v>86</v>
      </c>
      <c r="AG3" s="10">
        <v>11.0</v>
      </c>
      <c r="AH3" s="9" t="s">
        <v>87</v>
      </c>
      <c r="AI3" s="9">
        <v>1.554092289E9</v>
      </c>
      <c r="AJ3" s="9" t="s">
        <v>20</v>
      </c>
    </row>
    <row r="4">
      <c r="A4" s="9" t="s">
        <v>27</v>
      </c>
      <c r="B4" s="9" t="s">
        <v>74</v>
      </c>
      <c r="C4" s="9" t="s">
        <v>75</v>
      </c>
      <c r="D4" s="9" t="s">
        <v>76</v>
      </c>
      <c r="F4" s="9">
        <v>0.33</v>
      </c>
      <c r="G4" s="9">
        <v>0.0</v>
      </c>
      <c r="H4" s="10">
        <v>0.33</v>
      </c>
      <c r="I4" s="9">
        <v>653470.0</v>
      </c>
      <c r="J4" s="9" t="s">
        <v>77</v>
      </c>
      <c r="K4" s="9">
        <v>6.86386374E8</v>
      </c>
      <c r="L4" s="9" t="s">
        <v>31</v>
      </c>
      <c r="M4" s="9" t="s">
        <v>22</v>
      </c>
      <c r="N4" s="9" t="s">
        <v>78</v>
      </c>
      <c r="O4" s="9">
        <v>711419.0</v>
      </c>
      <c r="P4" s="9" t="s">
        <v>23</v>
      </c>
      <c r="Q4" s="9" t="s">
        <v>79</v>
      </c>
      <c r="R4" s="9">
        <v>38593.0</v>
      </c>
      <c r="S4" s="9" t="s">
        <v>30</v>
      </c>
      <c r="T4" s="9" t="s">
        <v>26</v>
      </c>
      <c r="U4" s="9" t="s">
        <v>80</v>
      </c>
      <c r="V4" s="9" t="s">
        <v>88</v>
      </c>
      <c r="W4" s="9" t="s">
        <v>89</v>
      </c>
      <c r="X4" s="9" t="s">
        <v>83</v>
      </c>
      <c r="Y4" s="9" t="s">
        <v>74</v>
      </c>
      <c r="Z4" s="9" t="s">
        <v>32</v>
      </c>
      <c r="AA4" s="9" t="s">
        <v>90</v>
      </c>
      <c r="AB4" s="9" t="s">
        <v>28</v>
      </c>
      <c r="AC4" s="9" t="s">
        <v>85</v>
      </c>
      <c r="AD4" s="9">
        <v>1.0</v>
      </c>
      <c r="AE4" s="9" t="s">
        <v>74</v>
      </c>
      <c r="AF4" s="9" t="s">
        <v>86</v>
      </c>
      <c r="AG4" s="10">
        <v>11.0</v>
      </c>
      <c r="AH4" s="9" t="s">
        <v>87</v>
      </c>
      <c r="AI4" s="9">
        <v>1.554020829E9</v>
      </c>
      <c r="AJ4" s="9" t="s">
        <v>20</v>
      </c>
    </row>
    <row r="5">
      <c r="A5" s="9" t="s">
        <v>38</v>
      </c>
      <c r="B5" s="9" t="s">
        <v>74</v>
      </c>
      <c r="C5" s="9" t="s">
        <v>75</v>
      </c>
      <c r="D5" s="9" t="s">
        <v>76</v>
      </c>
      <c r="F5" s="9">
        <v>5.28</v>
      </c>
      <c r="G5" s="9">
        <v>0.0</v>
      </c>
      <c r="H5" s="10">
        <v>5.28</v>
      </c>
      <c r="I5" s="9">
        <v>653470.0</v>
      </c>
      <c r="J5" s="9" t="s">
        <v>77</v>
      </c>
      <c r="K5" s="9">
        <v>6.86196766E8</v>
      </c>
      <c r="L5" s="9" t="s">
        <v>33</v>
      </c>
      <c r="M5" s="9" t="s">
        <v>34</v>
      </c>
      <c r="N5" s="9" t="s">
        <v>91</v>
      </c>
      <c r="O5" s="9">
        <v>678726.0</v>
      </c>
      <c r="P5" s="9" t="s">
        <v>35</v>
      </c>
      <c r="Q5" s="9" t="s">
        <v>79</v>
      </c>
      <c r="R5" s="9">
        <v>47132.0</v>
      </c>
      <c r="S5" s="9" t="s">
        <v>37</v>
      </c>
      <c r="T5" s="9" t="s">
        <v>26</v>
      </c>
      <c r="U5" s="9" t="s">
        <v>80</v>
      </c>
      <c r="V5" s="9" t="s">
        <v>81</v>
      </c>
      <c r="W5" s="9" t="s">
        <v>82</v>
      </c>
      <c r="X5" s="9" t="s">
        <v>92</v>
      </c>
      <c r="Y5" s="9" t="s">
        <v>74</v>
      </c>
      <c r="Z5" s="9" t="s">
        <v>36</v>
      </c>
      <c r="AA5" s="9" t="s">
        <v>93</v>
      </c>
      <c r="AB5" s="9" t="s">
        <v>28</v>
      </c>
      <c r="AC5" s="9" t="s">
        <v>85</v>
      </c>
      <c r="AD5" s="9">
        <v>1.0</v>
      </c>
      <c r="AE5" s="9" t="s">
        <v>74</v>
      </c>
      <c r="AF5" s="9" t="s">
        <v>86</v>
      </c>
      <c r="AG5" s="10">
        <v>22.0</v>
      </c>
      <c r="AH5" s="9" t="s">
        <v>94</v>
      </c>
      <c r="AI5" s="9">
        <v>1.554034921E9</v>
      </c>
      <c r="AJ5" s="9" t="s">
        <v>20</v>
      </c>
    </row>
    <row r="6">
      <c r="A6" s="9" t="s">
        <v>44</v>
      </c>
      <c r="B6" s="9" t="s">
        <v>74</v>
      </c>
      <c r="C6" s="9" t="s">
        <v>75</v>
      </c>
      <c r="D6" s="9" t="s">
        <v>76</v>
      </c>
      <c r="F6" s="9">
        <v>12.48</v>
      </c>
      <c r="G6" s="9">
        <v>0.0</v>
      </c>
      <c r="H6" s="10">
        <v>12.48</v>
      </c>
      <c r="I6" s="9">
        <v>653470.0</v>
      </c>
      <c r="J6" s="9" t="s">
        <v>77</v>
      </c>
      <c r="K6" s="9">
        <v>6.86385933E8</v>
      </c>
      <c r="L6" s="9" t="s">
        <v>39</v>
      </c>
      <c r="M6" s="9" t="s">
        <v>40</v>
      </c>
      <c r="N6" s="9" t="s">
        <v>95</v>
      </c>
      <c r="O6" s="9">
        <v>759555.0</v>
      </c>
      <c r="P6" s="9" t="s">
        <v>41</v>
      </c>
      <c r="Q6" s="9" t="s">
        <v>79</v>
      </c>
      <c r="R6" s="9">
        <v>38398.0</v>
      </c>
      <c r="S6" s="9" t="s">
        <v>43</v>
      </c>
      <c r="T6" s="9" t="s">
        <v>26</v>
      </c>
      <c r="U6" s="9" t="s">
        <v>80</v>
      </c>
      <c r="V6" s="9" t="s">
        <v>81</v>
      </c>
      <c r="W6" s="9" t="s">
        <v>82</v>
      </c>
      <c r="X6" s="9" t="s">
        <v>96</v>
      </c>
      <c r="Y6" s="9" t="s">
        <v>74</v>
      </c>
      <c r="Z6" s="9" t="s">
        <v>42</v>
      </c>
      <c r="AA6" s="9" t="s">
        <v>97</v>
      </c>
      <c r="AB6" s="9" t="s">
        <v>28</v>
      </c>
      <c r="AC6" s="9" t="s">
        <v>98</v>
      </c>
      <c r="AD6" s="9">
        <v>1.0</v>
      </c>
      <c r="AE6" s="9" t="s">
        <v>74</v>
      </c>
      <c r="AF6" s="9" t="s">
        <v>86</v>
      </c>
      <c r="AG6" s="10">
        <v>52.0</v>
      </c>
      <c r="AH6" s="9" t="s">
        <v>94</v>
      </c>
      <c r="AI6" s="9">
        <v>1.554025403E9</v>
      </c>
      <c r="AJ6" s="9" t="s">
        <v>20</v>
      </c>
    </row>
    <row r="7">
      <c r="A7" s="9" t="s">
        <v>44</v>
      </c>
      <c r="B7" s="9" t="s">
        <v>74</v>
      </c>
      <c r="C7" s="9" t="s">
        <v>75</v>
      </c>
      <c r="D7" s="9" t="s">
        <v>76</v>
      </c>
      <c r="F7" s="9">
        <v>4.07</v>
      </c>
      <c r="G7" s="9">
        <v>0.0</v>
      </c>
      <c r="H7" s="10">
        <v>4.07</v>
      </c>
      <c r="I7" s="9">
        <v>653470.0</v>
      </c>
      <c r="J7" s="9" t="s">
        <v>77</v>
      </c>
      <c r="K7" s="9">
        <v>6.86385933E8</v>
      </c>
      <c r="L7" s="9" t="s">
        <v>39</v>
      </c>
      <c r="M7" s="9" t="s">
        <v>40</v>
      </c>
      <c r="N7" s="9" t="s">
        <v>95</v>
      </c>
      <c r="O7" s="9">
        <v>759555.0</v>
      </c>
      <c r="P7" s="9" t="s">
        <v>41</v>
      </c>
      <c r="Q7" s="9" t="s">
        <v>79</v>
      </c>
      <c r="R7" s="9">
        <v>38593.0</v>
      </c>
      <c r="S7" s="9" t="s">
        <v>30</v>
      </c>
      <c r="T7" s="9" t="s">
        <v>26</v>
      </c>
      <c r="U7" s="9" t="s">
        <v>80</v>
      </c>
      <c r="V7" s="9" t="s">
        <v>88</v>
      </c>
      <c r="W7" s="9" t="s">
        <v>89</v>
      </c>
      <c r="X7" s="9" t="s">
        <v>96</v>
      </c>
      <c r="Y7" s="9" t="s">
        <v>74</v>
      </c>
      <c r="Z7" s="9" t="s">
        <v>45</v>
      </c>
      <c r="AA7" s="9" t="s">
        <v>97</v>
      </c>
      <c r="AB7" s="9" t="s">
        <v>28</v>
      </c>
      <c r="AC7" s="9" t="s">
        <v>98</v>
      </c>
      <c r="AD7" s="9">
        <v>1.0</v>
      </c>
      <c r="AE7" s="9" t="s">
        <v>74</v>
      </c>
      <c r="AF7" s="9" t="s">
        <v>86</v>
      </c>
      <c r="AG7" s="10">
        <v>11.0</v>
      </c>
      <c r="AH7" s="9" t="s">
        <v>99</v>
      </c>
      <c r="AI7" s="9">
        <v>1.554025414E9</v>
      </c>
      <c r="AJ7" s="9" t="s">
        <v>20</v>
      </c>
    </row>
    <row r="8">
      <c r="A8" s="9" t="s">
        <v>49</v>
      </c>
      <c r="B8" s="9" t="s">
        <v>74</v>
      </c>
      <c r="C8" s="9" t="s">
        <v>75</v>
      </c>
      <c r="D8" s="9" t="s">
        <v>76</v>
      </c>
      <c r="F8" s="9">
        <v>9.6</v>
      </c>
      <c r="G8" s="9">
        <v>0.0</v>
      </c>
      <c r="H8" s="10">
        <v>9.6</v>
      </c>
      <c r="I8" s="9">
        <v>653470.0</v>
      </c>
      <c r="J8" s="9" t="s">
        <v>77</v>
      </c>
      <c r="K8" s="9">
        <v>6.864293E8</v>
      </c>
      <c r="L8" s="9" t="s">
        <v>46</v>
      </c>
      <c r="M8" s="9" t="s">
        <v>47</v>
      </c>
      <c r="N8" s="9" t="s">
        <v>100</v>
      </c>
      <c r="O8" s="9">
        <v>759555.0</v>
      </c>
      <c r="P8" s="9" t="s">
        <v>41</v>
      </c>
      <c r="Q8" s="9" t="s">
        <v>79</v>
      </c>
      <c r="R8" s="9">
        <v>42249.0</v>
      </c>
      <c r="S8" s="9" t="s">
        <v>25</v>
      </c>
      <c r="T8" s="9" t="s">
        <v>26</v>
      </c>
      <c r="U8" s="9" t="s">
        <v>80</v>
      </c>
      <c r="V8" s="9" t="s">
        <v>81</v>
      </c>
      <c r="W8" s="9" t="s">
        <v>82</v>
      </c>
      <c r="X8" s="9" t="s">
        <v>49</v>
      </c>
      <c r="Y8" s="9" t="s">
        <v>74</v>
      </c>
      <c r="Z8" s="9" t="s">
        <v>48</v>
      </c>
      <c r="AA8" s="9" t="s">
        <v>101</v>
      </c>
      <c r="AB8" s="9" t="s">
        <v>28</v>
      </c>
      <c r="AC8" s="9" t="s">
        <v>85</v>
      </c>
      <c r="AD8" s="9">
        <v>1.0</v>
      </c>
      <c r="AE8" s="9" t="s">
        <v>74</v>
      </c>
      <c r="AF8" s="9" t="s">
        <v>86</v>
      </c>
      <c r="AG8" s="10">
        <v>40.0</v>
      </c>
      <c r="AH8" s="9" t="s">
        <v>94</v>
      </c>
      <c r="AI8" s="9">
        <v>1.554043404E9</v>
      </c>
      <c r="AJ8" s="9" t="s">
        <v>20</v>
      </c>
    </row>
    <row r="9">
      <c r="A9" s="9" t="s">
        <v>49</v>
      </c>
      <c r="B9" s="9" t="s">
        <v>74</v>
      </c>
      <c r="C9" s="9" t="s">
        <v>75</v>
      </c>
      <c r="D9" s="9" t="s">
        <v>76</v>
      </c>
      <c r="F9" s="9">
        <v>4.07</v>
      </c>
      <c r="G9" s="9">
        <v>0.0</v>
      </c>
      <c r="H9" s="10">
        <v>4.07</v>
      </c>
      <c r="I9" s="9">
        <v>653470.0</v>
      </c>
      <c r="J9" s="9" t="s">
        <v>77</v>
      </c>
      <c r="K9" s="9">
        <v>6.864293E8</v>
      </c>
      <c r="L9" s="9" t="s">
        <v>46</v>
      </c>
      <c r="M9" s="9" t="s">
        <v>47</v>
      </c>
      <c r="N9" s="9" t="s">
        <v>100</v>
      </c>
      <c r="O9" s="9">
        <v>759555.0</v>
      </c>
      <c r="P9" s="9" t="s">
        <v>41</v>
      </c>
      <c r="Q9" s="9" t="s">
        <v>79</v>
      </c>
      <c r="R9" s="9">
        <v>38593.0</v>
      </c>
      <c r="S9" s="9" t="s">
        <v>30</v>
      </c>
      <c r="T9" s="9" t="s">
        <v>26</v>
      </c>
      <c r="U9" s="9" t="s">
        <v>80</v>
      </c>
      <c r="V9" s="9" t="s">
        <v>88</v>
      </c>
      <c r="W9" s="9" t="s">
        <v>89</v>
      </c>
      <c r="X9" s="9" t="s">
        <v>49</v>
      </c>
      <c r="Y9" s="9" t="s">
        <v>74</v>
      </c>
      <c r="Z9" s="9" t="s">
        <v>50</v>
      </c>
      <c r="AA9" s="9" t="s">
        <v>101</v>
      </c>
      <c r="AB9" s="9" t="s">
        <v>28</v>
      </c>
      <c r="AC9" s="9" t="s">
        <v>85</v>
      </c>
      <c r="AD9" s="9">
        <v>1.0</v>
      </c>
      <c r="AE9" s="9" t="s">
        <v>74</v>
      </c>
      <c r="AF9" s="9" t="s">
        <v>86</v>
      </c>
      <c r="AG9" s="10">
        <v>11.0</v>
      </c>
      <c r="AH9" s="9" t="s">
        <v>99</v>
      </c>
      <c r="AI9" s="9">
        <v>1.554043406E9</v>
      </c>
      <c r="AJ9" s="9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3" width="10.57"/>
    <col customWidth="1" min="4" max="4" width="7.29"/>
    <col customWidth="1" min="5" max="5" width="16.86"/>
    <col customWidth="1" min="6" max="6" width="30.0"/>
    <col customWidth="1" min="7" max="7" width="28.0"/>
    <col customWidth="1" min="8" max="8" width="9.0"/>
    <col customWidth="1" min="9" max="9" width="10.14"/>
    <col customWidth="1" min="10" max="10" width="9.57"/>
    <col customWidth="1" min="11" max="11" width="11.71"/>
    <col customWidth="1" min="12" max="12" width="15.0"/>
    <col customWidth="1" min="13" max="13" width="11.57"/>
    <col customWidth="1" min="14" max="14" width="11.14"/>
    <col customWidth="1" min="15" max="15" width="8.29"/>
    <col customWidth="1" min="16" max="16" width="8.0"/>
    <col customWidth="1" min="17" max="17" width="7.0"/>
    <col customWidth="1" min="18" max="26" width="8.71"/>
  </cols>
  <sheetData>
    <row r="1">
      <c r="A1" s="12" t="s">
        <v>8</v>
      </c>
      <c r="B1" s="12" t="s">
        <v>9</v>
      </c>
      <c r="C1" s="12"/>
      <c r="D1" s="12" t="s">
        <v>59</v>
      </c>
      <c r="E1" s="12" t="s">
        <v>10</v>
      </c>
      <c r="F1" s="12" t="s">
        <v>11</v>
      </c>
      <c r="G1" s="12" t="s">
        <v>13</v>
      </c>
      <c r="H1" s="12" t="s">
        <v>14</v>
      </c>
      <c r="I1" s="12" t="s">
        <v>63</v>
      </c>
      <c r="J1" s="12" t="s">
        <v>64</v>
      </c>
      <c r="K1" s="12" t="s">
        <v>66</v>
      </c>
      <c r="L1" s="12" t="s">
        <v>12</v>
      </c>
      <c r="M1" s="12" t="s">
        <v>70</v>
      </c>
      <c r="N1" s="12" t="s">
        <v>71</v>
      </c>
      <c r="O1" s="12" t="s">
        <v>18</v>
      </c>
      <c r="P1" s="12" t="s">
        <v>72</v>
      </c>
      <c r="Q1" s="12" t="s">
        <v>19</v>
      </c>
    </row>
    <row r="2">
      <c r="A2" s="9" t="s">
        <v>21</v>
      </c>
      <c r="B2" s="9" t="s">
        <v>22</v>
      </c>
      <c r="C2" s="9" t="str">
        <f t="shared" ref="C2:C9" si="1">CONCATENATE(A2," ",B2)</f>
        <v>Robert Lilick</v>
      </c>
      <c r="D2" s="9" t="s">
        <v>78</v>
      </c>
      <c r="E2" s="9">
        <v>2.0411454E7</v>
      </c>
      <c r="F2" s="9" t="s">
        <v>102</v>
      </c>
      <c r="G2" s="9" t="s">
        <v>25</v>
      </c>
      <c r="H2" s="9" t="s">
        <v>26</v>
      </c>
      <c r="I2" s="9" t="s">
        <v>81</v>
      </c>
      <c r="J2" s="9" t="s">
        <v>82</v>
      </c>
      <c r="K2" s="9" t="s">
        <v>74</v>
      </c>
      <c r="L2" s="13">
        <v>1.92480227E8</v>
      </c>
      <c r="M2" s="9" t="s">
        <v>74</v>
      </c>
      <c r="N2" s="9" t="s">
        <v>86</v>
      </c>
      <c r="O2" s="10">
        <v>40.0</v>
      </c>
      <c r="P2" s="14">
        <v>0.03</v>
      </c>
      <c r="Q2" s="10">
        <v>1.2</v>
      </c>
      <c r="R2" s="9" t="s">
        <v>103</v>
      </c>
    </row>
    <row r="3">
      <c r="A3" s="9" t="s">
        <v>21</v>
      </c>
      <c r="B3" s="9" t="s">
        <v>22</v>
      </c>
      <c r="C3" s="9" t="str">
        <f t="shared" si="1"/>
        <v>Robert Lilick</v>
      </c>
      <c r="D3" s="9" t="s">
        <v>78</v>
      </c>
      <c r="E3" s="9">
        <v>2.0411454E7</v>
      </c>
      <c r="F3" s="9" t="s">
        <v>102</v>
      </c>
      <c r="G3" s="9" t="s">
        <v>30</v>
      </c>
      <c r="H3" s="9" t="s">
        <v>26</v>
      </c>
      <c r="I3" s="9" t="s">
        <v>88</v>
      </c>
      <c r="J3" s="9" t="s">
        <v>89</v>
      </c>
      <c r="K3" s="9" t="s">
        <v>74</v>
      </c>
      <c r="L3" s="13">
        <v>8.23699893E8</v>
      </c>
      <c r="M3" s="9" t="s">
        <v>74</v>
      </c>
      <c r="N3" s="9" t="s">
        <v>86</v>
      </c>
      <c r="O3" s="10">
        <v>11.0</v>
      </c>
      <c r="P3" s="14">
        <v>0.03</v>
      </c>
      <c r="Q3" s="10">
        <v>0.33</v>
      </c>
      <c r="R3" s="9" t="s">
        <v>103</v>
      </c>
    </row>
    <row r="4">
      <c r="A4" s="9" t="s">
        <v>31</v>
      </c>
      <c r="B4" s="9" t="s">
        <v>22</v>
      </c>
      <c r="C4" s="9" t="str">
        <f t="shared" si="1"/>
        <v>Carol Lilick</v>
      </c>
      <c r="D4" s="9" t="s">
        <v>78</v>
      </c>
      <c r="E4" s="9">
        <v>2.0411454E7</v>
      </c>
      <c r="F4" s="9" t="s">
        <v>102</v>
      </c>
      <c r="G4" s="9" t="s">
        <v>30</v>
      </c>
      <c r="H4" s="9" t="s">
        <v>26</v>
      </c>
      <c r="I4" s="9" t="s">
        <v>88</v>
      </c>
      <c r="J4" s="9" t="s">
        <v>89</v>
      </c>
      <c r="K4" s="9" t="s">
        <v>74</v>
      </c>
      <c r="L4" s="13">
        <v>5.26144798E8</v>
      </c>
      <c r="M4" s="9" t="s">
        <v>74</v>
      </c>
      <c r="N4" s="9" t="s">
        <v>86</v>
      </c>
      <c r="O4" s="10">
        <v>11.0</v>
      </c>
      <c r="P4" s="14">
        <v>0.03</v>
      </c>
      <c r="Q4" s="10">
        <v>0.33</v>
      </c>
      <c r="R4" s="9" t="s">
        <v>103</v>
      </c>
    </row>
    <row r="5">
      <c r="A5" s="9" t="s">
        <v>33</v>
      </c>
      <c r="B5" s="9" t="s">
        <v>34</v>
      </c>
      <c r="C5" s="9" t="str">
        <f t="shared" si="1"/>
        <v>Zain Lakhani</v>
      </c>
      <c r="D5" s="9" t="s">
        <v>91</v>
      </c>
      <c r="E5" s="9" t="s">
        <v>104</v>
      </c>
      <c r="F5" s="9" t="s">
        <v>105</v>
      </c>
      <c r="G5" s="9" t="s">
        <v>37</v>
      </c>
      <c r="H5" s="9" t="s">
        <v>26</v>
      </c>
      <c r="I5" s="9" t="s">
        <v>81</v>
      </c>
      <c r="J5" s="9" t="s">
        <v>82</v>
      </c>
      <c r="K5" s="9" t="s">
        <v>74</v>
      </c>
      <c r="L5" s="13">
        <v>3.55029732E8</v>
      </c>
      <c r="M5" s="9" t="s">
        <v>74</v>
      </c>
      <c r="N5" s="9" t="s">
        <v>86</v>
      </c>
      <c r="O5" s="10">
        <v>22.0</v>
      </c>
      <c r="P5" s="14">
        <v>0.24</v>
      </c>
      <c r="Q5" s="10">
        <v>5.28</v>
      </c>
      <c r="R5" s="9" t="s">
        <v>106</v>
      </c>
    </row>
    <row r="6">
      <c r="A6" s="9" t="s">
        <v>39</v>
      </c>
      <c r="B6" s="9" t="s">
        <v>40</v>
      </c>
      <c r="C6" s="9" t="str">
        <f t="shared" si="1"/>
        <v>Maria Medina</v>
      </c>
      <c r="D6" s="9" t="s">
        <v>95</v>
      </c>
      <c r="E6" s="9" t="s">
        <v>107</v>
      </c>
      <c r="F6" s="9" t="s">
        <v>108</v>
      </c>
      <c r="G6" s="9" t="s">
        <v>43</v>
      </c>
      <c r="H6" s="9" t="s">
        <v>26</v>
      </c>
      <c r="I6" s="9" t="s">
        <v>81</v>
      </c>
      <c r="J6" s="9" t="s">
        <v>82</v>
      </c>
      <c r="K6" s="9" t="s">
        <v>74</v>
      </c>
      <c r="L6" s="13">
        <v>9.13646618E8</v>
      </c>
      <c r="M6" s="9" t="s">
        <v>74</v>
      </c>
      <c r="N6" s="9" t="s">
        <v>86</v>
      </c>
      <c r="O6" s="10">
        <v>52.0</v>
      </c>
      <c r="P6" s="14">
        <v>0.24</v>
      </c>
      <c r="Q6" s="10">
        <v>12.48</v>
      </c>
      <c r="R6" s="9" t="s">
        <v>106</v>
      </c>
    </row>
    <row r="7">
      <c r="A7" s="9" t="s">
        <v>39</v>
      </c>
      <c r="B7" s="9" t="s">
        <v>40</v>
      </c>
      <c r="C7" s="9" t="str">
        <f t="shared" si="1"/>
        <v>Maria Medina</v>
      </c>
      <c r="D7" s="9" t="s">
        <v>95</v>
      </c>
      <c r="E7" s="9" t="s">
        <v>107</v>
      </c>
      <c r="F7" s="9" t="s">
        <v>108</v>
      </c>
      <c r="G7" s="9" t="s">
        <v>30</v>
      </c>
      <c r="H7" s="9" t="s">
        <v>26</v>
      </c>
      <c r="I7" s="9" t="s">
        <v>88</v>
      </c>
      <c r="J7" s="9" t="s">
        <v>89</v>
      </c>
      <c r="K7" s="9" t="s">
        <v>74</v>
      </c>
      <c r="L7" s="13">
        <v>9.82416865E8</v>
      </c>
      <c r="M7" s="9" t="s">
        <v>74</v>
      </c>
      <c r="N7" s="9" t="s">
        <v>86</v>
      </c>
      <c r="O7" s="10">
        <v>11.0</v>
      </c>
      <c r="P7" s="14">
        <v>0.37</v>
      </c>
      <c r="Q7" s="10">
        <v>4.07</v>
      </c>
      <c r="R7" s="9" t="s">
        <v>109</v>
      </c>
    </row>
    <row r="8">
      <c r="A8" s="9" t="s">
        <v>46</v>
      </c>
      <c r="B8" s="9" t="s">
        <v>47</v>
      </c>
      <c r="C8" s="9" t="str">
        <f t="shared" si="1"/>
        <v>Swaraj Chadha</v>
      </c>
      <c r="D8" s="9" t="s">
        <v>100</v>
      </c>
      <c r="E8" s="9" t="s">
        <v>107</v>
      </c>
      <c r="F8" s="9" t="s">
        <v>108</v>
      </c>
      <c r="G8" s="9" t="s">
        <v>25</v>
      </c>
      <c r="H8" s="9" t="s">
        <v>26</v>
      </c>
      <c r="I8" s="9" t="s">
        <v>81</v>
      </c>
      <c r="J8" s="9" t="s">
        <v>82</v>
      </c>
      <c r="K8" s="9" t="s">
        <v>74</v>
      </c>
      <c r="L8" s="13">
        <v>1.69495881E8</v>
      </c>
      <c r="M8" s="9" t="s">
        <v>74</v>
      </c>
      <c r="N8" s="9" t="s">
        <v>86</v>
      </c>
      <c r="O8" s="10">
        <v>40.0</v>
      </c>
      <c r="P8" s="14">
        <v>0.24</v>
      </c>
      <c r="Q8" s="10">
        <v>9.6</v>
      </c>
      <c r="R8" s="9" t="s">
        <v>106</v>
      </c>
    </row>
    <row r="9">
      <c r="A9" s="9" t="s">
        <v>46</v>
      </c>
      <c r="B9" s="9" t="s">
        <v>47</v>
      </c>
      <c r="C9" s="9" t="str">
        <f t="shared" si="1"/>
        <v>Swaraj Chadha</v>
      </c>
      <c r="D9" s="9" t="s">
        <v>100</v>
      </c>
      <c r="E9" s="9" t="s">
        <v>107</v>
      </c>
      <c r="F9" s="9" t="s">
        <v>108</v>
      </c>
      <c r="G9" s="9" t="s">
        <v>30</v>
      </c>
      <c r="H9" s="9" t="s">
        <v>26</v>
      </c>
      <c r="I9" s="9" t="s">
        <v>88</v>
      </c>
      <c r="J9" s="9" t="s">
        <v>89</v>
      </c>
      <c r="K9" s="9" t="s">
        <v>74</v>
      </c>
      <c r="L9" s="13">
        <v>6.54997781E8</v>
      </c>
      <c r="M9" s="9" t="s">
        <v>74</v>
      </c>
      <c r="N9" s="9" t="s">
        <v>86</v>
      </c>
      <c r="O9" s="10">
        <v>11.0</v>
      </c>
      <c r="P9" s="14">
        <v>0.37</v>
      </c>
      <c r="Q9" s="10">
        <v>4.07</v>
      </c>
      <c r="R9" s="9" t="s">
        <v>109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2026-02-05T15:57:47Z</dcterms:created>
  <dc:creator>openpyxl</dc:creator>
</cp:coreProperties>
</file>