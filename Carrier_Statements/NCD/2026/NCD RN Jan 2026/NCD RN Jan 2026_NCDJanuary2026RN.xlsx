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026\NCD RN Jan 2026\"/>
    </mc:Choice>
  </mc:AlternateContent>
  <xr:revisionPtr revIDLastSave="0" documentId="13_ncr:1_{766B343D-F3BD-40C3-A73A-F49A8B0C16C9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C17" i="3" l="1"/>
  <c r="C2" i="3"/>
  <c r="C18" i="3"/>
  <c r="C19" i="3"/>
  <c r="C20" i="3"/>
  <c r="C21" i="3"/>
  <c r="C22" i="3"/>
  <c r="C23" i="3"/>
  <c r="C24" i="3"/>
  <c r="C3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4" i="3"/>
  <c r="C5" i="3"/>
  <c r="C6" i="3"/>
  <c r="C73" i="3"/>
  <c r="C74" i="3"/>
  <c r="C75" i="3"/>
  <c r="C76" i="3"/>
  <c r="C77" i="3"/>
  <c r="C78" i="3"/>
  <c r="C79" i="3"/>
  <c r="C80" i="3"/>
  <c r="C7" i="3"/>
  <c r="C81" i="3"/>
  <c r="C82" i="3"/>
  <c r="C83" i="3"/>
  <c r="C84" i="3"/>
  <c r="C85" i="3"/>
  <c r="C86" i="3"/>
  <c r="C87" i="3"/>
  <c r="C88" i="3"/>
  <c r="C89" i="3"/>
  <c r="C90" i="3"/>
  <c r="C91" i="3"/>
  <c r="C8" i="3"/>
  <c r="C92" i="3"/>
  <c r="C93" i="3"/>
  <c r="C9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0" i="3"/>
  <c r="C11" i="3"/>
  <c r="C12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13" i="3"/>
  <c r="C14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15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16" i="3"/>
  <c r="N430" i="3"/>
  <c r="N396" i="3"/>
  <c r="N428" i="3"/>
  <c r="N389" i="3"/>
  <c r="N390" i="3"/>
  <c r="N391" i="3"/>
  <c r="N427" i="3"/>
  <c r="N397" i="3"/>
  <c r="N392" i="3"/>
  <c r="N385" i="3"/>
  <c r="N34" i="3"/>
  <c r="N185" i="3"/>
  <c r="N203" i="3"/>
  <c r="N198" i="3"/>
  <c r="N31" i="3"/>
  <c r="N184" i="3"/>
  <c r="N110" i="3"/>
  <c r="N200" i="3"/>
  <c r="N197" i="3"/>
  <c r="N183" i="3"/>
  <c r="N30" i="3"/>
  <c r="N106" i="3"/>
  <c r="N199" i="3"/>
  <c r="N196" i="3"/>
  <c r="N28" i="3"/>
  <c r="N182" i="3"/>
  <c r="N103" i="3"/>
  <c r="N236" i="3"/>
  <c r="N237" i="3"/>
  <c r="N257" i="3"/>
  <c r="N250" i="3"/>
  <c r="N245" i="3"/>
  <c r="N251" i="3"/>
  <c r="N425" i="3"/>
  <c r="N331" i="3"/>
  <c r="N305" i="3"/>
  <c r="N417" i="3"/>
  <c r="N267" i="3"/>
  <c r="N393" i="3"/>
  <c r="N418" i="3"/>
  <c r="N411" i="3"/>
  <c r="N268" i="3"/>
  <c r="N403" i="3"/>
  <c r="N404" i="3"/>
  <c r="N246" i="3"/>
  <c r="N419" i="3"/>
  <c r="N318" i="3"/>
  <c r="N247" i="3"/>
  <c r="N423" i="3"/>
  <c r="N297" i="3"/>
  <c r="N412" i="3"/>
  <c r="N258" i="3"/>
  <c r="N386" i="3"/>
  <c r="N259" i="3"/>
  <c r="N398" i="3"/>
  <c r="N399" i="3"/>
  <c r="N405" i="3"/>
  <c r="N413" i="3"/>
  <c r="N414" i="3"/>
  <c r="N238" i="3"/>
  <c r="N239" i="3"/>
  <c r="N420" i="3"/>
  <c r="N306" i="3"/>
  <c r="N291" i="3"/>
  <c r="N406" i="3"/>
  <c r="N252" i="3"/>
  <c r="N382" i="3"/>
  <c r="N253" i="3"/>
  <c r="N400" i="3"/>
  <c r="N407" i="3"/>
  <c r="N394" i="3"/>
  <c r="N395" i="3"/>
  <c r="N408" i="3"/>
  <c r="N13" i="3"/>
  <c r="N14" i="3"/>
  <c r="N355" i="3"/>
  <c r="N298" i="3"/>
  <c r="N344" i="3"/>
  <c r="N292" i="3"/>
  <c r="N332" i="3"/>
  <c r="N288" i="3"/>
  <c r="N356" i="3"/>
  <c r="N345" i="3"/>
  <c r="N346" i="3"/>
  <c r="N333" i="3"/>
  <c r="N334" i="3"/>
  <c r="N347" i="3"/>
  <c r="N335" i="3"/>
  <c r="N336" i="3"/>
  <c r="N319" i="3"/>
  <c r="N320" i="3"/>
  <c r="N337" i="3"/>
  <c r="N321" i="3"/>
  <c r="N322" i="3"/>
  <c r="N307" i="3"/>
  <c r="N308" i="3"/>
  <c r="N43" i="3"/>
  <c r="N83" i="3"/>
  <c r="N86" i="3"/>
  <c r="N46" i="3"/>
  <c r="N173" i="3"/>
  <c r="N82" i="3"/>
  <c r="N40" i="3"/>
  <c r="N85" i="3"/>
  <c r="N44" i="3"/>
  <c r="N171" i="3"/>
  <c r="N39" i="3"/>
  <c r="N81" i="3"/>
  <c r="N84" i="3"/>
  <c r="N193" i="3"/>
  <c r="N41" i="3"/>
  <c r="N170" i="3"/>
  <c r="N240" i="3"/>
  <c r="N387" i="3"/>
  <c r="N269" i="3"/>
  <c r="N241" i="3"/>
  <c r="N242" i="3"/>
  <c r="N338" i="3"/>
  <c r="N383" i="3"/>
  <c r="N260" i="3"/>
  <c r="N323" i="3"/>
  <c r="N254" i="3"/>
  <c r="N380" i="3"/>
  <c r="N309" i="3"/>
  <c r="N441" i="3"/>
  <c r="N276" i="3"/>
  <c r="N277" i="3"/>
  <c r="N339" i="3"/>
  <c r="N87" i="3"/>
  <c r="N329" i="3"/>
  <c r="N316" i="3"/>
  <c r="N278" i="3"/>
  <c r="N340" i="3"/>
  <c r="N341" i="3"/>
  <c r="N324" i="3"/>
  <c r="N325" i="3"/>
  <c r="N279" i="3"/>
  <c r="N280" i="3"/>
  <c r="N255" i="3"/>
  <c r="N270" i="3"/>
  <c r="N271" i="3"/>
  <c r="N326" i="3"/>
  <c r="N303" i="3"/>
  <c r="N327" i="3"/>
  <c r="N328" i="3"/>
  <c r="N315" i="3"/>
  <c r="N248" i="3"/>
  <c r="N310" i="3"/>
  <c r="N311" i="3"/>
  <c r="N272" i="3"/>
  <c r="N273" i="3"/>
  <c r="N274" i="3"/>
  <c r="N261" i="3"/>
  <c r="N262" i="3"/>
  <c r="N282" i="3"/>
  <c r="N283" i="3"/>
  <c r="N293" i="3"/>
  <c r="N294" i="3"/>
  <c r="N301" i="3"/>
  <c r="N312" i="3"/>
  <c r="N284" i="3"/>
  <c r="N302" i="3"/>
  <c r="N285" i="3"/>
  <c r="N313" i="3"/>
  <c r="N314" i="3"/>
  <c r="N299" i="3"/>
  <c r="N300" i="3"/>
  <c r="N263" i="3"/>
  <c r="N264" i="3"/>
  <c r="N265" i="3"/>
  <c r="N243" i="3"/>
  <c r="N435" i="3"/>
  <c r="N433" i="3"/>
  <c r="N415" i="3"/>
  <c r="N388" i="3"/>
  <c r="N295" i="3"/>
  <c r="N431" i="3"/>
  <c r="N434" i="3"/>
  <c r="N409" i="3"/>
  <c r="N384" i="3"/>
  <c r="N289" i="3"/>
  <c r="N429" i="3"/>
  <c r="N432" i="3"/>
  <c r="N401" i="3"/>
  <c r="N381" i="3"/>
  <c r="N15" i="3"/>
  <c r="N439" i="3"/>
  <c r="N188" i="3"/>
  <c r="N187" i="3"/>
  <c r="N186" i="3"/>
  <c r="N7" i="3"/>
  <c r="N3" i="3"/>
  <c r="N2" i="3"/>
  <c r="N281" i="3"/>
  <c r="N256" i="3"/>
  <c r="N296" i="3"/>
  <c r="N275" i="3"/>
  <c r="N249" i="3"/>
  <c r="N290" i="3"/>
  <c r="N266" i="3"/>
  <c r="N286" i="3"/>
  <c r="N244" i="3"/>
  <c r="N287" i="3"/>
  <c r="N421" i="3"/>
  <c r="N416" i="3"/>
  <c r="N410" i="3"/>
  <c r="N374" i="3"/>
  <c r="N375" i="3"/>
  <c r="N366" i="3"/>
  <c r="N357" i="3"/>
  <c r="N358" i="3"/>
  <c r="N426" i="3"/>
  <c r="N376" i="3"/>
  <c r="N377" i="3"/>
  <c r="N359" i="3"/>
  <c r="N348" i="3"/>
  <c r="N349" i="3"/>
  <c r="N424" i="3"/>
  <c r="N367" i="3"/>
  <c r="N350" i="3"/>
  <c r="N342" i="3"/>
  <c r="N343" i="3"/>
  <c r="N422" i="3"/>
  <c r="N235" i="3"/>
  <c r="N64" i="3"/>
  <c r="N75" i="3"/>
  <c r="N234" i="3"/>
  <c r="N58" i="3"/>
  <c r="N73" i="3"/>
  <c r="N233" i="3"/>
  <c r="N52" i="3"/>
  <c r="N330" i="3"/>
  <c r="N317" i="3"/>
  <c r="N304" i="3"/>
  <c r="N221" i="3"/>
  <c r="N220" i="3"/>
  <c r="N77" i="3"/>
  <c r="N227" i="3"/>
  <c r="N80" i="3"/>
  <c r="N76" i="3"/>
  <c r="N226" i="3"/>
  <c r="N79" i="3"/>
  <c r="N74" i="3"/>
  <c r="N78" i="3"/>
  <c r="N225" i="3"/>
  <c r="N29" i="3"/>
  <c r="N192" i="3"/>
  <c r="N168" i="3"/>
  <c r="N18" i="3"/>
  <c r="N189" i="3"/>
  <c r="N232" i="3"/>
  <c r="N100" i="3"/>
  <c r="N169" i="3"/>
  <c r="N191" i="3"/>
  <c r="N25" i="3"/>
  <c r="N99" i="3"/>
  <c r="N231" i="3"/>
  <c r="N190" i="3"/>
  <c r="N19" i="3"/>
  <c r="N98" i="3"/>
  <c r="N230" i="3"/>
  <c r="N195" i="3"/>
  <c r="N194" i="3"/>
  <c r="N111" i="3"/>
  <c r="N180" i="3"/>
  <c r="N207" i="3"/>
  <c r="N97" i="3"/>
  <c r="N229" i="3"/>
  <c r="N88" i="3"/>
  <c r="N20" i="3"/>
  <c r="N21" i="3"/>
  <c r="N181" i="3"/>
  <c r="N69" i="3"/>
  <c r="N215" i="3"/>
  <c r="N141" i="3"/>
  <c r="N117" i="3"/>
  <c r="N92" i="3"/>
  <c r="N142" i="3"/>
  <c r="N112" i="3"/>
  <c r="N26" i="3"/>
  <c r="N177" i="3"/>
  <c r="N164" i="3"/>
  <c r="N71" i="3"/>
  <c r="N127" i="3"/>
  <c r="N47" i="3"/>
  <c r="N157" i="3"/>
  <c r="N211" i="3"/>
  <c r="N143" i="3"/>
  <c r="N72" i="3"/>
  <c r="N165" i="3"/>
  <c r="N218" i="3"/>
  <c r="N166" i="3"/>
  <c r="N128" i="3"/>
  <c r="N37" i="3"/>
  <c r="N219" i="3"/>
  <c r="N167" i="3"/>
  <c r="N89" i="3"/>
  <c r="N22" i="3"/>
  <c r="N27" i="3"/>
  <c r="N93" i="3"/>
  <c r="N208" i="3"/>
  <c r="N224" i="3"/>
  <c r="N129" i="3"/>
  <c r="N65" i="3"/>
  <c r="N158" i="3"/>
  <c r="N144" i="3"/>
  <c r="N53" i="3"/>
  <c r="N66" i="3"/>
  <c r="N59" i="3"/>
  <c r="N145" i="3"/>
  <c r="N159" i="3"/>
  <c r="N204" i="3"/>
  <c r="N178" i="3"/>
  <c r="N107" i="3"/>
  <c r="N146" i="3"/>
  <c r="N60" i="3"/>
  <c r="N96" i="3"/>
  <c r="N38" i="3"/>
  <c r="N228" i="3"/>
  <c r="N179" i="3"/>
  <c r="N67" i="3"/>
  <c r="N130" i="3"/>
  <c r="N23" i="3"/>
  <c r="N108" i="3"/>
  <c r="N90" i="3"/>
  <c r="N212" i="3"/>
  <c r="N176" i="3"/>
  <c r="N131" i="3"/>
  <c r="N113" i="3"/>
  <c r="N160" i="3"/>
  <c r="N70" i="3"/>
  <c r="N174" i="3"/>
  <c r="N209" i="3"/>
  <c r="N132" i="3"/>
  <c r="N161" i="3"/>
  <c r="N216" i="3"/>
  <c r="N45" i="3"/>
  <c r="N147" i="3"/>
  <c r="N118" i="3"/>
  <c r="N217" i="3"/>
  <c r="N162" i="3"/>
  <c r="N163" i="3"/>
  <c r="N35" i="3"/>
  <c r="N119" i="3"/>
  <c r="N91" i="3"/>
  <c r="N24" i="3"/>
  <c r="N120" i="3"/>
  <c r="N205" i="3"/>
  <c r="N223" i="3"/>
  <c r="N17" i="3"/>
  <c r="N148" i="3"/>
  <c r="N61" i="3"/>
  <c r="N133" i="3"/>
  <c r="N49" i="3"/>
  <c r="N36" i="3"/>
  <c r="N95" i="3"/>
  <c r="N54" i="3"/>
  <c r="N134" i="3"/>
  <c r="N149" i="3"/>
  <c r="N150" i="3"/>
  <c r="N135" i="3"/>
  <c r="N55" i="3"/>
  <c r="N62" i="3"/>
  <c r="N151" i="3"/>
  <c r="N104" i="3"/>
  <c r="N210" i="3"/>
  <c r="N121" i="3"/>
  <c r="N109" i="3"/>
  <c r="N201" i="3"/>
  <c r="N152" i="3"/>
  <c r="N63" i="3"/>
  <c r="N105" i="3"/>
  <c r="N122" i="3"/>
  <c r="N68" i="3"/>
  <c r="N175" i="3"/>
  <c r="N153" i="3"/>
  <c r="N172" i="3"/>
  <c r="N206" i="3"/>
  <c r="N123" i="3"/>
  <c r="N42" i="3"/>
  <c r="N136" i="3"/>
  <c r="N114" i="3"/>
  <c r="N213" i="3"/>
  <c r="N154" i="3"/>
  <c r="N155" i="3"/>
  <c r="N214" i="3"/>
  <c r="N156" i="3"/>
  <c r="N32" i="3"/>
  <c r="N115" i="3"/>
  <c r="N202" i="3"/>
  <c r="N137" i="3"/>
  <c r="N222" i="3"/>
  <c r="N116" i="3"/>
  <c r="N56" i="3"/>
  <c r="N138" i="3"/>
  <c r="N124" i="3"/>
  <c r="N101" i="3"/>
  <c r="N125" i="3"/>
  <c r="N57" i="3"/>
  <c r="N440" i="3"/>
  <c r="N48" i="3"/>
  <c r="N50" i="3"/>
  <c r="N139" i="3"/>
  <c r="N140" i="3"/>
  <c r="N16" i="3"/>
  <c r="N126" i="3"/>
  <c r="N51" i="3"/>
  <c r="N102" i="3"/>
  <c r="N94" i="3"/>
  <c r="N33" i="3"/>
  <c r="N9" i="3"/>
  <c r="N8" i="3"/>
  <c r="N378" i="3"/>
  <c r="N379" i="3"/>
  <c r="N368" i="3"/>
  <c r="N369" i="3"/>
  <c r="N370" i="3"/>
  <c r="N371" i="3"/>
  <c r="N372" i="3"/>
  <c r="N373" i="3"/>
  <c r="N360" i="3"/>
  <c r="N361" i="3"/>
  <c r="N362" i="3"/>
  <c r="N363" i="3"/>
  <c r="N364" i="3"/>
  <c r="N365" i="3"/>
  <c r="N351" i="3"/>
  <c r="N352" i="3"/>
  <c r="N353" i="3"/>
  <c r="N354" i="3"/>
  <c r="N402" i="3"/>
</calcChain>
</file>

<file path=xl/sharedStrings.xml><?xml version="1.0" encoding="utf-8"?>
<sst xmlns="http://schemas.openxmlformats.org/spreadsheetml/2006/main" count="12916" uniqueCount="1030">
  <si>
    <t>NCD</t>
  </si>
  <si>
    <t>Agent Label: Main Line Benefits LLC</t>
  </si>
  <si>
    <t>For the Period: RN 01.01.2026-01.31.2026</t>
  </si>
  <si>
    <t>Payout Date: 02.06.2026</t>
  </si>
  <si>
    <t>Renewal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</si>
  <si>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</si>
  <si>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</si>
  <si>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</si>
  <si>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</si>
  <si>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</si>
  <si>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</si>
  <si>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</si>
  <si>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</si>
  <si>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</si>
  <si>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</si>
  <si>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</si>
  <si>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</si>
  <si>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</si>
  <si>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</si>
  <si>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</si>
  <si>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Payout</t>
  </si>
  <si>
    <t>--- Renewal ---</t>
  </si>
  <si>
    <t>684068645</t>
  </si>
  <si>
    <t>Sharrod</t>
  </si>
  <si>
    <t>Walker</t>
  </si>
  <si>
    <t xml:space="preserve"> Main Line Benefits - Thomas Kucan</t>
  </si>
  <si>
    <t>848578973</t>
  </si>
  <si>
    <t>NCD Smile 2500 by MetLife</t>
  </si>
  <si>
    <t>Member</t>
  </si>
  <si>
    <t>1/31/2026</t>
  </si>
  <si>
    <t>SALE</t>
  </si>
  <si>
    <t xml:space="preserve">$25.00 </t>
  </si>
  <si>
    <t>32%</t>
  </si>
  <si>
    <t>683593204</t>
  </si>
  <si>
    <t>Steven</t>
  </si>
  <si>
    <t>Cohen</t>
  </si>
  <si>
    <t>Main Line Benefits LLC-Gary Portugal</t>
  </si>
  <si>
    <t>348104279</t>
  </si>
  <si>
    <t>NCD Essentials by MetLife</t>
  </si>
  <si>
    <t>Family</t>
  </si>
  <si>
    <t>1/10/2026</t>
  </si>
  <si>
    <t xml:space="preserve">$185.00 </t>
  </si>
  <si>
    <t>24%</t>
  </si>
  <si>
    <t>683552927</t>
  </si>
  <si>
    <t>Dudley</t>
  </si>
  <si>
    <t>Hinegardner</t>
  </si>
  <si>
    <t>699319353</t>
  </si>
  <si>
    <t>1/9/2026</t>
  </si>
  <si>
    <t>683221739</t>
  </si>
  <si>
    <t>Minas</t>
  </si>
  <si>
    <t>Giorgakis</t>
  </si>
  <si>
    <t>607637254</t>
  </si>
  <si>
    <t>VSP Preferred Plan by NCD</t>
  </si>
  <si>
    <t xml:space="preserve">$11.00 </t>
  </si>
  <si>
    <t>37%</t>
  </si>
  <si>
    <t>165329262</t>
  </si>
  <si>
    <t>684866083</t>
  </si>
  <si>
    <t>Hellen</t>
  </si>
  <si>
    <t>Nyaberi</t>
  </si>
  <si>
    <t>Main Line Benefits LLC-Jared Kinyua</t>
  </si>
  <si>
    <t>408114059</t>
  </si>
  <si>
    <t>683551481</t>
  </si>
  <si>
    <t>Brigitte</t>
  </si>
  <si>
    <t>Wilkinson</t>
  </si>
  <si>
    <t>245549848</t>
  </si>
  <si>
    <t>1/8/2026</t>
  </si>
  <si>
    <t>984523223</t>
  </si>
  <si>
    <t xml:space="preserve">$30.00 </t>
  </si>
  <si>
    <t>683080241</t>
  </si>
  <si>
    <t>Jospeh</t>
  </si>
  <si>
    <t>Morris II</t>
  </si>
  <si>
    <t>Main Line Benefits - Matthew Daugherty</t>
  </si>
  <si>
    <t>864594072</t>
  </si>
  <si>
    <t>NCD Value by MetLife</t>
  </si>
  <si>
    <t>685711160</t>
  </si>
  <si>
    <t>Kimberly</t>
  </si>
  <si>
    <t>Mooney</t>
  </si>
  <si>
    <t>Main Line Benefits - Carol Foley</t>
  </si>
  <si>
    <t>185194902</t>
  </si>
  <si>
    <t>NCD Complete by MetLife</t>
  </si>
  <si>
    <t xml:space="preserve">$71.00 </t>
  </si>
  <si>
    <t>681694666</t>
  </si>
  <si>
    <t>Robert</t>
  </si>
  <si>
    <t>Steinberg</t>
  </si>
  <si>
    <t>654081029</t>
  </si>
  <si>
    <t>Member plus Spouse</t>
  </si>
  <si>
    <t>1/7/2026</t>
  </si>
  <si>
    <t xml:space="preserve">$76.00 </t>
  </si>
  <si>
    <t>683092185</t>
  </si>
  <si>
    <t>Roderick</t>
  </si>
  <si>
    <t>Acha</t>
  </si>
  <si>
    <t>690892951</t>
  </si>
  <si>
    <t xml:space="preserve">$93.00 </t>
  </si>
  <si>
    <t>66621000</t>
  </si>
  <si>
    <t xml:space="preserve">$20.00 </t>
  </si>
  <si>
    <t>685124323</t>
  </si>
  <si>
    <t>Charles</t>
  </si>
  <si>
    <t>Vickers</t>
  </si>
  <si>
    <t>377078631</t>
  </si>
  <si>
    <t>NCD Elite 5000 by MetLife</t>
  </si>
  <si>
    <t xml:space="preserve">$65.00 </t>
  </si>
  <si>
    <t>683324516</t>
  </si>
  <si>
    <t xml:space="preserve">Jennifer </t>
  </si>
  <si>
    <t>Harbin</t>
  </si>
  <si>
    <t>196153282</t>
  </si>
  <si>
    <t>682171350</t>
  </si>
  <si>
    <t>Richard</t>
  </si>
  <si>
    <t>Golden</t>
  </si>
  <si>
    <t>297820482</t>
  </si>
  <si>
    <t xml:space="preserve">$134.00 </t>
  </si>
  <si>
    <t>252126537</t>
  </si>
  <si>
    <t>Member + 1</t>
  </si>
  <si>
    <t xml:space="preserve">$15.00 </t>
  </si>
  <si>
    <t>681802160</t>
  </si>
  <si>
    <t>Leon</t>
  </si>
  <si>
    <t>Hankin</t>
  </si>
  <si>
    <t>118665193</t>
  </si>
  <si>
    <t>681549155</t>
  </si>
  <si>
    <t>Lisa</t>
  </si>
  <si>
    <t>Hopkins</t>
  </si>
  <si>
    <t>464503420</t>
  </si>
  <si>
    <t>1/5/2026</t>
  </si>
  <si>
    <t>682859188</t>
  </si>
  <si>
    <t>Bryan</t>
  </si>
  <si>
    <t>Pennington</t>
  </si>
  <si>
    <t>623625840</t>
  </si>
  <si>
    <t>683978293</t>
  </si>
  <si>
    <t>Kristen</t>
  </si>
  <si>
    <t>Facchini</t>
  </si>
  <si>
    <t>Main Line Benefits LLC -Frank Liskovec</t>
  </si>
  <si>
    <t>692950875</t>
  </si>
  <si>
    <t>NCD Elite 1500 by MetLife</t>
  </si>
  <si>
    <t>1/11/2026</t>
  </si>
  <si>
    <t xml:space="preserve">$40.00 </t>
  </si>
  <si>
    <t>684135257</t>
  </si>
  <si>
    <t>Alonzo</t>
  </si>
  <si>
    <t>Brown</t>
  </si>
  <si>
    <t>Carolyn W Smith</t>
  </si>
  <si>
    <t>418031090</t>
  </si>
  <si>
    <t>1/15/2026</t>
  </si>
  <si>
    <t>682974980</t>
  </si>
  <si>
    <t>Mindi</t>
  </si>
  <si>
    <t>Kane</t>
  </si>
  <si>
    <t>Main Line Benefits LLC -Ricardo D Santos</t>
  </si>
  <si>
    <t>673613358</t>
  </si>
  <si>
    <t>Member plus Children</t>
  </si>
  <si>
    <t xml:space="preserve">$112.00 </t>
  </si>
  <si>
    <t>629957651</t>
  </si>
  <si>
    <t>686008045</t>
  </si>
  <si>
    <t>Olanike</t>
  </si>
  <si>
    <t>Oyefeso</t>
  </si>
  <si>
    <t>350067834</t>
  </si>
  <si>
    <t>NCD Bright 1500 by MetLife</t>
  </si>
  <si>
    <t xml:space="preserve">$27.00 </t>
  </si>
  <si>
    <t>880261314</t>
  </si>
  <si>
    <t>685091958</t>
  </si>
  <si>
    <t>Janice</t>
  </si>
  <si>
    <t>Pietrucha</t>
  </si>
  <si>
    <t>251856742</t>
  </si>
  <si>
    <t>1/14/2026</t>
  </si>
  <si>
    <t>682456860</t>
  </si>
  <si>
    <t>Nancy</t>
  </si>
  <si>
    <t>Tiburzio</t>
  </si>
  <si>
    <t>970685148</t>
  </si>
  <si>
    <t xml:space="preserve">$66.00 </t>
  </si>
  <si>
    <t>684314332</t>
  </si>
  <si>
    <t>Carl</t>
  </si>
  <si>
    <t>Pine</t>
  </si>
  <si>
    <t>Main Line Benefits LLC-Alison Luse</t>
  </si>
  <si>
    <t>328251776</t>
  </si>
  <si>
    <t xml:space="preserve">$46.00 </t>
  </si>
  <si>
    <t>685784618</t>
  </si>
  <si>
    <t>Hadley</t>
  </si>
  <si>
    <t>Beckstrand</t>
  </si>
  <si>
    <t>789665275</t>
  </si>
  <si>
    <t>CHARGEBACK</t>
  </si>
  <si>
    <t>Chargeback Reversal</t>
  </si>
  <si>
    <t>683589666</t>
  </si>
  <si>
    <t>Gene</t>
  </si>
  <si>
    <t>Gerzsenyi</t>
  </si>
  <si>
    <t>877044360</t>
  </si>
  <si>
    <t>1/13/2026</t>
  </si>
  <si>
    <t xml:space="preserve">$50.00 </t>
  </si>
  <si>
    <t>686029638</t>
  </si>
  <si>
    <t>Klaudia</t>
  </si>
  <si>
    <t>Tac</t>
  </si>
  <si>
    <t>1035728</t>
  </si>
  <si>
    <t>390580973</t>
  </si>
  <si>
    <t>NCD Bright 1000 by MetLife</t>
  </si>
  <si>
    <t xml:space="preserve">$22.00 </t>
  </si>
  <si>
    <t>683438413</t>
  </si>
  <si>
    <t>A Thomas</t>
  </si>
  <si>
    <t>Loy</t>
  </si>
  <si>
    <t>820303811</t>
  </si>
  <si>
    <t>1/12/2026</t>
  </si>
  <si>
    <t xml:space="preserve">$60.00 </t>
  </si>
  <si>
    <t>683609699</t>
  </si>
  <si>
    <t>Michael</t>
  </si>
  <si>
    <t>Suskin</t>
  </si>
  <si>
    <t>Mainline Benefits co</t>
  </si>
  <si>
    <t>58861441</t>
  </si>
  <si>
    <t>625104953</t>
  </si>
  <si>
    <t>520875518</t>
  </si>
  <si>
    <t>682971882</t>
  </si>
  <si>
    <t>Monica</t>
  </si>
  <si>
    <t>ODonnell</t>
  </si>
  <si>
    <t>Main Line Benefits LLC-William Schaeffer</t>
  </si>
  <si>
    <t>868422442</t>
  </si>
  <si>
    <t>683563883</t>
  </si>
  <si>
    <t>Melissa</t>
  </si>
  <si>
    <t>Mahaney</t>
  </si>
  <si>
    <t>698193150</t>
  </si>
  <si>
    <t>685525762</t>
  </si>
  <si>
    <t>Jennifer</t>
  </si>
  <si>
    <t>Hollmig</t>
  </si>
  <si>
    <t>Main Line Benefits LLC-Kirk Tigue</t>
  </si>
  <si>
    <t>605728351</t>
  </si>
  <si>
    <t>1/4/2026</t>
  </si>
  <si>
    <t>684866005</t>
  </si>
  <si>
    <t>Natividad</t>
  </si>
  <si>
    <t>Hernandez Luna</t>
  </si>
  <si>
    <t>129241253</t>
  </si>
  <si>
    <t>1/3/2026</t>
  </si>
  <si>
    <t>685688372</t>
  </si>
  <si>
    <t>Laura</t>
  </si>
  <si>
    <t>Beatty</t>
  </si>
  <si>
    <t>317405573</t>
  </si>
  <si>
    <t>1/2/2026</t>
  </si>
  <si>
    <t>681792691</t>
  </si>
  <si>
    <t>Kathleen</t>
  </si>
  <si>
    <t>McClain</t>
  </si>
  <si>
    <t>78980217</t>
  </si>
  <si>
    <t>681791772</t>
  </si>
  <si>
    <t>Thomas</t>
  </si>
  <si>
    <t>DeCoudres</t>
  </si>
  <si>
    <t>Margaret Finnegan</t>
  </si>
  <si>
    <t>7534852</t>
  </si>
  <si>
    <t xml:space="preserve">$35.00 </t>
  </si>
  <si>
    <t>3%</t>
  </si>
  <si>
    <t>685469893</t>
  </si>
  <si>
    <t>Dorothy</t>
  </si>
  <si>
    <t>Musi</t>
  </si>
  <si>
    <t>353396219</t>
  </si>
  <si>
    <t>682221319</t>
  </si>
  <si>
    <t>Miosotis</t>
  </si>
  <si>
    <t>Ledesma</t>
  </si>
  <si>
    <t>Main Line Benefits LLC - Aidan Barber</t>
  </si>
  <si>
    <t>173898668</t>
  </si>
  <si>
    <t>684285941</t>
  </si>
  <si>
    <t>Dennis</t>
  </si>
  <si>
    <t>Matyas</t>
  </si>
  <si>
    <t>Lori Tunstall</t>
  </si>
  <si>
    <t>901820000</t>
  </si>
  <si>
    <t xml:space="preserve">$143.00 </t>
  </si>
  <si>
    <t>69052199</t>
  </si>
  <si>
    <t>685711156</t>
  </si>
  <si>
    <t>Neil</t>
  </si>
  <si>
    <t>Weissman</t>
  </si>
  <si>
    <t>572801557</t>
  </si>
  <si>
    <t xml:space="preserve">$74.00 </t>
  </si>
  <si>
    <t>685669083</t>
  </si>
  <si>
    <t>William</t>
  </si>
  <si>
    <t>Kates</t>
  </si>
  <si>
    <t>275150335</t>
  </si>
  <si>
    <t>1/1/2026</t>
  </si>
  <si>
    <t>683654568</t>
  </si>
  <si>
    <t>Michelle</t>
  </si>
  <si>
    <t>Barnowski</t>
  </si>
  <si>
    <t>760186562</t>
  </si>
  <si>
    <t>683138813</t>
  </si>
  <si>
    <t>Twanna</t>
  </si>
  <si>
    <t>Delva</t>
  </si>
  <si>
    <t>5274878</t>
  </si>
  <si>
    <t xml:space="preserve">$31.13 </t>
  </si>
  <si>
    <t>682280326</t>
  </si>
  <si>
    <t>Cynthia</t>
  </si>
  <si>
    <t>Anderson</t>
  </si>
  <si>
    <t>Main Line Benefits - Adam Richter</t>
  </si>
  <si>
    <t>668933669</t>
  </si>
  <si>
    <t>683297683</t>
  </si>
  <si>
    <t>Mary</t>
  </si>
  <si>
    <t>Rosencranz</t>
  </si>
  <si>
    <t>582065076</t>
  </si>
  <si>
    <t>364920174</t>
  </si>
  <si>
    <t>664991529</t>
  </si>
  <si>
    <t xml:space="preserve">$52.00 </t>
  </si>
  <si>
    <t>685478544</t>
  </si>
  <si>
    <t>Tracy</t>
  </si>
  <si>
    <t>Macdonald</t>
  </si>
  <si>
    <t>50538789</t>
  </si>
  <si>
    <t>683202494</t>
  </si>
  <si>
    <t>Sally</t>
  </si>
  <si>
    <t>Noonan</t>
  </si>
  <si>
    <t>Main Line Benefits LLC-Michael Dunavant</t>
  </si>
  <si>
    <t>825368073</t>
  </si>
  <si>
    <t>685875685</t>
  </si>
  <si>
    <t>Fidel</t>
  </si>
  <si>
    <t>Estanda</t>
  </si>
  <si>
    <t>737401508</t>
  </si>
  <si>
    <t>685070819</t>
  </si>
  <si>
    <t>Karli</t>
  </si>
  <si>
    <t>Helman</t>
  </si>
  <si>
    <t>982230107</t>
  </si>
  <si>
    <t>318112688</t>
  </si>
  <si>
    <t xml:space="preserve">$42.00 </t>
  </si>
  <si>
    <t>685130230</t>
  </si>
  <si>
    <t>Patrick</t>
  </si>
  <si>
    <t>Heller</t>
  </si>
  <si>
    <t>518008986</t>
  </si>
  <si>
    <t>682967565</t>
  </si>
  <si>
    <t>Demetris</t>
  </si>
  <si>
    <t>Jones</t>
  </si>
  <si>
    <t>384672439</t>
  </si>
  <si>
    <t>125532058</t>
  </si>
  <si>
    <t>682932267</t>
  </si>
  <si>
    <t>Cheryl</t>
  </si>
  <si>
    <t>Gaines</t>
  </si>
  <si>
    <t>604649461</t>
  </si>
  <si>
    <t xml:space="preserve">$124.00 </t>
  </si>
  <si>
    <t>683078236</t>
  </si>
  <si>
    <t>Sheryll</t>
  </si>
  <si>
    <t>Aldred</t>
  </si>
  <si>
    <t>574187796</t>
  </si>
  <si>
    <t>683954249</t>
  </si>
  <si>
    <t>Margaret</t>
  </si>
  <si>
    <t>Stoner</t>
  </si>
  <si>
    <t>644484680</t>
  </si>
  <si>
    <t>681703836</t>
  </si>
  <si>
    <t>Liane</t>
  </si>
  <si>
    <t>Lefever</t>
  </si>
  <si>
    <t>Main Line Benefits LLC</t>
  </si>
  <si>
    <t>181995160</t>
  </si>
  <si>
    <t xml:space="preserve">$120.00 </t>
  </si>
  <si>
    <t>683724724</t>
  </si>
  <si>
    <t>Eugene</t>
  </si>
  <si>
    <t>Hanes Jr.</t>
  </si>
  <si>
    <t>975782157</t>
  </si>
  <si>
    <t>683312848</t>
  </si>
  <si>
    <t>Emily</t>
  </si>
  <si>
    <t>Whitacre</t>
  </si>
  <si>
    <t>859724247</t>
  </si>
  <si>
    <t>858353460</t>
  </si>
  <si>
    <t>682949028</t>
  </si>
  <si>
    <t>Dana</t>
  </si>
  <si>
    <t>Wasimin</t>
  </si>
  <si>
    <t>583635919</t>
  </si>
  <si>
    <t>476855083</t>
  </si>
  <si>
    <t xml:space="preserve">$132.00 </t>
  </si>
  <si>
    <t>683608024</t>
  </si>
  <si>
    <t>Zuleika</t>
  </si>
  <si>
    <t>Rosa Salgado</t>
  </si>
  <si>
    <t>701882993</t>
  </si>
  <si>
    <t xml:space="preserve">$58.00 </t>
  </si>
  <si>
    <t>683206913</t>
  </si>
  <si>
    <t>Cornell</t>
  </si>
  <si>
    <t>Jackson</t>
  </si>
  <si>
    <t>708780484</t>
  </si>
  <si>
    <t>784351926</t>
  </si>
  <si>
    <t>40198305</t>
  </si>
  <si>
    <t xml:space="preserve">$121.00 </t>
  </si>
  <si>
    <t>683089576</t>
  </si>
  <si>
    <t>Donna</t>
  </si>
  <si>
    <t>Tarmon</t>
  </si>
  <si>
    <t>876391898</t>
  </si>
  <si>
    <t>683089560</t>
  </si>
  <si>
    <t>Pross</t>
  </si>
  <si>
    <t>914833590</t>
  </si>
  <si>
    <t>1/30/2026</t>
  </si>
  <si>
    <t>685063060</t>
  </si>
  <si>
    <t>Loise</t>
  </si>
  <si>
    <t>Maina</t>
  </si>
  <si>
    <t>681883972</t>
  </si>
  <si>
    <t>681647925</t>
  </si>
  <si>
    <t>Siti</t>
  </si>
  <si>
    <t>Freedman</t>
  </si>
  <si>
    <t>386395185</t>
  </si>
  <si>
    <t>683720644</t>
  </si>
  <si>
    <t>Jon</t>
  </si>
  <si>
    <t>92801354</t>
  </si>
  <si>
    <t>167138801</t>
  </si>
  <si>
    <t>683534011</t>
  </si>
  <si>
    <t>John</t>
  </si>
  <si>
    <t>Fritz</t>
  </si>
  <si>
    <t>303162685</t>
  </si>
  <si>
    <t>1/29/2026</t>
  </si>
  <si>
    <t>684234107</t>
  </si>
  <si>
    <t>Elizabeth</t>
  </si>
  <si>
    <t>Zane</t>
  </si>
  <si>
    <t>260311117</t>
  </si>
  <si>
    <t>341203822</t>
  </si>
  <si>
    <t>683900706</t>
  </si>
  <si>
    <t>Karla</t>
  </si>
  <si>
    <t>Cutting</t>
  </si>
  <si>
    <t>783299133</t>
  </si>
  <si>
    <t>1/28/2026</t>
  </si>
  <si>
    <t>683497808</t>
  </si>
  <si>
    <t xml:space="preserve">Susan </t>
  </si>
  <si>
    <t>Belden</t>
  </si>
  <si>
    <t>998017756</t>
  </si>
  <si>
    <t>683899850</t>
  </si>
  <si>
    <t xml:space="preserve">William </t>
  </si>
  <si>
    <t>Custer</t>
  </si>
  <si>
    <t>571135014</t>
  </si>
  <si>
    <t>685799092</t>
  </si>
  <si>
    <t>Gloria</t>
  </si>
  <si>
    <t>Jacobs</t>
  </si>
  <si>
    <t>945678431</t>
  </si>
  <si>
    <t>683301317</t>
  </si>
  <si>
    <t xml:space="preserve">Ann </t>
  </si>
  <si>
    <t>Morgan</t>
  </si>
  <si>
    <t>459325166</t>
  </si>
  <si>
    <t>683317543</t>
  </si>
  <si>
    <t>Minnie</t>
  </si>
  <si>
    <t>Madden</t>
  </si>
  <si>
    <t>224153635</t>
  </si>
  <si>
    <t>683478651</t>
  </si>
  <si>
    <t>Tyrell</t>
  </si>
  <si>
    <t>Weaver</t>
  </si>
  <si>
    <t>698731916</t>
  </si>
  <si>
    <t>683275166</t>
  </si>
  <si>
    <t>Kevin</t>
  </si>
  <si>
    <t>Husemann</t>
  </si>
  <si>
    <t>310854872</t>
  </si>
  <si>
    <t>684004299</t>
  </si>
  <si>
    <t>Jean</t>
  </si>
  <si>
    <t>Harrell</t>
  </si>
  <si>
    <t>384431357</t>
  </si>
  <si>
    <t>685070366</t>
  </si>
  <si>
    <t>Martin</t>
  </si>
  <si>
    <t>Burman</t>
  </si>
  <si>
    <t>104547957</t>
  </si>
  <si>
    <t>683178395</t>
  </si>
  <si>
    <t>Abigail</t>
  </si>
  <si>
    <t>Duncan</t>
  </si>
  <si>
    <t>973153223</t>
  </si>
  <si>
    <t>686048826</t>
  </si>
  <si>
    <t>Francis</t>
  </si>
  <si>
    <t>Conroy</t>
  </si>
  <si>
    <t>Main Line Benefits - Anne Marie Kozacheck</t>
  </si>
  <si>
    <t>181914820</t>
  </si>
  <si>
    <t xml:space="preserve">$54.00 </t>
  </si>
  <si>
    <t>983602993</t>
  </si>
  <si>
    <t>685256667</t>
  </si>
  <si>
    <t>Breedy</t>
  </si>
  <si>
    <t>373547815</t>
  </si>
  <si>
    <t>685724727</t>
  </si>
  <si>
    <t>Katrin</t>
  </si>
  <si>
    <t>Urban</t>
  </si>
  <si>
    <t>914399180</t>
  </si>
  <si>
    <t>686037768</t>
  </si>
  <si>
    <t>Christopher</t>
  </si>
  <si>
    <t>Henderson</t>
  </si>
  <si>
    <t>622189582</t>
  </si>
  <si>
    <t>849810212</t>
  </si>
  <si>
    <t>685988551</t>
  </si>
  <si>
    <t>312209549</t>
  </si>
  <si>
    <t>453596467</t>
  </si>
  <si>
    <t>685993021</t>
  </si>
  <si>
    <t>Evangeline</t>
  </si>
  <si>
    <t>Mastromarino</t>
  </si>
  <si>
    <t>204103864</t>
  </si>
  <si>
    <t>685696048</t>
  </si>
  <si>
    <t>Teri</t>
  </si>
  <si>
    <t>648787978</t>
  </si>
  <si>
    <t>168352383</t>
  </si>
  <si>
    <t>397825233</t>
  </si>
  <si>
    <t xml:space="preserve">$97.00 </t>
  </si>
  <si>
    <t>55733973</t>
  </si>
  <si>
    <t>684234261</t>
  </si>
  <si>
    <t>Cornelio</t>
  </si>
  <si>
    <t>804164269</t>
  </si>
  <si>
    <t>NCD Value by MetLife - NY / CT</t>
  </si>
  <si>
    <t>683929409</t>
  </si>
  <si>
    <t>Lori</t>
  </si>
  <si>
    <t>Bottenfield</t>
  </si>
  <si>
    <t>Main Line Benefits LLC - Michelle McCorkle</t>
  </si>
  <si>
    <t>176713886</t>
  </si>
  <si>
    <t>685189992</t>
  </si>
  <si>
    <t>Stanley</t>
  </si>
  <si>
    <t>Dickson</t>
  </si>
  <si>
    <t>437400223</t>
  </si>
  <si>
    <t>1/18/2026</t>
  </si>
  <si>
    <t>683448864</t>
  </si>
  <si>
    <t>Scott</t>
  </si>
  <si>
    <t>Crump</t>
  </si>
  <si>
    <t>Main Line Benefits LLC-Pam Deaton Inc</t>
  </si>
  <si>
    <t>990327518</t>
  </si>
  <si>
    <t>679972196</t>
  </si>
  <si>
    <t>Jack</t>
  </si>
  <si>
    <t>Stein</t>
  </si>
  <si>
    <t>241002988</t>
  </si>
  <si>
    <t>NCD - Vision</t>
  </si>
  <si>
    <t xml:space="preserve">$48.00 </t>
  </si>
  <si>
    <t>26%</t>
  </si>
  <si>
    <t>694607964</t>
  </si>
  <si>
    <t>NCD Standard 3000 by MetLife</t>
  </si>
  <si>
    <t xml:space="preserve">$172.00 </t>
  </si>
  <si>
    <t>109514918</t>
  </si>
  <si>
    <t>REFUND</t>
  </si>
  <si>
    <t>Refund Reversal</t>
  </si>
  <si>
    <t>683120098</t>
  </si>
  <si>
    <t>Alycea</t>
  </si>
  <si>
    <t>Rivera</t>
  </si>
  <si>
    <t>232438202</t>
  </si>
  <si>
    <t>1/17/2026</t>
  </si>
  <si>
    <t>683659785</t>
  </si>
  <si>
    <t>Julie</t>
  </si>
  <si>
    <t>Bryant</t>
  </si>
  <si>
    <t>954518880</t>
  </si>
  <si>
    <t>686045048</t>
  </si>
  <si>
    <t>Rahwa</t>
  </si>
  <si>
    <t>Hagos</t>
  </si>
  <si>
    <t>689762261</t>
  </si>
  <si>
    <t>1/20/2026</t>
  </si>
  <si>
    <t>683124501</t>
  </si>
  <si>
    <t>Abrams</t>
  </si>
  <si>
    <t>528354958</t>
  </si>
  <si>
    <t>686029305</t>
  </si>
  <si>
    <t xml:space="preserve"> Shelli </t>
  </si>
  <si>
    <t xml:space="preserve"> Sheridan</t>
  </si>
  <si>
    <t>220207712</t>
  </si>
  <si>
    <t>683532101</t>
  </si>
  <si>
    <t>Amberly</t>
  </si>
  <si>
    <t>Litchfield</t>
  </si>
  <si>
    <t>478183816</t>
  </si>
  <si>
    <t>682580771</t>
  </si>
  <si>
    <t>Roxanne</t>
  </si>
  <si>
    <t>Hartrich</t>
  </si>
  <si>
    <t>538144779</t>
  </si>
  <si>
    <t xml:space="preserve">$95.00 </t>
  </si>
  <si>
    <t>387100933</t>
  </si>
  <si>
    <t>682581055</t>
  </si>
  <si>
    <t>Dziekonski</t>
  </si>
  <si>
    <t>379471379</t>
  </si>
  <si>
    <t>680314593</t>
  </si>
  <si>
    <t>Kenneth</t>
  </si>
  <si>
    <t>Johnson</t>
  </si>
  <si>
    <t>172575174</t>
  </si>
  <si>
    <t>NCD Standard 5000 by MetLife</t>
  </si>
  <si>
    <t xml:space="preserve">$212.00 </t>
  </si>
  <si>
    <t>684680721</t>
  </si>
  <si>
    <t xml:space="preserve">Jacob </t>
  </si>
  <si>
    <t>Moorhead</t>
  </si>
  <si>
    <t>760665662</t>
  </si>
  <si>
    <t>683124480</t>
  </si>
  <si>
    <t xml:space="preserve">Shane </t>
  </si>
  <si>
    <t>509666499</t>
  </si>
  <si>
    <t>681829783</t>
  </si>
  <si>
    <t>Lizanne</t>
  </si>
  <si>
    <t>Hayes</t>
  </si>
  <si>
    <t>438557821</t>
  </si>
  <si>
    <t>684087263</t>
  </si>
  <si>
    <t>Zhenhua</t>
  </si>
  <si>
    <t>Jiang</t>
  </si>
  <si>
    <t>389218592</t>
  </si>
  <si>
    <t>1/21/2026</t>
  </si>
  <si>
    <t>683463955</t>
  </si>
  <si>
    <t>Jose</t>
  </si>
  <si>
    <t>Manansala</t>
  </si>
  <si>
    <t>245268586</t>
  </si>
  <si>
    <t>1/22/2026</t>
  </si>
  <si>
    <t>683707400</t>
  </si>
  <si>
    <t>Fawn</t>
  </si>
  <si>
    <t>Taylor</t>
  </si>
  <si>
    <t>128182846</t>
  </si>
  <si>
    <t>1/27/2026</t>
  </si>
  <si>
    <t>685039695</t>
  </si>
  <si>
    <t>Myrna</t>
  </si>
  <si>
    <t>Farley</t>
  </si>
  <si>
    <t>82010293</t>
  </si>
  <si>
    <t>1/26/2026</t>
  </si>
  <si>
    <t>684143314</t>
  </si>
  <si>
    <t>Sarah</t>
  </si>
  <si>
    <t>Yoder</t>
  </si>
  <si>
    <t>537988210</t>
  </si>
  <si>
    <t>NCD Smile 1000 by MetLife</t>
  </si>
  <si>
    <t xml:space="preserve">$18.00 </t>
  </si>
  <si>
    <t>683168016</t>
  </si>
  <si>
    <t>Scarpulla</t>
  </si>
  <si>
    <t>524461911</t>
  </si>
  <si>
    <t>683013826</t>
  </si>
  <si>
    <t>Matthew</t>
  </si>
  <si>
    <t>Lowing</t>
  </si>
  <si>
    <t>676321759</t>
  </si>
  <si>
    <t>1/25/2026</t>
  </si>
  <si>
    <t>683887722</t>
  </si>
  <si>
    <t>Gary</t>
  </si>
  <si>
    <t>437691397</t>
  </si>
  <si>
    <t>1/24/2026</t>
  </si>
  <si>
    <t>684061797</t>
  </si>
  <si>
    <t>Calogero</t>
  </si>
  <si>
    <t>Interrante</t>
  </si>
  <si>
    <t>588549415</t>
  </si>
  <si>
    <t>1/23/2026</t>
  </si>
  <si>
    <t>685953624</t>
  </si>
  <si>
    <t>Lindsey</t>
  </si>
  <si>
    <t>Cleland</t>
  </si>
  <si>
    <t>151982465</t>
  </si>
  <si>
    <t>683654707</t>
  </si>
  <si>
    <t>Jean Francois</t>
  </si>
  <si>
    <t>Agbodjogbe</t>
  </si>
  <si>
    <t>230444946</t>
  </si>
  <si>
    <t>683602218</t>
  </si>
  <si>
    <t>Tyler</t>
  </si>
  <si>
    <t>Fortney</t>
  </si>
  <si>
    <t>498487989</t>
  </si>
  <si>
    <t>683877755</t>
  </si>
  <si>
    <t>Debbie</t>
  </si>
  <si>
    <t>Rice</t>
  </si>
  <si>
    <t>526763175</t>
  </si>
  <si>
    <t>684158179</t>
  </si>
  <si>
    <t>Arrich</t>
  </si>
  <si>
    <t>138655428</t>
  </si>
  <si>
    <t>686030670</t>
  </si>
  <si>
    <t>Urick</t>
  </si>
  <si>
    <t>556142794</t>
  </si>
  <si>
    <t>683828176</t>
  </si>
  <si>
    <t>Satya</t>
  </si>
  <si>
    <t>Southall</t>
  </si>
  <si>
    <t>896294214</t>
  </si>
  <si>
    <t>683478663</t>
  </si>
  <si>
    <t>Hollie</t>
  </si>
  <si>
    <t>Cacace</t>
  </si>
  <si>
    <t>536940641</t>
  </si>
  <si>
    <t>683498152</t>
  </si>
  <si>
    <t>Joshua</t>
  </si>
  <si>
    <t>Tutchton</t>
  </si>
  <si>
    <t>892393390</t>
  </si>
  <si>
    <t>762673318</t>
  </si>
  <si>
    <t>684613851</t>
  </si>
  <si>
    <t>Maria</t>
  </si>
  <si>
    <t>VonNordeck</t>
  </si>
  <si>
    <t>428096508</t>
  </si>
  <si>
    <t>795235089</t>
  </si>
  <si>
    <t>Renewal Subtotal</t>
  </si>
  <si>
    <t>GRAND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</si>
  <si>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</si>
  <si>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</si>
  <si>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</si>
  <si>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</si>
  <si>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</si>
  <si>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</si>
  <si>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</si>
  <si>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</si>
  <si>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</si>
  <si>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</si>
  <si>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</si>
  <si>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</si>
  <si>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Company</t>
  </si>
  <si>
    <t>Member State</t>
  </si>
  <si>
    <t>Member Agent Category</t>
  </si>
  <si>
    <t>Member Source Detail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</si>
  <si>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</si>
  <si>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</si>
  <si>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</si>
  <si>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</si>
  <si>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</si>
  <si>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</si>
  <si>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</si>
  <si>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</si>
  <si>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</si>
  <si>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</si>
  <si>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</si>
  <si>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</si>
  <si>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Payable ID</t>
  </si>
  <si>
    <t>Months Advanced</t>
  </si>
  <si>
    <t>Commissionable Amount_Original</t>
  </si>
  <si>
    <t>Total_Original</t>
  </si>
  <si>
    <t>Payout_Original</t>
  </si>
  <si>
    <t>Posted Date_Original</t>
  </si>
  <si>
    <t>2/1/2026</t>
  </si>
  <si>
    <t>COMM</t>
  </si>
  <si>
    <t>Product</t>
  </si>
  <si>
    <t>MD</t>
  </si>
  <si>
    <t>Field</t>
  </si>
  <si>
    <t>Monthly</t>
  </si>
  <si>
    <t>Dental</t>
  </si>
  <si>
    <t>MetLife</t>
  </si>
  <si>
    <t>2/20/2025</t>
  </si>
  <si>
    <t>3/1/2025</t>
  </si>
  <si>
    <t>11634205992</t>
  </si>
  <si>
    <t>ACH</t>
  </si>
  <si>
    <t>2/28/2026</t>
  </si>
  <si>
    <t>9/20/2024</t>
  </si>
  <si>
    <t>10/1/2024</t>
  </si>
  <si>
    <t>11634204428</t>
  </si>
  <si>
    <t>Vision</t>
  </si>
  <si>
    <t>VSP</t>
  </si>
  <si>
    <t>2/27/2024</t>
  </si>
  <si>
    <t>3/1/2024</t>
  </si>
  <si>
    <t>11634202995</t>
  </si>
  <si>
    <t>IL</t>
  </si>
  <si>
    <t>10/27/2025</t>
  </si>
  <si>
    <t>11/1/2025</t>
  </si>
  <si>
    <t>11634208241</t>
  </si>
  <si>
    <t>PA</t>
  </si>
  <si>
    <t>12/15/2025</t>
  </si>
  <si>
    <t>11630607909</t>
  </si>
  <si>
    <t>12/16/2024</t>
  </si>
  <si>
    <t>1/1/2025</t>
  </si>
  <si>
    <t>11630598793</t>
  </si>
  <si>
    <t>12/9/2025</t>
  </si>
  <si>
    <t>11645196559</t>
  </si>
  <si>
    <t>CC</t>
  </si>
  <si>
    <t>11/4/2025</t>
  </si>
  <si>
    <t>12/1/2025</t>
  </si>
  <si>
    <t>11645220184</t>
  </si>
  <si>
    <t>11645219179</t>
  </si>
  <si>
    <t>12/10/2025</t>
  </si>
  <si>
    <t>11645219431</t>
  </si>
  <si>
    <t>FL</t>
  </si>
  <si>
    <t>10/30/2025</t>
  </si>
  <si>
    <t>11645316812</t>
  </si>
  <si>
    <t>9/30/2024</t>
  </si>
  <si>
    <t>11648177128</t>
  </si>
  <si>
    <t>8/26/2025</t>
  </si>
  <si>
    <t>10/1/2025</t>
  </si>
  <si>
    <t>11645262430</t>
  </si>
  <si>
    <t>7/31/2025</t>
  </si>
  <si>
    <t>8/1/2025</t>
  </si>
  <si>
    <t>11645256275</t>
  </si>
  <si>
    <t>11645256541</t>
  </si>
  <si>
    <t>7/30/2025</t>
  </si>
  <si>
    <t>11645158161</t>
  </si>
  <si>
    <t>10/31/2023</t>
  </si>
  <si>
    <t>11/1/2023</t>
  </si>
  <si>
    <t>11645119310</t>
  </si>
  <si>
    <t>10/31/2025</t>
  </si>
  <si>
    <t>11645117494</t>
  </si>
  <si>
    <t>1/1/2027</t>
  </si>
  <si>
    <t>1/31/2027</t>
  </si>
  <si>
    <t>12/2/2024</t>
  </si>
  <si>
    <t>11628122884</t>
  </si>
  <si>
    <t>3/24/2025</t>
  </si>
  <si>
    <t>4/1/2025</t>
  </si>
  <si>
    <t>11625135874</t>
  </si>
  <si>
    <t>10/23/2024</t>
  </si>
  <si>
    <t>11/1/2024</t>
  </si>
  <si>
    <t>11620784309</t>
  </si>
  <si>
    <t>1/22/2025</t>
  </si>
  <si>
    <t>2/1/2025</t>
  </si>
  <si>
    <t>11616948657</t>
  </si>
  <si>
    <t>11/22/2024</t>
  </si>
  <si>
    <t>12/1/2024</t>
  </si>
  <si>
    <t>11616947878</t>
  </si>
  <si>
    <t>11616948508</t>
  </si>
  <si>
    <t>11/17/2025</t>
  </si>
  <si>
    <t>11637673002</t>
  </si>
  <si>
    <t>10/28/2024</t>
  </si>
  <si>
    <t>11637649674</t>
  </si>
  <si>
    <t>10/31/2024</t>
  </si>
  <si>
    <t>11637650008</t>
  </si>
  <si>
    <t>11/19/2024</t>
  </si>
  <si>
    <t>11637651965</t>
  </si>
  <si>
    <t>2/11/2025</t>
  </si>
  <si>
    <t>11637657684</t>
  </si>
  <si>
    <t>11/6/2025</t>
  </si>
  <si>
    <t>NY</t>
  </si>
  <si>
    <t>11617843761</t>
  </si>
  <si>
    <t>1/28/2025</t>
  </si>
  <si>
    <t>11637690566</t>
  </si>
  <si>
    <t>12/27/2024</t>
  </si>
  <si>
    <t>11634198094</t>
  </si>
  <si>
    <t>7/26/2025</t>
  </si>
  <si>
    <t>11630594069</t>
  </si>
  <si>
    <t>11630598340</t>
  </si>
  <si>
    <t>12/1/2026</t>
  </si>
  <si>
    <t>12/31/2026</t>
  </si>
  <si>
    <t>9/26/2024</t>
  </si>
  <si>
    <t>11630591620</t>
  </si>
  <si>
    <t>8/21/2024</t>
  </si>
  <si>
    <t>9/1/2024</t>
  </si>
  <si>
    <t>11613241264</t>
  </si>
  <si>
    <t>1/20/2025</t>
  </si>
  <si>
    <t>11609424713</t>
  </si>
  <si>
    <t>2/19/2025</t>
  </si>
  <si>
    <t>11605989555</t>
  </si>
  <si>
    <t>WI</t>
  </si>
  <si>
    <t>12/4/2025</t>
  </si>
  <si>
    <t>11596126333</t>
  </si>
  <si>
    <t>11596107791</t>
  </si>
  <si>
    <t>12/10/2024</t>
  </si>
  <si>
    <t>11596107244</t>
  </si>
  <si>
    <t>1/17/2025</t>
  </si>
  <si>
    <t>11600533130</t>
  </si>
  <si>
    <t>3/7/2025</t>
  </si>
  <si>
    <t>11600534132</t>
  </si>
  <si>
    <t>6/1/2026</t>
  </si>
  <si>
    <t>6/30/2026</t>
  </si>
  <si>
    <t>12/14/2025</t>
  </si>
  <si>
    <t>11620777361</t>
  </si>
  <si>
    <t>1/15/2025</t>
  </si>
  <si>
    <t>11620912585</t>
  </si>
  <si>
    <t>11616940189</t>
  </si>
  <si>
    <t>11616940312</t>
  </si>
  <si>
    <t>11/15/2024</t>
  </si>
  <si>
    <t>11591034045</t>
  </si>
  <si>
    <t>2/21/2025</t>
  </si>
  <si>
    <t>11613238711</t>
  </si>
  <si>
    <t>12/7/2023</t>
  </si>
  <si>
    <t>1/1/2024</t>
  </si>
  <si>
    <t>11609407675</t>
  </si>
  <si>
    <t>11609501176</t>
  </si>
  <si>
    <t>GA</t>
  </si>
  <si>
    <t>8/18/2025</t>
  </si>
  <si>
    <t>9/1/2025</t>
  </si>
  <si>
    <t>11603512414</t>
  </si>
  <si>
    <t>11/14/2024</t>
  </si>
  <si>
    <t>11586551073</t>
  </si>
  <si>
    <t>NJ</t>
  </si>
  <si>
    <t>10/18/2022</t>
  </si>
  <si>
    <t>12/1/2022</t>
  </si>
  <si>
    <t>11603499467</t>
  </si>
  <si>
    <t>5/29/2024</t>
  </si>
  <si>
    <t>7/1/2024</t>
  </si>
  <si>
    <t>8/1/2027</t>
  </si>
  <si>
    <t>8/31/2027</t>
  </si>
  <si>
    <t>11564922428</t>
  </si>
  <si>
    <t>9/16/2024</t>
  </si>
  <si>
    <t>11600514675</t>
  </si>
  <si>
    <t>12/17/2024</t>
  </si>
  <si>
    <t>11600516625</t>
  </si>
  <si>
    <t>9/17/2024</t>
  </si>
  <si>
    <t>11600515108</t>
  </si>
  <si>
    <t>11600514975</t>
  </si>
  <si>
    <t>12/13/2025</t>
  </si>
  <si>
    <t>11582619123</t>
  </si>
  <si>
    <t>11568201477</t>
  </si>
  <si>
    <t>5/9/2024</t>
  </si>
  <si>
    <t>6/1/2024</t>
  </si>
  <si>
    <t>11568199796</t>
  </si>
  <si>
    <t>11568199839</t>
  </si>
  <si>
    <t>VA</t>
  </si>
  <si>
    <t>5/18/2024</t>
  </si>
  <si>
    <t>11568212552</t>
  </si>
  <si>
    <t>7/1/2027</t>
  </si>
  <si>
    <t>7/31/2027</t>
  </si>
  <si>
    <t>6/10/2025</t>
  </si>
  <si>
    <t>7/1/2025</t>
  </si>
  <si>
    <t>11575992854</t>
  </si>
  <si>
    <t>9/10/2024</t>
  </si>
  <si>
    <t>11572769633</t>
  </si>
  <si>
    <t>11572769682</t>
  </si>
  <si>
    <t>8/12/2024</t>
  </si>
  <si>
    <t>11578742189</t>
  </si>
  <si>
    <t>3/3/2025</t>
  </si>
  <si>
    <t>11591018030</t>
  </si>
  <si>
    <t>11578734584</t>
  </si>
  <si>
    <t>12/11/2025</t>
  </si>
  <si>
    <t>11578737909</t>
  </si>
  <si>
    <t>8/4/2025</t>
  </si>
  <si>
    <t>11563882964</t>
  </si>
  <si>
    <t>4/8/2024</t>
  </si>
  <si>
    <t>5/1/2024</t>
  </si>
  <si>
    <t>11563880883</t>
  </si>
  <si>
    <t>DC</t>
  </si>
  <si>
    <t>11/14/2025</t>
  </si>
  <si>
    <t>11586554499</t>
  </si>
  <si>
    <t>TX</t>
  </si>
  <si>
    <t>7/18/2024</t>
  </si>
  <si>
    <t>8/1/2024</t>
  </si>
  <si>
    <t>5DFC6C33E703FBF05EE1A2D820CC47CA</t>
  </si>
  <si>
    <t>12/9/2024</t>
  </si>
  <si>
    <t>11582610036</t>
  </si>
  <si>
    <t>11582613735</t>
  </si>
  <si>
    <t>11/12/2024</t>
  </si>
  <si>
    <t>11578727434</t>
  </si>
  <si>
    <t>12/11/2024</t>
  </si>
  <si>
    <t>11575985498</t>
  </si>
  <si>
    <t>2/7/2025</t>
  </si>
  <si>
    <t>11560150028</t>
  </si>
  <si>
    <t>4/7/2025</t>
  </si>
  <si>
    <t>5/1/2025</t>
  </si>
  <si>
    <t>11560157220</t>
  </si>
  <si>
    <t>11558916052</t>
  </si>
  <si>
    <t>9/6/2024</t>
  </si>
  <si>
    <t>11556398620</t>
  </si>
  <si>
    <t>11572755695</t>
  </si>
  <si>
    <t>12/4/2024</t>
  </si>
  <si>
    <t>11552306380</t>
  </si>
  <si>
    <t>10/9/2024</t>
  </si>
  <si>
    <t>11568188220</t>
  </si>
  <si>
    <t>7/3/2025</t>
  </si>
  <si>
    <t>11568302167</t>
  </si>
  <si>
    <t>11549467833</t>
  </si>
  <si>
    <t>11/2/2025</t>
  </si>
  <si>
    <t>11541476080</t>
  </si>
  <si>
    <t>12/1/2023</t>
  </si>
  <si>
    <t>11537206408</t>
  </si>
  <si>
    <t>11/10/2023</t>
  </si>
  <si>
    <t>11537204175</t>
  </si>
  <si>
    <t>11537221512</t>
  </si>
  <si>
    <t>DE</t>
  </si>
  <si>
    <t>8/7/2025</t>
  </si>
  <si>
    <t>11560150634</t>
  </si>
  <si>
    <t>11560142244</t>
  </si>
  <si>
    <t>2/1/2024</t>
  </si>
  <si>
    <t>11537189413</t>
  </si>
  <si>
    <t>NC</t>
  </si>
  <si>
    <t>10/5/2023</t>
  </si>
  <si>
    <t>11552283078</t>
  </si>
  <si>
    <t>12/5/2024</t>
  </si>
  <si>
    <t>11552284865</t>
  </si>
  <si>
    <t>9/30/2025</t>
  </si>
  <si>
    <t>11529550689</t>
  </si>
  <si>
    <t>10/7/2025</t>
  </si>
  <si>
    <t>11529551645</t>
  </si>
  <si>
    <t>11529544989</t>
  </si>
  <si>
    <t>8/8/2025</t>
  </si>
  <si>
    <t>11529546045</t>
  </si>
  <si>
    <t>8/9/2024</t>
  </si>
  <si>
    <t>11529519105</t>
  </si>
  <si>
    <t>7/31/2024</t>
  </si>
  <si>
    <t>11529518934</t>
  </si>
  <si>
    <t>11529519993</t>
  </si>
  <si>
    <t>11/13/2023</t>
  </si>
  <si>
    <t>11529517050</t>
  </si>
  <si>
    <t>4/19/2024</t>
  </si>
  <si>
    <t>12/31/2024</t>
  </si>
  <si>
    <t>11529528216</t>
  </si>
  <si>
    <t>10/30/2024</t>
  </si>
  <si>
    <t>11529522909</t>
  </si>
  <si>
    <t>8/6/2024</t>
  </si>
  <si>
    <t>11529522659</t>
  </si>
  <si>
    <t>11529526552</t>
  </si>
  <si>
    <t>10/4/2024</t>
  </si>
  <si>
    <t>11549457764</t>
  </si>
  <si>
    <t>11/21/2025</t>
  </si>
  <si>
    <t>11529561309</t>
  </si>
  <si>
    <t>2/3/2025</t>
  </si>
  <si>
    <t>11546442367</t>
  </si>
  <si>
    <t>10/3/2024</t>
  </si>
  <si>
    <t>11547314188</t>
  </si>
  <si>
    <t>11547324023</t>
  </si>
  <si>
    <t>10/29/2025</t>
  </si>
  <si>
    <t>11525814941</t>
  </si>
  <si>
    <t>11/29/2023</t>
  </si>
  <si>
    <t>11525803994</t>
  </si>
  <si>
    <t>11525803857</t>
  </si>
  <si>
    <t>9/29/2025</t>
  </si>
  <si>
    <t>11525868051</t>
  </si>
  <si>
    <t>2/12/2024</t>
  </si>
  <si>
    <t>11525861744</t>
  </si>
  <si>
    <t>4/2/2025</t>
  </si>
  <si>
    <t>11541437383</t>
  </si>
  <si>
    <t>11541446914</t>
  </si>
  <si>
    <t>11520298708</t>
  </si>
  <si>
    <t>11516347837</t>
  </si>
  <si>
    <t>11520288105</t>
  </si>
  <si>
    <t>11520292486</t>
  </si>
  <si>
    <t>11520284113</t>
  </si>
  <si>
    <t>11523242197</t>
  </si>
  <si>
    <t>5/28/2025</t>
  </si>
  <si>
    <t>6/1/2025</t>
  </si>
  <si>
    <t>11523251403</t>
  </si>
  <si>
    <t>Nasandelger</t>
  </si>
  <si>
    <t>Zana</t>
  </si>
  <si>
    <t>Main Line Benefits LLC-Nasandelger Zana</t>
  </si>
  <si>
    <t>Jon Charles</t>
  </si>
  <si>
    <t>Edlawit</t>
  </si>
  <si>
    <t>Tesfaye</t>
  </si>
  <si>
    <t>Stephan</t>
  </si>
  <si>
    <t>Dagovitz</t>
  </si>
  <si>
    <t>Main Line Benefits LLC-Robert Shapiro</t>
  </si>
  <si>
    <t>NCD Elite 3000 by MetLife</t>
  </si>
  <si>
    <t>5/1/2026</t>
  </si>
  <si>
    <t>Hunt</t>
  </si>
  <si>
    <t>6/1/2027</t>
  </si>
  <si>
    <t>Ashleigh</t>
  </si>
  <si>
    <t>Lagreco</t>
  </si>
  <si>
    <t xml:space="preserve">Monica </t>
  </si>
  <si>
    <t>11/1/2026</t>
  </si>
  <si>
    <t>Barbara</t>
  </si>
  <si>
    <t>Mason-Jonas</t>
  </si>
  <si>
    <t>Paul</t>
  </si>
  <si>
    <t>Petar</t>
  </si>
  <si>
    <t>Erceg</t>
  </si>
  <si>
    <t>4/1/2026</t>
  </si>
  <si>
    <t>MALLORY</t>
  </si>
  <si>
    <t>DAMON</t>
  </si>
  <si>
    <t>KS</t>
  </si>
  <si>
    <t>Main Line Benefits LLC-Heidi Berthelsen</t>
  </si>
  <si>
    <t>5/1/2027</t>
  </si>
  <si>
    <t>MetLife Dental</t>
  </si>
  <si>
    <t>Metlife Vision</t>
  </si>
  <si>
    <t>NCD MetLife -24%</t>
  </si>
  <si>
    <t>NCD override</t>
  </si>
  <si>
    <t>NCD - Dental $3,000</t>
  </si>
  <si>
    <t>THOMAS  KUCAN</t>
  </si>
  <si>
    <t>ADAM  RICHTER</t>
  </si>
  <si>
    <t>RICARDO  SANTOS</t>
  </si>
  <si>
    <t>ANNE MARIE  KOZACHECK</t>
  </si>
  <si>
    <t>CAROL  FOLEY</t>
  </si>
  <si>
    <t>MAIN LINE  BENEFITS</t>
  </si>
  <si>
    <t>ALISON  LUSE</t>
  </si>
  <si>
    <t>JARED  KINYUA</t>
  </si>
  <si>
    <t>FRANK  LISKOVEC</t>
  </si>
  <si>
    <t>CATHY LEMON</t>
  </si>
  <si>
    <t>CAROLYN WILSON SMITH</t>
  </si>
  <si>
    <t>MICHELLE  MCCORKLE</t>
  </si>
  <si>
    <t>PAMELA  DEATON</t>
  </si>
  <si>
    <t>JASON  HOFFMANN</t>
  </si>
  <si>
    <t>KIRK  TIGUE</t>
  </si>
  <si>
    <t>GARY  PORTUGAL</t>
  </si>
  <si>
    <t>WILLIAM  SCHAEFFER</t>
  </si>
  <si>
    <t>MATTHEW  DAUGHERTY</t>
  </si>
  <si>
    <t>MICHAEL  DUNAVANT</t>
  </si>
  <si>
    <t>MARGARET FINNEGAN</t>
  </si>
  <si>
    <t>AIDAN  BARBER</t>
  </si>
  <si>
    <t>NASANDELGER  ZANA</t>
  </si>
  <si>
    <t>ROBERT  SHAPIRO</t>
  </si>
  <si>
    <t>HEIDI  BERTHELSEN</t>
  </si>
  <si>
    <t>19200754AV6</t>
  </si>
  <si>
    <t>19278370old</t>
  </si>
  <si>
    <t>16202925AV6</t>
  </si>
  <si>
    <t>9254978AV6</t>
  </si>
  <si>
    <t>19279958old</t>
  </si>
  <si>
    <t>17425766OLD</t>
  </si>
  <si>
    <t>18710070N</t>
  </si>
  <si>
    <t>9254978N</t>
  </si>
  <si>
    <t>19279958AV6</t>
  </si>
  <si>
    <t>7565575AV6old</t>
  </si>
  <si>
    <t>8814784AV6</t>
  </si>
  <si>
    <t>19617796AV6</t>
  </si>
  <si>
    <t>21421111AV6</t>
  </si>
  <si>
    <t>NB</t>
  </si>
  <si>
    <t>AV</t>
  </si>
  <si>
    <t>AV1</t>
  </si>
  <si>
    <t>RN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</si>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</sst>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3764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A8406"/>
        <bgColor rgb="FFFA840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1" xfId="0" applyFill="1" applyBorder="1"/>
    <xf numFmtId="0" fontId="6" fillId="5" borderId="2" xfId="0" applyFont="1" applyFill="1" applyBorder="1"/>
    <xf numFmtId="164" fontId="7" fillId="8" borderId="2" xfId="0" applyNumberFormat="1" applyFont="1" applyFill="1" applyBorder="1"/>
    <xf numFmtId="0" fontId="6" fillId="7" borderId="2" xfId="0" applyFont="1" applyFill="1" applyBorder="1"/>
    <xf numFmtId="0" fontId="1" fillId="4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0" fontId="1" fillId="0" borderId="0" xfId="0" applyFont="1"/>
    <xf numFmtId="164" fontId="0" fillId="0" borderId="0" xfId="0" applyNumberFormat="1"/>
    <xf numFmtId="0" fontId="4" fillId="5" borderId="0" xfId="0" applyFont="1" applyFill="1" applyAlignment="1">
      <alignment horizontal="center"/>
    </xf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8" fillId="0" borderId="0" xfId="0" applyFont="1"/>
    <xf numFmtId="0" fontId="8" fillId="9" borderId="0" xfId="0" applyFont="1" applyFill="1"/>
    <xf numFmtId="0" fontId="8" fillId="9" borderId="0" xfId="0" applyNumberFormat="1" applyFont="1" applyFill="1" applyAlignment="1">
      <alignment horizontal="left"/>
    </xf>
    <xf numFmtId="0" fontId="8" fillId="9" borderId="0" xfId="0" applyFont="1" applyFill="1" applyAlignment="1">
      <alignment horizontal="left"/>
    </xf>
    <xf numFmtId="164" fontId="8" fillId="9" borderId="0" xfId="0" applyNumberFormat="1" applyFont="1" applyFill="1" applyAlignment="1">
      <alignment horizontal="left"/>
    </xf>
    <xf numFmtId="9" fontId="8" fillId="9" borderId="0" xfId="0" applyNumberFormat="1" applyFont="1" applyFill="1" applyAlignment="1">
      <alignment horizontal="left"/>
    </xf>
    <xf numFmtId="164" fontId="8" fillId="9" borderId="0" xfId="0" applyNumberFormat="1" applyFont="1" applyFill="1"/>
    <xf numFmtId="0" fontId="0" fillId="9" borderId="0" xfId="0" applyFill="1"/>
    <xf numFmtId="0" fontId="0" fillId="9" borderId="0" xfId="0" applyNumberFormat="1" applyFill="1" applyAlignment="1">
      <alignment horizontal="left"/>
    </xf>
    <xf numFmtId="0" fontId="0" fillId="9" borderId="0" xfId="0" applyFill="1" applyAlignment="1">
      <alignment horizontal="left"/>
    </xf>
    <xf numFmtId="164" fontId="0" fillId="9" borderId="0" xfId="0" applyNumberFormat="1" applyFill="1" applyAlignment="1">
      <alignment horizontal="left"/>
    </xf>
    <xf numFmtId="9" fontId="0" fillId="9" borderId="0" xfId="0" applyNumberFormat="1" applyFill="1" applyAlignment="1">
      <alignment horizontal="left"/>
    </xf>
    <xf numFmtId="164" fontId="0" fillId="9" borderId="0" xfId="0" applyNumberFormat="1" applyFill="1"/>
    <xf numFmtId="0" fontId="0" fillId="10" borderId="0" xfId="0" applyFill="1"/>
    <xf numFmtId="0" fontId="0" fillId="10" borderId="0" xfId="0" applyNumberFormat="1" applyFill="1" applyAlignment="1">
      <alignment horizontal="left"/>
    </xf>
    <xf numFmtId="0" fontId="0" fillId="10" borderId="0" xfId="0" applyFill="1" applyAlignment="1">
      <alignment horizontal="left"/>
    </xf>
    <xf numFmtId="164" fontId="0" fillId="10" borderId="0" xfId="0" applyNumberFormat="1" applyFill="1" applyAlignment="1">
      <alignment horizontal="left"/>
    </xf>
    <xf numFmtId="9" fontId="0" fillId="10" borderId="0" xfId="0" applyNumberFormat="1" applyFill="1" applyAlignment="1">
      <alignment horizontal="left"/>
    </xf>
    <xf numFmtId="164" fontId="0" fillId="10" borderId="0" xfId="0" applyNumberFormat="1" applyFill="1"/>
    <xf numFmtId="0" fontId="0" fillId="0" borderId="0" xfId="0" applyFill="1"/>
    <xf numFmtId="0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left"/>
    </xf>
    <xf numFmtId="9" fontId="0" fillId="0" borderId="0" xfId="0" applyNumberFormat="1" applyFill="1" applyAlignment="1">
      <alignment horizontal="left"/>
    </xf>
    <xf numFmtId="164" fontId="0" fillId="0" borderId="0" xfId="0" applyNumberFormat="1" applyFill="1"/>
    <xf numFmtId="0" fontId="9" fillId="9" borderId="0" xfId="0" applyFont="1" applyFill="1"/>
    <xf numFmtId="0" fontId="9" fillId="9" borderId="0" xfId="0" applyNumberFormat="1" applyFont="1" applyFill="1" applyAlignment="1">
      <alignment horizontal="left"/>
    </xf>
    <xf numFmtId="0" fontId="9" fillId="9" borderId="0" xfId="0" applyFont="1" applyFill="1" applyAlignment="1">
      <alignment horizontal="left"/>
    </xf>
    <xf numFmtId="164" fontId="9" fillId="9" borderId="0" xfId="0" applyNumberFormat="1" applyFont="1" applyFill="1" applyAlignment="1">
      <alignment horizontal="left"/>
    </xf>
    <xf numFmtId="9" fontId="9" fillId="9" borderId="0" xfId="0" applyNumberFormat="1" applyFont="1" applyFill="1" applyAlignment="1">
      <alignment horizontal="left"/>
    </xf>
    <xf numFmtId="164" fontId="9" fillId="9" borderId="0" xfId="0" applyNumberFormat="1" applyFont="1" applyFill="1"/>
    <xf numFmtId="0" fontId="9" fillId="0" borderId="0" xfId="0" applyFont="1"/>
    <xf numFmtId="0" fontId="0" fillId="11" borderId="0" xfId="0" applyFill="1"/>
    <xf numFmtId="0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164" fontId="0" fillId="11" borderId="0" xfId="0" applyNumberFormat="1" applyFill="1" applyAlignment="1">
      <alignment horizontal="left"/>
    </xf>
    <xf numFmtId="9" fontId="0" fillId="11" borderId="0" xfId="0" applyNumberFormat="1" applyFill="1" applyAlignment="1">
      <alignment horizontal="left"/>
    </xf>
    <xf numFmtId="164" fontId="0" fillId="11" borderId="0" xfId="0" applyNumberFormat="1" applyFill="1"/>
    <xf numFmtId="0" fontId="9" fillId="11" borderId="0" xfId="0" applyFont="1" applyFill="1"/>
    <xf numFmtId="0" fontId="9" fillId="11" borderId="0" xfId="0" applyNumberFormat="1" applyFont="1" applyFill="1" applyAlignment="1">
      <alignment horizontal="left"/>
    </xf>
    <xf numFmtId="0" fontId="9" fillId="11" borderId="0" xfId="0" applyFont="1" applyFill="1" applyAlignment="1">
      <alignment horizontal="left"/>
    </xf>
    <xf numFmtId="164" fontId="9" fillId="11" borderId="0" xfId="0" applyNumberFormat="1" applyFont="1" applyFill="1" applyAlignment="1">
      <alignment horizontal="left"/>
    </xf>
    <xf numFmtId="9" fontId="9" fillId="11" borderId="0" xfId="0" applyNumberFormat="1" applyFont="1" applyFill="1" applyAlignment="1">
      <alignment horizontal="left"/>
    </xf>
    <xf numFmtId="164" fontId="9" fillId="11" borderId="0" xfId="0" applyNumberFormat="1" applyFont="1" applyFill="1"/>
    <xf numFmtId="0" fontId="8" fillId="0" borderId="0" xfId="0" applyFont="1" applyFill="1"/>
    <xf numFmtId="0" fontId="8" fillId="0" borderId="0" xfId="0" applyNumberFormat="1" applyFont="1" applyFill="1" applyAlignment="1">
      <alignment horizontal="left"/>
    </xf>
    <xf numFmtId="0" fontId="8" fillId="0" borderId="0" xfId="0" applyFont="1" applyFill="1" applyAlignment="1">
      <alignment horizontal="left"/>
    </xf>
    <xf numFmtId="164" fontId="8" fillId="0" borderId="0" xfId="0" applyNumberFormat="1" applyFont="1" applyFill="1" applyAlignment="1">
      <alignment horizontal="left"/>
    </xf>
    <xf numFmtId="9" fontId="8" fillId="0" borderId="0" xfId="0" applyNumberFormat="1" applyFont="1" applyFill="1" applyAlignment="1">
      <alignment horizontal="left"/>
    </xf>
    <xf numFmtId="164" fontId="8" fillId="0" borderId="0" xfId="0" applyNumberFormat="1" applyFont="1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74"/>
  <sheetViews>
    <sheetView workbookViewId="0"/>
  </sheetViews>
  <sheetFormatPr defaultRowHeight="15" x14ac:dyDescent="0.25"/>
  <cols>
    <col min="1" max="15" width="15" customWidth="1"/>
    <col min="17" max="49" width="13" hidden="1" customWidth="1"/>
  </cols>
  <sheetData>
    <row r="1" spans="1:15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" x14ac:dyDescent="0.35">
      <c r="A5" s="4"/>
      <c r="B5" s="4"/>
      <c r="C5" s="5" t="s">
        <v>4</v>
      </c>
      <c r="D5" s="6">
        <v>1608.63</v>
      </c>
      <c r="E5" s="7" t="s">
        <v>5</v>
      </c>
      <c r="F5" s="6">
        <v>1608.63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</row>
    <row r="11" spans="1:15" ht="15.75" x14ac:dyDescent="0.25">
      <c r="A11" s="15" t="s">
        <v>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t="s">
        <v>4</v>
      </c>
      <c r="B12" t="s">
        <v>22</v>
      </c>
      <c r="C12" t="s">
        <v>23</v>
      </c>
      <c r="D12" t="s">
        <v>24</v>
      </c>
      <c r="E12">
        <v>678726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M12" t="s">
        <v>31</v>
      </c>
      <c r="N12">
        <v>8</v>
      </c>
      <c r="O12" t="s">
        <v>32</v>
      </c>
    </row>
    <row r="13" spans="1:15" x14ac:dyDescent="0.25">
      <c r="A13" t="s">
        <v>4</v>
      </c>
      <c r="B13" t="s">
        <v>33</v>
      </c>
      <c r="C13" t="s">
        <v>34</v>
      </c>
      <c r="D13" t="s">
        <v>35</v>
      </c>
      <c r="E13">
        <v>757929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30</v>
      </c>
      <c r="M13" t="s">
        <v>41</v>
      </c>
      <c r="N13">
        <v>44.4</v>
      </c>
      <c r="O13" t="s">
        <v>42</v>
      </c>
    </row>
    <row r="14" spans="1:15" x14ac:dyDescent="0.25">
      <c r="A14" t="s">
        <v>4</v>
      </c>
      <c r="B14" t="s">
        <v>43</v>
      </c>
      <c r="C14" t="s">
        <v>44</v>
      </c>
      <c r="D14" t="s">
        <v>45</v>
      </c>
      <c r="E14">
        <v>678726</v>
      </c>
      <c r="F14" t="s">
        <v>25</v>
      </c>
      <c r="G14" t="s">
        <v>46</v>
      </c>
      <c r="H14" t="s">
        <v>27</v>
      </c>
      <c r="I14" t="s">
        <v>28</v>
      </c>
      <c r="J14" t="s">
        <v>47</v>
      </c>
      <c r="K14" t="s">
        <v>30</v>
      </c>
      <c r="M14" t="s">
        <v>31</v>
      </c>
      <c r="N14">
        <v>8</v>
      </c>
      <c r="O14" t="s">
        <v>32</v>
      </c>
    </row>
    <row r="15" spans="1:15" x14ac:dyDescent="0.25">
      <c r="A15" t="s">
        <v>4</v>
      </c>
      <c r="B15" t="s">
        <v>48</v>
      </c>
      <c r="C15" t="s">
        <v>49</v>
      </c>
      <c r="D15" t="s">
        <v>50</v>
      </c>
      <c r="E15">
        <v>678726</v>
      </c>
      <c r="F15" t="s">
        <v>25</v>
      </c>
      <c r="G15" t="s">
        <v>51</v>
      </c>
      <c r="H15" t="s">
        <v>52</v>
      </c>
      <c r="I15" t="s">
        <v>28</v>
      </c>
      <c r="J15" t="s">
        <v>47</v>
      </c>
      <c r="K15" t="s">
        <v>30</v>
      </c>
      <c r="M15" t="s">
        <v>53</v>
      </c>
      <c r="N15">
        <v>4.07</v>
      </c>
      <c r="O15" t="s">
        <v>54</v>
      </c>
    </row>
    <row r="16" spans="1:15" x14ac:dyDescent="0.25">
      <c r="A16" t="s">
        <v>4</v>
      </c>
      <c r="B16" t="s">
        <v>48</v>
      </c>
      <c r="C16" t="s">
        <v>49</v>
      </c>
      <c r="D16" t="s">
        <v>50</v>
      </c>
      <c r="E16">
        <v>678726</v>
      </c>
      <c r="F16" t="s">
        <v>25</v>
      </c>
      <c r="G16" t="s">
        <v>55</v>
      </c>
      <c r="H16" t="s">
        <v>27</v>
      </c>
      <c r="I16" t="s">
        <v>28</v>
      </c>
      <c r="J16" t="s">
        <v>47</v>
      </c>
      <c r="K16" t="s">
        <v>30</v>
      </c>
      <c r="M16" t="s">
        <v>31</v>
      </c>
      <c r="N16">
        <v>8</v>
      </c>
      <c r="O16" t="s">
        <v>32</v>
      </c>
    </row>
    <row r="17" spans="1:15" x14ac:dyDescent="0.25">
      <c r="A17" t="s">
        <v>4</v>
      </c>
      <c r="B17" t="s">
        <v>56</v>
      </c>
      <c r="C17" t="s">
        <v>57</v>
      </c>
      <c r="D17" t="s">
        <v>58</v>
      </c>
      <c r="E17">
        <v>798992</v>
      </c>
      <c r="F17" t="s">
        <v>59</v>
      </c>
      <c r="G17" t="s">
        <v>60</v>
      </c>
      <c r="H17" t="s">
        <v>52</v>
      </c>
      <c r="I17" t="s">
        <v>28</v>
      </c>
      <c r="J17" t="s">
        <v>47</v>
      </c>
      <c r="K17" t="s">
        <v>30</v>
      </c>
      <c r="M17" t="s">
        <v>53</v>
      </c>
      <c r="N17">
        <v>4.07</v>
      </c>
      <c r="O17" t="s">
        <v>54</v>
      </c>
    </row>
    <row r="18" spans="1:15" x14ac:dyDescent="0.25">
      <c r="A18" t="s">
        <v>4</v>
      </c>
      <c r="B18" t="s">
        <v>61</v>
      </c>
      <c r="C18" t="s">
        <v>62</v>
      </c>
      <c r="D18" t="s">
        <v>63</v>
      </c>
      <c r="E18">
        <v>798992</v>
      </c>
      <c r="F18" t="s">
        <v>59</v>
      </c>
      <c r="G18" t="s">
        <v>64</v>
      </c>
      <c r="H18" t="s">
        <v>52</v>
      </c>
      <c r="I18" t="s">
        <v>28</v>
      </c>
      <c r="J18" t="s">
        <v>65</v>
      </c>
      <c r="K18" t="s">
        <v>30</v>
      </c>
      <c r="M18" t="s">
        <v>53</v>
      </c>
      <c r="N18">
        <v>4.07</v>
      </c>
      <c r="O18" t="s">
        <v>54</v>
      </c>
    </row>
    <row r="19" spans="1:15" x14ac:dyDescent="0.25">
      <c r="A19" t="s">
        <v>4</v>
      </c>
      <c r="B19" t="s">
        <v>61</v>
      </c>
      <c r="C19" t="s">
        <v>62</v>
      </c>
      <c r="D19" t="s">
        <v>63</v>
      </c>
      <c r="E19">
        <v>798992</v>
      </c>
      <c r="F19" t="s">
        <v>59</v>
      </c>
      <c r="G19" t="s">
        <v>66</v>
      </c>
      <c r="H19" t="s">
        <v>27</v>
      </c>
      <c r="I19" t="s">
        <v>28</v>
      </c>
      <c r="J19" t="s">
        <v>65</v>
      </c>
      <c r="K19" t="s">
        <v>30</v>
      </c>
      <c r="M19" t="s">
        <v>67</v>
      </c>
      <c r="N19">
        <v>9.6</v>
      </c>
      <c r="O19" t="s">
        <v>32</v>
      </c>
    </row>
    <row r="20" spans="1:15" x14ac:dyDescent="0.25">
      <c r="A20" t="s">
        <v>4</v>
      </c>
      <c r="B20" t="s">
        <v>68</v>
      </c>
      <c r="C20" t="s">
        <v>69</v>
      </c>
      <c r="D20" t="s">
        <v>70</v>
      </c>
      <c r="E20">
        <v>703501</v>
      </c>
      <c r="F20" t="s">
        <v>71</v>
      </c>
      <c r="G20" t="s">
        <v>72</v>
      </c>
      <c r="H20" t="s">
        <v>73</v>
      </c>
      <c r="I20" t="s">
        <v>28</v>
      </c>
      <c r="J20" t="s">
        <v>40</v>
      </c>
      <c r="K20" t="s">
        <v>30</v>
      </c>
      <c r="M20" t="s">
        <v>31</v>
      </c>
      <c r="N20">
        <v>6</v>
      </c>
      <c r="O20" t="s">
        <v>42</v>
      </c>
    </row>
    <row r="21" spans="1:15" x14ac:dyDescent="0.25">
      <c r="A21" t="s">
        <v>4</v>
      </c>
      <c r="B21" t="s">
        <v>74</v>
      </c>
      <c r="C21" t="s">
        <v>75</v>
      </c>
      <c r="D21" t="s">
        <v>76</v>
      </c>
      <c r="E21">
        <v>689390</v>
      </c>
      <c r="F21" t="s">
        <v>77</v>
      </c>
      <c r="G21" t="s">
        <v>78</v>
      </c>
      <c r="H21" t="s">
        <v>79</v>
      </c>
      <c r="I21" t="s">
        <v>28</v>
      </c>
      <c r="J21" t="s">
        <v>65</v>
      </c>
      <c r="K21" t="s">
        <v>30</v>
      </c>
      <c r="M21" t="s">
        <v>80</v>
      </c>
      <c r="N21">
        <v>17.04</v>
      </c>
      <c r="O21" t="s">
        <v>42</v>
      </c>
    </row>
    <row r="22" spans="1:15" x14ac:dyDescent="0.25">
      <c r="A22" t="s">
        <v>4</v>
      </c>
      <c r="B22" t="s">
        <v>81</v>
      </c>
      <c r="C22" t="s">
        <v>82</v>
      </c>
      <c r="D22" t="s">
        <v>83</v>
      </c>
      <c r="E22">
        <v>689390</v>
      </c>
      <c r="F22" t="s">
        <v>77</v>
      </c>
      <c r="G22" t="s">
        <v>84</v>
      </c>
      <c r="H22" t="s">
        <v>38</v>
      </c>
      <c r="I22" t="s">
        <v>85</v>
      </c>
      <c r="J22" t="s">
        <v>86</v>
      </c>
      <c r="K22" t="s">
        <v>30</v>
      </c>
      <c r="M22" t="s">
        <v>87</v>
      </c>
      <c r="N22">
        <v>18.239999999999998</v>
      </c>
      <c r="O22" t="s">
        <v>42</v>
      </c>
    </row>
    <row r="23" spans="1:15" x14ac:dyDescent="0.25">
      <c r="A23" t="s">
        <v>4</v>
      </c>
      <c r="B23" t="s">
        <v>88</v>
      </c>
      <c r="C23" t="s">
        <v>89</v>
      </c>
      <c r="D23" t="s">
        <v>90</v>
      </c>
      <c r="E23">
        <v>703501</v>
      </c>
      <c r="F23" t="s">
        <v>71</v>
      </c>
      <c r="G23" t="s">
        <v>91</v>
      </c>
      <c r="H23" t="s">
        <v>73</v>
      </c>
      <c r="I23" t="s">
        <v>39</v>
      </c>
      <c r="J23" t="s">
        <v>86</v>
      </c>
      <c r="K23" t="s">
        <v>30</v>
      </c>
      <c r="M23" t="s">
        <v>92</v>
      </c>
      <c r="N23">
        <v>22.32</v>
      </c>
      <c r="O23" t="s">
        <v>42</v>
      </c>
    </row>
    <row r="24" spans="1:15" x14ac:dyDescent="0.25">
      <c r="A24" t="s">
        <v>4</v>
      </c>
      <c r="B24" t="s">
        <v>88</v>
      </c>
      <c r="C24" t="s">
        <v>89</v>
      </c>
      <c r="D24" t="s">
        <v>90</v>
      </c>
      <c r="E24">
        <v>703501</v>
      </c>
      <c r="F24" t="s">
        <v>71</v>
      </c>
      <c r="G24" t="s">
        <v>93</v>
      </c>
      <c r="H24" t="s">
        <v>52</v>
      </c>
      <c r="I24" t="s">
        <v>39</v>
      </c>
      <c r="J24" t="s">
        <v>86</v>
      </c>
      <c r="K24" t="s">
        <v>30</v>
      </c>
      <c r="M24" t="s">
        <v>94</v>
      </c>
      <c r="N24">
        <v>7.4</v>
      </c>
      <c r="O24" t="s">
        <v>54</v>
      </c>
    </row>
    <row r="25" spans="1:15" x14ac:dyDescent="0.25">
      <c r="A25" t="s">
        <v>4</v>
      </c>
      <c r="B25" t="s">
        <v>95</v>
      </c>
      <c r="C25" t="s">
        <v>96</v>
      </c>
      <c r="D25" t="s">
        <v>97</v>
      </c>
      <c r="E25">
        <v>689390</v>
      </c>
      <c r="F25" t="s">
        <v>77</v>
      </c>
      <c r="G25" t="s">
        <v>98</v>
      </c>
      <c r="H25" t="s">
        <v>99</v>
      </c>
      <c r="I25" t="s">
        <v>28</v>
      </c>
      <c r="J25" t="s">
        <v>86</v>
      </c>
      <c r="K25" t="s">
        <v>30</v>
      </c>
      <c r="M25" t="s">
        <v>100</v>
      </c>
      <c r="N25">
        <v>15.6</v>
      </c>
      <c r="O25" t="s">
        <v>42</v>
      </c>
    </row>
    <row r="26" spans="1:15" x14ac:dyDescent="0.25">
      <c r="A26" t="s">
        <v>4</v>
      </c>
      <c r="B26" t="s">
        <v>101</v>
      </c>
      <c r="C26" t="s">
        <v>102</v>
      </c>
      <c r="D26" t="s">
        <v>103</v>
      </c>
      <c r="E26">
        <v>678726</v>
      </c>
      <c r="F26" t="s">
        <v>25</v>
      </c>
      <c r="G26" t="s">
        <v>104</v>
      </c>
      <c r="H26" t="s">
        <v>27</v>
      </c>
      <c r="I26" t="s">
        <v>28</v>
      </c>
      <c r="J26" t="s">
        <v>86</v>
      </c>
      <c r="K26" t="s">
        <v>30</v>
      </c>
      <c r="M26" t="s">
        <v>31</v>
      </c>
      <c r="N26">
        <v>8</v>
      </c>
      <c r="O26" t="s">
        <v>32</v>
      </c>
    </row>
    <row r="27" spans="1:15" x14ac:dyDescent="0.25">
      <c r="A27" t="s">
        <v>4</v>
      </c>
      <c r="B27" t="s">
        <v>105</v>
      </c>
      <c r="C27" t="s">
        <v>106</v>
      </c>
      <c r="D27" t="s">
        <v>107</v>
      </c>
      <c r="E27">
        <v>689390</v>
      </c>
      <c r="F27" t="s">
        <v>77</v>
      </c>
      <c r="G27" t="s">
        <v>108</v>
      </c>
      <c r="H27" t="s">
        <v>79</v>
      </c>
      <c r="I27" t="s">
        <v>85</v>
      </c>
      <c r="J27" t="s">
        <v>86</v>
      </c>
      <c r="K27" t="s">
        <v>30</v>
      </c>
      <c r="M27" t="s">
        <v>109</v>
      </c>
      <c r="N27">
        <v>32.159999999999997</v>
      </c>
      <c r="O27" t="s">
        <v>42</v>
      </c>
    </row>
    <row r="28" spans="1:15" x14ac:dyDescent="0.25">
      <c r="A28" t="s">
        <v>4</v>
      </c>
      <c r="B28" t="s">
        <v>105</v>
      </c>
      <c r="C28" t="s">
        <v>106</v>
      </c>
      <c r="D28" t="s">
        <v>107</v>
      </c>
      <c r="E28">
        <v>689390</v>
      </c>
      <c r="F28" t="s">
        <v>77</v>
      </c>
      <c r="G28" t="s">
        <v>110</v>
      </c>
      <c r="H28" t="s">
        <v>52</v>
      </c>
      <c r="I28" t="s">
        <v>111</v>
      </c>
      <c r="J28" t="s">
        <v>86</v>
      </c>
      <c r="K28" t="s">
        <v>30</v>
      </c>
      <c r="M28" t="s">
        <v>112</v>
      </c>
      <c r="N28">
        <v>5.55</v>
      </c>
      <c r="O28" t="s">
        <v>54</v>
      </c>
    </row>
    <row r="29" spans="1:15" x14ac:dyDescent="0.25">
      <c r="A29" t="s">
        <v>4</v>
      </c>
      <c r="B29" t="s">
        <v>113</v>
      </c>
      <c r="C29" t="s">
        <v>114</v>
      </c>
      <c r="D29" t="s">
        <v>115</v>
      </c>
      <c r="E29">
        <v>689390</v>
      </c>
      <c r="F29" t="s">
        <v>77</v>
      </c>
      <c r="G29" t="s">
        <v>116</v>
      </c>
      <c r="H29" t="s">
        <v>38</v>
      </c>
      <c r="I29" t="s">
        <v>85</v>
      </c>
      <c r="J29" t="s">
        <v>86</v>
      </c>
      <c r="K29" t="s">
        <v>30</v>
      </c>
      <c r="M29" t="s">
        <v>87</v>
      </c>
      <c r="N29">
        <v>18.239999999999998</v>
      </c>
      <c r="O29" t="s">
        <v>42</v>
      </c>
    </row>
    <row r="30" spans="1:15" x14ac:dyDescent="0.25">
      <c r="A30" t="s">
        <v>4</v>
      </c>
      <c r="B30" t="s">
        <v>117</v>
      </c>
      <c r="C30" t="s">
        <v>118</v>
      </c>
      <c r="D30" t="s">
        <v>119</v>
      </c>
      <c r="E30">
        <v>703501</v>
      </c>
      <c r="F30" t="s">
        <v>71</v>
      </c>
      <c r="G30" t="s">
        <v>120</v>
      </c>
      <c r="H30" t="s">
        <v>52</v>
      </c>
      <c r="I30" t="s">
        <v>28</v>
      </c>
      <c r="J30" t="s">
        <v>121</v>
      </c>
      <c r="K30" t="s">
        <v>30</v>
      </c>
      <c r="M30" t="s">
        <v>53</v>
      </c>
      <c r="N30">
        <v>4.07</v>
      </c>
      <c r="O30" t="s">
        <v>54</v>
      </c>
    </row>
    <row r="31" spans="1:15" x14ac:dyDescent="0.25">
      <c r="A31" t="s">
        <v>4</v>
      </c>
      <c r="B31" t="s">
        <v>122</v>
      </c>
      <c r="C31" t="s">
        <v>123</v>
      </c>
      <c r="D31" t="s">
        <v>124</v>
      </c>
      <c r="E31">
        <v>703501</v>
      </c>
      <c r="F31" t="s">
        <v>71</v>
      </c>
      <c r="G31" t="s">
        <v>125</v>
      </c>
      <c r="H31" t="s">
        <v>73</v>
      </c>
      <c r="I31" t="s">
        <v>39</v>
      </c>
      <c r="J31" t="s">
        <v>40</v>
      </c>
      <c r="K31" t="s">
        <v>30</v>
      </c>
      <c r="M31" t="s">
        <v>92</v>
      </c>
      <c r="N31">
        <v>22.32</v>
      </c>
      <c r="O31" t="s">
        <v>42</v>
      </c>
    </row>
    <row r="32" spans="1:15" x14ac:dyDescent="0.25">
      <c r="A32" t="s">
        <v>4</v>
      </c>
      <c r="B32" t="s">
        <v>126</v>
      </c>
      <c r="C32" t="s">
        <v>127</v>
      </c>
      <c r="D32" t="s">
        <v>128</v>
      </c>
      <c r="E32">
        <v>760338</v>
      </c>
      <c r="F32" t="s">
        <v>129</v>
      </c>
      <c r="G32" t="s">
        <v>130</v>
      </c>
      <c r="H32" t="s">
        <v>131</v>
      </c>
      <c r="I32" t="s">
        <v>28</v>
      </c>
      <c r="J32" t="s">
        <v>132</v>
      </c>
      <c r="K32" t="s">
        <v>30</v>
      </c>
      <c r="M32" t="s">
        <v>133</v>
      </c>
      <c r="N32">
        <v>9.6</v>
      </c>
      <c r="O32" t="s">
        <v>42</v>
      </c>
    </row>
    <row r="33" spans="1:15" x14ac:dyDescent="0.25">
      <c r="A33" t="s">
        <v>4</v>
      </c>
      <c r="B33" t="s">
        <v>134</v>
      </c>
      <c r="C33" t="s">
        <v>135</v>
      </c>
      <c r="D33" t="s">
        <v>136</v>
      </c>
      <c r="E33">
        <v>707256</v>
      </c>
      <c r="F33" t="s">
        <v>137</v>
      </c>
      <c r="G33" t="s">
        <v>138</v>
      </c>
      <c r="H33" t="s">
        <v>27</v>
      </c>
      <c r="I33" t="s">
        <v>28</v>
      </c>
      <c r="J33" t="s">
        <v>139</v>
      </c>
      <c r="K33" t="s">
        <v>30</v>
      </c>
      <c r="M33" t="s">
        <v>31</v>
      </c>
      <c r="N33">
        <v>8</v>
      </c>
      <c r="O33" t="s">
        <v>32</v>
      </c>
    </row>
    <row r="34" spans="1:15" x14ac:dyDescent="0.25">
      <c r="A34" t="s">
        <v>4</v>
      </c>
      <c r="B34" t="s">
        <v>140</v>
      </c>
      <c r="C34" t="s">
        <v>141</v>
      </c>
      <c r="D34" t="s">
        <v>142</v>
      </c>
      <c r="E34">
        <v>759555</v>
      </c>
      <c r="F34" t="s">
        <v>143</v>
      </c>
      <c r="G34" t="s">
        <v>144</v>
      </c>
      <c r="H34" t="s">
        <v>38</v>
      </c>
      <c r="I34" t="s">
        <v>145</v>
      </c>
      <c r="J34" t="s">
        <v>139</v>
      </c>
      <c r="K34" t="s">
        <v>30</v>
      </c>
      <c r="M34" t="s">
        <v>146</v>
      </c>
      <c r="N34">
        <v>26.88</v>
      </c>
      <c r="O34" t="s">
        <v>42</v>
      </c>
    </row>
    <row r="35" spans="1:15" x14ac:dyDescent="0.25">
      <c r="A35" t="s">
        <v>4</v>
      </c>
      <c r="B35" t="s">
        <v>140</v>
      </c>
      <c r="C35" t="s">
        <v>141</v>
      </c>
      <c r="D35" t="s">
        <v>142</v>
      </c>
      <c r="E35">
        <v>759555</v>
      </c>
      <c r="F35" t="s">
        <v>143</v>
      </c>
      <c r="G35" t="s">
        <v>147</v>
      </c>
      <c r="H35" t="s">
        <v>52</v>
      </c>
      <c r="I35" t="s">
        <v>39</v>
      </c>
      <c r="J35" t="s">
        <v>139</v>
      </c>
      <c r="K35" t="s">
        <v>30</v>
      </c>
      <c r="M35" t="s">
        <v>94</v>
      </c>
      <c r="N35">
        <v>7.4</v>
      </c>
      <c r="O35" t="s">
        <v>54</v>
      </c>
    </row>
    <row r="36" spans="1:15" x14ac:dyDescent="0.25">
      <c r="A36" t="s">
        <v>4</v>
      </c>
      <c r="B36" t="s">
        <v>148</v>
      </c>
      <c r="C36" t="s">
        <v>149</v>
      </c>
      <c r="D36" t="s">
        <v>150</v>
      </c>
      <c r="E36">
        <v>678726</v>
      </c>
      <c r="F36" t="s">
        <v>25</v>
      </c>
      <c r="G36" t="s">
        <v>151</v>
      </c>
      <c r="H36" t="s">
        <v>152</v>
      </c>
      <c r="I36" t="s">
        <v>28</v>
      </c>
      <c r="J36" t="s">
        <v>139</v>
      </c>
      <c r="K36" t="s">
        <v>30</v>
      </c>
      <c r="M36" t="s">
        <v>153</v>
      </c>
      <c r="N36">
        <v>6.48</v>
      </c>
      <c r="O36" t="s">
        <v>42</v>
      </c>
    </row>
    <row r="37" spans="1:15" x14ac:dyDescent="0.25">
      <c r="A37" t="s">
        <v>4</v>
      </c>
      <c r="B37" t="s">
        <v>148</v>
      </c>
      <c r="C37" t="s">
        <v>149</v>
      </c>
      <c r="D37" t="s">
        <v>150</v>
      </c>
      <c r="E37">
        <v>678726</v>
      </c>
      <c r="F37" t="s">
        <v>25</v>
      </c>
      <c r="G37" t="s">
        <v>154</v>
      </c>
      <c r="H37" t="s">
        <v>52</v>
      </c>
      <c r="I37" t="s">
        <v>28</v>
      </c>
      <c r="J37" t="s">
        <v>139</v>
      </c>
      <c r="K37" t="s">
        <v>30</v>
      </c>
      <c r="M37" t="s">
        <v>53</v>
      </c>
      <c r="N37">
        <v>4.07</v>
      </c>
      <c r="O37" t="s">
        <v>54</v>
      </c>
    </row>
    <row r="38" spans="1:15" x14ac:dyDescent="0.25">
      <c r="A38" t="s">
        <v>4</v>
      </c>
      <c r="B38" t="s">
        <v>155</v>
      </c>
      <c r="C38" t="s">
        <v>156</v>
      </c>
      <c r="D38" t="s">
        <v>157</v>
      </c>
      <c r="E38">
        <v>757929</v>
      </c>
      <c r="F38" t="s">
        <v>36</v>
      </c>
      <c r="G38" t="s">
        <v>158</v>
      </c>
      <c r="H38" t="s">
        <v>131</v>
      </c>
      <c r="I38" t="s">
        <v>28</v>
      </c>
      <c r="J38" t="s">
        <v>159</v>
      </c>
      <c r="K38" t="s">
        <v>30</v>
      </c>
      <c r="M38" t="s">
        <v>133</v>
      </c>
      <c r="N38">
        <v>9.6</v>
      </c>
      <c r="O38" t="s">
        <v>42</v>
      </c>
    </row>
    <row r="39" spans="1:15" x14ac:dyDescent="0.25">
      <c r="A39" t="s">
        <v>4</v>
      </c>
      <c r="B39" t="s">
        <v>160</v>
      </c>
      <c r="C39" t="s">
        <v>161</v>
      </c>
      <c r="D39" t="s">
        <v>162</v>
      </c>
      <c r="E39">
        <v>689390</v>
      </c>
      <c r="F39" t="s">
        <v>77</v>
      </c>
      <c r="G39" t="s">
        <v>163</v>
      </c>
      <c r="H39" t="s">
        <v>79</v>
      </c>
      <c r="I39" t="s">
        <v>28</v>
      </c>
      <c r="J39" t="s">
        <v>159</v>
      </c>
      <c r="K39" t="s">
        <v>30</v>
      </c>
      <c r="M39" t="s">
        <v>164</v>
      </c>
      <c r="N39">
        <v>15.84</v>
      </c>
      <c r="O39" t="s">
        <v>42</v>
      </c>
    </row>
    <row r="40" spans="1:15" x14ac:dyDescent="0.25">
      <c r="A40" t="s">
        <v>4</v>
      </c>
      <c r="B40" t="s">
        <v>165</v>
      </c>
      <c r="C40" t="s">
        <v>166</v>
      </c>
      <c r="D40" t="s">
        <v>167</v>
      </c>
      <c r="E40">
        <v>820877</v>
      </c>
      <c r="F40" t="s">
        <v>168</v>
      </c>
      <c r="G40" t="s">
        <v>169</v>
      </c>
      <c r="H40" t="s">
        <v>27</v>
      </c>
      <c r="I40" t="s">
        <v>85</v>
      </c>
      <c r="J40" t="s">
        <v>132</v>
      </c>
      <c r="K40" t="s">
        <v>30</v>
      </c>
      <c r="M40" t="s">
        <v>170</v>
      </c>
      <c r="N40">
        <v>14.72</v>
      </c>
      <c r="O40" t="s">
        <v>32</v>
      </c>
    </row>
    <row r="41" spans="1:15" x14ac:dyDescent="0.25">
      <c r="A41" t="s">
        <v>4</v>
      </c>
      <c r="B41" t="s">
        <v>171</v>
      </c>
      <c r="C41" t="s">
        <v>172</v>
      </c>
      <c r="D41" t="s">
        <v>173</v>
      </c>
      <c r="E41">
        <v>678726</v>
      </c>
      <c r="F41" t="s">
        <v>25</v>
      </c>
      <c r="G41" t="s">
        <v>174</v>
      </c>
      <c r="H41" t="s">
        <v>52</v>
      </c>
      <c r="I41" t="s">
        <v>28</v>
      </c>
      <c r="J41" t="s">
        <v>159</v>
      </c>
      <c r="K41" t="s">
        <v>30</v>
      </c>
      <c r="M41" t="s">
        <v>53</v>
      </c>
      <c r="N41">
        <v>4.07</v>
      </c>
      <c r="O41" t="s">
        <v>54</v>
      </c>
    </row>
    <row r="42" spans="1:15" x14ac:dyDescent="0.25">
      <c r="A42" t="s">
        <v>4</v>
      </c>
      <c r="B42" t="s">
        <v>122</v>
      </c>
      <c r="C42" t="s">
        <v>123</v>
      </c>
      <c r="D42" t="s">
        <v>124</v>
      </c>
      <c r="E42">
        <v>703501</v>
      </c>
      <c r="F42" t="s">
        <v>71</v>
      </c>
      <c r="G42" t="s">
        <v>125</v>
      </c>
      <c r="H42" t="s">
        <v>73</v>
      </c>
      <c r="I42" t="s">
        <v>39</v>
      </c>
      <c r="J42" t="s">
        <v>159</v>
      </c>
      <c r="K42" t="s">
        <v>175</v>
      </c>
      <c r="L42" t="s">
        <v>176</v>
      </c>
      <c r="M42" t="s">
        <v>92</v>
      </c>
      <c r="N42">
        <v>-22.32</v>
      </c>
      <c r="O42" t="s">
        <v>42</v>
      </c>
    </row>
    <row r="43" spans="1:15" x14ac:dyDescent="0.25">
      <c r="A43" t="s">
        <v>4</v>
      </c>
      <c r="B43" t="s">
        <v>177</v>
      </c>
      <c r="C43" t="s">
        <v>178</v>
      </c>
      <c r="D43" t="s">
        <v>179</v>
      </c>
      <c r="E43">
        <v>678726</v>
      </c>
      <c r="F43" t="s">
        <v>25</v>
      </c>
      <c r="G43" t="s">
        <v>180</v>
      </c>
      <c r="H43" t="s">
        <v>27</v>
      </c>
      <c r="I43" t="s">
        <v>85</v>
      </c>
      <c r="J43" t="s">
        <v>181</v>
      </c>
      <c r="K43" t="s">
        <v>30</v>
      </c>
      <c r="M43" t="s">
        <v>182</v>
      </c>
      <c r="N43">
        <v>16</v>
      </c>
      <c r="O43" t="s">
        <v>32</v>
      </c>
    </row>
    <row r="44" spans="1:15" x14ac:dyDescent="0.25">
      <c r="A44" t="s">
        <v>4</v>
      </c>
      <c r="B44" t="s">
        <v>183</v>
      </c>
      <c r="C44" t="s">
        <v>184</v>
      </c>
      <c r="D44" t="s">
        <v>185</v>
      </c>
      <c r="E44">
        <v>757929</v>
      </c>
      <c r="F44" t="s">
        <v>36</v>
      </c>
      <c r="G44" t="s">
        <v>186</v>
      </c>
      <c r="H44" t="s">
        <v>52</v>
      </c>
      <c r="I44" t="s">
        <v>28</v>
      </c>
      <c r="J44" t="s">
        <v>181</v>
      </c>
      <c r="K44" t="s">
        <v>30</v>
      </c>
      <c r="M44" t="s">
        <v>53</v>
      </c>
      <c r="N44">
        <v>4.07</v>
      </c>
      <c r="O44" t="s">
        <v>54</v>
      </c>
    </row>
    <row r="45" spans="1:15" x14ac:dyDescent="0.25">
      <c r="A45" t="s">
        <v>4</v>
      </c>
      <c r="B45" t="s">
        <v>183</v>
      </c>
      <c r="C45" t="s">
        <v>184</v>
      </c>
      <c r="D45" t="s">
        <v>185</v>
      </c>
      <c r="E45">
        <v>757929</v>
      </c>
      <c r="F45" t="s">
        <v>36</v>
      </c>
      <c r="G45" t="s">
        <v>187</v>
      </c>
      <c r="H45" t="s">
        <v>188</v>
      </c>
      <c r="I45" t="s">
        <v>28</v>
      </c>
      <c r="J45" t="s">
        <v>181</v>
      </c>
      <c r="K45" t="s">
        <v>30</v>
      </c>
      <c r="M45" t="s">
        <v>189</v>
      </c>
      <c r="N45">
        <v>5.28</v>
      </c>
      <c r="O45" t="s">
        <v>42</v>
      </c>
    </row>
    <row r="46" spans="1:15" x14ac:dyDescent="0.25">
      <c r="A46" t="s">
        <v>4</v>
      </c>
      <c r="B46" t="s">
        <v>190</v>
      </c>
      <c r="C46" t="s">
        <v>191</v>
      </c>
      <c r="D46" t="s">
        <v>192</v>
      </c>
      <c r="E46">
        <v>678726</v>
      </c>
      <c r="F46" t="s">
        <v>25</v>
      </c>
      <c r="G46" t="s">
        <v>193</v>
      </c>
      <c r="H46" t="s">
        <v>27</v>
      </c>
      <c r="I46" t="s">
        <v>85</v>
      </c>
      <c r="J46" t="s">
        <v>194</v>
      </c>
      <c r="K46" t="s">
        <v>30</v>
      </c>
      <c r="M46" t="s">
        <v>195</v>
      </c>
      <c r="N46">
        <v>19.2</v>
      </c>
      <c r="O46" t="s">
        <v>32</v>
      </c>
    </row>
    <row r="47" spans="1:15" x14ac:dyDescent="0.25">
      <c r="A47" t="s">
        <v>4</v>
      </c>
      <c r="B47" t="s">
        <v>196</v>
      </c>
      <c r="C47" t="s">
        <v>197</v>
      </c>
      <c r="D47" t="s">
        <v>198</v>
      </c>
      <c r="E47">
        <v>706472</v>
      </c>
      <c r="F47" t="s">
        <v>199</v>
      </c>
      <c r="G47" t="s">
        <v>200</v>
      </c>
      <c r="H47" t="s">
        <v>27</v>
      </c>
      <c r="I47" t="s">
        <v>28</v>
      </c>
      <c r="J47" t="s">
        <v>132</v>
      </c>
      <c r="K47" t="s">
        <v>30</v>
      </c>
      <c r="M47" t="s">
        <v>31</v>
      </c>
      <c r="N47">
        <v>8</v>
      </c>
      <c r="O47" t="s">
        <v>32</v>
      </c>
    </row>
    <row r="48" spans="1:15" x14ac:dyDescent="0.25">
      <c r="A48" t="s">
        <v>4</v>
      </c>
      <c r="B48" t="s">
        <v>126</v>
      </c>
      <c r="C48" t="s">
        <v>127</v>
      </c>
      <c r="D48" t="s">
        <v>128</v>
      </c>
      <c r="E48">
        <v>760338</v>
      </c>
      <c r="F48" t="s">
        <v>129</v>
      </c>
      <c r="G48" t="s">
        <v>201</v>
      </c>
      <c r="H48" t="s">
        <v>52</v>
      </c>
      <c r="I48" t="s">
        <v>28</v>
      </c>
      <c r="J48" t="s">
        <v>132</v>
      </c>
      <c r="K48" t="s">
        <v>30</v>
      </c>
      <c r="M48" t="s">
        <v>53</v>
      </c>
      <c r="N48">
        <v>4.07</v>
      </c>
      <c r="O48" t="s">
        <v>54</v>
      </c>
    </row>
    <row r="49" spans="1:15" x14ac:dyDescent="0.25">
      <c r="A49" t="s">
        <v>4</v>
      </c>
      <c r="B49" t="s">
        <v>171</v>
      </c>
      <c r="C49" t="s">
        <v>172</v>
      </c>
      <c r="D49" t="s">
        <v>173</v>
      </c>
      <c r="E49">
        <v>678726</v>
      </c>
      <c r="F49" t="s">
        <v>25</v>
      </c>
      <c r="G49" t="s">
        <v>202</v>
      </c>
      <c r="H49" t="s">
        <v>152</v>
      </c>
      <c r="I49" t="s">
        <v>28</v>
      </c>
      <c r="J49" t="s">
        <v>159</v>
      </c>
      <c r="K49" t="s">
        <v>30</v>
      </c>
      <c r="M49" t="s">
        <v>153</v>
      </c>
      <c r="N49">
        <v>6.48</v>
      </c>
      <c r="O49" t="s">
        <v>42</v>
      </c>
    </row>
    <row r="50" spans="1:15" x14ac:dyDescent="0.25">
      <c r="A50" t="s">
        <v>4</v>
      </c>
      <c r="B50" t="s">
        <v>203</v>
      </c>
      <c r="C50" t="s">
        <v>204</v>
      </c>
      <c r="D50" t="s">
        <v>205</v>
      </c>
      <c r="E50">
        <v>781535</v>
      </c>
      <c r="F50" t="s">
        <v>206</v>
      </c>
      <c r="G50" t="s">
        <v>207</v>
      </c>
      <c r="H50" t="s">
        <v>52</v>
      </c>
      <c r="I50" t="s">
        <v>111</v>
      </c>
      <c r="J50" t="s">
        <v>139</v>
      </c>
      <c r="K50" t="s">
        <v>30</v>
      </c>
      <c r="M50" t="s">
        <v>112</v>
      </c>
      <c r="N50">
        <v>5.55</v>
      </c>
      <c r="O50" t="s">
        <v>54</v>
      </c>
    </row>
    <row r="51" spans="1:15" x14ac:dyDescent="0.25">
      <c r="A51" t="s">
        <v>4</v>
      </c>
      <c r="B51" t="s">
        <v>208</v>
      </c>
      <c r="C51" t="s">
        <v>209</v>
      </c>
      <c r="D51" t="s">
        <v>210</v>
      </c>
      <c r="E51">
        <v>678726</v>
      </c>
      <c r="F51" t="s">
        <v>25</v>
      </c>
      <c r="G51" t="s">
        <v>211</v>
      </c>
      <c r="H51" t="s">
        <v>52</v>
      </c>
      <c r="I51" t="s">
        <v>28</v>
      </c>
      <c r="J51" t="s">
        <v>121</v>
      </c>
      <c r="K51" t="s">
        <v>30</v>
      </c>
      <c r="M51" t="s">
        <v>53</v>
      </c>
      <c r="N51">
        <v>4.07</v>
      </c>
      <c r="O51" t="s">
        <v>54</v>
      </c>
    </row>
    <row r="52" spans="1:15" x14ac:dyDescent="0.25">
      <c r="A52" t="s">
        <v>4</v>
      </c>
      <c r="B52" t="s">
        <v>212</v>
      </c>
      <c r="C52" t="s">
        <v>213</v>
      </c>
      <c r="D52" t="s">
        <v>214</v>
      </c>
      <c r="E52">
        <v>847313</v>
      </c>
      <c r="F52" t="s">
        <v>215</v>
      </c>
      <c r="G52" t="s">
        <v>216</v>
      </c>
      <c r="H52" t="s">
        <v>52</v>
      </c>
      <c r="I52" t="s">
        <v>28</v>
      </c>
      <c r="J52" t="s">
        <v>217</v>
      </c>
      <c r="K52" t="s">
        <v>30</v>
      </c>
      <c r="M52" t="s">
        <v>53</v>
      </c>
      <c r="N52">
        <v>4.07</v>
      </c>
      <c r="O52" t="s">
        <v>54</v>
      </c>
    </row>
    <row r="53" spans="1:15" x14ac:dyDescent="0.25">
      <c r="A53" t="s">
        <v>4</v>
      </c>
      <c r="B53" t="s">
        <v>218</v>
      </c>
      <c r="C53" t="s">
        <v>219</v>
      </c>
      <c r="D53" t="s">
        <v>220</v>
      </c>
      <c r="E53">
        <v>798992</v>
      </c>
      <c r="F53" t="s">
        <v>59</v>
      </c>
      <c r="G53" t="s">
        <v>221</v>
      </c>
      <c r="H53" t="s">
        <v>52</v>
      </c>
      <c r="I53" t="s">
        <v>28</v>
      </c>
      <c r="J53" t="s">
        <v>222</v>
      </c>
      <c r="K53" t="s">
        <v>30</v>
      </c>
      <c r="M53" t="s">
        <v>53</v>
      </c>
      <c r="N53">
        <v>4.07</v>
      </c>
      <c r="O53" t="s">
        <v>54</v>
      </c>
    </row>
    <row r="54" spans="1:15" x14ac:dyDescent="0.25">
      <c r="A54" t="s">
        <v>4</v>
      </c>
      <c r="B54" t="s">
        <v>223</v>
      </c>
      <c r="C54" t="s">
        <v>224</v>
      </c>
      <c r="D54" t="s">
        <v>225</v>
      </c>
      <c r="E54">
        <v>689390</v>
      </c>
      <c r="F54" t="s">
        <v>77</v>
      </c>
      <c r="G54" t="s">
        <v>226</v>
      </c>
      <c r="H54" t="s">
        <v>79</v>
      </c>
      <c r="I54" t="s">
        <v>28</v>
      </c>
      <c r="J54" t="s">
        <v>227</v>
      </c>
      <c r="K54" t="s">
        <v>30</v>
      </c>
      <c r="M54" t="s">
        <v>80</v>
      </c>
      <c r="N54">
        <v>17.04</v>
      </c>
      <c r="O54" t="s">
        <v>42</v>
      </c>
    </row>
    <row r="55" spans="1:15" x14ac:dyDescent="0.25">
      <c r="A55" t="s">
        <v>4</v>
      </c>
      <c r="B55" t="s">
        <v>228</v>
      </c>
      <c r="C55" t="s">
        <v>229</v>
      </c>
      <c r="D55" t="s">
        <v>230</v>
      </c>
      <c r="E55">
        <v>689390</v>
      </c>
      <c r="F55" t="s">
        <v>77</v>
      </c>
      <c r="G55" t="s">
        <v>231</v>
      </c>
      <c r="H55" t="s">
        <v>79</v>
      </c>
      <c r="I55" t="s">
        <v>28</v>
      </c>
      <c r="J55" t="s">
        <v>227</v>
      </c>
      <c r="K55" t="s">
        <v>30</v>
      </c>
      <c r="M55" t="s">
        <v>100</v>
      </c>
      <c r="N55">
        <v>15.6</v>
      </c>
      <c r="O55" t="s">
        <v>42</v>
      </c>
    </row>
    <row r="56" spans="1:15" x14ac:dyDescent="0.25">
      <c r="A56" t="s">
        <v>4</v>
      </c>
      <c r="B56" t="s">
        <v>232</v>
      </c>
      <c r="C56" t="s">
        <v>233</v>
      </c>
      <c r="D56" t="s">
        <v>234</v>
      </c>
      <c r="E56">
        <v>720542</v>
      </c>
      <c r="F56" t="s">
        <v>235</v>
      </c>
      <c r="G56" t="s">
        <v>236</v>
      </c>
      <c r="H56" t="s">
        <v>38</v>
      </c>
      <c r="I56" t="s">
        <v>28</v>
      </c>
      <c r="J56" t="s">
        <v>227</v>
      </c>
      <c r="K56" t="s">
        <v>30</v>
      </c>
      <c r="M56" t="s">
        <v>237</v>
      </c>
      <c r="N56">
        <v>1.05</v>
      </c>
      <c r="O56" t="s">
        <v>238</v>
      </c>
    </row>
    <row r="57" spans="1:15" x14ac:dyDescent="0.25">
      <c r="A57" t="s">
        <v>4</v>
      </c>
      <c r="B57" t="s">
        <v>239</v>
      </c>
      <c r="C57" t="s">
        <v>240</v>
      </c>
      <c r="D57" t="s">
        <v>241</v>
      </c>
      <c r="E57">
        <v>798992</v>
      </c>
      <c r="F57" t="s">
        <v>59</v>
      </c>
      <c r="G57" t="s">
        <v>242</v>
      </c>
      <c r="H57" t="s">
        <v>152</v>
      </c>
      <c r="I57" t="s">
        <v>28</v>
      </c>
      <c r="J57" t="s">
        <v>227</v>
      </c>
      <c r="K57" t="s">
        <v>30</v>
      </c>
      <c r="M57" t="s">
        <v>153</v>
      </c>
      <c r="N57">
        <v>6.48</v>
      </c>
      <c r="O57" t="s">
        <v>42</v>
      </c>
    </row>
    <row r="58" spans="1:15" x14ac:dyDescent="0.25">
      <c r="A58" t="s">
        <v>4</v>
      </c>
      <c r="B58" t="s">
        <v>243</v>
      </c>
      <c r="C58" t="s">
        <v>244</v>
      </c>
      <c r="D58" t="s">
        <v>245</v>
      </c>
      <c r="E58">
        <v>723477</v>
      </c>
      <c r="F58" t="s">
        <v>246</v>
      </c>
      <c r="G58" t="s">
        <v>247</v>
      </c>
      <c r="H58" t="s">
        <v>52</v>
      </c>
      <c r="I58" t="s">
        <v>28</v>
      </c>
      <c r="J58" t="s">
        <v>227</v>
      </c>
      <c r="K58" t="s">
        <v>30</v>
      </c>
      <c r="M58" t="s">
        <v>53</v>
      </c>
      <c r="N58">
        <v>4.07</v>
      </c>
      <c r="O58" t="s">
        <v>54</v>
      </c>
    </row>
    <row r="59" spans="1:15" x14ac:dyDescent="0.25">
      <c r="A59" t="s">
        <v>4</v>
      </c>
      <c r="B59" t="s">
        <v>248</v>
      </c>
      <c r="C59" t="s">
        <v>249</v>
      </c>
      <c r="D59" t="s">
        <v>250</v>
      </c>
      <c r="E59">
        <v>711419</v>
      </c>
      <c r="F59" t="s">
        <v>251</v>
      </c>
      <c r="G59" t="s">
        <v>252</v>
      </c>
      <c r="H59" t="s">
        <v>79</v>
      </c>
      <c r="I59" t="s">
        <v>85</v>
      </c>
      <c r="J59" t="s">
        <v>227</v>
      </c>
      <c r="K59" t="s">
        <v>30</v>
      </c>
      <c r="M59" t="s">
        <v>253</v>
      </c>
      <c r="N59">
        <v>4.29</v>
      </c>
      <c r="O59" t="s">
        <v>238</v>
      </c>
    </row>
    <row r="60" spans="1:15" x14ac:dyDescent="0.25">
      <c r="A60" t="s">
        <v>4</v>
      </c>
      <c r="B60" t="s">
        <v>218</v>
      </c>
      <c r="C60" t="s">
        <v>219</v>
      </c>
      <c r="D60" t="s">
        <v>220</v>
      </c>
      <c r="E60">
        <v>798992</v>
      </c>
      <c r="F60" t="s">
        <v>59</v>
      </c>
      <c r="G60" t="s">
        <v>254</v>
      </c>
      <c r="H60" t="s">
        <v>152</v>
      </c>
      <c r="I60" t="s">
        <v>28</v>
      </c>
      <c r="J60" t="s">
        <v>222</v>
      </c>
      <c r="K60" t="s">
        <v>30</v>
      </c>
      <c r="M60" t="s">
        <v>153</v>
      </c>
      <c r="N60">
        <v>6.48</v>
      </c>
      <c r="O60" t="s">
        <v>42</v>
      </c>
    </row>
    <row r="61" spans="1:15" x14ac:dyDescent="0.25">
      <c r="A61" t="s">
        <v>4</v>
      </c>
      <c r="B61" t="s">
        <v>255</v>
      </c>
      <c r="C61" t="s">
        <v>256</v>
      </c>
      <c r="D61" t="s">
        <v>257</v>
      </c>
      <c r="E61">
        <v>689390</v>
      </c>
      <c r="F61" t="s">
        <v>77</v>
      </c>
      <c r="G61" t="s">
        <v>258</v>
      </c>
      <c r="H61" t="s">
        <v>79</v>
      </c>
      <c r="I61" t="s">
        <v>28</v>
      </c>
      <c r="J61" t="s">
        <v>227</v>
      </c>
      <c r="K61" t="s">
        <v>30</v>
      </c>
      <c r="M61" t="s">
        <v>259</v>
      </c>
      <c r="N61">
        <v>17.760000000000002</v>
      </c>
      <c r="O61" t="s">
        <v>42</v>
      </c>
    </row>
    <row r="62" spans="1:15" x14ac:dyDescent="0.25">
      <c r="A62" t="s">
        <v>4</v>
      </c>
      <c r="B62" t="s">
        <v>260</v>
      </c>
      <c r="C62" t="s">
        <v>261</v>
      </c>
      <c r="D62" t="s">
        <v>262</v>
      </c>
      <c r="E62">
        <v>759555</v>
      </c>
      <c r="F62" t="s">
        <v>143</v>
      </c>
      <c r="G62" t="s">
        <v>263</v>
      </c>
      <c r="H62" t="s">
        <v>52</v>
      </c>
      <c r="I62" t="s">
        <v>28</v>
      </c>
      <c r="J62" t="s">
        <v>264</v>
      </c>
      <c r="K62" t="s">
        <v>30</v>
      </c>
      <c r="M62" t="s">
        <v>53</v>
      </c>
      <c r="N62">
        <v>4.07</v>
      </c>
      <c r="O62" t="s">
        <v>54</v>
      </c>
    </row>
    <row r="63" spans="1:15" x14ac:dyDescent="0.25">
      <c r="A63" t="s">
        <v>4</v>
      </c>
      <c r="B63" t="s">
        <v>265</v>
      </c>
      <c r="C63" t="s">
        <v>266</v>
      </c>
      <c r="D63" t="s">
        <v>267</v>
      </c>
      <c r="E63">
        <v>678726</v>
      </c>
      <c r="F63" t="s">
        <v>25</v>
      </c>
      <c r="G63" t="s">
        <v>268</v>
      </c>
      <c r="H63" t="s">
        <v>27</v>
      </c>
      <c r="I63" t="s">
        <v>85</v>
      </c>
      <c r="J63" t="s">
        <v>264</v>
      </c>
      <c r="K63" t="s">
        <v>30</v>
      </c>
      <c r="M63" t="s">
        <v>182</v>
      </c>
      <c r="N63">
        <v>16</v>
      </c>
      <c r="O63" t="s">
        <v>32</v>
      </c>
    </row>
    <row r="64" spans="1:15" x14ac:dyDescent="0.25">
      <c r="A64" t="s">
        <v>4</v>
      </c>
      <c r="B64" t="s">
        <v>269</v>
      </c>
      <c r="C64" t="s">
        <v>270</v>
      </c>
      <c r="D64" t="s">
        <v>271</v>
      </c>
      <c r="E64">
        <v>678726</v>
      </c>
      <c r="F64" t="s">
        <v>25</v>
      </c>
      <c r="G64" t="s">
        <v>272</v>
      </c>
      <c r="H64" t="s">
        <v>27</v>
      </c>
      <c r="I64" t="s">
        <v>28</v>
      </c>
      <c r="J64" t="s">
        <v>264</v>
      </c>
      <c r="K64" t="s">
        <v>30</v>
      </c>
      <c r="M64" t="s">
        <v>273</v>
      </c>
      <c r="N64">
        <v>9.9600000000000009</v>
      </c>
      <c r="O64" t="s">
        <v>32</v>
      </c>
    </row>
    <row r="65" spans="1:15" x14ac:dyDescent="0.25">
      <c r="A65" t="s">
        <v>4</v>
      </c>
      <c r="B65" t="s">
        <v>22</v>
      </c>
      <c r="C65" t="s">
        <v>23</v>
      </c>
      <c r="D65" t="s">
        <v>24</v>
      </c>
      <c r="E65">
        <v>678726</v>
      </c>
      <c r="F65" t="s">
        <v>25</v>
      </c>
      <c r="G65" t="s">
        <v>26</v>
      </c>
      <c r="H65" t="s">
        <v>27</v>
      </c>
      <c r="I65" t="s">
        <v>28</v>
      </c>
      <c r="J65" t="s">
        <v>264</v>
      </c>
      <c r="K65" t="s">
        <v>30</v>
      </c>
      <c r="M65" t="s">
        <v>31</v>
      </c>
      <c r="N65">
        <v>8</v>
      </c>
      <c r="O65" t="s">
        <v>32</v>
      </c>
    </row>
    <row r="66" spans="1:15" x14ac:dyDescent="0.25">
      <c r="A66" t="s">
        <v>4</v>
      </c>
      <c r="B66" t="s">
        <v>274</v>
      </c>
      <c r="C66" t="s">
        <v>275</v>
      </c>
      <c r="D66" t="s">
        <v>276</v>
      </c>
      <c r="E66">
        <v>657149</v>
      </c>
      <c r="F66" t="s">
        <v>277</v>
      </c>
      <c r="G66" t="s">
        <v>278</v>
      </c>
      <c r="H66" t="s">
        <v>52</v>
      </c>
      <c r="I66" t="s">
        <v>28</v>
      </c>
      <c r="J66" t="s">
        <v>264</v>
      </c>
      <c r="K66" t="s">
        <v>30</v>
      </c>
      <c r="M66" t="s">
        <v>53</v>
      </c>
      <c r="N66">
        <v>4.07</v>
      </c>
      <c r="O66" t="s">
        <v>54</v>
      </c>
    </row>
    <row r="67" spans="1:15" x14ac:dyDescent="0.25">
      <c r="A67" t="s">
        <v>4</v>
      </c>
      <c r="B67" t="s">
        <v>279</v>
      </c>
      <c r="C67" t="s">
        <v>280</v>
      </c>
      <c r="D67" t="s">
        <v>281</v>
      </c>
      <c r="E67">
        <v>678726</v>
      </c>
      <c r="F67" t="s">
        <v>25</v>
      </c>
      <c r="G67" t="s">
        <v>282</v>
      </c>
      <c r="H67" t="s">
        <v>27</v>
      </c>
      <c r="I67" t="s">
        <v>28</v>
      </c>
      <c r="J67" t="s">
        <v>264</v>
      </c>
      <c r="K67" t="s">
        <v>30</v>
      </c>
      <c r="M67" t="s">
        <v>31</v>
      </c>
      <c r="N67">
        <v>8</v>
      </c>
      <c r="O67" t="s">
        <v>32</v>
      </c>
    </row>
    <row r="68" spans="1:15" x14ac:dyDescent="0.25">
      <c r="A68" t="s">
        <v>4</v>
      </c>
      <c r="B68" t="s">
        <v>279</v>
      </c>
      <c r="C68" t="s">
        <v>280</v>
      </c>
      <c r="D68" t="s">
        <v>281</v>
      </c>
      <c r="E68">
        <v>678726</v>
      </c>
      <c r="F68" t="s">
        <v>25</v>
      </c>
      <c r="G68" t="s">
        <v>283</v>
      </c>
      <c r="H68" t="s">
        <v>52</v>
      </c>
      <c r="I68" t="s">
        <v>28</v>
      </c>
      <c r="J68" t="s">
        <v>264</v>
      </c>
      <c r="K68" t="s">
        <v>30</v>
      </c>
      <c r="M68" t="s">
        <v>53</v>
      </c>
      <c r="N68">
        <v>4.07</v>
      </c>
      <c r="O68" t="s">
        <v>54</v>
      </c>
    </row>
    <row r="69" spans="1:15" x14ac:dyDescent="0.25">
      <c r="A69" t="s">
        <v>4</v>
      </c>
      <c r="B69" t="s">
        <v>260</v>
      </c>
      <c r="C69" t="s">
        <v>261</v>
      </c>
      <c r="D69" t="s">
        <v>262</v>
      </c>
      <c r="E69">
        <v>759555</v>
      </c>
      <c r="F69" t="s">
        <v>143</v>
      </c>
      <c r="G69" t="s">
        <v>284</v>
      </c>
      <c r="H69" t="s">
        <v>38</v>
      </c>
      <c r="I69" t="s">
        <v>28</v>
      </c>
      <c r="J69" t="s">
        <v>264</v>
      </c>
      <c r="K69" t="s">
        <v>30</v>
      </c>
      <c r="M69" t="s">
        <v>285</v>
      </c>
      <c r="N69">
        <v>12.48</v>
      </c>
      <c r="O69" t="s">
        <v>42</v>
      </c>
    </row>
    <row r="70" spans="1:15" x14ac:dyDescent="0.25">
      <c r="A70" t="s">
        <v>4</v>
      </c>
      <c r="B70" t="s">
        <v>286</v>
      </c>
      <c r="C70" t="s">
        <v>287</v>
      </c>
      <c r="D70" t="s">
        <v>288</v>
      </c>
      <c r="E70">
        <v>678726</v>
      </c>
      <c r="F70" t="s">
        <v>25</v>
      </c>
      <c r="G70" t="s">
        <v>289</v>
      </c>
      <c r="H70" t="s">
        <v>152</v>
      </c>
      <c r="I70" t="s">
        <v>28</v>
      </c>
      <c r="J70" t="s">
        <v>217</v>
      </c>
      <c r="K70" t="s">
        <v>30</v>
      </c>
      <c r="M70" t="s">
        <v>153</v>
      </c>
      <c r="N70">
        <v>6.48</v>
      </c>
      <c r="O70" t="s">
        <v>42</v>
      </c>
    </row>
    <row r="71" spans="1:15" x14ac:dyDescent="0.25">
      <c r="A71" t="s">
        <v>4</v>
      </c>
      <c r="B71" t="s">
        <v>290</v>
      </c>
      <c r="C71" t="s">
        <v>291</v>
      </c>
      <c r="D71" t="s">
        <v>292</v>
      </c>
      <c r="E71">
        <v>764002</v>
      </c>
      <c r="F71" t="s">
        <v>293</v>
      </c>
      <c r="G71" t="s">
        <v>294</v>
      </c>
      <c r="H71" t="s">
        <v>52</v>
      </c>
      <c r="I71" t="s">
        <v>28</v>
      </c>
      <c r="J71" t="s">
        <v>222</v>
      </c>
      <c r="K71" t="s">
        <v>30</v>
      </c>
      <c r="M71" t="s">
        <v>53</v>
      </c>
      <c r="N71">
        <v>4.07</v>
      </c>
      <c r="O71" t="s">
        <v>54</v>
      </c>
    </row>
    <row r="72" spans="1:15" x14ac:dyDescent="0.25">
      <c r="A72" t="s">
        <v>4</v>
      </c>
      <c r="B72" t="s">
        <v>295</v>
      </c>
      <c r="C72" t="s">
        <v>296</v>
      </c>
      <c r="D72" t="s">
        <v>297</v>
      </c>
      <c r="E72">
        <v>759555</v>
      </c>
      <c r="F72" t="s">
        <v>143</v>
      </c>
      <c r="G72" t="s">
        <v>298</v>
      </c>
      <c r="H72" t="s">
        <v>131</v>
      </c>
      <c r="I72" t="s">
        <v>28</v>
      </c>
      <c r="J72" t="s">
        <v>217</v>
      </c>
      <c r="K72" t="s">
        <v>30</v>
      </c>
      <c r="M72" t="s">
        <v>133</v>
      </c>
      <c r="N72">
        <v>9.6</v>
      </c>
      <c r="O72" t="s">
        <v>42</v>
      </c>
    </row>
    <row r="73" spans="1:15" x14ac:dyDescent="0.25">
      <c r="A73" t="s">
        <v>4</v>
      </c>
      <c r="B73" t="s">
        <v>299</v>
      </c>
      <c r="C73" t="s">
        <v>300</v>
      </c>
      <c r="D73" t="s">
        <v>301</v>
      </c>
      <c r="E73">
        <v>820877</v>
      </c>
      <c r="F73" t="s">
        <v>168</v>
      </c>
      <c r="G73" t="s">
        <v>302</v>
      </c>
      <c r="H73" t="s">
        <v>52</v>
      </c>
      <c r="I73" t="s">
        <v>28</v>
      </c>
      <c r="J73" t="s">
        <v>217</v>
      </c>
      <c r="K73" t="s">
        <v>30</v>
      </c>
      <c r="M73" t="s">
        <v>53</v>
      </c>
      <c r="N73">
        <v>4.07</v>
      </c>
      <c r="O73" t="s">
        <v>54</v>
      </c>
    </row>
    <row r="74" spans="1:15" x14ac:dyDescent="0.25">
      <c r="A74" t="s">
        <v>4</v>
      </c>
      <c r="B74" t="s">
        <v>299</v>
      </c>
      <c r="C74" t="s">
        <v>300</v>
      </c>
      <c r="D74" t="s">
        <v>301</v>
      </c>
      <c r="E74">
        <v>820877</v>
      </c>
      <c r="F74" t="s">
        <v>168</v>
      </c>
      <c r="G74" t="s">
        <v>303</v>
      </c>
      <c r="H74" t="s">
        <v>38</v>
      </c>
      <c r="I74" t="s">
        <v>28</v>
      </c>
      <c r="J74" t="s">
        <v>217</v>
      </c>
      <c r="K74" t="s">
        <v>30</v>
      </c>
      <c r="M74" t="s">
        <v>304</v>
      </c>
      <c r="N74">
        <v>10.08</v>
      </c>
      <c r="O74" t="s">
        <v>42</v>
      </c>
    </row>
    <row r="75" spans="1:15" x14ac:dyDescent="0.25">
      <c r="A75" t="s">
        <v>4</v>
      </c>
      <c r="B75" t="s">
        <v>305</v>
      </c>
      <c r="C75" t="s">
        <v>306</v>
      </c>
      <c r="D75" t="s">
        <v>307</v>
      </c>
      <c r="E75">
        <v>711419</v>
      </c>
      <c r="F75" t="s">
        <v>251</v>
      </c>
      <c r="G75" t="s">
        <v>308</v>
      </c>
      <c r="H75" t="s">
        <v>52</v>
      </c>
      <c r="I75" t="s">
        <v>111</v>
      </c>
      <c r="J75" t="s">
        <v>217</v>
      </c>
      <c r="K75" t="s">
        <v>30</v>
      </c>
      <c r="M75" t="s">
        <v>112</v>
      </c>
      <c r="N75">
        <v>0.45</v>
      </c>
      <c r="O75" t="s">
        <v>238</v>
      </c>
    </row>
    <row r="76" spans="1:15" x14ac:dyDescent="0.25">
      <c r="A76" t="s">
        <v>4</v>
      </c>
      <c r="B76" t="s">
        <v>309</v>
      </c>
      <c r="C76" t="s">
        <v>310</v>
      </c>
      <c r="D76" t="s">
        <v>311</v>
      </c>
      <c r="E76">
        <v>781535</v>
      </c>
      <c r="F76" t="s">
        <v>206</v>
      </c>
      <c r="G76" t="s">
        <v>312</v>
      </c>
      <c r="H76" t="s">
        <v>79</v>
      </c>
      <c r="I76" t="s">
        <v>28</v>
      </c>
      <c r="J76" t="s">
        <v>217</v>
      </c>
      <c r="K76" t="s">
        <v>30</v>
      </c>
      <c r="M76" t="s">
        <v>164</v>
      </c>
      <c r="N76">
        <v>15.84</v>
      </c>
      <c r="O76" t="s">
        <v>42</v>
      </c>
    </row>
    <row r="77" spans="1:15" x14ac:dyDescent="0.25">
      <c r="A77" t="s">
        <v>4</v>
      </c>
      <c r="B77" t="s">
        <v>309</v>
      </c>
      <c r="C77" t="s">
        <v>310</v>
      </c>
      <c r="D77" t="s">
        <v>311</v>
      </c>
      <c r="E77">
        <v>781535</v>
      </c>
      <c r="F77" t="s">
        <v>206</v>
      </c>
      <c r="G77" t="s">
        <v>313</v>
      </c>
      <c r="H77" t="s">
        <v>52</v>
      </c>
      <c r="I77" t="s">
        <v>28</v>
      </c>
      <c r="J77" t="s">
        <v>217</v>
      </c>
      <c r="K77" t="s">
        <v>30</v>
      </c>
      <c r="M77" t="s">
        <v>53</v>
      </c>
      <c r="N77">
        <v>4.07</v>
      </c>
      <c r="O77" t="s">
        <v>54</v>
      </c>
    </row>
    <row r="78" spans="1:15" x14ac:dyDescent="0.25">
      <c r="A78" t="s">
        <v>4</v>
      </c>
      <c r="B78" t="s">
        <v>314</v>
      </c>
      <c r="C78" t="s">
        <v>315</v>
      </c>
      <c r="D78" t="s">
        <v>316</v>
      </c>
      <c r="E78">
        <v>764002</v>
      </c>
      <c r="F78" t="s">
        <v>293</v>
      </c>
      <c r="G78" t="s">
        <v>317</v>
      </c>
      <c r="H78" t="s">
        <v>99</v>
      </c>
      <c r="I78" t="s">
        <v>85</v>
      </c>
      <c r="J78" t="s">
        <v>217</v>
      </c>
      <c r="K78" t="s">
        <v>30</v>
      </c>
      <c r="M78" t="s">
        <v>318</v>
      </c>
      <c r="N78">
        <v>29.76</v>
      </c>
      <c r="O78" t="s">
        <v>42</v>
      </c>
    </row>
    <row r="79" spans="1:15" x14ac:dyDescent="0.25">
      <c r="A79" t="s">
        <v>4</v>
      </c>
      <c r="B79" t="s">
        <v>319</v>
      </c>
      <c r="C79" t="s">
        <v>320</v>
      </c>
      <c r="D79" t="s">
        <v>321</v>
      </c>
      <c r="E79">
        <v>678726</v>
      </c>
      <c r="F79" t="s">
        <v>25</v>
      </c>
      <c r="G79" t="s">
        <v>322</v>
      </c>
      <c r="H79" t="s">
        <v>52</v>
      </c>
      <c r="I79" t="s">
        <v>28</v>
      </c>
      <c r="J79" t="s">
        <v>217</v>
      </c>
      <c r="K79" t="s">
        <v>30</v>
      </c>
      <c r="M79" t="s">
        <v>53</v>
      </c>
      <c r="N79">
        <v>4.07</v>
      </c>
      <c r="O79" t="s">
        <v>54</v>
      </c>
    </row>
    <row r="80" spans="1:15" x14ac:dyDescent="0.25">
      <c r="A80" t="s">
        <v>4</v>
      </c>
      <c r="B80" t="s">
        <v>323</v>
      </c>
      <c r="C80" t="s">
        <v>324</v>
      </c>
      <c r="D80" t="s">
        <v>325</v>
      </c>
      <c r="E80">
        <v>820877</v>
      </c>
      <c r="F80" t="s">
        <v>168</v>
      </c>
      <c r="G80" t="s">
        <v>326</v>
      </c>
      <c r="H80" t="s">
        <v>27</v>
      </c>
      <c r="I80" t="s">
        <v>28</v>
      </c>
      <c r="J80" t="s">
        <v>222</v>
      </c>
      <c r="K80" t="s">
        <v>30</v>
      </c>
      <c r="M80" t="s">
        <v>31</v>
      </c>
      <c r="N80">
        <v>8</v>
      </c>
      <c r="O80" t="s">
        <v>32</v>
      </c>
    </row>
    <row r="81" spans="1:15" x14ac:dyDescent="0.25">
      <c r="A81" t="s">
        <v>4</v>
      </c>
      <c r="B81" t="s">
        <v>327</v>
      </c>
      <c r="C81" t="s">
        <v>328</v>
      </c>
      <c r="D81" t="s">
        <v>329</v>
      </c>
      <c r="E81">
        <v>653470</v>
      </c>
      <c r="F81" t="s">
        <v>330</v>
      </c>
      <c r="G81" t="s">
        <v>331</v>
      </c>
      <c r="H81" t="s">
        <v>79</v>
      </c>
      <c r="I81" t="s">
        <v>85</v>
      </c>
      <c r="J81" t="s">
        <v>217</v>
      </c>
      <c r="K81" t="s">
        <v>30</v>
      </c>
      <c r="M81" t="s">
        <v>332</v>
      </c>
      <c r="N81">
        <v>28.8</v>
      </c>
      <c r="O81" t="s">
        <v>42</v>
      </c>
    </row>
    <row r="82" spans="1:15" x14ac:dyDescent="0.25">
      <c r="A82" t="s">
        <v>4</v>
      </c>
      <c r="B82" t="s">
        <v>333</v>
      </c>
      <c r="C82" t="s">
        <v>334</v>
      </c>
      <c r="D82" t="s">
        <v>335</v>
      </c>
      <c r="E82">
        <v>798992</v>
      </c>
      <c r="F82" t="s">
        <v>59</v>
      </c>
      <c r="G82" t="s">
        <v>336</v>
      </c>
      <c r="H82" t="s">
        <v>79</v>
      </c>
      <c r="I82" t="s">
        <v>28</v>
      </c>
      <c r="J82" t="s">
        <v>217</v>
      </c>
      <c r="K82" t="s">
        <v>30</v>
      </c>
      <c r="M82" t="s">
        <v>164</v>
      </c>
      <c r="N82">
        <v>15.84</v>
      </c>
      <c r="O82" t="s">
        <v>42</v>
      </c>
    </row>
    <row r="83" spans="1:15" x14ac:dyDescent="0.25">
      <c r="A83" t="s">
        <v>4</v>
      </c>
      <c r="B83" t="s">
        <v>337</v>
      </c>
      <c r="C83" t="s">
        <v>338</v>
      </c>
      <c r="D83" t="s">
        <v>339</v>
      </c>
      <c r="E83">
        <v>678726</v>
      </c>
      <c r="F83" t="s">
        <v>25</v>
      </c>
      <c r="G83" t="s">
        <v>340</v>
      </c>
      <c r="H83" t="s">
        <v>52</v>
      </c>
      <c r="I83" t="s">
        <v>28</v>
      </c>
      <c r="J83" t="s">
        <v>217</v>
      </c>
      <c r="K83" t="s">
        <v>30</v>
      </c>
      <c r="M83" t="s">
        <v>53</v>
      </c>
      <c r="N83">
        <v>4.07</v>
      </c>
      <c r="O83" t="s">
        <v>54</v>
      </c>
    </row>
    <row r="84" spans="1:15" x14ac:dyDescent="0.25">
      <c r="A84" t="s">
        <v>4</v>
      </c>
      <c r="B84" t="s">
        <v>337</v>
      </c>
      <c r="C84" t="s">
        <v>338</v>
      </c>
      <c r="D84" t="s">
        <v>339</v>
      </c>
      <c r="E84">
        <v>678726</v>
      </c>
      <c r="F84" t="s">
        <v>25</v>
      </c>
      <c r="G84" t="s">
        <v>341</v>
      </c>
      <c r="H84" t="s">
        <v>27</v>
      </c>
      <c r="I84" t="s">
        <v>28</v>
      </c>
      <c r="J84" t="s">
        <v>217</v>
      </c>
      <c r="K84" t="s">
        <v>30</v>
      </c>
      <c r="M84" t="s">
        <v>31</v>
      </c>
      <c r="N84">
        <v>8</v>
      </c>
      <c r="O84" t="s">
        <v>32</v>
      </c>
    </row>
    <row r="85" spans="1:15" x14ac:dyDescent="0.25">
      <c r="A85" t="s">
        <v>4</v>
      </c>
      <c r="B85" t="s">
        <v>342</v>
      </c>
      <c r="C85" t="s">
        <v>343</v>
      </c>
      <c r="D85" t="s">
        <v>344</v>
      </c>
      <c r="E85">
        <v>781535</v>
      </c>
      <c r="F85" t="s">
        <v>206</v>
      </c>
      <c r="G85" t="s">
        <v>345</v>
      </c>
      <c r="H85" t="s">
        <v>52</v>
      </c>
      <c r="I85" t="s">
        <v>111</v>
      </c>
      <c r="J85" t="s">
        <v>217</v>
      </c>
      <c r="K85" t="s">
        <v>30</v>
      </c>
      <c r="M85" t="s">
        <v>112</v>
      </c>
      <c r="N85">
        <v>5.55</v>
      </c>
      <c r="O85" t="s">
        <v>54</v>
      </c>
    </row>
    <row r="86" spans="1:15" x14ac:dyDescent="0.25">
      <c r="A86" t="s">
        <v>4</v>
      </c>
      <c r="B86" t="s">
        <v>342</v>
      </c>
      <c r="C86" t="s">
        <v>343</v>
      </c>
      <c r="D86" t="s">
        <v>344</v>
      </c>
      <c r="E86">
        <v>781535</v>
      </c>
      <c r="F86" t="s">
        <v>206</v>
      </c>
      <c r="G86" t="s">
        <v>346</v>
      </c>
      <c r="H86" t="s">
        <v>79</v>
      </c>
      <c r="I86" t="s">
        <v>85</v>
      </c>
      <c r="J86" t="s">
        <v>217</v>
      </c>
      <c r="K86" t="s">
        <v>30</v>
      </c>
      <c r="M86" t="s">
        <v>347</v>
      </c>
      <c r="N86">
        <v>31.68</v>
      </c>
      <c r="O86" t="s">
        <v>42</v>
      </c>
    </row>
    <row r="87" spans="1:15" x14ac:dyDescent="0.25">
      <c r="A87" t="s">
        <v>4</v>
      </c>
      <c r="B87" t="s">
        <v>348</v>
      </c>
      <c r="C87" t="s">
        <v>349</v>
      </c>
      <c r="D87" t="s">
        <v>350</v>
      </c>
      <c r="E87">
        <v>798992</v>
      </c>
      <c r="F87" t="s">
        <v>59</v>
      </c>
      <c r="G87" t="s">
        <v>351</v>
      </c>
      <c r="H87" t="s">
        <v>27</v>
      </c>
      <c r="I87" t="s">
        <v>145</v>
      </c>
      <c r="J87" t="s">
        <v>217</v>
      </c>
      <c r="K87" t="s">
        <v>30</v>
      </c>
      <c r="M87" t="s">
        <v>352</v>
      </c>
      <c r="N87">
        <v>18.559999999999999</v>
      </c>
      <c r="O87" t="s">
        <v>32</v>
      </c>
    </row>
    <row r="88" spans="1:15" x14ac:dyDescent="0.25">
      <c r="A88" t="s">
        <v>4</v>
      </c>
      <c r="B88" t="s">
        <v>353</v>
      </c>
      <c r="C88" t="s">
        <v>354</v>
      </c>
      <c r="D88" t="s">
        <v>355</v>
      </c>
      <c r="E88">
        <v>678726</v>
      </c>
      <c r="F88" t="s">
        <v>25</v>
      </c>
      <c r="G88" t="s">
        <v>356</v>
      </c>
      <c r="H88" t="s">
        <v>27</v>
      </c>
      <c r="I88" t="s">
        <v>28</v>
      </c>
      <c r="J88" t="s">
        <v>217</v>
      </c>
      <c r="K88" t="s">
        <v>30</v>
      </c>
      <c r="M88" t="s">
        <v>31</v>
      </c>
      <c r="N88">
        <v>8</v>
      </c>
      <c r="O88" t="s">
        <v>32</v>
      </c>
    </row>
    <row r="89" spans="1:15" x14ac:dyDescent="0.25">
      <c r="A89" t="s">
        <v>4</v>
      </c>
      <c r="B89" t="s">
        <v>327</v>
      </c>
      <c r="C89" t="s">
        <v>328</v>
      </c>
      <c r="D89" t="s">
        <v>329</v>
      </c>
      <c r="E89">
        <v>653470</v>
      </c>
      <c r="F89" t="s">
        <v>330</v>
      </c>
      <c r="G89" t="s">
        <v>357</v>
      </c>
      <c r="H89" t="s">
        <v>52</v>
      </c>
      <c r="I89" t="s">
        <v>111</v>
      </c>
      <c r="J89" t="s">
        <v>217</v>
      </c>
      <c r="K89" t="s">
        <v>30</v>
      </c>
      <c r="M89" t="s">
        <v>112</v>
      </c>
      <c r="N89">
        <v>5.55</v>
      </c>
      <c r="O89" t="s">
        <v>54</v>
      </c>
    </row>
    <row r="90" spans="1:15" x14ac:dyDescent="0.25">
      <c r="A90" t="s">
        <v>4</v>
      </c>
      <c r="B90" t="s">
        <v>203</v>
      </c>
      <c r="C90" t="s">
        <v>204</v>
      </c>
      <c r="D90" t="s">
        <v>205</v>
      </c>
      <c r="E90">
        <v>781535</v>
      </c>
      <c r="F90" t="s">
        <v>206</v>
      </c>
      <c r="G90" t="s">
        <v>358</v>
      </c>
      <c r="H90" t="s">
        <v>79</v>
      </c>
      <c r="I90" t="s">
        <v>85</v>
      </c>
      <c r="J90" t="s">
        <v>139</v>
      </c>
      <c r="K90" t="s">
        <v>30</v>
      </c>
      <c r="M90" t="s">
        <v>359</v>
      </c>
      <c r="N90">
        <v>29.04</v>
      </c>
      <c r="O90" t="s">
        <v>42</v>
      </c>
    </row>
    <row r="91" spans="1:15" x14ac:dyDescent="0.25">
      <c r="A91" t="s">
        <v>4</v>
      </c>
      <c r="B91" t="s">
        <v>360</v>
      </c>
      <c r="C91" t="s">
        <v>361</v>
      </c>
      <c r="D91" t="s">
        <v>362</v>
      </c>
      <c r="E91">
        <v>678726</v>
      </c>
      <c r="F91" t="s">
        <v>25</v>
      </c>
      <c r="G91" t="s">
        <v>363</v>
      </c>
      <c r="H91" t="s">
        <v>27</v>
      </c>
      <c r="I91" t="s">
        <v>28</v>
      </c>
      <c r="J91" t="s">
        <v>139</v>
      </c>
      <c r="K91" t="s">
        <v>30</v>
      </c>
      <c r="M91" t="s">
        <v>31</v>
      </c>
      <c r="N91">
        <v>8</v>
      </c>
      <c r="O91" t="s">
        <v>32</v>
      </c>
    </row>
    <row r="92" spans="1:15" x14ac:dyDescent="0.25">
      <c r="A92" t="s">
        <v>4</v>
      </c>
      <c r="B92" t="s">
        <v>364</v>
      </c>
      <c r="C92" t="s">
        <v>280</v>
      </c>
      <c r="D92" t="s">
        <v>365</v>
      </c>
      <c r="E92">
        <v>678726</v>
      </c>
      <c r="F92" t="s">
        <v>25</v>
      </c>
      <c r="G92" t="s">
        <v>366</v>
      </c>
      <c r="H92" t="s">
        <v>27</v>
      </c>
      <c r="I92" t="s">
        <v>85</v>
      </c>
      <c r="J92" t="s">
        <v>139</v>
      </c>
      <c r="K92" t="s">
        <v>30</v>
      </c>
      <c r="M92" t="s">
        <v>182</v>
      </c>
      <c r="N92">
        <v>16</v>
      </c>
      <c r="O92" t="s">
        <v>32</v>
      </c>
    </row>
    <row r="93" spans="1:15" x14ac:dyDescent="0.25">
      <c r="A93" t="s">
        <v>4</v>
      </c>
      <c r="B93" t="s">
        <v>299</v>
      </c>
      <c r="C93" t="s">
        <v>300</v>
      </c>
      <c r="D93" t="s">
        <v>301</v>
      </c>
      <c r="E93">
        <v>820877</v>
      </c>
      <c r="F93" t="s">
        <v>168</v>
      </c>
      <c r="G93" t="s">
        <v>303</v>
      </c>
      <c r="H93" t="s">
        <v>38</v>
      </c>
      <c r="I93" t="s">
        <v>28</v>
      </c>
      <c r="J93" t="s">
        <v>367</v>
      </c>
      <c r="K93" t="s">
        <v>30</v>
      </c>
      <c r="M93" t="s">
        <v>304</v>
      </c>
      <c r="N93">
        <v>10.08</v>
      </c>
      <c r="O93" t="s">
        <v>42</v>
      </c>
    </row>
    <row r="94" spans="1:15" x14ac:dyDescent="0.25">
      <c r="A94" t="s">
        <v>4</v>
      </c>
      <c r="B94" t="s">
        <v>368</v>
      </c>
      <c r="C94" t="s">
        <v>369</v>
      </c>
      <c r="D94" t="s">
        <v>370</v>
      </c>
      <c r="E94">
        <v>798992</v>
      </c>
      <c r="F94" t="s">
        <v>59</v>
      </c>
      <c r="G94" t="s">
        <v>371</v>
      </c>
      <c r="H94" t="s">
        <v>52</v>
      </c>
      <c r="I94" t="s">
        <v>28</v>
      </c>
      <c r="J94" t="s">
        <v>367</v>
      </c>
      <c r="K94" t="s">
        <v>30</v>
      </c>
      <c r="M94" t="s">
        <v>53</v>
      </c>
      <c r="N94">
        <v>4.07</v>
      </c>
      <c r="O94" t="s">
        <v>54</v>
      </c>
    </row>
    <row r="95" spans="1:15" x14ac:dyDescent="0.25">
      <c r="A95" t="s">
        <v>4</v>
      </c>
      <c r="B95" t="s">
        <v>372</v>
      </c>
      <c r="C95" t="s">
        <v>373</v>
      </c>
      <c r="D95" t="s">
        <v>374</v>
      </c>
      <c r="E95">
        <v>689390</v>
      </c>
      <c r="F95" t="s">
        <v>77</v>
      </c>
      <c r="G95" t="s">
        <v>375</v>
      </c>
      <c r="H95" t="s">
        <v>79</v>
      </c>
      <c r="I95" t="s">
        <v>28</v>
      </c>
      <c r="J95" t="s">
        <v>367</v>
      </c>
      <c r="K95" t="s">
        <v>30</v>
      </c>
      <c r="M95" t="s">
        <v>195</v>
      </c>
      <c r="N95">
        <v>14.4</v>
      </c>
      <c r="O95" t="s">
        <v>42</v>
      </c>
    </row>
    <row r="96" spans="1:15" x14ac:dyDescent="0.25">
      <c r="A96" t="s">
        <v>4</v>
      </c>
      <c r="B96" t="s">
        <v>376</v>
      </c>
      <c r="C96" t="s">
        <v>377</v>
      </c>
      <c r="D96" t="s">
        <v>173</v>
      </c>
      <c r="E96">
        <v>678726</v>
      </c>
      <c r="F96" t="s">
        <v>25</v>
      </c>
      <c r="G96" t="s">
        <v>378</v>
      </c>
      <c r="H96" t="s">
        <v>52</v>
      </c>
      <c r="I96" t="s">
        <v>111</v>
      </c>
      <c r="J96" t="s">
        <v>367</v>
      </c>
      <c r="K96" t="s">
        <v>30</v>
      </c>
      <c r="M96" t="s">
        <v>112</v>
      </c>
      <c r="N96">
        <v>5.55</v>
      </c>
      <c r="O96" t="s">
        <v>54</v>
      </c>
    </row>
    <row r="97" spans="1:15" x14ac:dyDescent="0.25">
      <c r="A97" t="s">
        <v>4</v>
      </c>
      <c r="B97" t="s">
        <v>376</v>
      </c>
      <c r="C97" t="s">
        <v>377</v>
      </c>
      <c r="D97" t="s">
        <v>173</v>
      </c>
      <c r="E97">
        <v>678726</v>
      </c>
      <c r="F97" t="s">
        <v>25</v>
      </c>
      <c r="G97" t="s">
        <v>379</v>
      </c>
      <c r="H97" t="s">
        <v>27</v>
      </c>
      <c r="I97" t="s">
        <v>85</v>
      </c>
      <c r="J97" t="s">
        <v>367</v>
      </c>
      <c r="K97" t="s">
        <v>30</v>
      </c>
      <c r="M97" t="s">
        <v>182</v>
      </c>
      <c r="N97">
        <v>16</v>
      </c>
      <c r="O97" t="s">
        <v>32</v>
      </c>
    </row>
    <row r="98" spans="1:15" x14ac:dyDescent="0.25">
      <c r="A98" t="s">
        <v>4</v>
      </c>
      <c r="B98" t="s">
        <v>380</v>
      </c>
      <c r="C98" t="s">
        <v>381</v>
      </c>
      <c r="D98" t="s">
        <v>382</v>
      </c>
      <c r="E98">
        <v>689390</v>
      </c>
      <c r="F98" t="s">
        <v>77</v>
      </c>
      <c r="G98" t="s">
        <v>383</v>
      </c>
      <c r="H98" t="s">
        <v>79</v>
      </c>
      <c r="I98" t="s">
        <v>28</v>
      </c>
      <c r="J98" t="s">
        <v>384</v>
      </c>
      <c r="K98" t="s">
        <v>30</v>
      </c>
      <c r="M98" t="s">
        <v>80</v>
      </c>
      <c r="N98">
        <v>17.04</v>
      </c>
      <c r="O98" t="s">
        <v>42</v>
      </c>
    </row>
    <row r="99" spans="1:15" x14ac:dyDescent="0.25">
      <c r="A99" t="s">
        <v>4</v>
      </c>
      <c r="B99" t="s">
        <v>385</v>
      </c>
      <c r="C99" t="s">
        <v>386</v>
      </c>
      <c r="D99" t="s">
        <v>387</v>
      </c>
      <c r="E99">
        <v>760338</v>
      </c>
      <c r="F99" t="s">
        <v>129</v>
      </c>
      <c r="G99" t="s">
        <v>388</v>
      </c>
      <c r="H99" t="s">
        <v>52</v>
      </c>
      <c r="I99" t="s">
        <v>28</v>
      </c>
      <c r="J99" t="s">
        <v>384</v>
      </c>
      <c r="K99" t="s">
        <v>30</v>
      </c>
      <c r="M99" t="s">
        <v>53</v>
      </c>
      <c r="N99">
        <v>4.07</v>
      </c>
      <c r="O99" t="s">
        <v>54</v>
      </c>
    </row>
    <row r="100" spans="1:15" x14ac:dyDescent="0.25">
      <c r="A100" t="s">
        <v>4</v>
      </c>
      <c r="B100" t="s">
        <v>299</v>
      </c>
      <c r="C100" t="s">
        <v>300</v>
      </c>
      <c r="D100" t="s">
        <v>301</v>
      </c>
      <c r="E100">
        <v>820877</v>
      </c>
      <c r="F100" t="s">
        <v>168</v>
      </c>
      <c r="G100" t="s">
        <v>302</v>
      </c>
      <c r="H100" t="s">
        <v>52</v>
      </c>
      <c r="I100" t="s">
        <v>28</v>
      </c>
      <c r="J100" t="s">
        <v>367</v>
      </c>
      <c r="K100" t="s">
        <v>30</v>
      </c>
      <c r="M100" t="s">
        <v>53</v>
      </c>
      <c r="N100">
        <v>4.07</v>
      </c>
      <c r="O100" t="s">
        <v>54</v>
      </c>
    </row>
    <row r="101" spans="1:15" x14ac:dyDescent="0.25">
      <c r="A101" t="s">
        <v>4</v>
      </c>
      <c r="B101" t="s">
        <v>385</v>
      </c>
      <c r="C101" t="s">
        <v>386</v>
      </c>
      <c r="D101" t="s">
        <v>387</v>
      </c>
      <c r="E101">
        <v>760338</v>
      </c>
      <c r="F101" t="s">
        <v>129</v>
      </c>
      <c r="G101" t="s">
        <v>389</v>
      </c>
      <c r="H101" t="s">
        <v>73</v>
      </c>
      <c r="I101" t="s">
        <v>28</v>
      </c>
      <c r="J101" t="s">
        <v>384</v>
      </c>
      <c r="K101" t="s">
        <v>30</v>
      </c>
      <c r="M101" t="s">
        <v>31</v>
      </c>
      <c r="N101">
        <v>6</v>
      </c>
      <c r="O101" t="s">
        <v>42</v>
      </c>
    </row>
    <row r="102" spans="1:15" x14ac:dyDescent="0.25">
      <c r="A102" t="s">
        <v>4</v>
      </c>
      <c r="B102" t="s">
        <v>390</v>
      </c>
      <c r="C102" t="s">
        <v>391</v>
      </c>
      <c r="D102" t="s">
        <v>392</v>
      </c>
      <c r="E102">
        <v>760338</v>
      </c>
      <c r="F102" t="s">
        <v>129</v>
      </c>
      <c r="G102" t="s">
        <v>393</v>
      </c>
      <c r="H102" t="s">
        <v>73</v>
      </c>
      <c r="I102" t="s">
        <v>28</v>
      </c>
      <c r="J102" t="s">
        <v>394</v>
      </c>
      <c r="K102" t="s">
        <v>30</v>
      </c>
      <c r="M102" t="s">
        <v>31</v>
      </c>
      <c r="N102">
        <v>6</v>
      </c>
      <c r="O102" t="s">
        <v>42</v>
      </c>
    </row>
    <row r="103" spans="1:15" x14ac:dyDescent="0.25">
      <c r="A103" t="s">
        <v>4</v>
      </c>
      <c r="B103" t="s">
        <v>395</v>
      </c>
      <c r="C103" t="s">
        <v>396</v>
      </c>
      <c r="D103" t="s">
        <v>397</v>
      </c>
      <c r="E103">
        <v>678726</v>
      </c>
      <c r="F103" t="s">
        <v>25</v>
      </c>
      <c r="G103" t="s">
        <v>398</v>
      </c>
      <c r="H103" t="s">
        <v>27</v>
      </c>
      <c r="I103" t="s">
        <v>28</v>
      </c>
      <c r="J103" t="s">
        <v>394</v>
      </c>
      <c r="K103" t="s">
        <v>30</v>
      </c>
      <c r="M103" t="s">
        <v>31</v>
      </c>
      <c r="N103">
        <v>8</v>
      </c>
      <c r="O103" t="s">
        <v>32</v>
      </c>
    </row>
    <row r="104" spans="1:15" x14ac:dyDescent="0.25">
      <c r="A104" t="s">
        <v>4</v>
      </c>
      <c r="B104" t="s">
        <v>399</v>
      </c>
      <c r="C104" t="s">
        <v>400</v>
      </c>
      <c r="D104" t="s">
        <v>401</v>
      </c>
      <c r="E104">
        <v>678726</v>
      </c>
      <c r="F104" t="s">
        <v>25</v>
      </c>
      <c r="G104" t="s">
        <v>402</v>
      </c>
      <c r="H104" t="s">
        <v>27</v>
      </c>
      <c r="I104" t="s">
        <v>28</v>
      </c>
      <c r="J104" t="s">
        <v>394</v>
      </c>
      <c r="K104" t="s">
        <v>30</v>
      </c>
      <c r="M104" t="s">
        <v>31</v>
      </c>
      <c r="N104">
        <v>8</v>
      </c>
      <c r="O104" t="s">
        <v>32</v>
      </c>
    </row>
    <row r="105" spans="1:15" x14ac:dyDescent="0.25">
      <c r="A105" t="s">
        <v>4</v>
      </c>
      <c r="B105" t="s">
        <v>403</v>
      </c>
      <c r="C105" t="s">
        <v>404</v>
      </c>
      <c r="D105" t="s">
        <v>405</v>
      </c>
      <c r="E105">
        <v>678726</v>
      </c>
      <c r="F105" t="s">
        <v>25</v>
      </c>
      <c r="G105" t="s">
        <v>406</v>
      </c>
      <c r="H105" t="s">
        <v>152</v>
      </c>
      <c r="I105" t="s">
        <v>28</v>
      </c>
      <c r="J105" t="s">
        <v>394</v>
      </c>
      <c r="K105" t="s">
        <v>30</v>
      </c>
      <c r="M105" t="s">
        <v>153</v>
      </c>
      <c r="N105">
        <v>6.48</v>
      </c>
      <c r="O105" t="s">
        <v>42</v>
      </c>
    </row>
    <row r="106" spans="1:15" x14ac:dyDescent="0.25">
      <c r="A106" t="s">
        <v>4</v>
      </c>
      <c r="B106" t="s">
        <v>407</v>
      </c>
      <c r="C106" t="s">
        <v>408</v>
      </c>
      <c r="D106" t="s">
        <v>409</v>
      </c>
      <c r="E106">
        <v>706472</v>
      </c>
      <c r="F106" t="s">
        <v>199</v>
      </c>
      <c r="G106" t="s">
        <v>410</v>
      </c>
      <c r="H106" t="s">
        <v>27</v>
      </c>
      <c r="I106" t="s">
        <v>28</v>
      </c>
      <c r="J106" t="s">
        <v>394</v>
      </c>
      <c r="K106" t="s">
        <v>30</v>
      </c>
      <c r="M106" t="s">
        <v>67</v>
      </c>
      <c r="N106">
        <v>9.6</v>
      </c>
      <c r="O106" t="s">
        <v>32</v>
      </c>
    </row>
    <row r="107" spans="1:15" x14ac:dyDescent="0.25">
      <c r="A107" t="s">
        <v>4</v>
      </c>
      <c r="B107" t="s">
        <v>411</v>
      </c>
      <c r="C107" t="s">
        <v>412</v>
      </c>
      <c r="D107" t="s">
        <v>413</v>
      </c>
      <c r="E107">
        <v>707256</v>
      </c>
      <c r="F107" t="s">
        <v>137</v>
      </c>
      <c r="G107" t="s">
        <v>414</v>
      </c>
      <c r="H107" t="s">
        <v>27</v>
      </c>
      <c r="I107" t="s">
        <v>28</v>
      </c>
      <c r="J107" t="s">
        <v>394</v>
      </c>
      <c r="K107" t="s">
        <v>30</v>
      </c>
      <c r="M107" t="s">
        <v>31</v>
      </c>
      <c r="N107">
        <v>8</v>
      </c>
      <c r="O107" t="s">
        <v>32</v>
      </c>
    </row>
    <row r="108" spans="1:15" x14ac:dyDescent="0.25">
      <c r="A108" t="s">
        <v>4</v>
      </c>
      <c r="B108" t="s">
        <v>415</v>
      </c>
      <c r="C108" t="s">
        <v>416</v>
      </c>
      <c r="D108" t="s">
        <v>417</v>
      </c>
      <c r="E108">
        <v>678726</v>
      </c>
      <c r="F108" t="s">
        <v>25</v>
      </c>
      <c r="G108" t="s">
        <v>418</v>
      </c>
      <c r="H108" t="s">
        <v>27</v>
      </c>
      <c r="I108" t="s">
        <v>28</v>
      </c>
      <c r="J108" t="s">
        <v>394</v>
      </c>
      <c r="K108" t="s">
        <v>30</v>
      </c>
      <c r="M108" t="s">
        <v>31</v>
      </c>
      <c r="N108">
        <v>8</v>
      </c>
      <c r="O108" t="s">
        <v>32</v>
      </c>
    </row>
    <row r="109" spans="1:15" x14ac:dyDescent="0.25">
      <c r="A109" t="s">
        <v>4</v>
      </c>
      <c r="B109" t="s">
        <v>419</v>
      </c>
      <c r="C109" t="s">
        <v>420</v>
      </c>
      <c r="D109" t="s">
        <v>421</v>
      </c>
      <c r="E109">
        <v>678726</v>
      </c>
      <c r="F109" t="s">
        <v>25</v>
      </c>
      <c r="G109" t="s">
        <v>422</v>
      </c>
      <c r="H109" t="s">
        <v>27</v>
      </c>
      <c r="I109" t="s">
        <v>85</v>
      </c>
      <c r="J109" t="s">
        <v>384</v>
      </c>
      <c r="K109" t="s">
        <v>30</v>
      </c>
      <c r="M109" t="s">
        <v>182</v>
      </c>
      <c r="N109">
        <v>16</v>
      </c>
      <c r="O109" t="s">
        <v>32</v>
      </c>
    </row>
    <row r="110" spans="1:15" x14ac:dyDescent="0.25">
      <c r="A110" t="s">
        <v>4</v>
      </c>
      <c r="B110" t="s">
        <v>423</v>
      </c>
      <c r="C110" t="s">
        <v>424</v>
      </c>
      <c r="D110" t="s">
        <v>425</v>
      </c>
      <c r="E110">
        <v>678726</v>
      </c>
      <c r="F110" t="s">
        <v>25</v>
      </c>
      <c r="G110" t="s">
        <v>426</v>
      </c>
      <c r="H110" t="s">
        <v>27</v>
      </c>
      <c r="I110" t="s">
        <v>28</v>
      </c>
      <c r="J110" t="s">
        <v>394</v>
      </c>
      <c r="K110" t="s">
        <v>30</v>
      </c>
      <c r="M110" t="s">
        <v>31</v>
      </c>
      <c r="N110">
        <v>8</v>
      </c>
      <c r="O110" t="s">
        <v>32</v>
      </c>
    </row>
    <row r="111" spans="1:15" x14ac:dyDescent="0.25">
      <c r="A111" t="s">
        <v>4</v>
      </c>
      <c r="B111" t="s">
        <v>427</v>
      </c>
      <c r="C111" t="s">
        <v>428</v>
      </c>
      <c r="D111" t="s">
        <v>429</v>
      </c>
      <c r="E111">
        <v>711419</v>
      </c>
      <c r="F111" t="s">
        <v>251</v>
      </c>
      <c r="G111" t="s">
        <v>430</v>
      </c>
      <c r="H111" t="s">
        <v>52</v>
      </c>
      <c r="I111" t="s">
        <v>39</v>
      </c>
      <c r="J111" t="s">
        <v>367</v>
      </c>
      <c r="K111" t="s">
        <v>30</v>
      </c>
      <c r="M111" t="s">
        <v>94</v>
      </c>
      <c r="N111">
        <v>0.6</v>
      </c>
      <c r="O111" t="s">
        <v>238</v>
      </c>
    </row>
    <row r="112" spans="1:15" x14ac:dyDescent="0.25">
      <c r="A112" t="s">
        <v>4</v>
      </c>
      <c r="B112" t="s">
        <v>431</v>
      </c>
      <c r="C112" t="s">
        <v>432</v>
      </c>
      <c r="D112" t="s">
        <v>433</v>
      </c>
      <c r="E112">
        <v>678726</v>
      </c>
      <c r="F112" t="s">
        <v>25</v>
      </c>
      <c r="G112" t="s">
        <v>434</v>
      </c>
      <c r="H112" t="s">
        <v>52</v>
      </c>
      <c r="I112" t="s">
        <v>28</v>
      </c>
      <c r="J112" t="s">
        <v>367</v>
      </c>
      <c r="K112" t="s">
        <v>30</v>
      </c>
      <c r="M112" t="s">
        <v>53</v>
      </c>
      <c r="N112">
        <v>4.07</v>
      </c>
      <c r="O112" t="s">
        <v>54</v>
      </c>
    </row>
    <row r="113" spans="1:15" x14ac:dyDescent="0.25">
      <c r="A113" t="s">
        <v>4</v>
      </c>
      <c r="B113" t="s">
        <v>269</v>
      </c>
      <c r="C113" t="s">
        <v>270</v>
      </c>
      <c r="D113" t="s">
        <v>271</v>
      </c>
      <c r="E113">
        <v>678726</v>
      </c>
      <c r="F113" t="s">
        <v>25</v>
      </c>
      <c r="G113" t="s">
        <v>272</v>
      </c>
      <c r="H113" t="s">
        <v>27</v>
      </c>
      <c r="I113" t="s">
        <v>28</v>
      </c>
      <c r="J113" t="s">
        <v>29</v>
      </c>
      <c r="K113" t="s">
        <v>30</v>
      </c>
      <c r="M113" t="s">
        <v>273</v>
      </c>
      <c r="N113">
        <v>9.9600000000000009</v>
      </c>
      <c r="O113" t="s">
        <v>32</v>
      </c>
    </row>
    <row r="114" spans="1:15" x14ac:dyDescent="0.25">
      <c r="A114" t="s">
        <v>4</v>
      </c>
      <c r="B114" t="s">
        <v>274</v>
      </c>
      <c r="C114" t="s">
        <v>275</v>
      </c>
      <c r="D114" t="s">
        <v>276</v>
      </c>
      <c r="E114">
        <v>657149</v>
      </c>
      <c r="F114" t="s">
        <v>277</v>
      </c>
      <c r="G114" t="s">
        <v>278</v>
      </c>
      <c r="H114" t="s">
        <v>52</v>
      </c>
      <c r="I114" t="s">
        <v>28</v>
      </c>
      <c r="J114" t="s">
        <v>29</v>
      </c>
      <c r="K114" t="s">
        <v>30</v>
      </c>
      <c r="M114" t="s">
        <v>53</v>
      </c>
      <c r="N114">
        <v>4.07</v>
      </c>
      <c r="O114" t="s">
        <v>54</v>
      </c>
    </row>
    <row r="115" spans="1:15" x14ac:dyDescent="0.25">
      <c r="A115" t="s">
        <v>4</v>
      </c>
      <c r="B115" t="s">
        <v>260</v>
      </c>
      <c r="C115" t="s">
        <v>261</v>
      </c>
      <c r="D115" t="s">
        <v>262</v>
      </c>
      <c r="E115">
        <v>759555</v>
      </c>
      <c r="F115" t="s">
        <v>143</v>
      </c>
      <c r="G115" t="s">
        <v>263</v>
      </c>
      <c r="H115" t="s">
        <v>52</v>
      </c>
      <c r="I115" t="s">
        <v>28</v>
      </c>
      <c r="J115" t="s">
        <v>29</v>
      </c>
      <c r="K115" t="s">
        <v>30</v>
      </c>
      <c r="M115" t="s">
        <v>53</v>
      </c>
      <c r="N115">
        <v>4.07</v>
      </c>
      <c r="O115" t="s">
        <v>54</v>
      </c>
    </row>
    <row r="116" spans="1:15" x14ac:dyDescent="0.25">
      <c r="A116" t="s">
        <v>4</v>
      </c>
      <c r="B116" t="s">
        <v>260</v>
      </c>
      <c r="C116" t="s">
        <v>261</v>
      </c>
      <c r="D116" t="s">
        <v>262</v>
      </c>
      <c r="E116">
        <v>759555</v>
      </c>
      <c r="F116" t="s">
        <v>143</v>
      </c>
      <c r="G116" t="s">
        <v>284</v>
      </c>
      <c r="H116" t="s">
        <v>38</v>
      </c>
      <c r="I116" t="s">
        <v>28</v>
      </c>
      <c r="J116" t="s">
        <v>29</v>
      </c>
      <c r="K116" t="s">
        <v>30</v>
      </c>
      <c r="M116" t="s">
        <v>285</v>
      </c>
      <c r="N116">
        <v>12.48</v>
      </c>
      <c r="O116" t="s">
        <v>42</v>
      </c>
    </row>
    <row r="117" spans="1:15" x14ac:dyDescent="0.25">
      <c r="A117" t="s">
        <v>4</v>
      </c>
      <c r="B117" t="s">
        <v>435</v>
      </c>
      <c r="C117" t="s">
        <v>436</v>
      </c>
      <c r="D117" t="s">
        <v>437</v>
      </c>
      <c r="E117">
        <v>655758</v>
      </c>
      <c r="F117" t="s">
        <v>438</v>
      </c>
      <c r="G117" t="s">
        <v>439</v>
      </c>
      <c r="H117" t="s">
        <v>152</v>
      </c>
      <c r="I117" t="s">
        <v>85</v>
      </c>
      <c r="J117" t="s">
        <v>367</v>
      </c>
      <c r="K117" t="s">
        <v>30</v>
      </c>
      <c r="M117" t="s">
        <v>440</v>
      </c>
      <c r="N117">
        <v>12.96</v>
      </c>
      <c r="O117" t="s">
        <v>42</v>
      </c>
    </row>
    <row r="118" spans="1:15" x14ac:dyDescent="0.25">
      <c r="A118" t="s">
        <v>4</v>
      </c>
      <c r="B118" t="s">
        <v>435</v>
      </c>
      <c r="C118" t="s">
        <v>436</v>
      </c>
      <c r="D118" t="s">
        <v>437</v>
      </c>
      <c r="E118">
        <v>655758</v>
      </c>
      <c r="F118" t="s">
        <v>438</v>
      </c>
      <c r="G118" t="s">
        <v>441</v>
      </c>
      <c r="H118" t="s">
        <v>52</v>
      </c>
      <c r="I118" t="s">
        <v>111</v>
      </c>
      <c r="J118" t="s">
        <v>367</v>
      </c>
      <c r="K118" t="s">
        <v>30</v>
      </c>
      <c r="M118" t="s">
        <v>112</v>
      </c>
      <c r="N118">
        <v>5.55</v>
      </c>
      <c r="O118" t="s">
        <v>54</v>
      </c>
    </row>
    <row r="119" spans="1:15" x14ac:dyDescent="0.25">
      <c r="A119" t="s">
        <v>4</v>
      </c>
      <c r="B119" t="s">
        <v>265</v>
      </c>
      <c r="C119" t="s">
        <v>266</v>
      </c>
      <c r="D119" t="s">
        <v>267</v>
      </c>
      <c r="E119">
        <v>678726</v>
      </c>
      <c r="F119" t="s">
        <v>25</v>
      </c>
      <c r="G119" t="s">
        <v>268</v>
      </c>
      <c r="H119" t="s">
        <v>27</v>
      </c>
      <c r="I119" t="s">
        <v>85</v>
      </c>
      <c r="J119" t="s">
        <v>367</v>
      </c>
      <c r="K119" t="s">
        <v>30</v>
      </c>
      <c r="M119" t="s">
        <v>182</v>
      </c>
      <c r="N119">
        <v>16</v>
      </c>
      <c r="O119" t="s">
        <v>32</v>
      </c>
    </row>
    <row r="120" spans="1:15" x14ac:dyDescent="0.25">
      <c r="A120" t="s">
        <v>4</v>
      </c>
      <c r="B120" t="s">
        <v>442</v>
      </c>
      <c r="C120" t="s">
        <v>306</v>
      </c>
      <c r="D120" t="s">
        <v>443</v>
      </c>
      <c r="E120">
        <v>655758</v>
      </c>
      <c r="F120" t="s">
        <v>438</v>
      </c>
      <c r="G120" t="s">
        <v>444</v>
      </c>
      <c r="H120" t="s">
        <v>188</v>
      </c>
      <c r="I120" t="s">
        <v>28</v>
      </c>
      <c r="J120" t="s">
        <v>367</v>
      </c>
      <c r="K120" t="s">
        <v>30</v>
      </c>
      <c r="M120" t="s">
        <v>189</v>
      </c>
      <c r="N120">
        <v>5.28</v>
      </c>
      <c r="O120" t="s">
        <v>42</v>
      </c>
    </row>
    <row r="121" spans="1:15" x14ac:dyDescent="0.25">
      <c r="A121" t="s">
        <v>4</v>
      </c>
      <c r="B121" t="s">
        <v>445</v>
      </c>
      <c r="C121" t="s">
        <v>446</v>
      </c>
      <c r="D121" t="s">
        <v>447</v>
      </c>
      <c r="E121">
        <v>678726</v>
      </c>
      <c r="F121" t="s">
        <v>25</v>
      </c>
      <c r="G121" t="s">
        <v>448</v>
      </c>
      <c r="H121" t="s">
        <v>52</v>
      </c>
      <c r="I121" t="s">
        <v>39</v>
      </c>
      <c r="J121" t="s">
        <v>367</v>
      </c>
      <c r="K121" t="s">
        <v>30</v>
      </c>
      <c r="M121" t="s">
        <v>94</v>
      </c>
      <c r="N121">
        <v>7.4</v>
      </c>
      <c r="O121" t="s">
        <v>54</v>
      </c>
    </row>
    <row r="122" spans="1:15" x14ac:dyDescent="0.25">
      <c r="A122" t="s">
        <v>4</v>
      </c>
      <c r="B122" t="s">
        <v>449</v>
      </c>
      <c r="C122" t="s">
        <v>450</v>
      </c>
      <c r="D122" t="s">
        <v>451</v>
      </c>
      <c r="E122">
        <v>678726</v>
      </c>
      <c r="F122" t="s">
        <v>25</v>
      </c>
      <c r="G122" t="s">
        <v>452</v>
      </c>
      <c r="H122" t="s">
        <v>152</v>
      </c>
      <c r="I122" t="s">
        <v>28</v>
      </c>
      <c r="J122" t="s">
        <v>367</v>
      </c>
      <c r="K122" t="s">
        <v>30</v>
      </c>
      <c r="M122" t="s">
        <v>153</v>
      </c>
      <c r="N122">
        <v>6.48</v>
      </c>
      <c r="O122" t="s">
        <v>42</v>
      </c>
    </row>
    <row r="123" spans="1:15" x14ac:dyDescent="0.25">
      <c r="A123" t="s">
        <v>4</v>
      </c>
      <c r="B123" t="s">
        <v>449</v>
      </c>
      <c r="C123" t="s">
        <v>450</v>
      </c>
      <c r="D123" t="s">
        <v>451</v>
      </c>
      <c r="E123">
        <v>678726</v>
      </c>
      <c r="F123" t="s">
        <v>25</v>
      </c>
      <c r="G123" t="s">
        <v>453</v>
      </c>
      <c r="H123" t="s">
        <v>52</v>
      </c>
      <c r="I123" t="s">
        <v>28</v>
      </c>
      <c r="J123" t="s">
        <v>367</v>
      </c>
      <c r="K123" t="s">
        <v>30</v>
      </c>
      <c r="M123" t="s">
        <v>53</v>
      </c>
      <c r="N123">
        <v>4.07</v>
      </c>
      <c r="O123" t="s">
        <v>54</v>
      </c>
    </row>
    <row r="124" spans="1:15" x14ac:dyDescent="0.25">
      <c r="A124" t="s">
        <v>4</v>
      </c>
      <c r="B124" t="s">
        <v>454</v>
      </c>
      <c r="C124" t="s">
        <v>361</v>
      </c>
      <c r="D124" t="s">
        <v>311</v>
      </c>
      <c r="E124">
        <v>759555</v>
      </c>
      <c r="F124" t="s">
        <v>143</v>
      </c>
      <c r="G124" t="s">
        <v>455</v>
      </c>
      <c r="H124" t="s">
        <v>131</v>
      </c>
      <c r="I124" t="s">
        <v>28</v>
      </c>
      <c r="J124" t="s">
        <v>367</v>
      </c>
      <c r="K124" t="s">
        <v>30</v>
      </c>
      <c r="M124" t="s">
        <v>133</v>
      </c>
      <c r="N124">
        <v>9.6</v>
      </c>
      <c r="O124" t="s">
        <v>42</v>
      </c>
    </row>
    <row r="125" spans="1:15" x14ac:dyDescent="0.25">
      <c r="A125" t="s">
        <v>4</v>
      </c>
      <c r="B125" t="s">
        <v>454</v>
      </c>
      <c r="C125" t="s">
        <v>361</v>
      </c>
      <c r="D125" t="s">
        <v>311</v>
      </c>
      <c r="E125">
        <v>759555</v>
      </c>
      <c r="F125" t="s">
        <v>143</v>
      </c>
      <c r="G125" t="s">
        <v>456</v>
      </c>
      <c r="H125" t="s">
        <v>52</v>
      </c>
      <c r="I125" t="s">
        <v>28</v>
      </c>
      <c r="J125" t="s">
        <v>367</v>
      </c>
      <c r="K125" t="s">
        <v>30</v>
      </c>
      <c r="M125" t="s">
        <v>53</v>
      </c>
      <c r="N125">
        <v>4.07</v>
      </c>
      <c r="O125" t="s">
        <v>54</v>
      </c>
    </row>
    <row r="126" spans="1:15" x14ac:dyDescent="0.25">
      <c r="A126" t="s">
        <v>4</v>
      </c>
      <c r="B126" t="s">
        <v>457</v>
      </c>
      <c r="C126" t="s">
        <v>458</v>
      </c>
      <c r="D126" t="s">
        <v>459</v>
      </c>
      <c r="E126">
        <v>678726</v>
      </c>
      <c r="F126" t="s">
        <v>25</v>
      </c>
      <c r="G126" t="s">
        <v>460</v>
      </c>
      <c r="H126" t="s">
        <v>52</v>
      </c>
      <c r="I126" t="s">
        <v>28</v>
      </c>
      <c r="J126" t="s">
        <v>367</v>
      </c>
      <c r="K126" t="s">
        <v>30</v>
      </c>
      <c r="M126" t="s">
        <v>53</v>
      </c>
      <c r="N126">
        <v>4.07</v>
      </c>
      <c r="O126" t="s">
        <v>54</v>
      </c>
    </row>
    <row r="127" spans="1:15" x14ac:dyDescent="0.25">
      <c r="A127" t="s">
        <v>4</v>
      </c>
      <c r="B127" t="s">
        <v>461</v>
      </c>
      <c r="C127" t="s">
        <v>462</v>
      </c>
      <c r="D127" t="s">
        <v>257</v>
      </c>
      <c r="E127">
        <v>689390</v>
      </c>
      <c r="F127" t="s">
        <v>77</v>
      </c>
      <c r="G127" t="s">
        <v>463</v>
      </c>
      <c r="H127" t="s">
        <v>79</v>
      </c>
      <c r="I127" t="s">
        <v>28</v>
      </c>
      <c r="J127" t="s">
        <v>367</v>
      </c>
      <c r="K127" t="s">
        <v>30</v>
      </c>
      <c r="M127" t="s">
        <v>259</v>
      </c>
      <c r="N127">
        <v>17.760000000000002</v>
      </c>
      <c r="O127" t="s">
        <v>42</v>
      </c>
    </row>
    <row r="128" spans="1:15" x14ac:dyDescent="0.25">
      <c r="A128" t="s">
        <v>4</v>
      </c>
      <c r="B128" t="s">
        <v>431</v>
      </c>
      <c r="C128" t="s">
        <v>432</v>
      </c>
      <c r="D128" t="s">
        <v>433</v>
      </c>
      <c r="E128">
        <v>678726</v>
      </c>
      <c r="F128" t="s">
        <v>25</v>
      </c>
      <c r="G128" t="s">
        <v>464</v>
      </c>
      <c r="H128" t="s">
        <v>27</v>
      </c>
      <c r="I128" t="s">
        <v>28</v>
      </c>
      <c r="J128" t="s">
        <v>367</v>
      </c>
      <c r="K128" t="s">
        <v>30</v>
      </c>
      <c r="M128" t="s">
        <v>273</v>
      </c>
      <c r="N128">
        <v>9.9600000000000009</v>
      </c>
      <c r="O128" t="s">
        <v>32</v>
      </c>
    </row>
    <row r="129" spans="1:15" x14ac:dyDescent="0.25">
      <c r="A129" t="s">
        <v>4</v>
      </c>
      <c r="B129" t="s">
        <v>445</v>
      </c>
      <c r="C129" t="s">
        <v>446</v>
      </c>
      <c r="D129" t="s">
        <v>447</v>
      </c>
      <c r="E129">
        <v>678726</v>
      </c>
      <c r="F129" t="s">
        <v>25</v>
      </c>
      <c r="G129" t="s">
        <v>465</v>
      </c>
      <c r="H129" t="s">
        <v>38</v>
      </c>
      <c r="I129" t="s">
        <v>145</v>
      </c>
      <c r="J129" t="s">
        <v>367</v>
      </c>
      <c r="K129" t="s">
        <v>30</v>
      </c>
      <c r="M129" t="s">
        <v>466</v>
      </c>
      <c r="N129">
        <v>23.28</v>
      </c>
      <c r="O129" t="s">
        <v>42</v>
      </c>
    </row>
    <row r="130" spans="1:15" x14ac:dyDescent="0.25">
      <c r="A130" t="s">
        <v>4</v>
      </c>
      <c r="B130" t="s">
        <v>423</v>
      </c>
      <c r="C130" t="s">
        <v>424</v>
      </c>
      <c r="D130" t="s">
        <v>425</v>
      </c>
      <c r="E130">
        <v>678726</v>
      </c>
      <c r="F130" t="s">
        <v>25</v>
      </c>
      <c r="G130" t="s">
        <v>467</v>
      </c>
      <c r="H130" t="s">
        <v>52</v>
      </c>
      <c r="I130" t="s">
        <v>28</v>
      </c>
      <c r="J130" t="s">
        <v>394</v>
      </c>
      <c r="K130" t="s">
        <v>30</v>
      </c>
      <c r="M130" t="s">
        <v>53</v>
      </c>
      <c r="N130">
        <v>4.07</v>
      </c>
      <c r="O130" t="s">
        <v>54</v>
      </c>
    </row>
    <row r="131" spans="1:15" x14ac:dyDescent="0.25">
      <c r="A131" t="s">
        <v>4</v>
      </c>
      <c r="B131" t="s">
        <v>468</v>
      </c>
      <c r="C131" t="s">
        <v>204</v>
      </c>
      <c r="D131" t="s">
        <v>469</v>
      </c>
      <c r="E131">
        <v>847313</v>
      </c>
      <c r="F131" t="s">
        <v>215</v>
      </c>
      <c r="G131" t="s">
        <v>470</v>
      </c>
      <c r="H131" t="s">
        <v>471</v>
      </c>
      <c r="I131" t="s">
        <v>28</v>
      </c>
      <c r="J131" t="s">
        <v>394</v>
      </c>
      <c r="K131" t="s">
        <v>30</v>
      </c>
      <c r="M131" t="s">
        <v>31</v>
      </c>
      <c r="N131">
        <v>6</v>
      </c>
      <c r="O131" t="s">
        <v>42</v>
      </c>
    </row>
    <row r="132" spans="1:15" x14ac:dyDescent="0.25">
      <c r="A132" t="s">
        <v>4</v>
      </c>
      <c r="B132" t="s">
        <v>472</v>
      </c>
      <c r="C132" t="s">
        <v>473</v>
      </c>
      <c r="D132" t="s">
        <v>474</v>
      </c>
      <c r="E132">
        <v>749876</v>
      </c>
      <c r="F132" t="s">
        <v>475</v>
      </c>
      <c r="G132" t="s">
        <v>476</v>
      </c>
      <c r="H132" t="s">
        <v>27</v>
      </c>
      <c r="I132" t="s">
        <v>28</v>
      </c>
      <c r="J132" t="s">
        <v>394</v>
      </c>
      <c r="K132" t="s">
        <v>30</v>
      </c>
      <c r="M132" t="s">
        <v>31</v>
      </c>
      <c r="N132">
        <v>8</v>
      </c>
      <c r="O132" t="s">
        <v>32</v>
      </c>
    </row>
    <row r="133" spans="1:15" x14ac:dyDescent="0.25">
      <c r="A133" t="s">
        <v>4</v>
      </c>
      <c r="B133" t="s">
        <v>477</v>
      </c>
      <c r="C133" t="s">
        <v>478</v>
      </c>
      <c r="D133" t="s">
        <v>479</v>
      </c>
      <c r="E133">
        <v>689390</v>
      </c>
      <c r="F133" t="s">
        <v>77</v>
      </c>
      <c r="G133" t="s">
        <v>480</v>
      </c>
      <c r="H133" t="s">
        <v>79</v>
      </c>
      <c r="I133" t="s">
        <v>28</v>
      </c>
      <c r="J133" t="s">
        <v>481</v>
      </c>
      <c r="K133" t="s">
        <v>30</v>
      </c>
      <c r="M133" t="s">
        <v>80</v>
      </c>
      <c r="N133">
        <v>17.04</v>
      </c>
      <c r="O133" t="s">
        <v>42</v>
      </c>
    </row>
    <row r="134" spans="1:15" x14ac:dyDescent="0.25">
      <c r="A134" t="s">
        <v>4</v>
      </c>
      <c r="B134" t="s">
        <v>482</v>
      </c>
      <c r="C134" t="s">
        <v>483</v>
      </c>
      <c r="D134" t="s">
        <v>484</v>
      </c>
      <c r="E134">
        <v>757209</v>
      </c>
      <c r="F134" t="s">
        <v>485</v>
      </c>
      <c r="G134" t="s">
        <v>486</v>
      </c>
      <c r="H134" t="s">
        <v>52</v>
      </c>
      <c r="I134" t="s">
        <v>111</v>
      </c>
      <c r="J134" t="s">
        <v>481</v>
      </c>
      <c r="K134" t="s">
        <v>30</v>
      </c>
      <c r="M134" t="s">
        <v>112</v>
      </c>
      <c r="N134">
        <v>5.55</v>
      </c>
      <c r="O134" t="s">
        <v>54</v>
      </c>
    </row>
    <row r="135" spans="1:15" x14ac:dyDescent="0.25">
      <c r="A135" t="s">
        <v>4</v>
      </c>
      <c r="B135" t="s">
        <v>487</v>
      </c>
      <c r="C135" t="s">
        <v>488</v>
      </c>
      <c r="D135" t="s">
        <v>489</v>
      </c>
      <c r="E135">
        <v>653470</v>
      </c>
      <c r="F135" t="s">
        <v>330</v>
      </c>
      <c r="G135" t="s">
        <v>490</v>
      </c>
      <c r="H135" t="s">
        <v>491</v>
      </c>
      <c r="I135" t="s">
        <v>39</v>
      </c>
      <c r="J135" t="s">
        <v>481</v>
      </c>
      <c r="K135" t="s">
        <v>30</v>
      </c>
      <c r="M135" t="s">
        <v>492</v>
      </c>
      <c r="N135">
        <v>12.48</v>
      </c>
      <c r="O135" t="s">
        <v>493</v>
      </c>
    </row>
    <row r="136" spans="1:15" x14ac:dyDescent="0.25">
      <c r="A136" t="s">
        <v>4</v>
      </c>
      <c r="B136" t="s">
        <v>487</v>
      </c>
      <c r="C136" t="s">
        <v>488</v>
      </c>
      <c r="D136" t="s">
        <v>489</v>
      </c>
      <c r="E136">
        <v>653470</v>
      </c>
      <c r="F136" t="s">
        <v>330</v>
      </c>
      <c r="G136" t="s">
        <v>494</v>
      </c>
      <c r="H136" t="s">
        <v>495</v>
      </c>
      <c r="I136" t="s">
        <v>39</v>
      </c>
      <c r="J136" t="s">
        <v>481</v>
      </c>
      <c r="K136" t="s">
        <v>30</v>
      </c>
      <c r="M136" t="s">
        <v>496</v>
      </c>
      <c r="N136">
        <v>44.72</v>
      </c>
      <c r="O136" t="s">
        <v>493</v>
      </c>
    </row>
    <row r="137" spans="1:15" x14ac:dyDescent="0.25">
      <c r="A137" t="s">
        <v>4</v>
      </c>
      <c r="B137" t="s">
        <v>468</v>
      </c>
      <c r="C137" t="s">
        <v>204</v>
      </c>
      <c r="D137" t="s">
        <v>469</v>
      </c>
      <c r="E137">
        <v>847313</v>
      </c>
      <c r="F137" t="s">
        <v>215</v>
      </c>
      <c r="G137" t="s">
        <v>497</v>
      </c>
      <c r="H137" t="s">
        <v>471</v>
      </c>
      <c r="I137" t="s">
        <v>85</v>
      </c>
      <c r="J137" t="s">
        <v>481</v>
      </c>
      <c r="K137" t="s">
        <v>498</v>
      </c>
      <c r="L137" t="s">
        <v>499</v>
      </c>
      <c r="M137" t="s">
        <v>182</v>
      </c>
      <c r="N137">
        <v>-12</v>
      </c>
      <c r="O137" t="s">
        <v>42</v>
      </c>
    </row>
    <row r="138" spans="1:15" x14ac:dyDescent="0.25">
      <c r="A138" t="s">
        <v>4</v>
      </c>
      <c r="B138" t="s">
        <v>500</v>
      </c>
      <c r="C138" t="s">
        <v>501</v>
      </c>
      <c r="D138" t="s">
        <v>502</v>
      </c>
      <c r="E138">
        <v>678726</v>
      </c>
      <c r="F138" t="s">
        <v>25</v>
      </c>
      <c r="G138" t="s">
        <v>503</v>
      </c>
      <c r="H138" t="s">
        <v>27</v>
      </c>
      <c r="I138" t="s">
        <v>28</v>
      </c>
      <c r="J138" t="s">
        <v>504</v>
      </c>
      <c r="K138" t="s">
        <v>30</v>
      </c>
      <c r="M138" t="s">
        <v>31</v>
      </c>
      <c r="N138">
        <v>8</v>
      </c>
      <c r="O138" t="s">
        <v>32</v>
      </c>
    </row>
    <row r="139" spans="1:15" x14ac:dyDescent="0.25">
      <c r="A139" t="s">
        <v>4</v>
      </c>
      <c r="B139" t="s">
        <v>505</v>
      </c>
      <c r="C139" t="s">
        <v>506</v>
      </c>
      <c r="D139" t="s">
        <v>507</v>
      </c>
      <c r="E139">
        <v>706472</v>
      </c>
      <c r="F139" t="s">
        <v>199</v>
      </c>
      <c r="G139" t="s">
        <v>508</v>
      </c>
      <c r="H139" t="s">
        <v>27</v>
      </c>
      <c r="I139" t="s">
        <v>85</v>
      </c>
      <c r="J139" t="s">
        <v>504</v>
      </c>
      <c r="K139" t="s">
        <v>30</v>
      </c>
      <c r="M139" t="s">
        <v>182</v>
      </c>
      <c r="N139">
        <v>16</v>
      </c>
      <c r="O139" t="s">
        <v>32</v>
      </c>
    </row>
    <row r="140" spans="1:15" x14ac:dyDescent="0.25">
      <c r="A140" t="s">
        <v>4</v>
      </c>
      <c r="B140" t="s">
        <v>509</v>
      </c>
      <c r="C140" t="s">
        <v>510</v>
      </c>
      <c r="D140" t="s">
        <v>511</v>
      </c>
      <c r="E140">
        <v>678726</v>
      </c>
      <c r="F140" t="s">
        <v>25</v>
      </c>
      <c r="G140" t="s">
        <v>512</v>
      </c>
      <c r="H140" t="s">
        <v>188</v>
      </c>
      <c r="I140" t="s">
        <v>28</v>
      </c>
      <c r="J140" t="s">
        <v>513</v>
      </c>
      <c r="K140" t="s">
        <v>30</v>
      </c>
      <c r="M140" t="s">
        <v>189</v>
      </c>
      <c r="N140">
        <v>5.28</v>
      </c>
      <c r="O140" t="s">
        <v>42</v>
      </c>
    </row>
    <row r="141" spans="1:15" x14ac:dyDescent="0.25">
      <c r="A141" t="s">
        <v>4</v>
      </c>
      <c r="B141" t="s">
        <v>514</v>
      </c>
      <c r="C141" t="s">
        <v>229</v>
      </c>
      <c r="D141" t="s">
        <v>515</v>
      </c>
      <c r="E141">
        <v>678726</v>
      </c>
      <c r="F141" t="s">
        <v>25</v>
      </c>
      <c r="G141" t="s">
        <v>516</v>
      </c>
      <c r="H141" t="s">
        <v>27</v>
      </c>
      <c r="I141" t="s">
        <v>85</v>
      </c>
      <c r="J141" t="s">
        <v>504</v>
      </c>
      <c r="K141" t="s">
        <v>30</v>
      </c>
      <c r="M141" t="s">
        <v>182</v>
      </c>
      <c r="N141">
        <v>16</v>
      </c>
      <c r="O141" t="s">
        <v>32</v>
      </c>
    </row>
    <row r="142" spans="1:15" x14ac:dyDescent="0.25">
      <c r="A142" t="s">
        <v>4</v>
      </c>
      <c r="B142" t="s">
        <v>517</v>
      </c>
      <c r="C142" t="s">
        <v>518</v>
      </c>
      <c r="D142" t="s">
        <v>519</v>
      </c>
      <c r="E142">
        <v>757929</v>
      </c>
      <c r="F142" t="s">
        <v>36</v>
      </c>
      <c r="G142" t="s">
        <v>520</v>
      </c>
      <c r="H142" t="s">
        <v>188</v>
      </c>
      <c r="I142" t="s">
        <v>28</v>
      </c>
      <c r="J142" t="s">
        <v>504</v>
      </c>
      <c r="K142" t="s">
        <v>30</v>
      </c>
      <c r="M142" t="s">
        <v>189</v>
      </c>
      <c r="N142">
        <v>5.28</v>
      </c>
      <c r="O142" t="s">
        <v>42</v>
      </c>
    </row>
    <row r="143" spans="1:15" x14ac:dyDescent="0.25">
      <c r="A143" t="s">
        <v>4</v>
      </c>
      <c r="B143" t="s">
        <v>521</v>
      </c>
      <c r="C143" t="s">
        <v>522</v>
      </c>
      <c r="D143" t="s">
        <v>523</v>
      </c>
      <c r="E143">
        <v>678726</v>
      </c>
      <c r="F143" t="s">
        <v>25</v>
      </c>
      <c r="G143" t="s">
        <v>524</v>
      </c>
      <c r="H143" t="s">
        <v>27</v>
      </c>
      <c r="I143" t="s">
        <v>28</v>
      </c>
      <c r="J143" t="s">
        <v>139</v>
      </c>
      <c r="K143" t="s">
        <v>30</v>
      </c>
      <c r="M143" t="s">
        <v>31</v>
      </c>
      <c r="N143">
        <v>8</v>
      </c>
      <c r="O143" t="s">
        <v>32</v>
      </c>
    </row>
    <row r="144" spans="1:15" x14ac:dyDescent="0.25">
      <c r="A144" t="s">
        <v>4</v>
      </c>
      <c r="B144" t="s">
        <v>525</v>
      </c>
      <c r="C144" t="s">
        <v>526</v>
      </c>
      <c r="D144" t="s">
        <v>527</v>
      </c>
      <c r="E144">
        <v>757209</v>
      </c>
      <c r="F144" t="s">
        <v>485</v>
      </c>
      <c r="G144" t="s">
        <v>528</v>
      </c>
      <c r="H144" t="s">
        <v>131</v>
      </c>
      <c r="I144" t="s">
        <v>145</v>
      </c>
      <c r="J144" t="s">
        <v>139</v>
      </c>
      <c r="K144" t="s">
        <v>30</v>
      </c>
      <c r="M144" t="s">
        <v>529</v>
      </c>
      <c r="N144">
        <v>22.8</v>
      </c>
      <c r="O144" t="s">
        <v>42</v>
      </c>
    </row>
    <row r="145" spans="1:15" x14ac:dyDescent="0.25">
      <c r="A145" t="s">
        <v>4</v>
      </c>
      <c r="B145" t="s">
        <v>525</v>
      </c>
      <c r="C145" t="s">
        <v>526</v>
      </c>
      <c r="D145" t="s">
        <v>527</v>
      </c>
      <c r="E145">
        <v>757209</v>
      </c>
      <c r="F145" t="s">
        <v>485</v>
      </c>
      <c r="G145" t="s">
        <v>530</v>
      </c>
      <c r="H145" t="s">
        <v>52</v>
      </c>
      <c r="I145" t="s">
        <v>111</v>
      </c>
      <c r="J145" t="s">
        <v>139</v>
      </c>
      <c r="K145" t="s">
        <v>30</v>
      </c>
      <c r="M145" t="s">
        <v>112</v>
      </c>
      <c r="N145">
        <v>5.55</v>
      </c>
      <c r="O145" t="s">
        <v>54</v>
      </c>
    </row>
    <row r="146" spans="1:15" x14ac:dyDescent="0.25">
      <c r="A146" t="s">
        <v>4</v>
      </c>
      <c r="B146" t="s">
        <v>531</v>
      </c>
      <c r="C146" t="s">
        <v>156</v>
      </c>
      <c r="D146" t="s">
        <v>532</v>
      </c>
      <c r="E146">
        <v>757929</v>
      </c>
      <c r="F146" t="s">
        <v>36</v>
      </c>
      <c r="G146" t="s">
        <v>533</v>
      </c>
      <c r="H146" t="s">
        <v>131</v>
      </c>
      <c r="I146" t="s">
        <v>28</v>
      </c>
      <c r="J146" t="s">
        <v>139</v>
      </c>
      <c r="K146" t="s">
        <v>30</v>
      </c>
      <c r="M146" t="s">
        <v>133</v>
      </c>
      <c r="N146">
        <v>9.6</v>
      </c>
      <c r="O146" t="s">
        <v>42</v>
      </c>
    </row>
    <row r="147" spans="1:15" x14ac:dyDescent="0.25">
      <c r="A147" t="s">
        <v>4</v>
      </c>
      <c r="B147" t="s">
        <v>534</v>
      </c>
      <c r="C147" t="s">
        <v>535</v>
      </c>
      <c r="D147" t="s">
        <v>536</v>
      </c>
      <c r="E147">
        <v>657149</v>
      </c>
      <c r="F147" t="s">
        <v>277</v>
      </c>
      <c r="G147" t="s">
        <v>537</v>
      </c>
      <c r="H147" t="s">
        <v>538</v>
      </c>
      <c r="I147" t="s">
        <v>39</v>
      </c>
      <c r="J147" t="s">
        <v>139</v>
      </c>
      <c r="K147" t="s">
        <v>30</v>
      </c>
      <c r="M147" t="s">
        <v>539</v>
      </c>
      <c r="N147">
        <v>55.12</v>
      </c>
      <c r="O147" t="s">
        <v>493</v>
      </c>
    </row>
    <row r="148" spans="1:15" x14ac:dyDescent="0.25">
      <c r="A148" t="s">
        <v>4</v>
      </c>
      <c r="B148" t="s">
        <v>540</v>
      </c>
      <c r="C148" t="s">
        <v>541</v>
      </c>
      <c r="D148" t="s">
        <v>542</v>
      </c>
      <c r="E148">
        <v>678726</v>
      </c>
      <c r="F148" t="s">
        <v>25</v>
      </c>
      <c r="G148" t="s">
        <v>543</v>
      </c>
      <c r="H148" t="s">
        <v>52</v>
      </c>
      <c r="I148" t="s">
        <v>28</v>
      </c>
      <c r="J148" t="s">
        <v>139</v>
      </c>
      <c r="K148" t="s">
        <v>30</v>
      </c>
      <c r="M148" t="s">
        <v>53</v>
      </c>
      <c r="N148">
        <v>4.07</v>
      </c>
      <c r="O148" t="s">
        <v>54</v>
      </c>
    </row>
    <row r="149" spans="1:15" x14ac:dyDescent="0.25">
      <c r="A149" t="s">
        <v>4</v>
      </c>
      <c r="B149" t="s">
        <v>544</v>
      </c>
      <c r="C149" t="s">
        <v>545</v>
      </c>
      <c r="D149" t="s">
        <v>515</v>
      </c>
      <c r="E149">
        <v>678726</v>
      </c>
      <c r="F149" t="s">
        <v>25</v>
      </c>
      <c r="G149" t="s">
        <v>546</v>
      </c>
      <c r="H149" t="s">
        <v>27</v>
      </c>
      <c r="I149" t="s">
        <v>28</v>
      </c>
      <c r="J149" t="s">
        <v>504</v>
      </c>
      <c r="K149" t="s">
        <v>30</v>
      </c>
      <c r="M149" t="s">
        <v>31</v>
      </c>
      <c r="N149">
        <v>8</v>
      </c>
      <c r="O149" t="s">
        <v>32</v>
      </c>
    </row>
    <row r="150" spans="1:15" x14ac:dyDescent="0.25">
      <c r="A150" t="s">
        <v>4</v>
      </c>
      <c r="B150" t="s">
        <v>547</v>
      </c>
      <c r="C150" t="s">
        <v>548</v>
      </c>
      <c r="D150" t="s">
        <v>549</v>
      </c>
      <c r="E150">
        <v>689390</v>
      </c>
      <c r="F150" t="s">
        <v>77</v>
      </c>
      <c r="G150" t="s">
        <v>550</v>
      </c>
      <c r="H150" t="s">
        <v>79</v>
      </c>
      <c r="I150" t="s">
        <v>28</v>
      </c>
      <c r="J150" t="s">
        <v>513</v>
      </c>
      <c r="K150" t="s">
        <v>30</v>
      </c>
      <c r="M150" t="s">
        <v>195</v>
      </c>
      <c r="N150">
        <v>14.4</v>
      </c>
      <c r="O150" t="s">
        <v>42</v>
      </c>
    </row>
    <row r="151" spans="1:15" x14ac:dyDescent="0.25">
      <c r="A151" t="s">
        <v>4</v>
      </c>
      <c r="B151" t="s">
        <v>551</v>
      </c>
      <c r="C151" t="s">
        <v>552</v>
      </c>
      <c r="D151" t="s">
        <v>553</v>
      </c>
      <c r="E151">
        <v>798992</v>
      </c>
      <c r="F151" t="s">
        <v>59</v>
      </c>
      <c r="G151" t="s">
        <v>554</v>
      </c>
      <c r="H151" t="s">
        <v>27</v>
      </c>
      <c r="I151" t="s">
        <v>28</v>
      </c>
      <c r="J151" t="s">
        <v>555</v>
      </c>
      <c r="K151" t="s">
        <v>30</v>
      </c>
      <c r="M151" t="s">
        <v>31</v>
      </c>
      <c r="N151">
        <v>8</v>
      </c>
      <c r="O151" t="s">
        <v>32</v>
      </c>
    </row>
    <row r="152" spans="1:15" x14ac:dyDescent="0.25">
      <c r="A152" t="s">
        <v>4</v>
      </c>
      <c r="B152" t="s">
        <v>556</v>
      </c>
      <c r="C152" t="s">
        <v>557</v>
      </c>
      <c r="D152" t="s">
        <v>558</v>
      </c>
      <c r="E152">
        <v>706472</v>
      </c>
      <c r="F152" t="s">
        <v>199</v>
      </c>
      <c r="G152" t="s">
        <v>559</v>
      </c>
      <c r="H152" t="s">
        <v>52</v>
      </c>
      <c r="I152" t="s">
        <v>111</v>
      </c>
      <c r="J152" t="s">
        <v>560</v>
      </c>
      <c r="K152" t="s">
        <v>30</v>
      </c>
      <c r="M152" t="s">
        <v>112</v>
      </c>
      <c r="N152">
        <v>5.55</v>
      </c>
      <c r="O152" t="s">
        <v>54</v>
      </c>
    </row>
    <row r="153" spans="1:15" x14ac:dyDescent="0.25">
      <c r="A153" t="s">
        <v>4</v>
      </c>
      <c r="B153" t="s">
        <v>561</v>
      </c>
      <c r="C153" t="s">
        <v>562</v>
      </c>
      <c r="D153" t="s">
        <v>563</v>
      </c>
      <c r="E153">
        <v>678726</v>
      </c>
      <c r="F153" t="s">
        <v>25</v>
      </c>
      <c r="G153" t="s">
        <v>564</v>
      </c>
      <c r="H153" t="s">
        <v>27</v>
      </c>
      <c r="I153" t="s">
        <v>28</v>
      </c>
      <c r="J153" t="s">
        <v>565</v>
      </c>
      <c r="K153" t="s">
        <v>30</v>
      </c>
      <c r="M153" t="s">
        <v>67</v>
      </c>
      <c r="N153">
        <v>9.6</v>
      </c>
      <c r="O153" t="s">
        <v>32</v>
      </c>
    </row>
    <row r="154" spans="1:15" x14ac:dyDescent="0.25">
      <c r="A154" t="s">
        <v>4</v>
      </c>
      <c r="B154" t="s">
        <v>566</v>
      </c>
      <c r="C154" t="s">
        <v>567</v>
      </c>
      <c r="D154" t="s">
        <v>568</v>
      </c>
      <c r="E154">
        <v>798992</v>
      </c>
      <c r="F154" t="s">
        <v>59</v>
      </c>
      <c r="G154" t="s">
        <v>569</v>
      </c>
      <c r="H154" t="s">
        <v>52</v>
      </c>
      <c r="I154" t="s">
        <v>28</v>
      </c>
      <c r="J154" t="s">
        <v>570</v>
      </c>
      <c r="K154" t="s">
        <v>30</v>
      </c>
      <c r="M154" t="s">
        <v>53</v>
      </c>
      <c r="N154">
        <v>4.07</v>
      </c>
      <c r="O154" t="s">
        <v>54</v>
      </c>
    </row>
    <row r="155" spans="1:15" x14ac:dyDescent="0.25">
      <c r="A155" t="s">
        <v>4</v>
      </c>
      <c r="B155" t="s">
        <v>571</v>
      </c>
      <c r="C155" t="s">
        <v>572</v>
      </c>
      <c r="D155" t="s">
        <v>573</v>
      </c>
      <c r="E155">
        <v>653470</v>
      </c>
      <c r="F155" t="s">
        <v>330</v>
      </c>
      <c r="G155" t="s">
        <v>574</v>
      </c>
      <c r="H155" t="s">
        <v>575</v>
      </c>
      <c r="I155" t="s">
        <v>28</v>
      </c>
      <c r="J155" t="s">
        <v>570</v>
      </c>
      <c r="K155" t="s">
        <v>30</v>
      </c>
      <c r="M155" t="s">
        <v>576</v>
      </c>
      <c r="N155">
        <v>5.76</v>
      </c>
      <c r="O155" t="s">
        <v>32</v>
      </c>
    </row>
    <row r="156" spans="1:15" x14ac:dyDescent="0.25">
      <c r="A156" t="s">
        <v>4</v>
      </c>
      <c r="B156" t="s">
        <v>577</v>
      </c>
      <c r="C156" t="s">
        <v>197</v>
      </c>
      <c r="D156" t="s">
        <v>578</v>
      </c>
      <c r="E156">
        <v>678726</v>
      </c>
      <c r="F156" t="s">
        <v>25</v>
      </c>
      <c r="G156" t="s">
        <v>579</v>
      </c>
      <c r="H156" t="s">
        <v>27</v>
      </c>
      <c r="I156" t="s">
        <v>28</v>
      </c>
      <c r="J156" t="s">
        <v>570</v>
      </c>
      <c r="K156" t="s">
        <v>30</v>
      </c>
      <c r="M156" t="s">
        <v>31</v>
      </c>
      <c r="N156">
        <v>8</v>
      </c>
      <c r="O156" t="s">
        <v>32</v>
      </c>
    </row>
    <row r="157" spans="1:15" x14ac:dyDescent="0.25">
      <c r="A157" t="s">
        <v>4</v>
      </c>
      <c r="B157" t="s">
        <v>580</v>
      </c>
      <c r="C157" t="s">
        <v>581</v>
      </c>
      <c r="D157" t="s">
        <v>582</v>
      </c>
      <c r="E157">
        <v>678726</v>
      </c>
      <c r="F157" t="s">
        <v>25</v>
      </c>
      <c r="G157" t="s">
        <v>583</v>
      </c>
      <c r="H157" t="s">
        <v>52</v>
      </c>
      <c r="I157" t="s">
        <v>28</v>
      </c>
      <c r="J157" t="s">
        <v>584</v>
      </c>
      <c r="K157" t="s">
        <v>30</v>
      </c>
      <c r="M157" t="s">
        <v>53</v>
      </c>
      <c r="N157">
        <v>4.07</v>
      </c>
      <c r="O157" t="s">
        <v>54</v>
      </c>
    </row>
    <row r="158" spans="1:15" x14ac:dyDescent="0.25">
      <c r="A158" t="s">
        <v>4</v>
      </c>
      <c r="B158" t="s">
        <v>585</v>
      </c>
      <c r="C158" t="s">
        <v>586</v>
      </c>
      <c r="D158" t="s">
        <v>316</v>
      </c>
      <c r="E158">
        <v>820877</v>
      </c>
      <c r="F158" t="s">
        <v>168</v>
      </c>
      <c r="G158" t="s">
        <v>587</v>
      </c>
      <c r="H158" t="s">
        <v>27</v>
      </c>
      <c r="I158" t="s">
        <v>85</v>
      </c>
      <c r="J158" t="s">
        <v>588</v>
      </c>
      <c r="K158" t="s">
        <v>30</v>
      </c>
      <c r="M158" t="s">
        <v>182</v>
      </c>
      <c r="N158">
        <v>16</v>
      </c>
      <c r="O158" t="s">
        <v>32</v>
      </c>
    </row>
    <row r="159" spans="1:15" x14ac:dyDescent="0.25">
      <c r="A159" t="s">
        <v>4</v>
      </c>
      <c r="B159" t="s">
        <v>589</v>
      </c>
      <c r="C159" t="s">
        <v>590</v>
      </c>
      <c r="D159" t="s">
        <v>591</v>
      </c>
      <c r="E159">
        <v>689390</v>
      </c>
      <c r="F159" t="s">
        <v>77</v>
      </c>
      <c r="G159" t="s">
        <v>592</v>
      </c>
      <c r="H159" t="s">
        <v>27</v>
      </c>
      <c r="I159" t="s">
        <v>28</v>
      </c>
      <c r="J159" t="s">
        <v>593</v>
      </c>
      <c r="K159" t="s">
        <v>30</v>
      </c>
      <c r="M159" t="s">
        <v>67</v>
      </c>
      <c r="N159">
        <v>9.6</v>
      </c>
      <c r="O159" t="s">
        <v>32</v>
      </c>
    </row>
    <row r="160" spans="1:15" x14ac:dyDescent="0.25">
      <c r="A160" t="s">
        <v>4</v>
      </c>
      <c r="B160" t="s">
        <v>594</v>
      </c>
      <c r="C160" t="s">
        <v>595</v>
      </c>
      <c r="D160" t="s">
        <v>596</v>
      </c>
      <c r="E160">
        <v>759555</v>
      </c>
      <c r="F160" t="s">
        <v>143</v>
      </c>
      <c r="G160" t="s">
        <v>597</v>
      </c>
      <c r="H160" t="s">
        <v>38</v>
      </c>
      <c r="I160" t="s">
        <v>28</v>
      </c>
      <c r="J160" t="s">
        <v>593</v>
      </c>
      <c r="K160" t="s">
        <v>30</v>
      </c>
      <c r="M160" t="s">
        <v>285</v>
      </c>
      <c r="N160">
        <v>12.48</v>
      </c>
      <c r="O160" t="s">
        <v>42</v>
      </c>
    </row>
    <row r="161" spans="1:15" x14ac:dyDescent="0.25">
      <c r="A161" t="s">
        <v>4</v>
      </c>
      <c r="B161" t="s">
        <v>598</v>
      </c>
      <c r="C161" t="s">
        <v>599</v>
      </c>
      <c r="D161" t="s">
        <v>600</v>
      </c>
      <c r="E161">
        <v>798992</v>
      </c>
      <c r="F161" t="s">
        <v>59</v>
      </c>
      <c r="G161" t="s">
        <v>601</v>
      </c>
      <c r="H161" t="s">
        <v>27</v>
      </c>
      <c r="I161" t="s">
        <v>28</v>
      </c>
      <c r="J161" t="s">
        <v>593</v>
      </c>
      <c r="K161" t="s">
        <v>30</v>
      </c>
      <c r="M161" t="s">
        <v>31</v>
      </c>
      <c r="N161">
        <v>8</v>
      </c>
      <c r="O161" t="s">
        <v>32</v>
      </c>
    </row>
    <row r="162" spans="1:15" x14ac:dyDescent="0.25">
      <c r="A162" t="s">
        <v>4</v>
      </c>
      <c r="B162" t="s">
        <v>602</v>
      </c>
      <c r="C162" t="s">
        <v>603</v>
      </c>
      <c r="D162" t="s">
        <v>604</v>
      </c>
      <c r="E162">
        <v>678726</v>
      </c>
      <c r="F162" t="s">
        <v>25</v>
      </c>
      <c r="G162" t="s">
        <v>605</v>
      </c>
      <c r="H162" t="s">
        <v>27</v>
      </c>
      <c r="I162" t="s">
        <v>28</v>
      </c>
      <c r="J162" t="s">
        <v>593</v>
      </c>
      <c r="K162" t="s">
        <v>30</v>
      </c>
      <c r="M162" t="s">
        <v>31</v>
      </c>
      <c r="N162">
        <v>8</v>
      </c>
      <c r="O162" t="s">
        <v>32</v>
      </c>
    </row>
    <row r="163" spans="1:15" x14ac:dyDescent="0.25">
      <c r="A163" t="s">
        <v>4</v>
      </c>
      <c r="B163" t="s">
        <v>606</v>
      </c>
      <c r="C163" t="s">
        <v>607</v>
      </c>
      <c r="D163" t="s">
        <v>608</v>
      </c>
      <c r="E163">
        <v>678726</v>
      </c>
      <c r="F163" t="s">
        <v>25</v>
      </c>
      <c r="G163" t="s">
        <v>609</v>
      </c>
      <c r="H163" t="s">
        <v>52</v>
      </c>
      <c r="I163" t="s">
        <v>28</v>
      </c>
      <c r="J163" t="s">
        <v>593</v>
      </c>
      <c r="K163" t="s">
        <v>30</v>
      </c>
      <c r="M163" t="s">
        <v>53</v>
      </c>
      <c r="N163">
        <v>4.07</v>
      </c>
      <c r="O163" t="s">
        <v>54</v>
      </c>
    </row>
    <row r="164" spans="1:15" x14ac:dyDescent="0.25">
      <c r="A164" t="s">
        <v>4</v>
      </c>
      <c r="B164" t="s">
        <v>610</v>
      </c>
      <c r="C164" t="s">
        <v>361</v>
      </c>
      <c r="D164" t="s">
        <v>611</v>
      </c>
      <c r="E164">
        <v>678726</v>
      </c>
      <c r="F164" t="s">
        <v>25</v>
      </c>
      <c r="G164" t="s">
        <v>612</v>
      </c>
      <c r="H164" t="s">
        <v>27</v>
      </c>
      <c r="I164" t="s">
        <v>28</v>
      </c>
      <c r="J164" t="s">
        <v>593</v>
      </c>
      <c r="K164" t="s">
        <v>30</v>
      </c>
      <c r="M164" t="s">
        <v>31</v>
      </c>
      <c r="N164">
        <v>8</v>
      </c>
      <c r="O164" t="s">
        <v>32</v>
      </c>
    </row>
    <row r="165" spans="1:15" x14ac:dyDescent="0.25">
      <c r="A165" t="s">
        <v>4</v>
      </c>
      <c r="B165" t="s">
        <v>613</v>
      </c>
      <c r="C165" t="s">
        <v>34</v>
      </c>
      <c r="D165" t="s">
        <v>614</v>
      </c>
      <c r="E165">
        <v>798992</v>
      </c>
      <c r="F165" t="s">
        <v>59</v>
      </c>
      <c r="G165" t="s">
        <v>615</v>
      </c>
      <c r="H165" t="s">
        <v>152</v>
      </c>
      <c r="I165" t="s">
        <v>28</v>
      </c>
      <c r="J165" t="s">
        <v>593</v>
      </c>
      <c r="K165" t="s">
        <v>30</v>
      </c>
      <c r="M165" t="s">
        <v>153</v>
      </c>
      <c r="N165">
        <v>6.48</v>
      </c>
      <c r="O165" t="s">
        <v>42</v>
      </c>
    </row>
    <row r="166" spans="1:15" x14ac:dyDescent="0.25">
      <c r="A166" t="s">
        <v>4</v>
      </c>
      <c r="B166" t="s">
        <v>616</v>
      </c>
      <c r="C166" t="s">
        <v>617</v>
      </c>
      <c r="D166" t="s">
        <v>618</v>
      </c>
      <c r="E166">
        <v>798992</v>
      </c>
      <c r="F166" t="s">
        <v>59</v>
      </c>
      <c r="G166" t="s">
        <v>619</v>
      </c>
      <c r="H166" t="s">
        <v>27</v>
      </c>
      <c r="I166" t="s">
        <v>28</v>
      </c>
      <c r="J166" t="s">
        <v>593</v>
      </c>
      <c r="K166" t="s">
        <v>30</v>
      </c>
      <c r="M166" t="s">
        <v>31</v>
      </c>
      <c r="N166">
        <v>8</v>
      </c>
      <c r="O166" t="s">
        <v>32</v>
      </c>
    </row>
    <row r="167" spans="1:15" x14ac:dyDescent="0.25">
      <c r="A167" t="s">
        <v>4</v>
      </c>
      <c r="B167" t="s">
        <v>620</v>
      </c>
      <c r="C167" t="s">
        <v>621</v>
      </c>
      <c r="D167" t="s">
        <v>622</v>
      </c>
      <c r="E167">
        <v>678726</v>
      </c>
      <c r="F167" t="s">
        <v>25</v>
      </c>
      <c r="G167" t="s">
        <v>623</v>
      </c>
      <c r="H167" t="s">
        <v>27</v>
      </c>
      <c r="I167" t="s">
        <v>85</v>
      </c>
      <c r="J167" t="s">
        <v>560</v>
      </c>
      <c r="K167" t="s">
        <v>30</v>
      </c>
      <c r="M167" t="s">
        <v>182</v>
      </c>
      <c r="N167">
        <v>16</v>
      </c>
      <c r="O167" t="s">
        <v>32</v>
      </c>
    </row>
    <row r="168" spans="1:15" x14ac:dyDescent="0.25">
      <c r="A168" t="s">
        <v>4</v>
      </c>
      <c r="B168" t="s">
        <v>624</v>
      </c>
      <c r="C168" t="s">
        <v>625</v>
      </c>
      <c r="D168" t="s">
        <v>626</v>
      </c>
      <c r="E168">
        <v>678726</v>
      </c>
      <c r="F168" t="s">
        <v>25</v>
      </c>
      <c r="G168" t="s">
        <v>627</v>
      </c>
      <c r="H168" t="s">
        <v>27</v>
      </c>
      <c r="I168" t="s">
        <v>28</v>
      </c>
      <c r="J168" t="s">
        <v>560</v>
      </c>
      <c r="K168" t="s">
        <v>30</v>
      </c>
      <c r="M168" t="s">
        <v>31</v>
      </c>
      <c r="N168">
        <v>8</v>
      </c>
      <c r="O168" t="s">
        <v>32</v>
      </c>
    </row>
    <row r="169" spans="1:15" x14ac:dyDescent="0.25">
      <c r="A169" t="s">
        <v>4</v>
      </c>
      <c r="B169" t="s">
        <v>556</v>
      </c>
      <c r="C169" t="s">
        <v>557</v>
      </c>
      <c r="D169" t="s">
        <v>558</v>
      </c>
      <c r="E169">
        <v>706472</v>
      </c>
      <c r="F169" t="s">
        <v>199</v>
      </c>
      <c r="G169" t="s">
        <v>628</v>
      </c>
      <c r="H169" t="s">
        <v>27</v>
      </c>
      <c r="I169" t="s">
        <v>85</v>
      </c>
      <c r="J169" t="s">
        <v>560</v>
      </c>
      <c r="K169" t="s">
        <v>30</v>
      </c>
      <c r="M169" t="s">
        <v>182</v>
      </c>
      <c r="N169">
        <v>16</v>
      </c>
      <c r="O169" t="s">
        <v>32</v>
      </c>
    </row>
    <row r="170" spans="1:15" x14ac:dyDescent="0.25">
      <c r="A170" t="s">
        <v>4</v>
      </c>
      <c r="B170" t="s">
        <v>629</v>
      </c>
      <c r="C170" t="s">
        <v>630</v>
      </c>
      <c r="D170" t="s">
        <v>631</v>
      </c>
      <c r="E170">
        <v>678726</v>
      </c>
      <c r="F170" t="s">
        <v>25</v>
      </c>
      <c r="G170" t="s">
        <v>632</v>
      </c>
      <c r="H170" t="s">
        <v>152</v>
      </c>
      <c r="I170" t="s">
        <v>28</v>
      </c>
      <c r="J170" t="s">
        <v>264</v>
      </c>
      <c r="K170" t="s">
        <v>30</v>
      </c>
      <c r="M170" t="s">
        <v>153</v>
      </c>
      <c r="N170">
        <v>6.48</v>
      </c>
      <c r="O170" t="s">
        <v>42</v>
      </c>
    </row>
    <row r="171" spans="1:15" x14ac:dyDescent="0.25">
      <c r="A171" t="s">
        <v>4</v>
      </c>
      <c r="B171" t="s">
        <v>629</v>
      </c>
      <c r="C171" t="s">
        <v>630</v>
      </c>
      <c r="D171" t="s">
        <v>631</v>
      </c>
      <c r="E171">
        <v>678726</v>
      </c>
      <c r="F171" t="s">
        <v>25</v>
      </c>
      <c r="G171" t="s">
        <v>633</v>
      </c>
      <c r="H171" t="s">
        <v>52</v>
      </c>
      <c r="I171" t="s">
        <v>28</v>
      </c>
      <c r="J171" t="s">
        <v>264</v>
      </c>
      <c r="K171" t="s">
        <v>30</v>
      </c>
      <c r="M171" t="s">
        <v>53</v>
      </c>
      <c r="N171">
        <v>4.07</v>
      </c>
      <c r="O171" t="s">
        <v>54</v>
      </c>
    </row>
    <row r="172" spans="1:15" x14ac:dyDescent="0.25">
      <c r="A172" s="9" t="s">
        <v>634</v>
      </c>
      <c r="N172" s="10">
        <v>1608.63</v>
      </c>
    </row>
    <row r="174" spans="1:15" ht="18.75" x14ac:dyDescent="0.3">
      <c r="A174" s="11" t="s">
        <v>635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2">
        <v>1608.63</v>
      </c>
      <c r="O174" s="11"/>
    </row>
  </sheetData>
  <mergeCells count="1"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61"/>
  <sheetViews>
    <sheetView topLeftCell="S4" workbookViewId="0">
      <selection activeCell="F27" sqref="A27:XFD27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21" customWidth="1"/>
    <col min="6" max="6" width="8" customWidth="1"/>
    <col min="7" max="7" width="7" customWidth="1"/>
    <col min="8" max="8" width="8" customWidth="1"/>
    <col min="9" max="9" width="16" customWidth="1"/>
    <col min="10" max="10" width="24" customWidth="1"/>
    <col min="11" max="12" width="17" hidden="1" customWidth="1"/>
    <col min="13" max="13" width="12" hidden="1" customWidth="1"/>
    <col min="14" max="14" width="13" hidden="1" customWidth="1"/>
    <col min="15" max="15" width="15" hidden="1" customWidth="1"/>
    <col min="16" max="16" width="11" customWidth="1"/>
    <col min="17" max="17" width="16" hidden="1" customWidth="1"/>
    <col min="18" max="18" width="19" customWidth="1"/>
    <col min="19" max="19" width="18" customWidth="1"/>
    <col min="20" max="20" width="14" customWidth="1"/>
    <col min="21" max="21" width="17" customWidth="1"/>
    <col min="22" max="22" width="30" customWidth="1"/>
    <col min="23" max="23" width="23" customWidth="1"/>
    <col min="24" max="24" width="22" hidden="1" customWidth="1"/>
    <col min="25" max="25" width="12" customWidth="1"/>
    <col min="26" max="26" width="30" customWidth="1"/>
    <col min="27" max="27" width="22" customWidth="1"/>
    <col min="28" max="28" width="9" customWidth="1"/>
    <col min="29" max="29" width="18" customWidth="1"/>
    <col min="30" max="30" width="20" customWidth="1"/>
    <col min="31" max="31" width="22" customWidth="1"/>
    <col min="32" max="32" width="21" customWidth="1"/>
    <col min="33" max="33" width="15" customWidth="1"/>
    <col min="34" max="34" width="30" customWidth="1"/>
    <col min="35" max="35" width="20" hidden="1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hidden="1" customWidth="1"/>
    <col min="45" max="45" width="13" customWidth="1"/>
    <col min="46" max="46" width="30" customWidth="1"/>
    <col min="47" max="47" width="16" customWidth="1"/>
    <col min="48" max="48" width="17" customWidth="1"/>
    <col min="49" max="49" width="22" customWidth="1"/>
  </cols>
  <sheetData>
    <row r="1" spans="1:49" x14ac:dyDescent="0.25">
      <c r="A1" s="13" t="s">
        <v>15</v>
      </c>
      <c r="B1" s="13" t="s">
        <v>636</v>
      </c>
      <c r="C1" s="13" t="s">
        <v>637</v>
      </c>
      <c r="D1" s="13" t="s">
        <v>638</v>
      </c>
      <c r="E1" s="13" t="s">
        <v>17</v>
      </c>
      <c r="F1" s="13" t="s">
        <v>639</v>
      </c>
      <c r="G1" s="13" t="s">
        <v>640</v>
      </c>
      <c r="H1" s="13" t="s">
        <v>19</v>
      </c>
      <c r="I1" s="13" t="s">
        <v>641</v>
      </c>
      <c r="J1" s="13" t="s">
        <v>642</v>
      </c>
      <c r="K1" s="13" t="s">
        <v>643</v>
      </c>
      <c r="L1" s="13" t="s">
        <v>644</v>
      </c>
      <c r="M1" s="13" t="s">
        <v>645</v>
      </c>
      <c r="N1" s="13" t="s">
        <v>646</v>
      </c>
      <c r="O1" s="13" t="s">
        <v>647</v>
      </c>
      <c r="P1" s="13" t="s">
        <v>7</v>
      </c>
      <c r="Q1" s="13" t="s">
        <v>648</v>
      </c>
      <c r="R1" s="13" t="s">
        <v>8</v>
      </c>
      <c r="S1" s="13" t="s">
        <v>9</v>
      </c>
      <c r="T1" s="13" t="s">
        <v>649</v>
      </c>
      <c r="U1" s="13" t="s">
        <v>10</v>
      </c>
      <c r="V1" s="13" t="s">
        <v>11</v>
      </c>
      <c r="W1" s="13" t="s">
        <v>650</v>
      </c>
      <c r="X1" s="13" t="s">
        <v>651</v>
      </c>
      <c r="Y1" s="13" t="s">
        <v>652</v>
      </c>
      <c r="Z1" s="13" t="s">
        <v>13</v>
      </c>
      <c r="AA1" s="13" t="s">
        <v>14</v>
      </c>
      <c r="AB1" s="13" t="s">
        <v>653</v>
      </c>
      <c r="AC1" s="13" t="s">
        <v>654</v>
      </c>
      <c r="AD1" s="13" t="s">
        <v>655</v>
      </c>
      <c r="AE1" s="13" t="s">
        <v>656</v>
      </c>
      <c r="AF1" s="13" t="s">
        <v>657</v>
      </c>
      <c r="AG1" s="13" t="s">
        <v>12</v>
      </c>
      <c r="AH1" s="13" t="s">
        <v>658</v>
      </c>
      <c r="AI1" s="13" t="s">
        <v>659</v>
      </c>
      <c r="AJ1" s="13" t="s">
        <v>16</v>
      </c>
      <c r="AK1" s="13" t="s">
        <v>660</v>
      </c>
      <c r="AL1" s="13" t="s">
        <v>661</v>
      </c>
      <c r="AM1" s="13" t="s">
        <v>662</v>
      </c>
      <c r="AN1" s="13" t="s">
        <v>663</v>
      </c>
      <c r="AO1" s="13" t="s">
        <v>18</v>
      </c>
      <c r="AP1" s="13" t="s">
        <v>20</v>
      </c>
      <c r="AQ1" s="13" t="s">
        <v>664</v>
      </c>
      <c r="AR1" s="13" t="s">
        <v>665</v>
      </c>
      <c r="AS1" s="13" t="s">
        <v>6</v>
      </c>
      <c r="AT1" s="13" t="s">
        <v>666</v>
      </c>
      <c r="AU1" s="13" t="s">
        <v>667</v>
      </c>
      <c r="AV1" s="13" t="s">
        <v>668</v>
      </c>
      <c r="AW1" s="13" t="s">
        <v>669</v>
      </c>
    </row>
    <row r="2" spans="1:49" x14ac:dyDescent="0.25">
      <c r="A2" t="s">
        <v>29</v>
      </c>
      <c r="B2" t="s">
        <v>670</v>
      </c>
      <c r="C2" t="s">
        <v>671</v>
      </c>
      <c r="D2" t="s">
        <v>672</v>
      </c>
      <c r="F2">
        <v>8</v>
      </c>
      <c r="G2">
        <v>0</v>
      </c>
      <c r="H2" s="14">
        <v>8</v>
      </c>
      <c r="I2">
        <v>653470</v>
      </c>
      <c r="J2" t="s">
        <v>330</v>
      </c>
      <c r="P2" t="s">
        <v>22</v>
      </c>
      <c r="R2" t="s">
        <v>23</v>
      </c>
      <c r="S2" t="s">
        <v>24</v>
      </c>
      <c r="T2" t="s">
        <v>673</v>
      </c>
      <c r="U2">
        <v>678726</v>
      </c>
      <c r="V2" t="s">
        <v>25</v>
      </c>
      <c r="W2" t="s">
        <v>674</v>
      </c>
      <c r="Y2">
        <v>45041</v>
      </c>
      <c r="Z2" t="s">
        <v>27</v>
      </c>
      <c r="AA2" t="s">
        <v>28</v>
      </c>
      <c r="AB2" t="s">
        <v>675</v>
      </c>
      <c r="AC2" t="s">
        <v>676</v>
      </c>
      <c r="AD2" t="s">
        <v>677</v>
      </c>
      <c r="AE2" t="s">
        <v>678</v>
      </c>
      <c r="AF2" t="s">
        <v>679</v>
      </c>
      <c r="AG2" t="s">
        <v>26</v>
      </c>
      <c r="AH2" t="s">
        <v>680</v>
      </c>
      <c r="AJ2" t="s">
        <v>30</v>
      </c>
      <c r="AK2" t="s">
        <v>681</v>
      </c>
      <c r="AL2">
        <v>12</v>
      </c>
      <c r="AM2" t="s">
        <v>670</v>
      </c>
      <c r="AN2" t="s">
        <v>682</v>
      </c>
      <c r="AO2" s="14">
        <v>25</v>
      </c>
      <c r="AP2" t="s">
        <v>32</v>
      </c>
      <c r="AQ2">
        <v>1554040385</v>
      </c>
      <c r="AS2" t="s">
        <v>4</v>
      </c>
      <c r="AT2" t="s">
        <v>31</v>
      </c>
      <c r="AU2">
        <v>8</v>
      </c>
      <c r="AV2" t="s">
        <v>32</v>
      </c>
      <c r="AW2" t="s">
        <v>29</v>
      </c>
    </row>
    <row r="3" spans="1:49" x14ac:dyDescent="0.25">
      <c r="A3" t="s">
        <v>29</v>
      </c>
      <c r="B3" t="s">
        <v>670</v>
      </c>
      <c r="C3" t="s">
        <v>671</v>
      </c>
      <c r="D3" t="s">
        <v>672</v>
      </c>
      <c r="F3">
        <v>9.9600000000000009</v>
      </c>
      <c r="G3">
        <v>0</v>
      </c>
      <c r="H3" s="14">
        <v>9.9600000000000009</v>
      </c>
      <c r="I3">
        <v>653470</v>
      </c>
      <c r="J3" t="s">
        <v>330</v>
      </c>
      <c r="P3" t="s">
        <v>269</v>
      </c>
      <c r="R3" t="s">
        <v>270</v>
      </c>
      <c r="S3" t="s">
        <v>271</v>
      </c>
      <c r="T3" t="s">
        <v>673</v>
      </c>
      <c r="U3">
        <v>678726</v>
      </c>
      <c r="V3" t="s">
        <v>25</v>
      </c>
      <c r="W3" t="s">
        <v>674</v>
      </c>
      <c r="Y3">
        <v>45041</v>
      </c>
      <c r="Z3" t="s">
        <v>27</v>
      </c>
      <c r="AA3" t="s">
        <v>28</v>
      </c>
      <c r="AB3" t="s">
        <v>675</v>
      </c>
      <c r="AC3" t="s">
        <v>676</v>
      </c>
      <c r="AD3" t="s">
        <v>677</v>
      </c>
      <c r="AE3" t="s">
        <v>683</v>
      </c>
      <c r="AF3" t="s">
        <v>684</v>
      </c>
      <c r="AG3" t="s">
        <v>272</v>
      </c>
      <c r="AH3" t="s">
        <v>685</v>
      </c>
      <c r="AJ3" t="s">
        <v>30</v>
      </c>
      <c r="AK3" t="s">
        <v>681</v>
      </c>
      <c r="AL3">
        <v>17</v>
      </c>
      <c r="AM3" t="s">
        <v>670</v>
      </c>
      <c r="AN3" t="s">
        <v>682</v>
      </c>
      <c r="AO3" s="14">
        <v>31.13</v>
      </c>
      <c r="AP3" t="s">
        <v>32</v>
      </c>
      <c r="AQ3">
        <v>1554041929</v>
      </c>
      <c r="AS3" t="s">
        <v>4</v>
      </c>
      <c r="AT3" t="s">
        <v>273</v>
      </c>
      <c r="AU3">
        <v>9.9600000000000009</v>
      </c>
      <c r="AV3" t="s">
        <v>32</v>
      </c>
      <c r="AW3" t="s">
        <v>29</v>
      </c>
    </row>
    <row r="4" spans="1:49" x14ac:dyDescent="0.25">
      <c r="A4" t="s">
        <v>29</v>
      </c>
      <c r="B4" t="s">
        <v>670</v>
      </c>
      <c r="C4" t="s">
        <v>671</v>
      </c>
      <c r="D4" t="s">
        <v>672</v>
      </c>
      <c r="F4">
        <v>4.07</v>
      </c>
      <c r="G4">
        <v>0</v>
      </c>
      <c r="H4" s="14">
        <v>4.07</v>
      </c>
      <c r="I4">
        <v>653470</v>
      </c>
      <c r="J4" t="s">
        <v>330</v>
      </c>
      <c r="P4" t="s">
        <v>274</v>
      </c>
      <c r="R4" t="s">
        <v>275</v>
      </c>
      <c r="S4" t="s">
        <v>276</v>
      </c>
      <c r="T4" t="s">
        <v>673</v>
      </c>
      <c r="U4">
        <v>657149</v>
      </c>
      <c r="V4" t="s">
        <v>277</v>
      </c>
      <c r="W4" t="s">
        <v>674</v>
      </c>
      <c r="Y4">
        <v>38593</v>
      </c>
      <c r="Z4" t="s">
        <v>52</v>
      </c>
      <c r="AA4" t="s">
        <v>28</v>
      </c>
      <c r="AB4" t="s">
        <v>675</v>
      </c>
      <c r="AC4" t="s">
        <v>686</v>
      </c>
      <c r="AD4" t="s">
        <v>687</v>
      </c>
      <c r="AE4" t="s">
        <v>688</v>
      </c>
      <c r="AF4" t="s">
        <v>689</v>
      </c>
      <c r="AG4" t="s">
        <v>278</v>
      </c>
      <c r="AH4" t="s">
        <v>690</v>
      </c>
      <c r="AJ4" t="s">
        <v>30</v>
      </c>
      <c r="AK4" t="s">
        <v>681</v>
      </c>
      <c r="AL4">
        <v>24</v>
      </c>
      <c r="AM4" t="s">
        <v>670</v>
      </c>
      <c r="AN4" t="s">
        <v>682</v>
      </c>
      <c r="AO4" s="14">
        <v>11</v>
      </c>
      <c r="AP4" t="s">
        <v>54</v>
      </c>
      <c r="AQ4">
        <v>1554043684</v>
      </c>
      <c r="AS4" t="s">
        <v>4</v>
      </c>
      <c r="AT4" t="s">
        <v>53</v>
      </c>
      <c r="AU4">
        <v>4.07</v>
      </c>
      <c r="AV4" t="s">
        <v>54</v>
      </c>
      <c r="AW4" t="s">
        <v>29</v>
      </c>
    </row>
    <row r="5" spans="1:49" x14ac:dyDescent="0.25">
      <c r="A5" t="s">
        <v>29</v>
      </c>
      <c r="B5" t="s">
        <v>670</v>
      </c>
      <c r="C5" t="s">
        <v>671</v>
      </c>
      <c r="D5" t="s">
        <v>672</v>
      </c>
      <c r="F5">
        <v>4.07</v>
      </c>
      <c r="G5">
        <v>0</v>
      </c>
      <c r="H5" s="14">
        <v>4.07</v>
      </c>
      <c r="I5">
        <v>653470</v>
      </c>
      <c r="J5" t="s">
        <v>330</v>
      </c>
      <c r="P5" t="s">
        <v>260</v>
      </c>
      <c r="R5" t="s">
        <v>261</v>
      </c>
      <c r="S5" t="s">
        <v>262</v>
      </c>
      <c r="T5" t="s">
        <v>691</v>
      </c>
      <c r="U5">
        <v>759555</v>
      </c>
      <c r="V5" t="s">
        <v>143</v>
      </c>
      <c r="W5" t="s">
        <v>674</v>
      </c>
      <c r="Y5">
        <v>38593</v>
      </c>
      <c r="Z5" t="s">
        <v>52</v>
      </c>
      <c r="AA5" t="s">
        <v>28</v>
      </c>
      <c r="AB5" t="s">
        <v>675</v>
      </c>
      <c r="AC5" t="s">
        <v>686</v>
      </c>
      <c r="AD5" t="s">
        <v>687</v>
      </c>
      <c r="AE5" t="s">
        <v>692</v>
      </c>
      <c r="AF5" t="s">
        <v>693</v>
      </c>
      <c r="AG5" t="s">
        <v>263</v>
      </c>
      <c r="AH5" t="s">
        <v>694</v>
      </c>
      <c r="AJ5" t="s">
        <v>30</v>
      </c>
      <c r="AK5" t="s">
        <v>681</v>
      </c>
      <c r="AL5">
        <v>4</v>
      </c>
      <c r="AM5" t="s">
        <v>670</v>
      </c>
      <c r="AN5" t="s">
        <v>682</v>
      </c>
      <c r="AO5" s="14">
        <v>11</v>
      </c>
      <c r="AP5" t="s">
        <v>54</v>
      </c>
      <c r="AQ5">
        <v>1554037009</v>
      </c>
      <c r="AS5" t="s">
        <v>4</v>
      </c>
      <c r="AT5" t="s">
        <v>53</v>
      </c>
      <c r="AU5">
        <v>4.07</v>
      </c>
      <c r="AV5" t="s">
        <v>54</v>
      </c>
      <c r="AW5" t="s">
        <v>29</v>
      </c>
    </row>
    <row r="6" spans="1:49" x14ac:dyDescent="0.25">
      <c r="A6" t="s">
        <v>29</v>
      </c>
      <c r="B6" t="s">
        <v>670</v>
      </c>
      <c r="C6" t="s">
        <v>671</v>
      </c>
      <c r="D6" t="s">
        <v>672</v>
      </c>
      <c r="F6">
        <v>12.48</v>
      </c>
      <c r="G6">
        <v>0</v>
      </c>
      <c r="H6" s="14">
        <v>12.48</v>
      </c>
      <c r="I6">
        <v>653470</v>
      </c>
      <c r="J6" t="s">
        <v>330</v>
      </c>
      <c r="P6" t="s">
        <v>260</v>
      </c>
      <c r="R6" t="s">
        <v>261</v>
      </c>
      <c r="S6" t="s">
        <v>262</v>
      </c>
      <c r="T6" t="s">
        <v>691</v>
      </c>
      <c r="U6">
        <v>759555</v>
      </c>
      <c r="V6" t="s">
        <v>143</v>
      </c>
      <c r="W6" t="s">
        <v>674</v>
      </c>
      <c r="Y6">
        <v>38398</v>
      </c>
      <c r="Z6" t="s">
        <v>38</v>
      </c>
      <c r="AA6" t="s">
        <v>28</v>
      </c>
      <c r="AB6" t="s">
        <v>675</v>
      </c>
      <c r="AC6" t="s">
        <v>676</v>
      </c>
      <c r="AD6" t="s">
        <v>677</v>
      </c>
      <c r="AE6" t="s">
        <v>692</v>
      </c>
      <c r="AF6" t="s">
        <v>693</v>
      </c>
      <c r="AG6" t="s">
        <v>284</v>
      </c>
      <c r="AH6" t="s">
        <v>694</v>
      </c>
      <c r="AJ6" t="s">
        <v>30</v>
      </c>
      <c r="AK6" t="s">
        <v>681</v>
      </c>
      <c r="AL6">
        <v>4</v>
      </c>
      <c r="AM6" t="s">
        <v>670</v>
      </c>
      <c r="AN6" t="s">
        <v>682</v>
      </c>
      <c r="AO6" s="14">
        <v>52</v>
      </c>
      <c r="AP6" t="s">
        <v>42</v>
      </c>
      <c r="AQ6">
        <v>1554037007</v>
      </c>
      <c r="AS6" t="s">
        <v>4</v>
      </c>
      <c r="AT6" t="s">
        <v>285</v>
      </c>
      <c r="AU6">
        <v>12.48</v>
      </c>
      <c r="AV6" t="s">
        <v>42</v>
      </c>
      <c r="AW6" t="s">
        <v>29</v>
      </c>
    </row>
    <row r="7" spans="1:49" x14ac:dyDescent="0.25">
      <c r="A7" t="s">
        <v>367</v>
      </c>
      <c r="B7" t="s">
        <v>670</v>
      </c>
      <c r="C7" t="s">
        <v>671</v>
      </c>
      <c r="D7" t="s">
        <v>672</v>
      </c>
      <c r="F7">
        <v>12.96</v>
      </c>
      <c r="G7">
        <v>0</v>
      </c>
      <c r="H7" s="14">
        <v>12.96</v>
      </c>
      <c r="I7">
        <v>653470</v>
      </c>
      <c r="J7" t="s">
        <v>330</v>
      </c>
      <c r="P7" t="s">
        <v>435</v>
      </c>
      <c r="R7" t="s">
        <v>436</v>
      </c>
      <c r="S7" t="s">
        <v>437</v>
      </c>
      <c r="T7" t="s">
        <v>695</v>
      </c>
      <c r="U7">
        <v>655758</v>
      </c>
      <c r="V7" t="s">
        <v>438</v>
      </c>
      <c r="W7" t="s">
        <v>674</v>
      </c>
      <c r="Y7">
        <v>47133</v>
      </c>
      <c r="Z7" t="s">
        <v>152</v>
      </c>
      <c r="AA7" t="s">
        <v>85</v>
      </c>
      <c r="AB7" t="s">
        <v>675</v>
      </c>
      <c r="AC7" t="s">
        <v>676</v>
      </c>
      <c r="AD7" t="s">
        <v>677</v>
      </c>
      <c r="AE7" t="s">
        <v>696</v>
      </c>
      <c r="AF7" t="s">
        <v>264</v>
      </c>
      <c r="AG7" t="s">
        <v>439</v>
      </c>
      <c r="AH7" t="s">
        <v>697</v>
      </c>
      <c r="AJ7" t="s">
        <v>30</v>
      </c>
      <c r="AK7" t="s">
        <v>681</v>
      </c>
      <c r="AL7">
        <v>2</v>
      </c>
      <c r="AM7" t="s">
        <v>670</v>
      </c>
      <c r="AN7" t="s">
        <v>682</v>
      </c>
      <c r="AO7" s="14">
        <v>54</v>
      </c>
      <c r="AP7" t="s">
        <v>42</v>
      </c>
      <c r="AQ7">
        <v>1554046598</v>
      </c>
      <c r="AS7" t="s">
        <v>4</v>
      </c>
      <c r="AT7" t="s">
        <v>440</v>
      </c>
      <c r="AU7">
        <v>12.96</v>
      </c>
      <c r="AV7" t="s">
        <v>42</v>
      </c>
      <c r="AW7" t="s">
        <v>367</v>
      </c>
    </row>
    <row r="8" spans="1:49" x14ac:dyDescent="0.25">
      <c r="A8" t="s">
        <v>367</v>
      </c>
      <c r="B8" t="s">
        <v>670</v>
      </c>
      <c r="C8" t="s">
        <v>671</v>
      </c>
      <c r="D8" t="s">
        <v>672</v>
      </c>
      <c r="F8">
        <v>5.55</v>
      </c>
      <c r="G8">
        <v>0</v>
      </c>
      <c r="H8" s="14">
        <v>5.55</v>
      </c>
      <c r="I8">
        <v>653470</v>
      </c>
      <c r="J8" t="s">
        <v>330</v>
      </c>
      <c r="P8" t="s">
        <v>435</v>
      </c>
      <c r="R8" t="s">
        <v>436</v>
      </c>
      <c r="S8" t="s">
        <v>437</v>
      </c>
      <c r="T8" t="s">
        <v>695</v>
      </c>
      <c r="U8">
        <v>655758</v>
      </c>
      <c r="V8" t="s">
        <v>438</v>
      </c>
      <c r="W8" t="s">
        <v>674</v>
      </c>
      <c r="Y8">
        <v>38593</v>
      </c>
      <c r="Z8" t="s">
        <v>52</v>
      </c>
      <c r="AA8" t="s">
        <v>111</v>
      </c>
      <c r="AB8" t="s">
        <v>675</v>
      </c>
      <c r="AC8" t="s">
        <v>686</v>
      </c>
      <c r="AD8" t="s">
        <v>687</v>
      </c>
      <c r="AE8" t="s">
        <v>696</v>
      </c>
      <c r="AF8" t="s">
        <v>264</v>
      </c>
      <c r="AG8" t="s">
        <v>441</v>
      </c>
      <c r="AH8" t="s">
        <v>697</v>
      </c>
      <c r="AJ8" t="s">
        <v>30</v>
      </c>
      <c r="AK8" t="s">
        <v>681</v>
      </c>
      <c r="AL8">
        <v>2</v>
      </c>
      <c r="AM8" t="s">
        <v>670</v>
      </c>
      <c r="AN8" t="s">
        <v>682</v>
      </c>
      <c r="AO8" s="14">
        <v>15</v>
      </c>
      <c r="AP8" t="s">
        <v>54</v>
      </c>
      <c r="AQ8">
        <v>1554046601</v>
      </c>
      <c r="AS8" t="s">
        <v>4</v>
      </c>
      <c r="AT8" t="s">
        <v>112</v>
      </c>
      <c r="AU8">
        <v>5.55</v>
      </c>
      <c r="AV8" t="s">
        <v>54</v>
      </c>
      <c r="AW8" t="s">
        <v>367</v>
      </c>
    </row>
    <row r="9" spans="1:49" x14ac:dyDescent="0.25">
      <c r="A9" t="s">
        <v>367</v>
      </c>
      <c r="B9" t="s">
        <v>670</v>
      </c>
      <c r="C9" t="s">
        <v>671</v>
      </c>
      <c r="D9" t="s">
        <v>672</v>
      </c>
      <c r="F9">
        <v>16</v>
      </c>
      <c r="G9">
        <v>0</v>
      </c>
      <c r="H9" s="14">
        <v>16</v>
      </c>
      <c r="I9">
        <v>653470</v>
      </c>
      <c r="J9" t="s">
        <v>330</v>
      </c>
      <c r="P9" t="s">
        <v>265</v>
      </c>
      <c r="R9" t="s">
        <v>266</v>
      </c>
      <c r="S9" t="s">
        <v>267</v>
      </c>
      <c r="T9" t="s">
        <v>673</v>
      </c>
      <c r="U9">
        <v>678726</v>
      </c>
      <c r="V9" t="s">
        <v>25</v>
      </c>
      <c r="W9" t="s">
        <v>674</v>
      </c>
      <c r="Y9">
        <v>45041</v>
      </c>
      <c r="Z9" t="s">
        <v>27</v>
      </c>
      <c r="AA9" t="s">
        <v>85</v>
      </c>
      <c r="AB9" t="s">
        <v>675</v>
      </c>
      <c r="AC9" t="s">
        <v>676</v>
      </c>
      <c r="AD9" t="s">
        <v>677</v>
      </c>
      <c r="AE9" t="s">
        <v>698</v>
      </c>
      <c r="AF9" t="s">
        <v>699</v>
      </c>
      <c r="AG9" t="s">
        <v>268</v>
      </c>
      <c r="AH9" t="s">
        <v>700</v>
      </c>
      <c r="AJ9" t="s">
        <v>30</v>
      </c>
      <c r="AK9" t="s">
        <v>681</v>
      </c>
      <c r="AL9">
        <v>14</v>
      </c>
      <c r="AM9" t="s">
        <v>670</v>
      </c>
      <c r="AN9" t="s">
        <v>682</v>
      </c>
      <c r="AO9" s="14">
        <v>50</v>
      </c>
      <c r="AP9" t="s">
        <v>32</v>
      </c>
      <c r="AQ9">
        <v>1554055281</v>
      </c>
      <c r="AS9" t="s">
        <v>4</v>
      </c>
      <c r="AT9" t="s">
        <v>182</v>
      </c>
      <c r="AU9">
        <v>16</v>
      </c>
      <c r="AV9" t="s">
        <v>32</v>
      </c>
      <c r="AW9" t="s">
        <v>367</v>
      </c>
    </row>
    <row r="10" spans="1:49" x14ac:dyDescent="0.25">
      <c r="A10" t="s">
        <v>367</v>
      </c>
      <c r="B10" t="s">
        <v>670</v>
      </c>
      <c r="C10" t="s">
        <v>671</v>
      </c>
      <c r="D10" t="s">
        <v>672</v>
      </c>
      <c r="F10">
        <v>7.4</v>
      </c>
      <c r="G10">
        <v>0</v>
      </c>
      <c r="H10" s="14">
        <v>7.4</v>
      </c>
      <c r="I10">
        <v>653470</v>
      </c>
      <c r="J10" t="s">
        <v>330</v>
      </c>
      <c r="P10" t="s">
        <v>445</v>
      </c>
      <c r="R10" t="s">
        <v>446</v>
      </c>
      <c r="S10" t="s">
        <v>447</v>
      </c>
      <c r="T10" t="s">
        <v>673</v>
      </c>
      <c r="U10">
        <v>678726</v>
      </c>
      <c r="V10" t="s">
        <v>25</v>
      </c>
      <c r="W10" t="s">
        <v>674</v>
      </c>
      <c r="Y10">
        <v>38593</v>
      </c>
      <c r="Z10" t="s">
        <v>52</v>
      </c>
      <c r="AA10" t="s">
        <v>39</v>
      </c>
      <c r="AB10" t="s">
        <v>675</v>
      </c>
      <c r="AC10" t="s">
        <v>686</v>
      </c>
      <c r="AD10" t="s">
        <v>687</v>
      </c>
      <c r="AE10" t="s">
        <v>701</v>
      </c>
      <c r="AF10" t="s">
        <v>264</v>
      </c>
      <c r="AG10" t="s">
        <v>448</v>
      </c>
      <c r="AH10" t="s">
        <v>702</v>
      </c>
      <c r="AJ10" t="s">
        <v>30</v>
      </c>
      <c r="AK10" t="s">
        <v>703</v>
      </c>
      <c r="AL10">
        <v>2</v>
      </c>
      <c r="AM10" t="s">
        <v>670</v>
      </c>
      <c r="AN10" t="s">
        <v>682</v>
      </c>
      <c r="AO10" s="14">
        <v>20</v>
      </c>
      <c r="AP10" t="s">
        <v>54</v>
      </c>
      <c r="AQ10">
        <v>1554069484</v>
      </c>
      <c r="AS10" t="s">
        <v>4</v>
      </c>
      <c r="AT10" t="s">
        <v>94</v>
      </c>
      <c r="AU10">
        <v>7.4</v>
      </c>
      <c r="AV10" t="s">
        <v>54</v>
      </c>
      <c r="AW10" t="s">
        <v>367</v>
      </c>
    </row>
    <row r="11" spans="1:49" x14ac:dyDescent="0.25">
      <c r="A11" t="s">
        <v>367</v>
      </c>
      <c r="B11" t="s">
        <v>670</v>
      </c>
      <c r="C11" t="s">
        <v>671</v>
      </c>
      <c r="D11" t="s">
        <v>672</v>
      </c>
      <c r="F11">
        <v>23.28</v>
      </c>
      <c r="G11">
        <v>0</v>
      </c>
      <c r="H11" s="14">
        <v>23.28</v>
      </c>
      <c r="I11">
        <v>653470</v>
      </c>
      <c r="J11" t="s">
        <v>330</v>
      </c>
      <c r="P11" t="s">
        <v>445</v>
      </c>
      <c r="R11" t="s">
        <v>446</v>
      </c>
      <c r="S11" t="s">
        <v>447</v>
      </c>
      <c r="T11" t="s">
        <v>673</v>
      </c>
      <c r="U11">
        <v>678726</v>
      </c>
      <c r="V11" t="s">
        <v>25</v>
      </c>
      <c r="W11" t="s">
        <v>674</v>
      </c>
      <c r="Y11">
        <v>38398</v>
      </c>
      <c r="Z11" t="s">
        <v>38</v>
      </c>
      <c r="AA11" t="s">
        <v>145</v>
      </c>
      <c r="AB11" t="s">
        <v>675</v>
      </c>
      <c r="AC11" t="s">
        <v>676</v>
      </c>
      <c r="AD11" t="s">
        <v>677</v>
      </c>
      <c r="AE11" t="s">
        <v>704</v>
      </c>
      <c r="AF11" t="s">
        <v>705</v>
      </c>
      <c r="AG11" t="s">
        <v>465</v>
      </c>
      <c r="AH11" t="s">
        <v>702</v>
      </c>
      <c r="AJ11" t="s">
        <v>30</v>
      </c>
      <c r="AK11" t="s">
        <v>703</v>
      </c>
      <c r="AL11">
        <v>3</v>
      </c>
      <c r="AM11" t="s">
        <v>670</v>
      </c>
      <c r="AN11" t="s">
        <v>682</v>
      </c>
      <c r="AO11" s="14">
        <v>97</v>
      </c>
      <c r="AP11" t="s">
        <v>42</v>
      </c>
      <c r="AQ11">
        <v>1554069480</v>
      </c>
      <c r="AS11" t="s">
        <v>4</v>
      </c>
      <c r="AT11" t="s">
        <v>466</v>
      </c>
      <c r="AU11">
        <v>23.28</v>
      </c>
      <c r="AV11" t="s">
        <v>42</v>
      </c>
      <c r="AW11" t="s">
        <v>367</v>
      </c>
    </row>
    <row r="12" spans="1:49" x14ac:dyDescent="0.25">
      <c r="A12" t="s">
        <v>367</v>
      </c>
      <c r="B12" t="s">
        <v>670</v>
      </c>
      <c r="C12" t="s">
        <v>671</v>
      </c>
      <c r="D12" t="s">
        <v>672</v>
      </c>
      <c r="F12">
        <v>6.48</v>
      </c>
      <c r="G12">
        <v>0</v>
      </c>
      <c r="H12" s="14">
        <v>6.48</v>
      </c>
      <c r="I12">
        <v>653470</v>
      </c>
      <c r="J12" t="s">
        <v>330</v>
      </c>
      <c r="P12" t="s">
        <v>449</v>
      </c>
      <c r="R12" t="s">
        <v>450</v>
      </c>
      <c r="S12" t="s">
        <v>451</v>
      </c>
      <c r="T12" t="s">
        <v>673</v>
      </c>
      <c r="U12">
        <v>678726</v>
      </c>
      <c r="V12" t="s">
        <v>25</v>
      </c>
      <c r="W12" t="s">
        <v>674</v>
      </c>
      <c r="Y12">
        <v>47133</v>
      </c>
      <c r="Z12" t="s">
        <v>152</v>
      </c>
      <c r="AA12" t="s">
        <v>28</v>
      </c>
      <c r="AB12" t="s">
        <v>675</v>
      </c>
      <c r="AC12" t="s">
        <v>676</v>
      </c>
      <c r="AD12" t="s">
        <v>677</v>
      </c>
      <c r="AE12" t="s">
        <v>696</v>
      </c>
      <c r="AF12" t="s">
        <v>264</v>
      </c>
      <c r="AG12" t="s">
        <v>452</v>
      </c>
      <c r="AH12" t="s">
        <v>706</v>
      </c>
      <c r="AJ12" t="s">
        <v>30</v>
      </c>
      <c r="AK12" t="s">
        <v>703</v>
      </c>
      <c r="AL12">
        <v>2</v>
      </c>
      <c r="AM12" t="s">
        <v>670</v>
      </c>
      <c r="AN12" t="s">
        <v>682</v>
      </c>
      <c r="AO12" s="14">
        <v>27</v>
      </c>
      <c r="AP12" t="s">
        <v>42</v>
      </c>
      <c r="AQ12">
        <v>1554064387</v>
      </c>
      <c r="AS12" t="s">
        <v>4</v>
      </c>
      <c r="AT12" t="s">
        <v>153</v>
      </c>
      <c r="AU12">
        <v>6.48</v>
      </c>
      <c r="AV12" t="s">
        <v>42</v>
      </c>
      <c r="AW12" t="s">
        <v>367</v>
      </c>
    </row>
    <row r="13" spans="1:49" x14ac:dyDescent="0.25">
      <c r="A13" t="s">
        <v>367</v>
      </c>
      <c r="B13" t="s">
        <v>670</v>
      </c>
      <c r="C13" t="s">
        <v>671</v>
      </c>
      <c r="D13" t="s">
        <v>672</v>
      </c>
      <c r="F13">
        <v>4.07</v>
      </c>
      <c r="G13">
        <v>0</v>
      </c>
      <c r="H13" s="14">
        <v>4.07</v>
      </c>
      <c r="I13">
        <v>653470</v>
      </c>
      <c r="J13" t="s">
        <v>330</v>
      </c>
      <c r="P13" t="s">
        <v>449</v>
      </c>
      <c r="R13" t="s">
        <v>450</v>
      </c>
      <c r="S13" t="s">
        <v>451</v>
      </c>
      <c r="T13" t="s">
        <v>673</v>
      </c>
      <c r="U13">
        <v>678726</v>
      </c>
      <c r="V13" t="s">
        <v>25</v>
      </c>
      <c r="W13" t="s">
        <v>674</v>
      </c>
      <c r="Y13">
        <v>38593</v>
      </c>
      <c r="Z13" t="s">
        <v>52</v>
      </c>
      <c r="AA13" t="s">
        <v>28</v>
      </c>
      <c r="AB13" t="s">
        <v>675</v>
      </c>
      <c r="AC13" t="s">
        <v>686</v>
      </c>
      <c r="AD13" t="s">
        <v>687</v>
      </c>
      <c r="AE13" t="s">
        <v>696</v>
      </c>
      <c r="AF13" t="s">
        <v>264</v>
      </c>
      <c r="AG13" t="s">
        <v>453</v>
      </c>
      <c r="AH13" t="s">
        <v>706</v>
      </c>
      <c r="AJ13" t="s">
        <v>30</v>
      </c>
      <c r="AK13" t="s">
        <v>703</v>
      </c>
      <c r="AL13">
        <v>2</v>
      </c>
      <c r="AM13" t="s">
        <v>670</v>
      </c>
      <c r="AN13" t="s">
        <v>682</v>
      </c>
      <c r="AO13" s="14">
        <v>11</v>
      </c>
      <c r="AP13" t="s">
        <v>54</v>
      </c>
      <c r="AQ13">
        <v>1554064389</v>
      </c>
      <c r="AS13" t="s">
        <v>4</v>
      </c>
      <c r="AT13" t="s">
        <v>53</v>
      </c>
      <c r="AU13">
        <v>4.07</v>
      </c>
      <c r="AV13" t="s">
        <v>54</v>
      </c>
      <c r="AW13" t="s">
        <v>367</v>
      </c>
    </row>
    <row r="14" spans="1:49" x14ac:dyDescent="0.25">
      <c r="A14" t="s">
        <v>367</v>
      </c>
      <c r="B14" t="s">
        <v>670</v>
      </c>
      <c r="C14" t="s">
        <v>671</v>
      </c>
      <c r="D14" t="s">
        <v>672</v>
      </c>
      <c r="F14">
        <v>9.6</v>
      </c>
      <c r="G14">
        <v>0</v>
      </c>
      <c r="H14" s="14">
        <v>9.6</v>
      </c>
      <c r="I14">
        <v>653470</v>
      </c>
      <c r="J14" t="s">
        <v>330</v>
      </c>
      <c r="P14" t="s">
        <v>454</v>
      </c>
      <c r="R14" t="s">
        <v>361</v>
      </c>
      <c r="S14" t="s">
        <v>311</v>
      </c>
      <c r="T14" t="s">
        <v>691</v>
      </c>
      <c r="U14">
        <v>759555</v>
      </c>
      <c r="V14" t="s">
        <v>143</v>
      </c>
      <c r="W14" t="s">
        <v>674</v>
      </c>
      <c r="Y14">
        <v>42249</v>
      </c>
      <c r="Z14" t="s">
        <v>131</v>
      </c>
      <c r="AA14" t="s">
        <v>28</v>
      </c>
      <c r="AB14" t="s">
        <v>675</v>
      </c>
      <c r="AC14" t="s">
        <v>676</v>
      </c>
      <c r="AD14" t="s">
        <v>677</v>
      </c>
      <c r="AE14" t="s">
        <v>701</v>
      </c>
      <c r="AF14" t="s">
        <v>264</v>
      </c>
      <c r="AG14" t="s">
        <v>455</v>
      </c>
      <c r="AH14" t="s">
        <v>707</v>
      </c>
      <c r="AJ14" t="s">
        <v>30</v>
      </c>
      <c r="AK14" t="s">
        <v>703</v>
      </c>
      <c r="AL14">
        <v>2</v>
      </c>
      <c r="AM14" t="s">
        <v>670</v>
      </c>
      <c r="AN14" t="s">
        <v>682</v>
      </c>
      <c r="AO14" s="14">
        <v>40</v>
      </c>
      <c r="AP14" t="s">
        <v>42</v>
      </c>
      <c r="AQ14">
        <v>1554064617</v>
      </c>
      <c r="AS14" t="s">
        <v>4</v>
      </c>
      <c r="AT14" t="s">
        <v>133</v>
      </c>
      <c r="AU14">
        <v>9.6</v>
      </c>
      <c r="AV14" t="s">
        <v>42</v>
      </c>
      <c r="AW14" t="s">
        <v>367</v>
      </c>
    </row>
    <row r="15" spans="1:49" x14ac:dyDescent="0.25">
      <c r="A15" t="s">
        <v>367</v>
      </c>
      <c r="B15" t="s">
        <v>670</v>
      </c>
      <c r="C15" t="s">
        <v>671</v>
      </c>
      <c r="D15" t="s">
        <v>672</v>
      </c>
      <c r="F15">
        <v>4.07</v>
      </c>
      <c r="G15">
        <v>0</v>
      </c>
      <c r="H15" s="14">
        <v>4.07</v>
      </c>
      <c r="I15">
        <v>653470</v>
      </c>
      <c r="J15" t="s">
        <v>330</v>
      </c>
      <c r="P15" t="s">
        <v>454</v>
      </c>
      <c r="R15" t="s">
        <v>361</v>
      </c>
      <c r="S15" t="s">
        <v>311</v>
      </c>
      <c r="T15" t="s">
        <v>691</v>
      </c>
      <c r="U15">
        <v>759555</v>
      </c>
      <c r="V15" t="s">
        <v>143</v>
      </c>
      <c r="W15" t="s">
        <v>674</v>
      </c>
      <c r="Y15">
        <v>38593</v>
      </c>
      <c r="Z15" t="s">
        <v>52</v>
      </c>
      <c r="AA15" t="s">
        <v>28</v>
      </c>
      <c r="AB15" t="s">
        <v>675</v>
      </c>
      <c r="AC15" t="s">
        <v>686</v>
      </c>
      <c r="AD15" t="s">
        <v>687</v>
      </c>
      <c r="AE15" t="s">
        <v>701</v>
      </c>
      <c r="AF15" t="s">
        <v>264</v>
      </c>
      <c r="AG15" t="s">
        <v>456</v>
      </c>
      <c r="AH15" t="s">
        <v>707</v>
      </c>
      <c r="AJ15" t="s">
        <v>30</v>
      </c>
      <c r="AK15" t="s">
        <v>703</v>
      </c>
      <c r="AL15">
        <v>2</v>
      </c>
      <c r="AM15" t="s">
        <v>670</v>
      </c>
      <c r="AN15" t="s">
        <v>682</v>
      </c>
      <c r="AO15" s="14">
        <v>11</v>
      </c>
      <c r="AP15" t="s">
        <v>54</v>
      </c>
      <c r="AQ15">
        <v>1554064620</v>
      </c>
      <c r="AS15" t="s">
        <v>4</v>
      </c>
      <c r="AT15" t="s">
        <v>53</v>
      </c>
      <c r="AU15">
        <v>4.07</v>
      </c>
      <c r="AV15" t="s">
        <v>54</v>
      </c>
      <c r="AW15" t="s">
        <v>367</v>
      </c>
    </row>
    <row r="16" spans="1:49" x14ac:dyDescent="0.25">
      <c r="A16" t="s">
        <v>367</v>
      </c>
      <c r="B16" t="s">
        <v>670</v>
      </c>
      <c r="C16" t="s">
        <v>671</v>
      </c>
      <c r="D16" t="s">
        <v>672</v>
      </c>
      <c r="F16">
        <v>4.07</v>
      </c>
      <c r="G16">
        <v>0</v>
      </c>
      <c r="H16" s="14">
        <v>4.07</v>
      </c>
      <c r="I16">
        <v>653470</v>
      </c>
      <c r="J16" t="s">
        <v>330</v>
      </c>
      <c r="P16" t="s">
        <v>457</v>
      </c>
      <c r="R16" t="s">
        <v>458</v>
      </c>
      <c r="S16" t="s">
        <v>459</v>
      </c>
      <c r="T16" t="s">
        <v>673</v>
      </c>
      <c r="U16">
        <v>678726</v>
      </c>
      <c r="V16" t="s">
        <v>25</v>
      </c>
      <c r="W16" t="s">
        <v>674</v>
      </c>
      <c r="Y16">
        <v>38593</v>
      </c>
      <c r="Z16" t="s">
        <v>52</v>
      </c>
      <c r="AA16" t="s">
        <v>28</v>
      </c>
      <c r="AB16" t="s">
        <v>675</v>
      </c>
      <c r="AC16" t="s">
        <v>686</v>
      </c>
      <c r="AD16" t="s">
        <v>687</v>
      </c>
      <c r="AE16" t="s">
        <v>708</v>
      </c>
      <c r="AF16" t="s">
        <v>264</v>
      </c>
      <c r="AG16" t="s">
        <v>460</v>
      </c>
      <c r="AH16" t="s">
        <v>709</v>
      </c>
      <c r="AJ16" t="s">
        <v>30</v>
      </c>
      <c r="AK16" t="s">
        <v>703</v>
      </c>
      <c r="AL16">
        <v>2</v>
      </c>
      <c r="AM16" t="s">
        <v>670</v>
      </c>
      <c r="AN16" t="s">
        <v>682</v>
      </c>
      <c r="AO16" s="14">
        <v>11</v>
      </c>
      <c r="AP16" t="s">
        <v>54</v>
      </c>
      <c r="AQ16">
        <v>1554064563</v>
      </c>
      <c r="AS16" t="s">
        <v>4</v>
      </c>
      <c r="AT16" t="s">
        <v>53</v>
      </c>
      <c r="AU16">
        <v>4.07</v>
      </c>
      <c r="AV16" t="s">
        <v>54</v>
      </c>
      <c r="AW16" t="s">
        <v>367</v>
      </c>
    </row>
    <row r="17" spans="1:49" x14ac:dyDescent="0.25">
      <c r="A17" t="s">
        <v>367</v>
      </c>
      <c r="B17" t="s">
        <v>670</v>
      </c>
      <c r="C17" t="s">
        <v>671</v>
      </c>
      <c r="D17" t="s">
        <v>672</v>
      </c>
      <c r="F17">
        <v>17.760000000000002</v>
      </c>
      <c r="G17">
        <v>0</v>
      </c>
      <c r="H17" s="14">
        <v>17.760000000000002</v>
      </c>
      <c r="I17">
        <v>653470</v>
      </c>
      <c r="J17" t="s">
        <v>330</v>
      </c>
      <c r="P17" t="s">
        <v>461</v>
      </c>
      <c r="R17" t="s">
        <v>462</v>
      </c>
      <c r="S17" t="s">
        <v>257</v>
      </c>
      <c r="T17" t="s">
        <v>710</v>
      </c>
      <c r="U17">
        <v>689390</v>
      </c>
      <c r="V17" t="s">
        <v>77</v>
      </c>
      <c r="W17" t="s">
        <v>674</v>
      </c>
      <c r="Y17">
        <v>38399</v>
      </c>
      <c r="Z17" t="s">
        <v>79</v>
      </c>
      <c r="AA17" t="s">
        <v>28</v>
      </c>
      <c r="AB17" t="s">
        <v>675</v>
      </c>
      <c r="AC17" t="s">
        <v>676</v>
      </c>
      <c r="AD17" t="s">
        <v>677</v>
      </c>
      <c r="AE17" t="s">
        <v>711</v>
      </c>
      <c r="AF17" t="s">
        <v>693</v>
      </c>
      <c r="AG17" t="s">
        <v>463</v>
      </c>
      <c r="AH17" t="s">
        <v>712</v>
      </c>
      <c r="AJ17" t="s">
        <v>30</v>
      </c>
      <c r="AK17" t="s">
        <v>703</v>
      </c>
      <c r="AL17">
        <v>4</v>
      </c>
      <c r="AM17" t="s">
        <v>670</v>
      </c>
      <c r="AN17" t="s">
        <v>682</v>
      </c>
      <c r="AO17" s="14">
        <v>74</v>
      </c>
      <c r="AP17" t="s">
        <v>42</v>
      </c>
      <c r="AQ17">
        <v>1554048793</v>
      </c>
      <c r="AS17" t="s">
        <v>4</v>
      </c>
      <c r="AT17" t="s">
        <v>259</v>
      </c>
      <c r="AU17">
        <v>17.760000000000002</v>
      </c>
      <c r="AV17" t="s">
        <v>42</v>
      </c>
      <c r="AW17" t="s">
        <v>367</v>
      </c>
    </row>
    <row r="18" spans="1:49" x14ac:dyDescent="0.25">
      <c r="A18" t="s">
        <v>367</v>
      </c>
      <c r="B18" t="s">
        <v>670</v>
      </c>
      <c r="C18" t="s">
        <v>671</v>
      </c>
      <c r="D18" t="s">
        <v>672</v>
      </c>
      <c r="F18">
        <v>9.9600000000000009</v>
      </c>
      <c r="G18">
        <v>0</v>
      </c>
      <c r="H18" s="14">
        <v>9.9600000000000009</v>
      </c>
      <c r="I18">
        <v>653470</v>
      </c>
      <c r="J18" t="s">
        <v>330</v>
      </c>
      <c r="P18" t="s">
        <v>431</v>
      </c>
      <c r="R18" t="s">
        <v>432</v>
      </c>
      <c r="S18" t="s">
        <v>433</v>
      </c>
      <c r="T18" t="s">
        <v>673</v>
      </c>
      <c r="U18">
        <v>678726</v>
      </c>
      <c r="V18" t="s">
        <v>25</v>
      </c>
      <c r="W18" t="s">
        <v>674</v>
      </c>
      <c r="Y18">
        <v>45041</v>
      </c>
      <c r="Z18" t="s">
        <v>27</v>
      </c>
      <c r="AA18" t="s">
        <v>28</v>
      </c>
      <c r="AB18" t="s">
        <v>675</v>
      </c>
      <c r="AC18" t="s">
        <v>676</v>
      </c>
      <c r="AD18" t="s">
        <v>677</v>
      </c>
      <c r="AE18" t="s">
        <v>713</v>
      </c>
      <c r="AF18" t="s">
        <v>684</v>
      </c>
      <c r="AG18" t="s">
        <v>464</v>
      </c>
      <c r="AH18" t="s">
        <v>714</v>
      </c>
      <c r="AJ18" t="s">
        <v>30</v>
      </c>
      <c r="AK18" t="s">
        <v>703</v>
      </c>
      <c r="AL18">
        <v>17</v>
      </c>
      <c r="AM18" t="s">
        <v>670</v>
      </c>
      <c r="AN18" t="s">
        <v>682</v>
      </c>
      <c r="AO18" s="14">
        <v>31.13</v>
      </c>
      <c r="AP18" t="s">
        <v>32</v>
      </c>
      <c r="AQ18">
        <v>1554041647</v>
      </c>
      <c r="AS18" t="s">
        <v>4</v>
      </c>
      <c r="AT18" t="s">
        <v>273</v>
      </c>
      <c r="AU18">
        <v>9.9600000000000009</v>
      </c>
      <c r="AV18" t="s">
        <v>32</v>
      </c>
      <c r="AW18" t="s">
        <v>367</v>
      </c>
    </row>
    <row r="19" spans="1:49" x14ac:dyDescent="0.25">
      <c r="A19" t="s">
        <v>367</v>
      </c>
      <c r="B19" t="s">
        <v>670</v>
      </c>
      <c r="C19" t="s">
        <v>671</v>
      </c>
      <c r="D19" t="s">
        <v>672</v>
      </c>
      <c r="F19">
        <v>4.07</v>
      </c>
      <c r="G19">
        <v>0</v>
      </c>
      <c r="H19" s="14">
        <v>4.07</v>
      </c>
      <c r="I19">
        <v>653470</v>
      </c>
      <c r="J19" t="s">
        <v>330</v>
      </c>
      <c r="P19" t="s">
        <v>431</v>
      </c>
      <c r="R19" t="s">
        <v>432</v>
      </c>
      <c r="S19" t="s">
        <v>433</v>
      </c>
      <c r="T19" t="s">
        <v>673</v>
      </c>
      <c r="U19">
        <v>678726</v>
      </c>
      <c r="V19" t="s">
        <v>25</v>
      </c>
      <c r="W19" t="s">
        <v>674</v>
      </c>
      <c r="Y19">
        <v>38593</v>
      </c>
      <c r="Z19" t="s">
        <v>52</v>
      </c>
      <c r="AA19" t="s">
        <v>28</v>
      </c>
      <c r="AB19" t="s">
        <v>675</v>
      </c>
      <c r="AC19" t="s">
        <v>686</v>
      </c>
      <c r="AD19" t="s">
        <v>687</v>
      </c>
      <c r="AE19" t="s">
        <v>713</v>
      </c>
      <c r="AF19" t="s">
        <v>684</v>
      </c>
      <c r="AG19" t="s">
        <v>434</v>
      </c>
      <c r="AH19" t="s">
        <v>714</v>
      </c>
      <c r="AJ19" t="s">
        <v>30</v>
      </c>
      <c r="AK19" t="s">
        <v>703</v>
      </c>
      <c r="AL19">
        <v>17</v>
      </c>
      <c r="AM19" t="s">
        <v>670</v>
      </c>
      <c r="AN19" t="s">
        <v>682</v>
      </c>
      <c r="AO19" s="14">
        <v>11</v>
      </c>
      <c r="AP19" t="s">
        <v>54</v>
      </c>
      <c r="AQ19">
        <v>1554041645</v>
      </c>
      <c r="AS19" t="s">
        <v>4</v>
      </c>
      <c r="AT19" t="s">
        <v>53</v>
      </c>
      <c r="AU19">
        <v>4.07</v>
      </c>
      <c r="AV19" t="s">
        <v>54</v>
      </c>
      <c r="AW19" t="s">
        <v>367</v>
      </c>
    </row>
    <row r="20" spans="1:49" x14ac:dyDescent="0.25">
      <c r="A20" t="s">
        <v>367</v>
      </c>
      <c r="B20" t="s">
        <v>670</v>
      </c>
      <c r="C20" t="s">
        <v>671</v>
      </c>
      <c r="D20" t="s">
        <v>672</v>
      </c>
      <c r="F20">
        <v>5.28</v>
      </c>
      <c r="G20">
        <v>0</v>
      </c>
      <c r="H20" s="14">
        <v>5.28</v>
      </c>
      <c r="I20">
        <v>653470</v>
      </c>
      <c r="J20" t="s">
        <v>330</v>
      </c>
      <c r="P20" t="s">
        <v>442</v>
      </c>
      <c r="R20" t="s">
        <v>306</v>
      </c>
      <c r="S20" t="s">
        <v>443</v>
      </c>
      <c r="T20" t="s">
        <v>695</v>
      </c>
      <c r="U20">
        <v>655758</v>
      </c>
      <c r="V20" t="s">
        <v>438</v>
      </c>
      <c r="W20" t="s">
        <v>674</v>
      </c>
      <c r="Y20">
        <v>47132</v>
      </c>
      <c r="Z20" t="s">
        <v>188</v>
      </c>
      <c r="AA20" t="s">
        <v>28</v>
      </c>
      <c r="AB20" t="s">
        <v>675</v>
      </c>
      <c r="AC20" t="s">
        <v>676</v>
      </c>
      <c r="AD20" t="s">
        <v>677</v>
      </c>
      <c r="AE20" t="s">
        <v>715</v>
      </c>
      <c r="AF20" t="s">
        <v>716</v>
      </c>
      <c r="AG20" t="s">
        <v>444</v>
      </c>
      <c r="AH20" t="s">
        <v>717</v>
      </c>
      <c r="AJ20" t="s">
        <v>30</v>
      </c>
      <c r="AK20" t="s">
        <v>703</v>
      </c>
      <c r="AL20">
        <v>5</v>
      </c>
      <c r="AM20" t="s">
        <v>670</v>
      </c>
      <c r="AN20" t="s">
        <v>682</v>
      </c>
      <c r="AO20" s="14">
        <v>22</v>
      </c>
      <c r="AP20" t="s">
        <v>42</v>
      </c>
      <c r="AQ20">
        <v>1554056138</v>
      </c>
      <c r="AS20" t="s">
        <v>4</v>
      </c>
      <c r="AT20" t="s">
        <v>189</v>
      </c>
      <c r="AU20">
        <v>5.28</v>
      </c>
      <c r="AV20" t="s">
        <v>42</v>
      </c>
      <c r="AW20" t="s">
        <v>367</v>
      </c>
    </row>
    <row r="21" spans="1:49" x14ac:dyDescent="0.25">
      <c r="A21" t="s">
        <v>367</v>
      </c>
      <c r="B21" t="s">
        <v>670</v>
      </c>
      <c r="C21" t="s">
        <v>671</v>
      </c>
      <c r="D21" t="s">
        <v>672</v>
      </c>
      <c r="F21">
        <v>0.6</v>
      </c>
      <c r="G21">
        <v>0</v>
      </c>
      <c r="H21" s="14">
        <v>0.6</v>
      </c>
      <c r="I21">
        <v>653470</v>
      </c>
      <c r="J21" t="s">
        <v>330</v>
      </c>
      <c r="P21" t="s">
        <v>427</v>
      </c>
      <c r="R21" t="s">
        <v>428</v>
      </c>
      <c r="S21" t="s">
        <v>429</v>
      </c>
      <c r="T21" t="s">
        <v>695</v>
      </c>
      <c r="U21">
        <v>711419</v>
      </c>
      <c r="V21" t="s">
        <v>251</v>
      </c>
      <c r="W21" t="s">
        <v>674</v>
      </c>
      <c r="Y21">
        <v>38593</v>
      </c>
      <c r="Z21" t="s">
        <v>52</v>
      </c>
      <c r="AA21" t="s">
        <v>39</v>
      </c>
      <c r="AB21" t="s">
        <v>675</v>
      </c>
      <c r="AC21" t="s">
        <v>686</v>
      </c>
      <c r="AD21" t="s">
        <v>687</v>
      </c>
      <c r="AE21" t="s">
        <v>718</v>
      </c>
      <c r="AF21" t="s">
        <v>719</v>
      </c>
      <c r="AG21" t="s">
        <v>430</v>
      </c>
      <c r="AH21" t="s">
        <v>720</v>
      </c>
      <c r="AJ21" t="s">
        <v>30</v>
      </c>
      <c r="AK21" t="s">
        <v>703</v>
      </c>
      <c r="AL21">
        <v>7</v>
      </c>
      <c r="AM21" t="s">
        <v>670</v>
      </c>
      <c r="AN21" t="s">
        <v>682</v>
      </c>
      <c r="AO21" s="14">
        <v>20</v>
      </c>
      <c r="AP21" t="s">
        <v>238</v>
      </c>
      <c r="AQ21">
        <v>1554057054</v>
      </c>
      <c r="AS21" t="s">
        <v>4</v>
      </c>
      <c r="AT21" t="s">
        <v>94</v>
      </c>
      <c r="AU21">
        <v>0.6</v>
      </c>
      <c r="AV21" t="s">
        <v>238</v>
      </c>
      <c r="AW21" t="s">
        <v>367</v>
      </c>
    </row>
    <row r="22" spans="1:49" x14ac:dyDescent="0.25">
      <c r="A22" t="s">
        <v>367</v>
      </c>
      <c r="B22" t="s">
        <v>670</v>
      </c>
      <c r="C22" t="s">
        <v>671</v>
      </c>
      <c r="D22" t="s">
        <v>672</v>
      </c>
      <c r="F22">
        <v>4.07</v>
      </c>
      <c r="G22">
        <v>0</v>
      </c>
      <c r="H22" s="14">
        <v>4.07</v>
      </c>
      <c r="I22">
        <v>653470</v>
      </c>
      <c r="J22" t="s">
        <v>330</v>
      </c>
      <c r="P22" t="s">
        <v>299</v>
      </c>
      <c r="R22" t="s">
        <v>300</v>
      </c>
      <c r="S22" t="s">
        <v>301</v>
      </c>
      <c r="T22" t="s">
        <v>695</v>
      </c>
      <c r="U22">
        <v>820877</v>
      </c>
      <c r="V22" t="s">
        <v>168</v>
      </c>
      <c r="W22" t="s">
        <v>674</v>
      </c>
      <c r="Y22">
        <v>38593</v>
      </c>
      <c r="Z22" t="s">
        <v>52</v>
      </c>
      <c r="AA22" t="s">
        <v>28</v>
      </c>
      <c r="AB22" t="s">
        <v>675</v>
      </c>
      <c r="AC22" t="s">
        <v>686</v>
      </c>
      <c r="AD22" t="s">
        <v>687</v>
      </c>
      <c r="AE22" t="s">
        <v>718</v>
      </c>
      <c r="AF22" t="s">
        <v>719</v>
      </c>
      <c r="AG22" t="s">
        <v>302</v>
      </c>
      <c r="AH22" t="s">
        <v>721</v>
      </c>
      <c r="AJ22" t="s">
        <v>30</v>
      </c>
      <c r="AK22" t="s">
        <v>703</v>
      </c>
      <c r="AL22">
        <v>7</v>
      </c>
      <c r="AM22" t="s">
        <v>670</v>
      </c>
      <c r="AN22" t="s">
        <v>682</v>
      </c>
      <c r="AO22" s="14">
        <v>11</v>
      </c>
      <c r="AP22" t="s">
        <v>54</v>
      </c>
      <c r="AQ22">
        <v>1554057004</v>
      </c>
      <c r="AS22" t="s">
        <v>4</v>
      </c>
      <c r="AT22" t="s">
        <v>53</v>
      </c>
      <c r="AU22">
        <v>4.07</v>
      </c>
      <c r="AV22" t="s">
        <v>54</v>
      </c>
      <c r="AW22" t="s">
        <v>367</v>
      </c>
    </row>
    <row r="23" spans="1:49" x14ac:dyDescent="0.25">
      <c r="A23" t="s">
        <v>367</v>
      </c>
      <c r="B23" t="s">
        <v>670</v>
      </c>
      <c r="C23" t="s">
        <v>671</v>
      </c>
      <c r="D23" t="s">
        <v>672</v>
      </c>
      <c r="F23">
        <v>10.08</v>
      </c>
      <c r="G23">
        <v>0</v>
      </c>
      <c r="H23" s="14">
        <v>10.08</v>
      </c>
      <c r="I23">
        <v>653470</v>
      </c>
      <c r="J23" t="s">
        <v>330</v>
      </c>
      <c r="P23" t="s">
        <v>299</v>
      </c>
      <c r="R23" t="s">
        <v>300</v>
      </c>
      <c r="S23" t="s">
        <v>301</v>
      </c>
      <c r="T23" t="s">
        <v>695</v>
      </c>
      <c r="U23">
        <v>820877</v>
      </c>
      <c r="V23" t="s">
        <v>168</v>
      </c>
      <c r="W23" t="s">
        <v>674</v>
      </c>
      <c r="Y23">
        <v>38398</v>
      </c>
      <c r="Z23" t="s">
        <v>38</v>
      </c>
      <c r="AA23" t="s">
        <v>28</v>
      </c>
      <c r="AB23" t="s">
        <v>675</v>
      </c>
      <c r="AC23" t="s">
        <v>676</v>
      </c>
      <c r="AD23" t="s">
        <v>677</v>
      </c>
      <c r="AE23" t="s">
        <v>718</v>
      </c>
      <c r="AF23" t="s">
        <v>719</v>
      </c>
      <c r="AG23" t="s">
        <v>303</v>
      </c>
      <c r="AH23" t="s">
        <v>721</v>
      </c>
      <c r="AJ23" t="s">
        <v>30</v>
      </c>
      <c r="AK23" t="s">
        <v>703</v>
      </c>
      <c r="AL23">
        <v>7</v>
      </c>
      <c r="AM23" t="s">
        <v>670</v>
      </c>
      <c r="AN23" t="s">
        <v>682</v>
      </c>
      <c r="AO23" s="14">
        <v>42</v>
      </c>
      <c r="AP23" t="s">
        <v>42</v>
      </c>
      <c r="AQ23">
        <v>1554057000</v>
      </c>
      <c r="AS23" t="s">
        <v>4</v>
      </c>
      <c r="AT23" t="s">
        <v>304</v>
      </c>
      <c r="AU23">
        <v>10.08</v>
      </c>
      <c r="AV23" t="s">
        <v>42</v>
      </c>
      <c r="AW23" t="s">
        <v>367</v>
      </c>
    </row>
    <row r="24" spans="1:49" x14ac:dyDescent="0.25">
      <c r="A24" t="s">
        <v>367</v>
      </c>
      <c r="B24" t="s">
        <v>670</v>
      </c>
      <c r="C24" t="s">
        <v>671</v>
      </c>
      <c r="D24" t="s">
        <v>672</v>
      </c>
      <c r="F24">
        <v>4.07</v>
      </c>
      <c r="G24">
        <v>0</v>
      </c>
      <c r="H24" s="14">
        <v>4.07</v>
      </c>
      <c r="I24">
        <v>653470</v>
      </c>
      <c r="J24" t="s">
        <v>330</v>
      </c>
      <c r="P24" t="s">
        <v>368</v>
      </c>
      <c r="R24" t="s">
        <v>369</v>
      </c>
      <c r="S24" t="s">
        <v>370</v>
      </c>
      <c r="T24" t="s">
        <v>673</v>
      </c>
      <c r="U24">
        <v>798992</v>
      </c>
      <c r="V24" t="s">
        <v>59</v>
      </c>
      <c r="W24" t="s">
        <v>674</v>
      </c>
      <c r="Y24">
        <v>38593</v>
      </c>
      <c r="Z24" t="s">
        <v>52</v>
      </c>
      <c r="AA24" t="s">
        <v>28</v>
      </c>
      <c r="AB24" t="s">
        <v>675</v>
      </c>
      <c r="AC24" t="s">
        <v>686</v>
      </c>
      <c r="AD24" t="s">
        <v>687</v>
      </c>
      <c r="AE24" t="s">
        <v>722</v>
      </c>
      <c r="AF24" t="s">
        <v>719</v>
      </c>
      <c r="AG24" t="s">
        <v>371</v>
      </c>
      <c r="AH24" t="s">
        <v>723</v>
      </c>
      <c r="AJ24" t="s">
        <v>30</v>
      </c>
      <c r="AK24" t="s">
        <v>703</v>
      </c>
      <c r="AL24">
        <v>7</v>
      </c>
      <c r="AM24" t="s">
        <v>670</v>
      </c>
      <c r="AN24" t="s">
        <v>682</v>
      </c>
      <c r="AO24" s="14">
        <v>11</v>
      </c>
      <c r="AP24" t="s">
        <v>54</v>
      </c>
      <c r="AQ24">
        <v>1554079153</v>
      </c>
      <c r="AS24" t="s">
        <v>4</v>
      </c>
      <c r="AT24" t="s">
        <v>53</v>
      </c>
      <c r="AU24">
        <v>4.07</v>
      </c>
      <c r="AV24" t="s">
        <v>54</v>
      </c>
      <c r="AW24" t="s">
        <v>367</v>
      </c>
    </row>
    <row r="25" spans="1:49" x14ac:dyDescent="0.25">
      <c r="A25" t="s">
        <v>367</v>
      </c>
      <c r="B25" t="s">
        <v>670</v>
      </c>
      <c r="C25" t="s">
        <v>671</v>
      </c>
      <c r="D25" t="s">
        <v>672</v>
      </c>
      <c r="F25">
        <v>14.4</v>
      </c>
      <c r="G25">
        <v>0</v>
      </c>
      <c r="H25" s="14">
        <v>14.4</v>
      </c>
      <c r="I25">
        <v>653470</v>
      </c>
      <c r="J25" t="s">
        <v>330</v>
      </c>
      <c r="P25" t="s">
        <v>372</v>
      </c>
      <c r="R25" t="s">
        <v>373</v>
      </c>
      <c r="S25" t="s">
        <v>374</v>
      </c>
      <c r="T25" t="s">
        <v>695</v>
      </c>
      <c r="U25">
        <v>689390</v>
      </c>
      <c r="V25" t="s">
        <v>77</v>
      </c>
      <c r="W25" t="s">
        <v>674</v>
      </c>
      <c r="Y25">
        <v>38399</v>
      </c>
      <c r="Z25" t="s">
        <v>79</v>
      </c>
      <c r="AA25" t="s">
        <v>28</v>
      </c>
      <c r="AB25" t="s">
        <v>675</v>
      </c>
      <c r="AC25" t="s">
        <v>676</v>
      </c>
      <c r="AD25" t="s">
        <v>677</v>
      </c>
      <c r="AE25" t="s">
        <v>724</v>
      </c>
      <c r="AF25" t="s">
        <v>725</v>
      </c>
      <c r="AG25" t="s">
        <v>375</v>
      </c>
      <c r="AH25" t="s">
        <v>726</v>
      </c>
      <c r="AJ25" t="s">
        <v>30</v>
      </c>
      <c r="AK25" t="s">
        <v>703</v>
      </c>
      <c r="AL25">
        <v>28</v>
      </c>
      <c r="AM25" t="s">
        <v>670</v>
      </c>
      <c r="AN25" t="s">
        <v>682</v>
      </c>
      <c r="AO25" s="14">
        <v>60</v>
      </c>
      <c r="AP25" t="s">
        <v>42</v>
      </c>
      <c r="AQ25">
        <v>1554088627</v>
      </c>
      <c r="AS25" t="s">
        <v>4</v>
      </c>
      <c r="AT25" t="s">
        <v>195</v>
      </c>
      <c r="AU25">
        <v>14.4</v>
      </c>
      <c r="AV25" t="s">
        <v>42</v>
      </c>
      <c r="AW25" t="s">
        <v>367</v>
      </c>
    </row>
    <row r="26" spans="1:49" x14ac:dyDescent="0.25">
      <c r="A26" t="s">
        <v>367</v>
      </c>
      <c r="B26" t="s">
        <v>670</v>
      </c>
      <c r="C26" t="s">
        <v>671</v>
      </c>
      <c r="D26" t="s">
        <v>672</v>
      </c>
      <c r="F26">
        <v>5.55</v>
      </c>
      <c r="G26">
        <v>0</v>
      </c>
      <c r="H26" s="14">
        <v>5.55</v>
      </c>
      <c r="I26">
        <v>653470</v>
      </c>
      <c r="J26" t="s">
        <v>330</v>
      </c>
      <c r="P26" t="s">
        <v>376</v>
      </c>
      <c r="R26" t="s">
        <v>377</v>
      </c>
      <c r="S26" t="s">
        <v>173</v>
      </c>
      <c r="T26" t="s">
        <v>673</v>
      </c>
      <c r="U26">
        <v>678726</v>
      </c>
      <c r="V26" t="s">
        <v>25</v>
      </c>
      <c r="W26" t="s">
        <v>674</v>
      </c>
      <c r="Y26">
        <v>38593</v>
      </c>
      <c r="Z26" t="s">
        <v>52</v>
      </c>
      <c r="AA26" t="s">
        <v>111</v>
      </c>
      <c r="AB26" t="s">
        <v>675</v>
      </c>
      <c r="AC26" t="s">
        <v>686</v>
      </c>
      <c r="AD26" t="s">
        <v>687</v>
      </c>
      <c r="AE26" t="s">
        <v>727</v>
      </c>
      <c r="AF26" t="s">
        <v>705</v>
      </c>
      <c r="AG26" t="s">
        <v>378</v>
      </c>
      <c r="AH26" t="s">
        <v>728</v>
      </c>
      <c r="AJ26" t="s">
        <v>30</v>
      </c>
      <c r="AK26" t="s">
        <v>703</v>
      </c>
      <c r="AL26">
        <v>14</v>
      </c>
      <c r="AM26" t="s">
        <v>729</v>
      </c>
      <c r="AN26" t="s">
        <v>730</v>
      </c>
      <c r="AO26" s="14">
        <v>15</v>
      </c>
      <c r="AP26" t="s">
        <v>54</v>
      </c>
      <c r="AQ26">
        <v>1554089081</v>
      </c>
      <c r="AS26" t="s">
        <v>4</v>
      </c>
      <c r="AT26" t="s">
        <v>112</v>
      </c>
      <c r="AU26">
        <v>5.55</v>
      </c>
      <c r="AV26" t="s">
        <v>54</v>
      </c>
      <c r="AW26" t="s">
        <v>367</v>
      </c>
    </row>
    <row r="27" spans="1:49" x14ac:dyDescent="0.25">
      <c r="A27" t="s">
        <v>367</v>
      </c>
      <c r="B27" t="s">
        <v>670</v>
      </c>
      <c r="C27" t="s">
        <v>671</v>
      </c>
      <c r="D27" t="s">
        <v>672</v>
      </c>
      <c r="F27">
        <v>16</v>
      </c>
      <c r="G27">
        <v>0</v>
      </c>
      <c r="H27" s="14">
        <v>16</v>
      </c>
      <c r="I27">
        <v>653470</v>
      </c>
      <c r="J27" t="s">
        <v>330</v>
      </c>
      <c r="P27" t="s">
        <v>376</v>
      </c>
      <c r="R27" t="s">
        <v>377</v>
      </c>
      <c r="S27" t="s">
        <v>173</v>
      </c>
      <c r="T27" t="s">
        <v>673</v>
      </c>
      <c r="U27">
        <v>678726</v>
      </c>
      <c r="V27" t="s">
        <v>25</v>
      </c>
      <c r="W27" t="s">
        <v>674</v>
      </c>
      <c r="Y27">
        <v>45041</v>
      </c>
      <c r="Z27" t="s">
        <v>27</v>
      </c>
      <c r="AA27" t="s">
        <v>85</v>
      </c>
      <c r="AB27" t="s">
        <v>675</v>
      </c>
      <c r="AC27" t="s">
        <v>676</v>
      </c>
      <c r="AD27" t="s">
        <v>677</v>
      </c>
      <c r="AE27" t="s">
        <v>727</v>
      </c>
      <c r="AF27" t="s">
        <v>705</v>
      </c>
      <c r="AG27" t="s">
        <v>379</v>
      </c>
      <c r="AH27" t="s">
        <v>728</v>
      </c>
      <c r="AJ27" t="s">
        <v>30</v>
      </c>
      <c r="AK27" t="s">
        <v>703</v>
      </c>
      <c r="AL27">
        <v>14</v>
      </c>
      <c r="AM27" t="s">
        <v>729</v>
      </c>
      <c r="AN27" t="s">
        <v>730</v>
      </c>
      <c r="AO27" s="14">
        <v>50</v>
      </c>
      <c r="AP27" t="s">
        <v>32</v>
      </c>
      <c r="AQ27">
        <v>1554089083</v>
      </c>
      <c r="AS27" t="s">
        <v>4</v>
      </c>
      <c r="AT27" t="s">
        <v>182</v>
      </c>
      <c r="AU27">
        <v>16</v>
      </c>
      <c r="AV27" t="s">
        <v>32</v>
      </c>
      <c r="AW27" t="s">
        <v>367</v>
      </c>
    </row>
    <row r="28" spans="1:49" x14ac:dyDescent="0.25">
      <c r="A28" t="s">
        <v>384</v>
      </c>
      <c r="B28" t="s">
        <v>670</v>
      </c>
      <c r="C28" t="s">
        <v>671</v>
      </c>
      <c r="D28" t="s">
        <v>672</v>
      </c>
      <c r="F28">
        <v>17.04</v>
      </c>
      <c r="G28">
        <v>0</v>
      </c>
      <c r="H28" s="14">
        <v>17.04</v>
      </c>
      <c r="I28">
        <v>653470</v>
      </c>
      <c r="J28" t="s">
        <v>330</v>
      </c>
      <c r="P28" t="s">
        <v>380</v>
      </c>
      <c r="R28" t="s">
        <v>381</v>
      </c>
      <c r="S28" t="s">
        <v>382</v>
      </c>
      <c r="T28" t="s">
        <v>695</v>
      </c>
      <c r="U28">
        <v>689390</v>
      </c>
      <c r="V28" t="s">
        <v>77</v>
      </c>
      <c r="W28" t="s">
        <v>674</v>
      </c>
      <c r="Y28">
        <v>38399</v>
      </c>
      <c r="Z28" t="s">
        <v>79</v>
      </c>
      <c r="AA28" t="s">
        <v>28</v>
      </c>
      <c r="AB28" t="s">
        <v>675</v>
      </c>
      <c r="AC28" t="s">
        <v>676</v>
      </c>
      <c r="AD28" t="s">
        <v>677</v>
      </c>
      <c r="AE28" t="s">
        <v>731</v>
      </c>
      <c r="AF28" t="s">
        <v>699</v>
      </c>
      <c r="AG28" t="s">
        <v>383</v>
      </c>
      <c r="AH28" t="s">
        <v>732</v>
      </c>
      <c r="AJ28" t="s">
        <v>30</v>
      </c>
      <c r="AK28" t="s">
        <v>681</v>
      </c>
      <c r="AL28">
        <v>14</v>
      </c>
      <c r="AM28" t="s">
        <v>670</v>
      </c>
      <c r="AN28" t="s">
        <v>682</v>
      </c>
      <c r="AO28" s="14">
        <v>71</v>
      </c>
      <c r="AP28" t="s">
        <v>42</v>
      </c>
      <c r="AQ28">
        <v>1554064064</v>
      </c>
      <c r="AS28" t="s">
        <v>4</v>
      </c>
      <c r="AT28" t="s">
        <v>80</v>
      </c>
      <c r="AU28">
        <v>17.04</v>
      </c>
      <c r="AV28" t="s">
        <v>42</v>
      </c>
      <c r="AW28" t="s">
        <v>384</v>
      </c>
    </row>
    <row r="29" spans="1:49" x14ac:dyDescent="0.25">
      <c r="A29" t="s">
        <v>384</v>
      </c>
      <c r="B29" t="s">
        <v>670</v>
      </c>
      <c r="C29" t="s">
        <v>671</v>
      </c>
      <c r="D29" t="s">
        <v>672</v>
      </c>
      <c r="F29">
        <v>4.07</v>
      </c>
      <c r="G29">
        <v>0</v>
      </c>
      <c r="H29" s="14">
        <v>4.07</v>
      </c>
      <c r="I29">
        <v>653470</v>
      </c>
      <c r="J29" t="s">
        <v>330</v>
      </c>
      <c r="P29" t="s">
        <v>385</v>
      </c>
      <c r="R29" t="s">
        <v>386</v>
      </c>
      <c r="S29" t="s">
        <v>387</v>
      </c>
      <c r="T29" t="s">
        <v>691</v>
      </c>
      <c r="U29">
        <v>760338</v>
      </c>
      <c r="V29" t="s">
        <v>129</v>
      </c>
      <c r="W29" t="s">
        <v>674</v>
      </c>
      <c r="Y29">
        <v>38593</v>
      </c>
      <c r="Z29" t="s">
        <v>52</v>
      </c>
      <c r="AA29" t="s">
        <v>28</v>
      </c>
      <c r="AB29" t="s">
        <v>675</v>
      </c>
      <c r="AC29" t="s">
        <v>686</v>
      </c>
      <c r="AD29" t="s">
        <v>687</v>
      </c>
      <c r="AE29" t="s">
        <v>733</v>
      </c>
      <c r="AF29" t="s">
        <v>734</v>
      </c>
      <c r="AG29" t="s">
        <v>388</v>
      </c>
      <c r="AH29" t="s">
        <v>735</v>
      </c>
      <c r="AJ29" t="s">
        <v>30</v>
      </c>
      <c r="AK29" t="s">
        <v>681</v>
      </c>
      <c r="AL29">
        <v>11</v>
      </c>
      <c r="AM29" t="s">
        <v>670</v>
      </c>
      <c r="AN29" t="s">
        <v>682</v>
      </c>
      <c r="AO29" s="14">
        <v>11</v>
      </c>
      <c r="AP29" t="s">
        <v>54</v>
      </c>
      <c r="AQ29">
        <v>1554101953</v>
      </c>
      <c r="AS29" t="s">
        <v>4</v>
      </c>
      <c r="AT29" t="s">
        <v>53</v>
      </c>
      <c r="AU29">
        <v>4.07</v>
      </c>
      <c r="AV29" t="s">
        <v>54</v>
      </c>
      <c r="AW29" t="s">
        <v>384</v>
      </c>
    </row>
    <row r="30" spans="1:49" x14ac:dyDescent="0.25">
      <c r="A30" t="s">
        <v>384</v>
      </c>
      <c r="B30" t="s">
        <v>670</v>
      </c>
      <c r="C30" t="s">
        <v>671</v>
      </c>
      <c r="D30" t="s">
        <v>672</v>
      </c>
      <c r="F30">
        <v>6</v>
      </c>
      <c r="G30">
        <v>0</v>
      </c>
      <c r="H30" s="14">
        <v>6</v>
      </c>
      <c r="I30">
        <v>653470</v>
      </c>
      <c r="J30" t="s">
        <v>330</v>
      </c>
      <c r="P30" t="s">
        <v>385</v>
      </c>
      <c r="R30" t="s">
        <v>386</v>
      </c>
      <c r="S30" t="s">
        <v>387</v>
      </c>
      <c r="T30" t="s">
        <v>691</v>
      </c>
      <c r="U30">
        <v>760338</v>
      </c>
      <c r="V30" t="s">
        <v>129</v>
      </c>
      <c r="W30" t="s">
        <v>674</v>
      </c>
      <c r="Y30">
        <v>38796</v>
      </c>
      <c r="Z30" t="s">
        <v>73</v>
      </c>
      <c r="AA30" t="s">
        <v>28</v>
      </c>
      <c r="AB30" t="s">
        <v>675</v>
      </c>
      <c r="AC30" t="s">
        <v>676</v>
      </c>
      <c r="AD30" t="s">
        <v>677</v>
      </c>
      <c r="AE30" t="s">
        <v>733</v>
      </c>
      <c r="AF30" t="s">
        <v>734</v>
      </c>
      <c r="AG30" t="s">
        <v>389</v>
      </c>
      <c r="AH30" t="s">
        <v>735</v>
      </c>
      <c r="AJ30" t="s">
        <v>30</v>
      </c>
      <c r="AK30" t="s">
        <v>681</v>
      </c>
      <c r="AL30">
        <v>11</v>
      </c>
      <c r="AM30" t="s">
        <v>670</v>
      </c>
      <c r="AN30" t="s">
        <v>682</v>
      </c>
      <c r="AO30" s="14">
        <v>25</v>
      </c>
      <c r="AP30" t="s">
        <v>42</v>
      </c>
      <c r="AQ30">
        <v>1554101951</v>
      </c>
      <c r="AS30" t="s">
        <v>4</v>
      </c>
      <c r="AT30" t="s">
        <v>31</v>
      </c>
      <c r="AU30">
        <v>6</v>
      </c>
      <c r="AV30" t="s">
        <v>42</v>
      </c>
      <c r="AW30" t="s">
        <v>384</v>
      </c>
    </row>
    <row r="31" spans="1:49" x14ac:dyDescent="0.25">
      <c r="A31" t="s">
        <v>384</v>
      </c>
      <c r="B31" t="s">
        <v>670</v>
      </c>
      <c r="C31" t="s">
        <v>671</v>
      </c>
      <c r="D31" t="s">
        <v>672</v>
      </c>
      <c r="F31">
        <v>16</v>
      </c>
      <c r="G31">
        <v>0</v>
      </c>
      <c r="H31" s="14">
        <v>16</v>
      </c>
      <c r="I31">
        <v>653470</v>
      </c>
      <c r="J31" t="s">
        <v>330</v>
      </c>
      <c r="P31" t="s">
        <v>419</v>
      </c>
      <c r="R31" t="s">
        <v>420</v>
      </c>
      <c r="S31" t="s">
        <v>421</v>
      </c>
      <c r="T31" t="s">
        <v>673</v>
      </c>
      <c r="U31">
        <v>678726</v>
      </c>
      <c r="V31" t="s">
        <v>25</v>
      </c>
      <c r="W31" t="s">
        <v>674</v>
      </c>
      <c r="Y31">
        <v>45041</v>
      </c>
      <c r="Z31" t="s">
        <v>27</v>
      </c>
      <c r="AA31" t="s">
        <v>85</v>
      </c>
      <c r="AB31" t="s">
        <v>675</v>
      </c>
      <c r="AC31" t="s">
        <v>676</v>
      </c>
      <c r="AD31" t="s">
        <v>677</v>
      </c>
      <c r="AE31" t="s">
        <v>736</v>
      </c>
      <c r="AF31" t="s">
        <v>737</v>
      </c>
      <c r="AG31" t="s">
        <v>422</v>
      </c>
      <c r="AH31" t="s">
        <v>738</v>
      </c>
      <c r="AJ31" t="s">
        <v>30</v>
      </c>
      <c r="AK31" t="s">
        <v>681</v>
      </c>
      <c r="AL31">
        <v>16</v>
      </c>
      <c r="AM31" t="s">
        <v>670</v>
      </c>
      <c r="AN31" t="s">
        <v>682</v>
      </c>
      <c r="AO31" s="14">
        <v>50</v>
      </c>
      <c r="AP31" t="s">
        <v>32</v>
      </c>
      <c r="AQ31">
        <v>1554113808</v>
      </c>
      <c r="AS31" t="s">
        <v>4</v>
      </c>
      <c r="AT31" t="s">
        <v>182</v>
      </c>
      <c r="AU31">
        <v>16</v>
      </c>
      <c r="AV31" t="s">
        <v>32</v>
      </c>
      <c r="AW31" t="s">
        <v>384</v>
      </c>
    </row>
    <row r="32" spans="1:49" x14ac:dyDescent="0.25">
      <c r="A32" t="s">
        <v>394</v>
      </c>
      <c r="B32" t="s">
        <v>670</v>
      </c>
      <c r="C32" t="s">
        <v>671</v>
      </c>
      <c r="D32" t="s">
        <v>672</v>
      </c>
      <c r="F32">
        <v>6</v>
      </c>
      <c r="G32">
        <v>0</v>
      </c>
      <c r="H32" s="14">
        <v>6</v>
      </c>
      <c r="I32">
        <v>653470</v>
      </c>
      <c r="J32" t="s">
        <v>330</v>
      </c>
      <c r="P32" t="s">
        <v>390</v>
      </c>
      <c r="R32" t="s">
        <v>391</v>
      </c>
      <c r="S32" t="s">
        <v>392</v>
      </c>
      <c r="T32" t="s">
        <v>691</v>
      </c>
      <c r="U32">
        <v>760338</v>
      </c>
      <c r="V32" t="s">
        <v>129</v>
      </c>
      <c r="W32" t="s">
        <v>674</v>
      </c>
      <c r="Y32">
        <v>38796</v>
      </c>
      <c r="Z32" t="s">
        <v>73</v>
      </c>
      <c r="AA32" t="s">
        <v>28</v>
      </c>
      <c r="AB32" t="s">
        <v>675</v>
      </c>
      <c r="AC32" t="s">
        <v>676</v>
      </c>
      <c r="AD32" t="s">
        <v>677</v>
      </c>
      <c r="AE32" t="s">
        <v>739</v>
      </c>
      <c r="AF32" t="s">
        <v>740</v>
      </c>
      <c r="AG32" t="s">
        <v>393</v>
      </c>
      <c r="AH32" t="s">
        <v>741</v>
      </c>
      <c r="AJ32" t="s">
        <v>30</v>
      </c>
      <c r="AK32" t="s">
        <v>681</v>
      </c>
      <c r="AL32">
        <v>13</v>
      </c>
      <c r="AM32" t="s">
        <v>670</v>
      </c>
      <c r="AN32" t="s">
        <v>682</v>
      </c>
      <c r="AO32" s="14">
        <v>25</v>
      </c>
      <c r="AP32" t="s">
        <v>42</v>
      </c>
      <c r="AQ32">
        <v>1554127585</v>
      </c>
      <c r="AS32" t="s">
        <v>4</v>
      </c>
      <c r="AT32" t="s">
        <v>31</v>
      </c>
      <c r="AU32">
        <v>6</v>
      </c>
      <c r="AV32" t="s">
        <v>42</v>
      </c>
      <c r="AW32" t="s">
        <v>394</v>
      </c>
    </row>
    <row r="33" spans="1:49" x14ac:dyDescent="0.25">
      <c r="A33" t="s">
        <v>394</v>
      </c>
      <c r="B33" t="s">
        <v>670</v>
      </c>
      <c r="C33" t="s">
        <v>671</v>
      </c>
      <c r="D33" t="s">
        <v>672</v>
      </c>
      <c r="F33">
        <v>8</v>
      </c>
      <c r="G33">
        <v>0</v>
      </c>
      <c r="H33" s="14">
        <v>8</v>
      </c>
      <c r="I33">
        <v>653470</v>
      </c>
      <c r="J33" t="s">
        <v>330</v>
      </c>
      <c r="P33" t="s">
        <v>395</v>
      </c>
      <c r="R33" t="s">
        <v>396</v>
      </c>
      <c r="S33" t="s">
        <v>397</v>
      </c>
      <c r="T33" t="s">
        <v>673</v>
      </c>
      <c r="U33">
        <v>678726</v>
      </c>
      <c r="V33" t="s">
        <v>25</v>
      </c>
      <c r="W33" t="s">
        <v>674</v>
      </c>
      <c r="Y33">
        <v>45041</v>
      </c>
      <c r="Z33" t="s">
        <v>27</v>
      </c>
      <c r="AA33" t="s">
        <v>28</v>
      </c>
      <c r="AB33" t="s">
        <v>675</v>
      </c>
      <c r="AC33" t="s">
        <v>676</v>
      </c>
      <c r="AD33" t="s">
        <v>677</v>
      </c>
      <c r="AE33" t="s">
        <v>742</v>
      </c>
      <c r="AF33" t="s">
        <v>743</v>
      </c>
      <c r="AG33" t="s">
        <v>398</v>
      </c>
      <c r="AH33" t="s">
        <v>744</v>
      </c>
      <c r="AJ33" t="s">
        <v>30</v>
      </c>
      <c r="AK33" t="s">
        <v>681</v>
      </c>
      <c r="AL33">
        <v>15</v>
      </c>
      <c r="AM33" t="s">
        <v>670</v>
      </c>
      <c r="AN33" t="s">
        <v>682</v>
      </c>
      <c r="AO33" s="14">
        <v>25</v>
      </c>
      <c r="AP33" t="s">
        <v>32</v>
      </c>
      <c r="AQ33">
        <v>1554128145</v>
      </c>
      <c r="AS33" t="s">
        <v>4</v>
      </c>
      <c r="AT33" t="s">
        <v>31</v>
      </c>
      <c r="AU33">
        <v>8</v>
      </c>
      <c r="AV33" t="s">
        <v>32</v>
      </c>
      <c r="AW33" t="s">
        <v>394</v>
      </c>
    </row>
    <row r="34" spans="1:49" x14ac:dyDescent="0.25">
      <c r="A34" t="s">
        <v>394</v>
      </c>
      <c r="B34" t="s">
        <v>670</v>
      </c>
      <c r="C34" t="s">
        <v>671</v>
      </c>
      <c r="D34" t="s">
        <v>672</v>
      </c>
      <c r="F34">
        <v>8</v>
      </c>
      <c r="G34">
        <v>0</v>
      </c>
      <c r="H34" s="14">
        <v>8</v>
      </c>
      <c r="I34">
        <v>653470</v>
      </c>
      <c r="J34" t="s">
        <v>330</v>
      </c>
      <c r="P34" t="s">
        <v>399</v>
      </c>
      <c r="R34" t="s">
        <v>400</v>
      </c>
      <c r="S34" t="s">
        <v>401</v>
      </c>
      <c r="T34" t="s">
        <v>673</v>
      </c>
      <c r="U34">
        <v>678726</v>
      </c>
      <c r="V34" t="s">
        <v>25</v>
      </c>
      <c r="W34" t="s">
        <v>674</v>
      </c>
      <c r="Y34">
        <v>45041</v>
      </c>
      <c r="Z34" t="s">
        <v>27</v>
      </c>
      <c r="AA34" t="s">
        <v>28</v>
      </c>
      <c r="AB34" t="s">
        <v>675</v>
      </c>
      <c r="AC34" t="s">
        <v>676</v>
      </c>
      <c r="AD34" t="s">
        <v>677</v>
      </c>
      <c r="AE34" t="s">
        <v>739</v>
      </c>
      <c r="AF34" t="s">
        <v>740</v>
      </c>
      <c r="AG34" t="s">
        <v>402</v>
      </c>
      <c r="AH34" t="s">
        <v>745</v>
      </c>
      <c r="AJ34" t="s">
        <v>30</v>
      </c>
      <c r="AK34" t="s">
        <v>681</v>
      </c>
      <c r="AL34">
        <v>13</v>
      </c>
      <c r="AM34" t="s">
        <v>670</v>
      </c>
      <c r="AN34" t="s">
        <v>682</v>
      </c>
      <c r="AO34" s="14">
        <v>25</v>
      </c>
      <c r="AP34" t="s">
        <v>32</v>
      </c>
      <c r="AQ34">
        <v>1554127696</v>
      </c>
      <c r="AS34" t="s">
        <v>4</v>
      </c>
      <c r="AT34" t="s">
        <v>31</v>
      </c>
      <c r="AU34">
        <v>8</v>
      </c>
      <c r="AV34" t="s">
        <v>32</v>
      </c>
      <c r="AW34" t="s">
        <v>394</v>
      </c>
    </row>
    <row r="35" spans="1:49" x14ac:dyDescent="0.25">
      <c r="A35" t="s">
        <v>394</v>
      </c>
      <c r="B35" t="s">
        <v>670</v>
      </c>
      <c r="C35" t="s">
        <v>671</v>
      </c>
      <c r="D35" t="s">
        <v>672</v>
      </c>
      <c r="F35">
        <v>6.48</v>
      </c>
      <c r="G35">
        <v>0</v>
      </c>
      <c r="H35" s="14">
        <v>6.48</v>
      </c>
      <c r="I35">
        <v>653470</v>
      </c>
      <c r="J35" t="s">
        <v>330</v>
      </c>
      <c r="P35" t="s">
        <v>403</v>
      </c>
      <c r="R35" t="s">
        <v>404</v>
      </c>
      <c r="S35" t="s">
        <v>405</v>
      </c>
      <c r="T35" t="s">
        <v>673</v>
      </c>
      <c r="U35">
        <v>678726</v>
      </c>
      <c r="V35" t="s">
        <v>25</v>
      </c>
      <c r="W35" t="s">
        <v>674</v>
      </c>
      <c r="Y35">
        <v>47133</v>
      </c>
      <c r="Z35" t="s">
        <v>152</v>
      </c>
      <c r="AA35" t="s">
        <v>28</v>
      </c>
      <c r="AB35" t="s">
        <v>675</v>
      </c>
      <c r="AC35" t="s">
        <v>676</v>
      </c>
      <c r="AD35" t="s">
        <v>677</v>
      </c>
      <c r="AE35" t="s">
        <v>746</v>
      </c>
      <c r="AF35" t="s">
        <v>705</v>
      </c>
      <c r="AG35" t="s">
        <v>406</v>
      </c>
      <c r="AH35" t="s">
        <v>747</v>
      </c>
      <c r="AJ35" t="s">
        <v>30</v>
      </c>
      <c r="AK35" t="s">
        <v>703</v>
      </c>
      <c r="AL35">
        <v>3</v>
      </c>
      <c r="AM35" t="s">
        <v>670</v>
      </c>
      <c r="AN35" t="s">
        <v>682</v>
      </c>
      <c r="AO35" s="14">
        <v>27</v>
      </c>
      <c r="AP35" t="s">
        <v>42</v>
      </c>
      <c r="AQ35">
        <v>1554160122</v>
      </c>
      <c r="AS35" t="s">
        <v>4</v>
      </c>
      <c r="AT35" t="s">
        <v>153</v>
      </c>
      <c r="AU35">
        <v>6.48</v>
      </c>
      <c r="AV35" t="s">
        <v>42</v>
      </c>
      <c r="AW35" t="s">
        <v>394</v>
      </c>
    </row>
    <row r="36" spans="1:49" x14ac:dyDescent="0.25">
      <c r="A36" t="s">
        <v>394</v>
      </c>
      <c r="B36" t="s">
        <v>670</v>
      </c>
      <c r="C36" t="s">
        <v>671</v>
      </c>
      <c r="D36" t="s">
        <v>672</v>
      </c>
      <c r="F36">
        <v>9.6</v>
      </c>
      <c r="G36">
        <v>0</v>
      </c>
      <c r="H36" s="14">
        <v>9.6</v>
      </c>
      <c r="I36">
        <v>653470</v>
      </c>
      <c r="J36" t="s">
        <v>330</v>
      </c>
      <c r="P36" t="s">
        <v>407</v>
      </c>
      <c r="R36" t="s">
        <v>408</v>
      </c>
      <c r="S36" t="s">
        <v>409</v>
      </c>
      <c r="T36" t="s">
        <v>673</v>
      </c>
      <c r="U36">
        <v>706472</v>
      </c>
      <c r="V36" t="s">
        <v>199</v>
      </c>
      <c r="W36" t="s">
        <v>674</v>
      </c>
      <c r="Y36">
        <v>45041</v>
      </c>
      <c r="Z36" t="s">
        <v>27</v>
      </c>
      <c r="AA36" t="s">
        <v>28</v>
      </c>
      <c r="AB36" t="s">
        <v>675</v>
      </c>
      <c r="AC36" t="s">
        <v>676</v>
      </c>
      <c r="AD36" t="s">
        <v>677</v>
      </c>
      <c r="AE36" t="s">
        <v>748</v>
      </c>
      <c r="AF36" t="s">
        <v>737</v>
      </c>
      <c r="AG36" t="s">
        <v>410</v>
      </c>
      <c r="AH36" t="s">
        <v>749</v>
      </c>
      <c r="AJ36" t="s">
        <v>30</v>
      </c>
      <c r="AK36" t="s">
        <v>703</v>
      </c>
      <c r="AL36">
        <v>16</v>
      </c>
      <c r="AM36" t="s">
        <v>670</v>
      </c>
      <c r="AN36" t="s">
        <v>682</v>
      </c>
      <c r="AO36" s="14">
        <v>30</v>
      </c>
      <c r="AP36" t="s">
        <v>32</v>
      </c>
      <c r="AQ36">
        <v>1554169373</v>
      </c>
      <c r="AS36" t="s">
        <v>4</v>
      </c>
      <c r="AT36" t="s">
        <v>67</v>
      </c>
      <c r="AU36">
        <v>9.6</v>
      </c>
      <c r="AV36" t="s">
        <v>32</v>
      </c>
      <c r="AW36" t="s">
        <v>394</v>
      </c>
    </row>
    <row r="37" spans="1:49" x14ac:dyDescent="0.25">
      <c r="A37" t="s">
        <v>394</v>
      </c>
      <c r="B37" t="s">
        <v>670</v>
      </c>
      <c r="C37" t="s">
        <v>671</v>
      </c>
      <c r="D37" t="s">
        <v>672</v>
      </c>
      <c r="F37">
        <v>8</v>
      </c>
      <c r="G37">
        <v>0</v>
      </c>
      <c r="H37" s="14">
        <v>8</v>
      </c>
      <c r="I37">
        <v>653470</v>
      </c>
      <c r="J37" t="s">
        <v>330</v>
      </c>
      <c r="P37" t="s">
        <v>411</v>
      </c>
      <c r="R37" t="s">
        <v>412</v>
      </c>
      <c r="S37" t="s">
        <v>413</v>
      </c>
      <c r="T37" t="s">
        <v>673</v>
      </c>
      <c r="U37">
        <v>707256</v>
      </c>
      <c r="V37" t="s">
        <v>137</v>
      </c>
      <c r="W37" t="s">
        <v>674</v>
      </c>
      <c r="Y37">
        <v>45041</v>
      </c>
      <c r="Z37" t="s">
        <v>27</v>
      </c>
      <c r="AA37" t="s">
        <v>28</v>
      </c>
      <c r="AB37" t="s">
        <v>675</v>
      </c>
      <c r="AC37" t="s">
        <v>676</v>
      </c>
      <c r="AD37" t="s">
        <v>677</v>
      </c>
      <c r="AE37" t="s">
        <v>750</v>
      </c>
      <c r="AF37" t="s">
        <v>737</v>
      </c>
      <c r="AG37" t="s">
        <v>414</v>
      </c>
      <c r="AH37" t="s">
        <v>751</v>
      </c>
      <c r="AJ37" t="s">
        <v>30</v>
      </c>
      <c r="AK37" t="s">
        <v>703</v>
      </c>
      <c r="AL37">
        <v>16</v>
      </c>
      <c r="AM37" t="s">
        <v>670</v>
      </c>
      <c r="AN37" t="s">
        <v>682</v>
      </c>
      <c r="AO37" s="14">
        <v>25</v>
      </c>
      <c r="AP37" t="s">
        <v>32</v>
      </c>
      <c r="AQ37">
        <v>1554169222</v>
      </c>
      <c r="AS37" t="s">
        <v>4</v>
      </c>
      <c r="AT37" t="s">
        <v>31</v>
      </c>
      <c r="AU37">
        <v>8</v>
      </c>
      <c r="AV37" t="s">
        <v>32</v>
      </c>
      <c r="AW37" t="s">
        <v>394</v>
      </c>
    </row>
    <row r="38" spans="1:49" x14ac:dyDescent="0.25">
      <c r="A38" t="s">
        <v>394</v>
      </c>
      <c r="B38" t="s">
        <v>670</v>
      </c>
      <c r="C38" t="s">
        <v>671</v>
      </c>
      <c r="D38" t="s">
        <v>672</v>
      </c>
      <c r="F38">
        <v>8</v>
      </c>
      <c r="G38">
        <v>0</v>
      </c>
      <c r="H38" s="14">
        <v>8</v>
      </c>
      <c r="I38">
        <v>653470</v>
      </c>
      <c r="J38" t="s">
        <v>330</v>
      </c>
      <c r="P38" t="s">
        <v>415</v>
      </c>
      <c r="R38" t="s">
        <v>416</v>
      </c>
      <c r="S38" t="s">
        <v>417</v>
      </c>
      <c r="T38" t="s">
        <v>673</v>
      </c>
      <c r="U38">
        <v>678726</v>
      </c>
      <c r="V38" t="s">
        <v>25</v>
      </c>
      <c r="W38" t="s">
        <v>674</v>
      </c>
      <c r="Y38">
        <v>45041</v>
      </c>
      <c r="Z38" t="s">
        <v>27</v>
      </c>
      <c r="AA38" t="s">
        <v>28</v>
      </c>
      <c r="AB38" t="s">
        <v>675</v>
      </c>
      <c r="AC38" t="s">
        <v>676</v>
      </c>
      <c r="AD38" t="s">
        <v>677</v>
      </c>
      <c r="AE38" t="s">
        <v>752</v>
      </c>
      <c r="AF38" t="s">
        <v>743</v>
      </c>
      <c r="AG38" t="s">
        <v>418</v>
      </c>
      <c r="AH38" t="s">
        <v>753</v>
      </c>
      <c r="AJ38" t="s">
        <v>30</v>
      </c>
      <c r="AK38" t="s">
        <v>703</v>
      </c>
      <c r="AL38">
        <v>15</v>
      </c>
      <c r="AM38" t="s">
        <v>670</v>
      </c>
      <c r="AN38" t="s">
        <v>682</v>
      </c>
      <c r="AO38" s="14">
        <v>25</v>
      </c>
      <c r="AP38" t="s">
        <v>32</v>
      </c>
      <c r="AQ38">
        <v>1554168528</v>
      </c>
      <c r="AS38" t="s">
        <v>4</v>
      </c>
      <c r="AT38" t="s">
        <v>31</v>
      </c>
      <c r="AU38">
        <v>8</v>
      </c>
      <c r="AV38" t="s">
        <v>32</v>
      </c>
      <c r="AW38" t="s">
        <v>394</v>
      </c>
    </row>
    <row r="39" spans="1:49" x14ac:dyDescent="0.25">
      <c r="A39" t="s">
        <v>394</v>
      </c>
      <c r="B39" t="s">
        <v>670</v>
      </c>
      <c r="C39" t="s">
        <v>671</v>
      </c>
      <c r="D39" t="s">
        <v>672</v>
      </c>
      <c r="F39">
        <v>8</v>
      </c>
      <c r="G39">
        <v>0</v>
      </c>
      <c r="H39" s="14">
        <v>8</v>
      </c>
      <c r="I39">
        <v>653470</v>
      </c>
      <c r="J39" t="s">
        <v>330</v>
      </c>
      <c r="P39" t="s">
        <v>423</v>
      </c>
      <c r="R39" t="s">
        <v>424</v>
      </c>
      <c r="S39" t="s">
        <v>425</v>
      </c>
      <c r="T39" t="s">
        <v>673</v>
      </c>
      <c r="U39">
        <v>678726</v>
      </c>
      <c r="V39" t="s">
        <v>25</v>
      </c>
      <c r="W39" t="s">
        <v>674</v>
      </c>
      <c r="Y39">
        <v>45041</v>
      </c>
      <c r="Z39" t="s">
        <v>27</v>
      </c>
      <c r="AA39" t="s">
        <v>28</v>
      </c>
      <c r="AB39" t="s">
        <v>675</v>
      </c>
      <c r="AC39" t="s">
        <v>676</v>
      </c>
      <c r="AD39" t="s">
        <v>677</v>
      </c>
      <c r="AE39" t="s">
        <v>754</v>
      </c>
      <c r="AF39" t="s">
        <v>679</v>
      </c>
      <c r="AG39" t="s">
        <v>426</v>
      </c>
      <c r="AH39" t="s">
        <v>755</v>
      </c>
      <c r="AJ39" t="s">
        <v>30</v>
      </c>
      <c r="AK39" t="s">
        <v>703</v>
      </c>
      <c r="AL39">
        <v>12</v>
      </c>
      <c r="AM39" t="s">
        <v>670</v>
      </c>
      <c r="AN39" t="s">
        <v>682</v>
      </c>
      <c r="AO39" s="14">
        <v>25</v>
      </c>
      <c r="AP39" t="s">
        <v>32</v>
      </c>
      <c r="AQ39">
        <v>1554166496</v>
      </c>
      <c r="AS39" t="s">
        <v>4</v>
      </c>
      <c r="AT39" t="s">
        <v>31</v>
      </c>
      <c r="AU39">
        <v>8</v>
      </c>
      <c r="AV39" t="s">
        <v>32</v>
      </c>
      <c r="AW39" t="s">
        <v>394</v>
      </c>
    </row>
    <row r="40" spans="1:49" x14ac:dyDescent="0.25">
      <c r="A40" t="s">
        <v>394</v>
      </c>
      <c r="B40" t="s">
        <v>670</v>
      </c>
      <c r="C40" t="s">
        <v>671</v>
      </c>
      <c r="D40" t="s">
        <v>672</v>
      </c>
      <c r="F40">
        <v>4.07</v>
      </c>
      <c r="G40">
        <v>0</v>
      </c>
      <c r="H40" s="14">
        <v>4.07</v>
      </c>
      <c r="I40">
        <v>653470</v>
      </c>
      <c r="J40" t="s">
        <v>330</v>
      </c>
      <c r="P40" t="s">
        <v>423</v>
      </c>
      <c r="R40" t="s">
        <v>424</v>
      </c>
      <c r="S40" t="s">
        <v>425</v>
      </c>
      <c r="T40" t="s">
        <v>673</v>
      </c>
      <c r="U40">
        <v>678726</v>
      </c>
      <c r="V40" t="s">
        <v>25</v>
      </c>
      <c r="W40" t="s">
        <v>674</v>
      </c>
      <c r="Y40">
        <v>38967</v>
      </c>
      <c r="Z40" t="s">
        <v>52</v>
      </c>
      <c r="AA40" t="s">
        <v>28</v>
      </c>
      <c r="AB40" t="s">
        <v>675</v>
      </c>
      <c r="AC40" t="s">
        <v>686</v>
      </c>
      <c r="AD40" t="s">
        <v>687</v>
      </c>
      <c r="AE40" t="s">
        <v>756</v>
      </c>
      <c r="AF40" t="s">
        <v>705</v>
      </c>
      <c r="AG40" t="s">
        <v>467</v>
      </c>
      <c r="AH40" t="s">
        <v>755</v>
      </c>
      <c r="AJ40" t="s">
        <v>30</v>
      </c>
      <c r="AK40" t="s">
        <v>703</v>
      </c>
      <c r="AL40">
        <v>3</v>
      </c>
      <c r="AM40" t="s">
        <v>670</v>
      </c>
      <c r="AN40" t="s">
        <v>682</v>
      </c>
      <c r="AO40" s="14">
        <v>11</v>
      </c>
      <c r="AP40" t="s">
        <v>54</v>
      </c>
      <c r="AQ40">
        <v>1554166498</v>
      </c>
      <c r="AS40" t="s">
        <v>4</v>
      </c>
      <c r="AT40" t="s">
        <v>53</v>
      </c>
      <c r="AU40">
        <v>4.07</v>
      </c>
      <c r="AV40" t="s">
        <v>54</v>
      </c>
      <c r="AW40" t="s">
        <v>394</v>
      </c>
    </row>
    <row r="41" spans="1:49" x14ac:dyDescent="0.25">
      <c r="A41" t="s">
        <v>394</v>
      </c>
      <c r="B41" t="s">
        <v>670</v>
      </c>
      <c r="C41" t="s">
        <v>671</v>
      </c>
      <c r="D41" t="s">
        <v>672</v>
      </c>
      <c r="F41">
        <v>6</v>
      </c>
      <c r="G41">
        <v>0</v>
      </c>
      <c r="H41" s="14">
        <v>6</v>
      </c>
      <c r="I41">
        <v>653470</v>
      </c>
      <c r="J41" t="s">
        <v>330</v>
      </c>
      <c r="P41" t="s">
        <v>468</v>
      </c>
      <c r="R41" t="s">
        <v>204</v>
      </c>
      <c r="S41" t="s">
        <v>469</v>
      </c>
      <c r="T41" t="s">
        <v>757</v>
      </c>
      <c r="U41">
        <v>847313</v>
      </c>
      <c r="V41" t="s">
        <v>215</v>
      </c>
      <c r="W41" t="s">
        <v>674</v>
      </c>
      <c r="Y41">
        <v>39849</v>
      </c>
      <c r="Z41" t="s">
        <v>471</v>
      </c>
      <c r="AA41" t="s">
        <v>28</v>
      </c>
      <c r="AB41" t="s">
        <v>675</v>
      </c>
      <c r="AC41" t="s">
        <v>676</v>
      </c>
      <c r="AD41" t="s">
        <v>677</v>
      </c>
      <c r="AE41" t="s">
        <v>560</v>
      </c>
      <c r="AF41" t="s">
        <v>264</v>
      </c>
      <c r="AG41" t="s">
        <v>470</v>
      </c>
      <c r="AH41" t="s">
        <v>758</v>
      </c>
      <c r="AJ41" t="s">
        <v>30</v>
      </c>
      <c r="AK41" t="s">
        <v>681</v>
      </c>
      <c r="AL41">
        <v>10</v>
      </c>
      <c r="AM41" t="s">
        <v>264</v>
      </c>
      <c r="AN41" t="s">
        <v>29</v>
      </c>
      <c r="AO41" s="14">
        <v>25</v>
      </c>
      <c r="AP41" t="s">
        <v>42</v>
      </c>
      <c r="AQ41">
        <v>1554117089</v>
      </c>
      <c r="AS41" t="s">
        <v>4</v>
      </c>
      <c r="AT41" t="s">
        <v>31</v>
      </c>
      <c r="AU41">
        <v>6</v>
      </c>
      <c r="AV41" t="s">
        <v>42</v>
      </c>
      <c r="AW41" t="s">
        <v>394</v>
      </c>
    </row>
    <row r="42" spans="1:49" x14ac:dyDescent="0.25">
      <c r="A42" t="s">
        <v>394</v>
      </c>
      <c r="B42" t="s">
        <v>670</v>
      </c>
      <c r="C42" t="s">
        <v>671</v>
      </c>
      <c r="D42" t="s">
        <v>672</v>
      </c>
      <c r="F42">
        <v>8</v>
      </c>
      <c r="G42">
        <v>0</v>
      </c>
      <c r="H42" s="14">
        <v>8</v>
      </c>
      <c r="I42">
        <v>653470</v>
      </c>
      <c r="J42" t="s">
        <v>330</v>
      </c>
      <c r="P42" t="s">
        <v>472</v>
      </c>
      <c r="R42" t="s">
        <v>473</v>
      </c>
      <c r="S42" t="s">
        <v>474</v>
      </c>
      <c r="T42" t="s">
        <v>710</v>
      </c>
      <c r="U42">
        <v>749876</v>
      </c>
      <c r="V42" t="s">
        <v>475</v>
      </c>
      <c r="W42" t="s">
        <v>674</v>
      </c>
      <c r="Y42">
        <v>45041</v>
      </c>
      <c r="Z42" t="s">
        <v>27</v>
      </c>
      <c r="AA42" t="s">
        <v>28</v>
      </c>
      <c r="AB42" t="s">
        <v>675</v>
      </c>
      <c r="AC42" t="s">
        <v>676</v>
      </c>
      <c r="AD42" t="s">
        <v>677</v>
      </c>
      <c r="AE42" t="s">
        <v>759</v>
      </c>
      <c r="AF42" t="s">
        <v>740</v>
      </c>
      <c r="AG42" t="s">
        <v>476</v>
      </c>
      <c r="AH42" t="s">
        <v>760</v>
      </c>
      <c r="AJ42" t="s">
        <v>30</v>
      </c>
      <c r="AK42" t="s">
        <v>703</v>
      </c>
      <c r="AL42">
        <v>13</v>
      </c>
      <c r="AM42" t="s">
        <v>670</v>
      </c>
      <c r="AN42" t="s">
        <v>682</v>
      </c>
      <c r="AO42" s="14">
        <v>25</v>
      </c>
      <c r="AP42" t="s">
        <v>32</v>
      </c>
      <c r="AQ42">
        <v>1554154657</v>
      </c>
      <c r="AS42" t="s">
        <v>4</v>
      </c>
      <c r="AT42" t="s">
        <v>31</v>
      </c>
      <c r="AU42">
        <v>8</v>
      </c>
      <c r="AV42" t="s">
        <v>32</v>
      </c>
      <c r="AW42" t="s">
        <v>394</v>
      </c>
    </row>
    <row r="43" spans="1:49" x14ac:dyDescent="0.25">
      <c r="A43" t="s">
        <v>565</v>
      </c>
      <c r="B43" t="s">
        <v>670</v>
      </c>
      <c r="C43" t="s">
        <v>671</v>
      </c>
      <c r="D43" t="s">
        <v>672</v>
      </c>
      <c r="F43">
        <v>9.6</v>
      </c>
      <c r="G43">
        <v>0</v>
      </c>
      <c r="H43" s="14">
        <v>9.6</v>
      </c>
      <c r="I43">
        <v>653470</v>
      </c>
      <c r="J43" t="s">
        <v>330</v>
      </c>
      <c r="P43" t="s">
        <v>561</v>
      </c>
      <c r="R43" t="s">
        <v>562</v>
      </c>
      <c r="S43" t="s">
        <v>563</v>
      </c>
      <c r="T43" t="s">
        <v>673</v>
      </c>
      <c r="U43">
        <v>678726</v>
      </c>
      <c r="V43" t="s">
        <v>25</v>
      </c>
      <c r="W43" t="s">
        <v>674</v>
      </c>
      <c r="Y43">
        <v>45041</v>
      </c>
      <c r="Z43" t="s">
        <v>27</v>
      </c>
      <c r="AA43" t="s">
        <v>28</v>
      </c>
      <c r="AB43" t="s">
        <v>675</v>
      </c>
      <c r="AC43" t="s">
        <v>676</v>
      </c>
      <c r="AD43" t="s">
        <v>677</v>
      </c>
      <c r="AE43" t="s">
        <v>761</v>
      </c>
      <c r="AF43" t="s">
        <v>699</v>
      </c>
      <c r="AG43" t="s">
        <v>564</v>
      </c>
      <c r="AH43" t="s">
        <v>762</v>
      </c>
      <c r="AJ43" t="s">
        <v>30</v>
      </c>
      <c r="AK43" t="s">
        <v>703</v>
      </c>
      <c r="AL43">
        <v>14</v>
      </c>
      <c r="AM43" t="s">
        <v>670</v>
      </c>
      <c r="AN43" t="s">
        <v>682</v>
      </c>
      <c r="AO43" s="14">
        <v>30</v>
      </c>
      <c r="AP43" t="s">
        <v>32</v>
      </c>
      <c r="AQ43">
        <v>1554195071</v>
      </c>
      <c r="AS43" t="s">
        <v>4</v>
      </c>
      <c r="AT43" t="s">
        <v>67</v>
      </c>
      <c r="AU43">
        <v>9.6</v>
      </c>
      <c r="AV43" t="s">
        <v>32</v>
      </c>
      <c r="AW43" t="s">
        <v>565</v>
      </c>
    </row>
    <row r="44" spans="1:49" x14ac:dyDescent="0.25">
      <c r="A44" t="s">
        <v>570</v>
      </c>
      <c r="B44" t="s">
        <v>670</v>
      </c>
      <c r="C44" t="s">
        <v>671</v>
      </c>
      <c r="D44" t="s">
        <v>672</v>
      </c>
      <c r="F44">
        <v>4.07</v>
      </c>
      <c r="G44">
        <v>0</v>
      </c>
      <c r="H44" s="14">
        <v>4.07</v>
      </c>
      <c r="I44">
        <v>653470</v>
      </c>
      <c r="J44" t="s">
        <v>330</v>
      </c>
      <c r="P44" t="s">
        <v>566</v>
      </c>
      <c r="R44" t="s">
        <v>567</v>
      </c>
      <c r="S44" t="s">
        <v>568</v>
      </c>
      <c r="T44" t="s">
        <v>673</v>
      </c>
      <c r="U44">
        <v>798992</v>
      </c>
      <c r="V44" t="s">
        <v>59</v>
      </c>
      <c r="W44" t="s">
        <v>674</v>
      </c>
      <c r="Y44">
        <v>38593</v>
      </c>
      <c r="Z44" t="s">
        <v>52</v>
      </c>
      <c r="AA44" t="s">
        <v>28</v>
      </c>
      <c r="AB44" t="s">
        <v>675</v>
      </c>
      <c r="AC44" t="s">
        <v>686</v>
      </c>
      <c r="AD44" t="s">
        <v>687</v>
      </c>
      <c r="AE44" t="s">
        <v>763</v>
      </c>
      <c r="AF44" t="s">
        <v>719</v>
      </c>
      <c r="AG44" t="s">
        <v>569</v>
      </c>
      <c r="AH44" t="s">
        <v>764</v>
      </c>
      <c r="AJ44" t="s">
        <v>30</v>
      </c>
      <c r="AK44" t="s">
        <v>703</v>
      </c>
      <c r="AL44">
        <v>7</v>
      </c>
      <c r="AM44" t="s">
        <v>670</v>
      </c>
      <c r="AN44" t="s">
        <v>682</v>
      </c>
      <c r="AO44" s="14">
        <v>11</v>
      </c>
      <c r="AP44" t="s">
        <v>54</v>
      </c>
      <c r="AQ44">
        <v>1554207817</v>
      </c>
      <c r="AS44" t="s">
        <v>4</v>
      </c>
      <c r="AT44" t="s">
        <v>53</v>
      </c>
      <c r="AU44">
        <v>4.07</v>
      </c>
      <c r="AV44" t="s">
        <v>54</v>
      </c>
      <c r="AW44" t="s">
        <v>570</v>
      </c>
    </row>
    <row r="45" spans="1:49" x14ac:dyDescent="0.25">
      <c r="A45" t="s">
        <v>570</v>
      </c>
      <c r="B45" t="s">
        <v>670</v>
      </c>
      <c r="C45" t="s">
        <v>671</v>
      </c>
      <c r="D45" t="s">
        <v>672</v>
      </c>
      <c r="F45">
        <v>5.76</v>
      </c>
      <c r="G45">
        <v>0</v>
      </c>
      <c r="H45" s="14">
        <v>5.76</v>
      </c>
      <c r="I45">
        <v>653470</v>
      </c>
      <c r="J45" t="s">
        <v>330</v>
      </c>
      <c r="P45" t="s">
        <v>571</v>
      </c>
      <c r="R45" t="s">
        <v>572</v>
      </c>
      <c r="S45" t="s">
        <v>573</v>
      </c>
      <c r="T45" t="s">
        <v>695</v>
      </c>
      <c r="U45">
        <v>653470</v>
      </c>
      <c r="V45" t="s">
        <v>330</v>
      </c>
      <c r="W45" t="s">
        <v>674</v>
      </c>
      <c r="Y45">
        <v>45035</v>
      </c>
      <c r="Z45" t="s">
        <v>575</v>
      </c>
      <c r="AA45" t="s">
        <v>28</v>
      </c>
      <c r="AB45" t="s">
        <v>675</v>
      </c>
      <c r="AC45" t="s">
        <v>676</v>
      </c>
      <c r="AD45" t="s">
        <v>677</v>
      </c>
      <c r="AE45" t="s">
        <v>121</v>
      </c>
      <c r="AF45" t="s">
        <v>670</v>
      </c>
      <c r="AG45" t="s">
        <v>574</v>
      </c>
      <c r="AH45" t="s">
        <v>765</v>
      </c>
      <c r="AJ45" t="s">
        <v>30</v>
      </c>
      <c r="AK45" t="s">
        <v>703</v>
      </c>
      <c r="AL45">
        <v>11</v>
      </c>
      <c r="AM45" t="s">
        <v>766</v>
      </c>
      <c r="AN45" t="s">
        <v>767</v>
      </c>
      <c r="AO45" s="14">
        <v>18</v>
      </c>
      <c r="AP45" t="s">
        <v>32</v>
      </c>
      <c r="AQ45">
        <v>1554205574</v>
      </c>
      <c r="AS45" t="s">
        <v>4</v>
      </c>
      <c r="AT45" t="s">
        <v>576</v>
      </c>
      <c r="AU45">
        <v>5.76</v>
      </c>
      <c r="AV45" t="s">
        <v>32</v>
      </c>
      <c r="AW45" t="s">
        <v>570</v>
      </c>
    </row>
    <row r="46" spans="1:49" x14ac:dyDescent="0.25">
      <c r="A46" t="s">
        <v>570</v>
      </c>
      <c r="B46" t="s">
        <v>670</v>
      </c>
      <c r="C46" t="s">
        <v>671</v>
      </c>
      <c r="D46" t="s">
        <v>672</v>
      </c>
      <c r="F46">
        <v>8</v>
      </c>
      <c r="G46">
        <v>0</v>
      </c>
      <c r="H46" s="14">
        <v>8</v>
      </c>
      <c r="I46">
        <v>653470</v>
      </c>
      <c r="J46" t="s">
        <v>330</v>
      </c>
      <c r="P46" t="s">
        <v>577</v>
      </c>
      <c r="R46" t="s">
        <v>197</v>
      </c>
      <c r="S46" t="s">
        <v>578</v>
      </c>
      <c r="T46" t="s">
        <v>673</v>
      </c>
      <c r="U46">
        <v>678726</v>
      </c>
      <c r="V46" t="s">
        <v>25</v>
      </c>
      <c r="W46" t="s">
        <v>674</v>
      </c>
      <c r="Y46">
        <v>45041</v>
      </c>
      <c r="Z46" t="s">
        <v>27</v>
      </c>
      <c r="AA46" t="s">
        <v>28</v>
      </c>
      <c r="AB46" t="s">
        <v>675</v>
      </c>
      <c r="AC46" t="s">
        <v>676</v>
      </c>
      <c r="AD46" t="s">
        <v>677</v>
      </c>
      <c r="AE46" t="s">
        <v>768</v>
      </c>
      <c r="AF46" t="s">
        <v>684</v>
      </c>
      <c r="AG46" t="s">
        <v>579</v>
      </c>
      <c r="AH46" t="s">
        <v>769</v>
      </c>
      <c r="AJ46" t="s">
        <v>30</v>
      </c>
      <c r="AK46" t="s">
        <v>703</v>
      </c>
      <c r="AL46">
        <v>17</v>
      </c>
      <c r="AM46" t="s">
        <v>670</v>
      </c>
      <c r="AN46" t="s">
        <v>682</v>
      </c>
      <c r="AO46" s="14">
        <v>25</v>
      </c>
      <c r="AP46" t="s">
        <v>32</v>
      </c>
      <c r="AQ46">
        <v>1554208965</v>
      </c>
      <c r="AS46" t="s">
        <v>4</v>
      </c>
      <c r="AT46" t="s">
        <v>31</v>
      </c>
      <c r="AU46">
        <v>8</v>
      </c>
      <c r="AV46" t="s">
        <v>32</v>
      </c>
      <c r="AW46" t="s">
        <v>570</v>
      </c>
    </row>
    <row r="47" spans="1:49" x14ac:dyDescent="0.25">
      <c r="A47" t="s">
        <v>584</v>
      </c>
      <c r="B47" t="s">
        <v>670</v>
      </c>
      <c r="C47" t="s">
        <v>671</v>
      </c>
      <c r="D47" t="s">
        <v>672</v>
      </c>
      <c r="F47">
        <v>4.07</v>
      </c>
      <c r="G47">
        <v>0</v>
      </c>
      <c r="H47" s="14">
        <v>4.07</v>
      </c>
      <c r="I47">
        <v>653470</v>
      </c>
      <c r="J47" t="s">
        <v>330</v>
      </c>
      <c r="P47" t="s">
        <v>580</v>
      </c>
      <c r="R47" t="s">
        <v>581</v>
      </c>
      <c r="S47" t="s">
        <v>582</v>
      </c>
      <c r="T47" t="s">
        <v>673</v>
      </c>
      <c r="U47">
        <v>678726</v>
      </c>
      <c r="V47" t="s">
        <v>25</v>
      </c>
      <c r="W47" t="s">
        <v>674</v>
      </c>
      <c r="Y47">
        <v>38593</v>
      </c>
      <c r="Z47" t="s">
        <v>52</v>
      </c>
      <c r="AA47" t="s">
        <v>28</v>
      </c>
      <c r="AB47" t="s">
        <v>675</v>
      </c>
      <c r="AC47" t="s">
        <v>686</v>
      </c>
      <c r="AD47" t="s">
        <v>687</v>
      </c>
      <c r="AE47" t="s">
        <v>770</v>
      </c>
      <c r="AF47" t="s">
        <v>771</v>
      </c>
      <c r="AG47" t="s">
        <v>583</v>
      </c>
      <c r="AH47" t="s">
        <v>772</v>
      </c>
      <c r="AJ47" t="s">
        <v>30</v>
      </c>
      <c r="AK47" t="s">
        <v>681</v>
      </c>
      <c r="AL47">
        <v>18</v>
      </c>
      <c r="AM47" t="s">
        <v>670</v>
      </c>
      <c r="AN47" t="s">
        <v>682</v>
      </c>
      <c r="AO47" s="14">
        <v>11</v>
      </c>
      <c r="AP47" t="s">
        <v>54</v>
      </c>
      <c r="AQ47">
        <v>1554143163</v>
      </c>
      <c r="AS47" t="s">
        <v>4</v>
      </c>
      <c r="AT47" t="s">
        <v>53</v>
      </c>
      <c r="AU47">
        <v>4.07</v>
      </c>
      <c r="AV47" t="s">
        <v>54</v>
      </c>
      <c r="AW47" t="s">
        <v>584</v>
      </c>
    </row>
    <row r="48" spans="1:49" x14ac:dyDescent="0.25">
      <c r="A48" t="s">
        <v>588</v>
      </c>
      <c r="B48" t="s">
        <v>670</v>
      </c>
      <c r="C48" t="s">
        <v>671</v>
      </c>
      <c r="D48" t="s">
        <v>672</v>
      </c>
      <c r="F48">
        <v>16</v>
      </c>
      <c r="G48">
        <v>0</v>
      </c>
      <c r="H48" s="14">
        <v>16</v>
      </c>
      <c r="I48">
        <v>653470</v>
      </c>
      <c r="J48" t="s">
        <v>330</v>
      </c>
      <c r="P48" t="s">
        <v>585</v>
      </c>
      <c r="R48" t="s">
        <v>586</v>
      </c>
      <c r="S48" t="s">
        <v>316</v>
      </c>
      <c r="T48" t="s">
        <v>695</v>
      </c>
      <c r="U48">
        <v>820877</v>
      </c>
      <c r="V48" t="s">
        <v>168</v>
      </c>
      <c r="W48" t="s">
        <v>674</v>
      </c>
      <c r="Y48">
        <v>45041</v>
      </c>
      <c r="Z48" t="s">
        <v>27</v>
      </c>
      <c r="AA48" t="s">
        <v>85</v>
      </c>
      <c r="AB48" t="s">
        <v>675</v>
      </c>
      <c r="AC48" t="s">
        <v>676</v>
      </c>
      <c r="AD48" t="s">
        <v>677</v>
      </c>
      <c r="AE48" t="s">
        <v>773</v>
      </c>
      <c r="AF48" t="s">
        <v>740</v>
      </c>
      <c r="AG48" t="s">
        <v>587</v>
      </c>
      <c r="AH48" t="s">
        <v>774</v>
      </c>
      <c r="AJ48" t="s">
        <v>30</v>
      </c>
      <c r="AK48" t="s">
        <v>681</v>
      </c>
      <c r="AL48">
        <v>13</v>
      </c>
      <c r="AM48" t="s">
        <v>670</v>
      </c>
      <c r="AN48" t="s">
        <v>682</v>
      </c>
      <c r="AO48" s="14">
        <v>50</v>
      </c>
      <c r="AP48" t="s">
        <v>32</v>
      </c>
      <c r="AQ48">
        <v>1554150346</v>
      </c>
      <c r="AS48" t="s">
        <v>4</v>
      </c>
      <c r="AT48" t="s">
        <v>182</v>
      </c>
      <c r="AU48">
        <v>16</v>
      </c>
      <c r="AV48" t="s">
        <v>32</v>
      </c>
      <c r="AW48" t="s">
        <v>588</v>
      </c>
    </row>
    <row r="49" spans="1:49" x14ac:dyDescent="0.25">
      <c r="A49" t="s">
        <v>593</v>
      </c>
      <c r="B49" t="s">
        <v>670</v>
      </c>
      <c r="C49" t="s">
        <v>671</v>
      </c>
      <c r="D49" t="s">
        <v>672</v>
      </c>
      <c r="F49">
        <v>9.6</v>
      </c>
      <c r="G49">
        <v>0</v>
      </c>
      <c r="H49" s="14">
        <v>9.6</v>
      </c>
      <c r="I49">
        <v>653470</v>
      </c>
      <c r="J49" t="s">
        <v>330</v>
      </c>
      <c r="P49" t="s">
        <v>589</v>
      </c>
      <c r="R49" t="s">
        <v>590</v>
      </c>
      <c r="S49" t="s">
        <v>591</v>
      </c>
      <c r="T49" t="s">
        <v>695</v>
      </c>
      <c r="U49">
        <v>689390</v>
      </c>
      <c r="V49" t="s">
        <v>77</v>
      </c>
      <c r="W49" t="s">
        <v>674</v>
      </c>
      <c r="Y49">
        <v>45041</v>
      </c>
      <c r="Z49" t="s">
        <v>27</v>
      </c>
      <c r="AA49" t="s">
        <v>28</v>
      </c>
      <c r="AB49" t="s">
        <v>675</v>
      </c>
      <c r="AC49" t="s">
        <v>676</v>
      </c>
      <c r="AD49" t="s">
        <v>677</v>
      </c>
      <c r="AE49" t="s">
        <v>775</v>
      </c>
      <c r="AF49" t="s">
        <v>679</v>
      </c>
      <c r="AG49" t="s">
        <v>592</v>
      </c>
      <c r="AH49" t="s">
        <v>776</v>
      </c>
      <c r="AJ49" t="s">
        <v>30</v>
      </c>
      <c r="AK49" t="s">
        <v>681</v>
      </c>
      <c r="AL49">
        <v>12</v>
      </c>
      <c r="AM49" t="s">
        <v>670</v>
      </c>
      <c r="AN49" t="s">
        <v>682</v>
      </c>
      <c r="AO49" s="14">
        <v>30</v>
      </c>
      <c r="AP49" t="s">
        <v>32</v>
      </c>
      <c r="AQ49">
        <v>1554166716</v>
      </c>
      <c r="AS49" t="s">
        <v>4</v>
      </c>
      <c r="AT49" t="s">
        <v>67</v>
      </c>
      <c r="AU49">
        <v>9.6</v>
      </c>
      <c r="AV49" t="s">
        <v>32</v>
      </c>
      <c r="AW49" t="s">
        <v>593</v>
      </c>
    </row>
    <row r="50" spans="1:49" x14ac:dyDescent="0.25">
      <c r="A50" t="s">
        <v>593</v>
      </c>
      <c r="B50" t="s">
        <v>670</v>
      </c>
      <c r="C50" t="s">
        <v>671</v>
      </c>
      <c r="D50" t="s">
        <v>672</v>
      </c>
      <c r="F50">
        <v>12.48</v>
      </c>
      <c r="G50">
        <v>0</v>
      </c>
      <c r="H50" s="14">
        <v>12.48</v>
      </c>
      <c r="I50">
        <v>653470</v>
      </c>
      <c r="J50" t="s">
        <v>330</v>
      </c>
      <c r="P50" t="s">
        <v>594</v>
      </c>
      <c r="R50" t="s">
        <v>595</v>
      </c>
      <c r="S50" t="s">
        <v>596</v>
      </c>
      <c r="T50" t="s">
        <v>777</v>
      </c>
      <c r="U50">
        <v>759555</v>
      </c>
      <c r="V50" t="s">
        <v>143</v>
      </c>
      <c r="W50" t="s">
        <v>674</v>
      </c>
      <c r="Y50">
        <v>38398</v>
      </c>
      <c r="Z50" t="s">
        <v>38</v>
      </c>
      <c r="AA50" t="s">
        <v>28</v>
      </c>
      <c r="AB50" t="s">
        <v>675</v>
      </c>
      <c r="AC50" t="s">
        <v>676</v>
      </c>
      <c r="AD50" t="s">
        <v>677</v>
      </c>
      <c r="AE50" t="s">
        <v>778</v>
      </c>
      <c r="AF50" t="s">
        <v>264</v>
      </c>
      <c r="AG50" t="s">
        <v>597</v>
      </c>
      <c r="AH50" t="s">
        <v>779</v>
      </c>
      <c r="AJ50" t="s">
        <v>30</v>
      </c>
      <c r="AK50" t="s">
        <v>681</v>
      </c>
      <c r="AL50">
        <v>2</v>
      </c>
      <c r="AM50" t="s">
        <v>670</v>
      </c>
      <c r="AN50" t="s">
        <v>682</v>
      </c>
      <c r="AO50" s="14">
        <v>52</v>
      </c>
      <c r="AP50" t="s">
        <v>42</v>
      </c>
      <c r="AQ50">
        <v>1554195966</v>
      </c>
      <c r="AS50" t="s">
        <v>4</v>
      </c>
      <c r="AT50" t="s">
        <v>285</v>
      </c>
      <c r="AU50">
        <v>12.48</v>
      </c>
      <c r="AV50" t="s">
        <v>42</v>
      </c>
      <c r="AW50" t="s">
        <v>593</v>
      </c>
    </row>
    <row r="51" spans="1:49" x14ac:dyDescent="0.25">
      <c r="A51" t="s">
        <v>593</v>
      </c>
      <c r="B51" t="s">
        <v>670</v>
      </c>
      <c r="C51" t="s">
        <v>671</v>
      </c>
      <c r="D51" t="s">
        <v>672</v>
      </c>
      <c r="F51">
        <v>8</v>
      </c>
      <c r="G51">
        <v>0</v>
      </c>
      <c r="H51" s="14">
        <v>8</v>
      </c>
      <c r="I51">
        <v>653470</v>
      </c>
      <c r="J51" t="s">
        <v>330</v>
      </c>
      <c r="P51" t="s">
        <v>598</v>
      </c>
      <c r="R51" t="s">
        <v>599</v>
      </c>
      <c r="S51" t="s">
        <v>600</v>
      </c>
      <c r="T51" t="s">
        <v>673</v>
      </c>
      <c r="U51">
        <v>798992</v>
      </c>
      <c r="V51" t="s">
        <v>59</v>
      </c>
      <c r="W51" t="s">
        <v>674</v>
      </c>
      <c r="Y51">
        <v>45041</v>
      </c>
      <c r="Z51" t="s">
        <v>27</v>
      </c>
      <c r="AA51" t="s">
        <v>28</v>
      </c>
      <c r="AB51" t="s">
        <v>675</v>
      </c>
      <c r="AC51" t="s">
        <v>676</v>
      </c>
      <c r="AD51" t="s">
        <v>677</v>
      </c>
      <c r="AE51" t="s">
        <v>698</v>
      </c>
      <c r="AF51" t="s">
        <v>699</v>
      </c>
      <c r="AG51" t="s">
        <v>601</v>
      </c>
      <c r="AH51" t="s">
        <v>780</v>
      </c>
      <c r="AJ51" t="s">
        <v>30</v>
      </c>
      <c r="AK51" t="s">
        <v>681</v>
      </c>
      <c r="AL51">
        <v>14</v>
      </c>
      <c r="AM51" t="s">
        <v>670</v>
      </c>
      <c r="AN51" t="s">
        <v>682</v>
      </c>
      <c r="AO51" s="14">
        <v>25</v>
      </c>
      <c r="AP51" t="s">
        <v>32</v>
      </c>
      <c r="AQ51">
        <v>1554202165</v>
      </c>
      <c r="AS51" t="s">
        <v>4</v>
      </c>
      <c r="AT51" t="s">
        <v>31</v>
      </c>
      <c r="AU51">
        <v>8</v>
      </c>
      <c r="AV51" t="s">
        <v>32</v>
      </c>
      <c r="AW51" t="s">
        <v>593</v>
      </c>
    </row>
    <row r="52" spans="1:49" x14ac:dyDescent="0.25">
      <c r="A52" t="s">
        <v>593</v>
      </c>
      <c r="B52" t="s">
        <v>670</v>
      </c>
      <c r="C52" t="s">
        <v>671</v>
      </c>
      <c r="D52" t="s">
        <v>672</v>
      </c>
      <c r="F52">
        <v>8</v>
      </c>
      <c r="G52">
        <v>0</v>
      </c>
      <c r="H52" s="14">
        <v>8</v>
      </c>
      <c r="I52">
        <v>653470</v>
      </c>
      <c r="J52" t="s">
        <v>330</v>
      </c>
      <c r="P52" t="s">
        <v>602</v>
      </c>
      <c r="R52" t="s">
        <v>603</v>
      </c>
      <c r="S52" t="s">
        <v>604</v>
      </c>
      <c r="T52" t="s">
        <v>673</v>
      </c>
      <c r="U52">
        <v>678726</v>
      </c>
      <c r="V52" t="s">
        <v>25</v>
      </c>
      <c r="W52" t="s">
        <v>674</v>
      </c>
      <c r="Y52">
        <v>45041</v>
      </c>
      <c r="Z52" t="s">
        <v>27</v>
      </c>
      <c r="AA52" t="s">
        <v>28</v>
      </c>
      <c r="AB52" t="s">
        <v>675</v>
      </c>
      <c r="AC52" t="s">
        <v>676</v>
      </c>
      <c r="AD52" t="s">
        <v>677</v>
      </c>
      <c r="AE52" t="s">
        <v>781</v>
      </c>
      <c r="AF52" t="s">
        <v>699</v>
      </c>
      <c r="AG52" t="s">
        <v>605</v>
      </c>
      <c r="AH52" t="s">
        <v>782</v>
      </c>
      <c r="AJ52" t="s">
        <v>30</v>
      </c>
      <c r="AK52" t="s">
        <v>681</v>
      </c>
      <c r="AL52">
        <v>14</v>
      </c>
      <c r="AM52" t="s">
        <v>670</v>
      </c>
      <c r="AN52" t="s">
        <v>682</v>
      </c>
      <c r="AO52" s="14">
        <v>25</v>
      </c>
      <c r="AP52" t="s">
        <v>32</v>
      </c>
      <c r="AQ52">
        <v>1554202304</v>
      </c>
      <c r="AS52" t="s">
        <v>4</v>
      </c>
      <c r="AT52" t="s">
        <v>31</v>
      </c>
      <c r="AU52">
        <v>8</v>
      </c>
      <c r="AV52" t="s">
        <v>32</v>
      </c>
      <c r="AW52" t="s">
        <v>593</v>
      </c>
    </row>
    <row r="53" spans="1:49" x14ac:dyDescent="0.25">
      <c r="A53" t="s">
        <v>593</v>
      </c>
      <c r="B53" t="s">
        <v>670</v>
      </c>
      <c r="C53" t="s">
        <v>671</v>
      </c>
      <c r="D53" t="s">
        <v>672</v>
      </c>
      <c r="F53">
        <v>4.07</v>
      </c>
      <c r="G53">
        <v>0</v>
      </c>
      <c r="H53" s="14">
        <v>4.07</v>
      </c>
      <c r="I53">
        <v>653470</v>
      </c>
      <c r="J53" t="s">
        <v>330</v>
      </c>
      <c r="P53" t="s">
        <v>606</v>
      </c>
      <c r="R53" t="s">
        <v>607</v>
      </c>
      <c r="S53" t="s">
        <v>608</v>
      </c>
      <c r="T53" t="s">
        <v>673</v>
      </c>
      <c r="U53">
        <v>678726</v>
      </c>
      <c r="V53" t="s">
        <v>25</v>
      </c>
      <c r="W53" t="s">
        <v>674</v>
      </c>
      <c r="Y53">
        <v>38593</v>
      </c>
      <c r="Z53" t="s">
        <v>52</v>
      </c>
      <c r="AA53" t="s">
        <v>28</v>
      </c>
      <c r="AB53" t="s">
        <v>675</v>
      </c>
      <c r="AC53" t="s">
        <v>686</v>
      </c>
      <c r="AD53" t="s">
        <v>687</v>
      </c>
      <c r="AE53" t="s">
        <v>783</v>
      </c>
      <c r="AF53" t="s">
        <v>679</v>
      </c>
      <c r="AG53" t="s">
        <v>609</v>
      </c>
      <c r="AH53" t="s">
        <v>784</v>
      </c>
      <c r="AJ53" t="s">
        <v>30</v>
      </c>
      <c r="AK53" t="s">
        <v>681</v>
      </c>
      <c r="AL53">
        <v>12</v>
      </c>
      <c r="AM53" t="s">
        <v>670</v>
      </c>
      <c r="AN53" t="s">
        <v>682</v>
      </c>
      <c r="AO53" s="14">
        <v>11</v>
      </c>
      <c r="AP53" t="s">
        <v>54</v>
      </c>
      <c r="AQ53">
        <v>1554191967</v>
      </c>
      <c r="AS53" t="s">
        <v>4</v>
      </c>
      <c r="AT53" t="s">
        <v>53</v>
      </c>
      <c r="AU53">
        <v>4.07</v>
      </c>
      <c r="AV53" t="s">
        <v>54</v>
      </c>
      <c r="AW53" t="s">
        <v>593</v>
      </c>
    </row>
    <row r="54" spans="1:49" x14ac:dyDescent="0.25">
      <c r="A54" t="s">
        <v>593</v>
      </c>
      <c r="B54" t="s">
        <v>670</v>
      </c>
      <c r="C54" t="s">
        <v>671</v>
      </c>
      <c r="D54" t="s">
        <v>672</v>
      </c>
      <c r="F54">
        <v>8</v>
      </c>
      <c r="G54">
        <v>0</v>
      </c>
      <c r="H54" s="14">
        <v>8</v>
      </c>
      <c r="I54">
        <v>653470</v>
      </c>
      <c r="J54" t="s">
        <v>330</v>
      </c>
      <c r="P54" t="s">
        <v>610</v>
      </c>
      <c r="R54" t="s">
        <v>361</v>
      </c>
      <c r="S54" t="s">
        <v>611</v>
      </c>
      <c r="T54" t="s">
        <v>673</v>
      </c>
      <c r="U54">
        <v>678726</v>
      </c>
      <c r="V54" t="s">
        <v>25</v>
      </c>
      <c r="W54" t="s">
        <v>674</v>
      </c>
      <c r="Y54">
        <v>45041</v>
      </c>
      <c r="Z54" t="s">
        <v>27</v>
      </c>
      <c r="AA54" t="s">
        <v>28</v>
      </c>
      <c r="AB54" t="s">
        <v>675</v>
      </c>
      <c r="AC54" t="s">
        <v>676</v>
      </c>
      <c r="AD54" t="s">
        <v>677</v>
      </c>
      <c r="AE54" t="s">
        <v>785</v>
      </c>
      <c r="AF54" t="s">
        <v>679</v>
      </c>
      <c r="AG54" t="s">
        <v>612</v>
      </c>
      <c r="AH54" t="s">
        <v>786</v>
      </c>
      <c r="AJ54" t="s">
        <v>30</v>
      </c>
      <c r="AK54" t="s">
        <v>681</v>
      </c>
      <c r="AL54">
        <v>16</v>
      </c>
      <c r="AM54" t="s">
        <v>787</v>
      </c>
      <c r="AN54" t="s">
        <v>788</v>
      </c>
      <c r="AO54" s="14">
        <v>25</v>
      </c>
      <c r="AP54" t="s">
        <v>32</v>
      </c>
      <c r="AQ54">
        <v>1554191665</v>
      </c>
      <c r="AS54" t="s">
        <v>4</v>
      </c>
      <c r="AT54" t="s">
        <v>31</v>
      </c>
      <c r="AU54">
        <v>8</v>
      </c>
      <c r="AV54" t="s">
        <v>32</v>
      </c>
      <c r="AW54" t="s">
        <v>593</v>
      </c>
    </row>
    <row r="55" spans="1:49" x14ac:dyDescent="0.25">
      <c r="A55" t="s">
        <v>593</v>
      </c>
      <c r="B55" t="s">
        <v>670</v>
      </c>
      <c r="C55" t="s">
        <v>671</v>
      </c>
      <c r="D55" t="s">
        <v>672</v>
      </c>
      <c r="F55">
        <v>6.48</v>
      </c>
      <c r="G55">
        <v>0</v>
      </c>
      <c r="H55" s="14">
        <v>6.48</v>
      </c>
      <c r="I55">
        <v>653470</v>
      </c>
      <c r="J55" t="s">
        <v>330</v>
      </c>
      <c r="P55" t="s">
        <v>613</v>
      </c>
      <c r="R55" t="s">
        <v>34</v>
      </c>
      <c r="S55" t="s">
        <v>614</v>
      </c>
      <c r="T55" t="s">
        <v>673</v>
      </c>
      <c r="U55">
        <v>798992</v>
      </c>
      <c r="V55" t="s">
        <v>59</v>
      </c>
      <c r="W55" t="s">
        <v>674</v>
      </c>
      <c r="Y55">
        <v>47133</v>
      </c>
      <c r="Z55" t="s">
        <v>152</v>
      </c>
      <c r="AA55" t="s">
        <v>28</v>
      </c>
      <c r="AB55" t="s">
        <v>675</v>
      </c>
      <c r="AC55" t="s">
        <v>676</v>
      </c>
      <c r="AD55" t="s">
        <v>677</v>
      </c>
      <c r="AE55" t="s">
        <v>789</v>
      </c>
      <c r="AF55" t="s">
        <v>264</v>
      </c>
      <c r="AG55" t="s">
        <v>615</v>
      </c>
      <c r="AH55" t="s">
        <v>790</v>
      </c>
      <c r="AJ55" t="s">
        <v>30</v>
      </c>
      <c r="AK55" t="s">
        <v>703</v>
      </c>
      <c r="AL55">
        <v>2</v>
      </c>
      <c r="AM55" t="s">
        <v>670</v>
      </c>
      <c r="AN55" t="s">
        <v>682</v>
      </c>
      <c r="AO55" s="14">
        <v>27</v>
      </c>
      <c r="AP55" t="s">
        <v>42</v>
      </c>
      <c r="AQ55">
        <v>1554249286</v>
      </c>
      <c r="AS55" t="s">
        <v>4</v>
      </c>
      <c r="AT55" t="s">
        <v>153</v>
      </c>
      <c r="AU55">
        <v>6.48</v>
      </c>
      <c r="AV55" t="s">
        <v>42</v>
      </c>
      <c r="AW55" t="s">
        <v>593</v>
      </c>
    </row>
    <row r="56" spans="1:49" x14ac:dyDescent="0.25">
      <c r="A56" t="s">
        <v>593</v>
      </c>
      <c r="B56" t="s">
        <v>670</v>
      </c>
      <c r="C56" t="s">
        <v>671</v>
      </c>
      <c r="D56" t="s">
        <v>672</v>
      </c>
      <c r="F56">
        <v>8</v>
      </c>
      <c r="G56">
        <v>0</v>
      </c>
      <c r="H56" s="14">
        <v>8</v>
      </c>
      <c r="I56">
        <v>653470</v>
      </c>
      <c r="J56" t="s">
        <v>330</v>
      </c>
      <c r="P56" t="s">
        <v>616</v>
      </c>
      <c r="R56" t="s">
        <v>617</v>
      </c>
      <c r="S56" t="s">
        <v>618</v>
      </c>
      <c r="T56" t="s">
        <v>673</v>
      </c>
      <c r="U56">
        <v>798992</v>
      </c>
      <c r="V56" t="s">
        <v>59</v>
      </c>
      <c r="W56" t="s">
        <v>674</v>
      </c>
      <c r="Y56">
        <v>45041</v>
      </c>
      <c r="Z56" t="s">
        <v>27</v>
      </c>
      <c r="AA56" t="s">
        <v>28</v>
      </c>
      <c r="AB56" t="s">
        <v>675</v>
      </c>
      <c r="AC56" t="s">
        <v>676</v>
      </c>
      <c r="AD56" t="s">
        <v>677</v>
      </c>
      <c r="AE56" t="s">
        <v>791</v>
      </c>
      <c r="AF56" t="s">
        <v>740</v>
      </c>
      <c r="AG56" t="s">
        <v>619</v>
      </c>
      <c r="AH56" t="s">
        <v>792</v>
      </c>
      <c r="AJ56" t="s">
        <v>30</v>
      </c>
      <c r="AK56" t="s">
        <v>703</v>
      </c>
      <c r="AL56">
        <v>13</v>
      </c>
      <c r="AM56" t="s">
        <v>670</v>
      </c>
      <c r="AN56" t="s">
        <v>682</v>
      </c>
      <c r="AO56" s="14">
        <v>25</v>
      </c>
      <c r="AP56" t="s">
        <v>32</v>
      </c>
      <c r="AQ56">
        <v>1554246884</v>
      </c>
      <c r="AS56" t="s">
        <v>4</v>
      </c>
      <c r="AT56" t="s">
        <v>31</v>
      </c>
      <c r="AU56">
        <v>8</v>
      </c>
      <c r="AV56" t="s">
        <v>32</v>
      </c>
      <c r="AW56" t="s">
        <v>593</v>
      </c>
    </row>
    <row r="57" spans="1:49" x14ac:dyDescent="0.25">
      <c r="A57" t="s">
        <v>560</v>
      </c>
      <c r="B57" t="s">
        <v>670</v>
      </c>
      <c r="C57" t="s">
        <v>671</v>
      </c>
      <c r="D57" t="s">
        <v>672</v>
      </c>
      <c r="F57">
        <v>16</v>
      </c>
      <c r="G57">
        <v>0</v>
      </c>
      <c r="H57" s="14">
        <v>16</v>
      </c>
      <c r="I57">
        <v>653470</v>
      </c>
      <c r="J57" t="s">
        <v>330</v>
      </c>
      <c r="P57" t="s">
        <v>620</v>
      </c>
      <c r="R57" t="s">
        <v>621</v>
      </c>
      <c r="S57" t="s">
        <v>622</v>
      </c>
      <c r="T57" t="s">
        <v>673</v>
      </c>
      <c r="U57">
        <v>678726</v>
      </c>
      <c r="V57" t="s">
        <v>25</v>
      </c>
      <c r="W57" t="s">
        <v>674</v>
      </c>
      <c r="Y57">
        <v>45041</v>
      </c>
      <c r="Z57" t="s">
        <v>27</v>
      </c>
      <c r="AA57" t="s">
        <v>85</v>
      </c>
      <c r="AB57" t="s">
        <v>675</v>
      </c>
      <c r="AC57" t="s">
        <v>676</v>
      </c>
      <c r="AD57" t="s">
        <v>677</v>
      </c>
      <c r="AE57" t="s">
        <v>752</v>
      </c>
      <c r="AF57" t="s">
        <v>743</v>
      </c>
      <c r="AG57" t="s">
        <v>623</v>
      </c>
      <c r="AH57" t="s">
        <v>793</v>
      </c>
      <c r="AJ57" t="s">
        <v>30</v>
      </c>
      <c r="AK57" t="s">
        <v>703</v>
      </c>
      <c r="AL57">
        <v>15</v>
      </c>
      <c r="AM57" t="s">
        <v>670</v>
      </c>
      <c r="AN57" t="s">
        <v>682</v>
      </c>
      <c r="AO57" s="14">
        <v>50</v>
      </c>
      <c r="AP57" t="s">
        <v>32</v>
      </c>
      <c r="AQ57">
        <v>1554262023</v>
      </c>
      <c r="AS57" t="s">
        <v>4</v>
      </c>
      <c r="AT57" t="s">
        <v>182</v>
      </c>
      <c r="AU57">
        <v>16</v>
      </c>
      <c r="AV57" t="s">
        <v>32</v>
      </c>
      <c r="AW57" t="s">
        <v>560</v>
      </c>
    </row>
    <row r="58" spans="1:49" x14ac:dyDescent="0.25">
      <c r="A58" t="s">
        <v>560</v>
      </c>
      <c r="B58" t="s">
        <v>670</v>
      </c>
      <c r="C58" t="s">
        <v>671</v>
      </c>
      <c r="D58" t="s">
        <v>672</v>
      </c>
      <c r="F58">
        <v>8</v>
      </c>
      <c r="G58">
        <v>0</v>
      </c>
      <c r="H58" s="14">
        <v>8</v>
      </c>
      <c r="I58">
        <v>653470</v>
      </c>
      <c r="J58" t="s">
        <v>330</v>
      </c>
      <c r="P58" t="s">
        <v>624</v>
      </c>
      <c r="R58" t="s">
        <v>625</v>
      </c>
      <c r="S58" t="s">
        <v>626</v>
      </c>
      <c r="T58" t="s">
        <v>673</v>
      </c>
      <c r="U58">
        <v>678726</v>
      </c>
      <c r="V58" t="s">
        <v>25</v>
      </c>
      <c r="W58" t="s">
        <v>674</v>
      </c>
      <c r="Y58">
        <v>45041</v>
      </c>
      <c r="Z58" t="s">
        <v>27</v>
      </c>
      <c r="AA58" t="s">
        <v>28</v>
      </c>
      <c r="AB58" t="s">
        <v>675</v>
      </c>
      <c r="AC58" t="s">
        <v>676</v>
      </c>
      <c r="AD58" t="s">
        <v>677</v>
      </c>
      <c r="AE58" t="s">
        <v>742</v>
      </c>
      <c r="AF58" t="s">
        <v>743</v>
      </c>
      <c r="AG58" t="s">
        <v>627</v>
      </c>
      <c r="AH58" t="s">
        <v>794</v>
      </c>
      <c r="AJ58" t="s">
        <v>30</v>
      </c>
      <c r="AK58" t="s">
        <v>703</v>
      </c>
      <c r="AL58">
        <v>15</v>
      </c>
      <c r="AM58" t="s">
        <v>670</v>
      </c>
      <c r="AN58" t="s">
        <v>682</v>
      </c>
      <c r="AO58" s="14">
        <v>25</v>
      </c>
      <c r="AP58" t="s">
        <v>32</v>
      </c>
      <c r="AQ58">
        <v>1554261937</v>
      </c>
      <c r="AS58" t="s">
        <v>4</v>
      </c>
      <c r="AT58" t="s">
        <v>31</v>
      </c>
      <c r="AU58">
        <v>8</v>
      </c>
      <c r="AV58" t="s">
        <v>32</v>
      </c>
      <c r="AW58" t="s">
        <v>560</v>
      </c>
    </row>
    <row r="59" spans="1:49" x14ac:dyDescent="0.25">
      <c r="A59" t="s">
        <v>560</v>
      </c>
      <c r="B59" t="s">
        <v>670</v>
      </c>
      <c r="C59" t="s">
        <v>671</v>
      </c>
      <c r="D59" t="s">
        <v>672</v>
      </c>
      <c r="F59">
        <v>16</v>
      </c>
      <c r="G59">
        <v>0</v>
      </c>
      <c r="H59" s="14">
        <v>16</v>
      </c>
      <c r="I59">
        <v>653470</v>
      </c>
      <c r="J59" t="s">
        <v>330</v>
      </c>
      <c r="P59" t="s">
        <v>556</v>
      </c>
      <c r="R59" t="s">
        <v>557</v>
      </c>
      <c r="S59" t="s">
        <v>558</v>
      </c>
      <c r="T59" t="s">
        <v>673</v>
      </c>
      <c r="U59">
        <v>706472</v>
      </c>
      <c r="V59" t="s">
        <v>199</v>
      </c>
      <c r="W59" t="s">
        <v>674</v>
      </c>
      <c r="Y59">
        <v>45041</v>
      </c>
      <c r="Z59" t="s">
        <v>27</v>
      </c>
      <c r="AA59" t="s">
        <v>85</v>
      </c>
      <c r="AB59" t="s">
        <v>675</v>
      </c>
      <c r="AC59" t="s">
        <v>676</v>
      </c>
      <c r="AD59" t="s">
        <v>677</v>
      </c>
      <c r="AE59" t="s">
        <v>795</v>
      </c>
      <c r="AF59" t="s">
        <v>743</v>
      </c>
      <c r="AG59" t="s">
        <v>628</v>
      </c>
      <c r="AH59" t="s">
        <v>796</v>
      </c>
      <c r="AJ59" t="s">
        <v>30</v>
      </c>
      <c r="AK59" t="s">
        <v>681</v>
      </c>
      <c r="AL59">
        <v>15</v>
      </c>
      <c r="AM59" t="s">
        <v>670</v>
      </c>
      <c r="AN59" t="s">
        <v>682</v>
      </c>
      <c r="AO59" s="14">
        <v>50</v>
      </c>
      <c r="AP59" t="s">
        <v>32</v>
      </c>
      <c r="AQ59">
        <v>1554223645</v>
      </c>
      <c r="AS59" t="s">
        <v>4</v>
      </c>
      <c r="AT59" t="s">
        <v>182</v>
      </c>
      <c r="AU59">
        <v>16</v>
      </c>
      <c r="AV59" t="s">
        <v>32</v>
      </c>
      <c r="AW59" t="s">
        <v>560</v>
      </c>
    </row>
    <row r="60" spans="1:49" x14ac:dyDescent="0.25">
      <c r="A60" t="s">
        <v>560</v>
      </c>
      <c r="B60" t="s">
        <v>670</v>
      </c>
      <c r="C60" t="s">
        <v>671</v>
      </c>
      <c r="D60" t="s">
        <v>672</v>
      </c>
      <c r="F60">
        <v>5.55</v>
      </c>
      <c r="G60">
        <v>0</v>
      </c>
      <c r="H60" s="14">
        <v>5.55</v>
      </c>
      <c r="I60">
        <v>653470</v>
      </c>
      <c r="J60" t="s">
        <v>330</v>
      </c>
      <c r="P60" t="s">
        <v>556</v>
      </c>
      <c r="R60" t="s">
        <v>557</v>
      </c>
      <c r="S60" t="s">
        <v>558</v>
      </c>
      <c r="T60" t="s">
        <v>673</v>
      </c>
      <c r="U60">
        <v>706472</v>
      </c>
      <c r="V60" t="s">
        <v>199</v>
      </c>
      <c r="W60" t="s">
        <v>674</v>
      </c>
      <c r="Y60">
        <v>38593</v>
      </c>
      <c r="Z60" t="s">
        <v>52</v>
      </c>
      <c r="AA60" t="s">
        <v>111</v>
      </c>
      <c r="AB60" t="s">
        <v>675</v>
      </c>
      <c r="AC60" t="s">
        <v>686</v>
      </c>
      <c r="AD60" t="s">
        <v>687</v>
      </c>
      <c r="AE60" t="s">
        <v>795</v>
      </c>
      <c r="AF60" t="s">
        <v>743</v>
      </c>
      <c r="AG60" t="s">
        <v>559</v>
      </c>
      <c r="AH60" t="s">
        <v>796</v>
      </c>
      <c r="AJ60" t="s">
        <v>30</v>
      </c>
      <c r="AK60" t="s">
        <v>681</v>
      </c>
      <c r="AL60">
        <v>15</v>
      </c>
      <c r="AM60" t="s">
        <v>670</v>
      </c>
      <c r="AN60" t="s">
        <v>682</v>
      </c>
      <c r="AO60" s="14">
        <v>15</v>
      </c>
      <c r="AP60" t="s">
        <v>54</v>
      </c>
      <c r="AQ60">
        <v>1554223648</v>
      </c>
      <c r="AS60" t="s">
        <v>4</v>
      </c>
      <c r="AT60" t="s">
        <v>112</v>
      </c>
      <c r="AU60">
        <v>5.55</v>
      </c>
      <c r="AV60" t="s">
        <v>54</v>
      </c>
      <c r="AW60" t="s">
        <v>560</v>
      </c>
    </row>
    <row r="61" spans="1:49" x14ac:dyDescent="0.25">
      <c r="A61" t="s">
        <v>555</v>
      </c>
      <c r="B61" t="s">
        <v>670</v>
      </c>
      <c r="C61" t="s">
        <v>671</v>
      </c>
      <c r="D61" t="s">
        <v>672</v>
      </c>
      <c r="F61">
        <v>8</v>
      </c>
      <c r="G61">
        <v>0</v>
      </c>
      <c r="H61" s="14">
        <v>8</v>
      </c>
      <c r="I61">
        <v>653470</v>
      </c>
      <c r="J61" t="s">
        <v>330</v>
      </c>
      <c r="P61" t="s">
        <v>551</v>
      </c>
      <c r="R61" t="s">
        <v>552</v>
      </c>
      <c r="S61" t="s">
        <v>553</v>
      </c>
      <c r="T61" t="s">
        <v>673</v>
      </c>
      <c r="U61">
        <v>798992</v>
      </c>
      <c r="V61" t="s">
        <v>59</v>
      </c>
      <c r="W61" t="s">
        <v>674</v>
      </c>
      <c r="Y61">
        <v>45041</v>
      </c>
      <c r="Z61" t="s">
        <v>27</v>
      </c>
      <c r="AA61" t="s">
        <v>28</v>
      </c>
      <c r="AB61" t="s">
        <v>675</v>
      </c>
      <c r="AC61" t="s">
        <v>676</v>
      </c>
      <c r="AD61" t="s">
        <v>677</v>
      </c>
      <c r="AE61" t="s">
        <v>797</v>
      </c>
      <c r="AF61" t="s">
        <v>679</v>
      </c>
      <c r="AG61" t="s">
        <v>554</v>
      </c>
      <c r="AH61" t="s">
        <v>798</v>
      </c>
      <c r="AJ61" t="s">
        <v>30</v>
      </c>
      <c r="AK61" t="s">
        <v>703</v>
      </c>
      <c r="AL61">
        <v>12</v>
      </c>
      <c r="AM61" t="s">
        <v>670</v>
      </c>
      <c r="AN61" t="s">
        <v>682</v>
      </c>
      <c r="AO61" s="14">
        <v>25</v>
      </c>
      <c r="AP61" t="s">
        <v>32</v>
      </c>
      <c r="AQ61">
        <v>1554272930</v>
      </c>
      <c r="AS61" t="s">
        <v>4</v>
      </c>
      <c r="AT61" t="s">
        <v>31</v>
      </c>
      <c r="AU61">
        <v>8</v>
      </c>
      <c r="AV61" t="s">
        <v>32</v>
      </c>
      <c r="AW61" t="s">
        <v>555</v>
      </c>
    </row>
    <row r="62" spans="1:49" x14ac:dyDescent="0.25">
      <c r="A62" t="s">
        <v>513</v>
      </c>
      <c r="B62" t="s">
        <v>670</v>
      </c>
      <c r="C62" t="s">
        <v>671</v>
      </c>
      <c r="D62" t="s">
        <v>672</v>
      </c>
      <c r="F62">
        <v>14.4</v>
      </c>
      <c r="G62">
        <v>0</v>
      </c>
      <c r="H62" s="14">
        <v>14.4</v>
      </c>
      <c r="I62">
        <v>653470</v>
      </c>
      <c r="J62" t="s">
        <v>330</v>
      </c>
      <c r="P62" t="s">
        <v>547</v>
      </c>
      <c r="R62" t="s">
        <v>548</v>
      </c>
      <c r="S62" t="s">
        <v>549</v>
      </c>
      <c r="T62" t="s">
        <v>695</v>
      </c>
      <c r="U62">
        <v>689390</v>
      </c>
      <c r="V62" t="s">
        <v>77</v>
      </c>
      <c r="W62" t="s">
        <v>674</v>
      </c>
      <c r="Y62">
        <v>38399</v>
      </c>
      <c r="Z62" t="s">
        <v>79</v>
      </c>
      <c r="AA62" t="s">
        <v>28</v>
      </c>
      <c r="AB62" t="s">
        <v>675</v>
      </c>
      <c r="AC62" t="s">
        <v>676</v>
      </c>
      <c r="AD62" t="s">
        <v>677</v>
      </c>
      <c r="AE62" t="s">
        <v>799</v>
      </c>
      <c r="AF62" t="s">
        <v>800</v>
      </c>
      <c r="AG62" t="s">
        <v>550</v>
      </c>
      <c r="AH62" t="s">
        <v>801</v>
      </c>
      <c r="AJ62" t="s">
        <v>30</v>
      </c>
      <c r="AK62" t="s">
        <v>703</v>
      </c>
      <c r="AL62">
        <v>26</v>
      </c>
      <c r="AM62" t="s">
        <v>670</v>
      </c>
      <c r="AN62" t="s">
        <v>682</v>
      </c>
      <c r="AO62" s="14">
        <v>60</v>
      </c>
      <c r="AP62" t="s">
        <v>42</v>
      </c>
      <c r="AQ62">
        <v>1554289878</v>
      </c>
      <c r="AS62" t="s">
        <v>4</v>
      </c>
      <c r="AT62" t="s">
        <v>195</v>
      </c>
      <c r="AU62">
        <v>14.4</v>
      </c>
      <c r="AV62" t="s">
        <v>42</v>
      </c>
      <c r="AW62" t="s">
        <v>513</v>
      </c>
    </row>
    <row r="63" spans="1:49" x14ac:dyDescent="0.25">
      <c r="A63" t="s">
        <v>513</v>
      </c>
      <c r="B63" t="s">
        <v>670</v>
      </c>
      <c r="C63" t="s">
        <v>671</v>
      </c>
      <c r="D63" t="s">
        <v>672</v>
      </c>
      <c r="F63">
        <v>5.28</v>
      </c>
      <c r="G63">
        <v>0</v>
      </c>
      <c r="H63" s="14">
        <v>5.28</v>
      </c>
      <c r="I63">
        <v>653470</v>
      </c>
      <c r="J63" t="s">
        <v>330</v>
      </c>
      <c r="P63" t="s">
        <v>509</v>
      </c>
      <c r="R63" t="s">
        <v>510</v>
      </c>
      <c r="S63" t="s">
        <v>511</v>
      </c>
      <c r="T63" t="s">
        <v>673</v>
      </c>
      <c r="U63">
        <v>678726</v>
      </c>
      <c r="V63" t="s">
        <v>25</v>
      </c>
      <c r="W63" t="s">
        <v>674</v>
      </c>
      <c r="Y63">
        <v>47132</v>
      </c>
      <c r="Z63" t="s">
        <v>188</v>
      </c>
      <c r="AA63" t="s">
        <v>28</v>
      </c>
      <c r="AB63" t="s">
        <v>675</v>
      </c>
      <c r="AC63" t="s">
        <v>676</v>
      </c>
      <c r="AD63" t="s">
        <v>677</v>
      </c>
      <c r="AE63" t="s">
        <v>696</v>
      </c>
      <c r="AF63" t="s">
        <v>264</v>
      </c>
      <c r="AG63" t="s">
        <v>512</v>
      </c>
      <c r="AH63" t="s">
        <v>802</v>
      </c>
      <c r="AJ63" t="s">
        <v>30</v>
      </c>
      <c r="AK63" t="s">
        <v>703</v>
      </c>
      <c r="AL63">
        <v>2</v>
      </c>
      <c r="AM63" t="s">
        <v>670</v>
      </c>
      <c r="AN63" t="s">
        <v>682</v>
      </c>
      <c r="AO63" s="14">
        <v>22</v>
      </c>
      <c r="AP63" t="s">
        <v>42</v>
      </c>
      <c r="AQ63">
        <v>1554281215</v>
      </c>
      <c r="AS63" t="s">
        <v>4</v>
      </c>
      <c r="AT63" t="s">
        <v>189</v>
      </c>
      <c r="AU63">
        <v>5.28</v>
      </c>
      <c r="AV63" t="s">
        <v>42</v>
      </c>
      <c r="AW63" t="s">
        <v>513</v>
      </c>
    </row>
    <row r="64" spans="1:49" x14ac:dyDescent="0.25">
      <c r="A64" t="s">
        <v>481</v>
      </c>
      <c r="B64" t="s">
        <v>670</v>
      </c>
      <c r="C64" t="s">
        <v>671</v>
      </c>
      <c r="D64" t="s">
        <v>672</v>
      </c>
      <c r="F64">
        <v>17.04</v>
      </c>
      <c r="G64">
        <v>0</v>
      </c>
      <c r="H64" s="14">
        <v>17.04</v>
      </c>
      <c r="I64">
        <v>653470</v>
      </c>
      <c r="J64" t="s">
        <v>330</v>
      </c>
      <c r="P64" t="s">
        <v>477</v>
      </c>
      <c r="R64" t="s">
        <v>478</v>
      </c>
      <c r="S64" t="s">
        <v>479</v>
      </c>
      <c r="T64" t="s">
        <v>803</v>
      </c>
      <c r="U64">
        <v>689390</v>
      </c>
      <c r="V64" t="s">
        <v>77</v>
      </c>
      <c r="W64" t="s">
        <v>674</v>
      </c>
      <c r="Y64">
        <v>38399</v>
      </c>
      <c r="Z64" t="s">
        <v>79</v>
      </c>
      <c r="AA64" t="s">
        <v>28</v>
      </c>
      <c r="AB64" t="s">
        <v>675</v>
      </c>
      <c r="AC64" t="s">
        <v>676</v>
      </c>
      <c r="AD64" t="s">
        <v>677</v>
      </c>
      <c r="AE64" t="s">
        <v>804</v>
      </c>
      <c r="AF64" t="s">
        <v>805</v>
      </c>
      <c r="AG64" t="s">
        <v>480</v>
      </c>
      <c r="AH64" t="s">
        <v>806</v>
      </c>
      <c r="AJ64" t="s">
        <v>30</v>
      </c>
      <c r="AK64" t="s">
        <v>703</v>
      </c>
      <c r="AL64">
        <v>6</v>
      </c>
      <c r="AM64" t="s">
        <v>670</v>
      </c>
      <c r="AN64" t="s">
        <v>682</v>
      </c>
      <c r="AO64" s="14">
        <v>71</v>
      </c>
      <c r="AP64" t="s">
        <v>42</v>
      </c>
      <c r="AQ64">
        <v>1554305191</v>
      </c>
      <c r="AS64" t="s">
        <v>4</v>
      </c>
      <c r="AT64" t="s">
        <v>80</v>
      </c>
      <c r="AU64">
        <v>17.04</v>
      </c>
      <c r="AV64" t="s">
        <v>42</v>
      </c>
      <c r="AW64" t="s">
        <v>481</v>
      </c>
    </row>
    <row r="65" spans="1:49" x14ac:dyDescent="0.25">
      <c r="A65" t="s">
        <v>481</v>
      </c>
      <c r="B65" t="s">
        <v>670</v>
      </c>
      <c r="C65" t="s">
        <v>671</v>
      </c>
      <c r="D65" t="s">
        <v>672</v>
      </c>
      <c r="F65">
        <v>5.55</v>
      </c>
      <c r="G65">
        <v>0</v>
      </c>
      <c r="H65" s="14">
        <v>5.55</v>
      </c>
      <c r="I65">
        <v>653470</v>
      </c>
      <c r="J65" t="s">
        <v>330</v>
      </c>
      <c r="P65" t="s">
        <v>482</v>
      </c>
      <c r="R65" t="s">
        <v>483</v>
      </c>
      <c r="S65" t="s">
        <v>484</v>
      </c>
      <c r="T65" t="s">
        <v>691</v>
      </c>
      <c r="U65">
        <v>757209</v>
      </c>
      <c r="V65" t="s">
        <v>485</v>
      </c>
      <c r="W65" t="s">
        <v>674</v>
      </c>
      <c r="Y65">
        <v>38593</v>
      </c>
      <c r="Z65" t="s">
        <v>52</v>
      </c>
      <c r="AA65" t="s">
        <v>111</v>
      </c>
      <c r="AB65" t="s">
        <v>675</v>
      </c>
      <c r="AC65" t="s">
        <v>686</v>
      </c>
      <c r="AD65" t="s">
        <v>687</v>
      </c>
      <c r="AE65" t="s">
        <v>807</v>
      </c>
      <c r="AF65" t="s">
        <v>699</v>
      </c>
      <c r="AG65" t="s">
        <v>486</v>
      </c>
      <c r="AH65" t="s">
        <v>808</v>
      </c>
      <c r="AJ65" t="s">
        <v>30</v>
      </c>
      <c r="AK65" t="s">
        <v>681</v>
      </c>
      <c r="AL65">
        <v>14</v>
      </c>
      <c r="AM65" t="s">
        <v>670</v>
      </c>
      <c r="AN65" t="s">
        <v>682</v>
      </c>
      <c r="AO65" s="14">
        <v>15</v>
      </c>
      <c r="AP65" t="s">
        <v>54</v>
      </c>
      <c r="AQ65">
        <v>1554251424</v>
      </c>
      <c r="AS65" t="s">
        <v>4</v>
      </c>
      <c r="AT65" t="s">
        <v>112</v>
      </c>
      <c r="AU65">
        <v>5.55</v>
      </c>
      <c r="AV65" t="s">
        <v>54</v>
      </c>
      <c r="AW65" t="s">
        <v>481</v>
      </c>
    </row>
    <row r="66" spans="1:49" x14ac:dyDescent="0.25">
      <c r="A66" t="s">
        <v>481</v>
      </c>
      <c r="B66" t="s">
        <v>670</v>
      </c>
      <c r="C66" t="s">
        <v>671</v>
      </c>
      <c r="D66" t="s">
        <v>672</v>
      </c>
      <c r="F66">
        <v>12.48</v>
      </c>
      <c r="G66">
        <v>0</v>
      </c>
      <c r="H66" s="14">
        <v>12.48</v>
      </c>
      <c r="I66">
        <v>653470</v>
      </c>
      <c r="J66" t="s">
        <v>330</v>
      </c>
      <c r="P66" t="s">
        <v>487</v>
      </c>
      <c r="R66" t="s">
        <v>488</v>
      </c>
      <c r="S66" t="s">
        <v>489</v>
      </c>
      <c r="T66" t="s">
        <v>809</v>
      </c>
      <c r="U66">
        <v>653470</v>
      </c>
      <c r="V66" t="s">
        <v>330</v>
      </c>
      <c r="W66" t="s">
        <v>674</v>
      </c>
      <c r="Y66">
        <v>27711</v>
      </c>
      <c r="Z66" t="s">
        <v>491</v>
      </c>
      <c r="AA66" t="s">
        <v>39</v>
      </c>
      <c r="AB66" t="s">
        <v>675</v>
      </c>
      <c r="AC66" t="s">
        <v>686</v>
      </c>
      <c r="AD66" t="s">
        <v>687</v>
      </c>
      <c r="AE66" t="s">
        <v>810</v>
      </c>
      <c r="AF66" t="s">
        <v>811</v>
      </c>
      <c r="AG66" t="s">
        <v>490</v>
      </c>
      <c r="AH66" t="s">
        <v>812</v>
      </c>
      <c r="AJ66" t="s">
        <v>30</v>
      </c>
      <c r="AK66" t="s">
        <v>703</v>
      </c>
      <c r="AL66">
        <v>39</v>
      </c>
      <c r="AM66" t="s">
        <v>670</v>
      </c>
      <c r="AN66" t="s">
        <v>682</v>
      </c>
      <c r="AO66" s="14">
        <v>48</v>
      </c>
      <c r="AP66" t="s">
        <v>493</v>
      </c>
      <c r="AQ66">
        <v>1554312044</v>
      </c>
      <c r="AS66" t="s">
        <v>4</v>
      </c>
      <c r="AT66" t="s">
        <v>492</v>
      </c>
      <c r="AU66">
        <v>12.48</v>
      </c>
      <c r="AV66" t="s">
        <v>493</v>
      </c>
      <c r="AW66" t="s">
        <v>481</v>
      </c>
    </row>
    <row r="67" spans="1:49" x14ac:dyDescent="0.25">
      <c r="A67" t="s">
        <v>481</v>
      </c>
      <c r="B67" t="s">
        <v>670</v>
      </c>
      <c r="C67" t="s">
        <v>671</v>
      </c>
      <c r="D67" t="s">
        <v>672</v>
      </c>
      <c r="F67">
        <v>44.72</v>
      </c>
      <c r="G67">
        <v>0</v>
      </c>
      <c r="H67" s="14">
        <v>44.72</v>
      </c>
      <c r="I67">
        <v>653470</v>
      </c>
      <c r="J67" t="s">
        <v>330</v>
      </c>
      <c r="P67" t="s">
        <v>487</v>
      </c>
      <c r="R67" t="s">
        <v>488</v>
      </c>
      <c r="S67" t="s">
        <v>489</v>
      </c>
      <c r="T67" t="s">
        <v>809</v>
      </c>
      <c r="U67">
        <v>653470</v>
      </c>
      <c r="V67" t="s">
        <v>330</v>
      </c>
      <c r="W67" t="s">
        <v>674</v>
      </c>
      <c r="Y67">
        <v>43553</v>
      </c>
      <c r="Z67" t="s">
        <v>495</v>
      </c>
      <c r="AA67" t="s">
        <v>39</v>
      </c>
      <c r="AB67" t="s">
        <v>675</v>
      </c>
      <c r="AC67" t="s">
        <v>676</v>
      </c>
      <c r="AD67" t="s">
        <v>677</v>
      </c>
      <c r="AE67" t="s">
        <v>813</v>
      </c>
      <c r="AF67" t="s">
        <v>814</v>
      </c>
      <c r="AG67" t="s">
        <v>494</v>
      </c>
      <c r="AH67" t="s">
        <v>812</v>
      </c>
      <c r="AJ67" t="s">
        <v>30</v>
      </c>
      <c r="AK67" t="s">
        <v>703</v>
      </c>
      <c r="AL67">
        <v>38</v>
      </c>
      <c r="AM67" t="s">
        <v>815</v>
      </c>
      <c r="AN67" t="s">
        <v>816</v>
      </c>
      <c r="AO67" s="14">
        <v>172</v>
      </c>
      <c r="AP67" t="s">
        <v>493</v>
      </c>
      <c r="AQ67">
        <v>1554312046</v>
      </c>
      <c r="AS67" t="s">
        <v>4</v>
      </c>
      <c r="AT67" t="s">
        <v>496</v>
      </c>
      <c r="AU67">
        <v>44.72</v>
      </c>
      <c r="AV67" t="s">
        <v>493</v>
      </c>
      <c r="AW67" t="s">
        <v>481</v>
      </c>
    </row>
    <row r="68" spans="1:49" x14ac:dyDescent="0.25">
      <c r="A68" t="s">
        <v>481</v>
      </c>
      <c r="B68" t="s">
        <v>670</v>
      </c>
      <c r="C68" t="s">
        <v>671</v>
      </c>
      <c r="D68" t="s">
        <v>672</v>
      </c>
      <c r="E68" t="s">
        <v>499</v>
      </c>
      <c r="F68">
        <v>0</v>
      </c>
      <c r="G68">
        <v>12</v>
      </c>
      <c r="H68" s="14">
        <v>-12</v>
      </c>
      <c r="I68">
        <v>653470</v>
      </c>
      <c r="J68" t="s">
        <v>330</v>
      </c>
      <c r="P68" t="s">
        <v>468</v>
      </c>
      <c r="R68" t="s">
        <v>204</v>
      </c>
      <c r="S68" t="s">
        <v>469</v>
      </c>
      <c r="T68" t="s">
        <v>757</v>
      </c>
      <c r="U68">
        <v>847313</v>
      </c>
      <c r="V68" t="s">
        <v>215</v>
      </c>
      <c r="W68" t="s">
        <v>674</v>
      </c>
      <c r="Y68">
        <v>39849</v>
      </c>
      <c r="Z68" t="s">
        <v>471</v>
      </c>
      <c r="AA68" t="s">
        <v>85</v>
      </c>
      <c r="AB68" t="s">
        <v>675</v>
      </c>
      <c r="AC68" t="s">
        <v>676</v>
      </c>
      <c r="AD68" t="s">
        <v>677</v>
      </c>
      <c r="AE68" t="s">
        <v>733</v>
      </c>
      <c r="AF68" t="s">
        <v>734</v>
      </c>
      <c r="AG68" t="s">
        <v>497</v>
      </c>
      <c r="AH68" t="s">
        <v>817</v>
      </c>
      <c r="AJ68" t="s">
        <v>498</v>
      </c>
      <c r="AK68" t="s">
        <v>681</v>
      </c>
      <c r="AL68">
        <v>10</v>
      </c>
      <c r="AM68" t="s">
        <v>264</v>
      </c>
      <c r="AN68" t="s">
        <v>29</v>
      </c>
      <c r="AO68" s="14">
        <v>50</v>
      </c>
      <c r="AP68" t="s">
        <v>42</v>
      </c>
      <c r="AQ68">
        <v>1554300483</v>
      </c>
      <c r="AS68" t="s">
        <v>4</v>
      </c>
      <c r="AT68" t="s">
        <v>182</v>
      </c>
      <c r="AU68">
        <v>-12</v>
      </c>
      <c r="AV68" t="s">
        <v>42</v>
      </c>
      <c r="AW68" t="s">
        <v>481</v>
      </c>
    </row>
    <row r="69" spans="1:49" x14ac:dyDescent="0.25">
      <c r="A69" t="s">
        <v>504</v>
      </c>
      <c r="B69" t="s">
        <v>670</v>
      </c>
      <c r="C69" t="s">
        <v>671</v>
      </c>
      <c r="D69" t="s">
        <v>672</v>
      </c>
      <c r="F69">
        <v>8</v>
      </c>
      <c r="G69">
        <v>0</v>
      </c>
      <c r="H69" s="14">
        <v>8</v>
      </c>
      <c r="I69">
        <v>653470</v>
      </c>
      <c r="J69" t="s">
        <v>330</v>
      </c>
      <c r="P69" t="s">
        <v>500</v>
      </c>
      <c r="R69" t="s">
        <v>501</v>
      </c>
      <c r="S69" t="s">
        <v>502</v>
      </c>
      <c r="T69" t="s">
        <v>673</v>
      </c>
      <c r="U69">
        <v>678726</v>
      </c>
      <c r="V69" t="s">
        <v>25</v>
      </c>
      <c r="W69" t="s">
        <v>674</v>
      </c>
      <c r="Y69">
        <v>45041</v>
      </c>
      <c r="Z69" t="s">
        <v>27</v>
      </c>
      <c r="AA69" t="s">
        <v>28</v>
      </c>
      <c r="AB69" t="s">
        <v>675</v>
      </c>
      <c r="AC69" t="s">
        <v>676</v>
      </c>
      <c r="AD69" t="s">
        <v>677</v>
      </c>
      <c r="AE69" t="s">
        <v>818</v>
      </c>
      <c r="AF69" t="s">
        <v>684</v>
      </c>
      <c r="AG69" t="s">
        <v>503</v>
      </c>
      <c r="AH69" t="s">
        <v>819</v>
      </c>
      <c r="AJ69" t="s">
        <v>30</v>
      </c>
      <c r="AK69" t="s">
        <v>703</v>
      </c>
      <c r="AL69">
        <v>17</v>
      </c>
      <c r="AM69" t="s">
        <v>670</v>
      </c>
      <c r="AN69" t="s">
        <v>682</v>
      </c>
      <c r="AO69" s="14">
        <v>25</v>
      </c>
      <c r="AP69" t="s">
        <v>32</v>
      </c>
      <c r="AQ69">
        <v>1554318393</v>
      </c>
      <c r="AS69" t="s">
        <v>4</v>
      </c>
      <c r="AT69" t="s">
        <v>31</v>
      </c>
      <c r="AU69">
        <v>8</v>
      </c>
      <c r="AV69" t="s">
        <v>32</v>
      </c>
      <c r="AW69" t="s">
        <v>504</v>
      </c>
    </row>
    <row r="70" spans="1:49" x14ac:dyDescent="0.25">
      <c r="A70" t="s">
        <v>504</v>
      </c>
      <c r="B70" t="s">
        <v>670</v>
      </c>
      <c r="C70" t="s">
        <v>671</v>
      </c>
      <c r="D70" t="s">
        <v>672</v>
      </c>
      <c r="F70">
        <v>16</v>
      </c>
      <c r="G70">
        <v>0</v>
      </c>
      <c r="H70" s="14">
        <v>16</v>
      </c>
      <c r="I70">
        <v>653470</v>
      </c>
      <c r="J70" t="s">
        <v>330</v>
      </c>
      <c r="P70" t="s">
        <v>505</v>
      </c>
      <c r="R70" t="s">
        <v>506</v>
      </c>
      <c r="S70" t="s">
        <v>507</v>
      </c>
      <c r="T70" t="s">
        <v>673</v>
      </c>
      <c r="U70">
        <v>706472</v>
      </c>
      <c r="V70" t="s">
        <v>199</v>
      </c>
      <c r="W70" t="s">
        <v>674</v>
      </c>
      <c r="Y70">
        <v>45041</v>
      </c>
      <c r="Z70" t="s">
        <v>27</v>
      </c>
      <c r="AA70" t="s">
        <v>85</v>
      </c>
      <c r="AB70" t="s">
        <v>675</v>
      </c>
      <c r="AC70" t="s">
        <v>676</v>
      </c>
      <c r="AD70" t="s">
        <v>677</v>
      </c>
      <c r="AE70" t="s">
        <v>820</v>
      </c>
      <c r="AF70" t="s">
        <v>699</v>
      </c>
      <c r="AG70" t="s">
        <v>508</v>
      </c>
      <c r="AH70" t="s">
        <v>821</v>
      </c>
      <c r="AJ70" t="s">
        <v>30</v>
      </c>
      <c r="AK70" t="s">
        <v>703</v>
      </c>
      <c r="AL70">
        <v>14</v>
      </c>
      <c r="AM70" t="s">
        <v>670</v>
      </c>
      <c r="AN70" t="s">
        <v>682</v>
      </c>
      <c r="AO70" s="14">
        <v>50</v>
      </c>
      <c r="AP70" t="s">
        <v>32</v>
      </c>
      <c r="AQ70">
        <v>1554317856</v>
      </c>
      <c r="AS70" t="s">
        <v>4</v>
      </c>
      <c r="AT70" t="s">
        <v>182</v>
      </c>
      <c r="AU70">
        <v>16</v>
      </c>
      <c r="AV70" t="s">
        <v>32</v>
      </c>
      <c r="AW70" t="s">
        <v>504</v>
      </c>
    </row>
    <row r="71" spans="1:49" x14ac:dyDescent="0.25">
      <c r="A71" t="s">
        <v>504</v>
      </c>
      <c r="B71" t="s">
        <v>670</v>
      </c>
      <c r="C71" t="s">
        <v>671</v>
      </c>
      <c r="D71" t="s">
        <v>672</v>
      </c>
      <c r="F71">
        <v>16</v>
      </c>
      <c r="G71">
        <v>0</v>
      </c>
      <c r="H71" s="14">
        <v>16</v>
      </c>
      <c r="I71">
        <v>653470</v>
      </c>
      <c r="J71" t="s">
        <v>330</v>
      </c>
      <c r="P71" t="s">
        <v>514</v>
      </c>
      <c r="R71" t="s">
        <v>229</v>
      </c>
      <c r="S71" t="s">
        <v>515</v>
      </c>
      <c r="T71" t="s">
        <v>673</v>
      </c>
      <c r="U71">
        <v>678726</v>
      </c>
      <c r="V71" t="s">
        <v>25</v>
      </c>
      <c r="W71" t="s">
        <v>674</v>
      </c>
      <c r="Y71">
        <v>45041</v>
      </c>
      <c r="Z71" t="s">
        <v>27</v>
      </c>
      <c r="AA71" t="s">
        <v>85</v>
      </c>
      <c r="AB71" t="s">
        <v>675</v>
      </c>
      <c r="AC71" t="s">
        <v>676</v>
      </c>
      <c r="AD71" t="s">
        <v>677</v>
      </c>
      <c r="AE71" t="s">
        <v>822</v>
      </c>
      <c r="AF71" t="s">
        <v>684</v>
      </c>
      <c r="AG71" t="s">
        <v>516</v>
      </c>
      <c r="AH71" t="s">
        <v>823</v>
      </c>
      <c r="AJ71" t="s">
        <v>30</v>
      </c>
      <c r="AK71" t="s">
        <v>703</v>
      </c>
      <c r="AL71">
        <v>17</v>
      </c>
      <c r="AM71" t="s">
        <v>670</v>
      </c>
      <c r="AN71" t="s">
        <v>682</v>
      </c>
      <c r="AO71" s="14">
        <v>50</v>
      </c>
      <c r="AP71" t="s">
        <v>32</v>
      </c>
      <c r="AQ71">
        <v>1554318227</v>
      </c>
      <c r="AS71" t="s">
        <v>4</v>
      </c>
      <c r="AT71" t="s">
        <v>182</v>
      </c>
      <c r="AU71">
        <v>16</v>
      </c>
      <c r="AV71" t="s">
        <v>32</v>
      </c>
      <c r="AW71" t="s">
        <v>504</v>
      </c>
    </row>
    <row r="72" spans="1:49" x14ac:dyDescent="0.25">
      <c r="A72" t="s">
        <v>504</v>
      </c>
      <c r="B72" t="s">
        <v>670</v>
      </c>
      <c r="C72" t="s">
        <v>671</v>
      </c>
      <c r="D72" t="s">
        <v>672</v>
      </c>
      <c r="F72">
        <v>8</v>
      </c>
      <c r="G72">
        <v>0</v>
      </c>
      <c r="H72" s="14">
        <v>8</v>
      </c>
      <c r="I72">
        <v>653470</v>
      </c>
      <c r="J72" t="s">
        <v>330</v>
      </c>
      <c r="P72" t="s">
        <v>544</v>
      </c>
      <c r="R72" t="s">
        <v>545</v>
      </c>
      <c r="S72" t="s">
        <v>515</v>
      </c>
      <c r="T72" t="s">
        <v>673</v>
      </c>
      <c r="U72">
        <v>678726</v>
      </c>
      <c r="V72" t="s">
        <v>25</v>
      </c>
      <c r="W72" t="s">
        <v>674</v>
      </c>
      <c r="Y72">
        <v>45041</v>
      </c>
      <c r="Z72" t="s">
        <v>27</v>
      </c>
      <c r="AA72" t="s">
        <v>28</v>
      </c>
      <c r="AB72" t="s">
        <v>675</v>
      </c>
      <c r="AC72" t="s">
        <v>676</v>
      </c>
      <c r="AD72" t="s">
        <v>677</v>
      </c>
      <c r="AE72" t="s">
        <v>822</v>
      </c>
      <c r="AF72" t="s">
        <v>684</v>
      </c>
      <c r="AG72" t="s">
        <v>546</v>
      </c>
      <c r="AH72" t="s">
        <v>824</v>
      </c>
      <c r="AJ72" t="s">
        <v>30</v>
      </c>
      <c r="AK72" t="s">
        <v>703</v>
      </c>
      <c r="AL72">
        <v>17</v>
      </c>
      <c r="AM72" t="s">
        <v>670</v>
      </c>
      <c r="AN72" t="s">
        <v>682</v>
      </c>
      <c r="AO72" s="14">
        <v>25</v>
      </c>
      <c r="AP72" t="s">
        <v>32</v>
      </c>
      <c r="AQ72">
        <v>1554318285</v>
      </c>
      <c r="AS72" t="s">
        <v>4</v>
      </c>
      <c r="AT72" t="s">
        <v>31</v>
      </c>
      <c r="AU72">
        <v>8</v>
      </c>
      <c r="AV72" t="s">
        <v>32</v>
      </c>
      <c r="AW72" t="s">
        <v>504</v>
      </c>
    </row>
    <row r="73" spans="1:49" x14ac:dyDescent="0.25">
      <c r="A73" t="s">
        <v>504</v>
      </c>
      <c r="B73" t="s">
        <v>670</v>
      </c>
      <c r="C73" t="s">
        <v>671</v>
      </c>
      <c r="D73" t="s">
        <v>672</v>
      </c>
      <c r="F73">
        <v>5.28</v>
      </c>
      <c r="G73">
        <v>0</v>
      </c>
      <c r="H73" s="14">
        <v>5.28</v>
      </c>
      <c r="I73">
        <v>653470</v>
      </c>
      <c r="J73" t="s">
        <v>330</v>
      </c>
      <c r="P73" t="s">
        <v>517</v>
      </c>
      <c r="R73" t="s">
        <v>518</v>
      </c>
      <c r="S73" t="s">
        <v>519</v>
      </c>
      <c r="T73" t="s">
        <v>691</v>
      </c>
      <c r="U73">
        <v>757929</v>
      </c>
      <c r="V73" t="s">
        <v>36</v>
      </c>
      <c r="W73" t="s">
        <v>674</v>
      </c>
      <c r="Y73">
        <v>47132</v>
      </c>
      <c r="Z73" t="s">
        <v>188</v>
      </c>
      <c r="AA73" t="s">
        <v>28</v>
      </c>
      <c r="AB73" t="s">
        <v>675</v>
      </c>
      <c r="AC73" t="s">
        <v>676</v>
      </c>
      <c r="AD73" t="s">
        <v>677</v>
      </c>
      <c r="AE73" t="s">
        <v>825</v>
      </c>
      <c r="AF73" t="s">
        <v>264</v>
      </c>
      <c r="AG73" t="s">
        <v>520</v>
      </c>
      <c r="AH73" t="s">
        <v>826</v>
      </c>
      <c r="AJ73" t="s">
        <v>30</v>
      </c>
      <c r="AK73" t="s">
        <v>681</v>
      </c>
      <c r="AL73">
        <v>2</v>
      </c>
      <c r="AM73" t="s">
        <v>670</v>
      </c>
      <c r="AN73" t="s">
        <v>682</v>
      </c>
      <c r="AO73" s="14">
        <v>22</v>
      </c>
      <c r="AP73" t="s">
        <v>42</v>
      </c>
      <c r="AQ73">
        <v>1554258710</v>
      </c>
      <c r="AS73" t="s">
        <v>4</v>
      </c>
      <c r="AT73" t="s">
        <v>189</v>
      </c>
      <c r="AU73">
        <v>5.28</v>
      </c>
      <c r="AV73" t="s">
        <v>42</v>
      </c>
      <c r="AW73" t="s">
        <v>504</v>
      </c>
    </row>
    <row r="74" spans="1:49" x14ac:dyDescent="0.25">
      <c r="A74" t="s">
        <v>139</v>
      </c>
      <c r="B74" t="s">
        <v>670</v>
      </c>
      <c r="C74" t="s">
        <v>671</v>
      </c>
      <c r="D74" t="s">
        <v>672</v>
      </c>
      <c r="F74">
        <v>8</v>
      </c>
      <c r="G74">
        <v>0</v>
      </c>
      <c r="H74" s="14">
        <v>8</v>
      </c>
      <c r="I74">
        <v>653470</v>
      </c>
      <c r="J74" t="s">
        <v>330</v>
      </c>
      <c r="P74" t="s">
        <v>521</v>
      </c>
      <c r="R74" t="s">
        <v>522</v>
      </c>
      <c r="S74" t="s">
        <v>523</v>
      </c>
      <c r="T74" t="s">
        <v>673</v>
      </c>
      <c r="U74">
        <v>678726</v>
      </c>
      <c r="V74" t="s">
        <v>25</v>
      </c>
      <c r="W74" t="s">
        <v>674</v>
      </c>
      <c r="Y74">
        <v>45041</v>
      </c>
      <c r="Z74" t="s">
        <v>27</v>
      </c>
      <c r="AA74" t="s">
        <v>28</v>
      </c>
      <c r="AB74" t="s">
        <v>675</v>
      </c>
      <c r="AC74" t="s">
        <v>676</v>
      </c>
      <c r="AD74" t="s">
        <v>677</v>
      </c>
      <c r="AE74" t="s">
        <v>731</v>
      </c>
      <c r="AF74" t="s">
        <v>699</v>
      </c>
      <c r="AG74" t="s">
        <v>524</v>
      </c>
      <c r="AH74" t="s">
        <v>827</v>
      </c>
      <c r="AJ74" t="s">
        <v>30</v>
      </c>
      <c r="AK74" t="s">
        <v>681</v>
      </c>
      <c r="AL74">
        <v>14</v>
      </c>
      <c r="AM74" t="s">
        <v>670</v>
      </c>
      <c r="AN74" t="s">
        <v>682</v>
      </c>
      <c r="AO74" s="14">
        <v>25</v>
      </c>
      <c r="AP74" t="s">
        <v>32</v>
      </c>
      <c r="AQ74">
        <v>1554298644</v>
      </c>
      <c r="AS74" t="s">
        <v>4</v>
      </c>
      <c r="AT74" t="s">
        <v>31</v>
      </c>
      <c r="AU74">
        <v>8</v>
      </c>
      <c r="AV74" t="s">
        <v>32</v>
      </c>
      <c r="AW74" t="s">
        <v>139</v>
      </c>
    </row>
    <row r="75" spans="1:49" x14ac:dyDescent="0.25">
      <c r="A75" t="s">
        <v>139</v>
      </c>
      <c r="B75" t="s">
        <v>670</v>
      </c>
      <c r="C75" t="s">
        <v>671</v>
      </c>
      <c r="D75" t="s">
        <v>672</v>
      </c>
      <c r="F75">
        <v>22.8</v>
      </c>
      <c r="G75">
        <v>0</v>
      </c>
      <c r="H75" s="14">
        <v>22.8</v>
      </c>
      <c r="I75">
        <v>653470</v>
      </c>
      <c r="J75" t="s">
        <v>330</v>
      </c>
      <c r="P75" t="s">
        <v>525</v>
      </c>
      <c r="R75" t="s">
        <v>526</v>
      </c>
      <c r="S75" t="s">
        <v>527</v>
      </c>
      <c r="T75" t="s">
        <v>691</v>
      </c>
      <c r="U75">
        <v>757209</v>
      </c>
      <c r="V75" t="s">
        <v>485</v>
      </c>
      <c r="W75" t="s">
        <v>674</v>
      </c>
      <c r="Y75">
        <v>42249</v>
      </c>
      <c r="Z75" t="s">
        <v>131</v>
      </c>
      <c r="AA75" t="s">
        <v>145</v>
      </c>
      <c r="AB75" t="s">
        <v>675</v>
      </c>
      <c r="AC75" t="s">
        <v>676</v>
      </c>
      <c r="AD75" t="s">
        <v>677</v>
      </c>
      <c r="AE75" t="s">
        <v>828</v>
      </c>
      <c r="AF75" t="s">
        <v>829</v>
      </c>
      <c r="AG75" t="s">
        <v>528</v>
      </c>
      <c r="AH75" t="s">
        <v>830</v>
      </c>
      <c r="AJ75" t="s">
        <v>30</v>
      </c>
      <c r="AK75" t="s">
        <v>681</v>
      </c>
      <c r="AL75">
        <v>21</v>
      </c>
      <c r="AM75" t="s">
        <v>670</v>
      </c>
      <c r="AN75" t="s">
        <v>682</v>
      </c>
      <c r="AO75" s="14">
        <v>95</v>
      </c>
      <c r="AP75" t="s">
        <v>42</v>
      </c>
      <c r="AQ75">
        <v>1554299131</v>
      </c>
      <c r="AS75" t="s">
        <v>4</v>
      </c>
      <c r="AT75" t="s">
        <v>529</v>
      </c>
      <c r="AU75">
        <v>22.8</v>
      </c>
      <c r="AV75" t="s">
        <v>42</v>
      </c>
      <c r="AW75" t="s">
        <v>139</v>
      </c>
    </row>
    <row r="76" spans="1:49" x14ac:dyDescent="0.25">
      <c r="A76" t="s">
        <v>139</v>
      </c>
      <c r="B76" t="s">
        <v>670</v>
      </c>
      <c r="C76" t="s">
        <v>671</v>
      </c>
      <c r="D76" t="s">
        <v>672</v>
      </c>
      <c r="F76">
        <v>5.55</v>
      </c>
      <c r="G76">
        <v>0</v>
      </c>
      <c r="H76" s="14">
        <v>5.55</v>
      </c>
      <c r="I76">
        <v>653470</v>
      </c>
      <c r="J76" t="s">
        <v>330</v>
      </c>
      <c r="P76" t="s">
        <v>525</v>
      </c>
      <c r="R76" t="s">
        <v>526</v>
      </c>
      <c r="S76" t="s">
        <v>527</v>
      </c>
      <c r="T76" t="s">
        <v>691</v>
      </c>
      <c r="U76">
        <v>757209</v>
      </c>
      <c r="V76" t="s">
        <v>485</v>
      </c>
      <c r="W76" t="s">
        <v>674</v>
      </c>
      <c r="Y76">
        <v>38593</v>
      </c>
      <c r="Z76" t="s">
        <v>52</v>
      </c>
      <c r="AA76" t="s">
        <v>111</v>
      </c>
      <c r="AB76" t="s">
        <v>675</v>
      </c>
      <c r="AC76" t="s">
        <v>686</v>
      </c>
      <c r="AD76" t="s">
        <v>687</v>
      </c>
      <c r="AE76" t="s">
        <v>828</v>
      </c>
      <c r="AF76" t="s">
        <v>829</v>
      </c>
      <c r="AG76" t="s">
        <v>530</v>
      </c>
      <c r="AH76" t="s">
        <v>830</v>
      </c>
      <c r="AJ76" t="s">
        <v>30</v>
      </c>
      <c r="AK76" t="s">
        <v>681</v>
      </c>
      <c r="AL76">
        <v>21</v>
      </c>
      <c r="AM76" t="s">
        <v>670</v>
      </c>
      <c r="AN76" t="s">
        <v>682</v>
      </c>
      <c r="AO76" s="14">
        <v>15</v>
      </c>
      <c r="AP76" t="s">
        <v>54</v>
      </c>
      <c r="AQ76">
        <v>1554299134</v>
      </c>
      <c r="AS76" t="s">
        <v>4</v>
      </c>
      <c r="AT76" t="s">
        <v>112</v>
      </c>
      <c r="AU76">
        <v>5.55</v>
      </c>
      <c r="AV76" t="s">
        <v>54</v>
      </c>
      <c r="AW76" t="s">
        <v>139</v>
      </c>
    </row>
    <row r="77" spans="1:49" x14ac:dyDescent="0.25">
      <c r="A77" t="s">
        <v>139</v>
      </c>
      <c r="B77" t="s">
        <v>670</v>
      </c>
      <c r="C77" t="s">
        <v>671</v>
      </c>
      <c r="D77" t="s">
        <v>672</v>
      </c>
      <c r="F77">
        <v>9.6</v>
      </c>
      <c r="G77">
        <v>0</v>
      </c>
      <c r="H77" s="14">
        <v>9.6</v>
      </c>
      <c r="I77">
        <v>653470</v>
      </c>
      <c r="J77" t="s">
        <v>330</v>
      </c>
      <c r="P77" t="s">
        <v>531</v>
      </c>
      <c r="R77" t="s">
        <v>156</v>
      </c>
      <c r="S77" t="s">
        <v>532</v>
      </c>
      <c r="T77" t="s">
        <v>691</v>
      </c>
      <c r="U77">
        <v>757929</v>
      </c>
      <c r="V77" t="s">
        <v>36</v>
      </c>
      <c r="W77" t="s">
        <v>674</v>
      </c>
      <c r="Y77">
        <v>42249</v>
      </c>
      <c r="Z77" t="s">
        <v>131</v>
      </c>
      <c r="AA77" t="s">
        <v>28</v>
      </c>
      <c r="AB77" t="s">
        <v>675</v>
      </c>
      <c r="AC77" t="s">
        <v>676</v>
      </c>
      <c r="AD77" t="s">
        <v>677</v>
      </c>
      <c r="AE77" t="s">
        <v>828</v>
      </c>
      <c r="AF77" t="s">
        <v>829</v>
      </c>
      <c r="AG77" t="s">
        <v>533</v>
      </c>
      <c r="AH77" t="s">
        <v>831</v>
      </c>
      <c r="AJ77" t="s">
        <v>30</v>
      </c>
      <c r="AK77" t="s">
        <v>681</v>
      </c>
      <c r="AL77">
        <v>21</v>
      </c>
      <c r="AM77" t="s">
        <v>670</v>
      </c>
      <c r="AN77" t="s">
        <v>682</v>
      </c>
      <c r="AO77" s="14">
        <v>40</v>
      </c>
      <c r="AP77" t="s">
        <v>42</v>
      </c>
      <c r="AQ77">
        <v>1554299119</v>
      </c>
      <c r="AS77" t="s">
        <v>4</v>
      </c>
      <c r="AT77" t="s">
        <v>133</v>
      </c>
      <c r="AU77">
        <v>9.6</v>
      </c>
      <c r="AV77" t="s">
        <v>42</v>
      </c>
      <c r="AW77" t="s">
        <v>139</v>
      </c>
    </row>
    <row r="78" spans="1:49" x14ac:dyDescent="0.25">
      <c r="A78" t="s">
        <v>139</v>
      </c>
      <c r="B78" t="s">
        <v>670</v>
      </c>
      <c r="C78" t="s">
        <v>671</v>
      </c>
      <c r="D78" t="s">
        <v>672</v>
      </c>
      <c r="F78">
        <v>55.12</v>
      </c>
      <c r="G78">
        <v>0</v>
      </c>
      <c r="H78" s="14">
        <v>55.12</v>
      </c>
      <c r="I78">
        <v>653470</v>
      </c>
      <c r="J78" t="s">
        <v>330</v>
      </c>
      <c r="P78" t="s">
        <v>534</v>
      </c>
      <c r="R78" t="s">
        <v>535</v>
      </c>
      <c r="S78" t="s">
        <v>536</v>
      </c>
      <c r="T78" t="s">
        <v>832</v>
      </c>
      <c r="U78">
        <v>657149</v>
      </c>
      <c r="V78" t="s">
        <v>277</v>
      </c>
      <c r="W78" t="s">
        <v>674</v>
      </c>
      <c r="Y78">
        <v>43554</v>
      </c>
      <c r="Z78" t="s">
        <v>538</v>
      </c>
      <c r="AA78" t="s">
        <v>39</v>
      </c>
      <c r="AB78" t="s">
        <v>675</v>
      </c>
      <c r="AC78" t="s">
        <v>676</v>
      </c>
      <c r="AD78" t="s">
        <v>677</v>
      </c>
      <c r="AE78" t="s">
        <v>833</v>
      </c>
      <c r="AF78" t="s">
        <v>814</v>
      </c>
      <c r="AG78" t="s">
        <v>537</v>
      </c>
      <c r="AH78" t="s">
        <v>834</v>
      </c>
      <c r="AJ78" t="s">
        <v>30</v>
      </c>
      <c r="AK78" t="s">
        <v>681</v>
      </c>
      <c r="AL78">
        <v>37</v>
      </c>
      <c r="AM78" t="s">
        <v>835</v>
      </c>
      <c r="AN78" t="s">
        <v>836</v>
      </c>
      <c r="AO78" s="14">
        <v>212</v>
      </c>
      <c r="AP78" t="s">
        <v>493</v>
      </c>
      <c r="AQ78">
        <v>1554296702</v>
      </c>
      <c r="AS78" t="s">
        <v>4</v>
      </c>
      <c r="AT78" t="s">
        <v>539</v>
      </c>
      <c r="AU78">
        <v>55.12</v>
      </c>
      <c r="AV78" t="s">
        <v>493</v>
      </c>
      <c r="AW78" t="s">
        <v>139</v>
      </c>
    </row>
    <row r="79" spans="1:49" x14ac:dyDescent="0.25">
      <c r="A79" t="s">
        <v>139</v>
      </c>
      <c r="B79" t="s">
        <v>670</v>
      </c>
      <c r="C79" t="s">
        <v>671</v>
      </c>
      <c r="D79" t="s">
        <v>672</v>
      </c>
      <c r="F79">
        <v>4.07</v>
      </c>
      <c r="G79">
        <v>0</v>
      </c>
      <c r="H79" s="14">
        <v>4.07</v>
      </c>
      <c r="I79">
        <v>653470</v>
      </c>
      <c r="J79" t="s">
        <v>330</v>
      </c>
      <c r="P79" t="s">
        <v>540</v>
      </c>
      <c r="R79" t="s">
        <v>541</v>
      </c>
      <c r="S79" t="s">
        <v>542</v>
      </c>
      <c r="T79" t="s">
        <v>673</v>
      </c>
      <c r="U79">
        <v>678726</v>
      </c>
      <c r="V79" t="s">
        <v>25</v>
      </c>
      <c r="W79" t="s">
        <v>674</v>
      </c>
      <c r="Y79">
        <v>38593</v>
      </c>
      <c r="Z79" t="s">
        <v>52</v>
      </c>
      <c r="AA79" t="s">
        <v>28</v>
      </c>
      <c r="AB79" t="s">
        <v>675</v>
      </c>
      <c r="AC79" t="s">
        <v>686</v>
      </c>
      <c r="AD79" t="s">
        <v>687</v>
      </c>
      <c r="AE79" t="s">
        <v>837</v>
      </c>
      <c r="AF79" t="s">
        <v>838</v>
      </c>
      <c r="AG79" t="s">
        <v>543</v>
      </c>
      <c r="AH79" t="s">
        <v>839</v>
      </c>
      <c r="AJ79" t="s">
        <v>30</v>
      </c>
      <c r="AK79" t="s">
        <v>681</v>
      </c>
      <c r="AL79">
        <v>8</v>
      </c>
      <c r="AM79" t="s">
        <v>670</v>
      </c>
      <c r="AN79" t="s">
        <v>682</v>
      </c>
      <c r="AO79" s="14">
        <v>11</v>
      </c>
      <c r="AP79" t="s">
        <v>54</v>
      </c>
      <c r="AQ79">
        <v>1554276533</v>
      </c>
      <c r="AS79" t="s">
        <v>4</v>
      </c>
      <c r="AT79" t="s">
        <v>53</v>
      </c>
      <c r="AU79">
        <v>4.07</v>
      </c>
      <c r="AV79" t="s">
        <v>54</v>
      </c>
      <c r="AW79" t="s">
        <v>139</v>
      </c>
    </row>
    <row r="80" spans="1:49" x14ac:dyDescent="0.25">
      <c r="A80" t="s">
        <v>139</v>
      </c>
      <c r="B80" t="s">
        <v>670</v>
      </c>
      <c r="C80" t="s">
        <v>671</v>
      </c>
      <c r="D80" t="s">
        <v>672</v>
      </c>
      <c r="F80">
        <v>16</v>
      </c>
      <c r="G80">
        <v>0</v>
      </c>
      <c r="H80" s="14">
        <v>16</v>
      </c>
      <c r="I80">
        <v>653470</v>
      </c>
      <c r="J80" t="s">
        <v>330</v>
      </c>
      <c r="P80" t="s">
        <v>364</v>
      </c>
      <c r="R80" t="s">
        <v>280</v>
      </c>
      <c r="S80" t="s">
        <v>365</v>
      </c>
      <c r="T80" t="s">
        <v>673</v>
      </c>
      <c r="U80">
        <v>678726</v>
      </c>
      <c r="V80" t="s">
        <v>25</v>
      </c>
      <c r="W80" t="s">
        <v>674</v>
      </c>
      <c r="Y80">
        <v>45041</v>
      </c>
      <c r="Z80" t="s">
        <v>27</v>
      </c>
      <c r="AA80" t="s">
        <v>85</v>
      </c>
      <c r="AB80" t="s">
        <v>675</v>
      </c>
      <c r="AC80" t="s">
        <v>676</v>
      </c>
      <c r="AD80" t="s">
        <v>677</v>
      </c>
      <c r="AE80" t="s">
        <v>840</v>
      </c>
      <c r="AF80" t="s">
        <v>684</v>
      </c>
      <c r="AG80" t="s">
        <v>366</v>
      </c>
      <c r="AH80" t="s">
        <v>841</v>
      </c>
      <c r="AJ80" t="s">
        <v>30</v>
      </c>
      <c r="AK80" t="s">
        <v>681</v>
      </c>
      <c r="AL80">
        <v>17</v>
      </c>
      <c r="AM80" t="s">
        <v>670</v>
      </c>
      <c r="AN80" t="s">
        <v>682</v>
      </c>
      <c r="AO80" s="14">
        <v>50</v>
      </c>
      <c r="AP80" t="s">
        <v>32</v>
      </c>
      <c r="AQ80">
        <v>1554289941</v>
      </c>
      <c r="AS80" t="s">
        <v>4</v>
      </c>
      <c r="AT80" t="s">
        <v>182</v>
      </c>
      <c r="AU80">
        <v>16</v>
      </c>
      <c r="AV80" t="s">
        <v>32</v>
      </c>
      <c r="AW80" t="s">
        <v>139</v>
      </c>
    </row>
    <row r="81" spans="1:49" x14ac:dyDescent="0.25">
      <c r="A81" t="s">
        <v>139</v>
      </c>
      <c r="B81" t="s">
        <v>670</v>
      </c>
      <c r="C81" t="s">
        <v>671</v>
      </c>
      <c r="D81" t="s">
        <v>672</v>
      </c>
      <c r="F81">
        <v>8</v>
      </c>
      <c r="G81">
        <v>0</v>
      </c>
      <c r="H81" s="14">
        <v>8</v>
      </c>
      <c r="I81">
        <v>653470</v>
      </c>
      <c r="J81" t="s">
        <v>330</v>
      </c>
      <c r="P81" t="s">
        <v>360</v>
      </c>
      <c r="R81" t="s">
        <v>361</v>
      </c>
      <c r="S81" t="s">
        <v>362</v>
      </c>
      <c r="T81" t="s">
        <v>673</v>
      </c>
      <c r="U81">
        <v>678726</v>
      </c>
      <c r="V81" t="s">
        <v>25</v>
      </c>
      <c r="W81" t="s">
        <v>674</v>
      </c>
      <c r="Y81">
        <v>45041</v>
      </c>
      <c r="Z81" t="s">
        <v>27</v>
      </c>
      <c r="AA81" t="s">
        <v>28</v>
      </c>
      <c r="AB81" t="s">
        <v>675</v>
      </c>
      <c r="AC81" t="s">
        <v>676</v>
      </c>
      <c r="AD81" t="s">
        <v>677</v>
      </c>
      <c r="AE81" t="s">
        <v>840</v>
      </c>
      <c r="AF81" t="s">
        <v>684</v>
      </c>
      <c r="AG81" t="s">
        <v>363</v>
      </c>
      <c r="AH81" t="s">
        <v>842</v>
      </c>
      <c r="AJ81" t="s">
        <v>30</v>
      </c>
      <c r="AK81" t="s">
        <v>681</v>
      </c>
      <c r="AL81">
        <v>17</v>
      </c>
      <c r="AM81" t="s">
        <v>670</v>
      </c>
      <c r="AN81" t="s">
        <v>682</v>
      </c>
      <c r="AO81" s="14">
        <v>25</v>
      </c>
      <c r="AP81" t="s">
        <v>32</v>
      </c>
      <c r="AQ81">
        <v>1554289932</v>
      </c>
      <c r="AS81" t="s">
        <v>4</v>
      </c>
      <c r="AT81" t="s">
        <v>31</v>
      </c>
      <c r="AU81">
        <v>8</v>
      </c>
      <c r="AV81" t="s">
        <v>32</v>
      </c>
      <c r="AW81" t="s">
        <v>139</v>
      </c>
    </row>
    <row r="82" spans="1:49" x14ac:dyDescent="0.25">
      <c r="A82" t="s">
        <v>139</v>
      </c>
      <c r="B82" t="s">
        <v>670</v>
      </c>
      <c r="C82" t="s">
        <v>671</v>
      </c>
      <c r="D82" t="s">
        <v>672</v>
      </c>
      <c r="F82">
        <v>29.04</v>
      </c>
      <c r="G82">
        <v>0</v>
      </c>
      <c r="H82" s="14">
        <v>29.04</v>
      </c>
      <c r="I82">
        <v>653470</v>
      </c>
      <c r="J82" t="s">
        <v>330</v>
      </c>
      <c r="P82" t="s">
        <v>203</v>
      </c>
      <c r="R82" t="s">
        <v>204</v>
      </c>
      <c r="S82" t="s">
        <v>205</v>
      </c>
      <c r="T82" t="s">
        <v>695</v>
      </c>
      <c r="U82">
        <v>781535</v>
      </c>
      <c r="V82" t="s">
        <v>206</v>
      </c>
      <c r="W82" t="s">
        <v>674</v>
      </c>
      <c r="Y82">
        <v>38399</v>
      </c>
      <c r="Z82" t="s">
        <v>79</v>
      </c>
      <c r="AA82" t="s">
        <v>85</v>
      </c>
      <c r="AB82" t="s">
        <v>675</v>
      </c>
      <c r="AC82" t="s">
        <v>676</v>
      </c>
      <c r="AD82" t="s">
        <v>677</v>
      </c>
      <c r="AE82" t="s">
        <v>843</v>
      </c>
      <c r="AF82" t="s">
        <v>771</v>
      </c>
      <c r="AG82" t="s">
        <v>358</v>
      </c>
      <c r="AH82" t="s">
        <v>844</v>
      </c>
      <c r="AJ82" t="s">
        <v>30</v>
      </c>
      <c r="AK82" t="s">
        <v>681</v>
      </c>
      <c r="AL82">
        <v>18</v>
      </c>
      <c r="AM82" t="s">
        <v>670</v>
      </c>
      <c r="AN82" t="s">
        <v>682</v>
      </c>
      <c r="AO82" s="14">
        <v>121</v>
      </c>
      <c r="AP82" t="s">
        <v>42</v>
      </c>
      <c r="AQ82">
        <v>1554265350</v>
      </c>
      <c r="AS82" t="s">
        <v>4</v>
      </c>
      <c r="AT82" t="s">
        <v>359</v>
      </c>
      <c r="AU82">
        <v>29.04</v>
      </c>
      <c r="AV82" t="s">
        <v>42</v>
      </c>
      <c r="AW82" t="s">
        <v>139</v>
      </c>
    </row>
    <row r="83" spans="1:49" x14ac:dyDescent="0.25">
      <c r="A83" t="s">
        <v>139</v>
      </c>
      <c r="B83" t="s">
        <v>670</v>
      </c>
      <c r="C83" t="s">
        <v>671</v>
      </c>
      <c r="D83" t="s">
        <v>672</v>
      </c>
      <c r="F83">
        <v>5.55</v>
      </c>
      <c r="G83">
        <v>0</v>
      </c>
      <c r="H83" s="14">
        <v>5.55</v>
      </c>
      <c r="I83">
        <v>653470</v>
      </c>
      <c r="J83" t="s">
        <v>330</v>
      </c>
      <c r="P83" t="s">
        <v>203</v>
      </c>
      <c r="R83" t="s">
        <v>204</v>
      </c>
      <c r="S83" t="s">
        <v>205</v>
      </c>
      <c r="T83" t="s">
        <v>695</v>
      </c>
      <c r="U83">
        <v>781535</v>
      </c>
      <c r="V83" t="s">
        <v>206</v>
      </c>
      <c r="W83" t="s">
        <v>674</v>
      </c>
      <c r="Y83">
        <v>38593</v>
      </c>
      <c r="Z83" t="s">
        <v>52</v>
      </c>
      <c r="AA83" t="s">
        <v>111</v>
      </c>
      <c r="AB83" t="s">
        <v>675</v>
      </c>
      <c r="AC83" t="s">
        <v>686</v>
      </c>
      <c r="AD83" t="s">
        <v>687</v>
      </c>
      <c r="AE83" t="s">
        <v>843</v>
      </c>
      <c r="AF83" t="s">
        <v>771</v>
      </c>
      <c r="AG83" t="s">
        <v>207</v>
      </c>
      <c r="AH83" t="s">
        <v>844</v>
      </c>
      <c r="AJ83" t="s">
        <v>30</v>
      </c>
      <c r="AK83" t="s">
        <v>681</v>
      </c>
      <c r="AL83">
        <v>18</v>
      </c>
      <c r="AM83" t="s">
        <v>670</v>
      </c>
      <c r="AN83" t="s">
        <v>682</v>
      </c>
      <c r="AO83" s="14">
        <v>15</v>
      </c>
      <c r="AP83" t="s">
        <v>54</v>
      </c>
      <c r="AQ83">
        <v>1554265352</v>
      </c>
      <c r="AS83" t="s">
        <v>4</v>
      </c>
      <c r="AT83" t="s">
        <v>112</v>
      </c>
      <c r="AU83">
        <v>5.55</v>
      </c>
      <c r="AV83" t="s">
        <v>54</v>
      </c>
      <c r="AW83" t="s">
        <v>139</v>
      </c>
    </row>
    <row r="84" spans="1:49" x14ac:dyDescent="0.25">
      <c r="A84" t="s">
        <v>139</v>
      </c>
      <c r="B84" t="s">
        <v>670</v>
      </c>
      <c r="C84" t="s">
        <v>671</v>
      </c>
      <c r="D84" t="s">
        <v>672</v>
      </c>
      <c r="F84">
        <v>8</v>
      </c>
      <c r="G84">
        <v>0</v>
      </c>
      <c r="H84" s="14">
        <v>8</v>
      </c>
      <c r="I84">
        <v>653470</v>
      </c>
      <c r="J84" t="s">
        <v>330</v>
      </c>
      <c r="P84" t="s">
        <v>134</v>
      </c>
      <c r="R84" t="s">
        <v>135</v>
      </c>
      <c r="S84" t="s">
        <v>136</v>
      </c>
      <c r="T84" t="s">
        <v>673</v>
      </c>
      <c r="U84">
        <v>707256</v>
      </c>
      <c r="V84" t="s">
        <v>137</v>
      </c>
      <c r="W84" t="s">
        <v>674</v>
      </c>
      <c r="Y84">
        <v>45041</v>
      </c>
      <c r="Z84" t="s">
        <v>27</v>
      </c>
      <c r="AA84" t="s">
        <v>28</v>
      </c>
      <c r="AB84" t="s">
        <v>675</v>
      </c>
      <c r="AC84" t="s">
        <v>676</v>
      </c>
      <c r="AD84" t="s">
        <v>677</v>
      </c>
      <c r="AE84" t="s">
        <v>845</v>
      </c>
      <c r="AF84" t="s">
        <v>734</v>
      </c>
      <c r="AG84" t="s">
        <v>138</v>
      </c>
      <c r="AH84" t="s">
        <v>846</v>
      </c>
      <c r="AJ84" t="s">
        <v>30</v>
      </c>
      <c r="AK84" t="s">
        <v>703</v>
      </c>
      <c r="AL84">
        <v>11</v>
      </c>
      <c r="AM84" t="s">
        <v>670</v>
      </c>
      <c r="AN84" t="s">
        <v>682</v>
      </c>
      <c r="AO84" s="14">
        <v>25</v>
      </c>
      <c r="AP84" t="s">
        <v>32</v>
      </c>
      <c r="AQ84">
        <v>1554348684</v>
      </c>
      <c r="AS84" t="s">
        <v>4</v>
      </c>
      <c r="AT84" t="s">
        <v>31</v>
      </c>
      <c r="AU84">
        <v>8</v>
      </c>
      <c r="AV84" t="s">
        <v>32</v>
      </c>
      <c r="AW84" t="s">
        <v>139</v>
      </c>
    </row>
    <row r="85" spans="1:49" x14ac:dyDescent="0.25">
      <c r="A85" t="s">
        <v>139</v>
      </c>
      <c r="B85" t="s">
        <v>670</v>
      </c>
      <c r="C85" t="s">
        <v>671</v>
      </c>
      <c r="D85" t="s">
        <v>672</v>
      </c>
      <c r="F85">
        <v>26.88</v>
      </c>
      <c r="G85">
        <v>0</v>
      </c>
      <c r="H85" s="14">
        <v>26.88</v>
      </c>
      <c r="I85">
        <v>653470</v>
      </c>
      <c r="J85" t="s">
        <v>330</v>
      </c>
      <c r="P85" t="s">
        <v>140</v>
      </c>
      <c r="R85" t="s">
        <v>141</v>
      </c>
      <c r="S85" t="s">
        <v>142</v>
      </c>
      <c r="T85" t="s">
        <v>691</v>
      </c>
      <c r="U85">
        <v>759555</v>
      </c>
      <c r="V85" t="s">
        <v>143</v>
      </c>
      <c r="W85" t="s">
        <v>674</v>
      </c>
      <c r="Y85">
        <v>38398</v>
      </c>
      <c r="Z85" t="s">
        <v>38</v>
      </c>
      <c r="AA85" t="s">
        <v>145</v>
      </c>
      <c r="AB85" t="s">
        <v>675</v>
      </c>
      <c r="AC85" t="s">
        <v>676</v>
      </c>
      <c r="AD85" t="s">
        <v>677</v>
      </c>
      <c r="AE85" t="s">
        <v>843</v>
      </c>
      <c r="AF85" t="s">
        <v>771</v>
      </c>
      <c r="AG85" t="s">
        <v>144</v>
      </c>
      <c r="AH85" t="s">
        <v>847</v>
      </c>
      <c r="AJ85" t="s">
        <v>30</v>
      </c>
      <c r="AK85" t="s">
        <v>681</v>
      </c>
      <c r="AL85">
        <v>18</v>
      </c>
      <c r="AM85" t="s">
        <v>670</v>
      </c>
      <c r="AN85" t="s">
        <v>682</v>
      </c>
      <c r="AO85" s="14">
        <v>112</v>
      </c>
      <c r="AP85" t="s">
        <v>42</v>
      </c>
      <c r="AQ85">
        <v>1554269119</v>
      </c>
      <c r="AS85" t="s">
        <v>4</v>
      </c>
      <c r="AT85" t="s">
        <v>146</v>
      </c>
      <c r="AU85">
        <v>26.88</v>
      </c>
      <c r="AV85" t="s">
        <v>42</v>
      </c>
      <c r="AW85" t="s">
        <v>139</v>
      </c>
    </row>
    <row r="86" spans="1:49" x14ac:dyDescent="0.25">
      <c r="A86" t="s">
        <v>139</v>
      </c>
      <c r="B86" t="s">
        <v>670</v>
      </c>
      <c r="C86" t="s">
        <v>671</v>
      </c>
      <c r="D86" t="s">
        <v>672</v>
      </c>
      <c r="F86">
        <v>7.4</v>
      </c>
      <c r="G86">
        <v>0</v>
      </c>
      <c r="H86" s="14">
        <v>7.4</v>
      </c>
      <c r="I86">
        <v>653470</v>
      </c>
      <c r="J86" t="s">
        <v>330</v>
      </c>
      <c r="P86" t="s">
        <v>140</v>
      </c>
      <c r="R86" t="s">
        <v>141</v>
      </c>
      <c r="S86" t="s">
        <v>142</v>
      </c>
      <c r="T86" t="s">
        <v>691</v>
      </c>
      <c r="U86">
        <v>759555</v>
      </c>
      <c r="V86" t="s">
        <v>143</v>
      </c>
      <c r="W86" t="s">
        <v>674</v>
      </c>
      <c r="Y86">
        <v>38593</v>
      </c>
      <c r="Z86" t="s">
        <v>52</v>
      </c>
      <c r="AA86" t="s">
        <v>39</v>
      </c>
      <c r="AB86" t="s">
        <v>675</v>
      </c>
      <c r="AC86" t="s">
        <v>686</v>
      </c>
      <c r="AD86" t="s">
        <v>687</v>
      </c>
      <c r="AE86" t="s">
        <v>843</v>
      </c>
      <c r="AF86" t="s">
        <v>771</v>
      </c>
      <c r="AG86" t="s">
        <v>147</v>
      </c>
      <c r="AH86" t="s">
        <v>847</v>
      </c>
      <c r="AJ86" t="s">
        <v>30</v>
      </c>
      <c r="AK86" t="s">
        <v>681</v>
      </c>
      <c r="AL86">
        <v>18</v>
      </c>
      <c r="AM86" t="s">
        <v>670</v>
      </c>
      <c r="AN86" t="s">
        <v>682</v>
      </c>
      <c r="AO86" s="14">
        <v>20</v>
      </c>
      <c r="AP86" t="s">
        <v>54</v>
      </c>
      <c r="AQ86">
        <v>1554269121</v>
      </c>
      <c r="AS86" t="s">
        <v>4</v>
      </c>
      <c r="AT86" t="s">
        <v>94</v>
      </c>
      <c r="AU86">
        <v>7.4</v>
      </c>
      <c r="AV86" t="s">
        <v>54</v>
      </c>
      <c r="AW86" t="s">
        <v>139</v>
      </c>
    </row>
    <row r="87" spans="1:49" x14ac:dyDescent="0.25">
      <c r="A87" t="s">
        <v>139</v>
      </c>
      <c r="B87" t="s">
        <v>670</v>
      </c>
      <c r="C87" t="s">
        <v>671</v>
      </c>
      <c r="D87" t="s">
        <v>672</v>
      </c>
      <c r="F87">
        <v>6.48</v>
      </c>
      <c r="G87">
        <v>0</v>
      </c>
      <c r="H87" s="14">
        <v>6.48</v>
      </c>
      <c r="I87">
        <v>653470</v>
      </c>
      <c r="J87" t="s">
        <v>330</v>
      </c>
      <c r="P87" t="s">
        <v>148</v>
      </c>
      <c r="R87" t="s">
        <v>149</v>
      </c>
      <c r="S87" t="s">
        <v>150</v>
      </c>
      <c r="T87" t="s">
        <v>673</v>
      </c>
      <c r="U87">
        <v>678726</v>
      </c>
      <c r="V87" t="s">
        <v>25</v>
      </c>
      <c r="W87" t="s">
        <v>674</v>
      </c>
      <c r="Y87">
        <v>47133</v>
      </c>
      <c r="Z87" t="s">
        <v>152</v>
      </c>
      <c r="AA87" t="s">
        <v>28</v>
      </c>
      <c r="AB87" t="s">
        <v>675</v>
      </c>
      <c r="AC87" t="s">
        <v>676</v>
      </c>
      <c r="AD87" t="s">
        <v>677</v>
      </c>
      <c r="AE87" t="s">
        <v>848</v>
      </c>
      <c r="AF87" t="s">
        <v>264</v>
      </c>
      <c r="AG87" t="s">
        <v>151</v>
      </c>
      <c r="AH87" t="s">
        <v>849</v>
      </c>
      <c r="AJ87" t="s">
        <v>30</v>
      </c>
      <c r="AK87" t="s">
        <v>681</v>
      </c>
      <c r="AL87">
        <v>2</v>
      </c>
      <c r="AM87" t="s">
        <v>670</v>
      </c>
      <c r="AN87" t="s">
        <v>682</v>
      </c>
      <c r="AO87" s="14">
        <v>27</v>
      </c>
      <c r="AP87" t="s">
        <v>42</v>
      </c>
      <c r="AQ87">
        <v>1554267160</v>
      </c>
      <c r="AS87" t="s">
        <v>4</v>
      </c>
      <c r="AT87" t="s">
        <v>153</v>
      </c>
      <c r="AU87">
        <v>6.48</v>
      </c>
      <c r="AV87" t="s">
        <v>42</v>
      </c>
      <c r="AW87" t="s">
        <v>139</v>
      </c>
    </row>
    <row r="88" spans="1:49" x14ac:dyDescent="0.25">
      <c r="A88" t="s">
        <v>139</v>
      </c>
      <c r="B88" t="s">
        <v>670</v>
      </c>
      <c r="C88" t="s">
        <v>671</v>
      </c>
      <c r="D88" t="s">
        <v>672</v>
      </c>
      <c r="F88">
        <v>4.07</v>
      </c>
      <c r="G88">
        <v>0</v>
      </c>
      <c r="H88" s="14">
        <v>4.07</v>
      </c>
      <c r="I88">
        <v>653470</v>
      </c>
      <c r="J88" t="s">
        <v>330</v>
      </c>
      <c r="P88" t="s">
        <v>148</v>
      </c>
      <c r="R88" t="s">
        <v>149</v>
      </c>
      <c r="S88" t="s">
        <v>150</v>
      </c>
      <c r="T88" t="s">
        <v>673</v>
      </c>
      <c r="U88">
        <v>678726</v>
      </c>
      <c r="V88" t="s">
        <v>25</v>
      </c>
      <c r="W88" t="s">
        <v>674</v>
      </c>
      <c r="Y88">
        <v>38593</v>
      </c>
      <c r="Z88" t="s">
        <v>52</v>
      </c>
      <c r="AA88" t="s">
        <v>28</v>
      </c>
      <c r="AB88" t="s">
        <v>675</v>
      </c>
      <c r="AC88" t="s">
        <v>686</v>
      </c>
      <c r="AD88" t="s">
        <v>687</v>
      </c>
      <c r="AE88" t="s">
        <v>848</v>
      </c>
      <c r="AF88" t="s">
        <v>264</v>
      </c>
      <c r="AG88" t="s">
        <v>154</v>
      </c>
      <c r="AH88" t="s">
        <v>849</v>
      </c>
      <c r="AJ88" t="s">
        <v>30</v>
      </c>
      <c r="AK88" t="s">
        <v>681</v>
      </c>
      <c r="AL88">
        <v>2</v>
      </c>
      <c r="AM88" t="s">
        <v>670</v>
      </c>
      <c r="AN88" t="s">
        <v>682</v>
      </c>
      <c r="AO88" s="14">
        <v>11</v>
      </c>
      <c r="AP88" t="s">
        <v>54</v>
      </c>
      <c r="AQ88">
        <v>1554267164</v>
      </c>
      <c r="AS88" t="s">
        <v>4</v>
      </c>
      <c r="AT88" t="s">
        <v>53</v>
      </c>
      <c r="AU88">
        <v>4.07</v>
      </c>
      <c r="AV88" t="s">
        <v>54</v>
      </c>
      <c r="AW88" t="s">
        <v>139</v>
      </c>
    </row>
    <row r="89" spans="1:49" x14ac:dyDescent="0.25">
      <c r="A89" t="s">
        <v>159</v>
      </c>
      <c r="B89" t="s">
        <v>670</v>
      </c>
      <c r="C89" t="s">
        <v>671</v>
      </c>
      <c r="D89" t="s">
        <v>672</v>
      </c>
      <c r="F89">
        <v>9.6</v>
      </c>
      <c r="G89">
        <v>0</v>
      </c>
      <c r="H89" s="14">
        <v>9.6</v>
      </c>
      <c r="I89">
        <v>653470</v>
      </c>
      <c r="J89" t="s">
        <v>330</v>
      </c>
      <c r="P89" t="s">
        <v>155</v>
      </c>
      <c r="R89" t="s">
        <v>156</v>
      </c>
      <c r="S89" t="s">
        <v>157</v>
      </c>
      <c r="T89" t="s">
        <v>691</v>
      </c>
      <c r="U89">
        <v>757929</v>
      </c>
      <c r="V89" t="s">
        <v>36</v>
      </c>
      <c r="W89" t="s">
        <v>674</v>
      </c>
      <c r="Y89">
        <v>42249</v>
      </c>
      <c r="Z89" t="s">
        <v>131</v>
      </c>
      <c r="AA89" t="s">
        <v>28</v>
      </c>
      <c r="AB89" t="s">
        <v>675</v>
      </c>
      <c r="AC89" t="s">
        <v>676</v>
      </c>
      <c r="AD89" t="s">
        <v>677</v>
      </c>
      <c r="AE89" t="s">
        <v>850</v>
      </c>
      <c r="AF89" t="s">
        <v>805</v>
      </c>
      <c r="AG89" t="s">
        <v>158</v>
      </c>
      <c r="AH89" t="s">
        <v>851</v>
      </c>
      <c r="AJ89" t="s">
        <v>30</v>
      </c>
      <c r="AK89" t="s">
        <v>681</v>
      </c>
      <c r="AL89">
        <v>6</v>
      </c>
      <c r="AM89" t="s">
        <v>670</v>
      </c>
      <c r="AN89" t="s">
        <v>682</v>
      </c>
      <c r="AO89" s="14">
        <v>40</v>
      </c>
      <c r="AP89" t="s">
        <v>42</v>
      </c>
      <c r="AQ89">
        <v>1554306310</v>
      </c>
      <c r="AS89" t="s">
        <v>4</v>
      </c>
      <c r="AT89" t="s">
        <v>133</v>
      </c>
      <c r="AU89">
        <v>9.6</v>
      </c>
      <c r="AV89" t="s">
        <v>42</v>
      </c>
      <c r="AW89" t="s">
        <v>159</v>
      </c>
    </row>
    <row r="90" spans="1:49" x14ac:dyDescent="0.25">
      <c r="A90" t="s">
        <v>159</v>
      </c>
      <c r="B90" t="s">
        <v>670</v>
      </c>
      <c r="C90" t="s">
        <v>671</v>
      </c>
      <c r="D90" t="s">
        <v>672</v>
      </c>
      <c r="F90">
        <v>15.84</v>
      </c>
      <c r="G90">
        <v>0</v>
      </c>
      <c r="H90" s="14">
        <v>15.84</v>
      </c>
      <c r="I90">
        <v>653470</v>
      </c>
      <c r="J90" t="s">
        <v>330</v>
      </c>
      <c r="P90" t="s">
        <v>160</v>
      </c>
      <c r="R90" t="s">
        <v>161</v>
      </c>
      <c r="S90" t="s">
        <v>162</v>
      </c>
      <c r="T90" t="s">
        <v>710</v>
      </c>
      <c r="U90">
        <v>689390</v>
      </c>
      <c r="V90" t="s">
        <v>77</v>
      </c>
      <c r="W90" t="s">
        <v>674</v>
      </c>
      <c r="Y90">
        <v>38399</v>
      </c>
      <c r="Z90" t="s">
        <v>79</v>
      </c>
      <c r="AA90" t="s">
        <v>28</v>
      </c>
      <c r="AB90" t="s">
        <v>675</v>
      </c>
      <c r="AC90" t="s">
        <v>676</v>
      </c>
      <c r="AD90" t="s">
        <v>677</v>
      </c>
      <c r="AE90" t="s">
        <v>852</v>
      </c>
      <c r="AF90" t="s">
        <v>853</v>
      </c>
      <c r="AG90" t="s">
        <v>163</v>
      </c>
      <c r="AH90" t="s">
        <v>854</v>
      </c>
      <c r="AJ90" t="s">
        <v>30</v>
      </c>
      <c r="AK90" t="s">
        <v>681</v>
      </c>
      <c r="AL90">
        <v>22</v>
      </c>
      <c r="AM90" t="s">
        <v>670</v>
      </c>
      <c r="AN90" t="s">
        <v>682</v>
      </c>
      <c r="AO90" s="14">
        <v>66</v>
      </c>
      <c r="AP90" t="s">
        <v>42</v>
      </c>
      <c r="AQ90">
        <v>1554307429</v>
      </c>
      <c r="AS90" t="s">
        <v>4</v>
      </c>
      <c r="AT90" t="s">
        <v>164</v>
      </c>
      <c r="AU90">
        <v>15.84</v>
      </c>
      <c r="AV90" t="s">
        <v>42</v>
      </c>
      <c r="AW90" t="s">
        <v>159</v>
      </c>
    </row>
    <row r="91" spans="1:49" x14ac:dyDescent="0.25">
      <c r="A91" t="s">
        <v>159</v>
      </c>
      <c r="B91" t="s">
        <v>670</v>
      </c>
      <c r="C91" t="s">
        <v>671</v>
      </c>
      <c r="D91" t="s">
        <v>672</v>
      </c>
      <c r="F91">
        <v>4.07</v>
      </c>
      <c r="G91">
        <v>0</v>
      </c>
      <c r="H91" s="14">
        <v>4.07</v>
      </c>
      <c r="I91">
        <v>653470</v>
      </c>
      <c r="J91" t="s">
        <v>330</v>
      </c>
      <c r="P91" t="s">
        <v>171</v>
      </c>
      <c r="R91" t="s">
        <v>172</v>
      </c>
      <c r="S91" t="s">
        <v>173</v>
      </c>
      <c r="T91" t="s">
        <v>855</v>
      </c>
      <c r="U91">
        <v>678726</v>
      </c>
      <c r="V91" t="s">
        <v>25</v>
      </c>
      <c r="W91" t="s">
        <v>674</v>
      </c>
      <c r="Y91">
        <v>38593</v>
      </c>
      <c r="Z91" t="s">
        <v>52</v>
      </c>
      <c r="AA91" t="s">
        <v>28</v>
      </c>
      <c r="AB91" t="s">
        <v>675</v>
      </c>
      <c r="AC91" t="s">
        <v>686</v>
      </c>
      <c r="AD91" t="s">
        <v>687</v>
      </c>
      <c r="AE91" t="s">
        <v>856</v>
      </c>
      <c r="AF91" t="s">
        <v>705</v>
      </c>
      <c r="AG91" t="s">
        <v>174</v>
      </c>
      <c r="AH91" t="s">
        <v>857</v>
      </c>
      <c r="AJ91" t="s">
        <v>30</v>
      </c>
      <c r="AK91" t="s">
        <v>703</v>
      </c>
      <c r="AL91">
        <v>3</v>
      </c>
      <c r="AM91" t="s">
        <v>670</v>
      </c>
      <c r="AN91" t="s">
        <v>682</v>
      </c>
      <c r="AO91" s="14">
        <v>11</v>
      </c>
      <c r="AP91" t="s">
        <v>54</v>
      </c>
      <c r="AQ91">
        <v>1554369097</v>
      </c>
      <c r="AS91" t="s">
        <v>4</v>
      </c>
      <c r="AT91" t="s">
        <v>53</v>
      </c>
      <c r="AU91">
        <v>4.07</v>
      </c>
      <c r="AV91" t="s">
        <v>54</v>
      </c>
      <c r="AW91" t="s">
        <v>159</v>
      </c>
    </row>
    <row r="92" spans="1:49" x14ac:dyDescent="0.25">
      <c r="A92" t="s">
        <v>159</v>
      </c>
      <c r="B92" t="s">
        <v>670</v>
      </c>
      <c r="C92" t="s">
        <v>671</v>
      </c>
      <c r="D92" t="s">
        <v>672</v>
      </c>
      <c r="F92">
        <v>6.48</v>
      </c>
      <c r="G92">
        <v>0</v>
      </c>
      <c r="H92" s="14">
        <v>6.48</v>
      </c>
      <c r="I92">
        <v>653470</v>
      </c>
      <c r="J92" t="s">
        <v>330</v>
      </c>
      <c r="P92" t="s">
        <v>171</v>
      </c>
      <c r="R92" t="s">
        <v>172</v>
      </c>
      <c r="S92" t="s">
        <v>173</v>
      </c>
      <c r="T92" t="s">
        <v>855</v>
      </c>
      <c r="U92">
        <v>678726</v>
      </c>
      <c r="V92" t="s">
        <v>25</v>
      </c>
      <c r="W92" t="s">
        <v>674</v>
      </c>
      <c r="Y92">
        <v>47133</v>
      </c>
      <c r="Z92" t="s">
        <v>152</v>
      </c>
      <c r="AA92" t="s">
        <v>28</v>
      </c>
      <c r="AB92" t="s">
        <v>675</v>
      </c>
      <c r="AC92" t="s">
        <v>676</v>
      </c>
      <c r="AD92" t="s">
        <v>677</v>
      </c>
      <c r="AE92" t="s">
        <v>856</v>
      </c>
      <c r="AF92" t="s">
        <v>705</v>
      </c>
      <c r="AG92" t="s">
        <v>202</v>
      </c>
      <c r="AH92" t="s">
        <v>857</v>
      </c>
      <c r="AJ92" t="s">
        <v>30</v>
      </c>
      <c r="AK92" t="s">
        <v>703</v>
      </c>
      <c r="AL92">
        <v>3</v>
      </c>
      <c r="AM92" t="s">
        <v>670</v>
      </c>
      <c r="AN92" t="s">
        <v>682</v>
      </c>
      <c r="AO92" s="14">
        <v>27</v>
      </c>
      <c r="AP92" t="s">
        <v>42</v>
      </c>
      <c r="AQ92">
        <v>1554369091</v>
      </c>
      <c r="AS92" t="s">
        <v>4</v>
      </c>
      <c r="AT92" t="s">
        <v>153</v>
      </c>
      <c r="AU92">
        <v>6.48</v>
      </c>
      <c r="AV92" t="s">
        <v>42</v>
      </c>
      <c r="AW92" t="s">
        <v>159</v>
      </c>
    </row>
    <row r="93" spans="1:49" x14ac:dyDescent="0.25">
      <c r="A93" t="s">
        <v>159</v>
      </c>
      <c r="B93" t="s">
        <v>670</v>
      </c>
      <c r="C93" t="s">
        <v>671</v>
      </c>
      <c r="D93" t="s">
        <v>672</v>
      </c>
      <c r="E93" t="s">
        <v>176</v>
      </c>
      <c r="F93">
        <v>0</v>
      </c>
      <c r="G93">
        <v>22.32</v>
      </c>
      <c r="H93" s="14">
        <v>-22.32</v>
      </c>
      <c r="I93">
        <v>653470</v>
      </c>
      <c r="J93" t="s">
        <v>330</v>
      </c>
      <c r="P93" t="s">
        <v>122</v>
      </c>
      <c r="R93" t="s">
        <v>123</v>
      </c>
      <c r="S93" t="s">
        <v>124</v>
      </c>
      <c r="T93" t="s">
        <v>858</v>
      </c>
      <c r="U93">
        <v>703501</v>
      </c>
      <c r="V93" t="s">
        <v>71</v>
      </c>
      <c r="W93" t="s">
        <v>674</v>
      </c>
      <c r="Y93">
        <v>38796</v>
      </c>
      <c r="Z93" t="s">
        <v>73</v>
      </c>
      <c r="AA93" t="s">
        <v>39</v>
      </c>
      <c r="AB93" t="s">
        <v>675</v>
      </c>
      <c r="AC93" t="s">
        <v>676</v>
      </c>
      <c r="AD93" t="s">
        <v>677</v>
      </c>
      <c r="AE93" t="s">
        <v>859</v>
      </c>
      <c r="AF93" t="s">
        <v>860</v>
      </c>
      <c r="AG93" t="s">
        <v>125</v>
      </c>
      <c r="AH93" t="s">
        <v>861</v>
      </c>
      <c r="AJ93" t="s">
        <v>175</v>
      </c>
      <c r="AK93" t="s">
        <v>681</v>
      </c>
      <c r="AL93">
        <v>18</v>
      </c>
      <c r="AM93" t="s">
        <v>264</v>
      </c>
      <c r="AN93" t="s">
        <v>29</v>
      </c>
      <c r="AO93" s="14">
        <v>93</v>
      </c>
      <c r="AP93" t="s">
        <v>42</v>
      </c>
      <c r="AQ93">
        <v>1554244129</v>
      </c>
      <c r="AS93" t="s">
        <v>4</v>
      </c>
      <c r="AT93" t="s">
        <v>92</v>
      </c>
      <c r="AU93">
        <v>-22.32</v>
      </c>
      <c r="AV93" t="s">
        <v>42</v>
      </c>
      <c r="AW93" t="s">
        <v>159</v>
      </c>
    </row>
    <row r="94" spans="1:49" x14ac:dyDescent="0.25">
      <c r="A94" t="s">
        <v>181</v>
      </c>
      <c r="B94" t="s">
        <v>670</v>
      </c>
      <c r="C94" t="s">
        <v>671</v>
      </c>
      <c r="D94" t="s">
        <v>672</v>
      </c>
      <c r="F94">
        <v>16</v>
      </c>
      <c r="G94">
        <v>0</v>
      </c>
      <c r="H94" s="14">
        <v>16</v>
      </c>
      <c r="I94">
        <v>653470</v>
      </c>
      <c r="J94" t="s">
        <v>330</v>
      </c>
      <c r="P94" t="s">
        <v>177</v>
      </c>
      <c r="R94" t="s">
        <v>178</v>
      </c>
      <c r="S94" t="s">
        <v>179</v>
      </c>
      <c r="T94" t="s">
        <v>673</v>
      </c>
      <c r="U94">
        <v>678726</v>
      </c>
      <c r="V94" t="s">
        <v>25</v>
      </c>
      <c r="W94" t="s">
        <v>674</v>
      </c>
      <c r="Y94">
        <v>45041</v>
      </c>
      <c r="Z94" t="s">
        <v>27</v>
      </c>
      <c r="AA94" t="s">
        <v>85</v>
      </c>
      <c r="AB94" t="s">
        <v>675</v>
      </c>
      <c r="AC94" t="s">
        <v>676</v>
      </c>
      <c r="AD94" t="s">
        <v>677</v>
      </c>
      <c r="AE94" t="s">
        <v>862</v>
      </c>
      <c r="AF94" t="s">
        <v>699</v>
      </c>
      <c r="AG94" t="s">
        <v>180</v>
      </c>
      <c r="AH94" t="s">
        <v>863</v>
      </c>
      <c r="AJ94" t="s">
        <v>30</v>
      </c>
      <c r="AK94" t="s">
        <v>703</v>
      </c>
      <c r="AL94">
        <v>14</v>
      </c>
      <c r="AM94" t="s">
        <v>670</v>
      </c>
      <c r="AN94" t="s">
        <v>682</v>
      </c>
      <c r="AO94" s="14">
        <v>50</v>
      </c>
      <c r="AP94" t="s">
        <v>32</v>
      </c>
      <c r="AQ94">
        <v>1554408650</v>
      </c>
      <c r="AS94" t="s">
        <v>4</v>
      </c>
      <c r="AT94" t="s">
        <v>182</v>
      </c>
      <c r="AU94">
        <v>16</v>
      </c>
      <c r="AV94" t="s">
        <v>32</v>
      </c>
      <c r="AW94" t="s">
        <v>181</v>
      </c>
    </row>
    <row r="95" spans="1:49" x14ac:dyDescent="0.25">
      <c r="A95" t="s">
        <v>181</v>
      </c>
      <c r="B95" t="s">
        <v>670</v>
      </c>
      <c r="C95" t="s">
        <v>671</v>
      </c>
      <c r="D95" t="s">
        <v>672</v>
      </c>
      <c r="F95">
        <v>4.07</v>
      </c>
      <c r="G95">
        <v>0</v>
      </c>
      <c r="H95" s="14">
        <v>4.07</v>
      </c>
      <c r="I95">
        <v>653470</v>
      </c>
      <c r="J95" t="s">
        <v>330</v>
      </c>
      <c r="P95" t="s">
        <v>183</v>
      </c>
      <c r="R95" t="s">
        <v>184</v>
      </c>
      <c r="S95" t="s">
        <v>185</v>
      </c>
      <c r="T95" t="s">
        <v>691</v>
      </c>
      <c r="U95">
        <v>757929</v>
      </c>
      <c r="V95" t="s">
        <v>36</v>
      </c>
      <c r="W95" t="s">
        <v>674</v>
      </c>
      <c r="Y95">
        <v>38593</v>
      </c>
      <c r="Z95" t="s">
        <v>52</v>
      </c>
      <c r="AA95" t="s">
        <v>28</v>
      </c>
      <c r="AB95" t="s">
        <v>675</v>
      </c>
      <c r="AC95" t="s">
        <v>686</v>
      </c>
      <c r="AD95" t="s">
        <v>687</v>
      </c>
      <c r="AE95" t="s">
        <v>825</v>
      </c>
      <c r="AF95" t="s">
        <v>264</v>
      </c>
      <c r="AG95" t="s">
        <v>186</v>
      </c>
      <c r="AH95" t="s">
        <v>864</v>
      </c>
      <c r="AJ95" t="s">
        <v>30</v>
      </c>
      <c r="AK95" t="s">
        <v>703</v>
      </c>
      <c r="AL95">
        <v>2</v>
      </c>
      <c r="AM95" t="s">
        <v>670</v>
      </c>
      <c r="AN95" t="s">
        <v>682</v>
      </c>
      <c r="AO95" s="14">
        <v>11</v>
      </c>
      <c r="AP95" t="s">
        <v>54</v>
      </c>
      <c r="AQ95">
        <v>1554403267</v>
      </c>
      <c r="AS95" t="s">
        <v>4</v>
      </c>
      <c r="AT95" t="s">
        <v>53</v>
      </c>
      <c r="AU95">
        <v>4.07</v>
      </c>
      <c r="AV95" t="s">
        <v>54</v>
      </c>
      <c r="AW95" t="s">
        <v>181</v>
      </c>
    </row>
    <row r="96" spans="1:49" x14ac:dyDescent="0.25">
      <c r="A96" t="s">
        <v>181</v>
      </c>
      <c r="B96" t="s">
        <v>670</v>
      </c>
      <c r="C96" t="s">
        <v>671</v>
      </c>
      <c r="D96" t="s">
        <v>672</v>
      </c>
      <c r="F96">
        <v>5.28</v>
      </c>
      <c r="G96">
        <v>0</v>
      </c>
      <c r="H96" s="14">
        <v>5.28</v>
      </c>
      <c r="I96">
        <v>653470</v>
      </c>
      <c r="J96" t="s">
        <v>330</v>
      </c>
      <c r="P96" t="s">
        <v>183</v>
      </c>
      <c r="R96" t="s">
        <v>184</v>
      </c>
      <c r="S96" t="s">
        <v>185</v>
      </c>
      <c r="T96" t="s">
        <v>691</v>
      </c>
      <c r="U96">
        <v>757929</v>
      </c>
      <c r="V96" t="s">
        <v>36</v>
      </c>
      <c r="W96" t="s">
        <v>674</v>
      </c>
      <c r="Y96">
        <v>47132</v>
      </c>
      <c r="Z96" t="s">
        <v>188</v>
      </c>
      <c r="AA96" t="s">
        <v>28</v>
      </c>
      <c r="AB96" t="s">
        <v>675</v>
      </c>
      <c r="AC96" t="s">
        <v>676</v>
      </c>
      <c r="AD96" t="s">
        <v>677</v>
      </c>
      <c r="AE96" t="s">
        <v>825</v>
      </c>
      <c r="AF96" t="s">
        <v>264</v>
      </c>
      <c r="AG96" t="s">
        <v>187</v>
      </c>
      <c r="AH96" t="s">
        <v>864</v>
      </c>
      <c r="AJ96" t="s">
        <v>30</v>
      </c>
      <c r="AK96" t="s">
        <v>703</v>
      </c>
      <c r="AL96">
        <v>2</v>
      </c>
      <c r="AM96" t="s">
        <v>670</v>
      </c>
      <c r="AN96" t="s">
        <v>682</v>
      </c>
      <c r="AO96" s="14">
        <v>22</v>
      </c>
      <c r="AP96" t="s">
        <v>42</v>
      </c>
      <c r="AQ96">
        <v>1554403263</v>
      </c>
      <c r="AS96" t="s">
        <v>4</v>
      </c>
      <c r="AT96" t="s">
        <v>189</v>
      </c>
      <c r="AU96">
        <v>5.28</v>
      </c>
      <c r="AV96" t="s">
        <v>42</v>
      </c>
      <c r="AW96" t="s">
        <v>181</v>
      </c>
    </row>
    <row r="97" spans="1:49" x14ac:dyDescent="0.25">
      <c r="A97" t="s">
        <v>194</v>
      </c>
      <c r="B97" t="s">
        <v>670</v>
      </c>
      <c r="C97" t="s">
        <v>671</v>
      </c>
      <c r="D97" t="s">
        <v>672</v>
      </c>
      <c r="F97">
        <v>19.2</v>
      </c>
      <c r="G97">
        <v>0</v>
      </c>
      <c r="H97" s="14">
        <v>19.2</v>
      </c>
      <c r="I97">
        <v>653470</v>
      </c>
      <c r="J97" t="s">
        <v>330</v>
      </c>
      <c r="P97" t="s">
        <v>190</v>
      </c>
      <c r="R97" t="s">
        <v>191</v>
      </c>
      <c r="S97" t="s">
        <v>192</v>
      </c>
      <c r="T97" t="s">
        <v>673</v>
      </c>
      <c r="U97">
        <v>678726</v>
      </c>
      <c r="V97" t="s">
        <v>25</v>
      </c>
      <c r="W97" t="s">
        <v>674</v>
      </c>
      <c r="Y97">
        <v>45041</v>
      </c>
      <c r="Z97" t="s">
        <v>27</v>
      </c>
      <c r="AA97" t="s">
        <v>85</v>
      </c>
      <c r="AB97" t="s">
        <v>675</v>
      </c>
      <c r="AC97" t="s">
        <v>676</v>
      </c>
      <c r="AD97" t="s">
        <v>677</v>
      </c>
      <c r="AE97" t="s">
        <v>865</v>
      </c>
      <c r="AF97" t="s">
        <v>743</v>
      </c>
      <c r="AG97" t="s">
        <v>193</v>
      </c>
      <c r="AH97" t="s">
        <v>866</v>
      </c>
      <c r="AJ97" t="s">
        <v>30</v>
      </c>
      <c r="AK97" t="s">
        <v>703</v>
      </c>
      <c r="AL97">
        <v>15</v>
      </c>
      <c r="AM97" t="s">
        <v>670</v>
      </c>
      <c r="AN97" t="s">
        <v>682</v>
      </c>
      <c r="AO97" s="14">
        <v>60</v>
      </c>
      <c r="AP97" t="s">
        <v>32</v>
      </c>
      <c r="AQ97">
        <v>1554435005</v>
      </c>
      <c r="AS97" t="s">
        <v>4</v>
      </c>
      <c r="AT97" t="s">
        <v>195</v>
      </c>
      <c r="AU97">
        <v>19.2</v>
      </c>
      <c r="AV97" t="s">
        <v>32</v>
      </c>
      <c r="AW97" t="s">
        <v>194</v>
      </c>
    </row>
    <row r="98" spans="1:49" x14ac:dyDescent="0.25">
      <c r="A98" t="s">
        <v>132</v>
      </c>
      <c r="B98" t="s">
        <v>670</v>
      </c>
      <c r="C98" t="s">
        <v>671</v>
      </c>
      <c r="D98" t="s">
        <v>672</v>
      </c>
      <c r="F98">
        <v>8</v>
      </c>
      <c r="G98">
        <v>0</v>
      </c>
      <c r="H98" s="14">
        <v>8</v>
      </c>
      <c r="I98">
        <v>653470</v>
      </c>
      <c r="J98" t="s">
        <v>330</v>
      </c>
      <c r="P98" t="s">
        <v>196</v>
      </c>
      <c r="R98" t="s">
        <v>197</v>
      </c>
      <c r="S98" t="s">
        <v>198</v>
      </c>
      <c r="T98" t="s">
        <v>673</v>
      </c>
      <c r="U98">
        <v>706472</v>
      </c>
      <c r="V98" t="s">
        <v>199</v>
      </c>
      <c r="W98" t="s">
        <v>674</v>
      </c>
      <c r="Y98">
        <v>45041</v>
      </c>
      <c r="Z98" t="s">
        <v>27</v>
      </c>
      <c r="AA98" t="s">
        <v>28</v>
      </c>
      <c r="AB98" t="s">
        <v>675</v>
      </c>
      <c r="AC98" t="s">
        <v>676</v>
      </c>
      <c r="AD98" t="s">
        <v>677</v>
      </c>
      <c r="AE98" t="s">
        <v>867</v>
      </c>
      <c r="AF98" t="s">
        <v>699</v>
      </c>
      <c r="AG98" t="s">
        <v>200</v>
      </c>
      <c r="AH98" t="s">
        <v>868</v>
      </c>
      <c r="AJ98" t="s">
        <v>30</v>
      </c>
      <c r="AK98" t="s">
        <v>703</v>
      </c>
      <c r="AL98">
        <v>14</v>
      </c>
      <c r="AM98" t="s">
        <v>670</v>
      </c>
      <c r="AN98" t="s">
        <v>682</v>
      </c>
      <c r="AO98" s="14">
        <v>25</v>
      </c>
      <c r="AP98" t="s">
        <v>32</v>
      </c>
      <c r="AQ98">
        <v>1554454082</v>
      </c>
      <c r="AS98" t="s">
        <v>4</v>
      </c>
      <c r="AT98" t="s">
        <v>31</v>
      </c>
      <c r="AU98">
        <v>8</v>
      </c>
      <c r="AV98" t="s">
        <v>32</v>
      </c>
      <c r="AW98" t="s">
        <v>132</v>
      </c>
    </row>
    <row r="99" spans="1:49" x14ac:dyDescent="0.25">
      <c r="A99" t="s">
        <v>132</v>
      </c>
      <c r="B99" t="s">
        <v>670</v>
      </c>
      <c r="C99" t="s">
        <v>671</v>
      </c>
      <c r="D99" t="s">
        <v>672</v>
      </c>
      <c r="F99">
        <v>4.07</v>
      </c>
      <c r="G99">
        <v>0</v>
      </c>
      <c r="H99" s="14">
        <v>4.07</v>
      </c>
      <c r="I99">
        <v>653470</v>
      </c>
      <c r="J99" t="s">
        <v>330</v>
      </c>
      <c r="P99" t="s">
        <v>126</v>
      </c>
      <c r="R99" t="s">
        <v>127</v>
      </c>
      <c r="S99" t="s">
        <v>128</v>
      </c>
      <c r="T99" t="s">
        <v>691</v>
      </c>
      <c r="U99">
        <v>760338</v>
      </c>
      <c r="V99" t="s">
        <v>129</v>
      </c>
      <c r="W99" t="s">
        <v>674</v>
      </c>
      <c r="Y99">
        <v>38593</v>
      </c>
      <c r="Z99" t="s">
        <v>52</v>
      </c>
      <c r="AA99" t="s">
        <v>28</v>
      </c>
      <c r="AB99" t="s">
        <v>675</v>
      </c>
      <c r="AC99" t="s">
        <v>686</v>
      </c>
      <c r="AD99" t="s">
        <v>687</v>
      </c>
      <c r="AE99" t="s">
        <v>869</v>
      </c>
      <c r="AF99" t="s">
        <v>679</v>
      </c>
      <c r="AG99" t="s">
        <v>201</v>
      </c>
      <c r="AH99" t="s">
        <v>870</v>
      </c>
      <c r="AJ99" t="s">
        <v>30</v>
      </c>
      <c r="AK99" t="s">
        <v>681</v>
      </c>
      <c r="AL99">
        <v>12</v>
      </c>
      <c r="AM99" t="s">
        <v>670</v>
      </c>
      <c r="AN99" t="s">
        <v>682</v>
      </c>
      <c r="AO99" s="14">
        <v>11</v>
      </c>
      <c r="AP99" t="s">
        <v>54</v>
      </c>
      <c r="AQ99">
        <v>1554315020</v>
      </c>
      <c r="AS99" t="s">
        <v>4</v>
      </c>
      <c r="AT99" t="s">
        <v>53</v>
      </c>
      <c r="AU99">
        <v>4.07</v>
      </c>
      <c r="AV99" t="s">
        <v>54</v>
      </c>
      <c r="AW99" t="s">
        <v>132</v>
      </c>
    </row>
    <row r="100" spans="1:49" x14ac:dyDescent="0.25">
      <c r="A100" t="s">
        <v>132</v>
      </c>
      <c r="B100" t="s">
        <v>670</v>
      </c>
      <c r="C100" t="s">
        <v>671</v>
      </c>
      <c r="D100" t="s">
        <v>672</v>
      </c>
      <c r="F100">
        <v>9.6</v>
      </c>
      <c r="G100">
        <v>0</v>
      </c>
      <c r="H100" s="14">
        <v>9.6</v>
      </c>
      <c r="I100">
        <v>653470</v>
      </c>
      <c r="J100" t="s">
        <v>330</v>
      </c>
      <c r="P100" t="s">
        <v>126</v>
      </c>
      <c r="R100" t="s">
        <v>127</v>
      </c>
      <c r="S100" t="s">
        <v>128</v>
      </c>
      <c r="T100" t="s">
        <v>691</v>
      </c>
      <c r="U100">
        <v>760338</v>
      </c>
      <c r="V100" t="s">
        <v>129</v>
      </c>
      <c r="W100" t="s">
        <v>674</v>
      </c>
      <c r="Y100">
        <v>42249</v>
      </c>
      <c r="Z100" t="s">
        <v>131</v>
      </c>
      <c r="AA100" t="s">
        <v>28</v>
      </c>
      <c r="AB100" t="s">
        <v>675</v>
      </c>
      <c r="AC100" t="s">
        <v>676</v>
      </c>
      <c r="AD100" t="s">
        <v>677</v>
      </c>
      <c r="AE100" t="s">
        <v>869</v>
      </c>
      <c r="AF100" t="s">
        <v>679</v>
      </c>
      <c r="AG100" t="s">
        <v>130</v>
      </c>
      <c r="AH100" t="s">
        <v>870</v>
      </c>
      <c r="AJ100" t="s">
        <v>30</v>
      </c>
      <c r="AK100" t="s">
        <v>681</v>
      </c>
      <c r="AL100">
        <v>12</v>
      </c>
      <c r="AM100" t="s">
        <v>670</v>
      </c>
      <c r="AN100" t="s">
        <v>682</v>
      </c>
      <c r="AO100" s="14">
        <v>40</v>
      </c>
      <c r="AP100" t="s">
        <v>42</v>
      </c>
      <c r="AQ100">
        <v>1554315016</v>
      </c>
      <c r="AS100" t="s">
        <v>4</v>
      </c>
      <c r="AT100" t="s">
        <v>133</v>
      </c>
      <c r="AU100">
        <v>9.6</v>
      </c>
      <c r="AV100" t="s">
        <v>42</v>
      </c>
      <c r="AW100" t="s">
        <v>132</v>
      </c>
    </row>
    <row r="101" spans="1:49" x14ac:dyDescent="0.25">
      <c r="A101" t="s">
        <v>132</v>
      </c>
      <c r="B101" t="s">
        <v>670</v>
      </c>
      <c r="C101" t="s">
        <v>671</v>
      </c>
      <c r="D101" t="s">
        <v>672</v>
      </c>
      <c r="F101">
        <v>14.72</v>
      </c>
      <c r="G101">
        <v>0</v>
      </c>
      <c r="H101" s="14">
        <v>14.72</v>
      </c>
      <c r="I101">
        <v>653470</v>
      </c>
      <c r="J101" t="s">
        <v>330</v>
      </c>
      <c r="P101" t="s">
        <v>165</v>
      </c>
      <c r="R101" t="s">
        <v>166</v>
      </c>
      <c r="S101" t="s">
        <v>167</v>
      </c>
      <c r="T101" t="s">
        <v>695</v>
      </c>
      <c r="U101">
        <v>820877</v>
      </c>
      <c r="V101" t="s">
        <v>168</v>
      </c>
      <c r="W101" t="s">
        <v>674</v>
      </c>
      <c r="Y101">
        <v>45041</v>
      </c>
      <c r="Z101" t="s">
        <v>27</v>
      </c>
      <c r="AA101" t="s">
        <v>85</v>
      </c>
      <c r="AB101" t="s">
        <v>675</v>
      </c>
      <c r="AC101" t="s">
        <v>676</v>
      </c>
      <c r="AD101" t="s">
        <v>677</v>
      </c>
      <c r="AE101" t="s">
        <v>871</v>
      </c>
      <c r="AF101" t="s">
        <v>872</v>
      </c>
      <c r="AG101" t="s">
        <v>169</v>
      </c>
      <c r="AH101" t="s">
        <v>873</v>
      </c>
      <c r="AJ101" t="s">
        <v>30</v>
      </c>
      <c r="AK101" t="s">
        <v>681</v>
      </c>
      <c r="AL101">
        <v>10</v>
      </c>
      <c r="AM101" t="s">
        <v>670</v>
      </c>
      <c r="AN101" t="s">
        <v>682</v>
      </c>
      <c r="AO101" s="14">
        <v>46</v>
      </c>
      <c r="AP101" t="s">
        <v>32</v>
      </c>
      <c r="AQ101">
        <v>1554311005</v>
      </c>
      <c r="AS101" t="s">
        <v>4</v>
      </c>
      <c r="AT101" t="s">
        <v>170</v>
      </c>
      <c r="AU101">
        <v>14.72</v>
      </c>
      <c r="AV101" t="s">
        <v>32</v>
      </c>
      <c r="AW101" t="s">
        <v>132</v>
      </c>
    </row>
    <row r="102" spans="1:49" x14ac:dyDescent="0.25">
      <c r="A102" t="s">
        <v>40</v>
      </c>
      <c r="B102" t="s">
        <v>670</v>
      </c>
      <c r="C102" t="s">
        <v>671</v>
      </c>
      <c r="D102" t="s">
        <v>672</v>
      </c>
      <c r="F102">
        <v>22.32</v>
      </c>
      <c r="G102">
        <v>0</v>
      </c>
      <c r="H102" s="14">
        <v>22.32</v>
      </c>
      <c r="I102">
        <v>653470</v>
      </c>
      <c r="J102" t="s">
        <v>330</v>
      </c>
      <c r="P102" t="s">
        <v>122</v>
      </c>
      <c r="R102" t="s">
        <v>123</v>
      </c>
      <c r="S102" t="s">
        <v>124</v>
      </c>
      <c r="T102" t="s">
        <v>858</v>
      </c>
      <c r="U102">
        <v>703501</v>
      </c>
      <c r="V102" t="s">
        <v>71</v>
      </c>
      <c r="W102" t="s">
        <v>674</v>
      </c>
      <c r="Y102">
        <v>38796</v>
      </c>
      <c r="Z102" t="s">
        <v>73</v>
      </c>
      <c r="AA102" t="s">
        <v>39</v>
      </c>
      <c r="AB102" t="s">
        <v>675</v>
      </c>
      <c r="AC102" t="s">
        <v>676</v>
      </c>
      <c r="AD102" t="s">
        <v>677</v>
      </c>
      <c r="AE102" t="s">
        <v>859</v>
      </c>
      <c r="AF102" t="s">
        <v>860</v>
      </c>
      <c r="AG102" t="s">
        <v>125</v>
      </c>
      <c r="AH102" t="s">
        <v>874</v>
      </c>
      <c r="AJ102" t="s">
        <v>30</v>
      </c>
      <c r="AK102" t="s">
        <v>681</v>
      </c>
      <c r="AL102">
        <v>18</v>
      </c>
      <c r="AM102" t="s">
        <v>264</v>
      </c>
      <c r="AN102" t="s">
        <v>29</v>
      </c>
      <c r="AO102" s="14">
        <v>93</v>
      </c>
      <c r="AP102" t="s">
        <v>42</v>
      </c>
      <c r="AQ102">
        <v>1554319068</v>
      </c>
      <c r="AS102" t="s">
        <v>4</v>
      </c>
      <c r="AT102" t="s">
        <v>92</v>
      </c>
      <c r="AU102">
        <v>22.32</v>
      </c>
      <c r="AV102" t="s">
        <v>42</v>
      </c>
      <c r="AW102" t="s">
        <v>40</v>
      </c>
    </row>
    <row r="103" spans="1:49" x14ac:dyDescent="0.25">
      <c r="A103" t="s">
        <v>40</v>
      </c>
      <c r="B103" t="s">
        <v>670</v>
      </c>
      <c r="C103" t="s">
        <v>671</v>
      </c>
      <c r="D103" t="s">
        <v>672</v>
      </c>
      <c r="F103">
        <v>6</v>
      </c>
      <c r="G103">
        <v>0</v>
      </c>
      <c r="H103" s="14">
        <v>6</v>
      </c>
      <c r="I103">
        <v>653470</v>
      </c>
      <c r="J103" t="s">
        <v>330</v>
      </c>
      <c r="P103" t="s">
        <v>68</v>
      </c>
      <c r="R103" t="s">
        <v>69</v>
      </c>
      <c r="S103" t="s">
        <v>70</v>
      </c>
      <c r="T103" t="s">
        <v>832</v>
      </c>
      <c r="U103">
        <v>703501</v>
      </c>
      <c r="V103" t="s">
        <v>71</v>
      </c>
      <c r="W103" t="s">
        <v>674</v>
      </c>
      <c r="Y103">
        <v>38796</v>
      </c>
      <c r="Z103" t="s">
        <v>73</v>
      </c>
      <c r="AA103" t="s">
        <v>28</v>
      </c>
      <c r="AB103" t="s">
        <v>675</v>
      </c>
      <c r="AC103" t="s">
        <v>676</v>
      </c>
      <c r="AD103" t="s">
        <v>677</v>
      </c>
      <c r="AE103" t="s">
        <v>875</v>
      </c>
      <c r="AF103" t="s">
        <v>684</v>
      </c>
      <c r="AG103" t="s">
        <v>72</v>
      </c>
      <c r="AH103" t="s">
        <v>876</v>
      </c>
      <c r="AJ103" t="s">
        <v>30</v>
      </c>
      <c r="AK103" t="s">
        <v>681</v>
      </c>
      <c r="AL103">
        <v>17</v>
      </c>
      <c r="AM103" t="s">
        <v>670</v>
      </c>
      <c r="AN103" t="s">
        <v>682</v>
      </c>
      <c r="AO103" s="14">
        <v>25</v>
      </c>
      <c r="AP103" t="s">
        <v>42</v>
      </c>
      <c r="AQ103">
        <v>1554322277</v>
      </c>
      <c r="AS103" t="s">
        <v>4</v>
      </c>
      <c r="AT103" t="s">
        <v>31</v>
      </c>
      <c r="AU103">
        <v>6</v>
      </c>
      <c r="AV103" t="s">
        <v>42</v>
      </c>
      <c r="AW103" t="s">
        <v>40</v>
      </c>
    </row>
    <row r="104" spans="1:49" x14ac:dyDescent="0.25">
      <c r="A104" t="s">
        <v>40</v>
      </c>
      <c r="B104" t="s">
        <v>670</v>
      </c>
      <c r="C104" t="s">
        <v>671</v>
      </c>
      <c r="D104" t="s">
        <v>672</v>
      </c>
      <c r="F104">
        <v>44.4</v>
      </c>
      <c r="G104">
        <v>0</v>
      </c>
      <c r="H104" s="14">
        <v>44.4</v>
      </c>
      <c r="I104">
        <v>653470</v>
      </c>
      <c r="J104" t="s">
        <v>330</v>
      </c>
      <c r="P104" t="s">
        <v>33</v>
      </c>
      <c r="R104" t="s">
        <v>34</v>
      </c>
      <c r="S104" t="s">
        <v>35</v>
      </c>
      <c r="T104" t="s">
        <v>691</v>
      </c>
      <c r="U104">
        <v>757929</v>
      </c>
      <c r="V104" t="s">
        <v>36</v>
      </c>
      <c r="W104" t="s">
        <v>674</v>
      </c>
      <c r="Y104">
        <v>38398</v>
      </c>
      <c r="Z104" t="s">
        <v>38</v>
      </c>
      <c r="AA104" t="s">
        <v>39</v>
      </c>
      <c r="AB104" t="s">
        <v>675</v>
      </c>
      <c r="AC104" t="s">
        <v>676</v>
      </c>
      <c r="AD104" t="s">
        <v>677</v>
      </c>
      <c r="AE104" t="s">
        <v>781</v>
      </c>
      <c r="AF104" t="s">
        <v>699</v>
      </c>
      <c r="AG104" t="s">
        <v>37</v>
      </c>
      <c r="AH104" t="s">
        <v>877</v>
      </c>
      <c r="AJ104" t="s">
        <v>30</v>
      </c>
      <c r="AK104" t="s">
        <v>703</v>
      </c>
      <c r="AL104">
        <v>14</v>
      </c>
      <c r="AM104" t="s">
        <v>670</v>
      </c>
      <c r="AN104" t="s">
        <v>682</v>
      </c>
      <c r="AO104" s="14">
        <v>185</v>
      </c>
      <c r="AP104" t="s">
        <v>42</v>
      </c>
      <c r="AQ104">
        <v>1554483563</v>
      </c>
      <c r="AS104" t="s">
        <v>4</v>
      </c>
      <c r="AT104" t="s">
        <v>41</v>
      </c>
      <c r="AU104">
        <v>44.4</v>
      </c>
      <c r="AV104" t="s">
        <v>42</v>
      </c>
      <c r="AW104" t="s">
        <v>40</v>
      </c>
    </row>
    <row r="105" spans="1:49" x14ac:dyDescent="0.25">
      <c r="A105" t="s">
        <v>47</v>
      </c>
      <c r="B105" t="s">
        <v>670</v>
      </c>
      <c r="C105" t="s">
        <v>671</v>
      </c>
      <c r="D105" t="s">
        <v>672</v>
      </c>
      <c r="F105">
        <v>8</v>
      </c>
      <c r="G105">
        <v>0</v>
      </c>
      <c r="H105" s="14">
        <v>8</v>
      </c>
      <c r="I105">
        <v>653470</v>
      </c>
      <c r="J105" t="s">
        <v>330</v>
      </c>
      <c r="P105" t="s">
        <v>43</v>
      </c>
      <c r="R105" t="s">
        <v>44</v>
      </c>
      <c r="S105" t="s">
        <v>45</v>
      </c>
      <c r="T105" t="s">
        <v>673</v>
      </c>
      <c r="U105">
        <v>678726</v>
      </c>
      <c r="V105" t="s">
        <v>25</v>
      </c>
      <c r="W105" t="s">
        <v>674</v>
      </c>
      <c r="Y105">
        <v>45041</v>
      </c>
      <c r="Z105" t="s">
        <v>27</v>
      </c>
      <c r="AA105" t="s">
        <v>28</v>
      </c>
      <c r="AB105" t="s">
        <v>675</v>
      </c>
      <c r="AC105" t="s">
        <v>676</v>
      </c>
      <c r="AD105" t="s">
        <v>677</v>
      </c>
      <c r="AE105" t="s">
        <v>878</v>
      </c>
      <c r="AF105" t="s">
        <v>699</v>
      </c>
      <c r="AG105" t="s">
        <v>46</v>
      </c>
      <c r="AH105" t="s">
        <v>879</v>
      </c>
      <c r="AJ105" t="s">
        <v>30</v>
      </c>
      <c r="AK105" t="s">
        <v>681</v>
      </c>
      <c r="AL105">
        <v>14</v>
      </c>
      <c r="AM105" t="s">
        <v>670</v>
      </c>
      <c r="AN105" t="s">
        <v>682</v>
      </c>
      <c r="AO105" s="14">
        <v>25</v>
      </c>
      <c r="AP105" t="s">
        <v>32</v>
      </c>
      <c r="AQ105">
        <v>1554339170</v>
      </c>
      <c r="AS105" t="s">
        <v>4</v>
      </c>
      <c r="AT105" t="s">
        <v>31</v>
      </c>
      <c r="AU105">
        <v>8</v>
      </c>
      <c r="AV105" t="s">
        <v>32</v>
      </c>
      <c r="AW105" t="s">
        <v>47</v>
      </c>
    </row>
    <row r="106" spans="1:49" x14ac:dyDescent="0.25">
      <c r="A106" t="s">
        <v>47</v>
      </c>
      <c r="B106" t="s">
        <v>670</v>
      </c>
      <c r="C106" t="s">
        <v>671</v>
      </c>
      <c r="D106" t="s">
        <v>672</v>
      </c>
      <c r="F106">
        <v>4.07</v>
      </c>
      <c r="G106">
        <v>0</v>
      </c>
      <c r="H106" s="14">
        <v>4.07</v>
      </c>
      <c r="I106">
        <v>653470</v>
      </c>
      <c r="J106" t="s">
        <v>330</v>
      </c>
      <c r="P106" t="s">
        <v>48</v>
      </c>
      <c r="R106" t="s">
        <v>49</v>
      </c>
      <c r="S106" t="s">
        <v>50</v>
      </c>
      <c r="T106" t="s">
        <v>673</v>
      </c>
      <c r="U106">
        <v>678726</v>
      </c>
      <c r="V106" t="s">
        <v>25</v>
      </c>
      <c r="W106" t="s">
        <v>674</v>
      </c>
      <c r="Y106">
        <v>38593</v>
      </c>
      <c r="Z106" t="s">
        <v>52</v>
      </c>
      <c r="AA106" t="s">
        <v>28</v>
      </c>
      <c r="AB106" t="s">
        <v>675</v>
      </c>
      <c r="AC106" t="s">
        <v>686</v>
      </c>
      <c r="AD106" t="s">
        <v>687</v>
      </c>
      <c r="AE106" t="s">
        <v>880</v>
      </c>
      <c r="AF106" t="s">
        <v>737</v>
      </c>
      <c r="AG106" t="s">
        <v>51</v>
      </c>
      <c r="AH106" t="s">
        <v>881</v>
      </c>
      <c r="AJ106" t="s">
        <v>30</v>
      </c>
      <c r="AK106" t="s">
        <v>703</v>
      </c>
      <c r="AL106">
        <v>16</v>
      </c>
      <c r="AM106" t="s">
        <v>670</v>
      </c>
      <c r="AN106" t="s">
        <v>682</v>
      </c>
      <c r="AO106" s="14">
        <v>11</v>
      </c>
      <c r="AP106" t="s">
        <v>54</v>
      </c>
      <c r="AQ106">
        <v>1554517369</v>
      </c>
      <c r="AS106" t="s">
        <v>4</v>
      </c>
      <c r="AT106" t="s">
        <v>53</v>
      </c>
      <c r="AU106">
        <v>4.07</v>
      </c>
      <c r="AV106" t="s">
        <v>54</v>
      </c>
      <c r="AW106" t="s">
        <v>47</v>
      </c>
    </row>
    <row r="107" spans="1:49" x14ac:dyDescent="0.25">
      <c r="A107" t="s">
        <v>47</v>
      </c>
      <c r="B107" t="s">
        <v>670</v>
      </c>
      <c r="C107" t="s">
        <v>671</v>
      </c>
      <c r="D107" t="s">
        <v>672</v>
      </c>
      <c r="F107">
        <v>8</v>
      </c>
      <c r="G107">
        <v>0</v>
      </c>
      <c r="H107" s="14">
        <v>8</v>
      </c>
      <c r="I107">
        <v>653470</v>
      </c>
      <c r="J107" t="s">
        <v>330</v>
      </c>
      <c r="P107" t="s">
        <v>48</v>
      </c>
      <c r="R107" t="s">
        <v>49</v>
      </c>
      <c r="S107" t="s">
        <v>50</v>
      </c>
      <c r="T107" t="s">
        <v>673</v>
      </c>
      <c r="U107">
        <v>678726</v>
      </c>
      <c r="V107" t="s">
        <v>25</v>
      </c>
      <c r="W107" t="s">
        <v>674</v>
      </c>
      <c r="Y107">
        <v>45041</v>
      </c>
      <c r="Z107" t="s">
        <v>27</v>
      </c>
      <c r="AA107" t="s">
        <v>28</v>
      </c>
      <c r="AB107" t="s">
        <v>675</v>
      </c>
      <c r="AC107" t="s">
        <v>676</v>
      </c>
      <c r="AD107" t="s">
        <v>677</v>
      </c>
      <c r="AE107" t="s">
        <v>880</v>
      </c>
      <c r="AF107" t="s">
        <v>737</v>
      </c>
      <c r="AG107" t="s">
        <v>55</v>
      </c>
      <c r="AH107" t="s">
        <v>881</v>
      </c>
      <c r="AJ107" t="s">
        <v>30</v>
      </c>
      <c r="AK107" t="s">
        <v>703</v>
      </c>
      <c r="AL107">
        <v>16</v>
      </c>
      <c r="AM107" t="s">
        <v>670</v>
      </c>
      <c r="AN107" t="s">
        <v>682</v>
      </c>
      <c r="AO107" s="14">
        <v>25</v>
      </c>
      <c r="AP107" t="s">
        <v>32</v>
      </c>
      <c r="AQ107">
        <v>1554517367</v>
      </c>
      <c r="AS107" t="s">
        <v>4</v>
      </c>
      <c r="AT107" t="s">
        <v>31</v>
      </c>
      <c r="AU107">
        <v>8</v>
      </c>
      <c r="AV107" t="s">
        <v>32</v>
      </c>
      <c r="AW107" t="s">
        <v>47</v>
      </c>
    </row>
    <row r="108" spans="1:49" x14ac:dyDescent="0.25">
      <c r="A108" t="s">
        <v>47</v>
      </c>
      <c r="B108" t="s">
        <v>670</v>
      </c>
      <c r="C108" t="s">
        <v>671</v>
      </c>
      <c r="D108" t="s">
        <v>672</v>
      </c>
      <c r="F108">
        <v>4.07</v>
      </c>
      <c r="G108">
        <v>0</v>
      </c>
      <c r="H108" s="14">
        <v>4.07</v>
      </c>
      <c r="I108">
        <v>653470</v>
      </c>
      <c r="J108" t="s">
        <v>330</v>
      </c>
      <c r="P108" t="s">
        <v>56</v>
      </c>
      <c r="R108" t="s">
        <v>57</v>
      </c>
      <c r="S108" t="s">
        <v>58</v>
      </c>
      <c r="T108" t="s">
        <v>673</v>
      </c>
      <c r="U108">
        <v>798992</v>
      </c>
      <c r="V108" t="s">
        <v>59</v>
      </c>
      <c r="W108" t="s">
        <v>674</v>
      </c>
      <c r="Y108">
        <v>38593</v>
      </c>
      <c r="Z108" t="s">
        <v>52</v>
      </c>
      <c r="AA108" t="s">
        <v>28</v>
      </c>
      <c r="AB108" t="s">
        <v>675</v>
      </c>
      <c r="AC108" t="s">
        <v>686</v>
      </c>
      <c r="AD108" t="s">
        <v>687</v>
      </c>
      <c r="AE108" t="s">
        <v>882</v>
      </c>
      <c r="AF108" t="s">
        <v>719</v>
      </c>
      <c r="AG108" t="s">
        <v>60</v>
      </c>
      <c r="AH108" t="s">
        <v>883</v>
      </c>
      <c r="AJ108" t="s">
        <v>30</v>
      </c>
      <c r="AK108" t="s">
        <v>703</v>
      </c>
      <c r="AL108">
        <v>7</v>
      </c>
      <c r="AM108" t="s">
        <v>670</v>
      </c>
      <c r="AN108" t="s">
        <v>682</v>
      </c>
      <c r="AO108" s="14">
        <v>11</v>
      </c>
      <c r="AP108" t="s">
        <v>54</v>
      </c>
      <c r="AQ108">
        <v>1554505154</v>
      </c>
      <c r="AS108" t="s">
        <v>4</v>
      </c>
      <c r="AT108" t="s">
        <v>53</v>
      </c>
      <c r="AU108">
        <v>4.07</v>
      </c>
      <c r="AV108" t="s">
        <v>54</v>
      </c>
      <c r="AW108" t="s">
        <v>47</v>
      </c>
    </row>
    <row r="109" spans="1:49" x14ac:dyDescent="0.25">
      <c r="A109" t="s">
        <v>65</v>
      </c>
      <c r="B109" t="s">
        <v>670</v>
      </c>
      <c r="C109" t="s">
        <v>671</v>
      </c>
      <c r="D109" t="s">
        <v>672</v>
      </c>
      <c r="F109">
        <v>4.07</v>
      </c>
      <c r="G109">
        <v>0</v>
      </c>
      <c r="H109" s="14">
        <v>4.07</v>
      </c>
      <c r="I109">
        <v>653470</v>
      </c>
      <c r="J109" t="s">
        <v>330</v>
      </c>
      <c r="P109" t="s">
        <v>61</v>
      </c>
      <c r="R109" t="s">
        <v>62</v>
      </c>
      <c r="S109" t="s">
        <v>63</v>
      </c>
      <c r="T109" t="s">
        <v>673</v>
      </c>
      <c r="U109">
        <v>798992</v>
      </c>
      <c r="V109" t="s">
        <v>59</v>
      </c>
      <c r="W109" t="s">
        <v>674</v>
      </c>
      <c r="Y109">
        <v>38593</v>
      </c>
      <c r="Z109" t="s">
        <v>52</v>
      </c>
      <c r="AA109" t="s">
        <v>28</v>
      </c>
      <c r="AB109" t="s">
        <v>675</v>
      </c>
      <c r="AC109" t="s">
        <v>686</v>
      </c>
      <c r="AD109" t="s">
        <v>687</v>
      </c>
      <c r="AE109" t="s">
        <v>878</v>
      </c>
      <c r="AF109" t="s">
        <v>699</v>
      </c>
      <c r="AG109" t="s">
        <v>64</v>
      </c>
      <c r="AH109" t="s">
        <v>884</v>
      </c>
      <c r="AJ109" t="s">
        <v>30</v>
      </c>
      <c r="AK109" t="s">
        <v>681</v>
      </c>
      <c r="AL109">
        <v>14</v>
      </c>
      <c r="AM109" t="s">
        <v>670</v>
      </c>
      <c r="AN109" t="s">
        <v>682</v>
      </c>
      <c r="AO109" s="14">
        <v>11</v>
      </c>
      <c r="AP109" t="s">
        <v>54</v>
      </c>
      <c r="AQ109">
        <v>1554352974</v>
      </c>
      <c r="AS109" t="s">
        <v>4</v>
      </c>
      <c r="AT109" t="s">
        <v>53</v>
      </c>
      <c r="AU109">
        <v>4.07</v>
      </c>
      <c r="AV109" t="s">
        <v>54</v>
      </c>
      <c r="AW109" t="s">
        <v>65</v>
      </c>
    </row>
    <row r="110" spans="1:49" x14ac:dyDescent="0.25">
      <c r="A110" t="s">
        <v>65</v>
      </c>
      <c r="B110" t="s">
        <v>670</v>
      </c>
      <c r="C110" t="s">
        <v>671</v>
      </c>
      <c r="D110" t="s">
        <v>672</v>
      </c>
      <c r="F110">
        <v>9.6</v>
      </c>
      <c r="G110">
        <v>0</v>
      </c>
      <c r="H110" s="14">
        <v>9.6</v>
      </c>
      <c r="I110">
        <v>653470</v>
      </c>
      <c r="J110" t="s">
        <v>330</v>
      </c>
      <c r="P110" t="s">
        <v>61</v>
      </c>
      <c r="R110" t="s">
        <v>62</v>
      </c>
      <c r="S110" t="s">
        <v>63</v>
      </c>
      <c r="T110" t="s">
        <v>673</v>
      </c>
      <c r="U110">
        <v>798992</v>
      </c>
      <c r="V110" t="s">
        <v>59</v>
      </c>
      <c r="W110" t="s">
        <v>674</v>
      </c>
      <c r="Y110">
        <v>45041</v>
      </c>
      <c r="Z110" t="s">
        <v>27</v>
      </c>
      <c r="AA110" t="s">
        <v>28</v>
      </c>
      <c r="AB110" t="s">
        <v>675</v>
      </c>
      <c r="AC110" t="s">
        <v>676</v>
      </c>
      <c r="AD110" t="s">
        <v>677</v>
      </c>
      <c r="AE110" t="s">
        <v>878</v>
      </c>
      <c r="AF110" t="s">
        <v>699</v>
      </c>
      <c r="AG110" t="s">
        <v>66</v>
      </c>
      <c r="AH110" t="s">
        <v>884</v>
      </c>
      <c r="AJ110" t="s">
        <v>30</v>
      </c>
      <c r="AK110" t="s">
        <v>681</v>
      </c>
      <c r="AL110">
        <v>14</v>
      </c>
      <c r="AM110" t="s">
        <v>670</v>
      </c>
      <c r="AN110" t="s">
        <v>682</v>
      </c>
      <c r="AO110" s="14">
        <v>30</v>
      </c>
      <c r="AP110" t="s">
        <v>32</v>
      </c>
      <c r="AQ110">
        <v>1554352972</v>
      </c>
      <c r="AS110" t="s">
        <v>4</v>
      </c>
      <c r="AT110" t="s">
        <v>67</v>
      </c>
      <c r="AU110">
        <v>9.6</v>
      </c>
      <c r="AV110" t="s">
        <v>32</v>
      </c>
      <c r="AW110" t="s">
        <v>65</v>
      </c>
    </row>
    <row r="111" spans="1:49" x14ac:dyDescent="0.25">
      <c r="A111" t="s">
        <v>65</v>
      </c>
      <c r="B111" t="s">
        <v>670</v>
      </c>
      <c r="C111" t="s">
        <v>671</v>
      </c>
      <c r="D111" t="s">
        <v>672</v>
      </c>
      <c r="F111">
        <v>17.04</v>
      </c>
      <c r="G111">
        <v>0</v>
      </c>
      <c r="H111" s="14">
        <v>17.04</v>
      </c>
      <c r="I111">
        <v>653470</v>
      </c>
      <c r="J111" t="s">
        <v>330</v>
      </c>
      <c r="P111" t="s">
        <v>74</v>
      </c>
      <c r="R111" t="s">
        <v>75</v>
      </c>
      <c r="S111" t="s">
        <v>76</v>
      </c>
      <c r="T111" t="s">
        <v>695</v>
      </c>
      <c r="U111">
        <v>689390</v>
      </c>
      <c r="V111" t="s">
        <v>77</v>
      </c>
      <c r="W111" t="s">
        <v>674</v>
      </c>
      <c r="Y111">
        <v>38399</v>
      </c>
      <c r="Z111" t="s">
        <v>79</v>
      </c>
      <c r="AA111" t="s">
        <v>28</v>
      </c>
      <c r="AB111" t="s">
        <v>675</v>
      </c>
      <c r="AC111" t="s">
        <v>676</v>
      </c>
      <c r="AD111" t="s">
        <v>677</v>
      </c>
      <c r="AE111" t="s">
        <v>885</v>
      </c>
      <c r="AF111" t="s">
        <v>264</v>
      </c>
      <c r="AG111" t="s">
        <v>78</v>
      </c>
      <c r="AH111" t="s">
        <v>886</v>
      </c>
      <c r="AJ111" t="s">
        <v>30</v>
      </c>
      <c r="AK111" t="s">
        <v>681</v>
      </c>
      <c r="AL111">
        <v>2</v>
      </c>
      <c r="AM111" t="s">
        <v>670</v>
      </c>
      <c r="AN111" t="s">
        <v>682</v>
      </c>
      <c r="AO111" s="14">
        <v>71</v>
      </c>
      <c r="AP111" t="s">
        <v>42</v>
      </c>
      <c r="AQ111">
        <v>1554402521</v>
      </c>
      <c r="AS111" t="s">
        <v>4</v>
      </c>
      <c r="AT111" t="s">
        <v>80</v>
      </c>
      <c r="AU111">
        <v>17.04</v>
      </c>
      <c r="AV111" t="s">
        <v>42</v>
      </c>
      <c r="AW111" t="s">
        <v>65</v>
      </c>
    </row>
    <row r="112" spans="1:49" x14ac:dyDescent="0.25">
      <c r="A112" t="s">
        <v>86</v>
      </c>
      <c r="B112" t="s">
        <v>670</v>
      </c>
      <c r="C112" t="s">
        <v>671</v>
      </c>
      <c r="D112" t="s">
        <v>672</v>
      </c>
      <c r="F112">
        <v>18.239999999999998</v>
      </c>
      <c r="G112">
        <v>0</v>
      </c>
      <c r="H112" s="14">
        <v>18.239999999999998</v>
      </c>
      <c r="I112">
        <v>653470</v>
      </c>
      <c r="J112" t="s">
        <v>330</v>
      </c>
      <c r="P112" t="s">
        <v>113</v>
      </c>
      <c r="R112" t="s">
        <v>114</v>
      </c>
      <c r="S112" t="s">
        <v>115</v>
      </c>
      <c r="T112" t="s">
        <v>695</v>
      </c>
      <c r="U112">
        <v>689390</v>
      </c>
      <c r="V112" t="s">
        <v>77</v>
      </c>
      <c r="W112" t="s">
        <v>674</v>
      </c>
      <c r="Y112">
        <v>38398</v>
      </c>
      <c r="Z112" t="s">
        <v>38</v>
      </c>
      <c r="AA112" t="s">
        <v>85</v>
      </c>
      <c r="AB112" t="s">
        <v>675</v>
      </c>
      <c r="AC112" t="s">
        <v>676</v>
      </c>
      <c r="AD112" t="s">
        <v>677</v>
      </c>
      <c r="AE112" t="s">
        <v>887</v>
      </c>
      <c r="AF112" t="s">
        <v>800</v>
      </c>
      <c r="AG112" t="s">
        <v>116</v>
      </c>
      <c r="AH112" t="s">
        <v>888</v>
      </c>
      <c r="AJ112" t="s">
        <v>30</v>
      </c>
      <c r="AK112" t="s">
        <v>681</v>
      </c>
      <c r="AL112">
        <v>26</v>
      </c>
      <c r="AM112" t="s">
        <v>670</v>
      </c>
      <c r="AN112" t="s">
        <v>682</v>
      </c>
      <c r="AO112" s="14">
        <v>76</v>
      </c>
      <c r="AP112" t="s">
        <v>42</v>
      </c>
      <c r="AQ112">
        <v>1554447113</v>
      </c>
      <c r="AS112" t="s">
        <v>4</v>
      </c>
      <c r="AT112" t="s">
        <v>87</v>
      </c>
      <c r="AU112">
        <v>18.239999999999998</v>
      </c>
      <c r="AV112" t="s">
        <v>42</v>
      </c>
      <c r="AW112" t="s">
        <v>86</v>
      </c>
    </row>
    <row r="113" spans="1:49" x14ac:dyDescent="0.25">
      <c r="A113" t="s">
        <v>86</v>
      </c>
      <c r="B113" t="s">
        <v>670</v>
      </c>
      <c r="C113" t="s">
        <v>671</v>
      </c>
      <c r="D113" t="s">
        <v>672</v>
      </c>
      <c r="F113">
        <v>18.239999999999998</v>
      </c>
      <c r="G113">
        <v>0</v>
      </c>
      <c r="H113" s="14">
        <v>18.239999999999998</v>
      </c>
      <c r="I113">
        <v>653470</v>
      </c>
      <c r="J113" t="s">
        <v>330</v>
      </c>
      <c r="P113" t="s">
        <v>81</v>
      </c>
      <c r="R113" t="s">
        <v>82</v>
      </c>
      <c r="S113" t="s">
        <v>83</v>
      </c>
      <c r="T113" t="s">
        <v>695</v>
      </c>
      <c r="U113">
        <v>689390</v>
      </c>
      <c r="V113" t="s">
        <v>77</v>
      </c>
      <c r="W113" t="s">
        <v>674</v>
      </c>
      <c r="Y113">
        <v>38398</v>
      </c>
      <c r="Z113" t="s">
        <v>38</v>
      </c>
      <c r="AA113" t="s">
        <v>85</v>
      </c>
      <c r="AB113" t="s">
        <v>675</v>
      </c>
      <c r="AC113" t="s">
        <v>676</v>
      </c>
      <c r="AD113" t="s">
        <v>677</v>
      </c>
      <c r="AE113" t="s">
        <v>889</v>
      </c>
      <c r="AF113" t="s">
        <v>800</v>
      </c>
      <c r="AG113" t="s">
        <v>84</v>
      </c>
      <c r="AH113" t="s">
        <v>890</v>
      </c>
      <c r="AJ113" t="s">
        <v>30</v>
      </c>
      <c r="AK113" t="s">
        <v>681</v>
      </c>
      <c r="AL113">
        <v>25</v>
      </c>
      <c r="AM113" t="s">
        <v>264</v>
      </c>
      <c r="AN113" t="s">
        <v>29</v>
      </c>
      <c r="AO113" s="14">
        <v>76</v>
      </c>
      <c r="AP113" t="s">
        <v>42</v>
      </c>
      <c r="AQ113">
        <v>1554448878</v>
      </c>
      <c r="AS113" t="s">
        <v>4</v>
      </c>
      <c r="AT113" t="s">
        <v>87</v>
      </c>
      <c r="AU113">
        <v>18.239999999999998</v>
      </c>
      <c r="AV113" t="s">
        <v>42</v>
      </c>
      <c r="AW113" t="s">
        <v>86</v>
      </c>
    </row>
    <row r="114" spans="1:49" x14ac:dyDescent="0.25">
      <c r="A114" t="s">
        <v>86</v>
      </c>
      <c r="B114" t="s">
        <v>670</v>
      </c>
      <c r="C114" t="s">
        <v>671</v>
      </c>
      <c r="D114" t="s">
        <v>672</v>
      </c>
      <c r="F114">
        <v>22.32</v>
      </c>
      <c r="G114">
        <v>0</v>
      </c>
      <c r="H114" s="14">
        <v>22.32</v>
      </c>
      <c r="I114">
        <v>653470</v>
      </c>
      <c r="J114" t="s">
        <v>330</v>
      </c>
      <c r="P114" t="s">
        <v>88</v>
      </c>
      <c r="R114" t="s">
        <v>89</v>
      </c>
      <c r="S114" t="s">
        <v>90</v>
      </c>
      <c r="T114" t="s">
        <v>858</v>
      </c>
      <c r="U114">
        <v>703501</v>
      </c>
      <c r="V114" t="s">
        <v>71</v>
      </c>
      <c r="W114" t="s">
        <v>674</v>
      </c>
      <c r="Y114">
        <v>38796</v>
      </c>
      <c r="Z114" t="s">
        <v>73</v>
      </c>
      <c r="AA114" t="s">
        <v>39</v>
      </c>
      <c r="AB114" t="s">
        <v>675</v>
      </c>
      <c r="AC114" t="s">
        <v>676</v>
      </c>
      <c r="AD114" t="s">
        <v>677</v>
      </c>
      <c r="AE114" t="s">
        <v>840</v>
      </c>
      <c r="AF114" t="s">
        <v>684</v>
      </c>
      <c r="AG114" t="s">
        <v>91</v>
      </c>
      <c r="AH114" t="s">
        <v>891</v>
      </c>
      <c r="AJ114" t="s">
        <v>30</v>
      </c>
      <c r="AK114" t="s">
        <v>681</v>
      </c>
      <c r="AL114">
        <v>16</v>
      </c>
      <c r="AM114" t="s">
        <v>264</v>
      </c>
      <c r="AN114" t="s">
        <v>29</v>
      </c>
      <c r="AO114" s="14">
        <v>93</v>
      </c>
      <c r="AP114" t="s">
        <v>42</v>
      </c>
      <c r="AQ114">
        <v>1554437184</v>
      </c>
      <c r="AS114" t="s">
        <v>4</v>
      </c>
      <c r="AT114" t="s">
        <v>92</v>
      </c>
      <c r="AU114">
        <v>22.32</v>
      </c>
      <c r="AV114" t="s">
        <v>42</v>
      </c>
      <c r="AW114" t="s">
        <v>86</v>
      </c>
    </row>
    <row r="115" spans="1:49" x14ac:dyDescent="0.25">
      <c r="A115" t="s">
        <v>86</v>
      </c>
      <c r="B115" t="s">
        <v>670</v>
      </c>
      <c r="C115" t="s">
        <v>671</v>
      </c>
      <c r="D115" t="s">
        <v>672</v>
      </c>
      <c r="F115">
        <v>7.4</v>
      </c>
      <c r="G115">
        <v>0</v>
      </c>
      <c r="H115" s="14">
        <v>7.4</v>
      </c>
      <c r="I115">
        <v>653470</v>
      </c>
      <c r="J115" t="s">
        <v>330</v>
      </c>
      <c r="P115" t="s">
        <v>88</v>
      </c>
      <c r="R115" t="s">
        <v>89</v>
      </c>
      <c r="S115" t="s">
        <v>90</v>
      </c>
      <c r="T115" t="s">
        <v>858</v>
      </c>
      <c r="U115">
        <v>703501</v>
      </c>
      <c r="V115" t="s">
        <v>71</v>
      </c>
      <c r="W115" t="s">
        <v>674</v>
      </c>
      <c r="Y115">
        <v>38593</v>
      </c>
      <c r="Z115" t="s">
        <v>52</v>
      </c>
      <c r="AA115" t="s">
        <v>39</v>
      </c>
      <c r="AB115" t="s">
        <v>675</v>
      </c>
      <c r="AC115" t="s">
        <v>686</v>
      </c>
      <c r="AD115" t="s">
        <v>687</v>
      </c>
      <c r="AE115" t="s">
        <v>840</v>
      </c>
      <c r="AF115" t="s">
        <v>684</v>
      </c>
      <c r="AG115" t="s">
        <v>93</v>
      </c>
      <c r="AH115" t="s">
        <v>891</v>
      </c>
      <c r="AJ115" t="s">
        <v>30</v>
      </c>
      <c r="AK115" t="s">
        <v>681</v>
      </c>
      <c r="AL115">
        <v>16</v>
      </c>
      <c r="AM115" t="s">
        <v>264</v>
      </c>
      <c r="AN115" t="s">
        <v>29</v>
      </c>
      <c r="AO115" s="14">
        <v>20</v>
      </c>
      <c r="AP115" t="s">
        <v>54</v>
      </c>
      <c r="AQ115">
        <v>1554437186</v>
      </c>
      <c r="AS115" t="s">
        <v>4</v>
      </c>
      <c r="AT115" t="s">
        <v>94</v>
      </c>
      <c r="AU115">
        <v>7.4</v>
      </c>
      <c r="AV115" t="s">
        <v>54</v>
      </c>
      <c r="AW115" t="s">
        <v>86</v>
      </c>
    </row>
    <row r="116" spans="1:49" x14ac:dyDescent="0.25">
      <c r="A116" t="s">
        <v>86</v>
      </c>
      <c r="B116" t="s">
        <v>670</v>
      </c>
      <c r="C116" t="s">
        <v>671</v>
      </c>
      <c r="D116" t="s">
        <v>672</v>
      </c>
      <c r="F116">
        <v>15.6</v>
      </c>
      <c r="G116">
        <v>0</v>
      </c>
      <c r="H116" s="14">
        <v>15.6</v>
      </c>
      <c r="I116">
        <v>653470</v>
      </c>
      <c r="J116" t="s">
        <v>330</v>
      </c>
      <c r="P116" t="s">
        <v>95</v>
      </c>
      <c r="R116" t="s">
        <v>96</v>
      </c>
      <c r="S116" t="s">
        <v>97</v>
      </c>
      <c r="T116" t="s">
        <v>892</v>
      </c>
      <c r="U116">
        <v>689390</v>
      </c>
      <c r="V116" t="s">
        <v>77</v>
      </c>
      <c r="W116" t="s">
        <v>674</v>
      </c>
      <c r="Y116">
        <v>42251</v>
      </c>
      <c r="Z116" t="s">
        <v>99</v>
      </c>
      <c r="AA116" t="s">
        <v>28</v>
      </c>
      <c r="AB116" t="s">
        <v>675</v>
      </c>
      <c r="AC116" t="s">
        <v>676</v>
      </c>
      <c r="AD116" t="s">
        <v>677</v>
      </c>
      <c r="AE116" t="s">
        <v>893</v>
      </c>
      <c r="AF116" t="s">
        <v>805</v>
      </c>
      <c r="AG116" t="s">
        <v>98</v>
      </c>
      <c r="AH116" t="s">
        <v>894</v>
      </c>
      <c r="AJ116" t="s">
        <v>30</v>
      </c>
      <c r="AK116" t="s">
        <v>703</v>
      </c>
      <c r="AL116">
        <v>6</v>
      </c>
      <c r="AM116" t="s">
        <v>670</v>
      </c>
      <c r="AN116" t="s">
        <v>682</v>
      </c>
      <c r="AO116" s="14">
        <v>65</v>
      </c>
      <c r="AP116" t="s">
        <v>42</v>
      </c>
      <c r="AQ116">
        <v>1554550547</v>
      </c>
      <c r="AS116" t="s">
        <v>4</v>
      </c>
      <c r="AT116" t="s">
        <v>100</v>
      </c>
      <c r="AU116">
        <v>15.6</v>
      </c>
      <c r="AV116" t="s">
        <v>42</v>
      </c>
      <c r="AW116" t="s">
        <v>86</v>
      </c>
    </row>
    <row r="117" spans="1:49" x14ac:dyDescent="0.25">
      <c r="A117" t="s">
        <v>86</v>
      </c>
      <c r="B117" t="s">
        <v>670</v>
      </c>
      <c r="C117" t="s">
        <v>671</v>
      </c>
      <c r="D117" t="s">
        <v>672</v>
      </c>
      <c r="F117">
        <v>8</v>
      </c>
      <c r="G117">
        <v>0</v>
      </c>
      <c r="H117" s="14">
        <v>8</v>
      </c>
      <c r="I117">
        <v>653470</v>
      </c>
      <c r="J117" t="s">
        <v>330</v>
      </c>
      <c r="P117" t="s">
        <v>101</v>
      </c>
      <c r="R117" t="s">
        <v>102</v>
      </c>
      <c r="S117" t="s">
        <v>103</v>
      </c>
      <c r="T117" t="s">
        <v>673</v>
      </c>
      <c r="U117">
        <v>678726</v>
      </c>
      <c r="V117" t="s">
        <v>25</v>
      </c>
      <c r="W117" t="s">
        <v>674</v>
      </c>
      <c r="Y117">
        <v>45041</v>
      </c>
      <c r="Z117" t="s">
        <v>27</v>
      </c>
      <c r="AA117" t="s">
        <v>28</v>
      </c>
      <c r="AB117" t="s">
        <v>675</v>
      </c>
      <c r="AC117" t="s">
        <v>676</v>
      </c>
      <c r="AD117" t="s">
        <v>677</v>
      </c>
      <c r="AE117" t="s">
        <v>737</v>
      </c>
      <c r="AF117" t="s">
        <v>743</v>
      </c>
      <c r="AG117" t="s">
        <v>104</v>
      </c>
      <c r="AH117" t="s">
        <v>895</v>
      </c>
      <c r="AJ117" t="s">
        <v>30</v>
      </c>
      <c r="AK117" t="s">
        <v>703</v>
      </c>
      <c r="AL117">
        <v>15</v>
      </c>
      <c r="AM117" t="s">
        <v>670</v>
      </c>
      <c r="AN117" t="s">
        <v>682</v>
      </c>
      <c r="AO117" s="14">
        <v>25</v>
      </c>
      <c r="AP117" t="s">
        <v>32</v>
      </c>
      <c r="AQ117">
        <v>1554558981</v>
      </c>
      <c r="AS117" t="s">
        <v>4</v>
      </c>
      <c r="AT117" t="s">
        <v>31</v>
      </c>
      <c r="AU117">
        <v>8</v>
      </c>
      <c r="AV117" t="s">
        <v>32</v>
      </c>
      <c r="AW117" t="s">
        <v>86</v>
      </c>
    </row>
    <row r="118" spans="1:49" x14ac:dyDescent="0.25">
      <c r="A118" t="s">
        <v>86</v>
      </c>
      <c r="B118" t="s">
        <v>670</v>
      </c>
      <c r="C118" t="s">
        <v>671</v>
      </c>
      <c r="D118" t="s">
        <v>672</v>
      </c>
      <c r="F118">
        <v>32.159999999999997</v>
      </c>
      <c r="G118">
        <v>0</v>
      </c>
      <c r="H118" s="14">
        <v>32.159999999999997</v>
      </c>
      <c r="I118">
        <v>653470</v>
      </c>
      <c r="J118" t="s">
        <v>330</v>
      </c>
      <c r="P118" t="s">
        <v>105</v>
      </c>
      <c r="R118" t="s">
        <v>106</v>
      </c>
      <c r="S118" t="s">
        <v>107</v>
      </c>
      <c r="T118" t="s">
        <v>710</v>
      </c>
      <c r="U118">
        <v>689390</v>
      </c>
      <c r="V118" t="s">
        <v>77</v>
      </c>
      <c r="W118" t="s">
        <v>674</v>
      </c>
      <c r="Y118">
        <v>38399</v>
      </c>
      <c r="Z118" t="s">
        <v>79</v>
      </c>
      <c r="AA118" t="s">
        <v>85</v>
      </c>
      <c r="AB118" t="s">
        <v>675</v>
      </c>
      <c r="AC118" t="s">
        <v>676</v>
      </c>
      <c r="AD118" t="s">
        <v>677</v>
      </c>
      <c r="AE118" t="s">
        <v>896</v>
      </c>
      <c r="AF118" t="s">
        <v>689</v>
      </c>
      <c r="AG118" t="s">
        <v>108</v>
      </c>
      <c r="AH118" t="s">
        <v>897</v>
      </c>
      <c r="AJ118" t="s">
        <v>30</v>
      </c>
      <c r="AK118" t="s">
        <v>681</v>
      </c>
      <c r="AL118">
        <v>24</v>
      </c>
      <c r="AM118" t="s">
        <v>670</v>
      </c>
      <c r="AN118" t="s">
        <v>682</v>
      </c>
      <c r="AO118" s="14">
        <v>134</v>
      </c>
      <c r="AP118" t="s">
        <v>42</v>
      </c>
      <c r="AQ118">
        <v>1554460463</v>
      </c>
      <c r="AS118" t="s">
        <v>4</v>
      </c>
      <c r="AT118" t="s">
        <v>109</v>
      </c>
      <c r="AU118">
        <v>32.159999999999997</v>
      </c>
      <c r="AV118" t="s">
        <v>42</v>
      </c>
      <c r="AW118" t="s">
        <v>86</v>
      </c>
    </row>
    <row r="119" spans="1:49" x14ac:dyDescent="0.25">
      <c r="A119" t="s">
        <v>86</v>
      </c>
      <c r="B119" t="s">
        <v>670</v>
      </c>
      <c r="C119" t="s">
        <v>671</v>
      </c>
      <c r="D119" t="s">
        <v>672</v>
      </c>
      <c r="F119">
        <v>5.55</v>
      </c>
      <c r="G119">
        <v>0</v>
      </c>
      <c r="H119" s="14">
        <v>5.55</v>
      </c>
      <c r="I119">
        <v>653470</v>
      </c>
      <c r="J119" t="s">
        <v>330</v>
      </c>
      <c r="P119" t="s">
        <v>105</v>
      </c>
      <c r="R119" t="s">
        <v>106</v>
      </c>
      <c r="S119" t="s">
        <v>107</v>
      </c>
      <c r="T119" t="s">
        <v>710</v>
      </c>
      <c r="U119">
        <v>689390</v>
      </c>
      <c r="V119" t="s">
        <v>77</v>
      </c>
      <c r="W119" t="s">
        <v>674</v>
      </c>
      <c r="Y119">
        <v>38593</v>
      </c>
      <c r="Z119" t="s">
        <v>52</v>
      </c>
      <c r="AA119" t="s">
        <v>111</v>
      </c>
      <c r="AB119" t="s">
        <v>675</v>
      </c>
      <c r="AC119" t="s">
        <v>686</v>
      </c>
      <c r="AD119" t="s">
        <v>687</v>
      </c>
      <c r="AE119" t="s">
        <v>896</v>
      </c>
      <c r="AF119" t="s">
        <v>689</v>
      </c>
      <c r="AG119" t="s">
        <v>110</v>
      </c>
      <c r="AH119" t="s">
        <v>897</v>
      </c>
      <c r="AJ119" t="s">
        <v>30</v>
      </c>
      <c r="AK119" t="s">
        <v>681</v>
      </c>
      <c r="AL119">
        <v>24</v>
      </c>
      <c r="AM119" t="s">
        <v>670</v>
      </c>
      <c r="AN119" t="s">
        <v>682</v>
      </c>
      <c r="AO119" s="14">
        <v>15</v>
      </c>
      <c r="AP119" t="s">
        <v>54</v>
      </c>
      <c r="AQ119">
        <v>1554460452</v>
      </c>
      <c r="AS119" t="s">
        <v>4</v>
      </c>
      <c r="AT119" t="s">
        <v>112</v>
      </c>
      <c r="AU119">
        <v>5.55</v>
      </c>
      <c r="AV119" t="s">
        <v>54</v>
      </c>
      <c r="AW119" t="s">
        <v>86</v>
      </c>
    </row>
    <row r="120" spans="1:49" x14ac:dyDescent="0.25">
      <c r="A120" t="s">
        <v>121</v>
      </c>
      <c r="B120" t="s">
        <v>670</v>
      </c>
      <c r="C120" t="s">
        <v>671</v>
      </c>
      <c r="D120" t="s">
        <v>672</v>
      </c>
      <c r="F120">
        <v>4.07</v>
      </c>
      <c r="G120">
        <v>0</v>
      </c>
      <c r="H120" s="14">
        <v>4.07</v>
      </c>
      <c r="I120">
        <v>653470</v>
      </c>
      <c r="J120" t="s">
        <v>330</v>
      </c>
      <c r="P120" t="s">
        <v>117</v>
      </c>
      <c r="R120" t="s">
        <v>118</v>
      </c>
      <c r="S120" t="s">
        <v>119</v>
      </c>
      <c r="T120" t="s">
        <v>898</v>
      </c>
      <c r="U120">
        <v>703501</v>
      </c>
      <c r="V120" t="s">
        <v>71</v>
      </c>
      <c r="W120" t="s">
        <v>674</v>
      </c>
      <c r="Y120">
        <v>38593</v>
      </c>
      <c r="Z120" t="s">
        <v>52</v>
      </c>
      <c r="AA120" t="s">
        <v>28</v>
      </c>
      <c r="AB120" t="s">
        <v>675</v>
      </c>
      <c r="AC120" t="s">
        <v>686</v>
      </c>
      <c r="AD120" t="s">
        <v>687</v>
      </c>
      <c r="AE120" t="s">
        <v>899</v>
      </c>
      <c r="AF120" t="s">
        <v>725</v>
      </c>
      <c r="AG120" t="s">
        <v>120</v>
      </c>
      <c r="AH120" t="s">
        <v>900</v>
      </c>
      <c r="AJ120" t="s">
        <v>30</v>
      </c>
      <c r="AK120" t="s">
        <v>703</v>
      </c>
      <c r="AL120">
        <v>28</v>
      </c>
      <c r="AM120" t="s">
        <v>670</v>
      </c>
      <c r="AN120" t="s">
        <v>682</v>
      </c>
      <c r="AO120" s="14">
        <v>11</v>
      </c>
      <c r="AP120" t="s">
        <v>54</v>
      </c>
      <c r="AQ120">
        <v>1554622665</v>
      </c>
      <c r="AS120" t="s">
        <v>4</v>
      </c>
      <c r="AT120" t="s">
        <v>53</v>
      </c>
      <c r="AU120">
        <v>4.07</v>
      </c>
      <c r="AV120" t="s">
        <v>54</v>
      </c>
      <c r="AW120" t="s">
        <v>121</v>
      </c>
    </row>
    <row r="121" spans="1:49" x14ac:dyDescent="0.25">
      <c r="A121" t="s">
        <v>121</v>
      </c>
      <c r="B121" t="s">
        <v>670</v>
      </c>
      <c r="C121" t="s">
        <v>671</v>
      </c>
      <c r="D121" t="s">
        <v>672</v>
      </c>
      <c r="F121">
        <v>4.07</v>
      </c>
      <c r="G121">
        <v>0</v>
      </c>
      <c r="H121" s="14">
        <v>4.07</v>
      </c>
      <c r="I121">
        <v>653470</v>
      </c>
      <c r="J121" t="s">
        <v>330</v>
      </c>
      <c r="P121" t="s">
        <v>208</v>
      </c>
      <c r="R121" t="s">
        <v>209</v>
      </c>
      <c r="S121" t="s">
        <v>210</v>
      </c>
      <c r="T121" t="s">
        <v>673</v>
      </c>
      <c r="U121">
        <v>678726</v>
      </c>
      <c r="V121" t="s">
        <v>25</v>
      </c>
      <c r="W121" t="s">
        <v>674</v>
      </c>
      <c r="Y121">
        <v>38593</v>
      </c>
      <c r="Z121" t="s">
        <v>52</v>
      </c>
      <c r="AA121" t="s">
        <v>28</v>
      </c>
      <c r="AB121" t="s">
        <v>675</v>
      </c>
      <c r="AC121" t="s">
        <v>686</v>
      </c>
      <c r="AD121" t="s">
        <v>687</v>
      </c>
      <c r="AE121" t="s">
        <v>901</v>
      </c>
      <c r="AF121" t="s">
        <v>699</v>
      </c>
      <c r="AG121" t="s">
        <v>211</v>
      </c>
      <c r="AH121" t="s">
        <v>902</v>
      </c>
      <c r="AJ121" t="s">
        <v>30</v>
      </c>
      <c r="AK121" t="s">
        <v>703</v>
      </c>
      <c r="AL121">
        <v>14</v>
      </c>
      <c r="AM121" t="s">
        <v>670</v>
      </c>
      <c r="AN121" t="s">
        <v>682</v>
      </c>
      <c r="AO121" s="14">
        <v>11</v>
      </c>
      <c r="AP121" t="s">
        <v>54</v>
      </c>
      <c r="AQ121">
        <v>1554621173</v>
      </c>
      <c r="AS121" t="s">
        <v>4</v>
      </c>
      <c r="AT121" t="s">
        <v>53</v>
      </c>
      <c r="AU121">
        <v>4.07</v>
      </c>
      <c r="AV121" t="s">
        <v>54</v>
      </c>
      <c r="AW121" t="s">
        <v>121</v>
      </c>
    </row>
    <row r="122" spans="1:49" x14ac:dyDescent="0.25">
      <c r="A122" t="s">
        <v>217</v>
      </c>
      <c r="B122" t="s">
        <v>670</v>
      </c>
      <c r="C122" t="s">
        <v>671</v>
      </c>
      <c r="D122" t="s">
        <v>672</v>
      </c>
      <c r="F122">
        <v>6.48</v>
      </c>
      <c r="G122">
        <v>0</v>
      </c>
      <c r="H122" s="14">
        <v>6.48</v>
      </c>
      <c r="I122">
        <v>653470</v>
      </c>
      <c r="J122" t="s">
        <v>330</v>
      </c>
      <c r="P122" t="s">
        <v>286</v>
      </c>
      <c r="R122" t="s">
        <v>287</v>
      </c>
      <c r="S122" t="s">
        <v>288</v>
      </c>
      <c r="T122" t="s">
        <v>832</v>
      </c>
      <c r="U122">
        <v>678726</v>
      </c>
      <c r="V122" t="s">
        <v>25</v>
      </c>
      <c r="W122" t="s">
        <v>674</v>
      </c>
      <c r="Y122">
        <v>47133</v>
      </c>
      <c r="Z122" t="s">
        <v>152</v>
      </c>
      <c r="AA122" t="s">
        <v>28</v>
      </c>
      <c r="AB122" t="s">
        <v>675</v>
      </c>
      <c r="AC122" t="s">
        <v>676</v>
      </c>
      <c r="AD122" t="s">
        <v>677</v>
      </c>
      <c r="AE122" t="s">
        <v>903</v>
      </c>
      <c r="AF122" t="s">
        <v>693</v>
      </c>
      <c r="AG122" t="s">
        <v>289</v>
      </c>
      <c r="AH122" t="s">
        <v>904</v>
      </c>
      <c r="AJ122" t="s">
        <v>30</v>
      </c>
      <c r="AK122" t="s">
        <v>681</v>
      </c>
      <c r="AL122">
        <v>3</v>
      </c>
      <c r="AM122" t="s">
        <v>264</v>
      </c>
      <c r="AN122" t="s">
        <v>29</v>
      </c>
      <c r="AO122" s="14">
        <v>27</v>
      </c>
      <c r="AP122" t="s">
        <v>42</v>
      </c>
      <c r="AQ122">
        <v>1554541883</v>
      </c>
      <c r="AS122" t="s">
        <v>4</v>
      </c>
      <c r="AT122" t="s">
        <v>153</v>
      </c>
      <c r="AU122">
        <v>6.48</v>
      </c>
      <c r="AV122" t="s">
        <v>42</v>
      </c>
      <c r="AW122" t="s">
        <v>217</v>
      </c>
    </row>
    <row r="123" spans="1:49" x14ac:dyDescent="0.25">
      <c r="A123" t="s">
        <v>217</v>
      </c>
      <c r="B123" t="s">
        <v>670</v>
      </c>
      <c r="C123" t="s">
        <v>671</v>
      </c>
      <c r="D123" t="s">
        <v>672</v>
      </c>
      <c r="F123">
        <v>4.07</v>
      </c>
      <c r="G123">
        <v>0</v>
      </c>
      <c r="H123" s="14">
        <v>4.07</v>
      </c>
      <c r="I123">
        <v>653470</v>
      </c>
      <c r="J123" t="s">
        <v>330</v>
      </c>
      <c r="P123" t="s">
        <v>212</v>
      </c>
      <c r="R123" t="s">
        <v>213</v>
      </c>
      <c r="S123" t="s">
        <v>214</v>
      </c>
      <c r="T123" t="s">
        <v>858</v>
      </c>
      <c r="U123">
        <v>847313</v>
      </c>
      <c r="V123" t="s">
        <v>215</v>
      </c>
      <c r="W123" t="s">
        <v>674</v>
      </c>
      <c r="Y123">
        <v>38593</v>
      </c>
      <c r="Z123" t="s">
        <v>52</v>
      </c>
      <c r="AA123" t="s">
        <v>28</v>
      </c>
      <c r="AB123" t="s">
        <v>675</v>
      </c>
      <c r="AC123" t="s">
        <v>686</v>
      </c>
      <c r="AD123" t="s">
        <v>687</v>
      </c>
      <c r="AE123" t="s">
        <v>905</v>
      </c>
      <c r="AF123" t="s">
        <v>693</v>
      </c>
      <c r="AG123" t="s">
        <v>216</v>
      </c>
      <c r="AH123" t="s">
        <v>906</v>
      </c>
      <c r="AJ123" t="s">
        <v>30</v>
      </c>
      <c r="AK123" t="s">
        <v>681</v>
      </c>
      <c r="AL123">
        <v>3</v>
      </c>
      <c r="AM123" t="s">
        <v>264</v>
      </c>
      <c r="AN123" t="s">
        <v>29</v>
      </c>
      <c r="AO123" s="14">
        <v>11</v>
      </c>
      <c r="AP123" t="s">
        <v>54</v>
      </c>
      <c r="AQ123">
        <v>1554538990</v>
      </c>
      <c r="AS123" t="s">
        <v>4</v>
      </c>
      <c r="AT123" t="s">
        <v>53</v>
      </c>
      <c r="AU123">
        <v>4.07</v>
      </c>
      <c r="AV123" t="s">
        <v>54</v>
      </c>
      <c r="AW123" t="s">
        <v>217</v>
      </c>
    </row>
    <row r="124" spans="1:49" x14ac:dyDescent="0.25">
      <c r="A124" t="s">
        <v>217</v>
      </c>
      <c r="B124" t="s">
        <v>670</v>
      </c>
      <c r="C124" t="s">
        <v>671</v>
      </c>
      <c r="D124" t="s">
        <v>672</v>
      </c>
      <c r="F124">
        <v>4.07</v>
      </c>
      <c r="G124">
        <v>0</v>
      </c>
      <c r="H124" s="14">
        <v>4.07</v>
      </c>
      <c r="I124">
        <v>653470</v>
      </c>
      <c r="J124" t="s">
        <v>330</v>
      </c>
      <c r="P124" t="s">
        <v>299</v>
      </c>
      <c r="R124" t="s">
        <v>300</v>
      </c>
      <c r="S124" t="s">
        <v>301</v>
      </c>
      <c r="T124" t="s">
        <v>695</v>
      </c>
      <c r="U124">
        <v>820877</v>
      </c>
      <c r="V124" t="s">
        <v>168</v>
      </c>
      <c r="W124" t="s">
        <v>674</v>
      </c>
      <c r="Y124">
        <v>38593</v>
      </c>
      <c r="Z124" t="s">
        <v>52</v>
      </c>
      <c r="AA124" t="s">
        <v>28</v>
      </c>
      <c r="AB124" t="s">
        <v>675</v>
      </c>
      <c r="AC124" t="s">
        <v>686</v>
      </c>
      <c r="AD124" t="s">
        <v>687</v>
      </c>
      <c r="AE124" t="s">
        <v>718</v>
      </c>
      <c r="AF124" t="s">
        <v>719</v>
      </c>
      <c r="AG124" t="s">
        <v>302</v>
      </c>
      <c r="AH124" t="s">
        <v>907</v>
      </c>
      <c r="AJ124" t="s">
        <v>30</v>
      </c>
      <c r="AK124" t="s">
        <v>681</v>
      </c>
      <c r="AL124">
        <v>6</v>
      </c>
      <c r="AM124" t="s">
        <v>264</v>
      </c>
      <c r="AN124" t="s">
        <v>29</v>
      </c>
      <c r="AO124" s="14">
        <v>11</v>
      </c>
      <c r="AP124" t="s">
        <v>54</v>
      </c>
      <c r="AQ124">
        <v>1554562317</v>
      </c>
      <c r="AS124" t="s">
        <v>4</v>
      </c>
      <c r="AT124" t="s">
        <v>53</v>
      </c>
      <c r="AU124">
        <v>4.07</v>
      </c>
      <c r="AV124" t="s">
        <v>54</v>
      </c>
      <c r="AW124" t="s">
        <v>217</v>
      </c>
    </row>
    <row r="125" spans="1:49" x14ac:dyDescent="0.25">
      <c r="A125" t="s">
        <v>217</v>
      </c>
      <c r="B125" t="s">
        <v>670</v>
      </c>
      <c r="C125" t="s">
        <v>671</v>
      </c>
      <c r="D125" t="s">
        <v>672</v>
      </c>
      <c r="F125">
        <v>10.08</v>
      </c>
      <c r="G125">
        <v>0</v>
      </c>
      <c r="H125" s="14">
        <v>10.08</v>
      </c>
      <c r="I125">
        <v>653470</v>
      </c>
      <c r="J125" t="s">
        <v>330</v>
      </c>
      <c r="P125" t="s">
        <v>299</v>
      </c>
      <c r="R125" t="s">
        <v>300</v>
      </c>
      <c r="S125" t="s">
        <v>301</v>
      </c>
      <c r="T125" t="s">
        <v>695</v>
      </c>
      <c r="U125">
        <v>820877</v>
      </c>
      <c r="V125" t="s">
        <v>168</v>
      </c>
      <c r="W125" t="s">
        <v>674</v>
      </c>
      <c r="Y125">
        <v>38398</v>
      </c>
      <c r="Z125" t="s">
        <v>38</v>
      </c>
      <c r="AA125" t="s">
        <v>28</v>
      </c>
      <c r="AB125" t="s">
        <v>675</v>
      </c>
      <c r="AC125" t="s">
        <v>676</v>
      </c>
      <c r="AD125" t="s">
        <v>677</v>
      </c>
      <c r="AE125" t="s">
        <v>718</v>
      </c>
      <c r="AF125" t="s">
        <v>719</v>
      </c>
      <c r="AG125" t="s">
        <v>303</v>
      </c>
      <c r="AH125" t="s">
        <v>907</v>
      </c>
      <c r="AJ125" t="s">
        <v>30</v>
      </c>
      <c r="AK125" t="s">
        <v>681</v>
      </c>
      <c r="AL125">
        <v>6</v>
      </c>
      <c r="AM125" t="s">
        <v>264</v>
      </c>
      <c r="AN125" t="s">
        <v>29</v>
      </c>
      <c r="AO125" s="14">
        <v>42</v>
      </c>
      <c r="AP125" t="s">
        <v>42</v>
      </c>
      <c r="AQ125">
        <v>1554562315</v>
      </c>
      <c r="AS125" t="s">
        <v>4</v>
      </c>
      <c r="AT125" t="s">
        <v>304</v>
      </c>
      <c r="AU125">
        <v>10.08</v>
      </c>
      <c r="AV125" t="s">
        <v>42</v>
      </c>
      <c r="AW125" t="s">
        <v>217</v>
      </c>
    </row>
    <row r="126" spans="1:49" x14ac:dyDescent="0.25">
      <c r="A126" t="s">
        <v>217</v>
      </c>
      <c r="B126" t="s">
        <v>670</v>
      </c>
      <c r="C126" t="s">
        <v>671</v>
      </c>
      <c r="D126" t="s">
        <v>672</v>
      </c>
      <c r="F126">
        <v>0.45</v>
      </c>
      <c r="G126">
        <v>0</v>
      </c>
      <c r="H126" s="14">
        <v>0.45</v>
      </c>
      <c r="I126">
        <v>653470</v>
      </c>
      <c r="J126" t="s">
        <v>330</v>
      </c>
      <c r="P126" t="s">
        <v>305</v>
      </c>
      <c r="R126" t="s">
        <v>306</v>
      </c>
      <c r="S126" t="s">
        <v>307</v>
      </c>
      <c r="T126" t="s">
        <v>673</v>
      </c>
      <c r="U126">
        <v>711419</v>
      </c>
      <c r="V126" t="s">
        <v>251</v>
      </c>
      <c r="W126" t="s">
        <v>674</v>
      </c>
      <c r="Y126">
        <v>38593</v>
      </c>
      <c r="Z126" t="s">
        <v>52</v>
      </c>
      <c r="AA126" t="s">
        <v>111</v>
      </c>
      <c r="AB126" t="s">
        <v>675</v>
      </c>
      <c r="AC126" t="s">
        <v>686</v>
      </c>
      <c r="AD126" t="s">
        <v>687</v>
      </c>
      <c r="AE126" t="s">
        <v>908</v>
      </c>
      <c r="AF126" t="s">
        <v>716</v>
      </c>
      <c r="AG126" t="s">
        <v>308</v>
      </c>
      <c r="AH126" t="s">
        <v>909</v>
      </c>
      <c r="AJ126" t="s">
        <v>30</v>
      </c>
      <c r="AK126" t="s">
        <v>681</v>
      </c>
      <c r="AL126">
        <v>4</v>
      </c>
      <c r="AM126" t="s">
        <v>264</v>
      </c>
      <c r="AN126" t="s">
        <v>29</v>
      </c>
      <c r="AO126" s="14">
        <v>15</v>
      </c>
      <c r="AP126" t="s">
        <v>238</v>
      </c>
      <c r="AQ126">
        <v>1554558430</v>
      </c>
      <c r="AS126" t="s">
        <v>4</v>
      </c>
      <c r="AT126" t="s">
        <v>112</v>
      </c>
      <c r="AU126">
        <v>0.45</v>
      </c>
      <c r="AV126" t="s">
        <v>238</v>
      </c>
      <c r="AW126" t="s">
        <v>217</v>
      </c>
    </row>
    <row r="127" spans="1:49" x14ac:dyDescent="0.25">
      <c r="A127" t="s">
        <v>217</v>
      </c>
      <c r="B127" t="s">
        <v>670</v>
      </c>
      <c r="C127" t="s">
        <v>671</v>
      </c>
      <c r="D127" t="s">
        <v>672</v>
      </c>
      <c r="F127">
        <v>15.84</v>
      </c>
      <c r="G127">
        <v>0</v>
      </c>
      <c r="H127" s="14">
        <v>15.84</v>
      </c>
      <c r="I127">
        <v>653470</v>
      </c>
      <c r="J127" t="s">
        <v>330</v>
      </c>
      <c r="P127" t="s">
        <v>309</v>
      </c>
      <c r="R127" t="s">
        <v>310</v>
      </c>
      <c r="S127" t="s">
        <v>311</v>
      </c>
      <c r="T127" t="s">
        <v>673</v>
      </c>
      <c r="U127">
        <v>781535</v>
      </c>
      <c r="V127" t="s">
        <v>206</v>
      </c>
      <c r="W127" t="s">
        <v>674</v>
      </c>
      <c r="Y127">
        <v>38399</v>
      </c>
      <c r="Z127" t="s">
        <v>79</v>
      </c>
      <c r="AA127" t="s">
        <v>28</v>
      </c>
      <c r="AB127" t="s">
        <v>675</v>
      </c>
      <c r="AC127" t="s">
        <v>676</v>
      </c>
      <c r="AD127" t="s">
        <v>677</v>
      </c>
      <c r="AE127" t="s">
        <v>910</v>
      </c>
      <c r="AF127" t="s">
        <v>771</v>
      </c>
      <c r="AG127" t="s">
        <v>312</v>
      </c>
      <c r="AH127" t="s">
        <v>911</v>
      </c>
      <c r="AJ127" t="s">
        <v>30</v>
      </c>
      <c r="AK127" t="s">
        <v>681</v>
      </c>
      <c r="AL127">
        <v>17</v>
      </c>
      <c r="AM127" t="s">
        <v>264</v>
      </c>
      <c r="AN127" t="s">
        <v>29</v>
      </c>
      <c r="AO127" s="14">
        <v>66</v>
      </c>
      <c r="AP127" t="s">
        <v>42</v>
      </c>
      <c r="AQ127">
        <v>1554640979</v>
      </c>
      <c r="AS127" t="s">
        <v>4</v>
      </c>
      <c r="AT127" t="s">
        <v>164</v>
      </c>
      <c r="AU127">
        <v>15.84</v>
      </c>
      <c r="AV127" t="s">
        <v>42</v>
      </c>
      <c r="AW127" t="s">
        <v>217</v>
      </c>
    </row>
    <row r="128" spans="1:49" x14ac:dyDescent="0.25">
      <c r="A128" t="s">
        <v>217</v>
      </c>
      <c r="B128" t="s">
        <v>670</v>
      </c>
      <c r="C128" t="s">
        <v>671</v>
      </c>
      <c r="D128" t="s">
        <v>672</v>
      </c>
      <c r="F128">
        <v>4.07</v>
      </c>
      <c r="G128">
        <v>0</v>
      </c>
      <c r="H128" s="14">
        <v>4.07</v>
      </c>
      <c r="I128">
        <v>653470</v>
      </c>
      <c r="J128" t="s">
        <v>330</v>
      </c>
      <c r="P128" t="s">
        <v>309</v>
      </c>
      <c r="R128" t="s">
        <v>310</v>
      </c>
      <c r="S128" t="s">
        <v>311</v>
      </c>
      <c r="T128" t="s">
        <v>673</v>
      </c>
      <c r="U128">
        <v>781535</v>
      </c>
      <c r="V128" t="s">
        <v>206</v>
      </c>
      <c r="W128" t="s">
        <v>674</v>
      </c>
      <c r="Y128">
        <v>38593</v>
      </c>
      <c r="Z128" t="s">
        <v>52</v>
      </c>
      <c r="AA128" t="s">
        <v>28</v>
      </c>
      <c r="AB128" t="s">
        <v>675</v>
      </c>
      <c r="AC128" t="s">
        <v>686</v>
      </c>
      <c r="AD128" t="s">
        <v>687</v>
      </c>
      <c r="AE128" t="s">
        <v>910</v>
      </c>
      <c r="AF128" t="s">
        <v>771</v>
      </c>
      <c r="AG128" t="s">
        <v>313</v>
      </c>
      <c r="AH128" t="s">
        <v>911</v>
      </c>
      <c r="AJ128" t="s">
        <v>30</v>
      </c>
      <c r="AK128" t="s">
        <v>681</v>
      </c>
      <c r="AL128">
        <v>17</v>
      </c>
      <c r="AM128" t="s">
        <v>264</v>
      </c>
      <c r="AN128" t="s">
        <v>29</v>
      </c>
      <c r="AO128" s="14">
        <v>11</v>
      </c>
      <c r="AP128" t="s">
        <v>54</v>
      </c>
      <c r="AQ128">
        <v>1554640981</v>
      </c>
      <c r="AS128" t="s">
        <v>4</v>
      </c>
      <c r="AT128" t="s">
        <v>53</v>
      </c>
      <c r="AU128">
        <v>4.07</v>
      </c>
      <c r="AV128" t="s">
        <v>54</v>
      </c>
      <c r="AW128" t="s">
        <v>217</v>
      </c>
    </row>
    <row r="129" spans="1:49" x14ac:dyDescent="0.25">
      <c r="A129" t="s">
        <v>217</v>
      </c>
      <c r="B129" t="s">
        <v>670</v>
      </c>
      <c r="C129" t="s">
        <v>671</v>
      </c>
      <c r="D129" t="s">
        <v>672</v>
      </c>
      <c r="F129">
        <v>29.76</v>
      </c>
      <c r="G129">
        <v>0</v>
      </c>
      <c r="H129" s="14">
        <v>29.76</v>
      </c>
      <c r="I129">
        <v>653470</v>
      </c>
      <c r="J129" t="s">
        <v>330</v>
      </c>
      <c r="P129" t="s">
        <v>314</v>
      </c>
      <c r="R129" t="s">
        <v>315</v>
      </c>
      <c r="S129" t="s">
        <v>316</v>
      </c>
      <c r="T129" t="s">
        <v>691</v>
      </c>
      <c r="U129">
        <v>764002</v>
      </c>
      <c r="V129" t="s">
        <v>293</v>
      </c>
      <c r="W129" t="s">
        <v>674</v>
      </c>
      <c r="Y129">
        <v>42251</v>
      </c>
      <c r="Z129" t="s">
        <v>99</v>
      </c>
      <c r="AA129" t="s">
        <v>85</v>
      </c>
      <c r="AB129" t="s">
        <v>675</v>
      </c>
      <c r="AC129" t="s">
        <v>676</v>
      </c>
      <c r="AD129" t="s">
        <v>677</v>
      </c>
      <c r="AE129" t="s">
        <v>912</v>
      </c>
      <c r="AF129" t="s">
        <v>860</v>
      </c>
      <c r="AG129" t="s">
        <v>317</v>
      </c>
      <c r="AH129" t="s">
        <v>913</v>
      </c>
      <c r="AJ129" t="s">
        <v>30</v>
      </c>
      <c r="AK129" t="s">
        <v>681</v>
      </c>
      <c r="AL129">
        <v>18</v>
      </c>
      <c r="AM129" t="s">
        <v>264</v>
      </c>
      <c r="AN129" t="s">
        <v>29</v>
      </c>
      <c r="AO129" s="14">
        <v>124</v>
      </c>
      <c r="AP129" t="s">
        <v>42</v>
      </c>
      <c r="AQ129">
        <v>1554641609</v>
      </c>
      <c r="AS129" t="s">
        <v>4</v>
      </c>
      <c r="AT129" t="s">
        <v>318</v>
      </c>
      <c r="AU129">
        <v>29.76</v>
      </c>
      <c r="AV129" t="s">
        <v>42</v>
      </c>
      <c r="AW129" t="s">
        <v>217</v>
      </c>
    </row>
    <row r="130" spans="1:49" x14ac:dyDescent="0.25">
      <c r="A130" t="s">
        <v>217</v>
      </c>
      <c r="B130" t="s">
        <v>670</v>
      </c>
      <c r="C130" t="s">
        <v>671</v>
      </c>
      <c r="D130" t="s">
        <v>672</v>
      </c>
      <c r="F130">
        <v>4.07</v>
      </c>
      <c r="G130">
        <v>0</v>
      </c>
      <c r="H130" s="14">
        <v>4.07</v>
      </c>
      <c r="I130">
        <v>653470</v>
      </c>
      <c r="J130" t="s">
        <v>330</v>
      </c>
      <c r="P130" t="s">
        <v>319</v>
      </c>
      <c r="R130" t="s">
        <v>320</v>
      </c>
      <c r="S130" t="s">
        <v>321</v>
      </c>
      <c r="T130" t="s">
        <v>673</v>
      </c>
      <c r="U130">
        <v>678726</v>
      </c>
      <c r="V130" t="s">
        <v>25</v>
      </c>
      <c r="W130" t="s">
        <v>674</v>
      </c>
      <c r="Y130">
        <v>38593</v>
      </c>
      <c r="Z130" t="s">
        <v>52</v>
      </c>
      <c r="AA130" t="s">
        <v>28</v>
      </c>
      <c r="AB130" t="s">
        <v>675</v>
      </c>
      <c r="AC130" t="s">
        <v>686</v>
      </c>
      <c r="AD130" t="s">
        <v>687</v>
      </c>
      <c r="AE130" t="s">
        <v>875</v>
      </c>
      <c r="AF130" t="s">
        <v>684</v>
      </c>
      <c r="AG130" t="s">
        <v>322</v>
      </c>
      <c r="AH130" t="s">
        <v>914</v>
      </c>
      <c r="AJ130" t="s">
        <v>30</v>
      </c>
      <c r="AK130" t="s">
        <v>681</v>
      </c>
      <c r="AL130">
        <v>16</v>
      </c>
      <c r="AM130" t="s">
        <v>264</v>
      </c>
      <c r="AN130" t="s">
        <v>29</v>
      </c>
      <c r="AO130" s="14">
        <v>11</v>
      </c>
      <c r="AP130" t="s">
        <v>54</v>
      </c>
      <c r="AQ130">
        <v>1554638249</v>
      </c>
      <c r="AS130" t="s">
        <v>4</v>
      </c>
      <c r="AT130" t="s">
        <v>53</v>
      </c>
      <c r="AU130">
        <v>4.07</v>
      </c>
      <c r="AV130" t="s">
        <v>54</v>
      </c>
      <c r="AW130" t="s">
        <v>217</v>
      </c>
    </row>
    <row r="131" spans="1:49" x14ac:dyDescent="0.25">
      <c r="A131" t="s">
        <v>217</v>
      </c>
      <c r="B131" t="s">
        <v>670</v>
      </c>
      <c r="C131" t="s">
        <v>671</v>
      </c>
      <c r="D131" t="s">
        <v>672</v>
      </c>
      <c r="F131">
        <v>28.8</v>
      </c>
      <c r="G131">
        <v>0</v>
      </c>
      <c r="H131" s="14">
        <v>28.8</v>
      </c>
      <c r="I131">
        <v>653470</v>
      </c>
      <c r="J131" t="s">
        <v>330</v>
      </c>
      <c r="P131" t="s">
        <v>327</v>
      </c>
      <c r="R131" t="s">
        <v>328</v>
      </c>
      <c r="S131" t="s">
        <v>329</v>
      </c>
      <c r="T131" t="s">
        <v>695</v>
      </c>
      <c r="U131">
        <v>653470</v>
      </c>
      <c r="V131" t="s">
        <v>330</v>
      </c>
      <c r="W131" t="s">
        <v>674</v>
      </c>
      <c r="Y131">
        <v>38399</v>
      </c>
      <c r="Z131" t="s">
        <v>79</v>
      </c>
      <c r="AA131" t="s">
        <v>85</v>
      </c>
      <c r="AB131" t="s">
        <v>675</v>
      </c>
      <c r="AC131" t="s">
        <v>676</v>
      </c>
      <c r="AD131" t="s">
        <v>677</v>
      </c>
      <c r="AE131" t="s">
        <v>915</v>
      </c>
      <c r="AF131" t="s">
        <v>800</v>
      </c>
      <c r="AG131" t="s">
        <v>331</v>
      </c>
      <c r="AH131" t="s">
        <v>916</v>
      </c>
      <c r="AJ131" t="s">
        <v>30</v>
      </c>
      <c r="AK131" t="s">
        <v>681</v>
      </c>
      <c r="AL131">
        <v>25</v>
      </c>
      <c r="AM131" t="s">
        <v>264</v>
      </c>
      <c r="AN131" t="s">
        <v>29</v>
      </c>
      <c r="AO131" s="14">
        <v>120</v>
      </c>
      <c r="AP131" t="s">
        <v>42</v>
      </c>
      <c r="AQ131">
        <v>1554645954</v>
      </c>
      <c r="AS131" t="s">
        <v>4</v>
      </c>
      <c r="AT131" t="s">
        <v>332</v>
      </c>
      <c r="AU131">
        <v>28.8</v>
      </c>
      <c r="AV131" t="s">
        <v>42</v>
      </c>
      <c r="AW131" t="s">
        <v>217</v>
      </c>
    </row>
    <row r="132" spans="1:49" x14ac:dyDescent="0.25">
      <c r="A132" t="s">
        <v>217</v>
      </c>
      <c r="B132" t="s">
        <v>670</v>
      </c>
      <c r="C132" t="s">
        <v>671</v>
      </c>
      <c r="D132" t="s">
        <v>672</v>
      </c>
      <c r="F132">
        <v>5.55</v>
      </c>
      <c r="G132">
        <v>0</v>
      </c>
      <c r="H132" s="14">
        <v>5.55</v>
      </c>
      <c r="I132">
        <v>653470</v>
      </c>
      <c r="J132" t="s">
        <v>330</v>
      </c>
      <c r="P132" t="s">
        <v>327</v>
      </c>
      <c r="R132" t="s">
        <v>328</v>
      </c>
      <c r="S132" t="s">
        <v>329</v>
      </c>
      <c r="T132" t="s">
        <v>695</v>
      </c>
      <c r="U132">
        <v>653470</v>
      </c>
      <c r="V132" t="s">
        <v>330</v>
      </c>
      <c r="W132" t="s">
        <v>674</v>
      </c>
      <c r="Y132">
        <v>38967</v>
      </c>
      <c r="Z132" t="s">
        <v>52</v>
      </c>
      <c r="AA132" t="s">
        <v>111</v>
      </c>
      <c r="AB132" t="s">
        <v>675</v>
      </c>
      <c r="AC132" t="s">
        <v>686</v>
      </c>
      <c r="AD132" t="s">
        <v>687</v>
      </c>
      <c r="AE132" t="s">
        <v>917</v>
      </c>
      <c r="AF132" t="s">
        <v>853</v>
      </c>
      <c r="AG132" t="s">
        <v>357</v>
      </c>
      <c r="AH132" t="s">
        <v>916</v>
      </c>
      <c r="AJ132" t="s">
        <v>30</v>
      </c>
      <c r="AK132" t="s">
        <v>681</v>
      </c>
      <c r="AL132">
        <v>21</v>
      </c>
      <c r="AM132" t="s">
        <v>264</v>
      </c>
      <c r="AN132" t="s">
        <v>29</v>
      </c>
      <c r="AO132" s="14">
        <v>15</v>
      </c>
      <c r="AP132" t="s">
        <v>54</v>
      </c>
      <c r="AQ132">
        <v>1554645958</v>
      </c>
      <c r="AS132" t="s">
        <v>4</v>
      </c>
      <c r="AT132" t="s">
        <v>112</v>
      </c>
      <c r="AU132">
        <v>5.55</v>
      </c>
      <c r="AV132" t="s">
        <v>54</v>
      </c>
      <c r="AW132" t="s">
        <v>217</v>
      </c>
    </row>
    <row r="133" spans="1:49" x14ac:dyDescent="0.25">
      <c r="A133" t="s">
        <v>217</v>
      </c>
      <c r="B133" t="s">
        <v>670</v>
      </c>
      <c r="C133" t="s">
        <v>671</v>
      </c>
      <c r="D133" t="s">
        <v>672</v>
      </c>
      <c r="F133">
        <v>15.84</v>
      </c>
      <c r="G133">
        <v>0</v>
      </c>
      <c r="H133" s="14">
        <v>15.84</v>
      </c>
      <c r="I133">
        <v>653470</v>
      </c>
      <c r="J133" t="s">
        <v>330</v>
      </c>
      <c r="P133" t="s">
        <v>333</v>
      </c>
      <c r="R133" t="s">
        <v>334</v>
      </c>
      <c r="S133" t="s">
        <v>335</v>
      </c>
      <c r="T133" t="s">
        <v>673</v>
      </c>
      <c r="U133">
        <v>798992</v>
      </c>
      <c r="V133" t="s">
        <v>59</v>
      </c>
      <c r="W133" t="s">
        <v>674</v>
      </c>
      <c r="Y133">
        <v>38399</v>
      </c>
      <c r="Z133" t="s">
        <v>79</v>
      </c>
      <c r="AA133" t="s">
        <v>28</v>
      </c>
      <c r="AB133" t="s">
        <v>675</v>
      </c>
      <c r="AC133" t="s">
        <v>676</v>
      </c>
      <c r="AD133" t="s">
        <v>677</v>
      </c>
      <c r="AE133" t="s">
        <v>918</v>
      </c>
      <c r="AF133" t="s">
        <v>699</v>
      </c>
      <c r="AG133" t="s">
        <v>336</v>
      </c>
      <c r="AH133" t="s">
        <v>919</v>
      </c>
      <c r="AJ133" t="s">
        <v>30</v>
      </c>
      <c r="AK133" t="s">
        <v>681</v>
      </c>
      <c r="AL133">
        <v>13</v>
      </c>
      <c r="AM133" t="s">
        <v>264</v>
      </c>
      <c r="AN133" t="s">
        <v>29</v>
      </c>
      <c r="AO133" s="14">
        <v>66</v>
      </c>
      <c r="AP133" t="s">
        <v>42</v>
      </c>
      <c r="AQ133">
        <v>1554611170</v>
      </c>
      <c r="AS133" t="s">
        <v>4</v>
      </c>
      <c r="AT133" t="s">
        <v>164</v>
      </c>
      <c r="AU133">
        <v>15.84</v>
      </c>
      <c r="AV133" t="s">
        <v>42</v>
      </c>
      <c r="AW133" t="s">
        <v>217</v>
      </c>
    </row>
    <row r="134" spans="1:49" x14ac:dyDescent="0.25">
      <c r="A134" t="s">
        <v>217</v>
      </c>
      <c r="B134" t="s">
        <v>670</v>
      </c>
      <c r="C134" t="s">
        <v>671</v>
      </c>
      <c r="D134" t="s">
        <v>672</v>
      </c>
      <c r="F134">
        <v>4.07</v>
      </c>
      <c r="G134">
        <v>0</v>
      </c>
      <c r="H134" s="14">
        <v>4.07</v>
      </c>
      <c r="I134">
        <v>653470</v>
      </c>
      <c r="J134" t="s">
        <v>330</v>
      </c>
      <c r="P134" t="s">
        <v>337</v>
      </c>
      <c r="R134" t="s">
        <v>338</v>
      </c>
      <c r="S134" t="s">
        <v>339</v>
      </c>
      <c r="T134" t="s">
        <v>673</v>
      </c>
      <c r="U134">
        <v>678726</v>
      </c>
      <c r="V134" t="s">
        <v>25</v>
      </c>
      <c r="W134" t="s">
        <v>674</v>
      </c>
      <c r="Y134">
        <v>38593</v>
      </c>
      <c r="Z134" t="s">
        <v>52</v>
      </c>
      <c r="AA134" t="s">
        <v>28</v>
      </c>
      <c r="AB134" t="s">
        <v>675</v>
      </c>
      <c r="AC134" t="s">
        <v>686</v>
      </c>
      <c r="AD134" t="s">
        <v>687</v>
      </c>
      <c r="AE134" t="s">
        <v>920</v>
      </c>
      <c r="AF134" t="s">
        <v>737</v>
      </c>
      <c r="AG134" t="s">
        <v>340</v>
      </c>
      <c r="AH134" t="s">
        <v>921</v>
      </c>
      <c r="AJ134" t="s">
        <v>30</v>
      </c>
      <c r="AK134" t="s">
        <v>681</v>
      </c>
      <c r="AL134">
        <v>15</v>
      </c>
      <c r="AM134" t="s">
        <v>264</v>
      </c>
      <c r="AN134" t="s">
        <v>29</v>
      </c>
      <c r="AO134" s="14">
        <v>11</v>
      </c>
      <c r="AP134" t="s">
        <v>54</v>
      </c>
      <c r="AQ134">
        <v>1554629223</v>
      </c>
      <c r="AS134" t="s">
        <v>4</v>
      </c>
      <c r="AT134" t="s">
        <v>53</v>
      </c>
      <c r="AU134">
        <v>4.07</v>
      </c>
      <c r="AV134" t="s">
        <v>54</v>
      </c>
      <c r="AW134" t="s">
        <v>217</v>
      </c>
    </row>
    <row r="135" spans="1:49" x14ac:dyDescent="0.25">
      <c r="A135" t="s">
        <v>217</v>
      </c>
      <c r="B135" t="s">
        <v>670</v>
      </c>
      <c r="C135" t="s">
        <v>671</v>
      </c>
      <c r="D135" t="s">
        <v>672</v>
      </c>
      <c r="F135">
        <v>8</v>
      </c>
      <c r="G135">
        <v>0</v>
      </c>
      <c r="H135" s="14">
        <v>8</v>
      </c>
      <c r="I135">
        <v>653470</v>
      </c>
      <c r="J135" t="s">
        <v>330</v>
      </c>
      <c r="P135" t="s">
        <v>337</v>
      </c>
      <c r="R135" t="s">
        <v>338</v>
      </c>
      <c r="S135" t="s">
        <v>339</v>
      </c>
      <c r="T135" t="s">
        <v>673</v>
      </c>
      <c r="U135">
        <v>678726</v>
      </c>
      <c r="V135" t="s">
        <v>25</v>
      </c>
      <c r="W135" t="s">
        <v>674</v>
      </c>
      <c r="Y135">
        <v>45041</v>
      </c>
      <c r="Z135" t="s">
        <v>27</v>
      </c>
      <c r="AA135" t="s">
        <v>28</v>
      </c>
      <c r="AB135" t="s">
        <v>675</v>
      </c>
      <c r="AC135" t="s">
        <v>676</v>
      </c>
      <c r="AD135" t="s">
        <v>677</v>
      </c>
      <c r="AE135" t="s">
        <v>920</v>
      </c>
      <c r="AF135" t="s">
        <v>737</v>
      </c>
      <c r="AG135" t="s">
        <v>341</v>
      </c>
      <c r="AH135" t="s">
        <v>921</v>
      </c>
      <c r="AJ135" t="s">
        <v>30</v>
      </c>
      <c r="AK135" t="s">
        <v>681</v>
      </c>
      <c r="AL135">
        <v>15</v>
      </c>
      <c r="AM135" t="s">
        <v>264</v>
      </c>
      <c r="AN135" t="s">
        <v>29</v>
      </c>
      <c r="AO135" s="14">
        <v>25</v>
      </c>
      <c r="AP135" t="s">
        <v>32</v>
      </c>
      <c r="AQ135">
        <v>1554629235</v>
      </c>
      <c r="AS135" t="s">
        <v>4</v>
      </c>
      <c r="AT135" t="s">
        <v>31</v>
      </c>
      <c r="AU135">
        <v>8</v>
      </c>
      <c r="AV135" t="s">
        <v>32</v>
      </c>
      <c r="AW135" t="s">
        <v>217</v>
      </c>
    </row>
    <row r="136" spans="1:49" x14ac:dyDescent="0.25">
      <c r="A136" t="s">
        <v>217</v>
      </c>
      <c r="B136" t="s">
        <v>670</v>
      </c>
      <c r="C136" t="s">
        <v>671</v>
      </c>
      <c r="D136" t="s">
        <v>672</v>
      </c>
      <c r="F136">
        <v>5.55</v>
      </c>
      <c r="G136">
        <v>0</v>
      </c>
      <c r="H136" s="14">
        <v>5.55</v>
      </c>
      <c r="I136">
        <v>653470</v>
      </c>
      <c r="J136" t="s">
        <v>330</v>
      </c>
      <c r="P136" t="s">
        <v>342</v>
      </c>
      <c r="R136" t="s">
        <v>343</v>
      </c>
      <c r="S136" t="s">
        <v>344</v>
      </c>
      <c r="T136" t="s">
        <v>695</v>
      </c>
      <c r="U136">
        <v>781535</v>
      </c>
      <c r="V136" t="s">
        <v>206</v>
      </c>
      <c r="W136" t="s">
        <v>674</v>
      </c>
      <c r="Y136">
        <v>38593</v>
      </c>
      <c r="Z136" t="s">
        <v>52</v>
      </c>
      <c r="AA136" t="s">
        <v>111</v>
      </c>
      <c r="AB136" t="s">
        <v>675</v>
      </c>
      <c r="AC136" t="s">
        <v>686</v>
      </c>
      <c r="AD136" t="s">
        <v>687</v>
      </c>
      <c r="AE136" t="s">
        <v>922</v>
      </c>
      <c r="AF136" t="s">
        <v>771</v>
      </c>
      <c r="AG136" t="s">
        <v>345</v>
      </c>
      <c r="AH136" t="s">
        <v>923</v>
      </c>
      <c r="AJ136" t="s">
        <v>30</v>
      </c>
      <c r="AK136" t="s">
        <v>681</v>
      </c>
      <c r="AL136">
        <v>17</v>
      </c>
      <c r="AM136" t="s">
        <v>264</v>
      </c>
      <c r="AN136" t="s">
        <v>29</v>
      </c>
      <c r="AO136" s="14">
        <v>15</v>
      </c>
      <c r="AP136" t="s">
        <v>54</v>
      </c>
      <c r="AQ136">
        <v>1554629982</v>
      </c>
      <c r="AS136" t="s">
        <v>4</v>
      </c>
      <c r="AT136" t="s">
        <v>112</v>
      </c>
      <c r="AU136">
        <v>5.55</v>
      </c>
      <c r="AV136" t="s">
        <v>54</v>
      </c>
      <c r="AW136" t="s">
        <v>217</v>
      </c>
    </row>
    <row r="137" spans="1:49" x14ac:dyDescent="0.25">
      <c r="A137" t="s">
        <v>217</v>
      </c>
      <c r="B137" t="s">
        <v>670</v>
      </c>
      <c r="C137" t="s">
        <v>671</v>
      </c>
      <c r="D137" t="s">
        <v>672</v>
      </c>
      <c r="F137">
        <v>31.68</v>
      </c>
      <c r="G137">
        <v>0</v>
      </c>
      <c r="H137" s="14">
        <v>31.68</v>
      </c>
      <c r="I137">
        <v>653470</v>
      </c>
      <c r="J137" t="s">
        <v>330</v>
      </c>
      <c r="P137" t="s">
        <v>342</v>
      </c>
      <c r="R137" t="s">
        <v>343</v>
      </c>
      <c r="S137" t="s">
        <v>344</v>
      </c>
      <c r="T137" t="s">
        <v>695</v>
      </c>
      <c r="U137">
        <v>781535</v>
      </c>
      <c r="V137" t="s">
        <v>206</v>
      </c>
      <c r="W137" t="s">
        <v>674</v>
      </c>
      <c r="Y137">
        <v>38399</v>
      </c>
      <c r="Z137" t="s">
        <v>79</v>
      </c>
      <c r="AA137" t="s">
        <v>85</v>
      </c>
      <c r="AB137" t="s">
        <v>675</v>
      </c>
      <c r="AC137" t="s">
        <v>676</v>
      </c>
      <c r="AD137" t="s">
        <v>677</v>
      </c>
      <c r="AE137" t="s">
        <v>922</v>
      </c>
      <c r="AF137" t="s">
        <v>771</v>
      </c>
      <c r="AG137" t="s">
        <v>346</v>
      </c>
      <c r="AH137" t="s">
        <v>923</v>
      </c>
      <c r="AJ137" t="s">
        <v>30</v>
      </c>
      <c r="AK137" t="s">
        <v>681</v>
      </c>
      <c r="AL137">
        <v>17</v>
      </c>
      <c r="AM137" t="s">
        <v>264</v>
      </c>
      <c r="AN137" t="s">
        <v>29</v>
      </c>
      <c r="AO137" s="14">
        <v>132</v>
      </c>
      <c r="AP137" t="s">
        <v>42</v>
      </c>
      <c r="AQ137">
        <v>1554629979</v>
      </c>
      <c r="AS137" t="s">
        <v>4</v>
      </c>
      <c r="AT137" t="s">
        <v>347</v>
      </c>
      <c r="AU137">
        <v>31.68</v>
      </c>
      <c r="AV137" t="s">
        <v>42</v>
      </c>
      <c r="AW137" t="s">
        <v>217</v>
      </c>
    </row>
    <row r="138" spans="1:49" x14ac:dyDescent="0.25">
      <c r="A138" t="s">
        <v>217</v>
      </c>
      <c r="B138" t="s">
        <v>670</v>
      </c>
      <c r="C138" t="s">
        <v>671</v>
      </c>
      <c r="D138" t="s">
        <v>672</v>
      </c>
      <c r="F138">
        <v>18.559999999999999</v>
      </c>
      <c r="G138">
        <v>0</v>
      </c>
      <c r="H138" s="14">
        <v>18.559999999999999</v>
      </c>
      <c r="I138">
        <v>653470</v>
      </c>
      <c r="J138" t="s">
        <v>330</v>
      </c>
      <c r="P138" t="s">
        <v>348</v>
      </c>
      <c r="R138" t="s">
        <v>349</v>
      </c>
      <c r="S138" t="s">
        <v>350</v>
      </c>
      <c r="T138" t="s">
        <v>673</v>
      </c>
      <c r="U138">
        <v>798992</v>
      </c>
      <c r="V138" t="s">
        <v>59</v>
      </c>
      <c r="W138" t="s">
        <v>674</v>
      </c>
      <c r="Y138">
        <v>45041</v>
      </c>
      <c r="Z138" t="s">
        <v>27</v>
      </c>
      <c r="AA138" t="s">
        <v>145</v>
      </c>
      <c r="AB138" t="s">
        <v>675</v>
      </c>
      <c r="AC138" t="s">
        <v>676</v>
      </c>
      <c r="AD138" t="s">
        <v>677</v>
      </c>
      <c r="AE138" t="s">
        <v>867</v>
      </c>
      <c r="AF138" t="s">
        <v>699</v>
      </c>
      <c r="AG138" t="s">
        <v>351</v>
      </c>
      <c r="AH138" t="s">
        <v>924</v>
      </c>
      <c r="AJ138" t="s">
        <v>30</v>
      </c>
      <c r="AK138" t="s">
        <v>681</v>
      </c>
      <c r="AL138">
        <v>13</v>
      </c>
      <c r="AM138" t="s">
        <v>264</v>
      </c>
      <c r="AN138" t="s">
        <v>29</v>
      </c>
      <c r="AO138" s="14">
        <v>58</v>
      </c>
      <c r="AP138" t="s">
        <v>32</v>
      </c>
      <c r="AQ138">
        <v>1554616697</v>
      </c>
      <c r="AS138" t="s">
        <v>4</v>
      </c>
      <c r="AT138" t="s">
        <v>352</v>
      </c>
      <c r="AU138">
        <v>18.559999999999999</v>
      </c>
      <c r="AV138" t="s">
        <v>32</v>
      </c>
      <c r="AW138" t="s">
        <v>217</v>
      </c>
    </row>
    <row r="139" spans="1:49" x14ac:dyDescent="0.25">
      <c r="A139" t="s">
        <v>217</v>
      </c>
      <c r="B139" t="s">
        <v>670</v>
      </c>
      <c r="C139" t="s">
        <v>671</v>
      </c>
      <c r="D139" t="s">
        <v>672</v>
      </c>
      <c r="F139">
        <v>8</v>
      </c>
      <c r="G139">
        <v>0</v>
      </c>
      <c r="H139" s="14">
        <v>8</v>
      </c>
      <c r="I139">
        <v>653470</v>
      </c>
      <c r="J139" t="s">
        <v>330</v>
      </c>
      <c r="P139" t="s">
        <v>353</v>
      </c>
      <c r="R139" t="s">
        <v>354</v>
      </c>
      <c r="S139" t="s">
        <v>355</v>
      </c>
      <c r="T139" t="s">
        <v>673</v>
      </c>
      <c r="U139">
        <v>678726</v>
      </c>
      <c r="V139" t="s">
        <v>25</v>
      </c>
      <c r="W139" t="s">
        <v>674</v>
      </c>
      <c r="Y139">
        <v>45041</v>
      </c>
      <c r="Z139" t="s">
        <v>27</v>
      </c>
      <c r="AA139" t="s">
        <v>28</v>
      </c>
      <c r="AB139" t="s">
        <v>675</v>
      </c>
      <c r="AC139" t="s">
        <v>676</v>
      </c>
      <c r="AD139" t="s">
        <v>677</v>
      </c>
      <c r="AE139" t="s">
        <v>925</v>
      </c>
      <c r="AF139" t="s">
        <v>737</v>
      </c>
      <c r="AG139" t="s">
        <v>356</v>
      </c>
      <c r="AH139" t="s">
        <v>926</v>
      </c>
      <c r="AJ139" t="s">
        <v>30</v>
      </c>
      <c r="AK139" t="s">
        <v>703</v>
      </c>
      <c r="AL139">
        <v>16</v>
      </c>
      <c r="AM139" t="s">
        <v>670</v>
      </c>
      <c r="AN139" t="s">
        <v>682</v>
      </c>
      <c r="AO139" s="14">
        <v>25</v>
      </c>
      <c r="AP139" t="s">
        <v>32</v>
      </c>
      <c r="AQ139">
        <v>1554655312</v>
      </c>
      <c r="AS139" t="s">
        <v>4</v>
      </c>
      <c r="AT139" t="s">
        <v>31</v>
      </c>
      <c r="AU139">
        <v>8</v>
      </c>
      <c r="AV139" t="s">
        <v>32</v>
      </c>
      <c r="AW139" t="s">
        <v>217</v>
      </c>
    </row>
    <row r="140" spans="1:49" x14ac:dyDescent="0.25">
      <c r="A140" t="s">
        <v>217</v>
      </c>
      <c r="B140" t="s">
        <v>670</v>
      </c>
      <c r="C140" t="s">
        <v>671</v>
      </c>
      <c r="D140" t="s">
        <v>672</v>
      </c>
      <c r="F140">
        <v>9.6</v>
      </c>
      <c r="G140">
        <v>0</v>
      </c>
      <c r="H140" s="14">
        <v>9.6</v>
      </c>
      <c r="I140">
        <v>653470</v>
      </c>
      <c r="J140" t="s">
        <v>330</v>
      </c>
      <c r="P140" t="s">
        <v>295</v>
      </c>
      <c r="R140" t="s">
        <v>296</v>
      </c>
      <c r="S140" t="s">
        <v>297</v>
      </c>
      <c r="T140" t="s">
        <v>691</v>
      </c>
      <c r="U140">
        <v>759555</v>
      </c>
      <c r="V140" t="s">
        <v>143</v>
      </c>
      <c r="W140" t="s">
        <v>674</v>
      </c>
      <c r="Y140">
        <v>42249</v>
      </c>
      <c r="Z140" t="s">
        <v>131</v>
      </c>
      <c r="AA140" t="s">
        <v>28</v>
      </c>
      <c r="AB140" t="s">
        <v>675</v>
      </c>
      <c r="AC140" t="s">
        <v>676</v>
      </c>
      <c r="AD140" t="s">
        <v>677</v>
      </c>
      <c r="AE140" t="s">
        <v>927</v>
      </c>
      <c r="AF140" t="s">
        <v>705</v>
      </c>
      <c r="AG140" t="s">
        <v>298</v>
      </c>
      <c r="AH140" t="s">
        <v>928</v>
      </c>
      <c r="AJ140" t="s">
        <v>30</v>
      </c>
      <c r="AK140" t="s">
        <v>681</v>
      </c>
      <c r="AL140">
        <v>2</v>
      </c>
      <c r="AM140" t="s">
        <v>264</v>
      </c>
      <c r="AN140" t="s">
        <v>29</v>
      </c>
      <c r="AO140" s="14">
        <v>40</v>
      </c>
      <c r="AP140" t="s">
        <v>42</v>
      </c>
      <c r="AQ140">
        <v>1554511982</v>
      </c>
      <c r="AS140" t="s">
        <v>4</v>
      </c>
      <c r="AT140" t="s">
        <v>133</v>
      </c>
      <c r="AU140">
        <v>9.6</v>
      </c>
      <c r="AV140" t="s">
        <v>42</v>
      </c>
      <c r="AW140" t="s">
        <v>217</v>
      </c>
    </row>
    <row r="141" spans="1:49" x14ac:dyDescent="0.25">
      <c r="A141" t="s">
        <v>222</v>
      </c>
      <c r="B141" t="s">
        <v>670</v>
      </c>
      <c r="C141" t="s">
        <v>671</v>
      </c>
      <c r="D141" t="s">
        <v>672</v>
      </c>
      <c r="F141">
        <v>8</v>
      </c>
      <c r="G141">
        <v>0</v>
      </c>
      <c r="H141" s="14">
        <v>8</v>
      </c>
      <c r="I141">
        <v>653470</v>
      </c>
      <c r="J141" t="s">
        <v>330</v>
      </c>
      <c r="P141" t="s">
        <v>323</v>
      </c>
      <c r="R141" t="s">
        <v>324</v>
      </c>
      <c r="S141" t="s">
        <v>325</v>
      </c>
      <c r="T141" t="s">
        <v>695</v>
      </c>
      <c r="U141">
        <v>820877</v>
      </c>
      <c r="V141" t="s">
        <v>168</v>
      </c>
      <c r="W141" t="s">
        <v>674</v>
      </c>
      <c r="Y141">
        <v>45041</v>
      </c>
      <c r="Z141" t="s">
        <v>27</v>
      </c>
      <c r="AA141" t="s">
        <v>28</v>
      </c>
      <c r="AB141" t="s">
        <v>675</v>
      </c>
      <c r="AC141" t="s">
        <v>676</v>
      </c>
      <c r="AD141" t="s">
        <v>677</v>
      </c>
      <c r="AE141" t="s">
        <v>929</v>
      </c>
      <c r="AF141" t="s">
        <v>679</v>
      </c>
      <c r="AG141" t="s">
        <v>326</v>
      </c>
      <c r="AH141" t="s">
        <v>930</v>
      </c>
      <c r="AJ141" t="s">
        <v>30</v>
      </c>
      <c r="AK141" t="s">
        <v>703</v>
      </c>
      <c r="AL141">
        <v>12</v>
      </c>
      <c r="AM141" t="s">
        <v>670</v>
      </c>
      <c r="AN141" t="s">
        <v>682</v>
      </c>
      <c r="AO141" s="14">
        <v>25</v>
      </c>
      <c r="AP141" t="s">
        <v>32</v>
      </c>
      <c r="AQ141">
        <v>1554701111</v>
      </c>
      <c r="AS141" t="s">
        <v>4</v>
      </c>
      <c r="AT141" t="s">
        <v>31</v>
      </c>
      <c r="AU141">
        <v>8</v>
      </c>
      <c r="AV141" t="s">
        <v>32</v>
      </c>
      <c r="AW141" t="s">
        <v>222</v>
      </c>
    </row>
    <row r="142" spans="1:49" x14ac:dyDescent="0.25">
      <c r="A142" t="s">
        <v>222</v>
      </c>
      <c r="B142" t="s">
        <v>670</v>
      </c>
      <c r="C142" t="s">
        <v>671</v>
      </c>
      <c r="D142" t="s">
        <v>672</v>
      </c>
      <c r="F142">
        <v>4.07</v>
      </c>
      <c r="G142">
        <v>0</v>
      </c>
      <c r="H142" s="14">
        <v>4.07</v>
      </c>
      <c r="I142">
        <v>653470</v>
      </c>
      <c r="J142" t="s">
        <v>330</v>
      </c>
      <c r="P142" t="s">
        <v>290</v>
      </c>
      <c r="R142" t="s">
        <v>291</v>
      </c>
      <c r="S142" t="s">
        <v>292</v>
      </c>
      <c r="T142" t="s">
        <v>691</v>
      </c>
      <c r="U142">
        <v>764002</v>
      </c>
      <c r="V142" t="s">
        <v>293</v>
      </c>
      <c r="W142" t="s">
        <v>674</v>
      </c>
      <c r="Y142">
        <v>38593</v>
      </c>
      <c r="Z142" t="s">
        <v>52</v>
      </c>
      <c r="AA142" t="s">
        <v>28</v>
      </c>
      <c r="AB142" t="s">
        <v>675</v>
      </c>
      <c r="AC142" t="s">
        <v>686</v>
      </c>
      <c r="AD142" t="s">
        <v>687</v>
      </c>
      <c r="AE142" t="s">
        <v>931</v>
      </c>
      <c r="AF142" t="s">
        <v>737</v>
      </c>
      <c r="AG142" t="s">
        <v>294</v>
      </c>
      <c r="AH142" t="s">
        <v>932</v>
      </c>
      <c r="AJ142" t="s">
        <v>30</v>
      </c>
      <c r="AK142" t="s">
        <v>703</v>
      </c>
      <c r="AL142">
        <v>16</v>
      </c>
      <c r="AM142" t="s">
        <v>670</v>
      </c>
      <c r="AN142" t="s">
        <v>682</v>
      </c>
      <c r="AO142" s="14">
        <v>11</v>
      </c>
      <c r="AP142" t="s">
        <v>54</v>
      </c>
      <c r="AQ142">
        <v>1554677791</v>
      </c>
      <c r="AS142" t="s">
        <v>4</v>
      </c>
      <c r="AT142" t="s">
        <v>53</v>
      </c>
      <c r="AU142">
        <v>4.07</v>
      </c>
      <c r="AV142" t="s">
        <v>54</v>
      </c>
      <c r="AW142" t="s">
        <v>222</v>
      </c>
    </row>
    <row r="143" spans="1:49" x14ac:dyDescent="0.25">
      <c r="A143" t="s">
        <v>222</v>
      </c>
      <c r="B143" t="s">
        <v>670</v>
      </c>
      <c r="C143" t="s">
        <v>671</v>
      </c>
      <c r="D143" t="s">
        <v>672</v>
      </c>
      <c r="F143">
        <v>6.48</v>
      </c>
      <c r="G143">
        <v>0</v>
      </c>
      <c r="H143" s="14">
        <v>6.48</v>
      </c>
      <c r="I143">
        <v>653470</v>
      </c>
      <c r="J143" t="s">
        <v>330</v>
      </c>
      <c r="P143" t="s">
        <v>218</v>
      </c>
      <c r="R143" t="s">
        <v>219</v>
      </c>
      <c r="S143" t="s">
        <v>220</v>
      </c>
      <c r="T143" t="s">
        <v>673</v>
      </c>
      <c r="U143">
        <v>798992</v>
      </c>
      <c r="V143" t="s">
        <v>59</v>
      </c>
      <c r="W143" t="s">
        <v>674</v>
      </c>
      <c r="Y143">
        <v>47133</v>
      </c>
      <c r="Z143" t="s">
        <v>152</v>
      </c>
      <c r="AA143" t="s">
        <v>28</v>
      </c>
      <c r="AB143" t="s">
        <v>675</v>
      </c>
      <c r="AC143" t="s">
        <v>676</v>
      </c>
      <c r="AD143" t="s">
        <v>677</v>
      </c>
      <c r="AE143" t="s">
        <v>882</v>
      </c>
      <c r="AF143" t="s">
        <v>719</v>
      </c>
      <c r="AG143" t="s">
        <v>254</v>
      </c>
      <c r="AH143" t="s">
        <v>933</v>
      </c>
      <c r="AJ143" t="s">
        <v>30</v>
      </c>
      <c r="AK143" t="s">
        <v>703</v>
      </c>
      <c r="AL143">
        <v>7</v>
      </c>
      <c r="AM143" t="s">
        <v>670</v>
      </c>
      <c r="AN143" t="s">
        <v>682</v>
      </c>
      <c r="AO143" s="14">
        <v>27</v>
      </c>
      <c r="AP143" t="s">
        <v>42</v>
      </c>
      <c r="AQ143">
        <v>1554675110</v>
      </c>
      <c r="AS143" t="s">
        <v>4</v>
      </c>
      <c r="AT143" t="s">
        <v>153</v>
      </c>
      <c r="AU143">
        <v>6.48</v>
      </c>
      <c r="AV143" t="s">
        <v>42</v>
      </c>
      <c r="AW143" t="s">
        <v>222</v>
      </c>
    </row>
    <row r="144" spans="1:49" x14ac:dyDescent="0.25">
      <c r="A144" t="s">
        <v>222</v>
      </c>
      <c r="B144" t="s">
        <v>670</v>
      </c>
      <c r="C144" t="s">
        <v>671</v>
      </c>
      <c r="D144" t="s">
        <v>672</v>
      </c>
      <c r="F144">
        <v>4.07</v>
      </c>
      <c r="G144">
        <v>0</v>
      </c>
      <c r="H144" s="14">
        <v>4.07</v>
      </c>
      <c r="I144">
        <v>653470</v>
      </c>
      <c r="J144" t="s">
        <v>330</v>
      </c>
      <c r="P144" t="s">
        <v>218</v>
      </c>
      <c r="R144" t="s">
        <v>219</v>
      </c>
      <c r="S144" t="s">
        <v>220</v>
      </c>
      <c r="T144" t="s">
        <v>673</v>
      </c>
      <c r="U144">
        <v>798992</v>
      </c>
      <c r="V144" t="s">
        <v>59</v>
      </c>
      <c r="W144" t="s">
        <v>674</v>
      </c>
      <c r="Y144">
        <v>38593</v>
      </c>
      <c r="Z144" t="s">
        <v>52</v>
      </c>
      <c r="AA144" t="s">
        <v>28</v>
      </c>
      <c r="AB144" t="s">
        <v>675</v>
      </c>
      <c r="AC144" t="s">
        <v>686</v>
      </c>
      <c r="AD144" t="s">
        <v>687</v>
      </c>
      <c r="AE144" t="s">
        <v>882</v>
      </c>
      <c r="AF144" t="s">
        <v>719</v>
      </c>
      <c r="AG144" t="s">
        <v>221</v>
      </c>
      <c r="AH144" t="s">
        <v>933</v>
      </c>
      <c r="AJ144" t="s">
        <v>30</v>
      </c>
      <c r="AK144" t="s">
        <v>703</v>
      </c>
      <c r="AL144">
        <v>7</v>
      </c>
      <c r="AM144" t="s">
        <v>670</v>
      </c>
      <c r="AN144" t="s">
        <v>682</v>
      </c>
      <c r="AO144" s="14">
        <v>11</v>
      </c>
      <c r="AP144" t="s">
        <v>54</v>
      </c>
      <c r="AQ144">
        <v>1554675112</v>
      </c>
      <c r="AS144" t="s">
        <v>4</v>
      </c>
      <c r="AT144" t="s">
        <v>53</v>
      </c>
      <c r="AU144">
        <v>4.07</v>
      </c>
      <c r="AV144" t="s">
        <v>54</v>
      </c>
      <c r="AW144" t="s">
        <v>222</v>
      </c>
    </row>
    <row r="145" spans="1:49" x14ac:dyDescent="0.25">
      <c r="A145" t="s">
        <v>227</v>
      </c>
      <c r="B145" t="s">
        <v>670</v>
      </c>
      <c r="C145" t="s">
        <v>671</v>
      </c>
      <c r="D145" t="s">
        <v>672</v>
      </c>
      <c r="F145">
        <v>17.04</v>
      </c>
      <c r="G145">
        <v>0</v>
      </c>
      <c r="H145" s="14">
        <v>17.04</v>
      </c>
      <c r="I145">
        <v>653470</v>
      </c>
      <c r="J145" t="s">
        <v>330</v>
      </c>
      <c r="P145" t="s">
        <v>223</v>
      </c>
      <c r="R145" t="s">
        <v>224</v>
      </c>
      <c r="S145" t="s">
        <v>225</v>
      </c>
      <c r="T145" t="s">
        <v>695</v>
      </c>
      <c r="U145">
        <v>689390</v>
      </c>
      <c r="V145" t="s">
        <v>77</v>
      </c>
      <c r="W145" t="s">
        <v>674</v>
      </c>
      <c r="Y145">
        <v>38399</v>
      </c>
      <c r="Z145" t="s">
        <v>79</v>
      </c>
      <c r="AA145" t="s">
        <v>28</v>
      </c>
      <c r="AB145" t="s">
        <v>675</v>
      </c>
      <c r="AC145" t="s">
        <v>676</v>
      </c>
      <c r="AD145" t="s">
        <v>677</v>
      </c>
      <c r="AE145" t="s">
        <v>934</v>
      </c>
      <c r="AF145" t="s">
        <v>693</v>
      </c>
      <c r="AG145" t="s">
        <v>226</v>
      </c>
      <c r="AH145" t="s">
        <v>935</v>
      </c>
      <c r="AJ145" t="s">
        <v>30</v>
      </c>
      <c r="AK145" t="s">
        <v>681</v>
      </c>
      <c r="AL145">
        <v>3</v>
      </c>
      <c r="AM145" t="s">
        <v>264</v>
      </c>
      <c r="AN145" t="s">
        <v>29</v>
      </c>
      <c r="AO145" s="14">
        <v>71</v>
      </c>
      <c r="AP145" t="s">
        <v>42</v>
      </c>
      <c r="AQ145">
        <v>1554765399</v>
      </c>
      <c r="AS145" t="s">
        <v>4</v>
      </c>
      <c r="AT145" t="s">
        <v>80</v>
      </c>
      <c r="AU145">
        <v>17.04</v>
      </c>
      <c r="AV145" t="s">
        <v>42</v>
      </c>
      <c r="AW145" t="s">
        <v>227</v>
      </c>
    </row>
    <row r="146" spans="1:49" x14ac:dyDescent="0.25">
      <c r="A146" t="s">
        <v>227</v>
      </c>
      <c r="B146" t="s">
        <v>670</v>
      </c>
      <c r="C146" t="s">
        <v>671</v>
      </c>
      <c r="D146" t="s">
        <v>672</v>
      </c>
      <c r="F146">
        <v>15.6</v>
      </c>
      <c r="G146">
        <v>0</v>
      </c>
      <c r="H146" s="14">
        <v>15.6</v>
      </c>
      <c r="I146">
        <v>653470</v>
      </c>
      <c r="J146" t="s">
        <v>330</v>
      </c>
      <c r="P146" t="s">
        <v>228</v>
      </c>
      <c r="R146" t="s">
        <v>229</v>
      </c>
      <c r="S146" t="s">
        <v>230</v>
      </c>
      <c r="T146" t="s">
        <v>695</v>
      </c>
      <c r="U146">
        <v>689390</v>
      </c>
      <c r="V146" t="s">
        <v>77</v>
      </c>
      <c r="W146" t="s">
        <v>674</v>
      </c>
      <c r="Y146">
        <v>38399</v>
      </c>
      <c r="Z146" t="s">
        <v>79</v>
      </c>
      <c r="AA146" t="s">
        <v>28</v>
      </c>
      <c r="AB146" t="s">
        <v>675</v>
      </c>
      <c r="AC146" t="s">
        <v>676</v>
      </c>
      <c r="AD146" t="s">
        <v>677</v>
      </c>
      <c r="AE146" t="s">
        <v>936</v>
      </c>
      <c r="AF146" t="s">
        <v>887</v>
      </c>
      <c r="AG146" t="s">
        <v>231</v>
      </c>
      <c r="AH146" t="s">
        <v>937</v>
      </c>
      <c r="AJ146" t="s">
        <v>30</v>
      </c>
      <c r="AK146" t="s">
        <v>681</v>
      </c>
      <c r="AL146">
        <v>26</v>
      </c>
      <c r="AM146" t="s">
        <v>264</v>
      </c>
      <c r="AN146" t="s">
        <v>29</v>
      </c>
      <c r="AO146" s="14">
        <v>65</v>
      </c>
      <c r="AP146" t="s">
        <v>42</v>
      </c>
      <c r="AQ146">
        <v>1554777133</v>
      </c>
      <c r="AS146" t="s">
        <v>4</v>
      </c>
      <c r="AT146" t="s">
        <v>100</v>
      </c>
      <c r="AU146">
        <v>15.6</v>
      </c>
      <c r="AV146" t="s">
        <v>42</v>
      </c>
      <c r="AW146" t="s">
        <v>227</v>
      </c>
    </row>
    <row r="147" spans="1:49" x14ac:dyDescent="0.25">
      <c r="A147" t="s">
        <v>227</v>
      </c>
      <c r="B147" t="s">
        <v>670</v>
      </c>
      <c r="C147" t="s">
        <v>671</v>
      </c>
      <c r="D147" t="s">
        <v>672</v>
      </c>
      <c r="F147">
        <v>1.05</v>
      </c>
      <c r="G147">
        <v>0</v>
      </c>
      <c r="H147" s="14">
        <v>1.05</v>
      </c>
      <c r="I147">
        <v>653470</v>
      </c>
      <c r="J147" t="s">
        <v>330</v>
      </c>
      <c r="P147" t="s">
        <v>232</v>
      </c>
      <c r="R147" t="s">
        <v>233</v>
      </c>
      <c r="S147" t="s">
        <v>234</v>
      </c>
      <c r="T147" t="s">
        <v>695</v>
      </c>
      <c r="U147">
        <v>720542</v>
      </c>
      <c r="V147" t="s">
        <v>235</v>
      </c>
      <c r="W147" t="s">
        <v>674</v>
      </c>
      <c r="Y147">
        <v>38398</v>
      </c>
      <c r="Z147" t="s">
        <v>38</v>
      </c>
      <c r="AA147" t="s">
        <v>28</v>
      </c>
      <c r="AB147" t="s">
        <v>675</v>
      </c>
      <c r="AC147" t="s">
        <v>676</v>
      </c>
      <c r="AD147" t="s">
        <v>677</v>
      </c>
      <c r="AE147" t="s">
        <v>936</v>
      </c>
      <c r="AF147" t="s">
        <v>887</v>
      </c>
      <c r="AG147" t="s">
        <v>236</v>
      </c>
      <c r="AH147" t="s">
        <v>938</v>
      </c>
      <c r="AJ147" t="s">
        <v>30</v>
      </c>
      <c r="AK147" t="s">
        <v>681</v>
      </c>
      <c r="AL147">
        <v>26</v>
      </c>
      <c r="AM147" t="s">
        <v>264</v>
      </c>
      <c r="AN147" t="s">
        <v>29</v>
      </c>
      <c r="AO147" s="14">
        <v>35</v>
      </c>
      <c r="AP147" t="s">
        <v>238</v>
      </c>
      <c r="AQ147">
        <v>1554777259</v>
      </c>
      <c r="AS147" t="s">
        <v>4</v>
      </c>
      <c r="AT147" t="s">
        <v>237</v>
      </c>
      <c r="AU147">
        <v>1.05</v>
      </c>
      <c r="AV147" t="s">
        <v>238</v>
      </c>
      <c r="AW147" t="s">
        <v>227</v>
      </c>
    </row>
    <row r="148" spans="1:49" x14ac:dyDescent="0.25">
      <c r="A148" t="s">
        <v>227</v>
      </c>
      <c r="B148" t="s">
        <v>670</v>
      </c>
      <c r="C148" t="s">
        <v>671</v>
      </c>
      <c r="D148" t="s">
        <v>672</v>
      </c>
      <c r="F148">
        <v>6.48</v>
      </c>
      <c r="G148">
        <v>0</v>
      </c>
      <c r="H148" s="14">
        <v>6.48</v>
      </c>
      <c r="I148">
        <v>653470</v>
      </c>
      <c r="J148" t="s">
        <v>330</v>
      </c>
      <c r="P148" t="s">
        <v>239</v>
      </c>
      <c r="R148" t="s">
        <v>240</v>
      </c>
      <c r="S148" t="s">
        <v>241</v>
      </c>
      <c r="T148" t="s">
        <v>673</v>
      </c>
      <c r="U148">
        <v>798992</v>
      </c>
      <c r="V148" t="s">
        <v>59</v>
      </c>
      <c r="W148" t="s">
        <v>674</v>
      </c>
      <c r="Y148">
        <v>47133</v>
      </c>
      <c r="Z148" t="s">
        <v>152</v>
      </c>
      <c r="AA148" t="s">
        <v>28</v>
      </c>
      <c r="AB148" t="s">
        <v>675</v>
      </c>
      <c r="AC148" t="s">
        <v>676</v>
      </c>
      <c r="AD148" t="s">
        <v>677</v>
      </c>
      <c r="AE148" t="s">
        <v>939</v>
      </c>
      <c r="AF148" t="s">
        <v>716</v>
      </c>
      <c r="AG148" t="s">
        <v>242</v>
      </c>
      <c r="AH148" t="s">
        <v>940</v>
      </c>
      <c r="AJ148" t="s">
        <v>30</v>
      </c>
      <c r="AK148" t="s">
        <v>681</v>
      </c>
      <c r="AL148">
        <v>4</v>
      </c>
      <c r="AM148" t="s">
        <v>264</v>
      </c>
      <c r="AN148" t="s">
        <v>29</v>
      </c>
      <c r="AO148" s="14">
        <v>27</v>
      </c>
      <c r="AP148" t="s">
        <v>42</v>
      </c>
      <c r="AQ148">
        <v>1554743797</v>
      </c>
      <c r="AS148" t="s">
        <v>4</v>
      </c>
      <c r="AT148" t="s">
        <v>153</v>
      </c>
      <c r="AU148">
        <v>6.48</v>
      </c>
      <c r="AV148" t="s">
        <v>42</v>
      </c>
      <c r="AW148" t="s">
        <v>227</v>
      </c>
    </row>
    <row r="149" spans="1:49" x14ac:dyDescent="0.25">
      <c r="A149" t="s">
        <v>227</v>
      </c>
      <c r="B149" t="s">
        <v>670</v>
      </c>
      <c r="C149" t="s">
        <v>671</v>
      </c>
      <c r="D149" t="s">
        <v>672</v>
      </c>
      <c r="F149">
        <v>4.07</v>
      </c>
      <c r="G149">
        <v>0</v>
      </c>
      <c r="H149" s="14">
        <v>4.07</v>
      </c>
      <c r="I149">
        <v>653470</v>
      </c>
      <c r="J149" t="s">
        <v>330</v>
      </c>
      <c r="P149" t="s">
        <v>243</v>
      </c>
      <c r="R149" t="s">
        <v>244</v>
      </c>
      <c r="S149" t="s">
        <v>245</v>
      </c>
      <c r="T149" t="s">
        <v>673</v>
      </c>
      <c r="U149">
        <v>723477</v>
      </c>
      <c r="V149" t="s">
        <v>246</v>
      </c>
      <c r="W149" t="s">
        <v>674</v>
      </c>
      <c r="Y149">
        <v>38593</v>
      </c>
      <c r="Z149" t="s">
        <v>52</v>
      </c>
      <c r="AA149" t="s">
        <v>28</v>
      </c>
      <c r="AB149" t="s">
        <v>675</v>
      </c>
      <c r="AC149" t="s">
        <v>686</v>
      </c>
      <c r="AD149" t="s">
        <v>687</v>
      </c>
      <c r="AE149" t="s">
        <v>941</v>
      </c>
      <c r="AF149" t="s">
        <v>689</v>
      </c>
      <c r="AG149" t="s">
        <v>247</v>
      </c>
      <c r="AH149" t="s">
        <v>942</v>
      </c>
      <c r="AJ149" t="s">
        <v>30</v>
      </c>
      <c r="AK149" t="s">
        <v>681</v>
      </c>
      <c r="AL149">
        <v>23</v>
      </c>
      <c r="AM149" t="s">
        <v>264</v>
      </c>
      <c r="AN149" t="s">
        <v>29</v>
      </c>
      <c r="AO149" s="14">
        <v>11</v>
      </c>
      <c r="AP149" t="s">
        <v>54</v>
      </c>
      <c r="AQ149">
        <v>1554756963</v>
      </c>
      <c r="AS149" t="s">
        <v>4</v>
      </c>
      <c r="AT149" t="s">
        <v>53</v>
      </c>
      <c r="AU149">
        <v>4.07</v>
      </c>
      <c r="AV149" t="s">
        <v>54</v>
      </c>
      <c r="AW149" t="s">
        <v>227</v>
      </c>
    </row>
    <row r="150" spans="1:49" x14ac:dyDescent="0.25">
      <c r="A150" t="s">
        <v>227</v>
      </c>
      <c r="B150" t="s">
        <v>670</v>
      </c>
      <c r="C150" t="s">
        <v>671</v>
      </c>
      <c r="D150" t="s">
        <v>672</v>
      </c>
      <c r="F150">
        <v>4.29</v>
      </c>
      <c r="G150">
        <v>0</v>
      </c>
      <c r="H150" s="14">
        <v>4.29</v>
      </c>
      <c r="I150">
        <v>653470</v>
      </c>
      <c r="J150" t="s">
        <v>330</v>
      </c>
      <c r="P150" t="s">
        <v>248</v>
      </c>
      <c r="R150" t="s">
        <v>249</v>
      </c>
      <c r="S150" t="s">
        <v>250</v>
      </c>
      <c r="T150" t="s">
        <v>898</v>
      </c>
      <c r="U150">
        <v>711419</v>
      </c>
      <c r="V150" t="s">
        <v>251</v>
      </c>
      <c r="W150" t="s">
        <v>674</v>
      </c>
      <c r="Y150">
        <v>38399</v>
      </c>
      <c r="Z150" t="s">
        <v>79</v>
      </c>
      <c r="AA150" t="s">
        <v>85</v>
      </c>
      <c r="AB150" t="s">
        <v>675</v>
      </c>
      <c r="AC150" t="s">
        <v>676</v>
      </c>
      <c r="AD150" t="s">
        <v>677</v>
      </c>
      <c r="AE150" t="s">
        <v>943</v>
      </c>
      <c r="AF150" t="s">
        <v>872</v>
      </c>
      <c r="AG150" t="s">
        <v>252</v>
      </c>
      <c r="AH150" t="s">
        <v>944</v>
      </c>
      <c r="AJ150" t="s">
        <v>30</v>
      </c>
      <c r="AK150" t="s">
        <v>703</v>
      </c>
      <c r="AL150">
        <v>10</v>
      </c>
      <c r="AM150" t="s">
        <v>670</v>
      </c>
      <c r="AN150" t="s">
        <v>682</v>
      </c>
      <c r="AO150" s="14">
        <v>143</v>
      </c>
      <c r="AP150" t="s">
        <v>238</v>
      </c>
      <c r="AQ150">
        <v>1554755722</v>
      </c>
      <c r="AS150" t="s">
        <v>4</v>
      </c>
      <c r="AT150" t="s">
        <v>253</v>
      </c>
      <c r="AU150">
        <v>4.29</v>
      </c>
      <c r="AV150" t="s">
        <v>238</v>
      </c>
      <c r="AW150" t="s">
        <v>227</v>
      </c>
    </row>
    <row r="151" spans="1:49" x14ac:dyDescent="0.25">
      <c r="A151" t="s">
        <v>227</v>
      </c>
      <c r="B151" t="s">
        <v>670</v>
      </c>
      <c r="C151" t="s">
        <v>671</v>
      </c>
      <c r="D151" t="s">
        <v>672</v>
      </c>
      <c r="F151">
        <v>17.760000000000002</v>
      </c>
      <c r="G151">
        <v>0</v>
      </c>
      <c r="H151" s="14">
        <v>17.760000000000002</v>
      </c>
      <c r="I151">
        <v>653470</v>
      </c>
      <c r="J151" t="s">
        <v>330</v>
      </c>
      <c r="P151" t="s">
        <v>255</v>
      </c>
      <c r="R151" t="s">
        <v>256</v>
      </c>
      <c r="S151" t="s">
        <v>257</v>
      </c>
      <c r="T151" t="s">
        <v>710</v>
      </c>
      <c r="U151">
        <v>689390</v>
      </c>
      <c r="V151" t="s">
        <v>77</v>
      </c>
      <c r="W151" t="s">
        <v>674</v>
      </c>
      <c r="Y151">
        <v>38399</v>
      </c>
      <c r="Z151" t="s">
        <v>79</v>
      </c>
      <c r="AA151" t="s">
        <v>28</v>
      </c>
      <c r="AB151" t="s">
        <v>675</v>
      </c>
      <c r="AC151" t="s">
        <v>676</v>
      </c>
      <c r="AD151" t="s">
        <v>677</v>
      </c>
      <c r="AE151" t="s">
        <v>885</v>
      </c>
      <c r="AF151" t="s">
        <v>264</v>
      </c>
      <c r="AG151" t="s">
        <v>258</v>
      </c>
      <c r="AH151" t="s">
        <v>945</v>
      </c>
      <c r="AJ151" t="s">
        <v>30</v>
      </c>
      <c r="AK151" t="s">
        <v>703</v>
      </c>
      <c r="AL151">
        <v>2</v>
      </c>
      <c r="AM151" t="s">
        <v>670</v>
      </c>
      <c r="AN151" t="s">
        <v>682</v>
      </c>
      <c r="AO151" s="14">
        <v>74</v>
      </c>
      <c r="AP151" t="s">
        <v>42</v>
      </c>
      <c r="AQ151">
        <v>1554749832</v>
      </c>
      <c r="AS151" t="s">
        <v>4</v>
      </c>
      <c r="AT151" t="s">
        <v>259</v>
      </c>
      <c r="AU151">
        <v>17.760000000000002</v>
      </c>
      <c r="AV151" t="s">
        <v>42</v>
      </c>
      <c r="AW151" t="s">
        <v>227</v>
      </c>
    </row>
    <row r="152" spans="1:49" x14ac:dyDescent="0.25">
      <c r="A152" t="s">
        <v>264</v>
      </c>
      <c r="B152" t="s">
        <v>670</v>
      </c>
      <c r="C152" t="s">
        <v>671</v>
      </c>
      <c r="D152" t="s">
        <v>672</v>
      </c>
      <c r="F152">
        <v>12.48</v>
      </c>
      <c r="G152">
        <v>0</v>
      </c>
      <c r="H152" s="14">
        <v>12.48</v>
      </c>
      <c r="I152">
        <v>653470</v>
      </c>
      <c r="J152" t="s">
        <v>330</v>
      </c>
      <c r="P152" t="s">
        <v>260</v>
      </c>
      <c r="R152" t="s">
        <v>261</v>
      </c>
      <c r="S152" t="s">
        <v>262</v>
      </c>
      <c r="T152" t="s">
        <v>691</v>
      </c>
      <c r="U152">
        <v>759555</v>
      </c>
      <c r="V152" t="s">
        <v>143</v>
      </c>
      <c r="W152" t="s">
        <v>674</v>
      </c>
      <c r="Y152">
        <v>38398</v>
      </c>
      <c r="Z152" t="s">
        <v>38</v>
      </c>
      <c r="AA152" t="s">
        <v>28</v>
      </c>
      <c r="AB152" t="s">
        <v>675</v>
      </c>
      <c r="AC152" t="s">
        <v>676</v>
      </c>
      <c r="AD152" t="s">
        <v>677</v>
      </c>
      <c r="AE152" t="s">
        <v>692</v>
      </c>
      <c r="AF152" t="s">
        <v>693</v>
      </c>
      <c r="AG152" t="s">
        <v>284</v>
      </c>
      <c r="AH152" t="s">
        <v>946</v>
      </c>
      <c r="AJ152" t="s">
        <v>30</v>
      </c>
      <c r="AK152" t="s">
        <v>681</v>
      </c>
      <c r="AL152">
        <v>3</v>
      </c>
      <c r="AM152" t="s">
        <v>264</v>
      </c>
      <c r="AN152" t="s">
        <v>29</v>
      </c>
      <c r="AO152" s="14">
        <v>52</v>
      </c>
      <c r="AP152" t="s">
        <v>42</v>
      </c>
      <c r="AQ152">
        <v>1554832400</v>
      </c>
      <c r="AS152" t="s">
        <v>4</v>
      </c>
      <c r="AT152" t="s">
        <v>285</v>
      </c>
      <c r="AU152">
        <v>12.48</v>
      </c>
      <c r="AV152" t="s">
        <v>42</v>
      </c>
      <c r="AW152" t="s">
        <v>264</v>
      </c>
    </row>
    <row r="153" spans="1:49" x14ac:dyDescent="0.25">
      <c r="A153" t="s">
        <v>264</v>
      </c>
      <c r="B153" t="s">
        <v>670</v>
      </c>
      <c r="C153" t="s">
        <v>671</v>
      </c>
      <c r="D153" t="s">
        <v>672</v>
      </c>
      <c r="F153">
        <v>4.07</v>
      </c>
      <c r="G153">
        <v>0</v>
      </c>
      <c r="H153" s="14">
        <v>4.07</v>
      </c>
      <c r="I153">
        <v>653470</v>
      </c>
      <c r="J153" t="s">
        <v>330</v>
      </c>
      <c r="P153" t="s">
        <v>260</v>
      </c>
      <c r="R153" t="s">
        <v>261</v>
      </c>
      <c r="S153" t="s">
        <v>262</v>
      </c>
      <c r="T153" t="s">
        <v>691</v>
      </c>
      <c r="U153">
        <v>759555</v>
      </c>
      <c r="V153" t="s">
        <v>143</v>
      </c>
      <c r="W153" t="s">
        <v>674</v>
      </c>
      <c r="Y153">
        <v>38593</v>
      </c>
      <c r="Z153" t="s">
        <v>52</v>
      </c>
      <c r="AA153" t="s">
        <v>28</v>
      </c>
      <c r="AB153" t="s">
        <v>675</v>
      </c>
      <c r="AC153" t="s">
        <v>686</v>
      </c>
      <c r="AD153" t="s">
        <v>687</v>
      </c>
      <c r="AE153" t="s">
        <v>692</v>
      </c>
      <c r="AF153" t="s">
        <v>693</v>
      </c>
      <c r="AG153" t="s">
        <v>263</v>
      </c>
      <c r="AH153" t="s">
        <v>946</v>
      </c>
      <c r="AJ153" t="s">
        <v>30</v>
      </c>
      <c r="AK153" t="s">
        <v>681</v>
      </c>
      <c r="AL153">
        <v>3</v>
      </c>
      <c r="AM153" t="s">
        <v>264</v>
      </c>
      <c r="AN153" t="s">
        <v>29</v>
      </c>
      <c r="AO153" s="14">
        <v>11</v>
      </c>
      <c r="AP153" t="s">
        <v>54</v>
      </c>
      <c r="AQ153">
        <v>1554832402</v>
      </c>
      <c r="AS153" t="s">
        <v>4</v>
      </c>
      <c r="AT153" t="s">
        <v>53</v>
      </c>
      <c r="AU153">
        <v>4.07</v>
      </c>
      <c r="AV153" t="s">
        <v>54</v>
      </c>
      <c r="AW153" t="s">
        <v>264</v>
      </c>
    </row>
    <row r="154" spans="1:49" x14ac:dyDescent="0.25">
      <c r="A154" t="s">
        <v>264</v>
      </c>
      <c r="B154" t="s">
        <v>670</v>
      </c>
      <c r="C154" t="s">
        <v>671</v>
      </c>
      <c r="D154" t="s">
        <v>672</v>
      </c>
      <c r="F154">
        <v>16</v>
      </c>
      <c r="G154">
        <v>0</v>
      </c>
      <c r="H154" s="14">
        <v>16</v>
      </c>
      <c r="I154">
        <v>653470</v>
      </c>
      <c r="J154" t="s">
        <v>330</v>
      </c>
      <c r="P154" t="s">
        <v>265</v>
      </c>
      <c r="R154" t="s">
        <v>266</v>
      </c>
      <c r="S154" t="s">
        <v>267</v>
      </c>
      <c r="T154" t="s">
        <v>673</v>
      </c>
      <c r="U154">
        <v>678726</v>
      </c>
      <c r="V154" t="s">
        <v>25</v>
      </c>
      <c r="W154" t="s">
        <v>674</v>
      </c>
      <c r="Y154">
        <v>45041</v>
      </c>
      <c r="Z154" t="s">
        <v>27</v>
      </c>
      <c r="AA154" t="s">
        <v>85</v>
      </c>
      <c r="AB154" t="s">
        <v>675</v>
      </c>
      <c r="AC154" t="s">
        <v>676</v>
      </c>
      <c r="AD154" t="s">
        <v>677</v>
      </c>
      <c r="AE154" t="s">
        <v>698</v>
      </c>
      <c r="AF154" t="s">
        <v>699</v>
      </c>
      <c r="AG154" t="s">
        <v>268</v>
      </c>
      <c r="AH154" t="s">
        <v>947</v>
      </c>
      <c r="AJ154" t="s">
        <v>30</v>
      </c>
      <c r="AK154" t="s">
        <v>681</v>
      </c>
      <c r="AL154">
        <v>13</v>
      </c>
      <c r="AM154" t="s">
        <v>264</v>
      </c>
      <c r="AN154" t="s">
        <v>29</v>
      </c>
      <c r="AO154" s="14">
        <v>50</v>
      </c>
      <c r="AP154" t="s">
        <v>32</v>
      </c>
      <c r="AQ154">
        <v>1554840933</v>
      </c>
      <c r="AS154" t="s">
        <v>4</v>
      </c>
      <c r="AT154" t="s">
        <v>182</v>
      </c>
      <c r="AU154">
        <v>16</v>
      </c>
      <c r="AV154" t="s">
        <v>32</v>
      </c>
      <c r="AW154" t="s">
        <v>264</v>
      </c>
    </row>
    <row r="155" spans="1:49" x14ac:dyDescent="0.25">
      <c r="A155" t="s">
        <v>264</v>
      </c>
      <c r="B155" t="s">
        <v>670</v>
      </c>
      <c r="C155" t="s">
        <v>671</v>
      </c>
      <c r="D155" t="s">
        <v>672</v>
      </c>
      <c r="F155">
        <v>9.9600000000000009</v>
      </c>
      <c r="G155">
        <v>0</v>
      </c>
      <c r="H155" s="14">
        <v>9.9600000000000009</v>
      </c>
      <c r="I155">
        <v>653470</v>
      </c>
      <c r="J155" t="s">
        <v>330</v>
      </c>
      <c r="P155" t="s">
        <v>269</v>
      </c>
      <c r="R155" t="s">
        <v>270</v>
      </c>
      <c r="S155" t="s">
        <v>271</v>
      </c>
      <c r="T155" t="s">
        <v>673</v>
      </c>
      <c r="U155">
        <v>678726</v>
      </c>
      <c r="V155" t="s">
        <v>25</v>
      </c>
      <c r="W155" t="s">
        <v>674</v>
      </c>
      <c r="Y155">
        <v>45041</v>
      </c>
      <c r="Z155" t="s">
        <v>27</v>
      </c>
      <c r="AA155" t="s">
        <v>28</v>
      </c>
      <c r="AB155" t="s">
        <v>675</v>
      </c>
      <c r="AC155" t="s">
        <v>676</v>
      </c>
      <c r="AD155" t="s">
        <v>677</v>
      </c>
      <c r="AE155" t="s">
        <v>683</v>
      </c>
      <c r="AF155" t="s">
        <v>684</v>
      </c>
      <c r="AG155" t="s">
        <v>272</v>
      </c>
      <c r="AH155" t="s">
        <v>948</v>
      </c>
      <c r="AJ155" t="s">
        <v>30</v>
      </c>
      <c r="AK155" t="s">
        <v>681</v>
      </c>
      <c r="AL155">
        <v>16</v>
      </c>
      <c r="AM155" t="s">
        <v>264</v>
      </c>
      <c r="AN155" t="s">
        <v>29</v>
      </c>
      <c r="AO155" s="14">
        <v>31.13</v>
      </c>
      <c r="AP155" t="s">
        <v>32</v>
      </c>
      <c r="AQ155">
        <v>1554834657</v>
      </c>
      <c r="AS155" t="s">
        <v>4</v>
      </c>
      <c r="AT155" t="s">
        <v>273</v>
      </c>
      <c r="AU155">
        <v>9.9600000000000009</v>
      </c>
      <c r="AV155" t="s">
        <v>32</v>
      </c>
      <c r="AW155" t="s">
        <v>264</v>
      </c>
    </row>
    <row r="156" spans="1:49" x14ac:dyDescent="0.25">
      <c r="A156" t="s">
        <v>264</v>
      </c>
      <c r="B156" t="s">
        <v>670</v>
      </c>
      <c r="C156" t="s">
        <v>671</v>
      </c>
      <c r="D156" t="s">
        <v>672</v>
      </c>
      <c r="F156">
        <v>8</v>
      </c>
      <c r="G156">
        <v>0</v>
      </c>
      <c r="H156" s="14">
        <v>8</v>
      </c>
      <c r="I156">
        <v>653470</v>
      </c>
      <c r="J156" t="s">
        <v>330</v>
      </c>
      <c r="P156" t="s">
        <v>22</v>
      </c>
      <c r="R156" t="s">
        <v>23</v>
      </c>
      <c r="S156" t="s">
        <v>24</v>
      </c>
      <c r="T156" t="s">
        <v>673</v>
      </c>
      <c r="U156">
        <v>678726</v>
      </c>
      <c r="V156" t="s">
        <v>25</v>
      </c>
      <c r="W156" t="s">
        <v>674</v>
      </c>
      <c r="Y156">
        <v>45041</v>
      </c>
      <c r="Z156" t="s">
        <v>27</v>
      </c>
      <c r="AA156" t="s">
        <v>28</v>
      </c>
      <c r="AB156" t="s">
        <v>675</v>
      </c>
      <c r="AC156" t="s">
        <v>676</v>
      </c>
      <c r="AD156" t="s">
        <v>677</v>
      </c>
      <c r="AE156" t="s">
        <v>678</v>
      </c>
      <c r="AF156" t="s">
        <v>679</v>
      </c>
      <c r="AG156" t="s">
        <v>26</v>
      </c>
      <c r="AH156" t="s">
        <v>949</v>
      </c>
      <c r="AJ156" t="s">
        <v>30</v>
      </c>
      <c r="AK156" t="s">
        <v>681</v>
      </c>
      <c r="AL156">
        <v>11</v>
      </c>
      <c r="AM156" t="s">
        <v>264</v>
      </c>
      <c r="AN156" t="s">
        <v>29</v>
      </c>
      <c r="AO156" s="14">
        <v>25</v>
      </c>
      <c r="AP156" t="s">
        <v>32</v>
      </c>
      <c r="AQ156">
        <v>1554833694</v>
      </c>
      <c r="AS156" t="s">
        <v>4</v>
      </c>
      <c r="AT156" t="s">
        <v>31</v>
      </c>
      <c r="AU156">
        <v>8</v>
      </c>
      <c r="AV156" t="s">
        <v>32</v>
      </c>
      <c r="AW156" t="s">
        <v>264</v>
      </c>
    </row>
    <row r="157" spans="1:49" x14ac:dyDescent="0.25">
      <c r="A157" t="s">
        <v>264</v>
      </c>
      <c r="B157" t="s">
        <v>670</v>
      </c>
      <c r="C157" t="s">
        <v>671</v>
      </c>
      <c r="D157" t="s">
        <v>672</v>
      </c>
      <c r="F157">
        <v>4.07</v>
      </c>
      <c r="G157">
        <v>0</v>
      </c>
      <c r="H157" s="14">
        <v>4.07</v>
      </c>
      <c r="I157">
        <v>653470</v>
      </c>
      <c r="J157" t="s">
        <v>330</v>
      </c>
      <c r="P157" t="s">
        <v>274</v>
      </c>
      <c r="R157" t="s">
        <v>275</v>
      </c>
      <c r="S157" t="s">
        <v>276</v>
      </c>
      <c r="T157" t="s">
        <v>673</v>
      </c>
      <c r="U157">
        <v>657149</v>
      </c>
      <c r="V157" t="s">
        <v>277</v>
      </c>
      <c r="W157" t="s">
        <v>674</v>
      </c>
      <c r="Y157">
        <v>38593</v>
      </c>
      <c r="Z157" t="s">
        <v>52</v>
      </c>
      <c r="AA157" t="s">
        <v>28</v>
      </c>
      <c r="AB157" t="s">
        <v>675</v>
      </c>
      <c r="AC157" t="s">
        <v>686</v>
      </c>
      <c r="AD157" t="s">
        <v>687</v>
      </c>
      <c r="AE157" t="s">
        <v>688</v>
      </c>
      <c r="AF157" t="s">
        <v>689</v>
      </c>
      <c r="AG157" t="s">
        <v>278</v>
      </c>
      <c r="AH157" t="s">
        <v>950</v>
      </c>
      <c r="AJ157" t="s">
        <v>30</v>
      </c>
      <c r="AK157" t="s">
        <v>681</v>
      </c>
      <c r="AL157">
        <v>23</v>
      </c>
      <c r="AM157" t="s">
        <v>264</v>
      </c>
      <c r="AN157" t="s">
        <v>29</v>
      </c>
      <c r="AO157" s="14">
        <v>11</v>
      </c>
      <c r="AP157" t="s">
        <v>54</v>
      </c>
      <c r="AQ157">
        <v>1554835176</v>
      </c>
      <c r="AS157" t="s">
        <v>4</v>
      </c>
      <c r="AT157" t="s">
        <v>53</v>
      </c>
      <c r="AU157">
        <v>4.07</v>
      </c>
      <c r="AV157" t="s">
        <v>54</v>
      </c>
      <c r="AW157" t="s">
        <v>264</v>
      </c>
    </row>
    <row r="158" spans="1:49" x14ac:dyDescent="0.25">
      <c r="A158" t="s">
        <v>264</v>
      </c>
      <c r="B158" t="s">
        <v>670</v>
      </c>
      <c r="C158" t="s">
        <v>671</v>
      </c>
      <c r="D158" t="s">
        <v>672</v>
      </c>
      <c r="F158">
        <v>8</v>
      </c>
      <c r="G158">
        <v>0</v>
      </c>
      <c r="H158" s="14">
        <v>8</v>
      </c>
      <c r="I158">
        <v>653470</v>
      </c>
      <c r="J158" t="s">
        <v>330</v>
      </c>
      <c r="P158" t="s">
        <v>279</v>
      </c>
      <c r="R158" t="s">
        <v>280</v>
      </c>
      <c r="S158" t="s">
        <v>281</v>
      </c>
      <c r="T158" t="s">
        <v>673</v>
      </c>
      <c r="U158">
        <v>678726</v>
      </c>
      <c r="V158" t="s">
        <v>25</v>
      </c>
      <c r="W158" t="s">
        <v>674</v>
      </c>
      <c r="Y158">
        <v>45041</v>
      </c>
      <c r="Z158" t="s">
        <v>27</v>
      </c>
      <c r="AA158" t="s">
        <v>28</v>
      </c>
      <c r="AB158" t="s">
        <v>675</v>
      </c>
      <c r="AC158" t="s">
        <v>676</v>
      </c>
      <c r="AD158" t="s">
        <v>677</v>
      </c>
      <c r="AE158" t="s">
        <v>748</v>
      </c>
      <c r="AF158" t="s">
        <v>737</v>
      </c>
      <c r="AG158" t="s">
        <v>282</v>
      </c>
      <c r="AH158" t="s">
        <v>951</v>
      </c>
      <c r="AJ158" t="s">
        <v>30</v>
      </c>
      <c r="AK158" t="s">
        <v>681</v>
      </c>
      <c r="AL158">
        <v>15</v>
      </c>
      <c r="AM158" t="s">
        <v>264</v>
      </c>
      <c r="AN158" t="s">
        <v>29</v>
      </c>
      <c r="AO158" s="14">
        <v>25</v>
      </c>
      <c r="AP158" t="s">
        <v>32</v>
      </c>
      <c r="AQ158">
        <v>1554815693</v>
      </c>
      <c r="AS158" t="s">
        <v>4</v>
      </c>
      <c r="AT158" t="s">
        <v>31</v>
      </c>
      <c r="AU158">
        <v>8</v>
      </c>
      <c r="AV158" t="s">
        <v>32</v>
      </c>
      <c r="AW158" t="s">
        <v>264</v>
      </c>
    </row>
    <row r="159" spans="1:49" x14ac:dyDescent="0.25">
      <c r="A159" t="s">
        <v>264</v>
      </c>
      <c r="B159" t="s">
        <v>670</v>
      </c>
      <c r="C159" t="s">
        <v>671</v>
      </c>
      <c r="D159" t="s">
        <v>672</v>
      </c>
      <c r="F159">
        <v>4.07</v>
      </c>
      <c r="G159">
        <v>0</v>
      </c>
      <c r="H159" s="14">
        <v>4.07</v>
      </c>
      <c r="I159">
        <v>653470</v>
      </c>
      <c r="J159" t="s">
        <v>330</v>
      </c>
      <c r="P159" t="s">
        <v>279</v>
      </c>
      <c r="R159" t="s">
        <v>280</v>
      </c>
      <c r="S159" t="s">
        <v>281</v>
      </c>
      <c r="T159" t="s">
        <v>673</v>
      </c>
      <c r="U159">
        <v>678726</v>
      </c>
      <c r="V159" t="s">
        <v>25</v>
      </c>
      <c r="W159" t="s">
        <v>674</v>
      </c>
      <c r="Y159">
        <v>38593</v>
      </c>
      <c r="Z159" t="s">
        <v>52</v>
      </c>
      <c r="AA159" t="s">
        <v>28</v>
      </c>
      <c r="AB159" t="s">
        <v>675</v>
      </c>
      <c r="AC159" t="s">
        <v>686</v>
      </c>
      <c r="AD159" t="s">
        <v>687</v>
      </c>
      <c r="AE159" t="s">
        <v>748</v>
      </c>
      <c r="AF159" t="s">
        <v>737</v>
      </c>
      <c r="AG159" t="s">
        <v>283</v>
      </c>
      <c r="AH159" t="s">
        <v>951</v>
      </c>
      <c r="AJ159" t="s">
        <v>30</v>
      </c>
      <c r="AK159" t="s">
        <v>681</v>
      </c>
      <c r="AL159">
        <v>15</v>
      </c>
      <c r="AM159" t="s">
        <v>264</v>
      </c>
      <c r="AN159" t="s">
        <v>29</v>
      </c>
      <c r="AO159" s="14">
        <v>11</v>
      </c>
      <c r="AP159" t="s">
        <v>54</v>
      </c>
      <c r="AQ159">
        <v>1554815695</v>
      </c>
      <c r="AS159" t="s">
        <v>4</v>
      </c>
      <c r="AT159" t="s">
        <v>53</v>
      </c>
      <c r="AU159">
        <v>4.07</v>
      </c>
      <c r="AV159" t="s">
        <v>54</v>
      </c>
      <c r="AW159" t="s">
        <v>264</v>
      </c>
    </row>
    <row r="160" spans="1:49" x14ac:dyDescent="0.25">
      <c r="A160" t="s">
        <v>264</v>
      </c>
      <c r="B160" t="s">
        <v>670</v>
      </c>
      <c r="C160" t="s">
        <v>671</v>
      </c>
      <c r="D160" t="s">
        <v>672</v>
      </c>
      <c r="F160">
        <v>6.48</v>
      </c>
      <c r="G160">
        <v>0</v>
      </c>
      <c r="H160" s="14">
        <v>6.48</v>
      </c>
      <c r="I160">
        <v>653470</v>
      </c>
      <c r="J160" t="s">
        <v>330</v>
      </c>
      <c r="P160" t="s">
        <v>629</v>
      </c>
      <c r="R160" t="s">
        <v>630</v>
      </c>
      <c r="S160" t="s">
        <v>631</v>
      </c>
      <c r="T160" t="s">
        <v>673</v>
      </c>
      <c r="U160">
        <v>678726</v>
      </c>
      <c r="V160" t="s">
        <v>25</v>
      </c>
      <c r="W160" t="s">
        <v>674</v>
      </c>
      <c r="Y160">
        <v>47133</v>
      </c>
      <c r="Z160" t="s">
        <v>152</v>
      </c>
      <c r="AA160" t="s">
        <v>28</v>
      </c>
      <c r="AB160" t="s">
        <v>675</v>
      </c>
      <c r="AC160" t="s">
        <v>676</v>
      </c>
      <c r="AD160" t="s">
        <v>677</v>
      </c>
      <c r="AE160" t="s">
        <v>952</v>
      </c>
      <c r="AF160" t="s">
        <v>953</v>
      </c>
      <c r="AG160" t="s">
        <v>632</v>
      </c>
      <c r="AH160" t="s">
        <v>954</v>
      </c>
      <c r="AJ160" t="s">
        <v>30</v>
      </c>
      <c r="AK160" t="s">
        <v>681</v>
      </c>
      <c r="AL160">
        <v>8</v>
      </c>
      <c r="AM160" t="s">
        <v>264</v>
      </c>
      <c r="AN160" t="s">
        <v>29</v>
      </c>
      <c r="AO160" s="14">
        <v>27</v>
      </c>
      <c r="AP160" t="s">
        <v>42</v>
      </c>
      <c r="AQ160">
        <v>1554805265</v>
      </c>
      <c r="AS160" t="s">
        <v>4</v>
      </c>
      <c r="AT160" t="s">
        <v>153</v>
      </c>
      <c r="AU160">
        <v>6.48</v>
      </c>
      <c r="AV160" t="s">
        <v>42</v>
      </c>
      <c r="AW160" t="s">
        <v>264</v>
      </c>
    </row>
    <row r="161" spans="1:49" x14ac:dyDescent="0.25">
      <c r="A161" t="s">
        <v>264</v>
      </c>
      <c r="B161" t="s">
        <v>670</v>
      </c>
      <c r="C161" t="s">
        <v>671</v>
      </c>
      <c r="D161" t="s">
        <v>672</v>
      </c>
      <c r="F161">
        <v>4.07</v>
      </c>
      <c r="G161">
        <v>0</v>
      </c>
      <c r="H161" s="14">
        <v>4.07</v>
      </c>
      <c r="I161">
        <v>653470</v>
      </c>
      <c r="J161" t="s">
        <v>330</v>
      </c>
      <c r="P161" t="s">
        <v>629</v>
      </c>
      <c r="R161" t="s">
        <v>630</v>
      </c>
      <c r="S161" t="s">
        <v>631</v>
      </c>
      <c r="T161" t="s">
        <v>673</v>
      </c>
      <c r="U161">
        <v>678726</v>
      </c>
      <c r="V161" t="s">
        <v>25</v>
      </c>
      <c r="W161" t="s">
        <v>674</v>
      </c>
      <c r="Y161">
        <v>38593</v>
      </c>
      <c r="Z161" t="s">
        <v>52</v>
      </c>
      <c r="AA161" t="s">
        <v>28</v>
      </c>
      <c r="AB161" t="s">
        <v>675</v>
      </c>
      <c r="AC161" t="s">
        <v>686</v>
      </c>
      <c r="AD161" t="s">
        <v>687</v>
      </c>
      <c r="AE161" t="s">
        <v>952</v>
      </c>
      <c r="AF161" t="s">
        <v>953</v>
      </c>
      <c r="AG161" t="s">
        <v>633</v>
      </c>
      <c r="AH161" t="s">
        <v>954</v>
      </c>
      <c r="AJ161" t="s">
        <v>30</v>
      </c>
      <c r="AK161" t="s">
        <v>681</v>
      </c>
      <c r="AL161">
        <v>8</v>
      </c>
      <c r="AM161" t="s">
        <v>264</v>
      </c>
      <c r="AN161" t="s">
        <v>29</v>
      </c>
      <c r="AO161" s="14">
        <v>11</v>
      </c>
      <c r="AP161" t="s">
        <v>54</v>
      </c>
      <c r="AQ161">
        <v>1554805274</v>
      </c>
      <c r="AS161" t="s">
        <v>4</v>
      </c>
      <c r="AT161" t="s">
        <v>53</v>
      </c>
      <c r="AU161">
        <v>4.07</v>
      </c>
      <c r="AV161" t="s">
        <v>54</v>
      </c>
      <c r="AW161" t="s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0F6E-7500-4040-BC33-A7C3537A0253}">
  <dimension ref="A1:AZ441"/>
  <sheetViews>
    <sheetView tabSelected="1" workbookViewId="0">
      <selection activeCell="A7" sqref="A7:XFD7"/>
    </sheetView>
  </sheetViews>
  <sheetFormatPr defaultRowHeight="15" x14ac:dyDescent="0.25"/>
  <cols>
    <col min="1" max="1" width="11.7109375" customWidth="1"/>
    <col min="2" max="2" width="9.42578125" customWidth="1"/>
    <col min="3" max="3" width="13.42578125" bestFit="1" customWidth="1"/>
    <col min="4" max="4" width="6.85546875" customWidth="1"/>
    <col min="5" max="5" width="7" customWidth="1"/>
    <col min="6" max="6" width="15.28515625" customWidth="1"/>
    <col min="7" max="7" width="13.42578125" customWidth="1"/>
    <col min="8" max="8" width="10.42578125" customWidth="1"/>
    <col min="9" max="9" width="9.28515625" customWidth="1"/>
    <col min="10" max="10" width="10.42578125" customWidth="1"/>
    <col min="11" max="11" width="10.85546875" customWidth="1"/>
    <col min="12" max="12" width="13.140625" customWidth="1"/>
    <col min="13" max="14" width="14.28515625" customWidth="1"/>
    <col min="15" max="15" width="10.42578125" customWidth="1"/>
    <col min="16" max="17" width="8" customWidth="1"/>
    <col min="18" max="18" width="18.5703125" bestFit="1" customWidth="1"/>
    <col min="19" max="19" width="24.140625" bestFit="1" customWidth="1"/>
    <col min="20" max="20" width="15" bestFit="1" customWidth="1"/>
  </cols>
  <sheetData>
    <row r="1" spans="1:51" x14ac:dyDescent="0.25">
      <c r="A1" s="13" t="s">
        <v>8</v>
      </c>
      <c r="B1" s="13" t="s">
        <v>9</v>
      </c>
      <c r="C1" s="13"/>
      <c r="D1" s="13" t="s">
        <v>649</v>
      </c>
      <c r="E1" s="13" t="s">
        <v>10</v>
      </c>
      <c r="F1" s="13" t="s">
        <v>11</v>
      </c>
      <c r="G1" s="13" t="s">
        <v>13</v>
      </c>
      <c r="H1" s="13" t="s">
        <v>14</v>
      </c>
      <c r="I1" s="13" t="s">
        <v>654</v>
      </c>
      <c r="J1" s="13" t="s">
        <v>655</v>
      </c>
      <c r="K1" s="13" t="s">
        <v>12</v>
      </c>
      <c r="L1" s="13" t="s">
        <v>657</v>
      </c>
      <c r="M1" s="13" t="s">
        <v>662</v>
      </c>
      <c r="N1" s="13"/>
      <c r="O1" s="13" t="s">
        <v>18</v>
      </c>
      <c r="P1" s="13" t="s">
        <v>20</v>
      </c>
      <c r="Q1" s="13" t="s">
        <v>19</v>
      </c>
    </row>
    <row r="2" spans="1:51" s="28" customFormat="1" x14ac:dyDescent="0.25">
      <c r="A2" s="22" t="s">
        <v>213</v>
      </c>
      <c r="B2" s="22" t="s">
        <v>214</v>
      </c>
      <c r="C2" s="28" t="str">
        <f>CONCATENATE(A2," ",B2)</f>
        <v>Jennifer Hollmig</v>
      </c>
      <c r="D2" s="22" t="s">
        <v>858</v>
      </c>
      <c r="E2" s="22">
        <v>847313</v>
      </c>
      <c r="F2" s="22" t="s">
        <v>215</v>
      </c>
      <c r="G2" s="22" t="s">
        <v>52</v>
      </c>
      <c r="H2" s="22" t="s">
        <v>28</v>
      </c>
      <c r="I2" s="22" t="s">
        <v>686</v>
      </c>
      <c r="J2" s="22" t="s">
        <v>687</v>
      </c>
      <c r="K2" s="23">
        <v>605728351</v>
      </c>
      <c r="L2" s="22" t="s">
        <v>693</v>
      </c>
      <c r="M2" s="24" t="s">
        <v>705</v>
      </c>
      <c r="N2" s="30">
        <f>DATEDIF(L2,M2,"M")</f>
        <v>1</v>
      </c>
      <c r="O2" s="25">
        <v>11</v>
      </c>
      <c r="P2" s="26">
        <v>0.37</v>
      </c>
      <c r="Q2" s="27">
        <v>4.07</v>
      </c>
      <c r="R2" s="22" t="s">
        <v>984</v>
      </c>
      <c r="S2" s="22" t="s">
        <v>1002</v>
      </c>
      <c r="T2" s="24" t="s">
        <v>1024</v>
      </c>
      <c r="U2" s="22" t="s">
        <v>1025</v>
      </c>
      <c r="V2" s="22" t="s">
        <v>1026</v>
      </c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</row>
    <row r="3" spans="1:51" s="28" customFormat="1" x14ac:dyDescent="0.25">
      <c r="A3" s="22" t="s">
        <v>213</v>
      </c>
      <c r="B3" s="22" t="s">
        <v>214</v>
      </c>
      <c r="C3" s="28" t="str">
        <f>CONCATENATE(A3," ",B3)</f>
        <v>Jennifer Hollmig</v>
      </c>
      <c r="D3" s="22" t="s">
        <v>858</v>
      </c>
      <c r="E3" s="22">
        <v>847313</v>
      </c>
      <c r="F3" s="22" t="s">
        <v>215</v>
      </c>
      <c r="G3" s="22" t="s">
        <v>52</v>
      </c>
      <c r="H3" s="22" t="s">
        <v>28</v>
      </c>
      <c r="I3" s="22" t="s">
        <v>686</v>
      </c>
      <c r="J3" s="22" t="s">
        <v>687</v>
      </c>
      <c r="K3" s="23">
        <v>605728351</v>
      </c>
      <c r="L3" s="22" t="s">
        <v>693</v>
      </c>
      <c r="M3" s="24" t="s">
        <v>264</v>
      </c>
      <c r="N3" s="30">
        <f>DATEDIF(L3,M3,"M")</f>
        <v>2</v>
      </c>
      <c r="O3" s="25">
        <v>11</v>
      </c>
      <c r="P3" s="26">
        <v>0.37</v>
      </c>
      <c r="Q3" s="27">
        <v>4.07</v>
      </c>
      <c r="R3" s="22" t="s">
        <v>984</v>
      </c>
      <c r="S3" s="22" t="s">
        <v>1002</v>
      </c>
      <c r="T3" s="24" t="s">
        <v>1024</v>
      </c>
      <c r="U3" s="22" t="s">
        <v>1025</v>
      </c>
      <c r="V3" s="22" t="s">
        <v>1027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</row>
    <row r="4" spans="1:51" s="28" customFormat="1" x14ac:dyDescent="0.25">
      <c r="A4" s="22" t="s">
        <v>377</v>
      </c>
      <c r="B4" s="22" t="s">
        <v>173</v>
      </c>
      <c r="C4" s="28" t="str">
        <f>CONCATENATE(A4," ",B4)</f>
        <v>Jon Beckstrand</v>
      </c>
      <c r="D4" s="22" t="s">
        <v>673</v>
      </c>
      <c r="E4" s="22">
        <v>678726</v>
      </c>
      <c r="F4" s="22" t="s">
        <v>25</v>
      </c>
      <c r="G4" s="22" t="s">
        <v>52</v>
      </c>
      <c r="H4" s="22" t="s">
        <v>111</v>
      </c>
      <c r="I4" s="22" t="s">
        <v>686</v>
      </c>
      <c r="J4" s="22" t="s">
        <v>687</v>
      </c>
      <c r="K4" s="23">
        <v>92801354</v>
      </c>
      <c r="L4" s="22" t="s">
        <v>705</v>
      </c>
      <c r="M4" s="24" t="s">
        <v>729</v>
      </c>
      <c r="N4" s="30">
        <v>1</v>
      </c>
      <c r="O4" s="25">
        <v>15</v>
      </c>
      <c r="P4" s="26">
        <v>0.37</v>
      </c>
      <c r="Q4" s="27">
        <v>5.55</v>
      </c>
      <c r="R4" s="22" t="s">
        <v>984</v>
      </c>
      <c r="S4" s="22" t="s">
        <v>988</v>
      </c>
      <c r="T4" s="24" t="s">
        <v>1014</v>
      </c>
      <c r="U4" s="22" t="s">
        <v>1025</v>
      </c>
      <c r="V4" s="22" t="s">
        <v>1026</v>
      </c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</row>
    <row r="5" spans="1:51" s="28" customFormat="1" x14ac:dyDescent="0.25">
      <c r="A5" s="22" t="s">
        <v>958</v>
      </c>
      <c r="B5" s="22" t="s">
        <v>173</v>
      </c>
      <c r="C5" s="28" t="str">
        <f>CONCATENATE(A5," ",B5)</f>
        <v>Jon Charles Beckstrand</v>
      </c>
      <c r="D5" s="22" t="s">
        <v>673</v>
      </c>
      <c r="E5" s="22">
        <v>678726</v>
      </c>
      <c r="F5" s="22" t="s">
        <v>25</v>
      </c>
      <c r="G5" s="22" t="s">
        <v>52</v>
      </c>
      <c r="H5" s="22" t="s">
        <v>111</v>
      </c>
      <c r="I5" s="22" t="s">
        <v>686</v>
      </c>
      <c r="J5" s="22" t="s">
        <v>687</v>
      </c>
      <c r="K5" s="23">
        <v>92801354</v>
      </c>
      <c r="L5" s="22" t="s">
        <v>705</v>
      </c>
      <c r="M5" s="24" t="s">
        <v>766</v>
      </c>
      <c r="N5" s="30">
        <v>2</v>
      </c>
      <c r="O5" s="25">
        <v>15</v>
      </c>
      <c r="P5" s="26">
        <v>0.37</v>
      </c>
      <c r="Q5" s="27">
        <v>5.55</v>
      </c>
      <c r="R5" s="22" t="s">
        <v>984</v>
      </c>
      <c r="S5" s="22" t="s">
        <v>988</v>
      </c>
      <c r="T5" s="24" t="s">
        <v>1014</v>
      </c>
      <c r="U5" s="22" t="s">
        <v>1025</v>
      </c>
      <c r="V5" s="22" t="s">
        <v>1027</v>
      </c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spans="1:51" s="28" customFormat="1" x14ac:dyDescent="0.25">
      <c r="A6" s="22" t="s">
        <v>958</v>
      </c>
      <c r="B6" s="22" t="s">
        <v>173</v>
      </c>
      <c r="C6" s="28" t="str">
        <f>CONCATENATE(A6," ",B6)</f>
        <v>Jon Charles Beckstrand</v>
      </c>
      <c r="D6" s="22" t="s">
        <v>673</v>
      </c>
      <c r="E6" s="22">
        <v>678726</v>
      </c>
      <c r="F6" s="22" t="s">
        <v>25</v>
      </c>
      <c r="G6" s="22" t="s">
        <v>52</v>
      </c>
      <c r="H6" s="22" t="s">
        <v>111</v>
      </c>
      <c r="I6" s="22" t="s">
        <v>686</v>
      </c>
      <c r="J6" s="22" t="s">
        <v>687</v>
      </c>
      <c r="K6" s="23">
        <v>92801354</v>
      </c>
      <c r="L6" s="22" t="s">
        <v>705</v>
      </c>
      <c r="M6" s="24" t="s">
        <v>971</v>
      </c>
      <c r="N6" s="30">
        <v>3</v>
      </c>
      <c r="O6" s="25">
        <v>15</v>
      </c>
      <c r="P6" s="26">
        <v>0.37</v>
      </c>
      <c r="Q6" s="27">
        <v>5.55</v>
      </c>
      <c r="R6" s="22" t="s">
        <v>984</v>
      </c>
      <c r="S6" s="22" t="s">
        <v>988</v>
      </c>
      <c r="T6" s="24" t="s">
        <v>1014</v>
      </c>
      <c r="U6" s="22" t="s">
        <v>1025</v>
      </c>
      <c r="V6" s="22" t="s">
        <v>1027</v>
      </c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</row>
    <row r="7" spans="1:51" s="28" customFormat="1" x14ac:dyDescent="0.25">
      <c r="A7" s="22" t="s">
        <v>204</v>
      </c>
      <c r="B7" s="22" t="s">
        <v>469</v>
      </c>
      <c r="C7" s="28" t="str">
        <f>CONCATENATE(A7," ",B7)</f>
        <v>Monica Cornelio</v>
      </c>
      <c r="D7" s="22" t="s">
        <v>757</v>
      </c>
      <c r="E7" s="22">
        <v>847313</v>
      </c>
      <c r="F7" s="22" t="s">
        <v>215</v>
      </c>
      <c r="G7" s="22" t="s">
        <v>471</v>
      </c>
      <c r="H7" s="22" t="s">
        <v>28</v>
      </c>
      <c r="I7" s="22" t="s">
        <v>676</v>
      </c>
      <c r="J7" s="22" t="s">
        <v>677</v>
      </c>
      <c r="K7" s="23">
        <v>804164269</v>
      </c>
      <c r="L7" s="22" t="s">
        <v>264</v>
      </c>
      <c r="M7" s="24" t="s">
        <v>264</v>
      </c>
      <c r="N7" s="30">
        <f>DATEDIF(L7,M7,"M")</f>
        <v>0</v>
      </c>
      <c r="O7" s="25">
        <v>25</v>
      </c>
      <c r="P7" s="26">
        <v>0.24</v>
      </c>
      <c r="Q7" s="27">
        <v>6</v>
      </c>
      <c r="R7" s="22" t="s">
        <v>985</v>
      </c>
      <c r="S7" s="22" t="s">
        <v>1002</v>
      </c>
      <c r="T7" s="24" t="s">
        <v>1024</v>
      </c>
      <c r="U7" s="22" t="s">
        <v>1025</v>
      </c>
      <c r="V7" s="22" t="s">
        <v>1026</v>
      </c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 spans="1:51" s="28" customFormat="1" x14ac:dyDescent="0.25">
      <c r="A8" s="22" t="s">
        <v>287</v>
      </c>
      <c r="B8" s="22" t="s">
        <v>288</v>
      </c>
      <c r="C8" s="28" t="str">
        <f>CONCATENATE(A8," ",B8)</f>
        <v>Tracy Macdonald</v>
      </c>
      <c r="D8" s="22" t="s">
        <v>832</v>
      </c>
      <c r="E8" s="22">
        <v>678726</v>
      </c>
      <c r="F8" s="22" t="s">
        <v>25</v>
      </c>
      <c r="G8" s="22" t="s">
        <v>152</v>
      </c>
      <c r="H8" s="22" t="s">
        <v>28</v>
      </c>
      <c r="I8" s="22" t="s">
        <v>676</v>
      </c>
      <c r="J8" s="22" t="s">
        <v>677</v>
      </c>
      <c r="K8" s="23">
        <v>50538789</v>
      </c>
      <c r="L8" s="22" t="s">
        <v>693</v>
      </c>
      <c r="M8" s="24" t="s">
        <v>705</v>
      </c>
      <c r="N8" s="30">
        <f>DATEDIF(L8,M8,"M")</f>
        <v>1</v>
      </c>
      <c r="O8" s="25">
        <v>27</v>
      </c>
      <c r="P8" s="26">
        <v>0.24</v>
      </c>
      <c r="Q8" s="27">
        <v>6.48</v>
      </c>
      <c r="R8" s="22" t="s">
        <v>985</v>
      </c>
      <c r="S8" s="22" t="s">
        <v>988</v>
      </c>
      <c r="T8" s="24" t="s">
        <v>1014</v>
      </c>
      <c r="U8" s="22" t="s">
        <v>1025</v>
      </c>
      <c r="V8" s="22" t="s">
        <v>1026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</row>
    <row r="9" spans="1:51" s="28" customFormat="1" x14ac:dyDescent="0.25">
      <c r="A9" s="22" t="s">
        <v>287</v>
      </c>
      <c r="B9" s="22" t="s">
        <v>288</v>
      </c>
      <c r="C9" s="28" t="str">
        <f>CONCATENATE(A9," ",B9)</f>
        <v>Tracy Macdonald</v>
      </c>
      <c r="D9" s="22" t="s">
        <v>832</v>
      </c>
      <c r="E9" s="22">
        <v>678726</v>
      </c>
      <c r="F9" s="22" t="s">
        <v>25</v>
      </c>
      <c r="G9" s="22" t="s">
        <v>152</v>
      </c>
      <c r="H9" s="22" t="s">
        <v>28</v>
      </c>
      <c r="I9" s="22" t="s">
        <v>676</v>
      </c>
      <c r="J9" s="22" t="s">
        <v>677</v>
      </c>
      <c r="K9" s="23">
        <v>50538789</v>
      </c>
      <c r="L9" s="22" t="s">
        <v>693</v>
      </c>
      <c r="M9" s="24" t="s">
        <v>264</v>
      </c>
      <c r="N9" s="30">
        <f>DATEDIF(L9,M9,"M")</f>
        <v>2</v>
      </c>
      <c r="O9" s="25">
        <v>27</v>
      </c>
      <c r="P9" s="26">
        <v>0.24</v>
      </c>
      <c r="Q9" s="27">
        <v>6.48</v>
      </c>
      <c r="R9" s="22" t="s">
        <v>985</v>
      </c>
      <c r="S9" s="22" t="s">
        <v>988</v>
      </c>
      <c r="T9" s="24" t="s">
        <v>1014</v>
      </c>
      <c r="U9" s="22" t="s">
        <v>1025</v>
      </c>
      <c r="V9" s="22" t="s">
        <v>1027</v>
      </c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 spans="1:51" s="28" customFormat="1" x14ac:dyDescent="0.25">
      <c r="A10" s="22" t="s">
        <v>377</v>
      </c>
      <c r="B10" s="22" t="s">
        <v>173</v>
      </c>
      <c r="C10" s="28" t="str">
        <f>CONCATENATE(A10," ",B10)</f>
        <v>Jon Beckstrand</v>
      </c>
      <c r="D10" s="22" t="s">
        <v>673</v>
      </c>
      <c r="E10" s="22">
        <v>678726</v>
      </c>
      <c r="F10" s="22" t="s">
        <v>25</v>
      </c>
      <c r="G10" s="22" t="s">
        <v>27</v>
      </c>
      <c r="H10" s="22" t="s">
        <v>85</v>
      </c>
      <c r="I10" s="22" t="s">
        <v>676</v>
      </c>
      <c r="J10" s="22" t="s">
        <v>677</v>
      </c>
      <c r="K10" s="23">
        <v>167138801</v>
      </c>
      <c r="L10" s="22" t="s">
        <v>705</v>
      </c>
      <c r="M10" s="24" t="s">
        <v>729</v>
      </c>
      <c r="N10" s="30">
        <v>1</v>
      </c>
      <c r="O10" s="25">
        <v>50</v>
      </c>
      <c r="P10" s="26">
        <v>0.32</v>
      </c>
      <c r="Q10" s="27">
        <v>16</v>
      </c>
      <c r="R10" s="22" t="s">
        <v>983</v>
      </c>
      <c r="S10" s="22" t="s">
        <v>988</v>
      </c>
      <c r="T10" s="24" t="s">
        <v>1014</v>
      </c>
      <c r="U10" s="22" t="s">
        <v>1025</v>
      </c>
      <c r="V10" s="22" t="s">
        <v>1026</v>
      </c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s="28" customFormat="1" x14ac:dyDescent="0.25">
      <c r="A11" s="22" t="s">
        <v>958</v>
      </c>
      <c r="B11" s="22" t="s">
        <v>173</v>
      </c>
      <c r="C11" s="28" t="str">
        <f>CONCATENATE(A11," ",B11)</f>
        <v>Jon Charles Beckstrand</v>
      </c>
      <c r="D11" s="22" t="s">
        <v>673</v>
      </c>
      <c r="E11" s="22">
        <v>678726</v>
      </c>
      <c r="F11" s="22" t="s">
        <v>25</v>
      </c>
      <c r="G11" s="22" t="s">
        <v>27</v>
      </c>
      <c r="H11" s="22" t="s">
        <v>85</v>
      </c>
      <c r="I11" s="22" t="s">
        <v>676</v>
      </c>
      <c r="J11" s="22" t="s">
        <v>677</v>
      </c>
      <c r="K11" s="23">
        <v>167138801</v>
      </c>
      <c r="L11" s="22" t="s">
        <v>705</v>
      </c>
      <c r="M11" s="24" t="s">
        <v>766</v>
      </c>
      <c r="N11" s="30">
        <v>2</v>
      </c>
      <c r="O11" s="25">
        <v>50</v>
      </c>
      <c r="P11" s="26">
        <v>0.32</v>
      </c>
      <c r="Q11" s="27">
        <v>16</v>
      </c>
      <c r="R11" s="22" t="s">
        <v>983</v>
      </c>
      <c r="S11" s="22" t="s">
        <v>988</v>
      </c>
      <c r="T11" s="24" t="s">
        <v>1014</v>
      </c>
      <c r="U11" s="22" t="s">
        <v>1025</v>
      </c>
      <c r="V11" s="22" t="s">
        <v>1027</v>
      </c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s="28" customFormat="1" x14ac:dyDescent="0.25">
      <c r="A12" s="22" t="s">
        <v>958</v>
      </c>
      <c r="B12" s="22" t="s">
        <v>173</v>
      </c>
      <c r="C12" s="28" t="str">
        <f>CONCATENATE(A12," ",B12)</f>
        <v>Jon Charles Beckstrand</v>
      </c>
      <c r="D12" s="22" t="s">
        <v>673</v>
      </c>
      <c r="E12" s="22">
        <v>678726</v>
      </c>
      <c r="F12" s="22" t="s">
        <v>25</v>
      </c>
      <c r="G12" s="22" t="s">
        <v>27</v>
      </c>
      <c r="H12" s="22" t="s">
        <v>85</v>
      </c>
      <c r="I12" s="22" t="s">
        <v>676</v>
      </c>
      <c r="J12" s="22" t="s">
        <v>677</v>
      </c>
      <c r="K12" s="23">
        <v>167138801</v>
      </c>
      <c r="L12" s="22" t="s">
        <v>705</v>
      </c>
      <c r="M12" s="24" t="s">
        <v>971</v>
      </c>
      <c r="N12" s="30">
        <v>3</v>
      </c>
      <c r="O12" s="25">
        <v>50</v>
      </c>
      <c r="P12" s="26">
        <v>0.32</v>
      </c>
      <c r="Q12" s="27">
        <v>16</v>
      </c>
      <c r="R12" s="22" t="s">
        <v>983</v>
      </c>
      <c r="S12" s="22" t="s">
        <v>988</v>
      </c>
      <c r="T12" s="24" t="s">
        <v>1014</v>
      </c>
      <c r="U12" s="22" t="s">
        <v>1025</v>
      </c>
      <c r="V12" s="22" t="s">
        <v>1027</v>
      </c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s="40" customFormat="1" x14ac:dyDescent="0.25">
      <c r="A13" s="65" t="s">
        <v>75</v>
      </c>
      <c r="B13" s="65" t="s">
        <v>76</v>
      </c>
      <c r="C13" s="40" t="str">
        <f>CONCATENATE(A13," ",B13)</f>
        <v>Kimberly Mooney</v>
      </c>
      <c r="D13" s="65" t="s">
        <v>695</v>
      </c>
      <c r="E13" s="65">
        <v>689390</v>
      </c>
      <c r="F13" s="65" t="s">
        <v>77</v>
      </c>
      <c r="G13" s="65" t="s">
        <v>79</v>
      </c>
      <c r="H13" s="65" t="s">
        <v>28</v>
      </c>
      <c r="I13" s="65" t="s">
        <v>676</v>
      </c>
      <c r="J13" s="65" t="s">
        <v>677</v>
      </c>
      <c r="K13" s="66">
        <v>185194902</v>
      </c>
      <c r="L13" s="65" t="s">
        <v>264</v>
      </c>
      <c r="M13" s="67" t="s">
        <v>670</v>
      </c>
      <c r="N13" s="42">
        <f>DATEDIF(L13,M13,"M")</f>
        <v>1</v>
      </c>
      <c r="O13" s="68">
        <v>71</v>
      </c>
      <c r="P13" s="69">
        <v>0.24</v>
      </c>
      <c r="Q13" s="70">
        <v>17.04</v>
      </c>
      <c r="R13" s="65" t="s">
        <v>985</v>
      </c>
      <c r="S13" s="65" t="s">
        <v>992</v>
      </c>
      <c r="T13" s="67">
        <v>17425766</v>
      </c>
      <c r="U13" s="40" t="s">
        <v>1028</v>
      </c>
      <c r="V13" s="40" t="s">
        <v>1029</v>
      </c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</row>
    <row r="14" spans="1:51" s="40" customFormat="1" x14ac:dyDescent="0.25">
      <c r="A14" s="65" t="s">
        <v>256</v>
      </c>
      <c r="B14" s="65" t="s">
        <v>257</v>
      </c>
      <c r="C14" s="40" t="str">
        <f>CONCATENATE(A14," ",B14)</f>
        <v>Neil Weissman</v>
      </c>
      <c r="D14" s="65" t="s">
        <v>710</v>
      </c>
      <c r="E14" s="65">
        <v>689390</v>
      </c>
      <c r="F14" s="65" t="s">
        <v>77</v>
      </c>
      <c r="G14" s="65" t="s">
        <v>79</v>
      </c>
      <c r="H14" s="65" t="s">
        <v>28</v>
      </c>
      <c r="I14" s="65" t="s">
        <v>676</v>
      </c>
      <c r="J14" s="65" t="s">
        <v>677</v>
      </c>
      <c r="K14" s="66">
        <v>572801557</v>
      </c>
      <c r="L14" s="65" t="s">
        <v>264</v>
      </c>
      <c r="M14" s="67" t="s">
        <v>670</v>
      </c>
      <c r="N14" s="42">
        <f>DATEDIF(L14,M14,"M")</f>
        <v>1</v>
      </c>
      <c r="O14" s="68">
        <v>74</v>
      </c>
      <c r="P14" s="69">
        <v>0.24</v>
      </c>
      <c r="Q14" s="70">
        <v>17.760000000000002</v>
      </c>
      <c r="R14" s="65" t="s">
        <v>985</v>
      </c>
      <c r="S14" s="65" t="s">
        <v>992</v>
      </c>
      <c r="T14" s="67">
        <v>17425766</v>
      </c>
      <c r="U14" s="40" t="s">
        <v>1028</v>
      </c>
      <c r="V14" s="40" t="s">
        <v>1029</v>
      </c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</row>
    <row r="15" spans="1:51" s="40" customFormat="1" x14ac:dyDescent="0.25">
      <c r="A15" s="65" t="s">
        <v>572</v>
      </c>
      <c r="B15" s="65" t="s">
        <v>573</v>
      </c>
      <c r="C15" s="40" t="str">
        <f>CONCATENATE(A15," ",B15)</f>
        <v>Sarah Yoder</v>
      </c>
      <c r="D15" s="65" t="s">
        <v>695</v>
      </c>
      <c r="E15" s="65">
        <v>653470</v>
      </c>
      <c r="F15" s="65" t="s">
        <v>330</v>
      </c>
      <c r="G15" s="65" t="s">
        <v>575</v>
      </c>
      <c r="H15" s="65" t="s">
        <v>28</v>
      </c>
      <c r="I15" s="65" t="s">
        <v>676</v>
      </c>
      <c r="J15" s="65" t="s">
        <v>677</v>
      </c>
      <c r="K15" s="66">
        <v>537988210</v>
      </c>
      <c r="L15" s="65" t="s">
        <v>670</v>
      </c>
      <c r="M15" s="67" t="s">
        <v>766</v>
      </c>
      <c r="N15" s="42">
        <f>DATEDIF(L15,M15,"M")</f>
        <v>10</v>
      </c>
      <c r="O15" s="68">
        <v>18</v>
      </c>
      <c r="P15" s="69">
        <v>0.32</v>
      </c>
      <c r="Q15" s="70">
        <v>5.76</v>
      </c>
      <c r="R15" s="65" t="s">
        <v>983</v>
      </c>
      <c r="S15" s="65" t="s">
        <v>1001</v>
      </c>
      <c r="T15" s="67">
        <v>15278437</v>
      </c>
      <c r="U15" s="40" t="s">
        <v>1028</v>
      </c>
      <c r="V15" s="40" t="s">
        <v>1029</v>
      </c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</row>
    <row r="16" spans="1:51" s="28" customFormat="1" x14ac:dyDescent="0.25">
      <c r="A16" s="28" t="s">
        <v>270</v>
      </c>
      <c r="B16" s="28" t="s">
        <v>271</v>
      </c>
      <c r="C16" s="28" t="str">
        <f>CONCATENATE(A16," ",B16)</f>
        <v>Twanna Delva</v>
      </c>
      <c r="D16" s="28" t="s">
        <v>673</v>
      </c>
      <c r="E16" s="28">
        <v>678726</v>
      </c>
      <c r="F16" s="28" t="s">
        <v>25</v>
      </c>
      <c r="G16" s="28" t="s">
        <v>27</v>
      </c>
      <c r="H16" s="28" t="s">
        <v>28</v>
      </c>
      <c r="I16" s="28" t="s">
        <v>676</v>
      </c>
      <c r="J16" s="28" t="s">
        <v>677</v>
      </c>
      <c r="K16" s="29">
        <v>5274878</v>
      </c>
      <c r="L16" s="28" t="s">
        <v>684</v>
      </c>
      <c r="M16" s="30" t="s">
        <v>693</v>
      </c>
      <c r="N16" s="30">
        <f>DATEDIF(L16,M16,"M")</f>
        <v>13</v>
      </c>
      <c r="O16" s="31">
        <v>-25</v>
      </c>
      <c r="P16" s="32">
        <v>0.32</v>
      </c>
      <c r="Q16" s="33">
        <v>-8</v>
      </c>
      <c r="R16" s="28" t="s">
        <v>983</v>
      </c>
      <c r="S16" s="28" t="s">
        <v>988</v>
      </c>
      <c r="T16" s="30">
        <v>16202925</v>
      </c>
      <c r="U16" s="28" t="s">
        <v>1028</v>
      </c>
      <c r="V16" s="28" t="s">
        <v>1029</v>
      </c>
    </row>
    <row r="17" spans="1:52" s="28" customFormat="1" x14ac:dyDescent="0.25">
      <c r="A17" s="28" t="s">
        <v>968</v>
      </c>
      <c r="B17" s="28" t="s">
        <v>969</v>
      </c>
      <c r="C17" s="28" t="str">
        <f>CONCATENATE(A17," ",B17)</f>
        <v>Ashleigh Lagreco</v>
      </c>
      <c r="D17" s="28" t="s">
        <v>673</v>
      </c>
      <c r="E17" s="28">
        <v>678726</v>
      </c>
      <c r="F17" s="28" t="s">
        <v>25</v>
      </c>
      <c r="G17" s="28" t="s">
        <v>27</v>
      </c>
      <c r="H17" s="28" t="s">
        <v>28</v>
      </c>
      <c r="I17" s="28" t="s">
        <v>676</v>
      </c>
      <c r="J17" s="28" t="s">
        <v>677</v>
      </c>
      <c r="K17" s="29">
        <v>560317195</v>
      </c>
      <c r="L17" s="28" t="s">
        <v>737</v>
      </c>
      <c r="M17" s="30" t="s">
        <v>264</v>
      </c>
      <c r="N17" s="30">
        <f>DATEDIF(L17,M17,"M")</f>
        <v>14</v>
      </c>
      <c r="O17" s="31">
        <v>-25</v>
      </c>
      <c r="P17" s="32">
        <v>0.32</v>
      </c>
      <c r="Q17" s="33">
        <v>-8</v>
      </c>
      <c r="R17" s="28" t="s">
        <v>983</v>
      </c>
      <c r="S17" s="28" t="s">
        <v>988</v>
      </c>
      <c r="T17" s="30">
        <v>16202925</v>
      </c>
      <c r="U17" s="28" t="s">
        <v>1028</v>
      </c>
      <c r="V17" s="28" t="s">
        <v>1029</v>
      </c>
    </row>
    <row r="18" spans="1:52" s="28" customFormat="1" x14ac:dyDescent="0.25">
      <c r="A18" s="28" t="s">
        <v>361</v>
      </c>
      <c r="B18" s="28" t="s">
        <v>311</v>
      </c>
      <c r="C18" s="28" t="str">
        <f>CONCATENATE(A18," ",B18)</f>
        <v>Donna Jones</v>
      </c>
      <c r="D18" s="28" t="s">
        <v>691</v>
      </c>
      <c r="E18" s="28">
        <v>759555</v>
      </c>
      <c r="F18" s="28" t="s">
        <v>143</v>
      </c>
      <c r="G18" s="28" t="s">
        <v>52</v>
      </c>
      <c r="H18" s="28" t="s">
        <v>28</v>
      </c>
      <c r="I18" s="28" t="s">
        <v>686</v>
      </c>
      <c r="J18" s="28" t="s">
        <v>687</v>
      </c>
      <c r="K18" s="29">
        <v>453596467</v>
      </c>
      <c r="L18" s="28" t="s">
        <v>264</v>
      </c>
      <c r="M18" s="30" t="s">
        <v>670</v>
      </c>
      <c r="N18" s="30">
        <f>DATEDIF(L18,M18,"M")</f>
        <v>1</v>
      </c>
      <c r="O18" s="31">
        <v>11</v>
      </c>
      <c r="P18" s="32">
        <v>0.37</v>
      </c>
      <c r="Q18" s="33">
        <v>4.07</v>
      </c>
      <c r="R18" s="28" t="s">
        <v>984</v>
      </c>
      <c r="S18" s="28" t="s">
        <v>990</v>
      </c>
      <c r="T18" s="30" t="s">
        <v>1012</v>
      </c>
      <c r="U18" s="28" t="s">
        <v>1028</v>
      </c>
      <c r="V18" s="28" t="s">
        <v>1027</v>
      </c>
    </row>
    <row r="19" spans="1:52" s="28" customFormat="1" x14ac:dyDescent="0.25">
      <c r="A19" s="28" t="s">
        <v>261</v>
      </c>
      <c r="B19" s="28" t="s">
        <v>262</v>
      </c>
      <c r="C19" s="28" t="str">
        <f>CONCATENATE(A19," ",B19)</f>
        <v>William Kates</v>
      </c>
      <c r="D19" s="28" t="s">
        <v>691</v>
      </c>
      <c r="E19" s="28">
        <v>759555</v>
      </c>
      <c r="F19" s="28" t="s">
        <v>143</v>
      </c>
      <c r="G19" s="28" t="s">
        <v>52</v>
      </c>
      <c r="H19" s="28" t="s">
        <v>28</v>
      </c>
      <c r="I19" s="28" t="s">
        <v>686</v>
      </c>
      <c r="J19" s="28" t="s">
        <v>687</v>
      </c>
      <c r="K19" s="29">
        <v>275150335</v>
      </c>
      <c r="L19" s="28" t="s">
        <v>693</v>
      </c>
      <c r="M19" s="30" t="s">
        <v>705</v>
      </c>
      <c r="N19" s="30">
        <f>DATEDIF(L19,M19,"M")</f>
        <v>1</v>
      </c>
      <c r="O19" s="31">
        <v>11</v>
      </c>
      <c r="P19" s="32">
        <v>0.37</v>
      </c>
      <c r="Q19" s="33">
        <v>4.07</v>
      </c>
      <c r="R19" s="28" t="s">
        <v>984</v>
      </c>
      <c r="S19" s="28" t="s">
        <v>990</v>
      </c>
      <c r="T19" s="30" t="s">
        <v>1012</v>
      </c>
      <c r="U19" s="28" t="s">
        <v>1028</v>
      </c>
      <c r="V19" s="28" t="s">
        <v>1027</v>
      </c>
    </row>
    <row r="20" spans="1:52" s="28" customFormat="1" x14ac:dyDescent="0.25">
      <c r="A20" s="28" t="s">
        <v>450</v>
      </c>
      <c r="B20" s="28" t="s">
        <v>451</v>
      </c>
      <c r="C20" s="28" t="str">
        <f>CONCATENATE(A20," ",B20)</f>
        <v>Christopher Henderson</v>
      </c>
      <c r="D20" s="28" t="s">
        <v>673</v>
      </c>
      <c r="E20" s="28">
        <v>678726</v>
      </c>
      <c r="F20" s="28" t="s">
        <v>25</v>
      </c>
      <c r="G20" s="28" t="s">
        <v>52</v>
      </c>
      <c r="H20" s="28" t="s">
        <v>28</v>
      </c>
      <c r="I20" s="28" t="s">
        <v>686</v>
      </c>
      <c r="J20" s="28" t="s">
        <v>687</v>
      </c>
      <c r="K20" s="29">
        <v>849810212</v>
      </c>
      <c r="L20" s="28" t="s">
        <v>264</v>
      </c>
      <c r="M20" s="30" t="s">
        <v>670</v>
      </c>
      <c r="N20" s="30">
        <f>DATEDIF(L20,M20,"M")</f>
        <v>1</v>
      </c>
      <c r="O20" s="31">
        <v>11</v>
      </c>
      <c r="P20" s="32">
        <v>0.37</v>
      </c>
      <c r="Q20" s="33">
        <v>4.07</v>
      </c>
      <c r="R20" s="28" t="s">
        <v>984</v>
      </c>
      <c r="S20" s="28" t="s">
        <v>988</v>
      </c>
      <c r="T20" s="30" t="s">
        <v>1014</v>
      </c>
      <c r="U20" s="28" t="s">
        <v>1028</v>
      </c>
      <c r="V20" s="28" t="s">
        <v>1027</v>
      </c>
    </row>
    <row r="21" spans="1:52" s="28" customFormat="1" x14ac:dyDescent="0.25">
      <c r="A21" s="28" t="s">
        <v>458</v>
      </c>
      <c r="B21" s="28" t="s">
        <v>459</v>
      </c>
      <c r="C21" s="28" t="str">
        <f>CONCATENATE(A21," ",B21)</f>
        <v>Evangeline Mastromarino</v>
      </c>
      <c r="D21" s="28" t="s">
        <v>673</v>
      </c>
      <c r="E21" s="28">
        <v>678726</v>
      </c>
      <c r="F21" s="28" t="s">
        <v>25</v>
      </c>
      <c r="G21" s="28" t="s">
        <v>52</v>
      </c>
      <c r="H21" s="28" t="s">
        <v>28</v>
      </c>
      <c r="I21" s="28" t="s">
        <v>686</v>
      </c>
      <c r="J21" s="28" t="s">
        <v>687</v>
      </c>
      <c r="K21" s="29">
        <v>204103864</v>
      </c>
      <c r="L21" s="28" t="s">
        <v>264</v>
      </c>
      <c r="M21" s="30" t="s">
        <v>670</v>
      </c>
      <c r="N21" s="30">
        <f>DATEDIF(L21,M21,"M")</f>
        <v>1</v>
      </c>
      <c r="O21" s="31">
        <v>11</v>
      </c>
      <c r="P21" s="32">
        <v>0.37</v>
      </c>
      <c r="Q21" s="33">
        <v>4.07</v>
      </c>
      <c r="R21" s="28" t="s">
        <v>984</v>
      </c>
      <c r="S21" s="28" t="s">
        <v>988</v>
      </c>
      <c r="T21" s="30" t="s">
        <v>1014</v>
      </c>
      <c r="U21" s="28" t="s">
        <v>1028</v>
      </c>
      <c r="V21" s="28" t="s">
        <v>1027</v>
      </c>
    </row>
    <row r="22" spans="1:52" s="28" customFormat="1" x14ac:dyDescent="0.25">
      <c r="A22" s="28" t="s">
        <v>149</v>
      </c>
      <c r="B22" s="28" t="s">
        <v>150</v>
      </c>
      <c r="C22" s="28" t="str">
        <f>CONCATENATE(A22," ",B22)</f>
        <v>Olanike Oyefeso</v>
      </c>
      <c r="D22" s="28" t="s">
        <v>673</v>
      </c>
      <c r="E22" s="28">
        <v>678726</v>
      </c>
      <c r="F22" s="28" t="s">
        <v>25</v>
      </c>
      <c r="G22" s="28" t="s">
        <v>52</v>
      </c>
      <c r="H22" s="28" t="s">
        <v>28</v>
      </c>
      <c r="I22" s="28" t="s">
        <v>686</v>
      </c>
      <c r="J22" s="28" t="s">
        <v>687</v>
      </c>
      <c r="K22" s="29">
        <v>880261314</v>
      </c>
      <c r="L22" s="28" t="s">
        <v>264</v>
      </c>
      <c r="M22" s="30" t="s">
        <v>670</v>
      </c>
      <c r="N22" s="30">
        <f>DATEDIF(L22,M22,"M")</f>
        <v>1</v>
      </c>
      <c r="O22" s="31">
        <v>11</v>
      </c>
      <c r="P22" s="32">
        <v>0.37</v>
      </c>
      <c r="Q22" s="33">
        <v>4.07</v>
      </c>
      <c r="R22" s="28" t="s">
        <v>984</v>
      </c>
      <c r="S22" s="28" t="s">
        <v>988</v>
      </c>
      <c r="T22" s="30" t="s">
        <v>1014</v>
      </c>
      <c r="U22" s="28" t="s">
        <v>1028</v>
      </c>
      <c r="V22" s="28" t="s">
        <v>1027</v>
      </c>
    </row>
    <row r="23" spans="1:52" s="28" customFormat="1" x14ac:dyDescent="0.25">
      <c r="A23" s="28" t="s">
        <v>424</v>
      </c>
      <c r="B23" s="28" t="s">
        <v>425</v>
      </c>
      <c r="C23" s="28" t="str">
        <f>CONCATENATE(A23," ",B23)</f>
        <v>Jean Harrell</v>
      </c>
      <c r="D23" s="28" t="s">
        <v>673</v>
      </c>
      <c r="E23" s="28">
        <v>678726</v>
      </c>
      <c r="F23" s="28" t="s">
        <v>25</v>
      </c>
      <c r="G23" s="28" t="s">
        <v>52</v>
      </c>
      <c r="H23" s="28" t="s">
        <v>28</v>
      </c>
      <c r="I23" s="28" t="s">
        <v>686</v>
      </c>
      <c r="J23" s="28" t="s">
        <v>687</v>
      </c>
      <c r="K23" s="29">
        <v>55733973</v>
      </c>
      <c r="L23" s="28" t="s">
        <v>705</v>
      </c>
      <c r="M23" s="30" t="s">
        <v>264</v>
      </c>
      <c r="N23" s="30">
        <f>DATEDIF(L23,M23,"M")</f>
        <v>1</v>
      </c>
      <c r="O23" s="31">
        <v>11</v>
      </c>
      <c r="P23" s="32">
        <v>0.37</v>
      </c>
      <c r="Q23" s="33">
        <v>4.07</v>
      </c>
      <c r="R23" s="28" t="s">
        <v>984</v>
      </c>
      <c r="S23" s="28" t="s">
        <v>988</v>
      </c>
      <c r="T23" s="30" t="s">
        <v>1014</v>
      </c>
      <c r="U23" s="28" t="s">
        <v>1028</v>
      </c>
      <c r="V23" s="28" t="s">
        <v>1027</v>
      </c>
    </row>
    <row r="24" spans="1:52" s="53" customFormat="1" x14ac:dyDescent="0.25">
      <c r="A24" s="28" t="s">
        <v>172</v>
      </c>
      <c r="B24" s="28" t="s">
        <v>173</v>
      </c>
      <c r="C24" s="28" t="str">
        <f>CONCATENATE(A24," ",B24)</f>
        <v>Hadley Beckstrand</v>
      </c>
      <c r="D24" s="28" t="s">
        <v>855</v>
      </c>
      <c r="E24" s="28">
        <v>678726</v>
      </c>
      <c r="F24" s="28" t="s">
        <v>25</v>
      </c>
      <c r="G24" s="28" t="s">
        <v>52</v>
      </c>
      <c r="H24" s="28" t="s">
        <v>28</v>
      </c>
      <c r="I24" s="28" t="s">
        <v>686</v>
      </c>
      <c r="J24" s="28" t="s">
        <v>687</v>
      </c>
      <c r="K24" s="29">
        <v>789665275</v>
      </c>
      <c r="L24" s="28" t="s">
        <v>705</v>
      </c>
      <c r="M24" s="30" t="s">
        <v>264</v>
      </c>
      <c r="N24" s="30">
        <f>DATEDIF(L24,M24,"M")</f>
        <v>1</v>
      </c>
      <c r="O24" s="31">
        <v>11</v>
      </c>
      <c r="P24" s="32">
        <v>0.37</v>
      </c>
      <c r="Q24" s="33">
        <v>4.07</v>
      </c>
      <c r="R24" s="28" t="s">
        <v>984</v>
      </c>
      <c r="S24" s="28" t="s">
        <v>988</v>
      </c>
      <c r="T24" s="30" t="s">
        <v>1014</v>
      </c>
      <c r="U24" s="28" t="s">
        <v>1028</v>
      </c>
      <c r="V24" s="28" t="s">
        <v>1027</v>
      </c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</row>
    <row r="25" spans="1:52" s="28" customFormat="1" x14ac:dyDescent="0.25">
      <c r="A25" s="28" t="s">
        <v>261</v>
      </c>
      <c r="B25" s="28" t="s">
        <v>262</v>
      </c>
      <c r="C25" s="28" t="str">
        <f>CONCATENATE(A25," ",B25)</f>
        <v>William Kates</v>
      </c>
      <c r="D25" s="28" t="s">
        <v>691</v>
      </c>
      <c r="E25" s="28">
        <v>759555</v>
      </c>
      <c r="F25" s="28" t="s">
        <v>143</v>
      </c>
      <c r="G25" s="28" t="s">
        <v>52</v>
      </c>
      <c r="H25" s="28" t="s">
        <v>28</v>
      </c>
      <c r="I25" s="28" t="s">
        <v>686</v>
      </c>
      <c r="J25" s="28" t="s">
        <v>687</v>
      </c>
      <c r="K25" s="29">
        <v>275150335</v>
      </c>
      <c r="L25" s="28" t="s">
        <v>693</v>
      </c>
      <c r="M25" s="30" t="s">
        <v>264</v>
      </c>
      <c r="N25" s="30">
        <f>DATEDIF(L25,M25,"M")</f>
        <v>2</v>
      </c>
      <c r="O25" s="31">
        <v>11</v>
      </c>
      <c r="P25" s="32">
        <v>0.37</v>
      </c>
      <c r="Q25" s="33">
        <v>4.07</v>
      </c>
      <c r="R25" s="28" t="s">
        <v>984</v>
      </c>
      <c r="S25" s="28" t="s">
        <v>990</v>
      </c>
      <c r="T25" s="30" t="s">
        <v>1012</v>
      </c>
      <c r="U25" s="28" t="s">
        <v>1028</v>
      </c>
      <c r="V25" s="28" t="s">
        <v>1027</v>
      </c>
    </row>
    <row r="26" spans="1:52" s="28" customFormat="1" x14ac:dyDescent="0.25">
      <c r="A26" s="28" t="s">
        <v>424</v>
      </c>
      <c r="B26" s="28" t="s">
        <v>425</v>
      </c>
      <c r="C26" s="28" t="str">
        <f>CONCATENATE(A26," ",B26)</f>
        <v>Jean Harrell</v>
      </c>
      <c r="D26" s="28" t="s">
        <v>673</v>
      </c>
      <c r="E26" s="28">
        <v>678726</v>
      </c>
      <c r="F26" s="28" t="s">
        <v>25</v>
      </c>
      <c r="G26" s="28" t="s">
        <v>52</v>
      </c>
      <c r="H26" s="28" t="s">
        <v>28</v>
      </c>
      <c r="I26" s="28" t="s">
        <v>686</v>
      </c>
      <c r="J26" s="28" t="s">
        <v>687</v>
      </c>
      <c r="K26" s="29">
        <v>55733973</v>
      </c>
      <c r="L26" s="28" t="s">
        <v>705</v>
      </c>
      <c r="M26" s="30" t="s">
        <v>670</v>
      </c>
      <c r="N26" s="30">
        <f>DATEDIF(L26,M26,"M")</f>
        <v>2</v>
      </c>
      <c r="O26" s="31">
        <v>11</v>
      </c>
      <c r="P26" s="32">
        <v>0.37</v>
      </c>
      <c r="Q26" s="33">
        <v>4.07</v>
      </c>
      <c r="R26" s="28" t="s">
        <v>984</v>
      </c>
      <c r="S26" s="28" t="s">
        <v>988</v>
      </c>
      <c r="T26" s="30" t="s">
        <v>1014</v>
      </c>
      <c r="U26" s="28" t="s">
        <v>1028</v>
      </c>
      <c r="V26" s="28" t="s">
        <v>1027</v>
      </c>
    </row>
    <row r="27" spans="1:52" x14ac:dyDescent="0.25">
      <c r="A27" s="28" t="s">
        <v>172</v>
      </c>
      <c r="B27" s="28" t="s">
        <v>173</v>
      </c>
      <c r="C27" s="28" t="str">
        <f>CONCATENATE(A27," ",B27)</f>
        <v>Hadley Beckstrand</v>
      </c>
      <c r="D27" s="28" t="s">
        <v>855</v>
      </c>
      <c r="E27" s="28">
        <v>678726</v>
      </c>
      <c r="F27" s="28" t="s">
        <v>25</v>
      </c>
      <c r="G27" s="28" t="s">
        <v>52</v>
      </c>
      <c r="H27" s="28" t="s">
        <v>28</v>
      </c>
      <c r="I27" s="28" t="s">
        <v>686</v>
      </c>
      <c r="J27" s="28" t="s">
        <v>687</v>
      </c>
      <c r="K27" s="29">
        <v>789665275</v>
      </c>
      <c r="L27" s="28" t="s">
        <v>705</v>
      </c>
      <c r="M27" s="30" t="s">
        <v>670</v>
      </c>
      <c r="N27" s="30">
        <f>DATEDIF(L27,M27,"M")</f>
        <v>2</v>
      </c>
      <c r="O27" s="31">
        <v>11</v>
      </c>
      <c r="P27" s="32">
        <v>0.37</v>
      </c>
      <c r="Q27" s="33">
        <v>4.07</v>
      </c>
      <c r="R27" s="28" t="s">
        <v>984</v>
      </c>
      <c r="S27" s="28" t="s">
        <v>988</v>
      </c>
      <c r="T27" s="30" t="s">
        <v>1014</v>
      </c>
      <c r="U27" s="28" t="s">
        <v>1028</v>
      </c>
      <c r="V27" s="28" t="s">
        <v>1027</v>
      </c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</row>
    <row r="28" spans="1:52" x14ac:dyDescent="0.25">
      <c r="A28" s="28" t="s">
        <v>300</v>
      </c>
      <c r="B28" s="28" t="s">
        <v>301</v>
      </c>
      <c r="C28" s="28" t="str">
        <f>CONCATENATE(A28," ",B28)</f>
        <v>Karli Helman</v>
      </c>
      <c r="D28" s="28" t="s">
        <v>695</v>
      </c>
      <c r="E28" s="28">
        <v>820877</v>
      </c>
      <c r="F28" s="28" t="s">
        <v>168</v>
      </c>
      <c r="G28" s="28" t="s">
        <v>52</v>
      </c>
      <c r="H28" s="28" t="s">
        <v>28</v>
      </c>
      <c r="I28" s="28" t="s">
        <v>686</v>
      </c>
      <c r="J28" s="28" t="s">
        <v>687</v>
      </c>
      <c r="K28" s="29">
        <v>982230107</v>
      </c>
      <c r="L28" s="28" t="s">
        <v>719</v>
      </c>
      <c r="M28" s="30" t="s">
        <v>693</v>
      </c>
      <c r="N28" s="30">
        <f>DATEDIF(L28,M28,"M")</f>
        <v>3</v>
      </c>
      <c r="O28" s="31">
        <v>11</v>
      </c>
      <c r="P28" s="32">
        <v>0.37</v>
      </c>
      <c r="Q28" s="33">
        <v>4.07</v>
      </c>
      <c r="R28" s="28" t="s">
        <v>984</v>
      </c>
      <c r="S28" s="28" t="s">
        <v>994</v>
      </c>
      <c r="T28" s="30" t="s">
        <v>1015</v>
      </c>
      <c r="U28" s="28" t="s">
        <v>1028</v>
      </c>
      <c r="V28" s="28" t="s">
        <v>1027</v>
      </c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</row>
    <row r="29" spans="1:52" x14ac:dyDescent="0.25">
      <c r="A29" s="28" t="s">
        <v>261</v>
      </c>
      <c r="B29" s="28" t="s">
        <v>262</v>
      </c>
      <c r="C29" s="28" t="str">
        <f>CONCATENATE(A29," ",B29)</f>
        <v>William Kates</v>
      </c>
      <c r="D29" s="28" t="s">
        <v>691</v>
      </c>
      <c r="E29" s="28">
        <v>759555</v>
      </c>
      <c r="F29" s="28" t="s">
        <v>143</v>
      </c>
      <c r="G29" s="28" t="s">
        <v>52</v>
      </c>
      <c r="H29" s="28" t="s">
        <v>28</v>
      </c>
      <c r="I29" s="28" t="s">
        <v>686</v>
      </c>
      <c r="J29" s="28" t="s">
        <v>687</v>
      </c>
      <c r="K29" s="29">
        <v>275150335</v>
      </c>
      <c r="L29" s="28" t="s">
        <v>693</v>
      </c>
      <c r="M29" s="30" t="s">
        <v>670</v>
      </c>
      <c r="N29" s="30">
        <f>DATEDIF(L29,M29,"M")</f>
        <v>3</v>
      </c>
      <c r="O29" s="31">
        <v>11</v>
      </c>
      <c r="P29" s="32">
        <v>0.37</v>
      </c>
      <c r="Q29" s="33">
        <v>4.07</v>
      </c>
      <c r="R29" s="28" t="s">
        <v>984</v>
      </c>
      <c r="S29" s="28" t="s">
        <v>990</v>
      </c>
      <c r="T29" s="30" t="s">
        <v>1012</v>
      </c>
      <c r="U29" s="28" t="s">
        <v>1028</v>
      </c>
      <c r="V29" s="28" t="s">
        <v>1027</v>
      </c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</row>
    <row r="30" spans="1:52" x14ac:dyDescent="0.25">
      <c r="A30" s="28" t="s">
        <v>300</v>
      </c>
      <c r="B30" s="28" t="s">
        <v>301</v>
      </c>
      <c r="C30" s="28" t="str">
        <f>CONCATENATE(A30," ",B30)</f>
        <v>Karli Helman</v>
      </c>
      <c r="D30" s="28" t="s">
        <v>695</v>
      </c>
      <c r="E30" s="28">
        <v>820877</v>
      </c>
      <c r="F30" s="28" t="s">
        <v>168</v>
      </c>
      <c r="G30" s="28" t="s">
        <v>52</v>
      </c>
      <c r="H30" s="28" t="s">
        <v>28</v>
      </c>
      <c r="I30" s="28" t="s">
        <v>686</v>
      </c>
      <c r="J30" s="28" t="s">
        <v>687</v>
      </c>
      <c r="K30" s="29">
        <v>982230107</v>
      </c>
      <c r="L30" s="28" t="s">
        <v>719</v>
      </c>
      <c r="M30" s="30" t="s">
        <v>705</v>
      </c>
      <c r="N30" s="30">
        <f>DATEDIF(L30,M30,"M")</f>
        <v>4</v>
      </c>
      <c r="O30" s="31">
        <v>11</v>
      </c>
      <c r="P30" s="32">
        <v>0.37</v>
      </c>
      <c r="Q30" s="33">
        <v>4.07</v>
      </c>
      <c r="R30" s="28" t="s">
        <v>984</v>
      </c>
      <c r="S30" s="28" t="s">
        <v>994</v>
      </c>
      <c r="T30" s="30" t="s">
        <v>1015</v>
      </c>
      <c r="U30" s="28" t="s">
        <v>1028</v>
      </c>
      <c r="V30" s="28" t="s">
        <v>1027</v>
      </c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</row>
    <row r="31" spans="1:52" x14ac:dyDescent="0.25">
      <c r="A31" s="28" t="s">
        <v>300</v>
      </c>
      <c r="B31" s="28" t="s">
        <v>301</v>
      </c>
      <c r="C31" s="28" t="str">
        <f>CONCATENATE(A31," ",B31)</f>
        <v>Karli Helman</v>
      </c>
      <c r="D31" s="28" t="s">
        <v>695</v>
      </c>
      <c r="E31" s="28">
        <v>820877</v>
      </c>
      <c r="F31" s="28" t="s">
        <v>168</v>
      </c>
      <c r="G31" s="28" t="s">
        <v>52</v>
      </c>
      <c r="H31" s="28" t="s">
        <v>28</v>
      </c>
      <c r="I31" s="28" t="s">
        <v>686</v>
      </c>
      <c r="J31" s="28" t="s">
        <v>687</v>
      </c>
      <c r="K31" s="29">
        <v>982230107</v>
      </c>
      <c r="L31" s="28" t="s">
        <v>719</v>
      </c>
      <c r="M31" s="30" t="s">
        <v>264</v>
      </c>
      <c r="N31" s="30">
        <f>DATEDIF(L31,M31,"M")</f>
        <v>5</v>
      </c>
      <c r="O31" s="31">
        <v>11</v>
      </c>
      <c r="P31" s="32">
        <v>0.37</v>
      </c>
      <c r="Q31" s="33">
        <v>4.07</v>
      </c>
      <c r="R31" s="28" t="s">
        <v>984</v>
      </c>
      <c r="S31" s="28" t="s">
        <v>994</v>
      </c>
      <c r="T31" s="30" t="s">
        <v>1015</v>
      </c>
      <c r="U31" s="28" t="s">
        <v>1028</v>
      </c>
      <c r="V31" s="28" t="s">
        <v>1027</v>
      </c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</row>
    <row r="32" spans="1:52" x14ac:dyDescent="0.25">
      <c r="A32" s="28" t="s">
        <v>541</v>
      </c>
      <c r="B32" s="28" t="s">
        <v>542</v>
      </c>
      <c r="C32" s="28" t="str">
        <f>CONCATENATE(A32," ",B32)</f>
        <v>Jacob  Moorhead</v>
      </c>
      <c r="D32" s="28" t="s">
        <v>673</v>
      </c>
      <c r="E32" s="28">
        <v>678726</v>
      </c>
      <c r="F32" s="28" t="s">
        <v>25</v>
      </c>
      <c r="G32" s="28" t="s">
        <v>52</v>
      </c>
      <c r="H32" s="28" t="s">
        <v>28</v>
      </c>
      <c r="I32" s="28" t="s">
        <v>686</v>
      </c>
      <c r="J32" s="28" t="s">
        <v>687</v>
      </c>
      <c r="K32" s="29">
        <v>760665662</v>
      </c>
      <c r="L32" s="28" t="s">
        <v>838</v>
      </c>
      <c r="M32" s="30" t="s">
        <v>705</v>
      </c>
      <c r="N32" s="30">
        <f>DATEDIF(L32,M32,"M")</f>
        <v>5</v>
      </c>
      <c r="O32" s="31">
        <v>11</v>
      </c>
      <c r="P32" s="32">
        <v>0.37</v>
      </c>
      <c r="Q32" s="33">
        <v>4.07</v>
      </c>
      <c r="R32" s="28" t="s">
        <v>984</v>
      </c>
      <c r="S32" s="28" t="s">
        <v>988</v>
      </c>
      <c r="T32" s="30" t="s">
        <v>1014</v>
      </c>
      <c r="U32" s="28" t="s">
        <v>1028</v>
      </c>
      <c r="V32" s="28" t="s">
        <v>1027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</row>
    <row r="33" spans="1:52" x14ac:dyDescent="0.25">
      <c r="A33" s="28" t="s">
        <v>630</v>
      </c>
      <c r="B33" s="28" t="s">
        <v>631</v>
      </c>
      <c r="C33" s="28" t="str">
        <f>CONCATENATE(A33," ",B33)</f>
        <v>Maria VonNordeck</v>
      </c>
      <c r="D33" s="28" t="s">
        <v>673</v>
      </c>
      <c r="E33" s="28">
        <v>678726</v>
      </c>
      <c r="F33" s="28" t="s">
        <v>25</v>
      </c>
      <c r="G33" s="28" t="s">
        <v>52</v>
      </c>
      <c r="H33" s="28" t="s">
        <v>28</v>
      </c>
      <c r="I33" s="28" t="s">
        <v>686</v>
      </c>
      <c r="J33" s="28" t="s">
        <v>687</v>
      </c>
      <c r="K33" s="29">
        <v>795235089</v>
      </c>
      <c r="L33" s="28" t="s">
        <v>953</v>
      </c>
      <c r="M33" s="30" t="s">
        <v>693</v>
      </c>
      <c r="N33" s="30">
        <f>DATEDIF(L33,M33,"M")</f>
        <v>5</v>
      </c>
      <c r="O33" s="31">
        <v>11</v>
      </c>
      <c r="P33" s="32">
        <v>0.37</v>
      </c>
      <c r="Q33" s="33">
        <v>4.07</v>
      </c>
      <c r="R33" s="28" t="s">
        <v>984</v>
      </c>
      <c r="S33" s="28" t="s">
        <v>988</v>
      </c>
      <c r="T33" s="30" t="s">
        <v>1014</v>
      </c>
      <c r="U33" s="28" t="s">
        <v>1028</v>
      </c>
      <c r="V33" s="28" t="s">
        <v>1027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</row>
    <row r="34" spans="1:52" x14ac:dyDescent="0.25">
      <c r="A34" s="28" t="s">
        <v>300</v>
      </c>
      <c r="B34" s="28" t="s">
        <v>301</v>
      </c>
      <c r="C34" s="28" t="str">
        <f>CONCATENATE(A34," ",B34)</f>
        <v>Karli Helman</v>
      </c>
      <c r="D34" s="28" t="s">
        <v>695</v>
      </c>
      <c r="E34" s="28">
        <v>820877</v>
      </c>
      <c r="F34" s="28" t="s">
        <v>168</v>
      </c>
      <c r="G34" s="28" t="s">
        <v>52</v>
      </c>
      <c r="H34" s="28" t="s">
        <v>28</v>
      </c>
      <c r="I34" s="28" t="s">
        <v>686</v>
      </c>
      <c r="J34" s="28" t="s">
        <v>687</v>
      </c>
      <c r="K34" s="29">
        <v>982230107</v>
      </c>
      <c r="L34" s="28" t="s">
        <v>719</v>
      </c>
      <c r="M34" s="30" t="s">
        <v>670</v>
      </c>
      <c r="N34" s="30">
        <f>DATEDIF(L34,M34,"M")</f>
        <v>6</v>
      </c>
      <c r="O34" s="31">
        <v>11</v>
      </c>
      <c r="P34" s="32">
        <v>0.37</v>
      </c>
      <c r="Q34" s="33">
        <v>4.07</v>
      </c>
      <c r="R34" s="28" t="s">
        <v>984</v>
      </c>
      <c r="S34" s="28" t="s">
        <v>994</v>
      </c>
      <c r="T34" s="30" t="s">
        <v>1015</v>
      </c>
      <c r="U34" s="28" t="s">
        <v>1028</v>
      </c>
      <c r="V34" s="28" t="s">
        <v>1027</v>
      </c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</row>
    <row r="35" spans="1:52" x14ac:dyDescent="0.25">
      <c r="A35" s="28" t="s">
        <v>541</v>
      </c>
      <c r="B35" s="28" t="s">
        <v>542</v>
      </c>
      <c r="C35" s="28" t="str">
        <f>CONCATENATE(A35," ",B35)</f>
        <v>Jacob  Moorhead</v>
      </c>
      <c r="D35" s="28" t="s">
        <v>673</v>
      </c>
      <c r="E35" s="28">
        <v>678726</v>
      </c>
      <c r="F35" s="28" t="s">
        <v>25</v>
      </c>
      <c r="G35" s="28" t="s">
        <v>52</v>
      </c>
      <c r="H35" s="28" t="s">
        <v>28</v>
      </c>
      <c r="I35" s="28" t="s">
        <v>686</v>
      </c>
      <c r="J35" s="28" t="s">
        <v>687</v>
      </c>
      <c r="K35" s="29">
        <v>760665662</v>
      </c>
      <c r="L35" s="28" t="s">
        <v>838</v>
      </c>
      <c r="M35" s="30" t="s">
        <v>264</v>
      </c>
      <c r="N35" s="30">
        <f>DATEDIF(L35,M35,"M")</f>
        <v>6</v>
      </c>
      <c r="O35" s="31">
        <v>11</v>
      </c>
      <c r="P35" s="32">
        <v>0.37</v>
      </c>
      <c r="Q35" s="33">
        <v>4.07</v>
      </c>
      <c r="R35" s="28" t="s">
        <v>984</v>
      </c>
      <c r="S35" s="28" t="s">
        <v>988</v>
      </c>
      <c r="T35" s="30" t="s">
        <v>1014</v>
      </c>
      <c r="U35" s="28" t="s">
        <v>1028</v>
      </c>
      <c r="V35" s="28" t="s">
        <v>1027</v>
      </c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</row>
    <row r="36" spans="1:52" x14ac:dyDescent="0.25">
      <c r="A36" s="28" t="s">
        <v>630</v>
      </c>
      <c r="B36" s="28" t="s">
        <v>631</v>
      </c>
      <c r="C36" s="28" t="str">
        <f>CONCATENATE(A36," ",B36)</f>
        <v>Maria VonNordeck</v>
      </c>
      <c r="D36" s="28" t="s">
        <v>673</v>
      </c>
      <c r="E36" s="28">
        <v>678726</v>
      </c>
      <c r="F36" s="28" t="s">
        <v>25</v>
      </c>
      <c r="G36" s="28" t="s">
        <v>52</v>
      </c>
      <c r="H36" s="28" t="s">
        <v>28</v>
      </c>
      <c r="I36" s="28" t="s">
        <v>686</v>
      </c>
      <c r="J36" s="28" t="s">
        <v>687</v>
      </c>
      <c r="K36" s="29">
        <v>795235089</v>
      </c>
      <c r="L36" s="28" t="s">
        <v>953</v>
      </c>
      <c r="M36" s="30" t="s">
        <v>705</v>
      </c>
      <c r="N36" s="30">
        <f>DATEDIF(L36,M36,"M")</f>
        <v>6</v>
      </c>
      <c r="O36" s="31">
        <v>11</v>
      </c>
      <c r="P36" s="32">
        <v>0.37</v>
      </c>
      <c r="Q36" s="33">
        <v>4.07</v>
      </c>
      <c r="R36" s="28" t="s">
        <v>984</v>
      </c>
      <c r="S36" s="28" t="s">
        <v>988</v>
      </c>
      <c r="T36" s="30" t="s">
        <v>1014</v>
      </c>
      <c r="U36" s="28" t="s">
        <v>1028</v>
      </c>
      <c r="V36" s="28" t="s">
        <v>1027</v>
      </c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</row>
    <row r="37" spans="1:52" x14ac:dyDescent="0.25">
      <c r="A37" s="46" t="s">
        <v>541</v>
      </c>
      <c r="B37" s="46" t="s">
        <v>542</v>
      </c>
      <c r="C37" s="28" t="str">
        <f>CONCATENATE(A37," ",B37)</f>
        <v>Jacob  Moorhead</v>
      </c>
      <c r="D37" s="46" t="s">
        <v>673</v>
      </c>
      <c r="E37" s="46">
        <v>678726</v>
      </c>
      <c r="F37" s="46" t="s">
        <v>25</v>
      </c>
      <c r="G37" s="46" t="s">
        <v>52</v>
      </c>
      <c r="H37" s="46" t="s">
        <v>28</v>
      </c>
      <c r="I37" s="46" t="s">
        <v>686</v>
      </c>
      <c r="J37" s="46" t="s">
        <v>687</v>
      </c>
      <c r="K37" s="47">
        <v>760665662</v>
      </c>
      <c r="L37" s="46" t="s">
        <v>838</v>
      </c>
      <c r="M37" s="48" t="s">
        <v>670</v>
      </c>
      <c r="N37" s="48">
        <f>DATEDIF(L37,M37,"M")</f>
        <v>7</v>
      </c>
      <c r="O37" s="49">
        <v>11</v>
      </c>
      <c r="P37" s="50">
        <v>0.37</v>
      </c>
      <c r="Q37" s="51">
        <v>4.07</v>
      </c>
      <c r="R37" s="46" t="s">
        <v>984</v>
      </c>
      <c r="S37" s="46" t="s">
        <v>988</v>
      </c>
      <c r="T37" s="48" t="s">
        <v>1014</v>
      </c>
      <c r="U37" s="46" t="s">
        <v>1028</v>
      </c>
      <c r="V37" s="46" t="s">
        <v>1029</v>
      </c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</row>
    <row r="38" spans="1:52" x14ac:dyDescent="0.25">
      <c r="A38" s="46" t="s">
        <v>630</v>
      </c>
      <c r="B38" s="46" t="s">
        <v>631</v>
      </c>
      <c r="C38" s="28" t="str">
        <f>CONCATENATE(A38," ",B38)</f>
        <v>Maria VonNordeck</v>
      </c>
      <c r="D38" s="46" t="s">
        <v>673</v>
      </c>
      <c r="E38" s="46">
        <v>678726</v>
      </c>
      <c r="F38" s="46" t="s">
        <v>25</v>
      </c>
      <c r="G38" s="46" t="s">
        <v>52</v>
      </c>
      <c r="H38" s="46" t="s">
        <v>28</v>
      </c>
      <c r="I38" s="46" t="s">
        <v>686</v>
      </c>
      <c r="J38" s="46" t="s">
        <v>687</v>
      </c>
      <c r="K38" s="47">
        <v>795235089</v>
      </c>
      <c r="L38" s="46" t="s">
        <v>953</v>
      </c>
      <c r="M38" s="48" t="s">
        <v>264</v>
      </c>
      <c r="N38" s="48">
        <f>DATEDIF(L38,M38,"M")</f>
        <v>7</v>
      </c>
      <c r="O38" s="49">
        <v>11</v>
      </c>
      <c r="P38" s="50">
        <v>0.37</v>
      </c>
      <c r="Q38" s="51">
        <v>4.07</v>
      </c>
      <c r="R38" s="46" t="s">
        <v>984</v>
      </c>
      <c r="S38" s="46" t="s">
        <v>988</v>
      </c>
      <c r="T38" s="48" t="s">
        <v>1014</v>
      </c>
      <c r="U38" s="46" t="s">
        <v>1028</v>
      </c>
      <c r="V38" s="46" t="s">
        <v>1029</v>
      </c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</row>
    <row r="39" spans="1:52" x14ac:dyDescent="0.25">
      <c r="A39" s="46" t="s">
        <v>386</v>
      </c>
      <c r="B39" s="46" t="s">
        <v>387</v>
      </c>
      <c r="C39" s="28" t="str">
        <f>CONCATENATE(A39," ",B39)</f>
        <v>Elizabeth Zane</v>
      </c>
      <c r="D39" s="46" t="s">
        <v>691</v>
      </c>
      <c r="E39" s="46">
        <v>760338</v>
      </c>
      <c r="F39" s="46" t="s">
        <v>129</v>
      </c>
      <c r="G39" s="46" t="s">
        <v>52</v>
      </c>
      <c r="H39" s="46" t="s">
        <v>28</v>
      </c>
      <c r="I39" s="46" t="s">
        <v>686</v>
      </c>
      <c r="J39" s="46" t="s">
        <v>687</v>
      </c>
      <c r="K39" s="47">
        <v>260311117</v>
      </c>
      <c r="L39" s="46" t="s">
        <v>734</v>
      </c>
      <c r="M39" s="48" t="s">
        <v>705</v>
      </c>
      <c r="N39" s="48">
        <f>DATEDIF(L39,M39,"M")</f>
        <v>8</v>
      </c>
      <c r="O39" s="49">
        <v>11</v>
      </c>
      <c r="P39" s="50">
        <v>0.37</v>
      </c>
      <c r="Q39" s="51">
        <v>4.07</v>
      </c>
      <c r="R39" s="46" t="s">
        <v>984</v>
      </c>
      <c r="S39" s="46" t="s">
        <v>996</v>
      </c>
      <c r="T39" s="48">
        <v>8814784</v>
      </c>
      <c r="U39" s="46" t="s">
        <v>1028</v>
      </c>
      <c r="V39" s="46" t="s">
        <v>1029</v>
      </c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</row>
    <row r="40" spans="1:52" x14ac:dyDescent="0.25">
      <c r="A40" s="28" t="s">
        <v>386</v>
      </c>
      <c r="B40" s="28" t="s">
        <v>387</v>
      </c>
      <c r="C40" s="28" t="str">
        <f>CONCATENATE(A40," ",B40)</f>
        <v>Elizabeth Zane</v>
      </c>
      <c r="D40" s="28" t="s">
        <v>691</v>
      </c>
      <c r="E40" s="28">
        <v>760338</v>
      </c>
      <c r="F40" s="28" t="s">
        <v>129</v>
      </c>
      <c r="G40" s="28" t="s">
        <v>52</v>
      </c>
      <c r="H40" s="28" t="s">
        <v>28</v>
      </c>
      <c r="I40" s="28" t="s">
        <v>686</v>
      </c>
      <c r="J40" s="28" t="s">
        <v>687</v>
      </c>
      <c r="K40" s="29">
        <v>260311117</v>
      </c>
      <c r="L40" s="28" t="s">
        <v>734</v>
      </c>
      <c r="M40" s="30" t="s">
        <v>264</v>
      </c>
      <c r="N40" s="30">
        <f>DATEDIF(L40,M40,"M")</f>
        <v>9</v>
      </c>
      <c r="O40" s="31">
        <v>11</v>
      </c>
      <c r="P40" s="32">
        <v>0.37</v>
      </c>
      <c r="Q40" s="33">
        <v>4.07</v>
      </c>
      <c r="R40" s="28" t="s">
        <v>984</v>
      </c>
      <c r="S40" s="28" t="s">
        <v>996</v>
      </c>
      <c r="T40" s="30">
        <v>8814784</v>
      </c>
      <c r="U40" s="28" t="s">
        <v>1028</v>
      </c>
      <c r="V40" s="28" t="s">
        <v>1029</v>
      </c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</row>
    <row r="41" spans="1:52" x14ac:dyDescent="0.25">
      <c r="A41" s="28" t="s">
        <v>127</v>
      </c>
      <c r="B41" s="28" t="s">
        <v>128</v>
      </c>
      <c r="C41" s="28" t="str">
        <f>CONCATENATE(A41," ",B41)</f>
        <v>Kristen Facchini</v>
      </c>
      <c r="D41" s="28" t="s">
        <v>691</v>
      </c>
      <c r="E41" s="28">
        <v>760338</v>
      </c>
      <c r="F41" s="28" t="s">
        <v>129</v>
      </c>
      <c r="G41" s="28" t="s">
        <v>52</v>
      </c>
      <c r="H41" s="28" t="s">
        <v>28</v>
      </c>
      <c r="I41" s="28" t="s">
        <v>686</v>
      </c>
      <c r="J41" s="28" t="s">
        <v>687</v>
      </c>
      <c r="K41" s="29">
        <v>625104953</v>
      </c>
      <c r="L41" s="28" t="s">
        <v>679</v>
      </c>
      <c r="M41" s="30" t="s">
        <v>705</v>
      </c>
      <c r="N41" s="30">
        <f>DATEDIF(L41,M41,"M")</f>
        <v>9</v>
      </c>
      <c r="O41" s="31">
        <v>11</v>
      </c>
      <c r="P41" s="32">
        <v>0.37</v>
      </c>
      <c r="Q41" s="33">
        <v>4.07</v>
      </c>
      <c r="R41" s="28" t="s">
        <v>984</v>
      </c>
      <c r="S41" s="28" t="s">
        <v>996</v>
      </c>
      <c r="T41" s="30">
        <v>8814784</v>
      </c>
      <c r="U41" s="28" t="s">
        <v>1028</v>
      </c>
      <c r="V41" s="28" t="s">
        <v>1029</v>
      </c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</row>
    <row r="42" spans="1:52" x14ac:dyDescent="0.25">
      <c r="A42" s="28" t="s">
        <v>607</v>
      </c>
      <c r="B42" s="28" t="s">
        <v>608</v>
      </c>
      <c r="C42" s="28" t="str">
        <f>CONCATENATE(A42," ",B42)</f>
        <v>Debbie Rice</v>
      </c>
      <c r="D42" s="28" t="s">
        <v>673</v>
      </c>
      <c r="E42" s="28">
        <v>678726</v>
      </c>
      <c r="F42" s="28" t="s">
        <v>25</v>
      </c>
      <c r="G42" s="28" t="s">
        <v>52</v>
      </c>
      <c r="H42" s="28" t="s">
        <v>28</v>
      </c>
      <c r="I42" s="28" t="s">
        <v>686</v>
      </c>
      <c r="J42" s="28" t="s">
        <v>687</v>
      </c>
      <c r="K42" s="29">
        <v>526763175</v>
      </c>
      <c r="L42" s="28" t="s">
        <v>679</v>
      </c>
      <c r="M42" s="30" t="s">
        <v>705</v>
      </c>
      <c r="N42" s="30">
        <f>DATEDIF(L42,M42,"M")</f>
        <v>9</v>
      </c>
      <c r="O42" s="31">
        <v>11</v>
      </c>
      <c r="P42" s="32">
        <v>0.37</v>
      </c>
      <c r="Q42" s="33">
        <v>4.07</v>
      </c>
      <c r="R42" s="28" t="s">
        <v>984</v>
      </c>
      <c r="S42" s="28" t="s">
        <v>988</v>
      </c>
      <c r="T42" s="30">
        <v>16202925</v>
      </c>
      <c r="U42" s="28" t="s">
        <v>1028</v>
      </c>
      <c r="V42" s="28" t="s">
        <v>1029</v>
      </c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</row>
    <row r="43" spans="1:52" x14ac:dyDescent="0.25">
      <c r="A43" s="28" t="s">
        <v>386</v>
      </c>
      <c r="B43" s="28" t="s">
        <v>387</v>
      </c>
      <c r="C43" s="28" t="str">
        <f>CONCATENATE(A43," ",B43)</f>
        <v>Elizabeth Zane</v>
      </c>
      <c r="D43" s="28" t="s">
        <v>691</v>
      </c>
      <c r="E43" s="28">
        <v>760338</v>
      </c>
      <c r="F43" s="28" t="s">
        <v>129</v>
      </c>
      <c r="G43" s="28" t="s">
        <v>52</v>
      </c>
      <c r="H43" s="28" t="s">
        <v>28</v>
      </c>
      <c r="I43" s="28" t="s">
        <v>686</v>
      </c>
      <c r="J43" s="28" t="s">
        <v>687</v>
      </c>
      <c r="K43" s="29">
        <v>260311117</v>
      </c>
      <c r="L43" s="28" t="s">
        <v>734</v>
      </c>
      <c r="M43" s="30" t="s">
        <v>670</v>
      </c>
      <c r="N43" s="30">
        <f>DATEDIF(L43,M43,"M")</f>
        <v>10</v>
      </c>
      <c r="O43" s="31">
        <v>11</v>
      </c>
      <c r="P43" s="32">
        <v>0.37</v>
      </c>
      <c r="Q43" s="33">
        <v>4.07</v>
      </c>
      <c r="R43" s="28" t="s">
        <v>984</v>
      </c>
      <c r="S43" s="28" t="s">
        <v>996</v>
      </c>
      <c r="T43" s="30">
        <v>8814784</v>
      </c>
      <c r="U43" s="28" t="s">
        <v>1028</v>
      </c>
      <c r="V43" s="28" t="s">
        <v>1029</v>
      </c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</row>
    <row r="44" spans="1:52" x14ac:dyDescent="0.25">
      <c r="A44" s="28" t="s">
        <v>127</v>
      </c>
      <c r="B44" s="28" t="s">
        <v>128</v>
      </c>
      <c r="C44" s="28" t="str">
        <f>CONCATENATE(A44," ",B44)</f>
        <v>Kristen Facchini</v>
      </c>
      <c r="D44" s="28" t="s">
        <v>691</v>
      </c>
      <c r="E44" s="28">
        <v>760338</v>
      </c>
      <c r="F44" s="28" t="s">
        <v>129</v>
      </c>
      <c r="G44" s="28" t="s">
        <v>52</v>
      </c>
      <c r="H44" s="28" t="s">
        <v>28</v>
      </c>
      <c r="I44" s="28" t="s">
        <v>686</v>
      </c>
      <c r="J44" s="28" t="s">
        <v>687</v>
      </c>
      <c r="K44" s="29">
        <v>625104953</v>
      </c>
      <c r="L44" s="28" t="s">
        <v>679</v>
      </c>
      <c r="M44" s="30" t="s">
        <v>264</v>
      </c>
      <c r="N44" s="30">
        <f>DATEDIF(L44,M44,"M")</f>
        <v>10</v>
      </c>
      <c r="O44" s="31">
        <v>11</v>
      </c>
      <c r="P44" s="32">
        <v>0.37</v>
      </c>
      <c r="Q44" s="33">
        <v>4.07</v>
      </c>
      <c r="R44" s="28" t="s">
        <v>984</v>
      </c>
      <c r="S44" s="28" t="s">
        <v>996</v>
      </c>
      <c r="T44" s="30">
        <v>8814784</v>
      </c>
      <c r="U44" s="28" t="s">
        <v>1028</v>
      </c>
      <c r="V44" s="28" t="s">
        <v>1029</v>
      </c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</row>
    <row r="45" spans="1:52" x14ac:dyDescent="0.25">
      <c r="A45" s="28" t="s">
        <v>607</v>
      </c>
      <c r="B45" s="28" t="s">
        <v>608</v>
      </c>
      <c r="C45" s="28" t="str">
        <f>CONCATENATE(A45," ",B45)</f>
        <v>Debbie Rice</v>
      </c>
      <c r="D45" s="28" t="s">
        <v>673</v>
      </c>
      <c r="E45" s="28">
        <v>678726</v>
      </c>
      <c r="F45" s="28" t="s">
        <v>25</v>
      </c>
      <c r="G45" s="28" t="s">
        <v>52</v>
      </c>
      <c r="H45" s="28" t="s">
        <v>28</v>
      </c>
      <c r="I45" s="28" t="s">
        <v>686</v>
      </c>
      <c r="J45" s="28" t="s">
        <v>687</v>
      </c>
      <c r="K45" s="29">
        <v>526763175</v>
      </c>
      <c r="L45" s="28" t="s">
        <v>679</v>
      </c>
      <c r="M45" s="30" t="s">
        <v>264</v>
      </c>
      <c r="N45" s="30">
        <f>DATEDIF(L45,M45,"M")</f>
        <v>10</v>
      </c>
      <c r="O45" s="31">
        <v>11</v>
      </c>
      <c r="P45" s="32">
        <v>0.37</v>
      </c>
      <c r="Q45" s="33">
        <v>4.07</v>
      </c>
      <c r="R45" s="28" t="s">
        <v>984</v>
      </c>
      <c r="S45" s="28" t="s">
        <v>988</v>
      </c>
      <c r="T45" s="30">
        <v>16202925</v>
      </c>
      <c r="U45" s="28" t="s">
        <v>1028</v>
      </c>
      <c r="V45" s="28" t="s">
        <v>1029</v>
      </c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</row>
    <row r="46" spans="1:52" x14ac:dyDescent="0.25">
      <c r="A46" s="28" t="s">
        <v>127</v>
      </c>
      <c r="B46" s="28" t="s">
        <v>128</v>
      </c>
      <c r="C46" s="28" t="str">
        <f>CONCATENATE(A46," ",B46)</f>
        <v>Kristen Facchini</v>
      </c>
      <c r="D46" s="28" t="s">
        <v>691</v>
      </c>
      <c r="E46" s="28">
        <v>760338</v>
      </c>
      <c r="F46" s="28" t="s">
        <v>129</v>
      </c>
      <c r="G46" s="28" t="s">
        <v>52</v>
      </c>
      <c r="H46" s="28" t="s">
        <v>28</v>
      </c>
      <c r="I46" s="28" t="s">
        <v>686</v>
      </c>
      <c r="J46" s="28" t="s">
        <v>687</v>
      </c>
      <c r="K46" s="29">
        <v>625104953</v>
      </c>
      <c r="L46" s="28" t="s">
        <v>679</v>
      </c>
      <c r="M46" s="30" t="s">
        <v>670</v>
      </c>
      <c r="N46" s="30">
        <f>DATEDIF(L46,M46,"M")</f>
        <v>11</v>
      </c>
      <c r="O46" s="31">
        <v>11</v>
      </c>
      <c r="P46" s="32">
        <v>0.37</v>
      </c>
      <c r="Q46" s="33">
        <v>4.07</v>
      </c>
      <c r="R46" s="28" t="s">
        <v>984</v>
      </c>
      <c r="S46" s="28" t="s">
        <v>996</v>
      </c>
      <c r="T46" s="30">
        <v>8814784</v>
      </c>
      <c r="U46" s="28" t="s">
        <v>1028</v>
      </c>
      <c r="V46" s="28" t="s">
        <v>1029</v>
      </c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</row>
    <row r="47" spans="1:52" x14ac:dyDescent="0.25">
      <c r="A47" s="28" t="s">
        <v>607</v>
      </c>
      <c r="B47" s="28" t="s">
        <v>608</v>
      </c>
      <c r="C47" s="28" t="str">
        <f>CONCATENATE(A47," ",B47)</f>
        <v>Debbie Rice</v>
      </c>
      <c r="D47" s="28" t="s">
        <v>673</v>
      </c>
      <c r="E47" s="28">
        <v>678726</v>
      </c>
      <c r="F47" s="28" t="s">
        <v>25</v>
      </c>
      <c r="G47" s="28" t="s">
        <v>52</v>
      </c>
      <c r="H47" s="28" t="s">
        <v>28</v>
      </c>
      <c r="I47" s="28" t="s">
        <v>686</v>
      </c>
      <c r="J47" s="28" t="s">
        <v>687</v>
      </c>
      <c r="K47" s="29">
        <v>526763175</v>
      </c>
      <c r="L47" s="28" t="s">
        <v>679</v>
      </c>
      <c r="M47" s="30" t="s">
        <v>670</v>
      </c>
      <c r="N47" s="30">
        <f>DATEDIF(L47,M47,"M")</f>
        <v>11</v>
      </c>
      <c r="O47" s="31">
        <v>11</v>
      </c>
      <c r="P47" s="32">
        <v>0.37</v>
      </c>
      <c r="Q47" s="33">
        <v>4.07</v>
      </c>
      <c r="R47" s="28" t="s">
        <v>984</v>
      </c>
      <c r="S47" s="28" t="s">
        <v>988</v>
      </c>
      <c r="T47" s="30">
        <v>16202925</v>
      </c>
      <c r="U47" s="28" t="s">
        <v>1028</v>
      </c>
      <c r="V47" s="28" t="s">
        <v>1029</v>
      </c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</row>
    <row r="48" spans="1:52" x14ac:dyDescent="0.25">
      <c r="A48" s="28" t="s">
        <v>209</v>
      </c>
      <c r="B48" s="28" t="s">
        <v>210</v>
      </c>
      <c r="C48" s="28" t="str">
        <f>CONCATENATE(A48," ",B48)</f>
        <v>Melissa Mahaney</v>
      </c>
      <c r="D48" s="28" t="s">
        <v>673</v>
      </c>
      <c r="E48" s="28">
        <v>678726</v>
      </c>
      <c r="F48" s="28" t="s">
        <v>25</v>
      </c>
      <c r="G48" s="28" t="s">
        <v>52</v>
      </c>
      <c r="H48" s="28" t="s">
        <v>28</v>
      </c>
      <c r="I48" s="28" t="s">
        <v>686</v>
      </c>
      <c r="J48" s="28" t="s">
        <v>687</v>
      </c>
      <c r="K48" s="29">
        <v>698193150</v>
      </c>
      <c r="L48" s="28" t="s">
        <v>699</v>
      </c>
      <c r="M48" s="30" t="s">
        <v>705</v>
      </c>
      <c r="N48" s="30">
        <f>DATEDIF(L48,M48,"M")</f>
        <v>11</v>
      </c>
      <c r="O48" s="31">
        <v>11</v>
      </c>
      <c r="P48" s="32">
        <v>0.37</v>
      </c>
      <c r="Q48" s="33">
        <v>4.07</v>
      </c>
      <c r="R48" s="28" t="s">
        <v>984</v>
      </c>
      <c r="S48" s="28" t="s">
        <v>988</v>
      </c>
      <c r="T48" s="30">
        <v>16202925</v>
      </c>
      <c r="U48" s="28" t="s">
        <v>1028</v>
      </c>
      <c r="V48" s="28" t="s">
        <v>1029</v>
      </c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</row>
    <row r="49" spans="1:52" x14ac:dyDescent="0.25">
      <c r="A49" s="28" t="s">
        <v>209</v>
      </c>
      <c r="B49" s="28" t="s">
        <v>210</v>
      </c>
      <c r="C49" s="28" t="str">
        <f>CONCATENATE(A49," ",B49)</f>
        <v>Melissa Mahaney</v>
      </c>
      <c r="D49" s="28" t="s">
        <v>673</v>
      </c>
      <c r="E49" s="28">
        <v>678726</v>
      </c>
      <c r="F49" s="28" t="s">
        <v>25</v>
      </c>
      <c r="G49" s="28" t="s">
        <v>52</v>
      </c>
      <c r="H49" s="28" t="s">
        <v>28</v>
      </c>
      <c r="I49" s="28" t="s">
        <v>686</v>
      </c>
      <c r="J49" s="28" t="s">
        <v>687</v>
      </c>
      <c r="K49" s="29">
        <v>698193150</v>
      </c>
      <c r="L49" s="28" t="s">
        <v>699</v>
      </c>
      <c r="M49" s="30" t="s">
        <v>264</v>
      </c>
      <c r="N49" s="30">
        <f>DATEDIF(L49,M49,"M")</f>
        <v>12</v>
      </c>
      <c r="O49" s="31">
        <v>11</v>
      </c>
      <c r="P49" s="32">
        <v>0.37</v>
      </c>
      <c r="Q49" s="33">
        <v>4.07</v>
      </c>
      <c r="R49" s="28" t="s">
        <v>984</v>
      </c>
      <c r="S49" s="28" t="s">
        <v>988</v>
      </c>
      <c r="T49" s="30">
        <v>16202925</v>
      </c>
      <c r="U49" s="28" t="s">
        <v>1028</v>
      </c>
      <c r="V49" s="28" t="s">
        <v>1029</v>
      </c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 x14ac:dyDescent="0.25">
      <c r="A50" s="28" t="s">
        <v>338</v>
      </c>
      <c r="B50" s="28" t="s">
        <v>339</v>
      </c>
      <c r="C50" s="28" t="str">
        <f>CONCATENATE(A50," ",B50)</f>
        <v>Emily Whitacre</v>
      </c>
      <c r="D50" s="28" t="s">
        <v>673</v>
      </c>
      <c r="E50" s="28">
        <v>678726</v>
      </c>
      <c r="F50" s="28" t="s">
        <v>25</v>
      </c>
      <c r="G50" s="28" t="s">
        <v>52</v>
      </c>
      <c r="H50" s="28" t="s">
        <v>28</v>
      </c>
      <c r="I50" s="28" t="s">
        <v>686</v>
      </c>
      <c r="J50" s="28" t="s">
        <v>687</v>
      </c>
      <c r="K50" s="29">
        <v>859724247</v>
      </c>
      <c r="L50" s="28" t="s">
        <v>737</v>
      </c>
      <c r="M50" s="30" t="s">
        <v>693</v>
      </c>
      <c r="N50" s="30">
        <f>DATEDIF(L50,M50,"M")</f>
        <v>12</v>
      </c>
      <c r="O50" s="31">
        <v>11</v>
      </c>
      <c r="P50" s="32">
        <v>0.37</v>
      </c>
      <c r="Q50" s="33">
        <v>4.07</v>
      </c>
      <c r="R50" s="28" t="s">
        <v>984</v>
      </c>
      <c r="S50" s="28" t="s">
        <v>988</v>
      </c>
      <c r="T50" s="30">
        <v>16202925</v>
      </c>
      <c r="U50" s="28" t="s">
        <v>1028</v>
      </c>
      <c r="V50" s="28" t="s">
        <v>1029</v>
      </c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</row>
    <row r="51" spans="1:52" x14ac:dyDescent="0.25">
      <c r="A51" s="28" t="s">
        <v>280</v>
      </c>
      <c r="B51" s="28" t="s">
        <v>281</v>
      </c>
      <c r="C51" s="28" t="str">
        <f>CONCATENATE(A51," ",B51)</f>
        <v>Mary Rosencranz</v>
      </c>
      <c r="D51" s="28" t="s">
        <v>673</v>
      </c>
      <c r="E51" s="28">
        <v>678726</v>
      </c>
      <c r="F51" s="28" t="s">
        <v>25</v>
      </c>
      <c r="G51" s="28" t="s">
        <v>52</v>
      </c>
      <c r="H51" s="28" t="s">
        <v>28</v>
      </c>
      <c r="I51" s="28" t="s">
        <v>686</v>
      </c>
      <c r="J51" s="28" t="s">
        <v>687</v>
      </c>
      <c r="K51" s="29">
        <v>364920174</v>
      </c>
      <c r="L51" s="28" t="s">
        <v>737</v>
      </c>
      <c r="M51" s="30" t="s">
        <v>693</v>
      </c>
      <c r="N51" s="30">
        <f>DATEDIF(L51,M51,"M")</f>
        <v>12</v>
      </c>
      <c r="O51" s="31">
        <v>11</v>
      </c>
      <c r="P51" s="32">
        <v>0.37</v>
      </c>
      <c r="Q51" s="33">
        <v>4.07</v>
      </c>
      <c r="R51" s="28" t="s">
        <v>984</v>
      </c>
      <c r="S51" s="28" t="s">
        <v>988</v>
      </c>
      <c r="T51" s="30">
        <v>16202925</v>
      </c>
      <c r="U51" s="28" t="s">
        <v>1028</v>
      </c>
      <c r="V51" s="28" t="s">
        <v>1029</v>
      </c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</row>
    <row r="52" spans="1:52" x14ac:dyDescent="0.25">
      <c r="A52" s="28" t="s">
        <v>291</v>
      </c>
      <c r="B52" s="28" t="s">
        <v>292</v>
      </c>
      <c r="C52" s="28" t="str">
        <f>CONCATENATE(A52," ",B52)</f>
        <v>Sally Noonan</v>
      </c>
      <c r="D52" s="28" t="s">
        <v>691</v>
      </c>
      <c r="E52" s="28">
        <v>764002</v>
      </c>
      <c r="F52" s="28" t="s">
        <v>293</v>
      </c>
      <c r="G52" s="28" t="s">
        <v>52</v>
      </c>
      <c r="H52" s="28" t="s">
        <v>28</v>
      </c>
      <c r="I52" s="28" t="s">
        <v>686</v>
      </c>
      <c r="J52" s="28" t="s">
        <v>687</v>
      </c>
      <c r="K52" s="29">
        <v>825368073</v>
      </c>
      <c r="L52" s="28" t="s">
        <v>737</v>
      </c>
      <c r="M52" s="30" t="s">
        <v>705</v>
      </c>
      <c r="N52" s="30">
        <f>DATEDIF(L52,M52,"M")</f>
        <v>13</v>
      </c>
      <c r="O52" s="31">
        <v>11</v>
      </c>
      <c r="P52" s="32">
        <v>0.37</v>
      </c>
      <c r="Q52" s="33">
        <v>4.07</v>
      </c>
      <c r="R52" s="28" t="s">
        <v>984</v>
      </c>
      <c r="S52" s="28" t="s">
        <v>1006</v>
      </c>
      <c r="T52" s="30">
        <v>18828278</v>
      </c>
      <c r="U52" s="28" t="s">
        <v>1028</v>
      </c>
      <c r="V52" s="28" t="s">
        <v>1029</v>
      </c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</row>
    <row r="53" spans="1:52" x14ac:dyDescent="0.25">
      <c r="A53" s="28" t="s">
        <v>209</v>
      </c>
      <c r="B53" s="28" t="s">
        <v>210</v>
      </c>
      <c r="C53" s="28" t="str">
        <f>CONCATENATE(A53," ",B53)</f>
        <v>Melissa Mahaney</v>
      </c>
      <c r="D53" s="28" t="s">
        <v>673</v>
      </c>
      <c r="E53" s="28">
        <v>678726</v>
      </c>
      <c r="F53" s="28" t="s">
        <v>25</v>
      </c>
      <c r="G53" s="28" t="s">
        <v>52</v>
      </c>
      <c r="H53" s="28" t="s">
        <v>28</v>
      </c>
      <c r="I53" s="28" t="s">
        <v>686</v>
      </c>
      <c r="J53" s="28" t="s">
        <v>687</v>
      </c>
      <c r="K53" s="29">
        <v>698193150</v>
      </c>
      <c r="L53" s="28" t="s">
        <v>699</v>
      </c>
      <c r="M53" s="30" t="s">
        <v>670</v>
      </c>
      <c r="N53" s="30">
        <f>DATEDIF(L53,M53,"M")</f>
        <v>13</v>
      </c>
      <c r="O53" s="31">
        <v>11</v>
      </c>
      <c r="P53" s="32">
        <v>0.37</v>
      </c>
      <c r="Q53" s="33">
        <v>4.07</v>
      </c>
      <c r="R53" s="28" t="s">
        <v>984</v>
      </c>
      <c r="S53" s="28" t="s">
        <v>988</v>
      </c>
      <c r="T53" s="30">
        <v>16202925</v>
      </c>
      <c r="U53" s="28" t="s">
        <v>1028</v>
      </c>
      <c r="V53" s="28" t="s">
        <v>1029</v>
      </c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</row>
    <row r="54" spans="1:52" x14ac:dyDescent="0.25">
      <c r="A54" s="28" t="s">
        <v>280</v>
      </c>
      <c r="B54" s="28" t="s">
        <v>281</v>
      </c>
      <c r="C54" s="28" t="str">
        <f>CONCATENATE(A54," ",B54)</f>
        <v>Mary Rosencranz</v>
      </c>
      <c r="D54" s="28" t="s">
        <v>673</v>
      </c>
      <c r="E54" s="28">
        <v>678726</v>
      </c>
      <c r="F54" s="28" t="s">
        <v>25</v>
      </c>
      <c r="G54" s="28" t="s">
        <v>52</v>
      </c>
      <c r="H54" s="28" t="s">
        <v>28</v>
      </c>
      <c r="I54" s="28" t="s">
        <v>686</v>
      </c>
      <c r="J54" s="28" t="s">
        <v>687</v>
      </c>
      <c r="K54" s="29">
        <v>364920174</v>
      </c>
      <c r="L54" s="28" t="s">
        <v>737</v>
      </c>
      <c r="M54" s="30" t="s">
        <v>705</v>
      </c>
      <c r="N54" s="30">
        <f>DATEDIF(L54,M54,"M")</f>
        <v>13</v>
      </c>
      <c r="O54" s="31">
        <v>11</v>
      </c>
      <c r="P54" s="32">
        <v>0.37</v>
      </c>
      <c r="Q54" s="33">
        <v>4.07</v>
      </c>
      <c r="R54" s="28" t="s">
        <v>984</v>
      </c>
      <c r="S54" s="28" t="s">
        <v>988</v>
      </c>
      <c r="T54" s="30">
        <v>16202925</v>
      </c>
      <c r="U54" s="28" t="s">
        <v>1028</v>
      </c>
      <c r="V54" s="28" t="s">
        <v>1029</v>
      </c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</row>
    <row r="55" spans="1:52" x14ac:dyDescent="0.25">
      <c r="A55" s="28" t="s">
        <v>338</v>
      </c>
      <c r="B55" s="28" t="s">
        <v>339</v>
      </c>
      <c r="C55" s="28" t="str">
        <f>CONCATENATE(A55," ",B55)</f>
        <v>Emily Whitacre</v>
      </c>
      <c r="D55" s="28" t="s">
        <v>673</v>
      </c>
      <c r="E55" s="28">
        <v>678726</v>
      </c>
      <c r="F55" s="28" t="s">
        <v>25</v>
      </c>
      <c r="G55" s="28" t="s">
        <v>52</v>
      </c>
      <c r="H55" s="28" t="s">
        <v>28</v>
      </c>
      <c r="I55" s="28" t="s">
        <v>686</v>
      </c>
      <c r="J55" s="28" t="s">
        <v>687</v>
      </c>
      <c r="K55" s="29">
        <v>859724247</v>
      </c>
      <c r="L55" s="28" t="s">
        <v>737</v>
      </c>
      <c r="M55" s="30" t="s">
        <v>705</v>
      </c>
      <c r="N55" s="30">
        <f>DATEDIF(L55,M55,"M")</f>
        <v>13</v>
      </c>
      <c r="O55" s="31">
        <v>11</v>
      </c>
      <c r="P55" s="32">
        <v>0.37</v>
      </c>
      <c r="Q55" s="33">
        <v>4.07</v>
      </c>
      <c r="R55" s="28" t="s">
        <v>984</v>
      </c>
      <c r="S55" s="28" t="s">
        <v>988</v>
      </c>
      <c r="T55" s="30">
        <v>16202925</v>
      </c>
      <c r="U55" s="28" t="s">
        <v>1028</v>
      </c>
      <c r="V55" s="28" t="s">
        <v>1029</v>
      </c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</row>
    <row r="56" spans="1:52" s="52" customFormat="1" x14ac:dyDescent="0.25">
      <c r="A56" s="28" t="s">
        <v>49</v>
      </c>
      <c r="B56" s="28" t="s">
        <v>50</v>
      </c>
      <c r="C56" s="28" t="str">
        <f>CONCATENATE(A56," ",B56)</f>
        <v>Minas Giorgakis</v>
      </c>
      <c r="D56" s="28" t="s">
        <v>673</v>
      </c>
      <c r="E56" s="28">
        <v>678726</v>
      </c>
      <c r="F56" s="28" t="s">
        <v>25</v>
      </c>
      <c r="G56" s="28" t="s">
        <v>52</v>
      </c>
      <c r="H56" s="28" t="s">
        <v>28</v>
      </c>
      <c r="I56" s="28" t="s">
        <v>686</v>
      </c>
      <c r="J56" s="28" t="s">
        <v>687</v>
      </c>
      <c r="K56" s="29">
        <v>607637254</v>
      </c>
      <c r="L56" s="28" t="s">
        <v>737</v>
      </c>
      <c r="M56" s="30" t="s">
        <v>705</v>
      </c>
      <c r="N56" s="30">
        <f>DATEDIF(L56,M56,"M")</f>
        <v>13</v>
      </c>
      <c r="O56" s="31">
        <v>11</v>
      </c>
      <c r="P56" s="32">
        <v>0.37</v>
      </c>
      <c r="Q56" s="33">
        <v>4.07</v>
      </c>
      <c r="R56" s="28" t="s">
        <v>984</v>
      </c>
      <c r="S56" s="28" t="s">
        <v>988</v>
      </c>
      <c r="T56" s="30">
        <v>16202925</v>
      </c>
      <c r="U56" s="28" t="s">
        <v>1028</v>
      </c>
      <c r="V56" s="28" t="s">
        <v>1029</v>
      </c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</row>
    <row r="57" spans="1:52" s="52" customFormat="1" x14ac:dyDescent="0.25">
      <c r="A57" s="28" t="s">
        <v>320</v>
      </c>
      <c r="B57" s="28" t="s">
        <v>321</v>
      </c>
      <c r="C57" s="28" t="str">
        <f>CONCATENATE(A57," ",B57)</f>
        <v>Sheryll Aldred</v>
      </c>
      <c r="D57" s="28" t="s">
        <v>673</v>
      </c>
      <c r="E57" s="28">
        <v>678726</v>
      </c>
      <c r="F57" s="28" t="s">
        <v>25</v>
      </c>
      <c r="G57" s="28" t="s">
        <v>52</v>
      </c>
      <c r="H57" s="28" t="s">
        <v>28</v>
      </c>
      <c r="I57" s="28" t="s">
        <v>686</v>
      </c>
      <c r="J57" s="28" t="s">
        <v>687</v>
      </c>
      <c r="K57" s="29">
        <v>574187796</v>
      </c>
      <c r="L57" s="28" t="s">
        <v>684</v>
      </c>
      <c r="M57" s="30" t="s">
        <v>693</v>
      </c>
      <c r="N57" s="30">
        <f>DATEDIF(L57,M57,"M")</f>
        <v>13</v>
      </c>
      <c r="O57" s="31">
        <v>11</v>
      </c>
      <c r="P57" s="32">
        <v>0.37</v>
      </c>
      <c r="Q57" s="33">
        <v>4.07</v>
      </c>
      <c r="R57" s="28" t="s">
        <v>984</v>
      </c>
      <c r="S57" s="28" t="s">
        <v>988</v>
      </c>
      <c r="T57" s="30">
        <v>16202925</v>
      </c>
      <c r="U57" s="28" t="s">
        <v>1028</v>
      </c>
      <c r="V57" s="28" t="s">
        <v>1029</v>
      </c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</row>
    <row r="58" spans="1:52" s="52" customFormat="1" x14ac:dyDescent="0.25">
      <c r="A58" s="28" t="s">
        <v>291</v>
      </c>
      <c r="B58" s="28" t="s">
        <v>292</v>
      </c>
      <c r="C58" s="28" t="str">
        <f>CONCATENATE(A58," ",B58)</f>
        <v>Sally Noonan</v>
      </c>
      <c r="D58" s="28" t="s">
        <v>691</v>
      </c>
      <c r="E58" s="28">
        <v>764002</v>
      </c>
      <c r="F58" s="28" t="s">
        <v>293</v>
      </c>
      <c r="G58" s="28" t="s">
        <v>52</v>
      </c>
      <c r="H58" s="28" t="s">
        <v>28</v>
      </c>
      <c r="I58" s="28" t="s">
        <v>686</v>
      </c>
      <c r="J58" s="28" t="s">
        <v>687</v>
      </c>
      <c r="K58" s="29">
        <v>825368073</v>
      </c>
      <c r="L58" s="28" t="s">
        <v>737</v>
      </c>
      <c r="M58" s="30" t="s">
        <v>264</v>
      </c>
      <c r="N58" s="30">
        <f>DATEDIF(L58,M58,"M")</f>
        <v>14</v>
      </c>
      <c r="O58" s="31">
        <v>11</v>
      </c>
      <c r="P58" s="32">
        <v>0.37</v>
      </c>
      <c r="Q58" s="33">
        <v>4.07</v>
      </c>
      <c r="R58" s="28" t="s">
        <v>984</v>
      </c>
      <c r="S58" s="28" t="s">
        <v>1006</v>
      </c>
      <c r="T58" s="30">
        <v>18828278</v>
      </c>
      <c r="U58" s="28" t="s">
        <v>1028</v>
      </c>
      <c r="V58" s="28" t="s">
        <v>1029</v>
      </c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</row>
    <row r="59" spans="1:52" s="52" customFormat="1" x14ac:dyDescent="0.25">
      <c r="A59" s="28" t="s">
        <v>338</v>
      </c>
      <c r="B59" s="28" t="s">
        <v>339</v>
      </c>
      <c r="C59" s="28" t="str">
        <f>CONCATENATE(A59," ",B59)</f>
        <v>Emily Whitacre</v>
      </c>
      <c r="D59" s="28" t="s">
        <v>673</v>
      </c>
      <c r="E59" s="28">
        <v>678726</v>
      </c>
      <c r="F59" s="28" t="s">
        <v>25</v>
      </c>
      <c r="G59" s="28" t="s">
        <v>52</v>
      </c>
      <c r="H59" s="28" t="s">
        <v>28</v>
      </c>
      <c r="I59" s="28" t="s">
        <v>686</v>
      </c>
      <c r="J59" s="28" t="s">
        <v>687</v>
      </c>
      <c r="K59" s="29">
        <v>859724247</v>
      </c>
      <c r="L59" s="28" t="s">
        <v>737</v>
      </c>
      <c r="M59" s="30" t="s">
        <v>264</v>
      </c>
      <c r="N59" s="30">
        <f>DATEDIF(L59,M59,"M")</f>
        <v>14</v>
      </c>
      <c r="O59" s="31">
        <v>11</v>
      </c>
      <c r="P59" s="32">
        <v>0.37</v>
      </c>
      <c r="Q59" s="33">
        <v>4.07</v>
      </c>
      <c r="R59" s="28" t="s">
        <v>984</v>
      </c>
      <c r="S59" s="28" t="s">
        <v>988</v>
      </c>
      <c r="T59" s="30">
        <v>16202925</v>
      </c>
      <c r="U59" s="28" t="s">
        <v>1028</v>
      </c>
      <c r="V59" s="28" t="s">
        <v>1029</v>
      </c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</row>
    <row r="60" spans="1:52" s="52" customFormat="1" x14ac:dyDescent="0.25">
      <c r="A60" s="28" t="s">
        <v>280</v>
      </c>
      <c r="B60" s="28" t="s">
        <v>281</v>
      </c>
      <c r="C60" s="28" t="str">
        <f>CONCATENATE(A60," ",B60)</f>
        <v>Mary Rosencranz</v>
      </c>
      <c r="D60" s="28" t="s">
        <v>673</v>
      </c>
      <c r="E60" s="28">
        <v>678726</v>
      </c>
      <c r="F60" s="28" t="s">
        <v>25</v>
      </c>
      <c r="G60" s="28" t="s">
        <v>52</v>
      </c>
      <c r="H60" s="28" t="s">
        <v>28</v>
      </c>
      <c r="I60" s="28" t="s">
        <v>686</v>
      </c>
      <c r="J60" s="28" t="s">
        <v>687</v>
      </c>
      <c r="K60" s="29">
        <v>364920174</v>
      </c>
      <c r="L60" s="28" t="s">
        <v>737</v>
      </c>
      <c r="M60" s="30" t="s">
        <v>264</v>
      </c>
      <c r="N60" s="30">
        <f>DATEDIF(L60,M60,"M")</f>
        <v>14</v>
      </c>
      <c r="O60" s="31">
        <v>11</v>
      </c>
      <c r="P60" s="32">
        <v>0.37</v>
      </c>
      <c r="Q60" s="33">
        <v>4.07</v>
      </c>
      <c r="R60" s="28" t="s">
        <v>984</v>
      </c>
      <c r="S60" s="28" t="s">
        <v>988</v>
      </c>
      <c r="T60" s="30">
        <v>16202925</v>
      </c>
      <c r="U60" s="28" t="s">
        <v>1028</v>
      </c>
      <c r="V60" s="28" t="s">
        <v>1029</v>
      </c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</row>
    <row r="61" spans="1:52" s="52" customFormat="1" x14ac:dyDescent="0.25">
      <c r="A61" s="28" t="s">
        <v>49</v>
      </c>
      <c r="B61" s="28" t="s">
        <v>50</v>
      </c>
      <c r="C61" s="28" t="str">
        <f>CONCATENATE(A61," ",B61)</f>
        <v>Minas Giorgakis</v>
      </c>
      <c r="D61" s="28" t="s">
        <v>673</v>
      </c>
      <c r="E61" s="28">
        <v>678726</v>
      </c>
      <c r="F61" s="28" t="s">
        <v>25</v>
      </c>
      <c r="G61" s="28" t="s">
        <v>52</v>
      </c>
      <c r="H61" s="28" t="s">
        <v>28</v>
      </c>
      <c r="I61" s="28" t="s">
        <v>686</v>
      </c>
      <c r="J61" s="28" t="s">
        <v>687</v>
      </c>
      <c r="K61" s="29">
        <v>607637254</v>
      </c>
      <c r="L61" s="28" t="s">
        <v>737</v>
      </c>
      <c r="M61" s="30" t="s">
        <v>264</v>
      </c>
      <c r="N61" s="30">
        <f>DATEDIF(L61,M61,"M")</f>
        <v>14</v>
      </c>
      <c r="O61" s="31">
        <v>11</v>
      </c>
      <c r="P61" s="32">
        <v>0.37</v>
      </c>
      <c r="Q61" s="33">
        <v>4.07</v>
      </c>
      <c r="R61" s="28" t="s">
        <v>984</v>
      </c>
      <c r="S61" s="28" t="s">
        <v>988</v>
      </c>
      <c r="T61" s="30">
        <v>16202925</v>
      </c>
      <c r="U61" s="28" t="s">
        <v>1028</v>
      </c>
      <c r="V61" s="28" t="s">
        <v>1029</v>
      </c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</row>
    <row r="62" spans="1:52" s="52" customFormat="1" x14ac:dyDescent="0.25">
      <c r="A62" s="28" t="s">
        <v>320</v>
      </c>
      <c r="B62" s="28" t="s">
        <v>321</v>
      </c>
      <c r="C62" s="28" t="str">
        <f>CONCATENATE(A62," ",B62)</f>
        <v>Sheryll Aldred</v>
      </c>
      <c r="D62" s="28" t="s">
        <v>673</v>
      </c>
      <c r="E62" s="28">
        <v>678726</v>
      </c>
      <c r="F62" s="28" t="s">
        <v>25</v>
      </c>
      <c r="G62" s="28" t="s">
        <v>52</v>
      </c>
      <c r="H62" s="28" t="s">
        <v>28</v>
      </c>
      <c r="I62" s="28" t="s">
        <v>686</v>
      </c>
      <c r="J62" s="28" t="s">
        <v>687</v>
      </c>
      <c r="K62" s="29">
        <v>574187796</v>
      </c>
      <c r="L62" s="28" t="s">
        <v>684</v>
      </c>
      <c r="M62" s="30" t="s">
        <v>705</v>
      </c>
      <c r="N62" s="30">
        <f>DATEDIF(L62,M62,"M")</f>
        <v>14</v>
      </c>
      <c r="O62" s="31">
        <v>11</v>
      </c>
      <c r="P62" s="32">
        <v>0.37</v>
      </c>
      <c r="Q62" s="33">
        <v>4.07</v>
      </c>
      <c r="R62" s="28" t="s">
        <v>984</v>
      </c>
      <c r="S62" s="28" t="s">
        <v>988</v>
      </c>
      <c r="T62" s="30">
        <v>16202925</v>
      </c>
      <c r="U62" s="28" t="s">
        <v>1028</v>
      </c>
      <c r="V62" s="28" t="s">
        <v>1029</v>
      </c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</row>
    <row r="63" spans="1:52" s="52" customFormat="1" x14ac:dyDescent="0.25">
      <c r="A63" s="28" t="s">
        <v>432</v>
      </c>
      <c r="B63" s="28" t="s">
        <v>433</v>
      </c>
      <c r="C63" s="28" t="str">
        <f>CONCATENATE(A63," ",B63)</f>
        <v>Abigail Duncan</v>
      </c>
      <c r="D63" s="28" t="s">
        <v>673</v>
      </c>
      <c r="E63" s="28">
        <v>678726</v>
      </c>
      <c r="F63" s="28" t="s">
        <v>25</v>
      </c>
      <c r="G63" s="28" t="s">
        <v>52</v>
      </c>
      <c r="H63" s="28" t="s">
        <v>28</v>
      </c>
      <c r="I63" s="28" t="s">
        <v>686</v>
      </c>
      <c r="J63" s="28" t="s">
        <v>687</v>
      </c>
      <c r="K63" s="29">
        <v>973153223</v>
      </c>
      <c r="L63" s="28" t="s">
        <v>684</v>
      </c>
      <c r="M63" s="30" t="s">
        <v>705</v>
      </c>
      <c r="N63" s="30">
        <f>DATEDIF(L63,M63,"M")</f>
        <v>14</v>
      </c>
      <c r="O63" s="31">
        <v>11</v>
      </c>
      <c r="P63" s="32">
        <v>0.37</v>
      </c>
      <c r="Q63" s="33">
        <v>4.07</v>
      </c>
      <c r="R63" s="28" t="s">
        <v>984</v>
      </c>
      <c r="S63" s="28" t="s">
        <v>988</v>
      </c>
      <c r="T63" s="30">
        <v>16202925</v>
      </c>
      <c r="U63" s="28" t="s">
        <v>1028</v>
      </c>
      <c r="V63" s="28" t="s">
        <v>1029</v>
      </c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</row>
    <row r="64" spans="1:52" s="52" customFormat="1" x14ac:dyDescent="0.25">
      <c r="A64" s="28" t="s">
        <v>291</v>
      </c>
      <c r="B64" s="28" t="s">
        <v>292</v>
      </c>
      <c r="C64" s="28" t="str">
        <f>CONCATENATE(A64," ",B64)</f>
        <v>Sally Noonan</v>
      </c>
      <c r="D64" s="28" t="s">
        <v>691</v>
      </c>
      <c r="E64" s="28">
        <v>764002</v>
      </c>
      <c r="F64" s="28" t="s">
        <v>293</v>
      </c>
      <c r="G64" s="28" t="s">
        <v>52</v>
      </c>
      <c r="H64" s="28" t="s">
        <v>28</v>
      </c>
      <c r="I64" s="28" t="s">
        <v>686</v>
      </c>
      <c r="J64" s="28" t="s">
        <v>687</v>
      </c>
      <c r="K64" s="29">
        <v>825368073</v>
      </c>
      <c r="L64" s="28" t="s">
        <v>737</v>
      </c>
      <c r="M64" s="30" t="s">
        <v>670</v>
      </c>
      <c r="N64" s="30">
        <f>DATEDIF(L64,M64,"M")</f>
        <v>15</v>
      </c>
      <c r="O64" s="31">
        <v>11</v>
      </c>
      <c r="P64" s="32">
        <v>0.37</v>
      </c>
      <c r="Q64" s="33">
        <v>4.07</v>
      </c>
      <c r="R64" s="28" t="s">
        <v>984</v>
      </c>
      <c r="S64" s="28" t="s">
        <v>1006</v>
      </c>
      <c r="T64" s="30">
        <v>18828278</v>
      </c>
      <c r="U64" s="28" t="s">
        <v>1028</v>
      </c>
      <c r="V64" s="28" t="s">
        <v>1029</v>
      </c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</row>
    <row r="65" spans="1:52" s="52" customFormat="1" x14ac:dyDescent="0.25">
      <c r="A65" s="28" t="s">
        <v>49</v>
      </c>
      <c r="B65" s="28" t="s">
        <v>50</v>
      </c>
      <c r="C65" s="28" t="str">
        <f>CONCATENATE(A65," ",B65)</f>
        <v>Minas Giorgakis</v>
      </c>
      <c r="D65" s="28" t="s">
        <v>673</v>
      </c>
      <c r="E65" s="28">
        <v>678726</v>
      </c>
      <c r="F65" s="28" t="s">
        <v>25</v>
      </c>
      <c r="G65" s="28" t="s">
        <v>52</v>
      </c>
      <c r="H65" s="28" t="s">
        <v>28</v>
      </c>
      <c r="I65" s="28" t="s">
        <v>686</v>
      </c>
      <c r="J65" s="28" t="s">
        <v>687</v>
      </c>
      <c r="K65" s="29">
        <v>607637254</v>
      </c>
      <c r="L65" s="28" t="s">
        <v>737</v>
      </c>
      <c r="M65" s="30" t="s">
        <v>670</v>
      </c>
      <c r="N65" s="30">
        <f>DATEDIF(L65,M65,"M")</f>
        <v>15</v>
      </c>
      <c r="O65" s="31">
        <v>11</v>
      </c>
      <c r="P65" s="32">
        <v>0.37</v>
      </c>
      <c r="Q65" s="33">
        <v>4.07</v>
      </c>
      <c r="R65" s="28" t="s">
        <v>984</v>
      </c>
      <c r="S65" s="28" t="s">
        <v>988</v>
      </c>
      <c r="T65" s="30">
        <v>16202925</v>
      </c>
      <c r="U65" s="28" t="s">
        <v>1028</v>
      </c>
      <c r="V65" s="28" t="s">
        <v>1029</v>
      </c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</row>
    <row r="66" spans="1:52" s="52" customFormat="1" x14ac:dyDescent="0.25">
      <c r="A66" s="28" t="s">
        <v>320</v>
      </c>
      <c r="B66" s="28" t="s">
        <v>321</v>
      </c>
      <c r="C66" s="28" t="str">
        <f>CONCATENATE(A66," ",B66)</f>
        <v>Sheryll Aldred</v>
      </c>
      <c r="D66" s="28" t="s">
        <v>673</v>
      </c>
      <c r="E66" s="28">
        <v>678726</v>
      </c>
      <c r="F66" s="28" t="s">
        <v>25</v>
      </c>
      <c r="G66" s="28" t="s">
        <v>52</v>
      </c>
      <c r="H66" s="28" t="s">
        <v>28</v>
      </c>
      <c r="I66" s="28" t="s">
        <v>686</v>
      </c>
      <c r="J66" s="28" t="s">
        <v>687</v>
      </c>
      <c r="K66" s="29">
        <v>574187796</v>
      </c>
      <c r="L66" s="28" t="s">
        <v>684</v>
      </c>
      <c r="M66" s="30" t="s">
        <v>264</v>
      </c>
      <c r="N66" s="30">
        <f>DATEDIF(L66,M66,"M")</f>
        <v>15</v>
      </c>
      <c r="O66" s="31">
        <v>11</v>
      </c>
      <c r="P66" s="32">
        <v>0.37</v>
      </c>
      <c r="Q66" s="33">
        <v>4.07</v>
      </c>
      <c r="R66" s="28" t="s">
        <v>984</v>
      </c>
      <c r="S66" s="28" t="s">
        <v>988</v>
      </c>
      <c r="T66" s="30">
        <v>16202925</v>
      </c>
      <c r="U66" s="28" t="s">
        <v>1028</v>
      </c>
      <c r="V66" s="28" t="s">
        <v>1029</v>
      </c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</row>
    <row r="67" spans="1:52" s="52" customFormat="1" x14ac:dyDescent="0.25">
      <c r="A67" s="28" t="s">
        <v>432</v>
      </c>
      <c r="B67" s="28" t="s">
        <v>433</v>
      </c>
      <c r="C67" s="28" t="str">
        <f>CONCATENATE(A67," ",B67)</f>
        <v>Abigail Duncan</v>
      </c>
      <c r="D67" s="28" t="s">
        <v>673</v>
      </c>
      <c r="E67" s="28">
        <v>678726</v>
      </c>
      <c r="F67" s="28" t="s">
        <v>25</v>
      </c>
      <c r="G67" s="28" t="s">
        <v>52</v>
      </c>
      <c r="H67" s="28" t="s">
        <v>28</v>
      </c>
      <c r="I67" s="28" t="s">
        <v>686</v>
      </c>
      <c r="J67" s="28" t="s">
        <v>687</v>
      </c>
      <c r="K67" s="29">
        <v>973153223</v>
      </c>
      <c r="L67" s="28" t="s">
        <v>684</v>
      </c>
      <c r="M67" s="30" t="s">
        <v>264</v>
      </c>
      <c r="N67" s="30">
        <f>DATEDIF(L67,M67,"M")</f>
        <v>15</v>
      </c>
      <c r="O67" s="31">
        <v>11</v>
      </c>
      <c r="P67" s="32">
        <v>0.37</v>
      </c>
      <c r="Q67" s="33">
        <v>4.07</v>
      </c>
      <c r="R67" s="28" t="s">
        <v>984</v>
      </c>
      <c r="S67" s="28" t="s">
        <v>988</v>
      </c>
      <c r="T67" s="30">
        <v>16202925</v>
      </c>
      <c r="U67" s="28" t="s">
        <v>1028</v>
      </c>
      <c r="V67" s="28" t="s">
        <v>1029</v>
      </c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</row>
    <row r="68" spans="1:52" x14ac:dyDescent="0.25">
      <c r="A68" s="28" t="s">
        <v>581</v>
      </c>
      <c r="B68" s="28" t="s">
        <v>582</v>
      </c>
      <c r="C68" s="28" t="str">
        <f>CONCATENATE(A68," ",B68)</f>
        <v>Matthew Lowing</v>
      </c>
      <c r="D68" s="28" t="s">
        <v>673</v>
      </c>
      <c r="E68" s="28">
        <v>678726</v>
      </c>
      <c r="F68" s="28" t="s">
        <v>25</v>
      </c>
      <c r="G68" s="28" t="s">
        <v>52</v>
      </c>
      <c r="H68" s="28" t="s">
        <v>28</v>
      </c>
      <c r="I68" s="28" t="s">
        <v>686</v>
      </c>
      <c r="J68" s="28" t="s">
        <v>687</v>
      </c>
      <c r="K68" s="29">
        <v>676321759</v>
      </c>
      <c r="L68" s="28" t="s">
        <v>771</v>
      </c>
      <c r="M68" s="30" t="s">
        <v>705</v>
      </c>
      <c r="N68" s="30">
        <f>DATEDIF(L68,M68,"M")</f>
        <v>15</v>
      </c>
      <c r="O68" s="31">
        <v>11</v>
      </c>
      <c r="P68" s="32">
        <v>0.37</v>
      </c>
      <c r="Q68" s="33">
        <v>4.07</v>
      </c>
      <c r="R68" s="28" t="s">
        <v>984</v>
      </c>
      <c r="S68" s="28" t="s">
        <v>988</v>
      </c>
      <c r="T68" s="30">
        <v>16202925</v>
      </c>
      <c r="U68" s="28" t="s">
        <v>1028</v>
      </c>
      <c r="V68" s="28" t="s">
        <v>1029</v>
      </c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</row>
    <row r="69" spans="1:52" x14ac:dyDescent="0.25">
      <c r="A69" s="28" t="s">
        <v>432</v>
      </c>
      <c r="B69" s="28" t="s">
        <v>433</v>
      </c>
      <c r="C69" s="28" t="str">
        <f>CONCATENATE(A69," ",B69)</f>
        <v>Abigail Duncan</v>
      </c>
      <c r="D69" s="28" t="s">
        <v>673</v>
      </c>
      <c r="E69" s="28">
        <v>678726</v>
      </c>
      <c r="F69" s="28" t="s">
        <v>25</v>
      </c>
      <c r="G69" s="28" t="s">
        <v>52</v>
      </c>
      <c r="H69" s="28" t="s">
        <v>28</v>
      </c>
      <c r="I69" s="28" t="s">
        <v>686</v>
      </c>
      <c r="J69" s="28" t="s">
        <v>687</v>
      </c>
      <c r="K69" s="29">
        <v>973153223</v>
      </c>
      <c r="L69" s="28" t="s">
        <v>684</v>
      </c>
      <c r="M69" s="30" t="s">
        <v>670</v>
      </c>
      <c r="N69" s="30">
        <f>DATEDIF(L69,M69,"M")</f>
        <v>16</v>
      </c>
      <c r="O69" s="31">
        <v>11</v>
      </c>
      <c r="P69" s="32">
        <v>0.37</v>
      </c>
      <c r="Q69" s="33">
        <v>4.07</v>
      </c>
      <c r="R69" s="28" t="s">
        <v>984</v>
      </c>
      <c r="S69" s="28" t="s">
        <v>988</v>
      </c>
      <c r="T69" s="30">
        <v>16202925</v>
      </c>
      <c r="U69" s="28" t="s">
        <v>1028</v>
      </c>
      <c r="V69" s="28" t="s">
        <v>1029</v>
      </c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</row>
    <row r="70" spans="1:52" x14ac:dyDescent="0.25">
      <c r="A70" s="28" t="s">
        <v>581</v>
      </c>
      <c r="B70" s="28" t="s">
        <v>582</v>
      </c>
      <c r="C70" s="28" t="str">
        <f>CONCATENATE(A70," ",B70)</f>
        <v>Matthew Lowing</v>
      </c>
      <c r="D70" s="28" t="s">
        <v>673</v>
      </c>
      <c r="E70" s="28">
        <v>678726</v>
      </c>
      <c r="F70" s="28" t="s">
        <v>25</v>
      </c>
      <c r="G70" s="28" t="s">
        <v>52</v>
      </c>
      <c r="H70" s="28" t="s">
        <v>28</v>
      </c>
      <c r="I70" s="28" t="s">
        <v>686</v>
      </c>
      <c r="J70" s="28" t="s">
        <v>687</v>
      </c>
      <c r="K70" s="29">
        <v>676321759</v>
      </c>
      <c r="L70" s="28" t="s">
        <v>771</v>
      </c>
      <c r="M70" s="30" t="s">
        <v>264</v>
      </c>
      <c r="N70" s="30">
        <f>DATEDIF(L70,M70,"M")</f>
        <v>16</v>
      </c>
      <c r="O70" s="31">
        <v>11</v>
      </c>
      <c r="P70" s="32">
        <v>0.37</v>
      </c>
      <c r="Q70" s="33">
        <v>4.07</v>
      </c>
      <c r="R70" s="28" t="s">
        <v>984</v>
      </c>
      <c r="S70" s="28" t="s">
        <v>988</v>
      </c>
      <c r="T70" s="30">
        <v>16202925</v>
      </c>
      <c r="U70" s="28" t="s">
        <v>1028</v>
      </c>
      <c r="V70" s="28" t="s">
        <v>1029</v>
      </c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</row>
    <row r="71" spans="1:52" x14ac:dyDescent="0.25">
      <c r="A71" s="28" t="s">
        <v>581</v>
      </c>
      <c r="B71" s="28" t="s">
        <v>582</v>
      </c>
      <c r="C71" s="28" t="str">
        <f>CONCATENATE(A71," ",B71)</f>
        <v>Matthew Lowing</v>
      </c>
      <c r="D71" s="28" t="s">
        <v>673</v>
      </c>
      <c r="E71" s="28">
        <v>678726</v>
      </c>
      <c r="F71" s="28" t="s">
        <v>25</v>
      </c>
      <c r="G71" s="28" t="s">
        <v>52</v>
      </c>
      <c r="H71" s="28" t="s">
        <v>28</v>
      </c>
      <c r="I71" s="28" t="s">
        <v>686</v>
      </c>
      <c r="J71" s="28" t="s">
        <v>687</v>
      </c>
      <c r="K71" s="29">
        <v>676321759</v>
      </c>
      <c r="L71" s="28" t="s">
        <v>771</v>
      </c>
      <c r="M71" s="30" t="s">
        <v>670</v>
      </c>
      <c r="N71" s="30">
        <f>DATEDIF(L71,M71,"M")</f>
        <v>17</v>
      </c>
      <c r="O71" s="31">
        <v>11</v>
      </c>
      <c r="P71" s="32">
        <v>0.37</v>
      </c>
      <c r="Q71" s="33">
        <v>4.07</v>
      </c>
      <c r="R71" s="28" t="s">
        <v>984</v>
      </c>
      <c r="S71" s="28" t="s">
        <v>988</v>
      </c>
      <c r="T71" s="30">
        <v>16202925</v>
      </c>
      <c r="U71" s="28" t="s">
        <v>1028</v>
      </c>
      <c r="V71" s="28" t="s">
        <v>1029</v>
      </c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</row>
    <row r="72" spans="1:52" x14ac:dyDescent="0.25">
      <c r="A72" s="28" t="s">
        <v>510</v>
      </c>
      <c r="B72" s="28" t="s">
        <v>511</v>
      </c>
      <c r="C72" s="28" t="str">
        <f>CONCATENATE(A72," ",B72)</f>
        <v>Rahwa Hagos</v>
      </c>
      <c r="D72" s="28" t="s">
        <v>673</v>
      </c>
      <c r="E72" s="28">
        <v>678726</v>
      </c>
      <c r="F72" s="28" t="s">
        <v>25</v>
      </c>
      <c r="G72" s="28" t="s">
        <v>188</v>
      </c>
      <c r="H72" s="28" t="s">
        <v>28</v>
      </c>
      <c r="I72" s="28" t="s">
        <v>676</v>
      </c>
      <c r="J72" s="28" t="s">
        <v>677</v>
      </c>
      <c r="K72" s="29">
        <v>689762261</v>
      </c>
      <c r="L72" s="28" t="s">
        <v>264</v>
      </c>
      <c r="M72" s="30" t="s">
        <v>670</v>
      </c>
      <c r="N72" s="30">
        <f>DATEDIF(L72,M72,"M")</f>
        <v>1</v>
      </c>
      <c r="O72" s="31">
        <v>22</v>
      </c>
      <c r="P72" s="32">
        <v>0.24</v>
      </c>
      <c r="Q72" s="33">
        <v>5.28</v>
      </c>
      <c r="R72" s="28" t="s">
        <v>985</v>
      </c>
      <c r="S72" s="28" t="s">
        <v>988</v>
      </c>
      <c r="T72" s="30" t="s">
        <v>1014</v>
      </c>
      <c r="U72" s="28" t="s">
        <v>1028</v>
      </c>
      <c r="V72" s="28" t="s">
        <v>1027</v>
      </c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</row>
    <row r="73" spans="1:52" x14ac:dyDescent="0.25">
      <c r="A73" s="28" t="s">
        <v>266</v>
      </c>
      <c r="B73" s="28" t="s">
        <v>966</v>
      </c>
      <c r="C73" s="28" t="str">
        <f>CONCATENATE(A73," ",B73)</f>
        <v>Michelle Hunt</v>
      </c>
      <c r="D73" s="28" t="s">
        <v>691</v>
      </c>
      <c r="E73" s="28">
        <v>764002</v>
      </c>
      <c r="F73" s="28" t="s">
        <v>293</v>
      </c>
      <c r="G73" s="28" t="s">
        <v>52</v>
      </c>
      <c r="H73" s="28" t="s">
        <v>111</v>
      </c>
      <c r="I73" s="28" t="s">
        <v>686</v>
      </c>
      <c r="J73" s="28" t="s">
        <v>687</v>
      </c>
      <c r="K73" s="29">
        <v>300310162</v>
      </c>
      <c r="L73" s="28" t="s">
        <v>699</v>
      </c>
      <c r="M73" s="30" t="s">
        <v>705</v>
      </c>
      <c r="N73" s="30">
        <f>DATEDIF(L73,M73,"M")</f>
        <v>11</v>
      </c>
      <c r="O73" s="31">
        <v>15</v>
      </c>
      <c r="P73" s="32">
        <v>0.37</v>
      </c>
      <c r="Q73" s="33">
        <v>5.55</v>
      </c>
      <c r="R73" s="28" t="s">
        <v>984</v>
      </c>
      <c r="S73" s="28" t="s">
        <v>1006</v>
      </c>
      <c r="T73" s="30">
        <v>18828278</v>
      </c>
      <c r="U73" s="28" t="s">
        <v>1028</v>
      </c>
      <c r="V73" s="28" t="s">
        <v>1029</v>
      </c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</row>
    <row r="74" spans="1:52" x14ac:dyDescent="0.25">
      <c r="A74" s="28" t="s">
        <v>483</v>
      </c>
      <c r="B74" s="28" t="s">
        <v>484</v>
      </c>
      <c r="C74" s="28" t="str">
        <f>CONCATENATE(A74," ",B74)</f>
        <v>Scott Crump</v>
      </c>
      <c r="D74" s="28" t="s">
        <v>691</v>
      </c>
      <c r="E74" s="28">
        <v>757209</v>
      </c>
      <c r="F74" s="28" t="s">
        <v>485</v>
      </c>
      <c r="G74" s="28" t="s">
        <v>52</v>
      </c>
      <c r="H74" s="28" t="s">
        <v>111</v>
      </c>
      <c r="I74" s="28" t="s">
        <v>686</v>
      </c>
      <c r="J74" s="28" t="s">
        <v>687</v>
      </c>
      <c r="K74" s="29">
        <v>990327518</v>
      </c>
      <c r="L74" s="28" t="s">
        <v>699</v>
      </c>
      <c r="M74" s="30" t="s">
        <v>705</v>
      </c>
      <c r="N74" s="30">
        <f>DATEDIF(L74,M74,"M")</f>
        <v>11</v>
      </c>
      <c r="O74" s="31">
        <v>15</v>
      </c>
      <c r="P74" s="32">
        <v>0.37</v>
      </c>
      <c r="Q74" s="33">
        <v>5.55</v>
      </c>
      <c r="R74" s="28" t="s">
        <v>984</v>
      </c>
      <c r="S74" s="28" t="s">
        <v>1000</v>
      </c>
      <c r="T74" s="30">
        <v>8244481</v>
      </c>
      <c r="U74" s="28" t="s">
        <v>1028</v>
      </c>
      <c r="V74" s="28" t="s">
        <v>1029</v>
      </c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</row>
    <row r="75" spans="1:52" x14ac:dyDescent="0.25">
      <c r="A75" s="28" t="s">
        <v>266</v>
      </c>
      <c r="B75" s="28" t="s">
        <v>966</v>
      </c>
      <c r="C75" s="28" t="str">
        <f>CONCATENATE(A75," ",B75)</f>
        <v>Michelle Hunt</v>
      </c>
      <c r="D75" s="28" t="s">
        <v>691</v>
      </c>
      <c r="E75" s="28">
        <v>764002</v>
      </c>
      <c r="F75" s="28" t="s">
        <v>293</v>
      </c>
      <c r="G75" s="28" t="s">
        <v>52</v>
      </c>
      <c r="H75" s="28" t="s">
        <v>111</v>
      </c>
      <c r="I75" s="28" t="s">
        <v>686</v>
      </c>
      <c r="J75" s="28" t="s">
        <v>687</v>
      </c>
      <c r="K75" s="29">
        <v>300310162</v>
      </c>
      <c r="L75" s="28" t="s">
        <v>699</v>
      </c>
      <c r="M75" s="30" t="s">
        <v>264</v>
      </c>
      <c r="N75" s="30">
        <f>DATEDIF(L75,M75,"M")</f>
        <v>12</v>
      </c>
      <c r="O75" s="31">
        <v>15</v>
      </c>
      <c r="P75" s="32">
        <v>0.37</v>
      </c>
      <c r="Q75" s="33">
        <v>5.55</v>
      </c>
      <c r="R75" s="28" t="s">
        <v>984</v>
      </c>
      <c r="S75" s="28" t="s">
        <v>1006</v>
      </c>
      <c r="T75" s="30">
        <v>18828278</v>
      </c>
      <c r="U75" s="28" t="s">
        <v>1028</v>
      </c>
      <c r="V75" s="28" t="s">
        <v>1029</v>
      </c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</row>
    <row r="76" spans="1:52" x14ac:dyDescent="0.25">
      <c r="A76" s="28" t="s">
        <v>483</v>
      </c>
      <c r="B76" s="28" t="s">
        <v>484</v>
      </c>
      <c r="C76" s="28" t="str">
        <f>CONCATENATE(A76," ",B76)</f>
        <v>Scott Crump</v>
      </c>
      <c r="D76" s="28" t="s">
        <v>691</v>
      </c>
      <c r="E76" s="28">
        <v>757209</v>
      </c>
      <c r="F76" s="28" t="s">
        <v>485</v>
      </c>
      <c r="G76" s="28" t="s">
        <v>52</v>
      </c>
      <c r="H76" s="28" t="s">
        <v>111</v>
      </c>
      <c r="I76" s="28" t="s">
        <v>686</v>
      </c>
      <c r="J76" s="28" t="s">
        <v>687</v>
      </c>
      <c r="K76" s="29">
        <v>990327518</v>
      </c>
      <c r="L76" s="28" t="s">
        <v>699</v>
      </c>
      <c r="M76" s="30" t="s">
        <v>264</v>
      </c>
      <c r="N76" s="30">
        <f>DATEDIF(L76,M76,"M")</f>
        <v>12</v>
      </c>
      <c r="O76" s="31">
        <v>15</v>
      </c>
      <c r="P76" s="32">
        <v>0.37</v>
      </c>
      <c r="Q76" s="33">
        <v>5.55</v>
      </c>
      <c r="R76" s="28" t="s">
        <v>984</v>
      </c>
      <c r="S76" s="28" t="s">
        <v>1000</v>
      </c>
      <c r="T76" s="30">
        <v>8244481</v>
      </c>
      <c r="U76" s="28" t="s">
        <v>1028</v>
      </c>
      <c r="V76" s="28" t="s">
        <v>1029</v>
      </c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</row>
    <row r="77" spans="1:52" x14ac:dyDescent="0.25">
      <c r="A77" s="28" t="s">
        <v>483</v>
      </c>
      <c r="B77" s="28" t="s">
        <v>484</v>
      </c>
      <c r="C77" s="28" t="str">
        <f>CONCATENATE(A77," ",B77)</f>
        <v>Scott Crump</v>
      </c>
      <c r="D77" s="28" t="s">
        <v>691</v>
      </c>
      <c r="E77" s="28">
        <v>757209</v>
      </c>
      <c r="F77" s="28" t="s">
        <v>485</v>
      </c>
      <c r="G77" s="28" t="s">
        <v>52</v>
      </c>
      <c r="H77" s="28" t="s">
        <v>111</v>
      </c>
      <c r="I77" s="28" t="s">
        <v>686</v>
      </c>
      <c r="J77" s="28" t="s">
        <v>687</v>
      </c>
      <c r="K77" s="29">
        <v>990327518</v>
      </c>
      <c r="L77" s="28" t="s">
        <v>699</v>
      </c>
      <c r="M77" s="30" t="s">
        <v>670</v>
      </c>
      <c r="N77" s="30">
        <f>DATEDIF(L77,M77,"M")</f>
        <v>13</v>
      </c>
      <c r="O77" s="31">
        <v>15</v>
      </c>
      <c r="P77" s="32">
        <v>0.37</v>
      </c>
      <c r="Q77" s="33">
        <v>5.55</v>
      </c>
      <c r="R77" s="28" t="s">
        <v>984</v>
      </c>
      <c r="S77" s="28" t="s">
        <v>1000</v>
      </c>
      <c r="T77" s="30">
        <v>8244481</v>
      </c>
      <c r="U77" s="28" t="s">
        <v>1028</v>
      </c>
      <c r="V77" s="28" t="s">
        <v>1029</v>
      </c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</row>
    <row r="78" spans="1:52" x14ac:dyDescent="0.25">
      <c r="A78" s="28" t="s">
        <v>526</v>
      </c>
      <c r="B78" s="28" t="s">
        <v>527</v>
      </c>
      <c r="C78" s="28" t="str">
        <f>CONCATENATE(A78," ",B78)</f>
        <v>Roxanne Hartrich</v>
      </c>
      <c r="D78" s="28" t="s">
        <v>691</v>
      </c>
      <c r="E78" s="28">
        <v>757209</v>
      </c>
      <c r="F78" s="28" t="s">
        <v>485</v>
      </c>
      <c r="G78" s="28" t="s">
        <v>52</v>
      </c>
      <c r="H78" s="28" t="s">
        <v>111</v>
      </c>
      <c r="I78" s="28" t="s">
        <v>686</v>
      </c>
      <c r="J78" s="28" t="s">
        <v>687</v>
      </c>
      <c r="K78" s="29">
        <v>387100933</v>
      </c>
      <c r="L78" s="28" t="s">
        <v>829</v>
      </c>
      <c r="M78" s="30" t="s">
        <v>705</v>
      </c>
      <c r="N78" s="30">
        <f>DATEDIF(L78,M78,"M")</f>
        <v>18</v>
      </c>
      <c r="O78" s="31">
        <v>15</v>
      </c>
      <c r="P78" s="32">
        <v>0.37</v>
      </c>
      <c r="Q78" s="33">
        <v>5.55</v>
      </c>
      <c r="R78" s="28" t="s">
        <v>984</v>
      </c>
      <c r="S78" s="28" t="s">
        <v>1000</v>
      </c>
      <c r="T78" s="30">
        <v>8244481</v>
      </c>
      <c r="U78" s="28" t="s">
        <v>1028</v>
      </c>
      <c r="V78" s="28" t="s">
        <v>1029</v>
      </c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</row>
    <row r="79" spans="1:52" x14ac:dyDescent="0.25">
      <c r="A79" s="28" t="s">
        <v>526</v>
      </c>
      <c r="B79" s="28" t="s">
        <v>527</v>
      </c>
      <c r="C79" s="28" t="str">
        <f>CONCATENATE(A79," ",B79)</f>
        <v>Roxanne Hartrich</v>
      </c>
      <c r="D79" s="28" t="s">
        <v>691</v>
      </c>
      <c r="E79" s="28">
        <v>757209</v>
      </c>
      <c r="F79" s="28" t="s">
        <v>485</v>
      </c>
      <c r="G79" s="28" t="s">
        <v>52</v>
      </c>
      <c r="H79" s="28" t="s">
        <v>111</v>
      </c>
      <c r="I79" s="28" t="s">
        <v>686</v>
      </c>
      <c r="J79" s="28" t="s">
        <v>687</v>
      </c>
      <c r="K79" s="29">
        <v>387100933</v>
      </c>
      <c r="L79" s="28" t="s">
        <v>829</v>
      </c>
      <c r="M79" s="30" t="s">
        <v>264</v>
      </c>
      <c r="N79" s="30">
        <f>DATEDIF(L79,M79,"M")</f>
        <v>19</v>
      </c>
      <c r="O79" s="31">
        <v>15</v>
      </c>
      <c r="P79" s="32">
        <v>0.37</v>
      </c>
      <c r="Q79" s="33">
        <v>5.55</v>
      </c>
      <c r="R79" s="28" t="s">
        <v>984</v>
      </c>
      <c r="S79" s="28" t="s">
        <v>1000</v>
      </c>
      <c r="T79" s="30">
        <v>8244481</v>
      </c>
      <c r="U79" s="28" t="s">
        <v>1028</v>
      </c>
      <c r="V79" s="28" t="s">
        <v>1029</v>
      </c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</row>
    <row r="80" spans="1:52" x14ac:dyDescent="0.25">
      <c r="A80" s="28" t="s">
        <v>526</v>
      </c>
      <c r="B80" s="28" t="s">
        <v>527</v>
      </c>
      <c r="C80" s="28" t="str">
        <f>CONCATENATE(A80," ",B80)</f>
        <v>Roxanne Hartrich</v>
      </c>
      <c r="D80" s="28" t="s">
        <v>691</v>
      </c>
      <c r="E80" s="28">
        <v>757209</v>
      </c>
      <c r="F80" s="28" t="s">
        <v>485</v>
      </c>
      <c r="G80" s="28" t="s">
        <v>52</v>
      </c>
      <c r="H80" s="28" t="s">
        <v>111</v>
      </c>
      <c r="I80" s="28" t="s">
        <v>686</v>
      </c>
      <c r="J80" s="28" t="s">
        <v>687</v>
      </c>
      <c r="K80" s="29">
        <v>387100933</v>
      </c>
      <c r="L80" s="28" t="s">
        <v>829</v>
      </c>
      <c r="M80" s="30" t="s">
        <v>670</v>
      </c>
      <c r="N80" s="30">
        <f>DATEDIF(L80,M80,"M")</f>
        <v>20</v>
      </c>
      <c r="O80" s="31">
        <v>15</v>
      </c>
      <c r="P80" s="32">
        <v>0.37</v>
      </c>
      <c r="Q80" s="33">
        <v>5.55</v>
      </c>
      <c r="R80" s="28" t="s">
        <v>984</v>
      </c>
      <c r="S80" s="28" t="s">
        <v>1000</v>
      </c>
      <c r="T80" s="30">
        <v>8244481</v>
      </c>
      <c r="U80" s="28" t="s">
        <v>1028</v>
      </c>
      <c r="V80" s="28" t="s">
        <v>1029</v>
      </c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</row>
    <row r="81" spans="1:52" x14ac:dyDescent="0.25">
      <c r="A81" s="46" t="s">
        <v>386</v>
      </c>
      <c r="B81" s="46" t="s">
        <v>387</v>
      </c>
      <c r="C81" s="28" t="str">
        <f>CONCATENATE(A81," ",B81)</f>
        <v>Elizabeth Zane</v>
      </c>
      <c r="D81" s="46" t="s">
        <v>691</v>
      </c>
      <c r="E81" s="46">
        <v>760338</v>
      </c>
      <c r="F81" s="46" t="s">
        <v>129</v>
      </c>
      <c r="G81" s="46" t="s">
        <v>73</v>
      </c>
      <c r="H81" s="46" t="s">
        <v>28</v>
      </c>
      <c r="I81" s="46" t="s">
        <v>676</v>
      </c>
      <c r="J81" s="46" t="s">
        <v>677</v>
      </c>
      <c r="K81" s="47">
        <v>341203822</v>
      </c>
      <c r="L81" s="46" t="s">
        <v>734</v>
      </c>
      <c r="M81" s="48" t="s">
        <v>705</v>
      </c>
      <c r="N81" s="48">
        <f>DATEDIF(L81,M81,"M")</f>
        <v>8</v>
      </c>
      <c r="O81" s="49">
        <v>25</v>
      </c>
      <c r="P81" s="50">
        <v>0.24</v>
      </c>
      <c r="Q81" s="51">
        <v>6</v>
      </c>
      <c r="R81" s="46" t="s">
        <v>985</v>
      </c>
      <c r="S81" s="46" t="s">
        <v>996</v>
      </c>
      <c r="T81" s="48">
        <v>8814784</v>
      </c>
      <c r="U81" s="46" t="s">
        <v>1028</v>
      </c>
      <c r="V81" s="46" t="s">
        <v>1029</v>
      </c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</row>
    <row r="82" spans="1:52" x14ac:dyDescent="0.25">
      <c r="A82" s="28" t="s">
        <v>386</v>
      </c>
      <c r="B82" s="28" t="s">
        <v>387</v>
      </c>
      <c r="C82" s="28" t="str">
        <f>CONCATENATE(A82," ",B82)</f>
        <v>Elizabeth Zane</v>
      </c>
      <c r="D82" s="28" t="s">
        <v>691</v>
      </c>
      <c r="E82" s="28">
        <v>760338</v>
      </c>
      <c r="F82" s="28" t="s">
        <v>129</v>
      </c>
      <c r="G82" s="28" t="s">
        <v>73</v>
      </c>
      <c r="H82" s="28" t="s">
        <v>28</v>
      </c>
      <c r="I82" s="28" t="s">
        <v>676</v>
      </c>
      <c r="J82" s="28" t="s">
        <v>677</v>
      </c>
      <c r="K82" s="29">
        <v>341203822</v>
      </c>
      <c r="L82" s="28" t="s">
        <v>734</v>
      </c>
      <c r="M82" s="30" t="s">
        <v>264</v>
      </c>
      <c r="N82" s="30">
        <f>DATEDIF(L82,M82,"M")</f>
        <v>9</v>
      </c>
      <c r="O82" s="31">
        <v>25</v>
      </c>
      <c r="P82" s="32">
        <v>0.24</v>
      </c>
      <c r="Q82" s="33">
        <v>6</v>
      </c>
      <c r="R82" s="28" t="s">
        <v>985</v>
      </c>
      <c r="S82" s="28" t="s">
        <v>996</v>
      </c>
      <c r="T82" s="30">
        <v>8814784</v>
      </c>
      <c r="U82" s="28" t="s">
        <v>1028</v>
      </c>
      <c r="V82" s="28" t="s">
        <v>1029</v>
      </c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</row>
    <row r="83" spans="1:52" x14ac:dyDescent="0.25">
      <c r="A83" s="28" t="s">
        <v>386</v>
      </c>
      <c r="B83" s="28" t="s">
        <v>387</v>
      </c>
      <c r="C83" s="28" t="str">
        <f>CONCATENATE(A83," ",B83)</f>
        <v>Elizabeth Zane</v>
      </c>
      <c r="D83" s="28" t="s">
        <v>691</v>
      </c>
      <c r="E83" s="28">
        <v>760338</v>
      </c>
      <c r="F83" s="28" t="s">
        <v>129</v>
      </c>
      <c r="G83" s="28" t="s">
        <v>73</v>
      </c>
      <c r="H83" s="28" t="s">
        <v>28</v>
      </c>
      <c r="I83" s="28" t="s">
        <v>676</v>
      </c>
      <c r="J83" s="28" t="s">
        <v>677</v>
      </c>
      <c r="K83" s="29">
        <v>341203822</v>
      </c>
      <c r="L83" s="28" t="s">
        <v>734</v>
      </c>
      <c r="M83" s="30" t="s">
        <v>670</v>
      </c>
      <c r="N83" s="30">
        <f>DATEDIF(L83,M83,"M")</f>
        <v>10</v>
      </c>
      <c r="O83" s="31">
        <v>25</v>
      </c>
      <c r="P83" s="32">
        <v>0.24</v>
      </c>
      <c r="Q83" s="33">
        <v>6</v>
      </c>
      <c r="R83" s="28" t="s">
        <v>985</v>
      </c>
      <c r="S83" s="28" t="s">
        <v>996</v>
      </c>
      <c r="T83" s="30">
        <v>8814784</v>
      </c>
      <c r="U83" s="28" t="s">
        <v>1028</v>
      </c>
      <c r="V83" s="28" t="s">
        <v>1029</v>
      </c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</row>
    <row r="84" spans="1:52" x14ac:dyDescent="0.25">
      <c r="A84" s="28" t="s">
        <v>391</v>
      </c>
      <c r="B84" s="28" t="s">
        <v>392</v>
      </c>
      <c r="C84" s="28" t="str">
        <f>CONCATENATE(A84," ",B84)</f>
        <v>Karla Cutting</v>
      </c>
      <c r="D84" s="28" t="s">
        <v>691</v>
      </c>
      <c r="E84" s="28">
        <v>760338</v>
      </c>
      <c r="F84" s="28" t="s">
        <v>129</v>
      </c>
      <c r="G84" s="28" t="s">
        <v>73</v>
      </c>
      <c r="H84" s="28" t="s">
        <v>28</v>
      </c>
      <c r="I84" s="28" t="s">
        <v>676</v>
      </c>
      <c r="J84" s="28" t="s">
        <v>677</v>
      </c>
      <c r="K84" s="29">
        <v>783299133</v>
      </c>
      <c r="L84" s="28" t="s">
        <v>740</v>
      </c>
      <c r="M84" s="30" t="s">
        <v>705</v>
      </c>
      <c r="N84" s="30">
        <f>DATEDIF(L84,M84,"M")</f>
        <v>10</v>
      </c>
      <c r="O84" s="31">
        <v>25</v>
      </c>
      <c r="P84" s="32">
        <v>0.24</v>
      </c>
      <c r="Q84" s="33">
        <v>6</v>
      </c>
      <c r="R84" s="28" t="s">
        <v>985</v>
      </c>
      <c r="S84" s="28" t="s">
        <v>996</v>
      </c>
      <c r="T84" s="30">
        <v>8814784</v>
      </c>
      <c r="U84" s="28" t="s">
        <v>1028</v>
      </c>
      <c r="V84" s="28" t="s">
        <v>1029</v>
      </c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</row>
    <row r="85" spans="1:52" x14ac:dyDescent="0.25">
      <c r="A85" s="28" t="s">
        <v>391</v>
      </c>
      <c r="B85" s="28" t="s">
        <v>392</v>
      </c>
      <c r="C85" s="28" t="str">
        <f>CONCATENATE(A85," ",B85)</f>
        <v>Karla Cutting</v>
      </c>
      <c r="D85" s="28" t="s">
        <v>691</v>
      </c>
      <c r="E85" s="28">
        <v>760338</v>
      </c>
      <c r="F85" s="28" t="s">
        <v>129</v>
      </c>
      <c r="G85" s="28" t="s">
        <v>73</v>
      </c>
      <c r="H85" s="28" t="s">
        <v>28</v>
      </c>
      <c r="I85" s="28" t="s">
        <v>676</v>
      </c>
      <c r="J85" s="28" t="s">
        <v>677</v>
      </c>
      <c r="K85" s="29">
        <v>783299133</v>
      </c>
      <c r="L85" s="28" t="s">
        <v>740</v>
      </c>
      <c r="M85" s="30" t="s">
        <v>264</v>
      </c>
      <c r="N85" s="30">
        <f>DATEDIF(L85,M85,"M")</f>
        <v>11</v>
      </c>
      <c r="O85" s="31">
        <v>25</v>
      </c>
      <c r="P85" s="32">
        <v>0.24</v>
      </c>
      <c r="Q85" s="33">
        <v>6</v>
      </c>
      <c r="R85" s="28" t="s">
        <v>985</v>
      </c>
      <c r="S85" s="28" t="s">
        <v>996</v>
      </c>
      <c r="T85" s="30">
        <v>8814784</v>
      </c>
      <c r="U85" s="28" t="s">
        <v>1028</v>
      </c>
      <c r="V85" s="28" t="s">
        <v>1029</v>
      </c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</row>
    <row r="86" spans="1:52" x14ac:dyDescent="0.25">
      <c r="A86" s="28" t="s">
        <v>391</v>
      </c>
      <c r="B86" s="28" t="s">
        <v>392</v>
      </c>
      <c r="C86" s="28" t="str">
        <f>CONCATENATE(A86," ",B86)</f>
        <v>Karla Cutting</v>
      </c>
      <c r="D86" s="28" t="s">
        <v>691</v>
      </c>
      <c r="E86" s="28">
        <v>760338</v>
      </c>
      <c r="F86" s="28" t="s">
        <v>129</v>
      </c>
      <c r="G86" s="28" t="s">
        <v>73</v>
      </c>
      <c r="H86" s="28" t="s">
        <v>28</v>
      </c>
      <c r="I86" s="28" t="s">
        <v>676</v>
      </c>
      <c r="J86" s="28" t="s">
        <v>677</v>
      </c>
      <c r="K86" s="29">
        <v>783299133</v>
      </c>
      <c r="L86" s="28" t="s">
        <v>740</v>
      </c>
      <c r="M86" s="30" t="s">
        <v>670</v>
      </c>
      <c r="N86" s="30">
        <f>DATEDIF(L86,M86,"M")</f>
        <v>12</v>
      </c>
      <c r="O86" s="31">
        <v>25</v>
      </c>
      <c r="P86" s="32">
        <v>0.24</v>
      </c>
      <c r="Q86" s="33">
        <v>6</v>
      </c>
      <c r="R86" s="28" t="s">
        <v>985</v>
      </c>
      <c r="S86" s="28" t="s">
        <v>996</v>
      </c>
      <c r="T86" s="30">
        <v>8814784</v>
      </c>
      <c r="U86" s="28" t="s">
        <v>1028</v>
      </c>
      <c r="V86" s="28" t="s">
        <v>1029</v>
      </c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</row>
    <row r="87" spans="1:52" x14ac:dyDescent="0.25">
      <c r="A87" s="28" t="s">
        <v>34</v>
      </c>
      <c r="B87" s="28" t="s">
        <v>614</v>
      </c>
      <c r="C87" s="28" t="str">
        <f>CONCATENATE(A87," ",B87)</f>
        <v>Steven Urick</v>
      </c>
      <c r="D87" s="28" t="s">
        <v>673</v>
      </c>
      <c r="E87" s="28">
        <v>798992</v>
      </c>
      <c r="F87" s="28" t="s">
        <v>59</v>
      </c>
      <c r="G87" s="28" t="s">
        <v>152</v>
      </c>
      <c r="H87" s="28" t="s">
        <v>28</v>
      </c>
      <c r="I87" s="28" t="s">
        <v>676</v>
      </c>
      <c r="J87" s="28" t="s">
        <v>677</v>
      </c>
      <c r="K87" s="29">
        <v>556142794</v>
      </c>
      <c r="L87" s="28" t="s">
        <v>264</v>
      </c>
      <c r="M87" s="30" t="s">
        <v>670</v>
      </c>
      <c r="N87" s="30">
        <f>DATEDIF(L87,M87,"M")</f>
        <v>1</v>
      </c>
      <c r="O87" s="31">
        <v>27</v>
      </c>
      <c r="P87" s="32">
        <v>0.24</v>
      </c>
      <c r="Q87" s="33">
        <v>6.48</v>
      </c>
      <c r="R87" s="28" t="s">
        <v>985</v>
      </c>
      <c r="S87" s="28" t="s">
        <v>995</v>
      </c>
      <c r="T87" s="30" t="s">
        <v>1020</v>
      </c>
      <c r="U87" s="28" t="s">
        <v>1028</v>
      </c>
      <c r="V87" s="28" t="s">
        <v>1027</v>
      </c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</row>
    <row r="88" spans="1:52" x14ac:dyDescent="0.25">
      <c r="A88" s="28" t="s">
        <v>450</v>
      </c>
      <c r="B88" s="28" t="s">
        <v>451</v>
      </c>
      <c r="C88" s="28" t="str">
        <f>CONCATENATE(A88," ",B88)</f>
        <v>Christopher Henderson</v>
      </c>
      <c r="D88" s="28" t="s">
        <v>673</v>
      </c>
      <c r="E88" s="28">
        <v>678726</v>
      </c>
      <c r="F88" s="28" t="s">
        <v>25</v>
      </c>
      <c r="G88" s="28" t="s">
        <v>152</v>
      </c>
      <c r="H88" s="28" t="s">
        <v>28</v>
      </c>
      <c r="I88" s="28" t="s">
        <v>676</v>
      </c>
      <c r="J88" s="28" t="s">
        <v>677</v>
      </c>
      <c r="K88" s="29">
        <v>622189582</v>
      </c>
      <c r="L88" s="28" t="s">
        <v>264</v>
      </c>
      <c r="M88" s="30" t="s">
        <v>670</v>
      </c>
      <c r="N88" s="30">
        <f>DATEDIF(L88,M88,"M")</f>
        <v>1</v>
      </c>
      <c r="O88" s="31">
        <v>27</v>
      </c>
      <c r="P88" s="32">
        <v>0.24</v>
      </c>
      <c r="Q88" s="33">
        <v>6.48</v>
      </c>
      <c r="R88" s="28" t="s">
        <v>985</v>
      </c>
      <c r="S88" s="28" t="s">
        <v>988</v>
      </c>
      <c r="T88" s="30" t="s">
        <v>1014</v>
      </c>
      <c r="U88" s="28" t="s">
        <v>1028</v>
      </c>
      <c r="V88" s="28" t="s">
        <v>1027</v>
      </c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</row>
    <row r="89" spans="1:52" x14ac:dyDescent="0.25">
      <c r="A89" s="28" t="s">
        <v>149</v>
      </c>
      <c r="B89" s="28" t="s">
        <v>150</v>
      </c>
      <c r="C89" s="28" t="str">
        <f>CONCATENATE(A89," ",B89)</f>
        <v>Olanike Oyefeso</v>
      </c>
      <c r="D89" s="28" t="s">
        <v>673</v>
      </c>
      <c r="E89" s="28">
        <v>678726</v>
      </c>
      <c r="F89" s="28" t="s">
        <v>25</v>
      </c>
      <c r="G89" s="28" t="s">
        <v>152</v>
      </c>
      <c r="H89" s="28" t="s">
        <v>28</v>
      </c>
      <c r="I89" s="28" t="s">
        <v>676</v>
      </c>
      <c r="J89" s="28" t="s">
        <v>677</v>
      </c>
      <c r="K89" s="29">
        <v>350067834</v>
      </c>
      <c r="L89" s="28" t="s">
        <v>264</v>
      </c>
      <c r="M89" s="30" t="s">
        <v>670</v>
      </c>
      <c r="N89" s="30">
        <f>DATEDIF(L89,M89,"M")</f>
        <v>1</v>
      </c>
      <c r="O89" s="31">
        <v>27</v>
      </c>
      <c r="P89" s="32">
        <v>0.24</v>
      </c>
      <c r="Q89" s="33">
        <v>6.48</v>
      </c>
      <c r="R89" s="28" t="s">
        <v>985</v>
      </c>
      <c r="S89" s="28" t="s">
        <v>988</v>
      </c>
      <c r="T89" s="30" t="s">
        <v>1014</v>
      </c>
      <c r="U89" s="28" t="s">
        <v>1028</v>
      </c>
      <c r="V89" s="28" t="s">
        <v>1027</v>
      </c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</row>
    <row r="90" spans="1:52" x14ac:dyDescent="0.25">
      <c r="A90" s="28" t="s">
        <v>404</v>
      </c>
      <c r="B90" s="28" t="s">
        <v>405</v>
      </c>
      <c r="C90" s="28" t="str">
        <f>CONCATENATE(A90," ",B90)</f>
        <v>Gloria Jacobs</v>
      </c>
      <c r="D90" s="28" t="s">
        <v>673</v>
      </c>
      <c r="E90" s="28">
        <v>678726</v>
      </c>
      <c r="F90" s="28" t="s">
        <v>25</v>
      </c>
      <c r="G90" s="28" t="s">
        <v>152</v>
      </c>
      <c r="H90" s="28" t="s">
        <v>28</v>
      </c>
      <c r="I90" s="28" t="s">
        <v>676</v>
      </c>
      <c r="J90" s="28" t="s">
        <v>677</v>
      </c>
      <c r="K90" s="29">
        <v>945678431</v>
      </c>
      <c r="L90" s="28" t="s">
        <v>705</v>
      </c>
      <c r="M90" s="30" t="s">
        <v>264</v>
      </c>
      <c r="N90" s="30">
        <f>DATEDIF(L90,M90,"M")</f>
        <v>1</v>
      </c>
      <c r="O90" s="31">
        <v>27</v>
      </c>
      <c r="P90" s="32">
        <v>0.24</v>
      </c>
      <c r="Q90" s="33">
        <v>6.48</v>
      </c>
      <c r="R90" s="28" t="s">
        <v>985</v>
      </c>
      <c r="S90" s="28" t="s">
        <v>988</v>
      </c>
      <c r="T90" s="30" t="s">
        <v>1014</v>
      </c>
      <c r="U90" s="28" t="s">
        <v>1028</v>
      </c>
      <c r="V90" s="28" t="s">
        <v>1027</v>
      </c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</row>
    <row r="91" spans="1:52" x14ac:dyDescent="0.25">
      <c r="A91" s="28" t="s">
        <v>172</v>
      </c>
      <c r="B91" s="28" t="s">
        <v>173</v>
      </c>
      <c r="C91" s="28" t="str">
        <f>CONCATENATE(A91," ",B91)</f>
        <v>Hadley Beckstrand</v>
      </c>
      <c r="D91" s="28" t="s">
        <v>855</v>
      </c>
      <c r="E91" s="28">
        <v>678726</v>
      </c>
      <c r="F91" s="28" t="s">
        <v>25</v>
      </c>
      <c r="G91" s="28" t="s">
        <v>152</v>
      </c>
      <c r="H91" s="28" t="s">
        <v>28</v>
      </c>
      <c r="I91" s="28" t="s">
        <v>676</v>
      </c>
      <c r="J91" s="28" t="s">
        <v>677</v>
      </c>
      <c r="K91" s="29">
        <v>520875518</v>
      </c>
      <c r="L91" s="28" t="s">
        <v>705</v>
      </c>
      <c r="M91" s="30" t="s">
        <v>264</v>
      </c>
      <c r="N91" s="30">
        <f>DATEDIF(L91,M91,"M")</f>
        <v>1</v>
      </c>
      <c r="O91" s="31">
        <v>27</v>
      </c>
      <c r="P91" s="32">
        <v>0.24</v>
      </c>
      <c r="Q91" s="33">
        <v>6.48</v>
      </c>
      <c r="R91" s="28" t="s">
        <v>985</v>
      </c>
      <c r="S91" s="28" t="s">
        <v>988</v>
      </c>
      <c r="T91" s="30" t="s">
        <v>1014</v>
      </c>
      <c r="U91" s="28" t="s">
        <v>1028</v>
      </c>
      <c r="V91" s="28" t="s">
        <v>1027</v>
      </c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</row>
    <row r="92" spans="1:52" x14ac:dyDescent="0.25">
      <c r="A92" s="28" t="s">
        <v>404</v>
      </c>
      <c r="B92" s="28" t="s">
        <v>405</v>
      </c>
      <c r="C92" s="28" t="str">
        <f>CONCATENATE(A92," ",B92)</f>
        <v>Gloria Jacobs</v>
      </c>
      <c r="D92" s="28" t="s">
        <v>673</v>
      </c>
      <c r="E92" s="28">
        <v>678726</v>
      </c>
      <c r="F92" s="28" t="s">
        <v>25</v>
      </c>
      <c r="G92" s="28" t="s">
        <v>152</v>
      </c>
      <c r="H92" s="28" t="s">
        <v>28</v>
      </c>
      <c r="I92" s="28" t="s">
        <v>676</v>
      </c>
      <c r="J92" s="28" t="s">
        <v>677</v>
      </c>
      <c r="K92" s="29">
        <v>945678431</v>
      </c>
      <c r="L92" s="28" t="s">
        <v>705</v>
      </c>
      <c r="M92" s="30" t="s">
        <v>670</v>
      </c>
      <c r="N92" s="30">
        <f>DATEDIF(L92,M92,"M")</f>
        <v>2</v>
      </c>
      <c r="O92" s="31">
        <v>27</v>
      </c>
      <c r="P92" s="32">
        <v>0.24</v>
      </c>
      <c r="Q92" s="33">
        <v>6.48</v>
      </c>
      <c r="R92" s="28" t="s">
        <v>985</v>
      </c>
      <c r="S92" s="28" t="s">
        <v>988</v>
      </c>
      <c r="T92" s="30" t="s">
        <v>1014</v>
      </c>
      <c r="U92" s="28" t="s">
        <v>1028</v>
      </c>
      <c r="V92" s="28" t="s">
        <v>1027</v>
      </c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</row>
    <row r="93" spans="1:52" x14ac:dyDescent="0.25">
      <c r="A93" s="28" t="s">
        <v>172</v>
      </c>
      <c r="B93" s="28" t="s">
        <v>173</v>
      </c>
      <c r="C93" s="28" t="str">
        <f>CONCATENATE(A93," ",B93)</f>
        <v>Hadley Beckstrand</v>
      </c>
      <c r="D93" s="28" t="s">
        <v>855</v>
      </c>
      <c r="E93" s="28">
        <v>678726</v>
      </c>
      <c r="F93" s="28" t="s">
        <v>25</v>
      </c>
      <c r="G93" s="28" t="s">
        <v>152</v>
      </c>
      <c r="H93" s="28" t="s">
        <v>28</v>
      </c>
      <c r="I93" s="28" t="s">
        <v>676</v>
      </c>
      <c r="J93" s="28" t="s">
        <v>677</v>
      </c>
      <c r="K93" s="29">
        <v>520875518</v>
      </c>
      <c r="L93" s="28" t="s">
        <v>705</v>
      </c>
      <c r="M93" s="30" t="s">
        <v>670</v>
      </c>
      <c r="N93" s="30">
        <f>DATEDIF(L93,M93,"M")</f>
        <v>2</v>
      </c>
      <c r="O93" s="31">
        <v>27</v>
      </c>
      <c r="P93" s="32">
        <v>0.24</v>
      </c>
      <c r="Q93" s="33">
        <v>6.48</v>
      </c>
      <c r="R93" s="28" t="s">
        <v>985</v>
      </c>
      <c r="S93" s="28" t="s">
        <v>988</v>
      </c>
      <c r="T93" s="30" t="s">
        <v>1014</v>
      </c>
      <c r="U93" s="28" t="s">
        <v>1028</v>
      </c>
      <c r="V93" s="28" t="s">
        <v>1027</v>
      </c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</row>
    <row r="94" spans="1:52" x14ac:dyDescent="0.25">
      <c r="A94" s="28" t="s">
        <v>630</v>
      </c>
      <c r="B94" s="28" t="s">
        <v>631</v>
      </c>
      <c r="C94" s="28" t="str">
        <f>CONCATENATE(A94," ",B94)</f>
        <v>Maria VonNordeck</v>
      </c>
      <c r="D94" s="28" t="s">
        <v>673</v>
      </c>
      <c r="E94" s="28">
        <v>678726</v>
      </c>
      <c r="F94" s="28" t="s">
        <v>25</v>
      </c>
      <c r="G94" s="28" t="s">
        <v>152</v>
      </c>
      <c r="H94" s="28" t="s">
        <v>28</v>
      </c>
      <c r="I94" s="28" t="s">
        <v>676</v>
      </c>
      <c r="J94" s="28" t="s">
        <v>677</v>
      </c>
      <c r="K94" s="29">
        <v>428096508</v>
      </c>
      <c r="L94" s="28" t="s">
        <v>953</v>
      </c>
      <c r="M94" s="30" t="s">
        <v>693</v>
      </c>
      <c r="N94" s="30">
        <f>DATEDIF(L94,M94,"M")</f>
        <v>5</v>
      </c>
      <c r="O94" s="31">
        <v>27</v>
      </c>
      <c r="P94" s="32">
        <v>0.24</v>
      </c>
      <c r="Q94" s="33">
        <v>6.48</v>
      </c>
      <c r="R94" s="28" t="s">
        <v>985</v>
      </c>
      <c r="S94" s="28" t="s">
        <v>988</v>
      </c>
      <c r="T94" s="30" t="s">
        <v>1014</v>
      </c>
      <c r="U94" s="28" t="s">
        <v>1028</v>
      </c>
      <c r="V94" s="28" t="s">
        <v>1027</v>
      </c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</row>
    <row r="95" spans="1:52" x14ac:dyDescent="0.25">
      <c r="A95" s="28" t="s">
        <v>630</v>
      </c>
      <c r="B95" s="28" t="s">
        <v>631</v>
      </c>
      <c r="C95" s="28" t="str">
        <f>CONCATENATE(A95," ",B95)</f>
        <v>Maria VonNordeck</v>
      </c>
      <c r="D95" s="28" t="s">
        <v>673</v>
      </c>
      <c r="E95" s="28">
        <v>678726</v>
      </c>
      <c r="F95" s="28" t="s">
        <v>25</v>
      </c>
      <c r="G95" s="28" t="s">
        <v>152</v>
      </c>
      <c r="H95" s="28" t="s">
        <v>28</v>
      </c>
      <c r="I95" s="28" t="s">
        <v>676</v>
      </c>
      <c r="J95" s="28" t="s">
        <v>677</v>
      </c>
      <c r="K95" s="29">
        <v>428096508</v>
      </c>
      <c r="L95" s="28" t="s">
        <v>953</v>
      </c>
      <c r="M95" s="30" t="s">
        <v>705</v>
      </c>
      <c r="N95" s="30">
        <f>DATEDIF(L95,M95,"M")</f>
        <v>6</v>
      </c>
      <c r="O95" s="31">
        <v>27</v>
      </c>
      <c r="P95" s="32">
        <v>0.24</v>
      </c>
      <c r="Q95" s="33">
        <v>6.48</v>
      </c>
      <c r="R95" s="28" t="s">
        <v>985</v>
      </c>
      <c r="S95" s="28" t="s">
        <v>988</v>
      </c>
      <c r="T95" s="30" t="s">
        <v>1014</v>
      </c>
      <c r="U95" s="28" t="s">
        <v>1028</v>
      </c>
      <c r="V95" s="28" t="s">
        <v>1027</v>
      </c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</row>
    <row r="96" spans="1:52" s="28" customFormat="1" x14ac:dyDescent="0.25">
      <c r="A96" s="46" t="s">
        <v>630</v>
      </c>
      <c r="B96" s="46" t="s">
        <v>631</v>
      </c>
      <c r="C96" s="28" t="str">
        <f>CONCATENATE(A96," ",B96)</f>
        <v>Maria VonNordeck</v>
      </c>
      <c r="D96" s="46" t="s">
        <v>673</v>
      </c>
      <c r="E96" s="46">
        <v>678726</v>
      </c>
      <c r="F96" s="46" t="s">
        <v>25</v>
      </c>
      <c r="G96" s="46" t="s">
        <v>152</v>
      </c>
      <c r="H96" s="46" t="s">
        <v>28</v>
      </c>
      <c r="I96" s="46" t="s">
        <v>676</v>
      </c>
      <c r="J96" s="46" t="s">
        <v>677</v>
      </c>
      <c r="K96" s="47">
        <v>428096508</v>
      </c>
      <c r="L96" s="46" t="s">
        <v>953</v>
      </c>
      <c r="M96" s="48" t="s">
        <v>264</v>
      </c>
      <c r="N96" s="48">
        <f>DATEDIF(L96,M96,"M")</f>
        <v>7</v>
      </c>
      <c r="O96" s="49">
        <v>27</v>
      </c>
      <c r="P96" s="50">
        <v>0.24</v>
      </c>
      <c r="Q96" s="51">
        <v>6.48</v>
      </c>
      <c r="R96" s="46" t="s">
        <v>985</v>
      </c>
      <c r="S96" s="46" t="s">
        <v>988</v>
      </c>
      <c r="T96" s="48" t="s">
        <v>1014</v>
      </c>
      <c r="U96" s="46" t="s">
        <v>1028</v>
      </c>
      <c r="V96" s="46" t="s">
        <v>1029</v>
      </c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</row>
    <row r="97" spans="1:52" s="28" customFormat="1" x14ac:dyDescent="0.25">
      <c r="A97" s="28" t="s">
        <v>446</v>
      </c>
      <c r="B97" s="28" t="s">
        <v>447</v>
      </c>
      <c r="C97" s="28" t="str">
        <f>CONCATENATE(A97," ",B97)</f>
        <v>Katrin Urban</v>
      </c>
      <c r="D97" s="28" t="s">
        <v>673</v>
      </c>
      <c r="E97" s="28">
        <v>678726</v>
      </c>
      <c r="F97" s="28" t="s">
        <v>25</v>
      </c>
      <c r="G97" s="28" t="s">
        <v>52</v>
      </c>
      <c r="H97" s="28" t="s">
        <v>39</v>
      </c>
      <c r="I97" s="28" t="s">
        <v>686</v>
      </c>
      <c r="J97" s="28" t="s">
        <v>687</v>
      </c>
      <c r="K97" s="29">
        <v>914399180</v>
      </c>
      <c r="L97" s="28" t="s">
        <v>264</v>
      </c>
      <c r="M97" s="30" t="s">
        <v>670</v>
      </c>
      <c r="N97" s="30">
        <f>DATEDIF(L97,M97,"M")</f>
        <v>1</v>
      </c>
      <c r="O97" s="31">
        <v>20</v>
      </c>
      <c r="P97" s="32">
        <v>0.37</v>
      </c>
      <c r="Q97" s="33">
        <v>7.4</v>
      </c>
      <c r="R97" s="28" t="s">
        <v>984</v>
      </c>
      <c r="S97" s="28" t="s">
        <v>988</v>
      </c>
      <c r="T97" s="30" t="s">
        <v>1014</v>
      </c>
      <c r="U97" s="28" t="s">
        <v>1028</v>
      </c>
      <c r="V97" s="28" t="s">
        <v>1027</v>
      </c>
    </row>
    <row r="98" spans="1:52" s="28" customFormat="1" x14ac:dyDescent="0.25">
      <c r="A98" s="28" t="s">
        <v>141</v>
      </c>
      <c r="B98" s="28" t="s">
        <v>142</v>
      </c>
      <c r="C98" s="28" t="str">
        <f>CONCATENATE(A98," ",B98)</f>
        <v>Mindi Kane</v>
      </c>
      <c r="D98" s="28" t="s">
        <v>691</v>
      </c>
      <c r="E98" s="28">
        <v>759555</v>
      </c>
      <c r="F98" s="28" t="s">
        <v>143</v>
      </c>
      <c r="G98" s="28" t="s">
        <v>52</v>
      </c>
      <c r="H98" s="28" t="s">
        <v>39</v>
      </c>
      <c r="I98" s="28" t="s">
        <v>686</v>
      </c>
      <c r="J98" s="28" t="s">
        <v>687</v>
      </c>
      <c r="K98" s="29">
        <v>629957651</v>
      </c>
      <c r="L98" s="28" t="s">
        <v>771</v>
      </c>
      <c r="M98" s="30" t="s">
        <v>705</v>
      </c>
      <c r="N98" s="30">
        <f>DATEDIF(L98,M98,"M")</f>
        <v>15</v>
      </c>
      <c r="O98" s="31">
        <v>20</v>
      </c>
      <c r="P98" s="32">
        <v>0.37</v>
      </c>
      <c r="Q98" s="33">
        <v>7.4</v>
      </c>
      <c r="R98" s="28" t="s">
        <v>984</v>
      </c>
      <c r="S98" s="28" t="s">
        <v>990</v>
      </c>
      <c r="T98" s="30">
        <v>19200754</v>
      </c>
      <c r="U98" s="28" t="s">
        <v>1028</v>
      </c>
      <c r="V98" s="28" t="s">
        <v>1029</v>
      </c>
    </row>
    <row r="99" spans="1:52" s="28" customFormat="1" x14ac:dyDescent="0.25">
      <c r="A99" s="28" t="s">
        <v>141</v>
      </c>
      <c r="B99" s="28" t="s">
        <v>142</v>
      </c>
      <c r="C99" s="28" t="str">
        <f>CONCATENATE(A99," ",B99)</f>
        <v>Mindi Kane</v>
      </c>
      <c r="D99" s="28" t="s">
        <v>691</v>
      </c>
      <c r="E99" s="28">
        <v>759555</v>
      </c>
      <c r="F99" s="28" t="s">
        <v>143</v>
      </c>
      <c r="G99" s="28" t="s">
        <v>52</v>
      </c>
      <c r="H99" s="28" t="s">
        <v>39</v>
      </c>
      <c r="I99" s="28" t="s">
        <v>686</v>
      </c>
      <c r="J99" s="28" t="s">
        <v>687</v>
      </c>
      <c r="K99" s="29">
        <v>629957651</v>
      </c>
      <c r="L99" s="28" t="s">
        <v>771</v>
      </c>
      <c r="M99" s="30" t="s">
        <v>264</v>
      </c>
      <c r="N99" s="30">
        <f>DATEDIF(L99,M99,"M")</f>
        <v>16</v>
      </c>
      <c r="O99" s="31">
        <v>20</v>
      </c>
      <c r="P99" s="32">
        <v>0.37</v>
      </c>
      <c r="Q99" s="33">
        <v>7.4</v>
      </c>
      <c r="R99" s="28" t="s">
        <v>984</v>
      </c>
      <c r="S99" s="28" t="s">
        <v>990</v>
      </c>
      <c r="T99" s="30">
        <v>19200754</v>
      </c>
      <c r="U99" s="28" t="s">
        <v>1028</v>
      </c>
      <c r="V99" s="28" t="s">
        <v>1029</v>
      </c>
    </row>
    <row r="100" spans="1:52" s="28" customFormat="1" x14ac:dyDescent="0.25">
      <c r="A100" s="28" t="s">
        <v>141</v>
      </c>
      <c r="B100" s="28" t="s">
        <v>142</v>
      </c>
      <c r="C100" s="28" t="str">
        <f>CONCATENATE(A100," ",B100)</f>
        <v>Mindi Kane</v>
      </c>
      <c r="D100" s="28" t="s">
        <v>691</v>
      </c>
      <c r="E100" s="28">
        <v>759555</v>
      </c>
      <c r="F100" s="28" t="s">
        <v>143</v>
      </c>
      <c r="G100" s="28" t="s">
        <v>52</v>
      </c>
      <c r="H100" s="28" t="s">
        <v>39</v>
      </c>
      <c r="I100" s="28" t="s">
        <v>686</v>
      </c>
      <c r="J100" s="28" t="s">
        <v>687</v>
      </c>
      <c r="K100" s="29">
        <v>629957651</v>
      </c>
      <c r="L100" s="28" t="s">
        <v>771</v>
      </c>
      <c r="M100" s="30" t="s">
        <v>670</v>
      </c>
      <c r="N100" s="30">
        <f>DATEDIF(L100,M100,"M")</f>
        <v>17</v>
      </c>
      <c r="O100" s="31">
        <v>20</v>
      </c>
      <c r="P100" s="32">
        <v>0.37</v>
      </c>
      <c r="Q100" s="33">
        <v>7.4</v>
      </c>
      <c r="R100" s="28" t="s">
        <v>984</v>
      </c>
      <c r="S100" s="28" t="s">
        <v>990</v>
      </c>
      <c r="T100" s="30">
        <v>19200754</v>
      </c>
      <c r="U100" s="28" t="s">
        <v>1028</v>
      </c>
      <c r="V100" s="28" t="s">
        <v>1029</v>
      </c>
    </row>
    <row r="101" spans="1:52" s="28" customFormat="1" x14ac:dyDescent="0.25">
      <c r="A101" s="46" t="s">
        <v>424</v>
      </c>
      <c r="B101" s="46" t="s">
        <v>425</v>
      </c>
      <c r="C101" s="28" t="str">
        <f>CONCATENATE(A101," ",B101)</f>
        <v>Jean Harrell</v>
      </c>
      <c r="D101" s="46" t="s">
        <v>673</v>
      </c>
      <c r="E101" s="46">
        <v>678726</v>
      </c>
      <c r="F101" s="46" t="s">
        <v>25</v>
      </c>
      <c r="G101" s="46" t="s">
        <v>27</v>
      </c>
      <c r="H101" s="46" t="s">
        <v>28</v>
      </c>
      <c r="I101" s="46" t="s">
        <v>676</v>
      </c>
      <c r="J101" s="46" t="s">
        <v>677</v>
      </c>
      <c r="K101" s="47">
        <v>384431357</v>
      </c>
      <c r="L101" s="46" t="s">
        <v>679</v>
      </c>
      <c r="M101" s="48" t="s">
        <v>693</v>
      </c>
      <c r="N101" s="48">
        <f>DATEDIF(L101,M101,"M")</f>
        <v>8</v>
      </c>
      <c r="O101" s="49">
        <v>25</v>
      </c>
      <c r="P101" s="50">
        <v>0.32</v>
      </c>
      <c r="Q101" s="51">
        <v>8</v>
      </c>
      <c r="R101" s="46" t="s">
        <v>983</v>
      </c>
      <c r="S101" s="46" t="s">
        <v>988</v>
      </c>
      <c r="T101" s="48">
        <v>16202925</v>
      </c>
      <c r="U101" s="46" t="s">
        <v>1028</v>
      </c>
      <c r="V101" s="46" t="s">
        <v>1029</v>
      </c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</row>
    <row r="102" spans="1:52" s="28" customFormat="1" x14ac:dyDescent="0.25">
      <c r="A102" s="46" t="s">
        <v>424</v>
      </c>
      <c r="B102" s="46" t="s">
        <v>425</v>
      </c>
      <c r="C102" s="28" t="str">
        <f>CONCATENATE(A102," ",B102)</f>
        <v>Jean Harrell</v>
      </c>
      <c r="D102" s="46" t="s">
        <v>673</v>
      </c>
      <c r="E102" s="46">
        <v>678726</v>
      </c>
      <c r="F102" s="46" t="s">
        <v>25</v>
      </c>
      <c r="G102" s="46" t="s">
        <v>27</v>
      </c>
      <c r="H102" s="46" t="s">
        <v>28</v>
      </c>
      <c r="I102" s="46" t="s">
        <v>676</v>
      </c>
      <c r="J102" s="46" t="s">
        <v>677</v>
      </c>
      <c r="K102" s="47">
        <v>384431357</v>
      </c>
      <c r="L102" s="46" t="s">
        <v>679</v>
      </c>
      <c r="M102" s="48" t="s">
        <v>693</v>
      </c>
      <c r="N102" s="48">
        <f>DATEDIF(L102,M102,"M")</f>
        <v>8</v>
      </c>
      <c r="O102" s="49">
        <v>25</v>
      </c>
      <c r="P102" s="50">
        <v>0.32</v>
      </c>
      <c r="Q102" s="51">
        <v>8</v>
      </c>
      <c r="R102" s="46" t="s">
        <v>983</v>
      </c>
      <c r="S102" s="46" t="s">
        <v>988</v>
      </c>
      <c r="T102" s="48">
        <v>16202925</v>
      </c>
      <c r="U102" s="46" t="s">
        <v>1028</v>
      </c>
      <c r="V102" s="46" t="s">
        <v>1029</v>
      </c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</row>
    <row r="103" spans="1:52" s="28" customFormat="1" x14ac:dyDescent="0.25">
      <c r="A103" s="28" t="s">
        <v>324</v>
      </c>
      <c r="B103" s="28" t="s">
        <v>325</v>
      </c>
      <c r="C103" s="28" t="str">
        <f>CONCATENATE(A103," ",B103)</f>
        <v>Margaret Stoner</v>
      </c>
      <c r="D103" s="28" t="s">
        <v>695</v>
      </c>
      <c r="E103" s="28">
        <v>820877</v>
      </c>
      <c r="F103" s="28" t="s">
        <v>168</v>
      </c>
      <c r="G103" s="28" t="s">
        <v>27</v>
      </c>
      <c r="H103" s="28" t="s">
        <v>28</v>
      </c>
      <c r="I103" s="28" t="s">
        <v>676</v>
      </c>
      <c r="J103" s="28" t="s">
        <v>677</v>
      </c>
      <c r="K103" s="29">
        <v>644484680</v>
      </c>
      <c r="L103" s="28" t="s">
        <v>679</v>
      </c>
      <c r="M103" s="30" t="s">
        <v>705</v>
      </c>
      <c r="N103" s="30">
        <f>DATEDIF(L103,M103,"M")</f>
        <v>9</v>
      </c>
      <c r="O103" s="31">
        <v>25</v>
      </c>
      <c r="P103" s="32">
        <v>0.32</v>
      </c>
      <c r="Q103" s="33">
        <v>8</v>
      </c>
      <c r="R103" s="28" t="s">
        <v>983</v>
      </c>
      <c r="S103" s="28" t="s">
        <v>994</v>
      </c>
      <c r="T103" s="30" t="s">
        <v>1019</v>
      </c>
      <c r="U103" s="28" t="s">
        <v>1028</v>
      </c>
      <c r="V103" s="28" t="s">
        <v>1029</v>
      </c>
    </row>
    <row r="104" spans="1:52" s="28" customFormat="1" x14ac:dyDescent="0.25">
      <c r="A104" s="28" t="s">
        <v>23</v>
      </c>
      <c r="B104" s="28" t="s">
        <v>24</v>
      </c>
      <c r="C104" s="28" t="str">
        <f>CONCATENATE(A104," ",B104)</f>
        <v>Sharrod Walker</v>
      </c>
      <c r="D104" s="28" t="s">
        <v>673</v>
      </c>
      <c r="E104" s="28">
        <v>678726</v>
      </c>
      <c r="F104" s="28" t="s">
        <v>25</v>
      </c>
      <c r="G104" s="28" t="s">
        <v>27</v>
      </c>
      <c r="H104" s="28" t="s">
        <v>28</v>
      </c>
      <c r="I104" s="28" t="s">
        <v>676</v>
      </c>
      <c r="J104" s="28" t="s">
        <v>677</v>
      </c>
      <c r="K104" s="29">
        <v>848578973</v>
      </c>
      <c r="L104" s="28" t="s">
        <v>679</v>
      </c>
      <c r="M104" s="30" t="s">
        <v>705</v>
      </c>
      <c r="N104" s="30">
        <f>DATEDIF(L104,M104,"M")</f>
        <v>9</v>
      </c>
      <c r="O104" s="31">
        <v>25</v>
      </c>
      <c r="P104" s="32">
        <v>0.32</v>
      </c>
      <c r="Q104" s="33">
        <v>8</v>
      </c>
      <c r="R104" s="28" t="s">
        <v>983</v>
      </c>
      <c r="S104" s="28" t="s">
        <v>988</v>
      </c>
      <c r="T104" s="30">
        <v>16202925</v>
      </c>
      <c r="U104" s="28" t="s">
        <v>1028</v>
      </c>
      <c r="V104" s="28" t="s">
        <v>1029</v>
      </c>
    </row>
    <row r="105" spans="1:52" s="28" customFormat="1" x14ac:dyDescent="0.25">
      <c r="A105" s="28" t="s">
        <v>424</v>
      </c>
      <c r="B105" s="28" t="s">
        <v>425</v>
      </c>
      <c r="C105" s="28" t="str">
        <f>CONCATENATE(A105," ",B105)</f>
        <v>Jean Harrell</v>
      </c>
      <c r="D105" s="28" t="s">
        <v>673</v>
      </c>
      <c r="E105" s="28">
        <v>678726</v>
      </c>
      <c r="F105" s="28" t="s">
        <v>25</v>
      </c>
      <c r="G105" s="28" t="s">
        <v>27</v>
      </c>
      <c r="H105" s="28" t="s">
        <v>28</v>
      </c>
      <c r="I105" s="28" t="s">
        <v>676</v>
      </c>
      <c r="J105" s="28" t="s">
        <v>677</v>
      </c>
      <c r="K105" s="29">
        <v>384431357</v>
      </c>
      <c r="L105" s="28" t="s">
        <v>679</v>
      </c>
      <c r="M105" s="30" t="s">
        <v>705</v>
      </c>
      <c r="N105" s="30">
        <f>DATEDIF(L105,M105,"M")</f>
        <v>9</v>
      </c>
      <c r="O105" s="31">
        <v>25</v>
      </c>
      <c r="P105" s="32">
        <v>0.32</v>
      </c>
      <c r="Q105" s="33">
        <v>8</v>
      </c>
      <c r="R105" s="28" t="s">
        <v>983</v>
      </c>
      <c r="S105" s="28" t="s">
        <v>988</v>
      </c>
      <c r="T105" s="30">
        <v>16202925</v>
      </c>
      <c r="U105" s="28" t="s">
        <v>1028</v>
      </c>
      <c r="V105" s="28" t="s">
        <v>1029</v>
      </c>
    </row>
    <row r="106" spans="1:52" s="28" customFormat="1" x14ac:dyDescent="0.25">
      <c r="A106" s="28" t="s">
        <v>324</v>
      </c>
      <c r="B106" s="28" t="s">
        <v>325</v>
      </c>
      <c r="C106" s="28" t="str">
        <f>CONCATENATE(A106," ",B106)</f>
        <v>Margaret Stoner</v>
      </c>
      <c r="D106" s="28" t="s">
        <v>695</v>
      </c>
      <c r="E106" s="28">
        <v>820877</v>
      </c>
      <c r="F106" s="28" t="s">
        <v>168</v>
      </c>
      <c r="G106" s="28" t="s">
        <v>27</v>
      </c>
      <c r="H106" s="28" t="s">
        <v>28</v>
      </c>
      <c r="I106" s="28" t="s">
        <v>676</v>
      </c>
      <c r="J106" s="28" t="s">
        <v>677</v>
      </c>
      <c r="K106" s="29">
        <v>644484680</v>
      </c>
      <c r="L106" s="28" t="s">
        <v>679</v>
      </c>
      <c r="M106" s="30" t="s">
        <v>264</v>
      </c>
      <c r="N106" s="30">
        <f>DATEDIF(L106,M106,"M")</f>
        <v>10</v>
      </c>
      <c r="O106" s="31">
        <v>25</v>
      </c>
      <c r="P106" s="32">
        <v>0.32</v>
      </c>
      <c r="Q106" s="33">
        <v>8</v>
      </c>
      <c r="R106" s="28" t="s">
        <v>983</v>
      </c>
      <c r="S106" s="28" t="s">
        <v>994</v>
      </c>
      <c r="T106" s="30" t="s">
        <v>1019</v>
      </c>
      <c r="U106" s="28" t="s">
        <v>1028</v>
      </c>
      <c r="V106" s="28" t="s">
        <v>1029</v>
      </c>
    </row>
    <row r="107" spans="1:52" s="28" customFormat="1" x14ac:dyDescent="0.25">
      <c r="A107" s="28" t="s">
        <v>23</v>
      </c>
      <c r="B107" s="28" t="s">
        <v>24</v>
      </c>
      <c r="C107" s="28" t="str">
        <f>CONCATENATE(A107," ",B107)</f>
        <v>Sharrod Walker</v>
      </c>
      <c r="D107" s="28" t="s">
        <v>673</v>
      </c>
      <c r="E107" s="28">
        <v>678726</v>
      </c>
      <c r="F107" s="28" t="s">
        <v>25</v>
      </c>
      <c r="G107" s="28" t="s">
        <v>27</v>
      </c>
      <c r="H107" s="28" t="s">
        <v>28</v>
      </c>
      <c r="I107" s="28" t="s">
        <v>676</v>
      </c>
      <c r="J107" s="28" t="s">
        <v>677</v>
      </c>
      <c r="K107" s="29">
        <v>848578973</v>
      </c>
      <c r="L107" s="28" t="s">
        <v>679</v>
      </c>
      <c r="M107" s="30" t="s">
        <v>264</v>
      </c>
      <c r="N107" s="30">
        <f>DATEDIF(L107,M107,"M")</f>
        <v>10</v>
      </c>
      <c r="O107" s="31">
        <v>25</v>
      </c>
      <c r="P107" s="32">
        <v>0.32</v>
      </c>
      <c r="Q107" s="33">
        <v>8</v>
      </c>
      <c r="R107" s="28" t="s">
        <v>983</v>
      </c>
      <c r="S107" s="28" t="s">
        <v>988</v>
      </c>
      <c r="T107" s="30">
        <v>16202925</v>
      </c>
      <c r="U107" s="28" t="s">
        <v>1028</v>
      </c>
      <c r="V107" s="28" t="s">
        <v>1029</v>
      </c>
    </row>
    <row r="108" spans="1:52" s="28" customFormat="1" x14ac:dyDescent="0.25">
      <c r="A108" s="28" t="s">
        <v>424</v>
      </c>
      <c r="B108" s="28" t="s">
        <v>425</v>
      </c>
      <c r="C108" s="28" t="str">
        <f>CONCATENATE(A108," ",B108)</f>
        <v>Jean Harrell</v>
      </c>
      <c r="D108" s="28" t="s">
        <v>673</v>
      </c>
      <c r="E108" s="28">
        <v>678726</v>
      </c>
      <c r="F108" s="28" t="s">
        <v>25</v>
      </c>
      <c r="G108" s="28" t="s">
        <v>27</v>
      </c>
      <c r="H108" s="28" t="s">
        <v>28</v>
      </c>
      <c r="I108" s="28" t="s">
        <v>676</v>
      </c>
      <c r="J108" s="28" t="s">
        <v>677</v>
      </c>
      <c r="K108" s="29">
        <v>384431357</v>
      </c>
      <c r="L108" s="28" t="s">
        <v>679</v>
      </c>
      <c r="M108" s="30" t="s">
        <v>264</v>
      </c>
      <c r="N108" s="30">
        <f>DATEDIF(L108,M108,"M")</f>
        <v>10</v>
      </c>
      <c r="O108" s="31">
        <v>25</v>
      </c>
      <c r="P108" s="32">
        <v>0.32</v>
      </c>
      <c r="Q108" s="33">
        <v>8</v>
      </c>
      <c r="R108" s="28" t="s">
        <v>983</v>
      </c>
      <c r="S108" s="28" t="s">
        <v>988</v>
      </c>
      <c r="T108" s="30">
        <v>16202925</v>
      </c>
      <c r="U108" s="28" t="s">
        <v>1028</v>
      </c>
      <c r="V108" s="28" t="s">
        <v>1029</v>
      </c>
    </row>
    <row r="109" spans="1:52" s="28" customFormat="1" x14ac:dyDescent="0.25">
      <c r="A109" s="28" t="s">
        <v>400</v>
      </c>
      <c r="B109" s="28" t="s">
        <v>401</v>
      </c>
      <c r="C109" s="28" t="str">
        <f>CONCATENATE(A109," ",B109)</f>
        <v>William  Custer</v>
      </c>
      <c r="D109" s="28" t="s">
        <v>673</v>
      </c>
      <c r="E109" s="28">
        <v>678726</v>
      </c>
      <c r="F109" s="28" t="s">
        <v>25</v>
      </c>
      <c r="G109" s="28" t="s">
        <v>27</v>
      </c>
      <c r="H109" s="28" t="s">
        <v>28</v>
      </c>
      <c r="I109" s="28" t="s">
        <v>676</v>
      </c>
      <c r="J109" s="28" t="s">
        <v>677</v>
      </c>
      <c r="K109" s="29">
        <v>571135014</v>
      </c>
      <c r="L109" s="28" t="s">
        <v>740</v>
      </c>
      <c r="M109" s="30" t="s">
        <v>705</v>
      </c>
      <c r="N109" s="30">
        <f>DATEDIF(L109,M109,"M")</f>
        <v>10</v>
      </c>
      <c r="O109" s="31">
        <v>25</v>
      </c>
      <c r="P109" s="32">
        <v>0.32</v>
      </c>
      <c r="Q109" s="33">
        <v>8</v>
      </c>
      <c r="R109" s="28" t="s">
        <v>983</v>
      </c>
      <c r="S109" s="28" t="s">
        <v>988</v>
      </c>
      <c r="T109" s="30">
        <v>16202925</v>
      </c>
      <c r="U109" s="28" t="s">
        <v>1028</v>
      </c>
      <c r="V109" s="28" t="s">
        <v>1029</v>
      </c>
    </row>
    <row r="110" spans="1:52" s="28" customFormat="1" x14ac:dyDescent="0.25">
      <c r="A110" s="28" t="s">
        <v>324</v>
      </c>
      <c r="B110" s="28" t="s">
        <v>325</v>
      </c>
      <c r="C110" s="28" t="str">
        <f>CONCATENATE(A110," ",B110)</f>
        <v>Margaret Stoner</v>
      </c>
      <c r="D110" s="28" t="s">
        <v>695</v>
      </c>
      <c r="E110" s="28">
        <v>820877</v>
      </c>
      <c r="F110" s="28" t="s">
        <v>168</v>
      </c>
      <c r="G110" s="28" t="s">
        <v>27</v>
      </c>
      <c r="H110" s="28" t="s">
        <v>28</v>
      </c>
      <c r="I110" s="28" t="s">
        <v>676</v>
      </c>
      <c r="J110" s="28" t="s">
        <v>677</v>
      </c>
      <c r="K110" s="29">
        <v>644484680</v>
      </c>
      <c r="L110" s="28" t="s">
        <v>679</v>
      </c>
      <c r="M110" s="30" t="s">
        <v>670</v>
      </c>
      <c r="N110" s="30">
        <f>DATEDIF(L110,M110,"M")</f>
        <v>11</v>
      </c>
      <c r="O110" s="31">
        <v>25</v>
      </c>
      <c r="P110" s="32">
        <v>0.32</v>
      </c>
      <c r="Q110" s="33">
        <v>8</v>
      </c>
      <c r="R110" s="28" t="s">
        <v>983</v>
      </c>
      <c r="S110" s="28" t="s">
        <v>994</v>
      </c>
      <c r="T110" s="30" t="s">
        <v>1019</v>
      </c>
      <c r="U110" s="28" t="s">
        <v>1028</v>
      </c>
      <c r="V110" s="28" t="s">
        <v>1029</v>
      </c>
    </row>
    <row r="111" spans="1:52" s="28" customFormat="1" x14ac:dyDescent="0.25">
      <c r="A111" s="28" t="s">
        <v>23</v>
      </c>
      <c r="B111" s="28" t="s">
        <v>24</v>
      </c>
      <c r="C111" s="28" t="str">
        <f>CONCATENATE(A111," ",B111)</f>
        <v>Sharrod Walker</v>
      </c>
      <c r="D111" s="28" t="s">
        <v>673</v>
      </c>
      <c r="E111" s="28">
        <v>678726</v>
      </c>
      <c r="F111" s="28" t="s">
        <v>25</v>
      </c>
      <c r="G111" s="28" t="s">
        <v>27</v>
      </c>
      <c r="H111" s="28" t="s">
        <v>28</v>
      </c>
      <c r="I111" s="28" t="s">
        <v>676</v>
      </c>
      <c r="J111" s="28" t="s">
        <v>677</v>
      </c>
      <c r="K111" s="29">
        <v>848578973</v>
      </c>
      <c r="L111" s="28" t="s">
        <v>679</v>
      </c>
      <c r="M111" s="30" t="s">
        <v>670</v>
      </c>
      <c r="N111" s="30">
        <f>DATEDIF(L111,M111,"M")</f>
        <v>11</v>
      </c>
      <c r="O111" s="31">
        <v>25</v>
      </c>
      <c r="P111" s="32">
        <v>0.32</v>
      </c>
      <c r="Q111" s="33">
        <v>8</v>
      </c>
      <c r="R111" s="28" t="s">
        <v>983</v>
      </c>
      <c r="S111" s="28" t="s">
        <v>988</v>
      </c>
      <c r="T111" s="30">
        <v>16202925</v>
      </c>
      <c r="U111" s="28" t="s">
        <v>1028</v>
      </c>
      <c r="V111" s="28" t="s">
        <v>1029</v>
      </c>
    </row>
    <row r="112" spans="1:52" x14ac:dyDescent="0.25">
      <c r="A112" s="28" t="s">
        <v>424</v>
      </c>
      <c r="B112" s="28" t="s">
        <v>425</v>
      </c>
      <c r="C112" s="28" t="str">
        <f>CONCATENATE(A112," ",B112)</f>
        <v>Jean Harrell</v>
      </c>
      <c r="D112" s="28" t="s">
        <v>673</v>
      </c>
      <c r="E112" s="28">
        <v>678726</v>
      </c>
      <c r="F112" s="28" t="s">
        <v>25</v>
      </c>
      <c r="G112" s="28" t="s">
        <v>27</v>
      </c>
      <c r="H112" s="28" t="s">
        <v>28</v>
      </c>
      <c r="I112" s="28" t="s">
        <v>676</v>
      </c>
      <c r="J112" s="28" t="s">
        <v>677</v>
      </c>
      <c r="K112" s="29">
        <v>384431357</v>
      </c>
      <c r="L112" s="28" t="s">
        <v>679</v>
      </c>
      <c r="M112" s="30" t="s">
        <v>670</v>
      </c>
      <c r="N112" s="30">
        <f>DATEDIF(L112,M112,"M")</f>
        <v>11</v>
      </c>
      <c r="O112" s="31">
        <v>25</v>
      </c>
      <c r="P112" s="32">
        <v>0.32</v>
      </c>
      <c r="Q112" s="33">
        <v>8</v>
      </c>
      <c r="R112" s="28" t="s">
        <v>983</v>
      </c>
      <c r="S112" s="28" t="s">
        <v>988</v>
      </c>
      <c r="T112" s="30">
        <v>16202925</v>
      </c>
      <c r="U112" s="28" t="s">
        <v>1028</v>
      </c>
      <c r="V112" s="28" t="s">
        <v>1029</v>
      </c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</row>
    <row r="113" spans="1:52" x14ac:dyDescent="0.25">
      <c r="A113" s="28" t="s">
        <v>400</v>
      </c>
      <c r="B113" s="28" t="s">
        <v>401</v>
      </c>
      <c r="C113" s="28" t="str">
        <f>CONCATENATE(A113," ",B113)</f>
        <v>William  Custer</v>
      </c>
      <c r="D113" s="28" t="s">
        <v>673</v>
      </c>
      <c r="E113" s="28">
        <v>678726</v>
      </c>
      <c r="F113" s="28" t="s">
        <v>25</v>
      </c>
      <c r="G113" s="28" t="s">
        <v>27</v>
      </c>
      <c r="H113" s="28" t="s">
        <v>28</v>
      </c>
      <c r="I113" s="28" t="s">
        <v>676</v>
      </c>
      <c r="J113" s="28" t="s">
        <v>677</v>
      </c>
      <c r="K113" s="29">
        <v>571135014</v>
      </c>
      <c r="L113" s="28" t="s">
        <v>740</v>
      </c>
      <c r="M113" s="30" t="s">
        <v>264</v>
      </c>
      <c r="N113" s="30">
        <f>DATEDIF(L113,M113,"M")</f>
        <v>11</v>
      </c>
      <c r="O113" s="31">
        <v>25</v>
      </c>
      <c r="P113" s="32">
        <v>0.32</v>
      </c>
      <c r="Q113" s="33">
        <v>8</v>
      </c>
      <c r="R113" s="28" t="s">
        <v>983</v>
      </c>
      <c r="S113" s="28" t="s">
        <v>988</v>
      </c>
      <c r="T113" s="30">
        <v>16202925</v>
      </c>
      <c r="U113" s="28" t="s">
        <v>1028</v>
      </c>
      <c r="V113" s="28" t="s">
        <v>1029</v>
      </c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</row>
    <row r="114" spans="1:52" x14ac:dyDescent="0.25">
      <c r="A114" s="28" t="s">
        <v>603</v>
      </c>
      <c r="B114" s="28" t="s">
        <v>604</v>
      </c>
      <c r="C114" s="28" t="str">
        <f>CONCATENATE(A114," ",B114)</f>
        <v>Tyler Fortney</v>
      </c>
      <c r="D114" s="28" t="s">
        <v>673</v>
      </c>
      <c r="E114" s="28">
        <v>678726</v>
      </c>
      <c r="F114" s="28" t="s">
        <v>25</v>
      </c>
      <c r="G114" s="28" t="s">
        <v>27</v>
      </c>
      <c r="H114" s="28" t="s">
        <v>28</v>
      </c>
      <c r="I114" s="28" t="s">
        <v>676</v>
      </c>
      <c r="J114" s="28" t="s">
        <v>677</v>
      </c>
      <c r="K114" s="29">
        <v>498487989</v>
      </c>
      <c r="L114" s="28" t="s">
        <v>699</v>
      </c>
      <c r="M114" s="30" t="s">
        <v>705</v>
      </c>
      <c r="N114" s="30">
        <f>DATEDIF(L114,M114,"M")</f>
        <v>11</v>
      </c>
      <c r="O114" s="31">
        <v>25</v>
      </c>
      <c r="P114" s="32">
        <v>0.32</v>
      </c>
      <c r="Q114" s="33">
        <v>8</v>
      </c>
      <c r="R114" s="28" t="s">
        <v>983</v>
      </c>
      <c r="S114" s="28" t="s">
        <v>988</v>
      </c>
      <c r="T114" s="30">
        <v>16202925</v>
      </c>
      <c r="U114" s="28" t="s">
        <v>1028</v>
      </c>
      <c r="V114" s="28" t="s">
        <v>1029</v>
      </c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</row>
    <row r="115" spans="1:52" x14ac:dyDescent="0.25">
      <c r="A115" s="28" t="s">
        <v>522</v>
      </c>
      <c r="B115" s="28" t="s">
        <v>523</v>
      </c>
      <c r="C115" s="28" t="str">
        <f>CONCATENATE(A115," ",B115)</f>
        <v>Amberly Litchfield</v>
      </c>
      <c r="D115" s="28" t="s">
        <v>673</v>
      </c>
      <c r="E115" s="28">
        <v>678726</v>
      </c>
      <c r="F115" s="28" t="s">
        <v>25</v>
      </c>
      <c r="G115" s="28" t="s">
        <v>27</v>
      </c>
      <c r="H115" s="28" t="s">
        <v>28</v>
      </c>
      <c r="I115" s="28" t="s">
        <v>676</v>
      </c>
      <c r="J115" s="28" t="s">
        <v>677</v>
      </c>
      <c r="K115" s="29">
        <v>478183816</v>
      </c>
      <c r="L115" s="28" t="s">
        <v>699</v>
      </c>
      <c r="M115" s="30" t="s">
        <v>705</v>
      </c>
      <c r="N115" s="30">
        <f>DATEDIF(L115,M115,"M")</f>
        <v>11</v>
      </c>
      <c r="O115" s="31">
        <v>25</v>
      </c>
      <c r="P115" s="32">
        <v>0.32</v>
      </c>
      <c r="Q115" s="33">
        <v>8</v>
      </c>
      <c r="R115" s="28" t="s">
        <v>983</v>
      </c>
      <c r="S115" s="28" t="s">
        <v>988</v>
      </c>
      <c r="T115" s="30">
        <v>16202925</v>
      </c>
      <c r="U115" s="28" t="s">
        <v>1028</v>
      </c>
      <c r="V115" s="28" t="s">
        <v>1029</v>
      </c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</row>
    <row r="116" spans="1:52" x14ac:dyDescent="0.25">
      <c r="A116" s="28" t="s">
        <v>44</v>
      </c>
      <c r="B116" s="28" t="s">
        <v>45</v>
      </c>
      <c r="C116" s="28" t="str">
        <f>CONCATENATE(A116," ",B116)</f>
        <v>Dudley Hinegardner</v>
      </c>
      <c r="D116" s="28" t="s">
        <v>673</v>
      </c>
      <c r="E116" s="28">
        <v>678726</v>
      </c>
      <c r="F116" s="28" t="s">
        <v>25</v>
      </c>
      <c r="G116" s="28" t="s">
        <v>27</v>
      </c>
      <c r="H116" s="28" t="s">
        <v>28</v>
      </c>
      <c r="I116" s="28" t="s">
        <v>676</v>
      </c>
      <c r="J116" s="28" t="s">
        <v>677</v>
      </c>
      <c r="K116" s="29">
        <v>699319353</v>
      </c>
      <c r="L116" s="28" t="s">
        <v>699</v>
      </c>
      <c r="M116" s="30" t="s">
        <v>705</v>
      </c>
      <c r="N116" s="30">
        <f>DATEDIF(L116,M116,"M")</f>
        <v>11</v>
      </c>
      <c r="O116" s="31">
        <v>25</v>
      </c>
      <c r="P116" s="32">
        <v>0.32</v>
      </c>
      <c r="Q116" s="33">
        <v>8</v>
      </c>
      <c r="R116" s="28" t="s">
        <v>983</v>
      </c>
      <c r="S116" s="28" t="s">
        <v>988</v>
      </c>
      <c r="T116" s="30">
        <v>16202925</v>
      </c>
      <c r="U116" s="28" t="s">
        <v>1028</v>
      </c>
      <c r="V116" s="28" t="s">
        <v>1029</v>
      </c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</row>
    <row r="117" spans="1:52" x14ac:dyDescent="0.25">
      <c r="A117" s="28" t="s">
        <v>400</v>
      </c>
      <c r="B117" s="28" t="s">
        <v>401</v>
      </c>
      <c r="C117" s="28" t="str">
        <f>CONCATENATE(A117," ",B117)</f>
        <v>William  Custer</v>
      </c>
      <c r="D117" s="28" t="s">
        <v>673</v>
      </c>
      <c r="E117" s="28">
        <v>678726</v>
      </c>
      <c r="F117" s="28" t="s">
        <v>25</v>
      </c>
      <c r="G117" s="28" t="s">
        <v>27</v>
      </c>
      <c r="H117" s="28" t="s">
        <v>28</v>
      </c>
      <c r="I117" s="28" t="s">
        <v>676</v>
      </c>
      <c r="J117" s="28" t="s">
        <v>677</v>
      </c>
      <c r="K117" s="29">
        <v>571135014</v>
      </c>
      <c r="L117" s="28" t="s">
        <v>740</v>
      </c>
      <c r="M117" s="30" t="s">
        <v>670</v>
      </c>
      <c r="N117" s="30">
        <f>DATEDIF(L117,M117,"M")</f>
        <v>12</v>
      </c>
      <c r="O117" s="31">
        <v>25</v>
      </c>
      <c r="P117" s="32">
        <v>0.32</v>
      </c>
      <c r="Q117" s="33">
        <v>8</v>
      </c>
      <c r="R117" s="28" t="s">
        <v>983</v>
      </c>
      <c r="S117" s="28" t="s">
        <v>988</v>
      </c>
      <c r="T117" s="30">
        <v>16202925</v>
      </c>
      <c r="U117" s="28" t="s">
        <v>1028</v>
      </c>
      <c r="V117" s="28" t="s">
        <v>1029</v>
      </c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</row>
    <row r="118" spans="1:52" x14ac:dyDescent="0.25">
      <c r="A118" s="28" t="s">
        <v>603</v>
      </c>
      <c r="B118" s="28" t="s">
        <v>604</v>
      </c>
      <c r="C118" s="28" t="str">
        <f>CONCATENATE(A118," ",B118)</f>
        <v>Tyler Fortney</v>
      </c>
      <c r="D118" s="28" t="s">
        <v>673</v>
      </c>
      <c r="E118" s="28">
        <v>678726</v>
      </c>
      <c r="F118" s="28" t="s">
        <v>25</v>
      </c>
      <c r="G118" s="28" t="s">
        <v>27</v>
      </c>
      <c r="H118" s="28" t="s">
        <v>28</v>
      </c>
      <c r="I118" s="28" t="s">
        <v>676</v>
      </c>
      <c r="J118" s="28" t="s">
        <v>677</v>
      </c>
      <c r="K118" s="29">
        <v>498487989</v>
      </c>
      <c r="L118" s="28" t="s">
        <v>699</v>
      </c>
      <c r="M118" s="30" t="s">
        <v>264</v>
      </c>
      <c r="N118" s="30">
        <f>DATEDIF(L118,M118,"M")</f>
        <v>12</v>
      </c>
      <c r="O118" s="31">
        <v>25</v>
      </c>
      <c r="P118" s="32">
        <v>0.32</v>
      </c>
      <c r="Q118" s="33">
        <v>8</v>
      </c>
      <c r="R118" s="28" t="s">
        <v>983</v>
      </c>
      <c r="S118" s="28" t="s">
        <v>988</v>
      </c>
      <c r="T118" s="30">
        <v>16202925</v>
      </c>
      <c r="U118" s="28" t="s">
        <v>1028</v>
      </c>
      <c r="V118" s="28" t="s">
        <v>1029</v>
      </c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</row>
    <row r="119" spans="1:52" x14ac:dyDescent="0.25">
      <c r="A119" s="28" t="s">
        <v>44</v>
      </c>
      <c r="B119" s="28" t="s">
        <v>45</v>
      </c>
      <c r="C119" s="28" t="str">
        <f>CONCATENATE(A119," ",B119)</f>
        <v>Dudley Hinegardner</v>
      </c>
      <c r="D119" s="28" t="s">
        <v>673</v>
      </c>
      <c r="E119" s="28">
        <v>678726</v>
      </c>
      <c r="F119" s="28" t="s">
        <v>25</v>
      </c>
      <c r="G119" s="28" t="s">
        <v>27</v>
      </c>
      <c r="H119" s="28" t="s">
        <v>28</v>
      </c>
      <c r="I119" s="28" t="s">
        <v>676</v>
      </c>
      <c r="J119" s="28" t="s">
        <v>677</v>
      </c>
      <c r="K119" s="29">
        <v>699319353</v>
      </c>
      <c r="L119" s="28" t="s">
        <v>699</v>
      </c>
      <c r="M119" s="30" t="s">
        <v>264</v>
      </c>
      <c r="N119" s="30">
        <f>DATEDIF(L119,M119,"M")</f>
        <v>12</v>
      </c>
      <c r="O119" s="31">
        <v>25</v>
      </c>
      <c r="P119" s="32">
        <v>0.32</v>
      </c>
      <c r="Q119" s="33">
        <v>8</v>
      </c>
      <c r="R119" s="28" t="s">
        <v>983</v>
      </c>
      <c r="S119" s="28" t="s">
        <v>988</v>
      </c>
      <c r="T119" s="30">
        <v>16202925</v>
      </c>
      <c r="U119" s="28" t="s">
        <v>1028</v>
      </c>
      <c r="V119" s="28" t="s">
        <v>1029</v>
      </c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</row>
    <row r="120" spans="1:52" x14ac:dyDescent="0.25">
      <c r="A120" s="28" t="s">
        <v>522</v>
      </c>
      <c r="B120" s="28" t="s">
        <v>523</v>
      </c>
      <c r="C120" s="28" t="str">
        <f>CONCATENATE(A120," ",B120)</f>
        <v>Amberly Litchfield</v>
      </c>
      <c r="D120" s="28" t="s">
        <v>673</v>
      </c>
      <c r="E120" s="28">
        <v>678726</v>
      </c>
      <c r="F120" s="28" t="s">
        <v>25</v>
      </c>
      <c r="G120" s="28" t="s">
        <v>27</v>
      </c>
      <c r="H120" s="28" t="s">
        <v>28</v>
      </c>
      <c r="I120" s="28" t="s">
        <v>676</v>
      </c>
      <c r="J120" s="28" t="s">
        <v>677</v>
      </c>
      <c r="K120" s="29">
        <v>478183816</v>
      </c>
      <c r="L120" s="28" t="s">
        <v>699</v>
      </c>
      <c r="M120" s="30" t="s">
        <v>264</v>
      </c>
      <c r="N120" s="30">
        <f>DATEDIF(L120,M120,"M")</f>
        <v>12</v>
      </c>
      <c r="O120" s="31">
        <v>25</v>
      </c>
      <c r="P120" s="32">
        <v>0.32</v>
      </c>
      <c r="Q120" s="33">
        <v>8</v>
      </c>
      <c r="R120" s="28" t="s">
        <v>983</v>
      </c>
      <c r="S120" s="28" t="s">
        <v>988</v>
      </c>
      <c r="T120" s="30">
        <v>16202925</v>
      </c>
      <c r="U120" s="28" t="s">
        <v>1028</v>
      </c>
      <c r="V120" s="28" t="s">
        <v>1029</v>
      </c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</row>
    <row r="121" spans="1:52" x14ac:dyDescent="0.25">
      <c r="A121" s="28" t="s">
        <v>396</v>
      </c>
      <c r="B121" s="28" t="s">
        <v>397</v>
      </c>
      <c r="C121" s="28" t="str">
        <f>CONCATENATE(A121," ",B121)</f>
        <v>Susan  Belden</v>
      </c>
      <c r="D121" s="28" t="s">
        <v>673</v>
      </c>
      <c r="E121" s="28">
        <v>678726</v>
      </c>
      <c r="F121" s="28" t="s">
        <v>25</v>
      </c>
      <c r="G121" s="28" t="s">
        <v>27</v>
      </c>
      <c r="H121" s="28" t="s">
        <v>28</v>
      </c>
      <c r="I121" s="28" t="s">
        <v>676</v>
      </c>
      <c r="J121" s="28" t="s">
        <v>677</v>
      </c>
      <c r="K121" s="29">
        <v>998017756</v>
      </c>
      <c r="L121" s="28" t="s">
        <v>743</v>
      </c>
      <c r="M121" s="30" t="s">
        <v>705</v>
      </c>
      <c r="N121" s="30">
        <f>DATEDIF(L121,M121,"M")</f>
        <v>12</v>
      </c>
      <c r="O121" s="31">
        <v>25</v>
      </c>
      <c r="P121" s="32">
        <v>0.32</v>
      </c>
      <c r="Q121" s="33">
        <v>8</v>
      </c>
      <c r="R121" s="28" t="s">
        <v>983</v>
      </c>
      <c r="S121" s="28" t="s">
        <v>988</v>
      </c>
      <c r="T121" s="30">
        <v>16202925</v>
      </c>
      <c r="U121" s="28" t="s">
        <v>1028</v>
      </c>
      <c r="V121" s="28" t="s">
        <v>1029</v>
      </c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</row>
    <row r="122" spans="1:52" x14ac:dyDescent="0.25">
      <c r="A122" s="28" t="s">
        <v>416</v>
      </c>
      <c r="B122" s="28" t="s">
        <v>417</v>
      </c>
      <c r="C122" s="28" t="str">
        <f>CONCATENATE(A122," ",B122)</f>
        <v>Tyrell Weaver</v>
      </c>
      <c r="D122" s="28" t="s">
        <v>673</v>
      </c>
      <c r="E122" s="28">
        <v>678726</v>
      </c>
      <c r="F122" s="28" t="s">
        <v>25</v>
      </c>
      <c r="G122" s="28" t="s">
        <v>27</v>
      </c>
      <c r="H122" s="28" t="s">
        <v>28</v>
      </c>
      <c r="I122" s="28" t="s">
        <v>676</v>
      </c>
      <c r="J122" s="28" t="s">
        <v>677</v>
      </c>
      <c r="K122" s="29">
        <v>698731916</v>
      </c>
      <c r="L122" s="28" t="s">
        <v>743</v>
      </c>
      <c r="M122" s="30" t="s">
        <v>705</v>
      </c>
      <c r="N122" s="30">
        <f>DATEDIF(L122,M122,"M")</f>
        <v>12</v>
      </c>
      <c r="O122" s="31">
        <v>25</v>
      </c>
      <c r="P122" s="32">
        <v>0.32</v>
      </c>
      <c r="Q122" s="33">
        <v>8</v>
      </c>
      <c r="R122" s="28" t="s">
        <v>983</v>
      </c>
      <c r="S122" s="28" t="s">
        <v>988</v>
      </c>
      <c r="T122" s="30">
        <v>16202925</v>
      </c>
      <c r="U122" s="28" t="s">
        <v>1028</v>
      </c>
      <c r="V122" s="28" t="s">
        <v>1029</v>
      </c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</row>
    <row r="123" spans="1:52" x14ac:dyDescent="0.25">
      <c r="A123" s="28" t="s">
        <v>625</v>
      </c>
      <c r="B123" s="28" t="s">
        <v>626</v>
      </c>
      <c r="C123" s="28" t="str">
        <f>CONCATENATE(A123," ",B123)</f>
        <v>Joshua Tutchton</v>
      </c>
      <c r="D123" s="28" t="s">
        <v>673</v>
      </c>
      <c r="E123" s="28">
        <v>678726</v>
      </c>
      <c r="F123" s="28" t="s">
        <v>25</v>
      </c>
      <c r="G123" s="28" t="s">
        <v>27</v>
      </c>
      <c r="H123" s="28" t="s">
        <v>28</v>
      </c>
      <c r="I123" s="28" t="s">
        <v>676</v>
      </c>
      <c r="J123" s="28" t="s">
        <v>677</v>
      </c>
      <c r="K123" s="29">
        <v>892393390</v>
      </c>
      <c r="L123" s="28" t="s">
        <v>743</v>
      </c>
      <c r="M123" s="30" t="s">
        <v>705</v>
      </c>
      <c r="N123" s="30">
        <f>DATEDIF(L123,M123,"M")</f>
        <v>12</v>
      </c>
      <c r="O123" s="31">
        <v>25</v>
      </c>
      <c r="P123" s="32">
        <v>0.32</v>
      </c>
      <c r="Q123" s="33">
        <v>8</v>
      </c>
      <c r="R123" s="28" t="s">
        <v>983</v>
      </c>
      <c r="S123" s="28" t="s">
        <v>988</v>
      </c>
      <c r="T123" s="30">
        <v>16202925</v>
      </c>
      <c r="U123" s="28" t="s">
        <v>1028</v>
      </c>
      <c r="V123" s="28" t="s">
        <v>1029</v>
      </c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</row>
    <row r="124" spans="1:52" s="28" customFormat="1" x14ac:dyDescent="0.25">
      <c r="A124" s="28" t="s">
        <v>102</v>
      </c>
      <c r="B124" s="28" t="s">
        <v>103</v>
      </c>
      <c r="C124" s="28" t="str">
        <f>CONCATENATE(A124," ",B124)</f>
        <v>Jennifer  Harbin</v>
      </c>
      <c r="D124" s="28" t="s">
        <v>673</v>
      </c>
      <c r="E124" s="28">
        <v>678726</v>
      </c>
      <c r="F124" s="28" t="s">
        <v>25</v>
      </c>
      <c r="G124" s="28" t="s">
        <v>27</v>
      </c>
      <c r="H124" s="28" t="s">
        <v>28</v>
      </c>
      <c r="I124" s="28" t="s">
        <v>676</v>
      </c>
      <c r="J124" s="28" t="s">
        <v>677</v>
      </c>
      <c r="K124" s="29">
        <v>196153282</v>
      </c>
      <c r="L124" s="28" t="s">
        <v>743</v>
      </c>
      <c r="M124" s="30" t="s">
        <v>705</v>
      </c>
      <c r="N124" s="30">
        <f>DATEDIF(L124,M124,"M")</f>
        <v>12</v>
      </c>
      <c r="O124" s="31">
        <v>25</v>
      </c>
      <c r="P124" s="32">
        <v>0.32</v>
      </c>
      <c r="Q124" s="33">
        <v>8</v>
      </c>
      <c r="R124" s="28" t="s">
        <v>983</v>
      </c>
      <c r="S124" s="28" t="s">
        <v>988</v>
      </c>
      <c r="T124" s="30">
        <v>16202925</v>
      </c>
      <c r="U124" s="28" t="s">
        <v>1028</v>
      </c>
      <c r="V124" s="28" t="s">
        <v>1029</v>
      </c>
    </row>
    <row r="125" spans="1:52" x14ac:dyDescent="0.25">
      <c r="A125" s="28" t="s">
        <v>338</v>
      </c>
      <c r="B125" s="28" t="s">
        <v>339</v>
      </c>
      <c r="C125" s="28" t="str">
        <f>CONCATENATE(A125," ",B125)</f>
        <v>Emily Whitacre</v>
      </c>
      <c r="D125" s="28" t="s">
        <v>673</v>
      </c>
      <c r="E125" s="28">
        <v>678726</v>
      </c>
      <c r="F125" s="28" t="s">
        <v>25</v>
      </c>
      <c r="G125" s="28" t="s">
        <v>27</v>
      </c>
      <c r="H125" s="28" t="s">
        <v>28</v>
      </c>
      <c r="I125" s="28" t="s">
        <v>676</v>
      </c>
      <c r="J125" s="28" t="s">
        <v>677</v>
      </c>
      <c r="K125" s="29">
        <v>858353460</v>
      </c>
      <c r="L125" s="28" t="s">
        <v>737</v>
      </c>
      <c r="M125" s="30" t="s">
        <v>693</v>
      </c>
      <c r="N125" s="30">
        <f>DATEDIF(L125,M125,"M")</f>
        <v>12</v>
      </c>
      <c r="O125" s="31">
        <v>25</v>
      </c>
      <c r="P125" s="32">
        <v>0.32</v>
      </c>
      <c r="Q125" s="33">
        <v>8</v>
      </c>
      <c r="R125" s="28" t="s">
        <v>983</v>
      </c>
      <c r="S125" s="28" t="s">
        <v>988</v>
      </c>
      <c r="T125" s="30">
        <v>16202925</v>
      </c>
      <c r="U125" s="28" t="s">
        <v>1028</v>
      </c>
      <c r="V125" s="28" t="s">
        <v>1029</v>
      </c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</row>
    <row r="126" spans="1:52" x14ac:dyDescent="0.25">
      <c r="A126" s="28" t="s">
        <v>280</v>
      </c>
      <c r="B126" s="28" t="s">
        <v>281</v>
      </c>
      <c r="C126" s="28" t="str">
        <f>CONCATENATE(A126," ",B126)</f>
        <v>Mary Rosencranz</v>
      </c>
      <c r="D126" s="28" t="s">
        <v>673</v>
      </c>
      <c r="E126" s="28">
        <v>678726</v>
      </c>
      <c r="F126" s="28" t="s">
        <v>25</v>
      </c>
      <c r="G126" s="28" t="s">
        <v>27</v>
      </c>
      <c r="H126" s="28" t="s">
        <v>28</v>
      </c>
      <c r="I126" s="28" t="s">
        <v>676</v>
      </c>
      <c r="J126" s="28" t="s">
        <v>677</v>
      </c>
      <c r="K126" s="29">
        <v>582065076</v>
      </c>
      <c r="L126" s="28" t="s">
        <v>737</v>
      </c>
      <c r="M126" s="30" t="s">
        <v>693</v>
      </c>
      <c r="N126" s="30">
        <f>DATEDIF(L126,M126,"M")</f>
        <v>12</v>
      </c>
      <c r="O126" s="31">
        <v>25</v>
      </c>
      <c r="P126" s="32">
        <v>0.32</v>
      </c>
      <c r="Q126" s="33">
        <v>8</v>
      </c>
      <c r="R126" s="28" t="s">
        <v>983</v>
      </c>
      <c r="S126" s="28" t="s">
        <v>988</v>
      </c>
      <c r="T126" s="30">
        <v>16202925</v>
      </c>
      <c r="U126" s="28" t="s">
        <v>1028</v>
      </c>
      <c r="V126" s="28" t="s">
        <v>1029</v>
      </c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</row>
    <row r="127" spans="1:52" x14ac:dyDescent="0.25">
      <c r="A127" s="28" t="s">
        <v>603</v>
      </c>
      <c r="B127" s="28" t="s">
        <v>604</v>
      </c>
      <c r="C127" s="28" t="str">
        <f>CONCATENATE(A127," ",B127)</f>
        <v>Tyler Fortney</v>
      </c>
      <c r="D127" s="28" t="s">
        <v>673</v>
      </c>
      <c r="E127" s="28">
        <v>678726</v>
      </c>
      <c r="F127" s="28" t="s">
        <v>25</v>
      </c>
      <c r="G127" s="28" t="s">
        <v>27</v>
      </c>
      <c r="H127" s="28" t="s">
        <v>28</v>
      </c>
      <c r="I127" s="28" t="s">
        <v>676</v>
      </c>
      <c r="J127" s="28" t="s">
        <v>677</v>
      </c>
      <c r="K127" s="29">
        <v>498487989</v>
      </c>
      <c r="L127" s="28" t="s">
        <v>699</v>
      </c>
      <c r="M127" s="30" t="s">
        <v>670</v>
      </c>
      <c r="N127" s="30">
        <f>DATEDIF(L127,M127,"M")</f>
        <v>13</v>
      </c>
      <c r="O127" s="31">
        <v>25</v>
      </c>
      <c r="P127" s="32">
        <v>0.32</v>
      </c>
      <c r="Q127" s="33">
        <v>8</v>
      </c>
      <c r="R127" s="28" t="s">
        <v>983</v>
      </c>
      <c r="S127" s="28" t="s">
        <v>988</v>
      </c>
      <c r="T127" s="30">
        <v>16202925</v>
      </c>
      <c r="U127" s="28" t="s">
        <v>1028</v>
      </c>
      <c r="V127" s="28" t="s">
        <v>1029</v>
      </c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</row>
    <row r="128" spans="1:52" x14ac:dyDescent="0.25">
      <c r="A128" s="28" t="s">
        <v>522</v>
      </c>
      <c r="B128" s="28" t="s">
        <v>523</v>
      </c>
      <c r="C128" s="28" t="str">
        <f>CONCATENATE(A128," ",B128)</f>
        <v>Amberly Litchfield</v>
      </c>
      <c r="D128" s="28" t="s">
        <v>673</v>
      </c>
      <c r="E128" s="28">
        <v>678726</v>
      </c>
      <c r="F128" s="28" t="s">
        <v>25</v>
      </c>
      <c r="G128" s="28" t="s">
        <v>27</v>
      </c>
      <c r="H128" s="28" t="s">
        <v>28</v>
      </c>
      <c r="I128" s="28" t="s">
        <v>676</v>
      </c>
      <c r="J128" s="28" t="s">
        <v>677</v>
      </c>
      <c r="K128" s="29">
        <v>478183816</v>
      </c>
      <c r="L128" s="28" t="s">
        <v>699</v>
      </c>
      <c r="M128" s="30" t="s">
        <v>670</v>
      </c>
      <c r="N128" s="30">
        <f>DATEDIF(L128,M128,"M")</f>
        <v>13</v>
      </c>
      <c r="O128" s="31">
        <v>25</v>
      </c>
      <c r="P128" s="32">
        <v>0.32</v>
      </c>
      <c r="Q128" s="33">
        <v>8</v>
      </c>
      <c r="R128" s="28" t="s">
        <v>983</v>
      </c>
      <c r="S128" s="28" t="s">
        <v>988</v>
      </c>
      <c r="T128" s="30">
        <v>16202925</v>
      </c>
      <c r="U128" s="28" t="s">
        <v>1028</v>
      </c>
      <c r="V128" s="28" t="s">
        <v>1029</v>
      </c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</row>
    <row r="129" spans="1:52" x14ac:dyDescent="0.25">
      <c r="A129" s="28" t="s">
        <v>44</v>
      </c>
      <c r="B129" s="28" t="s">
        <v>45</v>
      </c>
      <c r="C129" s="28" t="str">
        <f>CONCATENATE(A129," ",B129)</f>
        <v>Dudley Hinegardner</v>
      </c>
      <c r="D129" s="28" t="s">
        <v>673</v>
      </c>
      <c r="E129" s="28">
        <v>678726</v>
      </c>
      <c r="F129" s="28" t="s">
        <v>25</v>
      </c>
      <c r="G129" s="28" t="s">
        <v>27</v>
      </c>
      <c r="H129" s="28" t="s">
        <v>28</v>
      </c>
      <c r="I129" s="28" t="s">
        <v>676</v>
      </c>
      <c r="J129" s="28" t="s">
        <v>677</v>
      </c>
      <c r="K129" s="29">
        <v>699319353</v>
      </c>
      <c r="L129" s="28" t="s">
        <v>699</v>
      </c>
      <c r="M129" s="30" t="s">
        <v>670</v>
      </c>
      <c r="N129" s="30">
        <f>DATEDIF(L129,M129,"M")</f>
        <v>13</v>
      </c>
      <c r="O129" s="31">
        <v>25</v>
      </c>
      <c r="P129" s="32">
        <v>0.32</v>
      </c>
      <c r="Q129" s="33">
        <v>8</v>
      </c>
      <c r="R129" s="28" t="s">
        <v>983</v>
      </c>
      <c r="S129" s="28" t="s">
        <v>988</v>
      </c>
      <c r="T129" s="30">
        <v>16202925</v>
      </c>
      <c r="U129" s="28" t="s">
        <v>1028</v>
      </c>
      <c r="V129" s="28" t="s">
        <v>1029</v>
      </c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</row>
    <row r="130" spans="1:52" x14ac:dyDescent="0.25">
      <c r="A130" s="28" t="s">
        <v>416</v>
      </c>
      <c r="B130" s="28" t="s">
        <v>417</v>
      </c>
      <c r="C130" s="28" t="str">
        <f>CONCATENATE(A130," ",B130)</f>
        <v>Tyrell Weaver</v>
      </c>
      <c r="D130" s="28" t="s">
        <v>673</v>
      </c>
      <c r="E130" s="28">
        <v>678726</v>
      </c>
      <c r="F130" s="28" t="s">
        <v>25</v>
      </c>
      <c r="G130" s="28" t="s">
        <v>27</v>
      </c>
      <c r="H130" s="28" t="s">
        <v>28</v>
      </c>
      <c r="I130" s="28" t="s">
        <v>676</v>
      </c>
      <c r="J130" s="28" t="s">
        <v>677</v>
      </c>
      <c r="K130" s="29">
        <v>698731916</v>
      </c>
      <c r="L130" s="28" t="s">
        <v>743</v>
      </c>
      <c r="M130" s="30" t="s">
        <v>264</v>
      </c>
      <c r="N130" s="30">
        <f>DATEDIF(L130,M130,"M")</f>
        <v>13</v>
      </c>
      <c r="O130" s="31">
        <v>25</v>
      </c>
      <c r="P130" s="32">
        <v>0.32</v>
      </c>
      <c r="Q130" s="33">
        <v>8</v>
      </c>
      <c r="R130" s="28" t="s">
        <v>983</v>
      </c>
      <c r="S130" s="28" t="s">
        <v>988</v>
      </c>
      <c r="T130" s="30">
        <v>16202925</v>
      </c>
      <c r="U130" s="28" t="s">
        <v>1028</v>
      </c>
      <c r="V130" s="28" t="s">
        <v>1029</v>
      </c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</row>
    <row r="131" spans="1:52" x14ac:dyDescent="0.25">
      <c r="A131" s="28" t="s">
        <v>396</v>
      </c>
      <c r="B131" s="28" t="s">
        <v>397</v>
      </c>
      <c r="C131" s="28" t="str">
        <f>CONCATENATE(A131," ",B131)</f>
        <v>Susan  Belden</v>
      </c>
      <c r="D131" s="28" t="s">
        <v>673</v>
      </c>
      <c r="E131" s="28">
        <v>678726</v>
      </c>
      <c r="F131" s="28" t="s">
        <v>25</v>
      </c>
      <c r="G131" s="28" t="s">
        <v>27</v>
      </c>
      <c r="H131" s="28" t="s">
        <v>28</v>
      </c>
      <c r="I131" s="28" t="s">
        <v>676</v>
      </c>
      <c r="J131" s="28" t="s">
        <v>677</v>
      </c>
      <c r="K131" s="29">
        <v>998017756</v>
      </c>
      <c r="L131" s="28" t="s">
        <v>743</v>
      </c>
      <c r="M131" s="30" t="s">
        <v>264</v>
      </c>
      <c r="N131" s="30">
        <f>DATEDIF(L131,M131,"M")</f>
        <v>13</v>
      </c>
      <c r="O131" s="31">
        <v>25</v>
      </c>
      <c r="P131" s="32">
        <v>0.32</v>
      </c>
      <c r="Q131" s="33">
        <v>8</v>
      </c>
      <c r="R131" s="28" t="s">
        <v>983</v>
      </c>
      <c r="S131" s="28" t="s">
        <v>988</v>
      </c>
      <c r="T131" s="30">
        <v>16202925</v>
      </c>
      <c r="U131" s="28" t="s">
        <v>1028</v>
      </c>
      <c r="V131" s="28" t="s">
        <v>1029</v>
      </c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</row>
    <row r="132" spans="1:52" x14ac:dyDescent="0.25">
      <c r="A132" s="28" t="s">
        <v>625</v>
      </c>
      <c r="B132" s="28" t="s">
        <v>626</v>
      </c>
      <c r="C132" s="28" t="str">
        <f>CONCATENATE(A132," ",B132)</f>
        <v>Joshua Tutchton</v>
      </c>
      <c r="D132" s="28" t="s">
        <v>673</v>
      </c>
      <c r="E132" s="28">
        <v>678726</v>
      </c>
      <c r="F132" s="28" t="s">
        <v>25</v>
      </c>
      <c r="G132" s="28" t="s">
        <v>27</v>
      </c>
      <c r="H132" s="28" t="s">
        <v>28</v>
      </c>
      <c r="I132" s="28" t="s">
        <v>676</v>
      </c>
      <c r="J132" s="28" t="s">
        <v>677</v>
      </c>
      <c r="K132" s="29">
        <v>892393390</v>
      </c>
      <c r="L132" s="28" t="s">
        <v>743</v>
      </c>
      <c r="M132" s="30" t="s">
        <v>264</v>
      </c>
      <c r="N132" s="30">
        <f>DATEDIF(L132,M132,"M")</f>
        <v>13</v>
      </c>
      <c r="O132" s="31">
        <v>25</v>
      </c>
      <c r="P132" s="32">
        <v>0.32</v>
      </c>
      <c r="Q132" s="33">
        <v>8</v>
      </c>
      <c r="R132" s="28" t="s">
        <v>983</v>
      </c>
      <c r="S132" s="28" t="s">
        <v>988</v>
      </c>
      <c r="T132" s="30">
        <v>16202925</v>
      </c>
      <c r="U132" s="28" t="s">
        <v>1028</v>
      </c>
      <c r="V132" s="28" t="s">
        <v>1029</v>
      </c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</row>
    <row r="133" spans="1:52" x14ac:dyDescent="0.25">
      <c r="A133" s="28" t="s">
        <v>102</v>
      </c>
      <c r="B133" s="28" t="s">
        <v>103</v>
      </c>
      <c r="C133" s="28" t="str">
        <f>CONCATENATE(A133," ",B133)</f>
        <v>Jennifer  Harbin</v>
      </c>
      <c r="D133" s="28" t="s">
        <v>673</v>
      </c>
      <c r="E133" s="28">
        <v>678726</v>
      </c>
      <c r="F133" s="28" t="s">
        <v>25</v>
      </c>
      <c r="G133" s="28" t="s">
        <v>27</v>
      </c>
      <c r="H133" s="28" t="s">
        <v>28</v>
      </c>
      <c r="I133" s="28" t="s">
        <v>676</v>
      </c>
      <c r="J133" s="28" t="s">
        <v>677</v>
      </c>
      <c r="K133" s="29">
        <v>196153282</v>
      </c>
      <c r="L133" s="28" t="s">
        <v>743</v>
      </c>
      <c r="M133" s="30" t="s">
        <v>264</v>
      </c>
      <c r="N133" s="30">
        <f>DATEDIF(L133,M133,"M")</f>
        <v>13</v>
      </c>
      <c r="O133" s="31">
        <v>25</v>
      </c>
      <c r="P133" s="32">
        <v>0.32</v>
      </c>
      <c r="Q133" s="33">
        <v>8</v>
      </c>
      <c r="R133" s="28" t="s">
        <v>983</v>
      </c>
      <c r="S133" s="28" t="s">
        <v>988</v>
      </c>
      <c r="T133" s="30">
        <v>16202925</v>
      </c>
      <c r="U133" s="28" t="s">
        <v>1028</v>
      </c>
      <c r="V133" s="28" t="s">
        <v>1029</v>
      </c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</row>
    <row r="134" spans="1:52" x14ac:dyDescent="0.25">
      <c r="A134" s="28" t="s">
        <v>280</v>
      </c>
      <c r="B134" s="28" t="s">
        <v>281</v>
      </c>
      <c r="C134" s="28" t="str">
        <f>CONCATENATE(A134," ",B134)</f>
        <v>Mary Rosencranz</v>
      </c>
      <c r="D134" s="28" t="s">
        <v>673</v>
      </c>
      <c r="E134" s="28">
        <v>678726</v>
      </c>
      <c r="F134" s="28" t="s">
        <v>25</v>
      </c>
      <c r="G134" s="28" t="s">
        <v>27</v>
      </c>
      <c r="H134" s="28" t="s">
        <v>28</v>
      </c>
      <c r="I134" s="28" t="s">
        <v>676</v>
      </c>
      <c r="J134" s="28" t="s">
        <v>677</v>
      </c>
      <c r="K134" s="29">
        <v>582065076</v>
      </c>
      <c r="L134" s="28" t="s">
        <v>737</v>
      </c>
      <c r="M134" s="30" t="s">
        <v>705</v>
      </c>
      <c r="N134" s="30">
        <f>DATEDIF(L134,M134,"M")</f>
        <v>13</v>
      </c>
      <c r="O134" s="31">
        <v>25</v>
      </c>
      <c r="P134" s="32">
        <v>0.32</v>
      </c>
      <c r="Q134" s="33">
        <v>8</v>
      </c>
      <c r="R134" s="28" t="s">
        <v>983</v>
      </c>
      <c r="S134" s="28" t="s">
        <v>988</v>
      </c>
      <c r="T134" s="30">
        <v>16202925</v>
      </c>
      <c r="U134" s="28" t="s">
        <v>1028</v>
      </c>
      <c r="V134" s="28" t="s">
        <v>1029</v>
      </c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</row>
    <row r="135" spans="1:52" x14ac:dyDescent="0.25">
      <c r="A135" s="28" t="s">
        <v>338</v>
      </c>
      <c r="B135" s="28" t="s">
        <v>339</v>
      </c>
      <c r="C135" s="28" t="str">
        <f>CONCATENATE(A135," ",B135)</f>
        <v>Emily Whitacre</v>
      </c>
      <c r="D135" s="28" t="s">
        <v>673</v>
      </c>
      <c r="E135" s="28">
        <v>678726</v>
      </c>
      <c r="F135" s="28" t="s">
        <v>25</v>
      </c>
      <c r="G135" s="28" t="s">
        <v>27</v>
      </c>
      <c r="H135" s="28" t="s">
        <v>28</v>
      </c>
      <c r="I135" s="28" t="s">
        <v>676</v>
      </c>
      <c r="J135" s="28" t="s">
        <v>677</v>
      </c>
      <c r="K135" s="29">
        <v>858353460</v>
      </c>
      <c r="L135" s="28" t="s">
        <v>737</v>
      </c>
      <c r="M135" s="30" t="s">
        <v>705</v>
      </c>
      <c r="N135" s="30">
        <f>DATEDIF(L135,M135,"M")</f>
        <v>13</v>
      </c>
      <c r="O135" s="31">
        <v>25</v>
      </c>
      <c r="P135" s="32">
        <v>0.32</v>
      </c>
      <c r="Q135" s="33">
        <v>8</v>
      </c>
      <c r="R135" s="28" t="s">
        <v>983</v>
      </c>
      <c r="S135" s="28" t="s">
        <v>988</v>
      </c>
      <c r="T135" s="30">
        <v>16202925</v>
      </c>
      <c r="U135" s="28" t="s">
        <v>1028</v>
      </c>
      <c r="V135" s="28" t="s">
        <v>1029</v>
      </c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</row>
    <row r="136" spans="1:52" x14ac:dyDescent="0.25">
      <c r="A136" s="28" t="s">
        <v>361</v>
      </c>
      <c r="B136" s="28" t="s">
        <v>611</v>
      </c>
      <c r="C136" s="28" t="str">
        <f>CONCATENATE(A136," ",B136)</f>
        <v>Donna Arrich</v>
      </c>
      <c r="D136" s="28" t="s">
        <v>673</v>
      </c>
      <c r="E136" s="28">
        <v>678726</v>
      </c>
      <c r="F136" s="28" t="s">
        <v>25</v>
      </c>
      <c r="G136" s="28" t="s">
        <v>27</v>
      </c>
      <c r="H136" s="28" t="s">
        <v>28</v>
      </c>
      <c r="I136" s="28" t="s">
        <v>676</v>
      </c>
      <c r="J136" s="28" t="s">
        <v>677</v>
      </c>
      <c r="K136" s="29">
        <v>138655428</v>
      </c>
      <c r="L136" s="28" t="s">
        <v>679</v>
      </c>
      <c r="M136" s="30" t="s">
        <v>977</v>
      </c>
      <c r="N136" s="30">
        <f>DATEDIF(L136,M136,"M")</f>
        <v>13</v>
      </c>
      <c r="O136" s="31">
        <v>25</v>
      </c>
      <c r="P136" s="32">
        <v>0.32</v>
      </c>
      <c r="Q136" s="33">
        <v>8</v>
      </c>
      <c r="R136" s="28" t="s">
        <v>983</v>
      </c>
      <c r="S136" s="28" t="s">
        <v>988</v>
      </c>
      <c r="T136" s="30">
        <v>16202925</v>
      </c>
      <c r="U136" s="28" t="s">
        <v>1028</v>
      </c>
      <c r="V136" s="28" t="s">
        <v>1029</v>
      </c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</row>
    <row r="137" spans="1:52" x14ac:dyDescent="0.25">
      <c r="A137" s="28" t="s">
        <v>270</v>
      </c>
      <c r="B137" s="28" t="s">
        <v>271</v>
      </c>
      <c r="C137" s="28" t="str">
        <f>CONCATENATE(A137," ",B137)</f>
        <v>Twanna Delva</v>
      </c>
      <c r="D137" s="28" t="s">
        <v>673</v>
      </c>
      <c r="E137" s="28">
        <v>678726</v>
      </c>
      <c r="F137" s="28" t="s">
        <v>25</v>
      </c>
      <c r="G137" s="28" t="s">
        <v>27</v>
      </c>
      <c r="H137" s="28" t="s">
        <v>28</v>
      </c>
      <c r="I137" s="28" t="s">
        <v>676</v>
      </c>
      <c r="J137" s="28" t="s">
        <v>677</v>
      </c>
      <c r="K137" s="29">
        <v>5274878</v>
      </c>
      <c r="L137" s="28" t="s">
        <v>684</v>
      </c>
      <c r="M137" s="30" t="s">
        <v>693</v>
      </c>
      <c r="N137" s="30">
        <f>DATEDIF(L137,M137,"M")</f>
        <v>13</v>
      </c>
      <c r="O137" s="31">
        <v>25</v>
      </c>
      <c r="P137" s="32">
        <v>0.32</v>
      </c>
      <c r="Q137" s="33">
        <v>8</v>
      </c>
      <c r="R137" s="28" t="s">
        <v>983</v>
      </c>
      <c r="S137" s="28" t="s">
        <v>988</v>
      </c>
      <c r="T137" s="30">
        <v>16202925</v>
      </c>
      <c r="U137" s="28" t="s">
        <v>1028</v>
      </c>
      <c r="V137" s="28" t="s">
        <v>1029</v>
      </c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</row>
    <row r="138" spans="1:52" x14ac:dyDescent="0.25">
      <c r="A138" s="28" t="s">
        <v>49</v>
      </c>
      <c r="B138" s="28" t="s">
        <v>50</v>
      </c>
      <c r="C138" s="28" t="str">
        <f>CONCATENATE(A138," ",B138)</f>
        <v>Minas Giorgakis</v>
      </c>
      <c r="D138" s="28" t="s">
        <v>673</v>
      </c>
      <c r="E138" s="28">
        <v>678726</v>
      </c>
      <c r="F138" s="28" t="s">
        <v>25</v>
      </c>
      <c r="G138" s="28" t="s">
        <v>27</v>
      </c>
      <c r="H138" s="28" t="s">
        <v>28</v>
      </c>
      <c r="I138" s="28" t="s">
        <v>676</v>
      </c>
      <c r="J138" s="28" t="s">
        <v>677</v>
      </c>
      <c r="K138" s="29">
        <v>165329262</v>
      </c>
      <c r="L138" s="28" t="s">
        <v>737</v>
      </c>
      <c r="M138" s="30" t="s">
        <v>705</v>
      </c>
      <c r="N138" s="30">
        <f>DATEDIF(L138,M138,"M")</f>
        <v>13</v>
      </c>
      <c r="O138" s="31">
        <v>25</v>
      </c>
      <c r="P138" s="32">
        <v>0.32</v>
      </c>
      <c r="Q138" s="33">
        <v>8</v>
      </c>
      <c r="R138" s="28" t="s">
        <v>983</v>
      </c>
      <c r="S138" s="28" t="s">
        <v>988</v>
      </c>
      <c r="T138" s="30">
        <v>16202925</v>
      </c>
      <c r="U138" s="28" t="s">
        <v>1028</v>
      </c>
      <c r="V138" s="28" t="s">
        <v>1029</v>
      </c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</row>
    <row r="139" spans="1:52" x14ac:dyDescent="0.25">
      <c r="A139" s="28" t="s">
        <v>354</v>
      </c>
      <c r="B139" s="28" t="s">
        <v>355</v>
      </c>
      <c r="C139" s="28" t="str">
        <f>CONCATENATE(A139," ",B139)</f>
        <v>Cornell Jackson</v>
      </c>
      <c r="D139" s="28" t="s">
        <v>673</v>
      </c>
      <c r="E139" s="28">
        <v>678726</v>
      </c>
      <c r="F139" s="28" t="s">
        <v>25</v>
      </c>
      <c r="G139" s="28" t="s">
        <v>27</v>
      </c>
      <c r="H139" s="28" t="s">
        <v>28</v>
      </c>
      <c r="I139" s="28" t="s">
        <v>676</v>
      </c>
      <c r="J139" s="28" t="s">
        <v>677</v>
      </c>
      <c r="K139" s="29">
        <v>708780484</v>
      </c>
      <c r="L139" s="28" t="s">
        <v>737</v>
      </c>
      <c r="M139" s="30" t="s">
        <v>705</v>
      </c>
      <c r="N139" s="30">
        <f>DATEDIF(L139,M139,"M")</f>
        <v>13</v>
      </c>
      <c r="O139" s="31">
        <v>25</v>
      </c>
      <c r="P139" s="32">
        <v>0.32</v>
      </c>
      <c r="Q139" s="33">
        <v>8</v>
      </c>
      <c r="R139" s="28" t="s">
        <v>983</v>
      </c>
      <c r="S139" s="28" t="s">
        <v>988</v>
      </c>
      <c r="T139" s="30">
        <v>16202925</v>
      </c>
      <c r="U139" s="28" t="s">
        <v>1028</v>
      </c>
      <c r="V139" s="28" t="s">
        <v>1029</v>
      </c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</row>
    <row r="140" spans="1:52" x14ac:dyDescent="0.25">
      <c r="A140" s="28" t="s">
        <v>968</v>
      </c>
      <c r="B140" s="28" t="s">
        <v>969</v>
      </c>
      <c r="C140" s="28" t="str">
        <f>CONCATENATE(A140," ",B140)</f>
        <v>Ashleigh Lagreco</v>
      </c>
      <c r="D140" s="28" t="s">
        <v>673</v>
      </c>
      <c r="E140" s="28">
        <v>678726</v>
      </c>
      <c r="F140" s="28" t="s">
        <v>25</v>
      </c>
      <c r="G140" s="28" t="s">
        <v>27</v>
      </c>
      <c r="H140" s="28" t="s">
        <v>28</v>
      </c>
      <c r="I140" s="28" t="s">
        <v>676</v>
      </c>
      <c r="J140" s="28" t="s">
        <v>677</v>
      </c>
      <c r="K140" s="29">
        <v>560317195</v>
      </c>
      <c r="L140" s="28" t="s">
        <v>737</v>
      </c>
      <c r="M140" s="30" t="s">
        <v>705</v>
      </c>
      <c r="N140" s="30">
        <f>DATEDIF(L140,M140,"M")</f>
        <v>13</v>
      </c>
      <c r="O140" s="31">
        <v>25</v>
      </c>
      <c r="P140" s="32">
        <v>0.32</v>
      </c>
      <c r="Q140" s="33">
        <v>8</v>
      </c>
      <c r="R140" s="28" t="s">
        <v>983</v>
      </c>
      <c r="S140" s="28" t="s">
        <v>988</v>
      </c>
      <c r="T140" s="30">
        <v>16202925</v>
      </c>
      <c r="U140" s="28" t="s">
        <v>1028</v>
      </c>
      <c r="V140" s="28" t="s">
        <v>1029</v>
      </c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</row>
    <row r="141" spans="1:52" x14ac:dyDescent="0.25">
      <c r="A141" s="28" t="s">
        <v>396</v>
      </c>
      <c r="B141" s="28" t="s">
        <v>397</v>
      </c>
      <c r="C141" s="28" t="str">
        <f>CONCATENATE(A141," ",B141)</f>
        <v>Susan  Belden</v>
      </c>
      <c r="D141" s="28" t="s">
        <v>673</v>
      </c>
      <c r="E141" s="28">
        <v>678726</v>
      </c>
      <c r="F141" s="28" t="s">
        <v>25</v>
      </c>
      <c r="G141" s="28" t="s">
        <v>27</v>
      </c>
      <c r="H141" s="28" t="s">
        <v>28</v>
      </c>
      <c r="I141" s="28" t="s">
        <v>676</v>
      </c>
      <c r="J141" s="28" t="s">
        <v>677</v>
      </c>
      <c r="K141" s="29">
        <v>998017756</v>
      </c>
      <c r="L141" s="28" t="s">
        <v>743</v>
      </c>
      <c r="M141" s="30" t="s">
        <v>670</v>
      </c>
      <c r="N141" s="30">
        <f>DATEDIF(L141,M141,"M")</f>
        <v>14</v>
      </c>
      <c r="O141" s="31">
        <v>25</v>
      </c>
      <c r="P141" s="32">
        <v>0.32</v>
      </c>
      <c r="Q141" s="33">
        <v>8</v>
      </c>
      <c r="R141" s="28" t="s">
        <v>983</v>
      </c>
      <c r="S141" s="28" t="s">
        <v>988</v>
      </c>
      <c r="T141" s="30">
        <v>16202925</v>
      </c>
      <c r="U141" s="28" t="s">
        <v>1028</v>
      </c>
      <c r="V141" s="28" t="s">
        <v>1029</v>
      </c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</row>
    <row r="142" spans="1:52" x14ac:dyDescent="0.25">
      <c r="A142" s="28" t="s">
        <v>416</v>
      </c>
      <c r="B142" s="28" t="s">
        <v>417</v>
      </c>
      <c r="C142" s="28" t="str">
        <f>CONCATENATE(A142," ",B142)</f>
        <v>Tyrell Weaver</v>
      </c>
      <c r="D142" s="28" t="s">
        <v>673</v>
      </c>
      <c r="E142" s="28">
        <v>678726</v>
      </c>
      <c r="F142" s="28" t="s">
        <v>25</v>
      </c>
      <c r="G142" s="28" t="s">
        <v>27</v>
      </c>
      <c r="H142" s="28" t="s">
        <v>28</v>
      </c>
      <c r="I142" s="28" t="s">
        <v>676</v>
      </c>
      <c r="J142" s="28" t="s">
        <v>677</v>
      </c>
      <c r="K142" s="29">
        <v>698731916</v>
      </c>
      <c r="L142" s="28" t="s">
        <v>743</v>
      </c>
      <c r="M142" s="30" t="s">
        <v>670</v>
      </c>
      <c r="N142" s="30">
        <f>DATEDIF(L142,M142,"M")</f>
        <v>14</v>
      </c>
      <c r="O142" s="31">
        <v>25</v>
      </c>
      <c r="P142" s="32">
        <v>0.32</v>
      </c>
      <c r="Q142" s="33">
        <v>8</v>
      </c>
      <c r="R142" s="28" t="s">
        <v>983</v>
      </c>
      <c r="S142" s="28" t="s">
        <v>988</v>
      </c>
      <c r="T142" s="30">
        <v>16202925</v>
      </c>
      <c r="U142" s="28" t="s">
        <v>1028</v>
      </c>
      <c r="V142" s="28" t="s">
        <v>1029</v>
      </c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</row>
    <row r="143" spans="1:52" x14ac:dyDescent="0.25">
      <c r="A143" s="28" t="s">
        <v>625</v>
      </c>
      <c r="B143" s="28" t="s">
        <v>626</v>
      </c>
      <c r="C143" s="28" t="str">
        <f>CONCATENATE(A143," ",B143)</f>
        <v>Joshua Tutchton</v>
      </c>
      <c r="D143" s="28" t="s">
        <v>673</v>
      </c>
      <c r="E143" s="28">
        <v>678726</v>
      </c>
      <c r="F143" s="28" t="s">
        <v>25</v>
      </c>
      <c r="G143" s="28" t="s">
        <v>27</v>
      </c>
      <c r="H143" s="28" t="s">
        <v>28</v>
      </c>
      <c r="I143" s="28" t="s">
        <v>676</v>
      </c>
      <c r="J143" s="28" t="s">
        <v>677</v>
      </c>
      <c r="K143" s="29">
        <v>892393390</v>
      </c>
      <c r="L143" s="28" t="s">
        <v>743</v>
      </c>
      <c r="M143" s="30" t="s">
        <v>670</v>
      </c>
      <c r="N143" s="30">
        <f>DATEDIF(L143,M143,"M")</f>
        <v>14</v>
      </c>
      <c r="O143" s="31">
        <v>25</v>
      </c>
      <c r="P143" s="32">
        <v>0.32</v>
      </c>
      <c r="Q143" s="33">
        <v>8</v>
      </c>
      <c r="R143" s="28" t="s">
        <v>983</v>
      </c>
      <c r="S143" s="28" t="s">
        <v>988</v>
      </c>
      <c r="T143" s="30">
        <v>16202925</v>
      </c>
      <c r="U143" s="28" t="s">
        <v>1028</v>
      </c>
      <c r="V143" s="28" t="s">
        <v>1029</v>
      </c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</row>
    <row r="144" spans="1:52" x14ac:dyDescent="0.25">
      <c r="A144" s="28" t="s">
        <v>102</v>
      </c>
      <c r="B144" s="28" t="s">
        <v>103</v>
      </c>
      <c r="C144" s="28" t="str">
        <f>CONCATENATE(A144," ",B144)</f>
        <v>Jennifer  Harbin</v>
      </c>
      <c r="D144" s="28" t="s">
        <v>673</v>
      </c>
      <c r="E144" s="28">
        <v>678726</v>
      </c>
      <c r="F144" s="28" t="s">
        <v>25</v>
      </c>
      <c r="G144" s="28" t="s">
        <v>27</v>
      </c>
      <c r="H144" s="28" t="s">
        <v>28</v>
      </c>
      <c r="I144" s="28" t="s">
        <v>676</v>
      </c>
      <c r="J144" s="28" t="s">
        <v>677</v>
      </c>
      <c r="K144" s="29">
        <v>196153282</v>
      </c>
      <c r="L144" s="28" t="s">
        <v>743</v>
      </c>
      <c r="M144" s="30" t="s">
        <v>670</v>
      </c>
      <c r="N144" s="30">
        <f>DATEDIF(L144,M144,"M")</f>
        <v>14</v>
      </c>
      <c r="O144" s="31">
        <v>25</v>
      </c>
      <c r="P144" s="32">
        <v>0.32</v>
      </c>
      <c r="Q144" s="33">
        <v>8</v>
      </c>
      <c r="R144" s="28" t="s">
        <v>983</v>
      </c>
      <c r="S144" s="28" t="s">
        <v>988</v>
      </c>
      <c r="T144" s="30">
        <v>16202925</v>
      </c>
      <c r="U144" s="28" t="s">
        <v>1028</v>
      </c>
      <c r="V144" s="28" t="s">
        <v>1029</v>
      </c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</row>
    <row r="145" spans="1:52" x14ac:dyDescent="0.25">
      <c r="A145" s="28" t="s">
        <v>338</v>
      </c>
      <c r="B145" s="28" t="s">
        <v>339</v>
      </c>
      <c r="C145" s="28" t="str">
        <f>CONCATENATE(A145," ",B145)</f>
        <v>Emily Whitacre</v>
      </c>
      <c r="D145" s="28" t="s">
        <v>673</v>
      </c>
      <c r="E145" s="28">
        <v>678726</v>
      </c>
      <c r="F145" s="28" t="s">
        <v>25</v>
      </c>
      <c r="G145" s="28" t="s">
        <v>27</v>
      </c>
      <c r="H145" s="28" t="s">
        <v>28</v>
      </c>
      <c r="I145" s="28" t="s">
        <v>676</v>
      </c>
      <c r="J145" s="28" t="s">
        <v>677</v>
      </c>
      <c r="K145" s="29">
        <v>858353460</v>
      </c>
      <c r="L145" s="28" t="s">
        <v>737</v>
      </c>
      <c r="M145" s="30" t="s">
        <v>264</v>
      </c>
      <c r="N145" s="30">
        <f>DATEDIF(L145,M145,"M")</f>
        <v>14</v>
      </c>
      <c r="O145" s="31">
        <v>25</v>
      </c>
      <c r="P145" s="32">
        <v>0.32</v>
      </c>
      <c r="Q145" s="33">
        <v>8</v>
      </c>
      <c r="R145" s="28" t="s">
        <v>983</v>
      </c>
      <c r="S145" s="28" t="s">
        <v>988</v>
      </c>
      <c r="T145" s="30">
        <v>16202925</v>
      </c>
      <c r="U145" s="28" t="s">
        <v>1028</v>
      </c>
      <c r="V145" s="28" t="s">
        <v>1029</v>
      </c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</row>
    <row r="146" spans="1:52" x14ac:dyDescent="0.25">
      <c r="A146" s="28" t="s">
        <v>280</v>
      </c>
      <c r="B146" s="28" t="s">
        <v>281</v>
      </c>
      <c r="C146" s="28" t="str">
        <f>CONCATENATE(A146," ",B146)</f>
        <v>Mary Rosencranz</v>
      </c>
      <c r="D146" s="28" t="s">
        <v>673</v>
      </c>
      <c r="E146" s="28">
        <v>678726</v>
      </c>
      <c r="F146" s="28" t="s">
        <v>25</v>
      </c>
      <c r="G146" s="28" t="s">
        <v>27</v>
      </c>
      <c r="H146" s="28" t="s">
        <v>28</v>
      </c>
      <c r="I146" s="28" t="s">
        <v>676</v>
      </c>
      <c r="J146" s="28" t="s">
        <v>677</v>
      </c>
      <c r="K146" s="29">
        <v>582065076</v>
      </c>
      <c r="L146" s="28" t="s">
        <v>737</v>
      </c>
      <c r="M146" s="30" t="s">
        <v>264</v>
      </c>
      <c r="N146" s="30">
        <f>DATEDIF(L146,M146,"M")</f>
        <v>14</v>
      </c>
      <c r="O146" s="31">
        <v>25</v>
      </c>
      <c r="P146" s="32">
        <v>0.32</v>
      </c>
      <c r="Q146" s="33">
        <v>8</v>
      </c>
      <c r="R146" s="28" t="s">
        <v>983</v>
      </c>
      <c r="S146" s="28" t="s">
        <v>988</v>
      </c>
      <c r="T146" s="30">
        <v>16202925</v>
      </c>
      <c r="U146" s="28" t="s">
        <v>1028</v>
      </c>
      <c r="V146" s="28" t="s">
        <v>1029</v>
      </c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</row>
    <row r="147" spans="1:52" x14ac:dyDescent="0.25">
      <c r="A147" s="28" t="s">
        <v>361</v>
      </c>
      <c r="B147" s="28" t="s">
        <v>611</v>
      </c>
      <c r="C147" s="28" t="str">
        <f>CONCATENATE(A147," ",B147)</f>
        <v>Donna Arrich</v>
      </c>
      <c r="D147" s="28" t="s">
        <v>673</v>
      </c>
      <c r="E147" s="28">
        <v>678726</v>
      </c>
      <c r="F147" s="28" t="s">
        <v>25</v>
      </c>
      <c r="G147" s="28" t="s">
        <v>27</v>
      </c>
      <c r="H147" s="28" t="s">
        <v>28</v>
      </c>
      <c r="I147" s="28" t="s">
        <v>676</v>
      </c>
      <c r="J147" s="28" t="s">
        <v>677</v>
      </c>
      <c r="K147" s="29">
        <v>138655428</v>
      </c>
      <c r="L147" s="28" t="s">
        <v>679</v>
      </c>
      <c r="M147" s="30" t="s">
        <v>965</v>
      </c>
      <c r="N147" s="30">
        <f>DATEDIF(L147,M147,"M")</f>
        <v>14</v>
      </c>
      <c r="O147" s="31">
        <v>25</v>
      </c>
      <c r="P147" s="32">
        <v>0.32</v>
      </c>
      <c r="Q147" s="33">
        <v>8</v>
      </c>
      <c r="R147" s="28" t="s">
        <v>983</v>
      </c>
      <c r="S147" s="28" t="s">
        <v>988</v>
      </c>
      <c r="T147" s="30">
        <v>16202925</v>
      </c>
      <c r="U147" s="28" t="s">
        <v>1028</v>
      </c>
      <c r="V147" s="28" t="s">
        <v>1029</v>
      </c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</row>
    <row r="148" spans="1:52" x14ac:dyDescent="0.25">
      <c r="A148" s="28" t="s">
        <v>49</v>
      </c>
      <c r="B148" s="28" t="s">
        <v>50</v>
      </c>
      <c r="C148" s="28" t="str">
        <f>CONCATENATE(A148," ",B148)</f>
        <v>Minas Giorgakis</v>
      </c>
      <c r="D148" s="28" t="s">
        <v>673</v>
      </c>
      <c r="E148" s="28">
        <v>678726</v>
      </c>
      <c r="F148" s="28" t="s">
        <v>25</v>
      </c>
      <c r="G148" s="28" t="s">
        <v>27</v>
      </c>
      <c r="H148" s="28" t="s">
        <v>28</v>
      </c>
      <c r="I148" s="28" t="s">
        <v>676</v>
      </c>
      <c r="J148" s="28" t="s">
        <v>677</v>
      </c>
      <c r="K148" s="29">
        <v>165329262</v>
      </c>
      <c r="L148" s="28" t="s">
        <v>737</v>
      </c>
      <c r="M148" s="30" t="s">
        <v>264</v>
      </c>
      <c r="N148" s="30">
        <f>DATEDIF(L148,M148,"M")</f>
        <v>14</v>
      </c>
      <c r="O148" s="31">
        <v>25</v>
      </c>
      <c r="P148" s="32">
        <v>0.32</v>
      </c>
      <c r="Q148" s="33">
        <v>8</v>
      </c>
      <c r="R148" s="28" t="s">
        <v>983</v>
      </c>
      <c r="S148" s="28" t="s">
        <v>988</v>
      </c>
      <c r="T148" s="30">
        <v>16202925</v>
      </c>
      <c r="U148" s="28" t="s">
        <v>1028</v>
      </c>
      <c r="V148" s="28" t="s">
        <v>1029</v>
      </c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</row>
    <row r="149" spans="1:52" x14ac:dyDescent="0.25">
      <c r="A149" s="28" t="s">
        <v>968</v>
      </c>
      <c r="B149" s="28" t="s">
        <v>969</v>
      </c>
      <c r="C149" s="28" t="str">
        <f>CONCATENATE(A149," ",B149)</f>
        <v>Ashleigh Lagreco</v>
      </c>
      <c r="D149" s="28" t="s">
        <v>673</v>
      </c>
      <c r="E149" s="28">
        <v>678726</v>
      </c>
      <c r="F149" s="28" t="s">
        <v>25</v>
      </c>
      <c r="G149" s="28" t="s">
        <v>27</v>
      </c>
      <c r="H149" s="28" t="s">
        <v>28</v>
      </c>
      <c r="I149" s="28" t="s">
        <v>676</v>
      </c>
      <c r="J149" s="28" t="s">
        <v>677</v>
      </c>
      <c r="K149" s="29">
        <v>560317195</v>
      </c>
      <c r="L149" s="28" t="s">
        <v>737</v>
      </c>
      <c r="M149" s="30" t="s">
        <v>264</v>
      </c>
      <c r="N149" s="30">
        <f>DATEDIF(L149,M149,"M")</f>
        <v>14</v>
      </c>
      <c r="O149" s="31">
        <v>25</v>
      </c>
      <c r="P149" s="32">
        <v>0.32</v>
      </c>
      <c r="Q149" s="33">
        <v>8</v>
      </c>
      <c r="R149" s="28" t="s">
        <v>983</v>
      </c>
      <c r="S149" s="28" t="s">
        <v>988</v>
      </c>
      <c r="T149" s="30">
        <v>16202925</v>
      </c>
      <c r="U149" s="28" t="s">
        <v>1028</v>
      </c>
      <c r="V149" s="28" t="s">
        <v>1029</v>
      </c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</row>
    <row r="150" spans="1:52" x14ac:dyDescent="0.25">
      <c r="A150" s="28" t="s">
        <v>354</v>
      </c>
      <c r="B150" s="28" t="s">
        <v>355</v>
      </c>
      <c r="C150" s="28" t="str">
        <f>CONCATENATE(A150," ",B150)</f>
        <v>Cornell Jackson</v>
      </c>
      <c r="D150" s="28" t="s">
        <v>673</v>
      </c>
      <c r="E150" s="28">
        <v>678726</v>
      </c>
      <c r="F150" s="28" t="s">
        <v>25</v>
      </c>
      <c r="G150" s="28" t="s">
        <v>27</v>
      </c>
      <c r="H150" s="28" t="s">
        <v>28</v>
      </c>
      <c r="I150" s="28" t="s">
        <v>676</v>
      </c>
      <c r="J150" s="28" t="s">
        <v>677</v>
      </c>
      <c r="K150" s="29">
        <v>708780484</v>
      </c>
      <c r="L150" s="28" t="s">
        <v>737</v>
      </c>
      <c r="M150" s="30" t="s">
        <v>264</v>
      </c>
      <c r="N150" s="30">
        <f>DATEDIF(L150,M150,"M")</f>
        <v>14</v>
      </c>
      <c r="O150" s="31">
        <v>25</v>
      </c>
      <c r="P150" s="32">
        <v>0.32</v>
      </c>
      <c r="Q150" s="33">
        <v>8</v>
      </c>
      <c r="R150" s="28" t="s">
        <v>983</v>
      </c>
      <c r="S150" s="28" t="s">
        <v>988</v>
      </c>
      <c r="T150" s="30">
        <v>16202925</v>
      </c>
      <c r="U150" s="28" t="s">
        <v>1028</v>
      </c>
      <c r="V150" s="28" t="s">
        <v>1029</v>
      </c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</row>
    <row r="151" spans="1:52" x14ac:dyDescent="0.25">
      <c r="A151" s="28" t="s">
        <v>270</v>
      </c>
      <c r="B151" s="28" t="s">
        <v>271</v>
      </c>
      <c r="C151" s="28" t="str">
        <f>CONCATENATE(A151," ",B151)</f>
        <v>Twanna Delva</v>
      </c>
      <c r="D151" s="28" t="s">
        <v>673</v>
      </c>
      <c r="E151" s="28">
        <v>678726</v>
      </c>
      <c r="F151" s="28" t="s">
        <v>25</v>
      </c>
      <c r="G151" s="28" t="s">
        <v>27</v>
      </c>
      <c r="H151" s="28" t="s">
        <v>28</v>
      </c>
      <c r="I151" s="28" t="s">
        <v>676</v>
      </c>
      <c r="J151" s="28" t="s">
        <v>677</v>
      </c>
      <c r="K151" s="29">
        <v>5274878</v>
      </c>
      <c r="L151" s="28" t="s">
        <v>684</v>
      </c>
      <c r="M151" s="30" t="s">
        <v>705</v>
      </c>
      <c r="N151" s="30">
        <f>DATEDIF(L151,M151,"M")</f>
        <v>14</v>
      </c>
      <c r="O151" s="31">
        <v>25</v>
      </c>
      <c r="P151" s="32">
        <v>0.32</v>
      </c>
      <c r="Q151" s="33">
        <v>8</v>
      </c>
      <c r="R151" s="28" t="s">
        <v>983</v>
      </c>
      <c r="S151" s="28" t="s">
        <v>988</v>
      </c>
      <c r="T151" s="30">
        <v>16202925</v>
      </c>
      <c r="U151" s="28" t="s">
        <v>1028</v>
      </c>
      <c r="V151" s="28" t="s">
        <v>1029</v>
      </c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</row>
    <row r="152" spans="1:52" x14ac:dyDescent="0.25">
      <c r="A152" s="28" t="s">
        <v>432</v>
      </c>
      <c r="B152" s="28" t="s">
        <v>433</v>
      </c>
      <c r="C152" s="28" t="str">
        <f>CONCATENATE(A152," ",B152)</f>
        <v>Abigail Duncan</v>
      </c>
      <c r="D152" s="28" t="s">
        <v>673</v>
      </c>
      <c r="E152" s="28">
        <v>678726</v>
      </c>
      <c r="F152" s="28" t="s">
        <v>25</v>
      </c>
      <c r="G152" s="28" t="s">
        <v>27</v>
      </c>
      <c r="H152" s="28" t="s">
        <v>28</v>
      </c>
      <c r="I152" s="28" t="s">
        <v>676</v>
      </c>
      <c r="J152" s="28" t="s">
        <v>677</v>
      </c>
      <c r="K152" s="29">
        <v>168352383</v>
      </c>
      <c r="L152" s="28" t="s">
        <v>684</v>
      </c>
      <c r="M152" s="30" t="s">
        <v>705</v>
      </c>
      <c r="N152" s="30">
        <f>DATEDIF(L152,M152,"M")</f>
        <v>14</v>
      </c>
      <c r="O152" s="31">
        <v>25</v>
      </c>
      <c r="P152" s="32">
        <v>0.32</v>
      </c>
      <c r="Q152" s="33">
        <v>8</v>
      </c>
      <c r="R152" s="28" t="s">
        <v>983</v>
      </c>
      <c r="S152" s="28" t="s">
        <v>988</v>
      </c>
      <c r="T152" s="30">
        <v>16202925</v>
      </c>
      <c r="U152" s="28" t="s">
        <v>1028</v>
      </c>
      <c r="V152" s="28" t="s">
        <v>1029</v>
      </c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</row>
    <row r="153" spans="1:52" x14ac:dyDescent="0.25">
      <c r="A153" s="28" t="s">
        <v>197</v>
      </c>
      <c r="B153" s="28" t="s">
        <v>578</v>
      </c>
      <c r="C153" s="28" t="str">
        <f>CONCATENATE(A153," ",B153)</f>
        <v>Michael Scarpulla</v>
      </c>
      <c r="D153" s="28" t="s">
        <v>673</v>
      </c>
      <c r="E153" s="28">
        <v>678726</v>
      </c>
      <c r="F153" s="28" t="s">
        <v>25</v>
      </c>
      <c r="G153" s="28" t="s">
        <v>27</v>
      </c>
      <c r="H153" s="28" t="s">
        <v>28</v>
      </c>
      <c r="I153" s="28" t="s">
        <v>676</v>
      </c>
      <c r="J153" s="28" t="s">
        <v>677</v>
      </c>
      <c r="K153" s="29">
        <v>524461911</v>
      </c>
      <c r="L153" s="28" t="s">
        <v>684</v>
      </c>
      <c r="M153" s="30" t="s">
        <v>705</v>
      </c>
      <c r="N153" s="30">
        <f>DATEDIF(L153,M153,"M")</f>
        <v>14</v>
      </c>
      <c r="O153" s="31">
        <v>25</v>
      </c>
      <c r="P153" s="32">
        <v>0.32</v>
      </c>
      <c r="Q153" s="33">
        <v>8</v>
      </c>
      <c r="R153" s="28" t="s">
        <v>983</v>
      </c>
      <c r="S153" s="28" t="s">
        <v>988</v>
      </c>
      <c r="T153" s="30">
        <v>16202925</v>
      </c>
      <c r="U153" s="28" t="s">
        <v>1028</v>
      </c>
      <c r="V153" s="28" t="s">
        <v>1029</v>
      </c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</row>
    <row r="154" spans="1:52" x14ac:dyDescent="0.25">
      <c r="A154" s="28" t="s">
        <v>545</v>
      </c>
      <c r="B154" s="28" t="s">
        <v>515</v>
      </c>
      <c r="C154" s="28" t="str">
        <f>CONCATENATE(A154," ",B154)</f>
        <v>Shane  Abrams</v>
      </c>
      <c r="D154" s="28" t="s">
        <v>673</v>
      </c>
      <c r="E154" s="28">
        <v>678726</v>
      </c>
      <c r="F154" s="28" t="s">
        <v>25</v>
      </c>
      <c r="G154" s="28" t="s">
        <v>27</v>
      </c>
      <c r="H154" s="28" t="s">
        <v>28</v>
      </c>
      <c r="I154" s="28" t="s">
        <v>676</v>
      </c>
      <c r="J154" s="28" t="s">
        <v>677</v>
      </c>
      <c r="K154" s="29">
        <v>509666499</v>
      </c>
      <c r="L154" s="28" t="s">
        <v>684</v>
      </c>
      <c r="M154" s="30" t="s">
        <v>705</v>
      </c>
      <c r="N154" s="30">
        <f>DATEDIF(L154,M154,"M")</f>
        <v>14</v>
      </c>
      <c r="O154" s="31">
        <v>25</v>
      </c>
      <c r="P154" s="32">
        <v>0.32</v>
      </c>
      <c r="Q154" s="33">
        <v>8</v>
      </c>
      <c r="R154" s="28" t="s">
        <v>983</v>
      </c>
      <c r="S154" s="28" t="s">
        <v>988</v>
      </c>
      <c r="T154" s="30">
        <v>16202925</v>
      </c>
      <c r="U154" s="28" t="s">
        <v>1028</v>
      </c>
      <c r="V154" s="28" t="s">
        <v>1029</v>
      </c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</row>
    <row r="155" spans="1:52" x14ac:dyDescent="0.25">
      <c r="A155" s="28" t="s">
        <v>501</v>
      </c>
      <c r="B155" s="28" t="s">
        <v>502</v>
      </c>
      <c r="C155" s="28" t="str">
        <f>CONCATENATE(A155," ",B155)</f>
        <v>Alycea Rivera</v>
      </c>
      <c r="D155" s="28" t="s">
        <v>673</v>
      </c>
      <c r="E155" s="28">
        <v>678726</v>
      </c>
      <c r="F155" s="28" t="s">
        <v>25</v>
      </c>
      <c r="G155" s="28" t="s">
        <v>27</v>
      </c>
      <c r="H155" s="28" t="s">
        <v>28</v>
      </c>
      <c r="I155" s="28" t="s">
        <v>676</v>
      </c>
      <c r="J155" s="28" t="s">
        <v>677</v>
      </c>
      <c r="K155" s="29">
        <v>232438202</v>
      </c>
      <c r="L155" s="28" t="s">
        <v>684</v>
      </c>
      <c r="M155" s="30" t="s">
        <v>705</v>
      </c>
      <c r="N155" s="30">
        <f>DATEDIF(L155,M155,"M")</f>
        <v>14</v>
      </c>
      <c r="O155" s="31">
        <v>25</v>
      </c>
      <c r="P155" s="32">
        <v>0.32</v>
      </c>
      <c r="Q155" s="33">
        <v>8</v>
      </c>
      <c r="R155" s="28" t="s">
        <v>983</v>
      </c>
      <c r="S155" s="28" t="s">
        <v>988</v>
      </c>
      <c r="T155" s="30">
        <v>16202925</v>
      </c>
      <c r="U155" s="28" t="s">
        <v>1028</v>
      </c>
      <c r="V155" s="28" t="s">
        <v>1029</v>
      </c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</row>
    <row r="156" spans="1:52" x14ac:dyDescent="0.25">
      <c r="A156" s="28" t="s">
        <v>361</v>
      </c>
      <c r="B156" s="28" t="s">
        <v>362</v>
      </c>
      <c r="C156" s="28" t="str">
        <f>CONCATENATE(A156," ",B156)</f>
        <v>Donna Tarmon</v>
      </c>
      <c r="D156" s="28" t="s">
        <v>673</v>
      </c>
      <c r="E156" s="28">
        <v>678726</v>
      </c>
      <c r="F156" s="28" t="s">
        <v>25</v>
      </c>
      <c r="G156" s="28" t="s">
        <v>27</v>
      </c>
      <c r="H156" s="28" t="s">
        <v>28</v>
      </c>
      <c r="I156" s="28" t="s">
        <v>676</v>
      </c>
      <c r="J156" s="28" t="s">
        <v>677</v>
      </c>
      <c r="K156" s="29">
        <v>876391898</v>
      </c>
      <c r="L156" s="28" t="s">
        <v>684</v>
      </c>
      <c r="M156" s="30" t="s">
        <v>705</v>
      </c>
      <c r="N156" s="30">
        <f>DATEDIF(L156,M156,"M")</f>
        <v>14</v>
      </c>
      <c r="O156" s="31">
        <v>25</v>
      </c>
      <c r="P156" s="32">
        <v>0.32</v>
      </c>
      <c r="Q156" s="33">
        <v>8</v>
      </c>
      <c r="R156" s="28" t="s">
        <v>983</v>
      </c>
      <c r="S156" s="28" t="s">
        <v>988</v>
      </c>
      <c r="T156" s="30">
        <v>16202925</v>
      </c>
      <c r="U156" s="28" t="s">
        <v>1028</v>
      </c>
      <c r="V156" s="28" t="s">
        <v>1029</v>
      </c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</row>
    <row r="157" spans="1:52" x14ac:dyDescent="0.25">
      <c r="A157" s="28" t="s">
        <v>361</v>
      </c>
      <c r="B157" s="28" t="s">
        <v>611</v>
      </c>
      <c r="C157" s="28" t="str">
        <f>CONCATENATE(A157," ",B157)</f>
        <v>Donna Arrich</v>
      </c>
      <c r="D157" s="28" t="s">
        <v>673</v>
      </c>
      <c r="E157" s="28">
        <v>678726</v>
      </c>
      <c r="F157" s="28" t="s">
        <v>25</v>
      </c>
      <c r="G157" s="28" t="s">
        <v>27</v>
      </c>
      <c r="H157" s="28" t="s">
        <v>28</v>
      </c>
      <c r="I157" s="28" t="s">
        <v>676</v>
      </c>
      <c r="J157" s="28" t="s">
        <v>677</v>
      </c>
      <c r="K157" s="29">
        <v>138655428</v>
      </c>
      <c r="L157" s="28" t="s">
        <v>679</v>
      </c>
      <c r="M157" s="30" t="s">
        <v>787</v>
      </c>
      <c r="N157" s="30">
        <f>DATEDIF(L157,M157,"M")</f>
        <v>15</v>
      </c>
      <c r="O157" s="31">
        <v>25</v>
      </c>
      <c r="P157" s="32">
        <v>0.32</v>
      </c>
      <c r="Q157" s="33">
        <v>8</v>
      </c>
      <c r="R157" s="28" t="s">
        <v>983</v>
      </c>
      <c r="S157" s="28" t="s">
        <v>988</v>
      </c>
      <c r="T157" s="30">
        <v>16202925</v>
      </c>
      <c r="U157" s="28" t="s">
        <v>1028</v>
      </c>
      <c r="V157" s="28" t="s">
        <v>1029</v>
      </c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</row>
    <row r="158" spans="1:52" x14ac:dyDescent="0.25">
      <c r="A158" s="28" t="s">
        <v>49</v>
      </c>
      <c r="B158" s="28" t="s">
        <v>50</v>
      </c>
      <c r="C158" s="28" t="str">
        <f>CONCATENATE(A158," ",B158)</f>
        <v>Minas Giorgakis</v>
      </c>
      <c r="D158" s="28" t="s">
        <v>673</v>
      </c>
      <c r="E158" s="28">
        <v>678726</v>
      </c>
      <c r="F158" s="28" t="s">
        <v>25</v>
      </c>
      <c r="G158" s="28" t="s">
        <v>27</v>
      </c>
      <c r="H158" s="28" t="s">
        <v>28</v>
      </c>
      <c r="I158" s="28" t="s">
        <v>676</v>
      </c>
      <c r="J158" s="28" t="s">
        <v>677</v>
      </c>
      <c r="K158" s="29">
        <v>165329262</v>
      </c>
      <c r="L158" s="28" t="s">
        <v>737</v>
      </c>
      <c r="M158" s="30" t="s">
        <v>670</v>
      </c>
      <c r="N158" s="30">
        <f>DATEDIF(L158,M158,"M")</f>
        <v>15</v>
      </c>
      <c r="O158" s="31">
        <v>25</v>
      </c>
      <c r="P158" s="32">
        <v>0.32</v>
      </c>
      <c r="Q158" s="33">
        <v>8</v>
      </c>
      <c r="R158" s="28" t="s">
        <v>983</v>
      </c>
      <c r="S158" s="28" t="s">
        <v>988</v>
      </c>
      <c r="T158" s="30">
        <v>16202925</v>
      </c>
      <c r="U158" s="28" t="s">
        <v>1028</v>
      </c>
      <c r="V158" s="28" t="s">
        <v>1029</v>
      </c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</row>
    <row r="159" spans="1:52" x14ac:dyDescent="0.25">
      <c r="A159" s="28" t="s">
        <v>354</v>
      </c>
      <c r="B159" s="28" t="s">
        <v>355</v>
      </c>
      <c r="C159" s="28" t="str">
        <f>CONCATENATE(A159," ",B159)</f>
        <v>Cornell Jackson</v>
      </c>
      <c r="D159" s="28" t="s">
        <v>673</v>
      </c>
      <c r="E159" s="28">
        <v>678726</v>
      </c>
      <c r="F159" s="28" t="s">
        <v>25</v>
      </c>
      <c r="G159" s="28" t="s">
        <v>27</v>
      </c>
      <c r="H159" s="28" t="s">
        <v>28</v>
      </c>
      <c r="I159" s="28" t="s">
        <v>676</v>
      </c>
      <c r="J159" s="28" t="s">
        <v>677</v>
      </c>
      <c r="K159" s="29">
        <v>708780484</v>
      </c>
      <c r="L159" s="28" t="s">
        <v>737</v>
      </c>
      <c r="M159" s="30" t="s">
        <v>670</v>
      </c>
      <c r="N159" s="30">
        <f>DATEDIF(L159,M159,"M")</f>
        <v>15</v>
      </c>
      <c r="O159" s="31">
        <v>25</v>
      </c>
      <c r="P159" s="32">
        <v>0.32</v>
      </c>
      <c r="Q159" s="33">
        <v>8</v>
      </c>
      <c r="R159" s="28" t="s">
        <v>983</v>
      </c>
      <c r="S159" s="28" t="s">
        <v>988</v>
      </c>
      <c r="T159" s="30">
        <v>16202925</v>
      </c>
      <c r="U159" s="28" t="s">
        <v>1028</v>
      </c>
      <c r="V159" s="28" t="s">
        <v>1029</v>
      </c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</row>
    <row r="160" spans="1:52" x14ac:dyDescent="0.25">
      <c r="A160" s="28" t="s">
        <v>197</v>
      </c>
      <c r="B160" s="28" t="s">
        <v>578</v>
      </c>
      <c r="C160" s="28" t="str">
        <f>CONCATENATE(A160," ",B160)</f>
        <v>Michael Scarpulla</v>
      </c>
      <c r="D160" s="28" t="s">
        <v>673</v>
      </c>
      <c r="E160" s="28">
        <v>678726</v>
      </c>
      <c r="F160" s="28" t="s">
        <v>25</v>
      </c>
      <c r="G160" s="28" t="s">
        <v>27</v>
      </c>
      <c r="H160" s="28" t="s">
        <v>28</v>
      </c>
      <c r="I160" s="28" t="s">
        <v>676</v>
      </c>
      <c r="J160" s="28" t="s">
        <v>677</v>
      </c>
      <c r="K160" s="29">
        <v>524461911</v>
      </c>
      <c r="L160" s="28" t="s">
        <v>684</v>
      </c>
      <c r="M160" s="30" t="s">
        <v>264</v>
      </c>
      <c r="N160" s="30">
        <f>DATEDIF(L160,M160,"M")</f>
        <v>15</v>
      </c>
      <c r="O160" s="31">
        <v>25</v>
      </c>
      <c r="P160" s="32">
        <v>0.32</v>
      </c>
      <c r="Q160" s="33">
        <v>8</v>
      </c>
      <c r="R160" s="28" t="s">
        <v>983</v>
      </c>
      <c r="S160" s="28" t="s">
        <v>988</v>
      </c>
      <c r="T160" s="30">
        <v>16202925</v>
      </c>
      <c r="U160" s="28" t="s">
        <v>1028</v>
      </c>
      <c r="V160" s="28" t="s">
        <v>1029</v>
      </c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</row>
    <row r="161" spans="1:52" x14ac:dyDescent="0.25">
      <c r="A161" s="28" t="s">
        <v>361</v>
      </c>
      <c r="B161" s="28" t="s">
        <v>362</v>
      </c>
      <c r="C161" s="28" t="str">
        <f>CONCATENATE(A161," ",B161)</f>
        <v>Donna Tarmon</v>
      </c>
      <c r="D161" s="28" t="s">
        <v>673</v>
      </c>
      <c r="E161" s="28">
        <v>678726</v>
      </c>
      <c r="F161" s="28" t="s">
        <v>25</v>
      </c>
      <c r="G161" s="28" t="s">
        <v>27</v>
      </c>
      <c r="H161" s="28" t="s">
        <v>28</v>
      </c>
      <c r="I161" s="28" t="s">
        <v>676</v>
      </c>
      <c r="J161" s="28" t="s">
        <v>677</v>
      </c>
      <c r="K161" s="29">
        <v>876391898</v>
      </c>
      <c r="L161" s="28" t="s">
        <v>684</v>
      </c>
      <c r="M161" s="30" t="s">
        <v>264</v>
      </c>
      <c r="N161" s="30">
        <f>DATEDIF(L161,M161,"M")</f>
        <v>15</v>
      </c>
      <c r="O161" s="31">
        <v>25</v>
      </c>
      <c r="P161" s="32">
        <v>0.32</v>
      </c>
      <c r="Q161" s="33">
        <v>8</v>
      </c>
      <c r="R161" s="28" t="s">
        <v>983</v>
      </c>
      <c r="S161" s="28" t="s">
        <v>988</v>
      </c>
      <c r="T161" s="30">
        <v>16202925</v>
      </c>
      <c r="U161" s="28" t="s">
        <v>1028</v>
      </c>
      <c r="V161" s="28" t="s">
        <v>1029</v>
      </c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</row>
    <row r="162" spans="1:52" x14ac:dyDescent="0.25">
      <c r="A162" s="28" t="s">
        <v>545</v>
      </c>
      <c r="B162" s="28" t="s">
        <v>515</v>
      </c>
      <c r="C162" s="28" t="str">
        <f>CONCATENATE(A162," ",B162)</f>
        <v>Shane  Abrams</v>
      </c>
      <c r="D162" s="28" t="s">
        <v>673</v>
      </c>
      <c r="E162" s="28">
        <v>678726</v>
      </c>
      <c r="F162" s="28" t="s">
        <v>25</v>
      </c>
      <c r="G162" s="28" t="s">
        <v>27</v>
      </c>
      <c r="H162" s="28" t="s">
        <v>28</v>
      </c>
      <c r="I162" s="28" t="s">
        <v>676</v>
      </c>
      <c r="J162" s="28" t="s">
        <v>677</v>
      </c>
      <c r="K162" s="29">
        <v>509666499</v>
      </c>
      <c r="L162" s="28" t="s">
        <v>684</v>
      </c>
      <c r="M162" s="30" t="s">
        <v>264</v>
      </c>
      <c r="N162" s="30">
        <f>DATEDIF(L162,M162,"M")</f>
        <v>15</v>
      </c>
      <c r="O162" s="31">
        <v>25</v>
      </c>
      <c r="P162" s="32">
        <v>0.32</v>
      </c>
      <c r="Q162" s="33">
        <v>8</v>
      </c>
      <c r="R162" s="28" t="s">
        <v>983</v>
      </c>
      <c r="S162" s="28" t="s">
        <v>988</v>
      </c>
      <c r="T162" s="30">
        <v>16202925</v>
      </c>
      <c r="U162" s="28" t="s">
        <v>1028</v>
      </c>
      <c r="V162" s="28" t="s">
        <v>1029</v>
      </c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</row>
    <row r="163" spans="1:52" x14ac:dyDescent="0.25">
      <c r="A163" s="28" t="s">
        <v>501</v>
      </c>
      <c r="B163" s="28" t="s">
        <v>502</v>
      </c>
      <c r="C163" s="28" t="str">
        <f>CONCATENATE(A163," ",B163)</f>
        <v>Alycea Rivera</v>
      </c>
      <c r="D163" s="28" t="s">
        <v>673</v>
      </c>
      <c r="E163" s="28">
        <v>678726</v>
      </c>
      <c r="F163" s="28" t="s">
        <v>25</v>
      </c>
      <c r="G163" s="28" t="s">
        <v>27</v>
      </c>
      <c r="H163" s="28" t="s">
        <v>28</v>
      </c>
      <c r="I163" s="28" t="s">
        <v>676</v>
      </c>
      <c r="J163" s="28" t="s">
        <v>677</v>
      </c>
      <c r="K163" s="29">
        <v>232438202</v>
      </c>
      <c r="L163" s="28" t="s">
        <v>684</v>
      </c>
      <c r="M163" s="30" t="s">
        <v>264</v>
      </c>
      <c r="N163" s="30">
        <f>DATEDIF(L163,M163,"M")</f>
        <v>15</v>
      </c>
      <c r="O163" s="31">
        <v>25</v>
      </c>
      <c r="P163" s="32">
        <v>0.32</v>
      </c>
      <c r="Q163" s="33">
        <v>8</v>
      </c>
      <c r="R163" s="28" t="s">
        <v>983</v>
      </c>
      <c r="S163" s="28" t="s">
        <v>988</v>
      </c>
      <c r="T163" s="30">
        <v>16202925</v>
      </c>
      <c r="U163" s="28" t="s">
        <v>1028</v>
      </c>
      <c r="V163" s="28" t="s">
        <v>1029</v>
      </c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</row>
    <row r="164" spans="1:52" x14ac:dyDescent="0.25">
      <c r="A164" s="28" t="s">
        <v>197</v>
      </c>
      <c r="B164" s="28" t="s">
        <v>578</v>
      </c>
      <c r="C164" s="28" t="str">
        <f>CONCATENATE(A164," ",B164)</f>
        <v>Michael Scarpulla</v>
      </c>
      <c r="D164" s="28" t="s">
        <v>673</v>
      </c>
      <c r="E164" s="28">
        <v>678726</v>
      </c>
      <c r="F164" s="28" t="s">
        <v>25</v>
      </c>
      <c r="G164" s="28" t="s">
        <v>27</v>
      </c>
      <c r="H164" s="28" t="s">
        <v>28</v>
      </c>
      <c r="I164" s="28" t="s">
        <v>676</v>
      </c>
      <c r="J164" s="28" t="s">
        <v>677</v>
      </c>
      <c r="K164" s="29">
        <v>524461911</v>
      </c>
      <c r="L164" s="28" t="s">
        <v>684</v>
      </c>
      <c r="M164" s="30" t="s">
        <v>670</v>
      </c>
      <c r="N164" s="30">
        <f>DATEDIF(L164,M164,"M")</f>
        <v>16</v>
      </c>
      <c r="O164" s="31">
        <v>25</v>
      </c>
      <c r="P164" s="32">
        <v>0.32</v>
      </c>
      <c r="Q164" s="33">
        <v>8</v>
      </c>
      <c r="R164" s="28" t="s">
        <v>983</v>
      </c>
      <c r="S164" s="28" t="s">
        <v>988</v>
      </c>
      <c r="T164" s="30">
        <v>16202925</v>
      </c>
      <c r="U164" s="28" t="s">
        <v>1028</v>
      </c>
      <c r="V164" s="28" t="s">
        <v>1029</v>
      </c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</row>
    <row r="165" spans="1:52" x14ac:dyDescent="0.25">
      <c r="A165" s="28" t="s">
        <v>501</v>
      </c>
      <c r="B165" s="28" t="s">
        <v>502</v>
      </c>
      <c r="C165" s="28" t="str">
        <f>CONCATENATE(A165," ",B165)</f>
        <v>Alycea Rivera</v>
      </c>
      <c r="D165" s="28" t="s">
        <v>673</v>
      </c>
      <c r="E165" s="28">
        <v>678726</v>
      </c>
      <c r="F165" s="28" t="s">
        <v>25</v>
      </c>
      <c r="G165" s="28" t="s">
        <v>27</v>
      </c>
      <c r="H165" s="28" t="s">
        <v>28</v>
      </c>
      <c r="I165" s="28" t="s">
        <v>676</v>
      </c>
      <c r="J165" s="28" t="s">
        <v>677</v>
      </c>
      <c r="K165" s="29">
        <v>232438202</v>
      </c>
      <c r="L165" s="28" t="s">
        <v>684</v>
      </c>
      <c r="M165" s="30" t="s">
        <v>670</v>
      </c>
      <c r="N165" s="30">
        <f>DATEDIF(L165,M165,"M")</f>
        <v>16</v>
      </c>
      <c r="O165" s="31">
        <v>25</v>
      </c>
      <c r="P165" s="32">
        <v>0.32</v>
      </c>
      <c r="Q165" s="33">
        <v>8</v>
      </c>
      <c r="R165" s="28" t="s">
        <v>983</v>
      </c>
      <c r="S165" s="28" t="s">
        <v>988</v>
      </c>
      <c r="T165" s="30">
        <v>16202925</v>
      </c>
      <c r="U165" s="28" t="s">
        <v>1028</v>
      </c>
      <c r="V165" s="28" t="s">
        <v>1029</v>
      </c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</row>
    <row r="166" spans="1:52" x14ac:dyDescent="0.25">
      <c r="A166" s="28" t="s">
        <v>545</v>
      </c>
      <c r="B166" s="28" t="s">
        <v>515</v>
      </c>
      <c r="C166" s="28" t="str">
        <f>CONCATENATE(A166," ",B166)</f>
        <v>Shane  Abrams</v>
      </c>
      <c r="D166" s="28" t="s">
        <v>673</v>
      </c>
      <c r="E166" s="28">
        <v>678726</v>
      </c>
      <c r="F166" s="28" t="s">
        <v>25</v>
      </c>
      <c r="G166" s="28" t="s">
        <v>27</v>
      </c>
      <c r="H166" s="28" t="s">
        <v>28</v>
      </c>
      <c r="I166" s="28" t="s">
        <v>676</v>
      </c>
      <c r="J166" s="28" t="s">
        <v>677</v>
      </c>
      <c r="K166" s="29">
        <v>509666499</v>
      </c>
      <c r="L166" s="28" t="s">
        <v>684</v>
      </c>
      <c r="M166" s="30" t="s">
        <v>670</v>
      </c>
      <c r="N166" s="30">
        <f>DATEDIF(L166,M166,"M")</f>
        <v>16</v>
      </c>
      <c r="O166" s="31">
        <v>25</v>
      </c>
      <c r="P166" s="32">
        <v>0.32</v>
      </c>
      <c r="Q166" s="33">
        <v>8</v>
      </c>
      <c r="R166" s="28" t="s">
        <v>983</v>
      </c>
      <c r="S166" s="28" t="s">
        <v>988</v>
      </c>
      <c r="T166" s="30">
        <v>16202925</v>
      </c>
      <c r="U166" s="28" t="s">
        <v>1028</v>
      </c>
      <c r="V166" s="28" t="s">
        <v>1029</v>
      </c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</row>
    <row r="167" spans="1:52" x14ac:dyDescent="0.25">
      <c r="A167" s="28" t="s">
        <v>361</v>
      </c>
      <c r="B167" s="28" t="s">
        <v>362</v>
      </c>
      <c r="C167" s="28" t="str">
        <f>CONCATENATE(A167," ",B167)</f>
        <v>Donna Tarmon</v>
      </c>
      <c r="D167" s="28" t="s">
        <v>673</v>
      </c>
      <c r="E167" s="28">
        <v>678726</v>
      </c>
      <c r="F167" s="28" t="s">
        <v>25</v>
      </c>
      <c r="G167" s="28" t="s">
        <v>27</v>
      </c>
      <c r="H167" s="28" t="s">
        <v>28</v>
      </c>
      <c r="I167" s="28" t="s">
        <v>676</v>
      </c>
      <c r="J167" s="28" t="s">
        <v>677</v>
      </c>
      <c r="K167" s="29">
        <v>876391898</v>
      </c>
      <c r="L167" s="28" t="s">
        <v>684</v>
      </c>
      <c r="M167" s="30" t="s">
        <v>670</v>
      </c>
      <c r="N167" s="30">
        <f>DATEDIF(L167,M167,"M")</f>
        <v>16</v>
      </c>
      <c r="O167" s="31">
        <v>25</v>
      </c>
      <c r="P167" s="32">
        <v>0.32</v>
      </c>
      <c r="Q167" s="33">
        <v>8</v>
      </c>
      <c r="R167" s="28" t="s">
        <v>983</v>
      </c>
      <c r="S167" s="28" t="s">
        <v>988</v>
      </c>
      <c r="T167" s="30">
        <v>16202925</v>
      </c>
      <c r="U167" s="28" t="s">
        <v>1028</v>
      </c>
      <c r="V167" s="28" t="s">
        <v>1029</v>
      </c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</row>
    <row r="168" spans="1:52" x14ac:dyDescent="0.25">
      <c r="A168" s="28" t="s">
        <v>361</v>
      </c>
      <c r="B168" s="28" t="s">
        <v>311</v>
      </c>
      <c r="C168" s="28" t="str">
        <f>CONCATENATE(A168," ",B168)</f>
        <v>Donna Jones</v>
      </c>
      <c r="D168" s="28" t="s">
        <v>691</v>
      </c>
      <c r="E168" s="28">
        <v>759555</v>
      </c>
      <c r="F168" s="28" t="s">
        <v>143</v>
      </c>
      <c r="G168" s="28" t="s">
        <v>131</v>
      </c>
      <c r="H168" s="28" t="s">
        <v>28</v>
      </c>
      <c r="I168" s="28" t="s">
        <v>676</v>
      </c>
      <c r="J168" s="28" t="s">
        <v>677</v>
      </c>
      <c r="K168" s="29">
        <v>312209549</v>
      </c>
      <c r="L168" s="28" t="s">
        <v>264</v>
      </c>
      <c r="M168" s="30" t="s">
        <v>670</v>
      </c>
      <c r="N168" s="30">
        <f>DATEDIF(L168,M168,"M")</f>
        <v>1</v>
      </c>
      <c r="O168" s="31">
        <v>40</v>
      </c>
      <c r="P168" s="32">
        <v>0.24</v>
      </c>
      <c r="Q168" s="33">
        <v>9.6</v>
      </c>
      <c r="R168" s="28" t="s">
        <v>985</v>
      </c>
      <c r="S168" s="28" t="s">
        <v>990</v>
      </c>
      <c r="T168" s="30" t="s">
        <v>1012</v>
      </c>
      <c r="U168" s="28" t="s">
        <v>1028</v>
      </c>
      <c r="V168" s="28" t="s">
        <v>1027</v>
      </c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</row>
    <row r="169" spans="1:52" x14ac:dyDescent="0.25">
      <c r="A169" s="28" t="s">
        <v>296</v>
      </c>
      <c r="B169" s="28" t="s">
        <v>297</v>
      </c>
      <c r="C169" s="28" t="str">
        <f>CONCATENATE(A169," ",B169)</f>
        <v>Fidel Estanda</v>
      </c>
      <c r="D169" s="28" t="s">
        <v>691</v>
      </c>
      <c r="E169" s="28">
        <v>759555</v>
      </c>
      <c r="F169" s="28" t="s">
        <v>143</v>
      </c>
      <c r="G169" s="28" t="s">
        <v>131</v>
      </c>
      <c r="H169" s="28" t="s">
        <v>28</v>
      </c>
      <c r="I169" s="28" t="s">
        <v>676</v>
      </c>
      <c r="J169" s="28" t="s">
        <v>677</v>
      </c>
      <c r="K169" s="29">
        <v>737401508</v>
      </c>
      <c r="L169" s="28" t="s">
        <v>705</v>
      </c>
      <c r="M169" s="30" t="s">
        <v>264</v>
      </c>
      <c r="N169" s="30">
        <f>DATEDIF(L169,M169,"M")</f>
        <v>1</v>
      </c>
      <c r="O169" s="31">
        <v>40</v>
      </c>
      <c r="P169" s="32">
        <v>0.24</v>
      </c>
      <c r="Q169" s="33">
        <v>9.6</v>
      </c>
      <c r="R169" s="28" t="s">
        <v>985</v>
      </c>
      <c r="S169" s="28" t="s">
        <v>990</v>
      </c>
      <c r="T169" s="30" t="s">
        <v>1012</v>
      </c>
      <c r="U169" s="28" t="s">
        <v>1028</v>
      </c>
      <c r="V169" s="28" t="s">
        <v>1027</v>
      </c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</row>
    <row r="170" spans="1:52" s="28" customFormat="1" x14ac:dyDescent="0.25">
      <c r="A170" s="28" t="s">
        <v>127</v>
      </c>
      <c r="B170" s="28" t="s">
        <v>128</v>
      </c>
      <c r="C170" s="28" t="str">
        <f>CONCATENATE(A170," ",B170)</f>
        <v>Kristen Facchini</v>
      </c>
      <c r="D170" s="28" t="s">
        <v>691</v>
      </c>
      <c r="E170" s="28">
        <v>760338</v>
      </c>
      <c r="F170" s="28" t="s">
        <v>129</v>
      </c>
      <c r="G170" s="28" t="s">
        <v>131</v>
      </c>
      <c r="H170" s="28" t="s">
        <v>28</v>
      </c>
      <c r="I170" s="28" t="s">
        <v>676</v>
      </c>
      <c r="J170" s="28" t="s">
        <v>677</v>
      </c>
      <c r="K170" s="29">
        <v>692950875</v>
      </c>
      <c r="L170" s="28" t="s">
        <v>679</v>
      </c>
      <c r="M170" s="30" t="s">
        <v>705</v>
      </c>
      <c r="N170" s="30">
        <f>DATEDIF(L170,M170,"M")</f>
        <v>9</v>
      </c>
      <c r="O170" s="31">
        <v>40</v>
      </c>
      <c r="P170" s="32">
        <v>0.24</v>
      </c>
      <c r="Q170" s="33">
        <v>9.6</v>
      </c>
      <c r="R170" s="28" t="s">
        <v>985</v>
      </c>
      <c r="S170" s="28" t="s">
        <v>996</v>
      </c>
      <c r="T170" s="30">
        <v>8814784</v>
      </c>
      <c r="U170" s="28" t="s">
        <v>1028</v>
      </c>
      <c r="V170" s="28" t="s">
        <v>1029</v>
      </c>
    </row>
    <row r="171" spans="1:52" x14ac:dyDescent="0.25">
      <c r="A171" s="28" t="s">
        <v>127</v>
      </c>
      <c r="B171" s="28" t="s">
        <v>128</v>
      </c>
      <c r="C171" s="28" t="str">
        <f>CONCATENATE(A171," ",B171)</f>
        <v>Kristen Facchini</v>
      </c>
      <c r="D171" s="28" t="s">
        <v>691</v>
      </c>
      <c r="E171" s="28">
        <v>760338</v>
      </c>
      <c r="F171" s="28" t="s">
        <v>129</v>
      </c>
      <c r="G171" s="28" t="s">
        <v>131</v>
      </c>
      <c r="H171" s="28" t="s">
        <v>28</v>
      </c>
      <c r="I171" s="28" t="s">
        <v>676</v>
      </c>
      <c r="J171" s="28" t="s">
        <v>677</v>
      </c>
      <c r="K171" s="29">
        <v>692950875</v>
      </c>
      <c r="L171" s="28" t="s">
        <v>679</v>
      </c>
      <c r="M171" s="30" t="s">
        <v>264</v>
      </c>
      <c r="N171" s="30">
        <f>DATEDIF(L171,M171,"M")</f>
        <v>10</v>
      </c>
      <c r="O171" s="31">
        <v>40</v>
      </c>
      <c r="P171" s="32">
        <v>0.24</v>
      </c>
      <c r="Q171" s="33">
        <v>9.6</v>
      </c>
      <c r="R171" s="28" t="s">
        <v>985</v>
      </c>
      <c r="S171" s="28" t="s">
        <v>996</v>
      </c>
      <c r="T171" s="30">
        <v>8814784</v>
      </c>
      <c r="U171" s="28" t="s">
        <v>1028</v>
      </c>
      <c r="V171" s="28" t="s">
        <v>1029</v>
      </c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</row>
    <row r="172" spans="1:52" x14ac:dyDescent="0.25">
      <c r="A172" s="28" t="s">
        <v>959</v>
      </c>
      <c r="B172" s="28" t="s">
        <v>960</v>
      </c>
      <c r="C172" s="28" t="str">
        <f>CONCATENATE(A172," ",B172)</f>
        <v>Edlawit Tesfaye</v>
      </c>
      <c r="D172" s="28" t="s">
        <v>673</v>
      </c>
      <c r="E172" s="28">
        <v>678726</v>
      </c>
      <c r="F172" s="28" t="s">
        <v>25</v>
      </c>
      <c r="G172" s="28" t="s">
        <v>27</v>
      </c>
      <c r="H172" s="28" t="s">
        <v>28</v>
      </c>
      <c r="I172" s="28" t="s">
        <v>676</v>
      </c>
      <c r="J172" s="28" t="s">
        <v>677</v>
      </c>
      <c r="K172" s="29">
        <v>298408887</v>
      </c>
      <c r="L172" s="28" t="s">
        <v>740</v>
      </c>
      <c r="M172" s="30" t="s">
        <v>705</v>
      </c>
      <c r="N172" s="30">
        <f>DATEDIF(L172,M172,"M")</f>
        <v>10</v>
      </c>
      <c r="O172" s="31">
        <v>30</v>
      </c>
      <c r="P172" s="32">
        <v>0.32</v>
      </c>
      <c r="Q172" s="33">
        <v>9.6</v>
      </c>
      <c r="R172" s="28" t="s">
        <v>983</v>
      </c>
      <c r="S172" s="28" t="s">
        <v>988</v>
      </c>
      <c r="T172" s="30">
        <v>16202925</v>
      </c>
      <c r="U172" s="28" t="s">
        <v>1028</v>
      </c>
      <c r="V172" s="28" t="s">
        <v>1029</v>
      </c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</row>
    <row r="173" spans="1:52" x14ac:dyDescent="0.25">
      <c r="A173" s="28" t="s">
        <v>127</v>
      </c>
      <c r="B173" s="28" t="s">
        <v>128</v>
      </c>
      <c r="C173" s="28" t="str">
        <f>CONCATENATE(A173," ",B173)</f>
        <v>Kristen Facchini</v>
      </c>
      <c r="D173" s="28" t="s">
        <v>691</v>
      </c>
      <c r="E173" s="28">
        <v>760338</v>
      </c>
      <c r="F173" s="28" t="s">
        <v>129</v>
      </c>
      <c r="G173" s="28" t="s">
        <v>131</v>
      </c>
      <c r="H173" s="28" t="s">
        <v>28</v>
      </c>
      <c r="I173" s="28" t="s">
        <v>676</v>
      </c>
      <c r="J173" s="28" t="s">
        <v>677</v>
      </c>
      <c r="K173" s="29">
        <v>692950875</v>
      </c>
      <c r="L173" s="28" t="s">
        <v>679</v>
      </c>
      <c r="M173" s="30" t="s">
        <v>670</v>
      </c>
      <c r="N173" s="30">
        <f>DATEDIF(L173,M173,"M")</f>
        <v>11</v>
      </c>
      <c r="O173" s="31">
        <v>40</v>
      </c>
      <c r="P173" s="32">
        <v>0.24</v>
      </c>
      <c r="Q173" s="33">
        <v>9.6</v>
      </c>
      <c r="R173" s="28" t="s">
        <v>985</v>
      </c>
      <c r="S173" s="28" t="s">
        <v>996</v>
      </c>
      <c r="T173" s="30">
        <v>8814784</v>
      </c>
      <c r="U173" s="28" t="s">
        <v>1028</v>
      </c>
      <c r="V173" s="28" t="s">
        <v>1029</v>
      </c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</row>
    <row r="174" spans="1:52" x14ac:dyDescent="0.25">
      <c r="A174" s="28" t="s">
        <v>959</v>
      </c>
      <c r="B174" s="28" t="s">
        <v>960</v>
      </c>
      <c r="C174" s="28" t="str">
        <f>CONCATENATE(A174," ",B174)</f>
        <v>Edlawit Tesfaye</v>
      </c>
      <c r="D174" s="28" t="s">
        <v>673</v>
      </c>
      <c r="E174" s="28">
        <v>678726</v>
      </c>
      <c r="F174" s="28" t="s">
        <v>25</v>
      </c>
      <c r="G174" s="28" t="s">
        <v>27</v>
      </c>
      <c r="H174" s="28" t="s">
        <v>28</v>
      </c>
      <c r="I174" s="28" t="s">
        <v>676</v>
      </c>
      <c r="J174" s="28" t="s">
        <v>677</v>
      </c>
      <c r="K174" s="29">
        <v>298408887</v>
      </c>
      <c r="L174" s="28" t="s">
        <v>740</v>
      </c>
      <c r="M174" s="30" t="s">
        <v>264</v>
      </c>
      <c r="N174" s="30">
        <f>DATEDIF(L174,M174,"M")</f>
        <v>11</v>
      </c>
      <c r="O174" s="31">
        <v>30</v>
      </c>
      <c r="P174" s="32">
        <v>0.32</v>
      </c>
      <c r="Q174" s="33">
        <v>9.6</v>
      </c>
      <c r="R174" s="28" t="s">
        <v>983</v>
      </c>
      <c r="S174" s="28" t="s">
        <v>988</v>
      </c>
      <c r="T174" s="30">
        <v>16202925</v>
      </c>
      <c r="U174" s="28" t="s">
        <v>1028</v>
      </c>
      <c r="V174" s="28" t="s">
        <v>1029</v>
      </c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</row>
    <row r="175" spans="1:52" x14ac:dyDescent="0.25">
      <c r="A175" s="28" t="s">
        <v>562</v>
      </c>
      <c r="B175" s="28" t="s">
        <v>563</v>
      </c>
      <c r="C175" s="28" t="str">
        <f>CONCATENATE(A175," ",B175)</f>
        <v>Fawn Taylor</v>
      </c>
      <c r="D175" s="28" t="s">
        <v>673</v>
      </c>
      <c r="E175" s="28">
        <v>678726</v>
      </c>
      <c r="F175" s="28" t="s">
        <v>25</v>
      </c>
      <c r="G175" s="28" t="s">
        <v>27</v>
      </c>
      <c r="H175" s="28" t="s">
        <v>28</v>
      </c>
      <c r="I175" s="28" t="s">
        <v>676</v>
      </c>
      <c r="J175" s="28" t="s">
        <v>677</v>
      </c>
      <c r="K175" s="29">
        <v>128182846</v>
      </c>
      <c r="L175" s="28" t="s">
        <v>699</v>
      </c>
      <c r="M175" s="30" t="s">
        <v>705</v>
      </c>
      <c r="N175" s="30">
        <f>DATEDIF(L175,M175,"M")</f>
        <v>11</v>
      </c>
      <c r="O175" s="31">
        <v>30</v>
      </c>
      <c r="P175" s="32">
        <v>0.32</v>
      </c>
      <c r="Q175" s="33">
        <v>9.6</v>
      </c>
      <c r="R175" s="28" t="s">
        <v>983</v>
      </c>
      <c r="S175" s="28" t="s">
        <v>988</v>
      </c>
      <c r="T175" s="30">
        <v>16202925</v>
      </c>
      <c r="U175" s="28" t="s">
        <v>1028</v>
      </c>
      <c r="V175" s="28" t="s">
        <v>1029</v>
      </c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</row>
    <row r="176" spans="1:52" x14ac:dyDescent="0.25">
      <c r="A176" s="28" t="s">
        <v>562</v>
      </c>
      <c r="B176" s="28" t="s">
        <v>563</v>
      </c>
      <c r="C176" s="28" t="str">
        <f>CONCATENATE(A176," ",B176)</f>
        <v>Fawn Taylor</v>
      </c>
      <c r="D176" s="28" t="s">
        <v>673</v>
      </c>
      <c r="E176" s="28">
        <v>678726</v>
      </c>
      <c r="F176" s="28" t="s">
        <v>25</v>
      </c>
      <c r="G176" s="28" t="s">
        <v>27</v>
      </c>
      <c r="H176" s="28" t="s">
        <v>28</v>
      </c>
      <c r="I176" s="28" t="s">
        <v>676</v>
      </c>
      <c r="J176" s="28" t="s">
        <v>677</v>
      </c>
      <c r="K176" s="29">
        <v>128182846</v>
      </c>
      <c r="L176" s="28" t="s">
        <v>699</v>
      </c>
      <c r="M176" s="30" t="s">
        <v>264</v>
      </c>
      <c r="N176" s="30">
        <f>DATEDIF(L176,M176,"M")</f>
        <v>12</v>
      </c>
      <c r="O176" s="31">
        <v>30</v>
      </c>
      <c r="P176" s="32">
        <v>0.32</v>
      </c>
      <c r="Q176" s="33">
        <v>9.6</v>
      </c>
      <c r="R176" s="28" t="s">
        <v>983</v>
      </c>
      <c r="S176" s="28" t="s">
        <v>988</v>
      </c>
      <c r="T176" s="30">
        <v>16202925</v>
      </c>
      <c r="U176" s="28" t="s">
        <v>1028</v>
      </c>
      <c r="V176" s="28" t="s">
        <v>1029</v>
      </c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</row>
    <row r="177" spans="1:52" x14ac:dyDescent="0.25">
      <c r="A177" s="28" t="s">
        <v>562</v>
      </c>
      <c r="B177" s="28" t="s">
        <v>563</v>
      </c>
      <c r="C177" s="28" t="str">
        <f>CONCATENATE(A177," ",B177)</f>
        <v>Fawn Taylor</v>
      </c>
      <c r="D177" s="28" t="s">
        <v>673</v>
      </c>
      <c r="E177" s="28">
        <v>678726</v>
      </c>
      <c r="F177" s="28" t="s">
        <v>25</v>
      </c>
      <c r="G177" s="28" t="s">
        <v>27</v>
      </c>
      <c r="H177" s="28" t="s">
        <v>28</v>
      </c>
      <c r="I177" s="28" t="s">
        <v>676</v>
      </c>
      <c r="J177" s="28" t="s">
        <v>677</v>
      </c>
      <c r="K177" s="29">
        <v>128182846</v>
      </c>
      <c r="L177" s="28" t="s">
        <v>699</v>
      </c>
      <c r="M177" s="30" t="s">
        <v>670</v>
      </c>
      <c r="N177" s="30">
        <f>DATEDIF(L177,M177,"M")</f>
        <v>13</v>
      </c>
      <c r="O177" s="31">
        <v>30</v>
      </c>
      <c r="P177" s="32">
        <v>0.32</v>
      </c>
      <c r="Q177" s="33">
        <v>9.6</v>
      </c>
      <c r="R177" s="28" t="s">
        <v>983</v>
      </c>
      <c r="S177" s="28" t="s">
        <v>988</v>
      </c>
      <c r="T177" s="30">
        <v>16202925</v>
      </c>
      <c r="U177" s="28" t="s">
        <v>1028</v>
      </c>
      <c r="V177" s="28" t="s">
        <v>1029</v>
      </c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</row>
    <row r="178" spans="1:52" x14ac:dyDescent="0.25">
      <c r="A178" s="28" t="s">
        <v>270</v>
      </c>
      <c r="B178" s="28" t="s">
        <v>271</v>
      </c>
      <c r="C178" s="28" t="str">
        <f>CONCATENATE(A178," ",B178)</f>
        <v>Twanna Delva</v>
      </c>
      <c r="D178" s="28" t="s">
        <v>673</v>
      </c>
      <c r="E178" s="28">
        <v>678726</v>
      </c>
      <c r="F178" s="28" t="s">
        <v>25</v>
      </c>
      <c r="G178" s="28" t="s">
        <v>27</v>
      </c>
      <c r="H178" s="28" t="s">
        <v>28</v>
      </c>
      <c r="I178" s="28" t="s">
        <v>676</v>
      </c>
      <c r="J178" s="28" t="s">
        <v>677</v>
      </c>
      <c r="K178" s="29">
        <v>5274878</v>
      </c>
      <c r="L178" s="28" t="s">
        <v>684</v>
      </c>
      <c r="M178" s="30" t="s">
        <v>264</v>
      </c>
      <c r="N178" s="30">
        <f>DATEDIF(L178,M178,"M")</f>
        <v>15</v>
      </c>
      <c r="O178" s="31">
        <v>31.13</v>
      </c>
      <c r="P178" s="32">
        <v>0.32</v>
      </c>
      <c r="Q178" s="33">
        <v>9.9600000000000009</v>
      </c>
      <c r="R178" s="28" t="s">
        <v>983</v>
      </c>
      <c r="S178" s="28" t="s">
        <v>988</v>
      </c>
      <c r="T178" s="30">
        <v>16202925</v>
      </c>
      <c r="U178" s="28" t="s">
        <v>1028</v>
      </c>
      <c r="V178" s="28" t="s">
        <v>1029</v>
      </c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</row>
    <row r="179" spans="1:52" x14ac:dyDescent="0.25">
      <c r="A179" s="28" t="s">
        <v>432</v>
      </c>
      <c r="B179" s="28" t="s">
        <v>433</v>
      </c>
      <c r="C179" s="28" t="str">
        <f>CONCATENATE(A179," ",B179)</f>
        <v>Abigail Duncan</v>
      </c>
      <c r="D179" s="28" t="s">
        <v>673</v>
      </c>
      <c r="E179" s="28">
        <v>678726</v>
      </c>
      <c r="F179" s="28" t="s">
        <v>25</v>
      </c>
      <c r="G179" s="28" t="s">
        <v>27</v>
      </c>
      <c r="H179" s="28" t="s">
        <v>28</v>
      </c>
      <c r="I179" s="28" t="s">
        <v>676</v>
      </c>
      <c r="J179" s="28" t="s">
        <v>677</v>
      </c>
      <c r="K179" s="29">
        <v>168352383</v>
      </c>
      <c r="L179" s="28" t="s">
        <v>684</v>
      </c>
      <c r="M179" s="30" t="s">
        <v>264</v>
      </c>
      <c r="N179" s="30">
        <f>DATEDIF(L179,M179,"M")</f>
        <v>15</v>
      </c>
      <c r="O179" s="31">
        <v>31.13</v>
      </c>
      <c r="P179" s="32">
        <v>0.32</v>
      </c>
      <c r="Q179" s="33">
        <v>9.9600000000000009</v>
      </c>
      <c r="R179" s="28" t="s">
        <v>983</v>
      </c>
      <c r="S179" s="28" t="s">
        <v>988</v>
      </c>
      <c r="T179" s="30">
        <v>16202925</v>
      </c>
      <c r="U179" s="28" t="s">
        <v>1028</v>
      </c>
      <c r="V179" s="28" t="s">
        <v>1029</v>
      </c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</row>
    <row r="180" spans="1:52" x14ac:dyDescent="0.25">
      <c r="A180" s="28" t="s">
        <v>270</v>
      </c>
      <c r="B180" s="28" t="s">
        <v>271</v>
      </c>
      <c r="C180" s="28" t="str">
        <f>CONCATENATE(A180," ",B180)</f>
        <v>Twanna Delva</v>
      </c>
      <c r="D180" s="28" t="s">
        <v>673</v>
      </c>
      <c r="E180" s="28">
        <v>678726</v>
      </c>
      <c r="F180" s="28" t="s">
        <v>25</v>
      </c>
      <c r="G180" s="28" t="s">
        <v>27</v>
      </c>
      <c r="H180" s="28" t="s">
        <v>28</v>
      </c>
      <c r="I180" s="28" t="s">
        <v>676</v>
      </c>
      <c r="J180" s="28" t="s">
        <v>677</v>
      </c>
      <c r="K180" s="29">
        <v>5274878</v>
      </c>
      <c r="L180" s="28" t="s">
        <v>684</v>
      </c>
      <c r="M180" s="30" t="s">
        <v>670</v>
      </c>
      <c r="N180" s="30">
        <f>DATEDIF(L180,M180,"M")</f>
        <v>16</v>
      </c>
      <c r="O180" s="31">
        <v>31.13</v>
      </c>
      <c r="P180" s="32">
        <v>0.32</v>
      </c>
      <c r="Q180" s="33">
        <v>9.9600000000000009</v>
      </c>
      <c r="R180" s="28" t="s">
        <v>983</v>
      </c>
      <c r="S180" s="28" t="s">
        <v>988</v>
      </c>
      <c r="T180" s="30">
        <v>16202925</v>
      </c>
      <c r="U180" s="28" t="s">
        <v>1028</v>
      </c>
      <c r="V180" s="28" t="s">
        <v>1029</v>
      </c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</row>
    <row r="181" spans="1:52" x14ac:dyDescent="0.25">
      <c r="A181" s="28" t="s">
        <v>432</v>
      </c>
      <c r="B181" s="28" t="s">
        <v>433</v>
      </c>
      <c r="C181" s="28" t="str">
        <f>CONCATENATE(A181," ",B181)</f>
        <v>Abigail Duncan</v>
      </c>
      <c r="D181" s="28" t="s">
        <v>673</v>
      </c>
      <c r="E181" s="28">
        <v>678726</v>
      </c>
      <c r="F181" s="28" t="s">
        <v>25</v>
      </c>
      <c r="G181" s="28" t="s">
        <v>27</v>
      </c>
      <c r="H181" s="28" t="s">
        <v>28</v>
      </c>
      <c r="I181" s="28" t="s">
        <v>676</v>
      </c>
      <c r="J181" s="28" t="s">
        <v>677</v>
      </c>
      <c r="K181" s="29">
        <v>168352383</v>
      </c>
      <c r="L181" s="28" t="s">
        <v>684</v>
      </c>
      <c r="M181" s="30" t="s">
        <v>670</v>
      </c>
      <c r="N181" s="30">
        <f>DATEDIF(L181,M181,"M")</f>
        <v>16</v>
      </c>
      <c r="O181" s="31">
        <v>31.13</v>
      </c>
      <c r="P181" s="32">
        <v>0.32</v>
      </c>
      <c r="Q181" s="33">
        <v>9.9600000000000009</v>
      </c>
      <c r="R181" s="28" t="s">
        <v>983</v>
      </c>
      <c r="S181" s="28" t="s">
        <v>988</v>
      </c>
      <c r="T181" s="30">
        <v>16202925</v>
      </c>
      <c r="U181" s="28" t="s">
        <v>1028</v>
      </c>
      <c r="V181" s="28" t="s">
        <v>1029</v>
      </c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</row>
    <row r="182" spans="1:52" x14ac:dyDescent="0.25">
      <c r="A182" s="28" t="s">
        <v>300</v>
      </c>
      <c r="B182" s="28" t="s">
        <v>301</v>
      </c>
      <c r="C182" s="28" t="str">
        <f>CONCATENATE(A182," ",B182)</f>
        <v>Karli Helman</v>
      </c>
      <c r="D182" s="28" t="s">
        <v>695</v>
      </c>
      <c r="E182" s="28">
        <v>820877</v>
      </c>
      <c r="F182" s="28" t="s">
        <v>168</v>
      </c>
      <c r="G182" s="28" t="s">
        <v>38</v>
      </c>
      <c r="H182" s="28" t="s">
        <v>28</v>
      </c>
      <c r="I182" s="28" t="s">
        <v>676</v>
      </c>
      <c r="J182" s="28" t="s">
        <v>677</v>
      </c>
      <c r="K182" s="29">
        <v>318112688</v>
      </c>
      <c r="L182" s="28" t="s">
        <v>719</v>
      </c>
      <c r="M182" s="30" t="s">
        <v>693</v>
      </c>
      <c r="N182" s="30">
        <f>DATEDIF(L182,M182,"M")</f>
        <v>3</v>
      </c>
      <c r="O182" s="31">
        <v>42</v>
      </c>
      <c r="P182" s="32">
        <v>0.24</v>
      </c>
      <c r="Q182" s="33">
        <v>10.08</v>
      </c>
      <c r="R182" s="28" t="s">
        <v>985</v>
      </c>
      <c r="S182" s="28" t="s">
        <v>994</v>
      </c>
      <c r="T182" s="30" t="s">
        <v>1015</v>
      </c>
      <c r="U182" s="28" t="s">
        <v>1028</v>
      </c>
      <c r="V182" s="28" t="s">
        <v>1027</v>
      </c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</row>
    <row r="183" spans="1:52" x14ac:dyDescent="0.25">
      <c r="A183" s="28" t="s">
        <v>300</v>
      </c>
      <c r="B183" s="28" t="s">
        <v>301</v>
      </c>
      <c r="C183" s="28" t="str">
        <f>CONCATENATE(A183," ",B183)</f>
        <v>Karli Helman</v>
      </c>
      <c r="D183" s="28" t="s">
        <v>695</v>
      </c>
      <c r="E183" s="28">
        <v>820877</v>
      </c>
      <c r="F183" s="28" t="s">
        <v>168</v>
      </c>
      <c r="G183" s="28" t="s">
        <v>38</v>
      </c>
      <c r="H183" s="28" t="s">
        <v>28</v>
      </c>
      <c r="I183" s="28" t="s">
        <v>676</v>
      </c>
      <c r="J183" s="28" t="s">
        <v>677</v>
      </c>
      <c r="K183" s="29">
        <v>318112688</v>
      </c>
      <c r="L183" s="28" t="s">
        <v>719</v>
      </c>
      <c r="M183" s="30" t="s">
        <v>705</v>
      </c>
      <c r="N183" s="30">
        <f>DATEDIF(L183,M183,"M")</f>
        <v>4</v>
      </c>
      <c r="O183" s="31">
        <v>42</v>
      </c>
      <c r="P183" s="32">
        <v>0.24</v>
      </c>
      <c r="Q183" s="33">
        <v>10.08</v>
      </c>
      <c r="R183" s="28" t="s">
        <v>985</v>
      </c>
      <c r="S183" s="28" t="s">
        <v>994</v>
      </c>
      <c r="T183" s="30" t="s">
        <v>1015</v>
      </c>
      <c r="U183" s="28" t="s">
        <v>1028</v>
      </c>
      <c r="V183" s="28" t="s">
        <v>1027</v>
      </c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</row>
    <row r="184" spans="1:52" x14ac:dyDescent="0.25">
      <c r="A184" s="28" t="s">
        <v>300</v>
      </c>
      <c r="B184" s="28" t="s">
        <v>301</v>
      </c>
      <c r="C184" s="28" t="str">
        <f>CONCATENATE(A184," ",B184)</f>
        <v>Karli Helman</v>
      </c>
      <c r="D184" s="28" t="s">
        <v>695</v>
      </c>
      <c r="E184" s="28">
        <v>820877</v>
      </c>
      <c r="F184" s="28" t="s">
        <v>168</v>
      </c>
      <c r="G184" s="28" t="s">
        <v>38</v>
      </c>
      <c r="H184" s="28" t="s">
        <v>28</v>
      </c>
      <c r="I184" s="28" t="s">
        <v>676</v>
      </c>
      <c r="J184" s="28" t="s">
        <v>677</v>
      </c>
      <c r="K184" s="29">
        <v>318112688</v>
      </c>
      <c r="L184" s="28" t="s">
        <v>719</v>
      </c>
      <c r="M184" s="30" t="s">
        <v>264</v>
      </c>
      <c r="N184" s="30">
        <f>DATEDIF(L184,M184,"M")</f>
        <v>5</v>
      </c>
      <c r="O184" s="31">
        <v>42</v>
      </c>
      <c r="P184" s="32">
        <v>0.24</v>
      </c>
      <c r="Q184" s="33">
        <v>10.08</v>
      </c>
      <c r="R184" s="28" t="s">
        <v>985</v>
      </c>
      <c r="S184" s="28" t="s">
        <v>994</v>
      </c>
      <c r="T184" s="30" t="s">
        <v>1015</v>
      </c>
      <c r="U184" s="28" t="s">
        <v>1028</v>
      </c>
      <c r="V184" s="28" t="s">
        <v>1027</v>
      </c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</row>
    <row r="185" spans="1:52" x14ac:dyDescent="0.25">
      <c r="A185" s="28" t="s">
        <v>300</v>
      </c>
      <c r="B185" s="28" t="s">
        <v>301</v>
      </c>
      <c r="C185" s="28" t="str">
        <f>CONCATENATE(A185," ",B185)</f>
        <v>Karli Helman</v>
      </c>
      <c r="D185" s="28" t="s">
        <v>695</v>
      </c>
      <c r="E185" s="28">
        <v>820877</v>
      </c>
      <c r="F185" s="28" t="s">
        <v>168</v>
      </c>
      <c r="G185" s="28" t="s">
        <v>38</v>
      </c>
      <c r="H185" s="28" t="s">
        <v>28</v>
      </c>
      <c r="I185" s="28" t="s">
        <v>676</v>
      </c>
      <c r="J185" s="28" t="s">
        <v>677</v>
      </c>
      <c r="K185" s="29">
        <v>318112688</v>
      </c>
      <c r="L185" s="28" t="s">
        <v>719</v>
      </c>
      <c r="M185" s="30" t="s">
        <v>670</v>
      </c>
      <c r="N185" s="30">
        <f>DATEDIF(L185,M185,"M")</f>
        <v>6</v>
      </c>
      <c r="O185" s="31">
        <v>42</v>
      </c>
      <c r="P185" s="32">
        <v>0.24</v>
      </c>
      <c r="Q185" s="33">
        <v>10.08</v>
      </c>
      <c r="R185" s="28" t="s">
        <v>985</v>
      </c>
      <c r="S185" s="28" t="s">
        <v>994</v>
      </c>
      <c r="T185" s="30" t="s">
        <v>1015</v>
      </c>
      <c r="U185" s="28" t="s">
        <v>1028</v>
      </c>
      <c r="V185" s="28" t="s">
        <v>1027</v>
      </c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</row>
    <row r="186" spans="1:52" x14ac:dyDescent="0.25">
      <c r="A186" s="46" t="s">
        <v>970</v>
      </c>
      <c r="B186" s="46" t="s">
        <v>469</v>
      </c>
      <c r="C186" s="28" t="str">
        <f>CONCATENATE(A186," ",B186)</f>
        <v>Monica  Cornelio</v>
      </c>
      <c r="D186" s="46" t="s">
        <v>757</v>
      </c>
      <c r="E186" s="46">
        <v>847313</v>
      </c>
      <c r="F186" s="46" t="s">
        <v>215</v>
      </c>
      <c r="G186" s="46" t="s">
        <v>471</v>
      </c>
      <c r="H186" s="46" t="s">
        <v>85</v>
      </c>
      <c r="I186" s="46" t="s">
        <v>676</v>
      </c>
      <c r="J186" s="46" t="s">
        <v>677</v>
      </c>
      <c r="K186" s="47">
        <v>109514918</v>
      </c>
      <c r="L186" s="46" t="s">
        <v>734</v>
      </c>
      <c r="M186" s="48" t="s">
        <v>693</v>
      </c>
      <c r="N186" s="48">
        <f>DATEDIF(L186,M186,"M")</f>
        <v>7</v>
      </c>
      <c r="O186" s="49">
        <v>50</v>
      </c>
      <c r="P186" s="50">
        <v>0.24</v>
      </c>
      <c r="Q186" s="51">
        <v>12</v>
      </c>
      <c r="R186" s="46" t="s">
        <v>985</v>
      </c>
      <c r="S186" s="46" t="s">
        <v>1002</v>
      </c>
      <c r="T186" s="48">
        <v>21421111</v>
      </c>
      <c r="U186" s="46" t="s">
        <v>1028</v>
      </c>
      <c r="V186" s="46" t="s">
        <v>1027</v>
      </c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</row>
    <row r="187" spans="1:52" x14ac:dyDescent="0.25">
      <c r="A187" s="46" t="s">
        <v>970</v>
      </c>
      <c r="B187" s="46" t="s">
        <v>469</v>
      </c>
      <c r="C187" s="28" t="str">
        <f>CONCATENATE(A187," ",B187)</f>
        <v>Monica  Cornelio</v>
      </c>
      <c r="D187" s="46" t="s">
        <v>757</v>
      </c>
      <c r="E187" s="46">
        <v>847313</v>
      </c>
      <c r="F187" s="46" t="s">
        <v>215</v>
      </c>
      <c r="G187" s="46" t="s">
        <v>471</v>
      </c>
      <c r="H187" s="46" t="s">
        <v>85</v>
      </c>
      <c r="I187" s="46" t="s">
        <v>676</v>
      </c>
      <c r="J187" s="46" t="s">
        <v>677</v>
      </c>
      <c r="K187" s="47">
        <v>109514918</v>
      </c>
      <c r="L187" s="46" t="s">
        <v>734</v>
      </c>
      <c r="M187" s="48" t="s">
        <v>705</v>
      </c>
      <c r="N187" s="48">
        <f>DATEDIF(L187,M187,"M")</f>
        <v>8</v>
      </c>
      <c r="O187" s="49">
        <v>50</v>
      </c>
      <c r="P187" s="50">
        <v>0.24</v>
      </c>
      <c r="Q187" s="51">
        <v>12</v>
      </c>
      <c r="R187" s="46" t="s">
        <v>985</v>
      </c>
      <c r="S187" s="46" t="s">
        <v>1002</v>
      </c>
      <c r="T187" s="48">
        <v>21421111</v>
      </c>
      <c r="U187" s="46" t="s">
        <v>1028</v>
      </c>
      <c r="V187" s="46" t="s">
        <v>1029</v>
      </c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</row>
    <row r="188" spans="1:52" x14ac:dyDescent="0.25">
      <c r="A188" s="28" t="s">
        <v>204</v>
      </c>
      <c r="B188" s="28" t="s">
        <v>469</v>
      </c>
      <c r="C188" s="28" t="str">
        <f>CONCATENATE(A188," ",B188)</f>
        <v>Monica Cornelio</v>
      </c>
      <c r="D188" s="28" t="s">
        <v>757</v>
      </c>
      <c r="E188" s="28">
        <v>847313</v>
      </c>
      <c r="F188" s="28" t="s">
        <v>215</v>
      </c>
      <c r="G188" s="28" t="s">
        <v>471</v>
      </c>
      <c r="H188" s="28" t="s">
        <v>85</v>
      </c>
      <c r="I188" s="28" t="s">
        <v>676</v>
      </c>
      <c r="J188" s="28" t="s">
        <v>677</v>
      </c>
      <c r="K188" s="29">
        <v>109514918</v>
      </c>
      <c r="L188" s="28" t="s">
        <v>734</v>
      </c>
      <c r="M188" s="30" t="s">
        <v>264</v>
      </c>
      <c r="N188" s="30">
        <f>DATEDIF(L188,M188,"M")</f>
        <v>9</v>
      </c>
      <c r="O188" s="31">
        <v>50</v>
      </c>
      <c r="P188" s="32">
        <v>0.24</v>
      </c>
      <c r="Q188" s="33">
        <v>12</v>
      </c>
      <c r="R188" s="28" t="s">
        <v>985</v>
      </c>
      <c r="S188" s="28" t="s">
        <v>1002</v>
      </c>
      <c r="T188" s="30">
        <v>21421111</v>
      </c>
      <c r="U188" s="28" t="s">
        <v>1028</v>
      </c>
      <c r="V188" s="28" t="s">
        <v>1029</v>
      </c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</row>
    <row r="189" spans="1:52" s="28" customFormat="1" x14ac:dyDescent="0.25">
      <c r="A189" s="28" t="s">
        <v>595</v>
      </c>
      <c r="B189" s="28" t="s">
        <v>596</v>
      </c>
      <c r="C189" s="28" t="str">
        <f>CONCATENATE(A189," ",B189)</f>
        <v>Lindsey Cleland</v>
      </c>
      <c r="D189" s="28" t="s">
        <v>777</v>
      </c>
      <c r="E189" s="28">
        <v>759555</v>
      </c>
      <c r="F189" s="28" t="s">
        <v>143</v>
      </c>
      <c r="G189" s="28" t="s">
        <v>38</v>
      </c>
      <c r="H189" s="28" t="s">
        <v>28</v>
      </c>
      <c r="I189" s="28" t="s">
        <v>676</v>
      </c>
      <c r="J189" s="28" t="s">
        <v>677</v>
      </c>
      <c r="K189" s="29">
        <v>151982465</v>
      </c>
      <c r="L189" s="28" t="s">
        <v>264</v>
      </c>
      <c r="M189" s="30" t="s">
        <v>670</v>
      </c>
      <c r="N189" s="30">
        <f>DATEDIF(L189,M189,"M")</f>
        <v>1</v>
      </c>
      <c r="O189" s="31">
        <v>52</v>
      </c>
      <c r="P189" s="32">
        <v>0.24</v>
      </c>
      <c r="Q189" s="33">
        <v>12.48</v>
      </c>
      <c r="R189" s="28" t="s">
        <v>985</v>
      </c>
      <c r="S189" s="28" t="s">
        <v>990</v>
      </c>
      <c r="T189" s="30" t="s">
        <v>1012</v>
      </c>
      <c r="U189" s="28" t="s">
        <v>1028</v>
      </c>
      <c r="V189" s="28" t="s">
        <v>1027</v>
      </c>
    </row>
    <row r="190" spans="1:52" s="28" customFormat="1" x14ac:dyDescent="0.25">
      <c r="A190" s="28" t="s">
        <v>261</v>
      </c>
      <c r="B190" s="28" t="s">
        <v>262</v>
      </c>
      <c r="C190" s="28" t="str">
        <f>CONCATENATE(A190," ",B190)</f>
        <v>William Kates</v>
      </c>
      <c r="D190" s="28" t="s">
        <v>691</v>
      </c>
      <c r="E190" s="28">
        <v>759555</v>
      </c>
      <c r="F190" s="28" t="s">
        <v>143</v>
      </c>
      <c r="G190" s="28" t="s">
        <v>38</v>
      </c>
      <c r="H190" s="28" t="s">
        <v>28</v>
      </c>
      <c r="I190" s="28" t="s">
        <v>676</v>
      </c>
      <c r="J190" s="28" t="s">
        <v>677</v>
      </c>
      <c r="K190" s="29">
        <v>664991529</v>
      </c>
      <c r="L190" s="28" t="s">
        <v>693</v>
      </c>
      <c r="M190" s="30" t="s">
        <v>705</v>
      </c>
      <c r="N190" s="30">
        <f>DATEDIF(L190,M190,"M")</f>
        <v>1</v>
      </c>
      <c r="O190" s="31">
        <v>52</v>
      </c>
      <c r="P190" s="32">
        <v>0.24</v>
      </c>
      <c r="Q190" s="33">
        <v>12.48</v>
      </c>
      <c r="R190" s="28" t="s">
        <v>985</v>
      </c>
      <c r="S190" s="28" t="s">
        <v>990</v>
      </c>
      <c r="T190" s="30" t="s">
        <v>1012</v>
      </c>
      <c r="U190" s="28" t="s">
        <v>1028</v>
      </c>
      <c r="V190" s="28" t="s">
        <v>1027</v>
      </c>
    </row>
    <row r="191" spans="1:52" s="28" customFormat="1" x14ac:dyDescent="0.25">
      <c r="A191" s="28" t="s">
        <v>261</v>
      </c>
      <c r="B191" s="28" t="s">
        <v>262</v>
      </c>
      <c r="C191" s="28" t="str">
        <f>CONCATENATE(A191," ",B191)</f>
        <v>William Kates</v>
      </c>
      <c r="D191" s="28" t="s">
        <v>691</v>
      </c>
      <c r="E191" s="28">
        <v>759555</v>
      </c>
      <c r="F191" s="28" t="s">
        <v>143</v>
      </c>
      <c r="G191" s="28" t="s">
        <v>38</v>
      </c>
      <c r="H191" s="28" t="s">
        <v>28</v>
      </c>
      <c r="I191" s="28" t="s">
        <v>676</v>
      </c>
      <c r="J191" s="28" t="s">
        <v>677</v>
      </c>
      <c r="K191" s="29">
        <v>664991529</v>
      </c>
      <c r="L191" s="28" t="s">
        <v>693</v>
      </c>
      <c r="M191" s="30" t="s">
        <v>264</v>
      </c>
      <c r="N191" s="30">
        <f>DATEDIF(L191,M191,"M")</f>
        <v>2</v>
      </c>
      <c r="O191" s="31">
        <v>52</v>
      </c>
      <c r="P191" s="32">
        <v>0.24</v>
      </c>
      <c r="Q191" s="33">
        <v>12.48</v>
      </c>
      <c r="R191" s="28" t="s">
        <v>985</v>
      </c>
      <c r="S191" s="28" t="s">
        <v>990</v>
      </c>
      <c r="T191" s="30" t="s">
        <v>1012</v>
      </c>
      <c r="U191" s="28" t="s">
        <v>1028</v>
      </c>
      <c r="V191" s="28" t="s">
        <v>1027</v>
      </c>
    </row>
    <row r="192" spans="1:52" s="28" customFormat="1" x14ac:dyDescent="0.25">
      <c r="A192" s="28" t="s">
        <v>261</v>
      </c>
      <c r="B192" s="28" t="s">
        <v>262</v>
      </c>
      <c r="C192" s="28" t="str">
        <f>CONCATENATE(A192," ",B192)</f>
        <v>William Kates</v>
      </c>
      <c r="D192" s="28" t="s">
        <v>691</v>
      </c>
      <c r="E192" s="28">
        <v>759555</v>
      </c>
      <c r="F192" s="28" t="s">
        <v>143</v>
      </c>
      <c r="G192" s="28" t="s">
        <v>38</v>
      </c>
      <c r="H192" s="28" t="s">
        <v>28</v>
      </c>
      <c r="I192" s="28" t="s">
        <v>676</v>
      </c>
      <c r="J192" s="28" t="s">
        <v>677</v>
      </c>
      <c r="K192" s="29">
        <v>664991529</v>
      </c>
      <c r="L192" s="28" t="s">
        <v>693</v>
      </c>
      <c r="M192" s="30" t="s">
        <v>670</v>
      </c>
      <c r="N192" s="30">
        <f>DATEDIF(L192,M192,"M")</f>
        <v>3</v>
      </c>
      <c r="O192" s="31">
        <v>52</v>
      </c>
      <c r="P192" s="32">
        <v>0.24</v>
      </c>
      <c r="Q192" s="33">
        <v>12.48</v>
      </c>
      <c r="R192" s="28" t="s">
        <v>985</v>
      </c>
      <c r="S192" s="28" t="s">
        <v>990</v>
      </c>
      <c r="T192" s="30" t="s">
        <v>1012</v>
      </c>
      <c r="U192" s="28" t="s">
        <v>1028</v>
      </c>
      <c r="V192" s="28" t="s">
        <v>1027</v>
      </c>
    </row>
    <row r="193" spans="1:52" s="34" customFormat="1" x14ac:dyDescent="0.25">
      <c r="A193" s="28" t="s">
        <v>975</v>
      </c>
      <c r="B193" s="28" t="s">
        <v>976</v>
      </c>
      <c r="C193" s="28" t="str">
        <f>CONCATENATE(A193," ",B193)</f>
        <v>Petar Erceg</v>
      </c>
      <c r="D193" s="28" t="s">
        <v>691</v>
      </c>
      <c r="E193" s="28">
        <v>760338</v>
      </c>
      <c r="F193" s="28" t="s">
        <v>129</v>
      </c>
      <c r="G193" s="28" t="s">
        <v>964</v>
      </c>
      <c r="H193" s="28" t="s">
        <v>28</v>
      </c>
      <c r="I193" s="28" t="s">
        <v>676</v>
      </c>
      <c r="J193" s="28" t="s">
        <v>677</v>
      </c>
      <c r="K193" s="29">
        <v>314432006</v>
      </c>
      <c r="L193" s="28" t="s">
        <v>693</v>
      </c>
      <c r="M193" s="30" t="s">
        <v>705</v>
      </c>
      <c r="N193" s="30">
        <f>DATEDIF(L193,M193,"M")</f>
        <v>1</v>
      </c>
      <c r="O193" s="31">
        <v>55</v>
      </c>
      <c r="P193" s="32">
        <v>0.24</v>
      </c>
      <c r="Q193" s="33">
        <v>13.2</v>
      </c>
      <c r="R193" s="28" t="s">
        <v>985</v>
      </c>
      <c r="S193" s="28" t="s">
        <v>996</v>
      </c>
      <c r="T193" s="30" t="s">
        <v>1022</v>
      </c>
      <c r="U193" s="28" t="s">
        <v>1028</v>
      </c>
      <c r="V193" s="28" t="s">
        <v>1027</v>
      </c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</row>
    <row r="194" spans="1:52" s="34" customFormat="1" x14ac:dyDescent="0.25">
      <c r="A194" s="28" t="s">
        <v>961</v>
      </c>
      <c r="B194" s="28" t="s">
        <v>962</v>
      </c>
      <c r="C194" s="28" t="str">
        <f>CONCATENATE(A194," ",B194)</f>
        <v>Stephan Dagovitz</v>
      </c>
      <c r="D194" s="28" t="s">
        <v>691</v>
      </c>
      <c r="E194" s="28">
        <v>884716</v>
      </c>
      <c r="F194" s="28" t="s">
        <v>963</v>
      </c>
      <c r="G194" s="28" t="s">
        <v>964</v>
      </c>
      <c r="H194" s="28" t="s">
        <v>28</v>
      </c>
      <c r="I194" s="28" t="s">
        <v>676</v>
      </c>
      <c r="J194" s="28" t="s">
        <v>677</v>
      </c>
      <c r="K194" s="29">
        <v>439869219</v>
      </c>
      <c r="L194" s="28" t="s">
        <v>719</v>
      </c>
      <c r="M194" s="30" t="s">
        <v>705</v>
      </c>
      <c r="N194" s="30">
        <f>DATEDIF(L194,M194,"M")</f>
        <v>4</v>
      </c>
      <c r="O194" s="31">
        <v>55</v>
      </c>
      <c r="P194" s="32">
        <v>0.24</v>
      </c>
      <c r="Q194" s="33">
        <v>13.2</v>
      </c>
      <c r="R194" s="28" t="s">
        <v>985</v>
      </c>
      <c r="S194" s="28" t="s">
        <v>1010</v>
      </c>
      <c r="T194" s="30" t="s">
        <v>1021</v>
      </c>
      <c r="U194" s="28" t="s">
        <v>1028</v>
      </c>
      <c r="V194" s="28" t="s">
        <v>1027</v>
      </c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</row>
    <row r="195" spans="1:52" s="34" customFormat="1" x14ac:dyDescent="0.25">
      <c r="A195" s="28" t="s">
        <v>961</v>
      </c>
      <c r="B195" s="28" t="s">
        <v>962</v>
      </c>
      <c r="C195" s="28" t="str">
        <f>CONCATENATE(A195," ",B195)</f>
        <v>Stephan Dagovitz</v>
      </c>
      <c r="D195" s="28" t="s">
        <v>691</v>
      </c>
      <c r="E195" s="28">
        <v>884716</v>
      </c>
      <c r="F195" s="28" t="s">
        <v>963</v>
      </c>
      <c r="G195" s="28" t="s">
        <v>964</v>
      </c>
      <c r="H195" s="28" t="s">
        <v>28</v>
      </c>
      <c r="I195" s="28" t="s">
        <v>676</v>
      </c>
      <c r="J195" s="28" t="s">
        <v>677</v>
      </c>
      <c r="K195" s="29">
        <v>439869219</v>
      </c>
      <c r="L195" s="28" t="s">
        <v>719</v>
      </c>
      <c r="M195" s="30" t="s">
        <v>264</v>
      </c>
      <c r="N195" s="30">
        <f>DATEDIF(L195,M195,"M")</f>
        <v>5</v>
      </c>
      <c r="O195" s="31">
        <v>55</v>
      </c>
      <c r="P195" s="32">
        <v>0.24</v>
      </c>
      <c r="Q195" s="33">
        <v>13.2</v>
      </c>
      <c r="R195" s="28" t="s">
        <v>985</v>
      </c>
      <c r="S195" s="28" t="s">
        <v>1010</v>
      </c>
      <c r="T195" s="30" t="s">
        <v>1021</v>
      </c>
      <c r="U195" s="28" t="s">
        <v>1028</v>
      </c>
      <c r="V195" s="28" t="s">
        <v>1027</v>
      </c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</row>
    <row r="196" spans="1:52" s="34" customFormat="1" x14ac:dyDescent="0.25">
      <c r="A196" s="46" t="s">
        <v>166</v>
      </c>
      <c r="B196" s="46" t="s">
        <v>167</v>
      </c>
      <c r="C196" s="28" t="str">
        <f>CONCATENATE(A196," ",B196)</f>
        <v>Carl Pine</v>
      </c>
      <c r="D196" s="46" t="s">
        <v>695</v>
      </c>
      <c r="E196" s="46">
        <v>820877</v>
      </c>
      <c r="F196" s="46" t="s">
        <v>168</v>
      </c>
      <c r="G196" s="46" t="s">
        <v>27</v>
      </c>
      <c r="H196" s="46" t="s">
        <v>85</v>
      </c>
      <c r="I196" s="46" t="s">
        <v>676</v>
      </c>
      <c r="J196" s="46" t="s">
        <v>677</v>
      </c>
      <c r="K196" s="47">
        <v>328251776</v>
      </c>
      <c r="L196" s="46" t="s">
        <v>872</v>
      </c>
      <c r="M196" s="48" t="s">
        <v>705</v>
      </c>
      <c r="N196" s="48">
        <f>DATEDIF(L196,M196,"M")</f>
        <v>7</v>
      </c>
      <c r="O196" s="49">
        <v>46</v>
      </c>
      <c r="P196" s="50">
        <v>0.32</v>
      </c>
      <c r="Q196" s="51">
        <v>14.72</v>
      </c>
      <c r="R196" s="46" t="s">
        <v>983</v>
      </c>
      <c r="S196" s="46" t="s">
        <v>994</v>
      </c>
      <c r="T196" s="48" t="s">
        <v>1015</v>
      </c>
      <c r="U196" s="46" t="s">
        <v>1028</v>
      </c>
      <c r="V196" s="46" t="s">
        <v>1027</v>
      </c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</row>
    <row r="197" spans="1:52" s="34" customFormat="1" x14ac:dyDescent="0.25">
      <c r="A197" s="46" t="s">
        <v>166</v>
      </c>
      <c r="B197" s="46" t="s">
        <v>167</v>
      </c>
      <c r="C197" s="28" t="str">
        <f>CONCATENATE(A197," ",B197)</f>
        <v>Carl Pine</v>
      </c>
      <c r="D197" s="46" t="s">
        <v>695</v>
      </c>
      <c r="E197" s="46">
        <v>820877</v>
      </c>
      <c r="F197" s="46" t="s">
        <v>168</v>
      </c>
      <c r="G197" s="46" t="s">
        <v>27</v>
      </c>
      <c r="H197" s="46" t="s">
        <v>85</v>
      </c>
      <c r="I197" s="46" t="s">
        <v>676</v>
      </c>
      <c r="J197" s="46" t="s">
        <v>677</v>
      </c>
      <c r="K197" s="47">
        <v>328251776</v>
      </c>
      <c r="L197" s="46" t="s">
        <v>872</v>
      </c>
      <c r="M197" s="48" t="s">
        <v>264</v>
      </c>
      <c r="N197" s="48">
        <f>DATEDIF(L197,M197,"M")</f>
        <v>8</v>
      </c>
      <c r="O197" s="49">
        <v>46</v>
      </c>
      <c r="P197" s="50">
        <v>0.32</v>
      </c>
      <c r="Q197" s="51">
        <v>14.72</v>
      </c>
      <c r="R197" s="46" t="s">
        <v>983</v>
      </c>
      <c r="S197" s="46" t="s">
        <v>994</v>
      </c>
      <c r="T197" s="48" t="s">
        <v>1015</v>
      </c>
      <c r="U197" s="46" t="s">
        <v>1028</v>
      </c>
      <c r="V197" s="46" t="s">
        <v>1029</v>
      </c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</row>
    <row r="198" spans="1:52" s="34" customFormat="1" x14ac:dyDescent="0.25">
      <c r="A198" s="28" t="s">
        <v>166</v>
      </c>
      <c r="B198" s="28" t="s">
        <v>167</v>
      </c>
      <c r="C198" s="28" t="str">
        <f>CONCATENATE(A198," ",B198)</f>
        <v>Carl Pine</v>
      </c>
      <c r="D198" s="28" t="s">
        <v>695</v>
      </c>
      <c r="E198" s="28">
        <v>820877</v>
      </c>
      <c r="F198" s="28" t="s">
        <v>168</v>
      </c>
      <c r="G198" s="28" t="s">
        <v>27</v>
      </c>
      <c r="H198" s="28" t="s">
        <v>85</v>
      </c>
      <c r="I198" s="28" t="s">
        <v>676</v>
      </c>
      <c r="J198" s="28" t="s">
        <v>677</v>
      </c>
      <c r="K198" s="29">
        <v>328251776</v>
      </c>
      <c r="L198" s="28" t="s">
        <v>872</v>
      </c>
      <c r="M198" s="30" t="s">
        <v>670</v>
      </c>
      <c r="N198" s="30">
        <f>DATEDIF(L198,M198,"M")</f>
        <v>9</v>
      </c>
      <c r="O198" s="31">
        <v>46</v>
      </c>
      <c r="P198" s="32">
        <v>0.32</v>
      </c>
      <c r="Q198" s="33">
        <v>14.72</v>
      </c>
      <c r="R198" s="28" t="s">
        <v>983</v>
      </c>
      <c r="S198" s="28" t="s">
        <v>994</v>
      </c>
      <c r="T198" s="30" t="s">
        <v>1015</v>
      </c>
      <c r="U198" s="28" t="s">
        <v>1028</v>
      </c>
      <c r="V198" s="28" t="s">
        <v>1029</v>
      </c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</row>
    <row r="199" spans="1:52" s="34" customFormat="1" x14ac:dyDescent="0.25">
      <c r="A199" s="28" t="s">
        <v>586</v>
      </c>
      <c r="B199" s="28" t="s">
        <v>316</v>
      </c>
      <c r="C199" s="28" t="str">
        <f>CONCATENATE(A199," ",B199)</f>
        <v>Gary Gaines</v>
      </c>
      <c r="D199" s="28" t="s">
        <v>695</v>
      </c>
      <c r="E199" s="28">
        <v>820877</v>
      </c>
      <c r="F199" s="28" t="s">
        <v>168</v>
      </c>
      <c r="G199" s="28" t="s">
        <v>27</v>
      </c>
      <c r="H199" s="28" t="s">
        <v>85</v>
      </c>
      <c r="I199" s="28" t="s">
        <v>676</v>
      </c>
      <c r="J199" s="28" t="s">
        <v>677</v>
      </c>
      <c r="K199" s="29">
        <v>437691397</v>
      </c>
      <c r="L199" s="28" t="s">
        <v>740</v>
      </c>
      <c r="M199" s="30" t="s">
        <v>705</v>
      </c>
      <c r="N199" s="30">
        <f>DATEDIF(L199,M199,"M")</f>
        <v>10</v>
      </c>
      <c r="O199" s="31">
        <v>50</v>
      </c>
      <c r="P199" s="32">
        <v>0.32</v>
      </c>
      <c r="Q199" s="33">
        <v>16</v>
      </c>
      <c r="R199" s="28" t="s">
        <v>983</v>
      </c>
      <c r="S199" s="28" t="s">
        <v>994</v>
      </c>
      <c r="T199" s="30" t="s">
        <v>1019</v>
      </c>
      <c r="U199" s="28" t="s">
        <v>1028</v>
      </c>
      <c r="V199" s="28" t="s">
        <v>1029</v>
      </c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</row>
    <row r="200" spans="1:52" s="34" customFormat="1" x14ac:dyDescent="0.25">
      <c r="A200" s="28" t="s">
        <v>586</v>
      </c>
      <c r="B200" s="28" t="s">
        <v>316</v>
      </c>
      <c r="C200" s="28" t="str">
        <f>CONCATENATE(A200," ",B200)</f>
        <v>Gary Gaines</v>
      </c>
      <c r="D200" s="28" t="s">
        <v>695</v>
      </c>
      <c r="E200" s="28">
        <v>820877</v>
      </c>
      <c r="F200" s="28" t="s">
        <v>168</v>
      </c>
      <c r="G200" s="28" t="s">
        <v>27</v>
      </c>
      <c r="H200" s="28" t="s">
        <v>85</v>
      </c>
      <c r="I200" s="28" t="s">
        <v>676</v>
      </c>
      <c r="J200" s="28" t="s">
        <v>677</v>
      </c>
      <c r="K200" s="29">
        <v>437691397</v>
      </c>
      <c r="L200" s="28" t="s">
        <v>740</v>
      </c>
      <c r="M200" s="30" t="s">
        <v>264</v>
      </c>
      <c r="N200" s="30">
        <f>DATEDIF(L200,M200,"M")</f>
        <v>11</v>
      </c>
      <c r="O200" s="31">
        <v>50</v>
      </c>
      <c r="P200" s="32">
        <v>0.32</v>
      </c>
      <c r="Q200" s="33">
        <v>16</v>
      </c>
      <c r="R200" s="28" t="s">
        <v>983</v>
      </c>
      <c r="S200" s="28" t="s">
        <v>994</v>
      </c>
      <c r="T200" s="30" t="s">
        <v>1019</v>
      </c>
      <c r="U200" s="28" t="s">
        <v>1028</v>
      </c>
      <c r="V200" s="28" t="s">
        <v>1029</v>
      </c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</row>
    <row r="201" spans="1:52" s="34" customFormat="1" x14ac:dyDescent="0.25">
      <c r="A201" s="28" t="s">
        <v>266</v>
      </c>
      <c r="B201" s="28" t="s">
        <v>267</v>
      </c>
      <c r="C201" s="28" t="str">
        <f>CONCATENATE(A201," ",B201)</f>
        <v>Michelle Barnowski</v>
      </c>
      <c r="D201" s="28" t="s">
        <v>673</v>
      </c>
      <c r="E201" s="28">
        <v>678726</v>
      </c>
      <c r="F201" s="28" t="s">
        <v>25</v>
      </c>
      <c r="G201" s="28" t="s">
        <v>27</v>
      </c>
      <c r="H201" s="28" t="s">
        <v>85</v>
      </c>
      <c r="I201" s="28" t="s">
        <v>676</v>
      </c>
      <c r="J201" s="28" t="s">
        <v>677</v>
      </c>
      <c r="K201" s="29">
        <v>760186562</v>
      </c>
      <c r="L201" s="28" t="s">
        <v>699</v>
      </c>
      <c r="M201" s="30" t="s">
        <v>705</v>
      </c>
      <c r="N201" s="30">
        <f>DATEDIF(L201,M201,"M")</f>
        <v>11</v>
      </c>
      <c r="O201" s="31">
        <v>50</v>
      </c>
      <c r="P201" s="32">
        <v>0.32</v>
      </c>
      <c r="Q201" s="33">
        <v>16</v>
      </c>
      <c r="R201" s="28" t="s">
        <v>983</v>
      </c>
      <c r="S201" s="28" t="s">
        <v>988</v>
      </c>
      <c r="T201" s="30">
        <v>16202925</v>
      </c>
      <c r="U201" s="28" t="s">
        <v>1028</v>
      </c>
      <c r="V201" s="28" t="s">
        <v>1029</v>
      </c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</row>
    <row r="202" spans="1:52" s="34" customFormat="1" x14ac:dyDescent="0.25">
      <c r="A202" s="28" t="s">
        <v>178</v>
      </c>
      <c r="B202" s="28" t="s">
        <v>179</v>
      </c>
      <c r="C202" s="28" t="str">
        <f>CONCATENATE(A202," ",B202)</f>
        <v>Gene Gerzsenyi</v>
      </c>
      <c r="D202" s="28" t="s">
        <v>673</v>
      </c>
      <c r="E202" s="28">
        <v>678726</v>
      </c>
      <c r="F202" s="28" t="s">
        <v>25</v>
      </c>
      <c r="G202" s="28" t="s">
        <v>27</v>
      </c>
      <c r="H202" s="28" t="s">
        <v>85</v>
      </c>
      <c r="I202" s="28" t="s">
        <v>676</v>
      </c>
      <c r="J202" s="28" t="s">
        <v>677</v>
      </c>
      <c r="K202" s="29">
        <v>877044360</v>
      </c>
      <c r="L202" s="28" t="s">
        <v>699</v>
      </c>
      <c r="M202" s="30" t="s">
        <v>705</v>
      </c>
      <c r="N202" s="30">
        <f>DATEDIF(L202,M202,"M")</f>
        <v>11</v>
      </c>
      <c r="O202" s="31">
        <v>50</v>
      </c>
      <c r="P202" s="32">
        <v>0.32</v>
      </c>
      <c r="Q202" s="33">
        <v>16</v>
      </c>
      <c r="R202" s="28" t="s">
        <v>983</v>
      </c>
      <c r="S202" s="28" t="s">
        <v>988</v>
      </c>
      <c r="T202" s="30">
        <v>16202925</v>
      </c>
      <c r="U202" s="28" t="s">
        <v>1028</v>
      </c>
      <c r="V202" s="28" t="s">
        <v>1029</v>
      </c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</row>
    <row r="203" spans="1:52" x14ac:dyDescent="0.25">
      <c r="A203" s="28" t="s">
        <v>586</v>
      </c>
      <c r="B203" s="28" t="s">
        <v>316</v>
      </c>
      <c r="C203" s="28" t="str">
        <f>CONCATENATE(A203," ",B203)</f>
        <v>Gary Gaines</v>
      </c>
      <c r="D203" s="28" t="s">
        <v>695</v>
      </c>
      <c r="E203" s="28">
        <v>820877</v>
      </c>
      <c r="F203" s="28" t="s">
        <v>168</v>
      </c>
      <c r="G203" s="28" t="s">
        <v>27</v>
      </c>
      <c r="H203" s="28" t="s">
        <v>85</v>
      </c>
      <c r="I203" s="28" t="s">
        <v>676</v>
      </c>
      <c r="J203" s="28" t="s">
        <v>677</v>
      </c>
      <c r="K203" s="29">
        <v>437691397</v>
      </c>
      <c r="L203" s="28" t="s">
        <v>740</v>
      </c>
      <c r="M203" s="30" t="s">
        <v>670</v>
      </c>
      <c r="N203" s="30">
        <f>DATEDIF(L203,M203,"M")</f>
        <v>12</v>
      </c>
      <c r="O203" s="31">
        <v>50</v>
      </c>
      <c r="P203" s="32">
        <v>0.32</v>
      </c>
      <c r="Q203" s="33">
        <v>16</v>
      </c>
      <c r="R203" s="28" t="s">
        <v>983</v>
      </c>
      <c r="S203" s="28" t="s">
        <v>994</v>
      </c>
      <c r="T203" s="30" t="s">
        <v>1019</v>
      </c>
      <c r="U203" s="28" t="s">
        <v>1028</v>
      </c>
      <c r="V203" s="28" t="s">
        <v>1029</v>
      </c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</row>
    <row r="204" spans="1:52" x14ac:dyDescent="0.25">
      <c r="A204" s="28" t="s">
        <v>266</v>
      </c>
      <c r="B204" s="28" t="s">
        <v>267</v>
      </c>
      <c r="C204" s="28" t="str">
        <f>CONCATENATE(A204," ",B204)</f>
        <v>Michelle Barnowski</v>
      </c>
      <c r="D204" s="28" t="s">
        <v>673</v>
      </c>
      <c r="E204" s="28">
        <v>678726</v>
      </c>
      <c r="F204" s="28" t="s">
        <v>25</v>
      </c>
      <c r="G204" s="28" t="s">
        <v>27</v>
      </c>
      <c r="H204" s="28" t="s">
        <v>85</v>
      </c>
      <c r="I204" s="28" t="s">
        <v>676</v>
      </c>
      <c r="J204" s="28" t="s">
        <v>677</v>
      </c>
      <c r="K204" s="29">
        <v>760186562</v>
      </c>
      <c r="L204" s="28" t="s">
        <v>699</v>
      </c>
      <c r="M204" s="30" t="s">
        <v>264</v>
      </c>
      <c r="N204" s="30">
        <f>DATEDIF(L204,M204,"M")</f>
        <v>12</v>
      </c>
      <c r="O204" s="31">
        <v>50</v>
      </c>
      <c r="P204" s="32">
        <v>0.32</v>
      </c>
      <c r="Q204" s="33">
        <v>16</v>
      </c>
      <c r="R204" s="28" t="s">
        <v>983</v>
      </c>
      <c r="S204" s="28" t="s">
        <v>988</v>
      </c>
      <c r="T204" s="30">
        <v>16202925</v>
      </c>
      <c r="U204" s="28" t="s">
        <v>1028</v>
      </c>
      <c r="V204" s="28" t="s">
        <v>1029</v>
      </c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</row>
    <row r="205" spans="1:52" x14ac:dyDescent="0.25">
      <c r="A205" s="28" t="s">
        <v>178</v>
      </c>
      <c r="B205" s="28" t="s">
        <v>179</v>
      </c>
      <c r="C205" s="28" t="str">
        <f>CONCATENATE(A205," ",B205)</f>
        <v>Gene Gerzsenyi</v>
      </c>
      <c r="D205" s="28" t="s">
        <v>673</v>
      </c>
      <c r="E205" s="28">
        <v>678726</v>
      </c>
      <c r="F205" s="28" t="s">
        <v>25</v>
      </c>
      <c r="G205" s="28" t="s">
        <v>27</v>
      </c>
      <c r="H205" s="28" t="s">
        <v>85</v>
      </c>
      <c r="I205" s="28" t="s">
        <v>676</v>
      </c>
      <c r="J205" s="28" t="s">
        <v>677</v>
      </c>
      <c r="K205" s="29">
        <v>877044360</v>
      </c>
      <c r="L205" s="28" t="s">
        <v>699</v>
      </c>
      <c r="M205" s="30" t="s">
        <v>264</v>
      </c>
      <c r="N205" s="30">
        <f>DATEDIF(L205,M205,"M")</f>
        <v>12</v>
      </c>
      <c r="O205" s="31">
        <v>50</v>
      </c>
      <c r="P205" s="32">
        <v>0.32</v>
      </c>
      <c r="Q205" s="33">
        <v>16</v>
      </c>
      <c r="R205" s="28" t="s">
        <v>983</v>
      </c>
      <c r="S205" s="28" t="s">
        <v>988</v>
      </c>
      <c r="T205" s="30">
        <v>16202925</v>
      </c>
      <c r="U205" s="28" t="s">
        <v>1028</v>
      </c>
      <c r="V205" s="28" t="s">
        <v>1029</v>
      </c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</row>
    <row r="206" spans="1:52" x14ac:dyDescent="0.25">
      <c r="A206" s="28" t="s">
        <v>621</v>
      </c>
      <c r="B206" s="28" t="s">
        <v>622</v>
      </c>
      <c r="C206" s="28" t="str">
        <f>CONCATENATE(A206," ",B206)</f>
        <v>Hollie Cacace</v>
      </c>
      <c r="D206" s="28" t="s">
        <v>673</v>
      </c>
      <c r="E206" s="28">
        <v>678726</v>
      </c>
      <c r="F206" s="28" t="s">
        <v>25</v>
      </c>
      <c r="G206" s="28" t="s">
        <v>27</v>
      </c>
      <c r="H206" s="28" t="s">
        <v>85</v>
      </c>
      <c r="I206" s="28" t="s">
        <v>676</v>
      </c>
      <c r="J206" s="28" t="s">
        <v>677</v>
      </c>
      <c r="K206" s="29">
        <v>536940641</v>
      </c>
      <c r="L206" s="28" t="s">
        <v>743</v>
      </c>
      <c r="M206" s="30" t="s">
        <v>705</v>
      </c>
      <c r="N206" s="30">
        <f>DATEDIF(L206,M206,"M")</f>
        <v>12</v>
      </c>
      <c r="O206" s="31">
        <v>50</v>
      </c>
      <c r="P206" s="32">
        <v>0.32</v>
      </c>
      <c r="Q206" s="33">
        <v>16</v>
      </c>
      <c r="R206" s="28" t="s">
        <v>983</v>
      </c>
      <c r="S206" s="28" t="s">
        <v>988</v>
      </c>
      <c r="T206" s="30">
        <v>16202925</v>
      </c>
      <c r="U206" s="28" t="s">
        <v>1028</v>
      </c>
      <c r="V206" s="28" t="s">
        <v>1029</v>
      </c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</row>
    <row r="207" spans="1:52" x14ac:dyDescent="0.25">
      <c r="A207" s="28" t="s">
        <v>266</v>
      </c>
      <c r="B207" s="28" t="s">
        <v>267</v>
      </c>
      <c r="C207" s="28" t="str">
        <f>CONCATENATE(A207," ",B207)</f>
        <v>Michelle Barnowski</v>
      </c>
      <c r="D207" s="28" t="s">
        <v>673</v>
      </c>
      <c r="E207" s="28">
        <v>678726</v>
      </c>
      <c r="F207" s="28" t="s">
        <v>25</v>
      </c>
      <c r="G207" s="28" t="s">
        <v>27</v>
      </c>
      <c r="H207" s="28" t="s">
        <v>85</v>
      </c>
      <c r="I207" s="28" t="s">
        <v>676</v>
      </c>
      <c r="J207" s="28" t="s">
        <v>677</v>
      </c>
      <c r="K207" s="29">
        <v>760186562</v>
      </c>
      <c r="L207" s="28" t="s">
        <v>699</v>
      </c>
      <c r="M207" s="30" t="s">
        <v>670</v>
      </c>
      <c r="N207" s="30">
        <f>DATEDIF(L207,M207,"M")</f>
        <v>13</v>
      </c>
      <c r="O207" s="31">
        <v>50</v>
      </c>
      <c r="P207" s="32">
        <v>0.32</v>
      </c>
      <c r="Q207" s="33">
        <v>16</v>
      </c>
      <c r="R207" s="28" t="s">
        <v>983</v>
      </c>
      <c r="S207" s="28" t="s">
        <v>988</v>
      </c>
      <c r="T207" s="30">
        <v>16202925</v>
      </c>
      <c r="U207" s="28" t="s">
        <v>1028</v>
      </c>
      <c r="V207" s="28" t="s">
        <v>1029</v>
      </c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</row>
    <row r="208" spans="1:52" x14ac:dyDescent="0.25">
      <c r="A208" s="28" t="s">
        <v>178</v>
      </c>
      <c r="B208" s="28" t="s">
        <v>179</v>
      </c>
      <c r="C208" s="28" t="str">
        <f>CONCATENATE(A208," ",B208)</f>
        <v>Gene Gerzsenyi</v>
      </c>
      <c r="D208" s="28" t="s">
        <v>673</v>
      </c>
      <c r="E208" s="28">
        <v>678726</v>
      </c>
      <c r="F208" s="28" t="s">
        <v>25</v>
      </c>
      <c r="G208" s="28" t="s">
        <v>27</v>
      </c>
      <c r="H208" s="28" t="s">
        <v>85</v>
      </c>
      <c r="I208" s="28" t="s">
        <v>676</v>
      </c>
      <c r="J208" s="28" t="s">
        <v>677</v>
      </c>
      <c r="K208" s="29">
        <v>877044360</v>
      </c>
      <c r="L208" s="28" t="s">
        <v>699</v>
      </c>
      <c r="M208" s="30" t="s">
        <v>670</v>
      </c>
      <c r="N208" s="30">
        <f>DATEDIF(L208,M208,"M")</f>
        <v>13</v>
      </c>
      <c r="O208" s="31">
        <v>50</v>
      </c>
      <c r="P208" s="32">
        <v>0.32</v>
      </c>
      <c r="Q208" s="33">
        <v>16</v>
      </c>
      <c r="R208" s="28" t="s">
        <v>983</v>
      </c>
      <c r="S208" s="28" t="s">
        <v>988</v>
      </c>
      <c r="T208" s="30">
        <v>16202925</v>
      </c>
      <c r="U208" s="28" t="s">
        <v>1028</v>
      </c>
      <c r="V208" s="28" t="s">
        <v>1029</v>
      </c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</row>
    <row r="209" spans="1:52" x14ac:dyDescent="0.25">
      <c r="A209" s="28" t="s">
        <v>621</v>
      </c>
      <c r="B209" s="28" t="s">
        <v>622</v>
      </c>
      <c r="C209" s="28" t="str">
        <f>CONCATENATE(A209," ",B209)</f>
        <v>Hollie Cacace</v>
      </c>
      <c r="D209" s="28" t="s">
        <v>673</v>
      </c>
      <c r="E209" s="28">
        <v>678726</v>
      </c>
      <c r="F209" s="28" t="s">
        <v>25</v>
      </c>
      <c r="G209" s="28" t="s">
        <v>27</v>
      </c>
      <c r="H209" s="28" t="s">
        <v>85</v>
      </c>
      <c r="I209" s="28" t="s">
        <v>676</v>
      </c>
      <c r="J209" s="28" t="s">
        <v>677</v>
      </c>
      <c r="K209" s="29">
        <v>536940641</v>
      </c>
      <c r="L209" s="28" t="s">
        <v>743</v>
      </c>
      <c r="M209" s="30" t="s">
        <v>264</v>
      </c>
      <c r="N209" s="30">
        <f>DATEDIF(L209,M209,"M")</f>
        <v>13</v>
      </c>
      <c r="O209" s="31">
        <v>50</v>
      </c>
      <c r="P209" s="32">
        <v>0.32</v>
      </c>
      <c r="Q209" s="33">
        <v>16</v>
      </c>
      <c r="R209" s="28" t="s">
        <v>983</v>
      </c>
      <c r="S209" s="28" t="s">
        <v>988</v>
      </c>
      <c r="T209" s="30">
        <v>16202925</v>
      </c>
      <c r="U209" s="28" t="s">
        <v>1028</v>
      </c>
      <c r="V209" s="28" t="s">
        <v>1029</v>
      </c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</row>
    <row r="210" spans="1:52" x14ac:dyDescent="0.25">
      <c r="A210" s="28" t="s">
        <v>420</v>
      </c>
      <c r="B210" s="28" t="s">
        <v>421</v>
      </c>
      <c r="C210" s="28" t="str">
        <f>CONCATENATE(A210," ",B210)</f>
        <v>Kevin Husemann</v>
      </c>
      <c r="D210" s="28" t="s">
        <v>673</v>
      </c>
      <c r="E210" s="28">
        <v>678726</v>
      </c>
      <c r="F210" s="28" t="s">
        <v>25</v>
      </c>
      <c r="G210" s="28" t="s">
        <v>27</v>
      </c>
      <c r="H210" s="28" t="s">
        <v>85</v>
      </c>
      <c r="I210" s="28" t="s">
        <v>676</v>
      </c>
      <c r="J210" s="28" t="s">
        <v>677</v>
      </c>
      <c r="K210" s="29">
        <v>310854872</v>
      </c>
      <c r="L210" s="28" t="s">
        <v>737</v>
      </c>
      <c r="M210" s="30" t="s">
        <v>705</v>
      </c>
      <c r="N210" s="30">
        <f>DATEDIF(L210,M210,"M")</f>
        <v>13</v>
      </c>
      <c r="O210" s="31">
        <v>50</v>
      </c>
      <c r="P210" s="32">
        <v>0.32</v>
      </c>
      <c r="Q210" s="33">
        <v>16</v>
      </c>
      <c r="R210" s="28" t="s">
        <v>983</v>
      </c>
      <c r="S210" s="28" t="s">
        <v>988</v>
      </c>
      <c r="T210" s="30">
        <v>16202925</v>
      </c>
      <c r="U210" s="28" t="s">
        <v>1028</v>
      </c>
      <c r="V210" s="28" t="s">
        <v>1029</v>
      </c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</row>
    <row r="211" spans="1:52" x14ac:dyDescent="0.25">
      <c r="A211" s="28" t="s">
        <v>621</v>
      </c>
      <c r="B211" s="28" t="s">
        <v>622</v>
      </c>
      <c r="C211" s="28" t="str">
        <f>CONCATENATE(A211," ",B211)</f>
        <v>Hollie Cacace</v>
      </c>
      <c r="D211" s="28" t="s">
        <v>673</v>
      </c>
      <c r="E211" s="28">
        <v>678726</v>
      </c>
      <c r="F211" s="28" t="s">
        <v>25</v>
      </c>
      <c r="G211" s="28" t="s">
        <v>27</v>
      </c>
      <c r="H211" s="28" t="s">
        <v>85</v>
      </c>
      <c r="I211" s="28" t="s">
        <v>676</v>
      </c>
      <c r="J211" s="28" t="s">
        <v>677</v>
      </c>
      <c r="K211" s="29">
        <v>536940641</v>
      </c>
      <c r="L211" s="28" t="s">
        <v>743</v>
      </c>
      <c r="M211" s="30" t="s">
        <v>670</v>
      </c>
      <c r="N211" s="30">
        <f>DATEDIF(L211,M211,"M")</f>
        <v>14</v>
      </c>
      <c r="O211" s="31">
        <v>50</v>
      </c>
      <c r="P211" s="32">
        <v>0.32</v>
      </c>
      <c r="Q211" s="33">
        <v>16</v>
      </c>
      <c r="R211" s="28" t="s">
        <v>983</v>
      </c>
      <c r="S211" s="28" t="s">
        <v>988</v>
      </c>
      <c r="T211" s="30">
        <v>16202925</v>
      </c>
      <c r="U211" s="28" t="s">
        <v>1028</v>
      </c>
      <c r="V211" s="28" t="s">
        <v>1029</v>
      </c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</row>
    <row r="212" spans="1:52" x14ac:dyDescent="0.25">
      <c r="A212" s="28" t="s">
        <v>420</v>
      </c>
      <c r="B212" s="28" t="s">
        <v>421</v>
      </c>
      <c r="C212" s="28" t="str">
        <f>CONCATENATE(A212," ",B212)</f>
        <v>Kevin Husemann</v>
      </c>
      <c r="D212" s="28" t="s">
        <v>673</v>
      </c>
      <c r="E212" s="28">
        <v>678726</v>
      </c>
      <c r="F212" s="28" t="s">
        <v>25</v>
      </c>
      <c r="G212" s="28" t="s">
        <v>27</v>
      </c>
      <c r="H212" s="28" t="s">
        <v>85</v>
      </c>
      <c r="I212" s="28" t="s">
        <v>676</v>
      </c>
      <c r="J212" s="28" t="s">
        <v>677</v>
      </c>
      <c r="K212" s="29">
        <v>310854872</v>
      </c>
      <c r="L212" s="28" t="s">
        <v>737</v>
      </c>
      <c r="M212" s="30" t="s">
        <v>264</v>
      </c>
      <c r="N212" s="30">
        <f>DATEDIF(L212,M212,"M")</f>
        <v>14</v>
      </c>
      <c r="O212" s="31">
        <v>50</v>
      </c>
      <c r="P212" s="32">
        <v>0.32</v>
      </c>
      <c r="Q212" s="33">
        <v>16</v>
      </c>
      <c r="R212" s="28" t="s">
        <v>983</v>
      </c>
      <c r="S212" s="28" t="s">
        <v>988</v>
      </c>
      <c r="T212" s="30">
        <v>16202925</v>
      </c>
      <c r="U212" s="28" t="s">
        <v>1028</v>
      </c>
      <c r="V212" s="28" t="s">
        <v>1029</v>
      </c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</row>
    <row r="213" spans="1:52" x14ac:dyDescent="0.25">
      <c r="A213" s="28" t="s">
        <v>229</v>
      </c>
      <c r="B213" s="28" t="s">
        <v>515</v>
      </c>
      <c r="C213" s="28" t="str">
        <f>CONCATENATE(A213," ",B213)</f>
        <v>Kathleen Abrams</v>
      </c>
      <c r="D213" s="28" t="s">
        <v>673</v>
      </c>
      <c r="E213" s="28">
        <v>678726</v>
      </c>
      <c r="F213" s="28" t="s">
        <v>25</v>
      </c>
      <c r="G213" s="28" t="s">
        <v>27</v>
      </c>
      <c r="H213" s="28" t="s">
        <v>85</v>
      </c>
      <c r="I213" s="28" t="s">
        <v>676</v>
      </c>
      <c r="J213" s="28" t="s">
        <v>677</v>
      </c>
      <c r="K213" s="29">
        <v>528354958</v>
      </c>
      <c r="L213" s="28" t="s">
        <v>684</v>
      </c>
      <c r="M213" s="30" t="s">
        <v>705</v>
      </c>
      <c r="N213" s="30">
        <f>DATEDIF(L213,M213,"M")</f>
        <v>14</v>
      </c>
      <c r="O213" s="31">
        <v>50</v>
      </c>
      <c r="P213" s="32">
        <v>0.32</v>
      </c>
      <c r="Q213" s="33">
        <v>16</v>
      </c>
      <c r="R213" s="28" t="s">
        <v>983</v>
      </c>
      <c r="S213" s="28" t="s">
        <v>988</v>
      </c>
      <c r="T213" s="30">
        <v>16202925</v>
      </c>
      <c r="U213" s="28" t="s">
        <v>1028</v>
      </c>
      <c r="V213" s="28" t="s">
        <v>1029</v>
      </c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</row>
    <row r="214" spans="1:52" x14ac:dyDescent="0.25">
      <c r="A214" s="28" t="s">
        <v>280</v>
      </c>
      <c r="B214" s="28" t="s">
        <v>365</v>
      </c>
      <c r="C214" s="28" t="str">
        <f>CONCATENATE(A214," ",B214)</f>
        <v>Mary Pross</v>
      </c>
      <c r="D214" s="28" t="s">
        <v>673</v>
      </c>
      <c r="E214" s="28">
        <v>678726</v>
      </c>
      <c r="F214" s="28" t="s">
        <v>25</v>
      </c>
      <c r="G214" s="28" t="s">
        <v>27</v>
      </c>
      <c r="H214" s="28" t="s">
        <v>85</v>
      </c>
      <c r="I214" s="28" t="s">
        <v>676</v>
      </c>
      <c r="J214" s="28" t="s">
        <v>677</v>
      </c>
      <c r="K214" s="29">
        <v>914833590</v>
      </c>
      <c r="L214" s="28" t="s">
        <v>684</v>
      </c>
      <c r="M214" s="30" t="s">
        <v>705</v>
      </c>
      <c r="N214" s="30">
        <f>DATEDIF(L214,M214,"M")</f>
        <v>14</v>
      </c>
      <c r="O214" s="31">
        <v>50</v>
      </c>
      <c r="P214" s="32">
        <v>0.32</v>
      </c>
      <c r="Q214" s="33">
        <v>16</v>
      </c>
      <c r="R214" s="28" t="s">
        <v>983</v>
      </c>
      <c r="S214" s="28" t="s">
        <v>988</v>
      </c>
      <c r="T214" s="30">
        <v>16202925</v>
      </c>
      <c r="U214" s="28" t="s">
        <v>1028</v>
      </c>
      <c r="V214" s="28" t="s">
        <v>1029</v>
      </c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</row>
    <row r="215" spans="1:52" x14ac:dyDescent="0.25">
      <c r="A215" s="28" t="s">
        <v>420</v>
      </c>
      <c r="B215" s="28" t="s">
        <v>421</v>
      </c>
      <c r="C215" s="28" t="str">
        <f>CONCATENATE(A215," ",B215)</f>
        <v>Kevin Husemann</v>
      </c>
      <c r="D215" s="28" t="s">
        <v>673</v>
      </c>
      <c r="E215" s="28">
        <v>678726</v>
      </c>
      <c r="F215" s="28" t="s">
        <v>25</v>
      </c>
      <c r="G215" s="28" t="s">
        <v>27</v>
      </c>
      <c r="H215" s="28" t="s">
        <v>85</v>
      </c>
      <c r="I215" s="28" t="s">
        <v>676</v>
      </c>
      <c r="J215" s="28" t="s">
        <v>677</v>
      </c>
      <c r="K215" s="29">
        <v>310854872</v>
      </c>
      <c r="L215" s="28" t="s">
        <v>737</v>
      </c>
      <c r="M215" s="30" t="s">
        <v>670</v>
      </c>
      <c r="N215" s="30">
        <f>DATEDIF(L215,M215,"M")</f>
        <v>15</v>
      </c>
      <c r="O215" s="31">
        <v>50</v>
      </c>
      <c r="P215" s="32">
        <v>0.32</v>
      </c>
      <c r="Q215" s="33">
        <v>16</v>
      </c>
      <c r="R215" s="28" t="s">
        <v>983</v>
      </c>
      <c r="S215" s="28" t="s">
        <v>988</v>
      </c>
      <c r="T215" s="30">
        <v>16202925</v>
      </c>
      <c r="U215" s="28" t="s">
        <v>1028</v>
      </c>
      <c r="V215" s="28" t="s">
        <v>1029</v>
      </c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</row>
    <row r="216" spans="1:52" x14ac:dyDescent="0.25">
      <c r="A216" s="28" t="s">
        <v>280</v>
      </c>
      <c r="B216" s="28" t="s">
        <v>365</v>
      </c>
      <c r="C216" s="28" t="str">
        <f>CONCATENATE(A216," ",B216)</f>
        <v>Mary Pross</v>
      </c>
      <c r="D216" s="28" t="s">
        <v>673</v>
      </c>
      <c r="E216" s="28">
        <v>678726</v>
      </c>
      <c r="F216" s="28" t="s">
        <v>25</v>
      </c>
      <c r="G216" s="28" t="s">
        <v>27</v>
      </c>
      <c r="H216" s="28" t="s">
        <v>85</v>
      </c>
      <c r="I216" s="28" t="s">
        <v>676</v>
      </c>
      <c r="J216" s="28" t="s">
        <v>677</v>
      </c>
      <c r="K216" s="29">
        <v>914833590</v>
      </c>
      <c r="L216" s="28" t="s">
        <v>684</v>
      </c>
      <c r="M216" s="30" t="s">
        <v>264</v>
      </c>
      <c r="N216" s="30">
        <f>DATEDIF(L216,M216,"M")</f>
        <v>15</v>
      </c>
      <c r="O216" s="31">
        <v>50</v>
      </c>
      <c r="P216" s="32">
        <v>0.32</v>
      </c>
      <c r="Q216" s="33">
        <v>16</v>
      </c>
      <c r="R216" s="28" t="s">
        <v>983</v>
      </c>
      <c r="S216" s="28" t="s">
        <v>988</v>
      </c>
      <c r="T216" s="30">
        <v>16202925</v>
      </c>
      <c r="U216" s="28" t="s">
        <v>1028</v>
      </c>
      <c r="V216" s="28" t="s">
        <v>1029</v>
      </c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</row>
    <row r="217" spans="1:52" x14ac:dyDescent="0.25">
      <c r="A217" s="28" t="s">
        <v>229</v>
      </c>
      <c r="B217" s="28" t="s">
        <v>515</v>
      </c>
      <c r="C217" s="28" t="str">
        <f>CONCATENATE(A217," ",B217)</f>
        <v>Kathleen Abrams</v>
      </c>
      <c r="D217" s="28" t="s">
        <v>673</v>
      </c>
      <c r="E217" s="28">
        <v>678726</v>
      </c>
      <c r="F217" s="28" t="s">
        <v>25</v>
      </c>
      <c r="G217" s="28" t="s">
        <v>27</v>
      </c>
      <c r="H217" s="28" t="s">
        <v>85</v>
      </c>
      <c r="I217" s="28" t="s">
        <v>676</v>
      </c>
      <c r="J217" s="28" t="s">
        <v>677</v>
      </c>
      <c r="K217" s="29">
        <v>528354958</v>
      </c>
      <c r="L217" s="28" t="s">
        <v>684</v>
      </c>
      <c r="M217" s="30" t="s">
        <v>264</v>
      </c>
      <c r="N217" s="30">
        <f>DATEDIF(L217,M217,"M")</f>
        <v>15</v>
      </c>
      <c r="O217" s="31">
        <v>50</v>
      </c>
      <c r="P217" s="32">
        <v>0.32</v>
      </c>
      <c r="Q217" s="33">
        <v>16</v>
      </c>
      <c r="R217" s="28" t="s">
        <v>983</v>
      </c>
      <c r="S217" s="28" t="s">
        <v>988</v>
      </c>
      <c r="T217" s="30">
        <v>16202925</v>
      </c>
      <c r="U217" s="28" t="s">
        <v>1028</v>
      </c>
      <c r="V217" s="28" t="s">
        <v>1029</v>
      </c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</row>
    <row r="218" spans="1:52" x14ac:dyDescent="0.25">
      <c r="A218" s="28" t="s">
        <v>229</v>
      </c>
      <c r="B218" s="28" t="s">
        <v>515</v>
      </c>
      <c r="C218" s="28" t="str">
        <f>CONCATENATE(A218," ",B218)</f>
        <v>Kathleen Abrams</v>
      </c>
      <c r="D218" s="28" t="s">
        <v>673</v>
      </c>
      <c r="E218" s="28">
        <v>678726</v>
      </c>
      <c r="F218" s="28" t="s">
        <v>25</v>
      </c>
      <c r="G218" s="28" t="s">
        <v>27</v>
      </c>
      <c r="H218" s="28" t="s">
        <v>85</v>
      </c>
      <c r="I218" s="28" t="s">
        <v>676</v>
      </c>
      <c r="J218" s="28" t="s">
        <v>677</v>
      </c>
      <c r="K218" s="29">
        <v>528354958</v>
      </c>
      <c r="L218" s="28" t="s">
        <v>684</v>
      </c>
      <c r="M218" s="30" t="s">
        <v>670</v>
      </c>
      <c r="N218" s="30">
        <f>DATEDIF(L218,M218,"M")</f>
        <v>16</v>
      </c>
      <c r="O218" s="31">
        <v>50</v>
      </c>
      <c r="P218" s="32">
        <v>0.32</v>
      </c>
      <c r="Q218" s="33">
        <v>16</v>
      </c>
      <c r="R218" s="28" t="s">
        <v>983</v>
      </c>
      <c r="S218" s="28" t="s">
        <v>988</v>
      </c>
      <c r="T218" s="30">
        <v>16202925</v>
      </c>
      <c r="U218" s="28" t="s">
        <v>1028</v>
      </c>
      <c r="V218" s="28" t="s">
        <v>1029</v>
      </c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</row>
    <row r="219" spans="1:52" x14ac:dyDescent="0.25">
      <c r="A219" s="28" t="s">
        <v>280</v>
      </c>
      <c r="B219" s="28" t="s">
        <v>365</v>
      </c>
      <c r="C219" s="28" t="str">
        <f>CONCATENATE(A219," ",B219)</f>
        <v>Mary Pross</v>
      </c>
      <c r="D219" s="28" t="s">
        <v>673</v>
      </c>
      <c r="E219" s="28">
        <v>678726</v>
      </c>
      <c r="F219" s="28" t="s">
        <v>25</v>
      </c>
      <c r="G219" s="28" t="s">
        <v>27</v>
      </c>
      <c r="H219" s="28" t="s">
        <v>85</v>
      </c>
      <c r="I219" s="28" t="s">
        <v>676</v>
      </c>
      <c r="J219" s="28" t="s">
        <v>677</v>
      </c>
      <c r="K219" s="29">
        <v>914833590</v>
      </c>
      <c r="L219" s="28" t="s">
        <v>684</v>
      </c>
      <c r="M219" s="30" t="s">
        <v>670</v>
      </c>
      <c r="N219" s="30">
        <f>DATEDIF(L219,M219,"M")</f>
        <v>16</v>
      </c>
      <c r="O219" s="31">
        <v>50</v>
      </c>
      <c r="P219" s="32">
        <v>0.32</v>
      </c>
      <c r="Q219" s="33">
        <v>16</v>
      </c>
      <c r="R219" s="28" t="s">
        <v>983</v>
      </c>
      <c r="S219" s="28" t="s">
        <v>988</v>
      </c>
      <c r="T219" s="30">
        <v>16202925</v>
      </c>
      <c r="U219" s="28" t="s">
        <v>1028</v>
      </c>
      <c r="V219" s="28" t="s">
        <v>1029</v>
      </c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</row>
    <row r="220" spans="1:52" x14ac:dyDescent="0.25">
      <c r="A220" s="28" t="s">
        <v>955</v>
      </c>
      <c r="B220" s="28" t="s">
        <v>956</v>
      </c>
      <c r="C220" s="28" t="str">
        <f>CONCATENATE(A220," ",B220)</f>
        <v>Nasandelger Zana</v>
      </c>
      <c r="D220" s="28" t="s">
        <v>691</v>
      </c>
      <c r="E220" s="28">
        <v>757386</v>
      </c>
      <c r="F220" s="28" t="s">
        <v>957</v>
      </c>
      <c r="G220" s="28" t="s">
        <v>79</v>
      </c>
      <c r="H220" s="28" t="s">
        <v>28</v>
      </c>
      <c r="I220" s="28" t="s">
        <v>676</v>
      </c>
      <c r="J220" s="28" t="s">
        <v>677</v>
      </c>
      <c r="K220" s="29">
        <v>128908745</v>
      </c>
      <c r="L220" s="28" t="s">
        <v>814</v>
      </c>
      <c r="M220" s="30" t="s">
        <v>705</v>
      </c>
      <c r="N220" s="30">
        <f>DATEDIF(L220,M220,"M")</f>
        <v>17</v>
      </c>
      <c r="O220" s="31">
        <v>71</v>
      </c>
      <c r="P220" s="32">
        <v>0.24</v>
      </c>
      <c r="Q220" s="33">
        <v>17.04</v>
      </c>
      <c r="R220" s="28" t="s">
        <v>985</v>
      </c>
      <c r="S220" s="28" t="s">
        <v>1009</v>
      </c>
      <c r="T220" s="30">
        <v>20220688</v>
      </c>
      <c r="U220" s="28" t="s">
        <v>1028</v>
      </c>
      <c r="V220" s="28" t="s">
        <v>1029</v>
      </c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</row>
    <row r="221" spans="1:52" x14ac:dyDescent="0.25">
      <c r="A221" s="28" t="s">
        <v>955</v>
      </c>
      <c r="B221" s="28" t="s">
        <v>956</v>
      </c>
      <c r="C221" s="28" t="str">
        <f>CONCATENATE(A221," ",B221)</f>
        <v>Nasandelger Zana</v>
      </c>
      <c r="D221" s="28" t="s">
        <v>691</v>
      </c>
      <c r="E221" s="28">
        <v>757386</v>
      </c>
      <c r="F221" s="28" t="s">
        <v>957</v>
      </c>
      <c r="G221" s="28" t="s">
        <v>79</v>
      </c>
      <c r="H221" s="28" t="s">
        <v>28</v>
      </c>
      <c r="I221" s="28" t="s">
        <v>676</v>
      </c>
      <c r="J221" s="28" t="s">
        <v>677</v>
      </c>
      <c r="K221" s="29">
        <v>128908745</v>
      </c>
      <c r="L221" s="28" t="s">
        <v>814</v>
      </c>
      <c r="M221" s="30" t="s">
        <v>264</v>
      </c>
      <c r="N221" s="30">
        <f>DATEDIF(L221,M221,"M")</f>
        <v>18</v>
      </c>
      <c r="O221" s="31">
        <v>71</v>
      </c>
      <c r="P221" s="32">
        <v>0.24</v>
      </c>
      <c r="Q221" s="33">
        <v>17.04</v>
      </c>
      <c r="R221" s="28" t="s">
        <v>985</v>
      </c>
      <c r="S221" s="28" t="s">
        <v>1009</v>
      </c>
      <c r="T221" s="30">
        <v>20220688</v>
      </c>
      <c r="U221" s="28" t="s">
        <v>1028</v>
      </c>
      <c r="V221" s="28" t="s">
        <v>1029</v>
      </c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</row>
    <row r="222" spans="1:52" x14ac:dyDescent="0.25">
      <c r="A222" s="28" t="s">
        <v>191</v>
      </c>
      <c r="B222" s="28" t="s">
        <v>192</v>
      </c>
      <c r="C222" s="28" t="str">
        <f>CONCATENATE(A222," ",B222)</f>
        <v>A Thomas Loy</v>
      </c>
      <c r="D222" s="28" t="s">
        <v>673</v>
      </c>
      <c r="E222" s="28">
        <v>678726</v>
      </c>
      <c r="F222" s="28" t="s">
        <v>25</v>
      </c>
      <c r="G222" s="28" t="s">
        <v>27</v>
      </c>
      <c r="H222" s="28" t="s">
        <v>85</v>
      </c>
      <c r="I222" s="28" t="s">
        <v>676</v>
      </c>
      <c r="J222" s="28" t="s">
        <v>677</v>
      </c>
      <c r="K222" s="29">
        <v>820303811</v>
      </c>
      <c r="L222" s="28" t="s">
        <v>743</v>
      </c>
      <c r="M222" s="30" t="s">
        <v>705</v>
      </c>
      <c r="N222" s="30">
        <f>DATEDIF(L222,M222,"M")</f>
        <v>12</v>
      </c>
      <c r="O222" s="31">
        <v>60</v>
      </c>
      <c r="P222" s="32">
        <v>0.32</v>
      </c>
      <c r="Q222" s="33">
        <v>19.2</v>
      </c>
      <c r="R222" s="28" t="s">
        <v>983</v>
      </c>
      <c r="S222" s="28" t="s">
        <v>988</v>
      </c>
      <c r="T222" s="30">
        <v>16202925</v>
      </c>
      <c r="U222" s="28" t="s">
        <v>1028</v>
      </c>
      <c r="V222" s="28" t="s">
        <v>1029</v>
      </c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</row>
    <row r="223" spans="1:52" s="28" customFormat="1" x14ac:dyDescent="0.25">
      <c r="A223" s="28" t="s">
        <v>191</v>
      </c>
      <c r="B223" s="28" t="s">
        <v>192</v>
      </c>
      <c r="C223" s="28" t="str">
        <f>CONCATENATE(A223," ",B223)</f>
        <v>A Thomas Loy</v>
      </c>
      <c r="D223" s="28" t="s">
        <v>673</v>
      </c>
      <c r="E223" s="28">
        <v>678726</v>
      </c>
      <c r="F223" s="28" t="s">
        <v>25</v>
      </c>
      <c r="G223" s="28" t="s">
        <v>27</v>
      </c>
      <c r="H223" s="28" t="s">
        <v>85</v>
      </c>
      <c r="I223" s="28" t="s">
        <v>676</v>
      </c>
      <c r="J223" s="28" t="s">
        <v>677</v>
      </c>
      <c r="K223" s="29">
        <v>820303811</v>
      </c>
      <c r="L223" s="28" t="s">
        <v>743</v>
      </c>
      <c r="M223" s="30" t="s">
        <v>264</v>
      </c>
      <c r="N223" s="30">
        <f>DATEDIF(L223,M223,"M")</f>
        <v>13</v>
      </c>
      <c r="O223" s="31">
        <v>60</v>
      </c>
      <c r="P223" s="32">
        <v>0.32</v>
      </c>
      <c r="Q223" s="33">
        <v>19.2</v>
      </c>
      <c r="R223" s="28" t="s">
        <v>983</v>
      </c>
      <c r="S223" s="28" t="s">
        <v>988</v>
      </c>
      <c r="T223" s="30">
        <v>16202925</v>
      </c>
      <c r="U223" s="28" t="s">
        <v>1028</v>
      </c>
      <c r="V223" s="28" t="s">
        <v>1029</v>
      </c>
    </row>
    <row r="224" spans="1:52" s="28" customFormat="1" x14ac:dyDescent="0.25">
      <c r="A224" s="28" t="s">
        <v>191</v>
      </c>
      <c r="B224" s="28" t="s">
        <v>192</v>
      </c>
      <c r="C224" s="28" t="str">
        <f>CONCATENATE(A224," ",B224)</f>
        <v>A Thomas Loy</v>
      </c>
      <c r="D224" s="28" t="s">
        <v>673</v>
      </c>
      <c r="E224" s="28">
        <v>678726</v>
      </c>
      <c r="F224" s="28" t="s">
        <v>25</v>
      </c>
      <c r="G224" s="28" t="s">
        <v>27</v>
      </c>
      <c r="H224" s="28" t="s">
        <v>85</v>
      </c>
      <c r="I224" s="28" t="s">
        <v>676</v>
      </c>
      <c r="J224" s="28" t="s">
        <v>677</v>
      </c>
      <c r="K224" s="29">
        <v>820303811</v>
      </c>
      <c r="L224" s="28" t="s">
        <v>743</v>
      </c>
      <c r="M224" s="30" t="s">
        <v>670</v>
      </c>
      <c r="N224" s="30">
        <f>DATEDIF(L224,M224,"M")</f>
        <v>14</v>
      </c>
      <c r="O224" s="31">
        <v>60</v>
      </c>
      <c r="P224" s="32">
        <v>0.32</v>
      </c>
      <c r="Q224" s="33">
        <v>19.2</v>
      </c>
      <c r="R224" s="28" t="s">
        <v>983</v>
      </c>
      <c r="S224" s="28" t="s">
        <v>988</v>
      </c>
      <c r="T224" s="30">
        <v>16202925</v>
      </c>
      <c r="U224" s="28" t="s">
        <v>1028</v>
      </c>
      <c r="V224" s="28" t="s">
        <v>1029</v>
      </c>
    </row>
    <row r="225" spans="1:52" s="28" customFormat="1" x14ac:dyDescent="0.25">
      <c r="A225" s="28" t="s">
        <v>526</v>
      </c>
      <c r="B225" s="28" t="s">
        <v>527</v>
      </c>
      <c r="C225" s="28" t="str">
        <f>CONCATENATE(A225," ",B225)</f>
        <v>Roxanne Hartrich</v>
      </c>
      <c r="D225" s="28" t="s">
        <v>691</v>
      </c>
      <c r="E225" s="28">
        <v>757209</v>
      </c>
      <c r="F225" s="28" t="s">
        <v>485</v>
      </c>
      <c r="G225" s="28" t="s">
        <v>131</v>
      </c>
      <c r="H225" s="28" t="s">
        <v>145</v>
      </c>
      <c r="I225" s="28" t="s">
        <v>676</v>
      </c>
      <c r="J225" s="28" t="s">
        <v>677</v>
      </c>
      <c r="K225" s="29">
        <v>538144779</v>
      </c>
      <c r="L225" s="28" t="s">
        <v>829</v>
      </c>
      <c r="M225" s="30" t="s">
        <v>705</v>
      </c>
      <c r="N225" s="30">
        <f>DATEDIF(L225,M225,"M")</f>
        <v>18</v>
      </c>
      <c r="O225" s="31">
        <v>95</v>
      </c>
      <c r="P225" s="32">
        <v>0.24</v>
      </c>
      <c r="Q225" s="33">
        <v>22.8</v>
      </c>
      <c r="R225" s="28" t="s">
        <v>985</v>
      </c>
      <c r="S225" s="28" t="s">
        <v>1000</v>
      </c>
      <c r="T225" s="30">
        <v>8244481</v>
      </c>
      <c r="U225" s="28" t="s">
        <v>1028</v>
      </c>
      <c r="V225" s="28" t="s">
        <v>1029</v>
      </c>
    </row>
    <row r="226" spans="1:52" s="28" customFormat="1" x14ac:dyDescent="0.25">
      <c r="A226" s="28" t="s">
        <v>526</v>
      </c>
      <c r="B226" s="28" t="s">
        <v>527</v>
      </c>
      <c r="C226" s="28" t="str">
        <f>CONCATENATE(A226," ",B226)</f>
        <v>Roxanne Hartrich</v>
      </c>
      <c r="D226" s="28" t="s">
        <v>691</v>
      </c>
      <c r="E226" s="28">
        <v>757209</v>
      </c>
      <c r="F226" s="28" t="s">
        <v>485</v>
      </c>
      <c r="G226" s="28" t="s">
        <v>131</v>
      </c>
      <c r="H226" s="28" t="s">
        <v>145</v>
      </c>
      <c r="I226" s="28" t="s">
        <v>676</v>
      </c>
      <c r="J226" s="28" t="s">
        <v>677</v>
      </c>
      <c r="K226" s="29">
        <v>538144779</v>
      </c>
      <c r="L226" s="28" t="s">
        <v>829</v>
      </c>
      <c r="M226" s="30" t="s">
        <v>264</v>
      </c>
      <c r="N226" s="30">
        <f>DATEDIF(L226,M226,"M")</f>
        <v>19</v>
      </c>
      <c r="O226" s="31">
        <v>95</v>
      </c>
      <c r="P226" s="32">
        <v>0.24</v>
      </c>
      <c r="Q226" s="33">
        <v>22.8</v>
      </c>
      <c r="R226" s="28" t="s">
        <v>985</v>
      </c>
      <c r="S226" s="28" t="s">
        <v>1000</v>
      </c>
      <c r="T226" s="30">
        <v>8244481</v>
      </c>
      <c r="U226" s="28" t="s">
        <v>1028</v>
      </c>
      <c r="V226" s="28" t="s">
        <v>1029</v>
      </c>
    </row>
    <row r="227" spans="1:52" s="28" customFormat="1" x14ac:dyDescent="0.25">
      <c r="A227" s="28" t="s">
        <v>526</v>
      </c>
      <c r="B227" s="28" t="s">
        <v>527</v>
      </c>
      <c r="C227" s="28" t="str">
        <f>CONCATENATE(A227," ",B227)</f>
        <v>Roxanne Hartrich</v>
      </c>
      <c r="D227" s="28" t="s">
        <v>691</v>
      </c>
      <c r="E227" s="28">
        <v>757209</v>
      </c>
      <c r="F227" s="28" t="s">
        <v>485</v>
      </c>
      <c r="G227" s="28" t="s">
        <v>131</v>
      </c>
      <c r="H227" s="28" t="s">
        <v>145</v>
      </c>
      <c r="I227" s="28" t="s">
        <v>676</v>
      </c>
      <c r="J227" s="28" t="s">
        <v>677</v>
      </c>
      <c r="K227" s="29">
        <v>538144779</v>
      </c>
      <c r="L227" s="28" t="s">
        <v>829</v>
      </c>
      <c r="M227" s="30" t="s">
        <v>670</v>
      </c>
      <c r="N227" s="30">
        <f>DATEDIF(L227,M227,"M")</f>
        <v>20</v>
      </c>
      <c r="O227" s="31">
        <v>95</v>
      </c>
      <c r="P227" s="32">
        <v>0.24</v>
      </c>
      <c r="Q227" s="33">
        <v>22.8</v>
      </c>
      <c r="R227" s="28" t="s">
        <v>985</v>
      </c>
      <c r="S227" s="28" t="s">
        <v>1000</v>
      </c>
      <c r="T227" s="30">
        <v>8244481</v>
      </c>
      <c r="U227" s="28" t="s">
        <v>1028</v>
      </c>
      <c r="V227" s="28" t="s">
        <v>1029</v>
      </c>
    </row>
    <row r="228" spans="1:52" s="28" customFormat="1" x14ac:dyDescent="0.25">
      <c r="A228" s="28" t="s">
        <v>446</v>
      </c>
      <c r="B228" s="28" t="s">
        <v>447</v>
      </c>
      <c r="C228" s="28" t="str">
        <f>CONCATENATE(A228," ",B228)</f>
        <v>Katrin Urban</v>
      </c>
      <c r="D228" s="28" t="s">
        <v>673</v>
      </c>
      <c r="E228" s="28">
        <v>678726</v>
      </c>
      <c r="F228" s="28" t="s">
        <v>25</v>
      </c>
      <c r="G228" s="28" t="s">
        <v>38</v>
      </c>
      <c r="H228" s="28" t="s">
        <v>145</v>
      </c>
      <c r="I228" s="28" t="s">
        <v>676</v>
      </c>
      <c r="J228" s="28" t="s">
        <v>677</v>
      </c>
      <c r="K228" s="29">
        <v>397825233</v>
      </c>
      <c r="L228" s="28" t="s">
        <v>705</v>
      </c>
      <c r="M228" s="30" t="s">
        <v>264</v>
      </c>
      <c r="N228" s="30">
        <f>DATEDIF(L228,M228,"M")</f>
        <v>1</v>
      </c>
      <c r="O228" s="31">
        <v>97</v>
      </c>
      <c r="P228" s="32">
        <v>0.24</v>
      </c>
      <c r="Q228" s="33">
        <v>23.28</v>
      </c>
      <c r="R228" s="28" t="s">
        <v>985</v>
      </c>
      <c r="S228" s="28" t="s">
        <v>988</v>
      </c>
      <c r="T228" s="30" t="s">
        <v>1014</v>
      </c>
      <c r="U228" s="28" t="s">
        <v>1028</v>
      </c>
      <c r="V228" s="28" t="s">
        <v>1027</v>
      </c>
    </row>
    <row r="229" spans="1:52" s="28" customFormat="1" x14ac:dyDescent="0.25">
      <c r="A229" s="28" t="s">
        <v>446</v>
      </c>
      <c r="B229" s="28" t="s">
        <v>447</v>
      </c>
      <c r="C229" s="28" t="str">
        <f>CONCATENATE(A229," ",B229)</f>
        <v>Katrin Urban</v>
      </c>
      <c r="D229" s="28" t="s">
        <v>673</v>
      </c>
      <c r="E229" s="28">
        <v>678726</v>
      </c>
      <c r="F229" s="28" t="s">
        <v>25</v>
      </c>
      <c r="G229" s="28" t="s">
        <v>38</v>
      </c>
      <c r="H229" s="28" t="s">
        <v>145</v>
      </c>
      <c r="I229" s="28" t="s">
        <v>676</v>
      </c>
      <c r="J229" s="28" t="s">
        <v>677</v>
      </c>
      <c r="K229" s="29">
        <v>397825233</v>
      </c>
      <c r="L229" s="28" t="s">
        <v>705</v>
      </c>
      <c r="M229" s="30" t="s">
        <v>670</v>
      </c>
      <c r="N229" s="30">
        <f>DATEDIF(L229,M229,"M")</f>
        <v>2</v>
      </c>
      <c r="O229" s="31">
        <v>97</v>
      </c>
      <c r="P229" s="32">
        <v>0.24</v>
      </c>
      <c r="Q229" s="33">
        <v>23.28</v>
      </c>
      <c r="R229" s="28" t="s">
        <v>985</v>
      </c>
      <c r="S229" s="28" t="s">
        <v>988</v>
      </c>
      <c r="T229" s="30" t="s">
        <v>1014</v>
      </c>
      <c r="U229" s="28" t="s">
        <v>1028</v>
      </c>
      <c r="V229" s="28" t="s">
        <v>1027</v>
      </c>
    </row>
    <row r="230" spans="1:52" s="28" customFormat="1" x14ac:dyDescent="0.25">
      <c r="A230" s="28" t="s">
        <v>141</v>
      </c>
      <c r="B230" s="28" t="s">
        <v>142</v>
      </c>
      <c r="C230" s="28" t="str">
        <f>CONCATENATE(A230," ",B230)</f>
        <v>Mindi Kane</v>
      </c>
      <c r="D230" s="28" t="s">
        <v>691</v>
      </c>
      <c r="E230" s="28">
        <v>759555</v>
      </c>
      <c r="F230" s="28" t="s">
        <v>143</v>
      </c>
      <c r="G230" s="28" t="s">
        <v>38</v>
      </c>
      <c r="H230" s="28" t="s">
        <v>145</v>
      </c>
      <c r="I230" s="28" t="s">
        <v>676</v>
      </c>
      <c r="J230" s="28" t="s">
        <v>677</v>
      </c>
      <c r="K230" s="29">
        <v>673613358</v>
      </c>
      <c r="L230" s="28" t="s">
        <v>771</v>
      </c>
      <c r="M230" s="30" t="s">
        <v>705</v>
      </c>
      <c r="N230" s="30">
        <f>DATEDIF(L230,M230,"M")</f>
        <v>15</v>
      </c>
      <c r="O230" s="31">
        <v>112</v>
      </c>
      <c r="P230" s="32">
        <v>0.24</v>
      </c>
      <c r="Q230" s="33">
        <v>26.88</v>
      </c>
      <c r="R230" s="28" t="s">
        <v>985</v>
      </c>
      <c r="S230" s="28" t="s">
        <v>990</v>
      </c>
      <c r="T230" s="30">
        <v>19200754</v>
      </c>
      <c r="U230" s="28" t="s">
        <v>1028</v>
      </c>
      <c r="V230" s="28" t="s">
        <v>1029</v>
      </c>
    </row>
    <row r="231" spans="1:52" x14ac:dyDescent="0.25">
      <c r="A231" s="28" t="s">
        <v>141</v>
      </c>
      <c r="B231" s="28" t="s">
        <v>142</v>
      </c>
      <c r="C231" s="28" t="str">
        <f>CONCATENATE(A231," ",B231)</f>
        <v>Mindi Kane</v>
      </c>
      <c r="D231" s="28" t="s">
        <v>691</v>
      </c>
      <c r="E231" s="28">
        <v>759555</v>
      </c>
      <c r="F231" s="28" t="s">
        <v>143</v>
      </c>
      <c r="G231" s="28" t="s">
        <v>38</v>
      </c>
      <c r="H231" s="28" t="s">
        <v>145</v>
      </c>
      <c r="I231" s="28" t="s">
        <v>676</v>
      </c>
      <c r="J231" s="28" t="s">
        <v>677</v>
      </c>
      <c r="K231" s="29">
        <v>673613358</v>
      </c>
      <c r="L231" s="28" t="s">
        <v>771</v>
      </c>
      <c r="M231" s="30" t="s">
        <v>264</v>
      </c>
      <c r="N231" s="30">
        <f>DATEDIF(L231,M231,"M")</f>
        <v>16</v>
      </c>
      <c r="O231" s="31">
        <v>112</v>
      </c>
      <c r="P231" s="32">
        <v>0.24</v>
      </c>
      <c r="Q231" s="33">
        <v>26.88</v>
      </c>
      <c r="R231" s="28" t="s">
        <v>985</v>
      </c>
      <c r="S231" s="28" t="s">
        <v>990</v>
      </c>
      <c r="T231" s="30">
        <v>19200754</v>
      </c>
      <c r="U231" s="28" t="s">
        <v>1028</v>
      </c>
      <c r="V231" s="28" t="s">
        <v>1029</v>
      </c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</row>
    <row r="232" spans="1:52" x14ac:dyDescent="0.25">
      <c r="A232" s="28" t="s">
        <v>141</v>
      </c>
      <c r="B232" s="28" t="s">
        <v>142</v>
      </c>
      <c r="C232" s="28" t="str">
        <f>CONCATENATE(A232," ",B232)</f>
        <v>Mindi Kane</v>
      </c>
      <c r="D232" s="28" t="s">
        <v>691</v>
      </c>
      <c r="E232" s="28">
        <v>759555</v>
      </c>
      <c r="F232" s="28" t="s">
        <v>143</v>
      </c>
      <c r="G232" s="28" t="s">
        <v>38</v>
      </c>
      <c r="H232" s="28" t="s">
        <v>145</v>
      </c>
      <c r="I232" s="28" t="s">
        <v>676</v>
      </c>
      <c r="J232" s="28" t="s">
        <v>677</v>
      </c>
      <c r="K232" s="29">
        <v>673613358</v>
      </c>
      <c r="L232" s="28" t="s">
        <v>771</v>
      </c>
      <c r="M232" s="30" t="s">
        <v>670</v>
      </c>
      <c r="N232" s="30">
        <f>DATEDIF(L232,M232,"M")</f>
        <v>17</v>
      </c>
      <c r="O232" s="31">
        <v>112</v>
      </c>
      <c r="P232" s="32">
        <v>0.24</v>
      </c>
      <c r="Q232" s="33">
        <v>26.88</v>
      </c>
      <c r="R232" s="28" t="s">
        <v>985</v>
      </c>
      <c r="S232" s="28" t="s">
        <v>990</v>
      </c>
      <c r="T232" s="30">
        <v>19200754</v>
      </c>
      <c r="U232" s="28" t="s">
        <v>1028</v>
      </c>
      <c r="V232" s="28" t="s">
        <v>1029</v>
      </c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</row>
    <row r="233" spans="1:52" s="40" customFormat="1" x14ac:dyDescent="0.25">
      <c r="A233" s="28" t="s">
        <v>315</v>
      </c>
      <c r="B233" s="28" t="s">
        <v>316</v>
      </c>
      <c r="C233" s="28" t="str">
        <f>CONCATENATE(A233," ",B233)</f>
        <v>Cheryl Gaines</v>
      </c>
      <c r="D233" s="28" t="s">
        <v>691</v>
      </c>
      <c r="E233" s="28">
        <v>764002</v>
      </c>
      <c r="F233" s="28" t="s">
        <v>293</v>
      </c>
      <c r="G233" s="28" t="s">
        <v>99</v>
      </c>
      <c r="H233" s="28" t="s">
        <v>85</v>
      </c>
      <c r="I233" s="28" t="s">
        <v>676</v>
      </c>
      <c r="J233" s="28" t="s">
        <v>677</v>
      </c>
      <c r="K233" s="29">
        <v>604649461</v>
      </c>
      <c r="L233" s="28" t="s">
        <v>860</v>
      </c>
      <c r="M233" s="30" t="s">
        <v>693</v>
      </c>
      <c r="N233" s="30">
        <f>DATEDIF(L233,M233,"M")</f>
        <v>15</v>
      </c>
      <c r="O233" s="31">
        <v>124</v>
      </c>
      <c r="P233" s="32">
        <v>0.24</v>
      </c>
      <c r="Q233" s="33">
        <v>29.76</v>
      </c>
      <c r="R233" s="28" t="s">
        <v>985</v>
      </c>
      <c r="S233" s="28" t="s">
        <v>1006</v>
      </c>
      <c r="T233" s="30">
        <v>18828278</v>
      </c>
      <c r="U233" s="28" t="s">
        <v>1028</v>
      </c>
      <c r="V233" s="28" t="s">
        <v>1029</v>
      </c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</row>
    <row r="234" spans="1:52" s="28" customFormat="1" x14ac:dyDescent="0.25">
      <c r="A234" s="28" t="s">
        <v>315</v>
      </c>
      <c r="B234" s="28" t="s">
        <v>316</v>
      </c>
      <c r="C234" s="28" t="str">
        <f>CONCATENATE(A234," ",B234)</f>
        <v>Cheryl Gaines</v>
      </c>
      <c r="D234" s="28" t="s">
        <v>691</v>
      </c>
      <c r="E234" s="28">
        <v>764002</v>
      </c>
      <c r="F234" s="28" t="s">
        <v>293</v>
      </c>
      <c r="G234" s="28" t="s">
        <v>99</v>
      </c>
      <c r="H234" s="28" t="s">
        <v>85</v>
      </c>
      <c r="I234" s="28" t="s">
        <v>676</v>
      </c>
      <c r="J234" s="28" t="s">
        <v>677</v>
      </c>
      <c r="K234" s="29">
        <v>604649461</v>
      </c>
      <c r="L234" s="28" t="s">
        <v>860</v>
      </c>
      <c r="M234" s="30" t="s">
        <v>705</v>
      </c>
      <c r="N234" s="30">
        <f>DATEDIF(L234,M234,"M")</f>
        <v>16</v>
      </c>
      <c r="O234" s="31">
        <v>124</v>
      </c>
      <c r="P234" s="32">
        <v>0.24</v>
      </c>
      <c r="Q234" s="33">
        <v>29.76</v>
      </c>
      <c r="R234" s="28" t="s">
        <v>985</v>
      </c>
      <c r="S234" s="28" t="s">
        <v>1006</v>
      </c>
      <c r="T234" s="30">
        <v>18828278</v>
      </c>
      <c r="U234" s="28" t="s">
        <v>1028</v>
      </c>
      <c r="V234" s="28" t="s">
        <v>1029</v>
      </c>
    </row>
    <row r="235" spans="1:52" s="28" customFormat="1" x14ac:dyDescent="0.25">
      <c r="A235" s="28" t="s">
        <v>315</v>
      </c>
      <c r="B235" s="28" t="s">
        <v>316</v>
      </c>
      <c r="C235" s="28" t="str">
        <f>CONCATENATE(A235," ",B235)</f>
        <v>Cheryl Gaines</v>
      </c>
      <c r="D235" s="28" t="s">
        <v>691</v>
      </c>
      <c r="E235" s="28">
        <v>764002</v>
      </c>
      <c r="F235" s="28" t="s">
        <v>293</v>
      </c>
      <c r="G235" s="28" t="s">
        <v>99</v>
      </c>
      <c r="H235" s="28" t="s">
        <v>85</v>
      </c>
      <c r="I235" s="28" t="s">
        <v>676</v>
      </c>
      <c r="J235" s="28" t="s">
        <v>677</v>
      </c>
      <c r="K235" s="29">
        <v>604649461</v>
      </c>
      <c r="L235" s="28" t="s">
        <v>860</v>
      </c>
      <c r="M235" s="30" t="s">
        <v>264</v>
      </c>
      <c r="N235" s="30">
        <f>DATEDIF(L235,M235,"M")</f>
        <v>17</v>
      </c>
      <c r="O235" s="31">
        <v>124</v>
      </c>
      <c r="P235" s="32">
        <v>0.24</v>
      </c>
      <c r="Q235" s="33">
        <v>29.76</v>
      </c>
      <c r="R235" s="28" t="s">
        <v>985</v>
      </c>
      <c r="S235" s="28" t="s">
        <v>1006</v>
      </c>
      <c r="T235" s="30">
        <v>18828278</v>
      </c>
      <c r="U235" s="28" t="s">
        <v>1028</v>
      </c>
      <c r="V235" s="28" t="s">
        <v>1029</v>
      </c>
    </row>
    <row r="236" spans="1:52" s="28" customFormat="1" x14ac:dyDescent="0.25">
      <c r="A236" s="40" t="s">
        <v>436</v>
      </c>
      <c r="B236" s="40" t="s">
        <v>437</v>
      </c>
      <c r="C236" s="28" t="str">
        <f>CONCATENATE(A236," ",B236)</f>
        <v>Francis Conroy</v>
      </c>
      <c r="D236" s="40" t="s">
        <v>695</v>
      </c>
      <c r="E236" s="40">
        <v>655758</v>
      </c>
      <c r="F236" s="40" t="s">
        <v>438</v>
      </c>
      <c r="G236" s="40" t="s">
        <v>152</v>
      </c>
      <c r="H236" s="40" t="s">
        <v>85</v>
      </c>
      <c r="I236" s="40" t="s">
        <v>676</v>
      </c>
      <c r="J236" s="40" t="s">
        <v>677</v>
      </c>
      <c r="K236" s="41">
        <v>181914820</v>
      </c>
      <c r="L236" s="40" t="s">
        <v>264</v>
      </c>
      <c r="M236" s="42" t="s">
        <v>670</v>
      </c>
      <c r="N236" s="42">
        <f>DATEDIF(L236,M236,"M")</f>
        <v>1</v>
      </c>
      <c r="O236" s="43">
        <v>54</v>
      </c>
      <c r="P236" s="44">
        <v>0.24</v>
      </c>
      <c r="Q236" s="45">
        <v>12.96</v>
      </c>
      <c r="R236" s="40" t="s">
        <v>985</v>
      </c>
      <c r="S236" s="40" t="s">
        <v>991</v>
      </c>
      <c r="T236" s="42" t="s">
        <v>1013</v>
      </c>
      <c r="U236" s="40" t="s">
        <v>1028</v>
      </c>
      <c r="V236" s="40" t="s">
        <v>1029</v>
      </c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</row>
    <row r="237" spans="1:52" s="28" customFormat="1" x14ac:dyDescent="0.25">
      <c r="A237" t="s">
        <v>436</v>
      </c>
      <c r="B237" t="s">
        <v>437</v>
      </c>
      <c r="C237" s="28" t="str">
        <f>CONCATENATE(A237," ",B237)</f>
        <v>Francis Conroy</v>
      </c>
      <c r="D237" t="s">
        <v>695</v>
      </c>
      <c r="E237">
        <v>655758</v>
      </c>
      <c r="F237" t="s">
        <v>438</v>
      </c>
      <c r="G237" t="s">
        <v>52</v>
      </c>
      <c r="H237" t="s">
        <v>111</v>
      </c>
      <c r="I237" t="s">
        <v>686</v>
      </c>
      <c r="J237" t="s">
        <v>687</v>
      </c>
      <c r="K237" s="17">
        <v>983602993</v>
      </c>
      <c r="L237" t="s">
        <v>264</v>
      </c>
      <c r="M237" s="18" t="s">
        <v>670</v>
      </c>
      <c r="N237" s="18">
        <f>DATEDIF(L237,M237,"M")</f>
        <v>1</v>
      </c>
      <c r="O237" s="19">
        <v>15</v>
      </c>
      <c r="P237" s="20">
        <v>0.37</v>
      </c>
      <c r="Q237" s="14">
        <v>5.55</v>
      </c>
      <c r="R237" t="s">
        <v>984</v>
      </c>
      <c r="S237" t="s">
        <v>991</v>
      </c>
      <c r="T237" s="18" t="s">
        <v>1013</v>
      </c>
      <c r="U237" s="40" t="s">
        <v>1028</v>
      </c>
      <c r="V237" s="40" t="s">
        <v>1029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</row>
    <row r="238" spans="1:52" s="28" customFormat="1" x14ac:dyDescent="0.25">
      <c r="A238" t="s">
        <v>224</v>
      </c>
      <c r="B238" t="s">
        <v>225</v>
      </c>
      <c r="C238" s="28" t="str">
        <f>CONCATENATE(A238," ",B238)</f>
        <v>Laura Beatty</v>
      </c>
      <c r="D238" t="s">
        <v>695</v>
      </c>
      <c r="E238">
        <v>689390</v>
      </c>
      <c r="F238" t="s">
        <v>77</v>
      </c>
      <c r="G238" t="s">
        <v>79</v>
      </c>
      <c r="H238" t="s">
        <v>28</v>
      </c>
      <c r="I238" t="s">
        <v>676</v>
      </c>
      <c r="J238" t="s">
        <v>677</v>
      </c>
      <c r="K238" s="17">
        <v>317405573</v>
      </c>
      <c r="L238" t="s">
        <v>693</v>
      </c>
      <c r="M238" s="18" t="s">
        <v>705</v>
      </c>
      <c r="N238" s="18">
        <f>DATEDIF(L238,M238,"M")</f>
        <v>1</v>
      </c>
      <c r="O238" s="19">
        <v>71</v>
      </c>
      <c r="P238" s="20">
        <v>0.24</v>
      </c>
      <c r="Q238" s="14">
        <v>17.04</v>
      </c>
      <c r="R238" t="s">
        <v>985</v>
      </c>
      <c r="S238" t="s">
        <v>992</v>
      </c>
      <c r="T238" s="18">
        <v>17425766</v>
      </c>
      <c r="U238" s="40" t="s">
        <v>1028</v>
      </c>
      <c r="V238" s="40" t="s">
        <v>1029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</row>
    <row r="239" spans="1:52" s="28" customFormat="1" x14ac:dyDescent="0.25">
      <c r="A239" t="s">
        <v>462</v>
      </c>
      <c r="B239" t="s">
        <v>257</v>
      </c>
      <c r="C239" s="28" t="str">
        <f>CONCATENATE(A239," ",B239)</f>
        <v>Teri Weissman</v>
      </c>
      <c r="D239" t="s">
        <v>710</v>
      </c>
      <c r="E239">
        <v>689390</v>
      </c>
      <c r="F239" t="s">
        <v>77</v>
      </c>
      <c r="G239" t="s">
        <v>79</v>
      </c>
      <c r="H239" t="s">
        <v>28</v>
      </c>
      <c r="I239" t="s">
        <v>676</v>
      </c>
      <c r="J239" t="s">
        <v>677</v>
      </c>
      <c r="K239" s="17">
        <v>648787978</v>
      </c>
      <c r="L239" t="s">
        <v>693</v>
      </c>
      <c r="M239" s="18" t="s">
        <v>705</v>
      </c>
      <c r="N239" s="18">
        <f>DATEDIF(L239,M239,"M")</f>
        <v>1</v>
      </c>
      <c r="O239" s="19">
        <v>74</v>
      </c>
      <c r="P239" s="20">
        <v>0.24</v>
      </c>
      <c r="Q239" s="14">
        <v>17.760000000000002</v>
      </c>
      <c r="R239" t="s">
        <v>985</v>
      </c>
      <c r="S239" t="s">
        <v>992</v>
      </c>
      <c r="T239" s="18">
        <v>17425766</v>
      </c>
      <c r="U239" s="40" t="s">
        <v>1028</v>
      </c>
      <c r="V239" s="40" t="s">
        <v>1029</v>
      </c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</row>
    <row r="240" spans="1:52" s="28" customFormat="1" x14ac:dyDescent="0.25">
      <c r="A240" t="s">
        <v>518</v>
      </c>
      <c r="B240" t="s">
        <v>519</v>
      </c>
      <c r="C240" s="28" t="str">
        <f>CONCATENATE(A240," ",B240)</f>
        <v xml:space="preserve"> Shelli   Sheridan</v>
      </c>
      <c r="D240" t="s">
        <v>691</v>
      </c>
      <c r="E240">
        <v>757929</v>
      </c>
      <c r="F240" t="s">
        <v>36</v>
      </c>
      <c r="G240" t="s">
        <v>188</v>
      </c>
      <c r="H240" t="s">
        <v>28</v>
      </c>
      <c r="I240" t="s">
        <v>676</v>
      </c>
      <c r="J240" t="s">
        <v>677</v>
      </c>
      <c r="K240" s="17">
        <v>220207712</v>
      </c>
      <c r="L240" t="s">
        <v>264</v>
      </c>
      <c r="M240" s="18" t="s">
        <v>670</v>
      </c>
      <c r="N240" s="18">
        <f>DATEDIF(L240,M240,"M")</f>
        <v>1</v>
      </c>
      <c r="O240" s="19">
        <v>22</v>
      </c>
      <c r="P240" s="20">
        <v>0.24</v>
      </c>
      <c r="Q240" s="14">
        <v>5.28</v>
      </c>
      <c r="R240" t="s">
        <v>985</v>
      </c>
      <c r="S240" t="s">
        <v>1003</v>
      </c>
      <c r="T240" s="18">
        <v>9213293</v>
      </c>
      <c r="U240" s="40" t="s">
        <v>1028</v>
      </c>
      <c r="V240" s="40" t="s">
        <v>1029</v>
      </c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</row>
    <row r="241" spans="1:52" s="28" customFormat="1" x14ac:dyDescent="0.25">
      <c r="A241" t="s">
        <v>184</v>
      </c>
      <c r="B241" t="s">
        <v>185</v>
      </c>
      <c r="C241" s="28" t="str">
        <f>CONCATENATE(A241," ",B241)</f>
        <v>Klaudia Tac</v>
      </c>
      <c r="D241" t="s">
        <v>691</v>
      </c>
      <c r="E241">
        <v>757929</v>
      </c>
      <c r="F241" t="s">
        <v>36</v>
      </c>
      <c r="G241" t="s">
        <v>52</v>
      </c>
      <c r="H241" t="s">
        <v>28</v>
      </c>
      <c r="I241" t="s">
        <v>686</v>
      </c>
      <c r="J241" t="s">
        <v>687</v>
      </c>
      <c r="K241" s="17">
        <v>1035728</v>
      </c>
      <c r="L241" t="s">
        <v>264</v>
      </c>
      <c r="M241" s="18" t="s">
        <v>670</v>
      </c>
      <c r="N241" s="18">
        <f>DATEDIF(L241,M241,"M")</f>
        <v>1</v>
      </c>
      <c r="O241" s="19">
        <v>11</v>
      </c>
      <c r="P241" s="20">
        <v>0.37</v>
      </c>
      <c r="Q241" s="14">
        <v>4.07</v>
      </c>
      <c r="R241" t="s">
        <v>984</v>
      </c>
      <c r="S241" t="s">
        <v>1003</v>
      </c>
      <c r="T241" s="18">
        <v>9213293</v>
      </c>
      <c r="U241" s="40" t="s">
        <v>1028</v>
      </c>
      <c r="V241" s="40" t="s">
        <v>1029</v>
      </c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</row>
    <row r="242" spans="1:52" s="28" customFormat="1" x14ac:dyDescent="0.25">
      <c r="A242" t="s">
        <v>184</v>
      </c>
      <c r="B242" t="s">
        <v>185</v>
      </c>
      <c r="C242" s="28" t="str">
        <f>CONCATENATE(A242," ",B242)</f>
        <v>Klaudia Tac</v>
      </c>
      <c r="D242" t="s">
        <v>691</v>
      </c>
      <c r="E242">
        <v>757929</v>
      </c>
      <c r="F242" t="s">
        <v>36</v>
      </c>
      <c r="G242" t="s">
        <v>188</v>
      </c>
      <c r="H242" t="s">
        <v>28</v>
      </c>
      <c r="I242" t="s">
        <v>676</v>
      </c>
      <c r="J242" t="s">
        <v>677</v>
      </c>
      <c r="K242" s="17">
        <v>390580973</v>
      </c>
      <c r="L242" t="s">
        <v>264</v>
      </c>
      <c r="M242" s="18" t="s">
        <v>670</v>
      </c>
      <c r="N242" s="18">
        <f>DATEDIF(L242,M242,"M")</f>
        <v>1</v>
      </c>
      <c r="O242" s="19">
        <v>22</v>
      </c>
      <c r="P242" s="20">
        <v>0.24</v>
      </c>
      <c r="Q242" s="14">
        <v>5.28</v>
      </c>
      <c r="R242" t="s">
        <v>985</v>
      </c>
      <c r="S242" t="s">
        <v>1003</v>
      </c>
      <c r="T242" s="18">
        <v>9213293</v>
      </c>
      <c r="U242" s="40" t="s">
        <v>1028</v>
      </c>
      <c r="V242" s="40" t="s">
        <v>1029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</row>
    <row r="243" spans="1:52" s="28" customFormat="1" x14ac:dyDescent="0.25">
      <c r="A243" t="s">
        <v>240</v>
      </c>
      <c r="B243" t="s">
        <v>241</v>
      </c>
      <c r="C243" s="28" t="str">
        <f>CONCATENATE(A243," ",B243)</f>
        <v>Dorothy Musi</v>
      </c>
      <c r="D243" t="s">
        <v>673</v>
      </c>
      <c r="E243">
        <v>798992</v>
      </c>
      <c r="F243" t="s">
        <v>59</v>
      </c>
      <c r="G243" t="s">
        <v>152</v>
      </c>
      <c r="H243" t="s">
        <v>28</v>
      </c>
      <c r="I243" t="s">
        <v>676</v>
      </c>
      <c r="J243" t="s">
        <v>677</v>
      </c>
      <c r="K243" s="17">
        <v>353396219</v>
      </c>
      <c r="L243" t="s">
        <v>716</v>
      </c>
      <c r="M243" s="18" t="s">
        <v>693</v>
      </c>
      <c r="N243" s="18">
        <f>DATEDIF(L243,M243,"M")</f>
        <v>1</v>
      </c>
      <c r="O243" s="19">
        <v>27</v>
      </c>
      <c r="P243" s="20">
        <v>0.24</v>
      </c>
      <c r="Q243" s="14">
        <v>6.48</v>
      </c>
      <c r="R243" t="s">
        <v>985</v>
      </c>
      <c r="S243" t="s">
        <v>995</v>
      </c>
      <c r="T243" s="18" t="s">
        <v>1016</v>
      </c>
      <c r="U243" s="40" t="s">
        <v>1028</v>
      </c>
      <c r="V243" s="40" t="s">
        <v>1029</v>
      </c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</row>
    <row r="244" spans="1:52" s="28" customFormat="1" x14ac:dyDescent="0.25">
      <c r="A244" s="34" t="s">
        <v>306</v>
      </c>
      <c r="B244" s="34" t="s">
        <v>307</v>
      </c>
      <c r="C244" s="28" t="str">
        <f>CONCATENATE(A244," ",B244)</f>
        <v>Patrick Heller</v>
      </c>
      <c r="D244" s="34" t="s">
        <v>673</v>
      </c>
      <c r="E244" s="34">
        <v>711419</v>
      </c>
      <c r="F244" s="34" t="s">
        <v>251</v>
      </c>
      <c r="G244" s="34" t="s">
        <v>52</v>
      </c>
      <c r="H244" s="34" t="s">
        <v>111</v>
      </c>
      <c r="I244" s="34" t="s">
        <v>686</v>
      </c>
      <c r="J244" s="34" t="s">
        <v>687</v>
      </c>
      <c r="K244" s="35">
        <v>518008986</v>
      </c>
      <c r="L244" s="34" t="s">
        <v>716</v>
      </c>
      <c r="M244" s="36" t="s">
        <v>693</v>
      </c>
      <c r="N244" s="36">
        <f>DATEDIF(L244,M244,"M")</f>
        <v>1</v>
      </c>
      <c r="O244" s="37">
        <v>0.45</v>
      </c>
      <c r="P244" s="38">
        <v>0.03</v>
      </c>
      <c r="Q244" s="39">
        <v>0.45</v>
      </c>
      <c r="R244" s="34" t="s">
        <v>986</v>
      </c>
      <c r="S244" s="34" t="s">
        <v>993</v>
      </c>
      <c r="T244" s="36">
        <v>20411454</v>
      </c>
      <c r="U244" s="40" t="s">
        <v>1028</v>
      </c>
      <c r="V244" s="40" t="s">
        <v>1029</v>
      </c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</row>
    <row r="245" spans="1:52" s="28" customFormat="1" x14ac:dyDescent="0.25">
      <c r="A245" t="s">
        <v>306</v>
      </c>
      <c r="B245" t="s">
        <v>443</v>
      </c>
      <c r="C245" s="28" t="str">
        <f>CONCATENATE(A245," ",B245)</f>
        <v>Patrick Breedy</v>
      </c>
      <c r="D245" t="s">
        <v>695</v>
      </c>
      <c r="E245">
        <v>655758</v>
      </c>
      <c r="F245" t="s">
        <v>438</v>
      </c>
      <c r="G245" t="s">
        <v>188</v>
      </c>
      <c r="H245" t="s">
        <v>28</v>
      </c>
      <c r="I245" t="s">
        <v>676</v>
      </c>
      <c r="J245" t="s">
        <v>677</v>
      </c>
      <c r="K245" s="17">
        <v>373547815</v>
      </c>
      <c r="L245" t="s">
        <v>716</v>
      </c>
      <c r="M245" s="18" t="s">
        <v>705</v>
      </c>
      <c r="N245" s="18">
        <f>DATEDIF(L245,M245,"M")</f>
        <v>2</v>
      </c>
      <c r="O245" s="19">
        <v>22</v>
      </c>
      <c r="P245" s="20">
        <v>0.24</v>
      </c>
      <c r="Q245" s="14">
        <v>5.28</v>
      </c>
      <c r="R245" t="s">
        <v>985</v>
      </c>
      <c r="S245" t="s">
        <v>991</v>
      </c>
      <c r="T245" s="18" t="s">
        <v>1013</v>
      </c>
      <c r="U245" s="40" t="s">
        <v>1028</v>
      </c>
      <c r="V245" s="40" t="s">
        <v>1029</v>
      </c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</row>
    <row r="246" spans="1:52" s="28" customFormat="1" x14ac:dyDescent="0.25">
      <c r="A246" t="s">
        <v>224</v>
      </c>
      <c r="B246" t="s">
        <v>225</v>
      </c>
      <c r="C246" s="28" t="str">
        <f>CONCATENATE(A246," ",B246)</f>
        <v>Laura Beatty</v>
      </c>
      <c r="D246" t="s">
        <v>695</v>
      </c>
      <c r="E246">
        <v>689390</v>
      </c>
      <c r="F246" t="s">
        <v>77</v>
      </c>
      <c r="G246" t="s">
        <v>79</v>
      </c>
      <c r="H246" t="s">
        <v>28</v>
      </c>
      <c r="I246" t="s">
        <v>676</v>
      </c>
      <c r="J246" t="s">
        <v>677</v>
      </c>
      <c r="K246" s="17">
        <v>317405573</v>
      </c>
      <c r="L246" t="s">
        <v>693</v>
      </c>
      <c r="M246" s="18" t="s">
        <v>264</v>
      </c>
      <c r="N246" s="18">
        <f>DATEDIF(L246,M246,"M")</f>
        <v>2</v>
      </c>
      <c r="O246" s="19">
        <v>71</v>
      </c>
      <c r="P246" s="20">
        <v>0.24</v>
      </c>
      <c r="Q246" s="14">
        <v>17.04</v>
      </c>
      <c r="R246" t="s">
        <v>985</v>
      </c>
      <c r="S246" t="s">
        <v>992</v>
      </c>
      <c r="T246" s="18">
        <v>17425766</v>
      </c>
      <c r="U246" s="40" t="s">
        <v>1028</v>
      </c>
      <c r="V246" s="40" t="s">
        <v>1029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 spans="1:52" s="28" customFormat="1" x14ac:dyDescent="0.25">
      <c r="A247" t="s">
        <v>462</v>
      </c>
      <c r="B247" t="s">
        <v>257</v>
      </c>
      <c r="C247" s="28" t="str">
        <f>CONCATENATE(A247," ",B247)</f>
        <v>Teri Weissman</v>
      </c>
      <c r="D247" t="s">
        <v>710</v>
      </c>
      <c r="E247">
        <v>689390</v>
      </c>
      <c r="F247" t="s">
        <v>77</v>
      </c>
      <c r="G247" t="s">
        <v>79</v>
      </c>
      <c r="H247" t="s">
        <v>28</v>
      </c>
      <c r="I247" t="s">
        <v>676</v>
      </c>
      <c r="J247" t="s">
        <v>677</v>
      </c>
      <c r="K247" s="17">
        <v>648787978</v>
      </c>
      <c r="L247" t="s">
        <v>693</v>
      </c>
      <c r="M247" s="18" t="s">
        <v>264</v>
      </c>
      <c r="N247" s="18">
        <f>DATEDIF(L247,M247,"M")</f>
        <v>2</v>
      </c>
      <c r="O247" s="19">
        <v>74</v>
      </c>
      <c r="P247" s="20">
        <v>0.24</v>
      </c>
      <c r="Q247" s="14">
        <v>17.760000000000002</v>
      </c>
      <c r="R247" t="s">
        <v>985</v>
      </c>
      <c r="S247" t="s">
        <v>992</v>
      </c>
      <c r="T247" s="18">
        <v>17425766</v>
      </c>
      <c r="U247" s="40" t="s">
        <v>1028</v>
      </c>
      <c r="V247" s="40" t="s">
        <v>1029</v>
      </c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</row>
    <row r="248" spans="1:52" s="28" customFormat="1" x14ac:dyDescent="0.25">
      <c r="A248" t="s">
        <v>240</v>
      </c>
      <c r="B248" t="s">
        <v>241</v>
      </c>
      <c r="C248" s="28" t="str">
        <f>CONCATENATE(A248," ",B248)</f>
        <v>Dorothy Musi</v>
      </c>
      <c r="D248" t="s">
        <v>673</v>
      </c>
      <c r="E248">
        <v>798992</v>
      </c>
      <c r="F248" t="s">
        <v>59</v>
      </c>
      <c r="G248" t="s">
        <v>152</v>
      </c>
      <c r="H248" t="s">
        <v>28</v>
      </c>
      <c r="I248" t="s">
        <v>676</v>
      </c>
      <c r="J248" t="s">
        <v>677</v>
      </c>
      <c r="K248" s="17">
        <v>353396219</v>
      </c>
      <c r="L248" t="s">
        <v>716</v>
      </c>
      <c r="M248" s="18" t="s">
        <v>705</v>
      </c>
      <c r="N248" s="18">
        <f>DATEDIF(L248,M248,"M")</f>
        <v>2</v>
      </c>
      <c r="O248" s="19">
        <v>27</v>
      </c>
      <c r="P248" s="20">
        <v>0.24</v>
      </c>
      <c r="Q248" s="14">
        <v>6.48</v>
      </c>
      <c r="R248" t="s">
        <v>985</v>
      </c>
      <c r="S248" t="s">
        <v>995</v>
      </c>
      <c r="T248" s="18" t="s">
        <v>1016</v>
      </c>
      <c r="U248" s="40" t="s">
        <v>1028</v>
      </c>
      <c r="V248" s="40" t="s">
        <v>1029</v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</row>
    <row r="249" spans="1:52" s="28" customFormat="1" x14ac:dyDescent="0.25">
      <c r="A249" s="34" t="s">
        <v>306</v>
      </c>
      <c r="B249" s="34" t="s">
        <v>307</v>
      </c>
      <c r="C249" s="28" t="str">
        <f>CONCATENATE(A249," ",B249)</f>
        <v>Patrick Heller</v>
      </c>
      <c r="D249" s="34" t="s">
        <v>673</v>
      </c>
      <c r="E249" s="34">
        <v>711419</v>
      </c>
      <c r="F249" s="34" t="s">
        <v>251</v>
      </c>
      <c r="G249" s="34" t="s">
        <v>52</v>
      </c>
      <c r="H249" s="34" t="s">
        <v>111</v>
      </c>
      <c r="I249" s="34" t="s">
        <v>686</v>
      </c>
      <c r="J249" s="34" t="s">
        <v>687</v>
      </c>
      <c r="K249" s="35">
        <v>518008986</v>
      </c>
      <c r="L249" s="34" t="s">
        <v>716</v>
      </c>
      <c r="M249" s="36" t="s">
        <v>705</v>
      </c>
      <c r="N249" s="36">
        <f>DATEDIF(L249,M249,"M")</f>
        <v>2</v>
      </c>
      <c r="O249" s="37">
        <v>0.45</v>
      </c>
      <c r="P249" s="38">
        <v>0.03</v>
      </c>
      <c r="Q249" s="39">
        <v>0.45</v>
      </c>
      <c r="R249" s="34" t="s">
        <v>986</v>
      </c>
      <c r="S249" s="34" t="s">
        <v>993</v>
      </c>
      <c r="T249" s="36">
        <v>20411454</v>
      </c>
      <c r="U249" s="40" t="s">
        <v>1028</v>
      </c>
      <c r="V249" s="40" t="s">
        <v>1029</v>
      </c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</row>
    <row r="250" spans="1:52" s="28" customFormat="1" x14ac:dyDescent="0.25">
      <c r="A250" t="s">
        <v>306</v>
      </c>
      <c r="B250" t="s">
        <v>443</v>
      </c>
      <c r="C250" s="28" t="str">
        <f>CONCATENATE(A250," ",B250)</f>
        <v>Patrick Breedy</v>
      </c>
      <c r="D250" t="s">
        <v>695</v>
      </c>
      <c r="E250">
        <v>655758</v>
      </c>
      <c r="F250" t="s">
        <v>438</v>
      </c>
      <c r="G250" t="s">
        <v>188</v>
      </c>
      <c r="H250" t="s">
        <v>28</v>
      </c>
      <c r="I250" t="s">
        <v>676</v>
      </c>
      <c r="J250" t="s">
        <v>677</v>
      </c>
      <c r="K250" s="17">
        <v>373547815</v>
      </c>
      <c r="L250" t="s">
        <v>716</v>
      </c>
      <c r="M250" s="18" t="s">
        <v>264</v>
      </c>
      <c r="N250" s="18">
        <f>DATEDIF(L250,M250,"M")</f>
        <v>3</v>
      </c>
      <c r="O250" s="19">
        <v>22</v>
      </c>
      <c r="P250" s="20">
        <v>0.24</v>
      </c>
      <c r="Q250" s="14">
        <v>5.28</v>
      </c>
      <c r="R250" t="s">
        <v>985</v>
      </c>
      <c r="S250" t="s">
        <v>991</v>
      </c>
      <c r="T250" s="18" t="s">
        <v>1013</v>
      </c>
      <c r="U250" s="40" t="s">
        <v>1028</v>
      </c>
      <c r="V250" s="40" t="s">
        <v>1029</v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</row>
    <row r="251" spans="1:52" s="28" customFormat="1" x14ac:dyDescent="0.25">
      <c r="A251" t="s">
        <v>462</v>
      </c>
      <c r="B251" t="s">
        <v>257</v>
      </c>
      <c r="C251" s="28" t="str">
        <f>CONCATENATE(A251," ",B251)</f>
        <v>Teri Weissman</v>
      </c>
      <c r="D251" t="s">
        <v>710</v>
      </c>
      <c r="E251">
        <v>689390</v>
      </c>
      <c r="F251" t="s">
        <v>77</v>
      </c>
      <c r="G251" t="s">
        <v>79</v>
      </c>
      <c r="H251" t="s">
        <v>28</v>
      </c>
      <c r="I251" t="s">
        <v>676</v>
      </c>
      <c r="J251" t="s">
        <v>677</v>
      </c>
      <c r="K251" s="17">
        <v>648787978</v>
      </c>
      <c r="L251" t="s">
        <v>693</v>
      </c>
      <c r="M251" s="18" t="s">
        <v>670</v>
      </c>
      <c r="N251" s="18">
        <f>DATEDIF(L251,M251,"M")</f>
        <v>3</v>
      </c>
      <c r="O251" s="19">
        <v>74</v>
      </c>
      <c r="P251" s="20">
        <v>0.24</v>
      </c>
      <c r="Q251" s="14">
        <v>17.760000000000002</v>
      </c>
      <c r="R251" t="s">
        <v>985</v>
      </c>
      <c r="S251" t="s">
        <v>992</v>
      </c>
      <c r="T251" s="18">
        <v>17425766</v>
      </c>
      <c r="U251" s="40" t="s">
        <v>1028</v>
      </c>
      <c r="V251" s="40" t="s">
        <v>1029</v>
      </c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</row>
    <row r="252" spans="1:52" s="28" customFormat="1" x14ac:dyDescent="0.25">
      <c r="A252" t="s">
        <v>478</v>
      </c>
      <c r="B252" t="s">
        <v>479</v>
      </c>
      <c r="C252" s="28" t="str">
        <f>CONCATENATE(A252," ",B252)</f>
        <v>Stanley Dickson</v>
      </c>
      <c r="D252" t="s">
        <v>803</v>
      </c>
      <c r="E252">
        <v>689390</v>
      </c>
      <c r="F252" t="s">
        <v>77</v>
      </c>
      <c r="G252" t="s">
        <v>79</v>
      </c>
      <c r="H252" t="s">
        <v>28</v>
      </c>
      <c r="I252" t="s">
        <v>676</v>
      </c>
      <c r="J252" t="s">
        <v>677</v>
      </c>
      <c r="K252" s="17">
        <v>437400223</v>
      </c>
      <c r="L252" t="s">
        <v>805</v>
      </c>
      <c r="M252" s="18" t="s">
        <v>705</v>
      </c>
      <c r="N252" s="18">
        <f>DATEDIF(L252,M252,"M")</f>
        <v>3</v>
      </c>
      <c r="O252" s="19">
        <v>71</v>
      </c>
      <c r="P252" s="20">
        <v>0.24</v>
      </c>
      <c r="Q252" s="14">
        <v>17.04</v>
      </c>
      <c r="R252" t="s">
        <v>985</v>
      </c>
      <c r="S252" t="s">
        <v>992</v>
      </c>
      <c r="T252" s="18">
        <v>17425766</v>
      </c>
      <c r="U252" s="40" t="s">
        <v>1028</v>
      </c>
      <c r="V252" s="40" t="s">
        <v>1029</v>
      </c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</row>
    <row r="253" spans="1:52" s="28" customFormat="1" x14ac:dyDescent="0.25">
      <c r="A253" t="s">
        <v>96</v>
      </c>
      <c r="B253" t="s">
        <v>97</v>
      </c>
      <c r="C253" s="28" t="str">
        <f>CONCATENATE(A253," ",B253)</f>
        <v>Charles Vickers</v>
      </c>
      <c r="D253" t="s">
        <v>892</v>
      </c>
      <c r="E253">
        <v>689390</v>
      </c>
      <c r="F253" t="s">
        <v>77</v>
      </c>
      <c r="G253" t="s">
        <v>99</v>
      </c>
      <c r="H253" t="s">
        <v>28</v>
      </c>
      <c r="I253" t="s">
        <v>676</v>
      </c>
      <c r="J253" t="s">
        <v>677</v>
      </c>
      <c r="K253" s="17">
        <v>377078631</v>
      </c>
      <c r="L253" t="s">
        <v>805</v>
      </c>
      <c r="M253" s="18" t="s">
        <v>705</v>
      </c>
      <c r="N253" s="18">
        <f>DATEDIF(L253,M253,"M")</f>
        <v>3</v>
      </c>
      <c r="O253" s="19">
        <v>65</v>
      </c>
      <c r="P253" s="20">
        <v>0.24</v>
      </c>
      <c r="Q253" s="14">
        <v>15.6</v>
      </c>
      <c r="R253" t="s">
        <v>985</v>
      </c>
      <c r="S253" t="s">
        <v>992</v>
      </c>
      <c r="T253" s="18">
        <v>17425766</v>
      </c>
      <c r="U253" s="40" t="s">
        <v>1028</v>
      </c>
      <c r="V253" s="40" t="s">
        <v>1029</v>
      </c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</row>
    <row r="254" spans="1:52" s="28" customFormat="1" x14ac:dyDescent="0.25">
      <c r="A254" t="s">
        <v>156</v>
      </c>
      <c r="B254" t="s">
        <v>157</v>
      </c>
      <c r="C254" s="28" t="str">
        <f>CONCATENATE(A254," ",B254)</f>
        <v>Janice Pietrucha</v>
      </c>
      <c r="D254" t="s">
        <v>691</v>
      </c>
      <c r="E254">
        <v>757929</v>
      </c>
      <c r="F254" t="s">
        <v>36</v>
      </c>
      <c r="G254" t="s">
        <v>131</v>
      </c>
      <c r="H254" t="s">
        <v>28</v>
      </c>
      <c r="I254" t="s">
        <v>676</v>
      </c>
      <c r="J254" t="s">
        <v>677</v>
      </c>
      <c r="K254" s="17">
        <v>251856742</v>
      </c>
      <c r="L254" t="s">
        <v>805</v>
      </c>
      <c r="M254" s="18" t="s">
        <v>705</v>
      </c>
      <c r="N254" s="18">
        <f>DATEDIF(L254,M254,"M")</f>
        <v>3</v>
      </c>
      <c r="O254" s="19">
        <v>40</v>
      </c>
      <c r="P254" s="20">
        <v>0.24</v>
      </c>
      <c r="Q254" s="14">
        <v>9.6</v>
      </c>
      <c r="R254" t="s">
        <v>985</v>
      </c>
      <c r="S254" t="s">
        <v>1003</v>
      </c>
      <c r="T254" s="18">
        <v>9213293</v>
      </c>
      <c r="U254" s="40" t="s">
        <v>1028</v>
      </c>
      <c r="V254" s="40" t="s">
        <v>1029</v>
      </c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</row>
    <row r="255" spans="1:52" s="28" customFormat="1" x14ac:dyDescent="0.25">
      <c r="A255" t="s">
        <v>240</v>
      </c>
      <c r="B255" t="s">
        <v>241</v>
      </c>
      <c r="C255" s="28" t="str">
        <f>CONCATENATE(A255," ",B255)</f>
        <v>Dorothy Musi</v>
      </c>
      <c r="D255" t="s">
        <v>673</v>
      </c>
      <c r="E255">
        <v>798992</v>
      </c>
      <c r="F255" t="s">
        <v>59</v>
      </c>
      <c r="G255" t="s">
        <v>152</v>
      </c>
      <c r="H255" t="s">
        <v>28</v>
      </c>
      <c r="I255" t="s">
        <v>676</v>
      </c>
      <c r="J255" t="s">
        <v>677</v>
      </c>
      <c r="K255" s="17">
        <v>353396219</v>
      </c>
      <c r="L255" t="s">
        <v>716</v>
      </c>
      <c r="M255" s="18" t="s">
        <v>264</v>
      </c>
      <c r="N255" s="18">
        <f>DATEDIF(L255,M255,"M")</f>
        <v>3</v>
      </c>
      <c r="O255" s="19">
        <v>27</v>
      </c>
      <c r="P255" s="20">
        <v>0.24</v>
      </c>
      <c r="Q255" s="14">
        <v>6.48</v>
      </c>
      <c r="R255" t="s">
        <v>985</v>
      </c>
      <c r="S255" t="s">
        <v>995</v>
      </c>
      <c r="T255" s="18" t="s">
        <v>1016</v>
      </c>
      <c r="U255" s="40" t="s">
        <v>1028</v>
      </c>
      <c r="V255" s="40" t="s">
        <v>1029</v>
      </c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</row>
    <row r="256" spans="1:52" s="28" customFormat="1" x14ac:dyDescent="0.25">
      <c r="A256" s="34" t="s">
        <v>306</v>
      </c>
      <c r="B256" s="34" t="s">
        <v>307</v>
      </c>
      <c r="C256" s="28" t="str">
        <f>CONCATENATE(A256," ",B256)</f>
        <v>Patrick Heller</v>
      </c>
      <c r="D256" s="34" t="s">
        <v>673</v>
      </c>
      <c r="E256" s="34">
        <v>711419</v>
      </c>
      <c r="F256" s="34" t="s">
        <v>251</v>
      </c>
      <c r="G256" s="34" t="s">
        <v>52</v>
      </c>
      <c r="H256" s="34" t="s">
        <v>111</v>
      </c>
      <c r="I256" s="34" t="s">
        <v>686</v>
      </c>
      <c r="J256" s="34" t="s">
        <v>687</v>
      </c>
      <c r="K256" s="35">
        <v>518008986</v>
      </c>
      <c r="L256" s="34" t="s">
        <v>716</v>
      </c>
      <c r="M256" s="36" t="s">
        <v>264</v>
      </c>
      <c r="N256" s="36">
        <f>DATEDIF(L256,M256,"M")</f>
        <v>3</v>
      </c>
      <c r="O256" s="37">
        <v>0.45</v>
      </c>
      <c r="P256" s="38">
        <v>0.03</v>
      </c>
      <c r="Q256" s="39">
        <v>0.45</v>
      </c>
      <c r="R256" s="34" t="s">
        <v>986</v>
      </c>
      <c r="S256" s="34" t="s">
        <v>993</v>
      </c>
      <c r="T256" s="36">
        <v>20411454</v>
      </c>
      <c r="U256" s="40" t="s">
        <v>1028</v>
      </c>
      <c r="V256" s="40" t="s">
        <v>1029</v>
      </c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</row>
    <row r="257" spans="1:52" s="28" customFormat="1" x14ac:dyDescent="0.25">
      <c r="A257" t="s">
        <v>306</v>
      </c>
      <c r="B257" t="s">
        <v>443</v>
      </c>
      <c r="C257" s="28" t="str">
        <f>CONCATENATE(A257," ",B257)</f>
        <v>Patrick Breedy</v>
      </c>
      <c r="D257" t="s">
        <v>695</v>
      </c>
      <c r="E257">
        <v>655758</v>
      </c>
      <c r="F257" t="s">
        <v>438</v>
      </c>
      <c r="G257" t="s">
        <v>188</v>
      </c>
      <c r="H257" t="s">
        <v>28</v>
      </c>
      <c r="I257" t="s">
        <v>676</v>
      </c>
      <c r="J257" t="s">
        <v>677</v>
      </c>
      <c r="K257" s="17">
        <v>373547815</v>
      </c>
      <c r="L257" t="s">
        <v>716</v>
      </c>
      <c r="M257" s="18" t="s">
        <v>670</v>
      </c>
      <c r="N257" s="18">
        <f>DATEDIF(L257,M257,"M")</f>
        <v>4</v>
      </c>
      <c r="O257" s="19">
        <v>22</v>
      </c>
      <c r="P257" s="20">
        <v>0.24</v>
      </c>
      <c r="Q257" s="14">
        <v>5.28</v>
      </c>
      <c r="R257" t="s">
        <v>985</v>
      </c>
      <c r="S257" t="s">
        <v>991</v>
      </c>
      <c r="T257" s="18" t="s">
        <v>1013</v>
      </c>
      <c r="U257" s="40" t="s">
        <v>1028</v>
      </c>
      <c r="V257" s="40" t="s">
        <v>1029</v>
      </c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</row>
    <row r="258" spans="1:52" s="28" customFormat="1" x14ac:dyDescent="0.25">
      <c r="A258" t="s">
        <v>478</v>
      </c>
      <c r="B258" t="s">
        <v>479</v>
      </c>
      <c r="C258" s="28" t="str">
        <f>CONCATENATE(A258," ",B258)</f>
        <v>Stanley Dickson</v>
      </c>
      <c r="D258" t="s">
        <v>803</v>
      </c>
      <c r="E258">
        <v>689390</v>
      </c>
      <c r="F258" t="s">
        <v>77</v>
      </c>
      <c r="G258" t="s">
        <v>79</v>
      </c>
      <c r="H258" t="s">
        <v>28</v>
      </c>
      <c r="I258" t="s">
        <v>676</v>
      </c>
      <c r="J258" t="s">
        <v>677</v>
      </c>
      <c r="K258" s="17">
        <v>437400223</v>
      </c>
      <c r="L258" t="s">
        <v>805</v>
      </c>
      <c r="M258" s="18" t="s">
        <v>264</v>
      </c>
      <c r="N258" s="18">
        <f>DATEDIF(L258,M258,"M")</f>
        <v>4</v>
      </c>
      <c r="O258" s="19">
        <v>71</v>
      </c>
      <c r="P258" s="20">
        <v>0.24</v>
      </c>
      <c r="Q258" s="14">
        <v>17.04</v>
      </c>
      <c r="R258" t="s">
        <v>985</v>
      </c>
      <c r="S258" t="s">
        <v>992</v>
      </c>
      <c r="T258" s="18">
        <v>17425766</v>
      </c>
      <c r="U258" s="40" t="s">
        <v>1028</v>
      </c>
      <c r="V258" s="40" t="s">
        <v>1029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 spans="1:52" s="28" customFormat="1" x14ac:dyDescent="0.25">
      <c r="A259" t="s">
        <v>96</v>
      </c>
      <c r="B259" t="s">
        <v>97</v>
      </c>
      <c r="C259" s="28" t="str">
        <f>CONCATENATE(A259," ",B259)</f>
        <v>Charles Vickers</v>
      </c>
      <c r="D259" t="s">
        <v>892</v>
      </c>
      <c r="E259">
        <v>689390</v>
      </c>
      <c r="F259" t="s">
        <v>77</v>
      </c>
      <c r="G259" t="s">
        <v>99</v>
      </c>
      <c r="H259" t="s">
        <v>28</v>
      </c>
      <c r="I259" t="s">
        <v>676</v>
      </c>
      <c r="J259" t="s">
        <v>677</v>
      </c>
      <c r="K259" s="17">
        <v>377078631</v>
      </c>
      <c r="L259" t="s">
        <v>805</v>
      </c>
      <c r="M259" s="18" t="s">
        <v>264</v>
      </c>
      <c r="N259" s="18">
        <f>DATEDIF(L259,M259,"M")</f>
        <v>4</v>
      </c>
      <c r="O259" s="19">
        <v>65</v>
      </c>
      <c r="P259" s="20">
        <v>0.24</v>
      </c>
      <c r="Q259" s="14">
        <v>15.6</v>
      </c>
      <c r="R259" t="s">
        <v>985</v>
      </c>
      <c r="S259" t="s">
        <v>992</v>
      </c>
      <c r="T259" s="18">
        <v>17425766</v>
      </c>
      <c r="U259" s="40" t="s">
        <v>1028</v>
      </c>
      <c r="V259" s="40" t="s">
        <v>1029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</row>
    <row r="260" spans="1:52" s="28" customFormat="1" x14ac:dyDescent="0.25">
      <c r="A260" t="s">
        <v>156</v>
      </c>
      <c r="B260" t="s">
        <v>157</v>
      </c>
      <c r="C260" s="28" t="str">
        <f>CONCATENATE(A260," ",B260)</f>
        <v>Janice Pietrucha</v>
      </c>
      <c r="D260" t="s">
        <v>691</v>
      </c>
      <c r="E260">
        <v>757929</v>
      </c>
      <c r="F260" t="s">
        <v>36</v>
      </c>
      <c r="G260" t="s">
        <v>131</v>
      </c>
      <c r="H260" t="s">
        <v>28</v>
      </c>
      <c r="I260" t="s">
        <v>676</v>
      </c>
      <c r="J260" t="s">
        <v>677</v>
      </c>
      <c r="K260" s="17">
        <v>251856742</v>
      </c>
      <c r="L260" t="s">
        <v>805</v>
      </c>
      <c r="M260" s="18" t="s">
        <v>264</v>
      </c>
      <c r="N260" s="18">
        <f>DATEDIF(L260,M260,"M")</f>
        <v>4</v>
      </c>
      <c r="O260" s="19">
        <v>40</v>
      </c>
      <c r="P260" s="20">
        <v>0.24</v>
      </c>
      <c r="Q260" s="14">
        <v>9.6</v>
      </c>
      <c r="R260" t="s">
        <v>985</v>
      </c>
      <c r="S260" t="s">
        <v>1003</v>
      </c>
      <c r="T260" s="18">
        <v>9213293</v>
      </c>
      <c r="U260" s="40" t="s">
        <v>1028</v>
      </c>
      <c r="V260" s="40" t="s">
        <v>1029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</row>
    <row r="261" spans="1:52" s="28" customFormat="1" x14ac:dyDescent="0.25">
      <c r="A261" t="s">
        <v>369</v>
      </c>
      <c r="B261" t="s">
        <v>370</v>
      </c>
      <c r="C261" s="28" t="str">
        <f>CONCATENATE(A261," ",B261)</f>
        <v>Loise Maina</v>
      </c>
      <c r="D261" t="s">
        <v>673</v>
      </c>
      <c r="E261">
        <v>798992</v>
      </c>
      <c r="F261" t="s">
        <v>59</v>
      </c>
      <c r="G261" t="s">
        <v>52</v>
      </c>
      <c r="H261" t="s">
        <v>28</v>
      </c>
      <c r="I261" t="s">
        <v>686</v>
      </c>
      <c r="J261" t="s">
        <v>687</v>
      </c>
      <c r="K261" s="17">
        <v>681883972</v>
      </c>
      <c r="L261" t="s">
        <v>719</v>
      </c>
      <c r="M261" s="18" t="s">
        <v>705</v>
      </c>
      <c r="N261" s="18">
        <f>DATEDIF(L261,M261,"M")</f>
        <v>4</v>
      </c>
      <c r="O261" s="19">
        <v>11</v>
      </c>
      <c r="P261" s="20">
        <v>0.37</v>
      </c>
      <c r="Q261" s="14">
        <v>4.07</v>
      </c>
      <c r="R261" t="s">
        <v>984</v>
      </c>
      <c r="S261" t="s">
        <v>995</v>
      </c>
      <c r="T261" s="18" t="s">
        <v>1016</v>
      </c>
      <c r="U261" s="40" t="s">
        <v>1028</v>
      </c>
      <c r="V261" s="40" t="s">
        <v>1029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</row>
    <row r="262" spans="1:52" s="28" customFormat="1" x14ac:dyDescent="0.25">
      <c r="A262" t="s">
        <v>567</v>
      </c>
      <c r="B262" t="s">
        <v>568</v>
      </c>
      <c r="C262" s="28" t="str">
        <f>CONCATENATE(A262," ",B262)</f>
        <v>Myrna Farley</v>
      </c>
      <c r="D262" t="s">
        <v>673</v>
      </c>
      <c r="E262">
        <v>798992</v>
      </c>
      <c r="F262" t="s">
        <v>59</v>
      </c>
      <c r="G262" t="s">
        <v>52</v>
      </c>
      <c r="H262" t="s">
        <v>28</v>
      </c>
      <c r="I262" t="s">
        <v>686</v>
      </c>
      <c r="J262" t="s">
        <v>687</v>
      </c>
      <c r="K262" s="17">
        <v>82010293</v>
      </c>
      <c r="L262" t="s">
        <v>719</v>
      </c>
      <c r="M262" s="18" t="s">
        <v>705</v>
      </c>
      <c r="N262" s="18">
        <f>DATEDIF(L262,M262,"M")</f>
        <v>4</v>
      </c>
      <c r="O262" s="19">
        <v>11</v>
      </c>
      <c r="P262" s="20">
        <v>0.37</v>
      </c>
      <c r="Q262" s="14">
        <v>4.07</v>
      </c>
      <c r="R262" t="s">
        <v>984</v>
      </c>
      <c r="S262" t="s">
        <v>995</v>
      </c>
      <c r="T262" s="18" t="s">
        <v>1016</v>
      </c>
      <c r="U262" s="40" t="s">
        <v>1028</v>
      </c>
      <c r="V262" s="40" t="s">
        <v>1029</v>
      </c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</row>
    <row r="263" spans="1:52" s="28" customFormat="1" x14ac:dyDescent="0.25">
      <c r="A263" t="s">
        <v>219</v>
      </c>
      <c r="B263" t="s">
        <v>220</v>
      </c>
      <c r="C263" s="28" t="str">
        <f>CONCATENATE(A263," ",B263)</f>
        <v>Natividad Hernandez Luna</v>
      </c>
      <c r="D263" t="s">
        <v>673</v>
      </c>
      <c r="E263">
        <v>798992</v>
      </c>
      <c r="F263" t="s">
        <v>59</v>
      </c>
      <c r="G263" t="s">
        <v>152</v>
      </c>
      <c r="H263" t="s">
        <v>28</v>
      </c>
      <c r="I263" t="s">
        <v>676</v>
      </c>
      <c r="J263" t="s">
        <v>677</v>
      </c>
      <c r="K263" s="17">
        <v>69052199</v>
      </c>
      <c r="L263" t="s">
        <v>719</v>
      </c>
      <c r="M263" s="18" t="s">
        <v>705</v>
      </c>
      <c r="N263" s="18">
        <f>DATEDIF(L263,M263,"M")</f>
        <v>4</v>
      </c>
      <c r="O263" s="19">
        <v>27</v>
      </c>
      <c r="P263" s="20">
        <v>0.24</v>
      </c>
      <c r="Q263" s="14">
        <v>6.48</v>
      </c>
      <c r="R263" t="s">
        <v>985</v>
      </c>
      <c r="S263" t="s">
        <v>995</v>
      </c>
      <c r="T263" s="18" t="s">
        <v>1016</v>
      </c>
      <c r="U263" s="40" t="s">
        <v>1028</v>
      </c>
      <c r="V263" s="40" t="s">
        <v>1029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</row>
    <row r="264" spans="1:52" s="28" customFormat="1" x14ac:dyDescent="0.25">
      <c r="A264" t="s">
        <v>219</v>
      </c>
      <c r="B264" t="s">
        <v>220</v>
      </c>
      <c r="C264" s="28" t="str">
        <f>CONCATENATE(A264," ",B264)</f>
        <v>Natividad Hernandez Luna</v>
      </c>
      <c r="D264" t="s">
        <v>673</v>
      </c>
      <c r="E264">
        <v>798992</v>
      </c>
      <c r="F264" t="s">
        <v>59</v>
      </c>
      <c r="G264" t="s">
        <v>52</v>
      </c>
      <c r="H264" t="s">
        <v>28</v>
      </c>
      <c r="I264" t="s">
        <v>686</v>
      </c>
      <c r="J264" t="s">
        <v>687</v>
      </c>
      <c r="K264" s="17">
        <v>129241253</v>
      </c>
      <c r="L264" t="s">
        <v>719</v>
      </c>
      <c r="M264" s="18" t="s">
        <v>705</v>
      </c>
      <c r="N264" s="18">
        <f>DATEDIF(L264,M264,"M")</f>
        <v>4</v>
      </c>
      <c r="O264" s="19">
        <v>11</v>
      </c>
      <c r="P264" s="20">
        <v>0.37</v>
      </c>
      <c r="Q264" s="14">
        <v>4.07</v>
      </c>
      <c r="R264" t="s">
        <v>984</v>
      </c>
      <c r="S264" t="s">
        <v>995</v>
      </c>
      <c r="T264" s="18" t="s">
        <v>1016</v>
      </c>
      <c r="U264" s="40" t="s">
        <v>1028</v>
      </c>
      <c r="V264" s="40" t="s">
        <v>1029</v>
      </c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</row>
    <row r="265" spans="1:52" s="28" customFormat="1" x14ac:dyDescent="0.25">
      <c r="A265" t="s">
        <v>57</v>
      </c>
      <c r="B265" t="s">
        <v>58</v>
      </c>
      <c r="C265" s="28" t="str">
        <f>CONCATENATE(A265," ",B265)</f>
        <v>Hellen Nyaberi</v>
      </c>
      <c r="D265" t="s">
        <v>673</v>
      </c>
      <c r="E265">
        <v>798992</v>
      </c>
      <c r="F265" t="s">
        <v>59</v>
      </c>
      <c r="G265" t="s">
        <v>52</v>
      </c>
      <c r="H265" t="s">
        <v>28</v>
      </c>
      <c r="I265" t="s">
        <v>686</v>
      </c>
      <c r="J265" t="s">
        <v>687</v>
      </c>
      <c r="K265" s="17">
        <v>408114059</v>
      </c>
      <c r="L265" t="s">
        <v>719</v>
      </c>
      <c r="M265" s="18" t="s">
        <v>705</v>
      </c>
      <c r="N265" s="18">
        <f>DATEDIF(L265,M265,"M")</f>
        <v>4</v>
      </c>
      <c r="O265" s="19">
        <v>11</v>
      </c>
      <c r="P265" s="20">
        <v>0.37</v>
      </c>
      <c r="Q265" s="14">
        <v>4.07</v>
      </c>
      <c r="R265" t="s">
        <v>984</v>
      </c>
      <c r="S265" t="s">
        <v>995</v>
      </c>
      <c r="T265" s="18" t="s">
        <v>1016</v>
      </c>
      <c r="U265" s="40" t="s">
        <v>1028</v>
      </c>
      <c r="V265" s="40" t="s">
        <v>1029</v>
      </c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</row>
    <row r="266" spans="1:52" s="28" customFormat="1" x14ac:dyDescent="0.25">
      <c r="A266" s="34" t="s">
        <v>428</v>
      </c>
      <c r="B266" s="34" t="s">
        <v>429</v>
      </c>
      <c r="C266" s="28" t="str">
        <f>CONCATENATE(A266," ",B266)</f>
        <v>Martin Burman</v>
      </c>
      <c r="D266" s="34" t="s">
        <v>695</v>
      </c>
      <c r="E266" s="34">
        <v>711419</v>
      </c>
      <c r="F266" s="34" t="s">
        <v>251</v>
      </c>
      <c r="G266" s="34" t="s">
        <v>52</v>
      </c>
      <c r="H266" s="34" t="s">
        <v>39</v>
      </c>
      <c r="I266" s="34" t="s">
        <v>686</v>
      </c>
      <c r="J266" s="34" t="s">
        <v>687</v>
      </c>
      <c r="K266" s="35">
        <v>104547957</v>
      </c>
      <c r="L266" s="34" t="s">
        <v>719</v>
      </c>
      <c r="M266" s="36" t="s">
        <v>705</v>
      </c>
      <c r="N266" s="36">
        <f>DATEDIF(L266,M266,"M")</f>
        <v>4</v>
      </c>
      <c r="O266" s="37">
        <v>0.6</v>
      </c>
      <c r="P266" s="38">
        <v>0.03</v>
      </c>
      <c r="Q266" s="39">
        <v>0.6</v>
      </c>
      <c r="R266" s="34" t="s">
        <v>986</v>
      </c>
      <c r="S266" s="34" t="s">
        <v>993</v>
      </c>
      <c r="T266" s="36">
        <v>20411454</v>
      </c>
      <c r="U266" s="40" t="s">
        <v>1028</v>
      </c>
      <c r="V266" s="40" t="s">
        <v>1029</v>
      </c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</row>
    <row r="267" spans="1:52" s="28" customFormat="1" x14ac:dyDescent="0.25">
      <c r="A267" t="s">
        <v>478</v>
      </c>
      <c r="B267" t="s">
        <v>479</v>
      </c>
      <c r="C267" s="28" t="str">
        <f>CONCATENATE(A267," ",B267)</f>
        <v>Stanley Dickson</v>
      </c>
      <c r="D267" t="s">
        <v>803</v>
      </c>
      <c r="E267">
        <v>689390</v>
      </c>
      <c r="F267" t="s">
        <v>77</v>
      </c>
      <c r="G267" t="s">
        <v>79</v>
      </c>
      <c r="H267" t="s">
        <v>28</v>
      </c>
      <c r="I267" t="s">
        <v>676</v>
      </c>
      <c r="J267" t="s">
        <v>677</v>
      </c>
      <c r="K267" s="17">
        <v>437400223</v>
      </c>
      <c r="L267" t="s">
        <v>805</v>
      </c>
      <c r="M267" s="18" t="s">
        <v>670</v>
      </c>
      <c r="N267" s="18">
        <f>DATEDIF(L267,M267,"M")</f>
        <v>5</v>
      </c>
      <c r="O267" s="19">
        <v>71</v>
      </c>
      <c r="P267" s="20">
        <v>0.24</v>
      </c>
      <c r="Q267" s="14">
        <v>17.04</v>
      </c>
      <c r="R267" t="s">
        <v>985</v>
      </c>
      <c r="S267" t="s">
        <v>992</v>
      </c>
      <c r="T267" s="18">
        <v>17425766</v>
      </c>
      <c r="U267" s="40" t="s">
        <v>1028</v>
      </c>
      <c r="V267" s="40" t="s">
        <v>1029</v>
      </c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</row>
    <row r="268" spans="1:52" s="28" customFormat="1" x14ac:dyDescent="0.25">
      <c r="A268" t="s">
        <v>96</v>
      </c>
      <c r="B268" t="s">
        <v>97</v>
      </c>
      <c r="C268" s="28" t="str">
        <f>CONCATENATE(A268," ",B268)</f>
        <v>Charles Vickers</v>
      </c>
      <c r="D268" t="s">
        <v>892</v>
      </c>
      <c r="E268">
        <v>689390</v>
      </c>
      <c r="F268" t="s">
        <v>77</v>
      </c>
      <c r="G268" t="s">
        <v>99</v>
      </c>
      <c r="H268" t="s">
        <v>28</v>
      </c>
      <c r="I268" t="s">
        <v>676</v>
      </c>
      <c r="J268" t="s">
        <v>677</v>
      </c>
      <c r="K268" s="17">
        <v>377078631</v>
      </c>
      <c r="L268" t="s">
        <v>805</v>
      </c>
      <c r="M268" s="18" t="s">
        <v>670</v>
      </c>
      <c r="N268" s="18">
        <f>DATEDIF(L268,M268,"M")</f>
        <v>5</v>
      </c>
      <c r="O268" s="19">
        <v>65</v>
      </c>
      <c r="P268" s="20">
        <v>0.24</v>
      </c>
      <c r="Q268" s="14">
        <v>15.6</v>
      </c>
      <c r="R268" t="s">
        <v>985</v>
      </c>
      <c r="S268" t="s">
        <v>992</v>
      </c>
      <c r="T268" s="18">
        <v>17425766</v>
      </c>
      <c r="U268" s="40" t="s">
        <v>1028</v>
      </c>
      <c r="V268" s="40" t="s">
        <v>1029</v>
      </c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</row>
    <row r="269" spans="1:52" s="28" customFormat="1" x14ac:dyDescent="0.25">
      <c r="A269" t="s">
        <v>156</v>
      </c>
      <c r="B269" t="s">
        <v>157</v>
      </c>
      <c r="C269" s="28" t="str">
        <f>CONCATENATE(A269," ",B269)</f>
        <v>Janice Pietrucha</v>
      </c>
      <c r="D269" t="s">
        <v>691</v>
      </c>
      <c r="E269">
        <v>757929</v>
      </c>
      <c r="F269" t="s">
        <v>36</v>
      </c>
      <c r="G269" t="s">
        <v>131</v>
      </c>
      <c r="H269" t="s">
        <v>28</v>
      </c>
      <c r="I269" t="s">
        <v>676</v>
      </c>
      <c r="J269" t="s">
        <v>677</v>
      </c>
      <c r="K269" s="17">
        <v>251856742</v>
      </c>
      <c r="L269" t="s">
        <v>805</v>
      </c>
      <c r="M269" s="18" t="s">
        <v>670</v>
      </c>
      <c r="N269" s="18">
        <f>DATEDIF(L269,M269,"M")</f>
        <v>5</v>
      </c>
      <c r="O269" s="19">
        <v>40</v>
      </c>
      <c r="P269" s="20">
        <v>0.24</v>
      </c>
      <c r="Q269" s="14">
        <v>9.6</v>
      </c>
      <c r="R269" t="s">
        <v>985</v>
      </c>
      <c r="S269" t="s">
        <v>1003</v>
      </c>
      <c r="T269" s="18">
        <v>9213293</v>
      </c>
      <c r="U269" s="40" t="s">
        <v>1028</v>
      </c>
      <c r="V269" s="40" t="s">
        <v>1029</v>
      </c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</row>
    <row r="270" spans="1:52" s="28" customFormat="1" x14ac:dyDescent="0.25">
      <c r="A270" t="s">
        <v>369</v>
      </c>
      <c r="B270" t="s">
        <v>370</v>
      </c>
      <c r="C270" s="28" t="str">
        <f>CONCATENATE(A270," ",B270)</f>
        <v>Loise Maina</v>
      </c>
      <c r="D270" t="s">
        <v>673</v>
      </c>
      <c r="E270">
        <v>798992</v>
      </c>
      <c r="F270" t="s">
        <v>59</v>
      </c>
      <c r="G270" t="s">
        <v>52</v>
      </c>
      <c r="H270" t="s">
        <v>28</v>
      </c>
      <c r="I270" t="s">
        <v>686</v>
      </c>
      <c r="J270" t="s">
        <v>687</v>
      </c>
      <c r="K270" s="17">
        <v>681883972</v>
      </c>
      <c r="L270" t="s">
        <v>719</v>
      </c>
      <c r="M270" s="18" t="s">
        <v>264</v>
      </c>
      <c r="N270" s="18">
        <f>DATEDIF(L270,M270,"M")</f>
        <v>5</v>
      </c>
      <c r="O270" s="19">
        <v>11</v>
      </c>
      <c r="P270" s="20">
        <v>0.37</v>
      </c>
      <c r="Q270" s="14">
        <v>4.07</v>
      </c>
      <c r="R270" t="s">
        <v>984</v>
      </c>
      <c r="S270" t="s">
        <v>995</v>
      </c>
      <c r="T270" s="18" t="s">
        <v>1016</v>
      </c>
      <c r="U270" s="40" t="s">
        <v>1028</v>
      </c>
      <c r="V270" s="40" t="s">
        <v>1029</v>
      </c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</row>
    <row r="271" spans="1:52" s="28" customFormat="1" x14ac:dyDescent="0.25">
      <c r="A271" t="s">
        <v>567</v>
      </c>
      <c r="B271" t="s">
        <v>568</v>
      </c>
      <c r="C271" s="28" t="str">
        <f>CONCATENATE(A271," ",B271)</f>
        <v>Myrna Farley</v>
      </c>
      <c r="D271" t="s">
        <v>673</v>
      </c>
      <c r="E271">
        <v>798992</v>
      </c>
      <c r="F271" t="s">
        <v>59</v>
      </c>
      <c r="G271" t="s">
        <v>52</v>
      </c>
      <c r="H271" t="s">
        <v>28</v>
      </c>
      <c r="I271" t="s">
        <v>686</v>
      </c>
      <c r="J271" t="s">
        <v>687</v>
      </c>
      <c r="K271" s="17">
        <v>82010293</v>
      </c>
      <c r="L271" t="s">
        <v>719</v>
      </c>
      <c r="M271" s="18" t="s">
        <v>264</v>
      </c>
      <c r="N271" s="18">
        <f>DATEDIF(L271,M271,"M")</f>
        <v>5</v>
      </c>
      <c r="O271" s="19">
        <v>11</v>
      </c>
      <c r="P271" s="20">
        <v>0.37</v>
      </c>
      <c r="Q271" s="14">
        <v>4.07</v>
      </c>
      <c r="R271" t="s">
        <v>984</v>
      </c>
      <c r="S271" t="s">
        <v>995</v>
      </c>
      <c r="T271" s="18" t="s">
        <v>1016</v>
      </c>
      <c r="U271" s="40" t="s">
        <v>1028</v>
      </c>
      <c r="V271" s="40" t="s">
        <v>1029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</row>
    <row r="272" spans="1:52" s="28" customFormat="1" x14ac:dyDescent="0.25">
      <c r="A272" t="s">
        <v>219</v>
      </c>
      <c r="B272" t="s">
        <v>220</v>
      </c>
      <c r="C272" s="28" t="str">
        <f>CONCATENATE(A272," ",B272)</f>
        <v>Natividad Hernandez Luna</v>
      </c>
      <c r="D272" t="s">
        <v>673</v>
      </c>
      <c r="E272">
        <v>798992</v>
      </c>
      <c r="F272" t="s">
        <v>59</v>
      </c>
      <c r="G272" t="s">
        <v>152</v>
      </c>
      <c r="H272" t="s">
        <v>28</v>
      </c>
      <c r="I272" t="s">
        <v>676</v>
      </c>
      <c r="J272" t="s">
        <v>677</v>
      </c>
      <c r="K272" s="17">
        <v>69052199</v>
      </c>
      <c r="L272" t="s">
        <v>719</v>
      </c>
      <c r="M272" s="18" t="s">
        <v>264</v>
      </c>
      <c r="N272" s="18">
        <f>DATEDIF(L272,M272,"M")</f>
        <v>5</v>
      </c>
      <c r="O272" s="19">
        <v>27</v>
      </c>
      <c r="P272" s="20">
        <v>0.24</v>
      </c>
      <c r="Q272" s="14">
        <v>6.48</v>
      </c>
      <c r="R272" t="s">
        <v>985</v>
      </c>
      <c r="S272" t="s">
        <v>995</v>
      </c>
      <c r="T272" s="18" t="s">
        <v>1016</v>
      </c>
      <c r="U272" s="40" t="s">
        <v>1028</v>
      </c>
      <c r="V272" s="40" t="s">
        <v>1029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</row>
    <row r="273" spans="1:52" s="28" customFormat="1" x14ac:dyDescent="0.25">
      <c r="A273" t="s">
        <v>219</v>
      </c>
      <c r="B273" t="s">
        <v>220</v>
      </c>
      <c r="C273" s="28" t="str">
        <f>CONCATENATE(A273," ",B273)</f>
        <v>Natividad Hernandez Luna</v>
      </c>
      <c r="D273" t="s">
        <v>673</v>
      </c>
      <c r="E273">
        <v>798992</v>
      </c>
      <c r="F273" t="s">
        <v>59</v>
      </c>
      <c r="G273" t="s">
        <v>52</v>
      </c>
      <c r="H273" t="s">
        <v>28</v>
      </c>
      <c r="I273" t="s">
        <v>686</v>
      </c>
      <c r="J273" t="s">
        <v>687</v>
      </c>
      <c r="K273" s="17">
        <v>129241253</v>
      </c>
      <c r="L273" t="s">
        <v>719</v>
      </c>
      <c r="M273" s="18" t="s">
        <v>264</v>
      </c>
      <c r="N273" s="18">
        <f>DATEDIF(L273,M273,"M")</f>
        <v>5</v>
      </c>
      <c r="O273" s="19">
        <v>11</v>
      </c>
      <c r="P273" s="20">
        <v>0.37</v>
      </c>
      <c r="Q273" s="14">
        <v>4.07</v>
      </c>
      <c r="R273" t="s">
        <v>984</v>
      </c>
      <c r="S273" t="s">
        <v>995</v>
      </c>
      <c r="T273" s="18" t="s">
        <v>1016</v>
      </c>
      <c r="U273" s="40" t="s">
        <v>1028</v>
      </c>
      <c r="V273" s="40" t="s">
        <v>1029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</row>
    <row r="274" spans="1:52" s="28" customFormat="1" x14ac:dyDescent="0.25">
      <c r="A274" t="s">
        <v>57</v>
      </c>
      <c r="B274" t="s">
        <v>58</v>
      </c>
      <c r="C274" s="28" t="str">
        <f>CONCATENATE(A274," ",B274)</f>
        <v>Hellen Nyaberi</v>
      </c>
      <c r="D274" t="s">
        <v>673</v>
      </c>
      <c r="E274">
        <v>798992</v>
      </c>
      <c r="F274" t="s">
        <v>59</v>
      </c>
      <c r="G274" t="s">
        <v>52</v>
      </c>
      <c r="H274" t="s">
        <v>28</v>
      </c>
      <c r="I274" t="s">
        <v>686</v>
      </c>
      <c r="J274" t="s">
        <v>687</v>
      </c>
      <c r="K274" s="17">
        <v>408114059</v>
      </c>
      <c r="L274" t="s">
        <v>719</v>
      </c>
      <c r="M274" s="18" t="s">
        <v>264</v>
      </c>
      <c r="N274" s="18">
        <f>DATEDIF(L274,M274,"M")</f>
        <v>5</v>
      </c>
      <c r="O274" s="19">
        <v>11</v>
      </c>
      <c r="P274" s="20">
        <v>0.37</v>
      </c>
      <c r="Q274" s="14">
        <v>4.07</v>
      </c>
      <c r="R274" t="s">
        <v>984</v>
      </c>
      <c r="S274" t="s">
        <v>995</v>
      </c>
      <c r="T274" s="18" t="s">
        <v>1016</v>
      </c>
      <c r="U274" s="40" t="s">
        <v>1028</v>
      </c>
      <c r="V274" s="40" t="s">
        <v>1029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</row>
    <row r="275" spans="1:52" s="28" customFormat="1" x14ac:dyDescent="0.25">
      <c r="A275" s="34" t="s">
        <v>428</v>
      </c>
      <c r="B275" s="34" t="s">
        <v>429</v>
      </c>
      <c r="C275" s="28" t="str">
        <f>CONCATENATE(A275," ",B275)</f>
        <v>Martin Burman</v>
      </c>
      <c r="D275" s="34" t="s">
        <v>695</v>
      </c>
      <c r="E275" s="34">
        <v>711419</v>
      </c>
      <c r="F275" s="34" t="s">
        <v>251</v>
      </c>
      <c r="G275" s="34" t="s">
        <v>52</v>
      </c>
      <c r="H275" s="34" t="s">
        <v>39</v>
      </c>
      <c r="I275" s="34" t="s">
        <v>686</v>
      </c>
      <c r="J275" s="34" t="s">
        <v>687</v>
      </c>
      <c r="K275" s="35">
        <v>104547957</v>
      </c>
      <c r="L275" s="34" t="s">
        <v>719</v>
      </c>
      <c r="M275" s="36" t="s">
        <v>264</v>
      </c>
      <c r="N275" s="36">
        <f>DATEDIF(L275,M275,"M")</f>
        <v>5</v>
      </c>
      <c r="O275" s="37">
        <v>0.6</v>
      </c>
      <c r="P275" s="38">
        <v>0.03</v>
      </c>
      <c r="Q275" s="39">
        <v>0.6</v>
      </c>
      <c r="R275" s="34" t="s">
        <v>986</v>
      </c>
      <c r="S275" s="34" t="s">
        <v>993</v>
      </c>
      <c r="T275" s="36">
        <v>20411454</v>
      </c>
      <c r="U275" s="40" t="s">
        <v>1028</v>
      </c>
      <c r="V275" s="40" t="s">
        <v>1029</v>
      </c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</row>
    <row r="276" spans="1:52" s="28" customFormat="1" x14ac:dyDescent="0.25">
      <c r="A276" t="s">
        <v>369</v>
      </c>
      <c r="B276" t="s">
        <v>370</v>
      </c>
      <c r="C276" s="28" t="str">
        <f>CONCATENATE(A276," ",B276)</f>
        <v>Loise Maina</v>
      </c>
      <c r="D276" t="s">
        <v>673</v>
      </c>
      <c r="E276">
        <v>798992</v>
      </c>
      <c r="F276" t="s">
        <v>59</v>
      </c>
      <c r="G276" t="s">
        <v>52</v>
      </c>
      <c r="H276" t="s">
        <v>28</v>
      </c>
      <c r="I276" t="s">
        <v>686</v>
      </c>
      <c r="J276" t="s">
        <v>687</v>
      </c>
      <c r="K276" s="17">
        <v>681883972</v>
      </c>
      <c r="L276" t="s">
        <v>719</v>
      </c>
      <c r="M276" s="18" t="s">
        <v>670</v>
      </c>
      <c r="N276" s="18">
        <f>DATEDIF(L276,M276,"M")</f>
        <v>6</v>
      </c>
      <c r="O276" s="19">
        <v>11</v>
      </c>
      <c r="P276" s="20">
        <v>0.37</v>
      </c>
      <c r="Q276" s="14">
        <v>4.07</v>
      </c>
      <c r="R276" t="s">
        <v>984</v>
      </c>
      <c r="S276" t="s">
        <v>995</v>
      </c>
      <c r="T276" s="18" t="s">
        <v>1016</v>
      </c>
      <c r="U276" s="40" t="s">
        <v>1028</v>
      </c>
      <c r="V276" s="40" t="s">
        <v>1029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</row>
    <row r="277" spans="1:52" s="28" customFormat="1" x14ac:dyDescent="0.25">
      <c r="A277" t="s">
        <v>567</v>
      </c>
      <c r="B277" t="s">
        <v>568</v>
      </c>
      <c r="C277" s="28" t="str">
        <f>CONCATENATE(A277," ",B277)</f>
        <v>Myrna Farley</v>
      </c>
      <c r="D277" t="s">
        <v>673</v>
      </c>
      <c r="E277">
        <v>798992</v>
      </c>
      <c r="F277" t="s">
        <v>59</v>
      </c>
      <c r="G277" t="s">
        <v>52</v>
      </c>
      <c r="H277" t="s">
        <v>28</v>
      </c>
      <c r="I277" t="s">
        <v>686</v>
      </c>
      <c r="J277" t="s">
        <v>687</v>
      </c>
      <c r="K277" s="17">
        <v>82010293</v>
      </c>
      <c r="L277" t="s">
        <v>719</v>
      </c>
      <c r="M277" s="18" t="s">
        <v>670</v>
      </c>
      <c r="N277" s="18">
        <f>DATEDIF(L277,M277,"M")</f>
        <v>6</v>
      </c>
      <c r="O277" s="19">
        <v>11</v>
      </c>
      <c r="P277" s="20">
        <v>0.37</v>
      </c>
      <c r="Q277" s="14">
        <v>4.07</v>
      </c>
      <c r="R277" t="s">
        <v>984</v>
      </c>
      <c r="S277" t="s">
        <v>995</v>
      </c>
      <c r="T277" s="18" t="s">
        <v>1016</v>
      </c>
      <c r="U277" s="40" t="s">
        <v>1028</v>
      </c>
      <c r="V277" s="40" t="s">
        <v>1029</v>
      </c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</row>
    <row r="278" spans="1:52" s="28" customFormat="1" x14ac:dyDescent="0.25">
      <c r="A278" t="s">
        <v>57</v>
      </c>
      <c r="B278" t="s">
        <v>58</v>
      </c>
      <c r="C278" s="28" t="str">
        <f>CONCATENATE(A278," ",B278)</f>
        <v>Hellen Nyaberi</v>
      </c>
      <c r="D278" t="s">
        <v>673</v>
      </c>
      <c r="E278">
        <v>798992</v>
      </c>
      <c r="F278" t="s">
        <v>59</v>
      </c>
      <c r="G278" t="s">
        <v>52</v>
      </c>
      <c r="H278" t="s">
        <v>28</v>
      </c>
      <c r="I278" t="s">
        <v>686</v>
      </c>
      <c r="J278" t="s">
        <v>687</v>
      </c>
      <c r="K278" s="17">
        <v>408114059</v>
      </c>
      <c r="L278" t="s">
        <v>719</v>
      </c>
      <c r="M278" s="18" t="s">
        <v>670</v>
      </c>
      <c r="N278" s="18">
        <f>DATEDIF(L278,M278,"M")</f>
        <v>6</v>
      </c>
      <c r="O278" s="19">
        <v>11</v>
      </c>
      <c r="P278" s="20">
        <v>0.37</v>
      </c>
      <c r="Q278" s="14">
        <v>4.07</v>
      </c>
      <c r="R278" t="s">
        <v>984</v>
      </c>
      <c r="S278" t="s">
        <v>995</v>
      </c>
      <c r="T278" s="18" t="s">
        <v>1016</v>
      </c>
      <c r="U278" s="40" t="s">
        <v>1028</v>
      </c>
      <c r="V278" s="40" t="s">
        <v>1029</v>
      </c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</row>
    <row r="279" spans="1:52" s="28" customFormat="1" x14ac:dyDescent="0.25">
      <c r="A279" t="s">
        <v>219</v>
      </c>
      <c r="B279" t="s">
        <v>220</v>
      </c>
      <c r="C279" s="28" t="str">
        <f>CONCATENATE(A279," ",B279)</f>
        <v>Natividad Hernandez Luna</v>
      </c>
      <c r="D279" t="s">
        <v>673</v>
      </c>
      <c r="E279">
        <v>798992</v>
      </c>
      <c r="F279" t="s">
        <v>59</v>
      </c>
      <c r="G279" t="s">
        <v>152</v>
      </c>
      <c r="H279" t="s">
        <v>28</v>
      </c>
      <c r="I279" t="s">
        <v>676</v>
      </c>
      <c r="J279" t="s">
        <v>677</v>
      </c>
      <c r="K279" s="17">
        <v>69052199</v>
      </c>
      <c r="L279" t="s">
        <v>719</v>
      </c>
      <c r="M279" s="18" t="s">
        <v>670</v>
      </c>
      <c r="N279" s="18">
        <f>DATEDIF(L279,M279,"M")</f>
        <v>6</v>
      </c>
      <c r="O279" s="19">
        <v>27</v>
      </c>
      <c r="P279" s="20">
        <v>0.24</v>
      </c>
      <c r="Q279" s="14">
        <v>6.48</v>
      </c>
      <c r="R279" t="s">
        <v>985</v>
      </c>
      <c r="S279" t="s">
        <v>995</v>
      </c>
      <c r="T279" s="18" t="s">
        <v>1016</v>
      </c>
      <c r="U279" s="40" t="s">
        <v>1028</v>
      </c>
      <c r="V279" s="40" t="s">
        <v>1029</v>
      </c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</row>
    <row r="280" spans="1:52" s="28" customFormat="1" x14ac:dyDescent="0.25">
      <c r="A280" t="s">
        <v>219</v>
      </c>
      <c r="B280" t="s">
        <v>220</v>
      </c>
      <c r="C280" s="28" t="str">
        <f>CONCATENATE(A280," ",B280)</f>
        <v>Natividad Hernandez Luna</v>
      </c>
      <c r="D280" t="s">
        <v>673</v>
      </c>
      <c r="E280">
        <v>798992</v>
      </c>
      <c r="F280" t="s">
        <v>59</v>
      </c>
      <c r="G280" t="s">
        <v>52</v>
      </c>
      <c r="H280" t="s">
        <v>28</v>
      </c>
      <c r="I280" t="s">
        <v>686</v>
      </c>
      <c r="J280" t="s">
        <v>687</v>
      </c>
      <c r="K280" s="17">
        <v>129241253</v>
      </c>
      <c r="L280" t="s">
        <v>719</v>
      </c>
      <c r="M280" s="18" t="s">
        <v>670</v>
      </c>
      <c r="N280" s="18">
        <f>DATEDIF(L280,M280,"M")</f>
        <v>6</v>
      </c>
      <c r="O280" s="19">
        <v>11</v>
      </c>
      <c r="P280" s="20">
        <v>0.37</v>
      </c>
      <c r="Q280" s="14">
        <v>4.07</v>
      </c>
      <c r="R280" t="s">
        <v>984</v>
      </c>
      <c r="S280" t="s">
        <v>995</v>
      </c>
      <c r="T280" s="18" t="s">
        <v>1016</v>
      </c>
      <c r="U280" s="40" t="s">
        <v>1028</v>
      </c>
      <c r="V280" s="40" t="s">
        <v>1029</v>
      </c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</row>
    <row r="281" spans="1:52" s="28" customFormat="1" x14ac:dyDescent="0.25">
      <c r="A281" s="34" t="s">
        <v>428</v>
      </c>
      <c r="B281" s="34" t="s">
        <v>429</v>
      </c>
      <c r="C281" s="28" t="str">
        <f>CONCATENATE(A281," ",B281)</f>
        <v>Martin Burman</v>
      </c>
      <c r="D281" s="34" t="s">
        <v>695</v>
      </c>
      <c r="E281" s="34">
        <v>711419</v>
      </c>
      <c r="F281" s="34" t="s">
        <v>251</v>
      </c>
      <c r="G281" s="34" t="s">
        <v>52</v>
      </c>
      <c r="H281" s="34" t="s">
        <v>39</v>
      </c>
      <c r="I281" s="34" t="s">
        <v>686</v>
      </c>
      <c r="J281" s="34" t="s">
        <v>687</v>
      </c>
      <c r="K281" s="35">
        <v>104547957</v>
      </c>
      <c r="L281" s="34" t="s">
        <v>719</v>
      </c>
      <c r="M281" s="36" t="s">
        <v>670</v>
      </c>
      <c r="N281" s="36">
        <f>DATEDIF(L281,M281,"M")</f>
        <v>6</v>
      </c>
      <c r="O281" s="37">
        <v>0.6</v>
      </c>
      <c r="P281" s="38">
        <v>0.03</v>
      </c>
      <c r="Q281" s="39">
        <v>0.6</v>
      </c>
      <c r="R281" s="34" t="s">
        <v>986</v>
      </c>
      <c r="S281" s="34" t="s">
        <v>993</v>
      </c>
      <c r="T281" s="36">
        <v>20411454</v>
      </c>
      <c r="U281" s="40" t="s">
        <v>1028</v>
      </c>
      <c r="V281" s="40" t="s">
        <v>1029</v>
      </c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</row>
    <row r="282" spans="1:52" s="28" customFormat="1" x14ac:dyDescent="0.25">
      <c r="A282" t="s">
        <v>974</v>
      </c>
      <c r="B282" t="s">
        <v>600</v>
      </c>
      <c r="C282" s="28" t="str">
        <f>CONCATENATE(A282," ",B282)</f>
        <v>Paul Agbodjogbe</v>
      </c>
      <c r="D282" t="s">
        <v>673</v>
      </c>
      <c r="E282">
        <v>798992</v>
      </c>
      <c r="F282" t="s">
        <v>59</v>
      </c>
      <c r="G282" t="s">
        <v>27</v>
      </c>
      <c r="H282" t="s">
        <v>28</v>
      </c>
      <c r="I282" t="s">
        <v>676</v>
      </c>
      <c r="J282" t="s">
        <v>677</v>
      </c>
      <c r="K282" s="17">
        <v>542134560</v>
      </c>
      <c r="L282" t="s">
        <v>872</v>
      </c>
      <c r="M282" s="18" t="s">
        <v>705</v>
      </c>
      <c r="N282" s="18">
        <f>DATEDIF(L282,M282,"M")</f>
        <v>7</v>
      </c>
      <c r="O282" s="19">
        <v>25</v>
      </c>
      <c r="P282" s="20">
        <v>0.32</v>
      </c>
      <c r="Q282" s="14">
        <v>-8</v>
      </c>
      <c r="R282" t="s">
        <v>983</v>
      </c>
      <c r="S282" t="s">
        <v>995</v>
      </c>
      <c r="T282" s="18" t="s">
        <v>1016</v>
      </c>
      <c r="U282" s="40" t="s">
        <v>1028</v>
      </c>
      <c r="V282" s="40" t="s">
        <v>1029</v>
      </c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</row>
    <row r="283" spans="1:52" s="28" customFormat="1" x14ac:dyDescent="0.25">
      <c r="A283" t="s">
        <v>974</v>
      </c>
      <c r="B283" t="s">
        <v>600</v>
      </c>
      <c r="C283" s="28" t="str">
        <f>CONCATENATE(A283," ",B283)</f>
        <v>Paul Agbodjogbe</v>
      </c>
      <c r="D283" t="s">
        <v>673</v>
      </c>
      <c r="E283">
        <v>798992</v>
      </c>
      <c r="F283" t="s">
        <v>59</v>
      </c>
      <c r="G283" t="s">
        <v>27</v>
      </c>
      <c r="H283" t="s">
        <v>28</v>
      </c>
      <c r="I283" t="s">
        <v>676</v>
      </c>
      <c r="J283" t="s">
        <v>677</v>
      </c>
      <c r="K283" s="17">
        <v>542134560</v>
      </c>
      <c r="L283" t="s">
        <v>872</v>
      </c>
      <c r="M283" s="18" t="s">
        <v>705</v>
      </c>
      <c r="N283" s="18">
        <f>DATEDIF(L283,M283,"M")</f>
        <v>7</v>
      </c>
      <c r="O283" s="19">
        <v>25</v>
      </c>
      <c r="P283" s="20">
        <v>0.32</v>
      </c>
      <c r="Q283" s="14">
        <v>8</v>
      </c>
      <c r="R283" t="s">
        <v>983</v>
      </c>
      <c r="S283" t="s">
        <v>995</v>
      </c>
      <c r="T283" s="18" t="s">
        <v>1016</v>
      </c>
      <c r="U283" s="40" t="s">
        <v>1028</v>
      </c>
      <c r="V283" s="40" t="s">
        <v>1029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</row>
    <row r="284" spans="1:52" s="28" customFormat="1" x14ac:dyDescent="0.25">
      <c r="A284" t="s">
        <v>974</v>
      </c>
      <c r="B284" t="s">
        <v>600</v>
      </c>
      <c r="C284" s="28" t="str">
        <f>CONCATENATE(A284," ",B284)</f>
        <v>Paul Agbodjogbe</v>
      </c>
      <c r="D284" t="s">
        <v>673</v>
      </c>
      <c r="E284">
        <v>798992</v>
      </c>
      <c r="F284" t="s">
        <v>59</v>
      </c>
      <c r="G284" t="s">
        <v>27</v>
      </c>
      <c r="H284" t="s">
        <v>28</v>
      </c>
      <c r="I284" t="s">
        <v>676</v>
      </c>
      <c r="J284" t="s">
        <v>677</v>
      </c>
      <c r="K284" s="17">
        <v>542134560</v>
      </c>
      <c r="L284" t="s">
        <v>872</v>
      </c>
      <c r="M284" s="18" t="s">
        <v>705</v>
      </c>
      <c r="N284" s="18">
        <f>DATEDIF(L284,M284,"M")</f>
        <v>7</v>
      </c>
      <c r="O284" s="19">
        <v>25</v>
      </c>
      <c r="P284" s="20">
        <v>0.32</v>
      </c>
      <c r="Q284" s="14">
        <v>-8</v>
      </c>
      <c r="R284" t="s">
        <v>983</v>
      </c>
      <c r="S284" t="s">
        <v>995</v>
      </c>
      <c r="T284" s="18" t="s">
        <v>1016</v>
      </c>
      <c r="U284" s="40" t="s">
        <v>1028</v>
      </c>
      <c r="V284" s="40" t="s">
        <v>1029</v>
      </c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</row>
    <row r="285" spans="1:52" s="28" customFormat="1" x14ac:dyDescent="0.25">
      <c r="A285" t="s">
        <v>974</v>
      </c>
      <c r="B285" t="s">
        <v>600</v>
      </c>
      <c r="C285" s="28" t="str">
        <f>CONCATENATE(A285," ",B285)</f>
        <v>Paul Agbodjogbe</v>
      </c>
      <c r="D285" t="s">
        <v>673</v>
      </c>
      <c r="E285">
        <v>798992</v>
      </c>
      <c r="F285" t="s">
        <v>59</v>
      </c>
      <c r="G285" t="s">
        <v>27</v>
      </c>
      <c r="H285" t="s">
        <v>28</v>
      </c>
      <c r="I285" t="s">
        <v>676</v>
      </c>
      <c r="J285" t="s">
        <v>677</v>
      </c>
      <c r="K285" s="17">
        <v>542134560</v>
      </c>
      <c r="L285" t="s">
        <v>872</v>
      </c>
      <c r="M285" s="18" t="s">
        <v>705</v>
      </c>
      <c r="N285" s="18">
        <f>DATEDIF(L285,M285,"M")</f>
        <v>7</v>
      </c>
      <c r="O285" s="19">
        <v>25</v>
      </c>
      <c r="P285" s="20">
        <v>0.32</v>
      </c>
      <c r="Q285" s="14">
        <v>8</v>
      </c>
      <c r="R285" t="s">
        <v>983</v>
      </c>
      <c r="S285" t="s">
        <v>995</v>
      </c>
      <c r="T285" s="18" t="s">
        <v>1016</v>
      </c>
      <c r="U285" s="40" t="s">
        <v>1028</v>
      </c>
      <c r="V285" s="40" t="s">
        <v>1029</v>
      </c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</row>
    <row r="286" spans="1:52" s="28" customFormat="1" x14ac:dyDescent="0.25">
      <c r="A286" s="34" t="s">
        <v>972</v>
      </c>
      <c r="B286" s="34" t="s">
        <v>973</v>
      </c>
      <c r="C286" s="28" t="str">
        <f>CONCATENATE(A286," ",B286)</f>
        <v>Barbara Mason-Jonas</v>
      </c>
      <c r="D286" s="34" t="s">
        <v>710</v>
      </c>
      <c r="E286" s="34">
        <v>711419</v>
      </c>
      <c r="F286" s="34" t="s">
        <v>251</v>
      </c>
      <c r="G286" s="34" t="s">
        <v>79</v>
      </c>
      <c r="H286" s="34" t="s">
        <v>28</v>
      </c>
      <c r="I286" s="34" t="s">
        <v>676</v>
      </c>
      <c r="J286" s="34" t="s">
        <v>677</v>
      </c>
      <c r="K286" s="35">
        <v>540552002</v>
      </c>
      <c r="L286" s="34" t="s">
        <v>872</v>
      </c>
      <c r="M286" s="36" t="s">
        <v>705</v>
      </c>
      <c r="N286" s="36">
        <f>DATEDIF(L286,M286,"M")</f>
        <v>7</v>
      </c>
      <c r="O286" s="37">
        <v>2.13</v>
      </c>
      <c r="P286" s="38">
        <v>0.03</v>
      </c>
      <c r="Q286" s="39">
        <v>2.13</v>
      </c>
      <c r="R286" s="34" t="s">
        <v>986</v>
      </c>
      <c r="S286" s="34" t="s">
        <v>993</v>
      </c>
      <c r="T286" s="36">
        <v>20411454</v>
      </c>
      <c r="U286" s="40" t="s">
        <v>1028</v>
      </c>
      <c r="V286" s="40" t="s">
        <v>1029</v>
      </c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</row>
    <row r="287" spans="1:52" s="28" customFormat="1" x14ac:dyDescent="0.25">
      <c r="A287" s="34" t="s">
        <v>249</v>
      </c>
      <c r="B287" s="34" t="s">
        <v>250</v>
      </c>
      <c r="C287" s="28" t="str">
        <f>CONCATENATE(A287," ",B287)</f>
        <v>Dennis Matyas</v>
      </c>
      <c r="D287" s="34" t="s">
        <v>898</v>
      </c>
      <c r="E287" s="34">
        <v>711419</v>
      </c>
      <c r="F287" s="34" t="s">
        <v>251</v>
      </c>
      <c r="G287" s="34" t="s">
        <v>79</v>
      </c>
      <c r="H287" s="34" t="s">
        <v>85</v>
      </c>
      <c r="I287" s="34" t="s">
        <v>676</v>
      </c>
      <c r="J287" s="34" t="s">
        <v>677</v>
      </c>
      <c r="K287" s="35">
        <v>901820000</v>
      </c>
      <c r="L287" s="34" t="s">
        <v>872</v>
      </c>
      <c r="M287" s="36" t="s">
        <v>705</v>
      </c>
      <c r="N287" s="36">
        <f>DATEDIF(L287,M287,"M")</f>
        <v>7</v>
      </c>
      <c r="O287" s="37">
        <v>4.29</v>
      </c>
      <c r="P287" s="38">
        <v>0.03</v>
      </c>
      <c r="Q287" s="39">
        <v>4.29</v>
      </c>
      <c r="R287" s="34" t="s">
        <v>986</v>
      </c>
      <c r="S287" s="34" t="s">
        <v>993</v>
      </c>
      <c r="T287" s="36">
        <v>20411454</v>
      </c>
      <c r="U287" s="40" t="s">
        <v>1028</v>
      </c>
      <c r="V287" s="40" t="s">
        <v>1029</v>
      </c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</row>
    <row r="288" spans="1:52" s="28" customFormat="1" x14ac:dyDescent="0.25">
      <c r="A288" t="s">
        <v>135</v>
      </c>
      <c r="B288" t="s">
        <v>136</v>
      </c>
      <c r="C288" s="28" t="str">
        <f>CONCATENATE(A288," ",B288)</f>
        <v>Alonzo Brown</v>
      </c>
      <c r="D288" t="s">
        <v>673</v>
      </c>
      <c r="E288">
        <v>707256</v>
      </c>
      <c r="F288" t="s">
        <v>137</v>
      </c>
      <c r="G288" t="s">
        <v>27</v>
      </c>
      <c r="H288" t="s">
        <v>28</v>
      </c>
      <c r="I288" t="s">
        <v>676</v>
      </c>
      <c r="J288" t="s">
        <v>677</v>
      </c>
      <c r="K288" s="17">
        <v>418031090</v>
      </c>
      <c r="L288" t="s">
        <v>734</v>
      </c>
      <c r="M288" s="18" t="s">
        <v>705</v>
      </c>
      <c r="N288" s="18">
        <f>DATEDIF(L288,M288,"M")</f>
        <v>8</v>
      </c>
      <c r="O288" s="19">
        <v>25</v>
      </c>
      <c r="P288" s="20">
        <v>0.32</v>
      </c>
      <c r="Q288" s="14">
        <v>8</v>
      </c>
      <c r="R288" t="s">
        <v>983</v>
      </c>
      <c r="S288" t="s">
        <v>998</v>
      </c>
      <c r="T288" s="18">
        <v>7387433</v>
      </c>
      <c r="U288" s="40" t="s">
        <v>1028</v>
      </c>
      <c r="V288" s="40" t="s">
        <v>1029</v>
      </c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</row>
    <row r="289" spans="1:52" s="28" customFormat="1" x14ac:dyDescent="0.25">
      <c r="A289" t="s">
        <v>572</v>
      </c>
      <c r="B289" t="s">
        <v>573</v>
      </c>
      <c r="C289" s="28" t="str">
        <f>CONCATENATE(A289," ",B289)</f>
        <v>Sarah Yoder</v>
      </c>
      <c r="D289" t="s">
        <v>695</v>
      </c>
      <c r="E289">
        <v>653470</v>
      </c>
      <c r="F289" t="s">
        <v>330</v>
      </c>
      <c r="G289" t="s">
        <v>27</v>
      </c>
      <c r="H289" t="s">
        <v>28</v>
      </c>
      <c r="I289" t="s">
        <v>676</v>
      </c>
      <c r="J289" t="s">
        <v>677</v>
      </c>
      <c r="K289" s="17">
        <v>338919869</v>
      </c>
      <c r="L289" t="s">
        <v>734</v>
      </c>
      <c r="M289" s="18" t="s">
        <v>705</v>
      </c>
      <c r="N289" s="18">
        <f>DATEDIF(L289,M289,"M")</f>
        <v>8</v>
      </c>
      <c r="O289" s="19">
        <v>25</v>
      </c>
      <c r="P289" s="20">
        <v>0.32</v>
      </c>
      <c r="Q289" s="14">
        <v>8</v>
      </c>
      <c r="R289" t="s">
        <v>983</v>
      </c>
      <c r="S289" t="s">
        <v>1001</v>
      </c>
      <c r="T289" s="18">
        <v>15278437</v>
      </c>
      <c r="U289" s="40" t="s">
        <v>1028</v>
      </c>
      <c r="V289" s="40" t="s">
        <v>1029</v>
      </c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</row>
    <row r="290" spans="1:52" s="28" customFormat="1" x14ac:dyDescent="0.25">
      <c r="A290" s="34" t="s">
        <v>249</v>
      </c>
      <c r="B290" s="34" t="s">
        <v>250</v>
      </c>
      <c r="C290" s="28" t="str">
        <f>CONCATENATE(A290," ",B290)</f>
        <v>Dennis Matyas</v>
      </c>
      <c r="D290" s="34" t="s">
        <v>898</v>
      </c>
      <c r="E290" s="34">
        <v>711419</v>
      </c>
      <c r="F290" s="34" t="s">
        <v>251</v>
      </c>
      <c r="G290" s="34" t="s">
        <v>79</v>
      </c>
      <c r="H290" s="34" t="s">
        <v>85</v>
      </c>
      <c r="I290" s="34" t="s">
        <v>676</v>
      </c>
      <c r="J290" s="34" t="s">
        <v>677</v>
      </c>
      <c r="K290" s="35">
        <v>901820000</v>
      </c>
      <c r="L290" s="34" t="s">
        <v>872</v>
      </c>
      <c r="M290" s="36" t="s">
        <v>264</v>
      </c>
      <c r="N290" s="36">
        <f>DATEDIF(L290,M290,"M")</f>
        <v>8</v>
      </c>
      <c r="O290" s="37">
        <v>4.29</v>
      </c>
      <c r="P290" s="38">
        <v>0.03</v>
      </c>
      <c r="Q290" s="39">
        <v>4.29</v>
      </c>
      <c r="R290" s="34" t="s">
        <v>986</v>
      </c>
      <c r="S290" s="34" t="s">
        <v>993</v>
      </c>
      <c r="T290" s="36">
        <v>20411454</v>
      </c>
      <c r="U290" s="40" t="s">
        <v>1028</v>
      </c>
      <c r="V290" s="40" t="s">
        <v>1029</v>
      </c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</row>
    <row r="291" spans="1:52" s="28" customFormat="1" x14ac:dyDescent="0.25">
      <c r="A291" t="s">
        <v>590</v>
      </c>
      <c r="B291" t="s">
        <v>591</v>
      </c>
      <c r="C291" s="28" t="str">
        <f>CONCATENATE(A291," ",B291)</f>
        <v>Calogero Interrante</v>
      </c>
      <c r="D291" t="s">
        <v>695</v>
      </c>
      <c r="E291">
        <v>689390</v>
      </c>
      <c r="F291" t="s">
        <v>77</v>
      </c>
      <c r="G291" t="s">
        <v>27</v>
      </c>
      <c r="H291" t="s">
        <v>28</v>
      </c>
      <c r="I291" t="s">
        <v>676</v>
      </c>
      <c r="J291" t="s">
        <v>677</v>
      </c>
      <c r="K291" s="17">
        <v>588549415</v>
      </c>
      <c r="L291" t="s">
        <v>679</v>
      </c>
      <c r="M291" s="18" t="s">
        <v>705</v>
      </c>
      <c r="N291" s="18">
        <f>DATEDIF(L291,M291,"M")</f>
        <v>9</v>
      </c>
      <c r="O291" s="19">
        <v>30</v>
      </c>
      <c r="P291" s="20">
        <v>0.32</v>
      </c>
      <c r="Q291" s="14">
        <v>9.6</v>
      </c>
      <c r="R291" t="s">
        <v>983</v>
      </c>
      <c r="S291" t="s">
        <v>992</v>
      </c>
      <c r="T291" s="18">
        <v>17425766</v>
      </c>
      <c r="U291" s="40" t="s">
        <v>1028</v>
      </c>
      <c r="V291" s="40" t="s">
        <v>1029</v>
      </c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</row>
    <row r="292" spans="1:52" s="28" customFormat="1" x14ac:dyDescent="0.25">
      <c r="A292" t="s">
        <v>135</v>
      </c>
      <c r="B292" t="s">
        <v>136</v>
      </c>
      <c r="C292" s="28" t="str">
        <f>CONCATENATE(A292," ",B292)</f>
        <v>Alonzo Brown</v>
      </c>
      <c r="D292" t="s">
        <v>673</v>
      </c>
      <c r="E292">
        <v>707256</v>
      </c>
      <c r="F292" t="s">
        <v>137</v>
      </c>
      <c r="G292" t="s">
        <v>27</v>
      </c>
      <c r="H292" t="s">
        <v>28</v>
      </c>
      <c r="I292" t="s">
        <v>676</v>
      </c>
      <c r="J292" t="s">
        <v>677</v>
      </c>
      <c r="K292" s="17">
        <v>418031090</v>
      </c>
      <c r="L292" t="s">
        <v>734</v>
      </c>
      <c r="M292" s="18" t="s">
        <v>264</v>
      </c>
      <c r="N292" s="18">
        <f>DATEDIF(L292,M292,"M")</f>
        <v>9</v>
      </c>
      <c r="O292" s="19">
        <v>25</v>
      </c>
      <c r="P292" s="20">
        <v>0.32</v>
      </c>
      <c r="Q292" s="14">
        <v>8</v>
      </c>
      <c r="R292" t="s">
        <v>983</v>
      </c>
      <c r="S292" t="s">
        <v>998</v>
      </c>
      <c r="T292" s="18">
        <v>7387433</v>
      </c>
      <c r="U292" s="40" t="s">
        <v>1028</v>
      </c>
      <c r="V292" s="40" t="s">
        <v>1029</v>
      </c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</row>
    <row r="293" spans="1:52" s="28" customFormat="1" x14ac:dyDescent="0.25">
      <c r="A293" t="s">
        <v>552</v>
      </c>
      <c r="B293" t="s">
        <v>553</v>
      </c>
      <c r="C293" s="28" t="str">
        <f>CONCATENATE(A293," ",B293)</f>
        <v>Zhenhua Jiang</v>
      </c>
      <c r="D293" t="s">
        <v>673</v>
      </c>
      <c r="E293">
        <v>798992</v>
      </c>
      <c r="F293" t="s">
        <v>59</v>
      </c>
      <c r="G293" t="s">
        <v>27</v>
      </c>
      <c r="H293" t="s">
        <v>28</v>
      </c>
      <c r="I293" t="s">
        <v>676</v>
      </c>
      <c r="J293" t="s">
        <v>677</v>
      </c>
      <c r="K293" s="17">
        <v>389218592</v>
      </c>
      <c r="L293" t="s">
        <v>679</v>
      </c>
      <c r="M293" s="18" t="s">
        <v>705</v>
      </c>
      <c r="N293" s="18">
        <f>DATEDIF(L293,M293,"M")</f>
        <v>9</v>
      </c>
      <c r="O293" s="19">
        <v>25</v>
      </c>
      <c r="P293" s="20">
        <v>0.32</v>
      </c>
      <c r="Q293" s="14">
        <v>8</v>
      </c>
      <c r="R293" t="s">
        <v>983</v>
      </c>
      <c r="S293" t="s">
        <v>995</v>
      </c>
      <c r="T293" s="18" t="s">
        <v>1016</v>
      </c>
      <c r="U293" s="40" t="s">
        <v>1028</v>
      </c>
      <c r="V293" s="40" t="s">
        <v>1029</v>
      </c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</row>
    <row r="294" spans="1:52" s="28" customFormat="1" x14ac:dyDescent="0.25">
      <c r="A294" t="s">
        <v>552</v>
      </c>
      <c r="B294" t="s">
        <v>553</v>
      </c>
      <c r="C294" s="28" t="str">
        <f>CONCATENATE(A294," ",B294)</f>
        <v>Zhenhua Jiang</v>
      </c>
      <c r="D294" t="s">
        <v>673</v>
      </c>
      <c r="E294">
        <v>798992</v>
      </c>
      <c r="F294" t="s">
        <v>59</v>
      </c>
      <c r="G294" t="s">
        <v>52</v>
      </c>
      <c r="H294" t="s">
        <v>28</v>
      </c>
      <c r="I294" t="s">
        <v>686</v>
      </c>
      <c r="J294" t="s">
        <v>687</v>
      </c>
      <c r="K294" s="17">
        <v>914937325</v>
      </c>
      <c r="L294" t="s">
        <v>679</v>
      </c>
      <c r="M294" s="18" t="s">
        <v>705</v>
      </c>
      <c r="N294" s="18">
        <f>DATEDIF(L294,M294,"M")</f>
        <v>9</v>
      </c>
      <c r="O294" s="19">
        <v>11</v>
      </c>
      <c r="P294" s="20">
        <v>0.37</v>
      </c>
      <c r="Q294" s="14">
        <v>4.07</v>
      </c>
      <c r="R294" t="s">
        <v>984</v>
      </c>
      <c r="S294" t="s">
        <v>995</v>
      </c>
      <c r="T294" s="18" t="s">
        <v>1016</v>
      </c>
      <c r="U294" s="40" t="s">
        <v>1028</v>
      </c>
      <c r="V294" s="40" t="s">
        <v>1029</v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</row>
    <row r="295" spans="1:52" s="28" customFormat="1" x14ac:dyDescent="0.25">
      <c r="A295" t="s">
        <v>572</v>
      </c>
      <c r="B295" t="s">
        <v>573</v>
      </c>
      <c r="C295" s="28" t="str">
        <f>CONCATENATE(A295," ",B295)</f>
        <v>Sarah Yoder</v>
      </c>
      <c r="D295" t="s">
        <v>695</v>
      </c>
      <c r="E295">
        <v>653470</v>
      </c>
      <c r="F295" t="s">
        <v>330</v>
      </c>
      <c r="G295" t="s">
        <v>27</v>
      </c>
      <c r="H295" t="s">
        <v>28</v>
      </c>
      <c r="I295" t="s">
        <v>676</v>
      </c>
      <c r="J295" t="s">
        <v>677</v>
      </c>
      <c r="K295" s="17">
        <v>338919869</v>
      </c>
      <c r="L295" t="s">
        <v>734</v>
      </c>
      <c r="M295" s="18" t="s">
        <v>264</v>
      </c>
      <c r="N295" s="18">
        <f>DATEDIF(L295,M295,"M")</f>
        <v>9</v>
      </c>
      <c r="O295" s="19">
        <v>25</v>
      </c>
      <c r="P295" s="20">
        <v>0.32</v>
      </c>
      <c r="Q295" s="14">
        <v>8</v>
      </c>
      <c r="R295" t="s">
        <v>983</v>
      </c>
      <c r="S295" t="s">
        <v>1001</v>
      </c>
      <c r="T295" s="18">
        <v>15278437</v>
      </c>
      <c r="U295" s="40" t="s">
        <v>1028</v>
      </c>
      <c r="V295" s="40" t="s">
        <v>1029</v>
      </c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</row>
    <row r="296" spans="1:52" s="28" customFormat="1" x14ac:dyDescent="0.25">
      <c r="A296" s="34" t="s">
        <v>249</v>
      </c>
      <c r="B296" s="34" t="s">
        <v>250</v>
      </c>
      <c r="C296" s="28" t="str">
        <f>CONCATENATE(A296," ",B296)</f>
        <v>Dennis Matyas</v>
      </c>
      <c r="D296" s="34" t="s">
        <v>898</v>
      </c>
      <c r="E296" s="34">
        <v>711419</v>
      </c>
      <c r="F296" s="34" t="s">
        <v>251</v>
      </c>
      <c r="G296" s="34" t="s">
        <v>79</v>
      </c>
      <c r="H296" s="34" t="s">
        <v>85</v>
      </c>
      <c r="I296" s="34" t="s">
        <v>676</v>
      </c>
      <c r="J296" s="34" t="s">
        <v>677</v>
      </c>
      <c r="K296" s="35">
        <v>901820000</v>
      </c>
      <c r="L296" s="34" t="s">
        <v>872</v>
      </c>
      <c r="M296" s="36" t="s">
        <v>670</v>
      </c>
      <c r="N296" s="36">
        <f>DATEDIF(L296,M296,"M")</f>
        <v>9</v>
      </c>
      <c r="O296" s="37">
        <v>4.29</v>
      </c>
      <c r="P296" s="38">
        <v>0.03</v>
      </c>
      <c r="Q296" s="39">
        <v>4.29</v>
      </c>
      <c r="R296" s="34" t="s">
        <v>986</v>
      </c>
      <c r="S296" s="34" t="s">
        <v>993</v>
      </c>
      <c r="T296" s="36">
        <v>20411454</v>
      </c>
      <c r="U296" s="40" t="s">
        <v>1028</v>
      </c>
      <c r="V296" s="40" t="s">
        <v>1029</v>
      </c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</row>
    <row r="297" spans="1:52" s="28" customFormat="1" x14ac:dyDescent="0.25">
      <c r="A297" t="s">
        <v>590</v>
      </c>
      <c r="B297" t="s">
        <v>591</v>
      </c>
      <c r="C297" s="28" t="str">
        <f>CONCATENATE(A297," ",B297)</f>
        <v>Calogero Interrante</v>
      </c>
      <c r="D297" t="s">
        <v>695</v>
      </c>
      <c r="E297">
        <v>689390</v>
      </c>
      <c r="F297" t="s">
        <v>77</v>
      </c>
      <c r="G297" t="s">
        <v>27</v>
      </c>
      <c r="H297" t="s">
        <v>28</v>
      </c>
      <c r="I297" t="s">
        <v>676</v>
      </c>
      <c r="J297" t="s">
        <v>677</v>
      </c>
      <c r="K297" s="17">
        <v>588549415</v>
      </c>
      <c r="L297" t="s">
        <v>679</v>
      </c>
      <c r="M297" s="18" t="s">
        <v>264</v>
      </c>
      <c r="N297" s="18">
        <f>DATEDIF(L297,M297,"M")</f>
        <v>10</v>
      </c>
      <c r="O297" s="19">
        <v>30</v>
      </c>
      <c r="P297" s="20">
        <v>0.32</v>
      </c>
      <c r="Q297" s="14">
        <v>9.6</v>
      </c>
      <c r="R297" t="s">
        <v>983</v>
      </c>
      <c r="S297" t="s">
        <v>992</v>
      </c>
      <c r="T297" s="18">
        <v>17425766</v>
      </c>
      <c r="U297" s="40" t="s">
        <v>1028</v>
      </c>
      <c r="V297" s="40" t="s">
        <v>1029</v>
      </c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</row>
    <row r="298" spans="1:52" s="28" customFormat="1" x14ac:dyDescent="0.25">
      <c r="A298" t="s">
        <v>135</v>
      </c>
      <c r="B298" t="s">
        <v>136</v>
      </c>
      <c r="C298" s="28" t="str">
        <f>CONCATENATE(A298," ",B298)</f>
        <v>Alonzo Brown</v>
      </c>
      <c r="D298" t="s">
        <v>673</v>
      </c>
      <c r="E298">
        <v>707256</v>
      </c>
      <c r="F298" t="s">
        <v>137</v>
      </c>
      <c r="G298" t="s">
        <v>27</v>
      </c>
      <c r="H298" t="s">
        <v>28</v>
      </c>
      <c r="I298" t="s">
        <v>676</v>
      </c>
      <c r="J298" t="s">
        <v>677</v>
      </c>
      <c r="K298" s="17">
        <v>418031090</v>
      </c>
      <c r="L298" t="s">
        <v>734</v>
      </c>
      <c r="M298" s="18" t="s">
        <v>670</v>
      </c>
      <c r="N298" s="18">
        <f>DATEDIF(L298,M298,"M")</f>
        <v>10</v>
      </c>
      <c r="O298" s="19">
        <v>25</v>
      </c>
      <c r="P298" s="20">
        <v>0.32</v>
      </c>
      <c r="Q298" s="14">
        <v>8</v>
      </c>
      <c r="R298" t="s">
        <v>983</v>
      </c>
      <c r="S298" t="s">
        <v>998</v>
      </c>
      <c r="T298" s="18">
        <v>7387433</v>
      </c>
      <c r="U298" s="40" t="s">
        <v>1028</v>
      </c>
      <c r="V298" s="40" t="s">
        <v>1029</v>
      </c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</row>
    <row r="299" spans="1:52" s="28" customFormat="1" x14ac:dyDescent="0.25">
      <c r="A299" t="s">
        <v>349</v>
      </c>
      <c r="B299" t="s">
        <v>350</v>
      </c>
      <c r="C299" s="28" t="str">
        <f>CONCATENATE(A299," ",B299)</f>
        <v>Zuleika Rosa Salgado</v>
      </c>
      <c r="D299" t="s">
        <v>673</v>
      </c>
      <c r="E299">
        <v>798992</v>
      </c>
      <c r="F299" t="s">
        <v>59</v>
      </c>
      <c r="G299" t="s">
        <v>27</v>
      </c>
      <c r="H299" t="s">
        <v>145</v>
      </c>
      <c r="I299" t="s">
        <v>676</v>
      </c>
      <c r="J299" t="s">
        <v>677</v>
      </c>
      <c r="K299" s="17">
        <v>701882993</v>
      </c>
      <c r="L299" t="s">
        <v>699</v>
      </c>
      <c r="M299" s="18" t="s">
        <v>693</v>
      </c>
      <c r="N299" s="18">
        <f>DATEDIF(L299,M299,"M")</f>
        <v>10</v>
      </c>
      <c r="O299" s="19">
        <v>58</v>
      </c>
      <c r="P299" s="20">
        <v>0.32</v>
      </c>
      <c r="Q299" s="14">
        <v>18.559999999999999</v>
      </c>
      <c r="R299" t="s">
        <v>983</v>
      </c>
      <c r="S299" t="s">
        <v>995</v>
      </c>
      <c r="T299" s="18" t="s">
        <v>1016</v>
      </c>
      <c r="U299" s="40" t="s">
        <v>1028</v>
      </c>
      <c r="V299" s="40" t="s">
        <v>1029</v>
      </c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</row>
    <row r="300" spans="1:52" s="28" customFormat="1" x14ac:dyDescent="0.25">
      <c r="A300" t="s">
        <v>334</v>
      </c>
      <c r="B300" t="s">
        <v>335</v>
      </c>
      <c r="C300" s="28" t="str">
        <f>CONCATENATE(A300," ",B300)</f>
        <v>Eugene Hanes Jr.</v>
      </c>
      <c r="D300" t="s">
        <v>673</v>
      </c>
      <c r="E300">
        <v>798992</v>
      </c>
      <c r="F300" t="s">
        <v>59</v>
      </c>
      <c r="G300" t="s">
        <v>79</v>
      </c>
      <c r="H300" t="s">
        <v>28</v>
      </c>
      <c r="I300" t="s">
        <v>676</v>
      </c>
      <c r="J300" t="s">
        <v>677</v>
      </c>
      <c r="K300" s="17">
        <v>975782157</v>
      </c>
      <c r="L300" t="s">
        <v>699</v>
      </c>
      <c r="M300" s="18" t="s">
        <v>693</v>
      </c>
      <c r="N300" s="18">
        <f>DATEDIF(L300,M300,"M")</f>
        <v>10</v>
      </c>
      <c r="O300" s="19">
        <v>66</v>
      </c>
      <c r="P300" s="20">
        <v>0.24</v>
      </c>
      <c r="Q300" s="14">
        <v>15.84</v>
      </c>
      <c r="R300" t="s">
        <v>985</v>
      </c>
      <c r="S300" t="s">
        <v>995</v>
      </c>
      <c r="T300" s="18" t="s">
        <v>1016</v>
      </c>
      <c r="U300" s="40" t="s">
        <v>1028</v>
      </c>
      <c r="V300" s="40" t="s">
        <v>1029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</row>
    <row r="301" spans="1:52" s="28" customFormat="1" x14ac:dyDescent="0.25">
      <c r="A301" t="s">
        <v>599</v>
      </c>
      <c r="B301" t="s">
        <v>600</v>
      </c>
      <c r="C301" s="28" t="str">
        <f>CONCATENATE(A301," ",B301)</f>
        <v>Jean Francois Agbodjogbe</v>
      </c>
      <c r="D301" t="s">
        <v>673</v>
      </c>
      <c r="E301">
        <v>798992</v>
      </c>
      <c r="F301" t="s">
        <v>59</v>
      </c>
      <c r="G301" t="s">
        <v>52</v>
      </c>
      <c r="H301" t="s">
        <v>28</v>
      </c>
      <c r="I301" t="s">
        <v>686</v>
      </c>
      <c r="J301" t="s">
        <v>687</v>
      </c>
      <c r="K301" s="17">
        <v>971745723</v>
      </c>
      <c r="L301" t="s">
        <v>740</v>
      </c>
      <c r="M301" s="18" t="s">
        <v>705</v>
      </c>
      <c r="N301" s="18">
        <f>DATEDIF(L301,M301,"M")</f>
        <v>10</v>
      </c>
      <c r="O301" s="19">
        <v>11</v>
      </c>
      <c r="P301" s="20">
        <v>0.37</v>
      </c>
      <c r="Q301" s="14">
        <v>4.07</v>
      </c>
      <c r="R301" t="s">
        <v>984</v>
      </c>
      <c r="S301" t="s">
        <v>995</v>
      </c>
      <c r="T301" s="18" t="s">
        <v>1016</v>
      </c>
      <c r="U301" s="40" t="s">
        <v>1028</v>
      </c>
      <c r="V301" s="40" t="s">
        <v>1029</v>
      </c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</row>
    <row r="302" spans="1:52" s="28" customFormat="1" x14ac:dyDescent="0.25">
      <c r="A302" t="s">
        <v>617</v>
      </c>
      <c r="B302" t="s">
        <v>618</v>
      </c>
      <c r="C302" s="28" t="str">
        <f>CONCATENATE(A302," ",B302)</f>
        <v>Satya Southall</v>
      </c>
      <c r="D302" t="s">
        <v>673</v>
      </c>
      <c r="E302">
        <v>798992</v>
      </c>
      <c r="F302" t="s">
        <v>59</v>
      </c>
      <c r="G302" t="s">
        <v>27</v>
      </c>
      <c r="H302" t="s">
        <v>28</v>
      </c>
      <c r="I302" t="s">
        <v>676</v>
      </c>
      <c r="J302" t="s">
        <v>677</v>
      </c>
      <c r="K302" s="17">
        <v>896294214</v>
      </c>
      <c r="L302" t="s">
        <v>740</v>
      </c>
      <c r="M302" s="18" t="s">
        <v>705</v>
      </c>
      <c r="N302" s="18">
        <f>DATEDIF(L302,M302,"M")</f>
        <v>10</v>
      </c>
      <c r="O302" s="19">
        <v>25</v>
      </c>
      <c r="P302" s="20">
        <v>0.32</v>
      </c>
      <c r="Q302" s="14">
        <v>8</v>
      </c>
      <c r="R302" t="s">
        <v>983</v>
      </c>
      <c r="S302" t="s">
        <v>995</v>
      </c>
      <c r="T302" s="18" t="s">
        <v>1016</v>
      </c>
      <c r="U302" s="40" t="s">
        <v>1028</v>
      </c>
      <c r="V302" s="40" t="s">
        <v>1029</v>
      </c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</row>
    <row r="303" spans="1:52" s="28" customFormat="1" x14ac:dyDescent="0.25">
      <c r="A303" t="s">
        <v>552</v>
      </c>
      <c r="B303" t="s">
        <v>553</v>
      </c>
      <c r="C303" s="28" t="str">
        <f>CONCATENATE(A303," ",B303)</f>
        <v>Zhenhua Jiang</v>
      </c>
      <c r="D303" t="s">
        <v>673</v>
      </c>
      <c r="E303">
        <v>798992</v>
      </c>
      <c r="F303" t="s">
        <v>59</v>
      </c>
      <c r="G303" t="s">
        <v>27</v>
      </c>
      <c r="H303" t="s">
        <v>28</v>
      </c>
      <c r="I303" t="s">
        <v>676</v>
      </c>
      <c r="J303" t="s">
        <v>677</v>
      </c>
      <c r="K303" s="17">
        <v>389218592</v>
      </c>
      <c r="L303" t="s">
        <v>679</v>
      </c>
      <c r="M303" s="18" t="s">
        <v>264</v>
      </c>
      <c r="N303" s="18">
        <f>DATEDIF(L303,M303,"M")</f>
        <v>10</v>
      </c>
      <c r="O303" s="19">
        <v>25</v>
      </c>
      <c r="P303" s="20">
        <v>0.32</v>
      </c>
      <c r="Q303" s="14">
        <v>8</v>
      </c>
      <c r="R303" t="s">
        <v>983</v>
      </c>
      <c r="S303" t="s">
        <v>995</v>
      </c>
      <c r="T303" s="18" t="s">
        <v>1016</v>
      </c>
      <c r="U303" s="40" t="s">
        <v>1028</v>
      </c>
      <c r="V303" s="40" t="s">
        <v>1029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</row>
    <row r="304" spans="1:52" s="28" customFormat="1" x14ac:dyDescent="0.25">
      <c r="A304" t="s">
        <v>473</v>
      </c>
      <c r="B304" t="s">
        <v>474</v>
      </c>
      <c r="C304" s="28" t="str">
        <f>CONCATENATE(A304," ",B304)</f>
        <v>Lori Bottenfield</v>
      </c>
      <c r="D304" t="s">
        <v>710</v>
      </c>
      <c r="E304">
        <v>749876</v>
      </c>
      <c r="F304" t="s">
        <v>475</v>
      </c>
      <c r="G304" t="s">
        <v>27</v>
      </c>
      <c r="H304" t="s">
        <v>28</v>
      </c>
      <c r="I304" t="s">
        <v>676</v>
      </c>
      <c r="J304" t="s">
        <v>677</v>
      </c>
      <c r="K304" s="17">
        <v>176713886</v>
      </c>
      <c r="L304" t="s">
        <v>740</v>
      </c>
      <c r="M304" s="18" t="s">
        <v>705</v>
      </c>
      <c r="N304" s="18">
        <f>DATEDIF(L304,M304,"M")</f>
        <v>10</v>
      </c>
      <c r="O304" s="19">
        <v>25</v>
      </c>
      <c r="P304" s="20">
        <v>0.32</v>
      </c>
      <c r="Q304" s="14">
        <v>8</v>
      </c>
      <c r="R304" t="s">
        <v>983</v>
      </c>
      <c r="S304" t="s">
        <v>999</v>
      </c>
      <c r="T304" s="18" t="s">
        <v>1018</v>
      </c>
      <c r="U304" s="40" t="s">
        <v>1028</v>
      </c>
      <c r="V304" s="40" t="s">
        <v>1029</v>
      </c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</row>
    <row r="305" spans="1:52" s="28" customFormat="1" x14ac:dyDescent="0.25">
      <c r="A305" t="s">
        <v>590</v>
      </c>
      <c r="B305" t="s">
        <v>591</v>
      </c>
      <c r="C305" s="28" t="str">
        <f>CONCATENATE(A305," ",B305)</f>
        <v>Calogero Interrante</v>
      </c>
      <c r="D305" t="s">
        <v>695</v>
      </c>
      <c r="E305">
        <v>689390</v>
      </c>
      <c r="F305" t="s">
        <v>77</v>
      </c>
      <c r="G305" t="s">
        <v>27</v>
      </c>
      <c r="H305" t="s">
        <v>28</v>
      </c>
      <c r="I305" t="s">
        <v>676</v>
      </c>
      <c r="J305" t="s">
        <v>677</v>
      </c>
      <c r="K305" s="17">
        <v>588549415</v>
      </c>
      <c r="L305" t="s">
        <v>679</v>
      </c>
      <c r="M305" s="18" t="s">
        <v>670</v>
      </c>
      <c r="N305" s="18">
        <f>DATEDIF(L305,M305,"M")</f>
        <v>11</v>
      </c>
      <c r="O305" s="19">
        <v>30</v>
      </c>
      <c r="P305" s="20">
        <v>0.32</v>
      </c>
      <c r="Q305" s="14">
        <v>9.6</v>
      </c>
      <c r="R305" t="s">
        <v>983</v>
      </c>
      <c r="S305" t="s">
        <v>992</v>
      </c>
      <c r="T305" s="18">
        <v>17425766</v>
      </c>
      <c r="U305" s="40" t="s">
        <v>1028</v>
      </c>
      <c r="V305" s="40" t="s">
        <v>1029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</row>
    <row r="306" spans="1:52" s="28" customFormat="1" x14ac:dyDescent="0.25">
      <c r="A306" t="s">
        <v>381</v>
      </c>
      <c r="B306" t="s">
        <v>382</v>
      </c>
      <c r="C306" s="28" t="str">
        <f>CONCATENATE(A306," ",B306)</f>
        <v>John Fritz</v>
      </c>
      <c r="D306" t="s">
        <v>695</v>
      </c>
      <c r="E306">
        <v>689390</v>
      </c>
      <c r="F306" t="s">
        <v>77</v>
      </c>
      <c r="G306" t="s">
        <v>79</v>
      </c>
      <c r="H306" t="s">
        <v>28</v>
      </c>
      <c r="I306" t="s">
        <v>676</v>
      </c>
      <c r="J306" t="s">
        <v>677</v>
      </c>
      <c r="K306" s="17">
        <v>303162685</v>
      </c>
      <c r="L306" t="s">
        <v>699</v>
      </c>
      <c r="M306" s="18" t="s">
        <v>705</v>
      </c>
      <c r="N306" s="18">
        <f>DATEDIF(L306,M306,"M")</f>
        <v>11</v>
      </c>
      <c r="O306" s="19">
        <v>74</v>
      </c>
      <c r="P306" s="20">
        <v>0.24</v>
      </c>
      <c r="Q306" s="14">
        <v>17.760000000000002</v>
      </c>
      <c r="R306" t="s">
        <v>985</v>
      </c>
      <c r="S306" t="s">
        <v>992</v>
      </c>
      <c r="T306" s="18">
        <v>17425766</v>
      </c>
      <c r="U306" s="40" t="s">
        <v>1028</v>
      </c>
      <c r="V306" s="40" t="s">
        <v>1029</v>
      </c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</row>
    <row r="307" spans="1:52" s="28" customFormat="1" x14ac:dyDescent="0.25">
      <c r="A307" t="s">
        <v>506</v>
      </c>
      <c r="B307" t="s">
        <v>507</v>
      </c>
      <c r="C307" s="28" t="str">
        <f>CONCATENATE(A307," ",B307)</f>
        <v>Julie Bryant</v>
      </c>
      <c r="D307" t="s">
        <v>673</v>
      </c>
      <c r="E307">
        <v>706472</v>
      </c>
      <c r="F307" t="s">
        <v>199</v>
      </c>
      <c r="G307" t="s">
        <v>27</v>
      </c>
      <c r="H307" t="s">
        <v>85</v>
      </c>
      <c r="I307" t="s">
        <v>676</v>
      </c>
      <c r="J307" t="s">
        <v>677</v>
      </c>
      <c r="K307" s="17">
        <v>954518880</v>
      </c>
      <c r="L307" t="s">
        <v>699</v>
      </c>
      <c r="M307" s="18" t="s">
        <v>705</v>
      </c>
      <c r="N307" s="18">
        <f>DATEDIF(L307,M307,"M")</f>
        <v>11</v>
      </c>
      <c r="O307" s="19">
        <v>50</v>
      </c>
      <c r="P307" s="20">
        <v>0.32</v>
      </c>
      <c r="Q307" s="14">
        <v>16</v>
      </c>
      <c r="R307" t="s">
        <v>983</v>
      </c>
      <c r="S307" t="s">
        <v>997</v>
      </c>
      <c r="T307" s="18">
        <v>17195620</v>
      </c>
      <c r="U307" s="40" t="s">
        <v>1028</v>
      </c>
      <c r="V307" s="40" t="s">
        <v>1029</v>
      </c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</row>
    <row r="308" spans="1:52" s="28" customFormat="1" x14ac:dyDescent="0.25">
      <c r="A308" t="s">
        <v>197</v>
      </c>
      <c r="B308" t="s">
        <v>198</v>
      </c>
      <c r="C308" s="28" t="str">
        <f>CONCATENATE(A308," ",B308)</f>
        <v>Michael Suskin</v>
      </c>
      <c r="D308" t="s">
        <v>673</v>
      </c>
      <c r="E308">
        <v>706472</v>
      </c>
      <c r="F308" t="s">
        <v>199</v>
      </c>
      <c r="G308" t="s">
        <v>27</v>
      </c>
      <c r="H308" t="s">
        <v>28</v>
      </c>
      <c r="I308" t="s">
        <v>676</v>
      </c>
      <c r="J308" t="s">
        <v>677</v>
      </c>
      <c r="K308" s="17">
        <v>58861441</v>
      </c>
      <c r="L308" t="s">
        <v>699</v>
      </c>
      <c r="M308" s="18" t="s">
        <v>705</v>
      </c>
      <c r="N308" s="18">
        <f>DATEDIF(L308,M308,"M")</f>
        <v>11</v>
      </c>
      <c r="O308" s="19">
        <v>25</v>
      </c>
      <c r="P308" s="20">
        <v>0.32</v>
      </c>
      <c r="Q308" s="14">
        <v>8</v>
      </c>
      <c r="R308" t="s">
        <v>983</v>
      </c>
      <c r="S308" t="s">
        <v>997</v>
      </c>
      <c r="T308" s="18">
        <v>17195620</v>
      </c>
      <c r="U308" s="40" t="s">
        <v>1028</v>
      </c>
      <c r="V308" s="40" t="s">
        <v>1029</v>
      </c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</row>
    <row r="309" spans="1:52" s="28" customFormat="1" x14ac:dyDescent="0.25">
      <c r="A309" t="s">
        <v>34</v>
      </c>
      <c r="B309" t="s">
        <v>35</v>
      </c>
      <c r="C309" s="28" t="str">
        <f>CONCATENATE(A309," ",B309)</f>
        <v>Steven Cohen</v>
      </c>
      <c r="D309" t="s">
        <v>691</v>
      </c>
      <c r="E309">
        <v>757929</v>
      </c>
      <c r="F309" t="s">
        <v>36</v>
      </c>
      <c r="G309" t="s">
        <v>38</v>
      </c>
      <c r="H309" t="s">
        <v>39</v>
      </c>
      <c r="I309" t="s">
        <v>676</v>
      </c>
      <c r="J309" t="s">
        <v>677</v>
      </c>
      <c r="K309" s="17">
        <v>348104279</v>
      </c>
      <c r="L309" t="s">
        <v>699</v>
      </c>
      <c r="M309" s="18" t="s">
        <v>705</v>
      </c>
      <c r="N309" s="18">
        <f>DATEDIF(L309,M309,"M")</f>
        <v>11</v>
      </c>
      <c r="O309" s="19">
        <v>185</v>
      </c>
      <c r="P309" s="20">
        <v>0.24</v>
      </c>
      <c r="Q309" s="14">
        <v>44.4</v>
      </c>
      <c r="R309" t="s">
        <v>985</v>
      </c>
      <c r="S309" t="s">
        <v>1003</v>
      </c>
      <c r="T309" s="18">
        <v>9213293</v>
      </c>
      <c r="U309" s="40" t="s">
        <v>1028</v>
      </c>
      <c r="V309" s="40" t="s">
        <v>1029</v>
      </c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</row>
    <row r="310" spans="1:52" s="28" customFormat="1" x14ac:dyDescent="0.25">
      <c r="A310" t="s">
        <v>349</v>
      </c>
      <c r="B310" t="s">
        <v>350</v>
      </c>
      <c r="C310" s="28" t="str">
        <f>CONCATENATE(A310," ",B310)</f>
        <v>Zuleika Rosa Salgado</v>
      </c>
      <c r="D310" t="s">
        <v>673</v>
      </c>
      <c r="E310">
        <v>798992</v>
      </c>
      <c r="F310" t="s">
        <v>59</v>
      </c>
      <c r="G310" t="s">
        <v>27</v>
      </c>
      <c r="H310" t="s">
        <v>145</v>
      </c>
      <c r="I310" t="s">
        <v>676</v>
      </c>
      <c r="J310" t="s">
        <v>677</v>
      </c>
      <c r="K310" s="17">
        <v>701882993</v>
      </c>
      <c r="L310" t="s">
        <v>699</v>
      </c>
      <c r="M310" s="18" t="s">
        <v>705</v>
      </c>
      <c r="N310" s="18">
        <f>DATEDIF(L310,M310,"M")</f>
        <v>11</v>
      </c>
      <c r="O310" s="19">
        <v>58</v>
      </c>
      <c r="P310" s="20">
        <v>0.32</v>
      </c>
      <c r="Q310" s="14">
        <v>18.559999999999999</v>
      </c>
      <c r="R310" t="s">
        <v>983</v>
      </c>
      <c r="S310" t="s">
        <v>995</v>
      </c>
      <c r="T310" s="18" t="s">
        <v>1016</v>
      </c>
      <c r="U310" s="40" t="s">
        <v>1028</v>
      </c>
      <c r="V310" s="40" t="s">
        <v>1029</v>
      </c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</row>
    <row r="311" spans="1:52" s="28" customFormat="1" x14ac:dyDescent="0.25">
      <c r="A311" t="s">
        <v>334</v>
      </c>
      <c r="B311" t="s">
        <v>335</v>
      </c>
      <c r="C311" s="28" t="str">
        <f>CONCATENATE(A311," ",B311)</f>
        <v>Eugene Hanes Jr.</v>
      </c>
      <c r="D311" t="s">
        <v>673</v>
      </c>
      <c r="E311">
        <v>798992</v>
      </c>
      <c r="F311" t="s">
        <v>59</v>
      </c>
      <c r="G311" t="s">
        <v>79</v>
      </c>
      <c r="H311" t="s">
        <v>28</v>
      </c>
      <c r="I311" t="s">
        <v>676</v>
      </c>
      <c r="J311" t="s">
        <v>677</v>
      </c>
      <c r="K311" s="17">
        <v>975782157</v>
      </c>
      <c r="L311" t="s">
        <v>699</v>
      </c>
      <c r="M311" s="18" t="s">
        <v>705</v>
      </c>
      <c r="N311" s="18">
        <f>DATEDIF(L311,M311,"M")</f>
        <v>11</v>
      </c>
      <c r="O311" s="19">
        <v>66</v>
      </c>
      <c r="P311" s="20">
        <v>0.24</v>
      </c>
      <c r="Q311" s="14">
        <v>15.84</v>
      </c>
      <c r="R311" t="s">
        <v>985</v>
      </c>
      <c r="S311" t="s">
        <v>995</v>
      </c>
      <c r="T311" s="18" t="s">
        <v>1016</v>
      </c>
      <c r="U311" s="40" t="s">
        <v>1028</v>
      </c>
      <c r="V311" s="40" t="s">
        <v>1029</v>
      </c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</row>
    <row r="312" spans="1:52" s="28" customFormat="1" x14ac:dyDescent="0.25">
      <c r="A312" t="s">
        <v>599</v>
      </c>
      <c r="B312" t="s">
        <v>600</v>
      </c>
      <c r="C312" s="28" t="str">
        <f>CONCATENATE(A312," ",B312)</f>
        <v>Jean Francois Agbodjogbe</v>
      </c>
      <c r="D312" t="s">
        <v>673</v>
      </c>
      <c r="E312">
        <v>798992</v>
      </c>
      <c r="F312" t="s">
        <v>59</v>
      </c>
      <c r="G312" t="s">
        <v>27</v>
      </c>
      <c r="H312" t="s">
        <v>28</v>
      </c>
      <c r="I312" t="s">
        <v>676</v>
      </c>
      <c r="J312" t="s">
        <v>677</v>
      </c>
      <c r="K312" s="17">
        <v>230444946</v>
      </c>
      <c r="L312" t="s">
        <v>699</v>
      </c>
      <c r="M312" s="18" t="s">
        <v>705</v>
      </c>
      <c r="N312" s="18">
        <f>DATEDIF(L312,M312,"M")</f>
        <v>11</v>
      </c>
      <c r="O312" s="19">
        <v>25</v>
      </c>
      <c r="P312" s="20">
        <v>0.32</v>
      </c>
      <c r="Q312" s="14">
        <v>8</v>
      </c>
      <c r="R312" t="s">
        <v>983</v>
      </c>
      <c r="S312" t="s">
        <v>995</v>
      </c>
      <c r="T312" s="18" t="s">
        <v>1016</v>
      </c>
      <c r="U312" s="40" t="s">
        <v>1028</v>
      </c>
      <c r="V312" s="40" t="s">
        <v>1029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</row>
    <row r="313" spans="1:52" s="28" customFormat="1" x14ac:dyDescent="0.25">
      <c r="A313" t="s">
        <v>62</v>
      </c>
      <c r="B313" t="s">
        <v>63</v>
      </c>
      <c r="C313" s="28" t="str">
        <f>CONCATENATE(A313," ",B313)</f>
        <v>Brigitte Wilkinson</v>
      </c>
      <c r="D313" t="s">
        <v>673</v>
      </c>
      <c r="E313">
        <v>798992</v>
      </c>
      <c r="F313" t="s">
        <v>59</v>
      </c>
      <c r="G313" t="s">
        <v>27</v>
      </c>
      <c r="H313" t="s">
        <v>28</v>
      </c>
      <c r="I313" t="s">
        <v>676</v>
      </c>
      <c r="J313" t="s">
        <v>677</v>
      </c>
      <c r="K313" s="17">
        <v>984523223</v>
      </c>
      <c r="L313" t="s">
        <v>699</v>
      </c>
      <c r="M313" s="18" t="s">
        <v>705</v>
      </c>
      <c r="N313" s="18">
        <f>DATEDIF(L313,M313,"M")</f>
        <v>11</v>
      </c>
      <c r="O313" s="19">
        <v>30</v>
      </c>
      <c r="P313" s="20">
        <v>0.32</v>
      </c>
      <c r="Q313" s="14">
        <v>9.6</v>
      </c>
      <c r="R313" t="s">
        <v>983</v>
      </c>
      <c r="S313" t="s">
        <v>995</v>
      </c>
      <c r="T313" s="18" t="s">
        <v>1016</v>
      </c>
      <c r="U313" s="40" t="s">
        <v>1028</v>
      </c>
      <c r="V313" s="40" t="s">
        <v>1029</v>
      </c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</row>
    <row r="314" spans="1:52" s="28" customFormat="1" x14ac:dyDescent="0.25">
      <c r="A314" t="s">
        <v>62</v>
      </c>
      <c r="B314" t="s">
        <v>63</v>
      </c>
      <c r="C314" s="28" t="str">
        <f>CONCATENATE(A314," ",B314)</f>
        <v>Brigitte Wilkinson</v>
      </c>
      <c r="D314" t="s">
        <v>673</v>
      </c>
      <c r="E314">
        <v>798992</v>
      </c>
      <c r="F314" t="s">
        <v>59</v>
      </c>
      <c r="G314" t="s">
        <v>52</v>
      </c>
      <c r="H314" t="s">
        <v>28</v>
      </c>
      <c r="I314" t="s">
        <v>686</v>
      </c>
      <c r="J314" t="s">
        <v>687</v>
      </c>
      <c r="K314" s="17">
        <v>245549848</v>
      </c>
      <c r="L314" t="s">
        <v>699</v>
      </c>
      <c r="M314" s="18" t="s">
        <v>705</v>
      </c>
      <c r="N314" s="18">
        <f>DATEDIF(L314,M314,"M")</f>
        <v>11</v>
      </c>
      <c r="O314" s="19">
        <v>11</v>
      </c>
      <c r="P314" s="20">
        <v>0.37</v>
      </c>
      <c r="Q314" s="14">
        <v>4.07</v>
      </c>
      <c r="R314" t="s">
        <v>984</v>
      </c>
      <c r="S314" t="s">
        <v>995</v>
      </c>
      <c r="T314" s="18" t="s">
        <v>1016</v>
      </c>
      <c r="U314" s="40" t="s">
        <v>1028</v>
      </c>
      <c r="V314" s="40" t="s">
        <v>1029</v>
      </c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</row>
    <row r="315" spans="1:52" s="28" customFormat="1" x14ac:dyDescent="0.25">
      <c r="A315" t="s">
        <v>617</v>
      </c>
      <c r="B315" t="s">
        <v>618</v>
      </c>
      <c r="C315" s="28" t="str">
        <f>CONCATENATE(A315," ",B315)</f>
        <v>Satya Southall</v>
      </c>
      <c r="D315" t="s">
        <v>673</v>
      </c>
      <c r="E315">
        <v>798992</v>
      </c>
      <c r="F315" t="s">
        <v>59</v>
      </c>
      <c r="G315" t="s">
        <v>27</v>
      </c>
      <c r="H315" t="s">
        <v>28</v>
      </c>
      <c r="I315" t="s">
        <v>676</v>
      </c>
      <c r="J315" t="s">
        <v>677</v>
      </c>
      <c r="K315" s="17">
        <v>896294214</v>
      </c>
      <c r="L315" t="s">
        <v>740</v>
      </c>
      <c r="M315" s="18" t="s">
        <v>264</v>
      </c>
      <c r="N315" s="18">
        <f>DATEDIF(L315,M315,"M")</f>
        <v>11</v>
      </c>
      <c r="O315" s="19">
        <v>25</v>
      </c>
      <c r="P315" s="20">
        <v>0.32</v>
      </c>
      <c r="Q315" s="14">
        <v>8</v>
      </c>
      <c r="R315" t="s">
        <v>983</v>
      </c>
      <c r="S315" t="s">
        <v>995</v>
      </c>
      <c r="T315" s="18" t="s">
        <v>1016</v>
      </c>
      <c r="U315" s="40" t="s">
        <v>1028</v>
      </c>
      <c r="V315" s="40" t="s">
        <v>1029</v>
      </c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</row>
    <row r="316" spans="1:52" s="28" customFormat="1" x14ac:dyDescent="0.25">
      <c r="A316" t="s">
        <v>552</v>
      </c>
      <c r="B316" t="s">
        <v>553</v>
      </c>
      <c r="C316" s="28" t="str">
        <f>CONCATENATE(A316," ",B316)</f>
        <v>Zhenhua Jiang</v>
      </c>
      <c r="D316" t="s">
        <v>673</v>
      </c>
      <c r="E316">
        <v>798992</v>
      </c>
      <c r="F316" t="s">
        <v>59</v>
      </c>
      <c r="G316" t="s">
        <v>27</v>
      </c>
      <c r="H316" t="s">
        <v>28</v>
      </c>
      <c r="I316" t="s">
        <v>676</v>
      </c>
      <c r="J316" t="s">
        <v>677</v>
      </c>
      <c r="K316" s="17">
        <v>389218592</v>
      </c>
      <c r="L316" t="s">
        <v>679</v>
      </c>
      <c r="M316" s="18" t="s">
        <v>670</v>
      </c>
      <c r="N316" s="18">
        <f>DATEDIF(L316,M316,"M")</f>
        <v>11</v>
      </c>
      <c r="O316" s="19">
        <v>25</v>
      </c>
      <c r="P316" s="20">
        <v>0.32</v>
      </c>
      <c r="Q316" s="14">
        <v>8</v>
      </c>
      <c r="R316" t="s">
        <v>983</v>
      </c>
      <c r="S316" t="s">
        <v>995</v>
      </c>
      <c r="T316" s="18" t="s">
        <v>1016</v>
      </c>
      <c r="U316" s="40" t="s">
        <v>1028</v>
      </c>
      <c r="V316" s="40" t="s">
        <v>1029</v>
      </c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</row>
    <row r="317" spans="1:52" s="28" customFormat="1" x14ac:dyDescent="0.25">
      <c r="A317" t="s">
        <v>473</v>
      </c>
      <c r="B317" t="s">
        <v>474</v>
      </c>
      <c r="C317" s="28" t="str">
        <f>CONCATENATE(A317," ",B317)</f>
        <v>Lori Bottenfield</v>
      </c>
      <c r="D317" t="s">
        <v>710</v>
      </c>
      <c r="E317">
        <v>749876</v>
      </c>
      <c r="F317" t="s">
        <v>475</v>
      </c>
      <c r="G317" t="s">
        <v>27</v>
      </c>
      <c r="H317" t="s">
        <v>28</v>
      </c>
      <c r="I317" t="s">
        <v>676</v>
      </c>
      <c r="J317" t="s">
        <v>677</v>
      </c>
      <c r="K317" s="17">
        <v>176713886</v>
      </c>
      <c r="L317" t="s">
        <v>740</v>
      </c>
      <c r="M317" s="18" t="s">
        <v>264</v>
      </c>
      <c r="N317" s="18">
        <f>DATEDIF(L317,M317,"M")</f>
        <v>11</v>
      </c>
      <c r="O317" s="19">
        <v>25</v>
      </c>
      <c r="P317" s="20">
        <v>0.32</v>
      </c>
      <c r="Q317" s="14">
        <v>8</v>
      </c>
      <c r="R317" t="s">
        <v>983</v>
      </c>
      <c r="S317" t="s">
        <v>999</v>
      </c>
      <c r="T317" s="18" t="s">
        <v>1018</v>
      </c>
      <c r="U317" s="40" t="s">
        <v>1028</v>
      </c>
      <c r="V317" s="40" t="s">
        <v>1029</v>
      </c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</row>
    <row r="318" spans="1:52" s="28" customFormat="1" x14ac:dyDescent="0.25">
      <c r="A318" t="s">
        <v>381</v>
      </c>
      <c r="B318" t="s">
        <v>382</v>
      </c>
      <c r="C318" s="28" t="str">
        <f>CONCATENATE(A318," ",B318)</f>
        <v>John Fritz</v>
      </c>
      <c r="D318" t="s">
        <v>695</v>
      </c>
      <c r="E318">
        <v>689390</v>
      </c>
      <c r="F318" t="s">
        <v>77</v>
      </c>
      <c r="G318" t="s">
        <v>79</v>
      </c>
      <c r="H318" t="s">
        <v>28</v>
      </c>
      <c r="I318" t="s">
        <v>676</v>
      </c>
      <c r="J318" t="s">
        <v>677</v>
      </c>
      <c r="K318" s="17">
        <v>303162685</v>
      </c>
      <c r="L318" t="s">
        <v>699</v>
      </c>
      <c r="M318" s="18" t="s">
        <v>264</v>
      </c>
      <c r="N318" s="18">
        <f>DATEDIF(L318,M318,"M")</f>
        <v>12</v>
      </c>
      <c r="O318" s="19">
        <v>71</v>
      </c>
      <c r="P318" s="20">
        <v>0.24</v>
      </c>
      <c r="Q318" s="14">
        <v>17.04</v>
      </c>
      <c r="R318" t="s">
        <v>985</v>
      </c>
      <c r="S318" t="s">
        <v>992</v>
      </c>
      <c r="T318" s="18">
        <v>17425766</v>
      </c>
      <c r="U318" s="40" t="s">
        <v>1028</v>
      </c>
      <c r="V318" s="40" t="s">
        <v>1029</v>
      </c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</row>
    <row r="319" spans="1:52" s="28" customFormat="1" x14ac:dyDescent="0.25">
      <c r="A319" t="s">
        <v>506</v>
      </c>
      <c r="B319" t="s">
        <v>507</v>
      </c>
      <c r="C319" s="28" t="str">
        <f>CONCATENATE(A319," ",B319)</f>
        <v>Julie Bryant</v>
      </c>
      <c r="D319" t="s">
        <v>673</v>
      </c>
      <c r="E319">
        <v>706472</v>
      </c>
      <c r="F319" t="s">
        <v>199</v>
      </c>
      <c r="G319" t="s">
        <v>27</v>
      </c>
      <c r="H319" t="s">
        <v>85</v>
      </c>
      <c r="I319" t="s">
        <v>676</v>
      </c>
      <c r="J319" t="s">
        <v>677</v>
      </c>
      <c r="K319" s="17">
        <v>954518880</v>
      </c>
      <c r="L319" t="s">
        <v>699</v>
      </c>
      <c r="M319" s="18" t="s">
        <v>264</v>
      </c>
      <c r="N319" s="18">
        <f>DATEDIF(L319,M319,"M")</f>
        <v>12</v>
      </c>
      <c r="O319" s="19">
        <v>50</v>
      </c>
      <c r="P319" s="20">
        <v>0.32</v>
      </c>
      <c r="Q319" s="14">
        <v>16</v>
      </c>
      <c r="R319" t="s">
        <v>983</v>
      </c>
      <c r="S319" t="s">
        <v>997</v>
      </c>
      <c r="T319" s="18">
        <v>17195620</v>
      </c>
      <c r="U319" s="40" t="s">
        <v>1028</v>
      </c>
      <c r="V319" s="40" t="s">
        <v>1029</v>
      </c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</row>
    <row r="320" spans="1:52" s="28" customFormat="1" x14ac:dyDescent="0.25">
      <c r="A320" t="s">
        <v>197</v>
      </c>
      <c r="B320" t="s">
        <v>198</v>
      </c>
      <c r="C320" s="28" t="str">
        <f>CONCATENATE(A320," ",B320)</f>
        <v>Michael Suskin</v>
      </c>
      <c r="D320" t="s">
        <v>673</v>
      </c>
      <c r="E320">
        <v>706472</v>
      </c>
      <c r="F320" t="s">
        <v>199</v>
      </c>
      <c r="G320" t="s">
        <v>27</v>
      </c>
      <c r="H320" t="s">
        <v>28</v>
      </c>
      <c r="I320" t="s">
        <v>676</v>
      </c>
      <c r="J320" t="s">
        <v>677</v>
      </c>
      <c r="K320" s="17">
        <v>58861441</v>
      </c>
      <c r="L320" t="s">
        <v>699</v>
      </c>
      <c r="M320" s="18" t="s">
        <v>264</v>
      </c>
      <c r="N320" s="18">
        <f>DATEDIF(L320,M320,"M")</f>
        <v>12</v>
      </c>
      <c r="O320" s="19">
        <v>25</v>
      </c>
      <c r="P320" s="20">
        <v>0.32</v>
      </c>
      <c r="Q320" s="14">
        <v>8</v>
      </c>
      <c r="R320" t="s">
        <v>983</v>
      </c>
      <c r="S320" t="s">
        <v>997</v>
      </c>
      <c r="T320" s="18">
        <v>17195620</v>
      </c>
      <c r="U320" s="40" t="s">
        <v>1028</v>
      </c>
      <c r="V320" s="40" t="s">
        <v>1029</v>
      </c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</row>
    <row r="321" spans="1:52" s="28" customFormat="1" x14ac:dyDescent="0.25">
      <c r="A321" t="s">
        <v>557</v>
      </c>
      <c r="B321" t="s">
        <v>558</v>
      </c>
      <c r="C321" s="28" t="str">
        <f>CONCATENATE(A321," ",B321)</f>
        <v>Jose Manansala</v>
      </c>
      <c r="D321" t="s">
        <v>673</v>
      </c>
      <c r="E321">
        <v>706472</v>
      </c>
      <c r="F321" t="s">
        <v>199</v>
      </c>
      <c r="G321" t="s">
        <v>52</v>
      </c>
      <c r="H321" t="s">
        <v>111</v>
      </c>
      <c r="I321" t="s">
        <v>686</v>
      </c>
      <c r="J321" t="s">
        <v>687</v>
      </c>
      <c r="K321" s="17">
        <v>245268586</v>
      </c>
      <c r="L321" t="s">
        <v>743</v>
      </c>
      <c r="M321" s="18" t="s">
        <v>705</v>
      </c>
      <c r="N321" s="18">
        <f>DATEDIF(L321,M321,"M")</f>
        <v>12</v>
      </c>
      <c r="O321" s="19">
        <v>15</v>
      </c>
      <c r="P321" s="20">
        <v>0.37</v>
      </c>
      <c r="Q321" s="14">
        <v>5.55</v>
      </c>
      <c r="R321" t="s">
        <v>984</v>
      </c>
      <c r="S321" t="s">
        <v>997</v>
      </c>
      <c r="T321" s="18">
        <v>17195620</v>
      </c>
      <c r="U321" s="40" t="s">
        <v>1028</v>
      </c>
      <c r="V321" s="40" t="s">
        <v>1029</v>
      </c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</row>
    <row r="322" spans="1:52" s="28" customFormat="1" x14ac:dyDescent="0.25">
      <c r="A322" t="s">
        <v>557</v>
      </c>
      <c r="B322" t="s">
        <v>558</v>
      </c>
      <c r="C322" s="28" t="str">
        <f>CONCATENATE(A322," ",B322)</f>
        <v>Jose Manansala</v>
      </c>
      <c r="D322" t="s">
        <v>673</v>
      </c>
      <c r="E322">
        <v>706472</v>
      </c>
      <c r="F322" t="s">
        <v>199</v>
      </c>
      <c r="G322" t="s">
        <v>27</v>
      </c>
      <c r="H322" t="s">
        <v>85</v>
      </c>
      <c r="I322" t="s">
        <v>676</v>
      </c>
      <c r="J322" t="s">
        <v>677</v>
      </c>
      <c r="K322" s="17">
        <v>762673318</v>
      </c>
      <c r="L322" t="s">
        <v>743</v>
      </c>
      <c r="M322" s="18" t="s">
        <v>705</v>
      </c>
      <c r="N322" s="18">
        <f>DATEDIF(L322,M322,"M")</f>
        <v>12</v>
      </c>
      <c r="O322" s="19">
        <v>50</v>
      </c>
      <c r="P322" s="20">
        <v>0.32</v>
      </c>
      <c r="Q322" s="14">
        <v>16</v>
      </c>
      <c r="R322" t="s">
        <v>983</v>
      </c>
      <c r="S322" t="s">
        <v>997</v>
      </c>
      <c r="T322" s="18">
        <v>17195620</v>
      </c>
      <c r="U322" s="40" t="s">
        <v>1028</v>
      </c>
      <c r="V322" s="40" t="s">
        <v>1029</v>
      </c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</row>
    <row r="323" spans="1:52" s="28" customFormat="1" x14ac:dyDescent="0.25">
      <c r="A323" t="s">
        <v>34</v>
      </c>
      <c r="B323" t="s">
        <v>35</v>
      </c>
      <c r="C323" s="28" t="str">
        <f>CONCATENATE(A323," ",B323)</f>
        <v>Steven Cohen</v>
      </c>
      <c r="D323" t="s">
        <v>691</v>
      </c>
      <c r="E323">
        <v>757929</v>
      </c>
      <c r="F323" t="s">
        <v>36</v>
      </c>
      <c r="G323" t="s">
        <v>38</v>
      </c>
      <c r="H323" t="s">
        <v>39</v>
      </c>
      <c r="I323" t="s">
        <v>676</v>
      </c>
      <c r="J323" t="s">
        <v>677</v>
      </c>
      <c r="K323" s="17">
        <v>348104279</v>
      </c>
      <c r="L323" t="s">
        <v>699</v>
      </c>
      <c r="M323" s="18" t="s">
        <v>264</v>
      </c>
      <c r="N323" s="18">
        <f>DATEDIF(L323,M323,"M")</f>
        <v>12</v>
      </c>
      <c r="O323" s="19">
        <v>185</v>
      </c>
      <c r="P323" s="20">
        <v>0.24</v>
      </c>
      <c r="Q323" s="14">
        <v>44.4</v>
      </c>
      <c r="R323" t="s">
        <v>985</v>
      </c>
      <c r="S323" t="s">
        <v>1003</v>
      </c>
      <c r="T323" s="18">
        <v>9213293</v>
      </c>
      <c r="U323" s="40" t="s">
        <v>1028</v>
      </c>
      <c r="V323" s="40" t="s">
        <v>1029</v>
      </c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</row>
    <row r="324" spans="1:52" s="28" customFormat="1" x14ac:dyDescent="0.25">
      <c r="A324" t="s">
        <v>334</v>
      </c>
      <c r="B324" t="s">
        <v>335</v>
      </c>
      <c r="C324" s="28" t="str">
        <f>CONCATENATE(A324," ",B324)</f>
        <v>Eugene Hanes Jr.</v>
      </c>
      <c r="D324" t="s">
        <v>673</v>
      </c>
      <c r="E324">
        <v>798992</v>
      </c>
      <c r="F324" t="s">
        <v>59</v>
      </c>
      <c r="G324" t="s">
        <v>79</v>
      </c>
      <c r="H324" t="s">
        <v>28</v>
      </c>
      <c r="I324" t="s">
        <v>676</v>
      </c>
      <c r="J324" t="s">
        <v>677</v>
      </c>
      <c r="K324" s="17">
        <v>975782157</v>
      </c>
      <c r="L324" t="s">
        <v>699</v>
      </c>
      <c r="M324" s="18" t="s">
        <v>264</v>
      </c>
      <c r="N324" s="18">
        <f>DATEDIF(L324,M324,"M")</f>
        <v>12</v>
      </c>
      <c r="O324" s="19">
        <v>66</v>
      </c>
      <c r="P324" s="20">
        <v>0.24</v>
      </c>
      <c r="Q324" s="14">
        <v>15.84</v>
      </c>
      <c r="R324" t="s">
        <v>985</v>
      </c>
      <c r="S324" t="s">
        <v>995</v>
      </c>
      <c r="T324" s="18" t="s">
        <v>1016</v>
      </c>
      <c r="U324" s="40" t="s">
        <v>1028</v>
      </c>
      <c r="V324" s="40" t="s">
        <v>1029</v>
      </c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</row>
    <row r="325" spans="1:52" s="28" customFormat="1" x14ac:dyDescent="0.25">
      <c r="A325" t="s">
        <v>349</v>
      </c>
      <c r="B325" t="s">
        <v>350</v>
      </c>
      <c r="C325" s="28" t="str">
        <f>CONCATENATE(A325," ",B325)</f>
        <v>Zuleika Rosa Salgado</v>
      </c>
      <c r="D325" t="s">
        <v>673</v>
      </c>
      <c r="E325">
        <v>798992</v>
      </c>
      <c r="F325" t="s">
        <v>59</v>
      </c>
      <c r="G325" t="s">
        <v>27</v>
      </c>
      <c r="H325" t="s">
        <v>145</v>
      </c>
      <c r="I325" t="s">
        <v>676</v>
      </c>
      <c r="J325" t="s">
        <v>677</v>
      </c>
      <c r="K325" s="17">
        <v>701882993</v>
      </c>
      <c r="L325" t="s">
        <v>699</v>
      </c>
      <c r="M325" s="18" t="s">
        <v>264</v>
      </c>
      <c r="N325" s="18">
        <f>DATEDIF(L325,M325,"M")</f>
        <v>12</v>
      </c>
      <c r="O325" s="19">
        <v>58</v>
      </c>
      <c r="P325" s="20">
        <v>0.32</v>
      </c>
      <c r="Q325" s="14">
        <v>18.559999999999999</v>
      </c>
      <c r="R325" t="s">
        <v>983</v>
      </c>
      <c r="S325" t="s">
        <v>995</v>
      </c>
      <c r="T325" s="18" t="s">
        <v>1016</v>
      </c>
      <c r="U325" s="40" t="s">
        <v>1028</v>
      </c>
      <c r="V325" s="40" t="s">
        <v>1029</v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</row>
    <row r="326" spans="1:52" s="28" customFormat="1" x14ac:dyDescent="0.25">
      <c r="A326" t="s">
        <v>599</v>
      </c>
      <c r="B326" t="s">
        <v>600</v>
      </c>
      <c r="C326" s="28" t="str">
        <f>CONCATENATE(A326," ",B326)</f>
        <v>Jean Francois Agbodjogbe</v>
      </c>
      <c r="D326" t="s">
        <v>673</v>
      </c>
      <c r="E326">
        <v>798992</v>
      </c>
      <c r="F326" t="s">
        <v>59</v>
      </c>
      <c r="G326" t="s">
        <v>27</v>
      </c>
      <c r="H326" t="s">
        <v>28</v>
      </c>
      <c r="I326" t="s">
        <v>676</v>
      </c>
      <c r="J326" t="s">
        <v>677</v>
      </c>
      <c r="K326" s="17">
        <v>230444946</v>
      </c>
      <c r="L326" t="s">
        <v>699</v>
      </c>
      <c r="M326" s="18" t="s">
        <v>264</v>
      </c>
      <c r="N326" s="18">
        <f>DATEDIF(L326,M326,"M")</f>
        <v>12</v>
      </c>
      <c r="O326" s="19">
        <v>25</v>
      </c>
      <c r="P326" s="20">
        <v>0.32</v>
      </c>
      <c r="Q326" s="14">
        <v>8</v>
      </c>
      <c r="R326" t="s">
        <v>983</v>
      </c>
      <c r="S326" t="s">
        <v>995</v>
      </c>
      <c r="T326" s="18" t="s">
        <v>1016</v>
      </c>
      <c r="U326" s="40" t="s">
        <v>1028</v>
      </c>
      <c r="V326" s="40" t="s">
        <v>1029</v>
      </c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</row>
    <row r="327" spans="1:52" s="28" customFormat="1" x14ac:dyDescent="0.25">
      <c r="A327" t="s">
        <v>62</v>
      </c>
      <c r="B327" t="s">
        <v>63</v>
      </c>
      <c r="C327" s="28" t="str">
        <f>CONCATENATE(A327," ",B327)</f>
        <v>Brigitte Wilkinson</v>
      </c>
      <c r="D327" t="s">
        <v>673</v>
      </c>
      <c r="E327">
        <v>798992</v>
      </c>
      <c r="F327" t="s">
        <v>59</v>
      </c>
      <c r="G327" t="s">
        <v>52</v>
      </c>
      <c r="H327" t="s">
        <v>28</v>
      </c>
      <c r="I327" t="s">
        <v>686</v>
      </c>
      <c r="J327" t="s">
        <v>687</v>
      </c>
      <c r="K327" s="17">
        <v>245549848</v>
      </c>
      <c r="L327" t="s">
        <v>699</v>
      </c>
      <c r="M327" s="18" t="s">
        <v>264</v>
      </c>
      <c r="N327" s="18">
        <f>DATEDIF(L327,M327,"M")</f>
        <v>12</v>
      </c>
      <c r="O327" s="19">
        <v>11</v>
      </c>
      <c r="P327" s="20">
        <v>0.37</v>
      </c>
      <c r="Q327" s="14">
        <v>4.07</v>
      </c>
      <c r="R327" t="s">
        <v>984</v>
      </c>
      <c r="S327" t="s">
        <v>995</v>
      </c>
      <c r="T327" s="18" t="s">
        <v>1016</v>
      </c>
      <c r="U327" s="40" t="s">
        <v>1028</v>
      </c>
      <c r="V327" s="40" t="s">
        <v>1029</v>
      </c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2" s="28" customFormat="1" x14ac:dyDescent="0.25">
      <c r="A328" t="s">
        <v>62</v>
      </c>
      <c r="B328" t="s">
        <v>63</v>
      </c>
      <c r="C328" s="28" t="str">
        <f>CONCATENATE(A328," ",B328)</f>
        <v>Brigitte Wilkinson</v>
      </c>
      <c r="D328" t="s">
        <v>673</v>
      </c>
      <c r="E328">
        <v>798992</v>
      </c>
      <c r="F328" t="s">
        <v>59</v>
      </c>
      <c r="G328" t="s">
        <v>27</v>
      </c>
      <c r="H328" t="s">
        <v>28</v>
      </c>
      <c r="I328" t="s">
        <v>676</v>
      </c>
      <c r="J328" t="s">
        <v>677</v>
      </c>
      <c r="K328" s="17">
        <v>984523223</v>
      </c>
      <c r="L328" t="s">
        <v>699</v>
      </c>
      <c r="M328" s="18" t="s">
        <v>264</v>
      </c>
      <c r="N328" s="18">
        <f>DATEDIF(L328,M328,"M")</f>
        <v>12</v>
      </c>
      <c r="O328" s="19">
        <v>30</v>
      </c>
      <c r="P328" s="20">
        <v>0.32</v>
      </c>
      <c r="Q328" s="14">
        <v>9.6</v>
      </c>
      <c r="R328" t="s">
        <v>983</v>
      </c>
      <c r="S328" t="s">
        <v>995</v>
      </c>
      <c r="T328" s="18" t="s">
        <v>1016</v>
      </c>
      <c r="U328" s="40" t="s">
        <v>1028</v>
      </c>
      <c r="V328" s="40" t="s">
        <v>1029</v>
      </c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</row>
    <row r="329" spans="1:52" s="28" customFormat="1" x14ac:dyDescent="0.25">
      <c r="A329" t="s">
        <v>617</v>
      </c>
      <c r="B329" t="s">
        <v>618</v>
      </c>
      <c r="C329" s="28" t="str">
        <f>CONCATENATE(A329," ",B329)</f>
        <v>Satya Southall</v>
      </c>
      <c r="D329" t="s">
        <v>673</v>
      </c>
      <c r="E329">
        <v>798992</v>
      </c>
      <c r="F329" t="s">
        <v>59</v>
      </c>
      <c r="G329" t="s">
        <v>27</v>
      </c>
      <c r="H329" t="s">
        <v>28</v>
      </c>
      <c r="I329" t="s">
        <v>676</v>
      </c>
      <c r="J329" t="s">
        <v>677</v>
      </c>
      <c r="K329" s="17">
        <v>896294214</v>
      </c>
      <c r="L329" t="s">
        <v>740</v>
      </c>
      <c r="M329" s="18" t="s">
        <v>670</v>
      </c>
      <c r="N329" s="18">
        <f>DATEDIF(L329,M329,"M")</f>
        <v>12</v>
      </c>
      <c r="O329" s="19">
        <v>25</v>
      </c>
      <c r="P329" s="20">
        <v>0.32</v>
      </c>
      <c r="Q329" s="14">
        <v>8</v>
      </c>
      <c r="R329" t="s">
        <v>983</v>
      </c>
      <c r="S329" t="s">
        <v>995</v>
      </c>
      <c r="T329" s="18" t="s">
        <v>1016</v>
      </c>
      <c r="U329" s="40" t="s">
        <v>1028</v>
      </c>
      <c r="V329" s="40" t="s">
        <v>1029</v>
      </c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</row>
    <row r="330" spans="1:52" s="28" customFormat="1" x14ac:dyDescent="0.25">
      <c r="A330" t="s">
        <v>473</v>
      </c>
      <c r="B330" t="s">
        <v>474</v>
      </c>
      <c r="C330" s="28" t="str">
        <f>CONCATENATE(A330," ",B330)</f>
        <v>Lori Bottenfield</v>
      </c>
      <c r="D330" t="s">
        <v>710</v>
      </c>
      <c r="E330">
        <v>749876</v>
      </c>
      <c r="F330" t="s">
        <v>475</v>
      </c>
      <c r="G330" t="s">
        <v>27</v>
      </c>
      <c r="H330" t="s">
        <v>28</v>
      </c>
      <c r="I330" t="s">
        <v>676</v>
      </c>
      <c r="J330" t="s">
        <v>677</v>
      </c>
      <c r="K330" s="17">
        <v>176713886</v>
      </c>
      <c r="L330" t="s">
        <v>740</v>
      </c>
      <c r="M330" s="18" t="s">
        <v>670</v>
      </c>
      <c r="N330" s="18">
        <f>DATEDIF(L330,M330,"M")</f>
        <v>12</v>
      </c>
      <c r="O330" s="19">
        <v>25</v>
      </c>
      <c r="P330" s="20">
        <v>0.32</v>
      </c>
      <c r="Q330" s="14">
        <v>8</v>
      </c>
      <c r="R330" t="s">
        <v>983</v>
      </c>
      <c r="S330" t="s">
        <v>999</v>
      </c>
      <c r="T330" s="18" t="s">
        <v>1018</v>
      </c>
      <c r="U330" s="40" t="s">
        <v>1028</v>
      </c>
      <c r="V330" s="40" t="s">
        <v>1029</v>
      </c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</row>
    <row r="331" spans="1:52" s="28" customFormat="1" x14ac:dyDescent="0.25">
      <c r="A331" t="s">
        <v>381</v>
      </c>
      <c r="B331" t="s">
        <v>382</v>
      </c>
      <c r="C331" s="28" t="str">
        <f>CONCATENATE(A331," ",B331)</f>
        <v>John Fritz</v>
      </c>
      <c r="D331" t="s">
        <v>695</v>
      </c>
      <c r="E331">
        <v>689390</v>
      </c>
      <c r="F331" t="s">
        <v>77</v>
      </c>
      <c r="G331" t="s">
        <v>79</v>
      </c>
      <c r="H331" t="s">
        <v>28</v>
      </c>
      <c r="I331" t="s">
        <v>676</v>
      </c>
      <c r="J331" t="s">
        <v>677</v>
      </c>
      <c r="K331" s="17">
        <v>303162685</v>
      </c>
      <c r="L331" t="s">
        <v>699</v>
      </c>
      <c r="M331" s="18" t="s">
        <v>670</v>
      </c>
      <c r="N331" s="18">
        <f>DATEDIF(L331,M331,"M")</f>
        <v>13</v>
      </c>
      <c r="O331" s="19">
        <v>71</v>
      </c>
      <c r="P331" s="20">
        <v>0.24</v>
      </c>
      <c r="Q331" s="14">
        <v>17.04</v>
      </c>
      <c r="R331" t="s">
        <v>985</v>
      </c>
      <c r="S331" t="s">
        <v>992</v>
      </c>
      <c r="T331" s="18">
        <v>17425766</v>
      </c>
      <c r="U331" s="40" t="s">
        <v>1028</v>
      </c>
      <c r="V331" s="40" t="s">
        <v>1029</v>
      </c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</row>
    <row r="332" spans="1:52" s="28" customFormat="1" x14ac:dyDescent="0.25">
      <c r="A332" t="s">
        <v>412</v>
      </c>
      <c r="B332" t="s">
        <v>413</v>
      </c>
      <c r="C332" s="28" t="str">
        <f>CONCATENATE(A332," ",B332)</f>
        <v>Minnie Madden</v>
      </c>
      <c r="D332" t="s">
        <v>673</v>
      </c>
      <c r="E332">
        <v>707256</v>
      </c>
      <c r="F332" t="s">
        <v>137</v>
      </c>
      <c r="G332" t="s">
        <v>27</v>
      </c>
      <c r="H332" t="s">
        <v>28</v>
      </c>
      <c r="I332" t="s">
        <v>676</v>
      </c>
      <c r="J332" t="s">
        <v>677</v>
      </c>
      <c r="K332" s="17">
        <v>224153635</v>
      </c>
      <c r="L332" t="s">
        <v>737</v>
      </c>
      <c r="M332" s="18" t="s">
        <v>705</v>
      </c>
      <c r="N332" s="18">
        <f>DATEDIF(L332,M332,"M")</f>
        <v>13</v>
      </c>
      <c r="O332" s="19">
        <v>25</v>
      </c>
      <c r="P332" s="20">
        <v>0.32</v>
      </c>
      <c r="Q332" s="14">
        <v>8</v>
      </c>
      <c r="R332" t="s">
        <v>983</v>
      </c>
      <c r="S332" t="s">
        <v>998</v>
      </c>
      <c r="T332" s="18">
        <v>7387433</v>
      </c>
      <c r="U332" s="40" t="s">
        <v>1028</v>
      </c>
      <c r="V332" s="40" t="s">
        <v>1029</v>
      </c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</row>
    <row r="333" spans="1:52" s="28" customFormat="1" x14ac:dyDescent="0.25">
      <c r="A333" t="s">
        <v>506</v>
      </c>
      <c r="B333" t="s">
        <v>507</v>
      </c>
      <c r="C333" s="28" t="str">
        <f>CONCATENATE(A333," ",B333)</f>
        <v>Julie Bryant</v>
      </c>
      <c r="D333" t="s">
        <v>673</v>
      </c>
      <c r="E333">
        <v>706472</v>
      </c>
      <c r="F333" t="s">
        <v>199</v>
      </c>
      <c r="G333" t="s">
        <v>27</v>
      </c>
      <c r="H333" t="s">
        <v>85</v>
      </c>
      <c r="I333" t="s">
        <v>676</v>
      </c>
      <c r="J333" t="s">
        <v>677</v>
      </c>
      <c r="K333" s="17">
        <v>954518880</v>
      </c>
      <c r="L333" t="s">
        <v>699</v>
      </c>
      <c r="M333" s="18" t="s">
        <v>670</v>
      </c>
      <c r="N333" s="18">
        <f>DATEDIF(L333,M333,"M")</f>
        <v>13</v>
      </c>
      <c r="O333" s="19">
        <v>50</v>
      </c>
      <c r="P333" s="20">
        <v>0.32</v>
      </c>
      <c r="Q333" s="14">
        <v>16</v>
      </c>
      <c r="R333" t="s">
        <v>983</v>
      </c>
      <c r="S333" t="s">
        <v>997</v>
      </c>
      <c r="T333" s="18">
        <v>17195620</v>
      </c>
      <c r="U333" s="40" t="s">
        <v>1028</v>
      </c>
      <c r="V333" s="40" t="s">
        <v>1029</v>
      </c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</row>
    <row r="334" spans="1:52" s="28" customFormat="1" x14ac:dyDescent="0.25">
      <c r="A334" t="s">
        <v>197</v>
      </c>
      <c r="B334" t="s">
        <v>198</v>
      </c>
      <c r="C334" s="28" t="str">
        <f>CONCATENATE(A334," ",B334)</f>
        <v>Michael Suskin</v>
      </c>
      <c r="D334" t="s">
        <v>673</v>
      </c>
      <c r="E334">
        <v>706472</v>
      </c>
      <c r="F334" t="s">
        <v>199</v>
      </c>
      <c r="G334" t="s">
        <v>27</v>
      </c>
      <c r="H334" t="s">
        <v>28</v>
      </c>
      <c r="I334" t="s">
        <v>676</v>
      </c>
      <c r="J334" t="s">
        <v>677</v>
      </c>
      <c r="K334" s="17">
        <v>58861441</v>
      </c>
      <c r="L334" t="s">
        <v>699</v>
      </c>
      <c r="M334" s="18" t="s">
        <v>670</v>
      </c>
      <c r="N334" s="18">
        <f>DATEDIF(L334,M334,"M")</f>
        <v>13</v>
      </c>
      <c r="O334" s="19">
        <v>25</v>
      </c>
      <c r="P334" s="20">
        <v>0.32</v>
      </c>
      <c r="Q334" s="14">
        <v>8</v>
      </c>
      <c r="R334" t="s">
        <v>983</v>
      </c>
      <c r="S334" t="s">
        <v>997</v>
      </c>
      <c r="T334" s="18">
        <v>17195620</v>
      </c>
      <c r="U334" s="40" t="s">
        <v>1028</v>
      </c>
      <c r="V334" s="40" t="s">
        <v>1029</v>
      </c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</row>
    <row r="335" spans="1:52" s="28" customFormat="1" x14ac:dyDescent="0.25">
      <c r="A335" t="s">
        <v>557</v>
      </c>
      <c r="B335" t="s">
        <v>558</v>
      </c>
      <c r="C335" s="28" t="str">
        <f>CONCATENATE(A335," ",B335)</f>
        <v>Jose Manansala</v>
      </c>
      <c r="D335" t="s">
        <v>673</v>
      </c>
      <c r="E335">
        <v>706472</v>
      </c>
      <c r="F335" t="s">
        <v>199</v>
      </c>
      <c r="G335" t="s">
        <v>27</v>
      </c>
      <c r="H335" t="s">
        <v>85</v>
      </c>
      <c r="I335" t="s">
        <v>676</v>
      </c>
      <c r="J335" t="s">
        <v>677</v>
      </c>
      <c r="K335" s="17">
        <v>762673318</v>
      </c>
      <c r="L335" t="s">
        <v>743</v>
      </c>
      <c r="M335" s="18" t="s">
        <v>264</v>
      </c>
      <c r="N335" s="18">
        <f>DATEDIF(L335,M335,"M")</f>
        <v>13</v>
      </c>
      <c r="O335" s="19">
        <v>50</v>
      </c>
      <c r="P335" s="20">
        <v>0.32</v>
      </c>
      <c r="Q335" s="14">
        <v>16</v>
      </c>
      <c r="R335" t="s">
        <v>983</v>
      </c>
      <c r="S335" t="s">
        <v>997</v>
      </c>
      <c r="T335" s="18">
        <v>17195620</v>
      </c>
      <c r="U335" s="40" t="s">
        <v>1028</v>
      </c>
      <c r="V335" s="40" t="s">
        <v>1029</v>
      </c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</row>
    <row r="336" spans="1:52" s="28" customFormat="1" x14ac:dyDescent="0.25">
      <c r="A336" t="s">
        <v>557</v>
      </c>
      <c r="B336" t="s">
        <v>558</v>
      </c>
      <c r="C336" s="28" t="str">
        <f>CONCATENATE(A336," ",B336)</f>
        <v>Jose Manansala</v>
      </c>
      <c r="D336" t="s">
        <v>673</v>
      </c>
      <c r="E336">
        <v>706472</v>
      </c>
      <c r="F336" t="s">
        <v>199</v>
      </c>
      <c r="G336" t="s">
        <v>52</v>
      </c>
      <c r="H336" t="s">
        <v>111</v>
      </c>
      <c r="I336" t="s">
        <v>686</v>
      </c>
      <c r="J336" t="s">
        <v>687</v>
      </c>
      <c r="K336" s="17">
        <v>245268586</v>
      </c>
      <c r="L336" t="s">
        <v>743</v>
      </c>
      <c r="M336" s="18" t="s">
        <v>264</v>
      </c>
      <c r="N336" s="18">
        <f>DATEDIF(L336,M336,"M")</f>
        <v>13</v>
      </c>
      <c r="O336" s="19">
        <v>15</v>
      </c>
      <c r="P336" s="20">
        <v>0.37</v>
      </c>
      <c r="Q336" s="14">
        <v>5.55</v>
      </c>
      <c r="R336" t="s">
        <v>984</v>
      </c>
      <c r="S336" t="s">
        <v>997</v>
      </c>
      <c r="T336" s="18">
        <v>17195620</v>
      </c>
      <c r="U336" s="40" t="s">
        <v>1028</v>
      </c>
      <c r="V336" s="40" t="s">
        <v>1029</v>
      </c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</row>
    <row r="337" spans="1:52" s="28" customFormat="1" x14ac:dyDescent="0.25">
      <c r="A337" t="s">
        <v>408</v>
      </c>
      <c r="B337" t="s">
        <v>409</v>
      </c>
      <c r="C337" s="28" t="str">
        <f>CONCATENATE(A337," ",B337)</f>
        <v>Ann  Morgan</v>
      </c>
      <c r="D337" t="s">
        <v>673</v>
      </c>
      <c r="E337">
        <v>706472</v>
      </c>
      <c r="F337" t="s">
        <v>199</v>
      </c>
      <c r="G337" t="s">
        <v>27</v>
      </c>
      <c r="H337" t="s">
        <v>28</v>
      </c>
      <c r="I337" t="s">
        <v>676</v>
      </c>
      <c r="J337" t="s">
        <v>677</v>
      </c>
      <c r="K337" s="17">
        <v>459325166</v>
      </c>
      <c r="L337" t="s">
        <v>737</v>
      </c>
      <c r="M337" s="18" t="s">
        <v>705</v>
      </c>
      <c r="N337" s="18">
        <f>DATEDIF(L337,M337,"M")</f>
        <v>13</v>
      </c>
      <c r="O337" s="19">
        <v>30</v>
      </c>
      <c r="P337" s="20">
        <v>0.32</v>
      </c>
      <c r="Q337" s="14">
        <v>9.6</v>
      </c>
      <c r="R337" t="s">
        <v>983</v>
      </c>
      <c r="S337" t="s">
        <v>997</v>
      </c>
      <c r="T337" s="18">
        <v>17195620</v>
      </c>
      <c r="U337" s="40" t="s">
        <v>1028</v>
      </c>
      <c r="V337" s="40" t="s">
        <v>1029</v>
      </c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</row>
    <row r="338" spans="1:52" s="28" customFormat="1" x14ac:dyDescent="0.25">
      <c r="A338" t="s">
        <v>34</v>
      </c>
      <c r="B338" t="s">
        <v>35</v>
      </c>
      <c r="C338" s="28" t="str">
        <f>CONCATENATE(A338," ",B338)</f>
        <v>Steven Cohen</v>
      </c>
      <c r="D338" t="s">
        <v>691</v>
      </c>
      <c r="E338">
        <v>757929</v>
      </c>
      <c r="F338" t="s">
        <v>36</v>
      </c>
      <c r="G338" t="s">
        <v>38</v>
      </c>
      <c r="H338" t="s">
        <v>39</v>
      </c>
      <c r="I338" t="s">
        <v>676</v>
      </c>
      <c r="J338" t="s">
        <v>677</v>
      </c>
      <c r="K338" s="17">
        <v>348104279</v>
      </c>
      <c r="L338" t="s">
        <v>699</v>
      </c>
      <c r="M338" s="18" t="s">
        <v>670</v>
      </c>
      <c r="N338" s="18">
        <f>DATEDIF(L338,M338,"M")</f>
        <v>13</v>
      </c>
      <c r="O338" s="19">
        <v>185</v>
      </c>
      <c r="P338" s="20">
        <v>0.24</v>
      </c>
      <c r="Q338" s="14">
        <v>44.4</v>
      </c>
      <c r="R338" t="s">
        <v>985</v>
      </c>
      <c r="S338" t="s">
        <v>1003</v>
      </c>
      <c r="T338" s="18">
        <v>9213293</v>
      </c>
      <c r="U338" s="40" t="s">
        <v>1028</v>
      </c>
      <c r="V338" s="40" t="s">
        <v>1029</v>
      </c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</row>
    <row r="339" spans="1:52" s="28" customFormat="1" x14ac:dyDescent="0.25">
      <c r="A339" t="s">
        <v>599</v>
      </c>
      <c r="B339" t="s">
        <v>600</v>
      </c>
      <c r="C339" s="28" t="str">
        <f>CONCATENATE(A339," ",B339)</f>
        <v>Jean Francois Agbodjogbe</v>
      </c>
      <c r="D339" t="s">
        <v>673</v>
      </c>
      <c r="E339">
        <v>798992</v>
      </c>
      <c r="F339" t="s">
        <v>59</v>
      </c>
      <c r="G339" t="s">
        <v>27</v>
      </c>
      <c r="H339" t="s">
        <v>28</v>
      </c>
      <c r="I339" t="s">
        <v>676</v>
      </c>
      <c r="J339" t="s">
        <v>677</v>
      </c>
      <c r="K339" s="17">
        <v>230444946</v>
      </c>
      <c r="L339" t="s">
        <v>699</v>
      </c>
      <c r="M339" s="18" t="s">
        <v>670</v>
      </c>
      <c r="N339" s="18">
        <f>DATEDIF(L339,M339,"M")</f>
        <v>13</v>
      </c>
      <c r="O339" s="19">
        <v>25</v>
      </c>
      <c r="P339" s="20">
        <v>0.32</v>
      </c>
      <c r="Q339" s="14">
        <v>8</v>
      </c>
      <c r="R339" t="s">
        <v>983</v>
      </c>
      <c r="S339" t="s">
        <v>995</v>
      </c>
      <c r="T339" s="18" t="s">
        <v>1016</v>
      </c>
      <c r="U339" s="40" t="s">
        <v>1028</v>
      </c>
      <c r="V339" s="40" t="s">
        <v>1029</v>
      </c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</row>
    <row r="340" spans="1:52" s="28" customFormat="1" x14ac:dyDescent="0.25">
      <c r="A340" t="s">
        <v>62</v>
      </c>
      <c r="B340" t="s">
        <v>63</v>
      </c>
      <c r="C340" s="28" t="str">
        <f>CONCATENATE(A340," ",B340)</f>
        <v>Brigitte Wilkinson</v>
      </c>
      <c r="D340" t="s">
        <v>673</v>
      </c>
      <c r="E340">
        <v>798992</v>
      </c>
      <c r="F340" t="s">
        <v>59</v>
      </c>
      <c r="G340" t="s">
        <v>52</v>
      </c>
      <c r="H340" t="s">
        <v>28</v>
      </c>
      <c r="I340" t="s">
        <v>686</v>
      </c>
      <c r="J340" t="s">
        <v>687</v>
      </c>
      <c r="K340" s="17">
        <v>245549848</v>
      </c>
      <c r="L340" t="s">
        <v>699</v>
      </c>
      <c r="M340" s="18" t="s">
        <v>670</v>
      </c>
      <c r="N340" s="18">
        <f>DATEDIF(L340,M340,"M")</f>
        <v>13</v>
      </c>
      <c r="O340" s="19">
        <v>11</v>
      </c>
      <c r="P340" s="20">
        <v>0.37</v>
      </c>
      <c r="Q340" s="14">
        <v>4.07</v>
      </c>
      <c r="R340" t="s">
        <v>984</v>
      </c>
      <c r="S340" t="s">
        <v>995</v>
      </c>
      <c r="T340" s="18" t="s">
        <v>1016</v>
      </c>
      <c r="U340" s="40" t="s">
        <v>1028</v>
      </c>
      <c r="V340" s="40" t="s">
        <v>1029</v>
      </c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</row>
    <row r="341" spans="1:52" s="28" customFormat="1" x14ac:dyDescent="0.25">
      <c r="A341" t="s">
        <v>62</v>
      </c>
      <c r="B341" t="s">
        <v>63</v>
      </c>
      <c r="C341" s="28" t="str">
        <f>CONCATENATE(A341," ",B341)</f>
        <v>Brigitte Wilkinson</v>
      </c>
      <c r="D341" t="s">
        <v>673</v>
      </c>
      <c r="E341">
        <v>798992</v>
      </c>
      <c r="F341" t="s">
        <v>59</v>
      </c>
      <c r="G341" t="s">
        <v>27</v>
      </c>
      <c r="H341" t="s">
        <v>28</v>
      </c>
      <c r="I341" t="s">
        <v>676</v>
      </c>
      <c r="J341" t="s">
        <v>677</v>
      </c>
      <c r="K341" s="17">
        <v>984523223</v>
      </c>
      <c r="L341" t="s">
        <v>699</v>
      </c>
      <c r="M341" s="18" t="s">
        <v>670</v>
      </c>
      <c r="N341" s="18">
        <f>DATEDIF(L341,M341,"M")</f>
        <v>13</v>
      </c>
      <c r="O341" s="19">
        <v>30</v>
      </c>
      <c r="P341" s="20">
        <v>0.32</v>
      </c>
      <c r="Q341" s="14">
        <v>9.6</v>
      </c>
      <c r="R341" t="s">
        <v>983</v>
      </c>
      <c r="S341" t="s">
        <v>995</v>
      </c>
      <c r="T341" s="18" t="s">
        <v>1016</v>
      </c>
      <c r="U341" s="40" t="s">
        <v>1028</v>
      </c>
      <c r="V341" s="40" t="s">
        <v>1029</v>
      </c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</row>
    <row r="342" spans="1:52" s="28" customFormat="1" x14ac:dyDescent="0.25">
      <c r="A342" t="s">
        <v>89</v>
      </c>
      <c r="B342" t="s">
        <v>90</v>
      </c>
      <c r="C342" s="28" t="str">
        <f>CONCATENATE(A342," ",B342)</f>
        <v>Roderick Acha</v>
      </c>
      <c r="D342" t="s">
        <v>858</v>
      </c>
      <c r="E342">
        <v>703501</v>
      </c>
      <c r="F342" t="s">
        <v>71</v>
      </c>
      <c r="G342" t="s">
        <v>52</v>
      </c>
      <c r="H342" t="s">
        <v>39</v>
      </c>
      <c r="I342" t="s">
        <v>686</v>
      </c>
      <c r="J342" t="s">
        <v>687</v>
      </c>
      <c r="K342" s="17">
        <v>66621000</v>
      </c>
      <c r="L342" t="s">
        <v>684</v>
      </c>
      <c r="M342" s="18" t="s">
        <v>693</v>
      </c>
      <c r="N342" s="18">
        <f>DATEDIF(L342,M342,"M")</f>
        <v>13</v>
      </c>
      <c r="O342" s="19">
        <v>20</v>
      </c>
      <c r="P342" s="20">
        <v>0.37</v>
      </c>
      <c r="Q342" s="14">
        <v>7.4</v>
      </c>
      <c r="R342" t="s">
        <v>984</v>
      </c>
      <c r="S342" t="s">
        <v>1005</v>
      </c>
      <c r="T342" s="18">
        <v>1706194</v>
      </c>
      <c r="U342" s="40" t="s">
        <v>1028</v>
      </c>
      <c r="V342" s="40" t="s">
        <v>1029</v>
      </c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</row>
    <row r="343" spans="1:52" s="28" customFormat="1" x14ac:dyDescent="0.25">
      <c r="A343" t="s">
        <v>89</v>
      </c>
      <c r="B343" t="s">
        <v>90</v>
      </c>
      <c r="C343" s="28" t="str">
        <f>CONCATENATE(A343," ",B343)</f>
        <v>Roderick Acha</v>
      </c>
      <c r="D343" t="s">
        <v>858</v>
      </c>
      <c r="E343">
        <v>703501</v>
      </c>
      <c r="F343" t="s">
        <v>71</v>
      </c>
      <c r="G343" t="s">
        <v>73</v>
      </c>
      <c r="H343" t="s">
        <v>39</v>
      </c>
      <c r="I343" t="s">
        <v>676</v>
      </c>
      <c r="J343" t="s">
        <v>677</v>
      </c>
      <c r="K343" s="17">
        <v>690892951</v>
      </c>
      <c r="L343" t="s">
        <v>684</v>
      </c>
      <c r="M343" s="18" t="s">
        <v>693</v>
      </c>
      <c r="N343" s="18">
        <f>DATEDIF(L343,M343,"M")</f>
        <v>13</v>
      </c>
      <c r="O343" s="19">
        <v>93</v>
      </c>
      <c r="P343" s="20">
        <v>0.24</v>
      </c>
      <c r="Q343" s="14">
        <v>22.32</v>
      </c>
      <c r="R343" t="s">
        <v>985</v>
      </c>
      <c r="S343" t="s">
        <v>1005</v>
      </c>
      <c r="T343" s="18">
        <v>1706194</v>
      </c>
      <c r="U343" s="40" t="s">
        <v>1028</v>
      </c>
      <c r="V343" s="40" t="s">
        <v>1029</v>
      </c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</row>
    <row r="344" spans="1:52" s="28" customFormat="1" x14ac:dyDescent="0.25">
      <c r="A344" t="s">
        <v>412</v>
      </c>
      <c r="B344" t="s">
        <v>413</v>
      </c>
      <c r="C344" s="28" t="str">
        <f>CONCATENATE(A344," ",B344)</f>
        <v>Minnie Madden</v>
      </c>
      <c r="D344" t="s">
        <v>673</v>
      </c>
      <c r="E344">
        <v>707256</v>
      </c>
      <c r="F344" t="s">
        <v>137</v>
      </c>
      <c r="G344" t="s">
        <v>27</v>
      </c>
      <c r="H344" t="s">
        <v>28</v>
      </c>
      <c r="I344" t="s">
        <v>676</v>
      </c>
      <c r="J344" t="s">
        <v>677</v>
      </c>
      <c r="K344" s="17">
        <v>224153635</v>
      </c>
      <c r="L344" t="s">
        <v>737</v>
      </c>
      <c r="M344" s="18" t="s">
        <v>264</v>
      </c>
      <c r="N344" s="18">
        <f>DATEDIF(L344,M344,"M")</f>
        <v>14</v>
      </c>
      <c r="O344" s="19">
        <v>25</v>
      </c>
      <c r="P344" s="20">
        <v>0.32</v>
      </c>
      <c r="Q344" s="14">
        <v>8</v>
      </c>
      <c r="R344" t="s">
        <v>983</v>
      </c>
      <c r="S344" t="s">
        <v>998</v>
      </c>
      <c r="T344" s="18">
        <v>7387433</v>
      </c>
      <c r="U344" s="40" t="s">
        <v>1028</v>
      </c>
      <c r="V344" s="40" t="s">
        <v>1029</v>
      </c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</row>
    <row r="345" spans="1:52" s="28" customFormat="1" x14ac:dyDescent="0.25">
      <c r="A345" t="s">
        <v>557</v>
      </c>
      <c r="B345" t="s">
        <v>558</v>
      </c>
      <c r="C345" s="28" t="str">
        <f>CONCATENATE(A345," ",B345)</f>
        <v>Jose Manansala</v>
      </c>
      <c r="D345" t="s">
        <v>673</v>
      </c>
      <c r="E345">
        <v>706472</v>
      </c>
      <c r="F345" t="s">
        <v>199</v>
      </c>
      <c r="G345" t="s">
        <v>27</v>
      </c>
      <c r="H345" t="s">
        <v>85</v>
      </c>
      <c r="I345" t="s">
        <v>676</v>
      </c>
      <c r="J345" t="s">
        <v>677</v>
      </c>
      <c r="K345" s="17">
        <v>762673318</v>
      </c>
      <c r="L345" t="s">
        <v>743</v>
      </c>
      <c r="M345" s="18" t="s">
        <v>670</v>
      </c>
      <c r="N345" s="18">
        <f>DATEDIF(L345,M345,"M")</f>
        <v>14</v>
      </c>
      <c r="O345" s="19">
        <v>50</v>
      </c>
      <c r="P345" s="20">
        <v>0.32</v>
      </c>
      <c r="Q345" s="14">
        <v>16</v>
      </c>
      <c r="R345" t="s">
        <v>983</v>
      </c>
      <c r="S345" t="s">
        <v>997</v>
      </c>
      <c r="T345" s="18">
        <v>17195620</v>
      </c>
      <c r="U345" s="40" t="s">
        <v>1028</v>
      </c>
      <c r="V345" s="40" t="s">
        <v>1029</v>
      </c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</row>
    <row r="346" spans="1:52" s="28" customFormat="1" x14ac:dyDescent="0.25">
      <c r="A346" t="s">
        <v>557</v>
      </c>
      <c r="B346" t="s">
        <v>558</v>
      </c>
      <c r="C346" s="28" t="str">
        <f>CONCATENATE(A346," ",B346)</f>
        <v>Jose Manansala</v>
      </c>
      <c r="D346" t="s">
        <v>673</v>
      </c>
      <c r="E346">
        <v>706472</v>
      </c>
      <c r="F346" t="s">
        <v>199</v>
      </c>
      <c r="G346" t="s">
        <v>52</v>
      </c>
      <c r="H346" t="s">
        <v>111</v>
      </c>
      <c r="I346" t="s">
        <v>686</v>
      </c>
      <c r="J346" t="s">
        <v>687</v>
      </c>
      <c r="K346" s="17">
        <v>245268586</v>
      </c>
      <c r="L346" t="s">
        <v>743</v>
      </c>
      <c r="M346" s="18" t="s">
        <v>670</v>
      </c>
      <c r="N346" s="18">
        <f>DATEDIF(L346,M346,"M")</f>
        <v>14</v>
      </c>
      <c r="O346" s="19">
        <v>15</v>
      </c>
      <c r="P346" s="20">
        <v>0.37</v>
      </c>
      <c r="Q346" s="14">
        <v>5.55</v>
      </c>
      <c r="R346" t="s">
        <v>984</v>
      </c>
      <c r="S346" t="s">
        <v>997</v>
      </c>
      <c r="T346" s="18">
        <v>17195620</v>
      </c>
      <c r="U346" s="40" t="s">
        <v>1028</v>
      </c>
      <c r="V346" s="40" t="s">
        <v>1029</v>
      </c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</row>
    <row r="347" spans="1:52" s="28" customFormat="1" x14ac:dyDescent="0.25">
      <c r="A347" t="s">
        <v>408</v>
      </c>
      <c r="B347" t="s">
        <v>409</v>
      </c>
      <c r="C347" s="28" t="str">
        <f>CONCATENATE(A347," ",B347)</f>
        <v>Ann  Morgan</v>
      </c>
      <c r="D347" t="s">
        <v>673</v>
      </c>
      <c r="E347">
        <v>706472</v>
      </c>
      <c r="F347" t="s">
        <v>199</v>
      </c>
      <c r="G347" t="s">
        <v>27</v>
      </c>
      <c r="H347" t="s">
        <v>28</v>
      </c>
      <c r="I347" t="s">
        <v>676</v>
      </c>
      <c r="J347" t="s">
        <v>677</v>
      </c>
      <c r="K347" s="17">
        <v>459325166</v>
      </c>
      <c r="L347" t="s">
        <v>737</v>
      </c>
      <c r="M347" s="18" t="s">
        <v>264</v>
      </c>
      <c r="N347" s="18">
        <f>DATEDIF(L347,M347,"M")</f>
        <v>14</v>
      </c>
      <c r="O347" s="19">
        <v>30</v>
      </c>
      <c r="P347" s="20">
        <v>0.32</v>
      </c>
      <c r="Q347" s="14">
        <v>9.6</v>
      </c>
      <c r="R347" t="s">
        <v>983</v>
      </c>
      <c r="S347" t="s">
        <v>997</v>
      </c>
      <c r="T347" s="18">
        <v>17195620</v>
      </c>
      <c r="U347" s="40" t="s">
        <v>1028</v>
      </c>
      <c r="V347" s="40" t="s">
        <v>1029</v>
      </c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</row>
    <row r="348" spans="1:52" s="28" customFormat="1" x14ac:dyDescent="0.25">
      <c r="A348" t="s">
        <v>89</v>
      </c>
      <c r="B348" t="s">
        <v>90</v>
      </c>
      <c r="C348" s="28" t="str">
        <f>CONCATENATE(A348," ",B348)</f>
        <v>Roderick Acha</v>
      </c>
      <c r="D348" t="s">
        <v>858</v>
      </c>
      <c r="E348">
        <v>703501</v>
      </c>
      <c r="F348" t="s">
        <v>71</v>
      </c>
      <c r="G348" t="s">
        <v>52</v>
      </c>
      <c r="H348" t="s">
        <v>39</v>
      </c>
      <c r="I348" t="s">
        <v>686</v>
      </c>
      <c r="J348" t="s">
        <v>687</v>
      </c>
      <c r="K348" s="17">
        <v>66621000</v>
      </c>
      <c r="L348" t="s">
        <v>684</v>
      </c>
      <c r="M348" s="18" t="s">
        <v>705</v>
      </c>
      <c r="N348" s="18">
        <f>DATEDIF(L348,M348,"M")</f>
        <v>14</v>
      </c>
      <c r="O348" s="19">
        <v>20</v>
      </c>
      <c r="P348" s="20">
        <v>0.37</v>
      </c>
      <c r="Q348" s="14">
        <v>7.4</v>
      </c>
      <c r="R348" t="s">
        <v>984</v>
      </c>
      <c r="S348" t="s">
        <v>1005</v>
      </c>
      <c r="T348" s="18">
        <v>1706194</v>
      </c>
      <c r="U348" s="40" t="s">
        <v>1028</v>
      </c>
      <c r="V348" s="40" t="s">
        <v>1029</v>
      </c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</row>
    <row r="349" spans="1:52" s="28" customFormat="1" x14ac:dyDescent="0.25">
      <c r="A349" t="s">
        <v>89</v>
      </c>
      <c r="B349" t="s">
        <v>90</v>
      </c>
      <c r="C349" s="28" t="str">
        <f>CONCATENATE(A349," ",B349)</f>
        <v>Roderick Acha</v>
      </c>
      <c r="D349" t="s">
        <v>858</v>
      </c>
      <c r="E349">
        <v>703501</v>
      </c>
      <c r="F349" t="s">
        <v>71</v>
      </c>
      <c r="G349" t="s">
        <v>73</v>
      </c>
      <c r="H349" t="s">
        <v>39</v>
      </c>
      <c r="I349" t="s">
        <v>676</v>
      </c>
      <c r="J349" t="s">
        <v>677</v>
      </c>
      <c r="K349" s="17">
        <v>690892951</v>
      </c>
      <c r="L349" t="s">
        <v>684</v>
      </c>
      <c r="M349" s="18" t="s">
        <v>705</v>
      </c>
      <c r="N349" s="18">
        <f>DATEDIF(L349,M349,"M")</f>
        <v>14</v>
      </c>
      <c r="O349" s="19">
        <v>93</v>
      </c>
      <c r="P349" s="20">
        <v>0.24</v>
      </c>
      <c r="Q349" s="14">
        <v>22.32</v>
      </c>
      <c r="R349" t="s">
        <v>985</v>
      </c>
      <c r="S349" t="s">
        <v>1005</v>
      </c>
      <c r="T349" s="18">
        <v>1706194</v>
      </c>
      <c r="U349" s="40" t="s">
        <v>1028</v>
      </c>
      <c r="V349" s="40" t="s">
        <v>1029</v>
      </c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</row>
    <row r="350" spans="1:52" s="28" customFormat="1" x14ac:dyDescent="0.25">
      <c r="A350" t="s">
        <v>69</v>
      </c>
      <c r="B350" t="s">
        <v>70</v>
      </c>
      <c r="C350" s="28" t="str">
        <f>CONCATENATE(A350," ",B350)</f>
        <v>Jospeh Morris II</v>
      </c>
      <c r="D350" t="s">
        <v>832</v>
      </c>
      <c r="E350">
        <v>703501</v>
      </c>
      <c r="F350" t="s">
        <v>71</v>
      </c>
      <c r="G350" t="s">
        <v>73</v>
      </c>
      <c r="H350" t="s">
        <v>28</v>
      </c>
      <c r="I350" t="s">
        <v>676</v>
      </c>
      <c r="J350" t="s">
        <v>677</v>
      </c>
      <c r="K350" s="17">
        <v>864594072</v>
      </c>
      <c r="L350" t="s">
        <v>684</v>
      </c>
      <c r="M350" s="18" t="s">
        <v>705</v>
      </c>
      <c r="N350" s="18">
        <f>DATEDIF(L350,M350,"M")</f>
        <v>14</v>
      </c>
      <c r="O350" s="19">
        <v>25</v>
      </c>
      <c r="P350" s="20">
        <v>0.24</v>
      </c>
      <c r="Q350" s="14">
        <v>6</v>
      </c>
      <c r="R350" t="s">
        <v>985</v>
      </c>
      <c r="S350" t="s">
        <v>1005</v>
      </c>
      <c r="T350" s="18">
        <v>1706194</v>
      </c>
      <c r="U350" s="40" t="s">
        <v>1028</v>
      </c>
      <c r="V350" s="40" t="s">
        <v>1029</v>
      </c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</row>
    <row r="351" spans="1:52" s="28" customFormat="1" x14ac:dyDescent="0.25">
      <c r="A351" t="s">
        <v>310</v>
      </c>
      <c r="B351" t="s">
        <v>311</v>
      </c>
      <c r="C351" s="28" t="str">
        <f>CONCATENATE(A351," ",B351)</f>
        <v>Demetris Jones</v>
      </c>
      <c r="D351" t="s">
        <v>673</v>
      </c>
      <c r="E351">
        <v>781535</v>
      </c>
      <c r="F351" t="s">
        <v>206</v>
      </c>
      <c r="G351" t="s">
        <v>52</v>
      </c>
      <c r="H351" t="s">
        <v>28</v>
      </c>
      <c r="I351" t="s">
        <v>686</v>
      </c>
      <c r="J351" t="s">
        <v>687</v>
      </c>
      <c r="K351" s="17">
        <v>125532058</v>
      </c>
      <c r="L351" t="s">
        <v>771</v>
      </c>
      <c r="M351" s="18" t="s">
        <v>693</v>
      </c>
      <c r="N351" s="18">
        <f>DATEDIF(L351,M351,"M")</f>
        <v>14</v>
      </c>
      <c r="O351" s="19">
        <v>11</v>
      </c>
      <c r="P351" s="20">
        <v>0.37</v>
      </c>
      <c r="Q351" s="14">
        <v>4.07</v>
      </c>
      <c r="R351" t="s">
        <v>984</v>
      </c>
      <c r="S351" t="s">
        <v>1004</v>
      </c>
      <c r="T351" s="18">
        <v>18010408</v>
      </c>
      <c r="U351" s="40" t="s">
        <v>1028</v>
      </c>
      <c r="V351" s="40" t="s">
        <v>1029</v>
      </c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 s="22"/>
    </row>
    <row r="352" spans="1:52" s="28" customFormat="1" x14ac:dyDescent="0.25">
      <c r="A352" t="s">
        <v>310</v>
      </c>
      <c r="B352" t="s">
        <v>311</v>
      </c>
      <c r="C352" s="28" t="str">
        <f>CONCATENATE(A352," ",B352)</f>
        <v>Demetris Jones</v>
      </c>
      <c r="D352" t="s">
        <v>673</v>
      </c>
      <c r="E352">
        <v>781535</v>
      </c>
      <c r="F352" t="s">
        <v>206</v>
      </c>
      <c r="G352" t="s">
        <v>79</v>
      </c>
      <c r="H352" t="s">
        <v>28</v>
      </c>
      <c r="I352" t="s">
        <v>676</v>
      </c>
      <c r="J352" t="s">
        <v>677</v>
      </c>
      <c r="K352" s="17">
        <v>384672439</v>
      </c>
      <c r="L352" t="s">
        <v>771</v>
      </c>
      <c r="M352" s="18" t="s">
        <v>693</v>
      </c>
      <c r="N352" s="18">
        <f>DATEDIF(L352,M352,"M")</f>
        <v>14</v>
      </c>
      <c r="O352" s="19">
        <v>66</v>
      </c>
      <c r="P352" s="20">
        <v>0.24</v>
      </c>
      <c r="Q352" s="14">
        <v>15.84</v>
      </c>
      <c r="R352" t="s">
        <v>985</v>
      </c>
      <c r="S352" t="s">
        <v>1004</v>
      </c>
      <c r="T352" s="18">
        <v>18010408</v>
      </c>
      <c r="U352" s="40" t="s">
        <v>1028</v>
      </c>
      <c r="V352" s="40" t="s">
        <v>1029</v>
      </c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 s="22"/>
    </row>
    <row r="353" spans="1:52" s="28" customFormat="1" x14ac:dyDescent="0.25">
      <c r="A353" t="s">
        <v>343</v>
      </c>
      <c r="B353" t="s">
        <v>344</v>
      </c>
      <c r="C353" s="28" t="str">
        <f>CONCATENATE(A353," ",B353)</f>
        <v>Dana Wasimin</v>
      </c>
      <c r="D353" t="s">
        <v>695</v>
      </c>
      <c r="E353">
        <v>781535</v>
      </c>
      <c r="F353" t="s">
        <v>206</v>
      </c>
      <c r="G353" t="s">
        <v>79</v>
      </c>
      <c r="H353" t="s">
        <v>85</v>
      </c>
      <c r="I353" t="s">
        <v>676</v>
      </c>
      <c r="J353" t="s">
        <v>677</v>
      </c>
      <c r="K353" s="17">
        <v>476855083</v>
      </c>
      <c r="L353" t="s">
        <v>771</v>
      </c>
      <c r="M353" s="18" t="s">
        <v>693</v>
      </c>
      <c r="N353" s="18">
        <f>DATEDIF(L353,M353,"M")</f>
        <v>14</v>
      </c>
      <c r="O353" s="19">
        <v>132</v>
      </c>
      <c r="P353" s="20">
        <v>0.24</v>
      </c>
      <c r="Q353" s="14">
        <v>31.68</v>
      </c>
      <c r="R353" t="s">
        <v>985</v>
      </c>
      <c r="S353" t="s">
        <v>1004</v>
      </c>
      <c r="T353" s="18">
        <v>18010408</v>
      </c>
      <c r="U353" s="40" t="s">
        <v>1028</v>
      </c>
      <c r="V353" s="40" t="s">
        <v>1029</v>
      </c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 s="22"/>
    </row>
    <row r="354" spans="1:52" s="28" customFormat="1" x14ac:dyDescent="0.25">
      <c r="A354" t="s">
        <v>343</v>
      </c>
      <c r="B354" t="s">
        <v>344</v>
      </c>
      <c r="C354" s="28" t="str">
        <f>CONCATENATE(A354," ",B354)</f>
        <v>Dana Wasimin</v>
      </c>
      <c r="D354" t="s">
        <v>695</v>
      </c>
      <c r="E354">
        <v>781535</v>
      </c>
      <c r="F354" t="s">
        <v>206</v>
      </c>
      <c r="G354" t="s">
        <v>52</v>
      </c>
      <c r="H354" t="s">
        <v>111</v>
      </c>
      <c r="I354" t="s">
        <v>686</v>
      </c>
      <c r="J354" t="s">
        <v>687</v>
      </c>
      <c r="K354" s="17">
        <v>583635919</v>
      </c>
      <c r="L354" t="s">
        <v>771</v>
      </c>
      <c r="M354" s="18" t="s">
        <v>693</v>
      </c>
      <c r="N354" s="18">
        <f>DATEDIF(L354,M354,"M")</f>
        <v>14</v>
      </c>
      <c r="O354" s="19">
        <v>15</v>
      </c>
      <c r="P354" s="20">
        <v>0.37</v>
      </c>
      <c r="Q354" s="14">
        <v>5.55</v>
      </c>
      <c r="R354" t="s">
        <v>984</v>
      </c>
      <c r="S354" t="s">
        <v>1004</v>
      </c>
      <c r="T354" s="18">
        <v>18010408</v>
      </c>
      <c r="U354" s="40" t="s">
        <v>1028</v>
      </c>
      <c r="V354" s="40" t="s">
        <v>1029</v>
      </c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 s="22"/>
    </row>
    <row r="355" spans="1:52" s="28" customFormat="1" x14ac:dyDescent="0.25">
      <c r="A355" t="s">
        <v>412</v>
      </c>
      <c r="B355" t="s">
        <v>413</v>
      </c>
      <c r="C355" s="28" t="str">
        <f>CONCATENATE(A355," ",B355)</f>
        <v>Minnie Madden</v>
      </c>
      <c r="D355" t="s">
        <v>673</v>
      </c>
      <c r="E355">
        <v>707256</v>
      </c>
      <c r="F355" t="s">
        <v>137</v>
      </c>
      <c r="G355" t="s">
        <v>27</v>
      </c>
      <c r="H355" t="s">
        <v>28</v>
      </c>
      <c r="I355" t="s">
        <v>676</v>
      </c>
      <c r="J355" t="s">
        <v>677</v>
      </c>
      <c r="K355" s="17">
        <v>224153635</v>
      </c>
      <c r="L355" t="s">
        <v>737</v>
      </c>
      <c r="M355" s="18" t="s">
        <v>670</v>
      </c>
      <c r="N355" s="18">
        <f>DATEDIF(L355,M355,"M")</f>
        <v>15</v>
      </c>
      <c r="O355" s="19">
        <v>25</v>
      </c>
      <c r="P355" s="20">
        <v>0.32</v>
      </c>
      <c r="Q355" s="14">
        <v>8</v>
      </c>
      <c r="R355" t="s">
        <v>983</v>
      </c>
      <c r="S355" t="s">
        <v>998</v>
      </c>
      <c r="T355" s="18">
        <v>7387433</v>
      </c>
      <c r="U355" s="40" t="s">
        <v>1028</v>
      </c>
      <c r="V355" s="40" t="s">
        <v>1029</v>
      </c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</row>
    <row r="356" spans="1:52" s="28" customFormat="1" x14ac:dyDescent="0.25">
      <c r="A356" t="s">
        <v>408</v>
      </c>
      <c r="B356" t="s">
        <v>409</v>
      </c>
      <c r="C356" s="28" t="str">
        <f>CONCATENATE(A356," ",B356)</f>
        <v>Ann  Morgan</v>
      </c>
      <c r="D356" t="s">
        <v>673</v>
      </c>
      <c r="E356">
        <v>706472</v>
      </c>
      <c r="F356" t="s">
        <v>199</v>
      </c>
      <c r="G356" t="s">
        <v>27</v>
      </c>
      <c r="H356" t="s">
        <v>28</v>
      </c>
      <c r="I356" t="s">
        <v>676</v>
      </c>
      <c r="J356" t="s">
        <v>677</v>
      </c>
      <c r="K356" s="17">
        <v>459325166</v>
      </c>
      <c r="L356" t="s">
        <v>737</v>
      </c>
      <c r="M356" s="18" t="s">
        <v>670</v>
      </c>
      <c r="N356" s="18">
        <f>DATEDIF(L356,M356,"M")</f>
        <v>15</v>
      </c>
      <c r="O356" s="19">
        <v>30</v>
      </c>
      <c r="P356" s="20">
        <v>0.32</v>
      </c>
      <c r="Q356" s="14">
        <v>9.6</v>
      </c>
      <c r="R356" t="s">
        <v>983</v>
      </c>
      <c r="S356" t="s">
        <v>997</v>
      </c>
      <c r="T356" s="18">
        <v>17195620</v>
      </c>
      <c r="U356" s="40" t="s">
        <v>1028</v>
      </c>
      <c r="V356" s="40" t="s">
        <v>1029</v>
      </c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</row>
    <row r="357" spans="1:52" s="28" customFormat="1" x14ac:dyDescent="0.25">
      <c r="A357" t="s">
        <v>89</v>
      </c>
      <c r="B357" t="s">
        <v>90</v>
      </c>
      <c r="C357" s="28" t="str">
        <f>CONCATENATE(A357," ",B357)</f>
        <v>Roderick Acha</v>
      </c>
      <c r="D357" t="s">
        <v>858</v>
      </c>
      <c r="E357">
        <v>703501</v>
      </c>
      <c r="F357" t="s">
        <v>71</v>
      </c>
      <c r="G357" t="s">
        <v>73</v>
      </c>
      <c r="H357" t="s">
        <v>39</v>
      </c>
      <c r="I357" t="s">
        <v>676</v>
      </c>
      <c r="J357" t="s">
        <v>677</v>
      </c>
      <c r="K357" s="17">
        <v>690892951</v>
      </c>
      <c r="L357" t="s">
        <v>684</v>
      </c>
      <c r="M357" s="18" t="s">
        <v>264</v>
      </c>
      <c r="N357" s="18">
        <f>DATEDIF(L357,M357,"M")</f>
        <v>15</v>
      </c>
      <c r="O357" s="19">
        <v>93</v>
      </c>
      <c r="P357" s="20">
        <v>0.24</v>
      </c>
      <c r="Q357" s="14">
        <v>22.32</v>
      </c>
      <c r="R357" t="s">
        <v>985</v>
      </c>
      <c r="S357" t="s">
        <v>1005</v>
      </c>
      <c r="T357" s="18">
        <v>1706194</v>
      </c>
      <c r="U357" s="40" t="s">
        <v>1028</v>
      </c>
      <c r="V357" s="40" t="s">
        <v>1029</v>
      </c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</row>
    <row r="358" spans="1:52" s="28" customFormat="1" x14ac:dyDescent="0.25">
      <c r="A358" t="s">
        <v>89</v>
      </c>
      <c r="B358" t="s">
        <v>90</v>
      </c>
      <c r="C358" s="28" t="str">
        <f>CONCATENATE(A358," ",B358)</f>
        <v>Roderick Acha</v>
      </c>
      <c r="D358" t="s">
        <v>858</v>
      </c>
      <c r="E358">
        <v>703501</v>
      </c>
      <c r="F358" t="s">
        <v>71</v>
      </c>
      <c r="G358" t="s">
        <v>52</v>
      </c>
      <c r="H358" t="s">
        <v>39</v>
      </c>
      <c r="I358" t="s">
        <v>686</v>
      </c>
      <c r="J358" t="s">
        <v>687</v>
      </c>
      <c r="K358" s="17">
        <v>66621000</v>
      </c>
      <c r="L358" t="s">
        <v>684</v>
      </c>
      <c r="M358" s="18" t="s">
        <v>264</v>
      </c>
      <c r="N358" s="18">
        <f>DATEDIF(L358,M358,"M")</f>
        <v>15</v>
      </c>
      <c r="O358" s="19">
        <v>20</v>
      </c>
      <c r="P358" s="20">
        <v>0.37</v>
      </c>
      <c r="Q358" s="14">
        <v>7.4</v>
      </c>
      <c r="R358" t="s">
        <v>984</v>
      </c>
      <c r="S358" t="s">
        <v>1005</v>
      </c>
      <c r="T358" s="18">
        <v>1706194</v>
      </c>
      <c r="U358" s="40" t="s">
        <v>1028</v>
      </c>
      <c r="V358" s="40" t="s">
        <v>1029</v>
      </c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</row>
    <row r="359" spans="1:52" s="28" customFormat="1" x14ac:dyDescent="0.25">
      <c r="A359" t="s">
        <v>69</v>
      </c>
      <c r="B359" t="s">
        <v>70</v>
      </c>
      <c r="C359" s="28" t="str">
        <f>CONCATENATE(A359," ",B359)</f>
        <v>Jospeh Morris II</v>
      </c>
      <c r="D359" t="s">
        <v>832</v>
      </c>
      <c r="E359">
        <v>703501</v>
      </c>
      <c r="F359" t="s">
        <v>71</v>
      </c>
      <c r="G359" t="s">
        <v>73</v>
      </c>
      <c r="H359" t="s">
        <v>28</v>
      </c>
      <c r="I359" t="s">
        <v>676</v>
      </c>
      <c r="J359" t="s">
        <v>677</v>
      </c>
      <c r="K359" s="17">
        <v>864594072</v>
      </c>
      <c r="L359" t="s">
        <v>684</v>
      </c>
      <c r="M359" s="18" t="s">
        <v>264</v>
      </c>
      <c r="N359" s="18">
        <f>DATEDIF(L359,M359,"M")</f>
        <v>15</v>
      </c>
      <c r="O359" s="19">
        <v>25</v>
      </c>
      <c r="P359" s="20">
        <v>0.24</v>
      </c>
      <c r="Q359" s="14">
        <v>6</v>
      </c>
      <c r="R359" t="s">
        <v>985</v>
      </c>
      <c r="S359" t="s">
        <v>1005</v>
      </c>
      <c r="T359" s="18">
        <v>1706194</v>
      </c>
      <c r="U359" s="40" t="s">
        <v>1028</v>
      </c>
      <c r="V359" s="40" t="s">
        <v>1029</v>
      </c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</row>
    <row r="360" spans="1:52" s="28" customFormat="1" x14ac:dyDescent="0.25">
      <c r="A360" t="s">
        <v>343</v>
      </c>
      <c r="B360" t="s">
        <v>344</v>
      </c>
      <c r="C360" s="28" t="str">
        <f>CONCATENATE(A360," ",B360)</f>
        <v>Dana Wasimin</v>
      </c>
      <c r="D360" t="s">
        <v>695</v>
      </c>
      <c r="E360">
        <v>781535</v>
      </c>
      <c r="F360" t="s">
        <v>206</v>
      </c>
      <c r="G360" t="s">
        <v>79</v>
      </c>
      <c r="H360" t="s">
        <v>85</v>
      </c>
      <c r="I360" t="s">
        <v>676</v>
      </c>
      <c r="J360" t="s">
        <v>677</v>
      </c>
      <c r="K360" s="17">
        <v>476855083</v>
      </c>
      <c r="L360" t="s">
        <v>771</v>
      </c>
      <c r="M360" s="18" t="s">
        <v>705</v>
      </c>
      <c r="N360" s="18">
        <f>DATEDIF(L360,M360,"M")</f>
        <v>15</v>
      </c>
      <c r="O360" s="19">
        <v>132</v>
      </c>
      <c r="P360" s="20">
        <v>0.24</v>
      </c>
      <c r="Q360" s="14">
        <v>31.68</v>
      </c>
      <c r="R360" t="s">
        <v>985</v>
      </c>
      <c r="S360" t="s">
        <v>1004</v>
      </c>
      <c r="T360" s="18">
        <v>18010408</v>
      </c>
      <c r="U360" s="40" t="s">
        <v>1028</v>
      </c>
      <c r="V360" s="40" t="s">
        <v>1029</v>
      </c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 s="22"/>
    </row>
    <row r="361" spans="1:52" s="28" customFormat="1" x14ac:dyDescent="0.25">
      <c r="A361" t="s">
        <v>343</v>
      </c>
      <c r="B361" t="s">
        <v>344</v>
      </c>
      <c r="C361" s="28" t="str">
        <f>CONCATENATE(A361," ",B361)</f>
        <v>Dana Wasimin</v>
      </c>
      <c r="D361" t="s">
        <v>695</v>
      </c>
      <c r="E361">
        <v>781535</v>
      </c>
      <c r="F361" t="s">
        <v>206</v>
      </c>
      <c r="G361" t="s">
        <v>52</v>
      </c>
      <c r="H361" t="s">
        <v>111</v>
      </c>
      <c r="I361" t="s">
        <v>686</v>
      </c>
      <c r="J361" t="s">
        <v>687</v>
      </c>
      <c r="K361" s="17">
        <v>583635919</v>
      </c>
      <c r="L361" t="s">
        <v>771</v>
      </c>
      <c r="M361" s="18" t="s">
        <v>705</v>
      </c>
      <c r="N361" s="18">
        <f>DATEDIF(L361,M361,"M")</f>
        <v>15</v>
      </c>
      <c r="O361" s="19">
        <v>15</v>
      </c>
      <c r="P361" s="20">
        <v>0.37</v>
      </c>
      <c r="Q361" s="14">
        <v>5.55</v>
      </c>
      <c r="R361" t="s">
        <v>984</v>
      </c>
      <c r="S361" t="s">
        <v>1004</v>
      </c>
      <c r="T361" s="18">
        <v>18010408</v>
      </c>
      <c r="U361" s="40" t="s">
        <v>1028</v>
      </c>
      <c r="V361" s="40" t="s">
        <v>1029</v>
      </c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 s="22"/>
    </row>
    <row r="362" spans="1:52" s="28" customFormat="1" x14ac:dyDescent="0.25">
      <c r="A362" t="s">
        <v>310</v>
      </c>
      <c r="B362" t="s">
        <v>311</v>
      </c>
      <c r="C362" s="28" t="str">
        <f>CONCATENATE(A362," ",B362)</f>
        <v>Demetris Jones</v>
      </c>
      <c r="D362" t="s">
        <v>673</v>
      </c>
      <c r="E362">
        <v>781535</v>
      </c>
      <c r="F362" t="s">
        <v>206</v>
      </c>
      <c r="G362" t="s">
        <v>79</v>
      </c>
      <c r="H362" t="s">
        <v>28</v>
      </c>
      <c r="I362" t="s">
        <v>676</v>
      </c>
      <c r="J362" t="s">
        <v>677</v>
      </c>
      <c r="K362" s="17">
        <v>384672439</v>
      </c>
      <c r="L362" t="s">
        <v>771</v>
      </c>
      <c r="M362" s="18" t="s">
        <v>705</v>
      </c>
      <c r="N362" s="18">
        <f>DATEDIF(L362,M362,"M")</f>
        <v>15</v>
      </c>
      <c r="O362" s="19">
        <v>66</v>
      </c>
      <c r="P362" s="20">
        <v>0.24</v>
      </c>
      <c r="Q362" s="14">
        <v>15.84</v>
      </c>
      <c r="R362" t="s">
        <v>985</v>
      </c>
      <c r="S362" t="s">
        <v>1004</v>
      </c>
      <c r="T362" s="18">
        <v>18010408</v>
      </c>
      <c r="U362" s="40" t="s">
        <v>1028</v>
      </c>
      <c r="V362" s="40" t="s">
        <v>1029</v>
      </c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 s="22"/>
    </row>
    <row r="363" spans="1:52" s="28" customFormat="1" x14ac:dyDescent="0.25">
      <c r="A363" t="s">
        <v>310</v>
      </c>
      <c r="B363" t="s">
        <v>311</v>
      </c>
      <c r="C363" s="28" t="str">
        <f>CONCATENATE(A363," ",B363)</f>
        <v>Demetris Jones</v>
      </c>
      <c r="D363" t="s">
        <v>673</v>
      </c>
      <c r="E363">
        <v>781535</v>
      </c>
      <c r="F363" t="s">
        <v>206</v>
      </c>
      <c r="G363" t="s">
        <v>52</v>
      </c>
      <c r="H363" t="s">
        <v>28</v>
      </c>
      <c r="I363" t="s">
        <v>686</v>
      </c>
      <c r="J363" t="s">
        <v>687</v>
      </c>
      <c r="K363" s="17">
        <v>125532058</v>
      </c>
      <c r="L363" t="s">
        <v>771</v>
      </c>
      <c r="M363" s="18" t="s">
        <v>705</v>
      </c>
      <c r="N363" s="18">
        <f>DATEDIF(L363,M363,"M")</f>
        <v>15</v>
      </c>
      <c r="O363" s="19">
        <v>11</v>
      </c>
      <c r="P363" s="20">
        <v>0.37</v>
      </c>
      <c r="Q363" s="14">
        <v>4.07</v>
      </c>
      <c r="R363" t="s">
        <v>984</v>
      </c>
      <c r="S363" t="s">
        <v>1004</v>
      </c>
      <c r="T363" s="18">
        <v>18010408</v>
      </c>
      <c r="U363" s="40" t="s">
        <v>1028</v>
      </c>
      <c r="V363" s="40" t="s">
        <v>1029</v>
      </c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 s="22"/>
    </row>
    <row r="364" spans="1:52" s="28" customFormat="1" x14ac:dyDescent="0.25">
      <c r="A364" t="s">
        <v>204</v>
      </c>
      <c r="B364" t="s">
        <v>205</v>
      </c>
      <c r="C364" s="28" t="str">
        <f>CONCATENATE(A364," ",B364)</f>
        <v>Monica ODonnell</v>
      </c>
      <c r="D364" t="s">
        <v>695</v>
      </c>
      <c r="E364">
        <v>781535</v>
      </c>
      <c r="F364" t="s">
        <v>206</v>
      </c>
      <c r="G364" t="s">
        <v>52</v>
      </c>
      <c r="H364" t="s">
        <v>111</v>
      </c>
      <c r="I364" t="s">
        <v>686</v>
      </c>
      <c r="J364" t="s">
        <v>687</v>
      </c>
      <c r="K364" s="17">
        <v>868422442</v>
      </c>
      <c r="L364" t="s">
        <v>771</v>
      </c>
      <c r="M364" s="18" t="s">
        <v>705</v>
      </c>
      <c r="N364" s="18">
        <f>DATEDIF(L364,M364,"M")</f>
        <v>15</v>
      </c>
      <c r="O364" s="19">
        <v>15</v>
      </c>
      <c r="P364" s="20">
        <v>0.37</v>
      </c>
      <c r="Q364" s="14">
        <v>5.55</v>
      </c>
      <c r="R364" t="s">
        <v>984</v>
      </c>
      <c r="S364" t="s">
        <v>1004</v>
      </c>
      <c r="T364" s="18">
        <v>18010408</v>
      </c>
      <c r="U364" s="40" t="s">
        <v>1028</v>
      </c>
      <c r="V364" s="40" t="s">
        <v>1029</v>
      </c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 s="22"/>
    </row>
    <row r="365" spans="1:52" s="28" customFormat="1" x14ac:dyDescent="0.25">
      <c r="A365" t="s">
        <v>204</v>
      </c>
      <c r="B365" t="s">
        <v>205</v>
      </c>
      <c r="C365" s="28" t="str">
        <f>CONCATENATE(A365," ",B365)</f>
        <v>Monica ODonnell</v>
      </c>
      <c r="D365" t="s">
        <v>695</v>
      </c>
      <c r="E365">
        <v>781535</v>
      </c>
      <c r="F365" t="s">
        <v>206</v>
      </c>
      <c r="G365" t="s">
        <v>79</v>
      </c>
      <c r="H365" t="s">
        <v>85</v>
      </c>
      <c r="I365" t="s">
        <v>676</v>
      </c>
      <c r="J365" t="s">
        <v>677</v>
      </c>
      <c r="K365" s="17">
        <v>40198305</v>
      </c>
      <c r="L365" t="s">
        <v>771</v>
      </c>
      <c r="M365" s="18" t="s">
        <v>705</v>
      </c>
      <c r="N365" s="18">
        <f>DATEDIF(L365,M365,"M")</f>
        <v>15</v>
      </c>
      <c r="O365" s="19">
        <v>121</v>
      </c>
      <c r="P365" s="20">
        <v>0.24</v>
      </c>
      <c r="Q365" s="14">
        <v>29.04</v>
      </c>
      <c r="R365" t="s">
        <v>985</v>
      </c>
      <c r="S365" t="s">
        <v>1004</v>
      </c>
      <c r="T365" s="18">
        <v>18010408</v>
      </c>
      <c r="U365" s="40" t="s">
        <v>1028</v>
      </c>
      <c r="V365" s="40" t="s">
        <v>1029</v>
      </c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 s="22"/>
    </row>
    <row r="366" spans="1:52" s="28" customFormat="1" x14ac:dyDescent="0.25">
      <c r="A366" t="s">
        <v>69</v>
      </c>
      <c r="B366" t="s">
        <v>70</v>
      </c>
      <c r="C366" s="28" t="str">
        <f>CONCATENATE(A366," ",B366)</f>
        <v>Jospeh Morris II</v>
      </c>
      <c r="D366" t="s">
        <v>832</v>
      </c>
      <c r="E366">
        <v>703501</v>
      </c>
      <c r="F366" t="s">
        <v>71</v>
      </c>
      <c r="G366" t="s">
        <v>73</v>
      </c>
      <c r="H366" t="s">
        <v>28</v>
      </c>
      <c r="I366" t="s">
        <v>676</v>
      </c>
      <c r="J366" t="s">
        <v>677</v>
      </c>
      <c r="K366" s="17">
        <v>864594072</v>
      </c>
      <c r="L366" t="s">
        <v>684</v>
      </c>
      <c r="M366" s="18" t="s">
        <v>670</v>
      </c>
      <c r="N366" s="18">
        <f>DATEDIF(L366,M366,"M")</f>
        <v>16</v>
      </c>
      <c r="O366" s="19">
        <v>25</v>
      </c>
      <c r="P366" s="20">
        <v>0.24</v>
      </c>
      <c r="Q366" s="14">
        <v>6</v>
      </c>
      <c r="R366" t="s">
        <v>985</v>
      </c>
      <c r="S366" t="s">
        <v>1005</v>
      </c>
      <c r="T366" s="18">
        <v>1706194</v>
      </c>
      <c r="U366" s="40" t="s">
        <v>1028</v>
      </c>
      <c r="V366" s="40" t="s">
        <v>1029</v>
      </c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</row>
    <row r="367" spans="1:52" s="28" customFormat="1" x14ac:dyDescent="0.25">
      <c r="A367" t="s">
        <v>123</v>
      </c>
      <c r="B367" t="s">
        <v>124</v>
      </c>
      <c r="C367" s="28" t="str">
        <f>CONCATENATE(A367," ",B367)</f>
        <v>Bryan Pennington</v>
      </c>
      <c r="D367" t="s">
        <v>858</v>
      </c>
      <c r="E367">
        <v>703501</v>
      </c>
      <c r="F367" t="s">
        <v>71</v>
      </c>
      <c r="G367" t="s">
        <v>73</v>
      </c>
      <c r="H367" t="s">
        <v>39</v>
      </c>
      <c r="I367" t="s">
        <v>676</v>
      </c>
      <c r="J367" t="s">
        <v>677</v>
      </c>
      <c r="K367" s="17">
        <v>623625840</v>
      </c>
      <c r="L367" t="s">
        <v>860</v>
      </c>
      <c r="M367" s="18" t="s">
        <v>705</v>
      </c>
      <c r="N367" s="18">
        <f>DATEDIF(L367,M367,"M")</f>
        <v>16</v>
      </c>
      <c r="O367" s="19">
        <v>93</v>
      </c>
      <c r="P367" s="20">
        <v>0.24</v>
      </c>
      <c r="Q367" s="14">
        <v>22.32</v>
      </c>
      <c r="R367" t="s">
        <v>985</v>
      </c>
      <c r="S367" t="s">
        <v>1005</v>
      </c>
      <c r="T367" s="18">
        <v>1706194</v>
      </c>
      <c r="U367" s="40" t="s">
        <v>1028</v>
      </c>
      <c r="V367" s="40" t="s">
        <v>1029</v>
      </c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</row>
    <row r="368" spans="1:52" s="28" customFormat="1" x14ac:dyDescent="0.25">
      <c r="A368" t="s">
        <v>310</v>
      </c>
      <c r="B368" t="s">
        <v>311</v>
      </c>
      <c r="C368" s="28" t="str">
        <f>CONCATENATE(A368," ",B368)</f>
        <v>Demetris Jones</v>
      </c>
      <c r="D368" t="s">
        <v>673</v>
      </c>
      <c r="E368">
        <v>781535</v>
      </c>
      <c r="F368" t="s">
        <v>206</v>
      </c>
      <c r="G368" t="s">
        <v>79</v>
      </c>
      <c r="H368" t="s">
        <v>28</v>
      </c>
      <c r="I368" t="s">
        <v>676</v>
      </c>
      <c r="J368" t="s">
        <v>677</v>
      </c>
      <c r="K368" s="17">
        <v>384672439</v>
      </c>
      <c r="L368" t="s">
        <v>771</v>
      </c>
      <c r="M368" s="18" t="s">
        <v>264</v>
      </c>
      <c r="N368" s="18">
        <f>DATEDIF(L368,M368,"M")</f>
        <v>16</v>
      </c>
      <c r="O368" s="19">
        <v>66</v>
      </c>
      <c r="P368" s="20">
        <v>0.24</v>
      </c>
      <c r="Q368" s="14">
        <v>15.84</v>
      </c>
      <c r="R368" t="s">
        <v>985</v>
      </c>
      <c r="S368" t="s">
        <v>1004</v>
      </c>
      <c r="T368" s="18">
        <v>18010408</v>
      </c>
      <c r="U368" s="40" t="s">
        <v>1028</v>
      </c>
      <c r="V368" s="40" t="s">
        <v>1029</v>
      </c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</row>
    <row r="369" spans="1:52" s="28" customFormat="1" x14ac:dyDescent="0.25">
      <c r="A369" t="s">
        <v>310</v>
      </c>
      <c r="B369" t="s">
        <v>311</v>
      </c>
      <c r="C369" s="28" t="str">
        <f>CONCATENATE(A369," ",B369)</f>
        <v>Demetris Jones</v>
      </c>
      <c r="D369" t="s">
        <v>673</v>
      </c>
      <c r="E369">
        <v>781535</v>
      </c>
      <c r="F369" t="s">
        <v>206</v>
      </c>
      <c r="G369" t="s">
        <v>52</v>
      </c>
      <c r="H369" t="s">
        <v>28</v>
      </c>
      <c r="I369" t="s">
        <v>686</v>
      </c>
      <c r="J369" t="s">
        <v>687</v>
      </c>
      <c r="K369" s="17">
        <v>125532058</v>
      </c>
      <c r="L369" t="s">
        <v>771</v>
      </c>
      <c r="M369" s="18" t="s">
        <v>264</v>
      </c>
      <c r="N369" s="18">
        <f>DATEDIF(L369,M369,"M")</f>
        <v>16</v>
      </c>
      <c r="O369" s="19">
        <v>11</v>
      </c>
      <c r="P369" s="20">
        <v>0.37</v>
      </c>
      <c r="Q369" s="14">
        <v>4.07</v>
      </c>
      <c r="R369" t="s">
        <v>984</v>
      </c>
      <c r="S369" t="s">
        <v>1004</v>
      </c>
      <c r="T369" s="18">
        <v>18010408</v>
      </c>
      <c r="U369" s="40" t="s">
        <v>1028</v>
      </c>
      <c r="V369" s="40" t="s">
        <v>1029</v>
      </c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</row>
    <row r="370" spans="1:52" s="28" customFormat="1" x14ac:dyDescent="0.25">
      <c r="A370" t="s">
        <v>343</v>
      </c>
      <c r="B370" t="s">
        <v>344</v>
      </c>
      <c r="C370" s="28" t="str">
        <f>CONCATENATE(A370," ",B370)</f>
        <v>Dana Wasimin</v>
      </c>
      <c r="D370" t="s">
        <v>695</v>
      </c>
      <c r="E370">
        <v>781535</v>
      </c>
      <c r="F370" t="s">
        <v>206</v>
      </c>
      <c r="G370" t="s">
        <v>52</v>
      </c>
      <c r="H370" t="s">
        <v>111</v>
      </c>
      <c r="I370" t="s">
        <v>686</v>
      </c>
      <c r="J370" t="s">
        <v>687</v>
      </c>
      <c r="K370" s="17">
        <v>583635919</v>
      </c>
      <c r="L370" t="s">
        <v>771</v>
      </c>
      <c r="M370" s="18" t="s">
        <v>264</v>
      </c>
      <c r="N370" s="18">
        <f>DATEDIF(L370,M370,"M")</f>
        <v>16</v>
      </c>
      <c r="O370" s="19">
        <v>15</v>
      </c>
      <c r="P370" s="20">
        <v>0.37</v>
      </c>
      <c r="Q370" s="14">
        <v>5.55</v>
      </c>
      <c r="R370" t="s">
        <v>984</v>
      </c>
      <c r="S370" t="s">
        <v>1004</v>
      </c>
      <c r="T370" s="18">
        <v>18010408</v>
      </c>
      <c r="U370" s="40" t="s">
        <v>1028</v>
      </c>
      <c r="V370" s="40" t="s">
        <v>1029</v>
      </c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 s="21"/>
    </row>
    <row r="371" spans="1:52" s="28" customFormat="1" x14ac:dyDescent="0.25">
      <c r="A371" t="s">
        <v>343</v>
      </c>
      <c r="B371" t="s">
        <v>344</v>
      </c>
      <c r="C371" s="28" t="str">
        <f>CONCATENATE(A371," ",B371)</f>
        <v>Dana Wasimin</v>
      </c>
      <c r="D371" t="s">
        <v>695</v>
      </c>
      <c r="E371">
        <v>781535</v>
      </c>
      <c r="F371" t="s">
        <v>206</v>
      </c>
      <c r="G371" t="s">
        <v>79</v>
      </c>
      <c r="H371" t="s">
        <v>85</v>
      </c>
      <c r="I371" t="s">
        <v>676</v>
      </c>
      <c r="J371" t="s">
        <v>677</v>
      </c>
      <c r="K371" s="17">
        <v>476855083</v>
      </c>
      <c r="L371" t="s">
        <v>771</v>
      </c>
      <c r="M371" s="18" t="s">
        <v>264</v>
      </c>
      <c r="N371" s="18">
        <f>DATEDIF(L371,M371,"M")</f>
        <v>16</v>
      </c>
      <c r="O371" s="19">
        <v>132</v>
      </c>
      <c r="P371" s="20">
        <v>0.24</v>
      </c>
      <c r="Q371" s="14">
        <v>31.68</v>
      </c>
      <c r="R371" t="s">
        <v>985</v>
      </c>
      <c r="S371" t="s">
        <v>1004</v>
      </c>
      <c r="T371" s="18">
        <v>18010408</v>
      </c>
      <c r="U371" s="40" t="s">
        <v>1028</v>
      </c>
      <c r="V371" s="40" t="s">
        <v>1029</v>
      </c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 s="21"/>
    </row>
    <row r="372" spans="1:52" s="28" customFormat="1" x14ac:dyDescent="0.25">
      <c r="A372" t="s">
        <v>204</v>
      </c>
      <c r="B372" t="s">
        <v>205</v>
      </c>
      <c r="C372" s="28" t="str">
        <f>CONCATENATE(A372," ",B372)</f>
        <v>Monica ODonnell</v>
      </c>
      <c r="D372" t="s">
        <v>695</v>
      </c>
      <c r="E372">
        <v>781535</v>
      </c>
      <c r="F372" t="s">
        <v>206</v>
      </c>
      <c r="G372" t="s">
        <v>52</v>
      </c>
      <c r="H372" t="s">
        <v>111</v>
      </c>
      <c r="I372" t="s">
        <v>686</v>
      </c>
      <c r="J372" t="s">
        <v>687</v>
      </c>
      <c r="K372" s="17">
        <v>868422442</v>
      </c>
      <c r="L372" t="s">
        <v>771</v>
      </c>
      <c r="M372" s="18" t="s">
        <v>264</v>
      </c>
      <c r="N372" s="18">
        <f>DATEDIF(L372,M372,"M")</f>
        <v>16</v>
      </c>
      <c r="O372" s="19">
        <v>15</v>
      </c>
      <c r="P372" s="20">
        <v>0.37</v>
      </c>
      <c r="Q372" s="14">
        <v>5.55</v>
      </c>
      <c r="R372" t="s">
        <v>984</v>
      </c>
      <c r="S372" t="s">
        <v>1004</v>
      </c>
      <c r="T372" s="18">
        <v>18010408</v>
      </c>
      <c r="U372" s="40" t="s">
        <v>1028</v>
      </c>
      <c r="V372" s="40" t="s">
        <v>1029</v>
      </c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 s="21"/>
    </row>
    <row r="373" spans="1:52" s="28" customFormat="1" x14ac:dyDescent="0.25">
      <c r="A373" t="s">
        <v>204</v>
      </c>
      <c r="B373" t="s">
        <v>205</v>
      </c>
      <c r="C373" s="28" t="str">
        <f>CONCATENATE(A373," ",B373)</f>
        <v>Monica ODonnell</v>
      </c>
      <c r="D373" t="s">
        <v>695</v>
      </c>
      <c r="E373">
        <v>781535</v>
      </c>
      <c r="F373" t="s">
        <v>206</v>
      </c>
      <c r="G373" t="s">
        <v>79</v>
      </c>
      <c r="H373" t="s">
        <v>85</v>
      </c>
      <c r="I373" t="s">
        <v>676</v>
      </c>
      <c r="J373" t="s">
        <v>677</v>
      </c>
      <c r="K373" s="17">
        <v>40198305</v>
      </c>
      <c r="L373" t="s">
        <v>771</v>
      </c>
      <c r="M373" s="18" t="s">
        <v>264</v>
      </c>
      <c r="N373" s="18">
        <f>DATEDIF(L373,M373,"M")</f>
        <v>16</v>
      </c>
      <c r="O373" s="19">
        <v>121</v>
      </c>
      <c r="P373" s="20">
        <v>0.24</v>
      </c>
      <c r="Q373" s="14">
        <v>29.04</v>
      </c>
      <c r="R373" t="s">
        <v>985</v>
      </c>
      <c r="S373" t="s">
        <v>1004</v>
      </c>
      <c r="T373" s="18">
        <v>18010408</v>
      </c>
      <c r="U373" s="40" t="s">
        <v>1028</v>
      </c>
      <c r="V373" s="40" t="s">
        <v>1029</v>
      </c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 s="22"/>
    </row>
    <row r="374" spans="1:52" s="28" customFormat="1" x14ac:dyDescent="0.25">
      <c r="A374" t="s">
        <v>123</v>
      </c>
      <c r="B374" t="s">
        <v>124</v>
      </c>
      <c r="C374" s="28" t="str">
        <f>CONCATENATE(A374," ",B374)</f>
        <v>Bryan Pennington</v>
      </c>
      <c r="D374" t="s">
        <v>858</v>
      </c>
      <c r="E374">
        <v>703501</v>
      </c>
      <c r="F374" t="s">
        <v>71</v>
      </c>
      <c r="G374" t="s">
        <v>73</v>
      </c>
      <c r="H374" t="s">
        <v>39</v>
      </c>
      <c r="I374" t="s">
        <v>676</v>
      </c>
      <c r="J374" t="s">
        <v>677</v>
      </c>
      <c r="K374" s="17">
        <v>623625840</v>
      </c>
      <c r="L374" t="s">
        <v>860</v>
      </c>
      <c r="M374" s="18" t="s">
        <v>264</v>
      </c>
      <c r="N374" s="18">
        <f>DATEDIF(L374,M374,"M")</f>
        <v>17</v>
      </c>
      <c r="O374" s="19">
        <v>93</v>
      </c>
      <c r="P374" s="20">
        <v>0.24</v>
      </c>
      <c r="Q374" s="14">
        <v>-22.32</v>
      </c>
      <c r="R374" t="s">
        <v>985</v>
      </c>
      <c r="S374" t="s">
        <v>1005</v>
      </c>
      <c r="T374" s="18">
        <v>1706194</v>
      </c>
      <c r="U374" s="40" t="s">
        <v>1028</v>
      </c>
      <c r="V374" s="40" t="s">
        <v>1029</v>
      </c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</row>
    <row r="375" spans="1:52" s="28" customFormat="1" x14ac:dyDescent="0.25">
      <c r="A375" t="s">
        <v>123</v>
      </c>
      <c r="B375" t="s">
        <v>124</v>
      </c>
      <c r="C375" s="28" t="str">
        <f>CONCATENATE(A375," ",B375)</f>
        <v>Bryan Pennington</v>
      </c>
      <c r="D375" t="s">
        <v>858</v>
      </c>
      <c r="E375">
        <v>703501</v>
      </c>
      <c r="F375" t="s">
        <v>71</v>
      </c>
      <c r="G375" t="s">
        <v>73</v>
      </c>
      <c r="H375" t="s">
        <v>39</v>
      </c>
      <c r="I375" t="s">
        <v>676</v>
      </c>
      <c r="J375" t="s">
        <v>677</v>
      </c>
      <c r="K375" s="17">
        <v>623625840</v>
      </c>
      <c r="L375" t="s">
        <v>860</v>
      </c>
      <c r="M375" s="18" t="s">
        <v>264</v>
      </c>
      <c r="N375" s="18">
        <f>DATEDIF(L375,M375,"M")</f>
        <v>17</v>
      </c>
      <c r="O375" s="19">
        <v>93</v>
      </c>
      <c r="P375" s="20">
        <v>0.24</v>
      </c>
      <c r="Q375" s="14">
        <v>22.32</v>
      </c>
      <c r="R375" t="s">
        <v>985</v>
      </c>
      <c r="S375" t="s">
        <v>1005</v>
      </c>
      <c r="T375" s="18">
        <v>1706194</v>
      </c>
      <c r="U375" s="40" t="s">
        <v>1028</v>
      </c>
      <c r="V375" s="40" t="s">
        <v>1029</v>
      </c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</row>
    <row r="376" spans="1:52" s="28" customFormat="1" x14ac:dyDescent="0.25">
      <c r="A376" t="s">
        <v>123</v>
      </c>
      <c r="B376" t="s">
        <v>124</v>
      </c>
      <c r="C376" s="28" t="str">
        <f>CONCATENATE(A376," ",B376)</f>
        <v>Bryan Pennington</v>
      </c>
      <c r="D376" t="s">
        <v>858</v>
      </c>
      <c r="E376">
        <v>703501</v>
      </c>
      <c r="F376" t="s">
        <v>71</v>
      </c>
      <c r="G376" t="s">
        <v>73</v>
      </c>
      <c r="H376" t="s">
        <v>39</v>
      </c>
      <c r="I376" t="s">
        <v>676</v>
      </c>
      <c r="J376" t="s">
        <v>677</v>
      </c>
      <c r="K376" s="17">
        <v>623625840</v>
      </c>
      <c r="L376" t="s">
        <v>860</v>
      </c>
      <c r="M376" s="18" t="s">
        <v>264</v>
      </c>
      <c r="N376" s="18">
        <f>DATEDIF(L376,M376,"M")</f>
        <v>17</v>
      </c>
      <c r="O376" s="19">
        <v>93</v>
      </c>
      <c r="P376" s="20">
        <v>0.24</v>
      </c>
      <c r="Q376" s="14">
        <v>-22.32</v>
      </c>
      <c r="R376" t="s">
        <v>985</v>
      </c>
      <c r="S376" t="s">
        <v>1005</v>
      </c>
      <c r="T376" s="18">
        <v>1706194</v>
      </c>
      <c r="U376" s="40" t="s">
        <v>1028</v>
      </c>
      <c r="V376" s="40" t="s">
        <v>1029</v>
      </c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</row>
    <row r="377" spans="1:52" s="28" customFormat="1" x14ac:dyDescent="0.25">
      <c r="A377" t="s">
        <v>123</v>
      </c>
      <c r="B377" t="s">
        <v>124</v>
      </c>
      <c r="C377" s="28" t="str">
        <f>CONCATENATE(A377," ",B377)</f>
        <v>Bryan Pennington</v>
      </c>
      <c r="D377" t="s">
        <v>858</v>
      </c>
      <c r="E377">
        <v>703501</v>
      </c>
      <c r="F377" t="s">
        <v>71</v>
      </c>
      <c r="G377" t="s">
        <v>73</v>
      </c>
      <c r="H377" t="s">
        <v>39</v>
      </c>
      <c r="I377" t="s">
        <v>676</v>
      </c>
      <c r="J377" t="s">
        <v>677</v>
      </c>
      <c r="K377" s="17">
        <v>623625840</v>
      </c>
      <c r="L377" t="s">
        <v>860</v>
      </c>
      <c r="M377" s="18" t="s">
        <v>264</v>
      </c>
      <c r="N377" s="18">
        <f>DATEDIF(L377,M377,"M")</f>
        <v>17</v>
      </c>
      <c r="O377" s="19">
        <v>93</v>
      </c>
      <c r="P377" s="20">
        <v>0.24</v>
      </c>
      <c r="Q377" s="14">
        <v>22.32</v>
      </c>
      <c r="R377" t="s">
        <v>985</v>
      </c>
      <c r="S377" t="s">
        <v>1005</v>
      </c>
      <c r="T377" s="18">
        <v>1706194</v>
      </c>
      <c r="U377" s="40" t="s">
        <v>1028</v>
      </c>
      <c r="V377" s="40" t="s">
        <v>1029</v>
      </c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</row>
    <row r="378" spans="1:52" s="28" customFormat="1" x14ac:dyDescent="0.25">
      <c r="A378" t="s">
        <v>204</v>
      </c>
      <c r="B378" t="s">
        <v>205</v>
      </c>
      <c r="C378" s="28" t="str">
        <f>CONCATENATE(A378," ",B378)</f>
        <v>Monica ODonnell</v>
      </c>
      <c r="D378" t="s">
        <v>695</v>
      </c>
      <c r="E378">
        <v>781535</v>
      </c>
      <c r="F378" t="s">
        <v>206</v>
      </c>
      <c r="G378" t="s">
        <v>79</v>
      </c>
      <c r="H378" t="s">
        <v>85</v>
      </c>
      <c r="I378" t="s">
        <v>676</v>
      </c>
      <c r="J378" t="s">
        <v>677</v>
      </c>
      <c r="K378" s="17">
        <v>40198305</v>
      </c>
      <c r="L378" t="s">
        <v>771</v>
      </c>
      <c r="M378" s="18" t="s">
        <v>670</v>
      </c>
      <c r="N378" s="18">
        <f>DATEDIF(L378,M378,"M")</f>
        <v>17</v>
      </c>
      <c r="O378" s="19">
        <v>121</v>
      </c>
      <c r="P378" s="20">
        <v>0.24</v>
      </c>
      <c r="Q378" s="14">
        <v>29.04</v>
      </c>
      <c r="R378" t="s">
        <v>985</v>
      </c>
      <c r="S378" t="s">
        <v>1004</v>
      </c>
      <c r="T378" s="18">
        <v>18010408</v>
      </c>
      <c r="U378" s="40" t="s">
        <v>1028</v>
      </c>
      <c r="V378" s="40" t="s">
        <v>1029</v>
      </c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</row>
    <row r="379" spans="1:52" s="28" customFormat="1" x14ac:dyDescent="0.25">
      <c r="A379" t="s">
        <v>204</v>
      </c>
      <c r="B379" t="s">
        <v>205</v>
      </c>
      <c r="C379" s="28" t="str">
        <f>CONCATENATE(A379," ",B379)</f>
        <v>Monica ODonnell</v>
      </c>
      <c r="D379" t="s">
        <v>695</v>
      </c>
      <c r="E379">
        <v>781535</v>
      </c>
      <c r="F379" t="s">
        <v>206</v>
      </c>
      <c r="G379" t="s">
        <v>52</v>
      </c>
      <c r="H379" t="s">
        <v>111</v>
      </c>
      <c r="I379" t="s">
        <v>686</v>
      </c>
      <c r="J379" t="s">
        <v>687</v>
      </c>
      <c r="K379" s="17">
        <v>868422442</v>
      </c>
      <c r="L379" t="s">
        <v>771</v>
      </c>
      <c r="M379" s="18" t="s">
        <v>670</v>
      </c>
      <c r="N379" s="18">
        <f>DATEDIF(L379,M379,"M")</f>
        <v>17</v>
      </c>
      <c r="O379" s="19">
        <v>15</v>
      </c>
      <c r="P379" s="20">
        <v>0.37</v>
      </c>
      <c r="Q379" s="14">
        <v>5.55</v>
      </c>
      <c r="R379" t="s">
        <v>984</v>
      </c>
      <c r="S379" t="s">
        <v>1004</v>
      </c>
      <c r="T379" s="18">
        <v>18010408</v>
      </c>
      <c r="U379" s="40" t="s">
        <v>1028</v>
      </c>
      <c r="V379" s="40" t="s">
        <v>1029</v>
      </c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</row>
    <row r="380" spans="1:52" s="28" customFormat="1" x14ac:dyDescent="0.25">
      <c r="A380" t="s">
        <v>156</v>
      </c>
      <c r="B380" t="s">
        <v>532</v>
      </c>
      <c r="C380" s="28" t="str">
        <f>CONCATENATE(A380," ",B380)</f>
        <v>Janice Dziekonski</v>
      </c>
      <c r="D380" t="s">
        <v>691</v>
      </c>
      <c r="E380">
        <v>757929</v>
      </c>
      <c r="F380" t="s">
        <v>36</v>
      </c>
      <c r="G380" t="s">
        <v>131</v>
      </c>
      <c r="H380" t="s">
        <v>28</v>
      </c>
      <c r="I380" t="s">
        <v>676</v>
      </c>
      <c r="J380" t="s">
        <v>677</v>
      </c>
      <c r="K380" s="17">
        <v>379471379</v>
      </c>
      <c r="L380" t="s">
        <v>829</v>
      </c>
      <c r="M380" s="18" t="s">
        <v>705</v>
      </c>
      <c r="N380" s="18">
        <f>DATEDIF(L380,M380,"M")</f>
        <v>18</v>
      </c>
      <c r="O380" s="19">
        <v>40</v>
      </c>
      <c r="P380" s="20">
        <v>0.24</v>
      </c>
      <c r="Q380" s="14">
        <v>9.6</v>
      </c>
      <c r="R380" t="s">
        <v>985</v>
      </c>
      <c r="S380" t="s">
        <v>1003</v>
      </c>
      <c r="T380" s="18">
        <v>9213293</v>
      </c>
      <c r="U380" s="40" t="s">
        <v>1028</v>
      </c>
      <c r="V380" s="40" t="s">
        <v>1029</v>
      </c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</row>
    <row r="381" spans="1:52" s="28" customFormat="1" x14ac:dyDescent="0.25">
      <c r="A381" t="s">
        <v>328</v>
      </c>
      <c r="B381" t="s">
        <v>329</v>
      </c>
      <c r="C381" s="28" t="str">
        <f>CONCATENATE(A381," ",B381)</f>
        <v>Liane Lefever</v>
      </c>
      <c r="D381" t="s">
        <v>695</v>
      </c>
      <c r="E381">
        <v>653470</v>
      </c>
      <c r="F381" t="s">
        <v>330</v>
      </c>
      <c r="G381" t="s">
        <v>52</v>
      </c>
      <c r="H381" t="s">
        <v>111</v>
      </c>
      <c r="I381" t="s">
        <v>686</v>
      </c>
      <c r="J381" t="s">
        <v>687</v>
      </c>
      <c r="K381" s="17">
        <v>784351926</v>
      </c>
      <c r="L381" t="s">
        <v>853</v>
      </c>
      <c r="M381" s="18" t="s">
        <v>693</v>
      </c>
      <c r="N381" s="18">
        <f>DATEDIF(L381,M381,"M")</f>
        <v>18</v>
      </c>
      <c r="O381" s="19">
        <v>15</v>
      </c>
      <c r="P381" s="20">
        <v>0.37</v>
      </c>
      <c r="Q381" s="14">
        <v>5.55</v>
      </c>
      <c r="R381" t="s">
        <v>984</v>
      </c>
      <c r="S381" t="s">
        <v>1001</v>
      </c>
      <c r="T381" s="18">
        <v>15278437</v>
      </c>
      <c r="U381" s="40" t="s">
        <v>1028</v>
      </c>
      <c r="V381" s="40" t="s">
        <v>1029</v>
      </c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</row>
    <row r="382" spans="1:52" s="28" customFormat="1" x14ac:dyDescent="0.25">
      <c r="A382" t="s">
        <v>161</v>
      </c>
      <c r="B382" t="s">
        <v>162</v>
      </c>
      <c r="C382" s="28" t="str">
        <f>CONCATENATE(A382," ",B382)</f>
        <v>Nancy Tiburzio</v>
      </c>
      <c r="D382" t="s">
        <v>710</v>
      </c>
      <c r="E382">
        <v>689390</v>
      </c>
      <c r="F382" t="s">
        <v>77</v>
      </c>
      <c r="G382" t="s">
        <v>79</v>
      </c>
      <c r="H382" t="s">
        <v>28</v>
      </c>
      <c r="I382" t="s">
        <v>676</v>
      </c>
      <c r="J382" t="s">
        <v>677</v>
      </c>
      <c r="K382" s="17">
        <v>970685148</v>
      </c>
      <c r="L382" t="s">
        <v>853</v>
      </c>
      <c r="M382" s="18" t="s">
        <v>705</v>
      </c>
      <c r="N382" s="18">
        <f>DATEDIF(L382,M382,"M")</f>
        <v>19</v>
      </c>
      <c r="O382" s="19">
        <v>66</v>
      </c>
      <c r="P382" s="20">
        <v>0.24</v>
      </c>
      <c r="Q382" s="14">
        <v>15.84</v>
      </c>
      <c r="R382" t="s">
        <v>985</v>
      </c>
      <c r="S382" t="s">
        <v>992</v>
      </c>
      <c r="T382" s="18" t="s">
        <v>1017</v>
      </c>
      <c r="U382" s="40" t="s">
        <v>1028</v>
      </c>
      <c r="V382" s="40" t="s">
        <v>1029</v>
      </c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</row>
    <row r="383" spans="1:52" s="28" customFormat="1" x14ac:dyDescent="0.25">
      <c r="A383" t="s">
        <v>156</v>
      </c>
      <c r="B383" t="s">
        <v>532</v>
      </c>
      <c r="C383" s="28" t="str">
        <f>CONCATENATE(A383," ",B383)</f>
        <v>Janice Dziekonski</v>
      </c>
      <c r="D383" t="s">
        <v>691</v>
      </c>
      <c r="E383">
        <v>757929</v>
      </c>
      <c r="F383" t="s">
        <v>36</v>
      </c>
      <c r="G383" t="s">
        <v>131</v>
      </c>
      <c r="H383" t="s">
        <v>28</v>
      </c>
      <c r="I383" t="s">
        <v>676</v>
      </c>
      <c r="J383" t="s">
        <v>677</v>
      </c>
      <c r="K383" s="17">
        <v>379471379</v>
      </c>
      <c r="L383" t="s">
        <v>829</v>
      </c>
      <c r="M383" s="18" t="s">
        <v>264</v>
      </c>
      <c r="N383" s="18">
        <f>DATEDIF(L383,M383,"M")</f>
        <v>19</v>
      </c>
      <c r="O383" s="19">
        <v>40</v>
      </c>
      <c r="P383" s="20">
        <v>0.24</v>
      </c>
      <c r="Q383" s="14">
        <v>9.6</v>
      </c>
      <c r="R383" t="s">
        <v>985</v>
      </c>
      <c r="S383" t="s">
        <v>1003</v>
      </c>
      <c r="T383" s="18">
        <v>9213293</v>
      </c>
      <c r="U383" s="40" t="s">
        <v>1028</v>
      </c>
      <c r="V383" s="40" t="s">
        <v>1029</v>
      </c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</row>
    <row r="384" spans="1:52" s="28" customFormat="1" x14ac:dyDescent="0.25">
      <c r="A384" t="s">
        <v>328</v>
      </c>
      <c r="B384" t="s">
        <v>329</v>
      </c>
      <c r="C384" s="28" t="str">
        <f>CONCATENATE(A384," ",B384)</f>
        <v>Liane Lefever</v>
      </c>
      <c r="D384" t="s">
        <v>695</v>
      </c>
      <c r="E384">
        <v>653470</v>
      </c>
      <c r="F384" t="s">
        <v>330</v>
      </c>
      <c r="G384" t="s">
        <v>52</v>
      </c>
      <c r="H384" t="s">
        <v>111</v>
      </c>
      <c r="I384" t="s">
        <v>686</v>
      </c>
      <c r="J384" t="s">
        <v>687</v>
      </c>
      <c r="K384" s="17">
        <v>784351926</v>
      </c>
      <c r="L384" t="s">
        <v>853</v>
      </c>
      <c r="M384" s="18" t="s">
        <v>705</v>
      </c>
      <c r="N384" s="18">
        <f>DATEDIF(L384,M384,"M")</f>
        <v>19</v>
      </c>
      <c r="O384" s="19">
        <v>15</v>
      </c>
      <c r="P384" s="20">
        <v>0.37</v>
      </c>
      <c r="Q384" s="14">
        <v>5.55</v>
      </c>
      <c r="R384" t="s">
        <v>984</v>
      </c>
      <c r="S384" t="s">
        <v>1001</v>
      </c>
      <c r="T384" s="18">
        <v>15278437</v>
      </c>
      <c r="U384" s="40" t="s">
        <v>1028</v>
      </c>
      <c r="V384" s="40" t="s">
        <v>1029</v>
      </c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</row>
    <row r="385" spans="1:52" s="28" customFormat="1" x14ac:dyDescent="0.25">
      <c r="A385" t="s">
        <v>244</v>
      </c>
      <c r="B385" t="s">
        <v>245</v>
      </c>
      <c r="C385" s="28" t="str">
        <f>CONCATENATE(A385," ",B385)</f>
        <v>Miosotis Ledesma</v>
      </c>
      <c r="D385" t="s">
        <v>673</v>
      </c>
      <c r="E385">
        <v>723477</v>
      </c>
      <c r="F385" t="s">
        <v>246</v>
      </c>
      <c r="G385" t="s">
        <v>52</v>
      </c>
      <c r="H385" t="s">
        <v>28</v>
      </c>
      <c r="I385" t="s">
        <v>686</v>
      </c>
      <c r="J385" t="s">
        <v>687</v>
      </c>
      <c r="K385" s="17">
        <v>173898668</v>
      </c>
      <c r="L385" t="s">
        <v>689</v>
      </c>
      <c r="M385" s="18" t="s">
        <v>693</v>
      </c>
      <c r="N385" s="18">
        <f>DATEDIF(L385,M385,"M")</f>
        <v>20</v>
      </c>
      <c r="O385" s="19">
        <v>11</v>
      </c>
      <c r="P385" s="20">
        <v>0.37</v>
      </c>
      <c r="Q385" s="14">
        <v>4.07</v>
      </c>
      <c r="R385" t="s">
        <v>984</v>
      </c>
      <c r="S385" t="s">
        <v>1008</v>
      </c>
      <c r="T385" s="18">
        <v>20769090</v>
      </c>
      <c r="U385" s="40" t="s">
        <v>1028</v>
      </c>
      <c r="V385" s="40" t="s">
        <v>1029</v>
      </c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</row>
    <row r="386" spans="1:52" s="28" customFormat="1" x14ac:dyDescent="0.25">
      <c r="A386" t="s">
        <v>161</v>
      </c>
      <c r="B386" t="s">
        <v>162</v>
      </c>
      <c r="C386" s="28" t="str">
        <f>CONCATENATE(A386," ",B386)</f>
        <v>Nancy Tiburzio</v>
      </c>
      <c r="D386" t="s">
        <v>710</v>
      </c>
      <c r="E386">
        <v>689390</v>
      </c>
      <c r="F386" t="s">
        <v>77</v>
      </c>
      <c r="G386" t="s">
        <v>79</v>
      </c>
      <c r="H386" t="s">
        <v>28</v>
      </c>
      <c r="I386" t="s">
        <v>676</v>
      </c>
      <c r="J386" t="s">
        <v>677</v>
      </c>
      <c r="K386" s="17">
        <v>970685148</v>
      </c>
      <c r="L386" t="s">
        <v>853</v>
      </c>
      <c r="M386" s="18" t="s">
        <v>264</v>
      </c>
      <c r="N386" s="18">
        <f>DATEDIF(L386,M386,"M")</f>
        <v>20</v>
      </c>
      <c r="O386" s="19">
        <v>66</v>
      </c>
      <c r="P386" s="20">
        <v>0.24</v>
      </c>
      <c r="Q386" s="14">
        <v>15.84</v>
      </c>
      <c r="R386" t="s">
        <v>985</v>
      </c>
      <c r="S386" t="s">
        <v>992</v>
      </c>
      <c r="T386" s="18" t="s">
        <v>1017</v>
      </c>
      <c r="U386" s="40" t="s">
        <v>1028</v>
      </c>
      <c r="V386" s="40" t="s">
        <v>1029</v>
      </c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</row>
    <row r="387" spans="1:52" s="28" customFormat="1" x14ac:dyDescent="0.25">
      <c r="A387" t="s">
        <v>156</v>
      </c>
      <c r="B387" t="s">
        <v>532</v>
      </c>
      <c r="C387" s="28" t="str">
        <f>CONCATENATE(A387," ",B387)</f>
        <v>Janice Dziekonski</v>
      </c>
      <c r="D387" t="s">
        <v>691</v>
      </c>
      <c r="E387">
        <v>757929</v>
      </c>
      <c r="F387" t="s">
        <v>36</v>
      </c>
      <c r="G387" t="s">
        <v>131</v>
      </c>
      <c r="H387" t="s">
        <v>28</v>
      </c>
      <c r="I387" t="s">
        <v>676</v>
      </c>
      <c r="J387" t="s">
        <v>677</v>
      </c>
      <c r="K387" s="17">
        <v>379471379</v>
      </c>
      <c r="L387" t="s">
        <v>829</v>
      </c>
      <c r="M387" s="18" t="s">
        <v>670</v>
      </c>
      <c r="N387" s="18">
        <f>DATEDIF(L387,M387,"M")</f>
        <v>20</v>
      </c>
      <c r="O387" s="19">
        <v>40</v>
      </c>
      <c r="P387" s="20">
        <v>0.24</v>
      </c>
      <c r="Q387" s="14">
        <v>9.6</v>
      </c>
      <c r="R387" t="s">
        <v>985</v>
      </c>
      <c r="S387" t="s">
        <v>1003</v>
      </c>
      <c r="T387" s="18">
        <v>9213293</v>
      </c>
      <c r="U387" s="40" t="s">
        <v>1028</v>
      </c>
      <c r="V387" s="40" t="s">
        <v>1029</v>
      </c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</row>
    <row r="388" spans="1:52" s="28" customFormat="1" x14ac:dyDescent="0.25">
      <c r="A388" t="s">
        <v>328</v>
      </c>
      <c r="B388" t="s">
        <v>329</v>
      </c>
      <c r="C388" s="28" t="str">
        <f>CONCATENATE(A388," ",B388)</f>
        <v>Liane Lefever</v>
      </c>
      <c r="D388" t="s">
        <v>695</v>
      </c>
      <c r="E388">
        <v>653470</v>
      </c>
      <c r="F388" t="s">
        <v>330</v>
      </c>
      <c r="G388" t="s">
        <v>52</v>
      </c>
      <c r="H388" t="s">
        <v>111</v>
      </c>
      <c r="I388" t="s">
        <v>686</v>
      </c>
      <c r="J388" t="s">
        <v>687</v>
      </c>
      <c r="K388" s="17">
        <v>784351926</v>
      </c>
      <c r="L388" t="s">
        <v>853</v>
      </c>
      <c r="M388" s="18" t="s">
        <v>264</v>
      </c>
      <c r="N388" s="18">
        <f>DATEDIF(L388,M388,"M")</f>
        <v>20</v>
      </c>
      <c r="O388" s="19">
        <v>15</v>
      </c>
      <c r="P388" s="20">
        <v>0.37</v>
      </c>
      <c r="Q388" s="14">
        <v>5.55</v>
      </c>
      <c r="R388" t="s">
        <v>984</v>
      </c>
      <c r="S388" t="s">
        <v>1001</v>
      </c>
      <c r="T388" s="18">
        <v>15278437</v>
      </c>
      <c r="U388" s="40" t="s">
        <v>1028</v>
      </c>
      <c r="V388" s="40" t="s">
        <v>1029</v>
      </c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</row>
    <row r="389" spans="1:52" s="28" customFormat="1" x14ac:dyDescent="0.25">
      <c r="A389" t="s">
        <v>275</v>
      </c>
      <c r="B389" t="s">
        <v>276</v>
      </c>
      <c r="C389" s="28" t="str">
        <f>CONCATENATE(A389," ",B389)</f>
        <v>Cynthia Anderson</v>
      </c>
      <c r="D389" t="s">
        <v>673</v>
      </c>
      <c r="E389">
        <v>657149</v>
      </c>
      <c r="F389" t="s">
        <v>277</v>
      </c>
      <c r="G389" t="s">
        <v>52</v>
      </c>
      <c r="H389" t="s">
        <v>28</v>
      </c>
      <c r="I389" t="s">
        <v>686</v>
      </c>
      <c r="J389" t="s">
        <v>687</v>
      </c>
      <c r="K389" s="17">
        <v>668933669</v>
      </c>
      <c r="L389" t="s">
        <v>689</v>
      </c>
      <c r="M389" s="18" t="s">
        <v>705</v>
      </c>
      <c r="N389" s="18">
        <f>DATEDIF(L389,M389,"M")</f>
        <v>21</v>
      </c>
      <c r="O389" s="19">
        <v>11</v>
      </c>
      <c r="P389" s="20">
        <v>0.37</v>
      </c>
      <c r="Q389" s="14">
        <v>4.07</v>
      </c>
      <c r="R389" t="s">
        <v>984</v>
      </c>
      <c r="S389" t="s">
        <v>989</v>
      </c>
      <c r="T389" s="18">
        <v>9079571</v>
      </c>
      <c r="U389" s="40" t="s">
        <v>1028</v>
      </c>
      <c r="V389" s="40" t="s">
        <v>1029</v>
      </c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</row>
    <row r="390" spans="1:52" s="28" customFormat="1" x14ac:dyDescent="0.25">
      <c r="A390" t="s">
        <v>275</v>
      </c>
      <c r="B390" t="s">
        <v>276</v>
      </c>
      <c r="C390" s="28" t="str">
        <f>CONCATENATE(A390," ",B390)</f>
        <v>Cynthia Anderson</v>
      </c>
      <c r="D390" t="s">
        <v>673</v>
      </c>
      <c r="E390">
        <v>657149</v>
      </c>
      <c r="F390" t="s">
        <v>277</v>
      </c>
      <c r="G390" t="s">
        <v>52</v>
      </c>
      <c r="H390" t="s">
        <v>28</v>
      </c>
      <c r="I390" t="s">
        <v>686</v>
      </c>
      <c r="J390" t="s">
        <v>687</v>
      </c>
      <c r="K390" s="17">
        <v>668933669</v>
      </c>
      <c r="L390" t="s">
        <v>689</v>
      </c>
      <c r="M390" s="18" t="s">
        <v>705</v>
      </c>
      <c r="N390" s="18">
        <f>DATEDIF(L390,M390,"M")</f>
        <v>21</v>
      </c>
      <c r="O390" s="19">
        <v>11</v>
      </c>
      <c r="P390" s="20">
        <v>0.37</v>
      </c>
      <c r="Q390" s="14">
        <v>-4.07</v>
      </c>
      <c r="R390" t="s">
        <v>984</v>
      </c>
      <c r="S390" t="s">
        <v>989</v>
      </c>
      <c r="T390" s="18">
        <v>9079571</v>
      </c>
      <c r="U390" s="40" t="s">
        <v>1028</v>
      </c>
      <c r="V390" s="40" t="s">
        <v>1029</v>
      </c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</row>
    <row r="391" spans="1:52" s="28" customFormat="1" x14ac:dyDescent="0.25">
      <c r="A391" t="s">
        <v>275</v>
      </c>
      <c r="B391" t="s">
        <v>276</v>
      </c>
      <c r="C391" s="28" t="str">
        <f>CONCATENATE(A391," ",B391)</f>
        <v>Cynthia Anderson</v>
      </c>
      <c r="D391" t="s">
        <v>673</v>
      </c>
      <c r="E391">
        <v>657149</v>
      </c>
      <c r="F391" t="s">
        <v>277</v>
      </c>
      <c r="G391" t="s">
        <v>52</v>
      </c>
      <c r="H391" t="s">
        <v>28</v>
      </c>
      <c r="I391" t="s">
        <v>686</v>
      </c>
      <c r="J391" t="s">
        <v>687</v>
      </c>
      <c r="K391" s="17">
        <v>668933669</v>
      </c>
      <c r="L391" t="s">
        <v>689</v>
      </c>
      <c r="M391" s="18" t="s">
        <v>705</v>
      </c>
      <c r="N391" s="18">
        <f>DATEDIF(L391,M391,"M")</f>
        <v>21</v>
      </c>
      <c r="O391" s="19">
        <v>11</v>
      </c>
      <c r="P391" s="20">
        <v>0.37</v>
      </c>
      <c r="Q391" s="14">
        <v>4.07</v>
      </c>
      <c r="R391" t="s">
        <v>984</v>
      </c>
      <c r="S391" t="s">
        <v>989</v>
      </c>
      <c r="T391" s="18">
        <v>9079571</v>
      </c>
      <c r="U391" s="40" t="s">
        <v>1028</v>
      </c>
      <c r="V391" s="40" t="s">
        <v>1029</v>
      </c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</row>
    <row r="392" spans="1:52" s="28" customFormat="1" x14ac:dyDescent="0.25">
      <c r="A392" t="s">
        <v>244</v>
      </c>
      <c r="B392" t="s">
        <v>245</v>
      </c>
      <c r="C392" s="28" t="str">
        <f>CONCATENATE(A392," ",B392)</f>
        <v>Miosotis Ledesma</v>
      </c>
      <c r="D392" t="s">
        <v>673</v>
      </c>
      <c r="E392">
        <v>723477</v>
      </c>
      <c r="F392" t="s">
        <v>246</v>
      </c>
      <c r="G392" t="s">
        <v>52</v>
      </c>
      <c r="H392" t="s">
        <v>28</v>
      </c>
      <c r="I392" t="s">
        <v>686</v>
      </c>
      <c r="J392" t="s">
        <v>687</v>
      </c>
      <c r="K392" s="17">
        <v>173898668</v>
      </c>
      <c r="L392" t="s">
        <v>689</v>
      </c>
      <c r="M392" s="18" t="s">
        <v>705</v>
      </c>
      <c r="N392" s="18">
        <f>DATEDIF(L392,M392,"M")</f>
        <v>21</v>
      </c>
      <c r="O392" s="19">
        <v>11</v>
      </c>
      <c r="P392" s="20">
        <v>0.37</v>
      </c>
      <c r="Q392" s="14">
        <v>4.07</v>
      </c>
      <c r="R392" t="s">
        <v>984</v>
      </c>
      <c r="S392" t="s">
        <v>1008</v>
      </c>
      <c r="T392" s="18">
        <v>20769090</v>
      </c>
      <c r="U392" s="40" t="s">
        <v>1028</v>
      </c>
      <c r="V392" s="40" t="s">
        <v>1029</v>
      </c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</row>
    <row r="393" spans="1:52" s="28" customFormat="1" x14ac:dyDescent="0.25">
      <c r="A393" t="s">
        <v>161</v>
      </c>
      <c r="B393" t="s">
        <v>162</v>
      </c>
      <c r="C393" s="28" t="str">
        <f>CONCATENATE(A393," ",B393)</f>
        <v>Nancy Tiburzio</v>
      </c>
      <c r="D393" t="s">
        <v>710</v>
      </c>
      <c r="E393">
        <v>689390</v>
      </c>
      <c r="F393" t="s">
        <v>77</v>
      </c>
      <c r="G393" t="s">
        <v>79</v>
      </c>
      <c r="H393" t="s">
        <v>28</v>
      </c>
      <c r="I393" t="s">
        <v>676</v>
      </c>
      <c r="J393" t="s">
        <v>677</v>
      </c>
      <c r="K393" s="17">
        <v>970685148</v>
      </c>
      <c r="L393" t="s">
        <v>853</v>
      </c>
      <c r="M393" s="18" t="s">
        <v>670</v>
      </c>
      <c r="N393" s="18">
        <f>DATEDIF(L393,M393,"M")</f>
        <v>21</v>
      </c>
      <c r="O393" s="19">
        <v>66</v>
      </c>
      <c r="P393" s="20">
        <v>0.24</v>
      </c>
      <c r="Q393" s="14">
        <v>15.84</v>
      </c>
      <c r="R393" t="s">
        <v>985</v>
      </c>
      <c r="S393" t="s">
        <v>992</v>
      </c>
      <c r="T393" s="18" t="s">
        <v>1017</v>
      </c>
      <c r="U393" s="40" t="s">
        <v>1028</v>
      </c>
      <c r="V393" s="40" t="s">
        <v>1029</v>
      </c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</row>
    <row r="394" spans="1:52" s="28" customFormat="1" x14ac:dyDescent="0.25">
      <c r="A394" t="s">
        <v>106</v>
      </c>
      <c r="B394" t="s">
        <v>107</v>
      </c>
      <c r="C394" s="28" t="str">
        <f>CONCATENATE(A394," ",B394)</f>
        <v>Richard Golden</v>
      </c>
      <c r="D394" t="s">
        <v>710</v>
      </c>
      <c r="E394">
        <v>689390</v>
      </c>
      <c r="F394" t="s">
        <v>77</v>
      </c>
      <c r="G394" t="s">
        <v>52</v>
      </c>
      <c r="H394" t="s">
        <v>111</v>
      </c>
      <c r="I394" t="s">
        <v>686</v>
      </c>
      <c r="J394" t="s">
        <v>687</v>
      </c>
      <c r="K394" s="17">
        <v>252126537</v>
      </c>
      <c r="L394" t="s">
        <v>689</v>
      </c>
      <c r="M394" s="18" t="s">
        <v>705</v>
      </c>
      <c r="N394" s="18">
        <f>DATEDIF(L394,M394,"M")</f>
        <v>21</v>
      </c>
      <c r="O394" s="19">
        <v>15</v>
      </c>
      <c r="P394" s="20">
        <v>0.37</v>
      </c>
      <c r="Q394" s="14">
        <v>5.55</v>
      </c>
      <c r="R394" t="s">
        <v>984</v>
      </c>
      <c r="S394" t="s">
        <v>992</v>
      </c>
      <c r="T394" s="18" t="s">
        <v>1017</v>
      </c>
      <c r="U394" s="40" t="s">
        <v>1028</v>
      </c>
      <c r="V394" s="40" t="s">
        <v>1029</v>
      </c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</row>
    <row r="395" spans="1:52" s="28" customFormat="1" x14ac:dyDescent="0.25">
      <c r="A395" t="s">
        <v>106</v>
      </c>
      <c r="B395" t="s">
        <v>107</v>
      </c>
      <c r="C395" s="28" t="str">
        <f>CONCATENATE(A395," ",B395)</f>
        <v>Richard Golden</v>
      </c>
      <c r="D395" t="s">
        <v>710</v>
      </c>
      <c r="E395">
        <v>689390</v>
      </c>
      <c r="F395" t="s">
        <v>77</v>
      </c>
      <c r="G395" t="s">
        <v>79</v>
      </c>
      <c r="H395" t="s">
        <v>85</v>
      </c>
      <c r="I395" t="s">
        <v>676</v>
      </c>
      <c r="J395" t="s">
        <v>677</v>
      </c>
      <c r="K395" s="17">
        <v>297820482</v>
      </c>
      <c r="L395" t="s">
        <v>689</v>
      </c>
      <c r="M395" s="18" t="s">
        <v>705</v>
      </c>
      <c r="N395" s="18">
        <f>DATEDIF(L395,M395,"M")</f>
        <v>21</v>
      </c>
      <c r="O395" s="19">
        <v>134</v>
      </c>
      <c r="P395" s="20">
        <v>0.24</v>
      </c>
      <c r="Q395" s="14">
        <v>32.159999999999997</v>
      </c>
      <c r="R395" t="s">
        <v>985</v>
      </c>
      <c r="S395" t="s">
        <v>992</v>
      </c>
      <c r="T395" s="18" t="s">
        <v>1017</v>
      </c>
      <c r="U395" s="40" t="s">
        <v>1028</v>
      </c>
      <c r="V395" s="40" t="s">
        <v>1029</v>
      </c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</row>
    <row r="396" spans="1:52" s="28" customFormat="1" x14ac:dyDescent="0.25">
      <c r="A396" t="s">
        <v>275</v>
      </c>
      <c r="B396" t="s">
        <v>276</v>
      </c>
      <c r="C396" s="28" t="str">
        <f>CONCATENATE(A396," ",B396)</f>
        <v>Cynthia Anderson</v>
      </c>
      <c r="D396" t="s">
        <v>673</v>
      </c>
      <c r="E396">
        <v>657149</v>
      </c>
      <c r="F396" t="s">
        <v>277</v>
      </c>
      <c r="G396" t="s">
        <v>52</v>
      </c>
      <c r="H396" t="s">
        <v>28</v>
      </c>
      <c r="I396" t="s">
        <v>686</v>
      </c>
      <c r="J396" t="s">
        <v>687</v>
      </c>
      <c r="K396" s="17">
        <v>668933669</v>
      </c>
      <c r="L396" t="s">
        <v>689</v>
      </c>
      <c r="M396" s="18" t="s">
        <v>264</v>
      </c>
      <c r="N396" s="18">
        <f>DATEDIF(L396,M396,"M")</f>
        <v>22</v>
      </c>
      <c r="O396" s="19">
        <v>11</v>
      </c>
      <c r="P396" s="20">
        <v>0.37</v>
      </c>
      <c r="Q396" s="14">
        <v>4.07</v>
      </c>
      <c r="R396" t="s">
        <v>984</v>
      </c>
      <c r="S396" t="s">
        <v>989</v>
      </c>
      <c r="T396" s="18">
        <v>9079571</v>
      </c>
      <c r="U396" s="40" t="s">
        <v>1028</v>
      </c>
      <c r="V396" s="40" t="s">
        <v>1029</v>
      </c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</row>
    <row r="397" spans="1:52" s="28" customFormat="1" x14ac:dyDescent="0.25">
      <c r="A397" t="s">
        <v>244</v>
      </c>
      <c r="B397" t="s">
        <v>245</v>
      </c>
      <c r="C397" s="28" t="str">
        <f>CONCATENATE(A397," ",B397)</f>
        <v>Miosotis Ledesma</v>
      </c>
      <c r="D397" t="s">
        <v>673</v>
      </c>
      <c r="E397">
        <v>723477</v>
      </c>
      <c r="F397" t="s">
        <v>246</v>
      </c>
      <c r="G397" t="s">
        <v>52</v>
      </c>
      <c r="H397" t="s">
        <v>28</v>
      </c>
      <c r="I397" t="s">
        <v>686</v>
      </c>
      <c r="J397" t="s">
        <v>687</v>
      </c>
      <c r="K397" s="17">
        <v>173898668</v>
      </c>
      <c r="L397" t="s">
        <v>689</v>
      </c>
      <c r="M397" s="18" t="s">
        <v>264</v>
      </c>
      <c r="N397" s="18">
        <f>DATEDIF(L397,M397,"M")</f>
        <v>22</v>
      </c>
      <c r="O397" s="19">
        <v>11</v>
      </c>
      <c r="P397" s="20">
        <v>0.37</v>
      </c>
      <c r="Q397" s="14">
        <v>4.07</v>
      </c>
      <c r="R397" t="s">
        <v>984</v>
      </c>
      <c r="S397" t="s">
        <v>1008</v>
      </c>
      <c r="T397" s="18">
        <v>20769090</v>
      </c>
      <c r="U397" s="40" t="s">
        <v>1028</v>
      </c>
      <c r="V397" s="40" t="s">
        <v>1029</v>
      </c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</row>
    <row r="398" spans="1:52" s="28" customFormat="1" x14ac:dyDescent="0.25">
      <c r="A398" t="s">
        <v>106</v>
      </c>
      <c r="B398" t="s">
        <v>107</v>
      </c>
      <c r="C398" s="28" t="str">
        <f>CONCATENATE(A398," ",B398)</f>
        <v>Richard Golden</v>
      </c>
      <c r="D398" t="s">
        <v>710</v>
      </c>
      <c r="E398">
        <v>689390</v>
      </c>
      <c r="F398" t="s">
        <v>77</v>
      </c>
      <c r="G398" t="s">
        <v>52</v>
      </c>
      <c r="H398" t="s">
        <v>111</v>
      </c>
      <c r="I398" t="s">
        <v>686</v>
      </c>
      <c r="J398" t="s">
        <v>687</v>
      </c>
      <c r="K398" s="17">
        <v>252126537</v>
      </c>
      <c r="L398" t="s">
        <v>689</v>
      </c>
      <c r="M398" s="18" t="s">
        <v>264</v>
      </c>
      <c r="N398" s="18">
        <f>DATEDIF(L398,M398,"M")</f>
        <v>22</v>
      </c>
      <c r="O398" s="19">
        <v>15</v>
      </c>
      <c r="P398" s="20">
        <v>0.37</v>
      </c>
      <c r="Q398" s="14">
        <v>5.55</v>
      </c>
      <c r="R398" t="s">
        <v>984</v>
      </c>
      <c r="S398" t="s">
        <v>992</v>
      </c>
      <c r="T398" s="18" t="s">
        <v>1017</v>
      </c>
      <c r="U398" s="40" t="s">
        <v>1028</v>
      </c>
      <c r="V398" s="40" t="s">
        <v>1029</v>
      </c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</row>
    <row r="399" spans="1:52" s="28" customFormat="1" x14ac:dyDescent="0.25">
      <c r="A399" t="s">
        <v>106</v>
      </c>
      <c r="B399" t="s">
        <v>107</v>
      </c>
      <c r="C399" s="28" t="str">
        <f>CONCATENATE(A399," ",B399)</f>
        <v>Richard Golden</v>
      </c>
      <c r="D399" t="s">
        <v>710</v>
      </c>
      <c r="E399">
        <v>689390</v>
      </c>
      <c r="F399" t="s">
        <v>77</v>
      </c>
      <c r="G399" t="s">
        <v>79</v>
      </c>
      <c r="H399" t="s">
        <v>85</v>
      </c>
      <c r="I399" t="s">
        <v>676</v>
      </c>
      <c r="J399" t="s">
        <v>677</v>
      </c>
      <c r="K399" s="17">
        <v>297820482</v>
      </c>
      <c r="L399" t="s">
        <v>689</v>
      </c>
      <c r="M399" s="18" t="s">
        <v>264</v>
      </c>
      <c r="N399" s="18">
        <f>DATEDIF(L399,M399,"M")</f>
        <v>22</v>
      </c>
      <c r="O399" s="19">
        <v>134</v>
      </c>
      <c r="P399" s="20">
        <v>0.24</v>
      </c>
      <c r="Q399" s="14">
        <v>32.159999999999997</v>
      </c>
      <c r="R399" t="s">
        <v>985</v>
      </c>
      <c r="S399" t="s">
        <v>992</v>
      </c>
      <c r="T399" s="18" t="s">
        <v>1017</v>
      </c>
      <c r="U399" s="40" t="s">
        <v>1028</v>
      </c>
      <c r="V399" s="40" t="s">
        <v>1029</v>
      </c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</row>
    <row r="400" spans="1:52" s="28" customFormat="1" x14ac:dyDescent="0.25">
      <c r="A400" t="s">
        <v>82</v>
      </c>
      <c r="B400" t="s">
        <v>83</v>
      </c>
      <c r="C400" s="28" t="str">
        <f>CONCATENATE(A400," ",B400)</f>
        <v>Robert Steinberg</v>
      </c>
      <c r="D400" t="s">
        <v>695</v>
      </c>
      <c r="E400">
        <v>689390</v>
      </c>
      <c r="F400" t="s">
        <v>77</v>
      </c>
      <c r="G400" t="s">
        <v>38</v>
      </c>
      <c r="H400" t="s">
        <v>85</v>
      </c>
      <c r="I400" t="s">
        <v>676</v>
      </c>
      <c r="J400" t="s">
        <v>677</v>
      </c>
      <c r="K400" s="17">
        <v>654081029</v>
      </c>
      <c r="L400" t="s">
        <v>800</v>
      </c>
      <c r="M400" s="18" t="s">
        <v>693</v>
      </c>
      <c r="N400" s="18">
        <f>DATEDIF(L400,M400,"M")</f>
        <v>22</v>
      </c>
      <c r="O400" s="19">
        <v>76</v>
      </c>
      <c r="P400" s="20">
        <v>0.24</v>
      </c>
      <c r="Q400" s="14">
        <v>18.239999999999998</v>
      </c>
      <c r="R400" t="s">
        <v>985</v>
      </c>
      <c r="S400" t="s">
        <v>992</v>
      </c>
      <c r="T400" s="18" t="s">
        <v>1017</v>
      </c>
      <c r="U400" s="40" t="s">
        <v>1028</v>
      </c>
      <c r="V400" s="40" t="s">
        <v>1029</v>
      </c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</row>
    <row r="401" spans="1:52" s="28" customFormat="1" x14ac:dyDescent="0.25">
      <c r="A401" t="s">
        <v>328</v>
      </c>
      <c r="B401" t="s">
        <v>329</v>
      </c>
      <c r="C401" s="28" t="str">
        <f>CONCATENATE(A401," ",B401)</f>
        <v>Liane Lefever</v>
      </c>
      <c r="D401" t="s">
        <v>695</v>
      </c>
      <c r="E401">
        <v>653470</v>
      </c>
      <c r="F401" t="s">
        <v>330</v>
      </c>
      <c r="G401" t="s">
        <v>79</v>
      </c>
      <c r="H401" t="s">
        <v>85</v>
      </c>
      <c r="I401" t="s">
        <v>676</v>
      </c>
      <c r="J401" t="s">
        <v>677</v>
      </c>
      <c r="K401" s="17">
        <v>181995160</v>
      </c>
      <c r="L401" t="s">
        <v>800</v>
      </c>
      <c r="M401" s="18" t="s">
        <v>693</v>
      </c>
      <c r="N401" s="18">
        <f>DATEDIF(L401,M401,"M")</f>
        <v>22</v>
      </c>
      <c r="O401" s="19">
        <v>120</v>
      </c>
      <c r="P401" s="20">
        <v>0.24</v>
      </c>
      <c r="Q401" s="14">
        <v>28.8</v>
      </c>
      <c r="R401" t="s">
        <v>985</v>
      </c>
      <c r="S401" t="s">
        <v>1001</v>
      </c>
      <c r="T401" s="18">
        <v>15278437</v>
      </c>
      <c r="U401" s="40" t="s">
        <v>1028</v>
      </c>
      <c r="V401" s="40" t="s">
        <v>1029</v>
      </c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</row>
    <row r="402" spans="1:52" s="28" customFormat="1" x14ac:dyDescent="0.25">
      <c r="A402" t="s">
        <v>275</v>
      </c>
      <c r="B402" t="s">
        <v>276</v>
      </c>
      <c r="C402" s="28" t="str">
        <f>CONCATENATE(A402," ",B402)</f>
        <v>Cynthia Anderson</v>
      </c>
      <c r="D402" t="s">
        <v>673</v>
      </c>
      <c r="E402">
        <v>657149</v>
      </c>
      <c r="F402" t="s">
        <v>277</v>
      </c>
      <c r="G402" t="s">
        <v>52</v>
      </c>
      <c r="H402" t="s">
        <v>28</v>
      </c>
      <c r="I402" t="s">
        <v>686</v>
      </c>
      <c r="J402" t="s">
        <v>687</v>
      </c>
      <c r="K402" s="17">
        <v>668933669</v>
      </c>
      <c r="L402" t="s">
        <v>689</v>
      </c>
      <c r="M402" s="18" t="s">
        <v>670</v>
      </c>
      <c r="N402" s="18">
        <f>DATEDIF(L402,M402,"M")</f>
        <v>23</v>
      </c>
      <c r="O402" s="19">
        <v>11</v>
      </c>
      <c r="P402" s="20">
        <v>0.37</v>
      </c>
      <c r="Q402" s="14">
        <v>4.07</v>
      </c>
      <c r="R402" t="s">
        <v>984</v>
      </c>
      <c r="S402" t="s">
        <v>989</v>
      </c>
      <c r="T402" s="18">
        <v>9079571</v>
      </c>
      <c r="U402" s="40" t="s">
        <v>1028</v>
      </c>
      <c r="V402" s="40" t="s">
        <v>1029</v>
      </c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</row>
    <row r="403" spans="1:52" s="28" customFormat="1" x14ac:dyDescent="0.25">
      <c r="A403" t="s">
        <v>106</v>
      </c>
      <c r="B403" t="s">
        <v>107</v>
      </c>
      <c r="C403" s="28" t="str">
        <f>CONCATENATE(A403," ",B403)</f>
        <v>Richard Golden</v>
      </c>
      <c r="D403" t="s">
        <v>710</v>
      </c>
      <c r="E403">
        <v>689390</v>
      </c>
      <c r="F403" t="s">
        <v>77</v>
      </c>
      <c r="G403" t="s">
        <v>79</v>
      </c>
      <c r="H403" t="s">
        <v>85</v>
      </c>
      <c r="I403" t="s">
        <v>676</v>
      </c>
      <c r="J403" t="s">
        <v>677</v>
      </c>
      <c r="K403" s="17">
        <v>297820482</v>
      </c>
      <c r="L403" t="s">
        <v>689</v>
      </c>
      <c r="M403" s="18" t="s">
        <v>670</v>
      </c>
      <c r="N403" s="18">
        <f>DATEDIF(L403,M403,"M")</f>
        <v>23</v>
      </c>
      <c r="O403" s="19">
        <v>134</v>
      </c>
      <c r="P403" s="20">
        <v>0.24</v>
      </c>
      <c r="Q403" s="14">
        <v>32.159999999999997</v>
      </c>
      <c r="R403" t="s">
        <v>985</v>
      </c>
      <c r="S403" t="s">
        <v>992</v>
      </c>
      <c r="T403" s="18" t="s">
        <v>1017</v>
      </c>
      <c r="U403" s="40" t="s">
        <v>1028</v>
      </c>
      <c r="V403" s="40" t="s">
        <v>1029</v>
      </c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</row>
    <row r="404" spans="1:52" s="28" customFormat="1" x14ac:dyDescent="0.25">
      <c r="A404" t="s">
        <v>106</v>
      </c>
      <c r="B404" t="s">
        <v>107</v>
      </c>
      <c r="C404" s="28" t="str">
        <f>CONCATENATE(A404," ",B404)</f>
        <v>Richard Golden</v>
      </c>
      <c r="D404" t="s">
        <v>710</v>
      </c>
      <c r="E404">
        <v>689390</v>
      </c>
      <c r="F404" t="s">
        <v>77</v>
      </c>
      <c r="G404" t="s">
        <v>52</v>
      </c>
      <c r="H404" t="s">
        <v>111</v>
      </c>
      <c r="I404" t="s">
        <v>686</v>
      </c>
      <c r="J404" t="s">
        <v>687</v>
      </c>
      <c r="K404" s="17">
        <v>252126537</v>
      </c>
      <c r="L404" t="s">
        <v>689</v>
      </c>
      <c r="M404" s="18" t="s">
        <v>670</v>
      </c>
      <c r="N404" s="18">
        <f>DATEDIF(L404,M404,"M")</f>
        <v>23</v>
      </c>
      <c r="O404" s="19">
        <v>15</v>
      </c>
      <c r="P404" s="20">
        <v>0.37</v>
      </c>
      <c r="Q404" s="14">
        <v>5.55</v>
      </c>
      <c r="R404" t="s">
        <v>984</v>
      </c>
      <c r="S404" t="s">
        <v>992</v>
      </c>
      <c r="T404" s="18" t="s">
        <v>1017</v>
      </c>
      <c r="U404" s="40" t="s">
        <v>1028</v>
      </c>
      <c r="V404" s="40" t="s">
        <v>1029</v>
      </c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</row>
    <row r="405" spans="1:52" s="28" customFormat="1" x14ac:dyDescent="0.25">
      <c r="A405" t="s">
        <v>82</v>
      </c>
      <c r="B405" t="s">
        <v>83</v>
      </c>
      <c r="C405" s="28" t="str">
        <f>CONCATENATE(A405," ",B405)</f>
        <v>Robert Steinberg</v>
      </c>
      <c r="D405" t="s">
        <v>695</v>
      </c>
      <c r="E405">
        <v>689390</v>
      </c>
      <c r="F405" t="s">
        <v>77</v>
      </c>
      <c r="G405" t="s">
        <v>38</v>
      </c>
      <c r="H405" t="s">
        <v>85</v>
      </c>
      <c r="I405" t="s">
        <v>676</v>
      </c>
      <c r="J405" t="s">
        <v>677</v>
      </c>
      <c r="K405" s="17">
        <v>654081029</v>
      </c>
      <c r="L405" t="s">
        <v>800</v>
      </c>
      <c r="M405" s="18" t="s">
        <v>705</v>
      </c>
      <c r="N405" s="18">
        <f>DATEDIF(L405,M405,"M")</f>
        <v>23</v>
      </c>
      <c r="O405" s="19">
        <v>76</v>
      </c>
      <c r="P405" s="20">
        <v>0.24</v>
      </c>
      <c r="Q405" s="14">
        <v>18.239999999999998</v>
      </c>
      <c r="R405" t="s">
        <v>985</v>
      </c>
      <c r="S405" t="s">
        <v>992</v>
      </c>
      <c r="T405" s="18" t="s">
        <v>1017</v>
      </c>
      <c r="U405" s="40" t="s">
        <v>1028</v>
      </c>
      <c r="V405" s="40" t="s">
        <v>1029</v>
      </c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</row>
    <row r="406" spans="1:52" s="28" customFormat="1" x14ac:dyDescent="0.25">
      <c r="A406" t="s">
        <v>548</v>
      </c>
      <c r="B406" t="s">
        <v>549</v>
      </c>
      <c r="C406" s="28" t="str">
        <f>CONCATENATE(A406," ",B406)</f>
        <v>Lizanne Hayes</v>
      </c>
      <c r="D406" t="s">
        <v>695</v>
      </c>
      <c r="E406">
        <v>689390</v>
      </c>
      <c r="F406" t="s">
        <v>77</v>
      </c>
      <c r="G406" t="s">
        <v>79</v>
      </c>
      <c r="H406" t="s">
        <v>28</v>
      </c>
      <c r="I406" t="s">
        <v>676</v>
      </c>
      <c r="J406" t="s">
        <v>677</v>
      </c>
      <c r="K406" s="17">
        <v>438557821</v>
      </c>
      <c r="L406" t="s">
        <v>800</v>
      </c>
      <c r="M406" s="18" t="s">
        <v>705</v>
      </c>
      <c r="N406" s="18">
        <f>DATEDIF(L406,M406,"M")</f>
        <v>23</v>
      </c>
      <c r="O406" s="19">
        <v>60</v>
      </c>
      <c r="P406" s="20">
        <v>0.24</v>
      </c>
      <c r="Q406" s="14">
        <v>14.4</v>
      </c>
      <c r="R406" t="s">
        <v>985</v>
      </c>
      <c r="S406" t="s">
        <v>992</v>
      </c>
      <c r="T406" s="18" t="s">
        <v>1017</v>
      </c>
      <c r="U406" s="40" t="s">
        <v>1028</v>
      </c>
      <c r="V406" s="40" t="s">
        <v>1029</v>
      </c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</row>
    <row r="407" spans="1:52" s="28" customFormat="1" x14ac:dyDescent="0.25">
      <c r="A407" t="s">
        <v>114</v>
      </c>
      <c r="B407" t="s">
        <v>115</v>
      </c>
      <c r="C407" s="28" t="str">
        <f>CONCATENATE(A407," ",B407)</f>
        <v>Leon Hankin</v>
      </c>
      <c r="D407" t="s">
        <v>695</v>
      </c>
      <c r="E407">
        <v>689390</v>
      </c>
      <c r="F407" t="s">
        <v>77</v>
      </c>
      <c r="G407" t="s">
        <v>38</v>
      </c>
      <c r="H407" t="s">
        <v>85</v>
      </c>
      <c r="I407" t="s">
        <v>676</v>
      </c>
      <c r="J407" t="s">
        <v>677</v>
      </c>
      <c r="K407" s="17">
        <v>118665193</v>
      </c>
      <c r="L407" t="s">
        <v>800</v>
      </c>
      <c r="M407" s="18" t="s">
        <v>705</v>
      </c>
      <c r="N407" s="18">
        <f>DATEDIF(L407,M407,"M")</f>
        <v>23</v>
      </c>
      <c r="O407" s="19">
        <v>76</v>
      </c>
      <c r="P407" s="20">
        <v>0.24</v>
      </c>
      <c r="Q407" s="14">
        <v>18.239999999999998</v>
      </c>
      <c r="R407" t="s">
        <v>985</v>
      </c>
      <c r="S407" t="s">
        <v>992</v>
      </c>
      <c r="T407" s="18" t="s">
        <v>1017</v>
      </c>
      <c r="U407" s="40" t="s">
        <v>1028</v>
      </c>
      <c r="V407" s="40" t="s">
        <v>1029</v>
      </c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</row>
    <row r="408" spans="1:52" s="28" customFormat="1" x14ac:dyDescent="0.25">
      <c r="A408" t="s">
        <v>229</v>
      </c>
      <c r="B408" t="s">
        <v>230</v>
      </c>
      <c r="C408" s="28" t="str">
        <f>CONCATENATE(A408," ",B408)</f>
        <v>Kathleen McClain</v>
      </c>
      <c r="D408" t="s">
        <v>695</v>
      </c>
      <c r="E408">
        <v>689390</v>
      </c>
      <c r="F408" t="s">
        <v>77</v>
      </c>
      <c r="G408" t="s">
        <v>79</v>
      </c>
      <c r="H408" t="s">
        <v>28</v>
      </c>
      <c r="I408" t="s">
        <v>676</v>
      </c>
      <c r="J408" t="s">
        <v>677</v>
      </c>
      <c r="K408" s="17">
        <v>78980217</v>
      </c>
      <c r="L408" t="s">
        <v>887</v>
      </c>
      <c r="M408" s="18" t="s">
        <v>693</v>
      </c>
      <c r="N408" s="18">
        <f>DATEDIF(L408,M408,"M")</f>
        <v>23</v>
      </c>
      <c r="O408" s="19">
        <v>65</v>
      </c>
      <c r="P408" s="20">
        <v>0.24</v>
      </c>
      <c r="Q408" s="14">
        <v>15.6</v>
      </c>
      <c r="R408" t="s">
        <v>985</v>
      </c>
      <c r="S408" t="s">
        <v>992</v>
      </c>
      <c r="T408" s="18" t="s">
        <v>1017</v>
      </c>
      <c r="U408" s="40" t="s">
        <v>1028</v>
      </c>
      <c r="V408" s="40" t="s">
        <v>1029</v>
      </c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</row>
    <row r="409" spans="1:52" s="28" customFormat="1" x14ac:dyDescent="0.25">
      <c r="A409" t="s">
        <v>328</v>
      </c>
      <c r="B409" t="s">
        <v>329</v>
      </c>
      <c r="C409" s="28" t="str">
        <f>CONCATENATE(A409," ",B409)</f>
        <v>Liane Lefever</v>
      </c>
      <c r="D409" t="s">
        <v>695</v>
      </c>
      <c r="E409">
        <v>653470</v>
      </c>
      <c r="F409" t="s">
        <v>330</v>
      </c>
      <c r="G409" t="s">
        <v>79</v>
      </c>
      <c r="H409" t="s">
        <v>85</v>
      </c>
      <c r="I409" t="s">
        <v>676</v>
      </c>
      <c r="J409" t="s">
        <v>677</v>
      </c>
      <c r="K409" s="17">
        <v>181995160</v>
      </c>
      <c r="L409" t="s">
        <v>800</v>
      </c>
      <c r="M409" s="18" t="s">
        <v>705</v>
      </c>
      <c r="N409" s="18">
        <f>DATEDIF(L409,M409,"M")</f>
        <v>23</v>
      </c>
      <c r="O409" s="19">
        <v>120</v>
      </c>
      <c r="P409" s="20">
        <v>0.24</v>
      </c>
      <c r="Q409" s="14">
        <v>28.8</v>
      </c>
      <c r="R409" t="s">
        <v>985</v>
      </c>
      <c r="S409" t="s">
        <v>1001</v>
      </c>
      <c r="T409" s="18">
        <v>15278437</v>
      </c>
      <c r="U409" s="40" t="s">
        <v>1028</v>
      </c>
      <c r="V409" s="40" t="s">
        <v>1029</v>
      </c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</row>
    <row r="410" spans="1:52" s="28" customFormat="1" x14ac:dyDescent="0.25">
      <c r="A410" t="s">
        <v>233</v>
      </c>
      <c r="B410" t="s">
        <v>234</v>
      </c>
      <c r="C410" s="28" t="str">
        <f>CONCATENATE(A410," ",B410)</f>
        <v>Thomas DeCoudres</v>
      </c>
      <c r="D410" t="s">
        <v>695</v>
      </c>
      <c r="E410">
        <v>720542</v>
      </c>
      <c r="F410" t="s">
        <v>235</v>
      </c>
      <c r="G410" t="s">
        <v>38</v>
      </c>
      <c r="H410" t="s">
        <v>28</v>
      </c>
      <c r="I410" t="s">
        <v>676</v>
      </c>
      <c r="J410" t="s">
        <v>677</v>
      </c>
      <c r="K410" s="17">
        <v>7534852</v>
      </c>
      <c r="L410" t="s">
        <v>887</v>
      </c>
      <c r="M410" s="18" t="s">
        <v>693</v>
      </c>
      <c r="N410" s="18">
        <f>DATEDIF(L410,M410,"M")</f>
        <v>23</v>
      </c>
      <c r="O410" s="19">
        <v>35</v>
      </c>
      <c r="P410" s="20">
        <v>0.03</v>
      </c>
      <c r="Q410" s="14">
        <v>1.05</v>
      </c>
      <c r="R410" t="s">
        <v>985</v>
      </c>
      <c r="S410" t="s">
        <v>1007</v>
      </c>
      <c r="T410" s="18">
        <v>19861194</v>
      </c>
      <c r="U410" s="40" t="s">
        <v>1028</v>
      </c>
      <c r="V410" s="40" t="s">
        <v>1029</v>
      </c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</row>
    <row r="411" spans="1:52" s="28" customFormat="1" x14ac:dyDescent="0.25">
      <c r="A411" t="s">
        <v>82</v>
      </c>
      <c r="B411" t="s">
        <v>83</v>
      </c>
      <c r="C411" s="28" t="str">
        <f>CONCATENATE(A411," ",B411)</f>
        <v>Robert Steinberg</v>
      </c>
      <c r="D411" t="s">
        <v>695</v>
      </c>
      <c r="E411">
        <v>689390</v>
      </c>
      <c r="F411" t="s">
        <v>77</v>
      </c>
      <c r="G411" t="s">
        <v>38</v>
      </c>
      <c r="H411" t="s">
        <v>85</v>
      </c>
      <c r="I411" t="s">
        <v>676</v>
      </c>
      <c r="J411" t="s">
        <v>677</v>
      </c>
      <c r="K411" s="17">
        <v>654081029</v>
      </c>
      <c r="L411" t="s">
        <v>800</v>
      </c>
      <c r="M411" s="18" t="s">
        <v>264</v>
      </c>
      <c r="N411" s="18">
        <f>DATEDIF(L411,M411,"M")</f>
        <v>24</v>
      </c>
      <c r="O411" s="19">
        <v>76</v>
      </c>
      <c r="P411" s="20">
        <v>0.24</v>
      </c>
      <c r="Q411" s="14">
        <v>18.239999999999998</v>
      </c>
      <c r="R411" t="s">
        <v>985</v>
      </c>
      <c r="S411" t="s">
        <v>992</v>
      </c>
      <c r="T411" s="18" t="s">
        <v>1017</v>
      </c>
      <c r="U411" s="40" t="s">
        <v>1028</v>
      </c>
      <c r="V411" s="40" t="s">
        <v>1029</v>
      </c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</row>
    <row r="412" spans="1:52" s="28" customFormat="1" x14ac:dyDescent="0.25">
      <c r="A412" t="s">
        <v>548</v>
      </c>
      <c r="B412" t="s">
        <v>549</v>
      </c>
      <c r="C412" s="28" t="str">
        <f>CONCATENATE(A412," ",B412)</f>
        <v>Lizanne Hayes</v>
      </c>
      <c r="D412" t="s">
        <v>695</v>
      </c>
      <c r="E412">
        <v>689390</v>
      </c>
      <c r="F412" t="s">
        <v>77</v>
      </c>
      <c r="G412" t="s">
        <v>79</v>
      </c>
      <c r="H412" t="s">
        <v>28</v>
      </c>
      <c r="I412" t="s">
        <v>676</v>
      </c>
      <c r="J412" t="s">
        <v>677</v>
      </c>
      <c r="K412" s="17">
        <v>438557821</v>
      </c>
      <c r="L412" t="s">
        <v>800</v>
      </c>
      <c r="M412" s="18" t="s">
        <v>264</v>
      </c>
      <c r="N412" s="18">
        <f>DATEDIF(L412,M412,"M")</f>
        <v>24</v>
      </c>
      <c r="O412" s="19">
        <v>60</v>
      </c>
      <c r="P412" s="20">
        <v>0.24</v>
      </c>
      <c r="Q412" s="14">
        <v>14.4</v>
      </c>
      <c r="R412" t="s">
        <v>985</v>
      </c>
      <c r="S412" t="s">
        <v>992</v>
      </c>
      <c r="T412" s="18" t="s">
        <v>1017</v>
      </c>
      <c r="U412" s="40" t="s">
        <v>1028</v>
      </c>
      <c r="V412" s="40" t="s">
        <v>1029</v>
      </c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</row>
    <row r="413" spans="1:52" s="28" customFormat="1" x14ac:dyDescent="0.25">
      <c r="A413" t="s">
        <v>114</v>
      </c>
      <c r="B413" t="s">
        <v>115</v>
      </c>
      <c r="C413" s="28" t="str">
        <f>CONCATENATE(A413," ",B413)</f>
        <v>Leon Hankin</v>
      </c>
      <c r="D413" t="s">
        <v>695</v>
      </c>
      <c r="E413">
        <v>689390</v>
      </c>
      <c r="F413" t="s">
        <v>77</v>
      </c>
      <c r="G413" t="s">
        <v>38</v>
      </c>
      <c r="H413" t="s">
        <v>85</v>
      </c>
      <c r="I413" t="s">
        <v>676</v>
      </c>
      <c r="J413" t="s">
        <v>677</v>
      </c>
      <c r="K413" s="17">
        <v>118665193</v>
      </c>
      <c r="L413" t="s">
        <v>800</v>
      </c>
      <c r="M413" s="18" t="s">
        <v>264</v>
      </c>
      <c r="N413" s="18">
        <f>DATEDIF(L413,M413,"M")</f>
        <v>24</v>
      </c>
      <c r="O413" s="19">
        <v>76</v>
      </c>
      <c r="P413" s="20">
        <v>0.24</v>
      </c>
      <c r="Q413" s="14">
        <v>18.239999999999998</v>
      </c>
      <c r="R413" t="s">
        <v>985</v>
      </c>
      <c r="S413" t="s">
        <v>992</v>
      </c>
      <c r="T413" s="18" t="s">
        <v>1017</v>
      </c>
      <c r="U413" s="40" t="s">
        <v>1028</v>
      </c>
      <c r="V413" s="40" t="s">
        <v>1029</v>
      </c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</row>
    <row r="414" spans="1:52" s="28" customFormat="1" x14ac:dyDescent="0.25">
      <c r="A414" t="s">
        <v>229</v>
      </c>
      <c r="B414" t="s">
        <v>230</v>
      </c>
      <c r="C414" s="28" t="str">
        <f>CONCATENATE(A414," ",B414)</f>
        <v>Kathleen McClain</v>
      </c>
      <c r="D414" t="s">
        <v>695</v>
      </c>
      <c r="E414">
        <v>689390</v>
      </c>
      <c r="F414" t="s">
        <v>77</v>
      </c>
      <c r="G414" t="s">
        <v>79</v>
      </c>
      <c r="H414" t="s">
        <v>28</v>
      </c>
      <c r="I414" t="s">
        <v>676</v>
      </c>
      <c r="J414" t="s">
        <v>677</v>
      </c>
      <c r="K414" s="17">
        <v>78980217</v>
      </c>
      <c r="L414" t="s">
        <v>887</v>
      </c>
      <c r="M414" s="18" t="s">
        <v>705</v>
      </c>
      <c r="N414" s="18">
        <f>DATEDIF(L414,M414,"M")</f>
        <v>24</v>
      </c>
      <c r="O414" s="19">
        <v>65</v>
      </c>
      <c r="P414" s="20">
        <v>0.24</v>
      </c>
      <c r="Q414" s="14">
        <v>15.6</v>
      </c>
      <c r="R414" t="s">
        <v>985</v>
      </c>
      <c r="S414" t="s">
        <v>992</v>
      </c>
      <c r="T414" s="18" t="s">
        <v>1017</v>
      </c>
      <c r="U414" s="40" t="s">
        <v>1028</v>
      </c>
      <c r="V414" s="40" t="s">
        <v>1029</v>
      </c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</row>
    <row r="415" spans="1:52" s="28" customFormat="1" x14ac:dyDescent="0.25">
      <c r="A415" t="s">
        <v>328</v>
      </c>
      <c r="B415" t="s">
        <v>329</v>
      </c>
      <c r="C415" s="28" t="str">
        <f>CONCATENATE(A415," ",B415)</f>
        <v>Liane Lefever</v>
      </c>
      <c r="D415" t="s">
        <v>695</v>
      </c>
      <c r="E415">
        <v>653470</v>
      </c>
      <c r="F415" t="s">
        <v>330</v>
      </c>
      <c r="G415" t="s">
        <v>79</v>
      </c>
      <c r="H415" t="s">
        <v>85</v>
      </c>
      <c r="I415" t="s">
        <v>676</v>
      </c>
      <c r="J415" t="s">
        <v>677</v>
      </c>
      <c r="K415" s="17">
        <v>181995160</v>
      </c>
      <c r="L415" t="s">
        <v>800</v>
      </c>
      <c r="M415" s="18" t="s">
        <v>264</v>
      </c>
      <c r="N415" s="18">
        <f>DATEDIF(L415,M415,"M")</f>
        <v>24</v>
      </c>
      <c r="O415" s="19">
        <v>120</v>
      </c>
      <c r="P415" s="20">
        <v>0.24</v>
      </c>
      <c r="Q415" s="14">
        <v>28.8</v>
      </c>
      <c r="R415" t="s">
        <v>985</v>
      </c>
      <c r="S415" t="s">
        <v>1001</v>
      </c>
      <c r="T415" s="18">
        <v>15278437</v>
      </c>
      <c r="U415" s="40" t="s">
        <v>1028</v>
      </c>
      <c r="V415" s="40" t="s">
        <v>1029</v>
      </c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 spans="1:52" s="28" customFormat="1" x14ac:dyDescent="0.25">
      <c r="A416" t="s">
        <v>233</v>
      </c>
      <c r="B416" t="s">
        <v>234</v>
      </c>
      <c r="C416" s="28" t="str">
        <f>CONCATENATE(A416," ",B416)</f>
        <v>Thomas DeCoudres</v>
      </c>
      <c r="D416" t="s">
        <v>695</v>
      </c>
      <c r="E416">
        <v>720542</v>
      </c>
      <c r="F416" t="s">
        <v>235</v>
      </c>
      <c r="G416" t="s">
        <v>38</v>
      </c>
      <c r="H416" t="s">
        <v>28</v>
      </c>
      <c r="I416" t="s">
        <v>676</v>
      </c>
      <c r="J416" t="s">
        <v>677</v>
      </c>
      <c r="K416" s="17">
        <v>7534852</v>
      </c>
      <c r="L416" t="s">
        <v>887</v>
      </c>
      <c r="M416" s="18" t="s">
        <v>705</v>
      </c>
      <c r="N416" s="18">
        <f>DATEDIF(L416,M416,"M")</f>
        <v>24</v>
      </c>
      <c r="O416" s="19">
        <v>35</v>
      </c>
      <c r="P416" s="20">
        <v>0.03</v>
      </c>
      <c r="Q416" s="14">
        <v>1.05</v>
      </c>
      <c r="R416" t="s">
        <v>985</v>
      </c>
      <c r="S416" t="s">
        <v>1007</v>
      </c>
      <c r="T416" s="18">
        <v>19861194</v>
      </c>
      <c r="U416" s="40" t="s">
        <v>1028</v>
      </c>
      <c r="V416" s="40" t="s">
        <v>1029</v>
      </c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 spans="1:52" s="28" customFormat="1" x14ac:dyDescent="0.25">
      <c r="A417" t="s">
        <v>548</v>
      </c>
      <c r="B417" t="s">
        <v>549</v>
      </c>
      <c r="C417" s="28" t="str">
        <f>CONCATENATE(A417," ",B417)</f>
        <v>Lizanne Hayes</v>
      </c>
      <c r="D417" t="s">
        <v>695</v>
      </c>
      <c r="E417">
        <v>689390</v>
      </c>
      <c r="F417" t="s">
        <v>77</v>
      </c>
      <c r="G417" t="s">
        <v>79</v>
      </c>
      <c r="H417" t="s">
        <v>28</v>
      </c>
      <c r="I417" t="s">
        <v>676</v>
      </c>
      <c r="J417" t="s">
        <v>677</v>
      </c>
      <c r="K417" s="17">
        <v>438557821</v>
      </c>
      <c r="L417" t="s">
        <v>800</v>
      </c>
      <c r="M417" s="18" t="s">
        <v>670</v>
      </c>
      <c r="N417" s="18">
        <f>DATEDIF(L417,M417,"M")</f>
        <v>25</v>
      </c>
      <c r="O417" s="19">
        <v>60</v>
      </c>
      <c r="P417" s="20">
        <v>0.24</v>
      </c>
      <c r="Q417" s="14">
        <v>14.4</v>
      </c>
      <c r="R417" t="s">
        <v>985</v>
      </c>
      <c r="S417" t="s">
        <v>992</v>
      </c>
      <c r="T417" s="18" t="s">
        <v>1017</v>
      </c>
      <c r="U417" s="40" t="s">
        <v>1028</v>
      </c>
      <c r="V417" s="40" t="s">
        <v>1029</v>
      </c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 spans="1:52" x14ac:dyDescent="0.25">
      <c r="A418" t="s">
        <v>114</v>
      </c>
      <c r="B418" t="s">
        <v>115</v>
      </c>
      <c r="C418" s="28" t="str">
        <f>CONCATENATE(A418," ",B418)</f>
        <v>Leon Hankin</v>
      </c>
      <c r="D418" t="s">
        <v>695</v>
      </c>
      <c r="E418">
        <v>689390</v>
      </c>
      <c r="F418" t="s">
        <v>77</v>
      </c>
      <c r="G418" t="s">
        <v>38</v>
      </c>
      <c r="H418" t="s">
        <v>85</v>
      </c>
      <c r="I418" t="s">
        <v>676</v>
      </c>
      <c r="J418" t="s">
        <v>677</v>
      </c>
      <c r="K418" s="17">
        <v>118665193</v>
      </c>
      <c r="L418" t="s">
        <v>800</v>
      </c>
      <c r="M418" s="18" t="s">
        <v>670</v>
      </c>
      <c r="N418" s="18">
        <f>DATEDIF(L418,M418,"M")</f>
        <v>25</v>
      </c>
      <c r="O418" s="19">
        <v>76</v>
      </c>
      <c r="P418" s="20">
        <v>0.24</v>
      </c>
      <c r="Q418" s="14">
        <v>18.239999999999998</v>
      </c>
      <c r="R418" t="s">
        <v>985</v>
      </c>
      <c r="S418" t="s">
        <v>992</v>
      </c>
      <c r="T418" s="18" t="s">
        <v>1017</v>
      </c>
      <c r="U418" s="40" t="s">
        <v>1028</v>
      </c>
      <c r="V418" s="40" t="s">
        <v>1029</v>
      </c>
    </row>
    <row r="419" spans="1:52" x14ac:dyDescent="0.25">
      <c r="A419" t="s">
        <v>229</v>
      </c>
      <c r="B419" t="s">
        <v>230</v>
      </c>
      <c r="C419" s="28" t="str">
        <f>CONCATENATE(A419," ",B419)</f>
        <v>Kathleen McClain</v>
      </c>
      <c r="D419" t="s">
        <v>695</v>
      </c>
      <c r="E419">
        <v>689390</v>
      </c>
      <c r="F419" t="s">
        <v>77</v>
      </c>
      <c r="G419" t="s">
        <v>79</v>
      </c>
      <c r="H419" t="s">
        <v>28</v>
      </c>
      <c r="I419" t="s">
        <v>676</v>
      </c>
      <c r="J419" t="s">
        <v>677</v>
      </c>
      <c r="K419" s="17">
        <v>78980217</v>
      </c>
      <c r="L419" t="s">
        <v>887</v>
      </c>
      <c r="M419" s="18" t="s">
        <v>264</v>
      </c>
      <c r="N419" s="18">
        <f>DATEDIF(L419,M419,"M")</f>
        <v>25</v>
      </c>
      <c r="O419" s="19">
        <v>65</v>
      </c>
      <c r="P419" s="20">
        <v>0.24</v>
      </c>
      <c r="Q419" s="14">
        <v>15.6</v>
      </c>
      <c r="R419" t="s">
        <v>985</v>
      </c>
      <c r="S419" t="s">
        <v>992</v>
      </c>
      <c r="T419" s="18" t="s">
        <v>1017</v>
      </c>
      <c r="U419" s="40" t="s">
        <v>1028</v>
      </c>
      <c r="V419" s="40" t="s">
        <v>1029</v>
      </c>
    </row>
    <row r="420" spans="1:52" x14ac:dyDescent="0.25">
      <c r="A420" t="s">
        <v>373</v>
      </c>
      <c r="B420" t="s">
        <v>374</v>
      </c>
      <c r="C420" s="28" t="str">
        <f>CONCATENATE(A420," ",B420)</f>
        <v>Siti Freedman</v>
      </c>
      <c r="D420" t="s">
        <v>695</v>
      </c>
      <c r="E420">
        <v>689390</v>
      </c>
      <c r="F420" t="s">
        <v>77</v>
      </c>
      <c r="G420" t="s">
        <v>79</v>
      </c>
      <c r="H420" t="s">
        <v>28</v>
      </c>
      <c r="I420" t="s">
        <v>676</v>
      </c>
      <c r="J420" t="s">
        <v>677</v>
      </c>
      <c r="K420" s="17">
        <v>386395185</v>
      </c>
      <c r="L420" t="s">
        <v>725</v>
      </c>
      <c r="M420" s="18" t="s">
        <v>705</v>
      </c>
      <c r="N420" s="18">
        <f>DATEDIF(L420,M420,"M")</f>
        <v>25</v>
      </c>
      <c r="O420" s="19">
        <v>60</v>
      </c>
      <c r="P420" s="20">
        <v>0.24</v>
      </c>
      <c r="Q420" s="14">
        <v>14.4</v>
      </c>
      <c r="R420" t="s">
        <v>985</v>
      </c>
      <c r="S420" t="s">
        <v>992</v>
      </c>
      <c r="T420" s="18" t="s">
        <v>1017</v>
      </c>
      <c r="U420" s="40" t="s">
        <v>1028</v>
      </c>
      <c r="V420" s="40" t="s">
        <v>1029</v>
      </c>
    </row>
    <row r="421" spans="1:52" x14ac:dyDescent="0.25">
      <c r="A421" t="s">
        <v>233</v>
      </c>
      <c r="B421" t="s">
        <v>234</v>
      </c>
      <c r="C421" s="28" t="str">
        <f>CONCATENATE(A421," ",B421)</f>
        <v>Thomas DeCoudres</v>
      </c>
      <c r="D421" t="s">
        <v>695</v>
      </c>
      <c r="E421">
        <v>720542</v>
      </c>
      <c r="F421" t="s">
        <v>235</v>
      </c>
      <c r="G421" t="s">
        <v>38</v>
      </c>
      <c r="H421" t="s">
        <v>28</v>
      </c>
      <c r="I421" t="s">
        <v>676</v>
      </c>
      <c r="J421" t="s">
        <v>677</v>
      </c>
      <c r="K421" s="17">
        <v>7534852</v>
      </c>
      <c r="L421" t="s">
        <v>887</v>
      </c>
      <c r="M421" s="18" t="s">
        <v>264</v>
      </c>
      <c r="N421" s="18">
        <f>DATEDIF(L421,M421,"M")</f>
        <v>25</v>
      </c>
      <c r="O421" s="19">
        <v>35</v>
      </c>
      <c r="P421" s="20">
        <v>0.03</v>
      </c>
      <c r="Q421" s="14">
        <v>1.05</v>
      </c>
      <c r="R421" t="s">
        <v>985</v>
      </c>
      <c r="S421" t="s">
        <v>1007</v>
      </c>
      <c r="T421" s="18">
        <v>19861194</v>
      </c>
      <c r="U421" s="40" t="s">
        <v>1028</v>
      </c>
      <c r="V421" s="40" t="s">
        <v>1029</v>
      </c>
    </row>
    <row r="422" spans="1:52" s="21" customFormat="1" x14ac:dyDescent="0.25">
      <c r="A422" t="s">
        <v>118</v>
      </c>
      <c r="B422" t="s">
        <v>119</v>
      </c>
      <c r="C422" s="28" t="str">
        <f>CONCATENATE(A422," ",B422)</f>
        <v>Lisa Hopkins</v>
      </c>
      <c r="D422" t="s">
        <v>898</v>
      </c>
      <c r="E422">
        <v>703501</v>
      </c>
      <c r="F422" t="s">
        <v>71</v>
      </c>
      <c r="G422" t="s">
        <v>52</v>
      </c>
      <c r="H422" t="s">
        <v>28</v>
      </c>
      <c r="I422" t="s">
        <v>686</v>
      </c>
      <c r="J422" t="s">
        <v>687</v>
      </c>
      <c r="K422" s="17">
        <v>464503420</v>
      </c>
      <c r="L422" t="s">
        <v>725</v>
      </c>
      <c r="M422" s="18" t="s">
        <v>705</v>
      </c>
      <c r="N422" s="18">
        <f>DATEDIF(L422,M422,"M")</f>
        <v>25</v>
      </c>
      <c r="O422" s="19">
        <v>11</v>
      </c>
      <c r="P422" s="20">
        <v>0.37</v>
      </c>
      <c r="Q422" s="14">
        <v>4.07</v>
      </c>
      <c r="R422" t="s">
        <v>984</v>
      </c>
      <c r="S422" t="s">
        <v>1005</v>
      </c>
      <c r="T422" s="18">
        <v>1706194</v>
      </c>
      <c r="U422" s="40" t="s">
        <v>1028</v>
      </c>
      <c r="V422" s="40" t="s">
        <v>1029</v>
      </c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</row>
    <row r="423" spans="1:52" s="21" customFormat="1" x14ac:dyDescent="0.25">
      <c r="A423" t="s">
        <v>373</v>
      </c>
      <c r="B423" t="s">
        <v>374</v>
      </c>
      <c r="C423" s="28" t="str">
        <f>CONCATENATE(A423," ",B423)</f>
        <v>Siti Freedman</v>
      </c>
      <c r="D423" t="s">
        <v>695</v>
      </c>
      <c r="E423">
        <v>689390</v>
      </c>
      <c r="F423" t="s">
        <v>77</v>
      </c>
      <c r="G423" t="s">
        <v>79</v>
      </c>
      <c r="H423" t="s">
        <v>28</v>
      </c>
      <c r="I423" t="s">
        <v>676</v>
      </c>
      <c r="J423" t="s">
        <v>677</v>
      </c>
      <c r="K423" s="17">
        <v>386395185</v>
      </c>
      <c r="L423" t="s">
        <v>725</v>
      </c>
      <c r="M423" s="18" t="s">
        <v>264</v>
      </c>
      <c r="N423" s="18">
        <f>DATEDIF(L423,M423,"M")</f>
        <v>26</v>
      </c>
      <c r="O423" s="19">
        <v>60</v>
      </c>
      <c r="P423" s="20">
        <v>0.24</v>
      </c>
      <c r="Q423" s="14">
        <v>14.4</v>
      </c>
      <c r="R423" t="s">
        <v>985</v>
      </c>
      <c r="S423" t="s">
        <v>992</v>
      </c>
      <c r="T423" s="18" t="s">
        <v>1017</v>
      </c>
      <c r="U423" s="40" t="s">
        <v>1028</v>
      </c>
      <c r="V423" s="40" t="s">
        <v>1029</v>
      </c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</row>
    <row r="424" spans="1:52" s="21" customFormat="1" x14ac:dyDescent="0.25">
      <c r="A424" t="s">
        <v>118</v>
      </c>
      <c r="B424" t="s">
        <v>119</v>
      </c>
      <c r="C424" s="28" t="str">
        <f>CONCATENATE(A424," ",B424)</f>
        <v>Lisa Hopkins</v>
      </c>
      <c r="D424" t="s">
        <v>898</v>
      </c>
      <c r="E424">
        <v>703501</v>
      </c>
      <c r="F424" t="s">
        <v>71</v>
      </c>
      <c r="G424" t="s">
        <v>52</v>
      </c>
      <c r="H424" t="s">
        <v>28</v>
      </c>
      <c r="I424" t="s">
        <v>686</v>
      </c>
      <c r="J424" t="s">
        <v>687</v>
      </c>
      <c r="K424" s="17">
        <v>464503420</v>
      </c>
      <c r="L424" t="s">
        <v>725</v>
      </c>
      <c r="M424" s="18" t="s">
        <v>264</v>
      </c>
      <c r="N424" s="18">
        <f>DATEDIF(L424,M424,"M")</f>
        <v>26</v>
      </c>
      <c r="O424" s="19">
        <v>11</v>
      </c>
      <c r="P424" s="20">
        <v>0.37</v>
      </c>
      <c r="Q424" s="14">
        <v>4.07</v>
      </c>
      <c r="R424" t="s">
        <v>984</v>
      </c>
      <c r="S424" t="s">
        <v>1005</v>
      </c>
      <c r="T424" s="18">
        <v>1706194</v>
      </c>
      <c r="U424" s="40" t="s">
        <v>1028</v>
      </c>
      <c r="V424" s="40" t="s">
        <v>1029</v>
      </c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</row>
    <row r="425" spans="1:52" s="22" customFormat="1" x14ac:dyDescent="0.25">
      <c r="A425" t="s">
        <v>373</v>
      </c>
      <c r="B425" t="s">
        <v>374</v>
      </c>
      <c r="C425" s="28" t="str">
        <f>CONCATENATE(A425," ",B425)</f>
        <v>Siti Freedman</v>
      </c>
      <c r="D425" t="s">
        <v>695</v>
      </c>
      <c r="E425">
        <v>689390</v>
      </c>
      <c r="F425" t="s">
        <v>77</v>
      </c>
      <c r="G425" t="s">
        <v>79</v>
      </c>
      <c r="H425" t="s">
        <v>28</v>
      </c>
      <c r="I425" t="s">
        <v>676</v>
      </c>
      <c r="J425" t="s">
        <v>677</v>
      </c>
      <c r="K425" s="17">
        <v>386395185</v>
      </c>
      <c r="L425" t="s">
        <v>725</v>
      </c>
      <c r="M425" s="18" t="s">
        <v>670</v>
      </c>
      <c r="N425" s="18">
        <f>DATEDIF(L425,M425,"M")</f>
        <v>27</v>
      </c>
      <c r="O425" s="19">
        <v>60</v>
      </c>
      <c r="P425" s="20">
        <v>0.24</v>
      </c>
      <c r="Q425" s="14">
        <v>14.4</v>
      </c>
      <c r="R425" t="s">
        <v>985</v>
      </c>
      <c r="S425" t="s">
        <v>992</v>
      </c>
      <c r="T425" s="18" t="s">
        <v>1017</v>
      </c>
      <c r="U425" s="40" t="s">
        <v>1028</v>
      </c>
      <c r="V425" s="40" t="s">
        <v>1029</v>
      </c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</row>
    <row r="426" spans="1:52" s="22" customFormat="1" x14ac:dyDescent="0.25">
      <c r="A426" t="s">
        <v>118</v>
      </c>
      <c r="B426" t="s">
        <v>119</v>
      </c>
      <c r="C426" s="28" t="str">
        <f>CONCATENATE(A426," ",B426)</f>
        <v>Lisa Hopkins</v>
      </c>
      <c r="D426" t="s">
        <v>898</v>
      </c>
      <c r="E426">
        <v>703501</v>
      </c>
      <c r="F426" t="s">
        <v>71</v>
      </c>
      <c r="G426" t="s">
        <v>52</v>
      </c>
      <c r="H426" t="s">
        <v>28</v>
      </c>
      <c r="I426" t="s">
        <v>686</v>
      </c>
      <c r="J426" t="s">
        <v>687</v>
      </c>
      <c r="K426" s="17">
        <v>464503420</v>
      </c>
      <c r="L426" t="s">
        <v>725</v>
      </c>
      <c r="M426" s="18" t="s">
        <v>670</v>
      </c>
      <c r="N426" s="18">
        <f>DATEDIF(L426,M426,"M")</f>
        <v>27</v>
      </c>
      <c r="O426" s="19">
        <v>11</v>
      </c>
      <c r="P426" s="20">
        <v>0.37</v>
      </c>
      <c r="Q426" s="14">
        <v>4.07</v>
      </c>
      <c r="R426" t="s">
        <v>984</v>
      </c>
      <c r="S426" t="s">
        <v>1005</v>
      </c>
      <c r="T426" s="18">
        <v>1706194</v>
      </c>
      <c r="U426" s="40" t="s">
        <v>1028</v>
      </c>
      <c r="V426" s="40" t="s">
        <v>1029</v>
      </c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</row>
    <row r="427" spans="1:52" s="22" customFormat="1" x14ac:dyDescent="0.25">
      <c r="A427" t="s">
        <v>535</v>
      </c>
      <c r="B427" t="s">
        <v>536</v>
      </c>
      <c r="C427" s="28" t="str">
        <f>CONCATENATE(A427," ",B427)</f>
        <v>Kenneth Johnson</v>
      </c>
      <c r="D427" t="s">
        <v>832</v>
      </c>
      <c r="E427">
        <v>657149</v>
      </c>
      <c r="F427" t="s">
        <v>277</v>
      </c>
      <c r="G427" t="s">
        <v>538</v>
      </c>
      <c r="H427" t="s">
        <v>39</v>
      </c>
      <c r="I427" t="s">
        <v>676</v>
      </c>
      <c r="J427" t="s">
        <v>677</v>
      </c>
      <c r="K427" s="17">
        <v>172575174</v>
      </c>
      <c r="L427" t="s">
        <v>814</v>
      </c>
      <c r="M427" s="18" t="s">
        <v>982</v>
      </c>
      <c r="N427" s="18">
        <f>DATEDIF(L427,M427,"M")</f>
        <v>34</v>
      </c>
      <c r="O427" s="19">
        <v>212</v>
      </c>
      <c r="P427" s="20">
        <v>0.26</v>
      </c>
      <c r="Q427" s="14">
        <v>55.12</v>
      </c>
      <c r="R427" t="s">
        <v>987</v>
      </c>
      <c r="S427" t="s">
        <v>989</v>
      </c>
      <c r="T427" s="18">
        <v>9079571</v>
      </c>
      <c r="U427" s="40" t="s">
        <v>1028</v>
      </c>
      <c r="V427" s="40" t="s">
        <v>1029</v>
      </c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</row>
    <row r="428" spans="1:52" s="22" customFormat="1" x14ac:dyDescent="0.25">
      <c r="A428" t="s">
        <v>535</v>
      </c>
      <c r="B428" t="s">
        <v>536</v>
      </c>
      <c r="C428" s="28" t="str">
        <f>CONCATENATE(A428," ",B428)</f>
        <v>Kenneth Johnson</v>
      </c>
      <c r="D428" t="s">
        <v>832</v>
      </c>
      <c r="E428">
        <v>657149</v>
      </c>
      <c r="F428" t="s">
        <v>277</v>
      </c>
      <c r="G428" t="s">
        <v>538</v>
      </c>
      <c r="H428" t="s">
        <v>39</v>
      </c>
      <c r="I428" t="s">
        <v>676</v>
      </c>
      <c r="J428" t="s">
        <v>677</v>
      </c>
      <c r="K428" s="17">
        <v>172575174</v>
      </c>
      <c r="L428" t="s">
        <v>814</v>
      </c>
      <c r="M428" s="18" t="s">
        <v>967</v>
      </c>
      <c r="N428" s="18">
        <f>DATEDIF(L428,M428,"M")</f>
        <v>35</v>
      </c>
      <c r="O428" s="19">
        <v>212</v>
      </c>
      <c r="P428" s="20">
        <v>0.26</v>
      </c>
      <c r="Q428" s="14">
        <v>55.12</v>
      </c>
      <c r="R428" t="s">
        <v>987</v>
      </c>
      <c r="S428" t="s">
        <v>989</v>
      </c>
      <c r="T428" s="18">
        <v>9079571</v>
      </c>
      <c r="U428" s="40" t="s">
        <v>1028</v>
      </c>
      <c r="V428" s="40" t="s">
        <v>1029</v>
      </c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</row>
    <row r="429" spans="1:52" s="22" customFormat="1" x14ac:dyDescent="0.25">
      <c r="A429" t="s">
        <v>488</v>
      </c>
      <c r="B429" t="s">
        <v>489</v>
      </c>
      <c r="C429" s="28" t="str">
        <f>CONCATENATE(A429," ",B429)</f>
        <v>Jack Stein</v>
      </c>
      <c r="D429" t="s">
        <v>809</v>
      </c>
      <c r="E429">
        <v>653470</v>
      </c>
      <c r="F429" t="s">
        <v>330</v>
      </c>
      <c r="G429" t="s">
        <v>495</v>
      </c>
      <c r="H429" t="s">
        <v>39</v>
      </c>
      <c r="I429" t="s">
        <v>676</v>
      </c>
      <c r="J429" t="s">
        <v>677</v>
      </c>
      <c r="K429" s="17">
        <v>694607964</v>
      </c>
      <c r="L429" t="s">
        <v>814</v>
      </c>
      <c r="M429" s="18" t="s">
        <v>967</v>
      </c>
      <c r="N429" s="18">
        <f>DATEDIF(L429,M429,"M")</f>
        <v>35</v>
      </c>
      <c r="O429" s="19">
        <v>172</v>
      </c>
      <c r="P429" s="20">
        <v>0.26</v>
      </c>
      <c r="Q429" s="14">
        <v>44.72</v>
      </c>
      <c r="R429" t="s">
        <v>987</v>
      </c>
      <c r="S429" t="s">
        <v>1001</v>
      </c>
      <c r="T429" s="18">
        <v>15278437</v>
      </c>
      <c r="U429" s="40" t="s">
        <v>1028</v>
      </c>
      <c r="V429" s="40" t="s">
        <v>1029</v>
      </c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</row>
    <row r="430" spans="1:52" s="22" customFormat="1" x14ac:dyDescent="0.25">
      <c r="A430" t="s">
        <v>535</v>
      </c>
      <c r="B430" t="s">
        <v>536</v>
      </c>
      <c r="C430" s="28" t="str">
        <f>CONCATENATE(A430," ",B430)</f>
        <v>Kenneth Johnson</v>
      </c>
      <c r="D430" t="s">
        <v>832</v>
      </c>
      <c r="E430">
        <v>657149</v>
      </c>
      <c r="F430" t="s">
        <v>277</v>
      </c>
      <c r="G430" t="s">
        <v>538</v>
      </c>
      <c r="H430" t="s">
        <v>39</v>
      </c>
      <c r="I430" t="s">
        <v>676</v>
      </c>
      <c r="J430" t="s">
        <v>677</v>
      </c>
      <c r="K430" s="17">
        <v>172575174</v>
      </c>
      <c r="L430" t="s">
        <v>814</v>
      </c>
      <c r="M430" s="18" t="s">
        <v>835</v>
      </c>
      <c r="N430" s="18">
        <f>DATEDIF(L430,M430,"M")</f>
        <v>36</v>
      </c>
      <c r="O430" s="19">
        <v>212</v>
      </c>
      <c r="P430" s="20">
        <v>0.26</v>
      </c>
      <c r="Q430" s="14">
        <v>55.12</v>
      </c>
      <c r="R430" t="s">
        <v>987</v>
      </c>
      <c r="S430" t="s">
        <v>989</v>
      </c>
      <c r="T430" s="18">
        <v>9079571</v>
      </c>
      <c r="U430" s="40" t="s">
        <v>1028</v>
      </c>
      <c r="V430" s="40" t="s">
        <v>1029</v>
      </c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</row>
    <row r="431" spans="1:52" s="22" customFormat="1" x14ac:dyDescent="0.25">
      <c r="A431" t="s">
        <v>488</v>
      </c>
      <c r="B431" t="s">
        <v>489</v>
      </c>
      <c r="C431" s="28" t="str">
        <f>CONCATENATE(A431," ",B431)</f>
        <v>Jack Stein</v>
      </c>
      <c r="D431" t="s">
        <v>809</v>
      </c>
      <c r="E431">
        <v>653470</v>
      </c>
      <c r="F431" t="s">
        <v>330</v>
      </c>
      <c r="G431" t="s">
        <v>495</v>
      </c>
      <c r="H431" t="s">
        <v>39</v>
      </c>
      <c r="I431" t="s">
        <v>676</v>
      </c>
      <c r="J431" t="s">
        <v>677</v>
      </c>
      <c r="K431" s="17">
        <v>694607964</v>
      </c>
      <c r="L431" t="s">
        <v>814</v>
      </c>
      <c r="M431" s="18" t="s">
        <v>835</v>
      </c>
      <c r="N431" s="18">
        <f>DATEDIF(L431,M431,"M")</f>
        <v>36</v>
      </c>
      <c r="O431" s="19">
        <v>172</v>
      </c>
      <c r="P431" s="20">
        <v>0.26</v>
      </c>
      <c r="Q431" s="14">
        <v>44.72</v>
      </c>
      <c r="R431" t="s">
        <v>987</v>
      </c>
      <c r="S431" t="s">
        <v>1001</v>
      </c>
      <c r="T431" s="18">
        <v>15278437</v>
      </c>
      <c r="U431" s="40" t="s">
        <v>1028</v>
      </c>
      <c r="V431" s="40" t="s">
        <v>1029</v>
      </c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</row>
    <row r="432" spans="1:52" s="22" customFormat="1" x14ac:dyDescent="0.25">
      <c r="A432" t="s">
        <v>488</v>
      </c>
      <c r="B432" t="s">
        <v>489</v>
      </c>
      <c r="C432" s="28" t="str">
        <f>CONCATENATE(A432," ",B432)</f>
        <v>Jack Stein</v>
      </c>
      <c r="D432" t="s">
        <v>809</v>
      </c>
      <c r="E432">
        <v>653470</v>
      </c>
      <c r="F432" t="s">
        <v>330</v>
      </c>
      <c r="G432" t="s">
        <v>491</v>
      </c>
      <c r="H432" t="s">
        <v>39</v>
      </c>
      <c r="I432" t="s">
        <v>686</v>
      </c>
      <c r="J432" t="s">
        <v>687</v>
      </c>
      <c r="K432" s="17">
        <v>241002988</v>
      </c>
      <c r="L432" t="s">
        <v>811</v>
      </c>
      <c r="M432" s="18" t="s">
        <v>705</v>
      </c>
      <c r="N432" s="18">
        <f>DATEDIF(L432,M432,"M")</f>
        <v>36</v>
      </c>
      <c r="O432" s="19">
        <v>48</v>
      </c>
      <c r="P432" s="20">
        <v>0.26</v>
      </c>
      <c r="Q432" s="14">
        <v>12.48</v>
      </c>
      <c r="R432" t="s">
        <v>984</v>
      </c>
      <c r="S432" t="s">
        <v>1001</v>
      </c>
      <c r="T432" s="18">
        <v>15278437</v>
      </c>
      <c r="U432" s="40" t="s">
        <v>1028</v>
      </c>
      <c r="V432" s="40" t="s">
        <v>1029</v>
      </c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</row>
    <row r="433" spans="1:52" s="22" customFormat="1" x14ac:dyDescent="0.25">
      <c r="A433" t="s">
        <v>488</v>
      </c>
      <c r="B433" t="s">
        <v>489</v>
      </c>
      <c r="C433" s="28" t="str">
        <f>CONCATENATE(A433," ",B433)</f>
        <v>Jack Stein</v>
      </c>
      <c r="D433" t="s">
        <v>809</v>
      </c>
      <c r="E433">
        <v>653470</v>
      </c>
      <c r="F433" t="s">
        <v>330</v>
      </c>
      <c r="G433" t="s">
        <v>495</v>
      </c>
      <c r="H433" t="s">
        <v>39</v>
      </c>
      <c r="I433" t="s">
        <v>676</v>
      </c>
      <c r="J433" t="s">
        <v>677</v>
      </c>
      <c r="K433" s="17">
        <v>694607964</v>
      </c>
      <c r="L433" t="s">
        <v>814</v>
      </c>
      <c r="M433" s="18" t="s">
        <v>815</v>
      </c>
      <c r="N433" s="18">
        <f>DATEDIF(L433,M433,"M")</f>
        <v>37</v>
      </c>
      <c r="O433" s="19">
        <v>172</v>
      </c>
      <c r="P433" s="20">
        <v>0.26</v>
      </c>
      <c r="Q433" s="14">
        <v>44.72</v>
      </c>
      <c r="R433" t="s">
        <v>987</v>
      </c>
      <c r="S433" t="s">
        <v>1001</v>
      </c>
      <c r="T433" s="18">
        <v>15278437</v>
      </c>
      <c r="U433" s="40" t="s">
        <v>1028</v>
      </c>
      <c r="V433" s="40" t="s">
        <v>1029</v>
      </c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</row>
    <row r="434" spans="1:52" s="22" customFormat="1" x14ac:dyDescent="0.25">
      <c r="A434" t="s">
        <v>488</v>
      </c>
      <c r="B434" t="s">
        <v>489</v>
      </c>
      <c r="C434" s="28" t="str">
        <f>CONCATENATE(A434," ",B434)</f>
        <v>Jack Stein</v>
      </c>
      <c r="D434" t="s">
        <v>809</v>
      </c>
      <c r="E434">
        <v>653470</v>
      </c>
      <c r="F434" t="s">
        <v>330</v>
      </c>
      <c r="G434" t="s">
        <v>491</v>
      </c>
      <c r="H434" t="s">
        <v>39</v>
      </c>
      <c r="I434" t="s">
        <v>686</v>
      </c>
      <c r="J434" t="s">
        <v>687</v>
      </c>
      <c r="K434" s="17">
        <v>241002988</v>
      </c>
      <c r="L434" t="s">
        <v>811</v>
      </c>
      <c r="M434" s="18" t="s">
        <v>264</v>
      </c>
      <c r="N434" s="18">
        <f>DATEDIF(L434,M434,"M")</f>
        <v>37</v>
      </c>
      <c r="O434" s="19">
        <v>48</v>
      </c>
      <c r="P434" s="20">
        <v>0.26</v>
      </c>
      <c r="Q434" s="14">
        <v>12.48</v>
      </c>
      <c r="R434" t="s">
        <v>984</v>
      </c>
      <c r="S434" t="s">
        <v>1001</v>
      </c>
      <c r="T434" s="18">
        <v>15278437</v>
      </c>
      <c r="U434" s="40" t="s">
        <v>1028</v>
      </c>
      <c r="V434" s="40" t="s">
        <v>1029</v>
      </c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</row>
    <row r="435" spans="1:52" s="22" customFormat="1" x14ac:dyDescent="0.25">
      <c r="A435" t="s">
        <v>488</v>
      </c>
      <c r="B435" t="s">
        <v>489</v>
      </c>
      <c r="C435" s="28" t="str">
        <f>CONCATENATE(A435," ",B435)</f>
        <v>Jack Stein</v>
      </c>
      <c r="D435" t="s">
        <v>809</v>
      </c>
      <c r="E435">
        <v>653470</v>
      </c>
      <c r="F435" t="s">
        <v>330</v>
      </c>
      <c r="G435" t="s">
        <v>491</v>
      </c>
      <c r="H435" t="s">
        <v>39</v>
      </c>
      <c r="I435" t="s">
        <v>686</v>
      </c>
      <c r="J435" t="s">
        <v>687</v>
      </c>
      <c r="K435" s="17">
        <v>241002988</v>
      </c>
      <c r="L435" t="s">
        <v>811</v>
      </c>
      <c r="M435" s="18" t="s">
        <v>670</v>
      </c>
      <c r="N435" s="18">
        <f>DATEDIF(L435,M435,"M")</f>
        <v>38</v>
      </c>
      <c r="O435" s="19">
        <v>48</v>
      </c>
      <c r="P435" s="20">
        <v>0.26</v>
      </c>
      <c r="Q435" s="14">
        <v>12.48</v>
      </c>
      <c r="R435" t="s">
        <v>984</v>
      </c>
      <c r="S435" t="s">
        <v>1001</v>
      </c>
      <c r="T435" s="18">
        <v>15278437</v>
      </c>
      <c r="U435" s="40" t="s">
        <v>1028</v>
      </c>
      <c r="V435" s="40" t="s">
        <v>1029</v>
      </c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</row>
    <row r="439" spans="1:52" s="53" customFormat="1" x14ac:dyDescent="0.25">
      <c r="A439" s="53" t="s">
        <v>204</v>
      </c>
      <c r="B439" s="53" t="s">
        <v>469</v>
      </c>
      <c r="D439" s="53" t="s">
        <v>757</v>
      </c>
      <c r="E439" s="53">
        <v>847313</v>
      </c>
      <c r="F439" s="53" t="s">
        <v>215</v>
      </c>
      <c r="G439" s="53" t="s">
        <v>471</v>
      </c>
      <c r="H439" s="53" t="s">
        <v>85</v>
      </c>
      <c r="I439" s="53" t="s">
        <v>676</v>
      </c>
      <c r="J439" s="53" t="s">
        <v>677</v>
      </c>
      <c r="K439" s="54">
        <v>109514918</v>
      </c>
      <c r="L439" s="53" t="s">
        <v>734</v>
      </c>
      <c r="M439" s="55" t="s">
        <v>264</v>
      </c>
      <c r="N439" s="55">
        <f>DATEDIF(L439,M439,"M")</f>
        <v>9</v>
      </c>
      <c r="O439" s="56">
        <v>-50</v>
      </c>
      <c r="P439" s="57">
        <v>0.24</v>
      </c>
      <c r="Q439" s="58">
        <v>-12</v>
      </c>
      <c r="R439" s="53" t="s">
        <v>985</v>
      </c>
      <c r="S439" s="53" t="s">
        <v>1002</v>
      </c>
      <c r="T439" s="55">
        <v>21421111</v>
      </c>
      <c r="U439" s="53" t="s">
        <v>1028</v>
      </c>
      <c r="V439" s="53" t="s">
        <v>1029</v>
      </c>
    </row>
    <row r="440" spans="1:52" s="53" customFormat="1" x14ac:dyDescent="0.25">
      <c r="A440" s="59" t="s">
        <v>424</v>
      </c>
      <c r="B440" s="59" t="s">
        <v>425</v>
      </c>
      <c r="C440" s="59"/>
      <c r="D440" s="59" t="s">
        <v>673</v>
      </c>
      <c r="E440" s="59">
        <v>678726</v>
      </c>
      <c r="F440" s="59" t="s">
        <v>25</v>
      </c>
      <c r="G440" s="59" t="s">
        <v>27</v>
      </c>
      <c r="H440" s="59" t="s">
        <v>28</v>
      </c>
      <c r="I440" s="59" t="s">
        <v>676</v>
      </c>
      <c r="J440" s="59" t="s">
        <v>677</v>
      </c>
      <c r="K440" s="60">
        <v>384431357</v>
      </c>
      <c r="L440" s="59" t="s">
        <v>679</v>
      </c>
      <c r="M440" s="61" t="s">
        <v>693</v>
      </c>
      <c r="N440" s="61">
        <f>DATEDIF(L440,M440,"M")</f>
        <v>8</v>
      </c>
      <c r="O440" s="62">
        <v>-25</v>
      </c>
      <c r="P440" s="63">
        <v>0.32</v>
      </c>
      <c r="Q440" s="64">
        <v>-8</v>
      </c>
      <c r="R440" s="59" t="s">
        <v>983</v>
      </c>
      <c r="S440" s="59" t="s">
        <v>988</v>
      </c>
      <c r="T440" s="61">
        <v>16202925</v>
      </c>
      <c r="U440" s="59" t="s">
        <v>1028</v>
      </c>
      <c r="V440" s="59" t="s">
        <v>1029</v>
      </c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</row>
    <row r="441" spans="1:52" x14ac:dyDescent="0.25">
      <c r="A441" s="53" t="s">
        <v>978</v>
      </c>
      <c r="B441" s="53" t="s">
        <v>979</v>
      </c>
      <c r="C441" s="53"/>
      <c r="D441" s="53" t="s">
        <v>980</v>
      </c>
      <c r="E441" s="53">
        <v>891766</v>
      </c>
      <c r="F441" s="53" t="s">
        <v>981</v>
      </c>
      <c r="G441" s="53" t="s">
        <v>52</v>
      </c>
      <c r="H441" s="53" t="s">
        <v>39</v>
      </c>
      <c r="I441" s="53" t="s">
        <v>686</v>
      </c>
      <c r="J441" s="53" t="s">
        <v>687</v>
      </c>
      <c r="K441" s="54">
        <v>416208383</v>
      </c>
      <c r="L441" s="53" t="s">
        <v>805</v>
      </c>
      <c r="M441" s="55" t="s">
        <v>693</v>
      </c>
      <c r="N441" s="55">
        <f>DATEDIF(L441,M441,"M")</f>
        <v>2</v>
      </c>
      <c r="O441" s="56">
        <v>-20</v>
      </c>
      <c r="P441" s="57">
        <v>0.37</v>
      </c>
      <c r="Q441" s="58">
        <v>-7.4</v>
      </c>
      <c r="R441" s="53" t="s">
        <v>984</v>
      </c>
      <c r="S441" s="53" t="s">
        <v>1011</v>
      </c>
      <c r="T441" s="55" t="s">
        <v>1023</v>
      </c>
      <c r="U441" s="53" t="s">
        <v>1028</v>
      </c>
      <c r="V441" s="53" t="s">
        <v>1027</v>
      </c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</row>
  </sheetData>
  <sortState xmlns:xlrd2="http://schemas.microsoft.com/office/spreadsheetml/2017/richdata2" ref="A2:AZ435">
    <sortCondition sortBy="fontColor" ref="A2:A435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2026-02-05T15:15:27Z</dcterms:created>
  <dcterms:modified xsi:type="dcterms:W3CDTF">2026-03-04T21:35:47Z</dcterms:modified>
</cp:coreProperties>
</file>