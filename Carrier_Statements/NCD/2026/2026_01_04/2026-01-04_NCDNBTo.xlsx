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NB 1-4-26 to 1-10-26\"/>
    </mc:Choice>
  </mc:AlternateContent>
  <xr:revisionPtr revIDLastSave="0" documentId="13_ncr:1_{26F5A150-2C68-4BF5-9A7C-C04C2CA60B49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3" i="3" l="1"/>
  <c r="C4" i="3"/>
  <c r="C5" i="3"/>
  <c r="C6" i="3"/>
  <c r="C2" i="3"/>
</calcChain>
</file>

<file path=xl/sharedStrings.xml><?xml version="1.0" encoding="utf-8"?>
<sst xmlns="http://schemas.openxmlformats.org/spreadsheetml/2006/main" count="290" uniqueCount="94">
  <si>
    <t>NCD</t>
  </si>
  <si>
    <t>Agent Label: Main Line Benefits LLC</t>
  </si>
  <si>
    <t>For the Period: NB 01.04.2026-01.10.2026</t>
  </si>
  <si>
    <t>Payout Date: 01.16.2026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</si>
  <si>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</si>
  <si>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</si>
  <si>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</si>
  <si>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</si>
  <si>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</si>
  <si>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</si>
  <si>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</si>
  <si>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</si>
  <si>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</si>
  <si>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</si>
  <si>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</si>
  <si>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</si>
  <si>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</si>
  <si>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</si>
  <si>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</si>
  <si>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</si>
  <si>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</si>
  <si>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Milos</t>
  </si>
  <si>
    <t>Radovanovic</t>
  </si>
  <si>
    <t>Main Line Benefits LLC -Ricardo D Santos</t>
  </si>
  <si>
    <t>895993426</t>
  </si>
  <si>
    <t>NCD Elite 3000 by MetLife</t>
  </si>
  <si>
    <t>Member plus Spouse</t>
  </si>
  <si>
    <t>1/7/2026</t>
  </si>
  <si>
    <t>SALE</t>
  </si>
  <si>
    <t>Melita</t>
  </si>
  <si>
    <t>Laroco</t>
  </si>
  <si>
    <t>182409727</t>
  </si>
  <si>
    <t>VSP Preferred Plan by NCD</t>
  </si>
  <si>
    <t>Member</t>
  </si>
  <si>
    <t>265025003</t>
  </si>
  <si>
    <t>NCD Value by MetLife</t>
  </si>
  <si>
    <t>Toni</t>
  </si>
  <si>
    <t>Gosa</t>
  </si>
  <si>
    <t>732250029</t>
  </si>
  <si>
    <t>1/5/2026</t>
  </si>
  <si>
    <t>397053575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</si>
  <si>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</si>
  <si>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</si>
  <si>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</si>
  <si>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</si>
  <si>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</si>
  <si>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</si>
  <si>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</si>
  <si>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</si>
  <si>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</si>
  <si>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</si>
  <si>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</si>
  <si>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</si>
  <si>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</si>
  <si>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</si>
  <si>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</si>
  <si>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</si>
  <si>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</si>
  <si>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</si>
  <si>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</si>
  <si>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</si>
  <si>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</si>
  <si>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</si>
  <si>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</si>
  <si>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1/12/2026</t>
  </si>
  <si>
    <t>COMM</t>
  </si>
  <si>
    <t>Product</t>
  </si>
  <si>
    <t>Main Line Benefits LLC</t>
  </si>
  <si>
    <t>IL</t>
  </si>
  <si>
    <t>Field</t>
  </si>
  <si>
    <t>Monthly</t>
  </si>
  <si>
    <t>Dental</t>
  </si>
  <si>
    <t>MetLife</t>
  </si>
  <si>
    <t>12/12/2025</t>
  </si>
  <si>
    <t>1/1/2026</t>
  </si>
  <si>
    <t>11533094144</t>
  </si>
  <si>
    <t>ACH</t>
  </si>
  <si>
    <t>1/31/2026</t>
  </si>
  <si>
    <t>24%</t>
  </si>
  <si>
    <t>Vision</t>
  </si>
  <si>
    <t>VSP</t>
  </si>
  <si>
    <t>12/29/2025</t>
  </si>
  <si>
    <t>11535106827</t>
  </si>
  <si>
    <t>12/1/2025</t>
  </si>
  <si>
    <t>12/31/2025</t>
  </si>
  <si>
    <t>37%</t>
  </si>
  <si>
    <t>TN</t>
  </si>
  <si>
    <t>2/1/2026</t>
  </si>
  <si>
    <t>11555085008</t>
  </si>
  <si>
    <t>CC</t>
  </si>
  <si>
    <t>2/28/2026</t>
  </si>
  <si>
    <t>NCD MetLife -24%</t>
  </si>
  <si>
    <t>Metlife Vision</t>
  </si>
  <si>
    <t>19200754AV6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</si>
</sst>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"/>
  <sheetViews>
    <sheetView workbookViewId="0">
      <selection activeCell="D15" sqref="D15"/>
    </sheetView>
  </sheetViews>
  <sheetFormatPr defaultRowHeight="15" x14ac:dyDescent="0.25"/>
  <cols>
    <col min="1" max="1" width="50.7109375" bestFit="1" customWidth="1"/>
    <col min="2" max="2" width="11" bestFit="1" customWidth="1"/>
    <col min="3" max="3" width="19.42578125" bestFit="1" customWidth="1"/>
    <col min="4" max="4" width="18.5703125" bestFit="1" customWidth="1"/>
    <col min="5" max="5" width="16.85546875" bestFit="1" customWidth="1"/>
    <col min="6" max="6" width="37.28515625" bestFit="1" customWidth="1"/>
    <col min="7" max="7" width="14.140625" bestFit="1" customWidth="1"/>
    <col min="8" max="8" width="25" bestFit="1" customWidth="1"/>
    <col min="9" max="9" width="19.85546875" bestFit="1" customWidth="1"/>
    <col min="10" max="10" width="11.7109375" bestFit="1" customWidth="1"/>
    <col min="11" max="11" width="16" bestFit="1" customWidth="1"/>
    <col min="12" max="12" width="6.28515625" bestFit="1" customWidth="1"/>
    <col min="13" max="13" width="23.7109375" bestFit="1" customWidth="1"/>
    <col min="14" max="14" width="7.28515625" bestFit="1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53.02</v>
      </c>
      <c r="E5" s="7" t="s">
        <v>5</v>
      </c>
      <c r="F5" s="6">
        <v>53.02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686026326</v>
      </c>
      <c r="C11" t="s">
        <v>21</v>
      </c>
      <c r="D11" t="s">
        <v>22</v>
      </c>
      <c r="E11">
        <v>759555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110</v>
      </c>
      <c r="N11" s="9">
        <v>26.4</v>
      </c>
    </row>
    <row r="12" spans="1:14" x14ac:dyDescent="0.25">
      <c r="A12" t="s">
        <v>20</v>
      </c>
      <c r="B12">
        <v>686156605</v>
      </c>
      <c r="C12" t="s">
        <v>29</v>
      </c>
      <c r="D12" t="s">
        <v>30</v>
      </c>
      <c r="E12">
        <v>759555</v>
      </c>
      <c r="F12" t="s">
        <v>23</v>
      </c>
      <c r="G12" t="s">
        <v>31</v>
      </c>
      <c r="H12" t="s">
        <v>32</v>
      </c>
      <c r="I12" t="s">
        <v>33</v>
      </c>
      <c r="J12" t="s">
        <v>27</v>
      </c>
      <c r="K12" t="s">
        <v>28</v>
      </c>
      <c r="M12" s="9">
        <v>11</v>
      </c>
      <c r="N12" s="9">
        <v>4.07</v>
      </c>
    </row>
    <row r="13" spans="1:14" x14ac:dyDescent="0.25">
      <c r="A13" t="s">
        <v>20</v>
      </c>
      <c r="B13">
        <v>686156605</v>
      </c>
      <c r="C13" t="s">
        <v>29</v>
      </c>
      <c r="D13" t="s">
        <v>30</v>
      </c>
      <c r="E13">
        <v>759555</v>
      </c>
      <c r="F13" t="s">
        <v>23</v>
      </c>
      <c r="G13" t="s">
        <v>34</v>
      </c>
      <c r="H13" t="s">
        <v>35</v>
      </c>
      <c r="I13" t="s">
        <v>33</v>
      </c>
      <c r="J13" t="s">
        <v>27</v>
      </c>
      <c r="K13" t="s">
        <v>28</v>
      </c>
      <c r="M13" s="9">
        <v>25</v>
      </c>
      <c r="N13" s="9">
        <v>6</v>
      </c>
    </row>
    <row r="14" spans="1:14" x14ac:dyDescent="0.25">
      <c r="A14" t="s">
        <v>20</v>
      </c>
      <c r="B14">
        <v>686192188</v>
      </c>
      <c r="C14" t="s">
        <v>36</v>
      </c>
      <c r="D14" t="s">
        <v>37</v>
      </c>
      <c r="E14">
        <v>759555</v>
      </c>
      <c r="F14" t="s">
        <v>23</v>
      </c>
      <c r="G14" t="s">
        <v>38</v>
      </c>
      <c r="H14" t="s">
        <v>32</v>
      </c>
      <c r="I14" t="s">
        <v>33</v>
      </c>
      <c r="J14" t="s">
        <v>39</v>
      </c>
      <c r="K14" t="s">
        <v>28</v>
      </c>
      <c r="M14" s="9">
        <v>11</v>
      </c>
      <c r="N14" s="9">
        <v>4.07</v>
      </c>
    </row>
    <row r="15" spans="1:14" x14ac:dyDescent="0.25">
      <c r="A15" t="s">
        <v>20</v>
      </c>
      <c r="B15">
        <v>686192188</v>
      </c>
      <c r="C15" t="s">
        <v>36</v>
      </c>
      <c r="D15" t="s">
        <v>37</v>
      </c>
      <c r="E15">
        <v>759555</v>
      </c>
      <c r="F15" t="s">
        <v>23</v>
      </c>
      <c r="G15" t="s">
        <v>40</v>
      </c>
      <c r="H15" t="s">
        <v>25</v>
      </c>
      <c r="I15" t="s">
        <v>33</v>
      </c>
      <c r="J15" t="s">
        <v>39</v>
      </c>
      <c r="K15" t="s">
        <v>28</v>
      </c>
      <c r="M15" s="9">
        <v>52</v>
      </c>
      <c r="N15" s="9">
        <v>12.48</v>
      </c>
    </row>
    <row r="16" spans="1:14" x14ac:dyDescent="0.25">
      <c r="A16" s="8" t="s">
        <v>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0">
        <v>53.02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0" width="20" customWidth="1"/>
    <col min="21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42</v>
      </c>
      <c r="C1" s="11" t="s">
        <v>43</v>
      </c>
      <c r="D1" s="11" t="s">
        <v>44</v>
      </c>
      <c r="E1" s="11" t="s">
        <v>17</v>
      </c>
      <c r="F1" s="11" t="s">
        <v>45</v>
      </c>
      <c r="G1" s="11" t="s">
        <v>46</v>
      </c>
      <c r="H1" s="11" t="s">
        <v>19</v>
      </c>
      <c r="I1" s="11" t="s">
        <v>47</v>
      </c>
      <c r="J1" s="11" t="s">
        <v>48</v>
      </c>
      <c r="K1" s="11" t="s">
        <v>7</v>
      </c>
      <c r="L1" s="11" t="s">
        <v>8</v>
      </c>
      <c r="M1" s="11" t="s">
        <v>9</v>
      </c>
      <c r="N1" s="11" t="s">
        <v>49</v>
      </c>
      <c r="O1" s="11" t="s">
        <v>10</v>
      </c>
      <c r="P1" s="11" t="s">
        <v>11</v>
      </c>
      <c r="Q1" s="11" t="s">
        <v>50</v>
      </c>
      <c r="R1" s="11" t="s">
        <v>51</v>
      </c>
      <c r="S1" s="11" t="s">
        <v>13</v>
      </c>
      <c r="T1" s="11" t="s">
        <v>14</v>
      </c>
      <c r="U1" s="11" t="s">
        <v>52</v>
      </c>
      <c r="V1" s="11" t="s">
        <v>53</v>
      </c>
      <c r="W1" s="11" t="s">
        <v>54</v>
      </c>
      <c r="X1" s="11" t="s">
        <v>55</v>
      </c>
      <c r="Y1" s="11" t="s">
        <v>56</v>
      </c>
      <c r="Z1" s="11" t="s">
        <v>12</v>
      </c>
      <c r="AA1" s="11" t="s">
        <v>57</v>
      </c>
      <c r="AB1" s="11" t="s">
        <v>16</v>
      </c>
      <c r="AC1" s="11" t="s">
        <v>58</v>
      </c>
      <c r="AD1" s="11" t="s">
        <v>59</v>
      </c>
      <c r="AE1" s="11" t="s">
        <v>60</v>
      </c>
      <c r="AF1" s="11" t="s">
        <v>61</v>
      </c>
      <c r="AG1" s="11" t="s">
        <v>18</v>
      </c>
      <c r="AH1" s="11" t="s">
        <v>62</v>
      </c>
      <c r="AI1" s="11" t="s">
        <v>63</v>
      </c>
      <c r="AJ1" s="11" t="s">
        <v>6</v>
      </c>
    </row>
    <row r="2" spans="1:36" x14ac:dyDescent="0.25">
      <c r="A2" t="s">
        <v>27</v>
      </c>
      <c r="B2" t="s">
        <v>64</v>
      </c>
      <c r="C2" t="s">
        <v>65</v>
      </c>
      <c r="D2" t="s">
        <v>66</v>
      </c>
      <c r="F2">
        <v>26.4</v>
      </c>
      <c r="G2">
        <v>0</v>
      </c>
      <c r="H2" s="9">
        <v>26.4</v>
      </c>
      <c r="I2">
        <v>653470</v>
      </c>
      <c r="J2" t="s">
        <v>67</v>
      </c>
      <c r="K2">
        <v>686026326</v>
      </c>
      <c r="L2" t="s">
        <v>21</v>
      </c>
      <c r="M2" t="s">
        <v>22</v>
      </c>
      <c r="N2" t="s">
        <v>68</v>
      </c>
      <c r="O2">
        <v>759555</v>
      </c>
      <c r="P2" t="s">
        <v>23</v>
      </c>
      <c r="Q2" t="s">
        <v>69</v>
      </c>
      <c r="R2">
        <v>42250</v>
      </c>
      <c r="S2" t="s">
        <v>25</v>
      </c>
      <c r="T2" t="s">
        <v>26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24</v>
      </c>
      <c r="AA2" t="s">
        <v>75</v>
      </c>
      <c r="AB2" t="s">
        <v>28</v>
      </c>
      <c r="AC2" t="s">
        <v>76</v>
      </c>
      <c r="AD2">
        <v>1</v>
      </c>
      <c r="AE2" t="s">
        <v>74</v>
      </c>
      <c r="AF2" t="s">
        <v>77</v>
      </c>
      <c r="AG2" s="9">
        <v>110</v>
      </c>
      <c r="AH2" t="s">
        <v>78</v>
      </c>
      <c r="AI2">
        <v>1536843722</v>
      </c>
      <c r="AJ2" t="s">
        <v>20</v>
      </c>
    </row>
    <row r="3" spans="1:36" x14ac:dyDescent="0.25">
      <c r="A3" t="s">
        <v>27</v>
      </c>
      <c r="B3" t="s">
        <v>64</v>
      </c>
      <c r="C3" t="s">
        <v>65</v>
      </c>
      <c r="D3" t="s">
        <v>66</v>
      </c>
      <c r="F3">
        <v>4.07</v>
      </c>
      <c r="G3">
        <v>0</v>
      </c>
      <c r="H3" s="9">
        <v>4.07</v>
      </c>
      <c r="I3">
        <v>653470</v>
      </c>
      <c r="J3" t="s">
        <v>67</v>
      </c>
      <c r="K3">
        <v>686156605</v>
      </c>
      <c r="L3" t="s">
        <v>29</v>
      </c>
      <c r="M3" t="s">
        <v>30</v>
      </c>
      <c r="N3" t="s">
        <v>68</v>
      </c>
      <c r="O3">
        <v>759555</v>
      </c>
      <c r="P3" t="s">
        <v>23</v>
      </c>
      <c r="Q3" t="s">
        <v>69</v>
      </c>
      <c r="R3">
        <v>38593</v>
      </c>
      <c r="S3" t="s">
        <v>32</v>
      </c>
      <c r="T3" t="s">
        <v>33</v>
      </c>
      <c r="U3" t="s">
        <v>70</v>
      </c>
      <c r="V3" t="s">
        <v>79</v>
      </c>
      <c r="W3" t="s">
        <v>80</v>
      </c>
      <c r="X3" t="s">
        <v>81</v>
      </c>
      <c r="Y3" t="s">
        <v>74</v>
      </c>
      <c r="Z3" t="s">
        <v>31</v>
      </c>
      <c r="AA3" t="s">
        <v>82</v>
      </c>
      <c r="AB3" t="s">
        <v>28</v>
      </c>
      <c r="AC3" t="s">
        <v>76</v>
      </c>
      <c r="AD3">
        <v>1</v>
      </c>
      <c r="AE3" t="s">
        <v>83</v>
      </c>
      <c r="AF3" t="s">
        <v>84</v>
      </c>
      <c r="AG3" s="9">
        <v>11</v>
      </c>
      <c r="AH3" t="s">
        <v>85</v>
      </c>
      <c r="AI3">
        <v>1536840848</v>
      </c>
      <c r="AJ3" t="s">
        <v>20</v>
      </c>
    </row>
    <row r="4" spans="1:36" x14ac:dyDescent="0.25">
      <c r="A4" t="s">
        <v>27</v>
      </c>
      <c r="B4" t="s">
        <v>64</v>
      </c>
      <c r="C4" t="s">
        <v>65</v>
      </c>
      <c r="D4" t="s">
        <v>66</v>
      </c>
      <c r="F4">
        <v>6</v>
      </c>
      <c r="G4">
        <v>0</v>
      </c>
      <c r="H4" s="9">
        <v>6</v>
      </c>
      <c r="I4">
        <v>653470</v>
      </c>
      <c r="J4" t="s">
        <v>67</v>
      </c>
      <c r="K4">
        <v>686156605</v>
      </c>
      <c r="L4" t="s">
        <v>29</v>
      </c>
      <c r="M4" t="s">
        <v>30</v>
      </c>
      <c r="N4" t="s">
        <v>68</v>
      </c>
      <c r="O4">
        <v>759555</v>
      </c>
      <c r="P4" t="s">
        <v>23</v>
      </c>
      <c r="Q4" t="s">
        <v>69</v>
      </c>
      <c r="R4">
        <v>38796</v>
      </c>
      <c r="S4" t="s">
        <v>35</v>
      </c>
      <c r="T4" t="s">
        <v>33</v>
      </c>
      <c r="U4" t="s">
        <v>70</v>
      </c>
      <c r="V4" t="s">
        <v>71</v>
      </c>
      <c r="W4" t="s">
        <v>72</v>
      </c>
      <c r="X4" t="s">
        <v>81</v>
      </c>
      <c r="Y4" t="s">
        <v>74</v>
      </c>
      <c r="Z4" t="s">
        <v>34</v>
      </c>
      <c r="AA4" t="s">
        <v>82</v>
      </c>
      <c r="AB4" t="s">
        <v>28</v>
      </c>
      <c r="AC4" t="s">
        <v>76</v>
      </c>
      <c r="AD4">
        <v>1</v>
      </c>
      <c r="AE4" t="s">
        <v>83</v>
      </c>
      <c r="AF4" t="s">
        <v>84</v>
      </c>
      <c r="AG4" s="9">
        <v>25</v>
      </c>
      <c r="AH4" t="s">
        <v>78</v>
      </c>
      <c r="AI4">
        <v>1536840850</v>
      </c>
      <c r="AJ4" t="s">
        <v>20</v>
      </c>
    </row>
    <row r="5" spans="1:36" x14ac:dyDescent="0.25">
      <c r="A5" t="s">
        <v>39</v>
      </c>
      <c r="B5" t="s">
        <v>64</v>
      </c>
      <c r="C5" t="s">
        <v>65</v>
      </c>
      <c r="D5" t="s">
        <v>66</v>
      </c>
      <c r="F5">
        <v>4.07</v>
      </c>
      <c r="G5">
        <v>0</v>
      </c>
      <c r="H5" s="9">
        <v>4.07</v>
      </c>
      <c r="I5">
        <v>653470</v>
      </c>
      <c r="J5" t="s">
        <v>67</v>
      </c>
      <c r="K5">
        <v>686192188</v>
      </c>
      <c r="L5" t="s">
        <v>36</v>
      </c>
      <c r="M5" t="s">
        <v>37</v>
      </c>
      <c r="N5" t="s">
        <v>86</v>
      </c>
      <c r="O5">
        <v>759555</v>
      </c>
      <c r="P5" t="s">
        <v>23</v>
      </c>
      <c r="Q5" t="s">
        <v>69</v>
      </c>
      <c r="R5">
        <v>38593</v>
      </c>
      <c r="S5" t="s">
        <v>32</v>
      </c>
      <c r="T5" t="s">
        <v>33</v>
      </c>
      <c r="U5" t="s">
        <v>70</v>
      </c>
      <c r="V5" t="s">
        <v>79</v>
      </c>
      <c r="W5" t="s">
        <v>80</v>
      </c>
      <c r="X5" t="s">
        <v>39</v>
      </c>
      <c r="Y5" t="s">
        <v>87</v>
      </c>
      <c r="Z5" t="s">
        <v>38</v>
      </c>
      <c r="AA5" t="s">
        <v>88</v>
      </c>
      <c r="AB5" t="s">
        <v>28</v>
      </c>
      <c r="AC5" t="s">
        <v>89</v>
      </c>
      <c r="AD5">
        <v>1</v>
      </c>
      <c r="AE5" t="s">
        <v>87</v>
      </c>
      <c r="AF5" t="s">
        <v>90</v>
      </c>
      <c r="AG5" s="9">
        <v>11</v>
      </c>
      <c r="AH5" t="s">
        <v>85</v>
      </c>
      <c r="AI5">
        <v>1536836040</v>
      </c>
      <c r="AJ5" t="s">
        <v>20</v>
      </c>
    </row>
    <row r="6" spans="1:36" x14ac:dyDescent="0.25">
      <c r="A6" t="s">
        <v>39</v>
      </c>
      <c r="B6" t="s">
        <v>64</v>
      </c>
      <c r="C6" t="s">
        <v>65</v>
      </c>
      <c r="D6" t="s">
        <v>66</v>
      </c>
      <c r="F6">
        <v>12.48</v>
      </c>
      <c r="G6">
        <v>0</v>
      </c>
      <c r="H6" s="9">
        <v>12.48</v>
      </c>
      <c r="I6">
        <v>653470</v>
      </c>
      <c r="J6" t="s">
        <v>67</v>
      </c>
      <c r="K6">
        <v>686192188</v>
      </c>
      <c r="L6" t="s">
        <v>36</v>
      </c>
      <c r="M6" t="s">
        <v>37</v>
      </c>
      <c r="N6" t="s">
        <v>86</v>
      </c>
      <c r="O6">
        <v>759555</v>
      </c>
      <c r="P6" t="s">
        <v>23</v>
      </c>
      <c r="Q6" t="s">
        <v>69</v>
      </c>
      <c r="R6">
        <v>42250</v>
      </c>
      <c r="S6" t="s">
        <v>25</v>
      </c>
      <c r="T6" t="s">
        <v>33</v>
      </c>
      <c r="U6" t="s">
        <v>70</v>
      </c>
      <c r="V6" t="s">
        <v>71</v>
      </c>
      <c r="W6" t="s">
        <v>72</v>
      </c>
      <c r="X6" t="s">
        <v>39</v>
      </c>
      <c r="Y6" t="s">
        <v>87</v>
      </c>
      <c r="Z6" t="s">
        <v>40</v>
      </c>
      <c r="AA6" t="s">
        <v>88</v>
      </c>
      <c r="AB6" t="s">
        <v>28</v>
      </c>
      <c r="AC6" t="s">
        <v>89</v>
      </c>
      <c r="AD6">
        <v>1</v>
      </c>
      <c r="AE6" t="s">
        <v>87</v>
      </c>
      <c r="AF6" t="s">
        <v>90</v>
      </c>
      <c r="AG6" s="9">
        <v>52</v>
      </c>
      <c r="AH6" t="s">
        <v>78</v>
      </c>
      <c r="AI6">
        <v>1536836030</v>
      </c>
      <c r="AJ6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757D-2807-4FF2-83CE-74A6B38BE5C0}">
  <dimension ref="A1:P6"/>
  <sheetViews>
    <sheetView tabSelected="1" workbookViewId="0">
      <selection activeCell="C2" sqref="C2:C6"/>
    </sheetView>
  </sheetViews>
  <sheetFormatPr defaultRowHeight="15" x14ac:dyDescent="0.25"/>
  <cols>
    <col min="1" max="1" width="11.28515625" customWidth="1"/>
    <col min="2" max="2" width="12.7109375" customWidth="1"/>
    <col min="3" max="3" width="17.7109375" bestFit="1" customWidth="1"/>
    <col min="4" max="4" width="10.140625" customWidth="1"/>
    <col min="5" max="5" width="37.28515625" bestFit="1" customWidth="1"/>
    <col min="6" max="6" width="18.28515625" customWidth="1"/>
    <col min="7" max="7" width="27" customWidth="1"/>
    <col min="8" max="8" width="11.28515625" customWidth="1"/>
    <col min="9" max="9" width="12.140625" customWidth="1"/>
    <col min="10" max="10" width="13.140625" customWidth="1"/>
    <col min="11" max="11" width="14" customWidth="1"/>
    <col min="12" max="12" width="9.140625" customWidth="1"/>
    <col min="13" max="14" width="8" customWidth="1"/>
    <col min="15" max="15" width="7" customWidth="1"/>
  </cols>
  <sheetData>
    <row r="1" spans="1:16" x14ac:dyDescent="0.25">
      <c r="A1" s="11" t="s">
        <v>8</v>
      </c>
      <c r="B1" s="11" t="s">
        <v>9</v>
      </c>
      <c r="C1" s="11"/>
      <c r="D1" s="11" t="s">
        <v>49</v>
      </c>
      <c r="E1" s="11" t="s">
        <v>11</v>
      </c>
      <c r="F1" s="11"/>
      <c r="G1" s="11" t="s">
        <v>13</v>
      </c>
      <c r="H1" s="11" t="s">
        <v>53</v>
      </c>
      <c r="I1" s="11" t="s">
        <v>54</v>
      </c>
      <c r="J1" s="11" t="s">
        <v>56</v>
      </c>
      <c r="K1" s="11" t="s">
        <v>12</v>
      </c>
      <c r="L1" s="11" t="s">
        <v>18</v>
      </c>
      <c r="M1" s="11" t="s">
        <v>62</v>
      </c>
      <c r="N1" s="11" t="s">
        <v>45</v>
      </c>
      <c r="O1" s="11" t="s">
        <v>19</v>
      </c>
    </row>
    <row r="2" spans="1:16" x14ac:dyDescent="0.25">
      <c r="A2" t="s">
        <v>21</v>
      </c>
      <c r="B2" t="s">
        <v>22</v>
      </c>
      <c r="C2" t="str">
        <f>CONCATENATE(A2," ",B2)</f>
        <v>Milos Radovanovic</v>
      </c>
      <c r="D2" t="s">
        <v>68</v>
      </c>
      <c r="E2" t="s">
        <v>23</v>
      </c>
      <c r="F2" t="s">
        <v>93</v>
      </c>
      <c r="G2" t="s">
        <v>25</v>
      </c>
      <c r="H2" t="s">
        <v>71</v>
      </c>
      <c r="I2" t="s">
        <v>72</v>
      </c>
      <c r="J2" t="s">
        <v>74</v>
      </c>
      <c r="K2" s="12">
        <v>895993426</v>
      </c>
      <c r="L2" s="9">
        <v>110</v>
      </c>
      <c r="M2" s="13">
        <v>0.24</v>
      </c>
      <c r="N2">
        <v>26.4</v>
      </c>
      <c r="O2" s="9">
        <v>26.4</v>
      </c>
      <c r="P2" t="s">
        <v>91</v>
      </c>
    </row>
    <row r="3" spans="1:16" x14ac:dyDescent="0.25">
      <c r="A3" t="s">
        <v>29</v>
      </c>
      <c r="B3" t="s">
        <v>30</v>
      </c>
      <c r="C3" t="str">
        <f t="shared" ref="C3:C6" si="0">CONCATENATE(A3," ",B3)</f>
        <v>Melita Laroco</v>
      </c>
      <c r="D3" t="s">
        <v>68</v>
      </c>
      <c r="E3" t="s">
        <v>23</v>
      </c>
      <c r="F3" t="s">
        <v>93</v>
      </c>
      <c r="G3" t="s">
        <v>35</v>
      </c>
      <c r="H3" t="s">
        <v>71</v>
      </c>
      <c r="I3" t="s">
        <v>72</v>
      </c>
      <c r="J3" t="s">
        <v>74</v>
      </c>
      <c r="K3" s="12">
        <v>265025003</v>
      </c>
      <c r="L3" s="9">
        <v>25</v>
      </c>
      <c r="M3" s="13">
        <v>0.24</v>
      </c>
      <c r="N3">
        <v>6</v>
      </c>
      <c r="O3" s="9">
        <v>6</v>
      </c>
      <c r="P3" t="s">
        <v>91</v>
      </c>
    </row>
    <row r="4" spans="1:16" x14ac:dyDescent="0.25">
      <c r="A4" t="s">
        <v>36</v>
      </c>
      <c r="B4" t="s">
        <v>37</v>
      </c>
      <c r="C4" t="str">
        <f t="shared" si="0"/>
        <v>Toni Gosa</v>
      </c>
      <c r="D4" t="s">
        <v>86</v>
      </c>
      <c r="E4" t="s">
        <v>23</v>
      </c>
      <c r="F4" t="s">
        <v>93</v>
      </c>
      <c r="G4" t="s">
        <v>25</v>
      </c>
      <c r="H4" t="s">
        <v>71</v>
      </c>
      <c r="I4" t="s">
        <v>72</v>
      </c>
      <c r="J4" t="s">
        <v>87</v>
      </c>
      <c r="K4" s="12">
        <v>397053575</v>
      </c>
      <c r="L4" s="9">
        <v>52</v>
      </c>
      <c r="M4" s="13">
        <v>0.24</v>
      </c>
      <c r="N4">
        <v>12.48</v>
      </c>
      <c r="O4" s="9">
        <v>12.48</v>
      </c>
      <c r="P4" t="s">
        <v>91</v>
      </c>
    </row>
    <row r="5" spans="1:16" x14ac:dyDescent="0.25">
      <c r="A5" t="s">
        <v>29</v>
      </c>
      <c r="B5" t="s">
        <v>30</v>
      </c>
      <c r="C5" t="str">
        <f t="shared" si="0"/>
        <v>Melita Laroco</v>
      </c>
      <c r="D5" t="s">
        <v>68</v>
      </c>
      <c r="E5" t="s">
        <v>23</v>
      </c>
      <c r="F5" t="s">
        <v>93</v>
      </c>
      <c r="G5" t="s">
        <v>32</v>
      </c>
      <c r="H5" t="s">
        <v>79</v>
      </c>
      <c r="I5" t="s">
        <v>80</v>
      </c>
      <c r="J5" t="s">
        <v>74</v>
      </c>
      <c r="K5" s="12">
        <v>182409727</v>
      </c>
      <c r="L5" s="9">
        <v>11</v>
      </c>
      <c r="M5" s="13">
        <v>0.37</v>
      </c>
      <c r="N5">
        <v>4.07</v>
      </c>
      <c r="O5" s="9">
        <v>4.07</v>
      </c>
      <c r="P5" t="s">
        <v>92</v>
      </c>
    </row>
    <row r="6" spans="1:16" x14ac:dyDescent="0.25">
      <c r="A6" t="s">
        <v>36</v>
      </c>
      <c r="B6" t="s">
        <v>37</v>
      </c>
      <c r="C6" t="str">
        <f t="shared" si="0"/>
        <v>Toni Gosa</v>
      </c>
      <c r="D6" t="s">
        <v>86</v>
      </c>
      <c r="E6" t="s">
        <v>23</v>
      </c>
      <c r="F6" t="s">
        <v>93</v>
      </c>
      <c r="G6" t="s">
        <v>32</v>
      </c>
      <c r="H6" t="s">
        <v>79</v>
      </c>
      <c r="I6" t="s">
        <v>80</v>
      </c>
      <c r="J6" t="s">
        <v>87</v>
      </c>
      <c r="K6" s="12">
        <v>732250029</v>
      </c>
      <c r="L6" s="9">
        <v>11</v>
      </c>
      <c r="M6" s="13">
        <v>0.37</v>
      </c>
      <c r="N6">
        <v>4.07</v>
      </c>
      <c r="O6" s="9">
        <v>4.07</v>
      </c>
      <c r="P6" t="s">
        <v>92</v>
      </c>
    </row>
  </sheetData>
  <sortState xmlns:xlrd2="http://schemas.microsoft.com/office/spreadsheetml/2017/richdata2" ref="A2:AL6">
    <sortCondition ref="M2:M6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2026-01-15T15:04:31Z</dcterms:created>
  <dcterms:modified xsi:type="dcterms:W3CDTF">2026-01-20T21:16:02Z</dcterms:modified>
</cp:coreProperties>
</file>