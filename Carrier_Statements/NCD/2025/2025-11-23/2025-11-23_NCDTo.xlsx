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NCD 11-23-25 to 11-29-25\"/>
    </mc:Choice>
  </mc:AlternateContent>
  <xr:revisionPtr revIDLastSave="0" documentId="13_ncr:1_{93780183-CB6A-4CBB-837E-25C93E16F20E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Statement" sheetId="1" r:id="rId1"/>
    <sheet name="Details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D3" i="3" l="1"/>
  <c r="D2" i="3"/>
</calcChain>
</file>

<file path=xl/sharedStrings.xml><?xml version="1.0" encoding="utf-8"?>
<sst xmlns="http://schemas.openxmlformats.org/spreadsheetml/2006/main" count="173" uniqueCount="90">
  <si>
    <t>NCD</t>
  </si>
  <si>
    <t>Agent Label: Main Line Benefits LLC</t>
  </si>
  <si>
    <t>For the Period: NB 11.23.2025-11.29.2025</t>
  </si>
  <si>
    <t>Payout Date: 12.05.2025</t>
  </si>
  <si>
    <t>Earned Payout</t>
  </si>
  <si>
    <t>Total Payout</t>
  </si>
  <si>
    <t>Payout Type</t>
  </si>
  <si>
    <t>Member ID</t>
  </si>
  <si>
    <t>Member First Name</t>
  </si>
  <si>
    <t>Member Last Name</t>
  </si>
  <si>
    <t>Member Agent ID</t>
  </si>
  <si>
    <t>Member Agent Label</t>
  </si>
  <si>
    <t>Policy Number</t>
  </si>
  <si>
    <t>Product Label</t>
  </si>
  <si>
    <t>Benefit</t>
  </si>
  <si>
    <t>Posted Date</t>
  </si>
  <si>
    <t>Transaction Type</t>
  </si>
  <si>
    <t>Notes</t>
  </si>
  <si>
    <t>Commissionable Amount</t>
  </si>
  <si>
    <t>Total</t>
  </si>
  <si>
    <t>Earned</t>
  </si>
  <si>
    <t>Jean</t>
  </si>
  <si>
    <t>Harrell</t>
  </si>
  <si>
    <t xml:space="preserve"> Main Line Benefits - Thomas Kucan</t>
  </si>
  <si>
    <t>055733973</t>
  </si>
  <si>
    <t>VSP Preferred Plan by NCD</t>
  </si>
  <si>
    <t>Member</t>
  </si>
  <si>
    <t>11/28/2025</t>
  </si>
  <si>
    <t>SALE</t>
  </si>
  <si>
    <t>Gloria</t>
  </si>
  <si>
    <t>Jacobs</t>
  </si>
  <si>
    <t>945678431</t>
  </si>
  <si>
    <t>NCD Bright 1500 by MetLife</t>
  </si>
  <si>
    <t>Earned Total</t>
  </si>
  <si>
    <t>Created Date</t>
  </si>
  <si>
    <t>Type</t>
  </si>
  <si>
    <t>Subtype</t>
  </si>
  <si>
    <t>Credit</t>
  </si>
  <si>
    <t>Debit</t>
  </si>
  <si>
    <t>Payee Agent ID</t>
  </si>
  <si>
    <t>Payee Agent Label</t>
  </si>
  <si>
    <t>Payee Address 1</t>
  </si>
  <si>
    <t>Payee City</t>
  </si>
  <si>
    <t>Payee State</t>
  </si>
  <si>
    <t>Payee Zipcode</t>
  </si>
  <si>
    <t>Member State</t>
  </si>
  <si>
    <t>Member Agent Category</t>
  </si>
  <si>
    <t>Product ID</t>
  </si>
  <si>
    <t>Period</t>
  </si>
  <si>
    <t>Product Category</t>
  </si>
  <si>
    <t>Product Category 2</t>
  </si>
  <si>
    <t>Product Created Date</t>
  </si>
  <si>
    <t>Product Active Date</t>
  </si>
  <si>
    <t>Transaction ID</t>
  </si>
  <si>
    <t>Transaction Amount</t>
  </si>
  <si>
    <t>Payment Type</t>
  </si>
  <si>
    <t>Transaction Payment</t>
  </si>
  <si>
    <t>Transaction Paid Through Start</t>
  </si>
  <si>
    <t>Transaction Paid Through End</t>
  </si>
  <si>
    <t>Payout</t>
  </si>
  <si>
    <t>Payable ID</t>
  </si>
  <si>
    <t>12/1/2025</t>
  </si>
  <si>
    <t>COMM</t>
  </si>
  <si>
    <t>Product</t>
  </si>
  <si>
    <t>Main Line Benefits LLC</t>
  </si>
  <si>
    <t xml:space="preserve">232 E King St </t>
  </si>
  <si>
    <t>Malvern</t>
  </si>
  <si>
    <t>PA</t>
  </si>
  <si>
    <t>19355</t>
  </si>
  <si>
    <t>MD</t>
  </si>
  <si>
    <t>Field</t>
  </si>
  <si>
    <t>Monthly</t>
  </si>
  <si>
    <t>Vision</t>
  </si>
  <si>
    <t>VSP</t>
  </si>
  <si>
    <t>11/6/2025</t>
  </si>
  <si>
    <t>11411197282</t>
  </si>
  <si>
    <t xml:space="preserve">$11.00 </t>
  </si>
  <si>
    <t>CC</t>
  </si>
  <si>
    <t>12/31/2025</t>
  </si>
  <si>
    <t>37%</t>
  </si>
  <si>
    <t>Dental</t>
  </si>
  <si>
    <t>MetLife</t>
  </si>
  <si>
    <t>11/17/2025</t>
  </si>
  <si>
    <t>11411224554</t>
  </si>
  <si>
    <t xml:space="preserve">$37.00 </t>
  </si>
  <si>
    <t>24%</t>
  </si>
  <si>
    <t>Thomas Kucan</t>
  </si>
  <si>
    <t>Metlife Vision</t>
  </si>
  <si>
    <t>NCD MetLife -24%</t>
  </si>
  <si>
    <t>16202925AV6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</si>
</sst>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_-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8"/>
      <color rgb="FFFFFFFF"/>
      <name val="Calibri"/>
      <family val="2"/>
    </font>
    <font>
      <b/>
      <sz val="14"/>
      <color rgb="FF000000"/>
      <name val="Calibri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sz val="16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3764"/>
        <bgColor rgb="FF003764"/>
      </patternFill>
    </fill>
    <fill>
      <patternFill patternType="solid">
        <fgColor rgb="FFFFFFFF"/>
        <bgColor rgb="FFFFFFFF"/>
      </patternFill>
    </fill>
    <fill>
      <patternFill patternType="solid">
        <fgColor rgb="FF0082B5"/>
        <bgColor rgb="FF0082B5"/>
      </patternFill>
    </fill>
    <fill>
      <patternFill patternType="solid">
        <fgColor rgb="FFFFFFFF"/>
        <bgColor rgb="FFF2F2F2"/>
      </patternFill>
    </fill>
    <fill>
      <patternFill patternType="solid">
        <fgColor rgb="FFFF8C3E"/>
        <bgColor rgb="FFFF8C3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3" borderId="0" xfId="0" applyFont="1" applyFill="1"/>
    <xf numFmtId="0" fontId="0" fillId="3" borderId="0" xfId="0" applyFill="1"/>
    <xf numFmtId="0" fontId="5" fillId="4" borderId="1" xfId="0" applyFont="1" applyFill="1" applyBorder="1"/>
    <xf numFmtId="164" fontId="6" fillId="5" borderId="1" xfId="0" applyNumberFormat="1" applyFont="1" applyFill="1" applyBorder="1"/>
    <xf numFmtId="0" fontId="5" fillId="6" borderId="1" xfId="0" applyFont="1" applyFill="1" applyBorder="1"/>
    <xf numFmtId="0" fontId="4" fillId="4" borderId="0" xfId="0" applyFont="1" applyFill="1"/>
    <xf numFmtId="164" fontId="0" fillId="0" borderId="0" xfId="0" applyNumberFormat="1"/>
    <xf numFmtId="164" fontId="4" fillId="4" borderId="0" xfId="0" applyNumberFormat="1" applyFont="1" applyFill="1"/>
    <xf numFmtId="0" fontId="1" fillId="0" borderId="0" xfId="0" applyFont="1"/>
    <xf numFmtId="0" fontId="0" fillId="0" borderId="0" xfId="0" applyNumberFormat="1" applyAlignment="1">
      <alignment horizontal="left"/>
    </xf>
    <xf numFmtId="164" fontId="0" fillId="7" borderId="0" xfId="0" applyNumberFormat="1" applyFill="1"/>
    <xf numFmtId="0" fontId="0" fillId="7" borderId="0" xfId="0" applyFill="1"/>
    <xf numFmtId="0" fontId="0" fillId="7" borderId="0" xfId="0" applyNumberFormat="1" applyFill="1"/>
    <xf numFmtId="8" fontId="0" fillId="7" borderId="0" xfId="0" applyNumberFormat="1" applyFill="1"/>
    <xf numFmtId="9" fontId="0" fillId="7" borderId="0" xfId="0" applyNumberFormat="1" applyFill="1"/>
    <xf numFmtId="14" fontId="0" fillId="7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3"/>
  <sheetViews>
    <sheetView topLeftCell="B1" workbookViewId="0">
      <selection activeCell="G11" sqref="G11:G12"/>
    </sheetView>
  </sheetViews>
  <sheetFormatPr defaultRowHeight="15" x14ac:dyDescent="0.25"/>
  <cols>
    <col min="1" max="1" width="42" customWidth="1"/>
    <col min="2" max="2" width="16" customWidth="1"/>
    <col min="3" max="3" width="19" customWidth="1"/>
    <col min="4" max="4" width="18" customWidth="1"/>
    <col min="5" max="5" width="17" customWidth="1"/>
    <col min="6" max="6" width="36" customWidth="1"/>
    <col min="7" max="7" width="15" customWidth="1"/>
    <col min="8" max="8" width="28" customWidth="1"/>
    <col min="9" max="9" width="10" customWidth="1"/>
    <col min="10" max="10" width="13" customWidth="1"/>
    <col min="11" max="11" width="18" customWidth="1"/>
    <col min="12" max="12" width="10" customWidth="1"/>
    <col min="13" max="13" width="23" customWidth="1"/>
    <col min="14" max="14" width="10" customWidth="1"/>
    <col min="15" max="49" width="13" hidden="1" customWidth="1"/>
  </cols>
  <sheetData>
    <row r="1" spans="1:14" ht="26.1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8.75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8.75" x14ac:dyDescent="0.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18.75" x14ac:dyDescent="0.3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21" x14ac:dyDescent="0.35">
      <c r="A5" s="4"/>
      <c r="B5" s="4"/>
      <c r="C5" s="5" t="s">
        <v>4</v>
      </c>
      <c r="D5" s="6">
        <v>10.55</v>
      </c>
      <c r="E5" s="7" t="s">
        <v>5</v>
      </c>
      <c r="F5" s="6">
        <v>10.55</v>
      </c>
      <c r="G5" s="4"/>
      <c r="H5" s="4"/>
      <c r="I5" s="4"/>
      <c r="J5" s="4"/>
      <c r="K5" s="4"/>
      <c r="L5" s="4"/>
      <c r="M5" s="4"/>
      <c r="N5" s="4"/>
    </row>
    <row r="6" spans="1:1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25">
      <c r="A10" s="8" t="s">
        <v>6</v>
      </c>
      <c r="B10" s="8" t="s">
        <v>7</v>
      </c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  <c r="H10" s="8" t="s">
        <v>13</v>
      </c>
      <c r="I10" s="8" t="s">
        <v>14</v>
      </c>
      <c r="J10" s="8" t="s">
        <v>15</v>
      </c>
      <c r="K10" s="8" t="s">
        <v>16</v>
      </c>
      <c r="L10" s="8" t="s">
        <v>17</v>
      </c>
      <c r="M10" s="8" t="s">
        <v>18</v>
      </c>
      <c r="N10" s="8" t="s">
        <v>19</v>
      </c>
    </row>
    <row r="11" spans="1:14" x14ac:dyDescent="0.25">
      <c r="A11" t="s">
        <v>20</v>
      </c>
      <c r="B11">
        <v>684004299</v>
      </c>
      <c r="C11" t="s">
        <v>21</v>
      </c>
      <c r="D11" t="s">
        <v>22</v>
      </c>
      <c r="E11">
        <v>678726</v>
      </c>
      <c r="F11" t="s">
        <v>23</v>
      </c>
      <c r="G11" s="12">
        <v>55733973</v>
      </c>
      <c r="H11" t="s">
        <v>25</v>
      </c>
      <c r="I11" t="s">
        <v>26</v>
      </c>
      <c r="J11" t="s">
        <v>27</v>
      </c>
      <c r="K11" t="s">
        <v>28</v>
      </c>
      <c r="M11" s="9">
        <v>11</v>
      </c>
      <c r="N11" s="9">
        <v>4.07</v>
      </c>
    </row>
    <row r="12" spans="1:14" x14ac:dyDescent="0.25">
      <c r="A12" t="s">
        <v>20</v>
      </c>
      <c r="B12">
        <v>685799092</v>
      </c>
      <c r="C12" t="s">
        <v>29</v>
      </c>
      <c r="D12" t="s">
        <v>30</v>
      </c>
      <c r="E12">
        <v>678726</v>
      </c>
      <c r="F12" t="s">
        <v>23</v>
      </c>
      <c r="G12" s="12">
        <v>945678431</v>
      </c>
      <c r="H12" t="s">
        <v>32</v>
      </c>
      <c r="I12" t="s">
        <v>26</v>
      </c>
      <c r="J12" t="s">
        <v>27</v>
      </c>
      <c r="K12" t="s">
        <v>28</v>
      </c>
      <c r="M12" s="9">
        <v>27</v>
      </c>
      <c r="N12" s="9">
        <v>6.48</v>
      </c>
    </row>
    <row r="13" spans="1:14" x14ac:dyDescent="0.25">
      <c r="A13" s="8" t="s">
        <v>33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10">
        <v>10.55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"/>
  <sheetViews>
    <sheetView workbookViewId="0">
      <selection sqref="A1:XFD1048576"/>
    </sheetView>
  </sheetViews>
  <sheetFormatPr defaultRowHeight="15" x14ac:dyDescent="0.25"/>
  <cols>
    <col min="1" max="1" width="13" customWidth="1"/>
    <col min="2" max="2" width="14" customWidth="1"/>
    <col min="3" max="3" width="6" customWidth="1"/>
    <col min="4" max="4" width="9" customWidth="1"/>
    <col min="5" max="5" width="7" customWidth="1"/>
    <col min="6" max="6" width="8" customWidth="1"/>
    <col min="7" max="8" width="7" customWidth="1"/>
    <col min="9" max="9" width="16" customWidth="1"/>
    <col min="10" max="10" width="24" customWidth="1"/>
    <col min="11" max="11" width="17" customWidth="1"/>
    <col min="12" max="12" width="12" customWidth="1"/>
    <col min="13" max="13" width="13" customWidth="1"/>
    <col min="14" max="14" width="15" customWidth="1"/>
    <col min="15" max="15" width="13" customWidth="1"/>
    <col min="16" max="16" width="19" customWidth="1"/>
    <col min="17" max="17" width="18" customWidth="1"/>
    <col min="18" max="18" width="14" customWidth="1"/>
    <col min="19" max="19" width="17" customWidth="1"/>
    <col min="20" max="20" width="30" customWidth="1"/>
    <col min="21" max="21" width="23" customWidth="1"/>
    <col min="22" max="22" width="12" customWidth="1"/>
    <col min="23" max="23" width="28" customWidth="1"/>
    <col min="24" max="25" width="9" customWidth="1"/>
    <col min="26" max="26" width="18" customWidth="1"/>
    <col min="27" max="27" width="20" customWidth="1"/>
    <col min="28" max="28" width="22" customWidth="1"/>
    <col min="29" max="29" width="21" customWidth="1"/>
    <col min="30" max="30" width="15" customWidth="1"/>
    <col min="31" max="31" width="16" customWidth="1"/>
    <col min="32" max="32" width="20" customWidth="1"/>
    <col min="33" max="33" width="18" customWidth="1"/>
    <col min="34" max="34" width="14" customWidth="1"/>
    <col min="35" max="35" width="21" customWidth="1"/>
    <col min="36" max="37" width="30" customWidth="1"/>
    <col min="38" max="38" width="23" customWidth="1"/>
    <col min="39" max="39" width="8" customWidth="1"/>
    <col min="40" max="40" width="14" customWidth="1"/>
    <col min="41" max="41" width="13" customWidth="1"/>
  </cols>
  <sheetData>
    <row r="1" spans="1:41" x14ac:dyDescent="0.25">
      <c r="A1" s="11" t="s">
        <v>15</v>
      </c>
      <c r="B1" s="11" t="s">
        <v>34</v>
      </c>
      <c r="C1" s="11" t="s">
        <v>35</v>
      </c>
      <c r="D1" s="11" t="s">
        <v>36</v>
      </c>
      <c r="E1" s="11" t="s">
        <v>17</v>
      </c>
      <c r="F1" s="11" t="s">
        <v>37</v>
      </c>
      <c r="G1" s="11" t="s">
        <v>38</v>
      </c>
      <c r="H1" s="11" t="s">
        <v>19</v>
      </c>
      <c r="I1" s="11" t="s">
        <v>39</v>
      </c>
      <c r="J1" s="11" t="s">
        <v>40</v>
      </c>
      <c r="K1" s="11" t="s">
        <v>41</v>
      </c>
      <c r="L1" s="11" t="s">
        <v>42</v>
      </c>
      <c r="M1" s="11" t="s">
        <v>43</v>
      </c>
      <c r="N1" s="11" t="s">
        <v>44</v>
      </c>
      <c r="O1" s="11" t="s">
        <v>7</v>
      </c>
      <c r="P1" s="11" t="s">
        <v>8</v>
      </c>
      <c r="Q1" s="11" t="s">
        <v>9</v>
      </c>
      <c r="R1" s="11" t="s">
        <v>45</v>
      </c>
      <c r="S1" s="11" t="s">
        <v>10</v>
      </c>
      <c r="T1" s="11" t="s">
        <v>11</v>
      </c>
      <c r="U1" s="11" t="s">
        <v>46</v>
      </c>
      <c r="V1" s="11" t="s">
        <v>47</v>
      </c>
      <c r="W1" s="11" t="s">
        <v>13</v>
      </c>
      <c r="X1" s="11" t="s">
        <v>14</v>
      </c>
      <c r="Y1" s="11" t="s">
        <v>48</v>
      </c>
      <c r="Z1" s="11" t="s">
        <v>49</v>
      </c>
      <c r="AA1" s="11" t="s">
        <v>50</v>
      </c>
      <c r="AB1" s="11" t="s">
        <v>51</v>
      </c>
      <c r="AC1" s="11" t="s">
        <v>52</v>
      </c>
      <c r="AD1" s="11" t="s">
        <v>12</v>
      </c>
      <c r="AE1" s="11" t="s">
        <v>53</v>
      </c>
      <c r="AF1" s="11" t="s">
        <v>54</v>
      </c>
      <c r="AG1" s="11" t="s">
        <v>16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18</v>
      </c>
      <c r="AM1" s="11" t="s">
        <v>59</v>
      </c>
      <c r="AN1" s="11" t="s">
        <v>60</v>
      </c>
      <c r="AO1" s="11" t="s">
        <v>6</v>
      </c>
    </row>
    <row r="2" spans="1:41" x14ac:dyDescent="0.25">
      <c r="A2" t="s">
        <v>27</v>
      </c>
      <c r="B2" t="s">
        <v>61</v>
      </c>
      <c r="C2" t="s">
        <v>62</v>
      </c>
      <c r="D2" t="s">
        <v>63</v>
      </c>
      <c r="F2">
        <v>4.07</v>
      </c>
      <c r="G2">
        <v>0</v>
      </c>
      <c r="H2" s="9">
        <v>4.07</v>
      </c>
      <c r="I2">
        <v>653470</v>
      </c>
      <c r="J2" t="s">
        <v>64</v>
      </c>
      <c r="K2" t="s">
        <v>65</v>
      </c>
      <c r="L2" t="s">
        <v>66</v>
      </c>
      <c r="M2" t="s">
        <v>67</v>
      </c>
      <c r="N2" t="s">
        <v>68</v>
      </c>
      <c r="O2">
        <v>684004299</v>
      </c>
      <c r="P2" t="s">
        <v>21</v>
      </c>
      <c r="Q2" t="s">
        <v>22</v>
      </c>
      <c r="R2" t="s">
        <v>69</v>
      </c>
      <c r="S2">
        <v>678726</v>
      </c>
      <c r="T2" t="s">
        <v>23</v>
      </c>
      <c r="U2" t="s">
        <v>70</v>
      </c>
      <c r="V2">
        <v>38967</v>
      </c>
      <c r="W2" t="s">
        <v>25</v>
      </c>
      <c r="X2" t="s">
        <v>26</v>
      </c>
      <c r="Y2" t="s">
        <v>71</v>
      </c>
      <c r="Z2" t="s">
        <v>72</v>
      </c>
      <c r="AA2" t="s">
        <v>73</v>
      </c>
      <c r="AB2" t="s">
        <v>74</v>
      </c>
      <c r="AC2" t="s">
        <v>61</v>
      </c>
      <c r="AD2" t="s">
        <v>24</v>
      </c>
      <c r="AE2" t="s">
        <v>75</v>
      </c>
      <c r="AF2" t="s">
        <v>76</v>
      </c>
      <c r="AG2" t="s">
        <v>28</v>
      </c>
      <c r="AH2" t="s">
        <v>77</v>
      </c>
      <c r="AI2">
        <v>1</v>
      </c>
      <c r="AJ2" t="s">
        <v>61</v>
      </c>
      <c r="AK2" t="s">
        <v>78</v>
      </c>
      <c r="AL2" s="9">
        <v>11</v>
      </c>
      <c r="AM2" t="s">
        <v>79</v>
      </c>
      <c r="AN2">
        <v>1495674487</v>
      </c>
      <c r="AO2" t="s">
        <v>20</v>
      </c>
    </row>
    <row r="3" spans="1:41" x14ac:dyDescent="0.25">
      <c r="A3" t="s">
        <v>27</v>
      </c>
      <c r="B3" t="s">
        <v>61</v>
      </c>
      <c r="C3" t="s">
        <v>62</v>
      </c>
      <c r="D3" t="s">
        <v>63</v>
      </c>
      <c r="F3">
        <v>6.48</v>
      </c>
      <c r="G3">
        <v>0</v>
      </c>
      <c r="H3" s="9">
        <v>6.48</v>
      </c>
      <c r="I3">
        <v>653470</v>
      </c>
      <c r="J3" t="s">
        <v>64</v>
      </c>
      <c r="K3" t="s">
        <v>65</v>
      </c>
      <c r="L3" t="s">
        <v>66</v>
      </c>
      <c r="M3" t="s">
        <v>67</v>
      </c>
      <c r="N3" t="s">
        <v>68</v>
      </c>
      <c r="O3">
        <v>685799092</v>
      </c>
      <c r="P3" t="s">
        <v>29</v>
      </c>
      <c r="Q3" t="s">
        <v>30</v>
      </c>
      <c r="R3" t="s">
        <v>69</v>
      </c>
      <c r="S3">
        <v>678726</v>
      </c>
      <c r="T3" t="s">
        <v>23</v>
      </c>
      <c r="U3" t="s">
        <v>70</v>
      </c>
      <c r="V3">
        <v>47133</v>
      </c>
      <c r="W3" t="s">
        <v>32</v>
      </c>
      <c r="X3" t="s">
        <v>26</v>
      </c>
      <c r="Y3" t="s">
        <v>71</v>
      </c>
      <c r="Z3" t="s">
        <v>80</v>
      </c>
      <c r="AA3" t="s">
        <v>81</v>
      </c>
      <c r="AB3" t="s">
        <v>82</v>
      </c>
      <c r="AC3" t="s">
        <v>61</v>
      </c>
      <c r="AD3" t="s">
        <v>31</v>
      </c>
      <c r="AE3" t="s">
        <v>83</v>
      </c>
      <c r="AF3" t="s">
        <v>84</v>
      </c>
      <c r="AG3" t="s">
        <v>28</v>
      </c>
      <c r="AH3" t="s">
        <v>77</v>
      </c>
      <c r="AI3">
        <v>1</v>
      </c>
      <c r="AJ3" t="s">
        <v>61</v>
      </c>
      <c r="AK3" t="s">
        <v>78</v>
      </c>
      <c r="AL3" s="9">
        <v>27</v>
      </c>
      <c r="AM3" t="s">
        <v>85</v>
      </c>
      <c r="AN3">
        <v>1495672897</v>
      </c>
      <c r="AO3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3DD28-1770-48BC-9E71-6152C3683898}">
  <dimension ref="A1:Q3"/>
  <sheetViews>
    <sheetView tabSelected="1" workbookViewId="0">
      <selection activeCell="A2" sqref="A2:A3"/>
    </sheetView>
  </sheetViews>
  <sheetFormatPr defaultRowHeight="15" x14ac:dyDescent="0.25"/>
  <cols>
    <col min="1" max="1" width="7" customWidth="1"/>
    <col min="2" max="2" width="8.85546875" customWidth="1"/>
    <col min="3" max="3" width="10.140625" customWidth="1"/>
    <col min="4" max="4" width="11.42578125" bestFit="1" customWidth="1"/>
    <col min="5" max="5" width="7.7109375" customWidth="1"/>
    <col min="6" max="6" width="10.42578125" customWidth="1"/>
    <col min="7" max="7" width="18.28515625" customWidth="1"/>
    <col min="8" max="8" width="28" customWidth="1"/>
    <col min="9" max="9" width="11.28515625" customWidth="1"/>
    <col min="10" max="10" width="10.42578125" customWidth="1"/>
    <col min="11" max="11" width="21" customWidth="1"/>
    <col min="12" max="12" width="15" customWidth="1"/>
    <col min="13" max="13" width="9.140625" customWidth="1"/>
    <col min="14" max="14" width="14.28515625" customWidth="1"/>
    <col min="15" max="15" width="10.42578125" customWidth="1"/>
    <col min="16" max="16" width="8" customWidth="1"/>
  </cols>
  <sheetData>
    <row r="1" spans="1:17" x14ac:dyDescent="0.25">
      <c r="A1" s="11" t="s">
        <v>19</v>
      </c>
      <c r="B1" s="11" t="s">
        <v>8</v>
      </c>
      <c r="C1" s="11" t="s">
        <v>9</v>
      </c>
      <c r="D1" s="11"/>
      <c r="E1" s="11" t="s">
        <v>45</v>
      </c>
      <c r="F1" s="11" t="s">
        <v>10</v>
      </c>
      <c r="G1" s="11" t="s">
        <v>11</v>
      </c>
      <c r="H1" s="11" t="s">
        <v>13</v>
      </c>
      <c r="I1" s="11" t="s">
        <v>49</v>
      </c>
      <c r="J1" s="11" t="s">
        <v>50</v>
      </c>
      <c r="K1" s="11" t="s">
        <v>52</v>
      </c>
      <c r="L1" s="11" t="s">
        <v>12</v>
      </c>
      <c r="M1" s="11" t="s">
        <v>54</v>
      </c>
      <c r="N1" s="11" t="s">
        <v>57</v>
      </c>
      <c r="O1" s="11" t="s">
        <v>18</v>
      </c>
      <c r="P1" s="11" t="s">
        <v>59</v>
      </c>
    </row>
    <row r="2" spans="1:17" s="14" customFormat="1" x14ac:dyDescent="0.25">
      <c r="A2" s="13">
        <v>4.07</v>
      </c>
      <c r="B2" s="14" t="s">
        <v>21</v>
      </c>
      <c r="C2" s="14" t="s">
        <v>22</v>
      </c>
      <c r="D2" s="14" t="str">
        <f>CONCATENATE(B2," ",C2)</f>
        <v>Jean Harrell</v>
      </c>
      <c r="E2" s="14" t="s">
        <v>69</v>
      </c>
      <c r="F2" s="14" t="s">
        <v>89</v>
      </c>
      <c r="G2" s="14" t="s">
        <v>86</v>
      </c>
      <c r="H2" s="14" t="s">
        <v>25</v>
      </c>
      <c r="I2" s="14" t="s">
        <v>72</v>
      </c>
      <c r="J2" s="14" t="s">
        <v>73</v>
      </c>
      <c r="K2" s="14" t="s">
        <v>61</v>
      </c>
      <c r="L2" s="15">
        <v>55733973</v>
      </c>
      <c r="M2" s="16">
        <v>11</v>
      </c>
      <c r="N2" s="18">
        <v>46023</v>
      </c>
      <c r="O2" s="13">
        <v>11</v>
      </c>
      <c r="P2" s="17">
        <v>0.37</v>
      </c>
      <c r="Q2" s="14" t="s">
        <v>87</v>
      </c>
    </row>
    <row r="3" spans="1:17" s="14" customFormat="1" x14ac:dyDescent="0.25">
      <c r="A3" s="13">
        <v>6.48</v>
      </c>
      <c r="B3" s="14" t="s">
        <v>29</v>
      </c>
      <c r="C3" s="14" t="s">
        <v>30</v>
      </c>
      <c r="D3" s="14" t="str">
        <f>CONCATENATE(B3," ",C3)</f>
        <v>Gloria Jacobs</v>
      </c>
      <c r="E3" s="14" t="s">
        <v>69</v>
      </c>
      <c r="F3" s="14" t="s">
        <v>89</v>
      </c>
      <c r="G3" s="14" t="s">
        <v>86</v>
      </c>
      <c r="H3" s="14" t="s">
        <v>32</v>
      </c>
      <c r="I3" s="14" t="s">
        <v>80</v>
      </c>
      <c r="J3" s="14" t="s">
        <v>81</v>
      </c>
      <c r="K3" s="14" t="s">
        <v>61</v>
      </c>
      <c r="L3" s="15">
        <v>945678431</v>
      </c>
      <c r="M3" s="16">
        <v>37</v>
      </c>
      <c r="N3" s="18">
        <v>46023</v>
      </c>
      <c r="O3" s="13">
        <v>27</v>
      </c>
      <c r="P3" s="17">
        <v>0.24</v>
      </c>
      <c r="Q3" s="14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Statement</vt:lpstr>
      <vt:lpstr>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Loula Irene Cabel</cp:lastModifiedBy>
  <dcterms:created xsi:type="dcterms:W3CDTF">2025-12-04T15:45:42Z</dcterms:created>
  <dcterms:modified xsi:type="dcterms:W3CDTF">2025-12-05T16:20:18Z</dcterms:modified>
</cp:coreProperties>
</file>