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8-31-25 to 9-6-25\"/>
    </mc:Choice>
  </mc:AlternateContent>
  <xr:revisionPtr revIDLastSave="0" documentId="13_ncr:1_{46AEC0D0-8FCD-460F-95A0-4991E56FA2F4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M13" i="3" l="1"/>
  <c r="M21" i="3"/>
  <c r="M55" i="3"/>
  <c r="M62" i="3"/>
  <c r="M22" i="3"/>
  <c r="M29" i="3"/>
  <c r="M33" i="3"/>
  <c r="M18" i="3"/>
  <c r="M44" i="3"/>
  <c r="M34" i="3"/>
  <c r="M23" i="3"/>
  <c r="M66" i="3"/>
  <c r="M63" i="3"/>
  <c r="M56" i="3"/>
  <c r="M19" i="3"/>
  <c r="M45" i="3"/>
  <c r="M35" i="3"/>
  <c r="M36" i="3"/>
  <c r="M24" i="3"/>
  <c r="M15" i="3"/>
  <c r="M46" i="3"/>
  <c r="M57" i="3"/>
  <c r="M58" i="3"/>
  <c r="M59" i="3"/>
  <c r="M4" i="3"/>
  <c r="M47" i="3"/>
  <c r="M5" i="3"/>
  <c r="M60" i="3"/>
  <c r="M61" i="3"/>
  <c r="M25" i="3"/>
  <c r="M26" i="3"/>
  <c r="M37" i="3"/>
  <c r="M27" i="3"/>
  <c r="M51" i="3"/>
  <c r="M48" i="3"/>
  <c r="M38" i="3"/>
  <c r="M30" i="3"/>
  <c r="M49" i="3"/>
  <c r="M50" i="3"/>
  <c r="M52" i="3"/>
  <c r="M42" i="3"/>
  <c r="M39" i="3"/>
  <c r="M28" i="3"/>
  <c r="M43" i="3"/>
  <c r="M40" i="3"/>
  <c r="M41" i="3"/>
  <c r="M10" i="3"/>
  <c r="M6" i="3"/>
  <c r="M3" i="3"/>
  <c r="M20" i="3"/>
  <c r="M7" i="3"/>
  <c r="M14" i="3"/>
  <c r="M11" i="3"/>
  <c r="M8" i="3"/>
  <c r="M17" i="3"/>
  <c r="M16" i="3"/>
  <c r="M12" i="3"/>
  <c r="M9" i="3"/>
  <c r="M31" i="3"/>
  <c r="M53" i="3"/>
  <c r="M64" i="3"/>
  <c r="M68" i="3"/>
  <c r="M32" i="3"/>
  <c r="M72" i="3"/>
  <c r="M71" i="3"/>
  <c r="M69" i="3"/>
  <c r="M70" i="3"/>
  <c r="M65" i="3"/>
  <c r="M67" i="3"/>
  <c r="M2" i="3"/>
  <c r="M124" i="3"/>
  <c r="M120" i="3"/>
  <c r="M134" i="3"/>
  <c r="M121" i="3"/>
  <c r="M122" i="3"/>
  <c r="M83" i="3"/>
  <c r="M92" i="3"/>
  <c r="M117" i="3"/>
  <c r="M119" i="3"/>
  <c r="M123" i="3"/>
  <c r="M125" i="3"/>
  <c r="M129" i="3"/>
  <c r="M127" i="3"/>
  <c r="M131" i="3"/>
  <c r="M130" i="3"/>
  <c r="M132" i="3"/>
  <c r="M115" i="3"/>
  <c r="M107" i="3"/>
  <c r="M108" i="3"/>
  <c r="M104" i="3"/>
  <c r="M101" i="3"/>
  <c r="M133" i="3"/>
  <c r="M87" i="3"/>
  <c r="M102" i="3"/>
  <c r="M81" i="3"/>
  <c r="M116" i="3"/>
  <c r="M93" i="3"/>
  <c r="M75" i="3"/>
  <c r="M91" i="3"/>
  <c r="M94" i="3"/>
  <c r="M85" i="3"/>
  <c r="M84" i="3"/>
  <c r="M88" i="3"/>
  <c r="M80" i="3"/>
  <c r="M98" i="3"/>
  <c r="M95" i="3"/>
  <c r="M89" i="3"/>
  <c r="M76" i="3"/>
  <c r="M74" i="3"/>
  <c r="M77" i="3"/>
  <c r="M90" i="3"/>
  <c r="M86" i="3"/>
  <c r="M73" i="3"/>
  <c r="M78" i="3"/>
  <c r="M79" i="3"/>
  <c r="M103" i="3"/>
  <c r="M82" i="3"/>
  <c r="M100" i="3"/>
  <c r="M99" i="3"/>
  <c r="M136" i="3"/>
  <c r="M135" i="3"/>
  <c r="M96" i="3"/>
  <c r="M97" i="3"/>
  <c r="M126" i="3"/>
  <c r="M118" i="3"/>
  <c r="M128" i="3"/>
  <c r="M111" i="3"/>
  <c r="M113" i="3"/>
  <c r="M112" i="3"/>
  <c r="M114" i="3"/>
  <c r="M105" i="3"/>
  <c r="M109" i="3"/>
  <c r="M106" i="3"/>
  <c r="M110" i="3"/>
  <c r="M54" i="3"/>
  <c r="C54" i="3"/>
  <c r="C13" i="3"/>
  <c r="C73" i="3"/>
  <c r="C21" i="3"/>
  <c r="C55" i="3"/>
  <c r="C62" i="3"/>
  <c r="C132" i="3"/>
  <c r="C22" i="3"/>
  <c r="C29" i="3"/>
  <c r="C75" i="3"/>
  <c r="C92" i="3"/>
  <c r="C11" i="3"/>
  <c r="C8" i="3"/>
  <c r="C33" i="3"/>
  <c r="C18" i="3"/>
  <c r="C91" i="3"/>
  <c r="C94" i="3"/>
  <c r="C44" i="3"/>
  <c r="C68" i="3"/>
  <c r="C103" i="3"/>
  <c r="C102" i="3"/>
  <c r="C34" i="3"/>
  <c r="C87" i="3"/>
  <c r="C78" i="3"/>
  <c r="C23" i="3"/>
  <c r="C66" i="3"/>
  <c r="C63" i="3"/>
  <c r="C56" i="3"/>
  <c r="C82" i="3"/>
  <c r="C19" i="3"/>
  <c r="C9" i="3"/>
  <c r="C45" i="3"/>
  <c r="C20" i="3"/>
  <c r="C117" i="3"/>
  <c r="C83" i="3"/>
  <c r="C2" i="3"/>
  <c r="C35" i="3"/>
  <c r="C36" i="3"/>
  <c r="C17" i="3"/>
  <c r="C115" i="3"/>
  <c r="C24" i="3"/>
  <c r="C15" i="3"/>
  <c r="C46" i="3"/>
  <c r="C85" i="3"/>
  <c r="C84" i="3"/>
  <c r="C100" i="3"/>
  <c r="C99" i="3"/>
  <c r="C32" i="3"/>
  <c r="C31" i="3"/>
  <c r="C129" i="3"/>
  <c r="C136" i="3"/>
  <c r="C135" i="3"/>
  <c r="C96" i="3"/>
  <c r="C57" i="3"/>
  <c r="C58" i="3"/>
  <c r="C59" i="3"/>
  <c r="C111" i="3"/>
  <c r="C113" i="3"/>
  <c r="C65" i="3"/>
  <c r="C67" i="3"/>
  <c r="C4" i="3"/>
  <c r="C81" i="3"/>
  <c r="C88" i="3"/>
  <c r="C112" i="3"/>
  <c r="C114" i="3"/>
  <c r="C47" i="3"/>
  <c r="C5" i="3"/>
  <c r="C60" i="3"/>
  <c r="C61" i="3"/>
  <c r="C120" i="3"/>
  <c r="C72" i="3"/>
  <c r="C71" i="3"/>
  <c r="C116" i="3"/>
  <c r="C25" i="3"/>
  <c r="C134" i="3"/>
  <c r="C119" i="3"/>
  <c r="C80" i="3"/>
  <c r="C7" i="3"/>
  <c r="C16" i="3"/>
  <c r="C12" i="3"/>
  <c r="C26" i="3"/>
  <c r="C128" i="3"/>
  <c r="C130" i="3"/>
  <c r="C122" i="3"/>
  <c r="C37" i="3"/>
  <c r="C93" i="3"/>
  <c r="C97" i="3"/>
  <c r="C107" i="3"/>
  <c r="C108" i="3"/>
  <c r="C27" i="3"/>
  <c r="C51" i="3"/>
  <c r="C48" i="3"/>
  <c r="C98" i="3"/>
  <c r="C95" i="3"/>
  <c r="C69" i="3"/>
  <c r="C89" i="3"/>
  <c r="C38" i="3"/>
  <c r="C127" i="3"/>
  <c r="C131" i="3"/>
  <c r="C123" i="3"/>
  <c r="C125" i="3"/>
  <c r="C104" i="3"/>
  <c r="C101" i="3"/>
  <c r="C133" i="3"/>
  <c r="C30" i="3"/>
  <c r="C49" i="3"/>
  <c r="C50" i="3"/>
  <c r="C76" i="3"/>
  <c r="C74" i="3"/>
  <c r="C77" i="3"/>
  <c r="C14" i="3"/>
  <c r="C53" i="3"/>
  <c r="C126" i="3"/>
  <c r="C118" i="3"/>
  <c r="C105" i="3"/>
  <c r="C109" i="3"/>
  <c r="C70" i="3"/>
  <c r="C64" i="3"/>
  <c r="C106" i="3"/>
  <c r="C110" i="3"/>
  <c r="C52" i="3"/>
  <c r="C42" i="3"/>
  <c r="C39" i="3"/>
  <c r="C90" i="3"/>
  <c r="C86" i="3"/>
  <c r="C121" i="3"/>
  <c r="C79" i="3"/>
  <c r="C28" i="3"/>
  <c r="C43" i="3"/>
  <c r="C40" i="3"/>
  <c r="C41" i="3"/>
  <c r="C10" i="3"/>
  <c r="C6" i="3"/>
  <c r="C3" i="3"/>
  <c r="C124" i="3"/>
</calcChain>
</file>

<file path=xl/sharedStrings.xml><?xml version="1.0" encoding="utf-8"?>
<sst xmlns="http://schemas.openxmlformats.org/spreadsheetml/2006/main" count="7740" uniqueCount="963">
  <si>
    <t>NCD</t>
  </si>
  <si>
    <t>Agent Label: Main Line Benefits LLC</t>
  </si>
  <si>
    <t>For the Period: RN 08.01.2025-08.31.2025</t>
  </si>
  <si>
    <t>Payout Date: 09.12.2025</t>
  </si>
  <si>
    <t>Renewal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</si>
  <si>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</si>
  <si>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</si>
  <si>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</si>
  <si>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</si>
  <si>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</si>
  <si>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</si>
  <si>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</si>
  <si>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</si>
  <si>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</si>
  <si>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</si>
  <si>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</si>
  <si>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</si>
  <si>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</si>
  <si>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</si>
  <si>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</si>
  <si>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Payout</t>
  </si>
  <si>
    <t>--- Renewal ---</t>
  </si>
  <si>
    <t>682280326</t>
  </si>
  <si>
    <t>Cynthia</t>
  </si>
  <si>
    <t>Anderson</t>
  </si>
  <si>
    <t>Main Line Benefits - Adam Richter</t>
  </si>
  <si>
    <t>668933669</t>
  </si>
  <si>
    <t>VSP Preferred Plan by NCD</t>
  </si>
  <si>
    <t>Member</t>
  </si>
  <si>
    <t>8/31/2025</t>
  </si>
  <si>
    <t>SALE</t>
  </si>
  <si>
    <t xml:space="preserve">$11.00 </t>
  </si>
  <si>
    <t>37%</t>
  </si>
  <si>
    <t>681694666</t>
  </si>
  <si>
    <t>Robert</t>
  </si>
  <si>
    <t>Steinberg</t>
  </si>
  <si>
    <t>Main Line Benefits - Carol Foley</t>
  </si>
  <si>
    <t>654081029</t>
  </si>
  <si>
    <t>NCD Essentials by MetLife</t>
  </si>
  <si>
    <t>Member plus Spouse</t>
  </si>
  <si>
    <t>8/7/2025</t>
  </si>
  <si>
    <t xml:space="preserve">$76.00 </t>
  </si>
  <si>
    <t>24%</t>
  </si>
  <si>
    <t>683324516</t>
  </si>
  <si>
    <t xml:space="preserve">Jennifer </t>
  </si>
  <si>
    <t>Harbin</t>
  </si>
  <si>
    <t xml:space="preserve"> Main Line Benefits - Thomas Kucan</t>
  </si>
  <si>
    <t>196153282</t>
  </si>
  <si>
    <t>NCD Smile 2500 by MetLife</t>
  </si>
  <si>
    <t xml:space="preserve">$25.00 </t>
  </si>
  <si>
    <t>32%</t>
  </si>
  <si>
    <t>683786117</t>
  </si>
  <si>
    <t>Ahmed</t>
  </si>
  <si>
    <t>Ismaeil</t>
  </si>
  <si>
    <t>Main Line Benefits LLC-Jared Kinyua</t>
  </si>
  <si>
    <t>507495690</t>
  </si>
  <si>
    <t>8/8/2025</t>
  </si>
  <si>
    <t>682605985</t>
  </si>
  <si>
    <t>James</t>
  </si>
  <si>
    <t>Donovan</t>
  </si>
  <si>
    <t>Main Line Benefits LLC-Pam Deaton Inc</t>
  </si>
  <si>
    <t>653432432</t>
  </si>
  <si>
    <t>NCD Elite 1500 by MetLife</t>
  </si>
  <si>
    <t>REFUND</t>
  </si>
  <si>
    <t>Refund Reversal</t>
  </si>
  <si>
    <t xml:space="preserve">$38.00 </t>
  </si>
  <si>
    <t>683551481</t>
  </si>
  <si>
    <t>Brigitte</t>
  </si>
  <si>
    <t>Wilkinson</t>
  </si>
  <si>
    <t>984523223</t>
  </si>
  <si>
    <t xml:space="preserve">$30.00 </t>
  </si>
  <si>
    <t>245549848</t>
  </si>
  <si>
    <t>683221739</t>
  </si>
  <si>
    <t>Minas</t>
  </si>
  <si>
    <t>Giorgakis</t>
  </si>
  <si>
    <t>165329262</t>
  </si>
  <si>
    <t>8/9/2025</t>
  </si>
  <si>
    <t>607637254</t>
  </si>
  <si>
    <t>683552927</t>
  </si>
  <si>
    <t>Dudley</t>
  </si>
  <si>
    <t>Hinegardner</t>
  </si>
  <si>
    <t>699319353</t>
  </si>
  <si>
    <t>683080241</t>
  </si>
  <si>
    <t>Jospeh</t>
  </si>
  <si>
    <t>Morris II</t>
  </si>
  <si>
    <t>Main Line Benefits - Matthew Daugherty</t>
  </si>
  <si>
    <t>864594072</t>
  </si>
  <si>
    <t>NCD Value by MetLife</t>
  </si>
  <si>
    <t>8/10/2025</t>
  </si>
  <si>
    <t>683078519</t>
  </si>
  <si>
    <t>Charles</t>
  </si>
  <si>
    <t>Block-Almazan</t>
  </si>
  <si>
    <t>624218472</t>
  </si>
  <si>
    <t>Member plus Children</t>
  </si>
  <si>
    <t xml:space="preserve">$61.00 </t>
  </si>
  <si>
    <t>683609699</t>
  </si>
  <si>
    <t>Michael</t>
  </si>
  <si>
    <t>Suskin</t>
  </si>
  <si>
    <t>Mainline Benefits co</t>
  </si>
  <si>
    <t>58861441</t>
  </si>
  <si>
    <t>8/11/2025</t>
  </si>
  <si>
    <t>683593204</t>
  </si>
  <si>
    <t>Steven</t>
  </si>
  <si>
    <t>Cohen</t>
  </si>
  <si>
    <t>Main Line Benefits LLC-Gary Portugal</t>
  </si>
  <si>
    <t>348104279</t>
  </si>
  <si>
    <t>Family</t>
  </si>
  <si>
    <t xml:space="preserve">$185.00 </t>
  </si>
  <si>
    <t>683438413</t>
  </si>
  <si>
    <t>A Thomas</t>
  </si>
  <si>
    <t>Loy</t>
  </si>
  <si>
    <t>820303811</t>
  </si>
  <si>
    <t>8/12/2025</t>
  </si>
  <si>
    <t xml:space="preserve">$60.00 </t>
  </si>
  <si>
    <t>681802160</t>
  </si>
  <si>
    <t>Leon</t>
  </si>
  <si>
    <t>Hankin</t>
  </si>
  <si>
    <t>118665193</t>
  </si>
  <si>
    <t>682221319</t>
  </si>
  <si>
    <t>Miosotis</t>
  </si>
  <si>
    <t>Ledesma</t>
  </si>
  <si>
    <t>Main Line Benefits LLC - Aidan Barber</t>
  </si>
  <si>
    <t>173898668</t>
  </si>
  <si>
    <t>8/13/2025</t>
  </si>
  <si>
    <t>681791772</t>
  </si>
  <si>
    <t>Thomas</t>
  </si>
  <si>
    <t>DeCoudres</t>
  </si>
  <si>
    <t>Margaret Finnegan</t>
  </si>
  <si>
    <t>7534852</t>
  </si>
  <si>
    <t xml:space="preserve">$35.00 </t>
  </si>
  <si>
    <t>3%</t>
  </si>
  <si>
    <t>683589666</t>
  </si>
  <si>
    <t>Gene</t>
  </si>
  <si>
    <t>Gerzsenyi</t>
  </si>
  <si>
    <t>877044360</t>
  </si>
  <si>
    <t xml:space="preserve">$50.00 </t>
  </si>
  <si>
    <t>683978293</t>
  </si>
  <si>
    <t>Kristen</t>
  </si>
  <si>
    <t>Facchini</t>
  </si>
  <si>
    <t>Main Line Benefits LLC -Frank Liskovec</t>
  </si>
  <si>
    <t>692950875</t>
  </si>
  <si>
    <t xml:space="preserve">$40.00 </t>
  </si>
  <si>
    <t>625104953</t>
  </si>
  <si>
    <t>684314332</t>
  </si>
  <si>
    <t>Carl</t>
  </si>
  <si>
    <t>Pine</t>
  </si>
  <si>
    <t>Main Line Benefits LLC-Alison Luse</t>
  </si>
  <si>
    <t>328251776</t>
  </si>
  <si>
    <t xml:space="preserve">$46.00 </t>
  </si>
  <si>
    <t>684311399</t>
  </si>
  <si>
    <t>Paul</t>
  </si>
  <si>
    <t>Agbodjogbe</t>
  </si>
  <si>
    <t>542134560</t>
  </si>
  <si>
    <t>682456860</t>
  </si>
  <si>
    <t>Nancy</t>
  </si>
  <si>
    <t>Tiburzio</t>
  </si>
  <si>
    <t>970685148</t>
  </si>
  <si>
    <t>NCD Complete by MetLife</t>
  </si>
  <si>
    <t>8/14/2025</t>
  </si>
  <si>
    <t xml:space="preserve">$66.00 </t>
  </si>
  <si>
    <t>680314593</t>
  </si>
  <si>
    <t>Kenneth</t>
  </si>
  <si>
    <t>Johnson</t>
  </si>
  <si>
    <t>172575174</t>
  </si>
  <si>
    <t>NCD Standard 5000 by MetLife</t>
  </si>
  <si>
    <t xml:space="preserve">$212.00 </t>
  </si>
  <si>
    <t>26%</t>
  </si>
  <si>
    <t>683532101</t>
  </si>
  <si>
    <t>Amberly</t>
  </si>
  <si>
    <t>Litchfield</t>
  </si>
  <si>
    <t>478183816</t>
  </si>
  <si>
    <t>682581055</t>
  </si>
  <si>
    <t>Janice</t>
  </si>
  <si>
    <t>Dziekonski</t>
  </si>
  <si>
    <t>379471379</t>
  </si>
  <si>
    <t>682580771</t>
  </si>
  <si>
    <t>Roxanne</t>
  </si>
  <si>
    <t>Hartrich</t>
  </si>
  <si>
    <t>538144779</t>
  </si>
  <si>
    <t xml:space="preserve">$95.00 </t>
  </si>
  <si>
    <t>387100933</t>
  </si>
  <si>
    <t>Member + 1</t>
  </si>
  <si>
    <t xml:space="preserve">$15.00 </t>
  </si>
  <si>
    <t>683089576</t>
  </si>
  <si>
    <t>Donna</t>
  </si>
  <si>
    <t>Tarmon</t>
  </si>
  <si>
    <t>876391898</t>
  </si>
  <si>
    <t>681792691</t>
  </si>
  <si>
    <t>Kathleen</t>
  </si>
  <si>
    <t>McClain</t>
  </si>
  <si>
    <t>78980217</t>
  </si>
  <si>
    <t xml:space="preserve">$65.00 </t>
  </si>
  <si>
    <t>683089560</t>
  </si>
  <si>
    <t>Mary</t>
  </si>
  <si>
    <t>Pross</t>
  </si>
  <si>
    <t>914833590</t>
  </si>
  <si>
    <t>682171350</t>
  </si>
  <si>
    <t>Richard</t>
  </si>
  <si>
    <t>Golden</t>
  </si>
  <si>
    <t>297820482</t>
  </si>
  <si>
    <t xml:space="preserve">$134.00 </t>
  </si>
  <si>
    <t>683092185</t>
  </si>
  <si>
    <t>Roderick</t>
  </si>
  <si>
    <t>Acha</t>
  </si>
  <si>
    <t>66621000</t>
  </si>
  <si>
    <t xml:space="preserve">$20.00 </t>
  </si>
  <si>
    <t>684004299</t>
  </si>
  <si>
    <t>Jean</t>
  </si>
  <si>
    <t>Harrell</t>
  </si>
  <si>
    <t>384431357</t>
  </si>
  <si>
    <t>8/1/2025</t>
  </si>
  <si>
    <t>683299556</t>
  </si>
  <si>
    <t>Anna</t>
  </si>
  <si>
    <t>Biebl</t>
  </si>
  <si>
    <t>260173605</t>
  </si>
  <si>
    <t>683297683</t>
  </si>
  <si>
    <t>Rosencranz</t>
  </si>
  <si>
    <t>582065076</t>
  </si>
  <si>
    <t>364920174</t>
  </si>
  <si>
    <t>683478651</t>
  </si>
  <si>
    <t>Tyrell</t>
  </si>
  <si>
    <t>Weaver</t>
  </si>
  <si>
    <t>698731916</t>
  </si>
  <si>
    <t>684285941</t>
  </si>
  <si>
    <t>Dennis</t>
  </si>
  <si>
    <t>Matyas</t>
  </si>
  <si>
    <t>Lori Tunstall</t>
  </si>
  <si>
    <t>901820000</t>
  </si>
  <si>
    <t>8/2/2025</t>
  </si>
  <si>
    <t xml:space="preserve">$143.00 </t>
  </si>
  <si>
    <t>CHARGEBACK</t>
  </si>
  <si>
    <t>Chargeback Reversal</t>
  </si>
  <si>
    <t>683724724</t>
  </si>
  <si>
    <t>Eugene</t>
  </si>
  <si>
    <t>Hanes Jr.</t>
  </si>
  <si>
    <t>975782157</t>
  </si>
  <si>
    <t>8/3/2025</t>
  </si>
  <si>
    <t>683608024</t>
  </si>
  <si>
    <t>Zuleika</t>
  </si>
  <si>
    <t>Rosa Salgado</t>
  </si>
  <si>
    <t>701882993</t>
  </si>
  <si>
    <t xml:space="preserve">$58.00 </t>
  </si>
  <si>
    <t>683312848</t>
  </si>
  <si>
    <t>Emily</t>
  </si>
  <si>
    <t>Whitacre</t>
  </si>
  <si>
    <t>858353460</t>
  </si>
  <si>
    <t>859724247</t>
  </si>
  <si>
    <t>683078236</t>
  </si>
  <si>
    <t>Sheryll</t>
  </si>
  <si>
    <t>Aldred</t>
  </si>
  <si>
    <t>574187796</t>
  </si>
  <si>
    <t>682967565</t>
  </si>
  <si>
    <t>Demetris</t>
  </si>
  <si>
    <t>Jones</t>
  </si>
  <si>
    <t>Main Line Benefits LLC-William Schaeffer</t>
  </si>
  <si>
    <t>125532058</t>
  </si>
  <si>
    <t>384672439</t>
  </si>
  <si>
    <t>252126537</t>
  </si>
  <si>
    <t>682932267</t>
  </si>
  <si>
    <t>Cheryl</t>
  </si>
  <si>
    <t>Gaines</t>
  </si>
  <si>
    <t>Main Line Benefits LLC-Michael Dunavant</t>
  </si>
  <si>
    <t>604649461</t>
  </si>
  <si>
    <t>NCD Elite 5000 by MetLife</t>
  </si>
  <si>
    <t xml:space="preserve">$124.00 </t>
  </si>
  <si>
    <t>682949028</t>
  </si>
  <si>
    <t>Dana</t>
  </si>
  <si>
    <t>Wasimin</t>
  </si>
  <si>
    <t>583635919</t>
  </si>
  <si>
    <t>476855083</t>
  </si>
  <si>
    <t xml:space="preserve">$132.00 </t>
  </si>
  <si>
    <t>681703836</t>
  </si>
  <si>
    <t>Liane</t>
  </si>
  <si>
    <t>Lefever</t>
  </si>
  <si>
    <t>Main Line Benefits LLC</t>
  </si>
  <si>
    <t>784351926</t>
  </si>
  <si>
    <t>181995160</t>
  </si>
  <si>
    <t xml:space="preserve">$120.00 </t>
  </si>
  <si>
    <t>683202494</t>
  </si>
  <si>
    <t>Sally</t>
  </si>
  <si>
    <t>Noonan</t>
  </si>
  <si>
    <t>825368073</t>
  </si>
  <si>
    <t>683954249</t>
  </si>
  <si>
    <t>Margaret</t>
  </si>
  <si>
    <t>Stoner</t>
  </si>
  <si>
    <t>644484680</t>
  </si>
  <si>
    <t>684866083</t>
  </si>
  <si>
    <t>Hellen</t>
  </si>
  <si>
    <t>Nyaberi</t>
  </si>
  <si>
    <t>408114059</t>
  </si>
  <si>
    <t>684866005</t>
  </si>
  <si>
    <t>Natividad</t>
  </si>
  <si>
    <t>Hernandez Luna</t>
  </si>
  <si>
    <t>69052199</t>
  </si>
  <si>
    <t>NCD Bright 1500 by MetLife</t>
  </si>
  <si>
    <t xml:space="preserve">$27.00 </t>
  </si>
  <si>
    <t>129241253</t>
  </si>
  <si>
    <t>683198705</t>
  </si>
  <si>
    <t>Ashleigh</t>
  </si>
  <si>
    <t>Lagreco</t>
  </si>
  <si>
    <t>560317195</t>
  </si>
  <si>
    <t>8/4/2025</t>
  </si>
  <si>
    <t>683206913</t>
  </si>
  <si>
    <t>Cornell</t>
  </si>
  <si>
    <t>Jackson</t>
  </si>
  <si>
    <t>708780484</t>
  </si>
  <si>
    <t>683563883</t>
  </si>
  <si>
    <t>Melissa</t>
  </si>
  <si>
    <t>Mahaney</t>
  </si>
  <si>
    <t>698193150</t>
  </si>
  <si>
    <t>8/5/2025</t>
  </si>
  <si>
    <t>681549155</t>
  </si>
  <si>
    <t>Lisa</t>
  </si>
  <si>
    <t>Hopkins</t>
  </si>
  <si>
    <t>464503420</t>
  </si>
  <si>
    <t>690892951</t>
  </si>
  <si>
    <t xml:space="preserve">$93.00 </t>
  </si>
  <si>
    <t>684613851</t>
  </si>
  <si>
    <t>Maria</t>
  </si>
  <si>
    <t>VonNordeck</t>
  </si>
  <si>
    <t>795235089</t>
  </si>
  <si>
    <t>684680691</t>
  </si>
  <si>
    <t>640676632</t>
  </si>
  <si>
    <t>682968788</t>
  </si>
  <si>
    <t>Wike</t>
  </si>
  <si>
    <t>746163392</t>
  </si>
  <si>
    <t>8/15/2025</t>
  </si>
  <si>
    <t>683829007</t>
  </si>
  <si>
    <t>Edlawit</t>
  </si>
  <si>
    <t>Tesfaye</t>
  </si>
  <si>
    <t>298408887</t>
  </si>
  <si>
    <t>8/25/2025</t>
  </si>
  <si>
    <t>684143314</t>
  </si>
  <si>
    <t>Sarah</t>
  </si>
  <si>
    <t>Yoder</t>
  </si>
  <si>
    <t>338919869</t>
  </si>
  <si>
    <t>8/26/2025</t>
  </si>
  <si>
    <t>683168016</t>
  </si>
  <si>
    <t>Scarpulla</t>
  </si>
  <si>
    <t>524461911</t>
  </si>
  <si>
    <t>683013826</t>
  </si>
  <si>
    <t>Matthew</t>
  </si>
  <si>
    <t>Lowing</t>
  </si>
  <si>
    <t>313942658</t>
  </si>
  <si>
    <t>8/27/2025</t>
  </si>
  <si>
    <t>676321759</t>
  </si>
  <si>
    <t>683707400</t>
  </si>
  <si>
    <t>Fawn</t>
  </si>
  <si>
    <t>Taylor</t>
  </si>
  <si>
    <t>128182846</t>
  </si>
  <si>
    <t>684425815</t>
  </si>
  <si>
    <t>Barbara</t>
  </si>
  <si>
    <t>Mason-Jonas</t>
  </si>
  <si>
    <t>540552002</t>
  </si>
  <si>
    <t>8/28/2025</t>
  </si>
  <si>
    <t xml:space="preserve">$71.00 </t>
  </si>
  <si>
    <t>683929409</t>
  </si>
  <si>
    <t>Lori</t>
  </si>
  <si>
    <t>Bottenfield</t>
  </si>
  <si>
    <t>Main Line Benefits LLC - Michelle McCorkle</t>
  </si>
  <si>
    <t>176713886</t>
  </si>
  <si>
    <t>683317543</t>
  </si>
  <si>
    <t>Minnie</t>
  </si>
  <si>
    <t>Madden</t>
  </si>
  <si>
    <t>Carolyn W Smith</t>
  </si>
  <si>
    <t>224153635</t>
  </si>
  <si>
    <t>683301317</t>
  </si>
  <si>
    <t xml:space="preserve">Ann </t>
  </si>
  <si>
    <t>Morgan</t>
  </si>
  <si>
    <t>459325166</t>
  </si>
  <si>
    <t>682763750</t>
  </si>
  <si>
    <t>Nasandelger</t>
  </si>
  <si>
    <t>Zana</t>
  </si>
  <si>
    <t>Main Line Benefits LLC-Nasandelger Zana</t>
  </si>
  <si>
    <t>128908745</t>
  </si>
  <si>
    <t>683275166</t>
  </si>
  <si>
    <t>Kevin</t>
  </si>
  <si>
    <t>Husemann</t>
  </si>
  <si>
    <t>310854872</t>
  </si>
  <si>
    <t>683654707</t>
  </si>
  <si>
    <t>Jean Francois</t>
  </si>
  <si>
    <t>230444946</t>
  </si>
  <si>
    <t>684234261</t>
  </si>
  <si>
    <t xml:space="preserve">Monica </t>
  </si>
  <si>
    <t>Cornelio</t>
  </si>
  <si>
    <t>Main Line Benefits LLC-Kirk Tigue</t>
  </si>
  <si>
    <t>109514918</t>
  </si>
  <si>
    <t>NCD Value by MetLife - NY / CT</t>
  </si>
  <si>
    <t>8/24/2025</t>
  </si>
  <si>
    <t>971745723</t>
  </si>
  <si>
    <t>683497808</t>
  </si>
  <si>
    <t xml:space="preserve">Susan </t>
  </si>
  <si>
    <t>Belden</t>
  </si>
  <si>
    <t>998017756</t>
  </si>
  <si>
    <t>684234107</t>
  </si>
  <si>
    <t>Elizabeth</t>
  </si>
  <si>
    <t>Zane</t>
  </si>
  <si>
    <t>341203822</t>
  </si>
  <si>
    <t>260311117</t>
  </si>
  <si>
    <t>683534011</t>
  </si>
  <si>
    <t>John</t>
  </si>
  <si>
    <t>Fritz</t>
  </si>
  <si>
    <t>303162685</t>
  </si>
  <si>
    <t>8/29/2025</t>
  </si>
  <si>
    <t xml:space="preserve">$74.00 </t>
  </si>
  <si>
    <t>685063060</t>
  </si>
  <si>
    <t>Loise</t>
  </si>
  <si>
    <t>Maina</t>
  </si>
  <si>
    <t>681883972</t>
  </si>
  <si>
    <t>8/30/2025</t>
  </si>
  <si>
    <t>683720644</t>
  </si>
  <si>
    <t>Jon Charles</t>
  </si>
  <si>
    <t>Beckstrand</t>
  </si>
  <si>
    <t>750251718</t>
  </si>
  <si>
    <t>108620713</t>
  </si>
  <si>
    <t xml:space="preserve">$92.00 </t>
  </si>
  <si>
    <t>681647925</t>
  </si>
  <si>
    <t>Siti</t>
  </si>
  <si>
    <t>Freedman</t>
  </si>
  <si>
    <t>386395185</t>
  </si>
  <si>
    <t>683178395</t>
  </si>
  <si>
    <t>Abigail</t>
  </si>
  <si>
    <t>Duncan</t>
  </si>
  <si>
    <t>973153223</t>
  </si>
  <si>
    <t>168352383</t>
  </si>
  <si>
    <t>683654568</t>
  </si>
  <si>
    <t>Michelle</t>
  </si>
  <si>
    <t>Barnowski</t>
  </si>
  <si>
    <t>760186562</t>
  </si>
  <si>
    <t>685070366</t>
  </si>
  <si>
    <t>Martin</t>
  </si>
  <si>
    <t>Burman</t>
  </si>
  <si>
    <t>104547957</t>
  </si>
  <si>
    <t>684068645</t>
  </si>
  <si>
    <t>Sharrod</t>
  </si>
  <si>
    <t>Walker</t>
  </si>
  <si>
    <t>848578973</t>
  </si>
  <si>
    <t>683138813</t>
  </si>
  <si>
    <t>Twanna</t>
  </si>
  <si>
    <t>Delva</t>
  </si>
  <si>
    <t>5274878</t>
  </si>
  <si>
    <t>683899850</t>
  </si>
  <si>
    <t xml:space="preserve">William </t>
  </si>
  <si>
    <t>Custer</t>
  </si>
  <si>
    <t>571135014</t>
  </si>
  <si>
    <t>683228522</t>
  </si>
  <si>
    <t>Jodi</t>
  </si>
  <si>
    <t>Carpini</t>
  </si>
  <si>
    <t>211544974</t>
  </si>
  <si>
    <t>682766841</t>
  </si>
  <si>
    <t>Kucan</t>
  </si>
  <si>
    <t>119664581</t>
  </si>
  <si>
    <t>682624994</t>
  </si>
  <si>
    <t>Gerald</t>
  </si>
  <si>
    <t>Foley</t>
  </si>
  <si>
    <t>568485674</t>
  </si>
  <si>
    <t>688051988</t>
  </si>
  <si>
    <t>683828176</t>
  </si>
  <si>
    <t>Satya</t>
  </si>
  <si>
    <t>Southall</t>
  </si>
  <si>
    <t>896294214</t>
  </si>
  <si>
    <t>684135257</t>
  </si>
  <si>
    <t>Alonzo</t>
  </si>
  <si>
    <t>Brown</t>
  </si>
  <si>
    <t>418031090</t>
  </si>
  <si>
    <t>684680721</t>
  </si>
  <si>
    <t xml:space="preserve">Jacob </t>
  </si>
  <si>
    <t>Moorhead</t>
  </si>
  <si>
    <t>760665662</t>
  </si>
  <si>
    <t>682974980</t>
  </si>
  <si>
    <t>Mindi</t>
  </si>
  <si>
    <t>Kane</t>
  </si>
  <si>
    <t>Main Line Benefits LLC -Ricardo D Santos</t>
  </si>
  <si>
    <t>629957651</t>
  </si>
  <si>
    <t>8/16/2025</t>
  </si>
  <si>
    <t>673613358</t>
  </si>
  <si>
    <t xml:space="preserve">$112.00 </t>
  </si>
  <si>
    <t>682971882</t>
  </si>
  <si>
    <t>Monica</t>
  </si>
  <si>
    <t>ODonnell</t>
  </si>
  <si>
    <t>868422442</t>
  </si>
  <si>
    <t>40198305</t>
  </si>
  <si>
    <t xml:space="preserve">$121.00 </t>
  </si>
  <si>
    <t>683124501</t>
  </si>
  <si>
    <t>Abrams</t>
  </si>
  <si>
    <t>528354958</t>
  </si>
  <si>
    <t>8/17/2025</t>
  </si>
  <si>
    <t>683124480</t>
  </si>
  <si>
    <t xml:space="preserve">Shane </t>
  </si>
  <si>
    <t>509666499</t>
  </si>
  <si>
    <t>683120098</t>
  </si>
  <si>
    <t>Alycea</t>
  </si>
  <si>
    <t>Rivera</t>
  </si>
  <si>
    <t>232438202</t>
  </si>
  <si>
    <t>683659785</t>
  </si>
  <si>
    <t>Julie</t>
  </si>
  <si>
    <t>Bryant</t>
  </si>
  <si>
    <t>954518880</t>
  </si>
  <si>
    <t>679972196</t>
  </si>
  <si>
    <t>Jack</t>
  </si>
  <si>
    <t>Stein</t>
  </si>
  <si>
    <t>694607964</t>
  </si>
  <si>
    <t>NCD Standard 3000 by MetLife</t>
  </si>
  <si>
    <t>8/18/2025</t>
  </si>
  <si>
    <t xml:space="preserve">$172.00 </t>
  </si>
  <si>
    <t>241002988</t>
  </si>
  <si>
    <t>NCD - Vision</t>
  </si>
  <si>
    <t xml:space="preserve">$48.00 </t>
  </si>
  <si>
    <t>683887722</t>
  </si>
  <si>
    <t>Gary</t>
  </si>
  <si>
    <t>437691397</t>
  </si>
  <si>
    <t>681829783</t>
  </si>
  <si>
    <t>Lizanne</t>
  </si>
  <si>
    <t>Hayes</t>
  </si>
  <si>
    <t>438557821</t>
  </si>
  <si>
    <t>8/20/2025</t>
  </si>
  <si>
    <t>683448864</t>
  </si>
  <si>
    <t>Scott</t>
  </si>
  <si>
    <t>Crump</t>
  </si>
  <si>
    <t>990327518</t>
  </si>
  <si>
    <t>683463955</t>
  </si>
  <si>
    <t>Jose</t>
  </si>
  <si>
    <t>Manansala</t>
  </si>
  <si>
    <t>762673318</t>
  </si>
  <si>
    <t>8/21/2025</t>
  </si>
  <si>
    <t>245268586</t>
  </si>
  <si>
    <t>684087263</t>
  </si>
  <si>
    <t>Zhenhua</t>
  </si>
  <si>
    <t>Jiang</t>
  </si>
  <si>
    <t>389218592</t>
  </si>
  <si>
    <t>914937325</t>
  </si>
  <si>
    <t>684158179</t>
  </si>
  <si>
    <t>Arrich</t>
  </si>
  <si>
    <t>138655428</t>
  </si>
  <si>
    <t>683877755</t>
  </si>
  <si>
    <t>Debbie</t>
  </si>
  <si>
    <t>Rice</t>
  </si>
  <si>
    <t>526763175</t>
  </si>
  <si>
    <t>683602218</t>
  </si>
  <si>
    <t>Tyler</t>
  </si>
  <si>
    <t>Fortney</t>
  </si>
  <si>
    <t>498487989</t>
  </si>
  <si>
    <t>682859188</t>
  </si>
  <si>
    <t>Bryan</t>
  </si>
  <si>
    <t>Pennington</t>
  </si>
  <si>
    <t>623625840</t>
  </si>
  <si>
    <t>8/22/2025</t>
  </si>
  <si>
    <t>683900706</t>
  </si>
  <si>
    <t>Karla</t>
  </si>
  <si>
    <t>Cutting</t>
  </si>
  <si>
    <t>783299133</t>
  </si>
  <si>
    <t>683498152</t>
  </si>
  <si>
    <t>Joshua</t>
  </si>
  <si>
    <t>Tutchton</t>
  </si>
  <si>
    <t>892393390</t>
  </si>
  <si>
    <t>683478663</t>
  </si>
  <si>
    <t>Hollie</t>
  </si>
  <si>
    <t>Cacace</t>
  </si>
  <si>
    <t>536940641</t>
  </si>
  <si>
    <t>685004423</t>
  </si>
  <si>
    <t>Stephan</t>
  </si>
  <si>
    <t>Dagovitz</t>
  </si>
  <si>
    <t>Main Line Benefits LLC-Robert Shapiro</t>
  </si>
  <si>
    <t>439869219</t>
  </si>
  <si>
    <t>NCD Elite 3000 by MetLife</t>
  </si>
  <si>
    <t xml:space="preserve">$55.00 </t>
  </si>
  <si>
    <t>684061797</t>
  </si>
  <si>
    <t>Calogero</t>
  </si>
  <si>
    <t>Interrante</t>
  </si>
  <si>
    <t>588549415</t>
  </si>
  <si>
    <t>8/23/2025</t>
  </si>
  <si>
    <t>683454292</t>
  </si>
  <si>
    <t>Hunt</t>
  </si>
  <si>
    <t>300310162</t>
  </si>
  <si>
    <t>428096508</t>
  </si>
  <si>
    <t>Renewal Subtotal</t>
  </si>
  <si>
    <t>GRAND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</si>
  <si>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</si>
  <si>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</si>
  <si>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</si>
  <si>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</si>
  <si>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</si>
  <si>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</si>
  <si>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</si>
  <si>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</si>
  <si>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</si>
  <si>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</si>
  <si>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</si>
  <si>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</si>
  <si>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Company</t>
  </si>
  <si>
    <t>Member State</t>
  </si>
  <si>
    <t>Member Agent Category</t>
  </si>
  <si>
    <t>Member Source Detail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</si>
  <si>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</si>
  <si>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</si>
  <si>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</si>
  <si>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</si>
  <si>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</si>
  <si>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</si>
  <si>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</si>
  <si>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Amount</t>
  </si>
  <si>
    <t>Payment Type</t>
  </si>
  <si>
    <t>Transaction Payment</t>
  </si>
  <si>
    <t>Transaction Paid Through Start</t>
  </si>
  <si>
    <t>Transaction Paid Through End</t>
  </si>
  <si>
    <t>Payable ID</t>
  </si>
  <si>
    <t>Months Advanced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</si>
  <si>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</si>
  <si>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</si>
  <si>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</si>
  <si>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</si>
  <si>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</si>
  <si>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</si>
  <si>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</si>
  <si>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</si>
  <si>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</si>
  <si>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</si>
  <si>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</si>
  <si>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</si>
  <si>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</si>
  <si>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</si>
  <si>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</si>
  <si>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</si>
  <si>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</si>
  <si>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</si>
  <si>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</si>
  <si>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</si>
  <si>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</si>
  <si>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</si>
  <si>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</si>
  <si>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</si>
  <si>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</si>
  <si>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</si>
  <si>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</si>
  <si>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</si>
  <si>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</si>
  <si>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</si>
  <si>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</si>
  <si>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</si>
  <si>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</si>
  <si>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</si>
  <si>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</si>
  <si>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</si>
  <si>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</si>
  <si>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</si>
  <si>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</si>
  <si>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Commissionable Amount_Original</t>
  </si>
  <si>
    <t>Total_Original</t>
  </si>
  <si>
    <t>Payout_Original</t>
  </si>
  <si>
    <t>Posted Date_Original</t>
  </si>
  <si>
    <t>9/5/2025</t>
  </si>
  <si>
    <t>COMM</t>
  </si>
  <si>
    <t>Product</t>
  </si>
  <si>
    <t xml:space="preserve">232 E King St </t>
  </si>
  <si>
    <t>Malvern</t>
  </si>
  <si>
    <t>PA</t>
  </si>
  <si>
    <t>19355</t>
  </si>
  <si>
    <t>MD</t>
  </si>
  <si>
    <t>Field</t>
  </si>
  <si>
    <t>Monthly</t>
  </si>
  <si>
    <t>Vision</t>
  </si>
  <si>
    <t>VSP</t>
  </si>
  <si>
    <t>2/27/2024</t>
  </si>
  <si>
    <t>3/1/2024</t>
  </si>
  <si>
    <t>11075022100</t>
  </si>
  <si>
    <t xml:space="preserve">$21.00 </t>
  </si>
  <si>
    <t>ACH</t>
  </si>
  <si>
    <t>9/1/2025</t>
  </si>
  <si>
    <t>9/30/2025</t>
  </si>
  <si>
    <t>Dental</t>
  </si>
  <si>
    <t>MetLife</t>
  </si>
  <si>
    <t>9/20/2024</t>
  </si>
  <si>
    <t>10/1/2024</t>
  </si>
  <si>
    <t>11075027421</t>
  </si>
  <si>
    <t>2/20/2025</t>
  </si>
  <si>
    <t>3/1/2025</t>
  </si>
  <si>
    <t>11075033852</t>
  </si>
  <si>
    <t>7/31/2025</t>
  </si>
  <si>
    <t>11091050089</t>
  </si>
  <si>
    <t xml:space="preserve">$51.00 </t>
  </si>
  <si>
    <t>CC</t>
  </si>
  <si>
    <t>12/16/2024</t>
  </si>
  <si>
    <t>1/1/2025</t>
  </si>
  <si>
    <t>11071602175</t>
  </si>
  <si>
    <t xml:space="preserve">$70.00 </t>
  </si>
  <si>
    <t>9/30/2024</t>
  </si>
  <si>
    <t>11088252940</t>
  </si>
  <si>
    <t xml:space="preserve">$57.00 </t>
  </si>
  <si>
    <t>10/31/2023</t>
  </si>
  <si>
    <t>11/1/2023</t>
  </si>
  <si>
    <t>11088272534</t>
  </si>
  <si>
    <t xml:space="preserve">$84.20 </t>
  </si>
  <si>
    <t>12/31/2024</t>
  </si>
  <si>
    <t>11088275666</t>
  </si>
  <si>
    <t xml:space="preserve">$176.00 </t>
  </si>
  <si>
    <t>7/30/2025</t>
  </si>
  <si>
    <t>11088306602</t>
  </si>
  <si>
    <t xml:space="preserve">$22.00 </t>
  </si>
  <si>
    <t>DE</t>
  </si>
  <si>
    <t>12/2/2024</t>
  </si>
  <si>
    <t>11067828983</t>
  </si>
  <si>
    <t xml:space="preserve">$91.00 </t>
  </si>
  <si>
    <t>IL</t>
  </si>
  <si>
    <t>3/24/2025</t>
  </si>
  <si>
    <t>4/1/2025</t>
  </si>
  <si>
    <t>11065340818</t>
  </si>
  <si>
    <t>11/22/2024</t>
  </si>
  <si>
    <t>12/1/2024</t>
  </si>
  <si>
    <t>11058677173</t>
  </si>
  <si>
    <t>1/22/2025</t>
  </si>
  <si>
    <t>2/1/2025</t>
  </si>
  <si>
    <t>11058680021</t>
  </si>
  <si>
    <t>1/8/2025</t>
  </si>
  <si>
    <t>11060214822</t>
  </si>
  <si>
    <t>10/23/2024</t>
  </si>
  <si>
    <t>11/1/2024</t>
  </si>
  <si>
    <t>11062741421</t>
  </si>
  <si>
    <t>6/24/2024</t>
  </si>
  <si>
    <t>7/1/2024</t>
  </si>
  <si>
    <t>11065336588</t>
  </si>
  <si>
    <t xml:space="preserve">$96.52 </t>
  </si>
  <si>
    <t>10/28/2024</t>
  </si>
  <si>
    <t>11078655692</t>
  </si>
  <si>
    <t>10/31/2024</t>
  </si>
  <si>
    <t>11078656295</t>
  </si>
  <si>
    <t>11/19/2024</t>
  </si>
  <si>
    <t>11078659125</t>
  </si>
  <si>
    <t>FL</t>
  </si>
  <si>
    <t>1/28/2025</t>
  </si>
  <si>
    <t>11078699306</t>
  </si>
  <si>
    <t>4/28/2025</t>
  </si>
  <si>
    <t>5/1/2025</t>
  </si>
  <si>
    <t>11078707233</t>
  </si>
  <si>
    <t xml:space="preserve">$88.00 </t>
  </si>
  <si>
    <t>12/27/2024</t>
  </si>
  <si>
    <t>11075001063</t>
  </si>
  <si>
    <t>8/21/2024</t>
  </si>
  <si>
    <t>9/1/2024</t>
  </si>
  <si>
    <t>11054911786</t>
  </si>
  <si>
    <t xml:space="preserve">$77.00 </t>
  </si>
  <si>
    <t>9/26/2024</t>
  </si>
  <si>
    <t>11071579113</t>
  </si>
  <si>
    <t>3/5/2025</t>
  </si>
  <si>
    <t>11071596509</t>
  </si>
  <si>
    <t>1/15/2025</t>
  </si>
  <si>
    <t>11067785269</t>
  </si>
  <si>
    <t>NY</t>
  </si>
  <si>
    <t>11065316666</t>
  </si>
  <si>
    <t>11065321165</t>
  </si>
  <si>
    <t>1/20/2025</t>
  </si>
  <si>
    <t>11051167455</t>
  </si>
  <si>
    <t>5/20/2024</t>
  </si>
  <si>
    <t>6/1/2024</t>
  </si>
  <si>
    <t>11051160906</t>
  </si>
  <si>
    <t>2/19/2025</t>
  </si>
  <si>
    <t>11046693191</t>
  </si>
  <si>
    <t>7/22/2025</t>
  </si>
  <si>
    <t>11058657938</t>
  </si>
  <si>
    <t xml:space="preserve">$72.00 </t>
  </si>
  <si>
    <t>11058648252</t>
  </si>
  <si>
    <t>11058648578</t>
  </si>
  <si>
    <t>11058650774</t>
  </si>
  <si>
    <t>TX</t>
  </si>
  <si>
    <t>7/18/2024</t>
  </si>
  <si>
    <t>8/1/2024</t>
  </si>
  <si>
    <t>11043000983</t>
  </si>
  <si>
    <t xml:space="preserve">$137.16 </t>
  </si>
  <si>
    <t>12/10/2024</t>
  </si>
  <si>
    <t>11037698192</t>
  </si>
  <si>
    <t>1/17/2025</t>
  </si>
  <si>
    <t>11040468554</t>
  </si>
  <si>
    <t>3/7/2025</t>
  </si>
  <si>
    <t>11040469577</t>
  </si>
  <si>
    <t>1/1/2026</t>
  </si>
  <si>
    <t>1/31/2026</t>
  </si>
  <si>
    <t>2/21/2025</t>
  </si>
  <si>
    <t>11054908858</t>
  </si>
  <si>
    <t>11/15/2024</t>
  </si>
  <si>
    <t>11032851740</t>
  </si>
  <si>
    <t xml:space="preserve">$107.00 </t>
  </si>
  <si>
    <t>11/14/2024</t>
  </si>
  <si>
    <t>11028508598</t>
  </si>
  <si>
    <t xml:space="preserve">$37.00 </t>
  </si>
  <si>
    <t>11028508964</t>
  </si>
  <si>
    <t>12/7/2023</t>
  </si>
  <si>
    <t>1/1/2024</t>
  </si>
  <si>
    <t>11051152108</t>
  </si>
  <si>
    <t>NJ</t>
  </si>
  <si>
    <t>10/18/2022</t>
  </si>
  <si>
    <t>12/1/2022</t>
  </si>
  <si>
    <t>11042963229</t>
  </si>
  <si>
    <t xml:space="preserve">$275.94 </t>
  </si>
  <si>
    <t>5/29/2024</t>
  </si>
  <si>
    <t>3/1/2027</t>
  </si>
  <si>
    <t>3/31/2027</t>
  </si>
  <si>
    <t>12/17/2024</t>
  </si>
  <si>
    <t>11040459245</t>
  </si>
  <si>
    <t>9/16/2024</t>
  </si>
  <si>
    <t>11040456973</t>
  </si>
  <si>
    <t>9/17/2024</t>
  </si>
  <si>
    <t>11040457364</t>
  </si>
  <si>
    <t>11040457483</t>
  </si>
  <si>
    <t>8/12/2024</t>
  </si>
  <si>
    <t>11021288383</t>
  </si>
  <si>
    <t xml:space="preserve">$192.00 </t>
  </si>
  <si>
    <t>11021281833</t>
  </si>
  <si>
    <t xml:space="preserve">$210.44 </t>
  </si>
  <si>
    <t>6/10/2025</t>
  </si>
  <si>
    <t>7/1/2025</t>
  </si>
  <si>
    <t>11015866238</t>
  </si>
  <si>
    <t>3/3/2025</t>
  </si>
  <si>
    <t>11032863447</t>
  </si>
  <si>
    <t>11032858861</t>
  </si>
  <si>
    <t>8/9/2024</t>
  </si>
  <si>
    <t>11032934243</t>
  </si>
  <si>
    <t xml:space="preserve">$112.92 </t>
  </si>
  <si>
    <t>10/11/2024</t>
  </si>
  <si>
    <t>11032974455</t>
  </si>
  <si>
    <t>11013797611</t>
  </si>
  <si>
    <t>9/10/2024</t>
  </si>
  <si>
    <t>11013210977</t>
  </si>
  <si>
    <t>11013211032</t>
  </si>
  <si>
    <t>11009371009</t>
  </si>
  <si>
    <t>5/9/2024</t>
  </si>
  <si>
    <t>11010395059</t>
  </si>
  <si>
    <t xml:space="preserve">$175.00 </t>
  </si>
  <si>
    <t>11010395141</t>
  </si>
  <si>
    <t>11010398527</t>
  </si>
  <si>
    <t>VA</t>
  </si>
  <si>
    <t>5/18/2024</t>
  </si>
  <si>
    <t>11010404615</t>
  </si>
  <si>
    <t xml:space="preserve">$260.64 </t>
  </si>
  <si>
    <t>2/1/2027</t>
  </si>
  <si>
    <t>2/28/2027</t>
  </si>
  <si>
    <t>4/8/2024</t>
  </si>
  <si>
    <t>5/1/2024</t>
  </si>
  <si>
    <t>11006289903</t>
  </si>
  <si>
    <t xml:space="preserve">$90.92 </t>
  </si>
  <si>
    <t>4/7/2025</t>
  </si>
  <si>
    <t>11002489039</t>
  </si>
  <si>
    <t>11002495313</t>
  </si>
  <si>
    <t>2/7/2025</t>
  </si>
  <si>
    <t>11002488157</t>
  </si>
  <si>
    <t xml:space="preserve">$79.00 </t>
  </si>
  <si>
    <t>12/9/2024</t>
  </si>
  <si>
    <t>11024815377</t>
  </si>
  <si>
    <t>11/29/2023</t>
  </si>
  <si>
    <t>12/1/2023</t>
  </si>
  <si>
    <t>10967869546</t>
  </si>
  <si>
    <t xml:space="preserve">$56.20 </t>
  </si>
  <si>
    <t>10967869747</t>
  </si>
  <si>
    <t xml:space="preserve">$89.80 </t>
  </si>
  <si>
    <t>2/12/2024</t>
  </si>
  <si>
    <t>10968067722</t>
  </si>
  <si>
    <t>11/12/2024</t>
  </si>
  <si>
    <t>11021271652</t>
  </si>
  <si>
    <t xml:space="preserve">$80.00 </t>
  </si>
  <si>
    <t>11016454395</t>
  </si>
  <si>
    <t xml:space="preserve">$232.00 </t>
  </si>
  <si>
    <t>12/11/2024</t>
  </si>
  <si>
    <t>11015850215</t>
  </si>
  <si>
    <t>OR</t>
  </si>
  <si>
    <t>9/6/2024</t>
  </si>
  <si>
    <t>10998901539</t>
  </si>
  <si>
    <t xml:space="preserve">$81.00 </t>
  </si>
  <si>
    <t>10998901693</t>
  </si>
  <si>
    <t>12/4/2024</t>
  </si>
  <si>
    <t>10995180948</t>
  </si>
  <si>
    <t>10/9/2024</t>
  </si>
  <si>
    <t>11010387975</t>
  </si>
  <si>
    <t>10991294348</t>
  </si>
  <si>
    <t xml:space="preserve">$62.00 </t>
  </si>
  <si>
    <t>5/14/2024</t>
  </si>
  <si>
    <t>11007310968</t>
  </si>
  <si>
    <t>11006273044</t>
  </si>
  <si>
    <t>11002467618</t>
  </si>
  <si>
    <t>11/10/2023</t>
  </si>
  <si>
    <t>10979752964</t>
  </si>
  <si>
    <t xml:space="preserve">$119.12 </t>
  </si>
  <si>
    <t>10979757128</t>
  </si>
  <si>
    <t>2/1/2024</t>
  </si>
  <si>
    <t>10979757361</t>
  </si>
  <si>
    <t xml:space="preserve">$217.08 </t>
  </si>
  <si>
    <t>10979794908</t>
  </si>
  <si>
    <t xml:space="preserve">$177.00 </t>
  </si>
  <si>
    <t>NC</t>
  </si>
  <si>
    <t>10/5/2023</t>
  </si>
  <si>
    <t>10995161981</t>
  </si>
  <si>
    <t>12/5/2024</t>
  </si>
  <si>
    <t>10995153530</t>
  </si>
  <si>
    <t>10/4/2024</t>
  </si>
  <si>
    <t>10991273978</t>
  </si>
  <si>
    <t>10/3/2024</t>
  </si>
  <si>
    <t>10991273478</t>
  </si>
  <si>
    <t>7/3/2025</t>
  </si>
  <si>
    <t>10988515535</t>
  </si>
  <si>
    <t xml:space="preserve">$59.00 </t>
  </si>
  <si>
    <t>10988515773</t>
  </si>
  <si>
    <t>2/3/2025</t>
  </si>
  <si>
    <t>10988525666</t>
  </si>
  <si>
    <t>10988471011</t>
  </si>
  <si>
    <t>11/13/2023</t>
  </si>
  <si>
    <t>10971270227</t>
  </si>
  <si>
    <t xml:space="preserve">$205.40 </t>
  </si>
  <si>
    <t>4/19/2024</t>
  </si>
  <si>
    <t>8/6/2024</t>
  </si>
  <si>
    <t>10971281326</t>
  </si>
  <si>
    <t xml:space="preserve">$203.00 </t>
  </si>
  <si>
    <t>10971287426</t>
  </si>
  <si>
    <t>7/31/2024</t>
  </si>
  <si>
    <t>10971290732</t>
  </si>
  <si>
    <t xml:space="preserve">$158.00 </t>
  </si>
  <si>
    <t>10971291017</t>
  </si>
  <si>
    <t xml:space="preserve">$105.00 </t>
  </si>
  <si>
    <t>10971292563</t>
  </si>
  <si>
    <t>10/30/2024</t>
  </si>
  <si>
    <t>10971297116</t>
  </si>
  <si>
    <t>10971303250</t>
  </si>
  <si>
    <t xml:space="preserve">$78.00 </t>
  </si>
  <si>
    <t>10971305522</t>
  </si>
  <si>
    <t xml:space="preserve">$83.00 </t>
  </si>
  <si>
    <t>2ABCB32EFE56AF328E04C8A374EDBF16</t>
  </si>
  <si>
    <t>4/2/2025</t>
  </si>
  <si>
    <t>10985390386</t>
  </si>
  <si>
    <t>10979942156</t>
  </si>
  <si>
    <t>10964337804</t>
  </si>
  <si>
    <t>10964338021</t>
  </si>
  <si>
    <t>2/11/2025</t>
  </si>
  <si>
    <t>10964348722</t>
  </si>
  <si>
    <t>5/28/2025</t>
  </si>
  <si>
    <t>6/1/2025</t>
  </si>
  <si>
    <t>10964356763</t>
  </si>
  <si>
    <t xml:space="preserve"> Adam Richter</t>
  </si>
  <si>
    <t xml:space="preserve"> Thomas Kucan</t>
  </si>
  <si>
    <t xml:space="preserve"> Carol Foley</t>
  </si>
  <si>
    <t>Jared Kinyua</t>
  </si>
  <si>
    <t>Frank Liskovec</t>
  </si>
  <si>
    <t>Nasandelger Zana</t>
  </si>
  <si>
    <t xml:space="preserve"> Michelle McCorkle</t>
  </si>
  <si>
    <t>Kirk Tigue</t>
  </si>
  <si>
    <t>Alison Luse</t>
  </si>
  <si>
    <t>Robert Shapiro</t>
  </si>
  <si>
    <t xml:space="preserve"> Matthew Daugherty</t>
  </si>
  <si>
    <t>Pam Deaton Inc</t>
  </si>
  <si>
    <t>Michael Dunavant</t>
  </si>
  <si>
    <t>William Schaeffer</t>
  </si>
  <si>
    <t>Ricardo D Santos</t>
  </si>
  <si>
    <t>Gary Portugal</t>
  </si>
  <si>
    <t xml:space="preserve"> Aidan Barber</t>
  </si>
  <si>
    <t>17425766old</t>
  </si>
  <si>
    <t>18710070N</t>
  </si>
  <si>
    <t>9254978N</t>
  </si>
  <si>
    <t>Cathy Lemon</t>
  </si>
  <si>
    <t>Jason Hoffmann</t>
  </si>
  <si>
    <t>NCD override</t>
  </si>
  <si>
    <t>Main Line Benefits</t>
  </si>
  <si>
    <t>RN</t>
  </si>
  <si>
    <t>AV1</t>
  </si>
  <si>
    <t>AE</t>
  </si>
  <si>
    <t>NCD - Dental $3,000</t>
  </si>
  <si>
    <t>NCD MetLife -24%</t>
  </si>
  <si>
    <t>MetLife Dental</t>
  </si>
  <si>
    <t>Metlife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</si>
</sst>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3764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</patternFill>
    </fill>
    <fill>
      <patternFill patternType="solid">
        <fgColor rgb="FF54C0E8"/>
        <bgColor rgb="FF54C0E8"/>
      </patternFill>
    </fill>
    <fill>
      <patternFill patternType="solid">
        <fgColor rgb="FF0082B5"/>
        <bgColor rgb="FF0082B5"/>
      </patternFill>
    </fill>
    <fill>
      <patternFill patternType="solid">
        <fgColor rgb="FFE6F4F1"/>
        <bgColor rgb="FFE6F4F1"/>
      </patternFill>
    </fill>
    <fill>
      <patternFill patternType="solid">
        <fgColor rgb="FFFA8406"/>
        <bgColor rgb="FFFA840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0" fillId="3" borderId="1" xfId="0" applyFill="1" applyBorder="1"/>
    <xf numFmtId="0" fontId="6" fillId="5" borderId="2" xfId="0" applyFont="1" applyFill="1" applyBorder="1"/>
    <xf numFmtId="164" fontId="7" fillId="8" borderId="2" xfId="0" applyNumberFormat="1" applyFont="1" applyFill="1" applyBorder="1"/>
    <xf numFmtId="0" fontId="6" fillId="7" borderId="2" xfId="0" applyFont="1" applyFill="1" applyBorder="1"/>
    <xf numFmtId="0" fontId="1" fillId="4" borderId="0" xfId="0" applyFont="1" applyFill="1"/>
    <xf numFmtId="0" fontId="1" fillId="6" borderId="0" xfId="0" applyFont="1" applyFill="1"/>
    <xf numFmtId="164" fontId="1" fillId="6" borderId="0" xfId="0" applyNumberFormat="1" applyFont="1" applyFill="1"/>
    <xf numFmtId="0" fontId="5" fillId="2" borderId="0" xfId="0" applyFont="1" applyFill="1"/>
    <xf numFmtId="164" fontId="5" fillId="2" borderId="0" xfId="0" applyNumberFormat="1" applyFont="1" applyFill="1"/>
    <xf numFmtId="0" fontId="1" fillId="0" borderId="0" xfId="0" applyFont="1"/>
    <xf numFmtId="164" fontId="0" fillId="0" borderId="0" xfId="0" applyNumberFormat="1"/>
    <xf numFmtId="0" fontId="4" fillId="5" borderId="0" xfId="0" applyFont="1" applyFill="1" applyAlignment="1">
      <alignment horizontal="center"/>
    </xf>
    <xf numFmtId="0" fontId="0" fillId="0" borderId="0" xfId="0"/>
    <xf numFmtId="0" fontId="0" fillId="0" borderId="0" xfId="0" applyNumberFormat="1"/>
    <xf numFmtId="9" fontId="0" fillId="0" borderId="0" xfId="0" applyNumberFormat="1"/>
    <xf numFmtId="0" fontId="0" fillId="9" borderId="0" xfId="0" applyFill="1"/>
    <xf numFmtId="164" fontId="0" fillId="9" borderId="0" xfId="0" applyNumberFormat="1" applyFill="1"/>
    <xf numFmtId="0" fontId="0" fillId="9" borderId="0" xfId="0" applyNumberFormat="1" applyFill="1"/>
    <xf numFmtId="9" fontId="0" fillId="9" borderId="0" xfId="0" applyNumberFormat="1" applyFill="1"/>
    <xf numFmtId="0" fontId="0" fillId="10" borderId="0" xfId="0" applyFill="1"/>
    <xf numFmtId="0" fontId="0" fillId="10" borderId="0" xfId="0" applyNumberFormat="1" applyFill="1"/>
    <xf numFmtId="9" fontId="0" fillId="10" borderId="0" xfId="0" applyNumberFormat="1" applyFill="1"/>
    <xf numFmtId="0" fontId="0" fillId="0" borderId="0" xfId="0" applyFill="1"/>
    <xf numFmtId="0" fontId="0" fillId="0" borderId="0" xfId="0" applyNumberFormat="1" applyFill="1"/>
    <xf numFmtId="164" fontId="0" fillId="0" borderId="0" xfId="0" applyNumberFormat="1" applyFill="1"/>
    <xf numFmtId="9" fontId="0" fillId="0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9"/>
  <sheetViews>
    <sheetView topLeftCell="A95" workbookViewId="0">
      <selection activeCell="B124" sqref="B124"/>
    </sheetView>
  </sheetViews>
  <sheetFormatPr defaultRowHeight="15" x14ac:dyDescent="0.25"/>
  <cols>
    <col min="1" max="15" width="15" customWidth="1"/>
    <col min="17" max="49" width="13" hidden="1" customWidth="1"/>
  </cols>
  <sheetData>
    <row r="1" spans="1:15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1" x14ac:dyDescent="0.35">
      <c r="A5" s="4"/>
      <c r="B5" s="4"/>
      <c r="C5" s="5" t="s">
        <v>4</v>
      </c>
      <c r="D5" s="6">
        <v>1440.98</v>
      </c>
      <c r="E5" s="7" t="s">
        <v>5</v>
      </c>
      <c r="F5" s="6">
        <v>1440.98</v>
      </c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  <c r="O10" s="8" t="s">
        <v>20</v>
      </c>
    </row>
    <row r="11" spans="1:15" ht="15.75" x14ac:dyDescent="0.25">
      <c r="A11" s="15" t="s">
        <v>21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t="s">
        <v>4</v>
      </c>
      <c r="B12">
        <v>682280326</v>
      </c>
      <c r="C12" t="s">
        <v>23</v>
      </c>
      <c r="D12" t="s">
        <v>24</v>
      </c>
      <c r="E12">
        <v>657149</v>
      </c>
      <c r="F12" t="s">
        <v>25</v>
      </c>
      <c r="G12">
        <v>668933669</v>
      </c>
      <c r="H12" t="s">
        <v>27</v>
      </c>
      <c r="I12" t="s">
        <v>28</v>
      </c>
      <c r="J12" t="s">
        <v>29</v>
      </c>
      <c r="K12" t="s">
        <v>30</v>
      </c>
      <c r="M12" t="s">
        <v>31</v>
      </c>
      <c r="N12">
        <v>4.07</v>
      </c>
      <c r="O12" t="s">
        <v>32</v>
      </c>
    </row>
    <row r="13" spans="1:15" x14ac:dyDescent="0.25">
      <c r="A13" t="s">
        <v>4</v>
      </c>
      <c r="B13">
        <v>681694666</v>
      </c>
      <c r="C13" t="s">
        <v>34</v>
      </c>
      <c r="D13" t="s">
        <v>35</v>
      </c>
      <c r="E13">
        <v>689390</v>
      </c>
      <c r="F13" t="s">
        <v>36</v>
      </c>
      <c r="G13">
        <v>654081029</v>
      </c>
      <c r="H13" t="s">
        <v>38</v>
      </c>
      <c r="I13" t="s">
        <v>39</v>
      </c>
      <c r="J13" t="s">
        <v>40</v>
      </c>
      <c r="K13" t="s">
        <v>30</v>
      </c>
      <c r="M13" t="s">
        <v>41</v>
      </c>
      <c r="N13">
        <v>18.239999999999998</v>
      </c>
      <c r="O13" t="s">
        <v>42</v>
      </c>
    </row>
    <row r="14" spans="1:15" x14ac:dyDescent="0.25">
      <c r="A14" t="s">
        <v>4</v>
      </c>
      <c r="B14">
        <v>683324516</v>
      </c>
      <c r="C14" t="s">
        <v>44</v>
      </c>
      <c r="D14" t="s">
        <v>45</v>
      </c>
      <c r="E14">
        <v>678726</v>
      </c>
      <c r="F14" t="s">
        <v>46</v>
      </c>
      <c r="G14">
        <v>196153282</v>
      </c>
      <c r="H14" t="s">
        <v>48</v>
      </c>
      <c r="I14" t="s">
        <v>28</v>
      </c>
      <c r="J14" t="s">
        <v>40</v>
      </c>
      <c r="K14" t="s">
        <v>30</v>
      </c>
      <c r="M14" t="s">
        <v>49</v>
      </c>
      <c r="N14">
        <v>8</v>
      </c>
      <c r="O14" t="s">
        <v>50</v>
      </c>
    </row>
    <row r="15" spans="1:15" x14ac:dyDescent="0.25">
      <c r="A15" t="s">
        <v>4</v>
      </c>
      <c r="B15">
        <v>683786117</v>
      </c>
      <c r="C15" t="s">
        <v>52</v>
      </c>
      <c r="D15" t="s">
        <v>53</v>
      </c>
      <c r="E15">
        <v>798992</v>
      </c>
      <c r="F15" t="s">
        <v>54</v>
      </c>
      <c r="G15">
        <v>507495690</v>
      </c>
      <c r="H15" t="s">
        <v>48</v>
      </c>
      <c r="I15" t="s">
        <v>28</v>
      </c>
      <c r="J15" t="s">
        <v>56</v>
      </c>
      <c r="K15" t="s">
        <v>30</v>
      </c>
      <c r="M15" t="s">
        <v>49</v>
      </c>
      <c r="N15">
        <v>8</v>
      </c>
      <c r="O15" t="s">
        <v>50</v>
      </c>
    </row>
    <row r="16" spans="1:15" x14ac:dyDescent="0.25">
      <c r="A16" t="s">
        <v>4</v>
      </c>
      <c r="B16">
        <v>682605985</v>
      </c>
      <c r="C16" t="s">
        <v>58</v>
      </c>
      <c r="D16" t="s">
        <v>59</v>
      </c>
      <c r="E16">
        <v>757209</v>
      </c>
      <c r="F16" t="s">
        <v>60</v>
      </c>
      <c r="G16">
        <v>653432432</v>
      </c>
      <c r="H16" t="s">
        <v>62</v>
      </c>
      <c r="I16" t="s">
        <v>28</v>
      </c>
      <c r="J16" t="s">
        <v>56</v>
      </c>
      <c r="K16" t="s">
        <v>63</v>
      </c>
      <c r="L16" t="s">
        <v>64</v>
      </c>
      <c r="M16" t="s">
        <v>65</v>
      </c>
      <c r="N16">
        <v>-9.1199999999999992</v>
      </c>
      <c r="O16" t="s">
        <v>42</v>
      </c>
    </row>
    <row r="17" spans="1:15" x14ac:dyDescent="0.25">
      <c r="A17" t="s">
        <v>4</v>
      </c>
      <c r="B17">
        <v>683551481</v>
      </c>
      <c r="C17" t="s">
        <v>67</v>
      </c>
      <c r="D17" t="s">
        <v>68</v>
      </c>
      <c r="E17">
        <v>798992</v>
      </c>
      <c r="F17" t="s">
        <v>54</v>
      </c>
      <c r="G17">
        <v>984523223</v>
      </c>
      <c r="H17" t="s">
        <v>48</v>
      </c>
      <c r="I17" t="s">
        <v>28</v>
      </c>
      <c r="J17" t="s">
        <v>56</v>
      </c>
      <c r="K17" t="s">
        <v>30</v>
      </c>
      <c r="M17" t="s">
        <v>70</v>
      </c>
      <c r="N17">
        <v>9.6</v>
      </c>
      <c r="O17" t="s">
        <v>50</v>
      </c>
    </row>
    <row r="18" spans="1:15" x14ac:dyDescent="0.25">
      <c r="A18" t="s">
        <v>4</v>
      </c>
      <c r="B18">
        <v>683551481</v>
      </c>
      <c r="C18" t="s">
        <v>67</v>
      </c>
      <c r="D18" t="s">
        <v>68</v>
      </c>
      <c r="E18">
        <v>798992</v>
      </c>
      <c r="F18" t="s">
        <v>54</v>
      </c>
      <c r="G18">
        <v>245549848</v>
      </c>
      <c r="H18" t="s">
        <v>27</v>
      </c>
      <c r="I18" t="s">
        <v>28</v>
      </c>
      <c r="J18" t="s">
        <v>56</v>
      </c>
      <c r="K18" t="s">
        <v>30</v>
      </c>
      <c r="M18" t="s">
        <v>31</v>
      </c>
      <c r="N18">
        <v>4.07</v>
      </c>
      <c r="O18" t="s">
        <v>32</v>
      </c>
    </row>
    <row r="19" spans="1:15" x14ac:dyDescent="0.25">
      <c r="A19" t="s">
        <v>4</v>
      </c>
      <c r="B19">
        <v>683221739</v>
      </c>
      <c r="C19" t="s">
        <v>73</v>
      </c>
      <c r="D19" t="s">
        <v>74</v>
      </c>
      <c r="E19">
        <v>678726</v>
      </c>
      <c r="F19" t="s">
        <v>46</v>
      </c>
      <c r="G19">
        <v>165329262</v>
      </c>
      <c r="H19" t="s">
        <v>48</v>
      </c>
      <c r="I19" t="s">
        <v>28</v>
      </c>
      <c r="J19" t="s">
        <v>76</v>
      </c>
      <c r="K19" t="s">
        <v>30</v>
      </c>
      <c r="M19" t="s">
        <v>49</v>
      </c>
      <c r="N19">
        <v>8</v>
      </c>
      <c r="O19" t="s">
        <v>50</v>
      </c>
    </row>
    <row r="20" spans="1:15" x14ac:dyDescent="0.25">
      <c r="A20" t="s">
        <v>4</v>
      </c>
      <c r="B20">
        <v>683221739</v>
      </c>
      <c r="C20" t="s">
        <v>73</v>
      </c>
      <c r="D20" t="s">
        <v>74</v>
      </c>
      <c r="E20">
        <v>678726</v>
      </c>
      <c r="F20" t="s">
        <v>46</v>
      </c>
      <c r="G20">
        <v>607637254</v>
      </c>
      <c r="H20" t="s">
        <v>27</v>
      </c>
      <c r="I20" t="s">
        <v>28</v>
      </c>
      <c r="J20" t="s">
        <v>76</v>
      </c>
      <c r="K20" t="s">
        <v>30</v>
      </c>
      <c r="M20" t="s">
        <v>31</v>
      </c>
      <c r="N20">
        <v>4.07</v>
      </c>
      <c r="O20" t="s">
        <v>32</v>
      </c>
    </row>
    <row r="21" spans="1:15" x14ac:dyDescent="0.25">
      <c r="A21" t="s">
        <v>4</v>
      </c>
      <c r="B21">
        <v>683552927</v>
      </c>
      <c r="C21" t="s">
        <v>79</v>
      </c>
      <c r="D21" t="s">
        <v>80</v>
      </c>
      <c r="E21">
        <v>678726</v>
      </c>
      <c r="F21" t="s">
        <v>46</v>
      </c>
      <c r="G21">
        <v>699319353</v>
      </c>
      <c r="H21" t="s">
        <v>48</v>
      </c>
      <c r="I21" t="s">
        <v>28</v>
      </c>
      <c r="J21" t="s">
        <v>76</v>
      </c>
      <c r="K21" t="s">
        <v>30</v>
      </c>
      <c r="M21" t="s">
        <v>49</v>
      </c>
      <c r="N21">
        <v>8</v>
      </c>
      <c r="O21" t="s">
        <v>50</v>
      </c>
    </row>
    <row r="22" spans="1:15" x14ac:dyDescent="0.25">
      <c r="A22" t="s">
        <v>4</v>
      </c>
      <c r="B22">
        <v>683080241</v>
      </c>
      <c r="C22" t="s">
        <v>83</v>
      </c>
      <c r="D22" t="s">
        <v>84</v>
      </c>
      <c r="E22">
        <v>703501</v>
      </c>
      <c r="F22" t="s">
        <v>85</v>
      </c>
      <c r="G22">
        <v>864594072</v>
      </c>
      <c r="H22" t="s">
        <v>87</v>
      </c>
      <c r="I22" t="s">
        <v>28</v>
      </c>
      <c r="J22" t="s">
        <v>88</v>
      </c>
      <c r="K22" t="s">
        <v>30</v>
      </c>
      <c r="M22" t="s">
        <v>49</v>
      </c>
      <c r="N22">
        <v>6</v>
      </c>
      <c r="O22" t="s">
        <v>42</v>
      </c>
    </row>
    <row r="23" spans="1:15" x14ac:dyDescent="0.25">
      <c r="A23" t="s">
        <v>4</v>
      </c>
      <c r="B23">
        <v>683078519</v>
      </c>
      <c r="C23" t="s">
        <v>90</v>
      </c>
      <c r="D23" t="s">
        <v>91</v>
      </c>
      <c r="E23">
        <v>703501</v>
      </c>
      <c r="F23" t="s">
        <v>85</v>
      </c>
      <c r="G23">
        <v>624218472</v>
      </c>
      <c r="H23" t="s">
        <v>87</v>
      </c>
      <c r="I23" t="s">
        <v>93</v>
      </c>
      <c r="J23" t="s">
        <v>88</v>
      </c>
      <c r="K23" t="s">
        <v>30</v>
      </c>
      <c r="M23" t="s">
        <v>94</v>
      </c>
      <c r="N23">
        <v>14.64</v>
      </c>
      <c r="O23" t="s">
        <v>42</v>
      </c>
    </row>
    <row r="24" spans="1:15" x14ac:dyDescent="0.25">
      <c r="A24" t="s">
        <v>4</v>
      </c>
      <c r="B24">
        <v>683609699</v>
      </c>
      <c r="C24" t="s">
        <v>96</v>
      </c>
      <c r="D24" t="s">
        <v>97</v>
      </c>
      <c r="E24">
        <v>706472</v>
      </c>
      <c r="F24" t="s">
        <v>98</v>
      </c>
      <c r="G24">
        <v>58861441</v>
      </c>
      <c r="H24" t="s">
        <v>48</v>
      </c>
      <c r="I24" t="s">
        <v>28</v>
      </c>
      <c r="J24" t="s">
        <v>100</v>
      </c>
      <c r="K24" t="s">
        <v>30</v>
      </c>
      <c r="M24" t="s">
        <v>49</v>
      </c>
      <c r="N24">
        <v>8</v>
      </c>
      <c r="O24" t="s">
        <v>50</v>
      </c>
    </row>
    <row r="25" spans="1:15" x14ac:dyDescent="0.25">
      <c r="A25" t="s">
        <v>4</v>
      </c>
      <c r="B25">
        <v>683593204</v>
      </c>
      <c r="C25" t="s">
        <v>102</v>
      </c>
      <c r="D25" t="s">
        <v>103</v>
      </c>
      <c r="E25">
        <v>757929</v>
      </c>
      <c r="F25" t="s">
        <v>104</v>
      </c>
      <c r="G25">
        <v>348104279</v>
      </c>
      <c r="H25" t="s">
        <v>38</v>
      </c>
      <c r="I25" t="s">
        <v>106</v>
      </c>
      <c r="J25" t="s">
        <v>100</v>
      </c>
      <c r="K25" t="s">
        <v>30</v>
      </c>
      <c r="M25" t="s">
        <v>107</v>
      </c>
      <c r="N25">
        <v>44.4</v>
      </c>
      <c r="O25" t="s">
        <v>42</v>
      </c>
    </row>
    <row r="26" spans="1:15" x14ac:dyDescent="0.25">
      <c r="A26" t="s">
        <v>4</v>
      </c>
      <c r="B26">
        <v>683438413</v>
      </c>
      <c r="C26" t="s">
        <v>109</v>
      </c>
      <c r="D26" t="s">
        <v>110</v>
      </c>
      <c r="E26">
        <v>678726</v>
      </c>
      <c r="F26" t="s">
        <v>46</v>
      </c>
      <c r="G26">
        <v>820303811</v>
      </c>
      <c r="H26" t="s">
        <v>48</v>
      </c>
      <c r="I26" t="s">
        <v>39</v>
      </c>
      <c r="J26" t="s">
        <v>112</v>
      </c>
      <c r="K26" t="s">
        <v>30</v>
      </c>
      <c r="M26" t="s">
        <v>113</v>
      </c>
      <c r="N26">
        <v>19.2</v>
      </c>
      <c r="O26" t="s">
        <v>50</v>
      </c>
    </row>
    <row r="27" spans="1:15" x14ac:dyDescent="0.25">
      <c r="A27" t="s">
        <v>4</v>
      </c>
      <c r="B27">
        <v>681802160</v>
      </c>
      <c r="C27" t="s">
        <v>115</v>
      </c>
      <c r="D27" t="s">
        <v>116</v>
      </c>
      <c r="E27">
        <v>689390</v>
      </c>
      <c r="F27" t="s">
        <v>36</v>
      </c>
      <c r="G27">
        <v>118665193</v>
      </c>
      <c r="H27" t="s">
        <v>38</v>
      </c>
      <c r="I27" t="s">
        <v>39</v>
      </c>
      <c r="J27" t="s">
        <v>40</v>
      </c>
      <c r="K27" t="s">
        <v>30</v>
      </c>
      <c r="M27" t="s">
        <v>41</v>
      </c>
      <c r="N27">
        <v>18.239999999999998</v>
      </c>
      <c r="O27" t="s">
        <v>42</v>
      </c>
    </row>
    <row r="28" spans="1:15" x14ac:dyDescent="0.25">
      <c r="A28" t="s">
        <v>4</v>
      </c>
      <c r="B28">
        <v>682221319</v>
      </c>
      <c r="C28" t="s">
        <v>119</v>
      </c>
      <c r="D28" t="s">
        <v>120</v>
      </c>
      <c r="E28">
        <v>723477</v>
      </c>
      <c r="F28" t="s">
        <v>121</v>
      </c>
      <c r="G28">
        <v>173898668</v>
      </c>
      <c r="H28" t="s">
        <v>27</v>
      </c>
      <c r="I28" t="s">
        <v>28</v>
      </c>
      <c r="J28" t="s">
        <v>123</v>
      </c>
      <c r="K28" t="s">
        <v>30</v>
      </c>
      <c r="M28" t="s">
        <v>31</v>
      </c>
      <c r="N28">
        <v>4.07</v>
      </c>
      <c r="O28" t="s">
        <v>32</v>
      </c>
    </row>
    <row r="29" spans="1:15" x14ac:dyDescent="0.25">
      <c r="A29" t="s">
        <v>4</v>
      </c>
      <c r="B29">
        <v>681791772</v>
      </c>
      <c r="C29" t="s">
        <v>125</v>
      </c>
      <c r="D29" t="s">
        <v>126</v>
      </c>
      <c r="E29">
        <v>720542</v>
      </c>
      <c r="F29" t="s">
        <v>127</v>
      </c>
      <c r="G29">
        <v>7534852</v>
      </c>
      <c r="H29" t="s">
        <v>38</v>
      </c>
      <c r="I29" t="s">
        <v>28</v>
      </c>
      <c r="J29" t="s">
        <v>123</v>
      </c>
      <c r="K29" t="s">
        <v>30</v>
      </c>
      <c r="M29" t="s">
        <v>129</v>
      </c>
      <c r="N29">
        <v>1.05</v>
      </c>
      <c r="O29" t="s">
        <v>130</v>
      </c>
    </row>
    <row r="30" spans="1:15" x14ac:dyDescent="0.25">
      <c r="A30" t="s">
        <v>4</v>
      </c>
      <c r="B30">
        <v>683589666</v>
      </c>
      <c r="C30" t="s">
        <v>132</v>
      </c>
      <c r="D30" t="s">
        <v>133</v>
      </c>
      <c r="E30">
        <v>678726</v>
      </c>
      <c r="F30" t="s">
        <v>46</v>
      </c>
      <c r="G30">
        <v>877044360</v>
      </c>
      <c r="H30" t="s">
        <v>48</v>
      </c>
      <c r="I30" t="s">
        <v>39</v>
      </c>
      <c r="J30" t="s">
        <v>123</v>
      </c>
      <c r="K30" t="s">
        <v>30</v>
      </c>
      <c r="M30" t="s">
        <v>135</v>
      </c>
      <c r="N30">
        <v>16</v>
      </c>
      <c r="O30" t="s">
        <v>50</v>
      </c>
    </row>
    <row r="31" spans="1:15" x14ac:dyDescent="0.25">
      <c r="A31" t="s">
        <v>4</v>
      </c>
      <c r="B31">
        <v>683978293</v>
      </c>
      <c r="C31" t="s">
        <v>137</v>
      </c>
      <c r="D31" t="s">
        <v>138</v>
      </c>
      <c r="E31">
        <v>760338</v>
      </c>
      <c r="F31" t="s">
        <v>139</v>
      </c>
      <c r="G31">
        <v>692950875</v>
      </c>
      <c r="H31" t="s">
        <v>62</v>
      </c>
      <c r="I31" t="s">
        <v>28</v>
      </c>
      <c r="J31" t="s">
        <v>123</v>
      </c>
      <c r="K31" t="s">
        <v>30</v>
      </c>
      <c r="M31" t="s">
        <v>141</v>
      </c>
      <c r="N31">
        <v>9.6</v>
      </c>
      <c r="O31" t="s">
        <v>42</v>
      </c>
    </row>
    <row r="32" spans="1:15" x14ac:dyDescent="0.25">
      <c r="A32" t="s">
        <v>4</v>
      </c>
      <c r="B32">
        <v>683978293</v>
      </c>
      <c r="C32" t="s">
        <v>137</v>
      </c>
      <c r="D32" t="s">
        <v>138</v>
      </c>
      <c r="E32">
        <v>760338</v>
      </c>
      <c r="F32" t="s">
        <v>139</v>
      </c>
      <c r="G32">
        <v>625104953</v>
      </c>
      <c r="H32" t="s">
        <v>27</v>
      </c>
      <c r="I32" t="s">
        <v>28</v>
      </c>
      <c r="J32" t="s">
        <v>123</v>
      </c>
      <c r="K32" t="s">
        <v>30</v>
      </c>
      <c r="M32" t="s">
        <v>31</v>
      </c>
      <c r="N32">
        <v>4.07</v>
      </c>
      <c r="O32" t="s">
        <v>32</v>
      </c>
    </row>
    <row r="33" spans="1:15" x14ac:dyDescent="0.25">
      <c r="A33" t="s">
        <v>4</v>
      </c>
      <c r="B33">
        <v>684314332</v>
      </c>
      <c r="C33" t="s">
        <v>144</v>
      </c>
      <c r="D33" t="s">
        <v>145</v>
      </c>
      <c r="E33">
        <v>820877</v>
      </c>
      <c r="F33" t="s">
        <v>146</v>
      </c>
      <c r="G33">
        <v>328251776</v>
      </c>
      <c r="H33" t="s">
        <v>48</v>
      </c>
      <c r="I33" t="s">
        <v>39</v>
      </c>
      <c r="J33" t="s">
        <v>123</v>
      </c>
      <c r="K33" t="s">
        <v>30</v>
      </c>
      <c r="M33" t="s">
        <v>148</v>
      </c>
      <c r="N33">
        <v>14.72</v>
      </c>
      <c r="O33" t="s">
        <v>50</v>
      </c>
    </row>
    <row r="34" spans="1:15" x14ac:dyDescent="0.25">
      <c r="A34" t="s">
        <v>4</v>
      </c>
      <c r="B34">
        <v>684311399</v>
      </c>
      <c r="C34" t="s">
        <v>150</v>
      </c>
      <c r="D34" t="s">
        <v>151</v>
      </c>
      <c r="E34">
        <v>798992</v>
      </c>
      <c r="F34" t="s">
        <v>54</v>
      </c>
      <c r="G34">
        <v>542134560</v>
      </c>
      <c r="H34" t="s">
        <v>48</v>
      </c>
      <c r="I34" t="s">
        <v>28</v>
      </c>
      <c r="J34" t="s">
        <v>123</v>
      </c>
      <c r="K34" t="s">
        <v>30</v>
      </c>
      <c r="M34" t="s">
        <v>49</v>
      </c>
      <c r="N34">
        <v>8</v>
      </c>
      <c r="O34" t="s">
        <v>50</v>
      </c>
    </row>
    <row r="35" spans="1:15" x14ac:dyDescent="0.25">
      <c r="A35" t="s">
        <v>4</v>
      </c>
      <c r="B35">
        <v>682456860</v>
      </c>
      <c r="C35" t="s">
        <v>154</v>
      </c>
      <c r="D35" t="s">
        <v>155</v>
      </c>
      <c r="E35">
        <v>689390</v>
      </c>
      <c r="F35" t="s">
        <v>36</v>
      </c>
      <c r="G35">
        <v>970685148</v>
      </c>
      <c r="H35" t="s">
        <v>157</v>
      </c>
      <c r="I35" t="s">
        <v>28</v>
      </c>
      <c r="J35" t="s">
        <v>158</v>
      </c>
      <c r="K35" t="s">
        <v>30</v>
      </c>
      <c r="M35" t="s">
        <v>159</v>
      </c>
      <c r="N35">
        <v>15.84</v>
      </c>
      <c r="O35" t="s">
        <v>42</v>
      </c>
    </row>
    <row r="36" spans="1:15" x14ac:dyDescent="0.25">
      <c r="A36" t="s">
        <v>4</v>
      </c>
      <c r="B36">
        <v>680314593</v>
      </c>
      <c r="C36" t="s">
        <v>161</v>
      </c>
      <c r="D36" t="s">
        <v>162</v>
      </c>
      <c r="E36">
        <v>657149</v>
      </c>
      <c r="F36" t="s">
        <v>25</v>
      </c>
      <c r="G36">
        <v>172575174</v>
      </c>
      <c r="H36" t="s">
        <v>164</v>
      </c>
      <c r="I36" t="s">
        <v>106</v>
      </c>
      <c r="J36" t="s">
        <v>158</v>
      </c>
      <c r="K36" t="s">
        <v>30</v>
      </c>
      <c r="M36" t="s">
        <v>165</v>
      </c>
      <c r="N36">
        <v>55.12</v>
      </c>
      <c r="O36" t="s">
        <v>166</v>
      </c>
    </row>
    <row r="37" spans="1:15" x14ac:dyDescent="0.25">
      <c r="A37" t="s">
        <v>4</v>
      </c>
      <c r="B37">
        <v>683532101</v>
      </c>
      <c r="C37" t="s">
        <v>168</v>
      </c>
      <c r="D37" t="s">
        <v>169</v>
      </c>
      <c r="E37">
        <v>678726</v>
      </c>
      <c r="F37" t="s">
        <v>46</v>
      </c>
      <c r="G37">
        <v>478183816</v>
      </c>
      <c r="H37" t="s">
        <v>48</v>
      </c>
      <c r="I37" t="s">
        <v>28</v>
      </c>
      <c r="J37" t="s">
        <v>158</v>
      </c>
      <c r="K37" t="s">
        <v>30</v>
      </c>
      <c r="M37" t="s">
        <v>49</v>
      </c>
      <c r="N37">
        <v>8</v>
      </c>
      <c r="O37" t="s">
        <v>50</v>
      </c>
    </row>
    <row r="38" spans="1:15" x14ac:dyDescent="0.25">
      <c r="A38" t="s">
        <v>4</v>
      </c>
      <c r="B38">
        <v>682581055</v>
      </c>
      <c r="C38" t="s">
        <v>172</v>
      </c>
      <c r="D38" t="s">
        <v>173</v>
      </c>
      <c r="E38">
        <v>757929</v>
      </c>
      <c r="F38" t="s">
        <v>104</v>
      </c>
      <c r="G38">
        <v>379471379</v>
      </c>
      <c r="H38" t="s">
        <v>62</v>
      </c>
      <c r="I38" t="s">
        <v>28</v>
      </c>
      <c r="J38" t="s">
        <v>158</v>
      </c>
      <c r="K38" t="s">
        <v>30</v>
      </c>
      <c r="M38" t="s">
        <v>141</v>
      </c>
      <c r="N38">
        <v>9.6</v>
      </c>
      <c r="O38" t="s">
        <v>42</v>
      </c>
    </row>
    <row r="39" spans="1:15" x14ac:dyDescent="0.25">
      <c r="A39" t="s">
        <v>4</v>
      </c>
      <c r="B39">
        <v>682580771</v>
      </c>
      <c r="C39" t="s">
        <v>176</v>
      </c>
      <c r="D39" t="s">
        <v>177</v>
      </c>
      <c r="E39">
        <v>757209</v>
      </c>
      <c r="F39" t="s">
        <v>60</v>
      </c>
      <c r="G39">
        <v>538144779</v>
      </c>
      <c r="H39" t="s">
        <v>62</v>
      </c>
      <c r="I39" t="s">
        <v>93</v>
      </c>
      <c r="J39" t="s">
        <v>158</v>
      </c>
      <c r="K39" t="s">
        <v>30</v>
      </c>
      <c r="M39" t="s">
        <v>179</v>
      </c>
      <c r="N39">
        <v>22.8</v>
      </c>
      <c r="O39" t="s">
        <v>42</v>
      </c>
    </row>
    <row r="40" spans="1:15" x14ac:dyDescent="0.25">
      <c r="A40" t="s">
        <v>4</v>
      </c>
      <c r="B40">
        <v>682580771</v>
      </c>
      <c r="C40" t="s">
        <v>176</v>
      </c>
      <c r="D40" t="s">
        <v>177</v>
      </c>
      <c r="E40">
        <v>757209</v>
      </c>
      <c r="F40" t="s">
        <v>60</v>
      </c>
      <c r="G40">
        <v>387100933</v>
      </c>
      <c r="H40" t="s">
        <v>27</v>
      </c>
      <c r="I40" t="s">
        <v>181</v>
      </c>
      <c r="J40" t="s">
        <v>158</v>
      </c>
      <c r="K40" t="s">
        <v>30</v>
      </c>
      <c r="M40" t="s">
        <v>182</v>
      </c>
      <c r="N40">
        <v>5.55</v>
      </c>
      <c r="O40" t="s">
        <v>32</v>
      </c>
    </row>
    <row r="41" spans="1:15" x14ac:dyDescent="0.25">
      <c r="A41" t="s">
        <v>4</v>
      </c>
      <c r="B41">
        <v>682280326</v>
      </c>
      <c r="C41" t="s">
        <v>23</v>
      </c>
      <c r="D41" t="s">
        <v>24</v>
      </c>
      <c r="E41">
        <v>657149</v>
      </c>
      <c r="F41" t="s">
        <v>25</v>
      </c>
      <c r="G41">
        <v>668933669</v>
      </c>
      <c r="H41" t="s">
        <v>27</v>
      </c>
      <c r="I41" t="s">
        <v>28</v>
      </c>
      <c r="J41" t="s">
        <v>158</v>
      </c>
      <c r="K41" t="s">
        <v>30</v>
      </c>
      <c r="M41" t="s">
        <v>31</v>
      </c>
      <c r="N41">
        <v>4.07</v>
      </c>
      <c r="O41" t="s">
        <v>32</v>
      </c>
    </row>
    <row r="42" spans="1:15" x14ac:dyDescent="0.25">
      <c r="A42" t="s">
        <v>4</v>
      </c>
      <c r="B42">
        <v>683089576</v>
      </c>
      <c r="C42" t="s">
        <v>184</v>
      </c>
      <c r="D42" t="s">
        <v>185</v>
      </c>
      <c r="E42">
        <v>678726</v>
      </c>
      <c r="F42" t="s">
        <v>46</v>
      </c>
      <c r="G42">
        <v>876391898</v>
      </c>
      <c r="H42" t="s">
        <v>48</v>
      </c>
      <c r="I42" t="s">
        <v>28</v>
      </c>
      <c r="J42" t="s">
        <v>158</v>
      </c>
      <c r="K42" t="s">
        <v>30</v>
      </c>
      <c r="M42" t="s">
        <v>49</v>
      </c>
      <c r="N42">
        <v>8</v>
      </c>
      <c r="O42" t="s">
        <v>50</v>
      </c>
    </row>
    <row r="43" spans="1:15" x14ac:dyDescent="0.25">
      <c r="A43" t="s">
        <v>4</v>
      </c>
      <c r="B43">
        <v>681792691</v>
      </c>
      <c r="C43" t="s">
        <v>188</v>
      </c>
      <c r="D43" t="s">
        <v>189</v>
      </c>
      <c r="E43">
        <v>689390</v>
      </c>
      <c r="F43" t="s">
        <v>36</v>
      </c>
      <c r="G43">
        <v>78980217</v>
      </c>
      <c r="H43" t="s">
        <v>157</v>
      </c>
      <c r="I43" t="s">
        <v>28</v>
      </c>
      <c r="J43" t="s">
        <v>123</v>
      </c>
      <c r="K43" t="s">
        <v>30</v>
      </c>
      <c r="M43" t="s">
        <v>191</v>
      </c>
      <c r="N43">
        <v>15.6</v>
      </c>
      <c r="O43" t="s">
        <v>42</v>
      </c>
    </row>
    <row r="44" spans="1:15" x14ac:dyDescent="0.25">
      <c r="A44" t="s">
        <v>4</v>
      </c>
      <c r="B44">
        <v>683089560</v>
      </c>
      <c r="C44" t="s">
        <v>193</v>
      </c>
      <c r="D44" t="s">
        <v>194</v>
      </c>
      <c r="E44">
        <v>678726</v>
      </c>
      <c r="F44" t="s">
        <v>46</v>
      </c>
      <c r="G44">
        <v>914833590</v>
      </c>
      <c r="H44" t="s">
        <v>48</v>
      </c>
      <c r="I44" t="s">
        <v>39</v>
      </c>
      <c r="J44" t="s">
        <v>158</v>
      </c>
      <c r="K44" t="s">
        <v>30</v>
      </c>
      <c r="M44" t="s">
        <v>135</v>
      </c>
      <c r="N44">
        <v>16</v>
      </c>
      <c r="O44" t="s">
        <v>50</v>
      </c>
    </row>
    <row r="45" spans="1:15" x14ac:dyDescent="0.25">
      <c r="A45" t="s">
        <v>4</v>
      </c>
      <c r="B45">
        <v>682171350</v>
      </c>
      <c r="C45" t="s">
        <v>197</v>
      </c>
      <c r="D45" t="s">
        <v>198</v>
      </c>
      <c r="E45">
        <v>689390</v>
      </c>
      <c r="F45" t="s">
        <v>36</v>
      </c>
      <c r="G45">
        <v>297820482</v>
      </c>
      <c r="H45" t="s">
        <v>157</v>
      </c>
      <c r="I45" t="s">
        <v>39</v>
      </c>
      <c r="J45" t="s">
        <v>40</v>
      </c>
      <c r="K45" t="s">
        <v>30</v>
      </c>
      <c r="M45" t="s">
        <v>200</v>
      </c>
      <c r="N45">
        <v>32.159999999999997</v>
      </c>
      <c r="O45" t="s">
        <v>42</v>
      </c>
    </row>
    <row r="46" spans="1:15" x14ac:dyDescent="0.25">
      <c r="A46" t="s">
        <v>4</v>
      </c>
      <c r="B46">
        <v>683092185</v>
      </c>
      <c r="C46" t="s">
        <v>202</v>
      </c>
      <c r="D46" t="s">
        <v>203</v>
      </c>
      <c r="E46">
        <v>703501</v>
      </c>
      <c r="F46" t="s">
        <v>85</v>
      </c>
      <c r="G46">
        <v>66621000</v>
      </c>
      <c r="H46" t="s">
        <v>27</v>
      </c>
      <c r="I46" t="s">
        <v>106</v>
      </c>
      <c r="J46" t="s">
        <v>40</v>
      </c>
      <c r="K46" t="s">
        <v>30</v>
      </c>
      <c r="M46" t="s">
        <v>205</v>
      </c>
      <c r="N46">
        <v>7.4</v>
      </c>
      <c r="O46" t="s">
        <v>32</v>
      </c>
    </row>
    <row r="47" spans="1:15" x14ac:dyDescent="0.25">
      <c r="A47" t="s">
        <v>4</v>
      </c>
      <c r="B47">
        <v>684004299</v>
      </c>
      <c r="C47" t="s">
        <v>207</v>
      </c>
      <c r="D47" t="s">
        <v>208</v>
      </c>
      <c r="E47">
        <v>678726</v>
      </c>
      <c r="F47" t="s">
        <v>46</v>
      </c>
      <c r="G47">
        <v>384431357</v>
      </c>
      <c r="H47" t="s">
        <v>48</v>
      </c>
      <c r="I47" t="s">
        <v>28</v>
      </c>
      <c r="J47" t="s">
        <v>210</v>
      </c>
      <c r="K47" t="s">
        <v>30</v>
      </c>
      <c r="M47" t="s">
        <v>49</v>
      </c>
      <c r="N47">
        <v>8</v>
      </c>
      <c r="O47" t="s">
        <v>50</v>
      </c>
    </row>
    <row r="48" spans="1:15" x14ac:dyDescent="0.25">
      <c r="A48" t="s">
        <v>4</v>
      </c>
      <c r="B48">
        <v>683299556</v>
      </c>
      <c r="C48" t="s">
        <v>212</v>
      </c>
      <c r="D48" t="s">
        <v>213</v>
      </c>
      <c r="E48">
        <v>678726</v>
      </c>
      <c r="F48" t="s">
        <v>46</v>
      </c>
      <c r="G48">
        <v>260173605</v>
      </c>
      <c r="H48" t="s">
        <v>48</v>
      </c>
      <c r="I48" t="s">
        <v>28</v>
      </c>
      <c r="J48" t="s">
        <v>210</v>
      </c>
      <c r="K48" t="s">
        <v>30</v>
      </c>
      <c r="M48" t="s">
        <v>49</v>
      </c>
      <c r="N48">
        <v>8</v>
      </c>
      <c r="O48" t="s">
        <v>50</v>
      </c>
    </row>
    <row r="49" spans="1:15" x14ac:dyDescent="0.25">
      <c r="A49" t="s">
        <v>4</v>
      </c>
      <c r="B49">
        <v>683297683</v>
      </c>
      <c r="C49" t="s">
        <v>193</v>
      </c>
      <c r="D49" t="s">
        <v>216</v>
      </c>
      <c r="E49">
        <v>678726</v>
      </c>
      <c r="F49" t="s">
        <v>46</v>
      </c>
      <c r="G49">
        <v>582065076</v>
      </c>
      <c r="H49" t="s">
        <v>48</v>
      </c>
      <c r="I49" t="s">
        <v>28</v>
      </c>
      <c r="J49" t="s">
        <v>210</v>
      </c>
      <c r="K49" t="s">
        <v>30</v>
      </c>
      <c r="M49" t="s">
        <v>49</v>
      </c>
      <c r="N49">
        <v>8</v>
      </c>
      <c r="O49" t="s">
        <v>50</v>
      </c>
    </row>
    <row r="50" spans="1:15" x14ac:dyDescent="0.25">
      <c r="A50" t="s">
        <v>4</v>
      </c>
      <c r="B50">
        <v>683297683</v>
      </c>
      <c r="C50" t="s">
        <v>193</v>
      </c>
      <c r="D50" t="s">
        <v>216</v>
      </c>
      <c r="E50">
        <v>678726</v>
      </c>
      <c r="F50" t="s">
        <v>46</v>
      </c>
      <c r="G50">
        <v>364920174</v>
      </c>
      <c r="H50" t="s">
        <v>27</v>
      </c>
      <c r="I50" t="s">
        <v>28</v>
      </c>
      <c r="J50" t="s">
        <v>210</v>
      </c>
      <c r="K50" t="s">
        <v>30</v>
      </c>
      <c r="M50" t="s">
        <v>31</v>
      </c>
      <c r="N50">
        <v>4.07</v>
      </c>
      <c r="O50" t="s">
        <v>32</v>
      </c>
    </row>
    <row r="51" spans="1:15" x14ac:dyDescent="0.25">
      <c r="A51" t="s">
        <v>4</v>
      </c>
      <c r="B51">
        <v>683478651</v>
      </c>
      <c r="C51" t="s">
        <v>220</v>
      </c>
      <c r="D51" t="s">
        <v>221</v>
      </c>
      <c r="E51">
        <v>678726</v>
      </c>
      <c r="F51" t="s">
        <v>46</v>
      </c>
      <c r="G51">
        <v>698731916</v>
      </c>
      <c r="H51" t="s">
        <v>48</v>
      </c>
      <c r="I51" t="s">
        <v>28</v>
      </c>
      <c r="J51" t="s">
        <v>210</v>
      </c>
      <c r="K51" t="s">
        <v>30</v>
      </c>
      <c r="M51" t="s">
        <v>49</v>
      </c>
      <c r="N51">
        <v>8</v>
      </c>
      <c r="O51" t="s">
        <v>50</v>
      </c>
    </row>
    <row r="52" spans="1:15" x14ac:dyDescent="0.25">
      <c r="A52" t="s">
        <v>4</v>
      </c>
      <c r="B52">
        <v>684285941</v>
      </c>
      <c r="C52" t="s">
        <v>224</v>
      </c>
      <c r="D52" t="s">
        <v>225</v>
      </c>
      <c r="E52">
        <v>711419</v>
      </c>
      <c r="F52" t="s">
        <v>226</v>
      </c>
      <c r="G52">
        <v>901820000</v>
      </c>
      <c r="H52" t="s">
        <v>157</v>
      </c>
      <c r="I52" t="s">
        <v>39</v>
      </c>
      <c r="J52" t="s">
        <v>228</v>
      </c>
      <c r="K52" t="s">
        <v>30</v>
      </c>
      <c r="M52" t="s">
        <v>229</v>
      </c>
      <c r="N52">
        <v>4.29</v>
      </c>
      <c r="O52" t="s">
        <v>130</v>
      </c>
    </row>
    <row r="53" spans="1:15" x14ac:dyDescent="0.25">
      <c r="A53" t="s">
        <v>4</v>
      </c>
      <c r="B53">
        <v>682280326</v>
      </c>
      <c r="C53" t="s">
        <v>23</v>
      </c>
      <c r="D53" t="s">
        <v>24</v>
      </c>
      <c r="E53">
        <v>657149</v>
      </c>
      <c r="F53" t="s">
        <v>25</v>
      </c>
      <c r="G53">
        <v>668933669</v>
      </c>
      <c r="H53" t="s">
        <v>27</v>
      </c>
      <c r="I53" t="s">
        <v>28</v>
      </c>
      <c r="J53" t="s">
        <v>228</v>
      </c>
      <c r="K53" t="s">
        <v>230</v>
      </c>
      <c r="L53" t="s">
        <v>231</v>
      </c>
      <c r="M53" t="s">
        <v>31</v>
      </c>
      <c r="N53">
        <v>-4.07</v>
      </c>
      <c r="O53" t="s">
        <v>32</v>
      </c>
    </row>
    <row r="54" spans="1:15" x14ac:dyDescent="0.25">
      <c r="A54" t="s">
        <v>4</v>
      </c>
      <c r="B54">
        <v>683724724</v>
      </c>
      <c r="C54" t="s">
        <v>233</v>
      </c>
      <c r="D54" t="s">
        <v>234</v>
      </c>
      <c r="E54">
        <v>798992</v>
      </c>
      <c r="F54" t="s">
        <v>54</v>
      </c>
      <c r="G54">
        <v>975782157</v>
      </c>
      <c r="H54" t="s">
        <v>157</v>
      </c>
      <c r="I54" t="s">
        <v>28</v>
      </c>
      <c r="J54" t="s">
        <v>236</v>
      </c>
      <c r="K54" t="s">
        <v>30</v>
      </c>
      <c r="M54" t="s">
        <v>159</v>
      </c>
      <c r="N54">
        <v>15.84</v>
      </c>
      <c r="O54" t="s">
        <v>42</v>
      </c>
    </row>
    <row r="55" spans="1:15" x14ac:dyDescent="0.25">
      <c r="A55" t="s">
        <v>4</v>
      </c>
      <c r="B55">
        <v>683608024</v>
      </c>
      <c r="C55" t="s">
        <v>238</v>
      </c>
      <c r="D55" t="s">
        <v>239</v>
      </c>
      <c r="E55">
        <v>798992</v>
      </c>
      <c r="F55" t="s">
        <v>54</v>
      </c>
      <c r="G55">
        <v>701882993</v>
      </c>
      <c r="H55" t="s">
        <v>48</v>
      </c>
      <c r="I55" t="s">
        <v>93</v>
      </c>
      <c r="J55" t="s">
        <v>236</v>
      </c>
      <c r="K55" t="s">
        <v>30</v>
      </c>
      <c r="M55" t="s">
        <v>241</v>
      </c>
      <c r="N55">
        <v>18.559999999999999</v>
      </c>
      <c r="O55" t="s">
        <v>50</v>
      </c>
    </row>
    <row r="56" spans="1:15" x14ac:dyDescent="0.25">
      <c r="A56" t="s">
        <v>4</v>
      </c>
      <c r="B56">
        <v>683312848</v>
      </c>
      <c r="C56" t="s">
        <v>243</v>
      </c>
      <c r="D56" t="s">
        <v>244</v>
      </c>
      <c r="E56">
        <v>678726</v>
      </c>
      <c r="F56" t="s">
        <v>46</v>
      </c>
      <c r="G56">
        <v>858353460</v>
      </c>
      <c r="H56" t="s">
        <v>48</v>
      </c>
      <c r="I56" t="s">
        <v>28</v>
      </c>
      <c r="J56" t="s">
        <v>236</v>
      </c>
      <c r="K56" t="s">
        <v>30</v>
      </c>
      <c r="M56" t="s">
        <v>49</v>
      </c>
      <c r="N56">
        <v>8</v>
      </c>
      <c r="O56" t="s">
        <v>50</v>
      </c>
    </row>
    <row r="57" spans="1:15" x14ac:dyDescent="0.25">
      <c r="A57" t="s">
        <v>4</v>
      </c>
      <c r="B57">
        <v>683312848</v>
      </c>
      <c r="C57" t="s">
        <v>243</v>
      </c>
      <c r="D57" t="s">
        <v>244</v>
      </c>
      <c r="E57">
        <v>678726</v>
      </c>
      <c r="F57" t="s">
        <v>46</v>
      </c>
      <c r="G57">
        <v>859724247</v>
      </c>
      <c r="H57" t="s">
        <v>27</v>
      </c>
      <c r="I57" t="s">
        <v>28</v>
      </c>
      <c r="J57" t="s">
        <v>236</v>
      </c>
      <c r="K57" t="s">
        <v>30</v>
      </c>
      <c r="M57" t="s">
        <v>31</v>
      </c>
      <c r="N57">
        <v>4.07</v>
      </c>
      <c r="O57" t="s">
        <v>32</v>
      </c>
    </row>
    <row r="58" spans="1:15" x14ac:dyDescent="0.25">
      <c r="A58" t="s">
        <v>4</v>
      </c>
      <c r="B58">
        <v>683078236</v>
      </c>
      <c r="C58" t="s">
        <v>248</v>
      </c>
      <c r="D58" t="s">
        <v>249</v>
      </c>
      <c r="E58">
        <v>678726</v>
      </c>
      <c r="F58" t="s">
        <v>46</v>
      </c>
      <c r="G58">
        <v>574187796</v>
      </c>
      <c r="H58" t="s">
        <v>27</v>
      </c>
      <c r="I58" t="s">
        <v>28</v>
      </c>
      <c r="J58" t="s">
        <v>236</v>
      </c>
      <c r="K58" t="s">
        <v>30</v>
      </c>
      <c r="M58" t="s">
        <v>31</v>
      </c>
      <c r="N58">
        <v>4.07</v>
      </c>
      <c r="O58" t="s">
        <v>32</v>
      </c>
    </row>
    <row r="59" spans="1:15" x14ac:dyDescent="0.25">
      <c r="A59" t="s">
        <v>4</v>
      </c>
      <c r="B59">
        <v>682967565</v>
      </c>
      <c r="C59" t="s">
        <v>252</v>
      </c>
      <c r="D59" t="s">
        <v>253</v>
      </c>
      <c r="E59">
        <v>781535</v>
      </c>
      <c r="F59" t="s">
        <v>254</v>
      </c>
      <c r="G59">
        <v>125532058</v>
      </c>
      <c r="H59" t="s">
        <v>27</v>
      </c>
      <c r="I59" t="s">
        <v>28</v>
      </c>
      <c r="J59" t="s">
        <v>236</v>
      </c>
      <c r="K59" t="s">
        <v>30</v>
      </c>
      <c r="M59" t="s">
        <v>31</v>
      </c>
      <c r="N59">
        <v>4.07</v>
      </c>
      <c r="O59" t="s">
        <v>32</v>
      </c>
    </row>
    <row r="60" spans="1:15" x14ac:dyDescent="0.25">
      <c r="A60" t="s">
        <v>4</v>
      </c>
      <c r="B60">
        <v>682967565</v>
      </c>
      <c r="C60" t="s">
        <v>252</v>
      </c>
      <c r="D60" t="s">
        <v>253</v>
      </c>
      <c r="E60">
        <v>781535</v>
      </c>
      <c r="F60" t="s">
        <v>254</v>
      </c>
      <c r="G60">
        <v>384672439</v>
      </c>
      <c r="H60" t="s">
        <v>157</v>
      </c>
      <c r="I60" t="s">
        <v>28</v>
      </c>
      <c r="J60" t="s">
        <v>236</v>
      </c>
      <c r="K60" t="s">
        <v>30</v>
      </c>
      <c r="M60" t="s">
        <v>159</v>
      </c>
      <c r="N60">
        <v>15.84</v>
      </c>
      <c r="O60" t="s">
        <v>42</v>
      </c>
    </row>
    <row r="61" spans="1:15" x14ac:dyDescent="0.25">
      <c r="A61" t="s">
        <v>4</v>
      </c>
      <c r="B61">
        <v>682171350</v>
      </c>
      <c r="C61" t="s">
        <v>197</v>
      </c>
      <c r="D61" t="s">
        <v>198</v>
      </c>
      <c r="E61">
        <v>689390</v>
      </c>
      <c r="F61" t="s">
        <v>36</v>
      </c>
      <c r="G61">
        <v>252126537</v>
      </c>
      <c r="H61" t="s">
        <v>27</v>
      </c>
      <c r="I61" t="s">
        <v>181</v>
      </c>
      <c r="J61" t="s">
        <v>40</v>
      </c>
      <c r="K61" t="s">
        <v>30</v>
      </c>
      <c r="M61" t="s">
        <v>182</v>
      </c>
      <c r="N61">
        <v>5.55</v>
      </c>
      <c r="O61" t="s">
        <v>32</v>
      </c>
    </row>
    <row r="62" spans="1:15" x14ac:dyDescent="0.25">
      <c r="A62" t="s">
        <v>4</v>
      </c>
      <c r="B62">
        <v>682932267</v>
      </c>
      <c r="C62" t="s">
        <v>259</v>
      </c>
      <c r="D62" t="s">
        <v>260</v>
      </c>
      <c r="E62">
        <v>764002</v>
      </c>
      <c r="F62" t="s">
        <v>261</v>
      </c>
      <c r="G62">
        <v>604649461</v>
      </c>
      <c r="H62" t="s">
        <v>263</v>
      </c>
      <c r="I62" t="s">
        <v>39</v>
      </c>
      <c r="J62" t="s">
        <v>236</v>
      </c>
      <c r="K62" t="s">
        <v>30</v>
      </c>
      <c r="M62" t="s">
        <v>264</v>
      </c>
      <c r="N62">
        <v>29.76</v>
      </c>
      <c r="O62" t="s">
        <v>42</v>
      </c>
    </row>
    <row r="63" spans="1:15" x14ac:dyDescent="0.25">
      <c r="A63" t="s">
        <v>4</v>
      </c>
      <c r="B63">
        <v>682949028</v>
      </c>
      <c r="C63" t="s">
        <v>266</v>
      </c>
      <c r="D63" t="s">
        <v>267</v>
      </c>
      <c r="E63">
        <v>781535</v>
      </c>
      <c r="F63" t="s">
        <v>254</v>
      </c>
      <c r="G63">
        <v>583635919</v>
      </c>
      <c r="H63" t="s">
        <v>27</v>
      </c>
      <c r="I63" t="s">
        <v>181</v>
      </c>
      <c r="J63" t="s">
        <v>236</v>
      </c>
      <c r="K63" t="s">
        <v>30</v>
      </c>
      <c r="M63" t="s">
        <v>182</v>
      </c>
      <c r="N63">
        <v>5.55</v>
      </c>
      <c r="O63" t="s">
        <v>32</v>
      </c>
    </row>
    <row r="64" spans="1:15" x14ac:dyDescent="0.25">
      <c r="A64" t="s">
        <v>4</v>
      </c>
      <c r="B64">
        <v>682949028</v>
      </c>
      <c r="C64" t="s">
        <v>266</v>
      </c>
      <c r="D64" t="s">
        <v>267</v>
      </c>
      <c r="E64">
        <v>781535</v>
      </c>
      <c r="F64" t="s">
        <v>254</v>
      </c>
      <c r="G64">
        <v>476855083</v>
      </c>
      <c r="H64" t="s">
        <v>157</v>
      </c>
      <c r="I64" t="s">
        <v>39</v>
      </c>
      <c r="J64" t="s">
        <v>236</v>
      </c>
      <c r="K64" t="s">
        <v>30</v>
      </c>
      <c r="M64" t="s">
        <v>270</v>
      </c>
      <c r="N64">
        <v>31.68</v>
      </c>
      <c r="O64" t="s">
        <v>42</v>
      </c>
    </row>
    <row r="65" spans="1:15" x14ac:dyDescent="0.25">
      <c r="A65" t="s">
        <v>4</v>
      </c>
      <c r="B65">
        <v>681703836</v>
      </c>
      <c r="C65" t="s">
        <v>272</v>
      </c>
      <c r="D65" t="s">
        <v>273</v>
      </c>
      <c r="E65">
        <v>653470</v>
      </c>
      <c r="F65" t="s">
        <v>274</v>
      </c>
      <c r="G65">
        <v>784351926</v>
      </c>
      <c r="H65" t="s">
        <v>27</v>
      </c>
      <c r="I65" t="s">
        <v>181</v>
      </c>
      <c r="J65" t="s">
        <v>236</v>
      </c>
      <c r="K65" t="s">
        <v>30</v>
      </c>
      <c r="M65" t="s">
        <v>182</v>
      </c>
      <c r="N65">
        <v>5.55</v>
      </c>
      <c r="O65" t="s">
        <v>32</v>
      </c>
    </row>
    <row r="66" spans="1:15" x14ac:dyDescent="0.25">
      <c r="A66" t="s">
        <v>4</v>
      </c>
      <c r="B66">
        <v>681703836</v>
      </c>
      <c r="C66" t="s">
        <v>272</v>
      </c>
      <c r="D66" t="s">
        <v>273</v>
      </c>
      <c r="E66">
        <v>653470</v>
      </c>
      <c r="F66" t="s">
        <v>274</v>
      </c>
      <c r="G66">
        <v>181995160</v>
      </c>
      <c r="H66" t="s">
        <v>157</v>
      </c>
      <c r="I66" t="s">
        <v>39</v>
      </c>
      <c r="J66" t="s">
        <v>236</v>
      </c>
      <c r="K66" t="s">
        <v>30</v>
      </c>
      <c r="M66" t="s">
        <v>277</v>
      </c>
      <c r="N66">
        <v>28.8</v>
      </c>
      <c r="O66" t="s">
        <v>42</v>
      </c>
    </row>
    <row r="67" spans="1:15" x14ac:dyDescent="0.25">
      <c r="A67" t="s">
        <v>4</v>
      </c>
      <c r="B67">
        <v>683202494</v>
      </c>
      <c r="C67" t="s">
        <v>279</v>
      </c>
      <c r="D67" t="s">
        <v>280</v>
      </c>
      <c r="E67">
        <v>764002</v>
      </c>
      <c r="F67" t="s">
        <v>261</v>
      </c>
      <c r="G67">
        <v>825368073</v>
      </c>
      <c r="H67" t="s">
        <v>27</v>
      </c>
      <c r="I67" t="s">
        <v>28</v>
      </c>
      <c r="J67" t="s">
        <v>236</v>
      </c>
      <c r="K67" t="s">
        <v>30</v>
      </c>
      <c r="M67" t="s">
        <v>31</v>
      </c>
      <c r="N67">
        <v>4.07</v>
      </c>
      <c r="O67" t="s">
        <v>32</v>
      </c>
    </row>
    <row r="68" spans="1:15" x14ac:dyDescent="0.25">
      <c r="A68" t="s">
        <v>4</v>
      </c>
      <c r="B68">
        <v>683954249</v>
      </c>
      <c r="C68" t="s">
        <v>283</v>
      </c>
      <c r="D68" t="s">
        <v>284</v>
      </c>
      <c r="E68">
        <v>820877</v>
      </c>
      <c r="F68" t="s">
        <v>146</v>
      </c>
      <c r="G68">
        <v>644484680</v>
      </c>
      <c r="H68" t="s">
        <v>48</v>
      </c>
      <c r="I68" t="s">
        <v>28</v>
      </c>
      <c r="J68" t="s">
        <v>236</v>
      </c>
      <c r="K68" t="s">
        <v>30</v>
      </c>
      <c r="M68" t="s">
        <v>49</v>
      </c>
      <c r="N68">
        <v>8</v>
      </c>
      <c r="O68" t="s">
        <v>50</v>
      </c>
    </row>
    <row r="69" spans="1:15" x14ac:dyDescent="0.25">
      <c r="A69" t="s">
        <v>4</v>
      </c>
      <c r="B69">
        <v>684866083</v>
      </c>
      <c r="C69" t="s">
        <v>287</v>
      </c>
      <c r="D69" t="s">
        <v>288</v>
      </c>
      <c r="E69">
        <v>798992</v>
      </c>
      <c r="F69" t="s">
        <v>54</v>
      </c>
      <c r="G69">
        <v>408114059</v>
      </c>
      <c r="H69" t="s">
        <v>27</v>
      </c>
      <c r="I69" t="s">
        <v>28</v>
      </c>
      <c r="J69" t="s">
        <v>236</v>
      </c>
      <c r="K69" t="s">
        <v>30</v>
      </c>
      <c r="M69" t="s">
        <v>31</v>
      </c>
      <c r="N69">
        <v>4.07</v>
      </c>
      <c r="O69" t="s">
        <v>32</v>
      </c>
    </row>
    <row r="70" spans="1:15" x14ac:dyDescent="0.25">
      <c r="A70" t="s">
        <v>4</v>
      </c>
      <c r="B70">
        <v>684866005</v>
      </c>
      <c r="C70" t="s">
        <v>291</v>
      </c>
      <c r="D70" t="s">
        <v>292</v>
      </c>
      <c r="E70">
        <v>798992</v>
      </c>
      <c r="F70" t="s">
        <v>54</v>
      </c>
      <c r="G70">
        <v>69052199</v>
      </c>
      <c r="H70" t="s">
        <v>294</v>
      </c>
      <c r="I70" t="s">
        <v>28</v>
      </c>
      <c r="J70" t="s">
        <v>236</v>
      </c>
      <c r="K70" t="s">
        <v>30</v>
      </c>
      <c r="M70" t="s">
        <v>295</v>
      </c>
      <c r="N70">
        <v>6.48</v>
      </c>
      <c r="O70" t="s">
        <v>42</v>
      </c>
    </row>
    <row r="71" spans="1:15" x14ac:dyDescent="0.25">
      <c r="A71" t="s">
        <v>4</v>
      </c>
      <c r="B71">
        <v>684866005</v>
      </c>
      <c r="C71" t="s">
        <v>291</v>
      </c>
      <c r="D71" t="s">
        <v>292</v>
      </c>
      <c r="E71">
        <v>798992</v>
      </c>
      <c r="F71" t="s">
        <v>54</v>
      </c>
      <c r="G71">
        <v>129241253</v>
      </c>
      <c r="H71" t="s">
        <v>27</v>
      </c>
      <c r="I71" t="s">
        <v>28</v>
      </c>
      <c r="J71" t="s">
        <v>236</v>
      </c>
      <c r="K71" t="s">
        <v>30</v>
      </c>
      <c r="M71" t="s">
        <v>31</v>
      </c>
      <c r="N71">
        <v>4.07</v>
      </c>
      <c r="O71" t="s">
        <v>32</v>
      </c>
    </row>
    <row r="72" spans="1:15" x14ac:dyDescent="0.25">
      <c r="A72" t="s">
        <v>4</v>
      </c>
      <c r="B72">
        <v>683198705</v>
      </c>
      <c r="C72" t="s">
        <v>298</v>
      </c>
      <c r="D72" t="s">
        <v>299</v>
      </c>
      <c r="E72">
        <v>678726</v>
      </c>
      <c r="F72" t="s">
        <v>46</v>
      </c>
      <c r="G72">
        <v>560317195</v>
      </c>
      <c r="H72" t="s">
        <v>48</v>
      </c>
      <c r="I72" t="s">
        <v>28</v>
      </c>
      <c r="J72" t="s">
        <v>301</v>
      </c>
      <c r="K72" t="s">
        <v>30</v>
      </c>
      <c r="M72" t="s">
        <v>49</v>
      </c>
      <c r="N72">
        <v>8</v>
      </c>
      <c r="O72" t="s">
        <v>50</v>
      </c>
    </row>
    <row r="73" spans="1:15" x14ac:dyDescent="0.25">
      <c r="A73" t="s">
        <v>4</v>
      </c>
      <c r="B73">
        <v>683206913</v>
      </c>
      <c r="C73" t="s">
        <v>303</v>
      </c>
      <c r="D73" t="s">
        <v>304</v>
      </c>
      <c r="E73">
        <v>678726</v>
      </c>
      <c r="F73" t="s">
        <v>46</v>
      </c>
      <c r="G73">
        <v>708780484</v>
      </c>
      <c r="H73" t="s">
        <v>48</v>
      </c>
      <c r="I73" t="s">
        <v>28</v>
      </c>
      <c r="J73" t="s">
        <v>301</v>
      </c>
      <c r="K73" t="s">
        <v>30</v>
      </c>
      <c r="M73" t="s">
        <v>49</v>
      </c>
      <c r="N73">
        <v>8</v>
      </c>
      <c r="O73" t="s">
        <v>50</v>
      </c>
    </row>
    <row r="74" spans="1:15" x14ac:dyDescent="0.25">
      <c r="A74" t="s">
        <v>4</v>
      </c>
      <c r="B74">
        <v>683563883</v>
      </c>
      <c r="C74" t="s">
        <v>307</v>
      </c>
      <c r="D74" t="s">
        <v>308</v>
      </c>
      <c r="E74">
        <v>678726</v>
      </c>
      <c r="F74" t="s">
        <v>46</v>
      </c>
      <c r="G74">
        <v>698193150</v>
      </c>
      <c r="H74" t="s">
        <v>27</v>
      </c>
      <c r="I74" t="s">
        <v>28</v>
      </c>
      <c r="J74" t="s">
        <v>310</v>
      </c>
      <c r="K74" t="s">
        <v>30</v>
      </c>
      <c r="M74" t="s">
        <v>31</v>
      </c>
      <c r="N74">
        <v>4.07</v>
      </c>
      <c r="O74" t="s">
        <v>32</v>
      </c>
    </row>
    <row r="75" spans="1:15" x14ac:dyDescent="0.25">
      <c r="A75" t="s">
        <v>4</v>
      </c>
      <c r="B75">
        <v>681549155</v>
      </c>
      <c r="C75" t="s">
        <v>312</v>
      </c>
      <c r="D75" t="s">
        <v>313</v>
      </c>
      <c r="E75">
        <v>703501</v>
      </c>
      <c r="F75" t="s">
        <v>85</v>
      </c>
      <c r="G75">
        <v>464503420</v>
      </c>
      <c r="H75" t="s">
        <v>27</v>
      </c>
      <c r="I75" t="s">
        <v>28</v>
      </c>
      <c r="J75" t="s">
        <v>310</v>
      </c>
      <c r="K75" t="s">
        <v>30</v>
      </c>
      <c r="M75" t="s">
        <v>31</v>
      </c>
      <c r="N75">
        <v>4.07</v>
      </c>
      <c r="O75" t="s">
        <v>32</v>
      </c>
    </row>
    <row r="76" spans="1:15" x14ac:dyDescent="0.25">
      <c r="A76" t="s">
        <v>4</v>
      </c>
      <c r="B76">
        <v>683092185</v>
      </c>
      <c r="C76" t="s">
        <v>202</v>
      </c>
      <c r="D76" t="s">
        <v>203</v>
      </c>
      <c r="E76">
        <v>703501</v>
      </c>
      <c r="F76" t="s">
        <v>85</v>
      </c>
      <c r="G76">
        <v>690892951</v>
      </c>
      <c r="H76" t="s">
        <v>87</v>
      </c>
      <c r="I76" t="s">
        <v>106</v>
      </c>
      <c r="J76" t="s">
        <v>40</v>
      </c>
      <c r="K76" t="s">
        <v>30</v>
      </c>
      <c r="M76" t="s">
        <v>316</v>
      </c>
      <c r="N76">
        <v>22.32</v>
      </c>
      <c r="O76" t="s">
        <v>42</v>
      </c>
    </row>
    <row r="77" spans="1:15" x14ac:dyDescent="0.25">
      <c r="A77" t="s">
        <v>4</v>
      </c>
      <c r="B77">
        <v>682605985</v>
      </c>
      <c r="C77" t="s">
        <v>58</v>
      </c>
      <c r="D77" t="s">
        <v>59</v>
      </c>
      <c r="E77">
        <v>757209</v>
      </c>
      <c r="F77" t="s">
        <v>60</v>
      </c>
      <c r="G77">
        <v>653432432</v>
      </c>
      <c r="H77" t="s">
        <v>62</v>
      </c>
      <c r="I77" t="s">
        <v>28</v>
      </c>
      <c r="J77" t="s">
        <v>236</v>
      </c>
      <c r="K77" t="s">
        <v>30</v>
      </c>
      <c r="M77" t="s">
        <v>65</v>
      </c>
      <c r="N77">
        <v>9.1199999999999992</v>
      </c>
      <c r="O77" t="s">
        <v>42</v>
      </c>
    </row>
    <row r="78" spans="1:15" x14ac:dyDescent="0.25">
      <c r="A78" t="s">
        <v>4</v>
      </c>
      <c r="B78">
        <v>684613851</v>
      </c>
      <c r="C78" t="s">
        <v>318</v>
      </c>
      <c r="D78" t="s">
        <v>319</v>
      </c>
      <c r="E78">
        <v>678726</v>
      </c>
      <c r="F78" t="s">
        <v>46</v>
      </c>
      <c r="G78">
        <v>795235089</v>
      </c>
      <c r="H78" t="s">
        <v>27</v>
      </c>
      <c r="I78" t="s">
        <v>28</v>
      </c>
      <c r="J78" t="s">
        <v>210</v>
      </c>
      <c r="K78" t="s">
        <v>30</v>
      </c>
      <c r="M78" t="s">
        <v>31</v>
      </c>
      <c r="N78">
        <v>4.07</v>
      </c>
      <c r="O78" t="s">
        <v>32</v>
      </c>
    </row>
    <row r="79" spans="1:15" x14ac:dyDescent="0.25">
      <c r="A79" t="s">
        <v>4</v>
      </c>
      <c r="B79">
        <v>684680691</v>
      </c>
      <c r="C79" t="s">
        <v>207</v>
      </c>
      <c r="D79" t="s">
        <v>208</v>
      </c>
      <c r="E79">
        <v>678726</v>
      </c>
      <c r="F79" t="s">
        <v>46</v>
      </c>
      <c r="G79">
        <v>640676632</v>
      </c>
      <c r="H79" t="s">
        <v>27</v>
      </c>
      <c r="I79" t="s">
        <v>28</v>
      </c>
      <c r="J79" t="s">
        <v>158</v>
      </c>
      <c r="K79" t="s">
        <v>30</v>
      </c>
      <c r="M79" t="s">
        <v>31</v>
      </c>
      <c r="N79">
        <v>4.07</v>
      </c>
      <c r="O79" t="s">
        <v>32</v>
      </c>
    </row>
    <row r="80" spans="1:15" x14ac:dyDescent="0.25">
      <c r="A80" t="s">
        <v>4</v>
      </c>
      <c r="B80">
        <v>682968788</v>
      </c>
      <c r="C80" t="s">
        <v>243</v>
      </c>
      <c r="D80" t="s">
        <v>324</v>
      </c>
      <c r="E80">
        <v>781535</v>
      </c>
      <c r="F80" t="s">
        <v>254</v>
      </c>
      <c r="G80">
        <v>746163392</v>
      </c>
      <c r="H80" t="s">
        <v>27</v>
      </c>
      <c r="I80" t="s">
        <v>28</v>
      </c>
      <c r="J80" t="s">
        <v>326</v>
      </c>
      <c r="K80" t="s">
        <v>30</v>
      </c>
      <c r="M80" t="s">
        <v>31</v>
      </c>
      <c r="N80">
        <v>4.07</v>
      </c>
      <c r="O80" t="s">
        <v>32</v>
      </c>
    </row>
    <row r="81" spans="1:15" x14ac:dyDescent="0.25">
      <c r="A81" t="s">
        <v>4</v>
      </c>
      <c r="B81">
        <v>683829007</v>
      </c>
      <c r="C81" t="s">
        <v>328</v>
      </c>
      <c r="D81" t="s">
        <v>329</v>
      </c>
      <c r="E81">
        <v>678726</v>
      </c>
      <c r="F81" t="s">
        <v>46</v>
      </c>
      <c r="G81">
        <v>298408887</v>
      </c>
      <c r="H81" t="s">
        <v>48</v>
      </c>
      <c r="I81" t="s">
        <v>28</v>
      </c>
      <c r="J81" t="s">
        <v>331</v>
      </c>
      <c r="K81" t="s">
        <v>30</v>
      </c>
      <c r="M81" t="s">
        <v>70</v>
      </c>
      <c r="N81">
        <v>9.6</v>
      </c>
      <c r="O81" t="s">
        <v>50</v>
      </c>
    </row>
    <row r="82" spans="1:15" x14ac:dyDescent="0.25">
      <c r="A82" t="s">
        <v>4</v>
      </c>
      <c r="B82">
        <v>684143314</v>
      </c>
      <c r="C82" t="s">
        <v>333</v>
      </c>
      <c r="D82" t="s">
        <v>334</v>
      </c>
      <c r="E82">
        <v>653470</v>
      </c>
      <c r="F82" t="s">
        <v>274</v>
      </c>
      <c r="G82">
        <v>338919869</v>
      </c>
      <c r="H82" t="s">
        <v>48</v>
      </c>
      <c r="I82" t="s">
        <v>28</v>
      </c>
      <c r="J82" t="s">
        <v>336</v>
      </c>
      <c r="K82" t="s">
        <v>30</v>
      </c>
      <c r="M82" t="s">
        <v>49</v>
      </c>
      <c r="N82">
        <v>8</v>
      </c>
      <c r="O82" t="s">
        <v>50</v>
      </c>
    </row>
    <row r="83" spans="1:15" x14ac:dyDescent="0.25">
      <c r="A83" t="s">
        <v>4</v>
      </c>
      <c r="B83">
        <v>683168016</v>
      </c>
      <c r="C83" t="s">
        <v>96</v>
      </c>
      <c r="D83" t="s">
        <v>338</v>
      </c>
      <c r="E83">
        <v>678726</v>
      </c>
      <c r="F83" t="s">
        <v>46</v>
      </c>
      <c r="G83">
        <v>524461911</v>
      </c>
      <c r="H83" t="s">
        <v>48</v>
      </c>
      <c r="I83" t="s">
        <v>28</v>
      </c>
      <c r="J83" t="s">
        <v>336</v>
      </c>
      <c r="K83" t="s">
        <v>30</v>
      </c>
      <c r="M83" t="s">
        <v>49</v>
      </c>
      <c r="N83">
        <v>8</v>
      </c>
      <c r="O83" t="s">
        <v>50</v>
      </c>
    </row>
    <row r="84" spans="1:15" x14ac:dyDescent="0.25">
      <c r="A84" t="s">
        <v>4</v>
      </c>
      <c r="B84">
        <v>683013826</v>
      </c>
      <c r="C84" t="s">
        <v>341</v>
      </c>
      <c r="D84" t="s">
        <v>342</v>
      </c>
      <c r="E84">
        <v>678726</v>
      </c>
      <c r="F84" t="s">
        <v>46</v>
      </c>
      <c r="G84">
        <v>313942658</v>
      </c>
      <c r="H84" t="s">
        <v>62</v>
      </c>
      <c r="I84" t="s">
        <v>28</v>
      </c>
      <c r="J84" t="s">
        <v>344</v>
      </c>
      <c r="K84" t="s">
        <v>30</v>
      </c>
      <c r="M84" t="s">
        <v>65</v>
      </c>
      <c r="N84">
        <v>9.1199999999999992</v>
      </c>
      <c r="O84" t="s">
        <v>42</v>
      </c>
    </row>
    <row r="85" spans="1:15" x14ac:dyDescent="0.25">
      <c r="A85" t="s">
        <v>4</v>
      </c>
      <c r="B85">
        <v>683013826</v>
      </c>
      <c r="C85" t="s">
        <v>341</v>
      </c>
      <c r="D85" t="s">
        <v>342</v>
      </c>
      <c r="E85">
        <v>678726</v>
      </c>
      <c r="F85" t="s">
        <v>46</v>
      </c>
      <c r="G85">
        <v>676321759</v>
      </c>
      <c r="H85" t="s">
        <v>27</v>
      </c>
      <c r="I85" t="s">
        <v>28</v>
      </c>
      <c r="J85" t="s">
        <v>344</v>
      </c>
      <c r="K85" t="s">
        <v>30</v>
      </c>
      <c r="M85" t="s">
        <v>31</v>
      </c>
      <c r="N85">
        <v>4.07</v>
      </c>
      <c r="O85" t="s">
        <v>32</v>
      </c>
    </row>
    <row r="86" spans="1:15" x14ac:dyDescent="0.25">
      <c r="A86" t="s">
        <v>4</v>
      </c>
      <c r="B86">
        <v>683707400</v>
      </c>
      <c r="C86" t="s">
        <v>347</v>
      </c>
      <c r="D86" t="s">
        <v>348</v>
      </c>
      <c r="E86">
        <v>678726</v>
      </c>
      <c r="F86" t="s">
        <v>46</v>
      </c>
      <c r="G86">
        <v>128182846</v>
      </c>
      <c r="H86" t="s">
        <v>48</v>
      </c>
      <c r="I86" t="s">
        <v>28</v>
      </c>
      <c r="J86" t="s">
        <v>344</v>
      </c>
      <c r="K86" t="s">
        <v>30</v>
      </c>
      <c r="M86" t="s">
        <v>70</v>
      </c>
      <c r="N86">
        <v>9.6</v>
      </c>
      <c r="O86" t="s">
        <v>50</v>
      </c>
    </row>
    <row r="87" spans="1:15" x14ac:dyDescent="0.25">
      <c r="A87" t="s">
        <v>4</v>
      </c>
      <c r="B87">
        <v>684425815</v>
      </c>
      <c r="C87" t="s">
        <v>351</v>
      </c>
      <c r="D87" t="s">
        <v>352</v>
      </c>
      <c r="E87">
        <v>711419</v>
      </c>
      <c r="F87" t="s">
        <v>226</v>
      </c>
      <c r="G87">
        <v>540552002</v>
      </c>
      <c r="H87" t="s">
        <v>157</v>
      </c>
      <c r="I87" t="s">
        <v>28</v>
      </c>
      <c r="J87" t="s">
        <v>354</v>
      </c>
      <c r="K87" t="s">
        <v>30</v>
      </c>
      <c r="M87" t="s">
        <v>355</v>
      </c>
      <c r="N87">
        <v>2.13</v>
      </c>
      <c r="O87" t="s">
        <v>130</v>
      </c>
    </row>
    <row r="88" spans="1:15" x14ac:dyDescent="0.25">
      <c r="A88" t="s">
        <v>4</v>
      </c>
      <c r="B88">
        <v>683929409</v>
      </c>
      <c r="C88" t="s">
        <v>357</v>
      </c>
      <c r="D88" t="s">
        <v>358</v>
      </c>
      <c r="E88">
        <v>749876</v>
      </c>
      <c r="F88" t="s">
        <v>359</v>
      </c>
      <c r="G88">
        <v>176713886</v>
      </c>
      <c r="H88" t="s">
        <v>48</v>
      </c>
      <c r="I88" t="s">
        <v>28</v>
      </c>
      <c r="J88" t="s">
        <v>354</v>
      </c>
      <c r="K88" t="s">
        <v>30</v>
      </c>
      <c r="M88" t="s">
        <v>49</v>
      </c>
      <c r="N88">
        <v>8</v>
      </c>
      <c r="O88" t="s">
        <v>50</v>
      </c>
    </row>
    <row r="89" spans="1:15" x14ac:dyDescent="0.25">
      <c r="A89" t="s">
        <v>4</v>
      </c>
      <c r="B89">
        <v>683478651</v>
      </c>
      <c r="C89" t="s">
        <v>220</v>
      </c>
      <c r="D89" t="s">
        <v>221</v>
      </c>
      <c r="E89">
        <v>678726</v>
      </c>
      <c r="F89" t="s">
        <v>46</v>
      </c>
      <c r="G89">
        <v>698731916</v>
      </c>
      <c r="H89" t="s">
        <v>48</v>
      </c>
      <c r="I89" t="s">
        <v>28</v>
      </c>
      <c r="J89" t="s">
        <v>354</v>
      </c>
      <c r="K89" t="s">
        <v>30</v>
      </c>
      <c r="M89" t="s">
        <v>49</v>
      </c>
      <c r="N89">
        <v>8</v>
      </c>
      <c r="O89" t="s">
        <v>50</v>
      </c>
    </row>
    <row r="90" spans="1:15" x14ac:dyDescent="0.25">
      <c r="A90" t="s">
        <v>4</v>
      </c>
      <c r="B90">
        <v>683317543</v>
      </c>
      <c r="C90" t="s">
        <v>362</v>
      </c>
      <c r="D90" t="s">
        <v>363</v>
      </c>
      <c r="E90">
        <v>707256</v>
      </c>
      <c r="F90" t="s">
        <v>364</v>
      </c>
      <c r="G90">
        <v>224153635</v>
      </c>
      <c r="H90" t="s">
        <v>48</v>
      </c>
      <c r="I90" t="s">
        <v>28</v>
      </c>
      <c r="J90" t="s">
        <v>354</v>
      </c>
      <c r="K90" t="s">
        <v>30</v>
      </c>
      <c r="M90" t="s">
        <v>49</v>
      </c>
      <c r="N90">
        <v>8</v>
      </c>
      <c r="O90" t="s">
        <v>50</v>
      </c>
    </row>
    <row r="91" spans="1:15" x14ac:dyDescent="0.25">
      <c r="A91" t="s">
        <v>4</v>
      </c>
      <c r="B91">
        <v>683301317</v>
      </c>
      <c r="C91" t="s">
        <v>367</v>
      </c>
      <c r="D91" t="s">
        <v>368</v>
      </c>
      <c r="E91">
        <v>706472</v>
      </c>
      <c r="F91" t="s">
        <v>98</v>
      </c>
      <c r="G91">
        <v>459325166</v>
      </c>
      <c r="H91" t="s">
        <v>48</v>
      </c>
      <c r="I91" t="s">
        <v>28</v>
      </c>
      <c r="J91" t="s">
        <v>354</v>
      </c>
      <c r="K91" t="s">
        <v>30</v>
      </c>
      <c r="M91" t="s">
        <v>70</v>
      </c>
      <c r="N91">
        <v>9.6</v>
      </c>
      <c r="O91" t="s">
        <v>50</v>
      </c>
    </row>
    <row r="92" spans="1:15" x14ac:dyDescent="0.25">
      <c r="A92" t="s">
        <v>4</v>
      </c>
      <c r="B92">
        <v>682763750</v>
      </c>
      <c r="C92" t="s">
        <v>371</v>
      </c>
      <c r="D92" t="s">
        <v>372</v>
      </c>
      <c r="E92">
        <v>757386</v>
      </c>
      <c r="F92" t="s">
        <v>373</v>
      </c>
      <c r="G92">
        <v>128908745</v>
      </c>
      <c r="H92" t="s">
        <v>157</v>
      </c>
      <c r="I92" t="s">
        <v>28</v>
      </c>
      <c r="J92" t="s">
        <v>354</v>
      </c>
      <c r="K92" t="s">
        <v>30</v>
      </c>
      <c r="M92" t="s">
        <v>355</v>
      </c>
      <c r="N92">
        <v>17.04</v>
      </c>
      <c r="O92" t="s">
        <v>42</v>
      </c>
    </row>
    <row r="93" spans="1:15" x14ac:dyDescent="0.25">
      <c r="A93" t="s">
        <v>4</v>
      </c>
      <c r="B93">
        <v>683275166</v>
      </c>
      <c r="C93" t="s">
        <v>376</v>
      </c>
      <c r="D93" t="s">
        <v>377</v>
      </c>
      <c r="E93">
        <v>678726</v>
      </c>
      <c r="F93" t="s">
        <v>46</v>
      </c>
      <c r="G93">
        <v>310854872</v>
      </c>
      <c r="H93" t="s">
        <v>48</v>
      </c>
      <c r="I93" t="s">
        <v>39</v>
      </c>
      <c r="J93" t="s">
        <v>354</v>
      </c>
      <c r="K93" t="s">
        <v>30</v>
      </c>
      <c r="M93" t="s">
        <v>135</v>
      </c>
      <c r="N93">
        <v>16</v>
      </c>
      <c r="O93" t="s">
        <v>50</v>
      </c>
    </row>
    <row r="94" spans="1:15" x14ac:dyDescent="0.25">
      <c r="A94" t="s">
        <v>4</v>
      </c>
      <c r="B94">
        <v>683654707</v>
      </c>
      <c r="C94" t="s">
        <v>380</v>
      </c>
      <c r="D94" t="s">
        <v>151</v>
      </c>
      <c r="E94">
        <v>798992</v>
      </c>
      <c r="F94" t="s">
        <v>54</v>
      </c>
      <c r="G94">
        <v>230444946</v>
      </c>
      <c r="H94" t="s">
        <v>48</v>
      </c>
      <c r="I94" t="s">
        <v>28</v>
      </c>
      <c r="J94" t="s">
        <v>354</v>
      </c>
      <c r="K94" t="s">
        <v>30</v>
      </c>
      <c r="M94" t="s">
        <v>49</v>
      </c>
      <c r="N94">
        <v>8</v>
      </c>
      <c r="O94" t="s">
        <v>50</v>
      </c>
    </row>
    <row r="95" spans="1:15" x14ac:dyDescent="0.25">
      <c r="A95" t="s">
        <v>4</v>
      </c>
      <c r="B95">
        <v>684234261</v>
      </c>
      <c r="C95" t="s">
        <v>383</v>
      </c>
      <c r="D95" t="s">
        <v>384</v>
      </c>
      <c r="E95">
        <v>847313</v>
      </c>
      <c r="F95" t="s">
        <v>385</v>
      </c>
      <c r="G95">
        <v>109514918</v>
      </c>
      <c r="H95" t="s">
        <v>387</v>
      </c>
      <c r="I95" t="s">
        <v>39</v>
      </c>
      <c r="J95" t="s">
        <v>388</v>
      </c>
      <c r="K95" t="s">
        <v>30</v>
      </c>
      <c r="M95" t="s">
        <v>135</v>
      </c>
      <c r="N95">
        <v>12</v>
      </c>
      <c r="O95" t="s">
        <v>42</v>
      </c>
    </row>
    <row r="96" spans="1:15" x14ac:dyDescent="0.25">
      <c r="A96" t="s">
        <v>4</v>
      </c>
      <c r="B96">
        <v>683654707</v>
      </c>
      <c r="C96" t="s">
        <v>380</v>
      </c>
      <c r="D96" t="s">
        <v>151</v>
      </c>
      <c r="E96">
        <v>798992</v>
      </c>
      <c r="F96" t="s">
        <v>54</v>
      </c>
      <c r="G96">
        <v>971745723</v>
      </c>
      <c r="H96" t="s">
        <v>27</v>
      </c>
      <c r="I96" t="s">
        <v>28</v>
      </c>
      <c r="J96" t="s">
        <v>354</v>
      </c>
      <c r="K96" t="s">
        <v>30</v>
      </c>
      <c r="M96" t="s">
        <v>31</v>
      </c>
      <c r="N96">
        <v>4.07</v>
      </c>
      <c r="O96" t="s">
        <v>32</v>
      </c>
    </row>
    <row r="97" spans="1:15" x14ac:dyDescent="0.25">
      <c r="A97" t="s">
        <v>4</v>
      </c>
      <c r="B97">
        <v>683497808</v>
      </c>
      <c r="C97" t="s">
        <v>391</v>
      </c>
      <c r="D97" t="s">
        <v>392</v>
      </c>
      <c r="E97">
        <v>678726</v>
      </c>
      <c r="F97" t="s">
        <v>46</v>
      </c>
      <c r="G97">
        <v>998017756</v>
      </c>
      <c r="H97" t="s">
        <v>48</v>
      </c>
      <c r="I97" t="s">
        <v>28</v>
      </c>
      <c r="J97" t="s">
        <v>354</v>
      </c>
      <c r="K97" t="s">
        <v>30</v>
      </c>
      <c r="M97" t="s">
        <v>49</v>
      </c>
      <c r="N97">
        <v>8</v>
      </c>
      <c r="O97" t="s">
        <v>50</v>
      </c>
    </row>
    <row r="98" spans="1:15" x14ac:dyDescent="0.25">
      <c r="A98" t="s">
        <v>4</v>
      </c>
      <c r="B98">
        <v>684234107</v>
      </c>
      <c r="C98" t="s">
        <v>395</v>
      </c>
      <c r="D98" t="s">
        <v>396</v>
      </c>
      <c r="E98">
        <v>760338</v>
      </c>
      <c r="F98" t="s">
        <v>139</v>
      </c>
      <c r="G98">
        <v>341203822</v>
      </c>
      <c r="H98" t="s">
        <v>87</v>
      </c>
      <c r="I98" t="s">
        <v>28</v>
      </c>
      <c r="J98" t="s">
        <v>354</v>
      </c>
      <c r="K98" t="s">
        <v>30</v>
      </c>
      <c r="M98" t="s">
        <v>49</v>
      </c>
      <c r="N98">
        <v>6</v>
      </c>
      <c r="O98" t="s">
        <v>42</v>
      </c>
    </row>
    <row r="99" spans="1:15" x14ac:dyDescent="0.25">
      <c r="A99" t="s">
        <v>4</v>
      </c>
      <c r="B99">
        <v>684234107</v>
      </c>
      <c r="C99" t="s">
        <v>395</v>
      </c>
      <c r="D99" t="s">
        <v>396</v>
      </c>
      <c r="E99">
        <v>760338</v>
      </c>
      <c r="F99" t="s">
        <v>139</v>
      </c>
      <c r="G99">
        <v>260311117</v>
      </c>
      <c r="H99" t="s">
        <v>27</v>
      </c>
      <c r="I99" t="s">
        <v>28</v>
      </c>
      <c r="J99" t="s">
        <v>354</v>
      </c>
      <c r="K99" t="s">
        <v>30</v>
      </c>
      <c r="M99" t="s">
        <v>31</v>
      </c>
      <c r="N99">
        <v>4.07</v>
      </c>
      <c r="O99" t="s">
        <v>32</v>
      </c>
    </row>
    <row r="100" spans="1:15" x14ac:dyDescent="0.25">
      <c r="A100" t="s">
        <v>4</v>
      </c>
      <c r="B100">
        <v>683534011</v>
      </c>
      <c r="C100" t="s">
        <v>400</v>
      </c>
      <c r="D100" t="s">
        <v>401</v>
      </c>
      <c r="E100">
        <v>689390</v>
      </c>
      <c r="F100" t="s">
        <v>36</v>
      </c>
      <c r="G100">
        <v>303162685</v>
      </c>
      <c r="H100" t="s">
        <v>157</v>
      </c>
      <c r="I100" t="s">
        <v>28</v>
      </c>
      <c r="J100" t="s">
        <v>403</v>
      </c>
      <c r="K100" t="s">
        <v>30</v>
      </c>
      <c r="M100" t="s">
        <v>404</v>
      </c>
      <c r="N100">
        <v>17.760000000000002</v>
      </c>
      <c r="O100" t="s">
        <v>42</v>
      </c>
    </row>
    <row r="101" spans="1:15" x14ac:dyDescent="0.25">
      <c r="A101" t="s">
        <v>4</v>
      </c>
      <c r="B101">
        <v>685063060</v>
      </c>
      <c r="C101" t="s">
        <v>406</v>
      </c>
      <c r="D101" t="s">
        <v>407</v>
      </c>
      <c r="E101">
        <v>798992</v>
      </c>
      <c r="F101" t="s">
        <v>54</v>
      </c>
      <c r="G101">
        <v>681883972</v>
      </c>
      <c r="H101" t="s">
        <v>27</v>
      </c>
      <c r="I101" t="s">
        <v>28</v>
      </c>
      <c r="J101" t="s">
        <v>409</v>
      </c>
      <c r="K101" t="s">
        <v>30</v>
      </c>
      <c r="M101" t="s">
        <v>31</v>
      </c>
      <c r="N101">
        <v>4.07</v>
      </c>
      <c r="O101" t="s">
        <v>32</v>
      </c>
    </row>
    <row r="102" spans="1:15" x14ac:dyDescent="0.25">
      <c r="A102" t="s">
        <v>4</v>
      </c>
      <c r="B102">
        <v>683720644</v>
      </c>
      <c r="C102" t="s">
        <v>411</v>
      </c>
      <c r="D102" t="s">
        <v>412</v>
      </c>
      <c r="E102">
        <v>678726</v>
      </c>
      <c r="F102" t="s">
        <v>46</v>
      </c>
      <c r="G102">
        <v>750251718</v>
      </c>
      <c r="H102" t="s">
        <v>27</v>
      </c>
      <c r="I102" t="s">
        <v>106</v>
      </c>
      <c r="J102" t="s">
        <v>409</v>
      </c>
      <c r="K102" t="s">
        <v>30</v>
      </c>
      <c r="M102" t="s">
        <v>205</v>
      </c>
      <c r="N102">
        <v>7.4</v>
      </c>
      <c r="O102" t="s">
        <v>32</v>
      </c>
    </row>
    <row r="103" spans="1:15" x14ac:dyDescent="0.25">
      <c r="A103" t="s">
        <v>4</v>
      </c>
      <c r="B103">
        <v>683720644</v>
      </c>
      <c r="C103" t="s">
        <v>411</v>
      </c>
      <c r="D103" t="s">
        <v>412</v>
      </c>
      <c r="E103">
        <v>678726</v>
      </c>
      <c r="F103" t="s">
        <v>46</v>
      </c>
      <c r="G103">
        <v>108620713</v>
      </c>
      <c r="H103" t="s">
        <v>48</v>
      </c>
      <c r="I103" t="s">
        <v>106</v>
      </c>
      <c r="J103" t="s">
        <v>409</v>
      </c>
      <c r="K103" t="s">
        <v>30</v>
      </c>
      <c r="M103" t="s">
        <v>415</v>
      </c>
      <c r="N103">
        <v>29.44</v>
      </c>
      <c r="O103" t="s">
        <v>50</v>
      </c>
    </row>
    <row r="104" spans="1:15" x14ac:dyDescent="0.25">
      <c r="A104" t="s">
        <v>4</v>
      </c>
      <c r="B104">
        <v>681647925</v>
      </c>
      <c r="C104" t="s">
        <v>417</v>
      </c>
      <c r="D104" t="s">
        <v>418</v>
      </c>
      <c r="E104">
        <v>689390</v>
      </c>
      <c r="F104" t="s">
        <v>36</v>
      </c>
      <c r="G104">
        <v>386395185</v>
      </c>
      <c r="H104" t="s">
        <v>157</v>
      </c>
      <c r="I104" t="s">
        <v>28</v>
      </c>
      <c r="J104" t="s">
        <v>409</v>
      </c>
      <c r="K104" t="s">
        <v>30</v>
      </c>
      <c r="M104" t="s">
        <v>113</v>
      </c>
      <c r="N104">
        <v>14.4</v>
      </c>
      <c r="O104" t="s">
        <v>42</v>
      </c>
    </row>
    <row r="105" spans="1:15" x14ac:dyDescent="0.25">
      <c r="A105" t="s">
        <v>4</v>
      </c>
      <c r="B105">
        <v>683178395</v>
      </c>
      <c r="C105" t="s">
        <v>421</v>
      </c>
      <c r="D105" t="s">
        <v>422</v>
      </c>
      <c r="E105">
        <v>678726</v>
      </c>
      <c r="F105" t="s">
        <v>46</v>
      </c>
      <c r="G105">
        <v>973153223</v>
      </c>
      <c r="H105" t="s">
        <v>27</v>
      </c>
      <c r="I105" t="s">
        <v>28</v>
      </c>
      <c r="J105" t="s">
        <v>409</v>
      </c>
      <c r="K105" t="s">
        <v>30</v>
      </c>
      <c r="M105" t="s">
        <v>31</v>
      </c>
      <c r="N105">
        <v>4.07</v>
      </c>
      <c r="O105" t="s">
        <v>32</v>
      </c>
    </row>
    <row r="106" spans="1:15" x14ac:dyDescent="0.25">
      <c r="A106" t="s">
        <v>4</v>
      </c>
      <c r="B106">
        <v>683178395</v>
      </c>
      <c r="C106" t="s">
        <v>421</v>
      </c>
      <c r="D106" t="s">
        <v>422</v>
      </c>
      <c r="E106">
        <v>678726</v>
      </c>
      <c r="F106" t="s">
        <v>46</v>
      </c>
      <c r="G106">
        <v>168352383</v>
      </c>
      <c r="H106" t="s">
        <v>48</v>
      </c>
      <c r="I106" t="s">
        <v>28</v>
      </c>
      <c r="J106" t="s">
        <v>409</v>
      </c>
      <c r="K106" t="s">
        <v>30</v>
      </c>
      <c r="M106" t="s">
        <v>49</v>
      </c>
      <c r="N106">
        <v>8</v>
      </c>
      <c r="O106" t="s">
        <v>50</v>
      </c>
    </row>
    <row r="107" spans="1:15" x14ac:dyDescent="0.25">
      <c r="A107" t="s">
        <v>4</v>
      </c>
      <c r="B107">
        <v>683654568</v>
      </c>
      <c r="C107" t="s">
        <v>426</v>
      </c>
      <c r="D107" t="s">
        <v>427</v>
      </c>
      <c r="E107">
        <v>678726</v>
      </c>
      <c r="F107" t="s">
        <v>46</v>
      </c>
      <c r="G107">
        <v>760186562</v>
      </c>
      <c r="H107" t="s">
        <v>48</v>
      </c>
      <c r="I107" t="s">
        <v>39</v>
      </c>
      <c r="J107" t="s">
        <v>409</v>
      </c>
      <c r="K107" t="s">
        <v>30</v>
      </c>
      <c r="M107" t="s">
        <v>135</v>
      </c>
      <c r="N107">
        <v>16</v>
      </c>
      <c r="O107" t="s">
        <v>50</v>
      </c>
    </row>
    <row r="108" spans="1:15" x14ac:dyDescent="0.25">
      <c r="A108" t="s">
        <v>4</v>
      </c>
      <c r="B108">
        <v>685070366</v>
      </c>
      <c r="C108" t="s">
        <v>430</v>
      </c>
      <c r="D108" t="s">
        <v>431</v>
      </c>
      <c r="E108">
        <v>711419</v>
      </c>
      <c r="F108" t="s">
        <v>226</v>
      </c>
      <c r="G108">
        <v>104547957</v>
      </c>
      <c r="H108" t="s">
        <v>27</v>
      </c>
      <c r="I108" t="s">
        <v>106</v>
      </c>
      <c r="J108" t="s">
        <v>29</v>
      </c>
      <c r="K108" t="s">
        <v>30</v>
      </c>
      <c r="M108" t="s">
        <v>205</v>
      </c>
      <c r="N108">
        <v>0.6</v>
      </c>
      <c r="O108" t="s">
        <v>130</v>
      </c>
    </row>
    <row r="109" spans="1:15" x14ac:dyDescent="0.25">
      <c r="A109" t="s">
        <v>4</v>
      </c>
      <c r="B109">
        <v>684068645</v>
      </c>
      <c r="C109" t="s">
        <v>434</v>
      </c>
      <c r="D109" t="s">
        <v>435</v>
      </c>
      <c r="E109">
        <v>678726</v>
      </c>
      <c r="F109" t="s">
        <v>46</v>
      </c>
      <c r="G109">
        <v>848578973</v>
      </c>
      <c r="H109" t="s">
        <v>48</v>
      </c>
      <c r="I109" t="s">
        <v>28</v>
      </c>
      <c r="J109" t="s">
        <v>29</v>
      </c>
      <c r="K109" t="s">
        <v>30</v>
      </c>
      <c r="M109" t="s">
        <v>49</v>
      </c>
      <c r="N109">
        <v>8</v>
      </c>
      <c r="O109" t="s">
        <v>50</v>
      </c>
    </row>
    <row r="110" spans="1:15" x14ac:dyDescent="0.25">
      <c r="A110" t="s">
        <v>4</v>
      </c>
      <c r="B110">
        <v>683138813</v>
      </c>
      <c r="C110" t="s">
        <v>438</v>
      </c>
      <c r="D110" t="s">
        <v>439</v>
      </c>
      <c r="E110">
        <v>678726</v>
      </c>
      <c r="F110" t="s">
        <v>46</v>
      </c>
      <c r="G110">
        <v>5274878</v>
      </c>
      <c r="H110" t="s">
        <v>48</v>
      </c>
      <c r="I110" t="s">
        <v>28</v>
      </c>
      <c r="J110" t="s">
        <v>29</v>
      </c>
      <c r="K110" t="s">
        <v>30</v>
      </c>
      <c r="M110" t="s">
        <v>49</v>
      </c>
      <c r="N110">
        <v>8</v>
      </c>
      <c r="O110" t="s">
        <v>50</v>
      </c>
    </row>
    <row r="111" spans="1:15" x14ac:dyDescent="0.25">
      <c r="A111" t="s">
        <v>4</v>
      </c>
      <c r="B111">
        <v>683899850</v>
      </c>
      <c r="C111" t="s">
        <v>442</v>
      </c>
      <c r="D111" t="s">
        <v>443</v>
      </c>
      <c r="E111">
        <v>678726</v>
      </c>
      <c r="F111" t="s">
        <v>46</v>
      </c>
      <c r="G111">
        <v>571135014</v>
      </c>
      <c r="H111" t="s">
        <v>48</v>
      </c>
      <c r="I111" t="s">
        <v>28</v>
      </c>
      <c r="J111" t="s">
        <v>354</v>
      </c>
      <c r="K111" t="s">
        <v>30</v>
      </c>
      <c r="M111" t="s">
        <v>49</v>
      </c>
      <c r="N111">
        <v>8</v>
      </c>
      <c r="O111" t="s">
        <v>50</v>
      </c>
    </row>
    <row r="112" spans="1:15" x14ac:dyDescent="0.25">
      <c r="A112" t="s">
        <v>4</v>
      </c>
      <c r="B112">
        <v>683228522</v>
      </c>
      <c r="C112" t="s">
        <v>446</v>
      </c>
      <c r="D112" t="s">
        <v>447</v>
      </c>
      <c r="E112">
        <v>678726</v>
      </c>
      <c r="F112" t="s">
        <v>46</v>
      </c>
      <c r="G112">
        <v>211544974</v>
      </c>
      <c r="H112" t="s">
        <v>48</v>
      </c>
      <c r="I112" t="s">
        <v>39</v>
      </c>
      <c r="J112" t="s">
        <v>326</v>
      </c>
      <c r="K112" t="s">
        <v>30</v>
      </c>
      <c r="M112" t="s">
        <v>135</v>
      </c>
      <c r="N112">
        <v>16</v>
      </c>
      <c r="O112" t="s">
        <v>50</v>
      </c>
    </row>
    <row r="113" spans="1:15" x14ac:dyDescent="0.25">
      <c r="A113" t="s">
        <v>4</v>
      </c>
      <c r="B113">
        <v>682766841</v>
      </c>
      <c r="C113" t="s">
        <v>125</v>
      </c>
      <c r="D113" t="s">
        <v>450</v>
      </c>
      <c r="E113">
        <v>678726</v>
      </c>
      <c r="F113" t="s">
        <v>46</v>
      </c>
      <c r="G113">
        <v>119664581</v>
      </c>
      <c r="H113" t="s">
        <v>48</v>
      </c>
      <c r="I113" t="s">
        <v>28</v>
      </c>
      <c r="J113" t="s">
        <v>388</v>
      </c>
      <c r="K113" t="s">
        <v>30</v>
      </c>
      <c r="M113" t="s">
        <v>49</v>
      </c>
      <c r="N113">
        <v>8</v>
      </c>
      <c r="O113" t="s">
        <v>50</v>
      </c>
    </row>
    <row r="114" spans="1:15" x14ac:dyDescent="0.25">
      <c r="A114" t="s">
        <v>4</v>
      </c>
      <c r="B114">
        <v>682624994</v>
      </c>
      <c r="C114" t="s">
        <v>453</v>
      </c>
      <c r="D114" t="s">
        <v>454</v>
      </c>
      <c r="E114">
        <v>689390</v>
      </c>
      <c r="F114" t="s">
        <v>36</v>
      </c>
      <c r="G114">
        <v>568485674</v>
      </c>
      <c r="H114" t="s">
        <v>87</v>
      </c>
      <c r="I114" t="s">
        <v>28</v>
      </c>
      <c r="J114" t="s">
        <v>388</v>
      </c>
      <c r="K114" t="s">
        <v>30</v>
      </c>
      <c r="M114" t="s">
        <v>49</v>
      </c>
      <c r="N114">
        <v>6</v>
      </c>
      <c r="O114" t="s">
        <v>42</v>
      </c>
    </row>
    <row r="115" spans="1:15" x14ac:dyDescent="0.25">
      <c r="A115" t="s">
        <v>4</v>
      </c>
      <c r="B115">
        <v>682968788</v>
      </c>
      <c r="C115" t="s">
        <v>243</v>
      </c>
      <c r="D115" t="s">
        <v>324</v>
      </c>
      <c r="E115">
        <v>781535</v>
      </c>
      <c r="F115" t="s">
        <v>254</v>
      </c>
      <c r="G115">
        <v>688051988</v>
      </c>
      <c r="H115" t="s">
        <v>157</v>
      </c>
      <c r="I115" t="s">
        <v>28</v>
      </c>
      <c r="J115" t="s">
        <v>326</v>
      </c>
      <c r="K115" t="s">
        <v>30</v>
      </c>
      <c r="M115" t="s">
        <v>159</v>
      </c>
      <c r="N115">
        <v>15.84</v>
      </c>
      <c r="O115" t="s">
        <v>42</v>
      </c>
    </row>
    <row r="116" spans="1:15" x14ac:dyDescent="0.25">
      <c r="A116" t="s">
        <v>4</v>
      </c>
      <c r="B116">
        <v>683828176</v>
      </c>
      <c r="C116" t="s">
        <v>458</v>
      </c>
      <c r="D116" t="s">
        <v>459</v>
      </c>
      <c r="E116">
        <v>798992</v>
      </c>
      <c r="F116" t="s">
        <v>54</v>
      </c>
      <c r="G116">
        <v>896294214</v>
      </c>
      <c r="H116" t="s">
        <v>48</v>
      </c>
      <c r="I116" t="s">
        <v>28</v>
      </c>
      <c r="J116" t="s">
        <v>326</v>
      </c>
      <c r="K116" t="s">
        <v>30</v>
      </c>
      <c r="M116" t="s">
        <v>49</v>
      </c>
      <c r="N116">
        <v>8</v>
      </c>
      <c r="O116" t="s">
        <v>50</v>
      </c>
    </row>
    <row r="117" spans="1:15" x14ac:dyDescent="0.25">
      <c r="A117" t="s">
        <v>4</v>
      </c>
      <c r="B117">
        <v>684135257</v>
      </c>
      <c r="C117" t="s">
        <v>462</v>
      </c>
      <c r="D117" t="s">
        <v>463</v>
      </c>
      <c r="E117">
        <v>707256</v>
      </c>
      <c r="F117" t="s">
        <v>364</v>
      </c>
      <c r="G117">
        <v>418031090</v>
      </c>
      <c r="H117" t="s">
        <v>48</v>
      </c>
      <c r="I117" t="s">
        <v>28</v>
      </c>
      <c r="J117" t="s">
        <v>326</v>
      </c>
      <c r="K117" t="s">
        <v>30</v>
      </c>
      <c r="M117" t="s">
        <v>49</v>
      </c>
      <c r="N117">
        <v>8</v>
      </c>
      <c r="O117" t="s">
        <v>50</v>
      </c>
    </row>
    <row r="118" spans="1:15" x14ac:dyDescent="0.25">
      <c r="A118" t="s">
        <v>4</v>
      </c>
      <c r="B118">
        <v>684680721</v>
      </c>
      <c r="C118" t="s">
        <v>466</v>
      </c>
      <c r="D118" t="s">
        <v>467</v>
      </c>
      <c r="E118">
        <v>678726</v>
      </c>
      <c r="F118" t="s">
        <v>46</v>
      </c>
      <c r="G118">
        <v>760665662</v>
      </c>
      <c r="H118" t="s">
        <v>27</v>
      </c>
      <c r="I118" t="s">
        <v>28</v>
      </c>
      <c r="J118" t="s">
        <v>326</v>
      </c>
      <c r="K118" t="s">
        <v>30</v>
      </c>
      <c r="M118" t="s">
        <v>31</v>
      </c>
      <c r="N118">
        <v>4.07</v>
      </c>
      <c r="O118" t="s">
        <v>32</v>
      </c>
    </row>
    <row r="119" spans="1:15" x14ac:dyDescent="0.25">
      <c r="A119" t="s">
        <v>4</v>
      </c>
      <c r="B119">
        <v>682974980</v>
      </c>
      <c r="C119" t="s">
        <v>470</v>
      </c>
      <c r="D119" t="s">
        <v>471</v>
      </c>
      <c r="E119">
        <v>759555</v>
      </c>
      <c r="F119" t="s">
        <v>472</v>
      </c>
      <c r="G119">
        <v>629957651</v>
      </c>
      <c r="H119" t="s">
        <v>27</v>
      </c>
      <c r="I119" t="s">
        <v>106</v>
      </c>
      <c r="J119" t="s">
        <v>474</v>
      </c>
      <c r="K119" t="s">
        <v>30</v>
      </c>
      <c r="M119" t="s">
        <v>205</v>
      </c>
      <c r="N119">
        <v>7.4</v>
      </c>
      <c r="O119" t="s">
        <v>32</v>
      </c>
    </row>
    <row r="120" spans="1:15" x14ac:dyDescent="0.25">
      <c r="A120" t="s">
        <v>4</v>
      </c>
      <c r="B120">
        <v>682974980</v>
      </c>
      <c r="C120" t="s">
        <v>470</v>
      </c>
      <c r="D120" t="s">
        <v>471</v>
      </c>
      <c r="E120">
        <v>759555</v>
      </c>
      <c r="F120" t="s">
        <v>472</v>
      </c>
      <c r="G120">
        <v>673613358</v>
      </c>
      <c r="H120" t="s">
        <v>38</v>
      </c>
      <c r="I120" t="s">
        <v>93</v>
      </c>
      <c r="J120" t="s">
        <v>474</v>
      </c>
      <c r="K120" t="s">
        <v>30</v>
      </c>
      <c r="M120" t="s">
        <v>476</v>
      </c>
      <c r="N120">
        <v>26.88</v>
      </c>
      <c r="O120" t="s">
        <v>42</v>
      </c>
    </row>
    <row r="121" spans="1:15" x14ac:dyDescent="0.25">
      <c r="A121" t="s">
        <v>4</v>
      </c>
      <c r="B121">
        <v>682971882</v>
      </c>
      <c r="C121" t="s">
        <v>478</v>
      </c>
      <c r="D121" t="s">
        <v>479</v>
      </c>
      <c r="E121">
        <v>781535</v>
      </c>
      <c r="F121" t="s">
        <v>254</v>
      </c>
      <c r="G121">
        <v>868422442</v>
      </c>
      <c r="H121" t="s">
        <v>27</v>
      </c>
      <c r="I121" t="s">
        <v>181</v>
      </c>
      <c r="J121" t="s">
        <v>474</v>
      </c>
      <c r="K121" t="s">
        <v>30</v>
      </c>
      <c r="M121" t="s">
        <v>182</v>
      </c>
      <c r="N121">
        <v>5.55</v>
      </c>
      <c r="O121" t="s">
        <v>32</v>
      </c>
    </row>
    <row r="122" spans="1:15" x14ac:dyDescent="0.25">
      <c r="A122" t="s">
        <v>4</v>
      </c>
      <c r="B122">
        <v>682971882</v>
      </c>
      <c r="C122" t="s">
        <v>478</v>
      </c>
      <c r="D122" t="s">
        <v>479</v>
      </c>
      <c r="E122">
        <v>781535</v>
      </c>
      <c r="F122" t="s">
        <v>254</v>
      </c>
      <c r="G122">
        <v>40198305</v>
      </c>
      <c r="H122" t="s">
        <v>157</v>
      </c>
      <c r="I122" t="s">
        <v>39</v>
      </c>
      <c r="J122" t="s">
        <v>474</v>
      </c>
      <c r="K122" t="s">
        <v>30</v>
      </c>
      <c r="M122" t="s">
        <v>482</v>
      </c>
      <c r="N122">
        <v>29.04</v>
      </c>
      <c r="O122" t="s">
        <v>42</v>
      </c>
    </row>
    <row r="123" spans="1:15" x14ac:dyDescent="0.25">
      <c r="A123" t="s">
        <v>4</v>
      </c>
      <c r="B123">
        <v>683124501</v>
      </c>
      <c r="C123" t="s">
        <v>188</v>
      </c>
      <c r="D123" t="s">
        <v>484</v>
      </c>
      <c r="E123">
        <v>678726</v>
      </c>
      <c r="F123" t="s">
        <v>46</v>
      </c>
      <c r="G123">
        <v>528354958</v>
      </c>
      <c r="H123" t="s">
        <v>48</v>
      </c>
      <c r="I123" t="s">
        <v>39</v>
      </c>
      <c r="J123" t="s">
        <v>486</v>
      </c>
      <c r="K123" t="s">
        <v>30</v>
      </c>
      <c r="M123" t="s">
        <v>135</v>
      </c>
      <c r="N123">
        <v>16</v>
      </c>
      <c r="O123" t="s">
        <v>50</v>
      </c>
    </row>
    <row r="124" spans="1:15" x14ac:dyDescent="0.25">
      <c r="A124" t="s">
        <v>4</v>
      </c>
      <c r="B124">
        <v>683124480</v>
      </c>
      <c r="C124" t="s">
        <v>488</v>
      </c>
      <c r="D124" t="s">
        <v>484</v>
      </c>
      <c r="E124">
        <v>678726</v>
      </c>
      <c r="F124" t="s">
        <v>46</v>
      </c>
      <c r="G124">
        <v>509666499</v>
      </c>
      <c r="H124" t="s">
        <v>48</v>
      </c>
      <c r="I124" t="s">
        <v>28</v>
      </c>
      <c r="J124" t="s">
        <v>486</v>
      </c>
      <c r="K124" t="s">
        <v>30</v>
      </c>
      <c r="M124" t="s">
        <v>49</v>
      </c>
      <c r="N124">
        <v>8</v>
      </c>
      <c r="O124" t="s">
        <v>50</v>
      </c>
    </row>
    <row r="125" spans="1:15" x14ac:dyDescent="0.25">
      <c r="A125" t="s">
        <v>4</v>
      </c>
      <c r="B125">
        <v>683120098</v>
      </c>
      <c r="C125" t="s">
        <v>491</v>
      </c>
      <c r="D125" t="s">
        <v>492</v>
      </c>
      <c r="E125">
        <v>678726</v>
      </c>
      <c r="F125" t="s">
        <v>46</v>
      </c>
      <c r="G125">
        <v>232438202</v>
      </c>
      <c r="H125" t="s">
        <v>48</v>
      </c>
      <c r="I125" t="s">
        <v>28</v>
      </c>
      <c r="J125" t="s">
        <v>486</v>
      </c>
      <c r="K125" t="s">
        <v>30</v>
      </c>
      <c r="M125" t="s">
        <v>49</v>
      </c>
      <c r="N125">
        <v>8</v>
      </c>
      <c r="O125" t="s">
        <v>50</v>
      </c>
    </row>
    <row r="126" spans="1:15" x14ac:dyDescent="0.25">
      <c r="A126" t="s">
        <v>4</v>
      </c>
      <c r="B126">
        <v>683659785</v>
      </c>
      <c r="C126" t="s">
        <v>495</v>
      </c>
      <c r="D126" t="s">
        <v>496</v>
      </c>
      <c r="E126">
        <v>706472</v>
      </c>
      <c r="F126" t="s">
        <v>98</v>
      </c>
      <c r="G126">
        <v>954518880</v>
      </c>
      <c r="H126" t="s">
        <v>48</v>
      </c>
      <c r="I126" t="s">
        <v>39</v>
      </c>
      <c r="J126" t="s">
        <v>486</v>
      </c>
      <c r="K126" t="s">
        <v>30</v>
      </c>
      <c r="M126" t="s">
        <v>135</v>
      </c>
      <c r="N126">
        <v>16</v>
      </c>
      <c r="O126" t="s">
        <v>50</v>
      </c>
    </row>
    <row r="127" spans="1:15" x14ac:dyDescent="0.25">
      <c r="A127" t="s">
        <v>4</v>
      </c>
      <c r="B127">
        <v>679972196</v>
      </c>
      <c r="C127" t="s">
        <v>499</v>
      </c>
      <c r="D127" t="s">
        <v>500</v>
      </c>
      <c r="E127">
        <v>653470</v>
      </c>
      <c r="F127" t="s">
        <v>274</v>
      </c>
      <c r="G127">
        <v>694607964</v>
      </c>
      <c r="H127" t="s">
        <v>502</v>
      </c>
      <c r="I127" t="s">
        <v>106</v>
      </c>
      <c r="J127" t="s">
        <v>503</v>
      </c>
      <c r="K127" t="s">
        <v>30</v>
      </c>
      <c r="M127" t="s">
        <v>504</v>
      </c>
      <c r="N127">
        <v>44.72</v>
      </c>
      <c r="O127" t="s">
        <v>166</v>
      </c>
    </row>
    <row r="128" spans="1:15" x14ac:dyDescent="0.25">
      <c r="A128" t="s">
        <v>4</v>
      </c>
      <c r="B128">
        <v>679972196</v>
      </c>
      <c r="C128" t="s">
        <v>499</v>
      </c>
      <c r="D128" t="s">
        <v>500</v>
      </c>
      <c r="E128">
        <v>653470</v>
      </c>
      <c r="F128" t="s">
        <v>274</v>
      </c>
      <c r="G128">
        <v>241002988</v>
      </c>
      <c r="H128" t="s">
        <v>506</v>
      </c>
      <c r="I128" t="s">
        <v>106</v>
      </c>
      <c r="J128" t="s">
        <v>503</v>
      </c>
      <c r="K128" t="s">
        <v>30</v>
      </c>
      <c r="M128" t="s">
        <v>507</v>
      </c>
      <c r="N128">
        <v>12.48</v>
      </c>
      <c r="O128" t="s">
        <v>166</v>
      </c>
    </row>
    <row r="129" spans="1:15" x14ac:dyDescent="0.25">
      <c r="A129" t="s">
        <v>4</v>
      </c>
      <c r="B129">
        <v>683887722</v>
      </c>
      <c r="C129" t="s">
        <v>509</v>
      </c>
      <c r="D129" t="s">
        <v>260</v>
      </c>
      <c r="E129">
        <v>820877</v>
      </c>
      <c r="F129" t="s">
        <v>146</v>
      </c>
      <c r="G129">
        <v>437691397</v>
      </c>
      <c r="H129" t="s">
        <v>48</v>
      </c>
      <c r="I129" t="s">
        <v>39</v>
      </c>
      <c r="J129" t="s">
        <v>388</v>
      </c>
      <c r="K129" t="s">
        <v>30</v>
      </c>
      <c r="M129" t="s">
        <v>135</v>
      </c>
      <c r="N129">
        <v>16</v>
      </c>
      <c r="O129" t="s">
        <v>50</v>
      </c>
    </row>
    <row r="130" spans="1:15" x14ac:dyDescent="0.25">
      <c r="A130" t="s">
        <v>4</v>
      </c>
      <c r="B130">
        <v>681829783</v>
      </c>
      <c r="C130" t="s">
        <v>512</v>
      </c>
      <c r="D130" t="s">
        <v>513</v>
      </c>
      <c r="E130">
        <v>689390</v>
      </c>
      <c r="F130" t="s">
        <v>36</v>
      </c>
      <c r="G130">
        <v>438557821</v>
      </c>
      <c r="H130" t="s">
        <v>157</v>
      </c>
      <c r="I130" t="s">
        <v>28</v>
      </c>
      <c r="J130" t="s">
        <v>515</v>
      </c>
      <c r="K130" t="s">
        <v>30</v>
      </c>
      <c r="M130" t="s">
        <v>113</v>
      </c>
      <c r="N130">
        <v>14.4</v>
      </c>
      <c r="O130" t="s">
        <v>42</v>
      </c>
    </row>
    <row r="131" spans="1:15" x14ac:dyDescent="0.25">
      <c r="A131" t="s">
        <v>4</v>
      </c>
      <c r="B131">
        <v>683448864</v>
      </c>
      <c r="C131" t="s">
        <v>517</v>
      </c>
      <c r="D131" t="s">
        <v>518</v>
      </c>
      <c r="E131">
        <v>757209</v>
      </c>
      <c r="F131" t="s">
        <v>60</v>
      </c>
      <c r="G131">
        <v>990327518</v>
      </c>
      <c r="H131" t="s">
        <v>27</v>
      </c>
      <c r="I131" t="s">
        <v>181</v>
      </c>
      <c r="J131" t="s">
        <v>515</v>
      </c>
      <c r="K131" t="s">
        <v>30</v>
      </c>
      <c r="M131" t="s">
        <v>182</v>
      </c>
      <c r="N131">
        <v>5.55</v>
      </c>
      <c r="O131" t="s">
        <v>32</v>
      </c>
    </row>
    <row r="132" spans="1:15" x14ac:dyDescent="0.25">
      <c r="A132" t="s">
        <v>4</v>
      </c>
      <c r="B132">
        <v>683463955</v>
      </c>
      <c r="C132" t="s">
        <v>521</v>
      </c>
      <c r="D132" t="s">
        <v>522</v>
      </c>
      <c r="E132">
        <v>706472</v>
      </c>
      <c r="F132" t="s">
        <v>98</v>
      </c>
      <c r="G132">
        <v>762673318</v>
      </c>
      <c r="H132" t="s">
        <v>48</v>
      </c>
      <c r="I132" t="s">
        <v>39</v>
      </c>
      <c r="J132" t="s">
        <v>524</v>
      </c>
      <c r="K132" t="s">
        <v>30</v>
      </c>
      <c r="M132" t="s">
        <v>135</v>
      </c>
      <c r="N132">
        <v>16</v>
      </c>
      <c r="O132" t="s">
        <v>50</v>
      </c>
    </row>
    <row r="133" spans="1:15" x14ac:dyDescent="0.25">
      <c r="A133" t="s">
        <v>4</v>
      </c>
      <c r="B133">
        <v>683463955</v>
      </c>
      <c r="C133" t="s">
        <v>521</v>
      </c>
      <c r="D133" t="s">
        <v>522</v>
      </c>
      <c r="E133">
        <v>706472</v>
      </c>
      <c r="F133" t="s">
        <v>98</v>
      </c>
      <c r="G133">
        <v>245268586</v>
      </c>
      <c r="H133" t="s">
        <v>27</v>
      </c>
      <c r="I133" t="s">
        <v>181</v>
      </c>
      <c r="J133" t="s">
        <v>524</v>
      </c>
      <c r="K133" t="s">
        <v>30</v>
      </c>
      <c r="M133" t="s">
        <v>182</v>
      </c>
      <c r="N133">
        <v>5.55</v>
      </c>
      <c r="O133" t="s">
        <v>32</v>
      </c>
    </row>
    <row r="134" spans="1:15" x14ac:dyDescent="0.25">
      <c r="A134" t="s">
        <v>4</v>
      </c>
      <c r="B134">
        <v>684087263</v>
      </c>
      <c r="C134" t="s">
        <v>527</v>
      </c>
      <c r="D134" t="s">
        <v>528</v>
      </c>
      <c r="E134">
        <v>798992</v>
      </c>
      <c r="F134" t="s">
        <v>54</v>
      </c>
      <c r="G134">
        <v>389218592</v>
      </c>
      <c r="H134" t="s">
        <v>48</v>
      </c>
      <c r="I134" t="s">
        <v>28</v>
      </c>
      <c r="J134" t="s">
        <v>524</v>
      </c>
      <c r="K134" t="s">
        <v>30</v>
      </c>
      <c r="M134" t="s">
        <v>49</v>
      </c>
      <c r="N134">
        <v>8</v>
      </c>
      <c r="O134" t="s">
        <v>50</v>
      </c>
    </row>
    <row r="135" spans="1:15" x14ac:dyDescent="0.25">
      <c r="A135" t="s">
        <v>4</v>
      </c>
      <c r="B135">
        <v>684087263</v>
      </c>
      <c r="C135" t="s">
        <v>527</v>
      </c>
      <c r="D135" t="s">
        <v>528</v>
      </c>
      <c r="E135">
        <v>798992</v>
      </c>
      <c r="F135" t="s">
        <v>54</v>
      </c>
      <c r="G135">
        <v>914937325</v>
      </c>
      <c r="H135" t="s">
        <v>27</v>
      </c>
      <c r="I135" t="s">
        <v>28</v>
      </c>
      <c r="J135" t="s">
        <v>524</v>
      </c>
      <c r="K135" t="s">
        <v>30</v>
      </c>
      <c r="M135" t="s">
        <v>31</v>
      </c>
      <c r="N135">
        <v>4.07</v>
      </c>
      <c r="O135" t="s">
        <v>32</v>
      </c>
    </row>
    <row r="136" spans="1:15" x14ac:dyDescent="0.25">
      <c r="A136" t="s">
        <v>4</v>
      </c>
      <c r="B136">
        <v>684158179</v>
      </c>
      <c r="C136" t="s">
        <v>184</v>
      </c>
      <c r="D136" t="s">
        <v>532</v>
      </c>
      <c r="E136">
        <v>678726</v>
      </c>
      <c r="F136" t="s">
        <v>46</v>
      </c>
      <c r="G136">
        <v>138655428</v>
      </c>
      <c r="H136" t="s">
        <v>48</v>
      </c>
      <c r="I136" t="s">
        <v>28</v>
      </c>
      <c r="J136" t="s">
        <v>524</v>
      </c>
      <c r="K136" t="s">
        <v>30</v>
      </c>
      <c r="M136" t="s">
        <v>49</v>
      </c>
      <c r="N136">
        <v>8</v>
      </c>
      <c r="O136" t="s">
        <v>50</v>
      </c>
    </row>
    <row r="137" spans="1:15" x14ac:dyDescent="0.25">
      <c r="A137" t="s">
        <v>4</v>
      </c>
      <c r="B137">
        <v>683877755</v>
      </c>
      <c r="C137" t="s">
        <v>535</v>
      </c>
      <c r="D137" t="s">
        <v>536</v>
      </c>
      <c r="E137">
        <v>678726</v>
      </c>
      <c r="F137" t="s">
        <v>46</v>
      </c>
      <c r="G137">
        <v>526763175</v>
      </c>
      <c r="H137" t="s">
        <v>27</v>
      </c>
      <c r="I137" t="s">
        <v>28</v>
      </c>
      <c r="J137" t="s">
        <v>524</v>
      </c>
      <c r="K137" t="s">
        <v>30</v>
      </c>
      <c r="M137" t="s">
        <v>31</v>
      </c>
      <c r="N137">
        <v>4.07</v>
      </c>
      <c r="O137" t="s">
        <v>32</v>
      </c>
    </row>
    <row r="138" spans="1:15" x14ac:dyDescent="0.25">
      <c r="A138" t="s">
        <v>4</v>
      </c>
      <c r="B138">
        <v>683602218</v>
      </c>
      <c r="C138" t="s">
        <v>539</v>
      </c>
      <c r="D138" t="s">
        <v>540</v>
      </c>
      <c r="E138">
        <v>678726</v>
      </c>
      <c r="F138" t="s">
        <v>46</v>
      </c>
      <c r="G138">
        <v>498487989</v>
      </c>
      <c r="H138" t="s">
        <v>48</v>
      </c>
      <c r="I138" t="s">
        <v>28</v>
      </c>
      <c r="J138" t="s">
        <v>524</v>
      </c>
      <c r="K138" t="s">
        <v>30</v>
      </c>
      <c r="M138" t="s">
        <v>49</v>
      </c>
      <c r="N138">
        <v>8</v>
      </c>
      <c r="O138" t="s">
        <v>50</v>
      </c>
    </row>
    <row r="139" spans="1:15" x14ac:dyDescent="0.25">
      <c r="A139" t="s">
        <v>4</v>
      </c>
      <c r="B139">
        <v>682859188</v>
      </c>
      <c r="C139" t="s">
        <v>543</v>
      </c>
      <c r="D139" t="s">
        <v>544</v>
      </c>
      <c r="E139">
        <v>703501</v>
      </c>
      <c r="F139" t="s">
        <v>85</v>
      </c>
      <c r="G139">
        <v>623625840</v>
      </c>
      <c r="H139" t="s">
        <v>87</v>
      </c>
      <c r="I139" t="s">
        <v>106</v>
      </c>
      <c r="J139" t="s">
        <v>546</v>
      </c>
      <c r="K139" t="s">
        <v>30</v>
      </c>
      <c r="M139" t="s">
        <v>316</v>
      </c>
      <c r="N139">
        <v>22.32</v>
      </c>
      <c r="O139" t="s">
        <v>42</v>
      </c>
    </row>
    <row r="140" spans="1:15" x14ac:dyDescent="0.25">
      <c r="A140" t="s">
        <v>4</v>
      </c>
      <c r="B140">
        <v>683900706</v>
      </c>
      <c r="C140" t="s">
        <v>548</v>
      </c>
      <c r="D140" t="s">
        <v>549</v>
      </c>
      <c r="E140">
        <v>760338</v>
      </c>
      <c r="F140" t="s">
        <v>139</v>
      </c>
      <c r="G140">
        <v>783299133</v>
      </c>
      <c r="H140" t="s">
        <v>87</v>
      </c>
      <c r="I140" t="s">
        <v>28</v>
      </c>
      <c r="J140" t="s">
        <v>546</v>
      </c>
      <c r="K140" t="s">
        <v>30</v>
      </c>
      <c r="M140" t="s">
        <v>49</v>
      </c>
      <c r="N140">
        <v>6</v>
      </c>
      <c r="O140" t="s">
        <v>42</v>
      </c>
    </row>
    <row r="141" spans="1:15" x14ac:dyDescent="0.25">
      <c r="A141" t="s">
        <v>4</v>
      </c>
      <c r="B141">
        <v>683498152</v>
      </c>
      <c r="C141" t="s">
        <v>552</v>
      </c>
      <c r="D141" t="s">
        <v>553</v>
      </c>
      <c r="E141">
        <v>678726</v>
      </c>
      <c r="F141" t="s">
        <v>46</v>
      </c>
      <c r="G141">
        <v>892393390</v>
      </c>
      <c r="H141" t="s">
        <v>48</v>
      </c>
      <c r="I141" t="s">
        <v>28</v>
      </c>
      <c r="J141" t="s">
        <v>546</v>
      </c>
      <c r="K141" t="s">
        <v>30</v>
      </c>
      <c r="M141" t="s">
        <v>49</v>
      </c>
      <c r="N141">
        <v>8</v>
      </c>
      <c r="O141" t="s">
        <v>50</v>
      </c>
    </row>
    <row r="142" spans="1:15" x14ac:dyDescent="0.25">
      <c r="A142" t="s">
        <v>4</v>
      </c>
      <c r="B142">
        <v>683478663</v>
      </c>
      <c r="C142" t="s">
        <v>556</v>
      </c>
      <c r="D142" t="s">
        <v>557</v>
      </c>
      <c r="E142">
        <v>678726</v>
      </c>
      <c r="F142" t="s">
        <v>46</v>
      </c>
      <c r="G142">
        <v>536940641</v>
      </c>
      <c r="H142" t="s">
        <v>48</v>
      </c>
      <c r="I142" t="s">
        <v>39</v>
      </c>
      <c r="J142" t="s">
        <v>546</v>
      </c>
      <c r="K142" t="s">
        <v>30</v>
      </c>
      <c r="M142" t="s">
        <v>135</v>
      </c>
      <c r="N142">
        <v>16</v>
      </c>
      <c r="O142" t="s">
        <v>50</v>
      </c>
    </row>
    <row r="143" spans="1:15" x14ac:dyDescent="0.25">
      <c r="A143" t="s">
        <v>4</v>
      </c>
      <c r="B143">
        <v>685004423</v>
      </c>
      <c r="C143" t="s">
        <v>560</v>
      </c>
      <c r="D143" t="s">
        <v>561</v>
      </c>
      <c r="E143">
        <v>884716</v>
      </c>
      <c r="F143" t="s">
        <v>562</v>
      </c>
      <c r="G143">
        <v>439869219</v>
      </c>
      <c r="H143" t="s">
        <v>564</v>
      </c>
      <c r="I143" t="s">
        <v>28</v>
      </c>
      <c r="J143" t="s">
        <v>546</v>
      </c>
      <c r="K143" t="s">
        <v>30</v>
      </c>
      <c r="M143" t="s">
        <v>565</v>
      </c>
      <c r="N143">
        <v>13.2</v>
      </c>
      <c r="O143" t="s">
        <v>42</v>
      </c>
    </row>
    <row r="144" spans="1:15" x14ac:dyDescent="0.25">
      <c r="A144" t="s">
        <v>4</v>
      </c>
      <c r="B144">
        <v>684061797</v>
      </c>
      <c r="C144" t="s">
        <v>567</v>
      </c>
      <c r="D144" t="s">
        <v>568</v>
      </c>
      <c r="E144">
        <v>689390</v>
      </c>
      <c r="F144" t="s">
        <v>36</v>
      </c>
      <c r="G144">
        <v>588549415</v>
      </c>
      <c r="H144" t="s">
        <v>48</v>
      </c>
      <c r="I144" t="s">
        <v>28</v>
      </c>
      <c r="J144" t="s">
        <v>570</v>
      </c>
      <c r="K144" t="s">
        <v>30</v>
      </c>
      <c r="M144" t="s">
        <v>70</v>
      </c>
      <c r="N144">
        <v>9.6</v>
      </c>
      <c r="O144" t="s">
        <v>50</v>
      </c>
    </row>
    <row r="145" spans="1:15" x14ac:dyDescent="0.25">
      <c r="A145" t="s">
        <v>4</v>
      </c>
      <c r="B145">
        <v>683454292</v>
      </c>
      <c r="C145" t="s">
        <v>426</v>
      </c>
      <c r="D145" t="s">
        <v>572</v>
      </c>
      <c r="E145">
        <v>764002</v>
      </c>
      <c r="F145" t="s">
        <v>261</v>
      </c>
      <c r="G145">
        <v>300310162</v>
      </c>
      <c r="H145" t="s">
        <v>27</v>
      </c>
      <c r="I145" t="s">
        <v>181</v>
      </c>
      <c r="J145" t="s">
        <v>515</v>
      </c>
      <c r="K145" t="s">
        <v>30</v>
      </c>
      <c r="M145" t="s">
        <v>182</v>
      </c>
      <c r="N145">
        <v>5.55</v>
      </c>
      <c r="O145" t="s">
        <v>32</v>
      </c>
    </row>
    <row r="146" spans="1:15" x14ac:dyDescent="0.25">
      <c r="A146" t="s">
        <v>4</v>
      </c>
      <c r="B146">
        <v>684613851</v>
      </c>
      <c r="C146" t="s">
        <v>318</v>
      </c>
      <c r="D146" t="s">
        <v>319</v>
      </c>
      <c r="E146">
        <v>678726</v>
      </c>
      <c r="F146" t="s">
        <v>46</v>
      </c>
      <c r="G146">
        <v>428096508</v>
      </c>
      <c r="H146" t="s">
        <v>294</v>
      </c>
      <c r="I146" t="s">
        <v>28</v>
      </c>
      <c r="J146" t="s">
        <v>210</v>
      </c>
      <c r="K146" t="s">
        <v>30</v>
      </c>
      <c r="M146" t="s">
        <v>295</v>
      </c>
      <c r="N146">
        <v>6.48</v>
      </c>
      <c r="O146" t="s">
        <v>42</v>
      </c>
    </row>
    <row r="147" spans="1:15" x14ac:dyDescent="0.25">
      <c r="A147" s="9" t="s">
        <v>575</v>
      </c>
      <c r="N147" s="10">
        <v>1440.98</v>
      </c>
    </row>
    <row r="149" spans="1:15" ht="18.75" x14ac:dyDescent="0.3">
      <c r="A149" s="11" t="s">
        <v>576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2">
        <v>1440.98</v>
      </c>
      <c r="O149" s="11"/>
    </row>
  </sheetData>
  <mergeCells count="1">
    <mergeCell ref="A11:O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136"/>
  <sheetViews>
    <sheetView topLeftCell="A64" workbookViewId="0">
      <selection activeCell="V10" sqref="V10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21" customWidth="1"/>
    <col min="6" max="6" width="8" customWidth="1"/>
    <col min="7" max="8" width="7" customWidth="1"/>
    <col min="9" max="9" width="16" customWidth="1"/>
    <col min="10" max="10" width="24" customWidth="1"/>
    <col min="11" max="11" width="17" customWidth="1"/>
    <col min="12" max="12" width="17" hidden="1" customWidth="1"/>
    <col min="13" max="13" width="12" customWidth="1"/>
    <col min="14" max="14" width="13" customWidth="1"/>
    <col min="15" max="15" width="15" customWidth="1"/>
    <col min="16" max="16" width="11" customWidth="1"/>
    <col min="17" max="17" width="16" hidden="1" customWidth="1"/>
    <col min="18" max="18" width="19" customWidth="1"/>
    <col min="19" max="19" width="18" customWidth="1"/>
    <col min="20" max="20" width="14" customWidth="1"/>
    <col min="21" max="21" width="17" customWidth="1"/>
    <col min="22" max="22" width="39.7109375" bestFit="1" customWidth="1"/>
    <col min="23" max="23" width="23" customWidth="1"/>
    <col min="24" max="24" width="22" hidden="1" customWidth="1"/>
    <col min="25" max="25" width="12" customWidth="1"/>
    <col min="26" max="26" width="30" customWidth="1"/>
    <col min="27" max="27" width="22" customWidth="1"/>
    <col min="28" max="28" width="9" customWidth="1"/>
    <col min="29" max="29" width="18" customWidth="1"/>
    <col min="30" max="30" width="20" customWidth="1"/>
    <col min="31" max="31" width="22" customWidth="1"/>
    <col min="32" max="32" width="21" customWidth="1"/>
    <col min="33" max="33" width="15" customWidth="1"/>
    <col min="34" max="34" width="30" customWidth="1"/>
    <col min="35" max="35" width="20" customWidth="1"/>
    <col min="36" max="36" width="18" customWidth="1"/>
    <col min="37" max="37" width="14" customWidth="1"/>
    <col min="38" max="38" width="21" customWidth="1"/>
    <col min="39" max="40" width="30" customWidth="1"/>
    <col min="41" max="41" width="23" customWidth="1"/>
    <col min="42" max="42" width="8" customWidth="1"/>
    <col min="43" max="43" width="14" customWidth="1"/>
    <col min="44" max="44" width="17" hidden="1" customWidth="1"/>
    <col min="45" max="45" width="13" customWidth="1"/>
    <col min="46" max="84" width="13" hidden="1" customWidth="1"/>
    <col min="85" max="85" width="30" customWidth="1"/>
    <col min="86" max="86" width="16" customWidth="1"/>
    <col min="87" max="87" width="17" customWidth="1"/>
    <col min="88" max="88" width="22" customWidth="1"/>
  </cols>
  <sheetData>
    <row r="1" spans="1:88" x14ac:dyDescent="0.25">
      <c r="A1" s="13" t="s">
        <v>15</v>
      </c>
      <c r="B1" s="13" t="s">
        <v>577</v>
      </c>
      <c r="C1" s="13" t="s">
        <v>578</v>
      </c>
      <c r="D1" s="13" t="s">
        <v>579</v>
      </c>
      <c r="E1" s="13" t="s">
        <v>17</v>
      </c>
      <c r="F1" s="13" t="s">
        <v>580</v>
      </c>
      <c r="G1" s="13" t="s">
        <v>581</v>
      </c>
      <c r="H1" s="13" t="s">
        <v>19</v>
      </c>
      <c r="I1" s="13" t="s">
        <v>582</v>
      </c>
      <c r="J1" s="13" t="s">
        <v>583</v>
      </c>
      <c r="K1" s="13" t="s">
        <v>584</v>
      </c>
      <c r="L1" s="13" t="s">
        <v>585</v>
      </c>
      <c r="M1" s="13" t="s">
        <v>586</v>
      </c>
      <c r="N1" s="13" t="s">
        <v>587</v>
      </c>
      <c r="O1" s="13" t="s">
        <v>588</v>
      </c>
      <c r="P1" s="13" t="s">
        <v>7</v>
      </c>
      <c r="Q1" s="13" t="s">
        <v>589</v>
      </c>
      <c r="R1" s="13" t="s">
        <v>8</v>
      </c>
      <c r="S1" s="13" t="s">
        <v>9</v>
      </c>
      <c r="T1" s="13" t="s">
        <v>590</v>
      </c>
      <c r="U1" s="13" t="s">
        <v>10</v>
      </c>
      <c r="V1" s="13" t="s">
        <v>11</v>
      </c>
      <c r="W1" s="13" t="s">
        <v>591</v>
      </c>
      <c r="X1" s="13" t="s">
        <v>592</v>
      </c>
      <c r="Y1" s="13" t="s">
        <v>593</v>
      </c>
      <c r="Z1" s="13" t="s">
        <v>13</v>
      </c>
      <c r="AA1" s="13" t="s">
        <v>14</v>
      </c>
      <c r="AB1" s="13" t="s">
        <v>594</v>
      </c>
      <c r="AC1" s="13" t="s">
        <v>595</v>
      </c>
      <c r="AD1" s="13" t="s">
        <v>596</v>
      </c>
      <c r="AE1" s="13" t="s">
        <v>597</v>
      </c>
      <c r="AF1" s="13" t="s">
        <v>598</v>
      </c>
      <c r="AG1" s="13" t="s">
        <v>12</v>
      </c>
      <c r="AH1" s="13" t="s">
        <v>599</v>
      </c>
      <c r="AI1" s="13" t="s">
        <v>600</v>
      </c>
      <c r="AJ1" s="13" t="s">
        <v>16</v>
      </c>
      <c r="AK1" s="13" t="s">
        <v>601</v>
      </c>
      <c r="AL1" s="13" t="s">
        <v>602</v>
      </c>
      <c r="AM1" s="13" t="s">
        <v>603</v>
      </c>
      <c r="AN1" s="13" t="s">
        <v>604</v>
      </c>
      <c r="AO1" s="13" t="s">
        <v>18</v>
      </c>
      <c r="AP1" s="13" t="s">
        <v>20</v>
      </c>
      <c r="AQ1" s="13" t="s">
        <v>605</v>
      </c>
      <c r="AR1" s="13" t="s">
        <v>606</v>
      </c>
      <c r="AS1" s="13" t="s">
        <v>6</v>
      </c>
      <c r="AT1" s="13" t="s">
        <v>607</v>
      </c>
      <c r="AU1" s="13" t="s">
        <v>608</v>
      </c>
      <c r="AV1" s="13" t="s">
        <v>609</v>
      </c>
      <c r="AW1" s="13" t="s">
        <v>610</v>
      </c>
      <c r="AX1" s="13" t="s">
        <v>611</v>
      </c>
      <c r="AY1" s="13" t="s">
        <v>612</v>
      </c>
      <c r="AZ1" s="13" t="s">
        <v>613</v>
      </c>
      <c r="BA1" s="13" t="s">
        <v>614</v>
      </c>
      <c r="BB1" s="13" t="s">
        <v>615</v>
      </c>
      <c r="BC1" s="13" t="s">
        <v>616</v>
      </c>
      <c r="BD1" s="13" t="s">
        <v>617</v>
      </c>
      <c r="BE1" s="13" t="s">
        <v>618</v>
      </c>
      <c r="BF1" s="13" t="s">
        <v>619</v>
      </c>
      <c r="BG1" s="13" t="s">
        <v>620</v>
      </c>
      <c r="BH1" s="13" t="s">
        <v>621</v>
      </c>
      <c r="BI1" s="13" t="s">
        <v>622</v>
      </c>
      <c r="BJ1" s="13" t="s">
        <v>623</v>
      </c>
      <c r="BK1" s="13" t="s">
        <v>624</v>
      </c>
      <c r="BL1" s="13" t="s">
        <v>625</v>
      </c>
      <c r="BM1" s="13" t="s">
        <v>626</v>
      </c>
      <c r="BN1" s="13" t="s">
        <v>627</v>
      </c>
      <c r="BO1" s="13" t="s">
        <v>628</v>
      </c>
      <c r="BP1" s="13" t="s">
        <v>629</v>
      </c>
      <c r="BQ1" s="13" t="s">
        <v>630</v>
      </c>
      <c r="BR1" s="13" t="s">
        <v>631</v>
      </c>
      <c r="BS1" s="13" t="s">
        <v>632</v>
      </c>
      <c r="BT1" s="13" t="s">
        <v>633</v>
      </c>
      <c r="BU1" s="13" t="s">
        <v>634</v>
      </c>
      <c r="BV1" s="13" t="s">
        <v>635</v>
      </c>
      <c r="BW1" s="13" t="s">
        <v>636</v>
      </c>
      <c r="BX1" s="13" t="s">
        <v>637</v>
      </c>
      <c r="BY1" s="13" t="s">
        <v>638</v>
      </c>
      <c r="BZ1" s="13" t="s">
        <v>639</v>
      </c>
      <c r="CA1" s="13" t="s">
        <v>640</v>
      </c>
      <c r="CB1" s="13" t="s">
        <v>641</v>
      </c>
      <c r="CC1" s="13" t="s">
        <v>642</v>
      </c>
      <c r="CD1" s="13" t="s">
        <v>643</v>
      </c>
      <c r="CE1" s="13" t="s">
        <v>644</v>
      </c>
      <c r="CF1" s="13" t="s">
        <v>645</v>
      </c>
      <c r="CG1" s="13" t="s">
        <v>646</v>
      </c>
      <c r="CH1" s="13" t="s">
        <v>647</v>
      </c>
      <c r="CI1" s="13" t="s">
        <v>648</v>
      </c>
      <c r="CJ1" s="13" t="s">
        <v>649</v>
      </c>
    </row>
    <row r="2" spans="1:88" x14ac:dyDescent="0.25">
      <c r="A2" t="s">
        <v>29</v>
      </c>
      <c r="B2" t="s">
        <v>650</v>
      </c>
      <c r="C2" t="s">
        <v>651</v>
      </c>
      <c r="D2" t="s">
        <v>652</v>
      </c>
      <c r="F2">
        <v>4.07</v>
      </c>
      <c r="G2">
        <v>0</v>
      </c>
      <c r="H2" s="14">
        <v>4.07</v>
      </c>
      <c r="I2">
        <v>653470</v>
      </c>
      <c r="J2" t="s">
        <v>274</v>
      </c>
      <c r="K2" t="s">
        <v>653</v>
      </c>
      <c r="M2" t="s">
        <v>654</v>
      </c>
      <c r="N2" t="s">
        <v>655</v>
      </c>
      <c r="O2" t="s">
        <v>656</v>
      </c>
      <c r="P2" t="s">
        <v>22</v>
      </c>
      <c r="R2" t="s">
        <v>23</v>
      </c>
      <c r="S2" t="s">
        <v>24</v>
      </c>
      <c r="T2" t="s">
        <v>657</v>
      </c>
      <c r="U2">
        <v>657149</v>
      </c>
      <c r="V2" t="s">
        <v>25</v>
      </c>
      <c r="W2" t="s">
        <v>658</v>
      </c>
      <c r="Y2">
        <v>38593</v>
      </c>
      <c r="Z2" t="s">
        <v>27</v>
      </c>
      <c r="AA2" t="s">
        <v>28</v>
      </c>
      <c r="AB2" t="s">
        <v>659</v>
      </c>
      <c r="AC2" t="s">
        <v>660</v>
      </c>
      <c r="AD2" t="s">
        <v>661</v>
      </c>
      <c r="AE2" t="s">
        <v>662</v>
      </c>
      <c r="AF2" t="s">
        <v>663</v>
      </c>
      <c r="AG2" t="s">
        <v>26</v>
      </c>
      <c r="AH2" t="s">
        <v>664</v>
      </c>
      <c r="AI2" t="s">
        <v>665</v>
      </c>
      <c r="AJ2" t="s">
        <v>30</v>
      </c>
      <c r="AK2" t="s">
        <v>666</v>
      </c>
      <c r="AL2">
        <v>19</v>
      </c>
      <c r="AM2" t="s">
        <v>667</v>
      </c>
      <c r="AN2" t="s">
        <v>668</v>
      </c>
      <c r="AO2" s="14">
        <v>11</v>
      </c>
      <c r="AP2" t="s">
        <v>32</v>
      </c>
      <c r="AQ2">
        <v>1430539618</v>
      </c>
      <c r="AS2" t="s">
        <v>4</v>
      </c>
      <c r="CG2" t="s">
        <v>31</v>
      </c>
      <c r="CH2">
        <v>4.07</v>
      </c>
      <c r="CI2" t="s">
        <v>32</v>
      </c>
      <c r="CJ2" t="s">
        <v>29</v>
      </c>
    </row>
    <row r="3" spans="1:88" x14ac:dyDescent="0.25">
      <c r="A3" t="s">
        <v>29</v>
      </c>
      <c r="B3" t="s">
        <v>650</v>
      </c>
      <c r="C3" t="s">
        <v>651</v>
      </c>
      <c r="D3" t="s">
        <v>652</v>
      </c>
      <c r="F3">
        <v>8</v>
      </c>
      <c r="G3">
        <v>0</v>
      </c>
      <c r="H3" s="14">
        <v>8</v>
      </c>
      <c r="I3">
        <v>653470</v>
      </c>
      <c r="J3" t="s">
        <v>274</v>
      </c>
      <c r="K3" t="s">
        <v>653</v>
      </c>
      <c r="M3" t="s">
        <v>654</v>
      </c>
      <c r="N3" t="s">
        <v>655</v>
      </c>
      <c r="O3" t="s">
        <v>656</v>
      </c>
      <c r="P3" t="s">
        <v>437</v>
      </c>
      <c r="R3" t="s">
        <v>438</v>
      </c>
      <c r="S3" t="s">
        <v>439</v>
      </c>
      <c r="T3" t="s">
        <v>657</v>
      </c>
      <c r="U3">
        <v>678726</v>
      </c>
      <c r="V3" t="s">
        <v>46</v>
      </c>
      <c r="W3" t="s">
        <v>658</v>
      </c>
      <c r="Y3">
        <v>45041</v>
      </c>
      <c r="Z3" t="s">
        <v>48</v>
      </c>
      <c r="AA3" t="s">
        <v>28</v>
      </c>
      <c r="AB3" t="s">
        <v>659</v>
      </c>
      <c r="AC3" t="s">
        <v>669</v>
      </c>
      <c r="AD3" t="s">
        <v>670</v>
      </c>
      <c r="AE3" t="s">
        <v>671</v>
      </c>
      <c r="AF3" t="s">
        <v>672</v>
      </c>
      <c r="AG3" t="s">
        <v>440</v>
      </c>
      <c r="AH3" t="s">
        <v>673</v>
      </c>
      <c r="AI3" t="s">
        <v>129</v>
      </c>
      <c r="AJ3" t="s">
        <v>30</v>
      </c>
      <c r="AK3" t="s">
        <v>666</v>
      </c>
      <c r="AL3">
        <v>12</v>
      </c>
      <c r="AM3" t="s">
        <v>667</v>
      </c>
      <c r="AN3" t="s">
        <v>668</v>
      </c>
      <c r="AO3" s="14">
        <v>25</v>
      </c>
      <c r="AP3" t="s">
        <v>50</v>
      </c>
      <c r="AQ3">
        <v>1430537320</v>
      </c>
      <c r="AS3" t="s">
        <v>4</v>
      </c>
      <c r="CG3" t="s">
        <v>49</v>
      </c>
      <c r="CH3">
        <v>8</v>
      </c>
      <c r="CI3" t="s">
        <v>50</v>
      </c>
      <c r="CJ3" t="s">
        <v>29</v>
      </c>
    </row>
    <row r="4" spans="1:88" x14ac:dyDescent="0.25">
      <c r="A4" t="s">
        <v>29</v>
      </c>
      <c r="B4" t="s">
        <v>650</v>
      </c>
      <c r="C4" t="s">
        <v>651</v>
      </c>
      <c r="D4" t="s">
        <v>652</v>
      </c>
      <c r="F4">
        <v>8</v>
      </c>
      <c r="G4">
        <v>0</v>
      </c>
      <c r="H4" s="14">
        <v>8</v>
      </c>
      <c r="I4">
        <v>653470</v>
      </c>
      <c r="J4" t="s">
        <v>274</v>
      </c>
      <c r="K4" t="s">
        <v>653</v>
      </c>
      <c r="M4" t="s">
        <v>654</v>
      </c>
      <c r="N4" t="s">
        <v>655</v>
      </c>
      <c r="O4" t="s">
        <v>656</v>
      </c>
      <c r="P4" t="s">
        <v>433</v>
      </c>
      <c r="R4" t="s">
        <v>434</v>
      </c>
      <c r="S4" t="s">
        <v>435</v>
      </c>
      <c r="T4" t="s">
        <v>657</v>
      </c>
      <c r="U4">
        <v>678726</v>
      </c>
      <c r="V4" t="s">
        <v>46</v>
      </c>
      <c r="W4" t="s">
        <v>658</v>
      </c>
      <c r="Y4">
        <v>45041</v>
      </c>
      <c r="Z4" t="s">
        <v>48</v>
      </c>
      <c r="AA4" t="s">
        <v>28</v>
      </c>
      <c r="AB4" t="s">
        <v>659</v>
      </c>
      <c r="AC4" t="s">
        <v>669</v>
      </c>
      <c r="AD4" t="s">
        <v>670</v>
      </c>
      <c r="AE4" t="s">
        <v>674</v>
      </c>
      <c r="AF4" t="s">
        <v>675</v>
      </c>
      <c r="AG4" t="s">
        <v>436</v>
      </c>
      <c r="AH4" t="s">
        <v>676</v>
      </c>
      <c r="AI4" t="s">
        <v>129</v>
      </c>
      <c r="AJ4" t="s">
        <v>30</v>
      </c>
      <c r="AK4" t="s">
        <v>666</v>
      </c>
      <c r="AL4">
        <v>7</v>
      </c>
      <c r="AM4" t="s">
        <v>667</v>
      </c>
      <c r="AN4" t="s">
        <v>668</v>
      </c>
      <c r="AO4" s="14">
        <v>25</v>
      </c>
      <c r="AP4" t="s">
        <v>50</v>
      </c>
      <c r="AQ4">
        <v>1430534948</v>
      </c>
      <c r="AS4" t="s">
        <v>4</v>
      </c>
      <c r="CG4" t="s">
        <v>49</v>
      </c>
      <c r="CH4">
        <v>8</v>
      </c>
      <c r="CI4" t="s">
        <v>50</v>
      </c>
      <c r="CJ4" t="s">
        <v>29</v>
      </c>
    </row>
    <row r="5" spans="1:88" x14ac:dyDescent="0.25">
      <c r="A5" t="s">
        <v>29</v>
      </c>
      <c r="B5" t="s">
        <v>650</v>
      </c>
      <c r="C5" t="s">
        <v>651</v>
      </c>
      <c r="D5" t="s">
        <v>652</v>
      </c>
      <c r="F5">
        <v>0.6</v>
      </c>
      <c r="G5">
        <v>0</v>
      </c>
      <c r="H5" s="14">
        <v>0.6</v>
      </c>
      <c r="I5">
        <v>653470</v>
      </c>
      <c r="J5" t="s">
        <v>274</v>
      </c>
      <c r="K5" t="s">
        <v>653</v>
      </c>
      <c r="M5" t="s">
        <v>654</v>
      </c>
      <c r="N5" t="s">
        <v>655</v>
      </c>
      <c r="O5" t="s">
        <v>656</v>
      </c>
      <c r="P5" t="s">
        <v>429</v>
      </c>
      <c r="R5" t="s">
        <v>430</v>
      </c>
      <c r="S5" t="s">
        <v>431</v>
      </c>
      <c r="T5" t="s">
        <v>655</v>
      </c>
      <c r="U5">
        <v>711419</v>
      </c>
      <c r="V5" t="s">
        <v>226</v>
      </c>
      <c r="W5" t="s">
        <v>658</v>
      </c>
      <c r="Y5">
        <v>38593</v>
      </c>
      <c r="Z5" t="s">
        <v>27</v>
      </c>
      <c r="AA5" t="s">
        <v>106</v>
      </c>
      <c r="AB5" t="s">
        <v>659</v>
      </c>
      <c r="AC5" t="s">
        <v>660</v>
      </c>
      <c r="AD5" t="s">
        <v>661</v>
      </c>
      <c r="AE5" t="s">
        <v>677</v>
      </c>
      <c r="AF5" t="s">
        <v>210</v>
      </c>
      <c r="AG5" t="s">
        <v>432</v>
      </c>
      <c r="AH5" t="s">
        <v>678</v>
      </c>
      <c r="AI5" t="s">
        <v>679</v>
      </c>
      <c r="AJ5" t="s">
        <v>30</v>
      </c>
      <c r="AK5" t="s">
        <v>680</v>
      </c>
      <c r="AL5">
        <v>2</v>
      </c>
      <c r="AM5" t="s">
        <v>667</v>
      </c>
      <c r="AN5" t="s">
        <v>668</v>
      </c>
      <c r="AO5" s="14">
        <v>20</v>
      </c>
      <c r="AP5" t="s">
        <v>130</v>
      </c>
      <c r="AQ5">
        <v>1430527771</v>
      </c>
      <c r="AS5" t="s">
        <v>4</v>
      </c>
      <c r="CG5" t="s">
        <v>205</v>
      </c>
      <c r="CH5">
        <v>0.6</v>
      </c>
      <c r="CI5" t="s">
        <v>130</v>
      </c>
      <c r="CJ5" t="s">
        <v>29</v>
      </c>
    </row>
    <row r="6" spans="1:88" x14ac:dyDescent="0.25">
      <c r="A6" t="s">
        <v>409</v>
      </c>
      <c r="B6" t="s">
        <v>650</v>
      </c>
      <c r="C6" t="s">
        <v>651</v>
      </c>
      <c r="D6" t="s">
        <v>652</v>
      </c>
      <c r="F6">
        <v>16</v>
      </c>
      <c r="G6">
        <v>0</v>
      </c>
      <c r="H6" s="14">
        <v>16</v>
      </c>
      <c r="I6">
        <v>653470</v>
      </c>
      <c r="J6" t="s">
        <v>274</v>
      </c>
      <c r="K6" t="s">
        <v>653</v>
      </c>
      <c r="M6" t="s">
        <v>654</v>
      </c>
      <c r="N6" t="s">
        <v>655</v>
      </c>
      <c r="O6" t="s">
        <v>656</v>
      </c>
      <c r="P6" t="s">
        <v>425</v>
      </c>
      <c r="R6" t="s">
        <v>426</v>
      </c>
      <c r="S6" t="s">
        <v>427</v>
      </c>
      <c r="T6" t="s">
        <v>657</v>
      </c>
      <c r="U6">
        <v>678726</v>
      </c>
      <c r="V6" t="s">
        <v>46</v>
      </c>
      <c r="W6" t="s">
        <v>658</v>
      </c>
      <c r="Y6">
        <v>45041</v>
      </c>
      <c r="Z6" t="s">
        <v>48</v>
      </c>
      <c r="AA6" t="s">
        <v>39</v>
      </c>
      <c r="AB6" t="s">
        <v>659</v>
      </c>
      <c r="AC6" t="s">
        <v>669</v>
      </c>
      <c r="AD6" t="s">
        <v>670</v>
      </c>
      <c r="AE6" t="s">
        <v>681</v>
      </c>
      <c r="AF6" t="s">
        <v>682</v>
      </c>
      <c r="AG6" t="s">
        <v>428</v>
      </c>
      <c r="AH6" t="s">
        <v>683</v>
      </c>
      <c r="AI6" t="s">
        <v>684</v>
      </c>
      <c r="AJ6" t="s">
        <v>30</v>
      </c>
      <c r="AK6" t="s">
        <v>666</v>
      </c>
      <c r="AL6">
        <v>9</v>
      </c>
      <c r="AM6" t="s">
        <v>667</v>
      </c>
      <c r="AN6" t="s">
        <v>668</v>
      </c>
      <c r="AO6" s="14">
        <v>50</v>
      </c>
      <c r="AP6" t="s">
        <v>50</v>
      </c>
      <c r="AQ6">
        <v>1430551247</v>
      </c>
      <c r="AS6" t="s">
        <v>4</v>
      </c>
      <c r="CG6" t="s">
        <v>135</v>
      </c>
      <c r="CH6">
        <v>16</v>
      </c>
      <c r="CI6" t="s">
        <v>50</v>
      </c>
      <c r="CJ6" t="s">
        <v>409</v>
      </c>
    </row>
    <row r="7" spans="1:88" x14ac:dyDescent="0.25">
      <c r="A7" t="s">
        <v>409</v>
      </c>
      <c r="B7" t="s">
        <v>650</v>
      </c>
      <c r="C7" t="s">
        <v>651</v>
      </c>
      <c r="D7" t="s">
        <v>652</v>
      </c>
      <c r="F7">
        <v>8</v>
      </c>
      <c r="G7">
        <v>0</v>
      </c>
      <c r="H7" s="14">
        <v>8</v>
      </c>
      <c r="I7">
        <v>653470</v>
      </c>
      <c r="J7" t="s">
        <v>274</v>
      </c>
      <c r="K7" t="s">
        <v>653</v>
      </c>
      <c r="M7" t="s">
        <v>654</v>
      </c>
      <c r="N7" t="s">
        <v>655</v>
      </c>
      <c r="O7" t="s">
        <v>656</v>
      </c>
      <c r="P7" t="s">
        <v>420</v>
      </c>
      <c r="R7" t="s">
        <v>421</v>
      </c>
      <c r="S7" t="s">
        <v>422</v>
      </c>
      <c r="T7" t="s">
        <v>657</v>
      </c>
      <c r="U7">
        <v>678726</v>
      </c>
      <c r="V7" t="s">
        <v>46</v>
      </c>
      <c r="W7" t="s">
        <v>658</v>
      </c>
      <c r="Y7">
        <v>45041</v>
      </c>
      <c r="Z7" t="s">
        <v>48</v>
      </c>
      <c r="AA7" t="s">
        <v>28</v>
      </c>
      <c r="AB7" t="s">
        <v>659</v>
      </c>
      <c r="AC7" t="s">
        <v>669</v>
      </c>
      <c r="AD7" t="s">
        <v>670</v>
      </c>
      <c r="AE7" t="s">
        <v>685</v>
      </c>
      <c r="AF7" t="s">
        <v>672</v>
      </c>
      <c r="AG7" t="s">
        <v>424</v>
      </c>
      <c r="AH7" t="s">
        <v>686</v>
      </c>
      <c r="AI7" t="s">
        <v>687</v>
      </c>
      <c r="AJ7" t="s">
        <v>30</v>
      </c>
      <c r="AK7" t="s">
        <v>680</v>
      </c>
      <c r="AL7">
        <v>12</v>
      </c>
      <c r="AM7" t="s">
        <v>667</v>
      </c>
      <c r="AN7" t="s">
        <v>668</v>
      </c>
      <c r="AO7" s="14">
        <v>25</v>
      </c>
      <c r="AP7" t="s">
        <v>50</v>
      </c>
      <c r="AQ7">
        <v>1430578840</v>
      </c>
      <c r="AS7" t="s">
        <v>4</v>
      </c>
      <c r="CG7" t="s">
        <v>49</v>
      </c>
      <c r="CH7">
        <v>8</v>
      </c>
      <c r="CI7" t="s">
        <v>50</v>
      </c>
      <c r="CJ7" t="s">
        <v>409</v>
      </c>
    </row>
    <row r="8" spans="1:88" x14ac:dyDescent="0.25">
      <c r="A8" t="s">
        <v>409</v>
      </c>
      <c r="B8" t="s">
        <v>650</v>
      </c>
      <c r="C8" t="s">
        <v>651</v>
      </c>
      <c r="D8" t="s">
        <v>652</v>
      </c>
      <c r="F8">
        <v>4.07</v>
      </c>
      <c r="G8">
        <v>0</v>
      </c>
      <c r="H8" s="14">
        <v>4.07</v>
      </c>
      <c r="I8">
        <v>653470</v>
      </c>
      <c r="J8" t="s">
        <v>274</v>
      </c>
      <c r="K8" t="s">
        <v>653</v>
      </c>
      <c r="M8" t="s">
        <v>654</v>
      </c>
      <c r="N8" t="s">
        <v>655</v>
      </c>
      <c r="O8" t="s">
        <v>656</v>
      </c>
      <c r="P8" t="s">
        <v>420</v>
      </c>
      <c r="R8" t="s">
        <v>421</v>
      </c>
      <c r="S8" t="s">
        <v>422</v>
      </c>
      <c r="T8" t="s">
        <v>657</v>
      </c>
      <c r="U8">
        <v>678726</v>
      </c>
      <c r="V8" t="s">
        <v>46</v>
      </c>
      <c r="W8" t="s">
        <v>658</v>
      </c>
      <c r="Y8">
        <v>38593</v>
      </c>
      <c r="Z8" t="s">
        <v>27</v>
      </c>
      <c r="AA8" t="s">
        <v>28</v>
      </c>
      <c r="AB8" t="s">
        <v>659</v>
      </c>
      <c r="AC8" t="s">
        <v>660</v>
      </c>
      <c r="AD8" t="s">
        <v>661</v>
      </c>
      <c r="AE8" t="s">
        <v>685</v>
      </c>
      <c r="AF8" t="s">
        <v>672</v>
      </c>
      <c r="AG8" t="s">
        <v>423</v>
      </c>
      <c r="AH8" t="s">
        <v>686</v>
      </c>
      <c r="AI8" t="s">
        <v>687</v>
      </c>
      <c r="AJ8" t="s">
        <v>30</v>
      </c>
      <c r="AK8" t="s">
        <v>680</v>
      </c>
      <c r="AL8">
        <v>12</v>
      </c>
      <c r="AM8" t="s">
        <v>667</v>
      </c>
      <c r="AN8" t="s">
        <v>668</v>
      </c>
      <c r="AO8" s="14">
        <v>11</v>
      </c>
      <c r="AP8" t="s">
        <v>32</v>
      </c>
      <c r="AQ8">
        <v>1430578846</v>
      </c>
      <c r="AS8" t="s">
        <v>4</v>
      </c>
      <c r="CG8" t="s">
        <v>31</v>
      </c>
      <c r="CH8">
        <v>4.07</v>
      </c>
      <c r="CI8" t="s">
        <v>32</v>
      </c>
      <c r="CJ8" t="s">
        <v>409</v>
      </c>
    </row>
    <row r="9" spans="1:88" x14ac:dyDescent="0.25">
      <c r="A9" t="s">
        <v>409</v>
      </c>
      <c r="B9" t="s">
        <v>650</v>
      </c>
      <c r="C9" t="s">
        <v>651</v>
      </c>
      <c r="D9" t="s">
        <v>652</v>
      </c>
      <c r="F9">
        <v>14.4</v>
      </c>
      <c r="G9">
        <v>0</v>
      </c>
      <c r="H9" s="14">
        <v>14.4</v>
      </c>
      <c r="I9">
        <v>653470</v>
      </c>
      <c r="J9" t="s">
        <v>274</v>
      </c>
      <c r="K9" t="s">
        <v>653</v>
      </c>
      <c r="M9" t="s">
        <v>654</v>
      </c>
      <c r="N9" t="s">
        <v>655</v>
      </c>
      <c r="O9" t="s">
        <v>656</v>
      </c>
      <c r="P9" t="s">
        <v>416</v>
      </c>
      <c r="R9" t="s">
        <v>417</v>
      </c>
      <c r="S9" t="s">
        <v>418</v>
      </c>
      <c r="T9" t="s">
        <v>655</v>
      </c>
      <c r="U9">
        <v>689390</v>
      </c>
      <c r="V9" t="s">
        <v>36</v>
      </c>
      <c r="W9" t="s">
        <v>658</v>
      </c>
      <c r="Y9">
        <v>38399</v>
      </c>
      <c r="Z9" t="s">
        <v>157</v>
      </c>
      <c r="AA9" t="s">
        <v>28</v>
      </c>
      <c r="AB9" t="s">
        <v>659</v>
      </c>
      <c r="AC9" t="s">
        <v>669</v>
      </c>
      <c r="AD9" t="s">
        <v>670</v>
      </c>
      <c r="AE9" t="s">
        <v>688</v>
      </c>
      <c r="AF9" t="s">
        <v>689</v>
      </c>
      <c r="AG9" t="s">
        <v>419</v>
      </c>
      <c r="AH9" t="s">
        <v>690</v>
      </c>
      <c r="AI9" t="s">
        <v>691</v>
      </c>
      <c r="AJ9" t="s">
        <v>30</v>
      </c>
      <c r="AK9" t="s">
        <v>680</v>
      </c>
      <c r="AL9">
        <v>23</v>
      </c>
      <c r="AM9" t="s">
        <v>667</v>
      </c>
      <c r="AN9" t="s">
        <v>668</v>
      </c>
      <c r="AO9" s="14">
        <v>60</v>
      </c>
      <c r="AP9" t="s">
        <v>42</v>
      </c>
      <c r="AQ9">
        <v>1430568573</v>
      </c>
      <c r="AS9" t="s">
        <v>4</v>
      </c>
      <c r="CG9" t="s">
        <v>113</v>
      </c>
      <c r="CH9">
        <v>14.4</v>
      </c>
      <c r="CI9" t="s">
        <v>42</v>
      </c>
      <c r="CJ9" t="s">
        <v>409</v>
      </c>
    </row>
    <row r="10" spans="1:88" x14ac:dyDescent="0.25">
      <c r="A10" t="s">
        <v>409</v>
      </c>
      <c r="B10" t="s">
        <v>650</v>
      </c>
      <c r="C10" t="s">
        <v>651</v>
      </c>
      <c r="D10" t="s">
        <v>652</v>
      </c>
      <c r="F10">
        <v>29.44</v>
      </c>
      <c r="G10">
        <v>0</v>
      </c>
      <c r="H10" s="14">
        <v>29.44</v>
      </c>
      <c r="I10">
        <v>653470</v>
      </c>
      <c r="J10" t="s">
        <v>274</v>
      </c>
      <c r="K10" t="s">
        <v>653</v>
      </c>
      <c r="M10" t="s">
        <v>654</v>
      </c>
      <c r="N10" t="s">
        <v>655</v>
      </c>
      <c r="O10" t="s">
        <v>656</v>
      </c>
      <c r="P10" t="s">
        <v>410</v>
      </c>
      <c r="R10" t="s">
        <v>411</v>
      </c>
      <c r="S10" t="s">
        <v>412</v>
      </c>
      <c r="T10" t="s">
        <v>657</v>
      </c>
      <c r="U10">
        <v>678726</v>
      </c>
      <c r="V10" t="s">
        <v>46</v>
      </c>
      <c r="W10" t="s">
        <v>658</v>
      </c>
      <c r="Y10">
        <v>45041</v>
      </c>
      <c r="Z10" t="s">
        <v>48</v>
      </c>
      <c r="AA10" t="s">
        <v>106</v>
      </c>
      <c r="AB10" t="s">
        <v>659</v>
      </c>
      <c r="AC10" t="s">
        <v>669</v>
      </c>
      <c r="AD10" t="s">
        <v>670</v>
      </c>
      <c r="AE10" t="s">
        <v>692</v>
      </c>
      <c r="AF10" t="s">
        <v>682</v>
      </c>
      <c r="AG10" t="s">
        <v>414</v>
      </c>
      <c r="AH10" t="s">
        <v>693</v>
      </c>
      <c r="AI10" t="s">
        <v>694</v>
      </c>
      <c r="AJ10" t="s">
        <v>30</v>
      </c>
      <c r="AK10" t="s">
        <v>680</v>
      </c>
      <c r="AL10">
        <v>9</v>
      </c>
      <c r="AM10" t="s">
        <v>667</v>
      </c>
      <c r="AN10" t="s">
        <v>668</v>
      </c>
      <c r="AO10" s="14">
        <v>92</v>
      </c>
      <c r="AP10" t="s">
        <v>50</v>
      </c>
      <c r="AQ10">
        <v>1430567166</v>
      </c>
      <c r="AS10" t="s">
        <v>4</v>
      </c>
      <c r="CG10" t="s">
        <v>415</v>
      </c>
      <c r="CH10">
        <v>29.44</v>
      </c>
      <c r="CI10" t="s">
        <v>50</v>
      </c>
      <c r="CJ10" t="s">
        <v>409</v>
      </c>
    </row>
    <row r="11" spans="1:88" x14ac:dyDescent="0.25">
      <c r="A11" t="s">
        <v>409</v>
      </c>
      <c r="B11" t="s">
        <v>650</v>
      </c>
      <c r="C11" t="s">
        <v>651</v>
      </c>
      <c r="D11" t="s">
        <v>652</v>
      </c>
      <c r="F11">
        <v>7.4</v>
      </c>
      <c r="G11">
        <v>0</v>
      </c>
      <c r="H11" s="14">
        <v>7.4</v>
      </c>
      <c r="I11">
        <v>653470</v>
      </c>
      <c r="J11" t="s">
        <v>274</v>
      </c>
      <c r="K11" t="s">
        <v>653</v>
      </c>
      <c r="M11" t="s">
        <v>654</v>
      </c>
      <c r="N11" t="s">
        <v>655</v>
      </c>
      <c r="O11" t="s">
        <v>656</v>
      </c>
      <c r="P11" t="s">
        <v>410</v>
      </c>
      <c r="R11" t="s">
        <v>411</v>
      </c>
      <c r="S11" t="s">
        <v>412</v>
      </c>
      <c r="T11" t="s">
        <v>657</v>
      </c>
      <c r="U11">
        <v>678726</v>
      </c>
      <c r="V11" t="s">
        <v>46</v>
      </c>
      <c r="W11" t="s">
        <v>658</v>
      </c>
      <c r="Y11">
        <v>38593</v>
      </c>
      <c r="Z11" t="s">
        <v>27</v>
      </c>
      <c r="AA11" t="s">
        <v>106</v>
      </c>
      <c r="AB11" t="s">
        <v>659</v>
      </c>
      <c r="AC11" t="s">
        <v>660</v>
      </c>
      <c r="AD11" t="s">
        <v>661</v>
      </c>
      <c r="AE11" t="s">
        <v>692</v>
      </c>
      <c r="AF11" t="s">
        <v>682</v>
      </c>
      <c r="AG11" t="s">
        <v>413</v>
      </c>
      <c r="AH11" t="s">
        <v>693</v>
      </c>
      <c r="AI11" t="s">
        <v>694</v>
      </c>
      <c r="AJ11" t="s">
        <v>30</v>
      </c>
      <c r="AK11" t="s">
        <v>680</v>
      </c>
      <c r="AL11">
        <v>9</v>
      </c>
      <c r="AM11" t="s">
        <v>667</v>
      </c>
      <c r="AN11" t="s">
        <v>668</v>
      </c>
      <c r="AO11" s="14">
        <v>20</v>
      </c>
      <c r="AP11" t="s">
        <v>32</v>
      </c>
      <c r="AQ11">
        <v>1430567168</v>
      </c>
      <c r="AS11" t="s">
        <v>4</v>
      </c>
      <c r="CG11" t="s">
        <v>205</v>
      </c>
      <c r="CH11">
        <v>7.4</v>
      </c>
      <c r="CI11" t="s">
        <v>32</v>
      </c>
      <c r="CJ11" t="s">
        <v>409</v>
      </c>
    </row>
    <row r="12" spans="1:88" x14ac:dyDescent="0.25">
      <c r="A12" t="s">
        <v>409</v>
      </c>
      <c r="B12" t="s">
        <v>650</v>
      </c>
      <c r="C12" t="s">
        <v>651</v>
      </c>
      <c r="D12" t="s">
        <v>652</v>
      </c>
      <c r="F12">
        <v>4.07</v>
      </c>
      <c r="G12">
        <v>0</v>
      </c>
      <c r="H12" s="14">
        <v>4.07</v>
      </c>
      <c r="I12">
        <v>653470</v>
      </c>
      <c r="J12" t="s">
        <v>274</v>
      </c>
      <c r="K12" t="s">
        <v>653</v>
      </c>
      <c r="M12" t="s">
        <v>654</v>
      </c>
      <c r="N12" t="s">
        <v>655</v>
      </c>
      <c r="O12" t="s">
        <v>656</v>
      </c>
      <c r="P12" t="s">
        <v>405</v>
      </c>
      <c r="R12" t="s">
        <v>406</v>
      </c>
      <c r="S12" t="s">
        <v>407</v>
      </c>
      <c r="T12" t="s">
        <v>657</v>
      </c>
      <c r="U12">
        <v>798992</v>
      </c>
      <c r="V12" t="s">
        <v>54</v>
      </c>
      <c r="W12" t="s">
        <v>658</v>
      </c>
      <c r="Y12">
        <v>38593</v>
      </c>
      <c r="Z12" t="s">
        <v>27</v>
      </c>
      <c r="AA12" t="s">
        <v>28</v>
      </c>
      <c r="AB12" t="s">
        <v>659</v>
      </c>
      <c r="AC12" t="s">
        <v>660</v>
      </c>
      <c r="AD12" t="s">
        <v>661</v>
      </c>
      <c r="AE12" t="s">
        <v>695</v>
      </c>
      <c r="AF12" t="s">
        <v>210</v>
      </c>
      <c r="AG12" t="s">
        <v>408</v>
      </c>
      <c r="AH12" t="s">
        <v>696</v>
      </c>
      <c r="AI12" t="s">
        <v>697</v>
      </c>
      <c r="AJ12" t="s">
        <v>30</v>
      </c>
      <c r="AK12" t="s">
        <v>680</v>
      </c>
      <c r="AL12">
        <v>2</v>
      </c>
      <c r="AM12" t="s">
        <v>667</v>
      </c>
      <c r="AN12" t="s">
        <v>668</v>
      </c>
      <c r="AO12" s="14">
        <v>11</v>
      </c>
      <c r="AP12" t="s">
        <v>32</v>
      </c>
      <c r="AQ12">
        <v>1430550803</v>
      </c>
      <c r="AS12" t="s">
        <v>4</v>
      </c>
      <c r="CG12" t="s">
        <v>31</v>
      </c>
      <c r="CH12">
        <v>4.07</v>
      </c>
      <c r="CI12" t="s">
        <v>32</v>
      </c>
      <c r="CJ12" t="s">
        <v>409</v>
      </c>
    </row>
    <row r="13" spans="1:88" x14ac:dyDescent="0.25">
      <c r="A13" t="s">
        <v>403</v>
      </c>
      <c r="B13" t="s">
        <v>650</v>
      </c>
      <c r="C13" t="s">
        <v>651</v>
      </c>
      <c r="D13" t="s">
        <v>652</v>
      </c>
      <c r="F13">
        <v>17.760000000000002</v>
      </c>
      <c r="G13">
        <v>0</v>
      </c>
      <c r="H13" s="14">
        <v>17.760000000000002</v>
      </c>
      <c r="I13">
        <v>653470</v>
      </c>
      <c r="J13" t="s">
        <v>274</v>
      </c>
      <c r="K13" t="s">
        <v>653</v>
      </c>
      <c r="M13" t="s">
        <v>654</v>
      </c>
      <c r="N13" t="s">
        <v>655</v>
      </c>
      <c r="O13" t="s">
        <v>656</v>
      </c>
      <c r="P13" t="s">
        <v>399</v>
      </c>
      <c r="R13" t="s">
        <v>400</v>
      </c>
      <c r="S13" t="s">
        <v>401</v>
      </c>
      <c r="T13" t="s">
        <v>698</v>
      </c>
      <c r="U13">
        <v>689390</v>
      </c>
      <c r="V13" t="s">
        <v>36</v>
      </c>
      <c r="W13" t="s">
        <v>658</v>
      </c>
      <c r="Y13">
        <v>38399</v>
      </c>
      <c r="Z13" t="s">
        <v>157</v>
      </c>
      <c r="AA13" t="s">
        <v>28</v>
      </c>
      <c r="AB13" t="s">
        <v>659</v>
      </c>
      <c r="AC13" t="s">
        <v>669</v>
      </c>
      <c r="AD13" t="s">
        <v>670</v>
      </c>
      <c r="AE13" t="s">
        <v>699</v>
      </c>
      <c r="AF13" t="s">
        <v>682</v>
      </c>
      <c r="AG13" t="s">
        <v>402</v>
      </c>
      <c r="AH13" t="s">
        <v>700</v>
      </c>
      <c r="AI13" t="s">
        <v>701</v>
      </c>
      <c r="AJ13" t="s">
        <v>30</v>
      </c>
      <c r="AK13" t="s">
        <v>666</v>
      </c>
      <c r="AL13">
        <v>9</v>
      </c>
      <c r="AM13" t="s">
        <v>667</v>
      </c>
      <c r="AN13" t="s">
        <v>668</v>
      </c>
      <c r="AO13" s="14">
        <v>74</v>
      </c>
      <c r="AP13" t="s">
        <v>42</v>
      </c>
      <c r="AQ13">
        <v>1430562625</v>
      </c>
      <c r="AS13" t="s">
        <v>4</v>
      </c>
      <c r="CG13" t="s">
        <v>404</v>
      </c>
      <c r="CH13">
        <v>17.760000000000002</v>
      </c>
      <c r="CI13" t="s">
        <v>42</v>
      </c>
      <c r="CJ13" t="s">
        <v>403</v>
      </c>
    </row>
    <row r="14" spans="1:88" x14ac:dyDescent="0.25">
      <c r="A14" t="s">
        <v>354</v>
      </c>
      <c r="B14" t="s">
        <v>650</v>
      </c>
      <c r="C14" t="s">
        <v>651</v>
      </c>
      <c r="D14" t="s">
        <v>652</v>
      </c>
      <c r="F14">
        <v>4.07</v>
      </c>
      <c r="G14">
        <v>0</v>
      </c>
      <c r="H14" s="14">
        <v>4.07</v>
      </c>
      <c r="I14">
        <v>653470</v>
      </c>
      <c r="J14" t="s">
        <v>274</v>
      </c>
      <c r="K14" t="s">
        <v>653</v>
      </c>
      <c r="M14" t="s">
        <v>654</v>
      </c>
      <c r="N14" t="s">
        <v>655</v>
      </c>
      <c r="O14" t="s">
        <v>656</v>
      </c>
      <c r="P14" t="s">
        <v>394</v>
      </c>
      <c r="R14" t="s">
        <v>395</v>
      </c>
      <c r="S14" t="s">
        <v>396</v>
      </c>
      <c r="T14" t="s">
        <v>702</v>
      </c>
      <c r="U14">
        <v>760338</v>
      </c>
      <c r="V14" t="s">
        <v>139</v>
      </c>
      <c r="W14" t="s">
        <v>658</v>
      </c>
      <c r="Y14">
        <v>38593</v>
      </c>
      <c r="Z14" t="s">
        <v>27</v>
      </c>
      <c r="AA14" t="s">
        <v>28</v>
      </c>
      <c r="AB14" t="s">
        <v>659</v>
      </c>
      <c r="AC14" t="s">
        <v>660</v>
      </c>
      <c r="AD14" t="s">
        <v>661</v>
      </c>
      <c r="AE14" t="s">
        <v>703</v>
      </c>
      <c r="AF14" t="s">
        <v>704</v>
      </c>
      <c r="AG14" t="s">
        <v>398</v>
      </c>
      <c r="AH14" t="s">
        <v>705</v>
      </c>
      <c r="AI14" t="s">
        <v>687</v>
      </c>
      <c r="AJ14" t="s">
        <v>30</v>
      </c>
      <c r="AK14" t="s">
        <v>666</v>
      </c>
      <c r="AL14">
        <v>6</v>
      </c>
      <c r="AM14" t="s">
        <v>667</v>
      </c>
      <c r="AN14" t="s">
        <v>668</v>
      </c>
      <c r="AO14" s="14">
        <v>11</v>
      </c>
      <c r="AP14" t="s">
        <v>32</v>
      </c>
      <c r="AQ14">
        <v>1430600168</v>
      </c>
      <c r="AS14" t="s">
        <v>4</v>
      </c>
      <c r="CG14" t="s">
        <v>31</v>
      </c>
      <c r="CH14">
        <v>4.07</v>
      </c>
      <c r="CI14" t="s">
        <v>32</v>
      </c>
      <c r="CJ14" t="s">
        <v>354</v>
      </c>
    </row>
    <row r="15" spans="1:88" x14ac:dyDescent="0.25">
      <c r="A15" t="s">
        <v>354</v>
      </c>
      <c r="B15" t="s">
        <v>650</v>
      </c>
      <c r="C15" t="s">
        <v>651</v>
      </c>
      <c r="D15" t="s">
        <v>652</v>
      </c>
      <c r="F15">
        <v>6</v>
      </c>
      <c r="G15">
        <v>0</v>
      </c>
      <c r="H15" s="14">
        <v>6</v>
      </c>
      <c r="I15">
        <v>653470</v>
      </c>
      <c r="J15" t="s">
        <v>274</v>
      </c>
      <c r="K15" t="s">
        <v>653</v>
      </c>
      <c r="M15" t="s">
        <v>654</v>
      </c>
      <c r="N15" t="s">
        <v>655</v>
      </c>
      <c r="O15" t="s">
        <v>656</v>
      </c>
      <c r="P15" t="s">
        <v>394</v>
      </c>
      <c r="R15" t="s">
        <v>395</v>
      </c>
      <c r="S15" t="s">
        <v>396</v>
      </c>
      <c r="T15" t="s">
        <v>702</v>
      </c>
      <c r="U15">
        <v>760338</v>
      </c>
      <c r="V15" t="s">
        <v>139</v>
      </c>
      <c r="W15" t="s">
        <v>658</v>
      </c>
      <c r="Y15">
        <v>38796</v>
      </c>
      <c r="Z15" t="s">
        <v>87</v>
      </c>
      <c r="AA15" t="s">
        <v>28</v>
      </c>
      <c r="AB15" t="s">
        <v>659</v>
      </c>
      <c r="AC15" t="s">
        <v>669</v>
      </c>
      <c r="AD15" t="s">
        <v>670</v>
      </c>
      <c r="AE15" t="s">
        <v>703</v>
      </c>
      <c r="AF15" t="s">
        <v>704</v>
      </c>
      <c r="AG15" t="s">
        <v>397</v>
      </c>
      <c r="AH15" t="s">
        <v>705</v>
      </c>
      <c r="AI15" t="s">
        <v>687</v>
      </c>
      <c r="AJ15" t="s">
        <v>30</v>
      </c>
      <c r="AK15" t="s">
        <v>666</v>
      </c>
      <c r="AL15">
        <v>6</v>
      </c>
      <c r="AM15" t="s">
        <v>667</v>
      </c>
      <c r="AN15" t="s">
        <v>668</v>
      </c>
      <c r="AO15" s="14">
        <v>25</v>
      </c>
      <c r="AP15" t="s">
        <v>42</v>
      </c>
      <c r="AQ15">
        <v>1430600172</v>
      </c>
      <c r="AS15" t="s">
        <v>4</v>
      </c>
      <c r="CG15" t="s">
        <v>49</v>
      </c>
      <c r="CH15">
        <v>6</v>
      </c>
      <c r="CI15" t="s">
        <v>42</v>
      </c>
      <c r="CJ15" t="s">
        <v>354</v>
      </c>
    </row>
    <row r="16" spans="1:88" x14ac:dyDescent="0.25">
      <c r="A16" t="s">
        <v>354</v>
      </c>
      <c r="B16" t="s">
        <v>650</v>
      </c>
      <c r="C16" t="s">
        <v>651</v>
      </c>
      <c r="D16" t="s">
        <v>652</v>
      </c>
      <c r="F16">
        <v>8</v>
      </c>
      <c r="G16">
        <v>0</v>
      </c>
      <c r="H16" s="14">
        <v>8</v>
      </c>
      <c r="I16">
        <v>653470</v>
      </c>
      <c r="J16" t="s">
        <v>274</v>
      </c>
      <c r="K16" t="s">
        <v>653</v>
      </c>
      <c r="M16" t="s">
        <v>654</v>
      </c>
      <c r="N16" t="s">
        <v>655</v>
      </c>
      <c r="O16" t="s">
        <v>656</v>
      </c>
      <c r="P16" t="s">
        <v>390</v>
      </c>
      <c r="R16" t="s">
        <v>391</v>
      </c>
      <c r="S16" t="s">
        <v>392</v>
      </c>
      <c r="T16" t="s">
        <v>657</v>
      </c>
      <c r="U16">
        <v>678726</v>
      </c>
      <c r="V16" t="s">
        <v>46</v>
      </c>
      <c r="W16" t="s">
        <v>658</v>
      </c>
      <c r="Y16">
        <v>45041</v>
      </c>
      <c r="Z16" t="s">
        <v>48</v>
      </c>
      <c r="AA16" t="s">
        <v>28</v>
      </c>
      <c r="AB16" t="s">
        <v>659</v>
      </c>
      <c r="AC16" t="s">
        <v>669</v>
      </c>
      <c r="AD16" t="s">
        <v>670</v>
      </c>
      <c r="AE16" t="s">
        <v>706</v>
      </c>
      <c r="AF16" t="s">
        <v>707</v>
      </c>
      <c r="AG16" t="s">
        <v>393</v>
      </c>
      <c r="AH16" t="s">
        <v>708</v>
      </c>
      <c r="AI16" t="s">
        <v>129</v>
      </c>
      <c r="AJ16" t="s">
        <v>30</v>
      </c>
      <c r="AK16" t="s">
        <v>666</v>
      </c>
      <c r="AL16">
        <v>10</v>
      </c>
      <c r="AM16" t="s">
        <v>667</v>
      </c>
      <c r="AN16" t="s">
        <v>668</v>
      </c>
      <c r="AO16" s="14">
        <v>25</v>
      </c>
      <c r="AP16" t="s">
        <v>50</v>
      </c>
      <c r="AQ16">
        <v>1430623660</v>
      </c>
      <c r="AS16" t="s">
        <v>4</v>
      </c>
      <c r="CG16" t="s">
        <v>49</v>
      </c>
      <c r="CH16">
        <v>8</v>
      </c>
      <c r="CI16" t="s">
        <v>50</v>
      </c>
      <c r="CJ16" t="s">
        <v>354</v>
      </c>
    </row>
    <row r="17" spans="1:88" x14ac:dyDescent="0.25">
      <c r="A17" t="s">
        <v>354</v>
      </c>
      <c r="B17" t="s">
        <v>650</v>
      </c>
      <c r="C17" t="s">
        <v>651</v>
      </c>
      <c r="D17" t="s">
        <v>652</v>
      </c>
      <c r="F17">
        <v>8</v>
      </c>
      <c r="G17">
        <v>0</v>
      </c>
      <c r="H17" s="14">
        <v>8</v>
      </c>
      <c r="I17">
        <v>653470</v>
      </c>
      <c r="J17" t="s">
        <v>274</v>
      </c>
      <c r="K17" t="s">
        <v>653</v>
      </c>
      <c r="M17" t="s">
        <v>654</v>
      </c>
      <c r="N17" t="s">
        <v>655</v>
      </c>
      <c r="O17" t="s">
        <v>656</v>
      </c>
      <c r="P17" t="s">
        <v>441</v>
      </c>
      <c r="R17" t="s">
        <v>442</v>
      </c>
      <c r="S17" t="s">
        <v>443</v>
      </c>
      <c r="T17" t="s">
        <v>657</v>
      </c>
      <c r="U17">
        <v>678726</v>
      </c>
      <c r="V17" t="s">
        <v>46</v>
      </c>
      <c r="W17" t="s">
        <v>658</v>
      </c>
      <c r="Y17">
        <v>45041</v>
      </c>
      <c r="Z17" t="s">
        <v>48</v>
      </c>
      <c r="AA17" t="s">
        <v>28</v>
      </c>
      <c r="AB17" t="s">
        <v>659</v>
      </c>
      <c r="AC17" t="s">
        <v>669</v>
      </c>
      <c r="AD17" t="s">
        <v>670</v>
      </c>
      <c r="AE17" t="s">
        <v>709</v>
      </c>
      <c r="AF17" t="s">
        <v>710</v>
      </c>
      <c r="AG17" t="s">
        <v>444</v>
      </c>
      <c r="AH17" t="s">
        <v>711</v>
      </c>
      <c r="AI17" t="s">
        <v>129</v>
      </c>
      <c r="AJ17" t="s">
        <v>30</v>
      </c>
      <c r="AK17" t="s">
        <v>666</v>
      </c>
      <c r="AL17">
        <v>8</v>
      </c>
      <c r="AM17" t="s">
        <v>667</v>
      </c>
      <c r="AN17" t="s">
        <v>668</v>
      </c>
      <c r="AO17" s="14">
        <v>25</v>
      </c>
      <c r="AP17" t="s">
        <v>50</v>
      </c>
      <c r="AQ17">
        <v>1430622665</v>
      </c>
      <c r="AS17" t="s">
        <v>4</v>
      </c>
      <c r="CG17" t="s">
        <v>49</v>
      </c>
      <c r="CH17">
        <v>8</v>
      </c>
      <c r="CI17" t="s">
        <v>50</v>
      </c>
      <c r="CJ17" t="s">
        <v>354</v>
      </c>
    </row>
    <row r="18" spans="1:88" x14ac:dyDescent="0.25">
      <c r="A18" t="s">
        <v>354</v>
      </c>
      <c r="B18" t="s">
        <v>650</v>
      </c>
      <c r="C18" t="s">
        <v>651</v>
      </c>
      <c r="D18" t="s">
        <v>652</v>
      </c>
      <c r="F18">
        <v>4.07</v>
      </c>
      <c r="G18">
        <v>0</v>
      </c>
      <c r="H18" s="14">
        <v>4.07</v>
      </c>
      <c r="I18">
        <v>653470</v>
      </c>
      <c r="J18" t="s">
        <v>274</v>
      </c>
      <c r="K18" t="s">
        <v>653</v>
      </c>
      <c r="M18" t="s">
        <v>654</v>
      </c>
      <c r="N18" t="s">
        <v>655</v>
      </c>
      <c r="O18" t="s">
        <v>656</v>
      </c>
      <c r="P18" t="s">
        <v>379</v>
      </c>
      <c r="R18" t="s">
        <v>380</v>
      </c>
      <c r="S18" t="s">
        <v>151</v>
      </c>
      <c r="T18" t="s">
        <v>657</v>
      </c>
      <c r="U18">
        <v>798992</v>
      </c>
      <c r="V18" t="s">
        <v>54</v>
      </c>
      <c r="W18" t="s">
        <v>658</v>
      </c>
      <c r="Y18">
        <v>38967</v>
      </c>
      <c r="Z18" t="s">
        <v>27</v>
      </c>
      <c r="AA18" t="s">
        <v>28</v>
      </c>
      <c r="AB18" t="s">
        <v>659</v>
      </c>
      <c r="AC18" t="s">
        <v>660</v>
      </c>
      <c r="AD18" t="s">
        <v>661</v>
      </c>
      <c r="AE18" t="s">
        <v>712</v>
      </c>
      <c r="AF18" t="s">
        <v>710</v>
      </c>
      <c r="AG18" t="s">
        <v>389</v>
      </c>
      <c r="AH18" t="s">
        <v>713</v>
      </c>
      <c r="AI18" t="s">
        <v>687</v>
      </c>
      <c r="AJ18" t="s">
        <v>30</v>
      </c>
      <c r="AK18" t="s">
        <v>666</v>
      </c>
      <c r="AL18">
        <v>8</v>
      </c>
      <c r="AM18" t="s">
        <v>667</v>
      </c>
      <c r="AN18" t="s">
        <v>668</v>
      </c>
      <c r="AO18" s="14">
        <v>11</v>
      </c>
      <c r="AP18" t="s">
        <v>32</v>
      </c>
      <c r="AQ18">
        <v>1430616907</v>
      </c>
      <c r="AS18" t="s">
        <v>4</v>
      </c>
      <c r="CG18" t="s">
        <v>31</v>
      </c>
      <c r="CH18">
        <v>4.07</v>
      </c>
      <c r="CI18" t="s">
        <v>32</v>
      </c>
      <c r="CJ18" t="s">
        <v>354</v>
      </c>
    </row>
    <row r="19" spans="1:88" x14ac:dyDescent="0.25">
      <c r="A19" t="s">
        <v>354</v>
      </c>
      <c r="B19" t="s">
        <v>650</v>
      </c>
      <c r="C19" t="s">
        <v>651</v>
      </c>
      <c r="D19" t="s">
        <v>652</v>
      </c>
      <c r="F19">
        <v>8</v>
      </c>
      <c r="G19">
        <v>0</v>
      </c>
      <c r="H19" s="14">
        <v>8</v>
      </c>
      <c r="I19">
        <v>653470</v>
      </c>
      <c r="J19" t="s">
        <v>274</v>
      </c>
      <c r="K19" t="s">
        <v>653</v>
      </c>
      <c r="M19" t="s">
        <v>654</v>
      </c>
      <c r="N19" t="s">
        <v>655</v>
      </c>
      <c r="O19" t="s">
        <v>656</v>
      </c>
      <c r="P19" t="s">
        <v>379</v>
      </c>
      <c r="R19" t="s">
        <v>380</v>
      </c>
      <c r="S19" t="s">
        <v>151</v>
      </c>
      <c r="T19" t="s">
        <v>657</v>
      </c>
      <c r="U19">
        <v>798992</v>
      </c>
      <c r="V19" t="s">
        <v>54</v>
      </c>
      <c r="W19" t="s">
        <v>658</v>
      </c>
      <c r="Y19">
        <v>45041</v>
      </c>
      <c r="Z19" t="s">
        <v>48</v>
      </c>
      <c r="AA19" t="s">
        <v>28</v>
      </c>
      <c r="AB19" t="s">
        <v>659</v>
      </c>
      <c r="AC19" t="s">
        <v>669</v>
      </c>
      <c r="AD19" t="s">
        <v>670</v>
      </c>
      <c r="AE19" t="s">
        <v>681</v>
      </c>
      <c r="AF19" t="s">
        <v>682</v>
      </c>
      <c r="AG19" t="s">
        <v>381</v>
      </c>
      <c r="AH19" t="s">
        <v>713</v>
      </c>
      <c r="AI19" t="s">
        <v>687</v>
      </c>
      <c r="AJ19" t="s">
        <v>30</v>
      </c>
      <c r="AK19" t="s">
        <v>666</v>
      </c>
      <c r="AL19">
        <v>9</v>
      </c>
      <c r="AM19" t="s">
        <v>667</v>
      </c>
      <c r="AN19" t="s">
        <v>668</v>
      </c>
      <c r="AO19" s="14">
        <v>25</v>
      </c>
      <c r="AP19" t="s">
        <v>50</v>
      </c>
      <c r="AQ19">
        <v>1430616910</v>
      </c>
      <c r="AS19" t="s">
        <v>4</v>
      </c>
      <c r="CG19" t="s">
        <v>49</v>
      </c>
      <c r="CH19">
        <v>8</v>
      </c>
      <c r="CI19" t="s">
        <v>50</v>
      </c>
      <c r="CJ19" t="s">
        <v>354</v>
      </c>
    </row>
    <row r="20" spans="1:88" x14ac:dyDescent="0.25">
      <c r="A20" t="s">
        <v>354</v>
      </c>
      <c r="B20" t="s">
        <v>650</v>
      </c>
      <c r="C20" t="s">
        <v>651</v>
      </c>
      <c r="D20" t="s">
        <v>652</v>
      </c>
      <c r="F20">
        <v>16</v>
      </c>
      <c r="G20">
        <v>0</v>
      </c>
      <c r="H20" s="14">
        <v>16</v>
      </c>
      <c r="I20">
        <v>653470</v>
      </c>
      <c r="J20" t="s">
        <v>274</v>
      </c>
      <c r="K20" t="s">
        <v>653</v>
      </c>
      <c r="M20" t="s">
        <v>654</v>
      </c>
      <c r="N20" t="s">
        <v>655</v>
      </c>
      <c r="O20" t="s">
        <v>656</v>
      </c>
      <c r="P20" t="s">
        <v>375</v>
      </c>
      <c r="R20" t="s">
        <v>376</v>
      </c>
      <c r="S20" t="s">
        <v>377</v>
      </c>
      <c r="T20" t="s">
        <v>657</v>
      </c>
      <c r="U20">
        <v>678726</v>
      </c>
      <c r="V20" t="s">
        <v>46</v>
      </c>
      <c r="W20" t="s">
        <v>658</v>
      </c>
      <c r="Y20">
        <v>45041</v>
      </c>
      <c r="Z20" t="s">
        <v>48</v>
      </c>
      <c r="AA20" t="s">
        <v>39</v>
      </c>
      <c r="AB20" t="s">
        <v>659</v>
      </c>
      <c r="AC20" t="s">
        <v>669</v>
      </c>
      <c r="AD20" t="s">
        <v>670</v>
      </c>
      <c r="AE20" t="s">
        <v>714</v>
      </c>
      <c r="AF20" t="s">
        <v>715</v>
      </c>
      <c r="AG20" t="s">
        <v>378</v>
      </c>
      <c r="AH20" t="s">
        <v>716</v>
      </c>
      <c r="AI20" t="s">
        <v>684</v>
      </c>
      <c r="AJ20" t="s">
        <v>30</v>
      </c>
      <c r="AK20" t="s">
        <v>666</v>
      </c>
      <c r="AL20">
        <v>11</v>
      </c>
      <c r="AM20" t="s">
        <v>667</v>
      </c>
      <c r="AN20" t="s">
        <v>668</v>
      </c>
      <c r="AO20" s="14">
        <v>50</v>
      </c>
      <c r="AP20" t="s">
        <v>50</v>
      </c>
      <c r="AQ20">
        <v>1430613353</v>
      </c>
      <c r="AS20" t="s">
        <v>4</v>
      </c>
      <c r="CG20" t="s">
        <v>135</v>
      </c>
      <c r="CH20">
        <v>16</v>
      </c>
      <c r="CI20" t="s">
        <v>50</v>
      </c>
      <c r="CJ20" t="s">
        <v>354</v>
      </c>
    </row>
    <row r="21" spans="1:88" x14ac:dyDescent="0.25">
      <c r="A21" t="s">
        <v>354</v>
      </c>
      <c r="B21" t="s">
        <v>650</v>
      </c>
      <c r="C21" t="s">
        <v>651</v>
      </c>
      <c r="D21" t="s">
        <v>652</v>
      </c>
      <c r="F21">
        <v>17.04</v>
      </c>
      <c r="G21">
        <v>0</v>
      </c>
      <c r="H21" s="14">
        <v>17.04</v>
      </c>
      <c r="I21">
        <v>653470</v>
      </c>
      <c r="J21" t="s">
        <v>274</v>
      </c>
      <c r="K21" t="s">
        <v>653</v>
      </c>
      <c r="M21" t="s">
        <v>654</v>
      </c>
      <c r="N21" t="s">
        <v>655</v>
      </c>
      <c r="O21" t="s">
        <v>656</v>
      </c>
      <c r="P21" t="s">
        <v>370</v>
      </c>
      <c r="R21" t="s">
        <v>371</v>
      </c>
      <c r="S21" t="s">
        <v>372</v>
      </c>
      <c r="T21" t="s">
        <v>702</v>
      </c>
      <c r="U21">
        <v>757386</v>
      </c>
      <c r="V21" t="s">
        <v>373</v>
      </c>
      <c r="W21" t="s">
        <v>658</v>
      </c>
      <c r="Y21">
        <v>38399</v>
      </c>
      <c r="Z21" t="s">
        <v>157</v>
      </c>
      <c r="AA21" t="s">
        <v>28</v>
      </c>
      <c r="AB21" t="s">
        <v>659</v>
      </c>
      <c r="AC21" t="s">
        <v>669</v>
      </c>
      <c r="AD21" t="s">
        <v>670</v>
      </c>
      <c r="AE21" t="s">
        <v>717</v>
      </c>
      <c r="AF21" t="s">
        <v>718</v>
      </c>
      <c r="AG21" t="s">
        <v>374</v>
      </c>
      <c r="AH21" t="s">
        <v>719</v>
      </c>
      <c r="AI21" t="s">
        <v>720</v>
      </c>
      <c r="AJ21" t="s">
        <v>30</v>
      </c>
      <c r="AK21" t="s">
        <v>666</v>
      </c>
      <c r="AL21">
        <v>15</v>
      </c>
      <c r="AM21" t="s">
        <v>667</v>
      </c>
      <c r="AN21" t="s">
        <v>668</v>
      </c>
      <c r="AO21" s="14">
        <v>71</v>
      </c>
      <c r="AP21" t="s">
        <v>42</v>
      </c>
      <c r="AQ21">
        <v>1430602215</v>
      </c>
      <c r="AS21" t="s">
        <v>4</v>
      </c>
      <c r="CG21" t="s">
        <v>355</v>
      </c>
      <c r="CH21">
        <v>17.04</v>
      </c>
      <c r="CI21" t="s">
        <v>42</v>
      </c>
      <c r="CJ21" t="s">
        <v>354</v>
      </c>
    </row>
    <row r="22" spans="1:88" x14ac:dyDescent="0.25">
      <c r="A22" t="s">
        <v>354</v>
      </c>
      <c r="B22" t="s">
        <v>650</v>
      </c>
      <c r="C22" t="s">
        <v>651</v>
      </c>
      <c r="D22" t="s">
        <v>652</v>
      </c>
      <c r="F22">
        <v>9.6</v>
      </c>
      <c r="G22">
        <v>0</v>
      </c>
      <c r="H22" s="14">
        <v>9.6</v>
      </c>
      <c r="I22">
        <v>653470</v>
      </c>
      <c r="J22" t="s">
        <v>274</v>
      </c>
      <c r="K22" t="s">
        <v>653</v>
      </c>
      <c r="M22" t="s">
        <v>654</v>
      </c>
      <c r="N22" t="s">
        <v>655</v>
      </c>
      <c r="O22" t="s">
        <v>656</v>
      </c>
      <c r="P22" t="s">
        <v>366</v>
      </c>
      <c r="R22" t="s">
        <v>367</v>
      </c>
      <c r="S22" t="s">
        <v>368</v>
      </c>
      <c r="T22" t="s">
        <v>657</v>
      </c>
      <c r="U22">
        <v>706472</v>
      </c>
      <c r="V22" t="s">
        <v>98</v>
      </c>
      <c r="W22" t="s">
        <v>658</v>
      </c>
      <c r="Y22">
        <v>45041</v>
      </c>
      <c r="Z22" t="s">
        <v>48</v>
      </c>
      <c r="AA22" t="s">
        <v>28</v>
      </c>
      <c r="AB22" t="s">
        <v>659</v>
      </c>
      <c r="AC22" t="s">
        <v>669</v>
      </c>
      <c r="AD22" t="s">
        <v>670</v>
      </c>
      <c r="AE22" t="s">
        <v>721</v>
      </c>
      <c r="AF22" t="s">
        <v>715</v>
      </c>
      <c r="AG22" t="s">
        <v>369</v>
      </c>
      <c r="AH22" t="s">
        <v>722</v>
      </c>
      <c r="AI22" t="s">
        <v>141</v>
      </c>
      <c r="AJ22" t="s">
        <v>30</v>
      </c>
      <c r="AK22" t="s">
        <v>680</v>
      </c>
      <c r="AL22">
        <v>11</v>
      </c>
      <c r="AM22" t="s">
        <v>667</v>
      </c>
      <c r="AN22" t="s">
        <v>668</v>
      </c>
      <c r="AO22" s="14">
        <v>30</v>
      </c>
      <c r="AP22" t="s">
        <v>50</v>
      </c>
      <c r="AQ22">
        <v>1430668694</v>
      </c>
      <c r="AS22" t="s">
        <v>4</v>
      </c>
      <c r="CG22" t="s">
        <v>70</v>
      </c>
      <c r="CH22">
        <v>9.6</v>
      </c>
      <c r="CI22" t="s">
        <v>50</v>
      </c>
      <c r="CJ22" t="s">
        <v>354</v>
      </c>
    </row>
    <row r="23" spans="1:88" x14ac:dyDescent="0.25">
      <c r="A23" t="s">
        <v>354</v>
      </c>
      <c r="B23" t="s">
        <v>650</v>
      </c>
      <c r="C23" t="s">
        <v>651</v>
      </c>
      <c r="D23" t="s">
        <v>652</v>
      </c>
      <c r="F23">
        <v>8</v>
      </c>
      <c r="G23">
        <v>0</v>
      </c>
      <c r="H23" s="14">
        <v>8</v>
      </c>
      <c r="I23">
        <v>653470</v>
      </c>
      <c r="J23" t="s">
        <v>274</v>
      </c>
      <c r="K23" t="s">
        <v>653</v>
      </c>
      <c r="M23" t="s">
        <v>654</v>
      </c>
      <c r="N23" t="s">
        <v>655</v>
      </c>
      <c r="O23" t="s">
        <v>656</v>
      </c>
      <c r="P23" t="s">
        <v>361</v>
      </c>
      <c r="R23" t="s">
        <v>362</v>
      </c>
      <c r="S23" t="s">
        <v>363</v>
      </c>
      <c r="T23" t="s">
        <v>657</v>
      </c>
      <c r="U23">
        <v>707256</v>
      </c>
      <c r="V23" t="s">
        <v>364</v>
      </c>
      <c r="W23" t="s">
        <v>658</v>
      </c>
      <c r="Y23">
        <v>45041</v>
      </c>
      <c r="Z23" t="s">
        <v>48</v>
      </c>
      <c r="AA23" t="s">
        <v>28</v>
      </c>
      <c r="AB23" t="s">
        <v>659</v>
      </c>
      <c r="AC23" t="s">
        <v>669</v>
      </c>
      <c r="AD23" t="s">
        <v>670</v>
      </c>
      <c r="AE23" t="s">
        <v>723</v>
      </c>
      <c r="AF23" t="s">
        <v>715</v>
      </c>
      <c r="AG23" t="s">
        <v>365</v>
      </c>
      <c r="AH23" t="s">
        <v>724</v>
      </c>
      <c r="AI23" t="s">
        <v>129</v>
      </c>
      <c r="AJ23" t="s">
        <v>30</v>
      </c>
      <c r="AK23" t="s">
        <v>680</v>
      </c>
      <c r="AL23">
        <v>11</v>
      </c>
      <c r="AM23" t="s">
        <v>667</v>
      </c>
      <c r="AN23" t="s">
        <v>668</v>
      </c>
      <c r="AO23" s="14">
        <v>25</v>
      </c>
      <c r="AP23" t="s">
        <v>50</v>
      </c>
      <c r="AQ23">
        <v>1430668475</v>
      </c>
      <c r="AS23" t="s">
        <v>4</v>
      </c>
      <c r="CG23" t="s">
        <v>49</v>
      </c>
      <c r="CH23">
        <v>8</v>
      </c>
      <c r="CI23" t="s">
        <v>50</v>
      </c>
      <c r="CJ23" t="s">
        <v>354</v>
      </c>
    </row>
    <row r="24" spans="1:88" x14ac:dyDescent="0.25">
      <c r="A24" t="s">
        <v>354</v>
      </c>
      <c r="B24" t="s">
        <v>650</v>
      </c>
      <c r="C24" t="s">
        <v>651</v>
      </c>
      <c r="D24" t="s">
        <v>652</v>
      </c>
      <c r="F24">
        <v>8</v>
      </c>
      <c r="G24">
        <v>0</v>
      </c>
      <c r="H24" s="14">
        <v>8</v>
      </c>
      <c r="I24">
        <v>653470</v>
      </c>
      <c r="J24" t="s">
        <v>274</v>
      </c>
      <c r="K24" t="s">
        <v>653</v>
      </c>
      <c r="M24" t="s">
        <v>654</v>
      </c>
      <c r="N24" t="s">
        <v>655</v>
      </c>
      <c r="O24" t="s">
        <v>656</v>
      </c>
      <c r="P24" t="s">
        <v>219</v>
      </c>
      <c r="R24" t="s">
        <v>220</v>
      </c>
      <c r="S24" t="s">
        <v>221</v>
      </c>
      <c r="T24" t="s">
        <v>657</v>
      </c>
      <c r="U24">
        <v>678726</v>
      </c>
      <c r="V24" t="s">
        <v>46</v>
      </c>
      <c r="W24" t="s">
        <v>658</v>
      </c>
      <c r="Y24">
        <v>45041</v>
      </c>
      <c r="Z24" t="s">
        <v>48</v>
      </c>
      <c r="AA24" t="s">
        <v>28</v>
      </c>
      <c r="AB24" t="s">
        <v>659</v>
      </c>
      <c r="AC24" t="s">
        <v>669</v>
      </c>
      <c r="AD24" t="s">
        <v>670</v>
      </c>
      <c r="AE24" t="s">
        <v>725</v>
      </c>
      <c r="AF24" t="s">
        <v>707</v>
      </c>
      <c r="AG24" t="s">
        <v>222</v>
      </c>
      <c r="AH24" t="s">
        <v>726</v>
      </c>
      <c r="AI24" t="s">
        <v>129</v>
      </c>
      <c r="AJ24" t="s">
        <v>30</v>
      </c>
      <c r="AK24" t="s">
        <v>680</v>
      </c>
      <c r="AL24">
        <v>10</v>
      </c>
      <c r="AM24" t="s">
        <v>667</v>
      </c>
      <c r="AN24" t="s">
        <v>668</v>
      </c>
      <c r="AO24" s="14">
        <v>25</v>
      </c>
      <c r="AP24" t="s">
        <v>50</v>
      </c>
      <c r="AQ24">
        <v>1430667377</v>
      </c>
      <c r="AS24" t="s">
        <v>4</v>
      </c>
      <c r="CG24" t="s">
        <v>49</v>
      </c>
      <c r="CH24">
        <v>8</v>
      </c>
      <c r="CI24" t="s">
        <v>50</v>
      </c>
      <c r="CJ24" t="s">
        <v>354</v>
      </c>
    </row>
    <row r="25" spans="1:88" x14ac:dyDescent="0.25">
      <c r="A25" t="s">
        <v>354</v>
      </c>
      <c r="B25" t="s">
        <v>650</v>
      </c>
      <c r="C25" t="s">
        <v>651</v>
      </c>
      <c r="D25" t="s">
        <v>652</v>
      </c>
      <c r="F25">
        <v>8</v>
      </c>
      <c r="G25">
        <v>0</v>
      </c>
      <c r="H25" s="14">
        <v>8</v>
      </c>
      <c r="I25">
        <v>653470</v>
      </c>
      <c r="J25" t="s">
        <v>274</v>
      </c>
      <c r="K25" t="s">
        <v>653</v>
      </c>
      <c r="M25" t="s">
        <v>654</v>
      </c>
      <c r="N25" t="s">
        <v>655</v>
      </c>
      <c r="O25" t="s">
        <v>656</v>
      </c>
      <c r="P25" t="s">
        <v>356</v>
      </c>
      <c r="R25" t="s">
        <v>357</v>
      </c>
      <c r="S25" t="s">
        <v>358</v>
      </c>
      <c r="T25" t="s">
        <v>727</v>
      </c>
      <c r="U25">
        <v>749876</v>
      </c>
      <c r="V25" t="s">
        <v>359</v>
      </c>
      <c r="W25" t="s">
        <v>658</v>
      </c>
      <c r="Y25">
        <v>45041</v>
      </c>
      <c r="Z25" t="s">
        <v>48</v>
      </c>
      <c r="AA25" t="s">
        <v>28</v>
      </c>
      <c r="AB25" t="s">
        <v>659</v>
      </c>
      <c r="AC25" t="s">
        <v>669</v>
      </c>
      <c r="AD25" t="s">
        <v>670</v>
      </c>
      <c r="AE25" t="s">
        <v>728</v>
      </c>
      <c r="AF25" t="s">
        <v>710</v>
      </c>
      <c r="AG25" t="s">
        <v>360</v>
      </c>
      <c r="AH25" t="s">
        <v>729</v>
      </c>
      <c r="AI25" t="s">
        <v>129</v>
      </c>
      <c r="AJ25" t="s">
        <v>30</v>
      </c>
      <c r="AK25" t="s">
        <v>680</v>
      </c>
      <c r="AL25">
        <v>8</v>
      </c>
      <c r="AM25" t="s">
        <v>667</v>
      </c>
      <c r="AN25" t="s">
        <v>668</v>
      </c>
      <c r="AO25" s="14">
        <v>25</v>
      </c>
      <c r="AP25" t="s">
        <v>50</v>
      </c>
      <c r="AQ25">
        <v>1430651936</v>
      </c>
      <c r="AS25" t="s">
        <v>4</v>
      </c>
      <c r="CG25" t="s">
        <v>49</v>
      </c>
      <c r="CH25">
        <v>8</v>
      </c>
      <c r="CI25" t="s">
        <v>50</v>
      </c>
      <c r="CJ25" t="s">
        <v>354</v>
      </c>
    </row>
    <row r="26" spans="1:88" x14ac:dyDescent="0.25">
      <c r="A26" t="s">
        <v>354</v>
      </c>
      <c r="B26" t="s">
        <v>650</v>
      </c>
      <c r="C26" t="s">
        <v>651</v>
      </c>
      <c r="D26" t="s">
        <v>652</v>
      </c>
      <c r="F26">
        <v>2.13</v>
      </c>
      <c r="G26">
        <v>0</v>
      </c>
      <c r="H26" s="14">
        <v>2.13</v>
      </c>
      <c r="I26">
        <v>653470</v>
      </c>
      <c r="J26" t="s">
        <v>274</v>
      </c>
      <c r="K26" t="s">
        <v>653</v>
      </c>
      <c r="M26" t="s">
        <v>654</v>
      </c>
      <c r="N26" t="s">
        <v>655</v>
      </c>
      <c r="O26" t="s">
        <v>656</v>
      </c>
      <c r="P26" t="s">
        <v>350</v>
      </c>
      <c r="R26" t="s">
        <v>351</v>
      </c>
      <c r="S26" t="s">
        <v>352</v>
      </c>
      <c r="T26" t="s">
        <v>727</v>
      </c>
      <c r="U26">
        <v>711419</v>
      </c>
      <c r="V26" t="s">
        <v>226</v>
      </c>
      <c r="W26" t="s">
        <v>658</v>
      </c>
      <c r="Y26">
        <v>38399</v>
      </c>
      <c r="Z26" t="s">
        <v>157</v>
      </c>
      <c r="AA26" t="s">
        <v>28</v>
      </c>
      <c r="AB26" t="s">
        <v>659</v>
      </c>
      <c r="AC26" t="s">
        <v>669</v>
      </c>
      <c r="AD26" t="s">
        <v>670</v>
      </c>
      <c r="AE26" t="s">
        <v>730</v>
      </c>
      <c r="AF26" t="s">
        <v>731</v>
      </c>
      <c r="AG26" t="s">
        <v>353</v>
      </c>
      <c r="AH26" t="s">
        <v>732</v>
      </c>
      <c r="AI26" t="s">
        <v>733</v>
      </c>
      <c r="AJ26" t="s">
        <v>30</v>
      </c>
      <c r="AK26" t="s">
        <v>680</v>
      </c>
      <c r="AL26">
        <v>5</v>
      </c>
      <c r="AM26" t="s">
        <v>667</v>
      </c>
      <c r="AN26" t="s">
        <v>668</v>
      </c>
      <c r="AO26" s="14">
        <v>71</v>
      </c>
      <c r="AP26" t="s">
        <v>130</v>
      </c>
      <c r="AQ26">
        <v>1430648000</v>
      </c>
      <c r="AS26" t="s">
        <v>4</v>
      </c>
      <c r="CG26" t="s">
        <v>355</v>
      </c>
      <c r="CH26">
        <v>2.13</v>
      </c>
      <c r="CI26" t="s">
        <v>130</v>
      </c>
      <c r="CJ26" t="s">
        <v>354</v>
      </c>
    </row>
    <row r="27" spans="1:88" x14ac:dyDescent="0.25">
      <c r="A27" t="s">
        <v>344</v>
      </c>
      <c r="B27" t="s">
        <v>650</v>
      </c>
      <c r="C27" t="s">
        <v>651</v>
      </c>
      <c r="D27" t="s">
        <v>652</v>
      </c>
      <c r="F27">
        <v>9.6</v>
      </c>
      <c r="G27">
        <v>0</v>
      </c>
      <c r="H27" s="14">
        <v>9.6</v>
      </c>
      <c r="I27">
        <v>653470</v>
      </c>
      <c r="J27" t="s">
        <v>274</v>
      </c>
      <c r="K27" t="s">
        <v>653</v>
      </c>
      <c r="M27" t="s">
        <v>654</v>
      </c>
      <c r="N27" t="s">
        <v>655</v>
      </c>
      <c r="O27" t="s">
        <v>656</v>
      </c>
      <c r="P27" t="s">
        <v>346</v>
      </c>
      <c r="R27" t="s">
        <v>347</v>
      </c>
      <c r="S27" t="s">
        <v>348</v>
      </c>
      <c r="T27" t="s">
        <v>657</v>
      </c>
      <c r="U27">
        <v>678726</v>
      </c>
      <c r="V27" t="s">
        <v>46</v>
      </c>
      <c r="W27" t="s">
        <v>658</v>
      </c>
      <c r="Y27">
        <v>45041</v>
      </c>
      <c r="Z27" t="s">
        <v>48</v>
      </c>
      <c r="AA27" t="s">
        <v>28</v>
      </c>
      <c r="AB27" t="s">
        <v>659</v>
      </c>
      <c r="AC27" t="s">
        <v>669</v>
      </c>
      <c r="AD27" t="s">
        <v>670</v>
      </c>
      <c r="AE27" t="s">
        <v>734</v>
      </c>
      <c r="AF27" t="s">
        <v>682</v>
      </c>
      <c r="AG27" t="s">
        <v>349</v>
      </c>
      <c r="AH27" t="s">
        <v>735</v>
      </c>
      <c r="AI27" t="s">
        <v>141</v>
      </c>
      <c r="AJ27" t="s">
        <v>30</v>
      </c>
      <c r="AK27" t="s">
        <v>680</v>
      </c>
      <c r="AL27">
        <v>9</v>
      </c>
      <c r="AM27" t="s">
        <v>667</v>
      </c>
      <c r="AN27" t="s">
        <v>668</v>
      </c>
      <c r="AO27" s="14">
        <v>30</v>
      </c>
      <c r="AP27" t="s">
        <v>50</v>
      </c>
      <c r="AQ27">
        <v>1430714267</v>
      </c>
      <c r="AS27" t="s">
        <v>4</v>
      </c>
      <c r="CG27" t="s">
        <v>70</v>
      </c>
      <c r="CH27">
        <v>9.6</v>
      </c>
      <c r="CI27" t="s">
        <v>50</v>
      </c>
      <c r="CJ27" t="s">
        <v>344</v>
      </c>
    </row>
    <row r="28" spans="1:88" x14ac:dyDescent="0.25">
      <c r="A28" t="s">
        <v>344</v>
      </c>
      <c r="B28" t="s">
        <v>650</v>
      </c>
      <c r="C28" t="s">
        <v>651</v>
      </c>
      <c r="D28" t="s">
        <v>652</v>
      </c>
      <c r="F28">
        <v>4.07</v>
      </c>
      <c r="G28">
        <v>0</v>
      </c>
      <c r="H28" s="14">
        <v>4.07</v>
      </c>
      <c r="I28">
        <v>653470</v>
      </c>
      <c r="J28" t="s">
        <v>274</v>
      </c>
      <c r="K28" t="s">
        <v>653</v>
      </c>
      <c r="M28" t="s">
        <v>654</v>
      </c>
      <c r="N28" t="s">
        <v>655</v>
      </c>
      <c r="O28" t="s">
        <v>656</v>
      </c>
      <c r="P28" t="s">
        <v>340</v>
      </c>
      <c r="R28" t="s">
        <v>341</v>
      </c>
      <c r="S28" t="s">
        <v>342</v>
      </c>
      <c r="T28" t="s">
        <v>657</v>
      </c>
      <c r="U28">
        <v>678726</v>
      </c>
      <c r="V28" t="s">
        <v>46</v>
      </c>
      <c r="W28" t="s">
        <v>658</v>
      </c>
      <c r="Y28">
        <v>38593</v>
      </c>
      <c r="Z28" t="s">
        <v>27</v>
      </c>
      <c r="AA28" t="s">
        <v>28</v>
      </c>
      <c r="AB28" t="s">
        <v>659</v>
      </c>
      <c r="AC28" t="s">
        <v>660</v>
      </c>
      <c r="AD28" t="s">
        <v>661</v>
      </c>
      <c r="AE28" t="s">
        <v>736</v>
      </c>
      <c r="AF28" t="s">
        <v>737</v>
      </c>
      <c r="AG28" t="s">
        <v>345</v>
      </c>
      <c r="AH28" t="s">
        <v>738</v>
      </c>
      <c r="AI28" t="s">
        <v>739</v>
      </c>
      <c r="AJ28" t="s">
        <v>30</v>
      </c>
      <c r="AK28" t="s">
        <v>666</v>
      </c>
      <c r="AL28">
        <v>13</v>
      </c>
      <c r="AM28" t="s">
        <v>667</v>
      </c>
      <c r="AN28" t="s">
        <v>668</v>
      </c>
      <c r="AO28" s="14">
        <v>11</v>
      </c>
      <c r="AP28" t="s">
        <v>32</v>
      </c>
      <c r="AQ28">
        <v>1430640242</v>
      </c>
      <c r="AS28" t="s">
        <v>4</v>
      </c>
      <c r="CG28" t="s">
        <v>31</v>
      </c>
      <c r="CH28">
        <v>4.07</v>
      </c>
      <c r="CI28" t="s">
        <v>32</v>
      </c>
      <c r="CJ28" t="s">
        <v>344</v>
      </c>
    </row>
    <row r="29" spans="1:88" x14ac:dyDescent="0.25">
      <c r="A29" t="s">
        <v>344</v>
      </c>
      <c r="B29" t="s">
        <v>650</v>
      </c>
      <c r="C29" t="s">
        <v>651</v>
      </c>
      <c r="D29" t="s">
        <v>652</v>
      </c>
      <c r="F29">
        <v>9.1199999999999992</v>
      </c>
      <c r="G29">
        <v>0</v>
      </c>
      <c r="H29" s="14">
        <v>9.1199999999999992</v>
      </c>
      <c r="I29">
        <v>653470</v>
      </c>
      <c r="J29" t="s">
        <v>274</v>
      </c>
      <c r="K29" t="s">
        <v>653</v>
      </c>
      <c r="M29" t="s">
        <v>654</v>
      </c>
      <c r="N29" t="s">
        <v>655</v>
      </c>
      <c r="O29" t="s">
        <v>656</v>
      </c>
      <c r="P29" t="s">
        <v>340</v>
      </c>
      <c r="R29" t="s">
        <v>341</v>
      </c>
      <c r="S29" t="s">
        <v>342</v>
      </c>
      <c r="T29" t="s">
        <v>657</v>
      </c>
      <c r="U29">
        <v>678726</v>
      </c>
      <c r="V29" t="s">
        <v>46</v>
      </c>
      <c r="W29" t="s">
        <v>658</v>
      </c>
      <c r="Y29">
        <v>42249</v>
      </c>
      <c r="Z29" t="s">
        <v>62</v>
      </c>
      <c r="AA29" t="s">
        <v>28</v>
      </c>
      <c r="AB29" t="s">
        <v>659</v>
      </c>
      <c r="AC29" t="s">
        <v>669</v>
      </c>
      <c r="AD29" t="s">
        <v>670</v>
      </c>
      <c r="AE29" t="s">
        <v>736</v>
      </c>
      <c r="AF29" t="s">
        <v>737</v>
      </c>
      <c r="AG29" t="s">
        <v>343</v>
      </c>
      <c r="AH29" t="s">
        <v>738</v>
      </c>
      <c r="AI29" t="s">
        <v>739</v>
      </c>
      <c r="AJ29" t="s">
        <v>30</v>
      </c>
      <c r="AK29" t="s">
        <v>666</v>
      </c>
      <c r="AL29">
        <v>13</v>
      </c>
      <c r="AM29" t="s">
        <v>667</v>
      </c>
      <c r="AN29" t="s">
        <v>668</v>
      </c>
      <c r="AO29" s="14">
        <v>38</v>
      </c>
      <c r="AP29" t="s">
        <v>42</v>
      </c>
      <c r="AQ29">
        <v>1430640245</v>
      </c>
      <c r="AS29" t="s">
        <v>4</v>
      </c>
      <c r="CG29" t="s">
        <v>65</v>
      </c>
      <c r="CH29">
        <v>9.1199999999999992</v>
      </c>
      <c r="CI29" t="s">
        <v>42</v>
      </c>
      <c r="CJ29" t="s">
        <v>344</v>
      </c>
    </row>
    <row r="30" spans="1:88" x14ac:dyDescent="0.25">
      <c r="A30" t="s">
        <v>336</v>
      </c>
      <c r="B30" t="s">
        <v>650</v>
      </c>
      <c r="C30" t="s">
        <v>651</v>
      </c>
      <c r="D30" t="s">
        <v>652</v>
      </c>
      <c r="F30">
        <v>8</v>
      </c>
      <c r="G30">
        <v>0</v>
      </c>
      <c r="H30" s="14">
        <v>8</v>
      </c>
      <c r="I30">
        <v>653470</v>
      </c>
      <c r="J30" t="s">
        <v>274</v>
      </c>
      <c r="K30" t="s">
        <v>653</v>
      </c>
      <c r="M30" t="s">
        <v>654</v>
      </c>
      <c r="N30" t="s">
        <v>655</v>
      </c>
      <c r="O30" t="s">
        <v>656</v>
      </c>
      <c r="P30" t="s">
        <v>337</v>
      </c>
      <c r="R30" t="s">
        <v>96</v>
      </c>
      <c r="S30" t="s">
        <v>338</v>
      </c>
      <c r="T30" t="s">
        <v>657</v>
      </c>
      <c r="U30">
        <v>678726</v>
      </c>
      <c r="V30" t="s">
        <v>46</v>
      </c>
      <c r="W30" t="s">
        <v>658</v>
      </c>
      <c r="Y30">
        <v>45041</v>
      </c>
      <c r="Z30" t="s">
        <v>48</v>
      </c>
      <c r="AA30" t="s">
        <v>28</v>
      </c>
      <c r="AB30" t="s">
        <v>659</v>
      </c>
      <c r="AC30" t="s">
        <v>669</v>
      </c>
      <c r="AD30" t="s">
        <v>670</v>
      </c>
      <c r="AE30" t="s">
        <v>740</v>
      </c>
      <c r="AF30" t="s">
        <v>672</v>
      </c>
      <c r="AG30" t="s">
        <v>339</v>
      </c>
      <c r="AH30" t="s">
        <v>741</v>
      </c>
      <c r="AI30" t="s">
        <v>129</v>
      </c>
      <c r="AJ30" t="s">
        <v>30</v>
      </c>
      <c r="AK30" t="s">
        <v>680</v>
      </c>
      <c r="AL30">
        <v>12</v>
      </c>
      <c r="AM30" t="s">
        <v>667</v>
      </c>
      <c r="AN30" t="s">
        <v>668</v>
      </c>
      <c r="AO30" s="14">
        <v>25</v>
      </c>
      <c r="AP30" t="s">
        <v>50</v>
      </c>
      <c r="AQ30">
        <v>1430736733</v>
      </c>
      <c r="AS30" t="s">
        <v>4</v>
      </c>
      <c r="CG30" t="s">
        <v>49</v>
      </c>
      <c r="CH30">
        <v>8</v>
      </c>
      <c r="CI30" t="s">
        <v>50</v>
      </c>
      <c r="CJ30" t="s">
        <v>336</v>
      </c>
    </row>
    <row r="31" spans="1:88" x14ac:dyDescent="0.25">
      <c r="A31" t="s">
        <v>336</v>
      </c>
      <c r="B31" t="s">
        <v>650</v>
      </c>
      <c r="C31" t="s">
        <v>651</v>
      </c>
      <c r="D31" t="s">
        <v>652</v>
      </c>
      <c r="F31">
        <v>8</v>
      </c>
      <c r="G31">
        <v>0</v>
      </c>
      <c r="H31" s="14">
        <v>8</v>
      </c>
      <c r="I31">
        <v>653470</v>
      </c>
      <c r="J31" t="s">
        <v>274</v>
      </c>
      <c r="K31" t="s">
        <v>653</v>
      </c>
      <c r="M31" t="s">
        <v>654</v>
      </c>
      <c r="N31" t="s">
        <v>655</v>
      </c>
      <c r="O31" t="s">
        <v>656</v>
      </c>
      <c r="P31" t="s">
        <v>332</v>
      </c>
      <c r="R31" t="s">
        <v>333</v>
      </c>
      <c r="S31" t="s">
        <v>334</v>
      </c>
      <c r="T31" t="s">
        <v>655</v>
      </c>
      <c r="U31">
        <v>653470</v>
      </c>
      <c r="V31" t="s">
        <v>274</v>
      </c>
      <c r="W31" t="s">
        <v>658</v>
      </c>
      <c r="Y31">
        <v>45041</v>
      </c>
      <c r="Z31" t="s">
        <v>48</v>
      </c>
      <c r="AA31" t="s">
        <v>28</v>
      </c>
      <c r="AB31" t="s">
        <v>659</v>
      </c>
      <c r="AC31" t="s">
        <v>669</v>
      </c>
      <c r="AD31" t="s">
        <v>670</v>
      </c>
      <c r="AE31" t="s">
        <v>742</v>
      </c>
      <c r="AF31" t="s">
        <v>704</v>
      </c>
      <c r="AG31" t="s">
        <v>335</v>
      </c>
      <c r="AH31" t="s">
        <v>743</v>
      </c>
      <c r="AI31" t="s">
        <v>129</v>
      </c>
      <c r="AJ31" t="s">
        <v>30</v>
      </c>
      <c r="AK31" t="s">
        <v>680</v>
      </c>
      <c r="AL31">
        <v>6</v>
      </c>
      <c r="AM31" t="s">
        <v>667</v>
      </c>
      <c r="AN31" t="s">
        <v>668</v>
      </c>
      <c r="AO31" s="14">
        <v>25</v>
      </c>
      <c r="AP31" t="s">
        <v>50</v>
      </c>
      <c r="AQ31">
        <v>1430731448</v>
      </c>
      <c r="AS31" t="s">
        <v>4</v>
      </c>
      <c r="CG31" t="s">
        <v>49</v>
      </c>
      <c r="CH31">
        <v>8</v>
      </c>
      <c r="CI31" t="s">
        <v>50</v>
      </c>
      <c r="CJ31" t="s">
        <v>336</v>
      </c>
    </row>
    <row r="32" spans="1:88" x14ac:dyDescent="0.25">
      <c r="A32" t="s">
        <v>331</v>
      </c>
      <c r="B32" t="s">
        <v>650</v>
      </c>
      <c r="C32" t="s">
        <v>651</v>
      </c>
      <c r="D32" t="s">
        <v>652</v>
      </c>
      <c r="F32">
        <v>9.6</v>
      </c>
      <c r="G32">
        <v>0</v>
      </c>
      <c r="H32" s="14">
        <v>9.6</v>
      </c>
      <c r="I32">
        <v>653470</v>
      </c>
      <c r="J32" t="s">
        <v>274</v>
      </c>
      <c r="K32" t="s">
        <v>653</v>
      </c>
      <c r="M32" t="s">
        <v>654</v>
      </c>
      <c r="N32" t="s">
        <v>655</v>
      </c>
      <c r="O32" t="s">
        <v>656</v>
      </c>
      <c r="P32" t="s">
        <v>327</v>
      </c>
      <c r="R32" t="s">
        <v>328</v>
      </c>
      <c r="S32" t="s">
        <v>329</v>
      </c>
      <c r="T32" t="s">
        <v>657</v>
      </c>
      <c r="U32">
        <v>678726</v>
      </c>
      <c r="V32" t="s">
        <v>46</v>
      </c>
      <c r="W32" t="s">
        <v>658</v>
      </c>
      <c r="Y32">
        <v>45041</v>
      </c>
      <c r="Z32" t="s">
        <v>48</v>
      </c>
      <c r="AA32" t="s">
        <v>28</v>
      </c>
      <c r="AB32" t="s">
        <v>659</v>
      </c>
      <c r="AC32" t="s">
        <v>669</v>
      </c>
      <c r="AD32" t="s">
        <v>670</v>
      </c>
      <c r="AE32" t="s">
        <v>744</v>
      </c>
      <c r="AF32" t="s">
        <v>710</v>
      </c>
      <c r="AG32" t="s">
        <v>330</v>
      </c>
      <c r="AH32" t="s">
        <v>745</v>
      </c>
      <c r="AI32" t="s">
        <v>141</v>
      </c>
      <c r="AJ32" t="s">
        <v>30</v>
      </c>
      <c r="AK32" t="s">
        <v>680</v>
      </c>
      <c r="AL32">
        <v>8</v>
      </c>
      <c r="AM32" t="s">
        <v>667</v>
      </c>
      <c r="AN32" t="s">
        <v>668</v>
      </c>
      <c r="AO32" s="14">
        <v>30</v>
      </c>
      <c r="AP32" t="s">
        <v>50</v>
      </c>
      <c r="AQ32">
        <v>1430767414</v>
      </c>
      <c r="AS32" t="s">
        <v>4</v>
      </c>
      <c r="CG32" t="s">
        <v>70</v>
      </c>
      <c r="CH32">
        <v>9.6</v>
      </c>
      <c r="CI32" t="s">
        <v>50</v>
      </c>
      <c r="CJ32" t="s">
        <v>331</v>
      </c>
    </row>
    <row r="33" spans="1:88" x14ac:dyDescent="0.25">
      <c r="A33" t="s">
        <v>388</v>
      </c>
      <c r="B33" t="s">
        <v>650</v>
      </c>
      <c r="C33" t="s">
        <v>651</v>
      </c>
      <c r="D33" t="s">
        <v>652</v>
      </c>
      <c r="F33">
        <v>12</v>
      </c>
      <c r="G33">
        <v>0</v>
      </c>
      <c r="H33" s="14">
        <v>12</v>
      </c>
      <c r="I33">
        <v>653470</v>
      </c>
      <c r="J33" t="s">
        <v>274</v>
      </c>
      <c r="K33" t="s">
        <v>653</v>
      </c>
      <c r="M33" t="s">
        <v>654</v>
      </c>
      <c r="N33" t="s">
        <v>655</v>
      </c>
      <c r="O33" t="s">
        <v>656</v>
      </c>
      <c r="P33" t="s">
        <v>382</v>
      </c>
      <c r="R33" t="s">
        <v>383</v>
      </c>
      <c r="S33" t="s">
        <v>384</v>
      </c>
      <c r="T33" t="s">
        <v>746</v>
      </c>
      <c r="U33">
        <v>847313</v>
      </c>
      <c r="V33" t="s">
        <v>385</v>
      </c>
      <c r="W33" t="s">
        <v>658</v>
      </c>
      <c r="Y33">
        <v>39849</v>
      </c>
      <c r="Z33" t="s">
        <v>387</v>
      </c>
      <c r="AA33" t="s">
        <v>39</v>
      </c>
      <c r="AB33" t="s">
        <v>659</v>
      </c>
      <c r="AC33" t="s">
        <v>669</v>
      </c>
      <c r="AD33" t="s">
        <v>670</v>
      </c>
      <c r="AE33" t="s">
        <v>703</v>
      </c>
      <c r="AF33" t="s">
        <v>704</v>
      </c>
      <c r="AG33" t="s">
        <v>386</v>
      </c>
      <c r="AH33" t="s">
        <v>747</v>
      </c>
      <c r="AI33" t="s">
        <v>684</v>
      </c>
      <c r="AJ33" t="s">
        <v>30</v>
      </c>
      <c r="AK33" t="s">
        <v>680</v>
      </c>
      <c r="AL33">
        <v>6</v>
      </c>
      <c r="AM33" t="s">
        <v>667</v>
      </c>
      <c r="AN33" t="s">
        <v>668</v>
      </c>
      <c r="AO33" s="14">
        <v>50</v>
      </c>
      <c r="AP33" t="s">
        <v>42</v>
      </c>
      <c r="AQ33">
        <v>1430789747</v>
      </c>
      <c r="AS33" t="s">
        <v>4</v>
      </c>
      <c r="CG33" t="s">
        <v>135</v>
      </c>
      <c r="CH33">
        <v>12</v>
      </c>
      <c r="CI33" t="s">
        <v>42</v>
      </c>
      <c r="CJ33" t="s">
        <v>388</v>
      </c>
    </row>
    <row r="34" spans="1:88" x14ac:dyDescent="0.25">
      <c r="A34" t="s">
        <v>388</v>
      </c>
      <c r="B34" t="s">
        <v>650</v>
      </c>
      <c r="C34" t="s">
        <v>651</v>
      </c>
      <c r="D34" t="s">
        <v>652</v>
      </c>
      <c r="F34">
        <v>8</v>
      </c>
      <c r="G34">
        <v>0</v>
      </c>
      <c r="H34" s="14">
        <v>8</v>
      </c>
      <c r="I34">
        <v>653470</v>
      </c>
      <c r="J34" t="s">
        <v>274</v>
      </c>
      <c r="K34" t="s">
        <v>653</v>
      </c>
      <c r="M34" t="s">
        <v>654</v>
      </c>
      <c r="N34" t="s">
        <v>655</v>
      </c>
      <c r="O34" t="s">
        <v>656</v>
      </c>
      <c r="P34" t="s">
        <v>449</v>
      </c>
      <c r="R34" t="s">
        <v>125</v>
      </c>
      <c r="S34" t="s">
        <v>450</v>
      </c>
      <c r="T34" t="s">
        <v>657</v>
      </c>
      <c r="U34">
        <v>678726</v>
      </c>
      <c r="V34" t="s">
        <v>46</v>
      </c>
      <c r="W34" t="s">
        <v>658</v>
      </c>
      <c r="Y34">
        <v>45041</v>
      </c>
      <c r="Z34" t="s">
        <v>48</v>
      </c>
      <c r="AA34" t="s">
        <v>28</v>
      </c>
      <c r="AB34" t="s">
        <v>659</v>
      </c>
      <c r="AC34" t="s">
        <v>669</v>
      </c>
      <c r="AD34" t="s">
        <v>670</v>
      </c>
      <c r="AE34" t="s">
        <v>672</v>
      </c>
      <c r="AF34" t="s">
        <v>715</v>
      </c>
      <c r="AG34" t="s">
        <v>451</v>
      </c>
      <c r="AH34" t="s">
        <v>748</v>
      </c>
      <c r="AI34" t="s">
        <v>129</v>
      </c>
      <c r="AJ34" t="s">
        <v>30</v>
      </c>
      <c r="AK34" t="s">
        <v>680</v>
      </c>
      <c r="AL34">
        <v>11</v>
      </c>
      <c r="AM34" t="s">
        <v>667</v>
      </c>
      <c r="AN34" t="s">
        <v>668</v>
      </c>
      <c r="AO34" s="14">
        <v>25</v>
      </c>
      <c r="AP34" t="s">
        <v>50</v>
      </c>
      <c r="AQ34">
        <v>1430787989</v>
      </c>
      <c r="AS34" t="s">
        <v>4</v>
      </c>
      <c r="CG34" t="s">
        <v>49</v>
      </c>
      <c r="CH34">
        <v>8</v>
      </c>
      <c r="CI34" t="s">
        <v>50</v>
      </c>
      <c r="CJ34" t="s">
        <v>388</v>
      </c>
    </row>
    <row r="35" spans="1:88" x14ac:dyDescent="0.25">
      <c r="A35" t="s">
        <v>388</v>
      </c>
      <c r="B35" t="s">
        <v>650</v>
      </c>
      <c r="C35" t="s">
        <v>651</v>
      </c>
      <c r="D35" t="s">
        <v>652</v>
      </c>
      <c r="F35">
        <v>16</v>
      </c>
      <c r="G35">
        <v>0</v>
      </c>
      <c r="H35" s="14">
        <v>16</v>
      </c>
      <c r="I35">
        <v>653470</v>
      </c>
      <c r="J35" t="s">
        <v>274</v>
      </c>
      <c r="K35" t="s">
        <v>653</v>
      </c>
      <c r="M35" t="s">
        <v>654</v>
      </c>
      <c r="N35" t="s">
        <v>655</v>
      </c>
      <c r="O35" t="s">
        <v>656</v>
      </c>
      <c r="P35" t="s">
        <v>508</v>
      </c>
      <c r="R35" t="s">
        <v>509</v>
      </c>
      <c r="S35" t="s">
        <v>260</v>
      </c>
      <c r="T35" t="s">
        <v>655</v>
      </c>
      <c r="U35">
        <v>820877</v>
      </c>
      <c r="V35" t="s">
        <v>146</v>
      </c>
      <c r="W35" t="s">
        <v>658</v>
      </c>
      <c r="Y35">
        <v>45041</v>
      </c>
      <c r="Z35" t="s">
        <v>48</v>
      </c>
      <c r="AA35" t="s">
        <v>39</v>
      </c>
      <c r="AB35" t="s">
        <v>659</v>
      </c>
      <c r="AC35" t="s">
        <v>669</v>
      </c>
      <c r="AD35" t="s">
        <v>670</v>
      </c>
      <c r="AE35" t="s">
        <v>749</v>
      </c>
      <c r="AF35" t="s">
        <v>710</v>
      </c>
      <c r="AG35" t="s">
        <v>510</v>
      </c>
      <c r="AH35" t="s">
        <v>750</v>
      </c>
      <c r="AI35" t="s">
        <v>684</v>
      </c>
      <c r="AJ35" t="s">
        <v>30</v>
      </c>
      <c r="AK35" t="s">
        <v>666</v>
      </c>
      <c r="AL35">
        <v>8</v>
      </c>
      <c r="AM35" t="s">
        <v>667</v>
      </c>
      <c r="AN35" t="s">
        <v>668</v>
      </c>
      <c r="AO35" s="14">
        <v>50</v>
      </c>
      <c r="AP35" t="s">
        <v>50</v>
      </c>
      <c r="AQ35">
        <v>1430645029</v>
      </c>
      <c r="AS35" t="s">
        <v>4</v>
      </c>
      <c r="CG35" t="s">
        <v>135</v>
      </c>
      <c r="CH35">
        <v>16</v>
      </c>
      <c r="CI35" t="s">
        <v>50</v>
      </c>
      <c r="CJ35" t="s">
        <v>388</v>
      </c>
    </row>
    <row r="36" spans="1:88" x14ac:dyDescent="0.25">
      <c r="A36" t="s">
        <v>388</v>
      </c>
      <c r="B36" t="s">
        <v>650</v>
      </c>
      <c r="C36" t="s">
        <v>651</v>
      </c>
      <c r="D36" t="s">
        <v>652</v>
      </c>
      <c r="F36">
        <v>6</v>
      </c>
      <c r="G36">
        <v>0</v>
      </c>
      <c r="H36" s="14">
        <v>6</v>
      </c>
      <c r="I36">
        <v>653470</v>
      </c>
      <c r="J36" t="s">
        <v>274</v>
      </c>
      <c r="K36" t="s">
        <v>653</v>
      </c>
      <c r="M36" t="s">
        <v>654</v>
      </c>
      <c r="N36" t="s">
        <v>655</v>
      </c>
      <c r="O36" t="s">
        <v>656</v>
      </c>
      <c r="P36" t="s">
        <v>452</v>
      </c>
      <c r="R36" t="s">
        <v>453</v>
      </c>
      <c r="S36" t="s">
        <v>454</v>
      </c>
      <c r="T36" t="s">
        <v>655</v>
      </c>
      <c r="U36">
        <v>689390</v>
      </c>
      <c r="V36" t="s">
        <v>36</v>
      </c>
      <c r="W36" t="s">
        <v>658</v>
      </c>
      <c r="Y36">
        <v>38796</v>
      </c>
      <c r="Z36" t="s">
        <v>87</v>
      </c>
      <c r="AA36" t="s">
        <v>28</v>
      </c>
      <c r="AB36" t="s">
        <v>659</v>
      </c>
      <c r="AC36" t="s">
        <v>669</v>
      </c>
      <c r="AD36" t="s">
        <v>670</v>
      </c>
      <c r="AE36" t="s">
        <v>751</v>
      </c>
      <c r="AF36" t="s">
        <v>752</v>
      </c>
      <c r="AG36" t="s">
        <v>455</v>
      </c>
      <c r="AH36" t="s">
        <v>753</v>
      </c>
      <c r="AI36" t="s">
        <v>65</v>
      </c>
      <c r="AJ36" t="s">
        <v>30</v>
      </c>
      <c r="AK36" t="s">
        <v>666</v>
      </c>
      <c r="AL36">
        <v>16</v>
      </c>
      <c r="AM36" t="s">
        <v>667</v>
      </c>
      <c r="AN36" t="s">
        <v>668</v>
      </c>
      <c r="AO36" s="14">
        <v>25</v>
      </c>
      <c r="AP36" t="s">
        <v>42</v>
      </c>
      <c r="AQ36">
        <v>1430647842</v>
      </c>
      <c r="AS36" t="s">
        <v>4</v>
      </c>
      <c r="CG36" t="s">
        <v>49</v>
      </c>
      <c r="CH36">
        <v>6</v>
      </c>
      <c r="CI36" t="s">
        <v>42</v>
      </c>
      <c r="CJ36" t="s">
        <v>388</v>
      </c>
    </row>
    <row r="37" spans="1:88" x14ac:dyDescent="0.25">
      <c r="A37" t="s">
        <v>570</v>
      </c>
      <c r="B37" t="s">
        <v>650</v>
      </c>
      <c r="C37" t="s">
        <v>651</v>
      </c>
      <c r="D37" t="s">
        <v>652</v>
      </c>
      <c r="F37">
        <v>9.6</v>
      </c>
      <c r="G37">
        <v>0</v>
      </c>
      <c r="H37" s="14">
        <v>9.6</v>
      </c>
      <c r="I37">
        <v>653470</v>
      </c>
      <c r="J37" t="s">
        <v>274</v>
      </c>
      <c r="K37" t="s">
        <v>653</v>
      </c>
      <c r="M37" t="s">
        <v>654</v>
      </c>
      <c r="N37" t="s">
        <v>655</v>
      </c>
      <c r="O37" t="s">
        <v>656</v>
      </c>
      <c r="P37" t="s">
        <v>566</v>
      </c>
      <c r="R37" t="s">
        <v>567</v>
      </c>
      <c r="S37" t="s">
        <v>568</v>
      </c>
      <c r="T37" t="s">
        <v>655</v>
      </c>
      <c r="U37">
        <v>689390</v>
      </c>
      <c r="V37" t="s">
        <v>36</v>
      </c>
      <c r="W37" t="s">
        <v>658</v>
      </c>
      <c r="Y37">
        <v>45041</v>
      </c>
      <c r="Z37" t="s">
        <v>48</v>
      </c>
      <c r="AA37" t="s">
        <v>28</v>
      </c>
      <c r="AB37" t="s">
        <v>659</v>
      </c>
      <c r="AC37" t="s">
        <v>669</v>
      </c>
      <c r="AD37" t="s">
        <v>670</v>
      </c>
      <c r="AE37" t="s">
        <v>754</v>
      </c>
      <c r="AF37" t="s">
        <v>675</v>
      </c>
      <c r="AG37" t="s">
        <v>569</v>
      </c>
      <c r="AH37" t="s">
        <v>755</v>
      </c>
      <c r="AI37" t="s">
        <v>141</v>
      </c>
      <c r="AJ37" t="s">
        <v>30</v>
      </c>
      <c r="AK37" t="s">
        <v>666</v>
      </c>
      <c r="AL37">
        <v>7</v>
      </c>
      <c r="AM37" t="s">
        <v>667</v>
      </c>
      <c r="AN37" t="s">
        <v>668</v>
      </c>
      <c r="AO37" s="14">
        <v>30</v>
      </c>
      <c r="AP37" t="s">
        <v>50</v>
      </c>
      <c r="AQ37">
        <v>1430667485</v>
      </c>
      <c r="AS37" t="s">
        <v>4</v>
      </c>
      <c r="CG37" t="s">
        <v>70</v>
      </c>
      <c r="CH37">
        <v>9.6</v>
      </c>
      <c r="CI37" t="s">
        <v>50</v>
      </c>
      <c r="CJ37" t="s">
        <v>570</v>
      </c>
    </row>
    <row r="38" spans="1:88" x14ac:dyDescent="0.25">
      <c r="A38" t="s">
        <v>546</v>
      </c>
      <c r="B38" t="s">
        <v>650</v>
      </c>
      <c r="C38" t="s">
        <v>651</v>
      </c>
      <c r="D38" t="s">
        <v>652</v>
      </c>
      <c r="F38">
        <v>13.2</v>
      </c>
      <c r="G38">
        <v>0</v>
      </c>
      <c r="H38" s="14">
        <v>13.2</v>
      </c>
      <c r="I38">
        <v>653470</v>
      </c>
      <c r="J38" t="s">
        <v>274</v>
      </c>
      <c r="K38" t="s">
        <v>653</v>
      </c>
      <c r="M38" t="s">
        <v>654</v>
      </c>
      <c r="N38" t="s">
        <v>655</v>
      </c>
      <c r="O38" t="s">
        <v>656</v>
      </c>
      <c r="P38" t="s">
        <v>559</v>
      </c>
      <c r="R38" t="s">
        <v>560</v>
      </c>
      <c r="S38" t="s">
        <v>561</v>
      </c>
      <c r="T38" t="s">
        <v>702</v>
      </c>
      <c r="U38">
        <v>884716</v>
      </c>
      <c r="V38" t="s">
        <v>562</v>
      </c>
      <c r="W38" t="s">
        <v>658</v>
      </c>
      <c r="Y38">
        <v>42250</v>
      </c>
      <c r="Z38" t="s">
        <v>564</v>
      </c>
      <c r="AA38" t="s">
        <v>28</v>
      </c>
      <c r="AB38" t="s">
        <v>659</v>
      </c>
      <c r="AC38" t="s">
        <v>669</v>
      </c>
      <c r="AD38" t="s">
        <v>670</v>
      </c>
      <c r="AE38" t="s">
        <v>756</v>
      </c>
      <c r="AF38" t="s">
        <v>210</v>
      </c>
      <c r="AG38" t="s">
        <v>563</v>
      </c>
      <c r="AH38" t="s">
        <v>757</v>
      </c>
      <c r="AI38" t="s">
        <v>758</v>
      </c>
      <c r="AJ38" t="s">
        <v>30</v>
      </c>
      <c r="AK38" t="s">
        <v>680</v>
      </c>
      <c r="AL38">
        <v>2</v>
      </c>
      <c r="AM38" t="s">
        <v>667</v>
      </c>
      <c r="AN38" t="s">
        <v>668</v>
      </c>
      <c r="AO38" s="14">
        <v>55</v>
      </c>
      <c r="AP38" t="s">
        <v>42</v>
      </c>
      <c r="AQ38">
        <v>1430810886</v>
      </c>
      <c r="AS38" t="s">
        <v>4</v>
      </c>
      <c r="CG38" t="s">
        <v>565</v>
      </c>
      <c r="CH38">
        <v>13.2</v>
      </c>
      <c r="CI38" t="s">
        <v>42</v>
      </c>
      <c r="CJ38" t="s">
        <v>546</v>
      </c>
    </row>
    <row r="39" spans="1:88" x14ac:dyDescent="0.25">
      <c r="A39" t="s">
        <v>546</v>
      </c>
      <c r="B39" t="s">
        <v>650</v>
      </c>
      <c r="C39" t="s">
        <v>651</v>
      </c>
      <c r="D39" t="s">
        <v>652</v>
      </c>
      <c r="F39">
        <v>16</v>
      </c>
      <c r="G39">
        <v>0</v>
      </c>
      <c r="H39" s="14">
        <v>16</v>
      </c>
      <c r="I39">
        <v>653470</v>
      </c>
      <c r="J39" t="s">
        <v>274</v>
      </c>
      <c r="K39" t="s">
        <v>653</v>
      </c>
      <c r="M39" t="s">
        <v>654</v>
      </c>
      <c r="N39" t="s">
        <v>655</v>
      </c>
      <c r="O39" t="s">
        <v>656</v>
      </c>
      <c r="P39" t="s">
        <v>555</v>
      </c>
      <c r="R39" t="s">
        <v>556</v>
      </c>
      <c r="S39" t="s">
        <v>557</v>
      </c>
      <c r="T39" t="s">
        <v>657</v>
      </c>
      <c r="U39">
        <v>678726</v>
      </c>
      <c r="V39" t="s">
        <v>46</v>
      </c>
      <c r="W39" t="s">
        <v>658</v>
      </c>
      <c r="Y39">
        <v>45041</v>
      </c>
      <c r="Z39" t="s">
        <v>48</v>
      </c>
      <c r="AA39" t="s">
        <v>39</v>
      </c>
      <c r="AB39" t="s">
        <v>659</v>
      </c>
      <c r="AC39" t="s">
        <v>669</v>
      </c>
      <c r="AD39" t="s">
        <v>670</v>
      </c>
      <c r="AE39" t="s">
        <v>725</v>
      </c>
      <c r="AF39" t="s">
        <v>707</v>
      </c>
      <c r="AG39" t="s">
        <v>558</v>
      </c>
      <c r="AH39" t="s">
        <v>759</v>
      </c>
      <c r="AI39" t="s">
        <v>684</v>
      </c>
      <c r="AJ39" t="s">
        <v>30</v>
      </c>
      <c r="AK39" t="s">
        <v>680</v>
      </c>
      <c r="AL39">
        <v>10</v>
      </c>
      <c r="AM39" t="s">
        <v>667</v>
      </c>
      <c r="AN39" t="s">
        <v>668</v>
      </c>
      <c r="AO39" s="14">
        <v>50</v>
      </c>
      <c r="AP39" t="s">
        <v>50</v>
      </c>
      <c r="AQ39">
        <v>1430812284</v>
      </c>
      <c r="AS39" t="s">
        <v>4</v>
      </c>
      <c r="CG39" t="s">
        <v>135</v>
      </c>
      <c r="CH39">
        <v>16</v>
      </c>
      <c r="CI39" t="s">
        <v>50</v>
      </c>
      <c r="CJ39" t="s">
        <v>546</v>
      </c>
    </row>
    <row r="40" spans="1:88" x14ac:dyDescent="0.25">
      <c r="A40" t="s">
        <v>546</v>
      </c>
      <c r="B40" t="s">
        <v>650</v>
      </c>
      <c r="C40" t="s">
        <v>651</v>
      </c>
      <c r="D40" t="s">
        <v>652</v>
      </c>
      <c r="F40">
        <v>8</v>
      </c>
      <c r="G40">
        <v>0</v>
      </c>
      <c r="H40" s="14">
        <v>8</v>
      </c>
      <c r="I40">
        <v>653470</v>
      </c>
      <c r="J40" t="s">
        <v>274</v>
      </c>
      <c r="K40" t="s">
        <v>653</v>
      </c>
      <c r="M40" t="s">
        <v>654</v>
      </c>
      <c r="N40" t="s">
        <v>655</v>
      </c>
      <c r="O40" t="s">
        <v>656</v>
      </c>
      <c r="P40" t="s">
        <v>551</v>
      </c>
      <c r="R40" t="s">
        <v>552</v>
      </c>
      <c r="S40" t="s">
        <v>553</v>
      </c>
      <c r="T40" t="s">
        <v>657</v>
      </c>
      <c r="U40">
        <v>678726</v>
      </c>
      <c r="V40" t="s">
        <v>46</v>
      </c>
      <c r="W40" t="s">
        <v>658</v>
      </c>
      <c r="Y40">
        <v>45041</v>
      </c>
      <c r="Z40" t="s">
        <v>48</v>
      </c>
      <c r="AA40" t="s">
        <v>28</v>
      </c>
      <c r="AB40" t="s">
        <v>659</v>
      </c>
      <c r="AC40" t="s">
        <v>669</v>
      </c>
      <c r="AD40" t="s">
        <v>670</v>
      </c>
      <c r="AE40" t="s">
        <v>706</v>
      </c>
      <c r="AF40" t="s">
        <v>707</v>
      </c>
      <c r="AG40" t="s">
        <v>554</v>
      </c>
      <c r="AH40" t="s">
        <v>760</v>
      </c>
      <c r="AI40" t="s">
        <v>129</v>
      </c>
      <c r="AJ40" t="s">
        <v>30</v>
      </c>
      <c r="AK40" t="s">
        <v>680</v>
      </c>
      <c r="AL40">
        <v>10</v>
      </c>
      <c r="AM40" t="s">
        <v>667</v>
      </c>
      <c r="AN40" t="s">
        <v>668</v>
      </c>
      <c r="AO40" s="14">
        <v>25</v>
      </c>
      <c r="AP40" t="s">
        <v>50</v>
      </c>
      <c r="AQ40">
        <v>1430812228</v>
      </c>
      <c r="AS40" t="s">
        <v>4</v>
      </c>
      <c r="CG40" t="s">
        <v>49</v>
      </c>
      <c r="CH40">
        <v>8</v>
      </c>
      <c r="CI40" t="s">
        <v>50</v>
      </c>
      <c r="CJ40" t="s">
        <v>546</v>
      </c>
    </row>
    <row r="41" spans="1:88" x14ac:dyDescent="0.25">
      <c r="A41" t="s">
        <v>546</v>
      </c>
      <c r="B41" t="s">
        <v>650</v>
      </c>
      <c r="C41" t="s">
        <v>651</v>
      </c>
      <c r="D41" t="s">
        <v>652</v>
      </c>
      <c r="F41">
        <v>6</v>
      </c>
      <c r="G41">
        <v>0</v>
      </c>
      <c r="H41" s="14">
        <v>6</v>
      </c>
      <c r="I41">
        <v>653470</v>
      </c>
      <c r="J41" t="s">
        <v>274</v>
      </c>
      <c r="K41" t="s">
        <v>653</v>
      </c>
      <c r="M41" t="s">
        <v>654</v>
      </c>
      <c r="N41" t="s">
        <v>655</v>
      </c>
      <c r="O41" t="s">
        <v>656</v>
      </c>
      <c r="P41" t="s">
        <v>547</v>
      </c>
      <c r="R41" t="s">
        <v>548</v>
      </c>
      <c r="S41" t="s">
        <v>549</v>
      </c>
      <c r="T41" t="s">
        <v>702</v>
      </c>
      <c r="U41">
        <v>760338</v>
      </c>
      <c r="V41" t="s">
        <v>139</v>
      </c>
      <c r="W41" t="s">
        <v>658</v>
      </c>
      <c r="Y41">
        <v>38796</v>
      </c>
      <c r="Z41" t="s">
        <v>87</v>
      </c>
      <c r="AA41" t="s">
        <v>28</v>
      </c>
      <c r="AB41" t="s">
        <v>659</v>
      </c>
      <c r="AC41" t="s">
        <v>669</v>
      </c>
      <c r="AD41" t="s">
        <v>670</v>
      </c>
      <c r="AE41" t="s">
        <v>709</v>
      </c>
      <c r="AF41" t="s">
        <v>710</v>
      </c>
      <c r="AG41" t="s">
        <v>550</v>
      </c>
      <c r="AH41" t="s">
        <v>761</v>
      </c>
      <c r="AI41" t="s">
        <v>129</v>
      </c>
      <c r="AJ41" t="s">
        <v>30</v>
      </c>
      <c r="AK41" t="s">
        <v>680</v>
      </c>
      <c r="AL41">
        <v>8</v>
      </c>
      <c r="AM41" t="s">
        <v>667</v>
      </c>
      <c r="AN41" t="s">
        <v>668</v>
      </c>
      <c r="AO41" s="14">
        <v>25</v>
      </c>
      <c r="AP41" t="s">
        <v>42</v>
      </c>
      <c r="AQ41">
        <v>1430811831</v>
      </c>
      <c r="AS41" t="s">
        <v>4</v>
      </c>
      <c r="CG41" t="s">
        <v>49</v>
      </c>
      <c r="CH41">
        <v>6</v>
      </c>
      <c r="CI41" t="s">
        <v>42</v>
      </c>
      <c r="CJ41" t="s">
        <v>546</v>
      </c>
    </row>
    <row r="42" spans="1:88" x14ac:dyDescent="0.25">
      <c r="A42" t="s">
        <v>546</v>
      </c>
      <c r="B42" t="s">
        <v>650</v>
      </c>
      <c r="C42" t="s">
        <v>651</v>
      </c>
      <c r="D42" t="s">
        <v>652</v>
      </c>
      <c r="F42">
        <v>22.32</v>
      </c>
      <c r="G42">
        <v>0</v>
      </c>
      <c r="H42" s="14">
        <v>22.32</v>
      </c>
      <c r="I42">
        <v>653470</v>
      </c>
      <c r="J42" t="s">
        <v>274</v>
      </c>
      <c r="K42" t="s">
        <v>653</v>
      </c>
      <c r="M42" t="s">
        <v>654</v>
      </c>
      <c r="N42" t="s">
        <v>655</v>
      </c>
      <c r="O42" t="s">
        <v>656</v>
      </c>
      <c r="P42" t="s">
        <v>542</v>
      </c>
      <c r="R42" t="s">
        <v>543</v>
      </c>
      <c r="S42" t="s">
        <v>544</v>
      </c>
      <c r="T42" t="s">
        <v>762</v>
      </c>
      <c r="U42">
        <v>703501</v>
      </c>
      <c r="V42" t="s">
        <v>85</v>
      </c>
      <c r="W42" t="s">
        <v>658</v>
      </c>
      <c r="Y42">
        <v>38796</v>
      </c>
      <c r="Z42" t="s">
        <v>87</v>
      </c>
      <c r="AA42" t="s">
        <v>106</v>
      </c>
      <c r="AB42" t="s">
        <v>659</v>
      </c>
      <c r="AC42" t="s">
        <v>669</v>
      </c>
      <c r="AD42" t="s">
        <v>670</v>
      </c>
      <c r="AE42" t="s">
        <v>763</v>
      </c>
      <c r="AF42" t="s">
        <v>764</v>
      </c>
      <c r="AG42" t="s">
        <v>545</v>
      </c>
      <c r="AH42" t="s">
        <v>765</v>
      </c>
      <c r="AI42" t="s">
        <v>766</v>
      </c>
      <c r="AJ42" t="s">
        <v>30</v>
      </c>
      <c r="AK42" t="s">
        <v>666</v>
      </c>
      <c r="AL42">
        <v>14</v>
      </c>
      <c r="AM42" t="s">
        <v>667</v>
      </c>
      <c r="AN42" t="s">
        <v>668</v>
      </c>
      <c r="AO42" s="14">
        <v>93</v>
      </c>
      <c r="AP42" t="s">
        <v>42</v>
      </c>
      <c r="AQ42">
        <v>1430679097</v>
      </c>
      <c r="AS42" t="s">
        <v>4</v>
      </c>
      <c r="CG42" t="s">
        <v>316</v>
      </c>
      <c r="CH42">
        <v>22.32</v>
      </c>
      <c r="CI42" t="s">
        <v>42</v>
      </c>
      <c r="CJ42" t="s">
        <v>546</v>
      </c>
    </row>
    <row r="43" spans="1:88" x14ac:dyDescent="0.25">
      <c r="A43" t="s">
        <v>524</v>
      </c>
      <c r="B43" t="s">
        <v>650</v>
      </c>
      <c r="C43" t="s">
        <v>651</v>
      </c>
      <c r="D43" t="s">
        <v>652</v>
      </c>
      <c r="F43">
        <v>8</v>
      </c>
      <c r="G43">
        <v>0</v>
      </c>
      <c r="H43" s="14">
        <v>8</v>
      </c>
      <c r="I43">
        <v>653470</v>
      </c>
      <c r="J43" t="s">
        <v>274</v>
      </c>
      <c r="K43" t="s">
        <v>653</v>
      </c>
      <c r="M43" t="s">
        <v>654</v>
      </c>
      <c r="N43" t="s">
        <v>655</v>
      </c>
      <c r="O43" t="s">
        <v>656</v>
      </c>
      <c r="P43" t="s">
        <v>538</v>
      </c>
      <c r="R43" t="s">
        <v>539</v>
      </c>
      <c r="S43" t="s">
        <v>540</v>
      </c>
      <c r="T43" t="s">
        <v>657</v>
      </c>
      <c r="U43">
        <v>678726</v>
      </c>
      <c r="V43" t="s">
        <v>46</v>
      </c>
      <c r="W43" t="s">
        <v>658</v>
      </c>
      <c r="Y43">
        <v>45041</v>
      </c>
      <c r="Z43" t="s">
        <v>48</v>
      </c>
      <c r="AA43" t="s">
        <v>28</v>
      </c>
      <c r="AB43" t="s">
        <v>659</v>
      </c>
      <c r="AC43" t="s">
        <v>669</v>
      </c>
      <c r="AD43" t="s">
        <v>670</v>
      </c>
      <c r="AE43" t="s">
        <v>767</v>
      </c>
      <c r="AF43" t="s">
        <v>682</v>
      </c>
      <c r="AG43" t="s">
        <v>541</v>
      </c>
      <c r="AH43" t="s">
        <v>768</v>
      </c>
      <c r="AI43" t="s">
        <v>129</v>
      </c>
      <c r="AJ43" t="s">
        <v>30</v>
      </c>
      <c r="AK43" t="s">
        <v>666</v>
      </c>
      <c r="AL43">
        <v>9</v>
      </c>
      <c r="AM43" t="s">
        <v>667</v>
      </c>
      <c r="AN43" t="s">
        <v>668</v>
      </c>
      <c r="AO43" s="14">
        <v>25</v>
      </c>
      <c r="AP43" t="s">
        <v>50</v>
      </c>
      <c r="AQ43">
        <v>1430708486</v>
      </c>
      <c r="AS43" t="s">
        <v>4</v>
      </c>
      <c r="CG43" t="s">
        <v>49</v>
      </c>
      <c r="CH43">
        <v>8</v>
      </c>
      <c r="CI43" t="s">
        <v>50</v>
      </c>
      <c r="CJ43" t="s">
        <v>524</v>
      </c>
    </row>
    <row r="44" spans="1:88" x14ac:dyDescent="0.25">
      <c r="A44" t="s">
        <v>524</v>
      </c>
      <c r="B44" t="s">
        <v>650</v>
      </c>
      <c r="C44" t="s">
        <v>651</v>
      </c>
      <c r="D44" t="s">
        <v>652</v>
      </c>
      <c r="F44">
        <v>4.07</v>
      </c>
      <c r="G44">
        <v>0</v>
      </c>
      <c r="H44" s="14">
        <v>4.07</v>
      </c>
      <c r="I44">
        <v>653470</v>
      </c>
      <c r="J44" t="s">
        <v>274</v>
      </c>
      <c r="K44" t="s">
        <v>653</v>
      </c>
      <c r="M44" t="s">
        <v>654</v>
      </c>
      <c r="N44" t="s">
        <v>655</v>
      </c>
      <c r="O44" t="s">
        <v>656</v>
      </c>
      <c r="P44" t="s">
        <v>534</v>
      </c>
      <c r="R44" t="s">
        <v>535</v>
      </c>
      <c r="S44" t="s">
        <v>536</v>
      </c>
      <c r="T44" t="s">
        <v>657</v>
      </c>
      <c r="U44">
        <v>678726</v>
      </c>
      <c r="V44" t="s">
        <v>46</v>
      </c>
      <c r="W44" t="s">
        <v>658</v>
      </c>
      <c r="Y44">
        <v>38593</v>
      </c>
      <c r="Z44" t="s">
        <v>27</v>
      </c>
      <c r="AA44" t="s">
        <v>28</v>
      </c>
      <c r="AB44" t="s">
        <v>659</v>
      </c>
      <c r="AC44" t="s">
        <v>660</v>
      </c>
      <c r="AD44" t="s">
        <v>661</v>
      </c>
      <c r="AE44" t="s">
        <v>769</v>
      </c>
      <c r="AF44" t="s">
        <v>675</v>
      </c>
      <c r="AG44" t="s">
        <v>537</v>
      </c>
      <c r="AH44" t="s">
        <v>770</v>
      </c>
      <c r="AI44" t="s">
        <v>697</v>
      </c>
      <c r="AJ44" t="s">
        <v>30</v>
      </c>
      <c r="AK44" t="s">
        <v>666</v>
      </c>
      <c r="AL44">
        <v>7</v>
      </c>
      <c r="AM44" t="s">
        <v>667</v>
      </c>
      <c r="AN44" t="s">
        <v>668</v>
      </c>
      <c r="AO44" s="14">
        <v>11</v>
      </c>
      <c r="AP44" t="s">
        <v>32</v>
      </c>
      <c r="AQ44">
        <v>1430692578</v>
      </c>
      <c r="AS44" t="s">
        <v>4</v>
      </c>
      <c r="CG44" t="s">
        <v>31</v>
      </c>
      <c r="CH44">
        <v>4.07</v>
      </c>
      <c r="CI44" t="s">
        <v>32</v>
      </c>
      <c r="CJ44" t="s">
        <v>524</v>
      </c>
    </row>
    <row r="45" spans="1:88" x14ac:dyDescent="0.25">
      <c r="A45" t="s">
        <v>524</v>
      </c>
      <c r="B45" t="s">
        <v>650</v>
      </c>
      <c r="C45" t="s">
        <v>651</v>
      </c>
      <c r="D45" t="s">
        <v>652</v>
      </c>
      <c r="F45">
        <v>8</v>
      </c>
      <c r="G45">
        <v>0</v>
      </c>
      <c r="H45" s="14">
        <v>8</v>
      </c>
      <c r="I45">
        <v>653470</v>
      </c>
      <c r="J45" t="s">
        <v>274</v>
      </c>
      <c r="K45" t="s">
        <v>653</v>
      </c>
      <c r="M45" t="s">
        <v>654</v>
      </c>
      <c r="N45" t="s">
        <v>655</v>
      </c>
      <c r="O45" t="s">
        <v>656</v>
      </c>
      <c r="P45" t="s">
        <v>531</v>
      </c>
      <c r="R45" t="s">
        <v>184</v>
      </c>
      <c r="S45" t="s">
        <v>532</v>
      </c>
      <c r="T45" t="s">
        <v>657</v>
      </c>
      <c r="U45">
        <v>678726</v>
      </c>
      <c r="V45" t="s">
        <v>46</v>
      </c>
      <c r="W45" t="s">
        <v>658</v>
      </c>
      <c r="Y45">
        <v>45041</v>
      </c>
      <c r="Z45" t="s">
        <v>48</v>
      </c>
      <c r="AA45" t="s">
        <v>28</v>
      </c>
      <c r="AB45" t="s">
        <v>659</v>
      </c>
      <c r="AC45" t="s">
        <v>669</v>
      </c>
      <c r="AD45" t="s">
        <v>670</v>
      </c>
      <c r="AE45" t="s">
        <v>771</v>
      </c>
      <c r="AF45" t="s">
        <v>675</v>
      </c>
      <c r="AG45" t="s">
        <v>533</v>
      </c>
      <c r="AH45" t="s">
        <v>772</v>
      </c>
      <c r="AI45" t="s">
        <v>129</v>
      </c>
      <c r="AJ45" t="s">
        <v>30</v>
      </c>
      <c r="AK45" t="s">
        <v>666</v>
      </c>
      <c r="AL45">
        <v>11</v>
      </c>
      <c r="AM45" t="s">
        <v>773</v>
      </c>
      <c r="AN45" t="s">
        <v>774</v>
      </c>
      <c r="AO45" s="14">
        <v>25</v>
      </c>
      <c r="AP45" t="s">
        <v>50</v>
      </c>
      <c r="AQ45">
        <v>1430692075</v>
      </c>
      <c r="AS45" t="s">
        <v>4</v>
      </c>
      <c r="CG45" t="s">
        <v>49</v>
      </c>
      <c r="CH45">
        <v>8</v>
      </c>
      <c r="CI45" t="s">
        <v>50</v>
      </c>
      <c r="CJ45" t="s">
        <v>524</v>
      </c>
    </row>
    <row r="46" spans="1:88" x14ac:dyDescent="0.25">
      <c r="A46" t="s">
        <v>524</v>
      </c>
      <c r="B46" t="s">
        <v>650</v>
      </c>
      <c r="C46" t="s">
        <v>651</v>
      </c>
      <c r="D46" t="s">
        <v>652</v>
      </c>
      <c r="F46">
        <v>4.07</v>
      </c>
      <c r="G46">
        <v>0</v>
      </c>
      <c r="H46" s="14">
        <v>4.07</v>
      </c>
      <c r="I46">
        <v>653470</v>
      </c>
      <c r="J46" t="s">
        <v>274</v>
      </c>
      <c r="K46" t="s">
        <v>653</v>
      </c>
      <c r="M46" t="s">
        <v>654</v>
      </c>
      <c r="N46" t="s">
        <v>655</v>
      </c>
      <c r="O46" t="s">
        <v>656</v>
      </c>
      <c r="P46" t="s">
        <v>526</v>
      </c>
      <c r="R46" t="s">
        <v>527</v>
      </c>
      <c r="S46" t="s">
        <v>528</v>
      </c>
      <c r="T46" t="s">
        <v>657</v>
      </c>
      <c r="U46">
        <v>798992</v>
      </c>
      <c r="V46" t="s">
        <v>54</v>
      </c>
      <c r="W46" t="s">
        <v>658</v>
      </c>
      <c r="Y46">
        <v>38593</v>
      </c>
      <c r="Z46" t="s">
        <v>27</v>
      </c>
      <c r="AA46" t="s">
        <v>28</v>
      </c>
      <c r="AB46" t="s">
        <v>659</v>
      </c>
      <c r="AC46" t="s">
        <v>660</v>
      </c>
      <c r="AD46" t="s">
        <v>661</v>
      </c>
      <c r="AE46" t="s">
        <v>775</v>
      </c>
      <c r="AF46" t="s">
        <v>675</v>
      </c>
      <c r="AG46" t="s">
        <v>530</v>
      </c>
      <c r="AH46" t="s">
        <v>776</v>
      </c>
      <c r="AI46" t="s">
        <v>687</v>
      </c>
      <c r="AJ46" t="s">
        <v>30</v>
      </c>
      <c r="AK46" t="s">
        <v>680</v>
      </c>
      <c r="AL46">
        <v>7</v>
      </c>
      <c r="AM46" t="s">
        <v>667</v>
      </c>
      <c r="AN46" t="s">
        <v>668</v>
      </c>
      <c r="AO46" s="14">
        <v>11</v>
      </c>
      <c r="AP46" t="s">
        <v>32</v>
      </c>
      <c r="AQ46">
        <v>1430825037</v>
      </c>
      <c r="AS46" t="s">
        <v>4</v>
      </c>
      <c r="CG46" t="s">
        <v>31</v>
      </c>
      <c r="CH46">
        <v>4.07</v>
      </c>
      <c r="CI46" t="s">
        <v>32</v>
      </c>
      <c r="CJ46" t="s">
        <v>524</v>
      </c>
    </row>
    <row r="47" spans="1:88" x14ac:dyDescent="0.25">
      <c r="A47" t="s">
        <v>524</v>
      </c>
      <c r="B47" t="s">
        <v>650</v>
      </c>
      <c r="C47" t="s">
        <v>651</v>
      </c>
      <c r="D47" t="s">
        <v>652</v>
      </c>
      <c r="F47">
        <v>8</v>
      </c>
      <c r="G47">
        <v>0</v>
      </c>
      <c r="H47" s="14">
        <v>8</v>
      </c>
      <c r="I47">
        <v>653470</v>
      </c>
      <c r="J47" t="s">
        <v>274</v>
      </c>
      <c r="K47" t="s">
        <v>653</v>
      </c>
      <c r="M47" t="s">
        <v>654</v>
      </c>
      <c r="N47" t="s">
        <v>655</v>
      </c>
      <c r="O47" t="s">
        <v>656</v>
      </c>
      <c r="P47" t="s">
        <v>526</v>
      </c>
      <c r="R47" t="s">
        <v>527</v>
      </c>
      <c r="S47" t="s">
        <v>528</v>
      </c>
      <c r="T47" t="s">
        <v>657</v>
      </c>
      <c r="U47">
        <v>798992</v>
      </c>
      <c r="V47" t="s">
        <v>54</v>
      </c>
      <c r="W47" t="s">
        <v>658</v>
      </c>
      <c r="Y47">
        <v>45041</v>
      </c>
      <c r="Z47" t="s">
        <v>48</v>
      </c>
      <c r="AA47" t="s">
        <v>28</v>
      </c>
      <c r="AB47" t="s">
        <v>659</v>
      </c>
      <c r="AC47" t="s">
        <v>669</v>
      </c>
      <c r="AD47" t="s">
        <v>670</v>
      </c>
      <c r="AE47" t="s">
        <v>775</v>
      </c>
      <c r="AF47" t="s">
        <v>675</v>
      </c>
      <c r="AG47" t="s">
        <v>529</v>
      </c>
      <c r="AH47" t="s">
        <v>776</v>
      </c>
      <c r="AI47" t="s">
        <v>687</v>
      </c>
      <c r="AJ47" t="s">
        <v>30</v>
      </c>
      <c r="AK47" t="s">
        <v>680</v>
      </c>
      <c r="AL47">
        <v>7</v>
      </c>
      <c r="AM47" t="s">
        <v>667</v>
      </c>
      <c r="AN47" t="s">
        <v>668</v>
      </c>
      <c r="AO47" s="14">
        <v>25</v>
      </c>
      <c r="AP47" t="s">
        <v>50</v>
      </c>
      <c r="AQ47">
        <v>1430825042</v>
      </c>
      <c r="AS47" t="s">
        <v>4</v>
      </c>
      <c r="CG47" t="s">
        <v>49</v>
      </c>
      <c r="CH47">
        <v>8</v>
      </c>
      <c r="CI47" t="s">
        <v>50</v>
      </c>
      <c r="CJ47" t="s">
        <v>524</v>
      </c>
    </row>
    <row r="48" spans="1:88" x14ac:dyDescent="0.25">
      <c r="A48" t="s">
        <v>524</v>
      </c>
      <c r="B48" t="s">
        <v>650</v>
      </c>
      <c r="C48" t="s">
        <v>651</v>
      </c>
      <c r="D48" t="s">
        <v>652</v>
      </c>
      <c r="F48">
        <v>5.55</v>
      </c>
      <c r="G48">
        <v>0</v>
      </c>
      <c r="H48" s="14">
        <v>5.55</v>
      </c>
      <c r="I48">
        <v>653470</v>
      </c>
      <c r="J48" t="s">
        <v>274</v>
      </c>
      <c r="K48" t="s">
        <v>653</v>
      </c>
      <c r="M48" t="s">
        <v>654</v>
      </c>
      <c r="N48" t="s">
        <v>655</v>
      </c>
      <c r="O48" t="s">
        <v>656</v>
      </c>
      <c r="P48" t="s">
        <v>520</v>
      </c>
      <c r="R48" t="s">
        <v>521</v>
      </c>
      <c r="S48" t="s">
        <v>522</v>
      </c>
      <c r="T48" t="s">
        <v>657</v>
      </c>
      <c r="U48">
        <v>706472</v>
      </c>
      <c r="V48" t="s">
        <v>98</v>
      </c>
      <c r="W48" t="s">
        <v>658</v>
      </c>
      <c r="Y48">
        <v>38593</v>
      </c>
      <c r="Z48" t="s">
        <v>27</v>
      </c>
      <c r="AA48" t="s">
        <v>181</v>
      </c>
      <c r="AB48" t="s">
        <v>659</v>
      </c>
      <c r="AC48" t="s">
        <v>660</v>
      </c>
      <c r="AD48" t="s">
        <v>661</v>
      </c>
      <c r="AE48" t="s">
        <v>777</v>
      </c>
      <c r="AF48" t="s">
        <v>707</v>
      </c>
      <c r="AG48" t="s">
        <v>525</v>
      </c>
      <c r="AH48" t="s">
        <v>778</v>
      </c>
      <c r="AI48" t="s">
        <v>779</v>
      </c>
      <c r="AJ48" t="s">
        <v>30</v>
      </c>
      <c r="AK48" t="s">
        <v>666</v>
      </c>
      <c r="AL48">
        <v>10</v>
      </c>
      <c r="AM48" t="s">
        <v>667</v>
      </c>
      <c r="AN48" t="s">
        <v>668</v>
      </c>
      <c r="AO48" s="14">
        <v>15</v>
      </c>
      <c r="AP48" t="s">
        <v>32</v>
      </c>
      <c r="AQ48">
        <v>1430722497</v>
      </c>
      <c r="AS48" t="s">
        <v>4</v>
      </c>
      <c r="CG48" t="s">
        <v>182</v>
      </c>
      <c r="CH48">
        <v>5.55</v>
      </c>
      <c r="CI48" t="s">
        <v>32</v>
      </c>
      <c r="CJ48" t="s">
        <v>524</v>
      </c>
    </row>
    <row r="49" spans="1:88" x14ac:dyDescent="0.25">
      <c r="A49" t="s">
        <v>524</v>
      </c>
      <c r="B49" t="s">
        <v>650</v>
      </c>
      <c r="C49" t="s">
        <v>651</v>
      </c>
      <c r="D49" t="s">
        <v>652</v>
      </c>
      <c r="F49">
        <v>16</v>
      </c>
      <c r="G49">
        <v>0</v>
      </c>
      <c r="H49" s="14">
        <v>16</v>
      </c>
      <c r="I49">
        <v>653470</v>
      </c>
      <c r="J49" t="s">
        <v>274</v>
      </c>
      <c r="K49" t="s">
        <v>653</v>
      </c>
      <c r="M49" t="s">
        <v>654</v>
      </c>
      <c r="N49" t="s">
        <v>655</v>
      </c>
      <c r="O49" t="s">
        <v>656</v>
      </c>
      <c r="P49" t="s">
        <v>520</v>
      </c>
      <c r="R49" t="s">
        <v>521</v>
      </c>
      <c r="S49" t="s">
        <v>522</v>
      </c>
      <c r="T49" t="s">
        <v>657</v>
      </c>
      <c r="U49">
        <v>706472</v>
      </c>
      <c r="V49" t="s">
        <v>98</v>
      </c>
      <c r="W49" t="s">
        <v>658</v>
      </c>
      <c r="Y49">
        <v>45041</v>
      </c>
      <c r="Z49" t="s">
        <v>48</v>
      </c>
      <c r="AA49" t="s">
        <v>39</v>
      </c>
      <c r="AB49" t="s">
        <v>659</v>
      </c>
      <c r="AC49" t="s">
        <v>669</v>
      </c>
      <c r="AD49" t="s">
        <v>670</v>
      </c>
      <c r="AE49" t="s">
        <v>777</v>
      </c>
      <c r="AF49" t="s">
        <v>707</v>
      </c>
      <c r="AG49" t="s">
        <v>523</v>
      </c>
      <c r="AH49" t="s">
        <v>778</v>
      </c>
      <c r="AI49" t="s">
        <v>779</v>
      </c>
      <c r="AJ49" t="s">
        <v>30</v>
      </c>
      <c r="AK49" t="s">
        <v>666</v>
      </c>
      <c r="AL49">
        <v>10</v>
      </c>
      <c r="AM49" t="s">
        <v>667</v>
      </c>
      <c r="AN49" t="s">
        <v>668</v>
      </c>
      <c r="AO49" s="14">
        <v>50</v>
      </c>
      <c r="AP49" t="s">
        <v>50</v>
      </c>
      <c r="AQ49">
        <v>1430722503</v>
      </c>
      <c r="AS49" t="s">
        <v>4</v>
      </c>
      <c r="CG49" t="s">
        <v>135</v>
      </c>
      <c r="CH49">
        <v>16</v>
      </c>
      <c r="CI49" t="s">
        <v>50</v>
      </c>
      <c r="CJ49" t="s">
        <v>524</v>
      </c>
    </row>
    <row r="50" spans="1:88" x14ac:dyDescent="0.25">
      <c r="A50" t="s">
        <v>515</v>
      </c>
      <c r="B50" t="s">
        <v>650</v>
      </c>
      <c r="C50" t="s">
        <v>651</v>
      </c>
      <c r="D50" t="s">
        <v>652</v>
      </c>
      <c r="F50">
        <v>5.55</v>
      </c>
      <c r="G50">
        <v>0</v>
      </c>
      <c r="H50" s="14">
        <v>5.55</v>
      </c>
      <c r="I50">
        <v>653470</v>
      </c>
      <c r="J50" t="s">
        <v>274</v>
      </c>
      <c r="K50" t="s">
        <v>653</v>
      </c>
      <c r="M50" t="s">
        <v>654</v>
      </c>
      <c r="N50" t="s">
        <v>655</v>
      </c>
      <c r="O50" t="s">
        <v>656</v>
      </c>
      <c r="P50" t="s">
        <v>516</v>
      </c>
      <c r="R50" t="s">
        <v>517</v>
      </c>
      <c r="S50" t="s">
        <v>518</v>
      </c>
      <c r="T50" t="s">
        <v>702</v>
      </c>
      <c r="U50">
        <v>757209</v>
      </c>
      <c r="V50" t="s">
        <v>60</v>
      </c>
      <c r="W50" t="s">
        <v>658</v>
      </c>
      <c r="Y50">
        <v>38593</v>
      </c>
      <c r="Z50" t="s">
        <v>27</v>
      </c>
      <c r="AA50" t="s">
        <v>181</v>
      </c>
      <c r="AB50" t="s">
        <v>659</v>
      </c>
      <c r="AC50" t="s">
        <v>660</v>
      </c>
      <c r="AD50" t="s">
        <v>661</v>
      </c>
      <c r="AE50" t="s">
        <v>780</v>
      </c>
      <c r="AF50" t="s">
        <v>682</v>
      </c>
      <c r="AG50" t="s">
        <v>519</v>
      </c>
      <c r="AH50" t="s">
        <v>781</v>
      </c>
      <c r="AI50" t="s">
        <v>782</v>
      </c>
      <c r="AJ50" t="s">
        <v>30</v>
      </c>
      <c r="AK50" t="s">
        <v>666</v>
      </c>
      <c r="AL50">
        <v>9</v>
      </c>
      <c r="AM50" t="s">
        <v>667</v>
      </c>
      <c r="AN50" t="s">
        <v>668</v>
      </c>
      <c r="AO50" s="14">
        <v>15</v>
      </c>
      <c r="AP50" t="s">
        <v>32</v>
      </c>
      <c r="AQ50">
        <v>1430759373</v>
      </c>
      <c r="AS50" t="s">
        <v>4</v>
      </c>
      <c r="CG50" t="s">
        <v>182</v>
      </c>
      <c r="CH50">
        <v>5.55</v>
      </c>
      <c r="CI50" t="s">
        <v>32</v>
      </c>
      <c r="CJ50" t="s">
        <v>515</v>
      </c>
    </row>
    <row r="51" spans="1:88" x14ac:dyDescent="0.25">
      <c r="A51" t="s">
        <v>515</v>
      </c>
      <c r="B51" t="s">
        <v>650</v>
      </c>
      <c r="C51" t="s">
        <v>651</v>
      </c>
      <c r="D51" t="s">
        <v>652</v>
      </c>
      <c r="F51">
        <v>5.55</v>
      </c>
      <c r="G51">
        <v>0</v>
      </c>
      <c r="H51" s="14">
        <v>5.55</v>
      </c>
      <c r="I51">
        <v>653470</v>
      </c>
      <c r="J51" t="s">
        <v>274</v>
      </c>
      <c r="K51" t="s">
        <v>653</v>
      </c>
      <c r="M51" t="s">
        <v>654</v>
      </c>
      <c r="N51" t="s">
        <v>655</v>
      </c>
      <c r="O51" t="s">
        <v>656</v>
      </c>
      <c r="P51" t="s">
        <v>571</v>
      </c>
      <c r="R51" t="s">
        <v>426</v>
      </c>
      <c r="S51" t="s">
        <v>572</v>
      </c>
      <c r="T51" t="s">
        <v>702</v>
      </c>
      <c r="U51">
        <v>764002</v>
      </c>
      <c r="V51" t="s">
        <v>261</v>
      </c>
      <c r="W51" t="s">
        <v>658</v>
      </c>
      <c r="Y51">
        <v>38593</v>
      </c>
      <c r="Z51" t="s">
        <v>27</v>
      </c>
      <c r="AA51" t="s">
        <v>181</v>
      </c>
      <c r="AB51" t="s">
        <v>659</v>
      </c>
      <c r="AC51" t="s">
        <v>660</v>
      </c>
      <c r="AD51" t="s">
        <v>661</v>
      </c>
      <c r="AE51" t="s">
        <v>780</v>
      </c>
      <c r="AF51" t="s">
        <v>682</v>
      </c>
      <c r="AG51" t="s">
        <v>573</v>
      </c>
      <c r="AH51" t="s">
        <v>783</v>
      </c>
      <c r="AI51" t="s">
        <v>782</v>
      </c>
      <c r="AJ51" t="s">
        <v>30</v>
      </c>
      <c r="AK51" t="s">
        <v>666</v>
      </c>
      <c r="AL51">
        <v>9</v>
      </c>
      <c r="AM51" t="s">
        <v>667</v>
      </c>
      <c r="AN51" t="s">
        <v>668</v>
      </c>
      <c r="AO51" s="14">
        <v>15</v>
      </c>
      <c r="AP51" t="s">
        <v>32</v>
      </c>
      <c r="AQ51">
        <v>1430759192</v>
      </c>
      <c r="AS51" t="s">
        <v>4</v>
      </c>
      <c r="CG51" t="s">
        <v>182</v>
      </c>
      <c r="CH51">
        <v>5.55</v>
      </c>
      <c r="CI51" t="s">
        <v>32</v>
      </c>
      <c r="CJ51" t="s">
        <v>515</v>
      </c>
    </row>
    <row r="52" spans="1:88" x14ac:dyDescent="0.25">
      <c r="A52" t="s">
        <v>515</v>
      </c>
      <c r="B52" t="s">
        <v>650</v>
      </c>
      <c r="C52" t="s">
        <v>651</v>
      </c>
      <c r="D52" t="s">
        <v>652</v>
      </c>
      <c r="F52">
        <v>14.4</v>
      </c>
      <c r="G52">
        <v>0</v>
      </c>
      <c r="H52" s="14">
        <v>14.4</v>
      </c>
      <c r="I52">
        <v>653470</v>
      </c>
      <c r="J52" t="s">
        <v>274</v>
      </c>
      <c r="K52" t="s">
        <v>653</v>
      </c>
      <c r="M52" t="s">
        <v>654</v>
      </c>
      <c r="N52" t="s">
        <v>655</v>
      </c>
      <c r="O52" t="s">
        <v>656</v>
      </c>
      <c r="P52" t="s">
        <v>511</v>
      </c>
      <c r="R52" t="s">
        <v>512</v>
      </c>
      <c r="S52" t="s">
        <v>513</v>
      </c>
      <c r="T52" t="s">
        <v>655</v>
      </c>
      <c r="U52">
        <v>689390</v>
      </c>
      <c r="V52" t="s">
        <v>36</v>
      </c>
      <c r="W52" t="s">
        <v>658</v>
      </c>
      <c r="Y52">
        <v>38399</v>
      </c>
      <c r="Z52" t="s">
        <v>157</v>
      </c>
      <c r="AA52" t="s">
        <v>28</v>
      </c>
      <c r="AB52" t="s">
        <v>659</v>
      </c>
      <c r="AC52" t="s">
        <v>669</v>
      </c>
      <c r="AD52" t="s">
        <v>670</v>
      </c>
      <c r="AE52" t="s">
        <v>784</v>
      </c>
      <c r="AF52" t="s">
        <v>785</v>
      </c>
      <c r="AG52" t="s">
        <v>514</v>
      </c>
      <c r="AH52" t="s">
        <v>786</v>
      </c>
      <c r="AI52" t="s">
        <v>691</v>
      </c>
      <c r="AJ52" t="s">
        <v>30</v>
      </c>
      <c r="AK52" t="s">
        <v>680</v>
      </c>
      <c r="AL52">
        <v>21</v>
      </c>
      <c r="AM52" t="s">
        <v>667</v>
      </c>
      <c r="AN52" t="s">
        <v>668</v>
      </c>
      <c r="AO52" s="14">
        <v>60</v>
      </c>
      <c r="AP52" t="s">
        <v>42</v>
      </c>
      <c r="AQ52">
        <v>1430840161</v>
      </c>
      <c r="AS52" t="s">
        <v>4</v>
      </c>
      <c r="CG52" t="s">
        <v>113</v>
      </c>
      <c r="CH52">
        <v>14.4</v>
      </c>
      <c r="CI52" t="s">
        <v>42</v>
      </c>
      <c r="CJ52" t="s">
        <v>515</v>
      </c>
    </row>
    <row r="53" spans="1:88" x14ac:dyDescent="0.25">
      <c r="A53" t="s">
        <v>503</v>
      </c>
      <c r="B53" t="s">
        <v>650</v>
      </c>
      <c r="C53" t="s">
        <v>651</v>
      </c>
      <c r="D53" t="s">
        <v>652</v>
      </c>
      <c r="F53">
        <v>12.48</v>
      </c>
      <c r="G53">
        <v>0</v>
      </c>
      <c r="H53" s="14">
        <v>12.48</v>
      </c>
      <c r="I53">
        <v>653470</v>
      </c>
      <c r="J53" t="s">
        <v>274</v>
      </c>
      <c r="K53" t="s">
        <v>653</v>
      </c>
      <c r="M53" t="s">
        <v>654</v>
      </c>
      <c r="N53" t="s">
        <v>655</v>
      </c>
      <c r="O53" t="s">
        <v>656</v>
      </c>
      <c r="P53" t="s">
        <v>498</v>
      </c>
      <c r="R53" t="s">
        <v>499</v>
      </c>
      <c r="S53" t="s">
        <v>500</v>
      </c>
      <c r="T53" t="s">
        <v>787</v>
      </c>
      <c r="U53">
        <v>653470</v>
      </c>
      <c r="V53" t="s">
        <v>274</v>
      </c>
      <c r="W53" t="s">
        <v>658</v>
      </c>
      <c r="Y53">
        <v>27711</v>
      </c>
      <c r="Z53" t="s">
        <v>506</v>
      </c>
      <c r="AA53" t="s">
        <v>106</v>
      </c>
      <c r="AB53" t="s">
        <v>659</v>
      </c>
      <c r="AC53" t="s">
        <v>660</v>
      </c>
      <c r="AD53" t="s">
        <v>661</v>
      </c>
      <c r="AE53" t="s">
        <v>788</v>
      </c>
      <c r="AF53" t="s">
        <v>789</v>
      </c>
      <c r="AG53" t="s">
        <v>505</v>
      </c>
      <c r="AH53" t="s">
        <v>790</v>
      </c>
      <c r="AI53" t="s">
        <v>791</v>
      </c>
      <c r="AJ53" t="s">
        <v>30</v>
      </c>
      <c r="AK53" t="s">
        <v>680</v>
      </c>
      <c r="AL53">
        <v>34</v>
      </c>
      <c r="AM53" t="s">
        <v>667</v>
      </c>
      <c r="AN53" t="s">
        <v>668</v>
      </c>
      <c r="AO53" s="14">
        <v>48</v>
      </c>
      <c r="AP53" t="s">
        <v>166</v>
      </c>
      <c r="AQ53">
        <v>1430875656</v>
      </c>
      <c r="AS53" t="s">
        <v>4</v>
      </c>
      <c r="CG53" t="s">
        <v>507</v>
      </c>
      <c r="CH53">
        <v>12.48</v>
      </c>
      <c r="CI53" t="s">
        <v>166</v>
      </c>
      <c r="CJ53" t="s">
        <v>503</v>
      </c>
    </row>
    <row r="54" spans="1:88" x14ac:dyDescent="0.25">
      <c r="A54" t="s">
        <v>503</v>
      </c>
      <c r="B54" t="s">
        <v>650</v>
      </c>
      <c r="C54" t="s">
        <v>651</v>
      </c>
      <c r="D54" t="s">
        <v>652</v>
      </c>
      <c r="F54">
        <v>44.72</v>
      </c>
      <c r="G54">
        <v>0</v>
      </c>
      <c r="H54" s="14">
        <v>44.72</v>
      </c>
      <c r="I54">
        <v>653470</v>
      </c>
      <c r="J54" t="s">
        <v>274</v>
      </c>
      <c r="K54" t="s">
        <v>653</v>
      </c>
      <c r="M54" t="s">
        <v>654</v>
      </c>
      <c r="N54" t="s">
        <v>655</v>
      </c>
      <c r="O54" t="s">
        <v>656</v>
      </c>
      <c r="P54" t="s">
        <v>498</v>
      </c>
      <c r="R54" t="s">
        <v>499</v>
      </c>
      <c r="S54" t="s">
        <v>500</v>
      </c>
      <c r="T54" t="s">
        <v>787</v>
      </c>
      <c r="U54">
        <v>653470</v>
      </c>
      <c r="V54" t="s">
        <v>274</v>
      </c>
      <c r="W54" t="s">
        <v>658</v>
      </c>
      <c r="Y54">
        <v>43553</v>
      </c>
      <c r="Z54" t="s">
        <v>502</v>
      </c>
      <c r="AA54" t="s">
        <v>106</v>
      </c>
      <c r="AB54" t="s">
        <v>659</v>
      </c>
      <c r="AC54" t="s">
        <v>669</v>
      </c>
      <c r="AD54" t="s">
        <v>670</v>
      </c>
      <c r="AE54" t="s">
        <v>792</v>
      </c>
      <c r="AF54" t="s">
        <v>718</v>
      </c>
      <c r="AG54" t="s">
        <v>501</v>
      </c>
      <c r="AH54" t="s">
        <v>790</v>
      </c>
      <c r="AI54" t="s">
        <v>791</v>
      </c>
      <c r="AJ54" t="s">
        <v>30</v>
      </c>
      <c r="AK54" t="s">
        <v>680</v>
      </c>
      <c r="AL54">
        <v>33</v>
      </c>
      <c r="AM54" t="s">
        <v>793</v>
      </c>
      <c r="AN54" t="s">
        <v>794</v>
      </c>
      <c r="AO54" s="14">
        <v>172</v>
      </c>
      <c r="AP54" t="s">
        <v>166</v>
      </c>
      <c r="AQ54">
        <v>1430875658</v>
      </c>
      <c r="AS54" t="s">
        <v>4</v>
      </c>
      <c r="CG54" t="s">
        <v>504</v>
      </c>
      <c r="CH54">
        <v>44.72</v>
      </c>
      <c r="CI54" t="s">
        <v>166</v>
      </c>
      <c r="CJ54" t="s">
        <v>503</v>
      </c>
    </row>
    <row r="55" spans="1:88" x14ac:dyDescent="0.25">
      <c r="A55" t="s">
        <v>486</v>
      </c>
      <c r="B55" t="s">
        <v>650</v>
      </c>
      <c r="C55" t="s">
        <v>651</v>
      </c>
      <c r="D55" t="s">
        <v>652</v>
      </c>
      <c r="F55">
        <v>16</v>
      </c>
      <c r="G55">
        <v>0</v>
      </c>
      <c r="H55" s="14">
        <v>16</v>
      </c>
      <c r="I55">
        <v>653470</v>
      </c>
      <c r="J55" t="s">
        <v>274</v>
      </c>
      <c r="K55" t="s">
        <v>653</v>
      </c>
      <c r="M55" t="s">
        <v>654</v>
      </c>
      <c r="N55" t="s">
        <v>655</v>
      </c>
      <c r="O55" t="s">
        <v>656</v>
      </c>
      <c r="P55" t="s">
        <v>494</v>
      </c>
      <c r="R55" t="s">
        <v>495</v>
      </c>
      <c r="S55" t="s">
        <v>496</v>
      </c>
      <c r="T55" t="s">
        <v>657</v>
      </c>
      <c r="U55">
        <v>706472</v>
      </c>
      <c r="V55" t="s">
        <v>98</v>
      </c>
      <c r="W55" t="s">
        <v>658</v>
      </c>
      <c r="Y55">
        <v>45041</v>
      </c>
      <c r="Z55" t="s">
        <v>48</v>
      </c>
      <c r="AA55" t="s">
        <v>39</v>
      </c>
      <c r="AB55" t="s">
        <v>659</v>
      </c>
      <c r="AC55" t="s">
        <v>669</v>
      </c>
      <c r="AD55" t="s">
        <v>670</v>
      </c>
      <c r="AE55" t="s">
        <v>795</v>
      </c>
      <c r="AF55" t="s">
        <v>682</v>
      </c>
      <c r="AG55" t="s">
        <v>497</v>
      </c>
      <c r="AH55" t="s">
        <v>796</v>
      </c>
      <c r="AI55" t="s">
        <v>684</v>
      </c>
      <c r="AJ55" t="s">
        <v>30</v>
      </c>
      <c r="AK55" t="s">
        <v>680</v>
      </c>
      <c r="AL55">
        <v>9</v>
      </c>
      <c r="AM55" t="s">
        <v>667</v>
      </c>
      <c r="AN55" t="s">
        <v>668</v>
      </c>
      <c r="AO55" s="14">
        <v>50</v>
      </c>
      <c r="AP55" t="s">
        <v>50</v>
      </c>
      <c r="AQ55">
        <v>1430882286</v>
      </c>
      <c r="AS55" t="s">
        <v>4</v>
      </c>
      <c r="CG55" t="s">
        <v>135</v>
      </c>
      <c r="CH55">
        <v>16</v>
      </c>
      <c r="CI55" t="s">
        <v>50</v>
      </c>
      <c r="CJ55" t="s">
        <v>486</v>
      </c>
    </row>
    <row r="56" spans="1:88" x14ac:dyDescent="0.25">
      <c r="A56" t="s">
        <v>486</v>
      </c>
      <c r="B56" t="s">
        <v>650</v>
      </c>
      <c r="C56" t="s">
        <v>651</v>
      </c>
      <c r="D56" t="s">
        <v>652</v>
      </c>
      <c r="F56">
        <v>8</v>
      </c>
      <c r="G56">
        <v>0</v>
      </c>
      <c r="H56" s="14">
        <v>8</v>
      </c>
      <c r="I56">
        <v>653470</v>
      </c>
      <c r="J56" t="s">
        <v>274</v>
      </c>
      <c r="K56" t="s">
        <v>653</v>
      </c>
      <c r="M56" t="s">
        <v>654</v>
      </c>
      <c r="N56" t="s">
        <v>655</v>
      </c>
      <c r="O56" t="s">
        <v>656</v>
      </c>
      <c r="P56" t="s">
        <v>490</v>
      </c>
      <c r="R56" t="s">
        <v>491</v>
      </c>
      <c r="S56" t="s">
        <v>492</v>
      </c>
      <c r="T56" t="s">
        <v>657</v>
      </c>
      <c r="U56">
        <v>678726</v>
      </c>
      <c r="V56" t="s">
        <v>46</v>
      </c>
      <c r="W56" t="s">
        <v>658</v>
      </c>
      <c r="Y56">
        <v>45041</v>
      </c>
      <c r="Z56" t="s">
        <v>48</v>
      </c>
      <c r="AA56" t="s">
        <v>28</v>
      </c>
      <c r="AB56" t="s">
        <v>659</v>
      </c>
      <c r="AC56" t="s">
        <v>669</v>
      </c>
      <c r="AD56" t="s">
        <v>670</v>
      </c>
      <c r="AE56" t="s">
        <v>797</v>
      </c>
      <c r="AF56" t="s">
        <v>672</v>
      </c>
      <c r="AG56" t="s">
        <v>493</v>
      </c>
      <c r="AH56" t="s">
        <v>798</v>
      </c>
      <c r="AI56" t="s">
        <v>129</v>
      </c>
      <c r="AJ56" t="s">
        <v>30</v>
      </c>
      <c r="AK56" t="s">
        <v>680</v>
      </c>
      <c r="AL56">
        <v>12</v>
      </c>
      <c r="AM56" t="s">
        <v>667</v>
      </c>
      <c r="AN56" t="s">
        <v>668</v>
      </c>
      <c r="AO56" s="14">
        <v>25</v>
      </c>
      <c r="AP56" t="s">
        <v>50</v>
      </c>
      <c r="AQ56">
        <v>1430882740</v>
      </c>
      <c r="AS56" t="s">
        <v>4</v>
      </c>
      <c r="CG56" t="s">
        <v>49</v>
      </c>
      <c r="CH56">
        <v>8</v>
      </c>
      <c r="CI56" t="s">
        <v>50</v>
      </c>
      <c r="CJ56" t="s">
        <v>486</v>
      </c>
    </row>
    <row r="57" spans="1:88" x14ac:dyDescent="0.25">
      <c r="A57" t="s">
        <v>486</v>
      </c>
      <c r="B57" t="s">
        <v>650</v>
      </c>
      <c r="C57" t="s">
        <v>651</v>
      </c>
      <c r="D57" t="s">
        <v>652</v>
      </c>
      <c r="F57">
        <v>8</v>
      </c>
      <c r="G57">
        <v>0</v>
      </c>
      <c r="H57" s="14">
        <v>8</v>
      </c>
      <c r="I57">
        <v>653470</v>
      </c>
      <c r="J57" t="s">
        <v>274</v>
      </c>
      <c r="K57" t="s">
        <v>653</v>
      </c>
      <c r="M57" t="s">
        <v>654</v>
      </c>
      <c r="N57" t="s">
        <v>655</v>
      </c>
      <c r="O57" t="s">
        <v>656</v>
      </c>
      <c r="P57" t="s">
        <v>487</v>
      </c>
      <c r="R57" t="s">
        <v>488</v>
      </c>
      <c r="S57" t="s">
        <v>484</v>
      </c>
      <c r="T57" t="s">
        <v>657</v>
      </c>
      <c r="U57">
        <v>678726</v>
      </c>
      <c r="V57" t="s">
        <v>46</v>
      </c>
      <c r="W57" t="s">
        <v>658</v>
      </c>
      <c r="Y57">
        <v>45041</v>
      </c>
      <c r="Z57" t="s">
        <v>48</v>
      </c>
      <c r="AA57" t="s">
        <v>28</v>
      </c>
      <c r="AB57" t="s">
        <v>659</v>
      </c>
      <c r="AC57" t="s">
        <v>669</v>
      </c>
      <c r="AD57" t="s">
        <v>670</v>
      </c>
      <c r="AE57" t="s">
        <v>799</v>
      </c>
      <c r="AF57" t="s">
        <v>672</v>
      </c>
      <c r="AG57" t="s">
        <v>489</v>
      </c>
      <c r="AH57" t="s">
        <v>800</v>
      </c>
      <c r="AI57" t="s">
        <v>129</v>
      </c>
      <c r="AJ57" t="s">
        <v>30</v>
      </c>
      <c r="AK57" t="s">
        <v>680</v>
      </c>
      <c r="AL57">
        <v>12</v>
      </c>
      <c r="AM57" t="s">
        <v>667</v>
      </c>
      <c r="AN57" t="s">
        <v>668</v>
      </c>
      <c r="AO57" s="14">
        <v>25</v>
      </c>
      <c r="AP57" t="s">
        <v>50</v>
      </c>
      <c r="AQ57">
        <v>1430882655</v>
      </c>
      <c r="AS57" t="s">
        <v>4</v>
      </c>
      <c r="CG57" t="s">
        <v>49</v>
      </c>
      <c r="CH57">
        <v>8</v>
      </c>
      <c r="CI57" t="s">
        <v>50</v>
      </c>
      <c r="CJ57" t="s">
        <v>486</v>
      </c>
    </row>
    <row r="58" spans="1:88" x14ac:dyDescent="0.25">
      <c r="A58" t="s">
        <v>486</v>
      </c>
      <c r="B58" t="s">
        <v>650</v>
      </c>
      <c r="C58" t="s">
        <v>651</v>
      </c>
      <c r="D58" t="s">
        <v>652</v>
      </c>
      <c r="F58">
        <v>16</v>
      </c>
      <c r="G58">
        <v>0</v>
      </c>
      <c r="H58" s="14">
        <v>16</v>
      </c>
      <c r="I58">
        <v>653470</v>
      </c>
      <c r="J58" t="s">
        <v>274</v>
      </c>
      <c r="K58" t="s">
        <v>653</v>
      </c>
      <c r="M58" t="s">
        <v>654</v>
      </c>
      <c r="N58" t="s">
        <v>655</v>
      </c>
      <c r="O58" t="s">
        <v>656</v>
      </c>
      <c r="P58" t="s">
        <v>483</v>
      </c>
      <c r="R58" t="s">
        <v>188</v>
      </c>
      <c r="S58" t="s">
        <v>484</v>
      </c>
      <c r="T58" t="s">
        <v>657</v>
      </c>
      <c r="U58">
        <v>678726</v>
      </c>
      <c r="V58" t="s">
        <v>46</v>
      </c>
      <c r="W58" t="s">
        <v>658</v>
      </c>
      <c r="Y58">
        <v>45041</v>
      </c>
      <c r="Z58" t="s">
        <v>48</v>
      </c>
      <c r="AA58" t="s">
        <v>39</v>
      </c>
      <c r="AB58" t="s">
        <v>659</v>
      </c>
      <c r="AC58" t="s">
        <v>669</v>
      </c>
      <c r="AD58" t="s">
        <v>670</v>
      </c>
      <c r="AE58" t="s">
        <v>799</v>
      </c>
      <c r="AF58" t="s">
        <v>672</v>
      </c>
      <c r="AG58" t="s">
        <v>485</v>
      </c>
      <c r="AH58" t="s">
        <v>801</v>
      </c>
      <c r="AI58" t="s">
        <v>684</v>
      </c>
      <c r="AJ58" t="s">
        <v>30</v>
      </c>
      <c r="AK58" t="s">
        <v>680</v>
      </c>
      <c r="AL58">
        <v>12</v>
      </c>
      <c r="AM58" t="s">
        <v>667</v>
      </c>
      <c r="AN58" t="s">
        <v>668</v>
      </c>
      <c r="AO58" s="14">
        <v>50</v>
      </c>
      <c r="AP58" t="s">
        <v>50</v>
      </c>
      <c r="AQ58">
        <v>1430882639</v>
      </c>
      <c r="AS58" t="s">
        <v>4</v>
      </c>
      <c r="CG58" t="s">
        <v>135</v>
      </c>
      <c r="CH58">
        <v>16</v>
      </c>
      <c r="CI58" t="s">
        <v>50</v>
      </c>
      <c r="CJ58" t="s">
        <v>486</v>
      </c>
    </row>
    <row r="59" spans="1:88" x14ac:dyDescent="0.25">
      <c r="A59" t="s">
        <v>474</v>
      </c>
      <c r="B59" t="s">
        <v>650</v>
      </c>
      <c r="C59" t="s">
        <v>651</v>
      </c>
      <c r="D59" t="s">
        <v>652</v>
      </c>
      <c r="F59">
        <v>29.04</v>
      </c>
      <c r="G59">
        <v>0</v>
      </c>
      <c r="H59" s="14">
        <v>29.04</v>
      </c>
      <c r="I59">
        <v>653470</v>
      </c>
      <c r="J59" t="s">
        <v>274</v>
      </c>
      <c r="K59" t="s">
        <v>653</v>
      </c>
      <c r="M59" t="s">
        <v>654</v>
      </c>
      <c r="N59" t="s">
        <v>655</v>
      </c>
      <c r="O59" t="s">
        <v>656</v>
      </c>
      <c r="P59" t="s">
        <v>477</v>
      </c>
      <c r="R59" t="s">
        <v>478</v>
      </c>
      <c r="S59" t="s">
        <v>479</v>
      </c>
      <c r="T59" t="s">
        <v>655</v>
      </c>
      <c r="U59">
        <v>781535</v>
      </c>
      <c r="V59" t="s">
        <v>254</v>
      </c>
      <c r="W59" t="s">
        <v>658</v>
      </c>
      <c r="Y59">
        <v>38399</v>
      </c>
      <c r="Z59" t="s">
        <v>157</v>
      </c>
      <c r="AA59" t="s">
        <v>39</v>
      </c>
      <c r="AB59" t="s">
        <v>659</v>
      </c>
      <c r="AC59" t="s">
        <v>669</v>
      </c>
      <c r="AD59" t="s">
        <v>670</v>
      </c>
      <c r="AE59" t="s">
        <v>802</v>
      </c>
      <c r="AF59" t="s">
        <v>737</v>
      </c>
      <c r="AG59" t="s">
        <v>481</v>
      </c>
      <c r="AH59" t="s">
        <v>803</v>
      </c>
      <c r="AI59" t="s">
        <v>804</v>
      </c>
      <c r="AJ59" t="s">
        <v>30</v>
      </c>
      <c r="AK59" t="s">
        <v>666</v>
      </c>
      <c r="AL59">
        <v>13</v>
      </c>
      <c r="AM59" t="s">
        <v>667</v>
      </c>
      <c r="AN59" t="s">
        <v>668</v>
      </c>
      <c r="AO59" s="14">
        <v>121</v>
      </c>
      <c r="AP59" t="s">
        <v>42</v>
      </c>
      <c r="AQ59">
        <v>1430771411</v>
      </c>
      <c r="AS59" t="s">
        <v>4</v>
      </c>
      <c r="CG59" t="s">
        <v>482</v>
      </c>
      <c r="CH59">
        <v>29.04</v>
      </c>
      <c r="CI59" t="s">
        <v>42</v>
      </c>
      <c r="CJ59" t="s">
        <v>474</v>
      </c>
    </row>
    <row r="60" spans="1:88" x14ac:dyDescent="0.25">
      <c r="A60" t="s">
        <v>474</v>
      </c>
      <c r="B60" t="s">
        <v>650</v>
      </c>
      <c r="C60" t="s">
        <v>651</v>
      </c>
      <c r="D60" t="s">
        <v>652</v>
      </c>
      <c r="F60">
        <v>5.55</v>
      </c>
      <c r="G60">
        <v>0</v>
      </c>
      <c r="H60" s="14">
        <v>5.55</v>
      </c>
      <c r="I60">
        <v>653470</v>
      </c>
      <c r="J60" t="s">
        <v>274</v>
      </c>
      <c r="K60" t="s">
        <v>653</v>
      </c>
      <c r="M60" t="s">
        <v>654</v>
      </c>
      <c r="N60" t="s">
        <v>655</v>
      </c>
      <c r="O60" t="s">
        <v>656</v>
      </c>
      <c r="P60" t="s">
        <v>477</v>
      </c>
      <c r="R60" t="s">
        <v>478</v>
      </c>
      <c r="S60" t="s">
        <v>479</v>
      </c>
      <c r="T60" t="s">
        <v>655</v>
      </c>
      <c r="U60">
        <v>781535</v>
      </c>
      <c r="V60" t="s">
        <v>254</v>
      </c>
      <c r="W60" t="s">
        <v>658</v>
      </c>
      <c r="Y60">
        <v>38593</v>
      </c>
      <c r="Z60" t="s">
        <v>27</v>
      </c>
      <c r="AA60" t="s">
        <v>181</v>
      </c>
      <c r="AB60" t="s">
        <v>659</v>
      </c>
      <c r="AC60" t="s">
        <v>660</v>
      </c>
      <c r="AD60" t="s">
        <v>661</v>
      </c>
      <c r="AE60" t="s">
        <v>802</v>
      </c>
      <c r="AF60" t="s">
        <v>737</v>
      </c>
      <c r="AG60" t="s">
        <v>480</v>
      </c>
      <c r="AH60" t="s">
        <v>803</v>
      </c>
      <c r="AI60" t="s">
        <v>804</v>
      </c>
      <c r="AJ60" t="s">
        <v>30</v>
      </c>
      <c r="AK60" t="s">
        <v>666</v>
      </c>
      <c r="AL60">
        <v>13</v>
      </c>
      <c r="AM60" t="s">
        <v>667</v>
      </c>
      <c r="AN60" t="s">
        <v>668</v>
      </c>
      <c r="AO60" s="14">
        <v>15</v>
      </c>
      <c r="AP60" t="s">
        <v>32</v>
      </c>
      <c r="AQ60">
        <v>1430771415</v>
      </c>
      <c r="AS60" t="s">
        <v>4</v>
      </c>
      <c r="CG60" t="s">
        <v>182</v>
      </c>
      <c r="CH60">
        <v>5.55</v>
      </c>
      <c r="CI60" t="s">
        <v>32</v>
      </c>
      <c r="CJ60" t="s">
        <v>474</v>
      </c>
    </row>
    <row r="61" spans="1:88" x14ac:dyDescent="0.25">
      <c r="A61" t="s">
        <v>474</v>
      </c>
      <c r="B61" t="s">
        <v>650</v>
      </c>
      <c r="C61" t="s">
        <v>651</v>
      </c>
      <c r="D61" t="s">
        <v>652</v>
      </c>
      <c r="F61">
        <v>26.88</v>
      </c>
      <c r="G61">
        <v>0</v>
      </c>
      <c r="H61" s="14">
        <v>26.88</v>
      </c>
      <c r="I61">
        <v>653470</v>
      </c>
      <c r="J61" t="s">
        <v>274</v>
      </c>
      <c r="K61" t="s">
        <v>653</v>
      </c>
      <c r="M61" t="s">
        <v>654</v>
      </c>
      <c r="N61" t="s">
        <v>655</v>
      </c>
      <c r="O61" t="s">
        <v>656</v>
      </c>
      <c r="P61" t="s">
        <v>469</v>
      </c>
      <c r="R61" t="s">
        <v>470</v>
      </c>
      <c r="S61" t="s">
        <v>471</v>
      </c>
      <c r="T61" t="s">
        <v>702</v>
      </c>
      <c r="U61">
        <v>759555</v>
      </c>
      <c r="V61" t="s">
        <v>472</v>
      </c>
      <c r="W61" t="s">
        <v>658</v>
      </c>
      <c r="Y61">
        <v>38398</v>
      </c>
      <c r="Z61" t="s">
        <v>38</v>
      </c>
      <c r="AA61" t="s">
        <v>93</v>
      </c>
      <c r="AB61" t="s">
        <v>659</v>
      </c>
      <c r="AC61" t="s">
        <v>669</v>
      </c>
      <c r="AD61" t="s">
        <v>670</v>
      </c>
      <c r="AE61" t="s">
        <v>802</v>
      </c>
      <c r="AF61" t="s">
        <v>737</v>
      </c>
      <c r="AG61" t="s">
        <v>475</v>
      </c>
      <c r="AH61" t="s">
        <v>805</v>
      </c>
      <c r="AI61" t="s">
        <v>806</v>
      </c>
      <c r="AJ61" t="s">
        <v>30</v>
      </c>
      <c r="AK61" t="s">
        <v>666</v>
      </c>
      <c r="AL61">
        <v>13</v>
      </c>
      <c r="AM61" t="s">
        <v>667</v>
      </c>
      <c r="AN61" t="s">
        <v>668</v>
      </c>
      <c r="AO61" s="14">
        <v>112</v>
      </c>
      <c r="AP61" t="s">
        <v>42</v>
      </c>
      <c r="AQ61">
        <v>1430774461</v>
      </c>
      <c r="AS61" t="s">
        <v>4</v>
      </c>
      <c r="CG61" t="s">
        <v>476</v>
      </c>
      <c r="CH61">
        <v>26.88</v>
      </c>
      <c r="CI61" t="s">
        <v>42</v>
      </c>
      <c r="CJ61" t="s">
        <v>474</v>
      </c>
    </row>
    <row r="62" spans="1:88" x14ac:dyDescent="0.25">
      <c r="A62" t="s">
        <v>474</v>
      </c>
      <c r="B62" t="s">
        <v>650</v>
      </c>
      <c r="C62" t="s">
        <v>651</v>
      </c>
      <c r="D62" t="s">
        <v>652</v>
      </c>
      <c r="F62">
        <v>7.4</v>
      </c>
      <c r="G62">
        <v>0</v>
      </c>
      <c r="H62" s="14">
        <v>7.4</v>
      </c>
      <c r="I62">
        <v>653470</v>
      </c>
      <c r="J62" t="s">
        <v>274</v>
      </c>
      <c r="K62" t="s">
        <v>653</v>
      </c>
      <c r="M62" t="s">
        <v>654</v>
      </c>
      <c r="N62" t="s">
        <v>655</v>
      </c>
      <c r="O62" t="s">
        <v>656</v>
      </c>
      <c r="P62" t="s">
        <v>469</v>
      </c>
      <c r="R62" t="s">
        <v>470</v>
      </c>
      <c r="S62" t="s">
        <v>471</v>
      </c>
      <c r="T62" t="s">
        <v>702</v>
      </c>
      <c r="U62">
        <v>759555</v>
      </c>
      <c r="V62" t="s">
        <v>472</v>
      </c>
      <c r="W62" t="s">
        <v>658</v>
      </c>
      <c r="Y62">
        <v>38593</v>
      </c>
      <c r="Z62" t="s">
        <v>27</v>
      </c>
      <c r="AA62" t="s">
        <v>106</v>
      </c>
      <c r="AB62" t="s">
        <v>659</v>
      </c>
      <c r="AC62" t="s">
        <v>660</v>
      </c>
      <c r="AD62" t="s">
        <v>661</v>
      </c>
      <c r="AE62" t="s">
        <v>802</v>
      </c>
      <c r="AF62" t="s">
        <v>737</v>
      </c>
      <c r="AG62" t="s">
        <v>473</v>
      </c>
      <c r="AH62" t="s">
        <v>805</v>
      </c>
      <c r="AI62" t="s">
        <v>806</v>
      </c>
      <c r="AJ62" t="s">
        <v>30</v>
      </c>
      <c r="AK62" t="s">
        <v>666</v>
      </c>
      <c r="AL62">
        <v>13</v>
      </c>
      <c r="AM62" t="s">
        <v>667</v>
      </c>
      <c r="AN62" t="s">
        <v>668</v>
      </c>
      <c r="AO62" s="14">
        <v>20</v>
      </c>
      <c r="AP62" t="s">
        <v>32</v>
      </c>
      <c r="AQ62">
        <v>1430774467</v>
      </c>
      <c r="AS62" t="s">
        <v>4</v>
      </c>
      <c r="CG62" t="s">
        <v>205</v>
      </c>
      <c r="CH62">
        <v>7.4</v>
      </c>
      <c r="CI62" t="s">
        <v>32</v>
      </c>
      <c r="CJ62" t="s">
        <v>474</v>
      </c>
    </row>
    <row r="63" spans="1:88" x14ac:dyDescent="0.25">
      <c r="A63" t="s">
        <v>326</v>
      </c>
      <c r="B63" t="s">
        <v>650</v>
      </c>
      <c r="C63" t="s">
        <v>651</v>
      </c>
      <c r="D63" t="s">
        <v>652</v>
      </c>
      <c r="F63">
        <v>4.07</v>
      </c>
      <c r="G63">
        <v>0</v>
      </c>
      <c r="H63" s="14">
        <v>4.07</v>
      </c>
      <c r="I63">
        <v>653470</v>
      </c>
      <c r="J63" t="s">
        <v>274</v>
      </c>
      <c r="K63" t="s">
        <v>653</v>
      </c>
      <c r="M63" t="s">
        <v>654</v>
      </c>
      <c r="N63" t="s">
        <v>655</v>
      </c>
      <c r="O63" t="s">
        <v>656</v>
      </c>
      <c r="P63" t="s">
        <v>465</v>
      </c>
      <c r="R63" t="s">
        <v>466</v>
      </c>
      <c r="S63" t="s">
        <v>467</v>
      </c>
      <c r="T63" t="s">
        <v>657</v>
      </c>
      <c r="U63">
        <v>678726</v>
      </c>
      <c r="V63" t="s">
        <v>46</v>
      </c>
      <c r="W63" t="s">
        <v>658</v>
      </c>
      <c r="Y63">
        <v>38593</v>
      </c>
      <c r="Z63" t="s">
        <v>27</v>
      </c>
      <c r="AA63" t="s">
        <v>28</v>
      </c>
      <c r="AB63" t="s">
        <v>659</v>
      </c>
      <c r="AC63" t="s">
        <v>660</v>
      </c>
      <c r="AD63" t="s">
        <v>661</v>
      </c>
      <c r="AE63" t="s">
        <v>807</v>
      </c>
      <c r="AF63" t="s">
        <v>808</v>
      </c>
      <c r="AG63" t="s">
        <v>468</v>
      </c>
      <c r="AH63" t="s">
        <v>809</v>
      </c>
      <c r="AI63" t="s">
        <v>697</v>
      </c>
      <c r="AJ63" t="s">
        <v>30</v>
      </c>
      <c r="AK63" t="s">
        <v>666</v>
      </c>
      <c r="AL63">
        <v>3</v>
      </c>
      <c r="AM63" t="s">
        <v>667</v>
      </c>
      <c r="AN63" t="s">
        <v>668</v>
      </c>
      <c r="AO63" s="14">
        <v>11</v>
      </c>
      <c r="AP63" t="s">
        <v>32</v>
      </c>
      <c r="AQ63">
        <v>1430780475</v>
      </c>
      <c r="AS63" t="s">
        <v>4</v>
      </c>
      <c r="CG63" t="s">
        <v>31</v>
      </c>
      <c r="CH63">
        <v>4.07</v>
      </c>
      <c r="CI63" t="s">
        <v>32</v>
      </c>
      <c r="CJ63" t="s">
        <v>326</v>
      </c>
    </row>
    <row r="64" spans="1:88" x14ac:dyDescent="0.25">
      <c r="A64" t="s">
        <v>326</v>
      </c>
      <c r="B64" t="s">
        <v>650</v>
      </c>
      <c r="C64" t="s">
        <v>651</v>
      </c>
      <c r="D64" t="s">
        <v>652</v>
      </c>
      <c r="F64">
        <v>8</v>
      </c>
      <c r="G64">
        <v>0</v>
      </c>
      <c r="H64" s="14">
        <v>8</v>
      </c>
      <c r="I64">
        <v>653470</v>
      </c>
      <c r="J64" t="s">
        <v>274</v>
      </c>
      <c r="K64" t="s">
        <v>653</v>
      </c>
      <c r="M64" t="s">
        <v>654</v>
      </c>
      <c r="N64" t="s">
        <v>655</v>
      </c>
      <c r="O64" t="s">
        <v>656</v>
      </c>
      <c r="P64" t="s">
        <v>461</v>
      </c>
      <c r="R64" t="s">
        <v>462</v>
      </c>
      <c r="S64" t="s">
        <v>463</v>
      </c>
      <c r="T64" t="s">
        <v>657</v>
      </c>
      <c r="U64">
        <v>707256</v>
      </c>
      <c r="V64" t="s">
        <v>364</v>
      </c>
      <c r="W64" t="s">
        <v>658</v>
      </c>
      <c r="Y64">
        <v>45041</v>
      </c>
      <c r="Z64" t="s">
        <v>48</v>
      </c>
      <c r="AA64" t="s">
        <v>28</v>
      </c>
      <c r="AB64" t="s">
        <v>659</v>
      </c>
      <c r="AC64" t="s">
        <v>669</v>
      </c>
      <c r="AD64" t="s">
        <v>670</v>
      </c>
      <c r="AE64" t="s">
        <v>810</v>
      </c>
      <c r="AF64" t="s">
        <v>704</v>
      </c>
      <c r="AG64" t="s">
        <v>464</v>
      </c>
      <c r="AH64" t="s">
        <v>811</v>
      </c>
      <c r="AI64" t="s">
        <v>129</v>
      </c>
      <c r="AJ64" t="s">
        <v>30</v>
      </c>
      <c r="AK64" t="s">
        <v>680</v>
      </c>
      <c r="AL64">
        <v>6</v>
      </c>
      <c r="AM64" t="s">
        <v>667</v>
      </c>
      <c r="AN64" t="s">
        <v>668</v>
      </c>
      <c r="AO64" s="14">
        <v>25</v>
      </c>
      <c r="AP64" t="s">
        <v>50</v>
      </c>
      <c r="AQ64">
        <v>1430911552</v>
      </c>
      <c r="AS64" t="s">
        <v>4</v>
      </c>
      <c r="CG64" t="s">
        <v>49</v>
      </c>
      <c r="CH64">
        <v>8</v>
      </c>
      <c r="CI64" t="s">
        <v>50</v>
      </c>
      <c r="CJ64" t="s">
        <v>326</v>
      </c>
    </row>
    <row r="65" spans="1:88" x14ac:dyDescent="0.25">
      <c r="A65" t="s">
        <v>326</v>
      </c>
      <c r="B65" t="s">
        <v>650</v>
      </c>
      <c r="C65" t="s">
        <v>651</v>
      </c>
      <c r="D65" t="s">
        <v>652</v>
      </c>
      <c r="F65">
        <v>8</v>
      </c>
      <c r="G65">
        <v>0</v>
      </c>
      <c r="H65" s="14">
        <v>8</v>
      </c>
      <c r="I65">
        <v>653470</v>
      </c>
      <c r="J65" t="s">
        <v>274</v>
      </c>
      <c r="K65" t="s">
        <v>653</v>
      </c>
      <c r="M65" t="s">
        <v>654</v>
      </c>
      <c r="N65" t="s">
        <v>655</v>
      </c>
      <c r="O65" t="s">
        <v>656</v>
      </c>
      <c r="P65" t="s">
        <v>457</v>
      </c>
      <c r="R65" t="s">
        <v>458</v>
      </c>
      <c r="S65" t="s">
        <v>459</v>
      </c>
      <c r="T65" t="s">
        <v>657</v>
      </c>
      <c r="U65">
        <v>798992</v>
      </c>
      <c r="V65" t="s">
        <v>54</v>
      </c>
      <c r="W65" t="s">
        <v>658</v>
      </c>
      <c r="Y65">
        <v>45041</v>
      </c>
      <c r="Z65" t="s">
        <v>48</v>
      </c>
      <c r="AA65" t="s">
        <v>28</v>
      </c>
      <c r="AB65" t="s">
        <v>659</v>
      </c>
      <c r="AC65" t="s">
        <v>669</v>
      </c>
      <c r="AD65" t="s">
        <v>670</v>
      </c>
      <c r="AE65" t="s">
        <v>744</v>
      </c>
      <c r="AF65" t="s">
        <v>710</v>
      </c>
      <c r="AG65" t="s">
        <v>460</v>
      </c>
      <c r="AH65" t="s">
        <v>812</v>
      </c>
      <c r="AI65" t="s">
        <v>129</v>
      </c>
      <c r="AJ65" t="s">
        <v>30</v>
      </c>
      <c r="AK65" t="s">
        <v>680</v>
      </c>
      <c r="AL65">
        <v>8</v>
      </c>
      <c r="AM65" t="s">
        <v>667</v>
      </c>
      <c r="AN65" t="s">
        <v>668</v>
      </c>
      <c r="AO65" s="14">
        <v>25</v>
      </c>
      <c r="AP65" t="s">
        <v>50</v>
      </c>
      <c r="AQ65">
        <v>1430912441</v>
      </c>
      <c r="AS65" t="s">
        <v>4</v>
      </c>
      <c r="CG65" t="s">
        <v>49</v>
      </c>
      <c r="CH65">
        <v>8</v>
      </c>
      <c r="CI65" t="s">
        <v>50</v>
      </c>
      <c r="CJ65" t="s">
        <v>326</v>
      </c>
    </row>
    <row r="66" spans="1:88" x14ac:dyDescent="0.25">
      <c r="A66" t="s">
        <v>326</v>
      </c>
      <c r="B66" t="s">
        <v>650</v>
      </c>
      <c r="C66" t="s">
        <v>651</v>
      </c>
      <c r="D66" t="s">
        <v>652</v>
      </c>
      <c r="F66">
        <v>15.84</v>
      </c>
      <c r="G66">
        <v>0</v>
      </c>
      <c r="H66" s="14">
        <v>15.84</v>
      </c>
      <c r="I66">
        <v>653470</v>
      </c>
      <c r="J66" t="s">
        <v>274</v>
      </c>
      <c r="K66" t="s">
        <v>653</v>
      </c>
      <c r="M66" t="s">
        <v>654</v>
      </c>
      <c r="N66" t="s">
        <v>655</v>
      </c>
      <c r="O66" t="s">
        <v>656</v>
      </c>
      <c r="P66" t="s">
        <v>323</v>
      </c>
      <c r="R66" t="s">
        <v>243</v>
      </c>
      <c r="S66" t="s">
        <v>324</v>
      </c>
      <c r="T66" t="s">
        <v>657</v>
      </c>
      <c r="U66">
        <v>781535</v>
      </c>
      <c r="V66" t="s">
        <v>254</v>
      </c>
      <c r="W66" t="s">
        <v>658</v>
      </c>
      <c r="Y66">
        <v>38399</v>
      </c>
      <c r="Z66" t="s">
        <v>157</v>
      </c>
      <c r="AA66" t="s">
        <v>28</v>
      </c>
      <c r="AB66" t="s">
        <v>659</v>
      </c>
      <c r="AC66" t="s">
        <v>669</v>
      </c>
      <c r="AD66" t="s">
        <v>670</v>
      </c>
      <c r="AE66" t="s">
        <v>813</v>
      </c>
      <c r="AF66" t="s">
        <v>737</v>
      </c>
      <c r="AG66" t="s">
        <v>456</v>
      </c>
      <c r="AH66" t="s">
        <v>814</v>
      </c>
      <c r="AI66" t="s">
        <v>815</v>
      </c>
      <c r="AJ66" t="s">
        <v>30</v>
      </c>
      <c r="AK66" t="s">
        <v>680</v>
      </c>
      <c r="AL66">
        <v>13</v>
      </c>
      <c r="AM66" t="s">
        <v>667</v>
      </c>
      <c r="AN66" t="s">
        <v>668</v>
      </c>
      <c r="AO66" s="14">
        <v>66</v>
      </c>
      <c r="AP66" t="s">
        <v>42</v>
      </c>
      <c r="AQ66">
        <v>1430901662</v>
      </c>
      <c r="AS66" t="s">
        <v>4</v>
      </c>
      <c r="CG66" t="s">
        <v>159</v>
      </c>
      <c r="CH66">
        <v>15.84</v>
      </c>
      <c r="CI66" t="s">
        <v>42</v>
      </c>
      <c r="CJ66" t="s">
        <v>326</v>
      </c>
    </row>
    <row r="67" spans="1:88" x14ac:dyDescent="0.25">
      <c r="A67" t="s">
        <v>326</v>
      </c>
      <c r="B67" t="s">
        <v>650</v>
      </c>
      <c r="C67" t="s">
        <v>651</v>
      </c>
      <c r="D67" t="s">
        <v>652</v>
      </c>
      <c r="F67">
        <v>4.07</v>
      </c>
      <c r="G67">
        <v>0</v>
      </c>
      <c r="H67" s="14">
        <v>4.07</v>
      </c>
      <c r="I67">
        <v>653470</v>
      </c>
      <c r="J67" t="s">
        <v>274</v>
      </c>
      <c r="K67" t="s">
        <v>653</v>
      </c>
      <c r="M67" t="s">
        <v>654</v>
      </c>
      <c r="N67" t="s">
        <v>655</v>
      </c>
      <c r="O67" t="s">
        <v>656</v>
      </c>
      <c r="P67" t="s">
        <v>323</v>
      </c>
      <c r="R67" t="s">
        <v>243</v>
      </c>
      <c r="S67" t="s">
        <v>324</v>
      </c>
      <c r="T67" t="s">
        <v>657</v>
      </c>
      <c r="U67">
        <v>781535</v>
      </c>
      <c r="V67" t="s">
        <v>254</v>
      </c>
      <c r="W67" t="s">
        <v>658</v>
      </c>
      <c r="Y67">
        <v>38593</v>
      </c>
      <c r="Z67" t="s">
        <v>27</v>
      </c>
      <c r="AA67" t="s">
        <v>28</v>
      </c>
      <c r="AB67" t="s">
        <v>659</v>
      </c>
      <c r="AC67" t="s">
        <v>660</v>
      </c>
      <c r="AD67" t="s">
        <v>661</v>
      </c>
      <c r="AE67" t="s">
        <v>813</v>
      </c>
      <c r="AF67" t="s">
        <v>737</v>
      </c>
      <c r="AG67" t="s">
        <v>325</v>
      </c>
      <c r="AH67" t="s">
        <v>814</v>
      </c>
      <c r="AI67" t="s">
        <v>815</v>
      </c>
      <c r="AJ67" t="s">
        <v>30</v>
      </c>
      <c r="AK67" t="s">
        <v>680</v>
      </c>
      <c r="AL67">
        <v>13</v>
      </c>
      <c r="AM67" t="s">
        <v>667</v>
      </c>
      <c r="AN67" t="s">
        <v>668</v>
      </c>
      <c r="AO67" s="14">
        <v>11</v>
      </c>
      <c r="AP67" t="s">
        <v>32</v>
      </c>
      <c r="AQ67">
        <v>1430901665</v>
      </c>
      <c r="AS67" t="s">
        <v>4</v>
      </c>
      <c r="CG67" t="s">
        <v>31</v>
      </c>
      <c r="CH67">
        <v>4.07</v>
      </c>
      <c r="CI67" t="s">
        <v>32</v>
      </c>
      <c r="CJ67" t="s">
        <v>326</v>
      </c>
    </row>
    <row r="68" spans="1:88" x14ac:dyDescent="0.25">
      <c r="A68" t="s">
        <v>326</v>
      </c>
      <c r="B68" t="s">
        <v>650</v>
      </c>
      <c r="C68" t="s">
        <v>651</v>
      </c>
      <c r="D68" t="s">
        <v>652</v>
      </c>
      <c r="F68">
        <v>16</v>
      </c>
      <c r="G68">
        <v>0</v>
      </c>
      <c r="H68" s="14">
        <v>16</v>
      </c>
      <c r="I68">
        <v>653470</v>
      </c>
      <c r="J68" t="s">
        <v>274</v>
      </c>
      <c r="K68" t="s">
        <v>653</v>
      </c>
      <c r="M68" t="s">
        <v>654</v>
      </c>
      <c r="N68" t="s">
        <v>655</v>
      </c>
      <c r="O68" t="s">
        <v>656</v>
      </c>
      <c r="P68" t="s">
        <v>445</v>
      </c>
      <c r="R68" t="s">
        <v>446</v>
      </c>
      <c r="S68" t="s">
        <v>447</v>
      </c>
      <c r="T68" t="s">
        <v>657</v>
      </c>
      <c r="U68">
        <v>678726</v>
      </c>
      <c r="V68" t="s">
        <v>46</v>
      </c>
      <c r="W68" t="s">
        <v>658</v>
      </c>
      <c r="Y68">
        <v>45041</v>
      </c>
      <c r="Z68" t="s">
        <v>48</v>
      </c>
      <c r="AA68" t="s">
        <v>39</v>
      </c>
      <c r="AB68" t="s">
        <v>659</v>
      </c>
      <c r="AC68" t="s">
        <v>669</v>
      </c>
      <c r="AD68" t="s">
        <v>670</v>
      </c>
      <c r="AE68" t="s">
        <v>816</v>
      </c>
      <c r="AF68" t="s">
        <v>715</v>
      </c>
      <c r="AG68" t="s">
        <v>448</v>
      </c>
      <c r="AH68" t="s">
        <v>817</v>
      </c>
      <c r="AI68" t="s">
        <v>684</v>
      </c>
      <c r="AJ68" t="s">
        <v>30</v>
      </c>
      <c r="AK68" t="s">
        <v>680</v>
      </c>
      <c r="AL68">
        <v>11</v>
      </c>
      <c r="AM68" t="s">
        <v>667</v>
      </c>
      <c r="AN68" t="s">
        <v>668</v>
      </c>
      <c r="AO68" s="14">
        <v>50</v>
      </c>
      <c r="AP68" t="s">
        <v>50</v>
      </c>
      <c r="AQ68">
        <v>1430898035</v>
      </c>
      <c r="AS68" t="s">
        <v>4</v>
      </c>
      <c r="CG68" t="s">
        <v>135</v>
      </c>
      <c r="CH68">
        <v>16</v>
      </c>
      <c r="CI68" t="s">
        <v>50</v>
      </c>
      <c r="CJ68" t="s">
        <v>326</v>
      </c>
    </row>
    <row r="69" spans="1:88" x14ac:dyDescent="0.25">
      <c r="A69" t="s">
        <v>158</v>
      </c>
      <c r="B69" t="s">
        <v>650</v>
      </c>
      <c r="C69" t="s">
        <v>651</v>
      </c>
      <c r="D69" t="s">
        <v>652</v>
      </c>
      <c r="F69">
        <v>4.07</v>
      </c>
      <c r="G69">
        <v>0</v>
      </c>
      <c r="H69" s="14">
        <v>4.07</v>
      </c>
      <c r="I69">
        <v>653470</v>
      </c>
      <c r="J69" t="s">
        <v>274</v>
      </c>
      <c r="K69" t="s">
        <v>653</v>
      </c>
      <c r="M69" t="s">
        <v>654</v>
      </c>
      <c r="N69" t="s">
        <v>655</v>
      </c>
      <c r="O69" t="s">
        <v>656</v>
      </c>
      <c r="P69" t="s">
        <v>321</v>
      </c>
      <c r="R69" t="s">
        <v>207</v>
      </c>
      <c r="S69" t="s">
        <v>208</v>
      </c>
      <c r="T69" t="s">
        <v>657</v>
      </c>
      <c r="U69">
        <v>678726</v>
      </c>
      <c r="V69" t="s">
        <v>46</v>
      </c>
      <c r="W69" t="s">
        <v>658</v>
      </c>
      <c r="Y69">
        <v>38593</v>
      </c>
      <c r="Z69" t="s">
        <v>27</v>
      </c>
      <c r="AA69" t="s">
        <v>28</v>
      </c>
      <c r="AB69" t="s">
        <v>659</v>
      </c>
      <c r="AC69" t="s">
        <v>660</v>
      </c>
      <c r="AD69" t="s">
        <v>661</v>
      </c>
      <c r="AE69" t="s">
        <v>807</v>
      </c>
      <c r="AF69" t="s">
        <v>808</v>
      </c>
      <c r="AG69" t="s">
        <v>322</v>
      </c>
      <c r="AH69" t="s">
        <v>818</v>
      </c>
      <c r="AI69" t="s">
        <v>697</v>
      </c>
      <c r="AJ69" t="s">
        <v>30</v>
      </c>
      <c r="AK69" t="s">
        <v>666</v>
      </c>
      <c r="AL69">
        <v>3</v>
      </c>
      <c r="AM69" t="s">
        <v>667</v>
      </c>
      <c r="AN69" t="s">
        <v>668</v>
      </c>
      <c r="AO69" s="14">
        <v>11</v>
      </c>
      <c r="AP69" t="s">
        <v>32</v>
      </c>
      <c r="AQ69">
        <v>1430785646</v>
      </c>
      <c r="AS69" t="s">
        <v>4</v>
      </c>
      <c r="CG69" t="s">
        <v>31</v>
      </c>
      <c r="CH69">
        <v>4.07</v>
      </c>
      <c r="CI69" t="s">
        <v>32</v>
      </c>
      <c r="CJ69" t="s">
        <v>158</v>
      </c>
    </row>
    <row r="70" spans="1:88" x14ac:dyDescent="0.25">
      <c r="A70" t="s">
        <v>158</v>
      </c>
      <c r="B70" t="s">
        <v>650</v>
      </c>
      <c r="C70" t="s">
        <v>651</v>
      </c>
      <c r="D70" t="s">
        <v>652</v>
      </c>
      <c r="F70">
        <v>16</v>
      </c>
      <c r="G70">
        <v>0</v>
      </c>
      <c r="H70" s="14">
        <v>16</v>
      </c>
      <c r="I70">
        <v>653470</v>
      </c>
      <c r="J70" t="s">
        <v>274</v>
      </c>
      <c r="K70" t="s">
        <v>653</v>
      </c>
      <c r="M70" t="s">
        <v>654</v>
      </c>
      <c r="N70" t="s">
        <v>655</v>
      </c>
      <c r="O70" t="s">
        <v>656</v>
      </c>
      <c r="P70" t="s">
        <v>192</v>
      </c>
      <c r="R70" t="s">
        <v>193</v>
      </c>
      <c r="S70" t="s">
        <v>194</v>
      </c>
      <c r="T70" t="s">
        <v>657</v>
      </c>
      <c r="U70">
        <v>678726</v>
      </c>
      <c r="V70" t="s">
        <v>46</v>
      </c>
      <c r="W70" t="s">
        <v>658</v>
      </c>
      <c r="Y70">
        <v>45041</v>
      </c>
      <c r="Z70" t="s">
        <v>48</v>
      </c>
      <c r="AA70" t="s">
        <v>39</v>
      </c>
      <c r="AB70" t="s">
        <v>659</v>
      </c>
      <c r="AC70" t="s">
        <v>669</v>
      </c>
      <c r="AD70" t="s">
        <v>670</v>
      </c>
      <c r="AE70" t="s">
        <v>819</v>
      </c>
      <c r="AF70" t="s">
        <v>672</v>
      </c>
      <c r="AG70" t="s">
        <v>195</v>
      </c>
      <c r="AH70" t="s">
        <v>820</v>
      </c>
      <c r="AI70" t="s">
        <v>684</v>
      </c>
      <c r="AJ70" t="s">
        <v>30</v>
      </c>
      <c r="AK70" t="s">
        <v>666</v>
      </c>
      <c r="AL70">
        <v>12</v>
      </c>
      <c r="AM70" t="s">
        <v>667</v>
      </c>
      <c r="AN70" t="s">
        <v>668</v>
      </c>
      <c r="AO70" s="14">
        <v>50</v>
      </c>
      <c r="AP70" t="s">
        <v>50</v>
      </c>
      <c r="AQ70">
        <v>1430790817</v>
      </c>
      <c r="AS70" t="s">
        <v>4</v>
      </c>
      <c r="CG70" t="s">
        <v>135</v>
      </c>
      <c r="CH70">
        <v>16</v>
      </c>
      <c r="CI70" t="s">
        <v>50</v>
      </c>
      <c r="CJ70" t="s">
        <v>158</v>
      </c>
    </row>
    <row r="71" spans="1:88" x14ac:dyDescent="0.25">
      <c r="A71" t="s">
        <v>158</v>
      </c>
      <c r="B71" t="s">
        <v>650</v>
      </c>
      <c r="C71" t="s">
        <v>651</v>
      </c>
      <c r="D71" t="s">
        <v>652</v>
      </c>
      <c r="F71">
        <v>8</v>
      </c>
      <c r="G71">
        <v>0</v>
      </c>
      <c r="H71" s="14">
        <v>8</v>
      </c>
      <c r="I71">
        <v>653470</v>
      </c>
      <c r="J71" t="s">
        <v>274</v>
      </c>
      <c r="K71" t="s">
        <v>653</v>
      </c>
      <c r="M71" t="s">
        <v>654</v>
      </c>
      <c r="N71" t="s">
        <v>655</v>
      </c>
      <c r="O71" t="s">
        <v>656</v>
      </c>
      <c r="P71" t="s">
        <v>183</v>
      </c>
      <c r="R71" t="s">
        <v>184</v>
      </c>
      <c r="S71" t="s">
        <v>185</v>
      </c>
      <c r="T71" t="s">
        <v>657</v>
      </c>
      <c r="U71">
        <v>678726</v>
      </c>
      <c r="V71" t="s">
        <v>46</v>
      </c>
      <c r="W71" t="s">
        <v>658</v>
      </c>
      <c r="Y71">
        <v>45041</v>
      </c>
      <c r="Z71" t="s">
        <v>48</v>
      </c>
      <c r="AA71" t="s">
        <v>28</v>
      </c>
      <c r="AB71" t="s">
        <v>659</v>
      </c>
      <c r="AC71" t="s">
        <v>669</v>
      </c>
      <c r="AD71" t="s">
        <v>670</v>
      </c>
      <c r="AE71" t="s">
        <v>819</v>
      </c>
      <c r="AF71" t="s">
        <v>672</v>
      </c>
      <c r="AG71" t="s">
        <v>186</v>
      </c>
      <c r="AH71" t="s">
        <v>821</v>
      </c>
      <c r="AI71" t="s">
        <v>129</v>
      </c>
      <c r="AJ71" t="s">
        <v>30</v>
      </c>
      <c r="AK71" t="s">
        <v>666</v>
      </c>
      <c r="AL71">
        <v>12</v>
      </c>
      <c r="AM71" t="s">
        <v>667</v>
      </c>
      <c r="AN71" t="s">
        <v>668</v>
      </c>
      <c r="AO71" s="14">
        <v>25</v>
      </c>
      <c r="AP71" t="s">
        <v>50</v>
      </c>
      <c r="AQ71">
        <v>1430790802</v>
      </c>
      <c r="AS71" t="s">
        <v>4</v>
      </c>
      <c r="CG71" t="s">
        <v>49</v>
      </c>
      <c r="CH71">
        <v>8</v>
      </c>
      <c r="CI71" t="s">
        <v>50</v>
      </c>
      <c r="CJ71" t="s">
        <v>158</v>
      </c>
    </row>
    <row r="72" spans="1:88" x14ac:dyDescent="0.25">
      <c r="A72" t="s">
        <v>158</v>
      </c>
      <c r="B72" t="s">
        <v>650</v>
      </c>
      <c r="C72" t="s">
        <v>651</v>
      </c>
      <c r="D72" t="s">
        <v>652</v>
      </c>
      <c r="F72">
        <v>4.07</v>
      </c>
      <c r="G72">
        <v>0</v>
      </c>
      <c r="H72" s="14">
        <v>4.07</v>
      </c>
      <c r="I72">
        <v>653470</v>
      </c>
      <c r="J72" t="s">
        <v>274</v>
      </c>
      <c r="K72" t="s">
        <v>653</v>
      </c>
      <c r="M72" t="s">
        <v>654</v>
      </c>
      <c r="N72" t="s">
        <v>655</v>
      </c>
      <c r="O72" t="s">
        <v>656</v>
      </c>
      <c r="P72" t="s">
        <v>22</v>
      </c>
      <c r="R72" t="s">
        <v>23</v>
      </c>
      <c r="S72" t="s">
        <v>24</v>
      </c>
      <c r="T72" t="s">
        <v>657</v>
      </c>
      <c r="U72">
        <v>657149</v>
      </c>
      <c r="V72" t="s">
        <v>25</v>
      </c>
      <c r="W72" t="s">
        <v>658</v>
      </c>
      <c r="Y72">
        <v>38593</v>
      </c>
      <c r="Z72" t="s">
        <v>27</v>
      </c>
      <c r="AA72" t="s">
        <v>28</v>
      </c>
      <c r="AB72" t="s">
        <v>659</v>
      </c>
      <c r="AC72" t="s">
        <v>660</v>
      </c>
      <c r="AD72" t="s">
        <v>661</v>
      </c>
      <c r="AE72" t="s">
        <v>662</v>
      </c>
      <c r="AF72" t="s">
        <v>663</v>
      </c>
      <c r="AG72" t="s">
        <v>26</v>
      </c>
      <c r="AH72" t="s">
        <v>822</v>
      </c>
      <c r="AI72" t="s">
        <v>665</v>
      </c>
      <c r="AJ72" t="s">
        <v>30</v>
      </c>
      <c r="AK72" t="s">
        <v>666</v>
      </c>
      <c r="AL72">
        <v>18</v>
      </c>
      <c r="AM72" t="s">
        <v>210</v>
      </c>
      <c r="AN72" t="s">
        <v>29</v>
      </c>
      <c r="AO72" s="14">
        <v>11</v>
      </c>
      <c r="AP72" t="s">
        <v>32</v>
      </c>
      <c r="AQ72">
        <v>1430807801</v>
      </c>
      <c r="AS72" t="s">
        <v>4</v>
      </c>
      <c r="CG72" t="s">
        <v>31</v>
      </c>
      <c r="CH72">
        <v>4.07</v>
      </c>
      <c r="CI72" t="s">
        <v>32</v>
      </c>
      <c r="CJ72" t="s">
        <v>158</v>
      </c>
    </row>
    <row r="73" spans="1:88" x14ac:dyDescent="0.25">
      <c r="A73" t="s">
        <v>158</v>
      </c>
      <c r="B73" t="s">
        <v>650</v>
      </c>
      <c r="C73" t="s">
        <v>651</v>
      </c>
      <c r="D73" t="s">
        <v>652</v>
      </c>
      <c r="F73">
        <v>5.55</v>
      </c>
      <c r="G73">
        <v>0</v>
      </c>
      <c r="H73" s="14">
        <v>5.55</v>
      </c>
      <c r="I73">
        <v>653470</v>
      </c>
      <c r="J73" t="s">
        <v>274</v>
      </c>
      <c r="K73" t="s">
        <v>653</v>
      </c>
      <c r="M73" t="s">
        <v>654</v>
      </c>
      <c r="N73" t="s">
        <v>655</v>
      </c>
      <c r="O73" t="s">
        <v>656</v>
      </c>
      <c r="P73" t="s">
        <v>175</v>
      </c>
      <c r="R73" t="s">
        <v>176</v>
      </c>
      <c r="S73" t="s">
        <v>177</v>
      </c>
      <c r="T73" t="s">
        <v>702</v>
      </c>
      <c r="U73">
        <v>757209</v>
      </c>
      <c r="V73" t="s">
        <v>60</v>
      </c>
      <c r="W73" t="s">
        <v>658</v>
      </c>
      <c r="Y73">
        <v>38593</v>
      </c>
      <c r="Z73" t="s">
        <v>27</v>
      </c>
      <c r="AA73" t="s">
        <v>181</v>
      </c>
      <c r="AB73" t="s">
        <v>659</v>
      </c>
      <c r="AC73" t="s">
        <v>660</v>
      </c>
      <c r="AD73" t="s">
        <v>661</v>
      </c>
      <c r="AE73" t="s">
        <v>823</v>
      </c>
      <c r="AF73" t="s">
        <v>752</v>
      </c>
      <c r="AG73" t="s">
        <v>180</v>
      </c>
      <c r="AH73" t="s">
        <v>824</v>
      </c>
      <c r="AI73" t="s">
        <v>825</v>
      </c>
      <c r="AJ73" t="s">
        <v>30</v>
      </c>
      <c r="AK73" t="s">
        <v>666</v>
      </c>
      <c r="AL73">
        <v>16</v>
      </c>
      <c r="AM73" t="s">
        <v>667</v>
      </c>
      <c r="AN73" t="s">
        <v>668</v>
      </c>
      <c r="AO73" s="14">
        <v>15</v>
      </c>
      <c r="AP73" t="s">
        <v>32</v>
      </c>
      <c r="AQ73">
        <v>1430803566</v>
      </c>
      <c r="AS73" t="s">
        <v>4</v>
      </c>
      <c r="CG73" t="s">
        <v>182</v>
      </c>
      <c r="CH73">
        <v>5.55</v>
      </c>
      <c r="CI73" t="s">
        <v>32</v>
      </c>
      <c r="CJ73" t="s">
        <v>158</v>
      </c>
    </row>
    <row r="74" spans="1:88" x14ac:dyDescent="0.25">
      <c r="A74" t="s">
        <v>158</v>
      </c>
      <c r="B74" t="s">
        <v>650</v>
      </c>
      <c r="C74" t="s">
        <v>651</v>
      </c>
      <c r="D74" t="s">
        <v>652</v>
      </c>
      <c r="F74">
        <v>22.8</v>
      </c>
      <c r="G74">
        <v>0</v>
      </c>
      <c r="H74" s="14">
        <v>22.8</v>
      </c>
      <c r="I74">
        <v>653470</v>
      </c>
      <c r="J74" t="s">
        <v>274</v>
      </c>
      <c r="K74" t="s">
        <v>653</v>
      </c>
      <c r="M74" t="s">
        <v>654</v>
      </c>
      <c r="N74" t="s">
        <v>655</v>
      </c>
      <c r="O74" t="s">
        <v>656</v>
      </c>
      <c r="P74" t="s">
        <v>175</v>
      </c>
      <c r="R74" t="s">
        <v>176</v>
      </c>
      <c r="S74" t="s">
        <v>177</v>
      </c>
      <c r="T74" t="s">
        <v>702</v>
      </c>
      <c r="U74">
        <v>757209</v>
      </c>
      <c r="V74" t="s">
        <v>60</v>
      </c>
      <c r="W74" t="s">
        <v>658</v>
      </c>
      <c r="Y74">
        <v>42249</v>
      </c>
      <c r="Z74" t="s">
        <v>62</v>
      </c>
      <c r="AA74" t="s">
        <v>93</v>
      </c>
      <c r="AB74" t="s">
        <v>659</v>
      </c>
      <c r="AC74" t="s">
        <v>669</v>
      </c>
      <c r="AD74" t="s">
        <v>670</v>
      </c>
      <c r="AE74" t="s">
        <v>823</v>
      </c>
      <c r="AF74" t="s">
        <v>752</v>
      </c>
      <c r="AG74" t="s">
        <v>178</v>
      </c>
      <c r="AH74" t="s">
        <v>824</v>
      </c>
      <c r="AI74" t="s">
        <v>825</v>
      </c>
      <c r="AJ74" t="s">
        <v>30</v>
      </c>
      <c r="AK74" t="s">
        <v>666</v>
      </c>
      <c r="AL74">
        <v>16</v>
      </c>
      <c r="AM74" t="s">
        <v>667</v>
      </c>
      <c r="AN74" t="s">
        <v>668</v>
      </c>
      <c r="AO74" s="14">
        <v>95</v>
      </c>
      <c r="AP74" t="s">
        <v>42</v>
      </c>
      <c r="AQ74">
        <v>1430803568</v>
      </c>
      <c r="AS74" t="s">
        <v>4</v>
      </c>
      <c r="CG74" t="s">
        <v>179</v>
      </c>
      <c r="CH74">
        <v>22.8</v>
      </c>
      <c r="CI74" t="s">
        <v>42</v>
      </c>
      <c r="CJ74" t="s">
        <v>158</v>
      </c>
    </row>
    <row r="75" spans="1:88" x14ac:dyDescent="0.25">
      <c r="A75" t="s">
        <v>158</v>
      </c>
      <c r="B75" t="s">
        <v>650</v>
      </c>
      <c r="C75" t="s">
        <v>651</v>
      </c>
      <c r="D75" t="s">
        <v>652</v>
      </c>
      <c r="F75">
        <v>9.6</v>
      </c>
      <c r="G75">
        <v>0</v>
      </c>
      <c r="H75" s="14">
        <v>9.6</v>
      </c>
      <c r="I75">
        <v>653470</v>
      </c>
      <c r="J75" t="s">
        <v>274</v>
      </c>
      <c r="K75" t="s">
        <v>653</v>
      </c>
      <c r="M75" t="s">
        <v>654</v>
      </c>
      <c r="N75" t="s">
        <v>655</v>
      </c>
      <c r="O75" t="s">
        <v>656</v>
      </c>
      <c r="P75" t="s">
        <v>171</v>
      </c>
      <c r="R75" t="s">
        <v>172</v>
      </c>
      <c r="S75" t="s">
        <v>173</v>
      </c>
      <c r="T75" t="s">
        <v>702</v>
      </c>
      <c r="U75">
        <v>757929</v>
      </c>
      <c r="V75" t="s">
        <v>104</v>
      </c>
      <c r="W75" t="s">
        <v>658</v>
      </c>
      <c r="Y75">
        <v>42249</v>
      </c>
      <c r="Z75" t="s">
        <v>62</v>
      </c>
      <c r="AA75" t="s">
        <v>28</v>
      </c>
      <c r="AB75" t="s">
        <v>659</v>
      </c>
      <c r="AC75" t="s">
        <v>669</v>
      </c>
      <c r="AD75" t="s">
        <v>670</v>
      </c>
      <c r="AE75" t="s">
        <v>823</v>
      </c>
      <c r="AF75" t="s">
        <v>752</v>
      </c>
      <c r="AG75" t="s">
        <v>174</v>
      </c>
      <c r="AH75" t="s">
        <v>826</v>
      </c>
      <c r="AI75" t="s">
        <v>687</v>
      </c>
      <c r="AJ75" t="s">
        <v>30</v>
      </c>
      <c r="AK75" t="s">
        <v>666</v>
      </c>
      <c r="AL75">
        <v>16</v>
      </c>
      <c r="AM75" t="s">
        <v>667</v>
      </c>
      <c r="AN75" t="s">
        <v>668</v>
      </c>
      <c r="AO75" s="14">
        <v>40</v>
      </c>
      <c r="AP75" t="s">
        <v>42</v>
      </c>
      <c r="AQ75">
        <v>1430803554</v>
      </c>
      <c r="AS75" t="s">
        <v>4</v>
      </c>
      <c r="CG75" t="s">
        <v>141</v>
      </c>
      <c r="CH75">
        <v>9.6</v>
      </c>
      <c r="CI75" t="s">
        <v>42</v>
      </c>
      <c r="CJ75" t="s">
        <v>158</v>
      </c>
    </row>
    <row r="76" spans="1:88" x14ac:dyDescent="0.25">
      <c r="A76" t="s">
        <v>158</v>
      </c>
      <c r="B76" t="s">
        <v>650</v>
      </c>
      <c r="C76" t="s">
        <v>651</v>
      </c>
      <c r="D76" t="s">
        <v>652</v>
      </c>
      <c r="F76">
        <v>8</v>
      </c>
      <c r="G76">
        <v>0</v>
      </c>
      <c r="H76" s="14">
        <v>8</v>
      </c>
      <c r="I76">
        <v>653470</v>
      </c>
      <c r="J76" t="s">
        <v>274</v>
      </c>
      <c r="K76" t="s">
        <v>653</v>
      </c>
      <c r="M76" t="s">
        <v>654</v>
      </c>
      <c r="N76" t="s">
        <v>655</v>
      </c>
      <c r="O76" t="s">
        <v>656</v>
      </c>
      <c r="P76" t="s">
        <v>167</v>
      </c>
      <c r="R76" t="s">
        <v>168</v>
      </c>
      <c r="S76" t="s">
        <v>169</v>
      </c>
      <c r="T76" t="s">
        <v>657</v>
      </c>
      <c r="U76">
        <v>678726</v>
      </c>
      <c r="V76" t="s">
        <v>46</v>
      </c>
      <c r="W76" t="s">
        <v>658</v>
      </c>
      <c r="Y76">
        <v>45041</v>
      </c>
      <c r="Z76" t="s">
        <v>48</v>
      </c>
      <c r="AA76" t="s">
        <v>28</v>
      </c>
      <c r="AB76" t="s">
        <v>659</v>
      </c>
      <c r="AC76" t="s">
        <v>669</v>
      </c>
      <c r="AD76" t="s">
        <v>670</v>
      </c>
      <c r="AE76" t="s">
        <v>699</v>
      </c>
      <c r="AF76" t="s">
        <v>682</v>
      </c>
      <c r="AG76" t="s">
        <v>170</v>
      </c>
      <c r="AH76" t="s">
        <v>827</v>
      </c>
      <c r="AI76" t="s">
        <v>129</v>
      </c>
      <c r="AJ76" t="s">
        <v>30</v>
      </c>
      <c r="AK76" t="s">
        <v>666</v>
      </c>
      <c r="AL76">
        <v>9</v>
      </c>
      <c r="AM76" t="s">
        <v>667</v>
      </c>
      <c r="AN76" t="s">
        <v>668</v>
      </c>
      <c r="AO76" s="14">
        <v>25</v>
      </c>
      <c r="AP76" t="s">
        <v>50</v>
      </c>
      <c r="AQ76">
        <v>1430802981</v>
      </c>
      <c r="AS76" t="s">
        <v>4</v>
      </c>
      <c r="CG76" t="s">
        <v>49</v>
      </c>
      <c r="CH76">
        <v>8</v>
      </c>
      <c r="CI76" t="s">
        <v>50</v>
      </c>
      <c r="CJ76" t="s">
        <v>158</v>
      </c>
    </row>
    <row r="77" spans="1:88" x14ac:dyDescent="0.25">
      <c r="A77" t="s">
        <v>158</v>
      </c>
      <c r="B77" t="s">
        <v>650</v>
      </c>
      <c r="C77" t="s">
        <v>651</v>
      </c>
      <c r="D77" t="s">
        <v>652</v>
      </c>
      <c r="F77">
        <v>55.12</v>
      </c>
      <c r="G77">
        <v>0</v>
      </c>
      <c r="H77" s="14">
        <v>55.12</v>
      </c>
      <c r="I77">
        <v>653470</v>
      </c>
      <c r="J77" t="s">
        <v>274</v>
      </c>
      <c r="K77" t="s">
        <v>653</v>
      </c>
      <c r="M77" t="s">
        <v>654</v>
      </c>
      <c r="N77" t="s">
        <v>655</v>
      </c>
      <c r="O77" t="s">
        <v>656</v>
      </c>
      <c r="P77" t="s">
        <v>160</v>
      </c>
      <c r="R77" t="s">
        <v>161</v>
      </c>
      <c r="S77" t="s">
        <v>162</v>
      </c>
      <c r="T77" t="s">
        <v>828</v>
      </c>
      <c r="U77">
        <v>657149</v>
      </c>
      <c r="V77" t="s">
        <v>25</v>
      </c>
      <c r="W77" t="s">
        <v>658</v>
      </c>
      <c r="Y77">
        <v>43554</v>
      </c>
      <c r="Z77" t="s">
        <v>164</v>
      </c>
      <c r="AA77" t="s">
        <v>106</v>
      </c>
      <c r="AB77" t="s">
        <v>659</v>
      </c>
      <c r="AC77" t="s">
        <v>669</v>
      </c>
      <c r="AD77" t="s">
        <v>670</v>
      </c>
      <c r="AE77" t="s">
        <v>829</v>
      </c>
      <c r="AF77" t="s">
        <v>718</v>
      </c>
      <c r="AG77" t="s">
        <v>163</v>
      </c>
      <c r="AH77" t="s">
        <v>830</v>
      </c>
      <c r="AI77" t="s">
        <v>831</v>
      </c>
      <c r="AJ77" t="s">
        <v>30</v>
      </c>
      <c r="AK77" t="s">
        <v>666</v>
      </c>
      <c r="AL77">
        <v>32</v>
      </c>
      <c r="AM77" t="s">
        <v>832</v>
      </c>
      <c r="AN77" t="s">
        <v>833</v>
      </c>
      <c r="AO77" s="14">
        <v>212</v>
      </c>
      <c r="AP77" t="s">
        <v>166</v>
      </c>
      <c r="AQ77">
        <v>1430801177</v>
      </c>
      <c r="AS77" t="s">
        <v>4</v>
      </c>
      <c r="CG77" t="s">
        <v>165</v>
      </c>
      <c r="CH77">
        <v>55.12</v>
      </c>
      <c r="CI77" t="s">
        <v>166</v>
      </c>
      <c r="CJ77" t="s">
        <v>158</v>
      </c>
    </row>
    <row r="78" spans="1:88" x14ac:dyDescent="0.25">
      <c r="A78" t="s">
        <v>158</v>
      </c>
      <c r="B78" t="s">
        <v>650</v>
      </c>
      <c r="C78" t="s">
        <v>651</v>
      </c>
      <c r="D78" t="s">
        <v>652</v>
      </c>
      <c r="F78">
        <v>15.84</v>
      </c>
      <c r="G78">
        <v>0</v>
      </c>
      <c r="H78" s="14">
        <v>15.84</v>
      </c>
      <c r="I78">
        <v>653470</v>
      </c>
      <c r="J78" t="s">
        <v>274</v>
      </c>
      <c r="K78" t="s">
        <v>653</v>
      </c>
      <c r="M78" t="s">
        <v>654</v>
      </c>
      <c r="N78" t="s">
        <v>655</v>
      </c>
      <c r="O78" t="s">
        <v>656</v>
      </c>
      <c r="P78" t="s">
        <v>153</v>
      </c>
      <c r="R78" t="s">
        <v>154</v>
      </c>
      <c r="S78" t="s">
        <v>155</v>
      </c>
      <c r="T78" t="s">
        <v>727</v>
      </c>
      <c r="U78">
        <v>689390</v>
      </c>
      <c r="V78" t="s">
        <v>36</v>
      </c>
      <c r="W78" t="s">
        <v>658</v>
      </c>
      <c r="Y78">
        <v>38399</v>
      </c>
      <c r="Z78" t="s">
        <v>157</v>
      </c>
      <c r="AA78" t="s">
        <v>28</v>
      </c>
      <c r="AB78" t="s">
        <v>659</v>
      </c>
      <c r="AC78" t="s">
        <v>669</v>
      </c>
      <c r="AD78" t="s">
        <v>670</v>
      </c>
      <c r="AE78" t="s">
        <v>834</v>
      </c>
      <c r="AF78" t="s">
        <v>835</v>
      </c>
      <c r="AG78" t="s">
        <v>156</v>
      </c>
      <c r="AH78" t="s">
        <v>836</v>
      </c>
      <c r="AI78" t="s">
        <v>837</v>
      </c>
      <c r="AJ78" t="s">
        <v>30</v>
      </c>
      <c r="AK78" t="s">
        <v>666</v>
      </c>
      <c r="AL78">
        <v>17</v>
      </c>
      <c r="AM78" t="s">
        <v>667</v>
      </c>
      <c r="AN78" t="s">
        <v>668</v>
      </c>
      <c r="AO78" s="14">
        <v>66</v>
      </c>
      <c r="AP78" t="s">
        <v>42</v>
      </c>
      <c r="AQ78">
        <v>1430814606</v>
      </c>
      <c r="AS78" t="s">
        <v>4</v>
      </c>
      <c r="CG78" t="s">
        <v>159</v>
      </c>
      <c r="CH78">
        <v>15.84</v>
      </c>
      <c r="CI78" t="s">
        <v>42</v>
      </c>
      <c r="CJ78" t="s">
        <v>158</v>
      </c>
    </row>
    <row r="79" spans="1:88" x14ac:dyDescent="0.25">
      <c r="A79" t="s">
        <v>123</v>
      </c>
      <c r="B79" t="s">
        <v>650</v>
      </c>
      <c r="C79" t="s">
        <v>651</v>
      </c>
      <c r="D79" t="s">
        <v>652</v>
      </c>
      <c r="F79">
        <v>8</v>
      </c>
      <c r="G79">
        <v>0</v>
      </c>
      <c r="H79" s="14">
        <v>8</v>
      </c>
      <c r="I79">
        <v>653470</v>
      </c>
      <c r="J79" t="s">
        <v>274</v>
      </c>
      <c r="K79" t="s">
        <v>653</v>
      </c>
      <c r="M79" t="s">
        <v>654</v>
      </c>
      <c r="N79" t="s">
        <v>655</v>
      </c>
      <c r="O79" t="s">
        <v>656</v>
      </c>
      <c r="P79" t="s">
        <v>149</v>
      </c>
      <c r="R79" t="s">
        <v>150</v>
      </c>
      <c r="S79" t="s">
        <v>151</v>
      </c>
      <c r="T79" t="s">
        <v>657</v>
      </c>
      <c r="U79">
        <v>798992</v>
      </c>
      <c r="V79" t="s">
        <v>54</v>
      </c>
      <c r="W79" t="s">
        <v>658</v>
      </c>
      <c r="Y79">
        <v>45041</v>
      </c>
      <c r="Z79" t="s">
        <v>48</v>
      </c>
      <c r="AA79" t="s">
        <v>28</v>
      </c>
      <c r="AB79" t="s">
        <v>659</v>
      </c>
      <c r="AC79" t="s">
        <v>669</v>
      </c>
      <c r="AD79" t="s">
        <v>670</v>
      </c>
      <c r="AE79" t="s">
        <v>838</v>
      </c>
      <c r="AF79" t="s">
        <v>731</v>
      </c>
      <c r="AG79" t="s">
        <v>152</v>
      </c>
      <c r="AH79" t="s">
        <v>839</v>
      </c>
      <c r="AI79" t="s">
        <v>129</v>
      </c>
      <c r="AJ79" t="s">
        <v>30</v>
      </c>
      <c r="AK79" t="s">
        <v>666</v>
      </c>
      <c r="AL79">
        <v>5</v>
      </c>
      <c r="AM79" t="s">
        <v>667</v>
      </c>
      <c r="AN79" t="s">
        <v>668</v>
      </c>
      <c r="AO79" s="14">
        <v>25</v>
      </c>
      <c r="AP79" t="s">
        <v>50</v>
      </c>
      <c r="AQ79">
        <v>1430820607</v>
      </c>
      <c r="AS79" t="s">
        <v>4</v>
      </c>
      <c r="CG79" t="s">
        <v>49</v>
      </c>
      <c r="CH79">
        <v>8</v>
      </c>
      <c r="CI79" t="s">
        <v>50</v>
      </c>
      <c r="CJ79" t="s">
        <v>123</v>
      </c>
    </row>
    <row r="80" spans="1:88" x14ac:dyDescent="0.25">
      <c r="A80" t="s">
        <v>123</v>
      </c>
      <c r="B80" t="s">
        <v>650</v>
      </c>
      <c r="C80" t="s">
        <v>651</v>
      </c>
      <c r="D80" t="s">
        <v>652</v>
      </c>
      <c r="F80">
        <v>14.72</v>
      </c>
      <c r="G80">
        <v>0</v>
      </c>
      <c r="H80" s="14">
        <v>14.72</v>
      </c>
      <c r="I80">
        <v>653470</v>
      </c>
      <c r="J80" t="s">
        <v>274</v>
      </c>
      <c r="K80" t="s">
        <v>653</v>
      </c>
      <c r="M80" t="s">
        <v>654</v>
      </c>
      <c r="N80" t="s">
        <v>655</v>
      </c>
      <c r="O80" t="s">
        <v>656</v>
      </c>
      <c r="P80" t="s">
        <v>143</v>
      </c>
      <c r="R80" t="s">
        <v>144</v>
      </c>
      <c r="S80" t="s">
        <v>145</v>
      </c>
      <c r="T80" t="s">
        <v>655</v>
      </c>
      <c r="U80">
        <v>820877</v>
      </c>
      <c r="V80" t="s">
        <v>146</v>
      </c>
      <c r="W80" t="s">
        <v>658</v>
      </c>
      <c r="Y80">
        <v>45041</v>
      </c>
      <c r="Z80" t="s">
        <v>48</v>
      </c>
      <c r="AA80" t="s">
        <v>39</v>
      </c>
      <c r="AB80" t="s">
        <v>659</v>
      </c>
      <c r="AC80" t="s">
        <v>669</v>
      </c>
      <c r="AD80" t="s">
        <v>670</v>
      </c>
      <c r="AE80" t="s">
        <v>838</v>
      </c>
      <c r="AF80" t="s">
        <v>731</v>
      </c>
      <c r="AG80" t="s">
        <v>147</v>
      </c>
      <c r="AH80" t="s">
        <v>840</v>
      </c>
      <c r="AI80" t="s">
        <v>159</v>
      </c>
      <c r="AJ80" t="s">
        <v>30</v>
      </c>
      <c r="AK80" t="s">
        <v>666</v>
      </c>
      <c r="AL80">
        <v>5</v>
      </c>
      <c r="AM80" t="s">
        <v>667</v>
      </c>
      <c r="AN80" t="s">
        <v>668</v>
      </c>
      <c r="AO80" s="14">
        <v>46</v>
      </c>
      <c r="AP80" t="s">
        <v>50</v>
      </c>
      <c r="AQ80">
        <v>1430818506</v>
      </c>
      <c r="AS80" t="s">
        <v>4</v>
      </c>
      <c r="CG80" t="s">
        <v>148</v>
      </c>
      <c r="CH80">
        <v>14.72</v>
      </c>
      <c r="CI80" t="s">
        <v>50</v>
      </c>
      <c r="CJ80" t="s">
        <v>123</v>
      </c>
    </row>
    <row r="81" spans="1:88" x14ac:dyDescent="0.25">
      <c r="A81" t="s">
        <v>123</v>
      </c>
      <c r="B81" t="s">
        <v>650</v>
      </c>
      <c r="C81" t="s">
        <v>651</v>
      </c>
      <c r="D81" t="s">
        <v>652</v>
      </c>
      <c r="F81">
        <v>4.07</v>
      </c>
      <c r="G81">
        <v>0</v>
      </c>
      <c r="H81" s="14">
        <v>4.07</v>
      </c>
      <c r="I81">
        <v>653470</v>
      </c>
      <c r="J81" t="s">
        <v>274</v>
      </c>
      <c r="K81" t="s">
        <v>653</v>
      </c>
      <c r="M81" t="s">
        <v>654</v>
      </c>
      <c r="N81" t="s">
        <v>655</v>
      </c>
      <c r="O81" t="s">
        <v>656</v>
      </c>
      <c r="P81" t="s">
        <v>136</v>
      </c>
      <c r="R81" t="s">
        <v>137</v>
      </c>
      <c r="S81" t="s">
        <v>138</v>
      </c>
      <c r="T81" t="s">
        <v>702</v>
      </c>
      <c r="U81">
        <v>760338</v>
      </c>
      <c r="V81" t="s">
        <v>139</v>
      </c>
      <c r="W81" t="s">
        <v>658</v>
      </c>
      <c r="Y81">
        <v>38593</v>
      </c>
      <c r="Z81" t="s">
        <v>27</v>
      </c>
      <c r="AA81" t="s">
        <v>28</v>
      </c>
      <c r="AB81" t="s">
        <v>659</v>
      </c>
      <c r="AC81" t="s">
        <v>660</v>
      </c>
      <c r="AD81" t="s">
        <v>661</v>
      </c>
      <c r="AE81" t="s">
        <v>841</v>
      </c>
      <c r="AF81" t="s">
        <v>675</v>
      </c>
      <c r="AG81" t="s">
        <v>142</v>
      </c>
      <c r="AH81" t="s">
        <v>842</v>
      </c>
      <c r="AI81" t="s">
        <v>843</v>
      </c>
      <c r="AJ81" t="s">
        <v>30</v>
      </c>
      <c r="AK81" t="s">
        <v>666</v>
      </c>
      <c r="AL81">
        <v>7</v>
      </c>
      <c r="AM81" t="s">
        <v>667</v>
      </c>
      <c r="AN81" t="s">
        <v>668</v>
      </c>
      <c r="AO81" s="14">
        <v>11</v>
      </c>
      <c r="AP81" t="s">
        <v>32</v>
      </c>
      <c r="AQ81">
        <v>1430820906</v>
      </c>
      <c r="AS81" t="s">
        <v>4</v>
      </c>
      <c r="CG81" t="s">
        <v>31</v>
      </c>
      <c r="CH81">
        <v>4.07</v>
      </c>
      <c r="CI81" t="s">
        <v>32</v>
      </c>
      <c r="CJ81" t="s">
        <v>123</v>
      </c>
    </row>
    <row r="82" spans="1:88" x14ac:dyDescent="0.25">
      <c r="A82" t="s">
        <v>123</v>
      </c>
      <c r="B82" t="s">
        <v>650</v>
      </c>
      <c r="C82" t="s">
        <v>651</v>
      </c>
      <c r="D82" t="s">
        <v>652</v>
      </c>
      <c r="F82">
        <v>9.6</v>
      </c>
      <c r="G82">
        <v>0</v>
      </c>
      <c r="H82" s="14">
        <v>9.6</v>
      </c>
      <c r="I82">
        <v>653470</v>
      </c>
      <c r="J82" t="s">
        <v>274</v>
      </c>
      <c r="K82" t="s">
        <v>653</v>
      </c>
      <c r="M82" t="s">
        <v>654</v>
      </c>
      <c r="N82" t="s">
        <v>655</v>
      </c>
      <c r="O82" t="s">
        <v>656</v>
      </c>
      <c r="P82" t="s">
        <v>136</v>
      </c>
      <c r="R82" t="s">
        <v>137</v>
      </c>
      <c r="S82" t="s">
        <v>138</v>
      </c>
      <c r="T82" t="s">
        <v>702</v>
      </c>
      <c r="U82">
        <v>760338</v>
      </c>
      <c r="V82" t="s">
        <v>139</v>
      </c>
      <c r="W82" t="s">
        <v>658</v>
      </c>
      <c r="Y82">
        <v>42249</v>
      </c>
      <c r="Z82" t="s">
        <v>62</v>
      </c>
      <c r="AA82" t="s">
        <v>28</v>
      </c>
      <c r="AB82" t="s">
        <v>659</v>
      </c>
      <c r="AC82" t="s">
        <v>669</v>
      </c>
      <c r="AD82" t="s">
        <v>670</v>
      </c>
      <c r="AE82" t="s">
        <v>841</v>
      </c>
      <c r="AF82" t="s">
        <v>675</v>
      </c>
      <c r="AG82" t="s">
        <v>140</v>
      </c>
      <c r="AH82" t="s">
        <v>842</v>
      </c>
      <c r="AI82" t="s">
        <v>843</v>
      </c>
      <c r="AJ82" t="s">
        <v>30</v>
      </c>
      <c r="AK82" t="s">
        <v>666</v>
      </c>
      <c r="AL82">
        <v>7</v>
      </c>
      <c r="AM82" t="s">
        <v>667</v>
      </c>
      <c r="AN82" t="s">
        <v>668</v>
      </c>
      <c r="AO82" s="14">
        <v>40</v>
      </c>
      <c r="AP82" t="s">
        <v>42</v>
      </c>
      <c r="AQ82">
        <v>1430820909</v>
      </c>
      <c r="AS82" t="s">
        <v>4</v>
      </c>
      <c r="CG82" t="s">
        <v>141</v>
      </c>
      <c r="CH82">
        <v>9.6</v>
      </c>
      <c r="CI82" t="s">
        <v>42</v>
      </c>
      <c r="CJ82" t="s">
        <v>123</v>
      </c>
    </row>
    <row r="83" spans="1:88" x14ac:dyDescent="0.25">
      <c r="A83" t="s">
        <v>123</v>
      </c>
      <c r="B83" t="s">
        <v>650</v>
      </c>
      <c r="C83" t="s">
        <v>651</v>
      </c>
      <c r="D83" t="s">
        <v>652</v>
      </c>
      <c r="F83">
        <v>16</v>
      </c>
      <c r="G83">
        <v>0</v>
      </c>
      <c r="H83" s="14">
        <v>16</v>
      </c>
      <c r="I83">
        <v>653470</v>
      </c>
      <c r="J83" t="s">
        <v>274</v>
      </c>
      <c r="K83" t="s">
        <v>653</v>
      </c>
      <c r="M83" t="s">
        <v>654</v>
      </c>
      <c r="N83" t="s">
        <v>655</v>
      </c>
      <c r="O83" t="s">
        <v>656</v>
      </c>
      <c r="P83" t="s">
        <v>131</v>
      </c>
      <c r="R83" t="s">
        <v>132</v>
      </c>
      <c r="S83" t="s">
        <v>133</v>
      </c>
      <c r="T83" t="s">
        <v>657</v>
      </c>
      <c r="U83">
        <v>678726</v>
      </c>
      <c r="V83" t="s">
        <v>46</v>
      </c>
      <c r="W83" t="s">
        <v>658</v>
      </c>
      <c r="Y83">
        <v>45041</v>
      </c>
      <c r="Z83" t="s">
        <v>48</v>
      </c>
      <c r="AA83" t="s">
        <v>39</v>
      </c>
      <c r="AB83" t="s">
        <v>659</v>
      </c>
      <c r="AC83" t="s">
        <v>669</v>
      </c>
      <c r="AD83" t="s">
        <v>670</v>
      </c>
      <c r="AE83" t="s">
        <v>844</v>
      </c>
      <c r="AF83" t="s">
        <v>682</v>
      </c>
      <c r="AG83" t="s">
        <v>134</v>
      </c>
      <c r="AH83" t="s">
        <v>845</v>
      </c>
      <c r="AI83" t="s">
        <v>684</v>
      </c>
      <c r="AJ83" t="s">
        <v>30</v>
      </c>
      <c r="AK83" t="s">
        <v>680</v>
      </c>
      <c r="AL83">
        <v>9</v>
      </c>
      <c r="AM83" t="s">
        <v>667</v>
      </c>
      <c r="AN83" t="s">
        <v>668</v>
      </c>
      <c r="AO83" s="14">
        <v>50</v>
      </c>
      <c r="AP83" t="s">
        <v>50</v>
      </c>
      <c r="AQ83">
        <v>1430944578</v>
      </c>
      <c r="AS83" t="s">
        <v>4</v>
      </c>
      <c r="CG83" t="s">
        <v>135</v>
      </c>
      <c r="CH83">
        <v>16</v>
      </c>
      <c r="CI83" t="s">
        <v>50</v>
      </c>
      <c r="CJ83" t="s">
        <v>123</v>
      </c>
    </row>
    <row r="84" spans="1:88" x14ac:dyDescent="0.25">
      <c r="A84" t="s">
        <v>123</v>
      </c>
      <c r="B84" t="s">
        <v>650</v>
      </c>
      <c r="C84" t="s">
        <v>651</v>
      </c>
      <c r="D84" t="s">
        <v>652</v>
      </c>
      <c r="F84">
        <v>1.05</v>
      </c>
      <c r="G84">
        <v>0</v>
      </c>
      <c r="H84" s="14">
        <v>1.05</v>
      </c>
      <c r="I84">
        <v>653470</v>
      </c>
      <c r="J84" t="s">
        <v>274</v>
      </c>
      <c r="K84" t="s">
        <v>653</v>
      </c>
      <c r="M84" t="s">
        <v>654</v>
      </c>
      <c r="N84" t="s">
        <v>655</v>
      </c>
      <c r="O84" t="s">
        <v>656</v>
      </c>
      <c r="P84" t="s">
        <v>124</v>
      </c>
      <c r="R84" t="s">
        <v>125</v>
      </c>
      <c r="S84" t="s">
        <v>126</v>
      </c>
      <c r="T84" t="s">
        <v>655</v>
      </c>
      <c r="U84">
        <v>720542</v>
      </c>
      <c r="V84" t="s">
        <v>127</v>
      </c>
      <c r="W84" t="s">
        <v>658</v>
      </c>
      <c r="Y84">
        <v>38398</v>
      </c>
      <c r="Z84" t="s">
        <v>38</v>
      </c>
      <c r="AA84" t="s">
        <v>28</v>
      </c>
      <c r="AB84" t="s">
        <v>659</v>
      </c>
      <c r="AC84" t="s">
        <v>669</v>
      </c>
      <c r="AD84" t="s">
        <v>670</v>
      </c>
      <c r="AE84" t="s">
        <v>846</v>
      </c>
      <c r="AF84" t="s">
        <v>847</v>
      </c>
      <c r="AG84" t="s">
        <v>128</v>
      </c>
      <c r="AH84" t="s">
        <v>848</v>
      </c>
      <c r="AI84" t="s">
        <v>849</v>
      </c>
      <c r="AJ84" t="s">
        <v>30</v>
      </c>
      <c r="AK84" t="s">
        <v>666</v>
      </c>
      <c r="AL84">
        <v>21</v>
      </c>
      <c r="AM84" t="s">
        <v>210</v>
      </c>
      <c r="AN84" t="s">
        <v>29</v>
      </c>
      <c r="AO84" s="14">
        <v>35</v>
      </c>
      <c r="AP84" t="s">
        <v>130</v>
      </c>
      <c r="AQ84">
        <v>1431000305</v>
      </c>
      <c r="AS84" t="s">
        <v>4</v>
      </c>
      <c r="CG84" t="s">
        <v>129</v>
      </c>
      <c r="CH84">
        <v>1.05</v>
      </c>
      <c r="CI84" t="s">
        <v>130</v>
      </c>
      <c r="CJ84" t="s">
        <v>123</v>
      </c>
    </row>
    <row r="85" spans="1:88" x14ac:dyDescent="0.25">
      <c r="A85" t="s">
        <v>123</v>
      </c>
      <c r="B85" t="s">
        <v>650</v>
      </c>
      <c r="C85" t="s">
        <v>651</v>
      </c>
      <c r="D85" t="s">
        <v>652</v>
      </c>
      <c r="F85">
        <v>15.6</v>
      </c>
      <c r="G85">
        <v>0</v>
      </c>
      <c r="H85" s="14">
        <v>15.6</v>
      </c>
      <c r="I85">
        <v>653470</v>
      </c>
      <c r="J85" t="s">
        <v>274</v>
      </c>
      <c r="K85" t="s">
        <v>653</v>
      </c>
      <c r="M85" t="s">
        <v>654</v>
      </c>
      <c r="N85" t="s">
        <v>655</v>
      </c>
      <c r="O85" t="s">
        <v>656</v>
      </c>
      <c r="P85" t="s">
        <v>187</v>
      </c>
      <c r="R85" t="s">
        <v>188</v>
      </c>
      <c r="S85" t="s">
        <v>189</v>
      </c>
      <c r="T85" t="s">
        <v>655</v>
      </c>
      <c r="U85">
        <v>689390</v>
      </c>
      <c r="V85" t="s">
        <v>36</v>
      </c>
      <c r="W85" t="s">
        <v>658</v>
      </c>
      <c r="Y85">
        <v>38399</v>
      </c>
      <c r="Z85" t="s">
        <v>157</v>
      </c>
      <c r="AA85" t="s">
        <v>28</v>
      </c>
      <c r="AB85" t="s">
        <v>659</v>
      </c>
      <c r="AC85" t="s">
        <v>669</v>
      </c>
      <c r="AD85" t="s">
        <v>670</v>
      </c>
      <c r="AE85" t="s">
        <v>846</v>
      </c>
      <c r="AF85" t="s">
        <v>847</v>
      </c>
      <c r="AG85" t="s">
        <v>190</v>
      </c>
      <c r="AH85" t="s">
        <v>850</v>
      </c>
      <c r="AI85" t="s">
        <v>851</v>
      </c>
      <c r="AJ85" t="s">
        <v>30</v>
      </c>
      <c r="AK85" t="s">
        <v>666</v>
      </c>
      <c r="AL85">
        <v>21</v>
      </c>
      <c r="AM85" t="s">
        <v>210</v>
      </c>
      <c r="AN85" t="s">
        <v>29</v>
      </c>
      <c r="AO85" s="14">
        <v>65</v>
      </c>
      <c r="AP85" t="s">
        <v>42</v>
      </c>
      <c r="AQ85">
        <v>1431000239</v>
      </c>
      <c r="AS85" t="s">
        <v>4</v>
      </c>
      <c r="CG85" t="s">
        <v>191</v>
      </c>
      <c r="CH85">
        <v>15.6</v>
      </c>
      <c r="CI85" t="s">
        <v>42</v>
      </c>
      <c r="CJ85" t="s">
        <v>123</v>
      </c>
    </row>
    <row r="86" spans="1:88" x14ac:dyDescent="0.25">
      <c r="A86" t="s">
        <v>123</v>
      </c>
      <c r="B86" t="s">
        <v>650</v>
      </c>
      <c r="C86" t="s">
        <v>651</v>
      </c>
      <c r="D86" t="s">
        <v>652</v>
      </c>
      <c r="F86">
        <v>4.07</v>
      </c>
      <c r="G86">
        <v>0</v>
      </c>
      <c r="H86" s="14">
        <v>4.07</v>
      </c>
      <c r="I86">
        <v>653470</v>
      </c>
      <c r="J86" t="s">
        <v>274</v>
      </c>
      <c r="K86" t="s">
        <v>653</v>
      </c>
      <c r="M86" t="s">
        <v>654</v>
      </c>
      <c r="N86" t="s">
        <v>655</v>
      </c>
      <c r="O86" t="s">
        <v>656</v>
      </c>
      <c r="P86" t="s">
        <v>118</v>
      </c>
      <c r="R86" t="s">
        <v>119</v>
      </c>
      <c r="S86" t="s">
        <v>120</v>
      </c>
      <c r="T86" t="s">
        <v>657</v>
      </c>
      <c r="U86">
        <v>723477</v>
      </c>
      <c r="V86" t="s">
        <v>121</v>
      </c>
      <c r="W86" t="s">
        <v>658</v>
      </c>
      <c r="Y86">
        <v>38593</v>
      </c>
      <c r="Z86" t="s">
        <v>27</v>
      </c>
      <c r="AA86" t="s">
        <v>28</v>
      </c>
      <c r="AB86" t="s">
        <v>659</v>
      </c>
      <c r="AC86" t="s">
        <v>660</v>
      </c>
      <c r="AD86" t="s">
        <v>661</v>
      </c>
      <c r="AE86" t="s">
        <v>852</v>
      </c>
      <c r="AF86" t="s">
        <v>663</v>
      </c>
      <c r="AG86" t="s">
        <v>122</v>
      </c>
      <c r="AH86" t="s">
        <v>853</v>
      </c>
      <c r="AI86" t="s">
        <v>665</v>
      </c>
      <c r="AJ86" t="s">
        <v>30</v>
      </c>
      <c r="AK86" t="s">
        <v>666</v>
      </c>
      <c r="AL86">
        <v>18</v>
      </c>
      <c r="AM86" t="s">
        <v>210</v>
      </c>
      <c r="AN86" t="s">
        <v>29</v>
      </c>
      <c r="AO86" s="14">
        <v>11</v>
      </c>
      <c r="AP86" t="s">
        <v>32</v>
      </c>
      <c r="AQ86">
        <v>1430994317</v>
      </c>
      <c r="AS86" t="s">
        <v>4</v>
      </c>
      <c r="CG86" t="s">
        <v>31</v>
      </c>
      <c r="CH86">
        <v>4.07</v>
      </c>
      <c r="CI86" t="s">
        <v>32</v>
      </c>
      <c r="CJ86" t="s">
        <v>123</v>
      </c>
    </row>
    <row r="87" spans="1:88" x14ac:dyDescent="0.25">
      <c r="A87" t="s">
        <v>112</v>
      </c>
      <c r="B87" t="s">
        <v>650</v>
      </c>
      <c r="C87" t="s">
        <v>651</v>
      </c>
      <c r="D87" t="s">
        <v>652</v>
      </c>
      <c r="F87">
        <v>19.2</v>
      </c>
      <c r="G87">
        <v>0</v>
      </c>
      <c r="H87" s="14">
        <v>19.2</v>
      </c>
      <c r="I87">
        <v>653470</v>
      </c>
      <c r="J87" t="s">
        <v>274</v>
      </c>
      <c r="K87" t="s">
        <v>653</v>
      </c>
      <c r="M87" t="s">
        <v>654</v>
      </c>
      <c r="N87" t="s">
        <v>655</v>
      </c>
      <c r="O87" t="s">
        <v>656</v>
      </c>
      <c r="P87" t="s">
        <v>108</v>
      </c>
      <c r="R87" t="s">
        <v>109</v>
      </c>
      <c r="S87" t="s">
        <v>110</v>
      </c>
      <c r="T87" t="s">
        <v>657</v>
      </c>
      <c r="U87">
        <v>678726</v>
      </c>
      <c r="V87" t="s">
        <v>46</v>
      </c>
      <c r="W87" t="s">
        <v>658</v>
      </c>
      <c r="Y87">
        <v>45041</v>
      </c>
      <c r="Z87" t="s">
        <v>48</v>
      </c>
      <c r="AA87" t="s">
        <v>39</v>
      </c>
      <c r="AB87" t="s">
        <v>659</v>
      </c>
      <c r="AC87" t="s">
        <v>669</v>
      </c>
      <c r="AD87" t="s">
        <v>670</v>
      </c>
      <c r="AE87" t="s">
        <v>854</v>
      </c>
      <c r="AF87" t="s">
        <v>707</v>
      </c>
      <c r="AG87" t="s">
        <v>111</v>
      </c>
      <c r="AH87" t="s">
        <v>855</v>
      </c>
      <c r="AI87" t="s">
        <v>856</v>
      </c>
      <c r="AJ87" t="s">
        <v>30</v>
      </c>
      <c r="AK87" t="s">
        <v>680</v>
      </c>
      <c r="AL87">
        <v>10</v>
      </c>
      <c r="AM87" t="s">
        <v>667</v>
      </c>
      <c r="AN87" t="s">
        <v>668</v>
      </c>
      <c r="AO87" s="14">
        <v>60</v>
      </c>
      <c r="AP87" t="s">
        <v>50</v>
      </c>
      <c r="AQ87">
        <v>1430956624</v>
      </c>
      <c r="AS87" t="s">
        <v>4</v>
      </c>
      <c r="CG87" t="s">
        <v>113</v>
      </c>
      <c r="CH87">
        <v>19.2</v>
      </c>
      <c r="CI87" t="s">
        <v>50</v>
      </c>
      <c r="CJ87" t="s">
        <v>112</v>
      </c>
    </row>
    <row r="88" spans="1:88" x14ac:dyDescent="0.25">
      <c r="A88" t="s">
        <v>100</v>
      </c>
      <c r="B88" t="s">
        <v>650</v>
      </c>
      <c r="C88" t="s">
        <v>651</v>
      </c>
      <c r="D88" t="s">
        <v>652</v>
      </c>
      <c r="F88">
        <v>44.4</v>
      </c>
      <c r="G88">
        <v>0</v>
      </c>
      <c r="H88" s="14">
        <v>44.4</v>
      </c>
      <c r="I88">
        <v>653470</v>
      </c>
      <c r="J88" t="s">
        <v>274</v>
      </c>
      <c r="K88" t="s">
        <v>653</v>
      </c>
      <c r="M88" t="s">
        <v>654</v>
      </c>
      <c r="N88" t="s">
        <v>655</v>
      </c>
      <c r="O88" t="s">
        <v>656</v>
      </c>
      <c r="P88" t="s">
        <v>101</v>
      </c>
      <c r="R88" t="s">
        <v>102</v>
      </c>
      <c r="S88" t="s">
        <v>103</v>
      </c>
      <c r="T88" t="s">
        <v>702</v>
      </c>
      <c r="U88">
        <v>757929</v>
      </c>
      <c r="V88" t="s">
        <v>104</v>
      </c>
      <c r="W88" t="s">
        <v>658</v>
      </c>
      <c r="Y88">
        <v>38398</v>
      </c>
      <c r="Z88" t="s">
        <v>38</v>
      </c>
      <c r="AA88" t="s">
        <v>106</v>
      </c>
      <c r="AB88" t="s">
        <v>659</v>
      </c>
      <c r="AC88" t="s">
        <v>669</v>
      </c>
      <c r="AD88" t="s">
        <v>670</v>
      </c>
      <c r="AE88" t="s">
        <v>767</v>
      </c>
      <c r="AF88" t="s">
        <v>682</v>
      </c>
      <c r="AG88" t="s">
        <v>105</v>
      </c>
      <c r="AH88" t="s">
        <v>857</v>
      </c>
      <c r="AI88" t="s">
        <v>858</v>
      </c>
      <c r="AJ88" t="s">
        <v>30</v>
      </c>
      <c r="AK88" t="s">
        <v>680</v>
      </c>
      <c r="AL88">
        <v>9</v>
      </c>
      <c r="AM88" t="s">
        <v>667</v>
      </c>
      <c r="AN88" t="s">
        <v>668</v>
      </c>
      <c r="AO88" s="14">
        <v>185</v>
      </c>
      <c r="AP88" t="s">
        <v>42</v>
      </c>
      <c r="AQ88">
        <v>1430960617</v>
      </c>
      <c r="AS88" t="s">
        <v>4</v>
      </c>
      <c r="CG88" t="s">
        <v>107</v>
      </c>
      <c r="CH88">
        <v>44.4</v>
      </c>
      <c r="CI88" t="s">
        <v>42</v>
      </c>
      <c r="CJ88" t="s">
        <v>100</v>
      </c>
    </row>
    <row r="89" spans="1:88" x14ac:dyDescent="0.25">
      <c r="A89" t="s">
        <v>100</v>
      </c>
      <c r="B89" t="s">
        <v>650</v>
      </c>
      <c r="C89" t="s">
        <v>651</v>
      </c>
      <c r="D89" t="s">
        <v>652</v>
      </c>
      <c r="F89">
        <v>8</v>
      </c>
      <c r="G89">
        <v>0</v>
      </c>
      <c r="H89" s="14">
        <v>8</v>
      </c>
      <c r="I89">
        <v>653470</v>
      </c>
      <c r="J89" t="s">
        <v>274</v>
      </c>
      <c r="K89" t="s">
        <v>653</v>
      </c>
      <c r="M89" t="s">
        <v>654</v>
      </c>
      <c r="N89" t="s">
        <v>655</v>
      </c>
      <c r="O89" t="s">
        <v>656</v>
      </c>
      <c r="P89" t="s">
        <v>95</v>
      </c>
      <c r="R89" t="s">
        <v>96</v>
      </c>
      <c r="S89" t="s">
        <v>97</v>
      </c>
      <c r="T89" t="s">
        <v>657</v>
      </c>
      <c r="U89">
        <v>706472</v>
      </c>
      <c r="V89" t="s">
        <v>98</v>
      </c>
      <c r="W89" t="s">
        <v>658</v>
      </c>
      <c r="Y89">
        <v>45041</v>
      </c>
      <c r="Z89" t="s">
        <v>48</v>
      </c>
      <c r="AA89" t="s">
        <v>28</v>
      </c>
      <c r="AB89" t="s">
        <v>659</v>
      </c>
      <c r="AC89" t="s">
        <v>669</v>
      </c>
      <c r="AD89" t="s">
        <v>670</v>
      </c>
      <c r="AE89" t="s">
        <v>859</v>
      </c>
      <c r="AF89" t="s">
        <v>682</v>
      </c>
      <c r="AG89" t="s">
        <v>99</v>
      </c>
      <c r="AH89" t="s">
        <v>860</v>
      </c>
      <c r="AI89" t="s">
        <v>129</v>
      </c>
      <c r="AJ89" t="s">
        <v>30</v>
      </c>
      <c r="AK89" t="s">
        <v>680</v>
      </c>
      <c r="AL89">
        <v>9</v>
      </c>
      <c r="AM89" t="s">
        <v>667</v>
      </c>
      <c r="AN89" t="s">
        <v>668</v>
      </c>
      <c r="AO89" s="14">
        <v>25</v>
      </c>
      <c r="AP89" t="s">
        <v>50</v>
      </c>
      <c r="AQ89">
        <v>1430965433</v>
      </c>
      <c r="AS89" t="s">
        <v>4</v>
      </c>
      <c r="CG89" t="s">
        <v>49</v>
      </c>
      <c r="CH89">
        <v>8</v>
      </c>
      <c r="CI89" t="s">
        <v>50</v>
      </c>
      <c r="CJ89" t="s">
        <v>100</v>
      </c>
    </row>
    <row r="90" spans="1:88" x14ac:dyDescent="0.25">
      <c r="A90" t="s">
        <v>88</v>
      </c>
      <c r="B90" t="s">
        <v>650</v>
      </c>
      <c r="C90" t="s">
        <v>651</v>
      </c>
      <c r="D90" t="s">
        <v>652</v>
      </c>
      <c r="F90">
        <v>14.64</v>
      </c>
      <c r="G90">
        <v>0</v>
      </c>
      <c r="H90" s="14">
        <v>14.64</v>
      </c>
      <c r="I90">
        <v>653470</v>
      </c>
      <c r="J90" t="s">
        <v>274</v>
      </c>
      <c r="K90" t="s">
        <v>653</v>
      </c>
      <c r="M90" t="s">
        <v>654</v>
      </c>
      <c r="N90" t="s">
        <v>655</v>
      </c>
      <c r="O90" t="s">
        <v>656</v>
      </c>
      <c r="P90" t="s">
        <v>89</v>
      </c>
      <c r="R90" t="s">
        <v>90</v>
      </c>
      <c r="S90" t="s">
        <v>91</v>
      </c>
      <c r="T90" t="s">
        <v>861</v>
      </c>
      <c r="U90">
        <v>703501</v>
      </c>
      <c r="V90" t="s">
        <v>85</v>
      </c>
      <c r="W90" t="s">
        <v>658</v>
      </c>
      <c r="Y90">
        <v>38796</v>
      </c>
      <c r="Z90" t="s">
        <v>87</v>
      </c>
      <c r="AA90" t="s">
        <v>93</v>
      </c>
      <c r="AB90" t="s">
        <v>659</v>
      </c>
      <c r="AC90" t="s">
        <v>669</v>
      </c>
      <c r="AD90" t="s">
        <v>670</v>
      </c>
      <c r="AE90" t="s">
        <v>862</v>
      </c>
      <c r="AF90" t="s">
        <v>672</v>
      </c>
      <c r="AG90" t="s">
        <v>92</v>
      </c>
      <c r="AH90" t="s">
        <v>863</v>
      </c>
      <c r="AI90" t="s">
        <v>864</v>
      </c>
      <c r="AJ90" t="s">
        <v>30</v>
      </c>
      <c r="AK90" t="s">
        <v>666</v>
      </c>
      <c r="AL90">
        <v>12</v>
      </c>
      <c r="AM90" t="s">
        <v>667</v>
      </c>
      <c r="AN90" t="s">
        <v>668</v>
      </c>
      <c r="AO90" s="14">
        <v>61</v>
      </c>
      <c r="AP90" t="s">
        <v>42</v>
      </c>
      <c r="AQ90">
        <v>1430827544</v>
      </c>
      <c r="AS90" t="s">
        <v>4</v>
      </c>
      <c r="CG90" t="s">
        <v>94</v>
      </c>
      <c r="CH90">
        <v>14.64</v>
      </c>
      <c r="CI90" t="s">
        <v>42</v>
      </c>
      <c r="CJ90" t="s">
        <v>88</v>
      </c>
    </row>
    <row r="91" spans="1:88" x14ac:dyDescent="0.25">
      <c r="A91" t="s">
        <v>88</v>
      </c>
      <c r="B91" t="s">
        <v>650</v>
      </c>
      <c r="C91" t="s">
        <v>651</v>
      </c>
      <c r="D91" t="s">
        <v>652</v>
      </c>
      <c r="F91">
        <v>6</v>
      </c>
      <c r="G91">
        <v>0</v>
      </c>
      <c r="H91" s="14">
        <v>6</v>
      </c>
      <c r="I91">
        <v>653470</v>
      </c>
      <c r="J91" t="s">
        <v>274</v>
      </c>
      <c r="K91" t="s">
        <v>653</v>
      </c>
      <c r="M91" t="s">
        <v>654</v>
      </c>
      <c r="N91" t="s">
        <v>655</v>
      </c>
      <c r="O91" t="s">
        <v>656</v>
      </c>
      <c r="P91" t="s">
        <v>82</v>
      </c>
      <c r="R91" t="s">
        <v>83</v>
      </c>
      <c r="S91" t="s">
        <v>84</v>
      </c>
      <c r="T91" t="s">
        <v>828</v>
      </c>
      <c r="U91">
        <v>703501</v>
      </c>
      <c r="V91" t="s">
        <v>85</v>
      </c>
      <c r="W91" t="s">
        <v>658</v>
      </c>
      <c r="Y91">
        <v>38796</v>
      </c>
      <c r="Z91" t="s">
        <v>87</v>
      </c>
      <c r="AA91" t="s">
        <v>28</v>
      </c>
      <c r="AB91" t="s">
        <v>659</v>
      </c>
      <c r="AC91" t="s">
        <v>669</v>
      </c>
      <c r="AD91" t="s">
        <v>670</v>
      </c>
      <c r="AE91" t="s">
        <v>862</v>
      </c>
      <c r="AF91" t="s">
        <v>672</v>
      </c>
      <c r="AG91" t="s">
        <v>86</v>
      </c>
      <c r="AH91" t="s">
        <v>865</v>
      </c>
      <c r="AI91" t="s">
        <v>129</v>
      </c>
      <c r="AJ91" t="s">
        <v>30</v>
      </c>
      <c r="AK91" t="s">
        <v>666</v>
      </c>
      <c r="AL91">
        <v>12</v>
      </c>
      <c r="AM91" t="s">
        <v>667</v>
      </c>
      <c r="AN91" t="s">
        <v>668</v>
      </c>
      <c r="AO91" s="14">
        <v>25</v>
      </c>
      <c r="AP91" t="s">
        <v>42</v>
      </c>
      <c r="AQ91">
        <v>1430827480</v>
      </c>
      <c r="AS91" t="s">
        <v>4</v>
      </c>
      <c r="CG91" t="s">
        <v>49</v>
      </c>
      <c r="CH91">
        <v>6</v>
      </c>
      <c r="CI91" t="s">
        <v>42</v>
      </c>
      <c r="CJ91" t="s">
        <v>88</v>
      </c>
    </row>
    <row r="92" spans="1:88" x14ac:dyDescent="0.25">
      <c r="A92" t="s">
        <v>76</v>
      </c>
      <c r="B92" t="s">
        <v>650</v>
      </c>
      <c r="C92" t="s">
        <v>651</v>
      </c>
      <c r="D92" t="s">
        <v>652</v>
      </c>
      <c r="F92">
        <v>8</v>
      </c>
      <c r="G92">
        <v>0</v>
      </c>
      <c r="H92" s="14">
        <v>8</v>
      </c>
      <c r="I92">
        <v>653470</v>
      </c>
      <c r="J92" t="s">
        <v>274</v>
      </c>
      <c r="K92" t="s">
        <v>653</v>
      </c>
      <c r="M92" t="s">
        <v>654</v>
      </c>
      <c r="N92" t="s">
        <v>655</v>
      </c>
      <c r="O92" t="s">
        <v>656</v>
      </c>
      <c r="P92" t="s">
        <v>78</v>
      </c>
      <c r="R92" t="s">
        <v>79</v>
      </c>
      <c r="S92" t="s">
        <v>80</v>
      </c>
      <c r="T92" t="s">
        <v>657</v>
      </c>
      <c r="U92">
        <v>678726</v>
      </c>
      <c r="V92" t="s">
        <v>46</v>
      </c>
      <c r="W92" t="s">
        <v>658</v>
      </c>
      <c r="Y92">
        <v>45041</v>
      </c>
      <c r="Z92" t="s">
        <v>48</v>
      </c>
      <c r="AA92" t="s">
        <v>28</v>
      </c>
      <c r="AB92" t="s">
        <v>659</v>
      </c>
      <c r="AC92" t="s">
        <v>669</v>
      </c>
      <c r="AD92" t="s">
        <v>670</v>
      </c>
      <c r="AE92" t="s">
        <v>866</v>
      </c>
      <c r="AF92" t="s">
        <v>682</v>
      </c>
      <c r="AG92" t="s">
        <v>81</v>
      </c>
      <c r="AH92" t="s">
        <v>867</v>
      </c>
      <c r="AI92" t="s">
        <v>129</v>
      </c>
      <c r="AJ92" t="s">
        <v>30</v>
      </c>
      <c r="AK92" t="s">
        <v>666</v>
      </c>
      <c r="AL92">
        <v>9</v>
      </c>
      <c r="AM92" t="s">
        <v>667</v>
      </c>
      <c r="AN92" t="s">
        <v>668</v>
      </c>
      <c r="AO92" s="14">
        <v>25</v>
      </c>
      <c r="AP92" t="s">
        <v>50</v>
      </c>
      <c r="AQ92">
        <v>1430838629</v>
      </c>
      <c r="AS92" t="s">
        <v>4</v>
      </c>
      <c r="CG92" t="s">
        <v>49</v>
      </c>
      <c r="CH92">
        <v>8</v>
      </c>
      <c r="CI92" t="s">
        <v>50</v>
      </c>
      <c r="CJ92" t="s">
        <v>76</v>
      </c>
    </row>
    <row r="93" spans="1:88" x14ac:dyDescent="0.25">
      <c r="A93" t="s">
        <v>76</v>
      </c>
      <c r="B93" t="s">
        <v>650</v>
      </c>
      <c r="C93" t="s">
        <v>651</v>
      </c>
      <c r="D93" t="s">
        <v>652</v>
      </c>
      <c r="F93">
        <v>4.07</v>
      </c>
      <c r="G93">
        <v>0</v>
      </c>
      <c r="H93" s="14">
        <v>4.07</v>
      </c>
      <c r="I93">
        <v>653470</v>
      </c>
      <c r="J93" t="s">
        <v>274</v>
      </c>
      <c r="K93" t="s">
        <v>653</v>
      </c>
      <c r="M93" t="s">
        <v>654</v>
      </c>
      <c r="N93" t="s">
        <v>655</v>
      </c>
      <c r="O93" t="s">
        <v>656</v>
      </c>
      <c r="P93" t="s">
        <v>72</v>
      </c>
      <c r="R93" t="s">
        <v>73</v>
      </c>
      <c r="S93" t="s">
        <v>74</v>
      </c>
      <c r="T93" t="s">
        <v>657</v>
      </c>
      <c r="U93">
        <v>678726</v>
      </c>
      <c r="V93" t="s">
        <v>46</v>
      </c>
      <c r="W93" t="s">
        <v>658</v>
      </c>
      <c r="Y93">
        <v>38593</v>
      </c>
      <c r="Z93" t="s">
        <v>27</v>
      </c>
      <c r="AA93" t="s">
        <v>28</v>
      </c>
      <c r="AB93" t="s">
        <v>659</v>
      </c>
      <c r="AC93" t="s">
        <v>660</v>
      </c>
      <c r="AD93" t="s">
        <v>661</v>
      </c>
      <c r="AE93" t="s">
        <v>868</v>
      </c>
      <c r="AF93" t="s">
        <v>715</v>
      </c>
      <c r="AG93" t="s">
        <v>77</v>
      </c>
      <c r="AH93" t="s">
        <v>869</v>
      </c>
      <c r="AI93" t="s">
        <v>687</v>
      </c>
      <c r="AJ93" t="s">
        <v>30</v>
      </c>
      <c r="AK93" t="s">
        <v>680</v>
      </c>
      <c r="AL93">
        <v>11</v>
      </c>
      <c r="AM93" t="s">
        <v>667</v>
      </c>
      <c r="AN93" t="s">
        <v>668</v>
      </c>
      <c r="AO93" s="14">
        <v>11</v>
      </c>
      <c r="AP93" t="s">
        <v>32</v>
      </c>
      <c r="AQ93">
        <v>1430984800</v>
      </c>
      <c r="AS93" t="s">
        <v>4</v>
      </c>
      <c r="CG93" t="s">
        <v>31</v>
      </c>
      <c r="CH93">
        <v>4.07</v>
      </c>
      <c r="CI93" t="s">
        <v>32</v>
      </c>
      <c r="CJ93" t="s">
        <v>76</v>
      </c>
    </row>
    <row r="94" spans="1:88" x14ac:dyDescent="0.25">
      <c r="A94" t="s">
        <v>76</v>
      </c>
      <c r="B94" t="s">
        <v>650</v>
      </c>
      <c r="C94" t="s">
        <v>651</v>
      </c>
      <c r="D94" t="s">
        <v>652</v>
      </c>
      <c r="F94">
        <v>8</v>
      </c>
      <c r="G94">
        <v>0</v>
      </c>
      <c r="H94" s="14">
        <v>8</v>
      </c>
      <c r="I94">
        <v>653470</v>
      </c>
      <c r="J94" t="s">
        <v>274</v>
      </c>
      <c r="K94" t="s">
        <v>653</v>
      </c>
      <c r="M94" t="s">
        <v>654</v>
      </c>
      <c r="N94" t="s">
        <v>655</v>
      </c>
      <c r="O94" t="s">
        <v>656</v>
      </c>
      <c r="P94" t="s">
        <v>72</v>
      </c>
      <c r="R94" t="s">
        <v>73</v>
      </c>
      <c r="S94" t="s">
        <v>74</v>
      </c>
      <c r="T94" t="s">
        <v>657</v>
      </c>
      <c r="U94">
        <v>678726</v>
      </c>
      <c r="V94" t="s">
        <v>46</v>
      </c>
      <c r="W94" t="s">
        <v>658</v>
      </c>
      <c r="Y94">
        <v>45041</v>
      </c>
      <c r="Z94" t="s">
        <v>48</v>
      </c>
      <c r="AA94" t="s">
        <v>28</v>
      </c>
      <c r="AB94" t="s">
        <v>659</v>
      </c>
      <c r="AC94" t="s">
        <v>669</v>
      </c>
      <c r="AD94" t="s">
        <v>670</v>
      </c>
      <c r="AE94" t="s">
        <v>868</v>
      </c>
      <c r="AF94" t="s">
        <v>715</v>
      </c>
      <c r="AG94" t="s">
        <v>75</v>
      </c>
      <c r="AH94" t="s">
        <v>869</v>
      </c>
      <c r="AI94" t="s">
        <v>687</v>
      </c>
      <c r="AJ94" t="s">
        <v>30</v>
      </c>
      <c r="AK94" t="s">
        <v>680</v>
      </c>
      <c r="AL94">
        <v>11</v>
      </c>
      <c r="AM94" t="s">
        <v>667</v>
      </c>
      <c r="AN94" t="s">
        <v>668</v>
      </c>
      <c r="AO94" s="14">
        <v>25</v>
      </c>
      <c r="AP94" t="s">
        <v>50</v>
      </c>
      <c r="AQ94">
        <v>1430984805</v>
      </c>
      <c r="AS94" t="s">
        <v>4</v>
      </c>
      <c r="CG94" t="s">
        <v>49</v>
      </c>
      <c r="CH94">
        <v>8</v>
      </c>
      <c r="CI94" t="s">
        <v>50</v>
      </c>
      <c r="CJ94" t="s">
        <v>76</v>
      </c>
    </row>
    <row r="95" spans="1:88" x14ac:dyDescent="0.25">
      <c r="A95" t="s">
        <v>56</v>
      </c>
      <c r="B95" t="s">
        <v>650</v>
      </c>
      <c r="C95" t="s">
        <v>651</v>
      </c>
      <c r="D95" t="s">
        <v>652</v>
      </c>
      <c r="F95">
        <v>4.07</v>
      </c>
      <c r="G95">
        <v>0</v>
      </c>
      <c r="H95" s="14">
        <v>4.07</v>
      </c>
      <c r="I95">
        <v>653470</v>
      </c>
      <c r="J95" t="s">
        <v>274</v>
      </c>
      <c r="K95" t="s">
        <v>653</v>
      </c>
      <c r="M95" t="s">
        <v>654</v>
      </c>
      <c r="N95" t="s">
        <v>655</v>
      </c>
      <c r="O95" t="s">
        <v>656</v>
      </c>
      <c r="P95" t="s">
        <v>66</v>
      </c>
      <c r="R95" t="s">
        <v>67</v>
      </c>
      <c r="S95" t="s">
        <v>68</v>
      </c>
      <c r="T95" t="s">
        <v>657</v>
      </c>
      <c r="U95">
        <v>798992</v>
      </c>
      <c r="V95" t="s">
        <v>54</v>
      </c>
      <c r="W95" t="s">
        <v>658</v>
      </c>
      <c r="Y95">
        <v>38593</v>
      </c>
      <c r="Z95" t="s">
        <v>27</v>
      </c>
      <c r="AA95" t="s">
        <v>28</v>
      </c>
      <c r="AB95" t="s">
        <v>659</v>
      </c>
      <c r="AC95" t="s">
        <v>660</v>
      </c>
      <c r="AD95" t="s">
        <v>661</v>
      </c>
      <c r="AE95" t="s">
        <v>866</v>
      </c>
      <c r="AF95" t="s">
        <v>682</v>
      </c>
      <c r="AG95" t="s">
        <v>71</v>
      </c>
      <c r="AH95" t="s">
        <v>870</v>
      </c>
      <c r="AI95" t="s">
        <v>871</v>
      </c>
      <c r="AJ95" t="s">
        <v>30</v>
      </c>
      <c r="AK95" t="s">
        <v>666</v>
      </c>
      <c r="AL95">
        <v>9</v>
      </c>
      <c r="AM95" t="s">
        <v>667</v>
      </c>
      <c r="AN95" t="s">
        <v>668</v>
      </c>
      <c r="AO95" s="14">
        <v>11</v>
      </c>
      <c r="AP95" t="s">
        <v>32</v>
      </c>
      <c r="AQ95">
        <v>1430851710</v>
      </c>
      <c r="AS95" t="s">
        <v>4</v>
      </c>
      <c r="CG95" t="s">
        <v>31</v>
      </c>
      <c r="CH95">
        <v>4.07</v>
      </c>
      <c r="CI95" t="s">
        <v>32</v>
      </c>
      <c r="CJ95" t="s">
        <v>56</v>
      </c>
    </row>
    <row r="96" spans="1:88" x14ac:dyDescent="0.25">
      <c r="A96" t="s">
        <v>56</v>
      </c>
      <c r="B96" t="s">
        <v>650</v>
      </c>
      <c r="C96" t="s">
        <v>651</v>
      </c>
      <c r="D96" t="s">
        <v>652</v>
      </c>
      <c r="F96">
        <v>9.6</v>
      </c>
      <c r="G96">
        <v>0</v>
      </c>
      <c r="H96" s="14">
        <v>9.6</v>
      </c>
      <c r="I96">
        <v>653470</v>
      </c>
      <c r="J96" t="s">
        <v>274</v>
      </c>
      <c r="K96" t="s">
        <v>653</v>
      </c>
      <c r="M96" t="s">
        <v>654</v>
      </c>
      <c r="N96" t="s">
        <v>655</v>
      </c>
      <c r="O96" t="s">
        <v>656</v>
      </c>
      <c r="P96" t="s">
        <v>66</v>
      </c>
      <c r="R96" t="s">
        <v>67</v>
      </c>
      <c r="S96" t="s">
        <v>68</v>
      </c>
      <c r="T96" t="s">
        <v>657</v>
      </c>
      <c r="U96">
        <v>798992</v>
      </c>
      <c r="V96" t="s">
        <v>54</v>
      </c>
      <c r="W96" t="s">
        <v>658</v>
      </c>
      <c r="Y96">
        <v>45041</v>
      </c>
      <c r="Z96" t="s">
        <v>48</v>
      </c>
      <c r="AA96" t="s">
        <v>28</v>
      </c>
      <c r="AB96" t="s">
        <v>659</v>
      </c>
      <c r="AC96" t="s">
        <v>669</v>
      </c>
      <c r="AD96" t="s">
        <v>670</v>
      </c>
      <c r="AE96" t="s">
        <v>866</v>
      </c>
      <c r="AF96" t="s">
        <v>682</v>
      </c>
      <c r="AG96" t="s">
        <v>69</v>
      </c>
      <c r="AH96" t="s">
        <v>870</v>
      </c>
      <c r="AI96" t="s">
        <v>871</v>
      </c>
      <c r="AJ96" t="s">
        <v>30</v>
      </c>
      <c r="AK96" t="s">
        <v>666</v>
      </c>
      <c r="AL96">
        <v>9</v>
      </c>
      <c r="AM96" t="s">
        <v>667</v>
      </c>
      <c r="AN96" t="s">
        <v>668</v>
      </c>
      <c r="AO96" s="14">
        <v>30</v>
      </c>
      <c r="AP96" t="s">
        <v>50</v>
      </c>
      <c r="AQ96">
        <v>1430851716</v>
      </c>
      <c r="AS96" t="s">
        <v>4</v>
      </c>
      <c r="CG96" t="s">
        <v>70</v>
      </c>
      <c r="CH96">
        <v>9.6</v>
      </c>
      <c r="CI96" t="s">
        <v>50</v>
      </c>
      <c r="CJ96" t="s">
        <v>56</v>
      </c>
    </row>
    <row r="97" spans="1:88" x14ac:dyDescent="0.25">
      <c r="A97" t="s">
        <v>56</v>
      </c>
      <c r="B97" t="s">
        <v>650</v>
      </c>
      <c r="C97" t="s">
        <v>651</v>
      </c>
      <c r="D97" t="s">
        <v>652</v>
      </c>
      <c r="E97" t="s">
        <v>64</v>
      </c>
      <c r="F97">
        <v>0</v>
      </c>
      <c r="G97">
        <v>9.1199999999999992</v>
      </c>
      <c r="H97" s="14">
        <v>-9.1199999999999992</v>
      </c>
      <c r="I97">
        <v>653470</v>
      </c>
      <c r="J97" t="s">
        <v>274</v>
      </c>
      <c r="K97" t="s">
        <v>653</v>
      </c>
      <c r="M97" t="s">
        <v>654</v>
      </c>
      <c r="N97" t="s">
        <v>655</v>
      </c>
      <c r="O97" t="s">
        <v>656</v>
      </c>
      <c r="P97" t="s">
        <v>57</v>
      </c>
      <c r="R97" t="s">
        <v>58</v>
      </c>
      <c r="S97" t="s">
        <v>59</v>
      </c>
      <c r="T97" t="s">
        <v>702</v>
      </c>
      <c r="U97">
        <v>757209</v>
      </c>
      <c r="V97" t="s">
        <v>60</v>
      </c>
      <c r="W97" t="s">
        <v>658</v>
      </c>
      <c r="Y97">
        <v>42249</v>
      </c>
      <c r="Z97" t="s">
        <v>62</v>
      </c>
      <c r="AA97" t="s">
        <v>28</v>
      </c>
      <c r="AB97" t="s">
        <v>659</v>
      </c>
      <c r="AC97" t="s">
        <v>669</v>
      </c>
      <c r="AD97" t="s">
        <v>670</v>
      </c>
      <c r="AE97" t="s">
        <v>872</v>
      </c>
      <c r="AF97" t="s">
        <v>752</v>
      </c>
      <c r="AG97" t="s">
        <v>61</v>
      </c>
      <c r="AH97" t="s">
        <v>873</v>
      </c>
      <c r="AI97" t="s">
        <v>565</v>
      </c>
      <c r="AJ97" t="s">
        <v>63</v>
      </c>
      <c r="AK97" t="s">
        <v>666</v>
      </c>
      <c r="AL97">
        <v>15</v>
      </c>
      <c r="AM97" t="s">
        <v>210</v>
      </c>
      <c r="AN97" t="s">
        <v>29</v>
      </c>
      <c r="AO97" s="14">
        <v>38</v>
      </c>
      <c r="AP97" t="s">
        <v>42</v>
      </c>
      <c r="AQ97">
        <v>1430809884</v>
      </c>
      <c r="AS97" t="s">
        <v>4</v>
      </c>
      <c r="CG97" t="s">
        <v>65</v>
      </c>
      <c r="CH97">
        <v>-9.1199999999999992</v>
      </c>
      <c r="CI97" t="s">
        <v>42</v>
      </c>
      <c r="CJ97" t="s">
        <v>56</v>
      </c>
    </row>
    <row r="98" spans="1:88" x14ac:dyDescent="0.25">
      <c r="A98" t="s">
        <v>56</v>
      </c>
      <c r="B98" t="s">
        <v>650</v>
      </c>
      <c r="C98" t="s">
        <v>651</v>
      </c>
      <c r="D98" t="s">
        <v>652</v>
      </c>
      <c r="F98">
        <v>8</v>
      </c>
      <c r="G98">
        <v>0</v>
      </c>
      <c r="H98" s="14">
        <v>8</v>
      </c>
      <c r="I98">
        <v>653470</v>
      </c>
      <c r="J98" t="s">
        <v>274</v>
      </c>
      <c r="K98" t="s">
        <v>653</v>
      </c>
      <c r="M98" t="s">
        <v>654</v>
      </c>
      <c r="N98" t="s">
        <v>655</v>
      </c>
      <c r="O98" t="s">
        <v>656</v>
      </c>
      <c r="P98" t="s">
        <v>51</v>
      </c>
      <c r="R98" t="s">
        <v>52</v>
      </c>
      <c r="S98" t="s">
        <v>53</v>
      </c>
      <c r="T98" t="s">
        <v>657</v>
      </c>
      <c r="U98">
        <v>798992</v>
      </c>
      <c r="V98" t="s">
        <v>54</v>
      </c>
      <c r="W98" t="s">
        <v>658</v>
      </c>
      <c r="Y98">
        <v>45041</v>
      </c>
      <c r="Z98" t="s">
        <v>48</v>
      </c>
      <c r="AA98" t="s">
        <v>28</v>
      </c>
      <c r="AB98" t="s">
        <v>659</v>
      </c>
      <c r="AC98" t="s">
        <v>669</v>
      </c>
      <c r="AD98" t="s">
        <v>670</v>
      </c>
      <c r="AE98" t="s">
        <v>712</v>
      </c>
      <c r="AF98" t="s">
        <v>710</v>
      </c>
      <c r="AG98" t="s">
        <v>55</v>
      </c>
      <c r="AH98" t="s">
        <v>874</v>
      </c>
      <c r="AI98" t="s">
        <v>129</v>
      </c>
      <c r="AJ98" t="s">
        <v>30</v>
      </c>
      <c r="AK98" t="s">
        <v>680</v>
      </c>
      <c r="AL98">
        <v>8</v>
      </c>
      <c r="AM98" t="s">
        <v>667</v>
      </c>
      <c r="AN98" t="s">
        <v>668</v>
      </c>
      <c r="AO98" s="14">
        <v>25</v>
      </c>
      <c r="AP98" t="s">
        <v>50</v>
      </c>
      <c r="AQ98">
        <v>1430994481</v>
      </c>
      <c r="AS98" t="s">
        <v>4</v>
      </c>
      <c r="CG98" t="s">
        <v>49</v>
      </c>
      <c r="CH98">
        <v>8</v>
      </c>
      <c r="CI98" t="s">
        <v>50</v>
      </c>
      <c r="CJ98" t="s">
        <v>56</v>
      </c>
    </row>
    <row r="99" spans="1:88" x14ac:dyDescent="0.25">
      <c r="A99" t="s">
        <v>40</v>
      </c>
      <c r="B99" t="s">
        <v>650</v>
      </c>
      <c r="C99" t="s">
        <v>651</v>
      </c>
      <c r="D99" t="s">
        <v>652</v>
      </c>
      <c r="F99">
        <v>8</v>
      </c>
      <c r="G99">
        <v>0</v>
      </c>
      <c r="H99" s="14">
        <v>8</v>
      </c>
      <c r="I99">
        <v>653470</v>
      </c>
      <c r="J99" t="s">
        <v>274</v>
      </c>
      <c r="K99" t="s">
        <v>653</v>
      </c>
      <c r="M99" t="s">
        <v>654</v>
      </c>
      <c r="N99" t="s">
        <v>655</v>
      </c>
      <c r="O99" t="s">
        <v>656</v>
      </c>
      <c r="P99" t="s">
        <v>43</v>
      </c>
      <c r="R99" t="s">
        <v>44</v>
      </c>
      <c r="S99" t="s">
        <v>45</v>
      </c>
      <c r="T99" t="s">
        <v>657</v>
      </c>
      <c r="U99">
        <v>678726</v>
      </c>
      <c r="V99" t="s">
        <v>46</v>
      </c>
      <c r="W99" t="s">
        <v>658</v>
      </c>
      <c r="Y99">
        <v>45041</v>
      </c>
      <c r="Z99" t="s">
        <v>48</v>
      </c>
      <c r="AA99" t="s">
        <v>28</v>
      </c>
      <c r="AB99" t="s">
        <v>659</v>
      </c>
      <c r="AC99" t="s">
        <v>669</v>
      </c>
      <c r="AD99" t="s">
        <v>670</v>
      </c>
      <c r="AE99" t="s">
        <v>715</v>
      </c>
      <c r="AF99" t="s">
        <v>707</v>
      </c>
      <c r="AG99" t="s">
        <v>47</v>
      </c>
      <c r="AH99" t="s">
        <v>875</v>
      </c>
      <c r="AI99" t="s">
        <v>129</v>
      </c>
      <c r="AJ99" t="s">
        <v>30</v>
      </c>
      <c r="AK99" t="s">
        <v>680</v>
      </c>
      <c r="AL99">
        <v>10</v>
      </c>
      <c r="AM99" t="s">
        <v>667</v>
      </c>
      <c r="AN99" t="s">
        <v>668</v>
      </c>
      <c r="AO99" s="14">
        <v>25</v>
      </c>
      <c r="AP99" t="s">
        <v>50</v>
      </c>
      <c r="AQ99">
        <v>1431004638</v>
      </c>
      <c r="AS99" t="s">
        <v>4</v>
      </c>
      <c r="CG99" t="s">
        <v>49</v>
      </c>
      <c r="CH99">
        <v>8</v>
      </c>
      <c r="CI99" t="s">
        <v>50</v>
      </c>
      <c r="CJ99" t="s">
        <v>40</v>
      </c>
    </row>
    <row r="100" spans="1:88" x14ac:dyDescent="0.25">
      <c r="A100" t="s">
        <v>40</v>
      </c>
      <c r="B100" t="s">
        <v>650</v>
      </c>
      <c r="C100" t="s">
        <v>651</v>
      </c>
      <c r="D100" t="s">
        <v>652</v>
      </c>
      <c r="F100">
        <v>18.239999999999998</v>
      </c>
      <c r="G100">
        <v>0</v>
      </c>
      <c r="H100" s="14">
        <v>18.239999999999998</v>
      </c>
      <c r="I100">
        <v>653470</v>
      </c>
      <c r="J100" t="s">
        <v>274</v>
      </c>
      <c r="K100" t="s">
        <v>653</v>
      </c>
      <c r="M100" t="s">
        <v>654</v>
      </c>
      <c r="N100" t="s">
        <v>655</v>
      </c>
      <c r="O100" t="s">
        <v>656</v>
      </c>
      <c r="P100" t="s">
        <v>33</v>
      </c>
      <c r="R100" t="s">
        <v>34</v>
      </c>
      <c r="S100" t="s">
        <v>35</v>
      </c>
      <c r="T100" t="s">
        <v>655</v>
      </c>
      <c r="U100">
        <v>689390</v>
      </c>
      <c r="V100" t="s">
        <v>36</v>
      </c>
      <c r="W100" t="s">
        <v>658</v>
      </c>
      <c r="Y100">
        <v>38398</v>
      </c>
      <c r="Z100" t="s">
        <v>38</v>
      </c>
      <c r="AA100" t="s">
        <v>39</v>
      </c>
      <c r="AB100" t="s">
        <v>659</v>
      </c>
      <c r="AC100" t="s">
        <v>669</v>
      </c>
      <c r="AD100" t="s">
        <v>670</v>
      </c>
      <c r="AE100" t="s">
        <v>876</v>
      </c>
      <c r="AF100" t="s">
        <v>785</v>
      </c>
      <c r="AG100" t="s">
        <v>37</v>
      </c>
      <c r="AH100" t="s">
        <v>877</v>
      </c>
      <c r="AI100" t="s">
        <v>878</v>
      </c>
      <c r="AJ100" t="s">
        <v>30</v>
      </c>
      <c r="AK100" t="s">
        <v>666</v>
      </c>
      <c r="AL100">
        <v>20</v>
      </c>
      <c r="AM100" t="s">
        <v>210</v>
      </c>
      <c r="AN100" t="s">
        <v>29</v>
      </c>
      <c r="AO100" s="14">
        <v>76</v>
      </c>
      <c r="AP100" t="s">
        <v>42</v>
      </c>
      <c r="AQ100">
        <v>1430897215</v>
      </c>
      <c r="AS100" t="s">
        <v>4</v>
      </c>
      <c r="CG100" t="s">
        <v>41</v>
      </c>
      <c r="CH100">
        <v>18.239999999999998</v>
      </c>
      <c r="CI100" t="s">
        <v>42</v>
      </c>
      <c r="CJ100" t="s">
        <v>40</v>
      </c>
    </row>
    <row r="101" spans="1:88" x14ac:dyDescent="0.25">
      <c r="A101" t="s">
        <v>40</v>
      </c>
      <c r="B101" t="s">
        <v>650</v>
      </c>
      <c r="C101" t="s">
        <v>651</v>
      </c>
      <c r="D101" t="s">
        <v>652</v>
      </c>
      <c r="F101">
        <v>18.239999999999998</v>
      </c>
      <c r="G101">
        <v>0</v>
      </c>
      <c r="H101" s="14">
        <v>18.239999999999998</v>
      </c>
      <c r="I101">
        <v>653470</v>
      </c>
      <c r="J101" t="s">
        <v>274</v>
      </c>
      <c r="K101" t="s">
        <v>653</v>
      </c>
      <c r="M101" t="s">
        <v>654</v>
      </c>
      <c r="N101" t="s">
        <v>655</v>
      </c>
      <c r="O101" t="s">
        <v>656</v>
      </c>
      <c r="P101" t="s">
        <v>114</v>
      </c>
      <c r="R101" t="s">
        <v>115</v>
      </c>
      <c r="S101" t="s">
        <v>116</v>
      </c>
      <c r="T101" t="s">
        <v>655</v>
      </c>
      <c r="U101">
        <v>689390</v>
      </c>
      <c r="V101" t="s">
        <v>36</v>
      </c>
      <c r="W101" t="s">
        <v>658</v>
      </c>
      <c r="Y101">
        <v>38398</v>
      </c>
      <c r="Z101" t="s">
        <v>38</v>
      </c>
      <c r="AA101" t="s">
        <v>39</v>
      </c>
      <c r="AB101" t="s">
        <v>659</v>
      </c>
      <c r="AC101" t="s">
        <v>669</v>
      </c>
      <c r="AD101" t="s">
        <v>670</v>
      </c>
      <c r="AE101" t="s">
        <v>847</v>
      </c>
      <c r="AF101" t="s">
        <v>785</v>
      </c>
      <c r="AG101" t="s">
        <v>117</v>
      </c>
      <c r="AH101" t="s">
        <v>879</v>
      </c>
      <c r="AI101" t="s">
        <v>878</v>
      </c>
      <c r="AJ101" t="s">
        <v>30</v>
      </c>
      <c r="AK101" t="s">
        <v>666</v>
      </c>
      <c r="AL101">
        <v>21</v>
      </c>
      <c r="AM101" t="s">
        <v>667</v>
      </c>
      <c r="AN101" t="s">
        <v>668</v>
      </c>
      <c r="AO101" s="14">
        <v>76</v>
      </c>
      <c r="AP101" t="s">
        <v>42</v>
      </c>
      <c r="AQ101">
        <v>1430896528</v>
      </c>
      <c r="AS101" t="s">
        <v>4</v>
      </c>
      <c r="CG101" t="s">
        <v>41</v>
      </c>
      <c r="CH101">
        <v>18.239999999999998</v>
      </c>
      <c r="CI101" t="s">
        <v>42</v>
      </c>
      <c r="CJ101" t="s">
        <v>40</v>
      </c>
    </row>
    <row r="102" spans="1:88" x14ac:dyDescent="0.25">
      <c r="A102" t="s">
        <v>40</v>
      </c>
      <c r="B102" t="s">
        <v>650</v>
      </c>
      <c r="C102" t="s">
        <v>651</v>
      </c>
      <c r="D102" t="s">
        <v>652</v>
      </c>
      <c r="F102">
        <v>32.159999999999997</v>
      </c>
      <c r="G102">
        <v>0</v>
      </c>
      <c r="H102" s="14">
        <v>32.159999999999997</v>
      </c>
      <c r="I102">
        <v>653470</v>
      </c>
      <c r="J102" t="s">
        <v>274</v>
      </c>
      <c r="K102" t="s">
        <v>653</v>
      </c>
      <c r="M102" t="s">
        <v>654</v>
      </c>
      <c r="N102" t="s">
        <v>655</v>
      </c>
      <c r="O102" t="s">
        <v>656</v>
      </c>
      <c r="P102" t="s">
        <v>196</v>
      </c>
      <c r="R102" t="s">
        <v>197</v>
      </c>
      <c r="S102" t="s">
        <v>198</v>
      </c>
      <c r="T102" t="s">
        <v>727</v>
      </c>
      <c r="U102">
        <v>689390</v>
      </c>
      <c r="V102" t="s">
        <v>36</v>
      </c>
      <c r="W102" t="s">
        <v>658</v>
      </c>
      <c r="Y102">
        <v>38399</v>
      </c>
      <c r="Z102" t="s">
        <v>157</v>
      </c>
      <c r="AA102" t="s">
        <v>39</v>
      </c>
      <c r="AB102" t="s">
        <v>659</v>
      </c>
      <c r="AC102" t="s">
        <v>669</v>
      </c>
      <c r="AD102" t="s">
        <v>670</v>
      </c>
      <c r="AE102" t="s">
        <v>880</v>
      </c>
      <c r="AF102" t="s">
        <v>663</v>
      </c>
      <c r="AG102" t="s">
        <v>199</v>
      </c>
      <c r="AH102" t="s">
        <v>881</v>
      </c>
      <c r="AI102" t="s">
        <v>882</v>
      </c>
      <c r="AJ102" t="s">
        <v>30</v>
      </c>
      <c r="AK102" t="s">
        <v>666</v>
      </c>
      <c r="AL102">
        <v>19</v>
      </c>
      <c r="AM102" t="s">
        <v>667</v>
      </c>
      <c r="AN102" t="s">
        <v>668</v>
      </c>
      <c r="AO102" s="14">
        <v>134</v>
      </c>
      <c r="AP102" t="s">
        <v>42</v>
      </c>
      <c r="AQ102">
        <v>1430896483</v>
      </c>
      <c r="AS102" t="s">
        <v>4</v>
      </c>
      <c r="CG102" t="s">
        <v>200</v>
      </c>
      <c r="CH102">
        <v>32.159999999999997</v>
      </c>
      <c r="CI102" t="s">
        <v>42</v>
      </c>
      <c r="CJ102" t="s">
        <v>40</v>
      </c>
    </row>
    <row r="103" spans="1:88" x14ac:dyDescent="0.25">
      <c r="A103" t="s">
        <v>40</v>
      </c>
      <c r="B103" t="s">
        <v>650</v>
      </c>
      <c r="C103" t="s">
        <v>651</v>
      </c>
      <c r="D103" t="s">
        <v>652</v>
      </c>
      <c r="F103">
        <v>5.55</v>
      </c>
      <c r="G103">
        <v>0</v>
      </c>
      <c r="H103" s="14">
        <v>5.55</v>
      </c>
      <c r="I103">
        <v>653470</v>
      </c>
      <c r="J103" t="s">
        <v>274</v>
      </c>
      <c r="K103" t="s">
        <v>653</v>
      </c>
      <c r="M103" t="s">
        <v>654</v>
      </c>
      <c r="N103" t="s">
        <v>655</v>
      </c>
      <c r="O103" t="s">
        <v>656</v>
      </c>
      <c r="P103" t="s">
        <v>196</v>
      </c>
      <c r="R103" t="s">
        <v>197</v>
      </c>
      <c r="S103" t="s">
        <v>198</v>
      </c>
      <c r="T103" t="s">
        <v>727</v>
      </c>
      <c r="U103">
        <v>689390</v>
      </c>
      <c r="V103" t="s">
        <v>36</v>
      </c>
      <c r="W103" t="s">
        <v>658</v>
      </c>
      <c r="Y103">
        <v>38593</v>
      </c>
      <c r="Z103" t="s">
        <v>27</v>
      </c>
      <c r="AA103" t="s">
        <v>181</v>
      </c>
      <c r="AB103" t="s">
        <v>659</v>
      </c>
      <c r="AC103" t="s">
        <v>660</v>
      </c>
      <c r="AD103" t="s">
        <v>661</v>
      </c>
      <c r="AE103" t="s">
        <v>880</v>
      </c>
      <c r="AF103" t="s">
        <v>663</v>
      </c>
      <c r="AG103" t="s">
        <v>257</v>
      </c>
      <c r="AH103" t="s">
        <v>881</v>
      </c>
      <c r="AI103" t="s">
        <v>882</v>
      </c>
      <c r="AJ103" t="s">
        <v>30</v>
      </c>
      <c r="AK103" t="s">
        <v>666</v>
      </c>
      <c r="AL103">
        <v>19</v>
      </c>
      <c r="AM103" t="s">
        <v>667</v>
      </c>
      <c r="AN103" t="s">
        <v>668</v>
      </c>
      <c r="AO103" s="14">
        <v>15</v>
      </c>
      <c r="AP103" t="s">
        <v>32</v>
      </c>
      <c r="AQ103">
        <v>1430896485</v>
      </c>
      <c r="AS103" t="s">
        <v>4</v>
      </c>
      <c r="CG103" t="s">
        <v>182</v>
      </c>
      <c r="CH103">
        <v>5.55</v>
      </c>
      <c r="CI103" t="s">
        <v>32</v>
      </c>
      <c r="CJ103" t="s">
        <v>40</v>
      </c>
    </row>
    <row r="104" spans="1:88" x14ac:dyDescent="0.25">
      <c r="A104" t="s">
        <v>40</v>
      </c>
      <c r="B104" t="s">
        <v>650</v>
      </c>
      <c r="C104" t="s">
        <v>651</v>
      </c>
      <c r="D104" t="s">
        <v>652</v>
      </c>
      <c r="F104">
        <v>7.4</v>
      </c>
      <c r="G104">
        <v>0</v>
      </c>
      <c r="H104" s="14">
        <v>7.4</v>
      </c>
      <c r="I104">
        <v>653470</v>
      </c>
      <c r="J104" t="s">
        <v>274</v>
      </c>
      <c r="K104" t="s">
        <v>653</v>
      </c>
      <c r="M104" t="s">
        <v>654</v>
      </c>
      <c r="N104" t="s">
        <v>655</v>
      </c>
      <c r="O104" t="s">
        <v>656</v>
      </c>
      <c r="P104" t="s">
        <v>201</v>
      </c>
      <c r="R104" t="s">
        <v>202</v>
      </c>
      <c r="S104" t="s">
        <v>203</v>
      </c>
      <c r="T104" t="s">
        <v>762</v>
      </c>
      <c r="U104">
        <v>703501</v>
      </c>
      <c r="V104" t="s">
        <v>85</v>
      </c>
      <c r="W104" t="s">
        <v>658</v>
      </c>
      <c r="Y104">
        <v>38593</v>
      </c>
      <c r="Z104" t="s">
        <v>27</v>
      </c>
      <c r="AA104" t="s">
        <v>106</v>
      </c>
      <c r="AB104" t="s">
        <v>659</v>
      </c>
      <c r="AC104" t="s">
        <v>660</v>
      </c>
      <c r="AD104" t="s">
        <v>661</v>
      </c>
      <c r="AE104" t="s">
        <v>819</v>
      </c>
      <c r="AF104" t="s">
        <v>672</v>
      </c>
      <c r="AG104" t="s">
        <v>204</v>
      </c>
      <c r="AH104" t="s">
        <v>883</v>
      </c>
      <c r="AI104" t="s">
        <v>884</v>
      </c>
      <c r="AJ104" t="s">
        <v>30</v>
      </c>
      <c r="AK104" t="s">
        <v>666</v>
      </c>
      <c r="AL104">
        <v>11</v>
      </c>
      <c r="AM104" t="s">
        <v>210</v>
      </c>
      <c r="AN104" t="s">
        <v>29</v>
      </c>
      <c r="AO104" s="14">
        <v>20</v>
      </c>
      <c r="AP104" t="s">
        <v>32</v>
      </c>
      <c r="AQ104">
        <v>1430891324</v>
      </c>
      <c r="AS104" t="s">
        <v>4</v>
      </c>
      <c r="CG104" t="s">
        <v>205</v>
      </c>
      <c r="CH104">
        <v>7.4</v>
      </c>
      <c r="CI104" t="s">
        <v>32</v>
      </c>
      <c r="CJ104" t="s">
        <v>40</v>
      </c>
    </row>
    <row r="105" spans="1:88" x14ac:dyDescent="0.25">
      <c r="A105" t="s">
        <v>40</v>
      </c>
      <c r="B105" t="s">
        <v>650</v>
      </c>
      <c r="C105" t="s">
        <v>651</v>
      </c>
      <c r="D105" t="s">
        <v>652</v>
      </c>
      <c r="F105">
        <v>22.32</v>
      </c>
      <c r="G105">
        <v>0</v>
      </c>
      <c r="H105" s="14">
        <v>22.32</v>
      </c>
      <c r="I105">
        <v>653470</v>
      </c>
      <c r="J105" t="s">
        <v>274</v>
      </c>
      <c r="K105" t="s">
        <v>653</v>
      </c>
      <c r="M105" t="s">
        <v>654</v>
      </c>
      <c r="N105" t="s">
        <v>655</v>
      </c>
      <c r="O105" t="s">
        <v>656</v>
      </c>
      <c r="P105" t="s">
        <v>201</v>
      </c>
      <c r="R105" t="s">
        <v>202</v>
      </c>
      <c r="S105" t="s">
        <v>203</v>
      </c>
      <c r="T105" t="s">
        <v>762</v>
      </c>
      <c r="U105">
        <v>703501</v>
      </c>
      <c r="V105" t="s">
        <v>85</v>
      </c>
      <c r="W105" t="s">
        <v>658</v>
      </c>
      <c r="Y105">
        <v>38796</v>
      </c>
      <c r="Z105" t="s">
        <v>87</v>
      </c>
      <c r="AA105" t="s">
        <v>106</v>
      </c>
      <c r="AB105" t="s">
        <v>659</v>
      </c>
      <c r="AC105" t="s">
        <v>669</v>
      </c>
      <c r="AD105" t="s">
        <v>670</v>
      </c>
      <c r="AE105" t="s">
        <v>819</v>
      </c>
      <c r="AF105" t="s">
        <v>672</v>
      </c>
      <c r="AG105" t="s">
        <v>315</v>
      </c>
      <c r="AH105" t="s">
        <v>883</v>
      </c>
      <c r="AI105" t="s">
        <v>884</v>
      </c>
      <c r="AJ105" t="s">
        <v>30</v>
      </c>
      <c r="AK105" t="s">
        <v>666</v>
      </c>
      <c r="AL105">
        <v>11</v>
      </c>
      <c r="AM105" t="s">
        <v>210</v>
      </c>
      <c r="AN105" t="s">
        <v>29</v>
      </c>
      <c r="AO105" s="14">
        <v>93</v>
      </c>
      <c r="AP105" t="s">
        <v>42</v>
      </c>
      <c r="AQ105">
        <v>1430891326</v>
      </c>
      <c r="AS105" t="s">
        <v>4</v>
      </c>
      <c r="CG105" t="s">
        <v>316</v>
      </c>
      <c r="CH105">
        <v>22.32</v>
      </c>
      <c r="CI105" t="s">
        <v>42</v>
      </c>
      <c r="CJ105" t="s">
        <v>40</v>
      </c>
    </row>
    <row r="106" spans="1:88" x14ac:dyDescent="0.25">
      <c r="A106" t="s">
        <v>310</v>
      </c>
      <c r="B106" t="s">
        <v>650</v>
      </c>
      <c r="C106" t="s">
        <v>651</v>
      </c>
      <c r="D106" t="s">
        <v>652</v>
      </c>
      <c r="F106">
        <v>4.07</v>
      </c>
      <c r="G106">
        <v>0</v>
      </c>
      <c r="H106" s="14">
        <v>4.07</v>
      </c>
      <c r="I106">
        <v>653470</v>
      </c>
      <c r="J106" t="s">
        <v>274</v>
      </c>
      <c r="K106" t="s">
        <v>653</v>
      </c>
      <c r="M106" t="s">
        <v>654</v>
      </c>
      <c r="N106" t="s">
        <v>655</v>
      </c>
      <c r="O106" t="s">
        <v>656</v>
      </c>
      <c r="P106" t="s">
        <v>311</v>
      </c>
      <c r="R106" t="s">
        <v>312</v>
      </c>
      <c r="S106" t="s">
        <v>313</v>
      </c>
      <c r="T106" t="s">
        <v>885</v>
      </c>
      <c r="U106">
        <v>703501</v>
      </c>
      <c r="V106" t="s">
        <v>85</v>
      </c>
      <c r="W106" t="s">
        <v>658</v>
      </c>
      <c r="Y106">
        <v>38593</v>
      </c>
      <c r="Z106" t="s">
        <v>27</v>
      </c>
      <c r="AA106" t="s">
        <v>28</v>
      </c>
      <c r="AB106" t="s">
        <v>659</v>
      </c>
      <c r="AC106" t="s">
        <v>660</v>
      </c>
      <c r="AD106" t="s">
        <v>661</v>
      </c>
      <c r="AE106" t="s">
        <v>886</v>
      </c>
      <c r="AF106" t="s">
        <v>689</v>
      </c>
      <c r="AG106" t="s">
        <v>314</v>
      </c>
      <c r="AH106" t="s">
        <v>887</v>
      </c>
      <c r="AI106" t="s">
        <v>665</v>
      </c>
      <c r="AJ106" t="s">
        <v>30</v>
      </c>
      <c r="AK106" t="s">
        <v>680</v>
      </c>
      <c r="AL106">
        <v>23</v>
      </c>
      <c r="AM106" t="s">
        <v>667</v>
      </c>
      <c r="AN106" t="s">
        <v>668</v>
      </c>
      <c r="AO106" s="14">
        <v>11</v>
      </c>
      <c r="AP106" t="s">
        <v>32</v>
      </c>
      <c r="AQ106">
        <v>1431026098</v>
      </c>
      <c r="AS106" t="s">
        <v>4</v>
      </c>
      <c r="CG106" t="s">
        <v>31</v>
      </c>
      <c r="CH106">
        <v>4.07</v>
      </c>
      <c r="CI106" t="s">
        <v>32</v>
      </c>
      <c r="CJ106" t="s">
        <v>310</v>
      </c>
    </row>
    <row r="107" spans="1:88" x14ac:dyDescent="0.25">
      <c r="A107" t="s">
        <v>310</v>
      </c>
      <c r="B107" t="s">
        <v>650</v>
      </c>
      <c r="C107" t="s">
        <v>651</v>
      </c>
      <c r="D107" t="s">
        <v>652</v>
      </c>
      <c r="F107">
        <v>4.07</v>
      </c>
      <c r="G107">
        <v>0</v>
      </c>
      <c r="H107" s="14">
        <v>4.07</v>
      </c>
      <c r="I107">
        <v>653470</v>
      </c>
      <c r="J107" t="s">
        <v>274</v>
      </c>
      <c r="K107" t="s">
        <v>653</v>
      </c>
      <c r="M107" t="s">
        <v>654</v>
      </c>
      <c r="N107" t="s">
        <v>655</v>
      </c>
      <c r="O107" t="s">
        <v>656</v>
      </c>
      <c r="P107" t="s">
        <v>306</v>
      </c>
      <c r="R107" t="s">
        <v>307</v>
      </c>
      <c r="S107" t="s">
        <v>308</v>
      </c>
      <c r="T107" t="s">
        <v>657</v>
      </c>
      <c r="U107">
        <v>678726</v>
      </c>
      <c r="V107" t="s">
        <v>46</v>
      </c>
      <c r="W107" t="s">
        <v>658</v>
      </c>
      <c r="Y107">
        <v>38593</v>
      </c>
      <c r="Z107" t="s">
        <v>27</v>
      </c>
      <c r="AA107" t="s">
        <v>28</v>
      </c>
      <c r="AB107" t="s">
        <v>659</v>
      </c>
      <c r="AC107" t="s">
        <v>660</v>
      </c>
      <c r="AD107" t="s">
        <v>661</v>
      </c>
      <c r="AE107" t="s">
        <v>888</v>
      </c>
      <c r="AF107" t="s">
        <v>682</v>
      </c>
      <c r="AG107" t="s">
        <v>309</v>
      </c>
      <c r="AH107" t="s">
        <v>889</v>
      </c>
      <c r="AI107" t="s">
        <v>697</v>
      </c>
      <c r="AJ107" t="s">
        <v>30</v>
      </c>
      <c r="AK107" t="s">
        <v>680</v>
      </c>
      <c r="AL107">
        <v>9</v>
      </c>
      <c r="AM107" t="s">
        <v>667</v>
      </c>
      <c r="AN107" t="s">
        <v>668</v>
      </c>
      <c r="AO107" s="14">
        <v>11</v>
      </c>
      <c r="AP107" t="s">
        <v>32</v>
      </c>
      <c r="AQ107">
        <v>1431027608</v>
      </c>
      <c r="AS107" t="s">
        <v>4</v>
      </c>
      <c r="CG107" t="s">
        <v>31</v>
      </c>
      <c r="CH107">
        <v>4.07</v>
      </c>
      <c r="CI107" t="s">
        <v>32</v>
      </c>
      <c r="CJ107" t="s">
        <v>310</v>
      </c>
    </row>
    <row r="108" spans="1:88" x14ac:dyDescent="0.25">
      <c r="A108" t="s">
        <v>301</v>
      </c>
      <c r="B108" t="s">
        <v>650</v>
      </c>
      <c r="C108" t="s">
        <v>651</v>
      </c>
      <c r="D108" t="s">
        <v>652</v>
      </c>
      <c r="F108">
        <v>8</v>
      </c>
      <c r="G108">
        <v>0</v>
      </c>
      <c r="H108" s="14">
        <v>8</v>
      </c>
      <c r="I108">
        <v>653470</v>
      </c>
      <c r="J108" t="s">
        <v>274</v>
      </c>
      <c r="K108" t="s">
        <v>653</v>
      </c>
      <c r="M108" t="s">
        <v>654</v>
      </c>
      <c r="N108" t="s">
        <v>655</v>
      </c>
      <c r="O108" t="s">
        <v>656</v>
      </c>
      <c r="P108" t="s">
        <v>302</v>
      </c>
      <c r="R108" t="s">
        <v>303</v>
      </c>
      <c r="S108" t="s">
        <v>304</v>
      </c>
      <c r="T108" t="s">
        <v>657</v>
      </c>
      <c r="U108">
        <v>678726</v>
      </c>
      <c r="V108" t="s">
        <v>46</v>
      </c>
      <c r="W108" t="s">
        <v>658</v>
      </c>
      <c r="Y108">
        <v>45041</v>
      </c>
      <c r="Z108" t="s">
        <v>48</v>
      </c>
      <c r="AA108" t="s">
        <v>28</v>
      </c>
      <c r="AB108" t="s">
        <v>659</v>
      </c>
      <c r="AC108" t="s">
        <v>669</v>
      </c>
      <c r="AD108" t="s">
        <v>670</v>
      </c>
      <c r="AE108" t="s">
        <v>890</v>
      </c>
      <c r="AF108" t="s">
        <v>715</v>
      </c>
      <c r="AG108" t="s">
        <v>305</v>
      </c>
      <c r="AH108" t="s">
        <v>891</v>
      </c>
      <c r="AI108" t="s">
        <v>129</v>
      </c>
      <c r="AJ108" t="s">
        <v>30</v>
      </c>
      <c r="AK108" t="s">
        <v>680</v>
      </c>
      <c r="AL108">
        <v>11</v>
      </c>
      <c r="AM108" t="s">
        <v>667</v>
      </c>
      <c r="AN108" t="s">
        <v>668</v>
      </c>
      <c r="AO108" s="14">
        <v>25</v>
      </c>
      <c r="AP108" t="s">
        <v>50</v>
      </c>
      <c r="AQ108">
        <v>1431045720</v>
      </c>
      <c r="AS108" t="s">
        <v>4</v>
      </c>
      <c r="CG108" t="s">
        <v>49</v>
      </c>
      <c r="CH108">
        <v>8</v>
      </c>
      <c r="CI108" t="s">
        <v>50</v>
      </c>
      <c r="CJ108" t="s">
        <v>301</v>
      </c>
    </row>
    <row r="109" spans="1:88" x14ac:dyDescent="0.25">
      <c r="A109" t="s">
        <v>301</v>
      </c>
      <c r="B109" t="s">
        <v>650</v>
      </c>
      <c r="C109" t="s">
        <v>651</v>
      </c>
      <c r="D109" t="s">
        <v>652</v>
      </c>
      <c r="F109">
        <v>8</v>
      </c>
      <c r="G109">
        <v>0</v>
      </c>
      <c r="H109" s="14">
        <v>8</v>
      </c>
      <c r="I109">
        <v>653470</v>
      </c>
      <c r="J109" t="s">
        <v>274</v>
      </c>
      <c r="K109" t="s">
        <v>653</v>
      </c>
      <c r="M109" t="s">
        <v>654</v>
      </c>
      <c r="N109" t="s">
        <v>655</v>
      </c>
      <c r="O109" t="s">
        <v>656</v>
      </c>
      <c r="P109" t="s">
        <v>297</v>
      </c>
      <c r="R109" t="s">
        <v>298</v>
      </c>
      <c r="S109" t="s">
        <v>299</v>
      </c>
      <c r="T109" t="s">
        <v>657</v>
      </c>
      <c r="U109">
        <v>678726</v>
      </c>
      <c r="V109" t="s">
        <v>46</v>
      </c>
      <c r="W109" t="s">
        <v>658</v>
      </c>
      <c r="Y109">
        <v>45041</v>
      </c>
      <c r="Z109" t="s">
        <v>48</v>
      </c>
      <c r="AA109" t="s">
        <v>28</v>
      </c>
      <c r="AB109" t="s">
        <v>659</v>
      </c>
      <c r="AC109" t="s">
        <v>669</v>
      </c>
      <c r="AD109" t="s">
        <v>670</v>
      </c>
      <c r="AE109" t="s">
        <v>892</v>
      </c>
      <c r="AF109" t="s">
        <v>715</v>
      </c>
      <c r="AG109" t="s">
        <v>300</v>
      </c>
      <c r="AH109" t="s">
        <v>893</v>
      </c>
      <c r="AI109" t="s">
        <v>129</v>
      </c>
      <c r="AJ109" t="s">
        <v>30</v>
      </c>
      <c r="AK109" t="s">
        <v>680</v>
      </c>
      <c r="AL109">
        <v>11</v>
      </c>
      <c r="AM109" t="s">
        <v>667</v>
      </c>
      <c r="AN109" t="s">
        <v>668</v>
      </c>
      <c r="AO109" s="14">
        <v>25</v>
      </c>
      <c r="AP109" t="s">
        <v>50</v>
      </c>
      <c r="AQ109">
        <v>1431045866</v>
      </c>
      <c r="AS109" t="s">
        <v>4</v>
      </c>
      <c r="CG109" t="s">
        <v>49</v>
      </c>
      <c r="CH109">
        <v>8</v>
      </c>
      <c r="CI109" t="s">
        <v>50</v>
      </c>
      <c r="CJ109" t="s">
        <v>301</v>
      </c>
    </row>
    <row r="110" spans="1:88" x14ac:dyDescent="0.25">
      <c r="A110" t="s">
        <v>236</v>
      </c>
      <c r="B110" t="s">
        <v>650</v>
      </c>
      <c r="C110" t="s">
        <v>651</v>
      </c>
      <c r="D110" t="s">
        <v>652</v>
      </c>
      <c r="F110">
        <v>4.07</v>
      </c>
      <c r="G110">
        <v>0</v>
      </c>
      <c r="H110" s="14">
        <v>4.07</v>
      </c>
      <c r="I110">
        <v>653470</v>
      </c>
      <c r="J110" t="s">
        <v>274</v>
      </c>
      <c r="K110" t="s">
        <v>653</v>
      </c>
      <c r="M110" t="s">
        <v>654</v>
      </c>
      <c r="N110" t="s">
        <v>655</v>
      </c>
      <c r="O110" t="s">
        <v>656</v>
      </c>
      <c r="P110" t="s">
        <v>290</v>
      </c>
      <c r="R110" t="s">
        <v>291</v>
      </c>
      <c r="S110" t="s">
        <v>292</v>
      </c>
      <c r="T110" t="s">
        <v>657</v>
      </c>
      <c r="U110">
        <v>798992</v>
      </c>
      <c r="V110" t="s">
        <v>54</v>
      </c>
      <c r="W110" t="s">
        <v>658</v>
      </c>
      <c r="Y110">
        <v>38593</v>
      </c>
      <c r="Z110" t="s">
        <v>27</v>
      </c>
      <c r="AA110" t="s">
        <v>28</v>
      </c>
      <c r="AB110" t="s">
        <v>659</v>
      </c>
      <c r="AC110" t="s">
        <v>660</v>
      </c>
      <c r="AD110" t="s">
        <v>661</v>
      </c>
      <c r="AE110" t="s">
        <v>894</v>
      </c>
      <c r="AF110" t="s">
        <v>210</v>
      </c>
      <c r="AG110" t="s">
        <v>296</v>
      </c>
      <c r="AH110" t="s">
        <v>895</v>
      </c>
      <c r="AI110" t="s">
        <v>896</v>
      </c>
      <c r="AJ110" t="s">
        <v>30</v>
      </c>
      <c r="AK110" t="s">
        <v>680</v>
      </c>
      <c r="AL110">
        <v>2</v>
      </c>
      <c r="AM110" t="s">
        <v>667</v>
      </c>
      <c r="AN110" t="s">
        <v>668</v>
      </c>
      <c r="AO110" s="14">
        <v>11</v>
      </c>
      <c r="AP110" t="s">
        <v>32</v>
      </c>
      <c r="AQ110">
        <v>1431056165</v>
      </c>
      <c r="AS110" t="s">
        <v>4</v>
      </c>
      <c r="CG110" t="s">
        <v>31</v>
      </c>
      <c r="CH110">
        <v>4.07</v>
      </c>
      <c r="CI110" t="s">
        <v>32</v>
      </c>
      <c r="CJ110" t="s">
        <v>236</v>
      </c>
    </row>
    <row r="111" spans="1:88" x14ac:dyDescent="0.25">
      <c r="A111" t="s">
        <v>236</v>
      </c>
      <c r="B111" t="s">
        <v>650</v>
      </c>
      <c r="C111" t="s">
        <v>651</v>
      </c>
      <c r="D111" t="s">
        <v>652</v>
      </c>
      <c r="F111">
        <v>6.48</v>
      </c>
      <c r="G111">
        <v>0</v>
      </c>
      <c r="H111" s="14">
        <v>6.48</v>
      </c>
      <c r="I111">
        <v>653470</v>
      </c>
      <c r="J111" t="s">
        <v>274</v>
      </c>
      <c r="K111" t="s">
        <v>653</v>
      </c>
      <c r="M111" t="s">
        <v>654</v>
      </c>
      <c r="N111" t="s">
        <v>655</v>
      </c>
      <c r="O111" t="s">
        <v>656</v>
      </c>
      <c r="P111" t="s">
        <v>290</v>
      </c>
      <c r="R111" t="s">
        <v>291</v>
      </c>
      <c r="S111" t="s">
        <v>292</v>
      </c>
      <c r="T111" t="s">
        <v>657</v>
      </c>
      <c r="U111">
        <v>798992</v>
      </c>
      <c r="V111" t="s">
        <v>54</v>
      </c>
      <c r="W111" t="s">
        <v>658</v>
      </c>
      <c r="Y111">
        <v>47133</v>
      </c>
      <c r="Z111" t="s">
        <v>294</v>
      </c>
      <c r="AA111" t="s">
        <v>28</v>
      </c>
      <c r="AB111" t="s">
        <v>659</v>
      </c>
      <c r="AC111" t="s">
        <v>669</v>
      </c>
      <c r="AD111" t="s">
        <v>670</v>
      </c>
      <c r="AE111" t="s">
        <v>894</v>
      </c>
      <c r="AF111" t="s">
        <v>210</v>
      </c>
      <c r="AG111" t="s">
        <v>293</v>
      </c>
      <c r="AH111" t="s">
        <v>895</v>
      </c>
      <c r="AI111" t="s">
        <v>896</v>
      </c>
      <c r="AJ111" t="s">
        <v>30</v>
      </c>
      <c r="AK111" t="s">
        <v>680</v>
      </c>
      <c r="AL111">
        <v>2</v>
      </c>
      <c r="AM111" t="s">
        <v>667</v>
      </c>
      <c r="AN111" t="s">
        <v>668</v>
      </c>
      <c r="AO111" s="14">
        <v>27</v>
      </c>
      <c r="AP111" t="s">
        <v>42</v>
      </c>
      <c r="AQ111">
        <v>1431056167</v>
      </c>
      <c r="AS111" t="s">
        <v>4</v>
      </c>
      <c r="CG111" t="s">
        <v>295</v>
      </c>
      <c r="CH111">
        <v>6.48</v>
      </c>
      <c r="CI111" t="s">
        <v>42</v>
      </c>
      <c r="CJ111" t="s">
        <v>236</v>
      </c>
    </row>
    <row r="112" spans="1:88" x14ac:dyDescent="0.25">
      <c r="A112" t="s">
        <v>236</v>
      </c>
      <c r="B112" t="s">
        <v>650</v>
      </c>
      <c r="C112" t="s">
        <v>651</v>
      </c>
      <c r="D112" t="s">
        <v>652</v>
      </c>
      <c r="F112">
        <v>4.07</v>
      </c>
      <c r="G112">
        <v>0</v>
      </c>
      <c r="H112" s="14">
        <v>4.07</v>
      </c>
      <c r="I112">
        <v>653470</v>
      </c>
      <c r="J112" t="s">
        <v>274</v>
      </c>
      <c r="K112" t="s">
        <v>653</v>
      </c>
      <c r="M112" t="s">
        <v>654</v>
      </c>
      <c r="N112" t="s">
        <v>655</v>
      </c>
      <c r="O112" t="s">
        <v>656</v>
      </c>
      <c r="P112" t="s">
        <v>286</v>
      </c>
      <c r="R112" t="s">
        <v>287</v>
      </c>
      <c r="S112" t="s">
        <v>288</v>
      </c>
      <c r="T112" t="s">
        <v>657</v>
      </c>
      <c r="U112">
        <v>798992</v>
      </c>
      <c r="V112" t="s">
        <v>54</v>
      </c>
      <c r="W112" t="s">
        <v>658</v>
      </c>
      <c r="Y112">
        <v>38593</v>
      </c>
      <c r="Z112" t="s">
        <v>27</v>
      </c>
      <c r="AA112" t="s">
        <v>28</v>
      </c>
      <c r="AB112" t="s">
        <v>659</v>
      </c>
      <c r="AC112" t="s">
        <v>660</v>
      </c>
      <c r="AD112" t="s">
        <v>661</v>
      </c>
      <c r="AE112" t="s">
        <v>894</v>
      </c>
      <c r="AF112" t="s">
        <v>210</v>
      </c>
      <c r="AG112" t="s">
        <v>289</v>
      </c>
      <c r="AH112" t="s">
        <v>897</v>
      </c>
      <c r="AI112" t="s">
        <v>697</v>
      </c>
      <c r="AJ112" t="s">
        <v>30</v>
      </c>
      <c r="AK112" t="s">
        <v>680</v>
      </c>
      <c r="AL112">
        <v>2</v>
      </c>
      <c r="AM112" t="s">
        <v>667</v>
      </c>
      <c r="AN112" t="s">
        <v>668</v>
      </c>
      <c r="AO112" s="14">
        <v>11</v>
      </c>
      <c r="AP112" t="s">
        <v>32</v>
      </c>
      <c r="AQ112">
        <v>1431056146</v>
      </c>
      <c r="AS112" t="s">
        <v>4</v>
      </c>
      <c r="CG112" t="s">
        <v>31</v>
      </c>
      <c r="CH112">
        <v>4.07</v>
      </c>
      <c r="CI112" t="s">
        <v>32</v>
      </c>
      <c r="CJ112" t="s">
        <v>236</v>
      </c>
    </row>
    <row r="113" spans="1:88" x14ac:dyDescent="0.25">
      <c r="A113" t="s">
        <v>236</v>
      </c>
      <c r="B113" t="s">
        <v>650</v>
      </c>
      <c r="C113" t="s">
        <v>651</v>
      </c>
      <c r="D113" t="s">
        <v>652</v>
      </c>
      <c r="F113">
        <v>8</v>
      </c>
      <c r="G113">
        <v>0</v>
      </c>
      <c r="H113" s="14">
        <v>8</v>
      </c>
      <c r="I113">
        <v>653470</v>
      </c>
      <c r="J113" t="s">
        <v>274</v>
      </c>
      <c r="K113" t="s">
        <v>653</v>
      </c>
      <c r="M113" t="s">
        <v>654</v>
      </c>
      <c r="N113" t="s">
        <v>655</v>
      </c>
      <c r="O113" t="s">
        <v>656</v>
      </c>
      <c r="P113" t="s">
        <v>282</v>
      </c>
      <c r="R113" t="s">
        <v>283</v>
      </c>
      <c r="S113" t="s">
        <v>284</v>
      </c>
      <c r="T113" t="s">
        <v>655</v>
      </c>
      <c r="U113">
        <v>820877</v>
      </c>
      <c r="V113" t="s">
        <v>146</v>
      </c>
      <c r="W113" t="s">
        <v>658</v>
      </c>
      <c r="Y113">
        <v>45041</v>
      </c>
      <c r="Z113" t="s">
        <v>48</v>
      </c>
      <c r="AA113" t="s">
        <v>28</v>
      </c>
      <c r="AB113" t="s">
        <v>659</v>
      </c>
      <c r="AC113" t="s">
        <v>669</v>
      </c>
      <c r="AD113" t="s">
        <v>670</v>
      </c>
      <c r="AE113" t="s">
        <v>898</v>
      </c>
      <c r="AF113" t="s">
        <v>675</v>
      </c>
      <c r="AG113" t="s">
        <v>285</v>
      </c>
      <c r="AH113" t="s">
        <v>899</v>
      </c>
      <c r="AI113" t="s">
        <v>129</v>
      </c>
      <c r="AJ113" t="s">
        <v>30</v>
      </c>
      <c r="AK113" t="s">
        <v>680</v>
      </c>
      <c r="AL113">
        <v>7</v>
      </c>
      <c r="AM113" t="s">
        <v>667</v>
      </c>
      <c r="AN113" t="s">
        <v>668</v>
      </c>
      <c r="AO113" s="14">
        <v>25</v>
      </c>
      <c r="AP113" t="s">
        <v>50</v>
      </c>
      <c r="AQ113">
        <v>1431055425</v>
      </c>
      <c r="AS113" t="s">
        <v>4</v>
      </c>
      <c r="CG113" t="s">
        <v>49</v>
      </c>
      <c r="CH113">
        <v>8</v>
      </c>
      <c r="CI113" t="s">
        <v>50</v>
      </c>
      <c r="CJ113" t="s">
        <v>236</v>
      </c>
    </row>
    <row r="114" spans="1:88" x14ac:dyDescent="0.25">
      <c r="A114" t="s">
        <v>236</v>
      </c>
      <c r="B114" t="s">
        <v>650</v>
      </c>
      <c r="C114" t="s">
        <v>651</v>
      </c>
      <c r="D114" t="s">
        <v>652</v>
      </c>
      <c r="F114">
        <v>4.07</v>
      </c>
      <c r="G114">
        <v>0</v>
      </c>
      <c r="H114" s="14">
        <v>4.07</v>
      </c>
      <c r="I114">
        <v>653470</v>
      </c>
      <c r="J114" t="s">
        <v>274</v>
      </c>
      <c r="K114" t="s">
        <v>653</v>
      </c>
      <c r="M114" t="s">
        <v>654</v>
      </c>
      <c r="N114" t="s">
        <v>655</v>
      </c>
      <c r="O114" t="s">
        <v>656</v>
      </c>
      <c r="P114" t="s">
        <v>278</v>
      </c>
      <c r="R114" t="s">
        <v>279</v>
      </c>
      <c r="S114" t="s">
        <v>280</v>
      </c>
      <c r="T114" t="s">
        <v>702</v>
      </c>
      <c r="U114">
        <v>764002</v>
      </c>
      <c r="V114" t="s">
        <v>261</v>
      </c>
      <c r="W114" t="s">
        <v>658</v>
      </c>
      <c r="Y114">
        <v>38593</v>
      </c>
      <c r="Z114" t="s">
        <v>27</v>
      </c>
      <c r="AA114" t="s">
        <v>28</v>
      </c>
      <c r="AB114" t="s">
        <v>659</v>
      </c>
      <c r="AC114" t="s">
        <v>660</v>
      </c>
      <c r="AD114" t="s">
        <v>661</v>
      </c>
      <c r="AE114" t="s">
        <v>892</v>
      </c>
      <c r="AF114" t="s">
        <v>715</v>
      </c>
      <c r="AG114" t="s">
        <v>281</v>
      </c>
      <c r="AH114" t="s">
        <v>900</v>
      </c>
      <c r="AI114" t="s">
        <v>697</v>
      </c>
      <c r="AJ114" t="s">
        <v>30</v>
      </c>
      <c r="AK114" t="s">
        <v>680</v>
      </c>
      <c r="AL114">
        <v>11</v>
      </c>
      <c r="AM114" t="s">
        <v>667</v>
      </c>
      <c r="AN114" t="s">
        <v>668</v>
      </c>
      <c r="AO114" s="14">
        <v>11</v>
      </c>
      <c r="AP114" t="s">
        <v>32</v>
      </c>
      <c r="AQ114">
        <v>1431058701</v>
      </c>
      <c r="AS114" t="s">
        <v>4</v>
      </c>
      <c r="CG114" t="s">
        <v>31</v>
      </c>
      <c r="CH114">
        <v>4.07</v>
      </c>
      <c r="CI114" t="s">
        <v>32</v>
      </c>
      <c r="CJ114" t="s">
        <v>236</v>
      </c>
    </row>
    <row r="115" spans="1:88" x14ac:dyDescent="0.25">
      <c r="A115" t="s">
        <v>236</v>
      </c>
      <c r="B115" t="s">
        <v>650</v>
      </c>
      <c r="C115" t="s">
        <v>651</v>
      </c>
      <c r="D115" t="s">
        <v>652</v>
      </c>
      <c r="F115">
        <v>28.8</v>
      </c>
      <c r="G115">
        <v>0</v>
      </c>
      <c r="H115" s="14">
        <v>28.8</v>
      </c>
      <c r="I115">
        <v>653470</v>
      </c>
      <c r="J115" t="s">
        <v>274</v>
      </c>
      <c r="K115" t="s">
        <v>653</v>
      </c>
      <c r="M115" t="s">
        <v>654</v>
      </c>
      <c r="N115" t="s">
        <v>655</v>
      </c>
      <c r="O115" t="s">
        <v>656</v>
      </c>
      <c r="P115" t="s">
        <v>271</v>
      </c>
      <c r="R115" t="s">
        <v>272</v>
      </c>
      <c r="S115" t="s">
        <v>273</v>
      </c>
      <c r="T115" t="s">
        <v>655</v>
      </c>
      <c r="U115">
        <v>653470</v>
      </c>
      <c r="V115" t="s">
        <v>274</v>
      </c>
      <c r="W115" t="s">
        <v>658</v>
      </c>
      <c r="Y115">
        <v>38399</v>
      </c>
      <c r="Z115" t="s">
        <v>157</v>
      </c>
      <c r="AA115" t="s">
        <v>39</v>
      </c>
      <c r="AB115" t="s">
        <v>659</v>
      </c>
      <c r="AC115" t="s">
        <v>669</v>
      </c>
      <c r="AD115" t="s">
        <v>670</v>
      </c>
      <c r="AE115" t="s">
        <v>901</v>
      </c>
      <c r="AF115" t="s">
        <v>785</v>
      </c>
      <c r="AG115" t="s">
        <v>276</v>
      </c>
      <c r="AH115" t="s">
        <v>902</v>
      </c>
      <c r="AI115" t="s">
        <v>903</v>
      </c>
      <c r="AJ115" t="s">
        <v>30</v>
      </c>
      <c r="AK115" t="s">
        <v>666</v>
      </c>
      <c r="AL115">
        <v>20</v>
      </c>
      <c r="AM115" t="s">
        <v>210</v>
      </c>
      <c r="AN115" t="s">
        <v>29</v>
      </c>
      <c r="AO115" s="14">
        <v>120</v>
      </c>
      <c r="AP115" t="s">
        <v>42</v>
      </c>
      <c r="AQ115">
        <v>1430955008</v>
      </c>
      <c r="AS115" t="s">
        <v>4</v>
      </c>
      <c r="CG115" t="s">
        <v>277</v>
      </c>
      <c r="CH115">
        <v>28.8</v>
      </c>
      <c r="CI115" t="s">
        <v>42</v>
      </c>
      <c r="CJ115" t="s">
        <v>236</v>
      </c>
    </row>
    <row r="116" spans="1:88" x14ac:dyDescent="0.25">
      <c r="A116" t="s">
        <v>236</v>
      </c>
      <c r="B116" t="s">
        <v>650</v>
      </c>
      <c r="C116" t="s">
        <v>651</v>
      </c>
      <c r="D116" t="s">
        <v>652</v>
      </c>
      <c r="F116">
        <v>5.55</v>
      </c>
      <c r="G116">
        <v>0</v>
      </c>
      <c r="H116" s="14">
        <v>5.55</v>
      </c>
      <c r="I116">
        <v>653470</v>
      </c>
      <c r="J116" t="s">
        <v>274</v>
      </c>
      <c r="K116" t="s">
        <v>653</v>
      </c>
      <c r="M116" t="s">
        <v>654</v>
      </c>
      <c r="N116" t="s">
        <v>655</v>
      </c>
      <c r="O116" t="s">
        <v>656</v>
      </c>
      <c r="P116" t="s">
        <v>271</v>
      </c>
      <c r="R116" t="s">
        <v>272</v>
      </c>
      <c r="S116" t="s">
        <v>273</v>
      </c>
      <c r="T116" t="s">
        <v>655</v>
      </c>
      <c r="U116">
        <v>653470</v>
      </c>
      <c r="V116" t="s">
        <v>274</v>
      </c>
      <c r="W116" t="s">
        <v>658</v>
      </c>
      <c r="Y116">
        <v>38967</v>
      </c>
      <c r="Z116" t="s">
        <v>27</v>
      </c>
      <c r="AA116" t="s">
        <v>181</v>
      </c>
      <c r="AB116" t="s">
        <v>659</v>
      </c>
      <c r="AC116" t="s">
        <v>660</v>
      </c>
      <c r="AD116" t="s">
        <v>661</v>
      </c>
      <c r="AE116" t="s">
        <v>904</v>
      </c>
      <c r="AF116" t="s">
        <v>835</v>
      </c>
      <c r="AG116" t="s">
        <v>275</v>
      </c>
      <c r="AH116" t="s">
        <v>902</v>
      </c>
      <c r="AI116" t="s">
        <v>903</v>
      </c>
      <c r="AJ116" t="s">
        <v>30</v>
      </c>
      <c r="AK116" t="s">
        <v>666</v>
      </c>
      <c r="AL116">
        <v>16</v>
      </c>
      <c r="AM116" t="s">
        <v>210</v>
      </c>
      <c r="AN116" t="s">
        <v>29</v>
      </c>
      <c r="AO116" s="14">
        <v>15</v>
      </c>
      <c r="AP116" t="s">
        <v>32</v>
      </c>
      <c r="AQ116">
        <v>1430955010</v>
      </c>
      <c r="AS116" t="s">
        <v>4</v>
      </c>
      <c r="CG116" t="s">
        <v>182</v>
      </c>
      <c r="CH116">
        <v>5.55</v>
      </c>
      <c r="CI116" t="s">
        <v>32</v>
      </c>
      <c r="CJ116" t="s">
        <v>236</v>
      </c>
    </row>
    <row r="117" spans="1:88" x14ac:dyDescent="0.25">
      <c r="A117" t="s">
        <v>236</v>
      </c>
      <c r="B117" t="s">
        <v>650</v>
      </c>
      <c r="C117" t="s">
        <v>651</v>
      </c>
      <c r="D117" t="s">
        <v>652</v>
      </c>
      <c r="F117">
        <v>31.68</v>
      </c>
      <c r="G117">
        <v>0</v>
      </c>
      <c r="H117" s="14">
        <v>31.68</v>
      </c>
      <c r="I117">
        <v>653470</v>
      </c>
      <c r="J117" t="s">
        <v>274</v>
      </c>
      <c r="K117" t="s">
        <v>653</v>
      </c>
      <c r="M117" t="s">
        <v>654</v>
      </c>
      <c r="N117" t="s">
        <v>655</v>
      </c>
      <c r="O117" t="s">
        <v>656</v>
      </c>
      <c r="P117" t="s">
        <v>265</v>
      </c>
      <c r="R117" t="s">
        <v>266</v>
      </c>
      <c r="S117" t="s">
        <v>267</v>
      </c>
      <c r="T117" t="s">
        <v>655</v>
      </c>
      <c r="U117">
        <v>781535</v>
      </c>
      <c r="V117" t="s">
        <v>254</v>
      </c>
      <c r="W117" t="s">
        <v>658</v>
      </c>
      <c r="Y117">
        <v>38399</v>
      </c>
      <c r="Z117" t="s">
        <v>157</v>
      </c>
      <c r="AA117" t="s">
        <v>39</v>
      </c>
      <c r="AB117" t="s">
        <v>659</v>
      </c>
      <c r="AC117" t="s">
        <v>669</v>
      </c>
      <c r="AD117" t="s">
        <v>670</v>
      </c>
      <c r="AE117" t="s">
        <v>905</v>
      </c>
      <c r="AF117" t="s">
        <v>737</v>
      </c>
      <c r="AG117" t="s">
        <v>269</v>
      </c>
      <c r="AH117" t="s">
        <v>906</v>
      </c>
      <c r="AI117" t="s">
        <v>907</v>
      </c>
      <c r="AJ117" t="s">
        <v>30</v>
      </c>
      <c r="AK117" t="s">
        <v>666</v>
      </c>
      <c r="AL117">
        <v>12</v>
      </c>
      <c r="AM117" t="s">
        <v>210</v>
      </c>
      <c r="AN117" t="s">
        <v>29</v>
      </c>
      <c r="AO117" s="14">
        <v>132</v>
      </c>
      <c r="AP117" t="s">
        <v>42</v>
      </c>
      <c r="AQ117">
        <v>1430947574</v>
      </c>
      <c r="AS117" t="s">
        <v>4</v>
      </c>
      <c r="CG117" t="s">
        <v>270</v>
      </c>
      <c r="CH117">
        <v>31.68</v>
      </c>
      <c r="CI117" t="s">
        <v>42</v>
      </c>
      <c r="CJ117" t="s">
        <v>236</v>
      </c>
    </row>
    <row r="118" spans="1:88" x14ac:dyDescent="0.25">
      <c r="A118" t="s">
        <v>236</v>
      </c>
      <c r="B118" t="s">
        <v>650</v>
      </c>
      <c r="C118" t="s">
        <v>651</v>
      </c>
      <c r="D118" t="s">
        <v>652</v>
      </c>
      <c r="F118">
        <v>5.55</v>
      </c>
      <c r="G118">
        <v>0</v>
      </c>
      <c r="H118" s="14">
        <v>5.55</v>
      </c>
      <c r="I118">
        <v>653470</v>
      </c>
      <c r="J118" t="s">
        <v>274</v>
      </c>
      <c r="K118" t="s">
        <v>653</v>
      </c>
      <c r="M118" t="s">
        <v>654</v>
      </c>
      <c r="N118" t="s">
        <v>655</v>
      </c>
      <c r="O118" t="s">
        <v>656</v>
      </c>
      <c r="P118" t="s">
        <v>265</v>
      </c>
      <c r="R118" t="s">
        <v>266</v>
      </c>
      <c r="S118" t="s">
        <v>267</v>
      </c>
      <c r="T118" t="s">
        <v>655</v>
      </c>
      <c r="U118">
        <v>781535</v>
      </c>
      <c r="V118" t="s">
        <v>254</v>
      </c>
      <c r="W118" t="s">
        <v>658</v>
      </c>
      <c r="Y118">
        <v>38593</v>
      </c>
      <c r="Z118" t="s">
        <v>27</v>
      </c>
      <c r="AA118" t="s">
        <v>181</v>
      </c>
      <c r="AB118" t="s">
        <v>659</v>
      </c>
      <c r="AC118" t="s">
        <v>660</v>
      </c>
      <c r="AD118" t="s">
        <v>661</v>
      </c>
      <c r="AE118" t="s">
        <v>905</v>
      </c>
      <c r="AF118" t="s">
        <v>737</v>
      </c>
      <c r="AG118" t="s">
        <v>268</v>
      </c>
      <c r="AH118" t="s">
        <v>906</v>
      </c>
      <c r="AI118" t="s">
        <v>907</v>
      </c>
      <c r="AJ118" t="s">
        <v>30</v>
      </c>
      <c r="AK118" t="s">
        <v>666</v>
      </c>
      <c r="AL118">
        <v>12</v>
      </c>
      <c r="AM118" t="s">
        <v>210</v>
      </c>
      <c r="AN118" t="s">
        <v>29</v>
      </c>
      <c r="AO118" s="14">
        <v>15</v>
      </c>
      <c r="AP118" t="s">
        <v>32</v>
      </c>
      <c r="AQ118">
        <v>1430947576</v>
      </c>
      <c r="AS118" t="s">
        <v>4</v>
      </c>
      <c r="CG118" t="s">
        <v>182</v>
      </c>
      <c r="CH118">
        <v>5.55</v>
      </c>
      <c r="CI118" t="s">
        <v>32</v>
      </c>
      <c r="CJ118" t="s">
        <v>236</v>
      </c>
    </row>
    <row r="119" spans="1:88" x14ac:dyDescent="0.25">
      <c r="A119" t="s">
        <v>236</v>
      </c>
      <c r="B119" t="s">
        <v>650</v>
      </c>
      <c r="C119" t="s">
        <v>651</v>
      </c>
      <c r="D119" t="s">
        <v>652</v>
      </c>
      <c r="F119">
        <v>9.1199999999999992</v>
      </c>
      <c r="G119">
        <v>0</v>
      </c>
      <c r="H119" s="14">
        <v>9.1199999999999992</v>
      </c>
      <c r="I119">
        <v>653470</v>
      </c>
      <c r="J119" t="s">
        <v>274</v>
      </c>
      <c r="K119" t="s">
        <v>653</v>
      </c>
      <c r="M119" t="s">
        <v>654</v>
      </c>
      <c r="N119" t="s">
        <v>655</v>
      </c>
      <c r="O119" t="s">
        <v>656</v>
      </c>
      <c r="P119" t="s">
        <v>57</v>
      </c>
      <c r="R119" t="s">
        <v>58</v>
      </c>
      <c r="S119" t="s">
        <v>59</v>
      </c>
      <c r="T119" t="s">
        <v>702</v>
      </c>
      <c r="U119">
        <v>757209</v>
      </c>
      <c r="V119" t="s">
        <v>60</v>
      </c>
      <c r="W119" t="s">
        <v>658</v>
      </c>
      <c r="Y119">
        <v>42249</v>
      </c>
      <c r="Z119" t="s">
        <v>62</v>
      </c>
      <c r="AA119" t="s">
        <v>28</v>
      </c>
      <c r="AB119" t="s">
        <v>659</v>
      </c>
      <c r="AC119" t="s">
        <v>669</v>
      </c>
      <c r="AD119" t="s">
        <v>670</v>
      </c>
      <c r="AE119" t="s">
        <v>872</v>
      </c>
      <c r="AF119" t="s">
        <v>752</v>
      </c>
      <c r="AG119" t="s">
        <v>61</v>
      </c>
      <c r="AH119" t="s">
        <v>908</v>
      </c>
      <c r="AI119" t="s">
        <v>565</v>
      </c>
      <c r="AJ119" t="s">
        <v>30</v>
      </c>
      <c r="AK119" t="s">
        <v>666</v>
      </c>
      <c r="AL119">
        <v>15</v>
      </c>
      <c r="AM119" t="s">
        <v>210</v>
      </c>
      <c r="AN119" t="s">
        <v>29</v>
      </c>
      <c r="AO119" s="14">
        <v>38</v>
      </c>
      <c r="AP119" t="s">
        <v>42</v>
      </c>
      <c r="AQ119">
        <v>1430943229</v>
      </c>
      <c r="AS119" t="s">
        <v>4</v>
      </c>
      <c r="CG119" t="s">
        <v>65</v>
      </c>
      <c r="CH119">
        <v>9.1199999999999992</v>
      </c>
      <c r="CI119" t="s">
        <v>42</v>
      </c>
      <c r="CJ119" t="s">
        <v>236</v>
      </c>
    </row>
    <row r="120" spans="1:88" x14ac:dyDescent="0.25">
      <c r="A120" t="s">
        <v>236</v>
      </c>
      <c r="B120" t="s">
        <v>650</v>
      </c>
      <c r="C120" t="s">
        <v>651</v>
      </c>
      <c r="D120" t="s">
        <v>652</v>
      </c>
      <c r="F120">
        <v>29.76</v>
      </c>
      <c r="G120">
        <v>0</v>
      </c>
      <c r="H120" s="14">
        <v>29.76</v>
      </c>
      <c r="I120">
        <v>653470</v>
      </c>
      <c r="J120" t="s">
        <v>274</v>
      </c>
      <c r="K120" t="s">
        <v>653</v>
      </c>
      <c r="M120" t="s">
        <v>654</v>
      </c>
      <c r="N120" t="s">
        <v>655</v>
      </c>
      <c r="O120" t="s">
        <v>656</v>
      </c>
      <c r="P120" t="s">
        <v>258</v>
      </c>
      <c r="R120" t="s">
        <v>259</v>
      </c>
      <c r="S120" t="s">
        <v>260</v>
      </c>
      <c r="T120" t="s">
        <v>702</v>
      </c>
      <c r="U120">
        <v>764002</v>
      </c>
      <c r="V120" t="s">
        <v>261</v>
      </c>
      <c r="W120" t="s">
        <v>658</v>
      </c>
      <c r="Y120">
        <v>42251</v>
      </c>
      <c r="Z120" t="s">
        <v>263</v>
      </c>
      <c r="AA120" t="s">
        <v>39</v>
      </c>
      <c r="AB120" t="s">
        <v>659</v>
      </c>
      <c r="AC120" t="s">
        <v>669</v>
      </c>
      <c r="AD120" t="s">
        <v>670</v>
      </c>
      <c r="AE120" t="s">
        <v>909</v>
      </c>
      <c r="AF120" t="s">
        <v>764</v>
      </c>
      <c r="AG120" t="s">
        <v>262</v>
      </c>
      <c r="AH120" t="s">
        <v>910</v>
      </c>
      <c r="AI120" t="s">
        <v>911</v>
      </c>
      <c r="AJ120" t="s">
        <v>30</v>
      </c>
      <c r="AK120" t="s">
        <v>666</v>
      </c>
      <c r="AL120">
        <v>13</v>
      </c>
      <c r="AM120" t="s">
        <v>210</v>
      </c>
      <c r="AN120" t="s">
        <v>29</v>
      </c>
      <c r="AO120" s="14">
        <v>124</v>
      </c>
      <c r="AP120" t="s">
        <v>42</v>
      </c>
      <c r="AQ120">
        <v>1430940546</v>
      </c>
      <c r="AS120" t="s">
        <v>4</v>
      </c>
      <c r="CG120" t="s">
        <v>264</v>
      </c>
      <c r="CH120">
        <v>29.76</v>
      </c>
      <c r="CI120" t="s">
        <v>42</v>
      </c>
      <c r="CJ120" t="s">
        <v>236</v>
      </c>
    </row>
    <row r="121" spans="1:88" x14ac:dyDescent="0.25">
      <c r="A121" t="s">
        <v>236</v>
      </c>
      <c r="B121" t="s">
        <v>650</v>
      </c>
      <c r="C121" t="s">
        <v>651</v>
      </c>
      <c r="D121" t="s">
        <v>652</v>
      </c>
      <c r="F121">
        <v>15.84</v>
      </c>
      <c r="G121">
        <v>0</v>
      </c>
      <c r="H121" s="14">
        <v>15.84</v>
      </c>
      <c r="I121">
        <v>653470</v>
      </c>
      <c r="J121" t="s">
        <v>274</v>
      </c>
      <c r="K121" t="s">
        <v>653</v>
      </c>
      <c r="M121" t="s">
        <v>654</v>
      </c>
      <c r="N121" t="s">
        <v>655</v>
      </c>
      <c r="O121" t="s">
        <v>656</v>
      </c>
      <c r="P121" t="s">
        <v>251</v>
      </c>
      <c r="R121" t="s">
        <v>252</v>
      </c>
      <c r="S121" t="s">
        <v>253</v>
      </c>
      <c r="T121" t="s">
        <v>657</v>
      </c>
      <c r="U121">
        <v>781535</v>
      </c>
      <c r="V121" t="s">
        <v>254</v>
      </c>
      <c r="W121" t="s">
        <v>658</v>
      </c>
      <c r="Y121">
        <v>38399</v>
      </c>
      <c r="Z121" t="s">
        <v>157</v>
      </c>
      <c r="AA121" t="s">
        <v>28</v>
      </c>
      <c r="AB121" t="s">
        <v>659</v>
      </c>
      <c r="AC121" t="s">
        <v>669</v>
      </c>
      <c r="AD121" t="s">
        <v>670</v>
      </c>
      <c r="AE121" t="s">
        <v>813</v>
      </c>
      <c r="AF121" t="s">
        <v>737</v>
      </c>
      <c r="AG121" t="s">
        <v>256</v>
      </c>
      <c r="AH121" t="s">
        <v>912</v>
      </c>
      <c r="AI121" t="s">
        <v>913</v>
      </c>
      <c r="AJ121" t="s">
        <v>30</v>
      </c>
      <c r="AK121" t="s">
        <v>666</v>
      </c>
      <c r="AL121">
        <v>12</v>
      </c>
      <c r="AM121" t="s">
        <v>210</v>
      </c>
      <c r="AN121" t="s">
        <v>29</v>
      </c>
      <c r="AO121" s="14">
        <v>66</v>
      </c>
      <c r="AP121" t="s">
        <v>42</v>
      </c>
      <c r="AQ121">
        <v>1430940275</v>
      </c>
      <c r="AS121" t="s">
        <v>4</v>
      </c>
      <c r="CG121" t="s">
        <v>159</v>
      </c>
      <c r="CH121">
        <v>15.84</v>
      </c>
      <c r="CI121" t="s">
        <v>42</v>
      </c>
      <c r="CJ121" t="s">
        <v>236</v>
      </c>
    </row>
    <row r="122" spans="1:88" x14ac:dyDescent="0.25">
      <c r="A122" t="s">
        <v>236</v>
      </c>
      <c r="B122" t="s">
        <v>650</v>
      </c>
      <c r="C122" t="s">
        <v>651</v>
      </c>
      <c r="D122" t="s">
        <v>652</v>
      </c>
      <c r="F122">
        <v>4.07</v>
      </c>
      <c r="G122">
        <v>0</v>
      </c>
      <c r="H122" s="14">
        <v>4.07</v>
      </c>
      <c r="I122">
        <v>653470</v>
      </c>
      <c r="J122" t="s">
        <v>274</v>
      </c>
      <c r="K122" t="s">
        <v>653</v>
      </c>
      <c r="M122" t="s">
        <v>654</v>
      </c>
      <c r="N122" t="s">
        <v>655</v>
      </c>
      <c r="O122" t="s">
        <v>656</v>
      </c>
      <c r="P122" t="s">
        <v>251</v>
      </c>
      <c r="R122" t="s">
        <v>252</v>
      </c>
      <c r="S122" t="s">
        <v>253</v>
      </c>
      <c r="T122" t="s">
        <v>657</v>
      </c>
      <c r="U122">
        <v>781535</v>
      </c>
      <c r="V122" t="s">
        <v>254</v>
      </c>
      <c r="W122" t="s">
        <v>658</v>
      </c>
      <c r="Y122">
        <v>38593</v>
      </c>
      <c r="Z122" t="s">
        <v>27</v>
      </c>
      <c r="AA122" t="s">
        <v>28</v>
      </c>
      <c r="AB122" t="s">
        <v>659</v>
      </c>
      <c r="AC122" t="s">
        <v>660</v>
      </c>
      <c r="AD122" t="s">
        <v>661</v>
      </c>
      <c r="AE122" t="s">
        <v>813</v>
      </c>
      <c r="AF122" t="s">
        <v>737</v>
      </c>
      <c r="AG122" t="s">
        <v>255</v>
      </c>
      <c r="AH122" t="s">
        <v>912</v>
      </c>
      <c r="AI122" t="s">
        <v>913</v>
      </c>
      <c r="AJ122" t="s">
        <v>30</v>
      </c>
      <c r="AK122" t="s">
        <v>666</v>
      </c>
      <c r="AL122">
        <v>12</v>
      </c>
      <c r="AM122" t="s">
        <v>210</v>
      </c>
      <c r="AN122" t="s">
        <v>29</v>
      </c>
      <c r="AO122" s="14">
        <v>11</v>
      </c>
      <c r="AP122" t="s">
        <v>32</v>
      </c>
      <c r="AQ122">
        <v>1430940277</v>
      </c>
      <c r="AS122" t="s">
        <v>4</v>
      </c>
      <c r="CG122" t="s">
        <v>31</v>
      </c>
      <c r="CH122">
        <v>4.07</v>
      </c>
      <c r="CI122" t="s">
        <v>32</v>
      </c>
      <c r="CJ122" t="s">
        <v>236</v>
      </c>
    </row>
    <row r="123" spans="1:88" x14ac:dyDescent="0.25">
      <c r="A123" t="s">
        <v>236</v>
      </c>
      <c r="B123" t="s">
        <v>650</v>
      </c>
      <c r="C123" t="s">
        <v>651</v>
      </c>
      <c r="D123" t="s">
        <v>652</v>
      </c>
      <c r="F123">
        <v>4.07</v>
      </c>
      <c r="G123">
        <v>0</v>
      </c>
      <c r="H123" s="14">
        <v>4.07</v>
      </c>
      <c r="I123">
        <v>653470</v>
      </c>
      <c r="J123" t="s">
        <v>274</v>
      </c>
      <c r="K123" t="s">
        <v>653</v>
      </c>
      <c r="M123" t="s">
        <v>654</v>
      </c>
      <c r="N123" t="s">
        <v>655</v>
      </c>
      <c r="O123" t="s">
        <v>656</v>
      </c>
      <c r="P123" t="s">
        <v>247</v>
      </c>
      <c r="R123" t="s">
        <v>248</v>
      </c>
      <c r="S123" t="s">
        <v>249</v>
      </c>
      <c r="T123" t="s">
        <v>657</v>
      </c>
      <c r="U123">
        <v>678726</v>
      </c>
      <c r="V123" t="s">
        <v>46</v>
      </c>
      <c r="W123" t="s">
        <v>658</v>
      </c>
      <c r="Y123">
        <v>38593</v>
      </c>
      <c r="Z123" t="s">
        <v>27</v>
      </c>
      <c r="AA123" t="s">
        <v>28</v>
      </c>
      <c r="AB123" t="s">
        <v>659</v>
      </c>
      <c r="AC123" t="s">
        <v>660</v>
      </c>
      <c r="AD123" t="s">
        <v>661</v>
      </c>
      <c r="AE123" t="s">
        <v>862</v>
      </c>
      <c r="AF123" t="s">
        <v>672</v>
      </c>
      <c r="AG123" t="s">
        <v>250</v>
      </c>
      <c r="AH123" t="s">
        <v>914</v>
      </c>
      <c r="AI123" t="s">
        <v>697</v>
      </c>
      <c r="AJ123" t="s">
        <v>30</v>
      </c>
      <c r="AK123" t="s">
        <v>666</v>
      </c>
      <c r="AL123">
        <v>11</v>
      </c>
      <c r="AM123" t="s">
        <v>210</v>
      </c>
      <c r="AN123" t="s">
        <v>29</v>
      </c>
      <c r="AO123" s="14">
        <v>11</v>
      </c>
      <c r="AP123" t="s">
        <v>32</v>
      </c>
      <c r="AQ123">
        <v>1430938656</v>
      </c>
      <c r="AS123" t="s">
        <v>4</v>
      </c>
      <c r="CG123" t="s">
        <v>31</v>
      </c>
      <c r="CH123">
        <v>4.07</v>
      </c>
      <c r="CI123" t="s">
        <v>32</v>
      </c>
      <c r="CJ123" t="s">
        <v>236</v>
      </c>
    </row>
    <row r="124" spans="1:88" x14ac:dyDescent="0.25">
      <c r="A124" t="s">
        <v>236</v>
      </c>
      <c r="B124" t="s">
        <v>650</v>
      </c>
      <c r="C124" t="s">
        <v>651</v>
      </c>
      <c r="D124" t="s">
        <v>652</v>
      </c>
      <c r="F124">
        <v>4.07</v>
      </c>
      <c r="G124">
        <v>0</v>
      </c>
      <c r="H124" s="14">
        <v>4.07</v>
      </c>
      <c r="I124">
        <v>653470</v>
      </c>
      <c r="J124" t="s">
        <v>274</v>
      </c>
      <c r="K124" t="s">
        <v>653</v>
      </c>
      <c r="M124" t="s">
        <v>654</v>
      </c>
      <c r="N124" t="s">
        <v>655</v>
      </c>
      <c r="O124" t="s">
        <v>656</v>
      </c>
      <c r="P124" t="s">
        <v>242</v>
      </c>
      <c r="R124" t="s">
        <v>243</v>
      </c>
      <c r="S124" t="s">
        <v>244</v>
      </c>
      <c r="T124" t="s">
        <v>657</v>
      </c>
      <c r="U124">
        <v>678726</v>
      </c>
      <c r="V124" t="s">
        <v>46</v>
      </c>
      <c r="W124" t="s">
        <v>658</v>
      </c>
      <c r="Y124">
        <v>38593</v>
      </c>
      <c r="Z124" t="s">
        <v>27</v>
      </c>
      <c r="AA124" t="s">
        <v>28</v>
      </c>
      <c r="AB124" t="s">
        <v>659</v>
      </c>
      <c r="AC124" t="s">
        <v>660</v>
      </c>
      <c r="AD124" t="s">
        <v>661</v>
      </c>
      <c r="AE124" t="s">
        <v>915</v>
      </c>
      <c r="AF124" t="s">
        <v>715</v>
      </c>
      <c r="AG124" t="s">
        <v>246</v>
      </c>
      <c r="AH124" t="s">
        <v>916</v>
      </c>
      <c r="AI124" t="s">
        <v>687</v>
      </c>
      <c r="AJ124" t="s">
        <v>30</v>
      </c>
      <c r="AK124" t="s">
        <v>666</v>
      </c>
      <c r="AL124">
        <v>10</v>
      </c>
      <c r="AM124" t="s">
        <v>210</v>
      </c>
      <c r="AN124" t="s">
        <v>29</v>
      </c>
      <c r="AO124" s="14">
        <v>11</v>
      </c>
      <c r="AP124" t="s">
        <v>32</v>
      </c>
      <c r="AQ124">
        <v>1430934991</v>
      </c>
      <c r="AS124" t="s">
        <v>4</v>
      </c>
      <c r="CG124" t="s">
        <v>31</v>
      </c>
      <c r="CH124">
        <v>4.07</v>
      </c>
      <c r="CI124" t="s">
        <v>32</v>
      </c>
      <c r="CJ124" t="s">
        <v>236</v>
      </c>
    </row>
    <row r="125" spans="1:88" x14ac:dyDescent="0.25">
      <c r="A125" t="s">
        <v>236</v>
      </c>
      <c r="B125" t="s">
        <v>650</v>
      </c>
      <c r="C125" t="s">
        <v>651</v>
      </c>
      <c r="D125" t="s">
        <v>652</v>
      </c>
      <c r="F125">
        <v>8</v>
      </c>
      <c r="G125">
        <v>0</v>
      </c>
      <c r="H125" s="14">
        <v>8</v>
      </c>
      <c r="I125">
        <v>653470</v>
      </c>
      <c r="J125" t="s">
        <v>274</v>
      </c>
      <c r="K125" t="s">
        <v>653</v>
      </c>
      <c r="M125" t="s">
        <v>654</v>
      </c>
      <c r="N125" t="s">
        <v>655</v>
      </c>
      <c r="O125" t="s">
        <v>656</v>
      </c>
      <c r="P125" t="s">
        <v>242</v>
      </c>
      <c r="R125" t="s">
        <v>243</v>
      </c>
      <c r="S125" t="s">
        <v>244</v>
      </c>
      <c r="T125" t="s">
        <v>657</v>
      </c>
      <c r="U125">
        <v>678726</v>
      </c>
      <c r="V125" t="s">
        <v>46</v>
      </c>
      <c r="W125" t="s">
        <v>658</v>
      </c>
      <c r="Y125">
        <v>45041</v>
      </c>
      <c r="Z125" t="s">
        <v>48</v>
      </c>
      <c r="AA125" t="s">
        <v>28</v>
      </c>
      <c r="AB125" t="s">
        <v>659</v>
      </c>
      <c r="AC125" t="s">
        <v>669</v>
      </c>
      <c r="AD125" t="s">
        <v>670</v>
      </c>
      <c r="AE125" t="s">
        <v>915</v>
      </c>
      <c r="AF125" t="s">
        <v>715</v>
      </c>
      <c r="AG125" t="s">
        <v>245</v>
      </c>
      <c r="AH125" t="s">
        <v>916</v>
      </c>
      <c r="AI125" t="s">
        <v>687</v>
      </c>
      <c r="AJ125" t="s">
        <v>30</v>
      </c>
      <c r="AK125" t="s">
        <v>666</v>
      </c>
      <c r="AL125">
        <v>10</v>
      </c>
      <c r="AM125" t="s">
        <v>210</v>
      </c>
      <c r="AN125" t="s">
        <v>29</v>
      </c>
      <c r="AO125" s="14">
        <v>25</v>
      </c>
      <c r="AP125" t="s">
        <v>50</v>
      </c>
      <c r="AQ125">
        <v>1430934993</v>
      </c>
      <c r="AS125" t="s">
        <v>4</v>
      </c>
      <c r="CG125" t="s">
        <v>49</v>
      </c>
      <c r="CH125">
        <v>8</v>
      </c>
      <c r="CI125" t="s">
        <v>50</v>
      </c>
      <c r="CJ125" t="s">
        <v>236</v>
      </c>
    </row>
    <row r="126" spans="1:88" x14ac:dyDescent="0.25">
      <c r="A126" t="s">
        <v>236</v>
      </c>
      <c r="B126" t="s">
        <v>650</v>
      </c>
      <c r="C126" t="s">
        <v>651</v>
      </c>
      <c r="D126" t="s">
        <v>652</v>
      </c>
      <c r="F126">
        <v>18.559999999999999</v>
      </c>
      <c r="G126">
        <v>0</v>
      </c>
      <c r="H126" s="14">
        <v>18.559999999999999</v>
      </c>
      <c r="I126">
        <v>653470</v>
      </c>
      <c r="J126" t="s">
        <v>274</v>
      </c>
      <c r="K126" t="s">
        <v>653</v>
      </c>
      <c r="M126" t="s">
        <v>654</v>
      </c>
      <c r="N126" t="s">
        <v>655</v>
      </c>
      <c r="O126" t="s">
        <v>656</v>
      </c>
      <c r="P126" t="s">
        <v>237</v>
      </c>
      <c r="R126" t="s">
        <v>238</v>
      </c>
      <c r="S126" t="s">
        <v>239</v>
      </c>
      <c r="T126" t="s">
        <v>657</v>
      </c>
      <c r="U126">
        <v>798992</v>
      </c>
      <c r="V126" t="s">
        <v>54</v>
      </c>
      <c r="W126" t="s">
        <v>658</v>
      </c>
      <c r="Y126">
        <v>45041</v>
      </c>
      <c r="Z126" t="s">
        <v>48</v>
      </c>
      <c r="AA126" t="s">
        <v>93</v>
      </c>
      <c r="AB126" t="s">
        <v>659</v>
      </c>
      <c r="AC126" t="s">
        <v>669</v>
      </c>
      <c r="AD126" t="s">
        <v>670</v>
      </c>
      <c r="AE126" t="s">
        <v>859</v>
      </c>
      <c r="AF126" t="s">
        <v>682</v>
      </c>
      <c r="AG126" t="s">
        <v>240</v>
      </c>
      <c r="AH126" t="s">
        <v>917</v>
      </c>
      <c r="AI126" t="s">
        <v>918</v>
      </c>
      <c r="AJ126" t="s">
        <v>30</v>
      </c>
      <c r="AK126" t="s">
        <v>666</v>
      </c>
      <c r="AL126">
        <v>8</v>
      </c>
      <c r="AM126" t="s">
        <v>210</v>
      </c>
      <c r="AN126" t="s">
        <v>29</v>
      </c>
      <c r="AO126" s="14">
        <v>58</v>
      </c>
      <c r="AP126" t="s">
        <v>50</v>
      </c>
      <c r="AQ126">
        <v>1430930163</v>
      </c>
      <c r="AS126" t="s">
        <v>4</v>
      </c>
      <c r="CG126" t="s">
        <v>241</v>
      </c>
      <c r="CH126">
        <v>18.559999999999999</v>
      </c>
      <c r="CI126" t="s">
        <v>50</v>
      </c>
      <c r="CJ126" t="s">
        <v>236</v>
      </c>
    </row>
    <row r="127" spans="1:88" x14ac:dyDescent="0.25">
      <c r="A127" t="s">
        <v>236</v>
      </c>
      <c r="B127" t="s">
        <v>650</v>
      </c>
      <c r="C127" t="s">
        <v>651</v>
      </c>
      <c r="D127" t="s">
        <v>652</v>
      </c>
      <c r="F127">
        <v>15.84</v>
      </c>
      <c r="G127">
        <v>0</v>
      </c>
      <c r="H127" s="14">
        <v>15.84</v>
      </c>
      <c r="I127">
        <v>653470</v>
      </c>
      <c r="J127" t="s">
        <v>274</v>
      </c>
      <c r="K127" t="s">
        <v>653</v>
      </c>
      <c r="M127" t="s">
        <v>654</v>
      </c>
      <c r="N127" t="s">
        <v>655</v>
      </c>
      <c r="O127" t="s">
        <v>656</v>
      </c>
      <c r="P127" t="s">
        <v>232</v>
      </c>
      <c r="R127" t="s">
        <v>233</v>
      </c>
      <c r="S127" t="s">
        <v>234</v>
      </c>
      <c r="T127" t="s">
        <v>657</v>
      </c>
      <c r="U127">
        <v>798992</v>
      </c>
      <c r="V127" t="s">
        <v>54</v>
      </c>
      <c r="W127" t="s">
        <v>658</v>
      </c>
      <c r="Y127">
        <v>38399</v>
      </c>
      <c r="Z127" t="s">
        <v>157</v>
      </c>
      <c r="AA127" t="s">
        <v>28</v>
      </c>
      <c r="AB127" t="s">
        <v>659</v>
      </c>
      <c r="AC127" t="s">
        <v>669</v>
      </c>
      <c r="AD127" t="s">
        <v>670</v>
      </c>
      <c r="AE127" t="s">
        <v>692</v>
      </c>
      <c r="AF127" t="s">
        <v>682</v>
      </c>
      <c r="AG127" t="s">
        <v>235</v>
      </c>
      <c r="AH127" t="s">
        <v>919</v>
      </c>
      <c r="AI127" t="s">
        <v>920</v>
      </c>
      <c r="AJ127" t="s">
        <v>30</v>
      </c>
      <c r="AK127" t="s">
        <v>666</v>
      </c>
      <c r="AL127">
        <v>8</v>
      </c>
      <c r="AM127" t="s">
        <v>210</v>
      </c>
      <c r="AN127" t="s">
        <v>29</v>
      </c>
      <c r="AO127" s="14">
        <v>66</v>
      </c>
      <c r="AP127" t="s">
        <v>42</v>
      </c>
      <c r="AQ127">
        <v>1430928249</v>
      </c>
      <c r="AS127" t="s">
        <v>4</v>
      </c>
      <c r="CG127" t="s">
        <v>159</v>
      </c>
      <c r="CH127">
        <v>15.84</v>
      </c>
      <c r="CI127" t="s">
        <v>42</v>
      </c>
      <c r="CJ127" t="s">
        <v>236</v>
      </c>
    </row>
    <row r="128" spans="1:88" x14ac:dyDescent="0.25">
      <c r="A128" t="s">
        <v>228</v>
      </c>
      <c r="B128" t="s">
        <v>650</v>
      </c>
      <c r="C128" t="s">
        <v>651</v>
      </c>
      <c r="D128" t="s">
        <v>652</v>
      </c>
      <c r="E128" t="s">
        <v>231</v>
      </c>
      <c r="F128">
        <v>0</v>
      </c>
      <c r="G128">
        <v>4.07</v>
      </c>
      <c r="H128" s="14">
        <v>-4.07</v>
      </c>
      <c r="I128">
        <v>653470</v>
      </c>
      <c r="J128" t="s">
        <v>274</v>
      </c>
      <c r="K128" t="s">
        <v>653</v>
      </c>
      <c r="M128" t="s">
        <v>654</v>
      </c>
      <c r="N128" t="s">
        <v>655</v>
      </c>
      <c r="O128" t="s">
        <v>656</v>
      </c>
      <c r="P128" t="s">
        <v>22</v>
      </c>
      <c r="R128" t="s">
        <v>23</v>
      </c>
      <c r="S128" t="s">
        <v>24</v>
      </c>
      <c r="T128" t="s">
        <v>657</v>
      </c>
      <c r="U128">
        <v>657149</v>
      </c>
      <c r="V128" t="s">
        <v>25</v>
      </c>
      <c r="W128" t="s">
        <v>658</v>
      </c>
      <c r="Y128">
        <v>38593</v>
      </c>
      <c r="Z128" t="s">
        <v>27</v>
      </c>
      <c r="AA128" t="s">
        <v>28</v>
      </c>
      <c r="AB128" t="s">
        <v>659</v>
      </c>
      <c r="AC128" t="s">
        <v>660</v>
      </c>
      <c r="AD128" t="s">
        <v>661</v>
      </c>
      <c r="AE128" t="s">
        <v>662</v>
      </c>
      <c r="AF128" t="s">
        <v>663</v>
      </c>
      <c r="AG128" t="s">
        <v>26</v>
      </c>
      <c r="AH128" t="s">
        <v>921</v>
      </c>
      <c r="AI128" t="s">
        <v>665</v>
      </c>
      <c r="AJ128" t="s">
        <v>230</v>
      </c>
      <c r="AK128" t="s">
        <v>666</v>
      </c>
      <c r="AL128">
        <v>18</v>
      </c>
      <c r="AM128" t="s">
        <v>210</v>
      </c>
      <c r="AN128" t="s">
        <v>29</v>
      </c>
      <c r="AO128" s="14">
        <v>11</v>
      </c>
      <c r="AP128" t="s">
        <v>32</v>
      </c>
      <c r="AQ128">
        <v>1430877990</v>
      </c>
      <c r="AS128" t="s">
        <v>4</v>
      </c>
      <c r="CG128" t="s">
        <v>31</v>
      </c>
      <c r="CH128">
        <v>-4.07</v>
      </c>
      <c r="CI128" t="s">
        <v>32</v>
      </c>
      <c r="CJ128" t="s">
        <v>228</v>
      </c>
    </row>
    <row r="129" spans="1:88" x14ac:dyDescent="0.25">
      <c r="A129" t="s">
        <v>228</v>
      </c>
      <c r="B129" t="s">
        <v>650</v>
      </c>
      <c r="C129" t="s">
        <v>651</v>
      </c>
      <c r="D129" t="s">
        <v>652</v>
      </c>
      <c r="F129">
        <v>4.29</v>
      </c>
      <c r="G129">
        <v>0</v>
      </c>
      <c r="H129" s="14">
        <v>4.29</v>
      </c>
      <c r="I129">
        <v>653470</v>
      </c>
      <c r="J129" t="s">
        <v>274</v>
      </c>
      <c r="K129" t="s">
        <v>653</v>
      </c>
      <c r="M129" t="s">
        <v>654</v>
      </c>
      <c r="N129" t="s">
        <v>655</v>
      </c>
      <c r="O129" t="s">
        <v>656</v>
      </c>
      <c r="P129" t="s">
        <v>223</v>
      </c>
      <c r="R129" t="s">
        <v>224</v>
      </c>
      <c r="S129" t="s">
        <v>225</v>
      </c>
      <c r="T129" t="s">
        <v>885</v>
      </c>
      <c r="U129">
        <v>711419</v>
      </c>
      <c r="V129" t="s">
        <v>226</v>
      </c>
      <c r="W129" t="s">
        <v>658</v>
      </c>
      <c r="Y129">
        <v>38399</v>
      </c>
      <c r="Z129" t="s">
        <v>157</v>
      </c>
      <c r="AA129" t="s">
        <v>39</v>
      </c>
      <c r="AB129" t="s">
        <v>659</v>
      </c>
      <c r="AC129" t="s">
        <v>669</v>
      </c>
      <c r="AD129" t="s">
        <v>670</v>
      </c>
      <c r="AE129" t="s">
        <v>922</v>
      </c>
      <c r="AF129" t="s">
        <v>731</v>
      </c>
      <c r="AG129" t="s">
        <v>227</v>
      </c>
      <c r="AH129" t="s">
        <v>923</v>
      </c>
      <c r="AI129" t="s">
        <v>884</v>
      </c>
      <c r="AJ129" t="s">
        <v>30</v>
      </c>
      <c r="AK129" t="s">
        <v>680</v>
      </c>
      <c r="AL129">
        <v>5</v>
      </c>
      <c r="AM129" t="s">
        <v>667</v>
      </c>
      <c r="AN129" t="s">
        <v>668</v>
      </c>
      <c r="AO129" s="14">
        <v>143</v>
      </c>
      <c r="AP129" t="s">
        <v>130</v>
      </c>
      <c r="AQ129">
        <v>1431062913</v>
      </c>
      <c r="AS129" t="s">
        <v>4</v>
      </c>
      <c r="CG129" t="s">
        <v>229</v>
      </c>
      <c r="CH129">
        <v>4.29</v>
      </c>
      <c r="CI129" t="s">
        <v>130</v>
      </c>
      <c r="CJ129" t="s">
        <v>228</v>
      </c>
    </row>
    <row r="130" spans="1:88" x14ac:dyDescent="0.25">
      <c r="A130" t="s">
        <v>210</v>
      </c>
      <c r="B130" t="s">
        <v>650</v>
      </c>
      <c r="C130" t="s">
        <v>651</v>
      </c>
      <c r="D130" t="s">
        <v>652</v>
      </c>
      <c r="F130">
        <v>8</v>
      </c>
      <c r="G130">
        <v>0</v>
      </c>
      <c r="H130" s="14">
        <v>8</v>
      </c>
      <c r="I130">
        <v>653470</v>
      </c>
      <c r="J130" t="s">
        <v>274</v>
      </c>
      <c r="K130" t="s">
        <v>653</v>
      </c>
      <c r="M130" t="s">
        <v>654</v>
      </c>
      <c r="N130" t="s">
        <v>655</v>
      </c>
      <c r="O130" t="s">
        <v>656</v>
      </c>
      <c r="P130" t="s">
        <v>219</v>
      </c>
      <c r="R130" t="s">
        <v>220</v>
      </c>
      <c r="S130" t="s">
        <v>221</v>
      </c>
      <c r="T130" t="s">
        <v>657</v>
      </c>
      <c r="U130">
        <v>678726</v>
      </c>
      <c r="V130" t="s">
        <v>46</v>
      </c>
      <c r="W130" t="s">
        <v>658</v>
      </c>
      <c r="Y130">
        <v>45041</v>
      </c>
      <c r="Z130" t="s">
        <v>48</v>
      </c>
      <c r="AA130" t="s">
        <v>28</v>
      </c>
      <c r="AB130" t="s">
        <v>659</v>
      </c>
      <c r="AC130" t="s">
        <v>669</v>
      </c>
      <c r="AD130" t="s">
        <v>670</v>
      </c>
      <c r="AE130" t="s">
        <v>725</v>
      </c>
      <c r="AF130" t="s">
        <v>707</v>
      </c>
      <c r="AG130" t="s">
        <v>222</v>
      </c>
      <c r="AH130" t="s">
        <v>924</v>
      </c>
      <c r="AI130" t="s">
        <v>129</v>
      </c>
      <c r="AJ130" t="s">
        <v>30</v>
      </c>
      <c r="AK130" t="s">
        <v>680</v>
      </c>
      <c r="AL130">
        <v>9</v>
      </c>
      <c r="AM130" t="s">
        <v>210</v>
      </c>
      <c r="AN130" t="s">
        <v>29</v>
      </c>
      <c r="AO130" s="14">
        <v>25</v>
      </c>
      <c r="AP130" t="s">
        <v>50</v>
      </c>
      <c r="AQ130">
        <v>1431068522</v>
      </c>
      <c r="AS130" t="s">
        <v>4</v>
      </c>
      <c r="CG130" t="s">
        <v>49</v>
      </c>
      <c r="CH130">
        <v>8</v>
      </c>
      <c r="CI130" t="s">
        <v>50</v>
      </c>
      <c r="CJ130" t="s">
        <v>210</v>
      </c>
    </row>
    <row r="131" spans="1:88" x14ac:dyDescent="0.25">
      <c r="A131" t="s">
        <v>210</v>
      </c>
      <c r="B131" t="s">
        <v>650</v>
      </c>
      <c r="C131" t="s">
        <v>651</v>
      </c>
      <c r="D131" t="s">
        <v>652</v>
      </c>
      <c r="F131">
        <v>4.07</v>
      </c>
      <c r="G131">
        <v>0</v>
      </c>
      <c r="H131" s="14">
        <v>4.07</v>
      </c>
      <c r="I131">
        <v>653470</v>
      </c>
      <c r="J131" t="s">
        <v>274</v>
      </c>
      <c r="K131" t="s">
        <v>653</v>
      </c>
      <c r="M131" t="s">
        <v>654</v>
      </c>
      <c r="N131" t="s">
        <v>655</v>
      </c>
      <c r="O131" t="s">
        <v>656</v>
      </c>
      <c r="P131" t="s">
        <v>215</v>
      </c>
      <c r="R131" t="s">
        <v>193</v>
      </c>
      <c r="S131" t="s">
        <v>216</v>
      </c>
      <c r="T131" t="s">
        <v>657</v>
      </c>
      <c r="U131">
        <v>678726</v>
      </c>
      <c r="V131" t="s">
        <v>46</v>
      </c>
      <c r="W131" t="s">
        <v>658</v>
      </c>
      <c r="Y131">
        <v>38593</v>
      </c>
      <c r="Z131" t="s">
        <v>27</v>
      </c>
      <c r="AA131" t="s">
        <v>28</v>
      </c>
      <c r="AB131" t="s">
        <v>659</v>
      </c>
      <c r="AC131" t="s">
        <v>660</v>
      </c>
      <c r="AD131" t="s">
        <v>661</v>
      </c>
      <c r="AE131" t="s">
        <v>721</v>
      </c>
      <c r="AF131" t="s">
        <v>715</v>
      </c>
      <c r="AG131" t="s">
        <v>218</v>
      </c>
      <c r="AH131" t="s">
        <v>925</v>
      </c>
      <c r="AI131" t="s">
        <v>687</v>
      </c>
      <c r="AJ131" t="s">
        <v>30</v>
      </c>
      <c r="AK131" t="s">
        <v>666</v>
      </c>
      <c r="AL131">
        <v>10</v>
      </c>
      <c r="AM131" t="s">
        <v>210</v>
      </c>
      <c r="AN131" t="s">
        <v>29</v>
      </c>
      <c r="AO131" s="14">
        <v>11</v>
      </c>
      <c r="AP131" t="s">
        <v>32</v>
      </c>
      <c r="AQ131">
        <v>1431009782</v>
      </c>
      <c r="AS131" t="s">
        <v>4</v>
      </c>
      <c r="CG131" t="s">
        <v>31</v>
      </c>
      <c r="CH131">
        <v>4.07</v>
      </c>
      <c r="CI131" t="s">
        <v>32</v>
      </c>
      <c r="CJ131" t="s">
        <v>210</v>
      </c>
    </row>
    <row r="132" spans="1:88" x14ac:dyDescent="0.25">
      <c r="A132" t="s">
        <v>210</v>
      </c>
      <c r="B132" t="s">
        <v>650</v>
      </c>
      <c r="C132" t="s">
        <v>651</v>
      </c>
      <c r="D132" t="s">
        <v>652</v>
      </c>
      <c r="F132">
        <v>8</v>
      </c>
      <c r="G132">
        <v>0</v>
      </c>
      <c r="H132" s="14">
        <v>8</v>
      </c>
      <c r="I132">
        <v>653470</v>
      </c>
      <c r="J132" t="s">
        <v>274</v>
      </c>
      <c r="K132" t="s">
        <v>653</v>
      </c>
      <c r="M132" t="s">
        <v>654</v>
      </c>
      <c r="N132" t="s">
        <v>655</v>
      </c>
      <c r="O132" t="s">
        <v>656</v>
      </c>
      <c r="P132" t="s">
        <v>215</v>
      </c>
      <c r="R132" t="s">
        <v>193</v>
      </c>
      <c r="S132" t="s">
        <v>216</v>
      </c>
      <c r="T132" t="s">
        <v>657</v>
      </c>
      <c r="U132">
        <v>678726</v>
      </c>
      <c r="V132" t="s">
        <v>46</v>
      </c>
      <c r="W132" t="s">
        <v>658</v>
      </c>
      <c r="Y132">
        <v>45041</v>
      </c>
      <c r="Z132" t="s">
        <v>48</v>
      </c>
      <c r="AA132" t="s">
        <v>28</v>
      </c>
      <c r="AB132" t="s">
        <v>659</v>
      </c>
      <c r="AC132" t="s">
        <v>669</v>
      </c>
      <c r="AD132" t="s">
        <v>670</v>
      </c>
      <c r="AE132" t="s">
        <v>721</v>
      </c>
      <c r="AF132" t="s">
        <v>715</v>
      </c>
      <c r="AG132" t="s">
        <v>217</v>
      </c>
      <c r="AH132" t="s">
        <v>925</v>
      </c>
      <c r="AI132" t="s">
        <v>687</v>
      </c>
      <c r="AJ132" t="s">
        <v>30</v>
      </c>
      <c r="AK132" t="s">
        <v>666</v>
      </c>
      <c r="AL132">
        <v>10</v>
      </c>
      <c r="AM132" t="s">
        <v>210</v>
      </c>
      <c r="AN132" t="s">
        <v>29</v>
      </c>
      <c r="AO132" s="14">
        <v>25</v>
      </c>
      <c r="AP132" t="s">
        <v>50</v>
      </c>
      <c r="AQ132">
        <v>1431009785</v>
      </c>
      <c r="AS132" t="s">
        <v>4</v>
      </c>
      <c r="CG132" t="s">
        <v>49</v>
      </c>
      <c r="CH132">
        <v>8</v>
      </c>
      <c r="CI132" t="s">
        <v>50</v>
      </c>
      <c r="CJ132" t="s">
        <v>210</v>
      </c>
    </row>
    <row r="133" spans="1:88" x14ac:dyDescent="0.25">
      <c r="A133" t="s">
        <v>210</v>
      </c>
      <c r="B133" t="s">
        <v>650</v>
      </c>
      <c r="C133" t="s">
        <v>651</v>
      </c>
      <c r="D133" t="s">
        <v>652</v>
      </c>
      <c r="F133">
        <v>8</v>
      </c>
      <c r="G133">
        <v>0</v>
      </c>
      <c r="H133" s="14">
        <v>8</v>
      </c>
      <c r="I133">
        <v>653470</v>
      </c>
      <c r="J133" t="s">
        <v>274</v>
      </c>
      <c r="K133" t="s">
        <v>653</v>
      </c>
      <c r="M133" t="s">
        <v>654</v>
      </c>
      <c r="N133" t="s">
        <v>655</v>
      </c>
      <c r="O133" t="s">
        <v>656</v>
      </c>
      <c r="P133" t="s">
        <v>211</v>
      </c>
      <c r="R133" t="s">
        <v>212</v>
      </c>
      <c r="S133" t="s">
        <v>213</v>
      </c>
      <c r="T133" t="s">
        <v>657</v>
      </c>
      <c r="U133">
        <v>678726</v>
      </c>
      <c r="V133" t="s">
        <v>46</v>
      </c>
      <c r="W133" t="s">
        <v>658</v>
      </c>
      <c r="Y133">
        <v>45041</v>
      </c>
      <c r="Z133" t="s">
        <v>48</v>
      </c>
      <c r="AA133" t="s">
        <v>28</v>
      </c>
      <c r="AB133" t="s">
        <v>659</v>
      </c>
      <c r="AC133" t="s">
        <v>669</v>
      </c>
      <c r="AD133" t="s">
        <v>670</v>
      </c>
      <c r="AE133" t="s">
        <v>721</v>
      </c>
      <c r="AF133" t="s">
        <v>715</v>
      </c>
      <c r="AG133" t="s">
        <v>214</v>
      </c>
      <c r="AH133" t="s">
        <v>926</v>
      </c>
      <c r="AI133" t="s">
        <v>129</v>
      </c>
      <c r="AJ133" t="s">
        <v>30</v>
      </c>
      <c r="AK133" t="s">
        <v>666</v>
      </c>
      <c r="AL133">
        <v>10</v>
      </c>
      <c r="AM133" t="s">
        <v>210</v>
      </c>
      <c r="AN133" t="s">
        <v>29</v>
      </c>
      <c r="AO133" s="14">
        <v>25</v>
      </c>
      <c r="AP133" t="s">
        <v>50</v>
      </c>
      <c r="AQ133">
        <v>1431009653</v>
      </c>
      <c r="AS133" t="s">
        <v>4</v>
      </c>
      <c r="CG133" t="s">
        <v>49</v>
      </c>
      <c r="CH133">
        <v>8</v>
      </c>
      <c r="CI133" t="s">
        <v>50</v>
      </c>
      <c r="CJ133" t="s">
        <v>210</v>
      </c>
    </row>
    <row r="134" spans="1:88" x14ac:dyDescent="0.25">
      <c r="A134" t="s">
        <v>210</v>
      </c>
      <c r="B134" t="s">
        <v>650</v>
      </c>
      <c r="C134" t="s">
        <v>651</v>
      </c>
      <c r="D134" t="s">
        <v>652</v>
      </c>
      <c r="F134">
        <v>8</v>
      </c>
      <c r="G134">
        <v>0</v>
      </c>
      <c r="H134" s="14">
        <v>8</v>
      </c>
      <c r="I134">
        <v>653470</v>
      </c>
      <c r="J134" t="s">
        <v>274</v>
      </c>
      <c r="K134" t="s">
        <v>653</v>
      </c>
      <c r="M134" t="s">
        <v>654</v>
      </c>
      <c r="N134" t="s">
        <v>655</v>
      </c>
      <c r="O134" t="s">
        <v>656</v>
      </c>
      <c r="P134" t="s">
        <v>206</v>
      </c>
      <c r="R134" t="s">
        <v>207</v>
      </c>
      <c r="S134" t="s">
        <v>208</v>
      </c>
      <c r="T134" t="s">
        <v>657</v>
      </c>
      <c r="U134">
        <v>678726</v>
      </c>
      <c r="V134" t="s">
        <v>46</v>
      </c>
      <c r="W134" t="s">
        <v>658</v>
      </c>
      <c r="Y134">
        <v>45041</v>
      </c>
      <c r="Z134" t="s">
        <v>48</v>
      </c>
      <c r="AA134" t="s">
        <v>28</v>
      </c>
      <c r="AB134" t="s">
        <v>659</v>
      </c>
      <c r="AC134" t="s">
        <v>669</v>
      </c>
      <c r="AD134" t="s">
        <v>670</v>
      </c>
      <c r="AE134" t="s">
        <v>927</v>
      </c>
      <c r="AF134" t="s">
        <v>675</v>
      </c>
      <c r="AG134" t="s">
        <v>209</v>
      </c>
      <c r="AH134" t="s">
        <v>928</v>
      </c>
      <c r="AI134" t="s">
        <v>129</v>
      </c>
      <c r="AJ134" t="s">
        <v>30</v>
      </c>
      <c r="AK134" t="s">
        <v>666</v>
      </c>
      <c r="AL134">
        <v>6</v>
      </c>
      <c r="AM134" t="s">
        <v>210</v>
      </c>
      <c r="AN134" t="s">
        <v>29</v>
      </c>
      <c r="AO134" s="14">
        <v>25</v>
      </c>
      <c r="AP134" t="s">
        <v>50</v>
      </c>
      <c r="AQ134">
        <v>1431006070</v>
      </c>
      <c r="AS134" t="s">
        <v>4</v>
      </c>
      <c r="CG134" t="s">
        <v>49</v>
      </c>
      <c r="CH134">
        <v>8</v>
      </c>
      <c r="CI134" t="s">
        <v>50</v>
      </c>
      <c r="CJ134" t="s">
        <v>210</v>
      </c>
    </row>
    <row r="135" spans="1:88" x14ac:dyDescent="0.25">
      <c r="A135" t="s">
        <v>210</v>
      </c>
      <c r="B135" t="s">
        <v>650</v>
      </c>
      <c r="C135" t="s">
        <v>651</v>
      </c>
      <c r="D135" t="s">
        <v>652</v>
      </c>
      <c r="F135">
        <v>4.07</v>
      </c>
      <c r="G135">
        <v>0</v>
      </c>
      <c r="H135" s="14">
        <v>4.07</v>
      </c>
      <c r="I135">
        <v>653470</v>
      </c>
      <c r="J135" t="s">
        <v>274</v>
      </c>
      <c r="K135" t="s">
        <v>653</v>
      </c>
      <c r="M135" t="s">
        <v>654</v>
      </c>
      <c r="N135" t="s">
        <v>655</v>
      </c>
      <c r="O135" t="s">
        <v>656</v>
      </c>
      <c r="P135" t="s">
        <v>317</v>
      </c>
      <c r="R135" t="s">
        <v>318</v>
      </c>
      <c r="S135" t="s">
        <v>319</v>
      </c>
      <c r="T135" t="s">
        <v>657</v>
      </c>
      <c r="U135">
        <v>678726</v>
      </c>
      <c r="V135" t="s">
        <v>46</v>
      </c>
      <c r="W135" t="s">
        <v>658</v>
      </c>
      <c r="Y135">
        <v>38593</v>
      </c>
      <c r="Z135" t="s">
        <v>27</v>
      </c>
      <c r="AA135" t="s">
        <v>28</v>
      </c>
      <c r="AB135" t="s">
        <v>659</v>
      </c>
      <c r="AC135" t="s">
        <v>660</v>
      </c>
      <c r="AD135" t="s">
        <v>661</v>
      </c>
      <c r="AE135" t="s">
        <v>929</v>
      </c>
      <c r="AF135" t="s">
        <v>930</v>
      </c>
      <c r="AG135" t="s">
        <v>320</v>
      </c>
      <c r="AH135" t="s">
        <v>931</v>
      </c>
      <c r="AI135" t="s">
        <v>896</v>
      </c>
      <c r="AJ135" t="s">
        <v>30</v>
      </c>
      <c r="AK135" t="s">
        <v>666</v>
      </c>
      <c r="AL135">
        <v>3</v>
      </c>
      <c r="AM135" t="s">
        <v>210</v>
      </c>
      <c r="AN135" t="s">
        <v>29</v>
      </c>
      <c r="AO135" s="14">
        <v>11</v>
      </c>
      <c r="AP135" t="s">
        <v>32</v>
      </c>
      <c r="AQ135">
        <v>1431003911</v>
      </c>
      <c r="AS135" t="s">
        <v>4</v>
      </c>
      <c r="CG135" t="s">
        <v>31</v>
      </c>
      <c r="CH135">
        <v>4.07</v>
      </c>
      <c r="CI135" t="s">
        <v>32</v>
      </c>
      <c r="CJ135" t="s">
        <v>210</v>
      </c>
    </row>
    <row r="136" spans="1:88" x14ac:dyDescent="0.25">
      <c r="A136" t="s">
        <v>210</v>
      </c>
      <c r="B136" t="s">
        <v>650</v>
      </c>
      <c r="C136" t="s">
        <v>651</v>
      </c>
      <c r="D136" t="s">
        <v>652</v>
      </c>
      <c r="F136">
        <v>6.48</v>
      </c>
      <c r="G136">
        <v>0</v>
      </c>
      <c r="H136" s="14">
        <v>6.48</v>
      </c>
      <c r="I136">
        <v>653470</v>
      </c>
      <c r="J136" t="s">
        <v>274</v>
      </c>
      <c r="K136" t="s">
        <v>653</v>
      </c>
      <c r="M136" t="s">
        <v>654</v>
      </c>
      <c r="N136" t="s">
        <v>655</v>
      </c>
      <c r="O136" t="s">
        <v>656</v>
      </c>
      <c r="P136" t="s">
        <v>317</v>
      </c>
      <c r="R136" t="s">
        <v>318</v>
      </c>
      <c r="S136" t="s">
        <v>319</v>
      </c>
      <c r="T136" t="s">
        <v>657</v>
      </c>
      <c r="U136">
        <v>678726</v>
      </c>
      <c r="V136" t="s">
        <v>46</v>
      </c>
      <c r="W136" t="s">
        <v>658</v>
      </c>
      <c r="Y136">
        <v>47133</v>
      </c>
      <c r="Z136" t="s">
        <v>294</v>
      </c>
      <c r="AA136" t="s">
        <v>28</v>
      </c>
      <c r="AB136" t="s">
        <v>659</v>
      </c>
      <c r="AC136" t="s">
        <v>669</v>
      </c>
      <c r="AD136" t="s">
        <v>670</v>
      </c>
      <c r="AE136" t="s">
        <v>929</v>
      </c>
      <c r="AF136" t="s">
        <v>930</v>
      </c>
      <c r="AG136" t="s">
        <v>574</v>
      </c>
      <c r="AH136" t="s">
        <v>931</v>
      </c>
      <c r="AI136" t="s">
        <v>896</v>
      </c>
      <c r="AJ136" t="s">
        <v>30</v>
      </c>
      <c r="AK136" t="s">
        <v>666</v>
      </c>
      <c r="AL136">
        <v>3</v>
      </c>
      <c r="AM136" t="s">
        <v>210</v>
      </c>
      <c r="AN136" t="s">
        <v>29</v>
      </c>
      <c r="AO136" s="14">
        <v>27</v>
      </c>
      <c r="AP136" t="s">
        <v>42</v>
      </c>
      <c r="AQ136">
        <v>1431003916</v>
      </c>
      <c r="AS136" t="s">
        <v>4</v>
      </c>
      <c r="CG136" t="s">
        <v>295</v>
      </c>
      <c r="CH136">
        <v>6.48</v>
      </c>
      <c r="CI136" t="s">
        <v>42</v>
      </c>
      <c r="CJ136" t="s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BB45-F8E3-48C1-ACEF-0C60B24AFDFD}">
  <dimension ref="A1:CP136"/>
  <sheetViews>
    <sheetView tabSelected="1" topLeftCell="A97" workbookViewId="0">
      <selection activeCell="BE2" sqref="BE2:BE136"/>
    </sheetView>
  </sheetViews>
  <sheetFormatPr defaultRowHeight="15" x14ac:dyDescent="0.25"/>
  <cols>
    <col min="1" max="1" width="12.42578125" customWidth="1"/>
    <col min="2" max="2" width="13.5703125" customWidth="1"/>
    <col min="3" max="3" width="18" customWidth="1"/>
    <col min="4" max="4" width="8.140625" customWidth="1"/>
    <col min="5" max="5" width="16.7109375" customWidth="1"/>
    <col min="6" max="6" width="13.42578125" customWidth="1"/>
    <col min="7" max="7" width="30" customWidth="1"/>
    <col min="8" max="8" width="11" customWidth="1"/>
    <col min="9" max="9" width="11.140625" customWidth="1"/>
    <col min="10" max="10" width="13.42578125" customWidth="1"/>
    <col min="11" max="12" width="13.5703125" customWidth="1"/>
    <col min="13" max="13" width="9.7109375" customWidth="1"/>
    <col min="14" max="15" width="13.5703125" customWidth="1"/>
    <col min="16" max="16" width="10.5703125" customWidth="1"/>
    <col min="17" max="17" width="8" customWidth="1"/>
    <col min="18" max="56" width="13" hidden="1" customWidth="1"/>
    <col min="57" max="57" width="8.140625" customWidth="1"/>
  </cols>
  <sheetData>
    <row r="1" spans="1:94" x14ac:dyDescent="0.25">
      <c r="A1" s="13" t="s">
        <v>8</v>
      </c>
      <c r="B1" s="13" t="s">
        <v>9</v>
      </c>
      <c r="C1" s="13"/>
      <c r="D1" s="13" t="s">
        <v>590</v>
      </c>
      <c r="E1" s="13"/>
      <c r="F1" s="13"/>
      <c r="G1" s="13" t="s">
        <v>13</v>
      </c>
      <c r="H1" s="13" t="s">
        <v>595</v>
      </c>
      <c r="I1" s="13" t="s">
        <v>596</v>
      </c>
      <c r="J1" s="13" t="s">
        <v>598</v>
      </c>
      <c r="K1" s="13" t="s">
        <v>12</v>
      </c>
      <c r="L1" s="13" t="s">
        <v>603</v>
      </c>
      <c r="M1" s="13"/>
      <c r="N1" s="13"/>
      <c r="O1" s="13"/>
      <c r="P1" s="13" t="s">
        <v>18</v>
      </c>
      <c r="Q1" s="13" t="s">
        <v>20</v>
      </c>
      <c r="R1" s="13" t="s">
        <v>607</v>
      </c>
      <c r="S1" s="13" t="s">
        <v>608</v>
      </c>
      <c r="T1" s="13" t="s">
        <v>609</v>
      </c>
      <c r="U1" s="13" t="s">
        <v>610</v>
      </c>
      <c r="V1" s="13" t="s">
        <v>611</v>
      </c>
      <c r="W1" s="13" t="s">
        <v>612</v>
      </c>
      <c r="X1" s="13" t="s">
        <v>613</v>
      </c>
      <c r="Y1" s="13" t="s">
        <v>614</v>
      </c>
      <c r="Z1" s="13" t="s">
        <v>615</v>
      </c>
      <c r="AA1" s="13" t="s">
        <v>616</v>
      </c>
      <c r="AB1" s="13" t="s">
        <v>617</v>
      </c>
      <c r="AC1" s="13" t="s">
        <v>618</v>
      </c>
      <c r="AD1" s="13" t="s">
        <v>619</v>
      </c>
      <c r="AE1" s="13" t="s">
        <v>620</v>
      </c>
      <c r="AF1" s="13" t="s">
        <v>621</v>
      </c>
      <c r="AG1" s="13" t="s">
        <v>622</v>
      </c>
      <c r="AH1" s="13" t="s">
        <v>623</v>
      </c>
      <c r="AI1" s="13" t="s">
        <v>624</v>
      </c>
      <c r="AJ1" s="13" t="s">
        <v>625</v>
      </c>
      <c r="AK1" s="13" t="s">
        <v>626</v>
      </c>
      <c r="AL1" s="13" t="s">
        <v>627</v>
      </c>
      <c r="AM1" s="13" t="s">
        <v>628</v>
      </c>
      <c r="AN1" s="13" t="s">
        <v>629</v>
      </c>
      <c r="AO1" s="13" t="s">
        <v>630</v>
      </c>
      <c r="AP1" s="13" t="s">
        <v>631</v>
      </c>
      <c r="AQ1" s="13" t="s">
        <v>632</v>
      </c>
      <c r="AR1" s="13" t="s">
        <v>633</v>
      </c>
      <c r="AS1" s="13" t="s">
        <v>634</v>
      </c>
      <c r="AT1" s="13" t="s">
        <v>635</v>
      </c>
      <c r="AU1" s="13" t="s">
        <v>636</v>
      </c>
      <c r="AV1" s="13" t="s">
        <v>637</v>
      </c>
      <c r="AW1" s="13" t="s">
        <v>638</v>
      </c>
      <c r="AX1" s="13" t="s">
        <v>639</v>
      </c>
      <c r="AY1" s="13" t="s">
        <v>640</v>
      </c>
      <c r="AZ1" s="13" t="s">
        <v>641</v>
      </c>
      <c r="BA1" s="13" t="s">
        <v>642</v>
      </c>
      <c r="BB1" s="13" t="s">
        <v>643</v>
      </c>
      <c r="BC1" s="13" t="s">
        <v>644</v>
      </c>
      <c r="BD1" s="13" t="s">
        <v>645</v>
      </c>
      <c r="BE1" s="13" t="s">
        <v>647</v>
      </c>
    </row>
    <row r="2" spans="1:94" s="23" customFormat="1" x14ac:dyDescent="0.25">
      <c r="A2" s="19" t="s">
        <v>560</v>
      </c>
      <c r="B2" s="19" t="s">
        <v>561</v>
      </c>
      <c r="C2" s="19" t="str">
        <f>CONCATENATE(A2, " ", B2)</f>
        <v>Stephan Dagovitz</v>
      </c>
      <c r="D2" s="19" t="s">
        <v>702</v>
      </c>
      <c r="E2" s="19" t="s">
        <v>941</v>
      </c>
      <c r="F2" s="19">
        <v>7565575</v>
      </c>
      <c r="G2" s="19" t="s">
        <v>564</v>
      </c>
      <c r="H2" s="19" t="s">
        <v>669</v>
      </c>
      <c r="I2" s="19" t="s">
        <v>670</v>
      </c>
      <c r="J2" s="19" t="s">
        <v>210</v>
      </c>
      <c r="K2" s="21">
        <v>439869219</v>
      </c>
      <c r="L2" s="19" t="s">
        <v>667</v>
      </c>
      <c r="M2" s="19">
        <f>DATEDIF(J2,L2,"M")</f>
        <v>1</v>
      </c>
      <c r="N2" s="19" t="s">
        <v>956</v>
      </c>
      <c r="O2" s="19" t="s">
        <v>957</v>
      </c>
      <c r="P2" s="20">
        <v>55</v>
      </c>
      <c r="Q2" s="22">
        <v>0.24</v>
      </c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>
        <v>13.2</v>
      </c>
      <c r="BF2" s="19" t="s">
        <v>960</v>
      </c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</row>
    <row r="3" spans="1:94" s="23" customFormat="1" x14ac:dyDescent="0.25">
      <c r="A3" s="19" t="s">
        <v>318</v>
      </c>
      <c r="B3" s="19" t="s">
        <v>319</v>
      </c>
      <c r="C3" s="19" t="str">
        <f>CONCATENATE(A3, " ", B3)</f>
        <v>Maria VonNordeck</v>
      </c>
      <c r="D3" s="19" t="s">
        <v>657</v>
      </c>
      <c r="E3" s="19" t="s">
        <v>933</v>
      </c>
      <c r="F3" s="19">
        <v>16202925</v>
      </c>
      <c r="G3" s="19" t="s">
        <v>294</v>
      </c>
      <c r="H3" s="19" t="s">
        <v>669</v>
      </c>
      <c r="I3" s="19" t="s">
        <v>670</v>
      </c>
      <c r="J3" s="19" t="s">
        <v>930</v>
      </c>
      <c r="K3" s="21">
        <v>428096508</v>
      </c>
      <c r="L3" s="19" t="s">
        <v>210</v>
      </c>
      <c r="M3" s="19">
        <f>DATEDIF(J3,L3,"M")</f>
        <v>2</v>
      </c>
      <c r="N3" s="19" t="s">
        <v>956</v>
      </c>
      <c r="O3" s="19" t="s">
        <v>957</v>
      </c>
      <c r="P3" s="20">
        <v>27</v>
      </c>
      <c r="Q3" s="22">
        <v>0.24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>
        <v>6.48</v>
      </c>
      <c r="BF3" s="19" t="s">
        <v>960</v>
      </c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</row>
    <row r="4" spans="1:94" s="23" customFormat="1" x14ac:dyDescent="0.25">
      <c r="A4" s="19" t="s">
        <v>466</v>
      </c>
      <c r="B4" s="19" t="s">
        <v>467</v>
      </c>
      <c r="C4" s="19" t="str">
        <f>CONCATENATE(A4, " ", B4)</f>
        <v>Jacob  Moorhead</v>
      </c>
      <c r="D4" s="19" t="s">
        <v>657</v>
      </c>
      <c r="E4" s="19" t="s">
        <v>933</v>
      </c>
      <c r="F4" s="19">
        <v>16202925</v>
      </c>
      <c r="G4" s="19" t="s">
        <v>27</v>
      </c>
      <c r="H4" s="19" t="s">
        <v>660</v>
      </c>
      <c r="I4" s="19" t="s">
        <v>661</v>
      </c>
      <c r="J4" s="19" t="s">
        <v>808</v>
      </c>
      <c r="K4" s="21">
        <v>760665662</v>
      </c>
      <c r="L4" s="19" t="s">
        <v>667</v>
      </c>
      <c r="M4" s="19">
        <f>DATEDIF(J4,L4,"M")</f>
        <v>2</v>
      </c>
      <c r="N4" s="19" t="s">
        <v>956</v>
      </c>
      <c r="O4" s="19" t="s">
        <v>957</v>
      </c>
      <c r="P4" s="20">
        <v>11</v>
      </c>
      <c r="Q4" s="22">
        <v>0.37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>
        <v>4.07</v>
      </c>
      <c r="BF4" s="19" t="s">
        <v>962</v>
      </c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</row>
    <row r="5" spans="1:94" s="23" customFormat="1" x14ac:dyDescent="0.25">
      <c r="A5" s="19" t="s">
        <v>207</v>
      </c>
      <c r="B5" s="19" t="s">
        <v>208</v>
      </c>
      <c r="C5" s="19" t="str">
        <f>CONCATENATE(A5, " ", B5)</f>
        <v>Jean Harrell</v>
      </c>
      <c r="D5" s="19" t="s">
        <v>657</v>
      </c>
      <c r="E5" s="19" t="s">
        <v>933</v>
      </c>
      <c r="F5" s="19">
        <v>16202925</v>
      </c>
      <c r="G5" s="19" t="s">
        <v>27</v>
      </c>
      <c r="H5" s="19" t="s">
        <v>660</v>
      </c>
      <c r="I5" s="19" t="s">
        <v>661</v>
      </c>
      <c r="J5" s="19" t="s">
        <v>808</v>
      </c>
      <c r="K5" s="21">
        <v>640676632</v>
      </c>
      <c r="L5" s="19" t="s">
        <v>667</v>
      </c>
      <c r="M5" s="19">
        <f>DATEDIF(J5,L5,"M")</f>
        <v>2</v>
      </c>
      <c r="N5" s="19" t="s">
        <v>956</v>
      </c>
      <c r="O5" s="19" t="s">
        <v>957</v>
      </c>
      <c r="P5" s="20">
        <v>11</v>
      </c>
      <c r="Q5" s="22">
        <v>0.37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>
        <v>4.07</v>
      </c>
      <c r="BF5" s="19" t="s">
        <v>962</v>
      </c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</row>
    <row r="6" spans="1:94" x14ac:dyDescent="0.25">
      <c r="A6" s="19" t="s">
        <v>318</v>
      </c>
      <c r="B6" s="19" t="s">
        <v>319</v>
      </c>
      <c r="C6" s="19" t="str">
        <f>CONCATENATE(A6, " ", B6)</f>
        <v>Maria VonNordeck</v>
      </c>
      <c r="D6" s="19" t="s">
        <v>657</v>
      </c>
      <c r="E6" s="19" t="s">
        <v>933</v>
      </c>
      <c r="F6" s="19">
        <v>16202925</v>
      </c>
      <c r="G6" s="19" t="s">
        <v>27</v>
      </c>
      <c r="H6" s="19" t="s">
        <v>660</v>
      </c>
      <c r="I6" s="19" t="s">
        <v>661</v>
      </c>
      <c r="J6" s="19" t="s">
        <v>930</v>
      </c>
      <c r="K6" s="21">
        <v>795235089</v>
      </c>
      <c r="L6" s="19" t="s">
        <v>210</v>
      </c>
      <c r="M6" s="19">
        <f>DATEDIF(J6,L6,"M")</f>
        <v>2</v>
      </c>
      <c r="N6" s="19" t="s">
        <v>956</v>
      </c>
      <c r="O6" s="19" t="s">
        <v>957</v>
      </c>
      <c r="P6" s="20">
        <v>11</v>
      </c>
      <c r="Q6" s="22">
        <v>0.37</v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>
        <v>4.07</v>
      </c>
      <c r="BF6" s="19" t="s">
        <v>962</v>
      </c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</row>
    <row r="7" spans="1:94" x14ac:dyDescent="0.25">
      <c r="A7" s="19" t="s">
        <v>144</v>
      </c>
      <c r="B7" s="19" t="s">
        <v>145</v>
      </c>
      <c r="C7" s="19" t="str">
        <f>CONCATENATE(A7, " ", B7)</f>
        <v>Carl Pine</v>
      </c>
      <c r="D7" s="19" t="s">
        <v>655</v>
      </c>
      <c r="E7" s="19" t="s">
        <v>940</v>
      </c>
      <c r="F7" s="19" t="s">
        <v>951</v>
      </c>
      <c r="G7" s="19" t="s">
        <v>48</v>
      </c>
      <c r="H7" s="19" t="s">
        <v>669</v>
      </c>
      <c r="I7" s="19" t="s">
        <v>670</v>
      </c>
      <c r="J7" s="19" t="s">
        <v>731</v>
      </c>
      <c r="K7" s="21">
        <v>328251776</v>
      </c>
      <c r="L7" s="19" t="s">
        <v>667</v>
      </c>
      <c r="M7" s="19">
        <f>DATEDIF(J7,L7,"M")</f>
        <v>4</v>
      </c>
      <c r="N7" s="19" t="s">
        <v>956</v>
      </c>
      <c r="O7" s="19" t="s">
        <v>957</v>
      </c>
      <c r="P7" s="20">
        <v>46</v>
      </c>
      <c r="Q7" s="22">
        <v>0.32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>
        <v>14.72</v>
      </c>
      <c r="BF7" s="19" t="s">
        <v>961</v>
      </c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</row>
    <row r="8" spans="1:94" x14ac:dyDescent="0.25">
      <c r="A8" s="19" t="s">
        <v>395</v>
      </c>
      <c r="B8" s="19" t="s">
        <v>396</v>
      </c>
      <c r="C8" s="19" t="str">
        <f>CONCATENATE(A8, " ", B8)</f>
        <v>Elizabeth Zane</v>
      </c>
      <c r="D8" s="19" t="s">
        <v>702</v>
      </c>
      <c r="E8" s="19" t="s">
        <v>936</v>
      </c>
      <c r="F8" s="19">
        <v>8814784</v>
      </c>
      <c r="G8" s="19" t="s">
        <v>87</v>
      </c>
      <c r="H8" s="19" t="s">
        <v>669</v>
      </c>
      <c r="I8" s="19" t="s">
        <v>670</v>
      </c>
      <c r="J8" s="19" t="s">
        <v>704</v>
      </c>
      <c r="K8" s="21">
        <v>341203822</v>
      </c>
      <c r="L8" s="19" t="s">
        <v>667</v>
      </c>
      <c r="M8" s="19">
        <f>DATEDIF(J8,L8,"M")</f>
        <v>5</v>
      </c>
      <c r="N8" s="19" t="s">
        <v>956</v>
      </c>
      <c r="O8" s="19" t="s">
        <v>957</v>
      </c>
      <c r="P8" s="20">
        <v>25</v>
      </c>
      <c r="Q8" s="22">
        <v>0.24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>
        <v>6</v>
      </c>
      <c r="BF8" s="19" t="s">
        <v>960</v>
      </c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</row>
    <row r="9" spans="1:94" x14ac:dyDescent="0.25">
      <c r="A9" s="19" t="s">
        <v>383</v>
      </c>
      <c r="B9" s="19" t="s">
        <v>384</v>
      </c>
      <c r="C9" s="19" t="str">
        <f>CONCATENATE(A9, " ", B9)</f>
        <v>Monica  Cornelio</v>
      </c>
      <c r="D9" s="19" t="s">
        <v>746</v>
      </c>
      <c r="E9" s="19" t="s">
        <v>939</v>
      </c>
      <c r="F9" s="19">
        <v>21421111</v>
      </c>
      <c r="G9" s="19" t="s">
        <v>387</v>
      </c>
      <c r="H9" s="19" t="s">
        <v>669</v>
      </c>
      <c r="I9" s="19" t="s">
        <v>670</v>
      </c>
      <c r="J9" s="19" t="s">
        <v>704</v>
      </c>
      <c r="K9" s="21">
        <v>109514918</v>
      </c>
      <c r="L9" s="19" t="s">
        <v>667</v>
      </c>
      <c r="M9" s="19">
        <f>DATEDIF(J9,L9,"M")</f>
        <v>5</v>
      </c>
      <c r="N9" s="19" t="s">
        <v>956</v>
      </c>
      <c r="O9" s="19" t="s">
        <v>957</v>
      </c>
      <c r="P9" s="20">
        <v>50</v>
      </c>
      <c r="Q9" s="22">
        <v>0.24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>
        <v>12</v>
      </c>
      <c r="BF9" s="19" t="s">
        <v>960</v>
      </c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</row>
    <row r="10" spans="1:94" x14ac:dyDescent="0.25">
      <c r="A10" s="19" t="s">
        <v>207</v>
      </c>
      <c r="B10" s="19" t="s">
        <v>208</v>
      </c>
      <c r="C10" s="19" t="str">
        <f>CONCATENATE(A10, " ", B10)</f>
        <v>Jean Harrell</v>
      </c>
      <c r="D10" s="19" t="s">
        <v>657</v>
      </c>
      <c r="E10" s="19" t="s">
        <v>933</v>
      </c>
      <c r="F10" s="19">
        <v>16202925</v>
      </c>
      <c r="G10" s="19" t="s">
        <v>48</v>
      </c>
      <c r="H10" s="19" t="s">
        <v>669</v>
      </c>
      <c r="I10" s="19" t="s">
        <v>670</v>
      </c>
      <c r="J10" s="19" t="s">
        <v>675</v>
      </c>
      <c r="K10" s="21">
        <v>384431357</v>
      </c>
      <c r="L10" s="19" t="s">
        <v>210</v>
      </c>
      <c r="M10" s="19">
        <f>DATEDIF(J10,L10,"M")</f>
        <v>5</v>
      </c>
      <c r="N10" s="19" t="s">
        <v>956</v>
      </c>
      <c r="O10" s="19" t="s">
        <v>957</v>
      </c>
      <c r="P10" s="20">
        <v>25</v>
      </c>
      <c r="Q10" s="22">
        <v>0.32</v>
      </c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>
        <v>8</v>
      </c>
      <c r="BF10" s="19" t="s">
        <v>961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</row>
    <row r="11" spans="1:94" x14ac:dyDescent="0.25">
      <c r="A11" s="19" t="s">
        <v>395</v>
      </c>
      <c r="B11" s="19" t="s">
        <v>396</v>
      </c>
      <c r="C11" s="19" t="str">
        <f>CONCATENATE(A11, " ", B11)</f>
        <v>Elizabeth Zane</v>
      </c>
      <c r="D11" s="19" t="s">
        <v>702</v>
      </c>
      <c r="E11" s="19" t="s">
        <v>936</v>
      </c>
      <c r="F11" s="19">
        <v>8814784</v>
      </c>
      <c r="G11" s="19" t="s">
        <v>27</v>
      </c>
      <c r="H11" s="19" t="s">
        <v>660</v>
      </c>
      <c r="I11" s="19" t="s">
        <v>661</v>
      </c>
      <c r="J11" s="19" t="s">
        <v>704</v>
      </c>
      <c r="K11" s="21">
        <v>260311117</v>
      </c>
      <c r="L11" s="19" t="s">
        <v>667</v>
      </c>
      <c r="M11" s="19">
        <f>DATEDIF(J11,L11,"M")</f>
        <v>5</v>
      </c>
      <c r="N11" s="19" t="s">
        <v>956</v>
      </c>
      <c r="O11" s="19" t="s">
        <v>957</v>
      </c>
      <c r="P11" s="20">
        <v>11</v>
      </c>
      <c r="Q11" s="22">
        <v>0.37</v>
      </c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>
        <v>4.07</v>
      </c>
      <c r="BF11" s="19" t="s">
        <v>962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</row>
    <row r="12" spans="1:94" x14ac:dyDescent="0.25">
      <c r="A12" s="19" t="s">
        <v>137</v>
      </c>
      <c r="B12" s="19" t="s">
        <v>138</v>
      </c>
      <c r="C12" s="19" t="str">
        <f>CONCATENATE(A12, " ", B12)</f>
        <v>Kristen Facchini</v>
      </c>
      <c r="D12" s="19" t="s">
        <v>702</v>
      </c>
      <c r="E12" s="19" t="s">
        <v>936</v>
      </c>
      <c r="F12" s="19">
        <v>8814784</v>
      </c>
      <c r="G12" s="19" t="s">
        <v>62</v>
      </c>
      <c r="H12" s="19" t="s">
        <v>669</v>
      </c>
      <c r="I12" s="19" t="s">
        <v>670</v>
      </c>
      <c r="J12" s="19" t="s">
        <v>675</v>
      </c>
      <c r="K12" s="21">
        <v>692950875</v>
      </c>
      <c r="L12" s="19" t="s">
        <v>667</v>
      </c>
      <c r="M12" s="19">
        <f>DATEDIF(J12,L12,"M")</f>
        <v>6</v>
      </c>
      <c r="N12" s="19" t="s">
        <v>956</v>
      </c>
      <c r="O12" s="19" t="s">
        <v>957</v>
      </c>
      <c r="P12" s="20">
        <v>40</v>
      </c>
      <c r="Q12" s="22">
        <v>0.24</v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>
        <v>9.6</v>
      </c>
      <c r="BF12" s="19" t="s">
        <v>960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</row>
    <row r="13" spans="1:94" x14ac:dyDescent="0.25">
      <c r="A13" s="19" t="s">
        <v>434</v>
      </c>
      <c r="B13" s="19" t="s">
        <v>435</v>
      </c>
      <c r="C13" s="19" t="str">
        <f>CONCATENATE(A13, " ", B13)</f>
        <v>Sharrod Walker</v>
      </c>
      <c r="D13" s="19" t="s">
        <v>657</v>
      </c>
      <c r="E13" s="19" t="s">
        <v>933</v>
      </c>
      <c r="F13" s="19">
        <v>16202925</v>
      </c>
      <c r="G13" s="19" t="s">
        <v>48</v>
      </c>
      <c r="H13" s="19" t="s">
        <v>669</v>
      </c>
      <c r="I13" s="19" t="s">
        <v>670</v>
      </c>
      <c r="J13" s="19" t="s">
        <v>675</v>
      </c>
      <c r="K13" s="21">
        <v>848578973</v>
      </c>
      <c r="L13" s="19" t="s">
        <v>667</v>
      </c>
      <c r="M13" s="19">
        <f>DATEDIF(J13,L13,"M")</f>
        <v>6</v>
      </c>
      <c r="N13" s="19" t="s">
        <v>956</v>
      </c>
      <c r="O13" s="19" t="s">
        <v>957</v>
      </c>
      <c r="P13" s="20">
        <v>25</v>
      </c>
      <c r="Q13" s="22">
        <v>0.32</v>
      </c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>
        <v>8</v>
      </c>
      <c r="BF13" s="19" t="s">
        <v>961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</row>
    <row r="14" spans="1:94" x14ac:dyDescent="0.25">
      <c r="A14" s="19" t="s">
        <v>283</v>
      </c>
      <c r="B14" s="19" t="s">
        <v>284</v>
      </c>
      <c r="C14" s="19" t="str">
        <f>CONCATENATE(A14, " ", B14)</f>
        <v>Margaret Stoner</v>
      </c>
      <c r="D14" s="19" t="s">
        <v>655</v>
      </c>
      <c r="E14" s="19" t="s">
        <v>940</v>
      </c>
      <c r="F14" s="19" t="s">
        <v>951</v>
      </c>
      <c r="G14" s="19" t="s">
        <v>48</v>
      </c>
      <c r="H14" s="19" t="s">
        <v>669</v>
      </c>
      <c r="I14" s="19" t="s">
        <v>670</v>
      </c>
      <c r="J14" s="19" t="s">
        <v>675</v>
      </c>
      <c r="K14" s="21">
        <v>644484680</v>
      </c>
      <c r="L14" s="19" t="s">
        <v>667</v>
      </c>
      <c r="M14" s="19">
        <f>DATEDIF(J14,L14,"M")</f>
        <v>6</v>
      </c>
      <c r="N14" s="19" t="s">
        <v>956</v>
      </c>
      <c r="O14" s="19" t="s">
        <v>957</v>
      </c>
      <c r="P14" s="20">
        <v>25</v>
      </c>
      <c r="Q14" s="22">
        <v>0.32</v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>
        <v>8</v>
      </c>
      <c r="BF14" s="19" t="s">
        <v>961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</row>
    <row r="15" spans="1:94" x14ac:dyDescent="0.25">
      <c r="A15" s="19" t="s">
        <v>535</v>
      </c>
      <c r="B15" s="19" t="s">
        <v>536</v>
      </c>
      <c r="C15" s="19" t="str">
        <f>CONCATENATE(A15, " ", B15)</f>
        <v>Debbie Rice</v>
      </c>
      <c r="D15" s="19" t="s">
        <v>657</v>
      </c>
      <c r="E15" s="19" t="s">
        <v>933</v>
      </c>
      <c r="F15" s="19">
        <v>16202925</v>
      </c>
      <c r="G15" s="19" t="s">
        <v>27</v>
      </c>
      <c r="H15" s="19" t="s">
        <v>660</v>
      </c>
      <c r="I15" s="19" t="s">
        <v>661</v>
      </c>
      <c r="J15" s="19" t="s">
        <v>675</v>
      </c>
      <c r="K15" s="21">
        <v>526763175</v>
      </c>
      <c r="L15" s="19" t="s">
        <v>667</v>
      </c>
      <c r="M15" s="19">
        <f>DATEDIF(J15,L15,"M")</f>
        <v>6</v>
      </c>
      <c r="N15" s="19" t="s">
        <v>956</v>
      </c>
      <c r="O15" s="19" t="s">
        <v>957</v>
      </c>
      <c r="P15" s="20">
        <v>11</v>
      </c>
      <c r="Q15" s="22">
        <v>0.37</v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>
        <v>4.07</v>
      </c>
      <c r="BF15" s="19" t="s">
        <v>962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</row>
    <row r="16" spans="1:94" x14ac:dyDescent="0.25">
      <c r="A16" s="19" t="s">
        <v>137</v>
      </c>
      <c r="B16" s="19" t="s">
        <v>138</v>
      </c>
      <c r="C16" s="19" t="str">
        <f>CONCATENATE(A16, " ", B16)</f>
        <v>Kristen Facchini</v>
      </c>
      <c r="D16" s="19" t="s">
        <v>702</v>
      </c>
      <c r="E16" s="19" t="s">
        <v>936</v>
      </c>
      <c r="F16" s="19">
        <v>8814784</v>
      </c>
      <c r="G16" s="19" t="s">
        <v>27</v>
      </c>
      <c r="H16" s="19" t="s">
        <v>660</v>
      </c>
      <c r="I16" s="19" t="s">
        <v>661</v>
      </c>
      <c r="J16" s="19" t="s">
        <v>675</v>
      </c>
      <c r="K16" s="21">
        <v>625104953</v>
      </c>
      <c r="L16" s="19" t="s">
        <v>667</v>
      </c>
      <c r="M16" s="19">
        <f>DATEDIF(J16,L16,"M")</f>
        <v>6</v>
      </c>
      <c r="N16" s="19" t="s">
        <v>956</v>
      </c>
      <c r="O16" s="19" t="s">
        <v>957</v>
      </c>
      <c r="P16" s="20">
        <v>11</v>
      </c>
      <c r="Q16" s="22">
        <v>0.37</v>
      </c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>
        <v>4.07</v>
      </c>
      <c r="BF16" s="19" t="s">
        <v>962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</row>
    <row r="17" spans="1:94" x14ac:dyDescent="0.25">
      <c r="A17" s="19" t="s">
        <v>548</v>
      </c>
      <c r="B17" s="19" t="s">
        <v>549</v>
      </c>
      <c r="C17" s="19" t="str">
        <f>CONCATENATE(A17, " ", B17)</f>
        <v>Karla Cutting</v>
      </c>
      <c r="D17" s="19" t="s">
        <v>702</v>
      </c>
      <c r="E17" s="19" t="s">
        <v>936</v>
      </c>
      <c r="F17" s="19">
        <v>8814784</v>
      </c>
      <c r="G17" s="19" t="s">
        <v>87</v>
      </c>
      <c r="H17" s="19" t="s">
        <v>669</v>
      </c>
      <c r="I17" s="19" t="s">
        <v>670</v>
      </c>
      <c r="J17" s="19" t="s">
        <v>710</v>
      </c>
      <c r="K17" s="21">
        <v>783299133</v>
      </c>
      <c r="L17" s="19" t="s">
        <v>667</v>
      </c>
      <c r="M17" s="19">
        <f>DATEDIF(J17,L17,"M")</f>
        <v>7</v>
      </c>
      <c r="N17" s="19" t="s">
        <v>956</v>
      </c>
      <c r="O17" s="19" t="s">
        <v>958</v>
      </c>
      <c r="P17" s="20">
        <v>25</v>
      </c>
      <c r="Q17" s="22">
        <v>0.24</v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>
        <v>6</v>
      </c>
      <c r="BF17" s="19" t="s">
        <v>960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</row>
    <row r="18" spans="1:94" x14ac:dyDescent="0.25">
      <c r="A18" s="19" t="s">
        <v>442</v>
      </c>
      <c r="B18" s="19" t="s">
        <v>443</v>
      </c>
      <c r="C18" s="19" t="str">
        <f>CONCATENATE(A18, " ", B18)</f>
        <v>William  Custer</v>
      </c>
      <c r="D18" s="19" t="s">
        <v>657</v>
      </c>
      <c r="E18" s="19" t="s">
        <v>933</v>
      </c>
      <c r="F18" s="19">
        <v>16202925</v>
      </c>
      <c r="G18" s="19" t="s">
        <v>48</v>
      </c>
      <c r="H18" s="19" t="s">
        <v>669</v>
      </c>
      <c r="I18" s="19" t="s">
        <v>670</v>
      </c>
      <c r="J18" s="19" t="s">
        <v>710</v>
      </c>
      <c r="K18" s="21">
        <v>571135014</v>
      </c>
      <c r="L18" s="19" t="s">
        <v>667</v>
      </c>
      <c r="M18" s="19">
        <f>DATEDIF(J18,L18,"M")</f>
        <v>7</v>
      </c>
      <c r="N18" s="19" t="s">
        <v>956</v>
      </c>
      <c r="O18" s="19" t="s">
        <v>958</v>
      </c>
      <c r="P18" s="20">
        <v>25</v>
      </c>
      <c r="Q18" s="22">
        <v>0.32</v>
      </c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>
        <v>8</v>
      </c>
      <c r="BF18" s="19" t="s">
        <v>961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</row>
    <row r="19" spans="1:94" x14ac:dyDescent="0.25">
      <c r="A19" s="19" t="s">
        <v>328</v>
      </c>
      <c r="B19" s="19" t="s">
        <v>329</v>
      </c>
      <c r="C19" s="19" t="str">
        <f>CONCATENATE(A19, " ", B19)</f>
        <v>Edlawit Tesfaye</v>
      </c>
      <c r="D19" s="19" t="s">
        <v>657</v>
      </c>
      <c r="E19" s="19" t="s">
        <v>933</v>
      </c>
      <c r="F19" s="19">
        <v>16202925</v>
      </c>
      <c r="G19" s="19" t="s">
        <v>48</v>
      </c>
      <c r="H19" s="19" t="s">
        <v>669</v>
      </c>
      <c r="I19" s="19" t="s">
        <v>670</v>
      </c>
      <c r="J19" s="19" t="s">
        <v>710</v>
      </c>
      <c r="K19" s="21">
        <v>298408887</v>
      </c>
      <c r="L19" s="19" t="s">
        <v>667</v>
      </c>
      <c r="M19" s="19">
        <f>DATEDIF(J19,L19,"M")</f>
        <v>7</v>
      </c>
      <c r="N19" s="19" t="s">
        <v>956</v>
      </c>
      <c r="O19" s="19" t="s">
        <v>958</v>
      </c>
      <c r="P19" s="20">
        <v>30</v>
      </c>
      <c r="Q19" s="22">
        <v>0.32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>
        <v>9.6</v>
      </c>
      <c r="BF19" s="19" t="s">
        <v>961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</row>
    <row r="20" spans="1:94" x14ac:dyDescent="0.25">
      <c r="A20" s="19" t="s">
        <v>509</v>
      </c>
      <c r="B20" s="19" t="s">
        <v>260</v>
      </c>
      <c r="C20" s="19" t="str">
        <f>CONCATENATE(A20, " ", B20)</f>
        <v>Gary Gaines</v>
      </c>
      <c r="D20" s="19" t="s">
        <v>655</v>
      </c>
      <c r="E20" s="19" t="s">
        <v>940</v>
      </c>
      <c r="F20" s="19" t="s">
        <v>951</v>
      </c>
      <c r="G20" s="19" t="s">
        <v>48</v>
      </c>
      <c r="H20" s="19" t="s">
        <v>669</v>
      </c>
      <c r="I20" s="19" t="s">
        <v>670</v>
      </c>
      <c r="J20" s="19" t="s">
        <v>710</v>
      </c>
      <c r="K20" s="21">
        <v>437691397</v>
      </c>
      <c r="L20" s="19" t="s">
        <v>667</v>
      </c>
      <c r="M20" s="19">
        <f>DATEDIF(J20,L20,"M")</f>
        <v>7</v>
      </c>
      <c r="N20" s="19" t="s">
        <v>956</v>
      </c>
      <c r="O20" s="19" t="s">
        <v>958</v>
      </c>
      <c r="P20" s="20">
        <v>50</v>
      </c>
      <c r="Q20" s="22">
        <v>0.32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>
        <v>16</v>
      </c>
      <c r="BF20" s="19" t="s">
        <v>961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</row>
    <row r="21" spans="1:94" x14ac:dyDescent="0.25">
      <c r="A21" s="19" t="s">
        <v>426</v>
      </c>
      <c r="B21" s="19" t="s">
        <v>427</v>
      </c>
      <c r="C21" s="19" t="str">
        <f>CONCATENATE(A21, " ", B21)</f>
        <v>Michelle Barnowski</v>
      </c>
      <c r="D21" s="19" t="s">
        <v>657</v>
      </c>
      <c r="E21" s="19" t="s">
        <v>933</v>
      </c>
      <c r="F21" s="19">
        <v>16202925</v>
      </c>
      <c r="G21" s="19" t="s">
        <v>48</v>
      </c>
      <c r="H21" s="19" t="s">
        <v>669</v>
      </c>
      <c r="I21" s="19" t="s">
        <v>670</v>
      </c>
      <c r="J21" s="19" t="s">
        <v>682</v>
      </c>
      <c r="K21" s="21">
        <v>760186562</v>
      </c>
      <c r="L21" s="19" t="s">
        <v>667</v>
      </c>
      <c r="M21" s="19">
        <f>DATEDIF(J21,L21,"M")</f>
        <v>8</v>
      </c>
      <c r="N21" s="19" t="s">
        <v>956</v>
      </c>
      <c r="O21" s="19" t="s">
        <v>958</v>
      </c>
      <c r="P21" s="20">
        <v>50</v>
      </c>
      <c r="Q21" s="22">
        <v>0.32</v>
      </c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>
        <v>16</v>
      </c>
      <c r="BF21" s="19" t="s">
        <v>961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</row>
    <row r="22" spans="1:94" s="19" customFormat="1" x14ac:dyDescent="0.25">
      <c r="A22" s="19" t="s">
        <v>411</v>
      </c>
      <c r="B22" s="19" t="s">
        <v>412</v>
      </c>
      <c r="C22" s="19" t="str">
        <f>CONCATENATE(A22, " ", B22)</f>
        <v>Jon Charles Beckstrand</v>
      </c>
      <c r="D22" s="19" t="s">
        <v>657</v>
      </c>
      <c r="E22" s="19" t="s">
        <v>933</v>
      </c>
      <c r="F22" s="19">
        <v>16202925</v>
      </c>
      <c r="G22" s="19" t="s">
        <v>48</v>
      </c>
      <c r="H22" s="19" t="s">
        <v>669</v>
      </c>
      <c r="I22" s="19" t="s">
        <v>670</v>
      </c>
      <c r="J22" s="19" t="s">
        <v>682</v>
      </c>
      <c r="K22" s="21">
        <v>108620713</v>
      </c>
      <c r="L22" s="19" t="s">
        <v>667</v>
      </c>
      <c r="M22" s="19">
        <f>DATEDIF(J22,L22,"M")</f>
        <v>8</v>
      </c>
      <c r="N22" s="19" t="s">
        <v>956</v>
      </c>
      <c r="O22" s="19" t="s">
        <v>958</v>
      </c>
      <c r="P22" s="20">
        <v>92</v>
      </c>
      <c r="Q22" s="22">
        <v>0.32</v>
      </c>
      <c r="BE22" s="19">
        <v>29.44</v>
      </c>
      <c r="BF22" s="19" t="s">
        <v>961</v>
      </c>
      <c r="CO22"/>
      <c r="CP22"/>
    </row>
    <row r="23" spans="1:94" x14ac:dyDescent="0.25">
      <c r="A23" s="19" t="s">
        <v>347</v>
      </c>
      <c r="B23" s="19" t="s">
        <v>348</v>
      </c>
      <c r="C23" s="19" t="str">
        <f>CONCATENATE(A23, " ", B23)</f>
        <v>Fawn Taylor</v>
      </c>
      <c r="D23" s="19" t="s">
        <v>657</v>
      </c>
      <c r="E23" s="19" t="s">
        <v>933</v>
      </c>
      <c r="F23" s="19">
        <v>16202925</v>
      </c>
      <c r="G23" s="19" t="s">
        <v>48</v>
      </c>
      <c r="H23" s="19" t="s">
        <v>669</v>
      </c>
      <c r="I23" s="19" t="s">
        <v>670</v>
      </c>
      <c r="J23" s="19" t="s">
        <v>682</v>
      </c>
      <c r="K23" s="21">
        <v>128182846</v>
      </c>
      <c r="L23" s="19" t="s">
        <v>667</v>
      </c>
      <c r="M23" s="19">
        <f>DATEDIF(J23,L23,"M")</f>
        <v>8</v>
      </c>
      <c r="N23" s="19" t="s">
        <v>956</v>
      </c>
      <c r="O23" s="19" t="s">
        <v>958</v>
      </c>
      <c r="P23" s="20">
        <v>30</v>
      </c>
      <c r="Q23" s="22">
        <v>0.32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>
        <v>9.6</v>
      </c>
      <c r="BF23" s="19" t="s">
        <v>961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</row>
    <row r="24" spans="1:94" x14ac:dyDescent="0.25">
      <c r="A24" s="19" t="s">
        <v>539</v>
      </c>
      <c r="B24" s="19" t="s">
        <v>540</v>
      </c>
      <c r="C24" s="19" t="str">
        <f>CONCATENATE(A24, " ", B24)</f>
        <v>Tyler Fortney</v>
      </c>
      <c r="D24" s="19" t="s">
        <v>657</v>
      </c>
      <c r="E24" s="19" t="s">
        <v>933</v>
      </c>
      <c r="F24" s="19">
        <v>16202925</v>
      </c>
      <c r="G24" s="19" t="s">
        <v>48</v>
      </c>
      <c r="H24" s="19" t="s">
        <v>669</v>
      </c>
      <c r="I24" s="19" t="s">
        <v>670</v>
      </c>
      <c r="J24" s="19" t="s">
        <v>682</v>
      </c>
      <c r="K24" s="21">
        <v>498487989</v>
      </c>
      <c r="L24" s="19" t="s">
        <v>667</v>
      </c>
      <c r="M24" s="19">
        <f>DATEDIF(J24,L24,"M")</f>
        <v>8</v>
      </c>
      <c r="N24" s="19" t="s">
        <v>956</v>
      </c>
      <c r="O24" s="19" t="s">
        <v>958</v>
      </c>
      <c r="P24" s="20">
        <v>25</v>
      </c>
      <c r="Q24" s="22">
        <v>0.32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>
        <v>8</v>
      </c>
      <c r="BF24" s="19" t="s">
        <v>961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</row>
    <row r="25" spans="1:94" s="19" customFormat="1" x14ac:dyDescent="0.25">
      <c r="A25" s="19" t="s">
        <v>168</v>
      </c>
      <c r="B25" s="19" t="s">
        <v>169</v>
      </c>
      <c r="C25" s="19" t="str">
        <f>CONCATENATE(A25, " ", B25)</f>
        <v>Amberly Litchfield</v>
      </c>
      <c r="D25" s="19" t="s">
        <v>657</v>
      </c>
      <c r="E25" s="19" t="s">
        <v>933</v>
      </c>
      <c r="F25" s="19">
        <v>16202925</v>
      </c>
      <c r="G25" s="19" t="s">
        <v>48</v>
      </c>
      <c r="H25" s="19" t="s">
        <v>669</v>
      </c>
      <c r="I25" s="19" t="s">
        <v>670</v>
      </c>
      <c r="J25" s="19" t="s">
        <v>682</v>
      </c>
      <c r="K25" s="21">
        <v>478183816</v>
      </c>
      <c r="L25" s="19" t="s">
        <v>667</v>
      </c>
      <c r="M25" s="19">
        <f>DATEDIF(J25,L25,"M")</f>
        <v>8</v>
      </c>
      <c r="N25" s="19" t="s">
        <v>956</v>
      </c>
      <c r="O25" s="19" t="s">
        <v>958</v>
      </c>
      <c r="P25" s="20">
        <v>25</v>
      </c>
      <c r="Q25" s="22">
        <v>0.32</v>
      </c>
      <c r="BE25" s="19">
        <v>8</v>
      </c>
      <c r="BF25" s="19" t="s">
        <v>961</v>
      </c>
    </row>
    <row r="26" spans="1:94" s="19" customFormat="1" x14ac:dyDescent="0.25">
      <c r="A26" s="19" t="s">
        <v>132</v>
      </c>
      <c r="B26" s="19" t="s">
        <v>133</v>
      </c>
      <c r="C26" s="19" t="str">
        <f>CONCATENATE(A26, " ", B26)</f>
        <v>Gene Gerzsenyi</v>
      </c>
      <c r="D26" s="19" t="s">
        <v>657</v>
      </c>
      <c r="E26" s="19" t="s">
        <v>933</v>
      </c>
      <c r="F26" s="19">
        <v>16202925</v>
      </c>
      <c r="G26" s="19" t="s">
        <v>48</v>
      </c>
      <c r="H26" s="19" t="s">
        <v>669</v>
      </c>
      <c r="I26" s="19" t="s">
        <v>670</v>
      </c>
      <c r="J26" s="19" t="s">
        <v>682</v>
      </c>
      <c r="K26" s="21">
        <v>877044360</v>
      </c>
      <c r="L26" s="19" t="s">
        <v>667</v>
      </c>
      <c r="M26" s="19">
        <f>DATEDIF(J26,L26,"M")</f>
        <v>8</v>
      </c>
      <c r="N26" s="19" t="s">
        <v>956</v>
      </c>
      <c r="O26" s="19" t="s">
        <v>958</v>
      </c>
      <c r="P26" s="20">
        <v>50</v>
      </c>
      <c r="Q26" s="22">
        <v>0.32</v>
      </c>
      <c r="BE26" s="19">
        <v>16</v>
      </c>
      <c r="BF26" s="19" t="s">
        <v>961</v>
      </c>
    </row>
    <row r="27" spans="1:94" s="19" customFormat="1" x14ac:dyDescent="0.25">
      <c r="A27" s="19" t="s">
        <v>79</v>
      </c>
      <c r="B27" s="19" t="s">
        <v>80</v>
      </c>
      <c r="C27" s="19" t="str">
        <f>CONCATENATE(A27, " ", B27)</f>
        <v>Dudley Hinegardner</v>
      </c>
      <c r="D27" s="19" t="s">
        <v>657</v>
      </c>
      <c r="E27" s="19" t="s">
        <v>933</v>
      </c>
      <c r="F27" s="19">
        <v>16202925</v>
      </c>
      <c r="G27" s="19" t="s">
        <v>48</v>
      </c>
      <c r="H27" s="19" t="s">
        <v>669</v>
      </c>
      <c r="I27" s="19" t="s">
        <v>670</v>
      </c>
      <c r="J27" s="19" t="s">
        <v>682</v>
      </c>
      <c r="K27" s="21">
        <v>699319353</v>
      </c>
      <c r="L27" s="19" t="s">
        <v>667</v>
      </c>
      <c r="M27" s="19">
        <f>DATEDIF(J27,L27,"M")</f>
        <v>8</v>
      </c>
      <c r="N27" s="19" t="s">
        <v>956</v>
      </c>
      <c r="O27" s="19" t="s">
        <v>958</v>
      </c>
      <c r="P27" s="20">
        <v>25</v>
      </c>
      <c r="Q27" s="22">
        <v>0.32</v>
      </c>
      <c r="BE27" s="19">
        <v>8</v>
      </c>
      <c r="BF27" s="19" t="s">
        <v>961</v>
      </c>
    </row>
    <row r="28" spans="1:94" s="23" customFormat="1" x14ac:dyDescent="0.25">
      <c r="A28" s="19" t="s">
        <v>220</v>
      </c>
      <c r="B28" s="19" t="s">
        <v>221</v>
      </c>
      <c r="C28" s="19" t="str">
        <f>CONCATENATE(A28, " ", B28)</f>
        <v>Tyrell Weaver</v>
      </c>
      <c r="D28" s="19" t="s">
        <v>657</v>
      </c>
      <c r="E28" s="19" t="s">
        <v>933</v>
      </c>
      <c r="F28" s="19">
        <v>16202925</v>
      </c>
      <c r="G28" s="19" t="s">
        <v>48</v>
      </c>
      <c r="H28" s="19" t="s">
        <v>669</v>
      </c>
      <c r="I28" s="19" t="s">
        <v>670</v>
      </c>
      <c r="J28" s="19" t="s">
        <v>707</v>
      </c>
      <c r="K28" s="21">
        <v>698731916</v>
      </c>
      <c r="L28" s="19" t="s">
        <v>210</v>
      </c>
      <c r="M28" s="19">
        <f>DATEDIF(J28,L28,"M")</f>
        <v>8</v>
      </c>
      <c r="N28" s="19" t="s">
        <v>956</v>
      </c>
      <c r="O28" s="19" t="s">
        <v>958</v>
      </c>
      <c r="P28" s="20">
        <v>25</v>
      </c>
      <c r="Q28" s="22">
        <v>0.32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>
        <v>8</v>
      </c>
      <c r="BF28" s="19" t="s">
        <v>961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</row>
    <row r="29" spans="1:94" s="19" customFormat="1" x14ac:dyDescent="0.25">
      <c r="A29" s="19" t="s">
        <v>411</v>
      </c>
      <c r="B29" s="19" t="s">
        <v>412</v>
      </c>
      <c r="C29" s="19" t="str">
        <f>CONCATENATE(A29, " ", B29)</f>
        <v>Jon Charles Beckstrand</v>
      </c>
      <c r="D29" s="19" t="s">
        <v>657</v>
      </c>
      <c r="E29" s="19" t="s">
        <v>933</v>
      </c>
      <c r="F29" s="19">
        <v>16202925</v>
      </c>
      <c r="G29" s="19" t="s">
        <v>27</v>
      </c>
      <c r="H29" s="19" t="s">
        <v>660</v>
      </c>
      <c r="I29" s="19" t="s">
        <v>661</v>
      </c>
      <c r="J29" s="19" t="s">
        <v>682</v>
      </c>
      <c r="K29" s="21">
        <v>750251718</v>
      </c>
      <c r="L29" s="19" t="s">
        <v>667</v>
      </c>
      <c r="M29" s="19">
        <f>DATEDIF(J29,L29,"M")</f>
        <v>8</v>
      </c>
      <c r="N29" s="19" t="s">
        <v>956</v>
      </c>
      <c r="O29" s="19" t="s">
        <v>958</v>
      </c>
      <c r="P29" s="20">
        <v>20</v>
      </c>
      <c r="Q29" s="22">
        <v>0.37</v>
      </c>
      <c r="BE29" s="19">
        <v>7.4</v>
      </c>
      <c r="BF29" s="19" t="s">
        <v>962</v>
      </c>
      <c r="CO29"/>
      <c r="CP29"/>
    </row>
    <row r="30" spans="1:94" s="19" customFormat="1" x14ac:dyDescent="0.25">
      <c r="A30" s="19" t="s">
        <v>307</v>
      </c>
      <c r="B30" s="19" t="s">
        <v>308</v>
      </c>
      <c r="C30" s="19" t="str">
        <f>CONCATENATE(A30, " ", B30)</f>
        <v>Melissa Mahaney</v>
      </c>
      <c r="D30" s="19" t="s">
        <v>657</v>
      </c>
      <c r="E30" s="19" t="s">
        <v>933</v>
      </c>
      <c r="F30" s="19">
        <v>16202925</v>
      </c>
      <c r="G30" s="19" t="s">
        <v>27</v>
      </c>
      <c r="H30" s="19" t="s">
        <v>660</v>
      </c>
      <c r="I30" s="19" t="s">
        <v>661</v>
      </c>
      <c r="J30" s="19" t="s">
        <v>682</v>
      </c>
      <c r="K30" s="21">
        <v>698193150</v>
      </c>
      <c r="L30" s="19" t="s">
        <v>667</v>
      </c>
      <c r="M30" s="19">
        <f>DATEDIF(J30,L30,"M")</f>
        <v>8</v>
      </c>
      <c r="N30" s="19" t="s">
        <v>956</v>
      </c>
      <c r="O30" s="19" t="s">
        <v>958</v>
      </c>
      <c r="P30" s="20">
        <v>11</v>
      </c>
      <c r="Q30" s="22">
        <v>0.37</v>
      </c>
      <c r="BE30" s="19">
        <v>4.07</v>
      </c>
      <c r="BF30" s="19" t="s">
        <v>962</v>
      </c>
    </row>
    <row r="31" spans="1:94" s="19" customFormat="1" x14ac:dyDescent="0.25">
      <c r="A31" s="19" t="s">
        <v>426</v>
      </c>
      <c r="B31" s="19" t="s">
        <v>572</v>
      </c>
      <c r="C31" s="19" t="str">
        <f>CONCATENATE(A31, " ", B31)</f>
        <v>Michelle Hunt</v>
      </c>
      <c r="D31" s="19" t="s">
        <v>702</v>
      </c>
      <c r="E31" s="19" t="s">
        <v>944</v>
      </c>
      <c r="F31" s="19">
        <v>18828278</v>
      </c>
      <c r="G31" s="19" t="s">
        <v>27</v>
      </c>
      <c r="H31" s="19" t="s">
        <v>660</v>
      </c>
      <c r="I31" s="19" t="s">
        <v>661</v>
      </c>
      <c r="J31" s="19" t="s">
        <v>682</v>
      </c>
      <c r="K31" s="21">
        <v>300310162</v>
      </c>
      <c r="L31" s="19" t="s">
        <v>667</v>
      </c>
      <c r="M31" s="19">
        <f>DATEDIF(J31,L31,"M")</f>
        <v>8</v>
      </c>
      <c r="N31" s="19" t="s">
        <v>956</v>
      </c>
      <c r="O31" s="19" t="s">
        <v>958</v>
      </c>
      <c r="P31" s="20">
        <v>15</v>
      </c>
      <c r="Q31" s="22">
        <v>0.37</v>
      </c>
      <c r="BE31" s="19">
        <v>5.55</v>
      </c>
      <c r="BF31" s="19" t="s">
        <v>962</v>
      </c>
    </row>
    <row r="32" spans="1:94" s="19" customFormat="1" x14ac:dyDescent="0.25">
      <c r="A32" s="19" t="s">
        <v>517</v>
      </c>
      <c r="B32" s="19" t="s">
        <v>518</v>
      </c>
      <c r="C32" s="19" t="str">
        <f>CONCATENATE(A32, " ", B32)</f>
        <v>Scott Crump</v>
      </c>
      <c r="D32" s="19" t="s">
        <v>702</v>
      </c>
      <c r="E32" s="19" t="s">
        <v>943</v>
      </c>
      <c r="F32" s="19">
        <v>8244481</v>
      </c>
      <c r="G32" s="19" t="s">
        <v>27</v>
      </c>
      <c r="H32" s="19" t="s">
        <v>660</v>
      </c>
      <c r="I32" s="19" t="s">
        <v>661</v>
      </c>
      <c r="J32" s="19" t="s">
        <v>682</v>
      </c>
      <c r="K32" s="21">
        <v>990327518</v>
      </c>
      <c r="L32" s="19" t="s">
        <v>667</v>
      </c>
      <c r="M32" s="19">
        <f>DATEDIF(J32,L32,"M")</f>
        <v>8</v>
      </c>
      <c r="N32" s="19" t="s">
        <v>956</v>
      </c>
      <c r="O32" s="19" t="s">
        <v>958</v>
      </c>
      <c r="P32" s="20">
        <v>15</v>
      </c>
      <c r="Q32" s="22">
        <v>0.37</v>
      </c>
      <c r="BE32" s="19">
        <v>5.55</v>
      </c>
      <c r="BF32" s="19" t="s">
        <v>962</v>
      </c>
    </row>
    <row r="33" spans="1:94" s="19" customFormat="1" x14ac:dyDescent="0.25">
      <c r="A33" s="19" t="s">
        <v>391</v>
      </c>
      <c r="B33" s="19" t="s">
        <v>392</v>
      </c>
      <c r="C33" s="19" t="str">
        <f>CONCATENATE(A33, " ", B33)</f>
        <v>Susan  Belden</v>
      </c>
      <c r="D33" s="19" t="s">
        <v>657</v>
      </c>
      <c r="E33" s="19" t="s">
        <v>933</v>
      </c>
      <c r="F33" s="19">
        <v>16202925</v>
      </c>
      <c r="G33" s="19" t="s">
        <v>48</v>
      </c>
      <c r="H33" s="19" t="s">
        <v>669</v>
      </c>
      <c r="I33" s="19" t="s">
        <v>670</v>
      </c>
      <c r="J33" s="19" t="s">
        <v>707</v>
      </c>
      <c r="K33" s="21">
        <v>998017756</v>
      </c>
      <c r="L33" s="19" t="s">
        <v>667</v>
      </c>
      <c r="M33" s="19">
        <f>DATEDIF(J33,L33,"M")</f>
        <v>9</v>
      </c>
      <c r="N33" s="19" t="s">
        <v>956</v>
      </c>
      <c r="O33" s="19" t="s">
        <v>958</v>
      </c>
      <c r="P33" s="20">
        <v>25</v>
      </c>
      <c r="Q33" s="22">
        <v>0.32</v>
      </c>
      <c r="BE33" s="19">
        <v>8</v>
      </c>
      <c r="BF33" s="19" t="s">
        <v>961</v>
      </c>
      <c r="CO33"/>
      <c r="CP33"/>
    </row>
    <row r="34" spans="1:94" s="19" customFormat="1" x14ac:dyDescent="0.25">
      <c r="A34" s="19" t="s">
        <v>220</v>
      </c>
      <c r="B34" s="19" t="s">
        <v>221</v>
      </c>
      <c r="C34" s="19" t="str">
        <f>CONCATENATE(A34, " ", B34)</f>
        <v>Tyrell Weaver</v>
      </c>
      <c r="D34" s="19" t="s">
        <v>657</v>
      </c>
      <c r="E34" s="19" t="s">
        <v>933</v>
      </c>
      <c r="F34" s="19">
        <v>16202925</v>
      </c>
      <c r="G34" s="19" t="s">
        <v>48</v>
      </c>
      <c r="H34" s="19" t="s">
        <v>669</v>
      </c>
      <c r="I34" s="19" t="s">
        <v>670</v>
      </c>
      <c r="J34" s="19" t="s">
        <v>707</v>
      </c>
      <c r="K34" s="21">
        <v>698731916</v>
      </c>
      <c r="L34" s="19" t="s">
        <v>667</v>
      </c>
      <c r="M34" s="19">
        <f>DATEDIF(J34,L34,"M")</f>
        <v>9</v>
      </c>
      <c r="N34" s="19" t="s">
        <v>956</v>
      </c>
      <c r="O34" s="19" t="s">
        <v>958</v>
      </c>
      <c r="P34" s="20">
        <v>25</v>
      </c>
      <c r="Q34" s="22">
        <v>0.32</v>
      </c>
      <c r="BE34" s="19">
        <v>8</v>
      </c>
      <c r="BF34" s="19" t="s">
        <v>961</v>
      </c>
      <c r="CO34"/>
      <c r="CP34"/>
    </row>
    <row r="35" spans="1:94" s="19" customFormat="1" x14ac:dyDescent="0.25">
      <c r="A35" s="19" t="s">
        <v>556</v>
      </c>
      <c r="B35" s="19" t="s">
        <v>557</v>
      </c>
      <c r="C35" s="19" t="str">
        <f>CONCATENATE(A35, " ", B35)</f>
        <v>Hollie Cacace</v>
      </c>
      <c r="D35" s="19" t="s">
        <v>657</v>
      </c>
      <c r="E35" s="19" t="s">
        <v>933</v>
      </c>
      <c r="F35" s="19">
        <v>16202925</v>
      </c>
      <c r="G35" s="19" t="s">
        <v>48</v>
      </c>
      <c r="H35" s="19" t="s">
        <v>669</v>
      </c>
      <c r="I35" s="19" t="s">
        <v>670</v>
      </c>
      <c r="J35" s="19" t="s">
        <v>707</v>
      </c>
      <c r="K35" s="21">
        <v>536940641</v>
      </c>
      <c r="L35" s="19" t="s">
        <v>667</v>
      </c>
      <c r="M35" s="19">
        <f>DATEDIF(J35,L35,"M")</f>
        <v>9</v>
      </c>
      <c r="N35" s="19" t="s">
        <v>956</v>
      </c>
      <c r="O35" s="19" t="s">
        <v>958</v>
      </c>
      <c r="P35" s="20">
        <v>50</v>
      </c>
      <c r="Q35" s="22">
        <v>0.32</v>
      </c>
      <c r="BE35" s="19">
        <v>16</v>
      </c>
      <c r="BF35" s="19" t="s">
        <v>961</v>
      </c>
      <c r="CO35"/>
      <c r="CP35"/>
    </row>
    <row r="36" spans="1:94" s="19" customFormat="1" x14ac:dyDescent="0.25">
      <c r="A36" s="19" t="s">
        <v>552</v>
      </c>
      <c r="B36" s="19" t="s">
        <v>553</v>
      </c>
      <c r="C36" s="19" t="str">
        <f>CONCATENATE(A36, " ", B36)</f>
        <v>Joshua Tutchton</v>
      </c>
      <c r="D36" s="19" t="s">
        <v>657</v>
      </c>
      <c r="E36" s="19" t="s">
        <v>933</v>
      </c>
      <c r="F36" s="19">
        <v>16202925</v>
      </c>
      <c r="G36" s="19" t="s">
        <v>48</v>
      </c>
      <c r="H36" s="19" t="s">
        <v>669</v>
      </c>
      <c r="I36" s="19" t="s">
        <v>670</v>
      </c>
      <c r="J36" s="19" t="s">
        <v>707</v>
      </c>
      <c r="K36" s="21">
        <v>892393390</v>
      </c>
      <c r="L36" s="19" t="s">
        <v>667</v>
      </c>
      <c r="M36" s="19">
        <f>DATEDIF(J36,L36,"M")</f>
        <v>9</v>
      </c>
      <c r="N36" s="19" t="s">
        <v>956</v>
      </c>
      <c r="O36" s="19" t="s">
        <v>958</v>
      </c>
      <c r="P36" s="20">
        <v>25</v>
      </c>
      <c r="Q36" s="22">
        <v>0.32</v>
      </c>
      <c r="BE36" s="19">
        <v>8</v>
      </c>
      <c r="BF36" s="19" t="s">
        <v>961</v>
      </c>
      <c r="CO36"/>
      <c r="CP36"/>
    </row>
    <row r="37" spans="1:94" s="19" customFormat="1" x14ac:dyDescent="0.25">
      <c r="A37" s="19" t="s">
        <v>109</v>
      </c>
      <c r="B37" s="19" t="s">
        <v>110</v>
      </c>
      <c r="C37" s="19" t="str">
        <f>CONCATENATE(A37, " ", B37)</f>
        <v>A Thomas Loy</v>
      </c>
      <c r="D37" s="19" t="s">
        <v>657</v>
      </c>
      <c r="E37" s="19" t="s">
        <v>933</v>
      </c>
      <c r="F37" s="19">
        <v>16202925</v>
      </c>
      <c r="G37" s="19" t="s">
        <v>48</v>
      </c>
      <c r="H37" s="19" t="s">
        <v>669</v>
      </c>
      <c r="I37" s="19" t="s">
        <v>670</v>
      </c>
      <c r="J37" s="19" t="s">
        <v>707</v>
      </c>
      <c r="K37" s="21">
        <v>820303811</v>
      </c>
      <c r="L37" s="19" t="s">
        <v>667</v>
      </c>
      <c r="M37" s="19">
        <f>DATEDIF(J37,L37,"M")</f>
        <v>9</v>
      </c>
      <c r="N37" s="19" t="s">
        <v>956</v>
      </c>
      <c r="O37" s="19" t="s">
        <v>958</v>
      </c>
      <c r="P37" s="20">
        <v>60</v>
      </c>
      <c r="Q37" s="22">
        <v>0.32</v>
      </c>
      <c r="BE37" s="19">
        <v>19.2</v>
      </c>
      <c r="BF37" s="19" t="s">
        <v>961</v>
      </c>
    </row>
    <row r="38" spans="1:94" s="19" customFormat="1" x14ac:dyDescent="0.25">
      <c r="A38" s="19" t="s">
        <v>44</v>
      </c>
      <c r="B38" s="19" t="s">
        <v>45</v>
      </c>
      <c r="C38" s="19" t="str">
        <f>CONCATENATE(A38, " ", B38)</f>
        <v>Jennifer  Harbin</v>
      </c>
      <c r="D38" s="19" t="s">
        <v>657</v>
      </c>
      <c r="E38" s="19" t="s">
        <v>933</v>
      </c>
      <c r="F38" s="19">
        <v>16202925</v>
      </c>
      <c r="G38" s="19" t="s">
        <v>48</v>
      </c>
      <c r="H38" s="19" t="s">
        <v>669</v>
      </c>
      <c r="I38" s="19" t="s">
        <v>670</v>
      </c>
      <c r="J38" s="19" t="s">
        <v>707</v>
      </c>
      <c r="K38" s="21">
        <v>196153282</v>
      </c>
      <c r="L38" s="19" t="s">
        <v>667</v>
      </c>
      <c r="M38" s="19">
        <f>DATEDIF(J38,L38,"M")</f>
        <v>9</v>
      </c>
      <c r="N38" s="19" t="s">
        <v>956</v>
      </c>
      <c r="O38" s="19" t="s">
        <v>958</v>
      </c>
      <c r="P38" s="20">
        <v>25</v>
      </c>
      <c r="Q38" s="22">
        <v>0.32</v>
      </c>
      <c r="BE38" s="19">
        <v>8</v>
      </c>
      <c r="BF38" s="19" t="s">
        <v>961</v>
      </c>
    </row>
    <row r="39" spans="1:94" s="19" customFormat="1" x14ac:dyDescent="0.25">
      <c r="A39" s="19" t="s">
        <v>243</v>
      </c>
      <c r="B39" s="19" t="s">
        <v>244</v>
      </c>
      <c r="C39" s="19" t="str">
        <f>CONCATENATE(A39, " ", B39)</f>
        <v>Emily Whitacre</v>
      </c>
      <c r="D39" s="19" t="s">
        <v>657</v>
      </c>
      <c r="E39" s="19" t="s">
        <v>933</v>
      </c>
      <c r="F39" s="19">
        <v>16202925</v>
      </c>
      <c r="G39" s="19" t="s">
        <v>48</v>
      </c>
      <c r="H39" s="19" t="s">
        <v>669</v>
      </c>
      <c r="I39" s="19" t="s">
        <v>670</v>
      </c>
      <c r="J39" s="19" t="s">
        <v>715</v>
      </c>
      <c r="K39" s="21">
        <v>858353460</v>
      </c>
      <c r="L39" s="19" t="s">
        <v>210</v>
      </c>
      <c r="M39" s="19">
        <f>DATEDIF(J39,L39,"M")</f>
        <v>9</v>
      </c>
      <c r="N39" s="19" t="s">
        <v>956</v>
      </c>
      <c r="O39" s="19" t="s">
        <v>958</v>
      </c>
      <c r="P39" s="20">
        <v>25</v>
      </c>
      <c r="Q39" s="22">
        <v>0.32</v>
      </c>
      <c r="BE39" s="19">
        <v>8</v>
      </c>
      <c r="BF39" s="19" t="s">
        <v>961</v>
      </c>
    </row>
    <row r="40" spans="1:94" s="19" customFormat="1" x14ac:dyDescent="0.25">
      <c r="A40" s="19" t="s">
        <v>193</v>
      </c>
      <c r="B40" s="19" t="s">
        <v>216</v>
      </c>
      <c r="C40" s="19" t="str">
        <f>CONCATENATE(A40, " ", B40)</f>
        <v>Mary Rosencranz</v>
      </c>
      <c r="D40" s="19" t="s">
        <v>657</v>
      </c>
      <c r="E40" s="19" t="s">
        <v>933</v>
      </c>
      <c r="F40" s="19">
        <v>16202925</v>
      </c>
      <c r="G40" s="19" t="s">
        <v>48</v>
      </c>
      <c r="H40" s="19" t="s">
        <v>669</v>
      </c>
      <c r="I40" s="19" t="s">
        <v>670</v>
      </c>
      <c r="J40" s="19" t="s">
        <v>715</v>
      </c>
      <c r="K40" s="21">
        <v>582065076</v>
      </c>
      <c r="L40" s="19" t="s">
        <v>210</v>
      </c>
      <c r="M40" s="19">
        <f>DATEDIF(J40,L40,"M")</f>
        <v>9</v>
      </c>
      <c r="N40" s="19" t="s">
        <v>956</v>
      </c>
      <c r="O40" s="19" t="s">
        <v>958</v>
      </c>
      <c r="P40" s="20">
        <v>25</v>
      </c>
      <c r="Q40" s="22">
        <v>0.32</v>
      </c>
      <c r="BE40" s="19">
        <v>8</v>
      </c>
      <c r="BF40" s="19" t="s">
        <v>961</v>
      </c>
    </row>
    <row r="41" spans="1:94" s="19" customFormat="1" x14ac:dyDescent="0.25">
      <c r="A41" s="19" t="s">
        <v>212</v>
      </c>
      <c r="B41" s="19" t="s">
        <v>213</v>
      </c>
      <c r="C41" s="19" t="str">
        <f>CONCATENATE(A41, " ", B41)</f>
        <v>Anna Biebl</v>
      </c>
      <c r="D41" s="19" t="s">
        <v>657</v>
      </c>
      <c r="E41" s="19" t="s">
        <v>933</v>
      </c>
      <c r="F41" s="19">
        <v>16202925</v>
      </c>
      <c r="G41" s="19" t="s">
        <v>48</v>
      </c>
      <c r="H41" s="19" t="s">
        <v>669</v>
      </c>
      <c r="I41" s="19" t="s">
        <v>670</v>
      </c>
      <c r="J41" s="19" t="s">
        <v>715</v>
      </c>
      <c r="K41" s="21">
        <v>260173605</v>
      </c>
      <c r="L41" s="19" t="s">
        <v>210</v>
      </c>
      <c r="M41" s="19">
        <f>DATEDIF(J41,L41,"M")</f>
        <v>9</v>
      </c>
      <c r="N41" s="19" t="s">
        <v>956</v>
      </c>
      <c r="O41" s="19" t="s">
        <v>958</v>
      </c>
      <c r="P41" s="20">
        <v>25</v>
      </c>
      <c r="Q41" s="22">
        <v>0.32</v>
      </c>
      <c r="BE41" s="19">
        <v>8</v>
      </c>
      <c r="BF41" s="19" t="s">
        <v>961</v>
      </c>
    </row>
    <row r="42" spans="1:94" s="19" customFormat="1" x14ac:dyDescent="0.25">
      <c r="A42" s="19" t="s">
        <v>243</v>
      </c>
      <c r="B42" s="19" t="s">
        <v>244</v>
      </c>
      <c r="C42" s="19" t="str">
        <f>CONCATENATE(A42, " ", B42)</f>
        <v>Emily Whitacre</v>
      </c>
      <c r="D42" s="19" t="s">
        <v>657</v>
      </c>
      <c r="E42" s="19" t="s">
        <v>933</v>
      </c>
      <c r="F42" s="19">
        <v>16202925</v>
      </c>
      <c r="G42" s="19" t="s">
        <v>27</v>
      </c>
      <c r="H42" s="19" t="s">
        <v>660</v>
      </c>
      <c r="I42" s="19" t="s">
        <v>661</v>
      </c>
      <c r="J42" s="19" t="s">
        <v>715</v>
      </c>
      <c r="K42" s="21">
        <v>859724247</v>
      </c>
      <c r="L42" s="19" t="s">
        <v>210</v>
      </c>
      <c r="M42" s="19">
        <f>DATEDIF(J42,L42,"M")</f>
        <v>9</v>
      </c>
      <c r="N42" s="19" t="s">
        <v>956</v>
      </c>
      <c r="O42" s="19" t="s">
        <v>958</v>
      </c>
      <c r="P42" s="20">
        <v>11</v>
      </c>
      <c r="Q42" s="22">
        <v>0.37</v>
      </c>
      <c r="BE42" s="19">
        <v>4.07</v>
      </c>
      <c r="BF42" s="19" t="s">
        <v>962</v>
      </c>
    </row>
    <row r="43" spans="1:94" s="19" customFormat="1" x14ac:dyDescent="0.25">
      <c r="A43" s="19" t="s">
        <v>193</v>
      </c>
      <c r="B43" s="19" t="s">
        <v>216</v>
      </c>
      <c r="C43" s="19" t="str">
        <f>CONCATENATE(A43, " ", B43)</f>
        <v>Mary Rosencranz</v>
      </c>
      <c r="D43" s="19" t="s">
        <v>657</v>
      </c>
      <c r="E43" s="19" t="s">
        <v>933</v>
      </c>
      <c r="F43" s="19">
        <v>16202925</v>
      </c>
      <c r="G43" s="19" t="s">
        <v>27</v>
      </c>
      <c r="H43" s="19" t="s">
        <v>660</v>
      </c>
      <c r="I43" s="19" t="s">
        <v>661</v>
      </c>
      <c r="J43" s="19" t="s">
        <v>715</v>
      </c>
      <c r="K43" s="21">
        <v>364920174</v>
      </c>
      <c r="L43" s="19" t="s">
        <v>210</v>
      </c>
      <c r="M43" s="19">
        <f>DATEDIF(J43,L43,"M")</f>
        <v>9</v>
      </c>
      <c r="N43" s="19" t="s">
        <v>956</v>
      </c>
      <c r="O43" s="19" t="s">
        <v>958</v>
      </c>
      <c r="P43" s="20">
        <v>11</v>
      </c>
      <c r="Q43" s="22">
        <v>0.37</v>
      </c>
      <c r="BE43" s="19">
        <v>4.07</v>
      </c>
      <c r="BF43" s="19" t="s">
        <v>962</v>
      </c>
    </row>
    <row r="44" spans="1:94" s="19" customFormat="1" x14ac:dyDescent="0.25">
      <c r="A44" s="19" t="s">
        <v>376</v>
      </c>
      <c r="B44" s="19" t="s">
        <v>377</v>
      </c>
      <c r="C44" s="19" t="str">
        <f>CONCATENATE(A44, " ", B44)</f>
        <v>Kevin Husemann</v>
      </c>
      <c r="D44" s="19" t="s">
        <v>657</v>
      </c>
      <c r="E44" s="19" t="s">
        <v>933</v>
      </c>
      <c r="F44" s="19">
        <v>16202925</v>
      </c>
      <c r="G44" s="19" t="s">
        <v>48</v>
      </c>
      <c r="H44" s="19" t="s">
        <v>669</v>
      </c>
      <c r="I44" s="19" t="s">
        <v>670</v>
      </c>
      <c r="J44" s="19" t="s">
        <v>715</v>
      </c>
      <c r="K44" s="21">
        <v>310854872</v>
      </c>
      <c r="L44" s="19" t="s">
        <v>667</v>
      </c>
      <c r="M44" s="19">
        <f>DATEDIF(J44,L44,"M")</f>
        <v>10</v>
      </c>
      <c r="N44" s="19" t="s">
        <v>956</v>
      </c>
      <c r="O44" s="19" t="s">
        <v>958</v>
      </c>
      <c r="P44" s="20">
        <v>50</v>
      </c>
      <c r="Q44" s="22">
        <v>0.32</v>
      </c>
      <c r="BE44" s="19">
        <v>16</v>
      </c>
      <c r="BF44" s="19" t="s">
        <v>961</v>
      </c>
      <c r="CO44"/>
      <c r="CP44"/>
    </row>
    <row r="45" spans="1:94" s="19" customFormat="1" x14ac:dyDescent="0.25">
      <c r="A45" s="19" t="s">
        <v>125</v>
      </c>
      <c r="B45" s="19" t="s">
        <v>450</v>
      </c>
      <c r="C45" s="19" t="str">
        <f>CONCATENATE(A45, " ", B45)</f>
        <v>Thomas Kucan</v>
      </c>
      <c r="D45" s="19" t="s">
        <v>657</v>
      </c>
      <c r="E45" s="19" t="s">
        <v>933</v>
      </c>
      <c r="F45" s="19">
        <v>16202925</v>
      </c>
      <c r="G45" s="19" t="s">
        <v>48</v>
      </c>
      <c r="H45" s="19" t="s">
        <v>669</v>
      </c>
      <c r="I45" s="19" t="s">
        <v>670</v>
      </c>
      <c r="J45" s="19" t="s">
        <v>715</v>
      </c>
      <c r="K45" s="21">
        <v>119664581</v>
      </c>
      <c r="L45" s="19" t="s">
        <v>667</v>
      </c>
      <c r="M45" s="19">
        <f>DATEDIF(J45,L45,"M")</f>
        <v>10</v>
      </c>
      <c r="N45" s="19" t="s">
        <v>956</v>
      </c>
      <c r="O45" s="19" t="s">
        <v>958</v>
      </c>
      <c r="P45" s="20">
        <v>25</v>
      </c>
      <c r="Q45" s="22">
        <v>0.32</v>
      </c>
      <c r="BE45" s="19">
        <v>8</v>
      </c>
      <c r="BF45" s="19" t="s">
        <v>961</v>
      </c>
      <c r="CO45"/>
      <c r="CP45"/>
    </row>
    <row r="46" spans="1:94" s="19" customFormat="1" x14ac:dyDescent="0.25">
      <c r="A46" s="19" t="s">
        <v>184</v>
      </c>
      <c r="B46" s="19" t="s">
        <v>532</v>
      </c>
      <c r="C46" s="19" t="str">
        <f>CONCATENATE(A46, " ", B46)</f>
        <v>Donna Arrich</v>
      </c>
      <c r="D46" s="19" t="s">
        <v>657</v>
      </c>
      <c r="E46" s="19" t="s">
        <v>933</v>
      </c>
      <c r="F46" s="19">
        <v>16202925</v>
      </c>
      <c r="G46" s="19" t="s">
        <v>48</v>
      </c>
      <c r="H46" s="19" t="s">
        <v>669</v>
      </c>
      <c r="I46" s="19" t="s">
        <v>670</v>
      </c>
      <c r="J46" s="19" t="s">
        <v>675</v>
      </c>
      <c r="K46" s="21">
        <v>138655428</v>
      </c>
      <c r="L46" s="19" t="s">
        <v>773</v>
      </c>
      <c r="M46" s="19">
        <f>DATEDIF(J46,L46,"M")</f>
        <v>10</v>
      </c>
      <c r="N46" s="19" t="s">
        <v>956</v>
      </c>
      <c r="O46" s="19" t="s">
        <v>958</v>
      </c>
      <c r="P46" s="20">
        <v>25</v>
      </c>
      <c r="Q46" s="22">
        <v>0.32</v>
      </c>
      <c r="BE46" s="19">
        <v>8</v>
      </c>
      <c r="BF46" s="19" t="s">
        <v>961</v>
      </c>
      <c r="CO46"/>
      <c r="CP46"/>
    </row>
    <row r="47" spans="1:94" s="19" customFormat="1" x14ac:dyDescent="0.25">
      <c r="A47" s="19" t="s">
        <v>446</v>
      </c>
      <c r="B47" s="19" t="s">
        <v>447</v>
      </c>
      <c r="C47" s="19" t="str">
        <f>CONCATENATE(A47, " ", B47)</f>
        <v>Jodi Carpini</v>
      </c>
      <c r="D47" s="19" t="s">
        <v>657</v>
      </c>
      <c r="E47" s="19" t="s">
        <v>933</v>
      </c>
      <c r="F47" s="19">
        <v>16202925</v>
      </c>
      <c r="G47" s="19" t="s">
        <v>48</v>
      </c>
      <c r="H47" s="19" t="s">
        <v>669</v>
      </c>
      <c r="I47" s="19" t="s">
        <v>670</v>
      </c>
      <c r="J47" s="19" t="s">
        <v>715</v>
      </c>
      <c r="K47" s="21">
        <v>211544974</v>
      </c>
      <c r="L47" s="19" t="s">
        <v>667</v>
      </c>
      <c r="M47" s="19">
        <f>DATEDIF(J47,L47,"M")</f>
        <v>10</v>
      </c>
      <c r="N47" s="19" t="s">
        <v>956</v>
      </c>
      <c r="O47" s="19" t="s">
        <v>958</v>
      </c>
      <c r="P47" s="20">
        <v>50</v>
      </c>
      <c r="Q47" s="22">
        <v>0.32</v>
      </c>
      <c r="BE47" s="19">
        <v>16</v>
      </c>
      <c r="BF47" s="19" t="s">
        <v>961</v>
      </c>
    </row>
    <row r="48" spans="1:94" s="19" customFormat="1" x14ac:dyDescent="0.25">
      <c r="A48" s="19" t="s">
        <v>73</v>
      </c>
      <c r="B48" s="19" t="s">
        <v>74</v>
      </c>
      <c r="C48" s="19" t="str">
        <f>CONCATENATE(A48, " ", B48)</f>
        <v>Minas Giorgakis</v>
      </c>
      <c r="D48" s="19" t="s">
        <v>657</v>
      </c>
      <c r="E48" s="19" t="s">
        <v>933</v>
      </c>
      <c r="F48" s="19">
        <v>16202925</v>
      </c>
      <c r="G48" s="19" t="s">
        <v>48</v>
      </c>
      <c r="H48" s="19" t="s">
        <v>669</v>
      </c>
      <c r="I48" s="19" t="s">
        <v>670</v>
      </c>
      <c r="J48" s="19" t="s">
        <v>715</v>
      </c>
      <c r="K48" s="21">
        <v>165329262</v>
      </c>
      <c r="L48" s="19" t="s">
        <v>667</v>
      </c>
      <c r="M48" s="19">
        <f>DATEDIF(J48,L48,"M")</f>
        <v>10</v>
      </c>
      <c r="N48" s="19" t="s">
        <v>956</v>
      </c>
      <c r="O48" s="19" t="s">
        <v>958</v>
      </c>
      <c r="P48" s="20">
        <v>25</v>
      </c>
      <c r="Q48" s="22">
        <v>0.32</v>
      </c>
      <c r="BE48" s="19">
        <v>8</v>
      </c>
      <c r="BF48" s="19" t="s">
        <v>961</v>
      </c>
    </row>
    <row r="49" spans="1:94" s="19" customFormat="1" x14ac:dyDescent="0.25">
      <c r="A49" s="19" t="s">
        <v>303</v>
      </c>
      <c r="B49" s="19" t="s">
        <v>304</v>
      </c>
      <c r="C49" s="19" t="str">
        <f>CONCATENATE(A49, " ", B49)</f>
        <v>Cornell Jackson</v>
      </c>
      <c r="D49" s="19" t="s">
        <v>657</v>
      </c>
      <c r="E49" s="19" t="s">
        <v>933</v>
      </c>
      <c r="F49" s="19">
        <v>16202925</v>
      </c>
      <c r="G49" s="19" t="s">
        <v>48</v>
      </c>
      <c r="H49" s="19" t="s">
        <v>669</v>
      </c>
      <c r="I49" s="19" t="s">
        <v>670</v>
      </c>
      <c r="J49" s="19" t="s">
        <v>715</v>
      </c>
      <c r="K49" s="21">
        <v>708780484</v>
      </c>
      <c r="L49" s="19" t="s">
        <v>667</v>
      </c>
      <c r="M49" s="19">
        <f>DATEDIF(J49,L49,"M")</f>
        <v>10</v>
      </c>
      <c r="N49" s="19" t="s">
        <v>956</v>
      </c>
      <c r="O49" s="19" t="s">
        <v>958</v>
      </c>
      <c r="P49" s="20">
        <v>25</v>
      </c>
      <c r="Q49" s="22">
        <v>0.32</v>
      </c>
      <c r="BE49" s="19">
        <v>8</v>
      </c>
      <c r="BF49" s="19" t="s">
        <v>961</v>
      </c>
    </row>
    <row r="50" spans="1:94" s="19" customFormat="1" x14ac:dyDescent="0.25">
      <c r="A50" s="19" t="s">
        <v>298</v>
      </c>
      <c r="B50" s="19" t="s">
        <v>299</v>
      </c>
      <c r="C50" s="19" t="str">
        <f>CONCATENATE(A50, " ", B50)</f>
        <v>Ashleigh Lagreco</v>
      </c>
      <c r="D50" s="19" t="s">
        <v>657</v>
      </c>
      <c r="E50" s="19" t="s">
        <v>933</v>
      </c>
      <c r="F50" s="19">
        <v>16202925</v>
      </c>
      <c r="G50" s="19" t="s">
        <v>48</v>
      </c>
      <c r="H50" s="19" t="s">
        <v>669</v>
      </c>
      <c r="I50" s="19" t="s">
        <v>670</v>
      </c>
      <c r="J50" s="19" t="s">
        <v>715</v>
      </c>
      <c r="K50" s="21">
        <v>560317195</v>
      </c>
      <c r="L50" s="19" t="s">
        <v>667</v>
      </c>
      <c r="M50" s="19">
        <f>DATEDIF(J50,L50,"M")</f>
        <v>10</v>
      </c>
      <c r="N50" s="19" t="s">
        <v>956</v>
      </c>
      <c r="O50" s="19" t="s">
        <v>958</v>
      </c>
      <c r="P50" s="20">
        <v>25</v>
      </c>
      <c r="Q50" s="22">
        <v>0.32</v>
      </c>
      <c r="BE50" s="19">
        <v>8</v>
      </c>
      <c r="BF50" s="19" t="s">
        <v>961</v>
      </c>
    </row>
    <row r="51" spans="1:94" s="19" customFormat="1" x14ac:dyDescent="0.25">
      <c r="A51" s="19" t="s">
        <v>73</v>
      </c>
      <c r="B51" s="19" t="s">
        <v>74</v>
      </c>
      <c r="C51" s="19" t="str">
        <f>CONCATENATE(A51, " ", B51)</f>
        <v>Minas Giorgakis</v>
      </c>
      <c r="D51" s="19" t="s">
        <v>657</v>
      </c>
      <c r="E51" s="19" t="s">
        <v>933</v>
      </c>
      <c r="F51" s="19">
        <v>16202925</v>
      </c>
      <c r="G51" s="19" t="s">
        <v>27</v>
      </c>
      <c r="H51" s="19" t="s">
        <v>660</v>
      </c>
      <c r="I51" s="19" t="s">
        <v>661</v>
      </c>
      <c r="J51" s="19" t="s">
        <v>715</v>
      </c>
      <c r="K51" s="21">
        <v>607637254</v>
      </c>
      <c r="L51" s="19" t="s">
        <v>667</v>
      </c>
      <c r="M51" s="19">
        <f>DATEDIF(J51,L51,"M")</f>
        <v>10</v>
      </c>
      <c r="N51" s="19" t="s">
        <v>956</v>
      </c>
      <c r="O51" s="19" t="s">
        <v>958</v>
      </c>
      <c r="P51" s="20">
        <v>11</v>
      </c>
      <c r="Q51" s="22">
        <v>0.37</v>
      </c>
      <c r="BE51" s="19">
        <v>4.07</v>
      </c>
      <c r="BF51" s="19" t="s">
        <v>962</v>
      </c>
    </row>
    <row r="52" spans="1:94" s="19" customFormat="1" x14ac:dyDescent="0.25">
      <c r="A52" s="19" t="s">
        <v>248</v>
      </c>
      <c r="B52" s="19" t="s">
        <v>249</v>
      </c>
      <c r="C52" s="19" t="str">
        <f>CONCATENATE(A52, " ", B52)</f>
        <v>Sheryll Aldred</v>
      </c>
      <c r="D52" s="19" t="s">
        <v>657</v>
      </c>
      <c r="E52" s="19" t="s">
        <v>933</v>
      </c>
      <c r="F52" s="19">
        <v>16202925</v>
      </c>
      <c r="G52" s="19" t="s">
        <v>27</v>
      </c>
      <c r="H52" s="19" t="s">
        <v>660</v>
      </c>
      <c r="I52" s="19" t="s">
        <v>661</v>
      </c>
      <c r="J52" s="19" t="s">
        <v>672</v>
      </c>
      <c r="K52" s="21">
        <v>574187796</v>
      </c>
      <c r="L52" s="19" t="s">
        <v>210</v>
      </c>
      <c r="M52" s="19">
        <f>DATEDIF(J52,L52,"M")</f>
        <v>10</v>
      </c>
      <c r="N52" s="19" t="s">
        <v>956</v>
      </c>
      <c r="O52" s="19" t="s">
        <v>958</v>
      </c>
      <c r="P52" s="20">
        <v>11</v>
      </c>
      <c r="Q52" s="22">
        <v>0.37</v>
      </c>
      <c r="BE52" s="19">
        <v>4.07</v>
      </c>
      <c r="BF52" s="19" t="s">
        <v>962</v>
      </c>
    </row>
    <row r="53" spans="1:94" s="19" customFormat="1" x14ac:dyDescent="0.25">
      <c r="A53" s="19" t="s">
        <v>279</v>
      </c>
      <c r="B53" s="19" t="s">
        <v>280</v>
      </c>
      <c r="C53" s="19" t="str">
        <f>CONCATENATE(A53, " ", B53)</f>
        <v>Sally Noonan</v>
      </c>
      <c r="D53" s="19" t="s">
        <v>702</v>
      </c>
      <c r="E53" s="19" t="s">
        <v>944</v>
      </c>
      <c r="F53" s="19">
        <v>18828278</v>
      </c>
      <c r="G53" s="19" t="s">
        <v>27</v>
      </c>
      <c r="H53" s="19" t="s">
        <v>660</v>
      </c>
      <c r="I53" s="19" t="s">
        <v>661</v>
      </c>
      <c r="J53" s="19" t="s">
        <v>715</v>
      </c>
      <c r="K53" s="21">
        <v>825368073</v>
      </c>
      <c r="L53" s="19" t="s">
        <v>667</v>
      </c>
      <c r="M53" s="19">
        <f>DATEDIF(J53,L53,"M")</f>
        <v>10</v>
      </c>
      <c r="N53" s="19" t="s">
        <v>956</v>
      </c>
      <c r="O53" s="19" t="s">
        <v>958</v>
      </c>
      <c r="P53" s="20">
        <v>11</v>
      </c>
      <c r="Q53" s="22">
        <v>0.37</v>
      </c>
      <c r="BE53" s="19">
        <v>4.07</v>
      </c>
      <c r="BF53" s="19" t="s">
        <v>962</v>
      </c>
    </row>
    <row r="54" spans="1:94" s="19" customFormat="1" x14ac:dyDescent="0.25">
      <c r="A54" s="19" t="s">
        <v>438</v>
      </c>
      <c r="B54" s="19" t="s">
        <v>439</v>
      </c>
      <c r="C54" s="19" t="str">
        <f>CONCATENATE(A54, " ", B54)</f>
        <v>Twanna Delva</v>
      </c>
      <c r="D54" s="19" t="s">
        <v>657</v>
      </c>
      <c r="E54" s="19" t="s">
        <v>933</v>
      </c>
      <c r="F54" s="19">
        <v>16202925</v>
      </c>
      <c r="G54" s="19" t="s">
        <v>48</v>
      </c>
      <c r="H54" s="19" t="s">
        <v>669</v>
      </c>
      <c r="I54" s="19" t="s">
        <v>670</v>
      </c>
      <c r="J54" s="19" t="s">
        <v>672</v>
      </c>
      <c r="K54" s="21">
        <v>5274878</v>
      </c>
      <c r="L54" s="19" t="s">
        <v>667</v>
      </c>
      <c r="M54" s="19">
        <f>DATEDIF(J54,L54,"M")</f>
        <v>11</v>
      </c>
      <c r="N54" s="19" t="s">
        <v>956</v>
      </c>
      <c r="O54" s="19" t="s">
        <v>958</v>
      </c>
      <c r="P54" s="20">
        <v>25</v>
      </c>
      <c r="Q54" s="22">
        <v>0.32</v>
      </c>
      <c r="BE54" s="19">
        <v>8</v>
      </c>
      <c r="BF54" s="19" t="s">
        <v>961</v>
      </c>
      <c r="CO54"/>
      <c r="CP54"/>
    </row>
    <row r="55" spans="1:94" s="19" customFormat="1" x14ac:dyDescent="0.25">
      <c r="A55" s="19" t="s">
        <v>421</v>
      </c>
      <c r="B55" s="19" t="s">
        <v>422</v>
      </c>
      <c r="C55" s="19" t="str">
        <f>CONCATENATE(A55, " ", B55)</f>
        <v>Abigail Duncan</v>
      </c>
      <c r="D55" s="19" t="s">
        <v>657</v>
      </c>
      <c r="E55" s="19" t="s">
        <v>933</v>
      </c>
      <c r="F55" s="19">
        <v>16202925</v>
      </c>
      <c r="G55" s="19" t="s">
        <v>48</v>
      </c>
      <c r="H55" s="19" t="s">
        <v>669</v>
      </c>
      <c r="I55" s="19" t="s">
        <v>670</v>
      </c>
      <c r="J55" s="19" t="s">
        <v>672</v>
      </c>
      <c r="K55" s="21">
        <v>168352383</v>
      </c>
      <c r="L55" s="19" t="s">
        <v>667</v>
      </c>
      <c r="M55" s="19">
        <f>DATEDIF(J55,L55,"M")</f>
        <v>11</v>
      </c>
      <c r="N55" s="19" t="s">
        <v>956</v>
      </c>
      <c r="O55" s="19" t="s">
        <v>958</v>
      </c>
      <c r="P55" s="20">
        <v>25</v>
      </c>
      <c r="Q55" s="22">
        <v>0.32</v>
      </c>
      <c r="BE55" s="19">
        <v>8</v>
      </c>
      <c r="BF55" s="19" t="s">
        <v>961</v>
      </c>
      <c r="CO55"/>
      <c r="CP55"/>
    </row>
    <row r="56" spans="1:94" s="19" customFormat="1" x14ac:dyDescent="0.25">
      <c r="A56" s="19" t="s">
        <v>96</v>
      </c>
      <c r="B56" s="19" t="s">
        <v>338</v>
      </c>
      <c r="C56" s="19" t="str">
        <f>CONCATENATE(A56, " ", B56)</f>
        <v>Michael Scarpulla</v>
      </c>
      <c r="D56" s="19" t="s">
        <v>657</v>
      </c>
      <c r="E56" s="19" t="s">
        <v>933</v>
      </c>
      <c r="F56" s="19">
        <v>16202925</v>
      </c>
      <c r="G56" s="19" t="s">
        <v>48</v>
      </c>
      <c r="H56" s="19" t="s">
        <v>669</v>
      </c>
      <c r="I56" s="19" t="s">
        <v>670</v>
      </c>
      <c r="J56" s="19" t="s">
        <v>672</v>
      </c>
      <c r="K56" s="21">
        <v>524461911</v>
      </c>
      <c r="L56" s="19" t="s">
        <v>667</v>
      </c>
      <c r="M56" s="19">
        <f>DATEDIF(J56,L56,"M")</f>
        <v>11</v>
      </c>
      <c r="N56" s="19" t="s">
        <v>956</v>
      </c>
      <c r="O56" s="19" t="s">
        <v>958</v>
      </c>
      <c r="P56" s="20">
        <v>25</v>
      </c>
      <c r="Q56" s="22">
        <v>0.32</v>
      </c>
      <c r="BE56" s="19">
        <v>8</v>
      </c>
      <c r="BF56" s="19" t="s">
        <v>961</v>
      </c>
      <c r="CO56"/>
      <c r="CP56"/>
    </row>
    <row r="57" spans="1:94" s="19" customFormat="1" x14ac:dyDescent="0.25">
      <c r="A57" s="19" t="s">
        <v>491</v>
      </c>
      <c r="B57" s="19" t="s">
        <v>492</v>
      </c>
      <c r="C57" s="19" t="str">
        <f>CONCATENATE(A57, " ", B57)</f>
        <v>Alycea Rivera</v>
      </c>
      <c r="D57" s="19" t="s">
        <v>657</v>
      </c>
      <c r="E57" s="19" t="s">
        <v>933</v>
      </c>
      <c r="F57" s="19">
        <v>16202925</v>
      </c>
      <c r="G57" s="19" t="s">
        <v>48</v>
      </c>
      <c r="H57" s="19" t="s">
        <v>669</v>
      </c>
      <c r="I57" s="19" t="s">
        <v>670</v>
      </c>
      <c r="J57" s="19" t="s">
        <v>672</v>
      </c>
      <c r="K57" s="21">
        <v>232438202</v>
      </c>
      <c r="L57" s="19" t="s">
        <v>667</v>
      </c>
      <c r="M57" s="19">
        <f>DATEDIF(J57,L57,"M")</f>
        <v>11</v>
      </c>
      <c r="N57" s="19" t="s">
        <v>956</v>
      </c>
      <c r="O57" s="19" t="s">
        <v>958</v>
      </c>
      <c r="P57" s="20">
        <v>25</v>
      </c>
      <c r="Q57" s="22">
        <v>0.32</v>
      </c>
      <c r="BE57" s="19">
        <v>8</v>
      </c>
      <c r="BF57" s="19" t="s">
        <v>961</v>
      </c>
      <c r="CO57"/>
      <c r="CP57"/>
    </row>
    <row r="58" spans="1:94" s="19" customFormat="1" x14ac:dyDescent="0.25">
      <c r="A58" s="19" t="s">
        <v>488</v>
      </c>
      <c r="B58" s="19" t="s">
        <v>484</v>
      </c>
      <c r="C58" s="19" t="str">
        <f>CONCATENATE(A58, " ", B58)</f>
        <v>Shane  Abrams</v>
      </c>
      <c r="D58" s="19" t="s">
        <v>657</v>
      </c>
      <c r="E58" s="19" t="s">
        <v>933</v>
      </c>
      <c r="F58" s="19">
        <v>16202925</v>
      </c>
      <c r="G58" s="19" t="s">
        <v>48</v>
      </c>
      <c r="H58" s="19" t="s">
        <v>669</v>
      </c>
      <c r="I58" s="19" t="s">
        <v>670</v>
      </c>
      <c r="J58" s="19" t="s">
        <v>672</v>
      </c>
      <c r="K58" s="21">
        <v>509666499</v>
      </c>
      <c r="L58" s="19" t="s">
        <v>667</v>
      </c>
      <c r="M58" s="19">
        <f>DATEDIF(J58,L58,"M")</f>
        <v>11</v>
      </c>
      <c r="N58" s="19" t="s">
        <v>956</v>
      </c>
      <c r="O58" s="19" t="s">
        <v>958</v>
      </c>
      <c r="P58" s="20">
        <v>25</v>
      </c>
      <c r="Q58" s="22">
        <v>0.32</v>
      </c>
      <c r="BE58" s="19">
        <v>8</v>
      </c>
      <c r="BF58" s="19" t="s">
        <v>961</v>
      </c>
    </row>
    <row r="59" spans="1:94" s="19" customFormat="1" x14ac:dyDescent="0.25">
      <c r="A59" s="19" t="s">
        <v>188</v>
      </c>
      <c r="B59" s="19" t="s">
        <v>484</v>
      </c>
      <c r="C59" s="19" t="str">
        <f>CONCATENATE(A59, " ", B59)</f>
        <v>Kathleen Abrams</v>
      </c>
      <c r="D59" s="19" t="s">
        <v>657</v>
      </c>
      <c r="E59" s="19" t="s">
        <v>933</v>
      </c>
      <c r="F59" s="19">
        <v>16202925</v>
      </c>
      <c r="G59" s="19" t="s">
        <v>48</v>
      </c>
      <c r="H59" s="19" t="s">
        <v>669</v>
      </c>
      <c r="I59" s="19" t="s">
        <v>670</v>
      </c>
      <c r="J59" s="19" t="s">
        <v>672</v>
      </c>
      <c r="K59" s="21">
        <v>528354958</v>
      </c>
      <c r="L59" s="19" t="s">
        <v>667</v>
      </c>
      <c r="M59" s="19">
        <f>DATEDIF(J59,L59,"M")</f>
        <v>11</v>
      </c>
      <c r="N59" s="19" t="s">
        <v>956</v>
      </c>
      <c r="O59" s="19" t="s">
        <v>958</v>
      </c>
      <c r="P59" s="20">
        <v>50</v>
      </c>
      <c r="Q59" s="22">
        <v>0.32</v>
      </c>
      <c r="BE59" s="19">
        <v>16</v>
      </c>
      <c r="BF59" s="19" t="s">
        <v>961</v>
      </c>
    </row>
    <row r="60" spans="1:94" s="19" customFormat="1" x14ac:dyDescent="0.25">
      <c r="A60" s="19" t="s">
        <v>193</v>
      </c>
      <c r="B60" s="19" t="s">
        <v>194</v>
      </c>
      <c r="C60" s="19" t="str">
        <f>CONCATENATE(A60, " ", B60)</f>
        <v>Mary Pross</v>
      </c>
      <c r="D60" s="19" t="s">
        <v>657</v>
      </c>
      <c r="E60" s="19" t="s">
        <v>933</v>
      </c>
      <c r="F60" s="19">
        <v>16202925</v>
      </c>
      <c r="G60" s="19" t="s">
        <v>48</v>
      </c>
      <c r="H60" s="19" t="s">
        <v>669</v>
      </c>
      <c r="I60" s="19" t="s">
        <v>670</v>
      </c>
      <c r="J60" s="19" t="s">
        <v>672</v>
      </c>
      <c r="K60" s="21">
        <v>914833590</v>
      </c>
      <c r="L60" s="19" t="s">
        <v>667</v>
      </c>
      <c r="M60" s="19">
        <f>DATEDIF(J60,L60,"M")</f>
        <v>11</v>
      </c>
      <c r="N60" s="19" t="s">
        <v>956</v>
      </c>
      <c r="O60" s="19" t="s">
        <v>958</v>
      </c>
      <c r="P60" s="20">
        <v>50</v>
      </c>
      <c r="Q60" s="22">
        <v>0.32</v>
      </c>
      <c r="BE60" s="19">
        <v>16</v>
      </c>
      <c r="BF60" s="19" t="s">
        <v>961</v>
      </c>
    </row>
    <row r="61" spans="1:94" s="19" customFormat="1" x14ac:dyDescent="0.25">
      <c r="A61" s="19" t="s">
        <v>184</v>
      </c>
      <c r="B61" s="19" t="s">
        <v>185</v>
      </c>
      <c r="C61" s="19" t="str">
        <f>CONCATENATE(A61, " ", B61)</f>
        <v>Donna Tarmon</v>
      </c>
      <c r="D61" s="19" t="s">
        <v>657</v>
      </c>
      <c r="E61" s="19" t="s">
        <v>933</v>
      </c>
      <c r="F61" s="19">
        <v>16202925</v>
      </c>
      <c r="G61" s="19" t="s">
        <v>48</v>
      </c>
      <c r="H61" s="19" t="s">
        <v>669</v>
      </c>
      <c r="I61" s="19" t="s">
        <v>670</v>
      </c>
      <c r="J61" s="19" t="s">
        <v>672</v>
      </c>
      <c r="K61" s="21">
        <v>876391898</v>
      </c>
      <c r="L61" s="19" t="s">
        <v>667</v>
      </c>
      <c r="M61" s="19">
        <f>DATEDIF(J61,L61,"M")</f>
        <v>11</v>
      </c>
      <c r="N61" s="19" t="s">
        <v>956</v>
      </c>
      <c r="O61" s="19" t="s">
        <v>958</v>
      </c>
      <c r="P61" s="20">
        <v>25</v>
      </c>
      <c r="Q61" s="22">
        <v>0.32</v>
      </c>
      <c r="BE61" s="19">
        <v>8</v>
      </c>
      <c r="BF61" s="19" t="s">
        <v>961</v>
      </c>
    </row>
    <row r="62" spans="1:94" s="19" customFormat="1" x14ac:dyDescent="0.25">
      <c r="A62" s="19" t="s">
        <v>421</v>
      </c>
      <c r="B62" s="19" t="s">
        <v>422</v>
      </c>
      <c r="C62" s="19" t="str">
        <f>CONCATENATE(A62, " ", B62)</f>
        <v>Abigail Duncan</v>
      </c>
      <c r="D62" s="19" t="s">
        <v>657</v>
      </c>
      <c r="E62" s="19" t="s">
        <v>933</v>
      </c>
      <c r="F62" s="19">
        <v>16202925</v>
      </c>
      <c r="G62" s="19" t="s">
        <v>27</v>
      </c>
      <c r="H62" s="19" t="s">
        <v>660</v>
      </c>
      <c r="I62" s="19" t="s">
        <v>661</v>
      </c>
      <c r="J62" s="19" t="s">
        <v>672</v>
      </c>
      <c r="K62" s="21">
        <v>973153223</v>
      </c>
      <c r="L62" s="19" t="s">
        <v>667</v>
      </c>
      <c r="M62" s="19">
        <f>DATEDIF(J62,L62,"M")</f>
        <v>11</v>
      </c>
      <c r="N62" s="19" t="s">
        <v>956</v>
      </c>
      <c r="O62" s="19" t="s">
        <v>958</v>
      </c>
      <c r="P62" s="20">
        <v>11</v>
      </c>
      <c r="Q62" s="22">
        <v>0.37</v>
      </c>
      <c r="BE62" s="19">
        <v>4.07</v>
      </c>
      <c r="BF62" s="19" t="s">
        <v>962</v>
      </c>
      <c r="CO62"/>
      <c r="CP62"/>
    </row>
    <row r="63" spans="1:94" s="19" customFormat="1" x14ac:dyDescent="0.25">
      <c r="A63" s="19" t="s">
        <v>341</v>
      </c>
      <c r="B63" s="19" t="s">
        <v>342</v>
      </c>
      <c r="C63" s="19" t="str">
        <f>CONCATENATE(A63, " ", B63)</f>
        <v>Matthew Lowing</v>
      </c>
      <c r="D63" s="19" t="s">
        <v>657</v>
      </c>
      <c r="E63" s="19" t="s">
        <v>933</v>
      </c>
      <c r="F63" s="19">
        <v>16202925</v>
      </c>
      <c r="G63" s="19" t="s">
        <v>62</v>
      </c>
      <c r="H63" s="19" t="s">
        <v>669</v>
      </c>
      <c r="I63" s="19" t="s">
        <v>670</v>
      </c>
      <c r="J63" s="19" t="s">
        <v>737</v>
      </c>
      <c r="K63" s="21">
        <v>313942658</v>
      </c>
      <c r="L63" s="19" t="s">
        <v>667</v>
      </c>
      <c r="M63" s="19">
        <f>DATEDIF(J63,L63,"M")</f>
        <v>12</v>
      </c>
      <c r="N63" s="19" t="s">
        <v>956</v>
      </c>
      <c r="O63" s="19" t="s">
        <v>958</v>
      </c>
      <c r="P63" s="20">
        <v>38</v>
      </c>
      <c r="Q63" s="22">
        <v>0.24</v>
      </c>
      <c r="BE63" s="19">
        <v>9.1199999999999992</v>
      </c>
      <c r="BF63" s="19" t="s">
        <v>960</v>
      </c>
      <c r="CO63"/>
      <c r="CP63"/>
    </row>
    <row r="64" spans="1:94" s="19" customFormat="1" x14ac:dyDescent="0.25">
      <c r="A64" s="19" t="s">
        <v>259</v>
      </c>
      <c r="B64" s="19" t="s">
        <v>260</v>
      </c>
      <c r="C64" s="19" t="str">
        <f>CONCATENATE(A64, " ", B64)</f>
        <v>Cheryl Gaines</v>
      </c>
      <c r="D64" s="19" t="s">
        <v>702</v>
      </c>
      <c r="E64" s="19" t="s">
        <v>944</v>
      </c>
      <c r="F64" s="19">
        <v>18828278</v>
      </c>
      <c r="G64" s="19" t="s">
        <v>263</v>
      </c>
      <c r="H64" s="19" t="s">
        <v>669</v>
      </c>
      <c r="I64" s="19" t="s">
        <v>670</v>
      </c>
      <c r="J64" s="19" t="s">
        <v>764</v>
      </c>
      <c r="K64" s="21">
        <v>604649461</v>
      </c>
      <c r="L64" s="19" t="s">
        <v>210</v>
      </c>
      <c r="M64" s="19">
        <f>DATEDIF(J64,L64,"M")</f>
        <v>12</v>
      </c>
      <c r="N64" s="19" t="s">
        <v>956</v>
      </c>
      <c r="O64" s="19" t="s">
        <v>958</v>
      </c>
      <c r="P64" s="20">
        <v>124</v>
      </c>
      <c r="Q64" s="22">
        <v>0.24</v>
      </c>
      <c r="BE64" s="19">
        <v>29.76</v>
      </c>
      <c r="BF64" s="19" t="s">
        <v>960</v>
      </c>
    </row>
    <row r="65" spans="1:94" s="19" customFormat="1" x14ac:dyDescent="0.25">
      <c r="A65" s="19" t="s">
        <v>470</v>
      </c>
      <c r="B65" s="19" t="s">
        <v>471</v>
      </c>
      <c r="C65" s="19" t="str">
        <f>CONCATENATE(A65, " ", B65)</f>
        <v>Mindi Kane</v>
      </c>
      <c r="D65" s="19" t="s">
        <v>702</v>
      </c>
      <c r="E65" s="19" t="s">
        <v>946</v>
      </c>
      <c r="F65" s="19">
        <v>19200754</v>
      </c>
      <c r="G65" s="19" t="s">
        <v>38</v>
      </c>
      <c r="H65" s="19" t="s">
        <v>669</v>
      </c>
      <c r="I65" s="19" t="s">
        <v>670</v>
      </c>
      <c r="J65" s="19" t="s">
        <v>737</v>
      </c>
      <c r="K65" s="21">
        <v>673613358</v>
      </c>
      <c r="L65" s="19" t="s">
        <v>667</v>
      </c>
      <c r="M65" s="19">
        <f>DATEDIF(J65,L65,"M")</f>
        <v>12</v>
      </c>
      <c r="N65" s="19" t="s">
        <v>956</v>
      </c>
      <c r="O65" s="19" t="s">
        <v>958</v>
      </c>
      <c r="P65" s="20">
        <v>112</v>
      </c>
      <c r="Q65" s="22">
        <v>0.24</v>
      </c>
      <c r="BE65" s="19">
        <v>26.88</v>
      </c>
      <c r="BF65" s="19" t="s">
        <v>960</v>
      </c>
    </row>
    <row r="66" spans="1:94" s="19" customFormat="1" x14ac:dyDescent="0.25">
      <c r="A66" s="19" t="s">
        <v>341</v>
      </c>
      <c r="B66" s="19" t="s">
        <v>342</v>
      </c>
      <c r="C66" s="19" t="str">
        <f>CONCATENATE(A66, " ", B66)</f>
        <v>Matthew Lowing</v>
      </c>
      <c r="D66" s="19" t="s">
        <v>657</v>
      </c>
      <c r="E66" s="19" t="s">
        <v>933</v>
      </c>
      <c r="F66" s="19">
        <v>16202925</v>
      </c>
      <c r="G66" s="19" t="s">
        <v>27</v>
      </c>
      <c r="H66" s="19" t="s">
        <v>660</v>
      </c>
      <c r="I66" s="19" t="s">
        <v>661</v>
      </c>
      <c r="J66" s="19" t="s">
        <v>737</v>
      </c>
      <c r="K66" s="21">
        <v>676321759</v>
      </c>
      <c r="L66" s="19" t="s">
        <v>667</v>
      </c>
      <c r="M66" s="19">
        <f>DATEDIF(J66,L66,"M")</f>
        <v>12</v>
      </c>
      <c r="N66" s="19" t="s">
        <v>956</v>
      </c>
      <c r="O66" s="19" t="s">
        <v>958</v>
      </c>
      <c r="P66" s="20">
        <v>11</v>
      </c>
      <c r="Q66" s="22">
        <v>0.37</v>
      </c>
      <c r="BE66" s="19">
        <v>4.07</v>
      </c>
      <c r="BF66" s="19" t="s">
        <v>962</v>
      </c>
      <c r="CO66"/>
      <c r="CP66"/>
    </row>
    <row r="67" spans="1:94" s="19" customFormat="1" x14ac:dyDescent="0.25">
      <c r="A67" s="19" t="s">
        <v>470</v>
      </c>
      <c r="B67" s="19" t="s">
        <v>471</v>
      </c>
      <c r="C67" s="19" t="str">
        <f>CONCATENATE(A67, " ", B67)</f>
        <v>Mindi Kane</v>
      </c>
      <c r="D67" s="19" t="s">
        <v>702</v>
      </c>
      <c r="E67" s="19" t="s">
        <v>946</v>
      </c>
      <c r="F67" s="19">
        <v>19200754</v>
      </c>
      <c r="G67" s="19" t="s">
        <v>27</v>
      </c>
      <c r="H67" s="19" t="s">
        <v>660</v>
      </c>
      <c r="I67" s="19" t="s">
        <v>661</v>
      </c>
      <c r="J67" s="19" t="s">
        <v>737</v>
      </c>
      <c r="K67" s="21">
        <v>629957651</v>
      </c>
      <c r="L67" s="19" t="s">
        <v>667</v>
      </c>
      <c r="M67" s="19">
        <f>DATEDIF(J67,L67,"M")</f>
        <v>12</v>
      </c>
      <c r="N67" s="19" t="s">
        <v>956</v>
      </c>
      <c r="O67" s="19" t="s">
        <v>958</v>
      </c>
      <c r="P67" s="20">
        <v>20</v>
      </c>
      <c r="Q67" s="22">
        <v>0.37</v>
      </c>
      <c r="BE67" s="19">
        <v>7.4</v>
      </c>
      <c r="BF67" s="19" t="s">
        <v>962</v>
      </c>
    </row>
    <row r="68" spans="1:94" s="19" customFormat="1" x14ac:dyDescent="0.25">
      <c r="A68" s="19" t="s">
        <v>371</v>
      </c>
      <c r="B68" s="19" t="s">
        <v>372</v>
      </c>
      <c r="C68" s="19" t="str">
        <f>CONCATENATE(A68, " ", B68)</f>
        <v>Nasandelger Zana</v>
      </c>
      <c r="D68" s="19" t="s">
        <v>702</v>
      </c>
      <c r="E68" s="19" t="s">
        <v>937</v>
      </c>
      <c r="F68" s="19">
        <v>20220688</v>
      </c>
      <c r="G68" s="19" t="s">
        <v>157</v>
      </c>
      <c r="H68" s="19" t="s">
        <v>669</v>
      </c>
      <c r="I68" s="19" t="s">
        <v>670</v>
      </c>
      <c r="J68" s="19" t="s">
        <v>718</v>
      </c>
      <c r="K68" s="21">
        <v>128908745</v>
      </c>
      <c r="L68" s="19" t="s">
        <v>667</v>
      </c>
      <c r="M68" s="19">
        <f>DATEDIF(J68,L68,"M")</f>
        <v>14</v>
      </c>
      <c r="N68" s="19" t="s">
        <v>956</v>
      </c>
      <c r="O68" s="19" t="s">
        <v>958</v>
      </c>
      <c r="P68" s="20">
        <v>71</v>
      </c>
      <c r="Q68" s="22">
        <v>0.24</v>
      </c>
      <c r="BE68" s="19">
        <v>17.04</v>
      </c>
      <c r="BF68" s="19" t="s">
        <v>960</v>
      </c>
    </row>
    <row r="69" spans="1:94" s="19" customFormat="1" x14ac:dyDescent="0.25">
      <c r="A69" s="19" t="s">
        <v>58</v>
      </c>
      <c r="B69" s="19" t="s">
        <v>59</v>
      </c>
      <c r="C69" s="19" t="str">
        <f>CONCATENATE(A69, " ", B69)</f>
        <v>James Donovan</v>
      </c>
      <c r="D69" s="19" t="s">
        <v>702</v>
      </c>
      <c r="E69" s="19" t="s">
        <v>943</v>
      </c>
      <c r="F69" s="19">
        <v>8244481</v>
      </c>
      <c r="G69" s="19" t="s">
        <v>62</v>
      </c>
      <c r="H69" s="19" t="s">
        <v>669</v>
      </c>
      <c r="I69" s="19" t="s">
        <v>670</v>
      </c>
      <c r="J69" s="19" t="s">
        <v>752</v>
      </c>
      <c r="K69" s="21">
        <v>653432432</v>
      </c>
      <c r="L69" s="19" t="s">
        <v>210</v>
      </c>
      <c r="M69" s="19">
        <f>DATEDIF(J69,L69,"M")</f>
        <v>14</v>
      </c>
      <c r="N69" s="19" t="s">
        <v>956</v>
      </c>
      <c r="O69" s="19" t="s">
        <v>958</v>
      </c>
      <c r="P69" s="20">
        <v>38</v>
      </c>
      <c r="Q69" s="22">
        <v>0.24</v>
      </c>
      <c r="BE69" s="19">
        <v>-9.1199999999999992</v>
      </c>
      <c r="BF69" s="19" t="s">
        <v>960</v>
      </c>
    </row>
    <row r="70" spans="1:94" s="19" customFormat="1" x14ac:dyDescent="0.25">
      <c r="A70" s="19" t="s">
        <v>58</v>
      </c>
      <c r="B70" s="19" t="s">
        <v>59</v>
      </c>
      <c r="C70" s="19" t="str">
        <f>CONCATENATE(A70, " ", B70)</f>
        <v>James Donovan</v>
      </c>
      <c r="D70" s="19" t="s">
        <v>702</v>
      </c>
      <c r="E70" s="19" t="s">
        <v>943</v>
      </c>
      <c r="F70" s="19">
        <v>8244481</v>
      </c>
      <c r="G70" s="19" t="s">
        <v>62</v>
      </c>
      <c r="H70" s="19" t="s">
        <v>669</v>
      </c>
      <c r="I70" s="19" t="s">
        <v>670</v>
      </c>
      <c r="J70" s="19" t="s">
        <v>752</v>
      </c>
      <c r="K70" s="21">
        <v>653432432</v>
      </c>
      <c r="L70" s="19" t="s">
        <v>210</v>
      </c>
      <c r="M70" s="19">
        <f>DATEDIF(J70,L70,"M")</f>
        <v>14</v>
      </c>
      <c r="N70" s="19" t="s">
        <v>956</v>
      </c>
      <c r="O70" s="19" t="s">
        <v>958</v>
      </c>
      <c r="P70" s="20">
        <v>38</v>
      </c>
      <c r="Q70" s="22">
        <v>0.24</v>
      </c>
      <c r="BE70" s="19">
        <v>9.1199999999999992</v>
      </c>
      <c r="BF70" s="19" t="s">
        <v>960</v>
      </c>
    </row>
    <row r="71" spans="1:94" s="19" customFormat="1" x14ac:dyDescent="0.25">
      <c r="A71" s="19" t="s">
        <v>176</v>
      </c>
      <c r="B71" s="19" t="s">
        <v>177</v>
      </c>
      <c r="C71" s="19" t="str">
        <f>CONCATENATE(A71, " ", B71)</f>
        <v>Roxanne Hartrich</v>
      </c>
      <c r="D71" s="19" t="s">
        <v>702</v>
      </c>
      <c r="E71" s="19" t="s">
        <v>943</v>
      </c>
      <c r="F71" s="19">
        <v>8244481</v>
      </c>
      <c r="G71" s="19" t="s">
        <v>62</v>
      </c>
      <c r="H71" s="19" t="s">
        <v>669</v>
      </c>
      <c r="I71" s="19" t="s">
        <v>670</v>
      </c>
      <c r="J71" s="19" t="s">
        <v>752</v>
      </c>
      <c r="K71" s="21">
        <v>538144779</v>
      </c>
      <c r="L71" s="19" t="s">
        <v>667</v>
      </c>
      <c r="M71" s="19">
        <f>DATEDIF(J71,L71,"M")</f>
        <v>15</v>
      </c>
      <c r="N71" s="19" t="s">
        <v>956</v>
      </c>
      <c r="O71" s="19" t="s">
        <v>958</v>
      </c>
      <c r="P71" s="20">
        <v>95</v>
      </c>
      <c r="Q71" s="22">
        <v>0.24</v>
      </c>
      <c r="BE71" s="19">
        <v>22.8</v>
      </c>
      <c r="BF71" s="19" t="s">
        <v>960</v>
      </c>
    </row>
    <row r="72" spans="1:94" s="19" customFormat="1" x14ac:dyDescent="0.25">
      <c r="A72" s="19" t="s">
        <v>176</v>
      </c>
      <c r="B72" s="19" t="s">
        <v>177</v>
      </c>
      <c r="C72" s="19" t="str">
        <f>CONCATENATE(A72, " ", B72)</f>
        <v>Roxanne Hartrich</v>
      </c>
      <c r="D72" s="19" t="s">
        <v>702</v>
      </c>
      <c r="E72" s="19" t="s">
        <v>943</v>
      </c>
      <c r="F72" s="19">
        <v>8244481</v>
      </c>
      <c r="G72" s="19" t="s">
        <v>27</v>
      </c>
      <c r="H72" s="19" t="s">
        <v>660</v>
      </c>
      <c r="I72" s="19" t="s">
        <v>661</v>
      </c>
      <c r="J72" s="19" t="s">
        <v>752</v>
      </c>
      <c r="K72" s="21">
        <v>387100933</v>
      </c>
      <c r="L72" s="19" t="s">
        <v>667</v>
      </c>
      <c r="M72" s="19">
        <f>DATEDIF(J72,L72,"M")</f>
        <v>15</v>
      </c>
      <c r="N72" s="19" t="s">
        <v>956</v>
      </c>
      <c r="O72" s="19" t="s">
        <v>958</v>
      </c>
      <c r="P72" s="20">
        <v>15</v>
      </c>
      <c r="Q72" s="22">
        <v>0.37</v>
      </c>
      <c r="BE72" s="19">
        <v>5.55</v>
      </c>
      <c r="BF72" s="19" t="s">
        <v>962</v>
      </c>
    </row>
    <row r="73" spans="1:94" s="19" customFormat="1" x14ac:dyDescent="0.25">
      <c r="A73" s="23" t="s">
        <v>430</v>
      </c>
      <c r="B73" s="23" t="s">
        <v>431</v>
      </c>
      <c r="C73" s="23" t="str">
        <f>CONCATENATE(A73, " ", B73)</f>
        <v>Martin Burman</v>
      </c>
      <c r="D73" s="23" t="s">
        <v>655</v>
      </c>
      <c r="E73" s="23" t="s">
        <v>955</v>
      </c>
      <c r="F73" s="23">
        <v>20411454</v>
      </c>
      <c r="G73" s="23" t="s">
        <v>27</v>
      </c>
      <c r="H73" s="23" t="s">
        <v>660</v>
      </c>
      <c r="I73" s="23" t="s">
        <v>661</v>
      </c>
      <c r="J73" s="23" t="s">
        <v>210</v>
      </c>
      <c r="K73" s="24">
        <v>104547957</v>
      </c>
      <c r="L73" s="23" t="s">
        <v>667</v>
      </c>
      <c r="M73" s="23">
        <f>DATEDIF(J73,L73,"M")</f>
        <v>1</v>
      </c>
      <c r="N73" s="23" t="s">
        <v>956</v>
      </c>
      <c r="O73" s="23" t="s">
        <v>958</v>
      </c>
      <c r="P73" s="23">
        <v>0.6</v>
      </c>
      <c r="Q73" s="25">
        <v>0.03</v>
      </c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>
        <v>0.6</v>
      </c>
      <c r="BF73" s="23" t="s">
        <v>954</v>
      </c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</row>
    <row r="74" spans="1:94" s="19" customFormat="1" x14ac:dyDescent="0.25">
      <c r="A74" t="s">
        <v>291</v>
      </c>
      <c r="B74" t="s">
        <v>292</v>
      </c>
      <c r="C74" t="str">
        <f>CONCATENATE(A74, " ", B74)</f>
        <v>Natividad Hernandez Luna</v>
      </c>
      <c r="D74" t="s">
        <v>657</v>
      </c>
      <c r="E74" t="s">
        <v>935</v>
      </c>
      <c r="F74">
        <v>19279958</v>
      </c>
      <c r="G74" t="s">
        <v>294</v>
      </c>
      <c r="H74" t="s">
        <v>669</v>
      </c>
      <c r="I74" t="s">
        <v>670</v>
      </c>
      <c r="J74" t="s">
        <v>210</v>
      </c>
      <c r="K74" s="17">
        <v>69052199</v>
      </c>
      <c r="L74" t="s">
        <v>667</v>
      </c>
      <c r="M74" s="19">
        <f>DATEDIF(J74,L74,"M")</f>
        <v>1</v>
      </c>
      <c r="N74" s="19" t="s">
        <v>956</v>
      </c>
      <c r="O74" s="19" t="s">
        <v>958</v>
      </c>
      <c r="P74" s="14">
        <v>27</v>
      </c>
      <c r="Q74" s="18">
        <v>0.24</v>
      </c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>
        <v>6.48</v>
      </c>
      <c r="BF74" s="19" t="s">
        <v>960</v>
      </c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 s="26"/>
      <c r="CP74" s="26"/>
    </row>
    <row r="75" spans="1:94" s="19" customFormat="1" x14ac:dyDescent="0.25">
      <c r="A75" t="s">
        <v>406</v>
      </c>
      <c r="B75" t="s">
        <v>407</v>
      </c>
      <c r="C75" t="str">
        <f>CONCATENATE(A75, " ", B75)</f>
        <v>Loise Maina</v>
      </c>
      <c r="D75" t="s">
        <v>657</v>
      </c>
      <c r="E75" t="s">
        <v>935</v>
      </c>
      <c r="F75">
        <v>19279958</v>
      </c>
      <c r="G75" t="s">
        <v>27</v>
      </c>
      <c r="H75" t="s">
        <v>660</v>
      </c>
      <c r="I75" t="s">
        <v>661</v>
      </c>
      <c r="J75" t="s">
        <v>210</v>
      </c>
      <c r="K75" s="17">
        <v>681883972</v>
      </c>
      <c r="L75" t="s">
        <v>667</v>
      </c>
      <c r="M75" s="19">
        <f>DATEDIF(J75,L75,"M")</f>
        <v>1</v>
      </c>
      <c r="N75" s="19" t="s">
        <v>956</v>
      </c>
      <c r="O75" s="19" t="s">
        <v>958</v>
      </c>
      <c r="P75" s="14">
        <v>11</v>
      </c>
      <c r="Q75" s="18">
        <v>0.37</v>
      </c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>
        <v>4.07</v>
      </c>
      <c r="BF75" s="19" t="s">
        <v>962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</row>
    <row r="76" spans="1:94" s="19" customFormat="1" x14ac:dyDescent="0.25">
      <c r="A76" t="s">
        <v>291</v>
      </c>
      <c r="B76" t="s">
        <v>292</v>
      </c>
      <c r="C76" t="str">
        <f>CONCATENATE(A76, " ", B76)</f>
        <v>Natividad Hernandez Luna</v>
      </c>
      <c r="D76" t="s">
        <v>657</v>
      </c>
      <c r="E76" t="s">
        <v>935</v>
      </c>
      <c r="F76">
        <v>19279958</v>
      </c>
      <c r="G76" t="s">
        <v>27</v>
      </c>
      <c r="H76" t="s">
        <v>660</v>
      </c>
      <c r="I76" t="s">
        <v>661</v>
      </c>
      <c r="J76" t="s">
        <v>210</v>
      </c>
      <c r="K76" s="17">
        <v>129241253</v>
      </c>
      <c r="L76" t="s">
        <v>667</v>
      </c>
      <c r="M76" s="19">
        <f>DATEDIF(J76,L76,"M")</f>
        <v>1</v>
      </c>
      <c r="N76" s="19" t="s">
        <v>956</v>
      </c>
      <c r="O76" s="19" t="s">
        <v>958</v>
      </c>
      <c r="P76" s="14">
        <v>11</v>
      </c>
      <c r="Q76" s="18">
        <v>0.37</v>
      </c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>
        <v>4.07</v>
      </c>
      <c r="BF76" s="19" t="s">
        <v>962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 s="26"/>
      <c r="CP76" s="26"/>
    </row>
    <row r="77" spans="1:94" s="19" customFormat="1" x14ac:dyDescent="0.25">
      <c r="A77" t="s">
        <v>287</v>
      </c>
      <c r="B77" t="s">
        <v>288</v>
      </c>
      <c r="C77" t="str">
        <f>CONCATENATE(A77, " ", B77)</f>
        <v>Hellen Nyaberi</v>
      </c>
      <c r="D77" t="s">
        <v>657</v>
      </c>
      <c r="E77" t="s">
        <v>935</v>
      </c>
      <c r="F77">
        <v>19279958</v>
      </c>
      <c r="G77" t="s">
        <v>27</v>
      </c>
      <c r="H77" t="s">
        <v>660</v>
      </c>
      <c r="I77" t="s">
        <v>661</v>
      </c>
      <c r="J77" t="s">
        <v>210</v>
      </c>
      <c r="K77" s="17">
        <v>408114059</v>
      </c>
      <c r="L77" t="s">
        <v>667</v>
      </c>
      <c r="M77" s="19">
        <f>DATEDIF(J77,L77,"M")</f>
        <v>1</v>
      </c>
      <c r="N77" s="19" t="s">
        <v>956</v>
      </c>
      <c r="O77" s="19" t="s">
        <v>958</v>
      </c>
      <c r="P77" s="14">
        <v>11</v>
      </c>
      <c r="Q77" s="18">
        <v>0.37</v>
      </c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>
        <v>4.07</v>
      </c>
      <c r="BF77" s="19" t="s">
        <v>962</v>
      </c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 s="26"/>
      <c r="CP77" s="26"/>
    </row>
    <row r="78" spans="1:94" x14ac:dyDescent="0.25">
      <c r="A78" s="23" t="s">
        <v>351</v>
      </c>
      <c r="B78" s="23" t="s">
        <v>352</v>
      </c>
      <c r="C78" s="23" t="str">
        <f>CONCATENATE(A78, " ", B78)</f>
        <v>Barbara Mason-Jonas</v>
      </c>
      <c r="D78" s="23" t="s">
        <v>727</v>
      </c>
      <c r="E78" s="23" t="s">
        <v>955</v>
      </c>
      <c r="F78" s="23">
        <v>20411454</v>
      </c>
      <c r="G78" s="23" t="s">
        <v>157</v>
      </c>
      <c r="H78" s="23" t="s">
        <v>669</v>
      </c>
      <c r="I78" s="23" t="s">
        <v>670</v>
      </c>
      <c r="J78" s="23" t="s">
        <v>731</v>
      </c>
      <c r="K78" s="24">
        <v>5405520021</v>
      </c>
      <c r="L78" s="23" t="s">
        <v>667</v>
      </c>
      <c r="M78" s="23">
        <f>DATEDIF(J78,L78,"M")</f>
        <v>4</v>
      </c>
      <c r="N78" s="23" t="s">
        <v>956</v>
      </c>
      <c r="O78" s="23" t="s">
        <v>958</v>
      </c>
      <c r="P78" s="23">
        <v>2.13</v>
      </c>
      <c r="Q78" s="25">
        <v>0.03</v>
      </c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>
        <v>2.13</v>
      </c>
      <c r="BF78" s="23" t="s">
        <v>954</v>
      </c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</row>
    <row r="79" spans="1:94" x14ac:dyDescent="0.25">
      <c r="A79" s="23" t="s">
        <v>224</v>
      </c>
      <c r="B79" s="23" t="s">
        <v>225</v>
      </c>
      <c r="C79" s="23" t="str">
        <f>CONCATENATE(A79, " ", B79)</f>
        <v>Dennis Matyas</v>
      </c>
      <c r="D79" s="23" t="s">
        <v>885</v>
      </c>
      <c r="E79" s="23" t="s">
        <v>955</v>
      </c>
      <c r="F79" s="23">
        <v>20411454</v>
      </c>
      <c r="G79" s="23" t="s">
        <v>157</v>
      </c>
      <c r="H79" s="23" t="s">
        <v>669</v>
      </c>
      <c r="I79" s="23" t="s">
        <v>670</v>
      </c>
      <c r="J79" s="23" t="s">
        <v>731</v>
      </c>
      <c r="K79" s="24">
        <v>901820000</v>
      </c>
      <c r="L79" s="23" t="s">
        <v>667</v>
      </c>
      <c r="M79" s="23">
        <f>DATEDIF(J79,L79,"M")</f>
        <v>4</v>
      </c>
      <c r="N79" s="23" t="s">
        <v>956</v>
      </c>
      <c r="O79" s="23" t="s">
        <v>958</v>
      </c>
      <c r="P79" s="23">
        <v>4.29</v>
      </c>
      <c r="Q79" s="25">
        <v>0.03</v>
      </c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>
        <v>4.29</v>
      </c>
      <c r="BF79" s="23" t="s">
        <v>954</v>
      </c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</row>
    <row r="80" spans="1:94" s="19" customFormat="1" x14ac:dyDescent="0.25">
      <c r="A80" t="s">
        <v>150</v>
      </c>
      <c r="B80" t="s">
        <v>151</v>
      </c>
      <c r="C80" t="str">
        <f>CONCATENATE(A80, " ", B80)</f>
        <v>Paul Agbodjogbe</v>
      </c>
      <c r="D80" t="s">
        <v>657</v>
      </c>
      <c r="E80" t="s">
        <v>935</v>
      </c>
      <c r="F80">
        <v>19279958</v>
      </c>
      <c r="G80" t="s">
        <v>48</v>
      </c>
      <c r="H80" t="s">
        <v>669</v>
      </c>
      <c r="I80" t="s">
        <v>670</v>
      </c>
      <c r="J80" t="s">
        <v>731</v>
      </c>
      <c r="K80" s="17">
        <v>542134560</v>
      </c>
      <c r="L80" t="s">
        <v>667</v>
      </c>
      <c r="M80" s="19">
        <f>DATEDIF(J80,L80,"M")</f>
        <v>4</v>
      </c>
      <c r="N80" s="19" t="s">
        <v>956</v>
      </c>
      <c r="O80" s="19" t="s">
        <v>958</v>
      </c>
      <c r="P80" s="14">
        <v>25</v>
      </c>
      <c r="Q80" s="18">
        <v>0.32</v>
      </c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>
        <v>8</v>
      </c>
      <c r="BF80" s="19" t="s">
        <v>961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 s="26"/>
      <c r="CP80" s="26"/>
    </row>
    <row r="81" spans="1:94" s="19" customFormat="1" x14ac:dyDescent="0.25">
      <c r="A81" t="s">
        <v>462</v>
      </c>
      <c r="B81" t="s">
        <v>463</v>
      </c>
      <c r="C81" t="str">
        <f>CONCATENATE(A81, " ", B81)</f>
        <v>Alonzo Brown</v>
      </c>
      <c r="D81" t="s">
        <v>657</v>
      </c>
      <c r="E81" t="s">
        <v>364</v>
      </c>
      <c r="F81">
        <v>7387433</v>
      </c>
      <c r="G81" t="s">
        <v>48</v>
      </c>
      <c r="H81" t="s">
        <v>669</v>
      </c>
      <c r="I81" t="s">
        <v>670</v>
      </c>
      <c r="J81" t="s">
        <v>704</v>
      </c>
      <c r="K81" s="17">
        <v>418031090</v>
      </c>
      <c r="L81" t="s">
        <v>667</v>
      </c>
      <c r="M81" s="19">
        <f>DATEDIF(J81,L81,"M")</f>
        <v>5</v>
      </c>
      <c r="N81" s="19" t="s">
        <v>956</v>
      </c>
      <c r="O81" s="19" t="s">
        <v>958</v>
      </c>
      <c r="P81" s="14">
        <v>25</v>
      </c>
      <c r="Q81" s="18">
        <v>0.32</v>
      </c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>
        <v>8</v>
      </c>
      <c r="BF81" s="19" t="s">
        <v>961</v>
      </c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</row>
    <row r="82" spans="1:94" s="19" customFormat="1" x14ac:dyDescent="0.25">
      <c r="A82" s="26" t="s">
        <v>333</v>
      </c>
      <c r="B82" s="26" t="s">
        <v>334</v>
      </c>
      <c r="C82" s="26" t="str">
        <f>CONCATENATE(A82, " ", B82)</f>
        <v>Sarah Yoder</v>
      </c>
      <c r="D82" s="26" t="s">
        <v>655</v>
      </c>
      <c r="E82" s="26" t="s">
        <v>953</v>
      </c>
      <c r="F82" s="26">
        <v>15278437</v>
      </c>
      <c r="G82" s="26" t="s">
        <v>48</v>
      </c>
      <c r="H82" s="26" t="s">
        <v>669</v>
      </c>
      <c r="I82" s="26" t="s">
        <v>670</v>
      </c>
      <c r="J82" s="26" t="s">
        <v>704</v>
      </c>
      <c r="K82" s="27">
        <v>338919869</v>
      </c>
      <c r="L82" s="26" t="s">
        <v>667</v>
      </c>
      <c r="M82" s="19">
        <f>DATEDIF(J82,L82,"M")</f>
        <v>5</v>
      </c>
      <c r="N82" s="19" t="s">
        <v>956</v>
      </c>
      <c r="O82" s="19" t="s">
        <v>958</v>
      </c>
      <c r="P82" s="28">
        <v>25</v>
      </c>
      <c r="Q82" s="29">
        <v>0.32</v>
      </c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>
        <v>8</v>
      </c>
      <c r="BF82" s="19" t="s">
        <v>961</v>
      </c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</row>
    <row r="83" spans="1:94" s="19" customFormat="1" x14ac:dyDescent="0.25">
      <c r="A83" t="s">
        <v>567</v>
      </c>
      <c r="B83" t="s">
        <v>568</v>
      </c>
      <c r="C83" t="str">
        <f>CONCATENATE(A83, " ", B83)</f>
        <v>Calogero Interrante</v>
      </c>
      <c r="D83" t="s">
        <v>655</v>
      </c>
      <c r="E83" t="s">
        <v>934</v>
      </c>
      <c r="F83">
        <v>17425766</v>
      </c>
      <c r="G83" t="s">
        <v>48</v>
      </c>
      <c r="H83" t="s">
        <v>669</v>
      </c>
      <c r="I83" t="s">
        <v>670</v>
      </c>
      <c r="J83" t="s">
        <v>675</v>
      </c>
      <c r="K83" s="17">
        <v>588549415</v>
      </c>
      <c r="L83" t="s">
        <v>667</v>
      </c>
      <c r="M83" s="19">
        <f>DATEDIF(J83,L83,"M")</f>
        <v>6</v>
      </c>
      <c r="N83" s="19" t="s">
        <v>956</v>
      </c>
      <c r="O83" s="19" t="s">
        <v>958</v>
      </c>
      <c r="P83" s="14">
        <v>30</v>
      </c>
      <c r="Q83" s="18">
        <v>0.32</v>
      </c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>
        <v>9.6</v>
      </c>
      <c r="BF83" s="19" t="s">
        <v>961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</row>
    <row r="84" spans="1:94" s="19" customFormat="1" x14ac:dyDescent="0.25">
      <c r="A84" t="s">
        <v>527</v>
      </c>
      <c r="B84" t="s">
        <v>528</v>
      </c>
      <c r="C84" t="str">
        <f>CONCATENATE(A84, " ", B84)</f>
        <v>Zhenhua Jiang</v>
      </c>
      <c r="D84" t="s">
        <v>657</v>
      </c>
      <c r="E84" t="s">
        <v>935</v>
      </c>
      <c r="F84">
        <v>19279958</v>
      </c>
      <c r="G84" t="s">
        <v>48</v>
      </c>
      <c r="H84" t="s">
        <v>669</v>
      </c>
      <c r="I84" t="s">
        <v>670</v>
      </c>
      <c r="J84" t="s">
        <v>675</v>
      </c>
      <c r="K84" s="17">
        <v>389218592</v>
      </c>
      <c r="L84" t="s">
        <v>667</v>
      </c>
      <c r="M84" s="19">
        <f>DATEDIF(J84,L84,"M")</f>
        <v>6</v>
      </c>
      <c r="N84" s="19" t="s">
        <v>956</v>
      </c>
      <c r="O84" s="19" t="s">
        <v>958</v>
      </c>
      <c r="P84" s="14">
        <v>25</v>
      </c>
      <c r="Q84" s="18">
        <v>0.32</v>
      </c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</v>
      </c>
      <c r="BF84" s="19" t="s">
        <v>961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 s="23"/>
      <c r="CP84" s="23"/>
    </row>
    <row r="85" spans="1:94" x14ac:dyDescent="0.25">
      <c r="A85" t="s">
        <v>527</v>
      </c>
      <c r="B85" t="s">
        <v>528</v>
      </c>
      <c r="C85" t="str">
        <f>CONCATENATE(A85, " ", B85)</f>
        <v>Zhenhua Jiang</v>
      </c>
      <c r="D85" t="s">
        <v>657</v>
      </c>
      <c r="E85" t="s">
        <v>935</v>
      </c>
      <c r="F85">
        <v>19279958</v>
      </c>
      <c r="G85" t="s">
        <v>27</v>
      </c>
      <c r="H85" t="s">
        <v>660</v>
      </c>
      <c r="I85" t="s">
        <v>661</v>
      </c>
      <c r="J85" t="s">
        <v>675</v>
      </c>
      <c r="K85" s="17">
        <v>914937325</v>
      </c>
      <c r="L85" t="s">
        <v>667</v>
      </c>
      <c r="M85" s="19">
        <f>DATEDIF(J85,L85,"M")</f>
        <v>6</v>
      </c>
      <c r="N85" s="19" t="s">
        <v>956</v>
      </c>
      <c r="O85" s="19" t="s">
        <v>958</v>
      </c>
      <c r="P85" s="14">
        <v>11</v>
      </c>
      <c r="Q85" s="18">
        <v>0.37</v>
      </c>
      <c r="BE85">
        <v>4.07</v>
      </c>
      <c r="BF85" s="19" t="s">
        <v>962</v>
      </c>
      <c r="CO85" s="23"/>
      <c r="CP85" s="23"/>
    </row>
    <row r="86" spans="1:94" x14ac:dyDescent="0.25">
      <c r="A86" t="s">
        <v>233</v>
      </c>
      <c r="B86" t="s">
        <v>234</v>
      </c>
      <c r="C86" t="str">
        <f>CONCATENATE(A86, " ", B86)</f>
        <v>Eugene Hanes Jr.</v>
      </c>
      <c r="D86" t="s">
        <v>657</v>
      </c>
      <c r="E86" t="s">
        <v>935</v>
      </c>
      <c r="F86">
        <v>19279958</v>
      </c>
      <c r="G86" t="s">
        <v>157</v>
      </c>
      <c r="H86" t="s">
        <v>669</v>
      </c>
      <c r="I86" t="s">
        <v>670</v>
      </c>
      <c r="J86" t="s">
        <v>682</v>
      </c>
      <c r="K86" s="17">
        <v>975782157</v>
      </c>
      <c r="L86" t="s">
        <v>210</v>
      </c>
      <c r="M86" s="19">
        <f>DATEDIF(J86,L86,"M")</f>
        <v>7</v>
      </c>
      <c r="N86" s="19" t="s">
        <v>956</v>
      </c>
      <c r="O86" s="19" t="s">
        <v>958</v>
      </c>
      <c r="P86" s="14">
        <v>66</v>
      </c>
      <c r="Q86" s="18">
        <v>0.24</v>
      </c>
      <c r="BE86">
        <v>15.84</v>
      </c>
      <c r="BF86" s="19" t="s">
        <v>960</v>
      </c>
      <c r="CO86" s="26"/>
      <c r="CP86" s="26"/>
    </row>
    <row r="87" spans="1:94" x14ac:dyDescent="0.25">
      <c r="A87" t="s">
        <v>357</v>
      </c>
      <c r="B87" t="s">
        <v>358</v>
      </c>
      <c r="C87" t="str">
        <f>CONCATENATE(A87, " ", B87)</f>
        <v>Lori Bottenfield</v>
      </c>
      <c r="D87" t="s">
        <v>727</v>
      </c>
      <c r="E87" t="s">
        <v>938</v>
      </c>
      <c r="F87" t="s">
        <v>950</v>
      </c>
      <c r="G87" t="s">
        <v>48</v>
      </c>
      <c r="H87" t="s">
        <v>669</v>
      </c>
      <c r="I87" t="s">
        <v>670</v>
      </c>
      <c r="J87" t="s">
        <v>710</v>
      </c>
      <c r="K87" s="17">
        <v>176713886</v>
      </c>
      <c r="L87" t="s">
        <v>667</v>
      </c>
      <c r="M87" s="19">
        <f>DATEDIF(J87,L87,"M")</f>
        <v>7</v>
      </c>
      <c r="N87" s="19" t="s">
        <v>956</v>
      </c>
      <c r="O87" s="19" t="s">
        <v>958</v>
      </c>
      <c r="P87" s="14">
        <v>25</v>
      </c>
      <c r="Q87" s="18">
        <v>0.32</v>
      </c>
      <c r="BE87">
        <v>8</v>
      </c>
      <c r="BF87" s="19" t="s">
        <v>961</v>
      </c>
    </row>
    <row r="88" spans="1:94" x14ac:dyDescent="0.25">
      <c r="A88" t="s">
        <v>458</v>
      </c>
      <c r="B88" t="s">
        <v>459</v>
      </c>
      <c r="C88" t="str">
        <f>CONCATENATE(A88, " ", B88)</f>
        <v>Satya Southall</v>
      </c>
      <c r="D88" t="s">
        <v>657</v>
      </c>
      <c r="E88" t="s">
        <v>935</v>
      </c>
      <c r="F88">
        <v>19279958</v>
      </c>
      <c r="G88" t="s">
        <v>48</v>
      </c>
      <c r="H88" t="s">
        <v>669</v>
      </c>
      <c r="I88" t="s">
        <v>670</v>
      </c>
      <c r="J88" t="s">
        <v>710</v>
      </c>
      <c r="K88" s="17">
        <v>896294214</v>
      </c>
      <c r="L88" t="s">
        <v>667</v>
      </c>
      <c r="M88" s="19">
        <f>DATEDIF(J88,L88,"M")</f>
        <v>7</v>
      </c>
      <c r="N88" s="19" t="s">
        <v>956</v>
      </c>
      <c r="O88" s="19" t="s">
        <v>958</v>
      </c>
      <c r="P88" s="14">
        <v>25</v>
      </c>
      <c r="Q88" s="18">
        <v>0.32</v>
      </c>
      <c r="BE88">
        <v>8</v>
      </c>
      <c r="BF88" s="19" t="s">
        <v>961</v>
      </c>
      <c r="CO88" s="23"/>
      <c r="CP88" s="23"/>
    </row>
    <row r="89" spans="1:94" x14ac:dyDescent="0.25">
      <c r="A89" t="s">
        <v>52</v>
      </c>
      <c r="B89" t="s">
        <v>53</v>
      </c>
      <c r="C89" t="str">
        <f>CONCATENATE(A89, " ", B89)</f>
        <v>Ahmed Ismaeil</v>
      </c>
      <c r="D89" t="s">
        <v>657</v>
      </c>
      <c r="E89" t="s">
        <v>935</v>
      </c>
      <c r="F89">
        <v>19279958</v>
      </c>
      <c r="G89" t="s">
        <v>48</v>
      </c>
      <c r="H89" t="s">
        <v>669</v>
      </c>
      <c r="I89" t="s">
        <v>670</v>
      </c>
      <c r="J89" t="s">
        <v>710</v>
      </c>
      <c r="K89" s="17">
        <v>507495690</v>
      </c>
      <c r="L89" t="s">
        <v>667</v>
      </c>
      <c r="M89" s="19">
        <f>DATEDIF(J89,L89,"M")</f>
        <v>7</v>
      </c>
      <c r="N89" s="19" t="s">
        <v>956</v>
      </c>
      <c r="O89" s="19" t="s">
        <v>958</v>
      </c>
      <c r="P89" s="14">
        <v>25</v>
      </c>
      <c r="Q89" s="18">
        <v>0.32</v>
      </c>
      <c r="BE89">
        <v>8</v>
      </c>
      <c r="BF89" s="19" t="s">
        <v>961</v>
      </c>
      <c r="CO89" s="26"/>
      <c r="CP89" s="26"/>
    </row>
    <row r="90" spans="1:94" x14ac:dyDescent="0.25">
      <c r="A90" t="s">
        <v>238</v>
      </c>
      <c r="B90" t="s">
        <v>239</v>
      </c>
      <c r="C90" t="str">
        <f>CONCATENATE(A90, " ", B90)</f>
        <v>Zuleika Rosa Salgado</v>
      </c>
      <c r="D90" t="s">
        <v>657</v>
      </c>
      <c r="E90" t="s">
        <v>935</v>
      </c>
      <c r="F90">
        <v>19279958</v>
      </c>
      <c r="G90" t="s">
        <v>48</v>
      </c>
      <c r="H90" t="s">
        <v>669</v>
      </c>
      <c r="I90" t="s">
        <v>670</v>
      </c>
      <c r="J90" t="s">
        <v>682</v>
      </c>
      <c r="K90" s="17">
        <v>701882993</v>
      </c>
      <c r="L90" t="s">
        <v>210</v>
      </c>
      <c r="M90" s="19">
        <f>DATEDIF(J90,L90,"M")</f>
        <v>7</v>
      </c>
      <c r="N90" s="19" t="s">
        <v>956</v>
      </c>
      <c r="O90" s="19" t="s">
        <v>958</v>
      </c>
      <c r="P90" s="14">
        <v>58</v>
      </c>
      <c r="Q90" s="18">
        <v>0.32</v>
      </c>
      <c r="BE90">
        <v>18.559999999999999</v>
      </c>
      <c r="BF90" s="19" t="s">
        <v>961</v>
      </c>
      <c r="CO90" s="26"/>
      <c r="CP90" s="26"/>
    </row>
    <row r="91" spans="1:94" x14ac:dyDescent="0.25">
      <c r="A91" t="s">
        <v>380</v>
      </c>
      <c r="B91" t="s">
        <v>151</v>
      </c>
      <c r="C91" t="str">
        <f>CONCATENATE(A91, " ", B91)</f>
        <v>Jean Francois Agbodjogbe</v>
      </c>
      <c r="D91" t="s">
        <v>657</v>
      </c>
      <c r="E91" t="s">
        <v>935</v>
      </c>
      <c r="F91">
        <v>19279958</v>
      </c>
      <c r="G91" t="s">
        <v>27</v>
      </c>
      <c r="H91" t="s">
        <v>660</v>
      </c>
      <c r="I91" t="s">
        <v>661</v>
      </c>
      <c r="J91" t="s">
        <v>710</v>
      </c>
      <c r="K91" s="17">
        <v>971745723</v>
      </c>
      <c r="L91" t="s">
        <v>667</v>
      </c>
      <c r="M91" s="19">
        <f>DATEDIF(J91,L91,"M")</f>
        <v>7</v>
      </c>
      <c r="N91" s="19" t="s">
        <v>956</v>
      </c>
      <c r="O91" s="19" t="s">
        <v>958</v>
      </c>
      <c r="P91" s="14">
        <v>11</v>
      </c>
      <c r="Q91" s="18">
        <v>0.37</v>
      </c>
      <c r="BE91">
        <v>4.07</v>
      </c>
      <c r="BF91" s="19" t="s">
        <v>962</v>
      </c>
    </row>
    <row r="92" spans="1:94" x14ac:dyDescent="0.25">
      <c r="A92" t="s">
        <v>400</v>
      </c>
      <c r="B92" t="s">
        <v>401</v>
      </c>
      <c r="C92" t="str">
        <f>CONCATENATE(A92, " ", B92)</f>
        <v>John Fritz</v>
      </c>
      <c r="D92" t="s">
        <v>698</v>
      </c>
      <c r="E92" t="s">
        <v>934</v>
      </c>
      <c r="F92">
        <v>17425766</v>
      </c>
      <c r="G92" t="s">
        <v>157</v>
      </c>
      <c r="H92" t="s">
        <v>669</v>
      </c>
      <c r="I92" t="s">
        <v>670</v>
      </c>
      <c r="J92" t="s">
        <v>682</v>
      </c>
      <c r="K92" s="17">
        <v>303162685</v>
      </c>
      <c r="L92" t="s">
        <v>667</v>
      </c>
      <c r="M92" s="19">
        <f>DATEDIF(J92,L92,"M")</f>
        <v>8</v>
      </c>
      <c r="N92" s="19" t="s">
        <v>956</v>
      </c>
      <c r="O92" s="19" t="s">
        <v>958</v>
      </c>
      <c r="P92" s="14">
        <v>74</v>
      </c>
      <c r="Q92" s="18">
        <v>0.24</v>
      </c>
      <c r="BE92">
        <v>17.760000000000002</v>
      </c>
      <c r="BF92" s="19" t="s">
        <v>960</v>
      </c>
    </row>
    <row r="93" spans="1:94" x14ac:dyDescent="0.25">
      <c r="A93" t="s">
        <v>102</v>
      </c>
      <c r="B93" t="s">
        <v>103</v>
      </c>
      <c r="C93" t="str">
        <f>CONCATENATE(A93, " ", B93)</f>
        <v>Steven Cohen</v>
      </c>
      <c r="D93" t="s">
        <v>702</v>
      </c>
      <c r="E93" t="s">
        <v>947</v>
      </c>
      <c r="F93">
        <v>9213293</v>
      </c>
      <c r="G93" t="s">
        <v>38</v>
      </c>
      <c r="H93" t="s">
        <v>669</v>
      </c>
      <c r="I93" t="s">
        <v>670</v>
      </c>
      <c r="J93" t="s">
        <v>682</v>
      </c>
      <c r="K93" s="17">
        <v>348104279</v>
      </c>
      <c r="L93" t="s">
        <v>667</v>
      </c>
      <c r="M93" s="19">
        <f>DATEDIF(J93,L93,"M")</f>
        <v>8</v>
      </c>
      <c r="N93" s="19" t="s">
        <v>956</v>
      </c>
      <c r="O93" s="19" t="s">
        <v>958</v>
      </c>
      <c r="P93" s="14">
        <v>185</v>
      </c>
      <c r="Q93" s="18">
        <v>0.24</v>
      </c>
      <c r="BE93">
        <v>44.4</v>
      </c>
      <c r="BF93" s="19" t="s">
        <v>960</v>
      </c>
    </row>
    <row r="94" spans="1:94" x14ac:dyDescent="0.25">
      <c r="A94" t="s">
        <v>380</v>
      </c>
      <c r="B94" t="s">
        <v>151</v>
      </c>
      <c r="C94" t="str">
        <f>CONCATENATE(A94, " ", B94)</f>
        <v>Jean Francois Agbodjogbe</v>
      </c>
      <c r="D94" t="s">
        <v>657</v>
      </c>
      <c r="E94" t="s">
        <v>935</v>
      </c>
      <c r="F94">
        <v>19279958</v>
      </c>
      <c r="G94" t="s">
        <v>48</v>
      </c>
      <c r="H94" t="s">
        <v>669</v>
      </c>
      <c r="I94" t="s">
        <v>670</v>
      </c>
      <c r="J94" t="s">
        <v>682</v>
      </c>
      <c r="K94" s="17">
        <v>230444946</v>
      </c>
      <c r="L94" t="s">
        <v>667</v>
      </c>
      <c r="M94" s="19">
        <f>DATEDIF(J94,L94,"M")</f>
        <v>8</v>
      </c>
      <c r="N94" s="19" t="s">
        <v>956</v>
      </c>
      <c r="O94" s="19" t="s">
        <v>958</v>
      </c>
      <c r="P94" s="14">
        <v>25</v>
      </c>
      <c r="Q94" s="18">
        <v>0.32</v>
      </c>
      <c r="BE94">
        <v>8</v>
      </c>
      <c r="BF94" s="19" t="s">
        <v>961</v>
      </c>
      <c r="CO94" s="19"/>
      <c r="CP94" s="19"/>
    </row>
    <row r="95" spans="1:94" x14ac:dyDescent="0.25">
      <c r="A95" t="s">
        <v>67</v>
      </c>
      <c r="B95" t="s">
        <v>68</v>
      </c>
      <c r="C95" t="str">
        <f>CONCATENATE(A95, " ", B95)</f>
        <v>Brigitte Wilkinson</v>
      </c>
      <c r="D95" t="s">
        <v>657</v>
      </c>
      <c r="E95" t="s">
        <v>935</v>
      </c>
      <c r="F95">
        <v>19279958</v>
      </c>
      <c r="G95" t="s">
        <v>48</v>
      </c>
      <c r="H95" t="s">
        <v>669</v>
      </c>
      <c r="I95" t="s">
        <v>670</v>
      </c>
      <c r="J95" t="s">
        <v>682</v>
      </c>
      <c r="K95" s="17">
        <v>984523223</v>
      </c>
      <c r="L95" t="s">
        <v>667</v>
      </c>
      <c r="M95" s="19">
        <f>DATEDIF(J95,L95,"M")</f>
        <v>8</v>
      </c>
      <c r="N95" s="19" t="s">
        <v>956</v>
      </c>
      <c r="O95" s="19" t="s">
        <v>958</v>
      </c>
      <c r="P95" s="14">
        <v>30</v>
      </c>
      <c r="Q95" s="18">
        <v>0.32</v>
      </c>
      <c r="BE95">
        <v>9.6</v>
      </c>
      <c r="BF95" s="19" t="s">
        <v>961</v>
      </c>
      <c r="CO95" s="26"/>
      <c r="CP95" s="26"/>
    </row>
    <row r="96" spans="1:94" x14ac:dyDescent="0.25">
      <c r="A96" s="26" t="s">
        <v>495</v>
      </c>
      <c r="B96" s="26" t="s">
        <v>496</v>
      </c>
      <c r="C96" s="26" t="str">
        <f>CONCATENATE(A96, " ", B96)</f>
        <v>Julie Bryant</v>
      </c>
      <c r="D96" s="26" t="s">
        <v>657</v>
      </c>
      <c r="E96" s="26" t="s">
        <v>952</v>
      </c>
      <c r="F96" s="26">
        <v>17195620</v>
      </c>
      <c r="G96" s="26" t="s">
        <v>48</v>
      </c>
      <c r="H96" s="26" t="s">
        <v>669</v>
      </c>
      <c r="I96" s="26" t="s">
        <v>670</v>
      </c>
      <c r="J96" s="26" t="s">
        <v>682</v>
      </c>
      <c r="K96" s="27">
        <v>954518880</v>
      </c>
      <c r="L96" s="26" t="s">
        <v>667</v>
      </c>
      <c r="M96" s="19">
        <f>DATEDIF(J96,L96,"M")</f>
        <v>8</v>
      </c>
      <c r="N96" s="19" t="s">
        <v>956</v>
      </c>
      <c r="O96" s="19" t="s">
        <v>958</v>
      </c>
      <c r="P96" s="28">
        <v>50</v>
      </c>
      <c r="Q96" s="29">
        <v>0.32</v>
      </c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>
        <v>16</v>
      </c>
      <c r="BF96" s="19" t="s">
        <v>961</v>
      </c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19"/>
      <c r="CP96" s="19"/>
    </row>
    <row r="97" spans="1:94" x14ac:dyDescent="0.25">
      <c r="A97" s="26" t="s">
        <v>96</v>
      </c>
      <c r="B97" s="26" t="s">
        <v>97</v>
      </c>
      <c r="C97" s="26" t="str">
        <f>CONCATENATE(A97, " ", B97)</f>
        <v>Michael Suskin</v>
      </c>
      <c r="D97" s="26" t="s">
        <v>657</v>
      </c>
      <c r="E97" s="26" t="s">
        <v>952</v>
      </c>
      <c r="F97" s="26">
        <v>17195620</v>
      </c>
      <c r="G97" s="26" t="s">
        <v>48</v>
      </c>
      <c r="H97" s="26" t="s">
        <v>669</v>
      </c>
      <c r="I97" s="26" t="s">
        <v>670</v>
      </c>
      <c r="J97" s="26" t="s">
        <v>682</v>
      </c>
      <c r="K97" s="27">
        <v>58861441</v>
      </c>
      <c r="L97" s="26" t="s">
        <v>667</v>
      </c>
      <c r="M97" s="19">
        <f>DATEDIF(J97,L97,"M")</f>
        <v>8</v>
      </c>
      <c r="N97" s="19" t="s">
        <v>956</v>
      </c>
      <c r="O97" s="19" t="s">
        <v>958</v>
      </c>
      <c r="P97" s="28">
        <v>25</v>
      </c>
      <c r="Q97" s="29">
        <v>0.32</v>
      </c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>
        <v>8</v>
      </c>
      <c r="BF97" s="19" t="s">
        <v>961</v>
      </c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19"/>
      <c r="CP97" s="19"/>
    </row>
    <row r="98" spans="1:94" x14ac:dyDescent="0.25">
      <c r="A98" t="s">
        <v>67</v>
      </c>
      <c r="B98" t="s">
        <v>68</v>
      </c>
      <c r="C98" t="str">
        <f>CONCATENATE(A98, " ", B98)</f>
        <v>Brigitte Wilkinson</v>
      </c>
      <c r="D98" t="s">
        <v>657</v>
      </c>
      <c r="E98" t="s">
        <v>935</v>
      </c>
      <c r="F98">
        <v>19279958</v>
      </c>
      <c r="G98" t="s">
        <v>27</v>
      </c>
      <c r="H98" t="s">
        <v>660</v>
      </c>
      <c r="I98" t="s">
        <v>661</v>
      </c>
      <c r="J98" t="s">
        <v>682</v>
      </c>
      <c r="K98" s="17">
        <v>245549848</v>
      </c>
      <c r="L98" t="s">
        <v>667</v>
      </c>
      <c r="M98" s="19">
        <f>DATEDIF(J98,L98,"M")</f>
        <v>8</v>
      </c>
      <c r="N98" s="19" t="s">
        <v>956</v>
      </c>
      <c r="O98" s="19" t="s">
        <v>958</v>
      </c>
      <c r="P98" s="14">
        <v>11</v>
      </c>
      <c r="Q98" s="18">
        <v>0.37</v>
      </c>
      <c r="BE98">
        <v>4.07</v>
      </c>
      <c r="BF98" s="19" t="s">
        <v>962</v>
      </c>
      <c r="CO98" s="26"/>
      <c r="CP98" s="26"/>
    </row>
    <row r="99" spans="1:94" x14ac:dyDescent="0.25">
      <c r="A99" s="26" t="s">
        <v>521</v>
      </c>
      <c r="B99" s="26" t="s">
        <v>522</v>
      </c>
      <c r="C99" s="26" t="str">
        <f>CONCATENATE(A99, " ", B99)</f>
        <v>Jose Manansala</v>
      </c>
      <c r="D99" s="26" t="s">
        <v>657</v>
      </c>
      <c r="E99" s="26" t="s">
        <v>952</v>
      </c>
      <c r="F99" s="26">
        <v>17195620</v>
      </c>
      <c r="G99" s="26" t="s">
        <v>48</v>
      </c>
      <c r="H99" s="26" t="s">
        <v>669</v>
      </c>
      <c r="I99" s="26" t="s">
        <v>670</v>
      </c>
      <c r="J99" s="26" t="s">
        <v>707</v>
      </c>
      <c r="K99" s="27">
        <v>762673318</v>
      </c>
      <c r="L99" s="26" t="s">
        <v>667</v>
      </c>
      <c r="M99" s="19">
        <f>DATEDIF(J99,L99,"M")</f>
        <v>9</v>
      </c>
      <c r="N99" s="19" t="s">
        <v>956</v>
      </c>
      <c r="O99" s="19" t="s">
        <v>958</v>
      </c>
      <c r="P99" s="28">
        <v>50</v>
      </c>
      <c r="Q99" s="29">
        <v>0.32</v>
      </c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>
        <v>16</v>
      </c>
      <c r="BF99" s="19" t="s">
        <v>961</v>
      </c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19"/>
      <c r="CP99" s="19"/>
    </row>
    <row r="100" spans="1:94" x14ac:dyDescent="0.25">
      <c r="A100" s="26" t="s">
        <v>521</v>
      </c>
      <c r="B100" s="26" t="s">
        <v>522</v>
      </c>
      <c r="C100" s="26" t="str">
        <f>CONCATENATE(A100, " ", B100)</f>
        <v>Jose Manansala</v>
      </c>
      <c r="D100" s="26" t="s">
        <v>657</v>
      </c>
      <c r="E100" s="26" t="s">
        <v>952</v>
      </c>
      <c r="F100" s="26">
        <v>17195620</v>
      </c>
      <c r="G100" s="26" t="s">
        <v>27</v>
      </c>
      <c r="H100" s="26" t="s">
        <v>660</v>
      </c>
      <c r="I100" s="26" t="s">
        <v>661</v>
      </c>
      <c r="J100" s="26" t="s">
        <v>707</v>
      </c>
      <c r="K100" s="27">
        <v>245268586</v>
      </c>
      <c r="L100" s="26" t="s">
        <v>667</v>
      </c>
      <c r="M100" s="19">
        <f>DATEDIF(J100,L100,"M")</f>
        <v>9</v>
      </c>
      <c r="N100" s="19" t="s">
        <v>956</v>
      </c>
      <c r="O100" s="19" t="s">
        <v>958</v>
      </c>
      <c r="P100" s="28">
        <v>15</v>
      </c>
      <c r="Q100" s="29">
        <v>0.37</v>
      </c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>
        <v>5.55</v>
      </c>
      <c r="BF100" s="19" t="s">
        <v>962</v>
      </c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19"/>
      <c r="CP100" s="19"/>
    </row>
    <row r="101" spans="1:94" x14ac:dyDescent="0.25">
      <c r="A101" t="s">
        <v>202</v>
      </c>
      <c r="B101" t="s">
        <v>203</v>
      </c>
      <c r="C101" t="str">
        <f>CONCATENATE(A101, " ", B101)</f>
        <v>Roderick Acha</v>
      </c>
      <c r="D101" t="s">
        <v>762</v>
      </c>
      <c r="E101" t="s">
        <v>942</v>
      </c>
      <c r="F101">
        <v>1706194</v>
      </c>
      <c r="G101" t="s">
        <v>87</v>
      </c>
      <c r="H101" t="s">
        <v>669</v>
      </c>
      <c r="I101" t="s">
        <v>670</v>
      </c>
      <c r="J101" t="s">
        <v>672</v>
      </c>
      <c r="K101" s="17">
        <v>690892951</v>
      </c>
      <c r="L101" t="s">
        <v>210</v>
      </c>
      <c r="M101" s="19">
        <f>DATEDIF(J101,L101,"M")</f>
        <v>10</v>
      </c>
      <c r="N101" s="19" t="s">
        <v>956</v>
      </c>
      <c r="O101" s="19" t="s">
        <v>958</v>
      </c>
      <c r="P101" s="14">
        <v>93</v>
      </c>
      <c r="Q101" s="18">
        <v>0.24</v>
      </c>
      <c r="BE101">
        <v>22.32</v>
      </c>
      <c r="BF101" s="19" t="s">
        <v>960</v>
      </c>
    </row>
    <row r="102" spans="1:94" s="19" customFormat="1" x14ac:dyDescent="0.25">
      <c r="A102" t="s">
        <v>362</v>
      </c>
      <c r="B102" t="s">
        <v>363</v>
      </c>
      <c r="C102" t="str">
        <f>CONCATENATE(A102, " ", B102)</f>
        <v>Minnie Madden</v>
      </c>
      <c r="D102" t="s">
        <v>657</v>
      </c>
      <c r="E102" t="s">
        <v>364</v>
      </c>
      <c r="F102">
        <v>7387433</v>
      </c>
      <c r="G102" t="s">
        <v>48</v>
      </c>
      <c r="H102" t="s">
        <v>669</v>
      </c>
      <c r="I102" t="s">
        <v>670</v>
      </c>
      <c r="J102" t="s">
        <v>715</v>
      </c>
      <c r="K102" s="17">
        <v>224153635</v>
      </c>
      <c r="L102" t="s">
        <v>667</v>
      </c>
      <c r="M102" s="19">
        <f>DATEDIF(J102,L102,"M")</f>
        <v>10</v>
      </c>
      <c r="N102" s="19" t="s">
        <v>956</v>
      </c>
      <c r="O102" s="19" t="s">
        <v>958</v>
      </c>
      <c r="P102" s="14">
        <v>25</v>
      </c>
      <c r="Q102" s="18">
        <v>0.32</v>
      </c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>
        <v>8</v>
      </c>
      <c r="BF102" s="19" t="s">
        <v>961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</row>
    <row r="103" spans="1:94" s="23" customFormat="1" x14ac:dyDescent="0.25">
      <c r="A103" s="26" t="s">
        <v>367</v>
      </c>
      <c r="B103" s="26" t="s">
        <v>368</v>
      </c>
      <c r="C103" s="26" t="str">
        <f>CONCATENATE(A103, " ", B103)</f>
        <v>Ann  Morgan</v>
      </c>
      <c r="D103" s="26" t="s">
        <v>657</v>
      </c>
      <c r="E103" s="26" t="s">
        <v>952</v>
      </c>
      <c r="F103" s="26">
        <v>17195620</v>
      </c>
      <c r="G103" s="26" t="s">
        <v>48</v>
      </c>
      <c r="H103" s="26" t="s">
        <v>669</v>
      </c>
      <c r="I103" s="26" t="s">
        <v>670</v>
      </c>
      <c r="J103" s="26" t="s">
        <v>715</v>
      </c>
      <c r="K103" s="27">
        <v>459325166</v>
      </c>
      <c r="L103" s="26" t="s">
        <v>667</v>
      </c>
      <c r="M103" s="19">
        <f>DATEDIF(J103,L103,"M")</f>
        <v>10</v>
      </c>
      <c r="N103" s="19" t="s">
        <v>956</v>
      </c>
      <c r="O103" s="19" t="s">
        <v>958</v>
      </c>
      <c r="P103" s="28">
        <v>30</v>
      </c>
      <c r="Q103" s="29">
        <v>0.32</v>
      </c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>
        <v>9.6</v>
      </c>
      <c r="BF103" s="19" t="s">
        <v>961</v>
      </c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19"/>
      <c r="CP103" s="19"/>
    </row>
    <row r="104" spans="1:94" s="23" customFormat="1" x14ac:dyDescent="0.25">
      <c r="A104" t="s">
        <v>202</v>
      </c>
      <c r="B104" t="s">
        <v>203</v>
      </c>
      <c r="C104" t="str">
        <f>CONCATENATE(A104, " ", B104)</f>
        <v>Roderick Acha</v>
      </c>
      <c r="D104" t="s">
        <v>762</v>
      </c>
      <c r="E104" t="s">
        <v>942</v>
      </c>
      <c r="F104">
        <v>1706194</v>
      </c>
      <c r="G104" t="s">
        <v>27</v>
      </c>
      <c r="H104" t="s">
        <v>660</v>
      </c>
      <c r="I104" t="s">
        <v>661</v>
      </c>
      <c r="J104" t="s">
        <v>672</v>
      </c>
      <c r="K104" s="17">
        <v>66621000</v>
      </c>
      <c r="L104" t="s">
        <v>210</v>
      </c>
      <c r="M104" s="19">
        <f>DATEDIF(J104,L104,"M")</f>
        <v>10</v>
      </c>
      <c r="N104" s="19" t="s">
        <v>956</v>
      </c>
      <c r="O104" s="19" t="s">
        <v>958</v>
      </c>
      <c r="P104" s="14">
        <v>20</v>
      </c>
      <c r="Q104" s="18">
        <v>0.37</v>
      </c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7.4</v>
      </c>
      <c r="BF104" s="19" t="s">
        <v>962</v>
      </c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</row>
    <row r="105" spans="1:94" s="23" customFormat="1" x14ac:dyDescent="0.25">
      <c r="A105" t="s">
        <v>266</v>
      </c>
      <c r="B105" t="s">
        <v>267</v>
      </c>
      <c r="C105" t="str">
        <f>CONCATENATE(A105, " ", B105)</f>
        <v>Dana Wasimin</v>
      </c>
      <c r="D105" t="s">
        <v>655</v>
      </c>
      <c r="E105" t="s">
        <v>945</v>
      </c>
      <c r="F105">
        <v>18010408</v>
      </c>
      <c r="G105" t="s">
        <v>157</v>
      </c>
      <c r="H105" t="s">
        <v>669</v>
      </c>
      <c r="I105" t="s">
        <v>670</v>
      </c>
      <c r="J105" t="s">
        <v>737</v>
      </c>
      <c r="K105" s="17">
        <v>476855083</v>
      </c>
      <c r="L105" t="s">
        <v>210</v>
      </c>
      <c r="M105" s="19">
        <f>DATEDIF(J105,L105,"M")</f>
        <v>11</v>
      </c>
      <c r="N105" s="19" t="s">
        <v>956</v>
      </c>
      <c r="O105" s="19" t="s">
        <v>958</v>
      </c>
      <c r="P105" s="14">
        <v>132</v>
      </c>
      <c r="Q105" s="18">
        <v>0.24</v>
      </c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>
        <v>31.68</v>
      </c>
      <c r="BF105" s="19" t="s">
        <v>960</v>
      </c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</row>
    <row r="106" spans="1:94" s="26" customFormat="1" x14ac:dyDescent="0.25">
      <c r="A106" t="s">
        <v>252</v>
      </c>
      <c r="B106" t="s">
        <v>253</v>
      </c>
      <c r="C106" t="str">
        <f>CONCATENATE(A106, " ", B106)</f>
        <v>Demetris Jones</v>
      </c>
      <c r="D106" t="s">
        <v>657</v>
      </c>
      <c r="E106" t="s">
        <v>945</v>
      </c>
      <c r="F106">
        <v>18010408</v>
      </c>
      <c r="G106" t="s">
        <v>157</v>
      </c>
      <c r="H106" t="s">
        <v>669</v>
      </c>
      <c r="I106" t="s">
        <v>670</v>
      </c>
      <c r="J106" t="s">
        <v>737</v>
      </c>
      <c r="K106" s="17">
        <v>384672439</v>
      </c>
      <c r="L106" t="s">
        <v>210</v>
      </c>
      <c r="M106" s="19">
        <f>DATEDIF(J106,L106,"M")</f>
        <v>11</v>
      </c>
      <c r="N106" s="19" t="s">
        <v>956</v>
      </c>
      <c r="O106" s="19" t="s">
        <v>958</v>
      </c>
      <c r="P106" s="14">
        <v>66</v>
      </c>
      <c r="Q106" s="18">
        <v>0.24</v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>
        <v>15.84</v>
      </c>
      <c r="BF106" s="19" t="s">
        <v>960</v>
      </c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</row>
    <row r="107" spans="1:94" s="26" customFormat="1" x14ac:dyDescent="0.25">
      <c r="A107" t="s">
        <v>90</v>
      </c>
      <c r="B107" t="s">
        <v>91</v>
      </c>
      <c r="C107" t="str">
        <f>CONCATENATE(A107, " ", B107)</f>
        <v>Charles Block-Almazan</v>
      </c>
      <c r="D107" t="s">
        <v>861</v>
      </c>
      <c r="E107" t="s">
        <v>942</v>
      </c>
      <c r="F107">
        <v>1706194</v>
      </c>
      <c r="G107" t="s">
        <v>87</v>
      </c>
      <c r="H107" t="s">
        <v>669</v>
      </c>
      <c r="I107" t="s">
        <v>670</v>
      </c>
      <c r="J107" t="s">
        <v>672</v>
      </c>
      <c r="K107" s="17">
        <v>624218472</v>
      </c>
      <c r="L107" t="s">
        <v>667</v>
      </c>
      <c r="M107" s="19">
        <f>DATEDIF(J107,L107,"M")</f>
        <v>11</v>
      </c>
      <c r="N107" s="19" t="s">
        <v>956</v>
      </c>
      <c r="O107" s="19" t="s">
        <v>958</v>
      </c>
      <c r="P107" s="14">
        <v>61</v>
      </c>
      <c r="Q107" s="18">
        <v>0.24</v>
      </c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>
        <v>14.64</v>
      </c>
      <c r="BF107" s="19" t="s">
        <v>960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</row>
    <row r="108" spans="1:94" s="26" customFormat="1" x14ac:dyDescent="0.25">
      <c r="A108" t="s">
        <v>83</v>
      </c>
      <c r="B108" t="s">
        <v>84</v>
      </c>
      <c r="C108" t="str">
        <f>CONCATENATE(A108, " ", B108)</f>
        <v>Jospeh Morris II</v>
      </c>
      <c r="D108" t="s">
        <v>828</v>
      </c>
      <c r="E108" t="s">
        <v>942</v>
      </c>
      <c r="F108">
        <v>1706194</v>
      </c>
      <c r="G108" t="s">
        <v>87</v>
      </c>
      <c r="H108" t="s">
        <v>669</v>
      </c>
      <c r="I108" t="s">
        <v>670</v>
      </c>
      <c r="J108" t="s">
        <v>672</v>
      </c>
      <c r="K108" s="17">
        <v>864594072</v>
      </c>
      <c r="L108" t="s">
        <v>667</v>
      </c>
      <c r="M108" s="19">
        <f>DATEDIF(J108,L108,"M")</f>
        <v>11</v>
      </c>
      <c r="N108" s="19" t="s">
        <v>956</v>
      </c>
      <c r="O108" s="19" t="s">
        <v>958</v>
      </c>
      <c r="P108" s="14">
        <v>25</v>
      </c>
      <c r="Q108" s="18">
        <v>0.24</v>
      </c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>
        <v>6</v>
      </c>
      <c r="BF108" s="19" t="s">
        <v>960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</row>
    <row r="109" spans="1:94" s="26" customFormat="1" x14ac:dyDescent="0.25">
      <c r="A109" t="s">
        <v>266</v>
      </c>
      <c r="B109" t="s">
        <v>267</v>
      </c>
      <c r="C109" t="str">
        <f>CONCATENATE(A109, " ", B109)</f>
        <v>Dana Wasimin</v>
      </c>
      <c r="D109" t="s">
        <v>655</v>
      </c>
      <c r="E109" t="s">
        <v>945</v>
      </c>
      <c r="F109">
        <v>18010408</v>
      </c>
      <c r="G109" t="s">
        <v>27</v>
      </c>
      <c r="H109" t="s">
        <v>660</v>
      </c>
      <c r="I109" t="s">
        <v>661</v>
      </c>
      <c r="J109" t="s">
        <v>737</v>
      </c>
      <c r="K109" s="17">
        <v>583635919</v>
      </c>
      <c r="L109" t="s">
        <v>210</v>
      </c>
      <c r="M109" s="19">
        <f>DATEDIF(J109,L109,"M")</f>
        <v>11</v>
      </c>
      <c r="N109" s="19" t="s">
        <v>956</v>
      </c>
      <c r="O109" s="19" t="s">
        <v>958</v>
      </c>
      <c r="P109" s="14">
        <v>15</v>
      </c>
      <c r="Q109" s="18">
        <v>0.37</v>
      </c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>
        <v>5.55</v>
      </c>
      <c r="BF109" s="19" t="s">
        <v>962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</row>
    <row r="110" spans="1:94" s="26" customFormat="1" x14ac:dyDescent="0.25">
      <c r="A110" t="s">
        <v>252</v>
      </c>
      <c r="B110" t="s">
        <v>253</v>
      </c>
      <c r="C110" t="str">
        <f>CONCATENATE(A110, " ", B110)</f>
        <v>Demetris Jones</v>
      </c>
      <c r="D110" t="s">
        <v>657</v>
      </c>
      <c r="E110" t="s">
        <v>945</v>
      </c>
      <c r="F110">
        <v>18010408</v>
      </c>
      <c r="G110" t="s">
        <v>27</v>
      </c>
      <c r="H110" t="s">
        <v>660</v>
      </c>
      <c r="I110" t="s">
        <v>661</v>
      </c>
      <c r="J110" t="s">
        <v>737</v>
      </c>
      <c r="K110" s="17">
        <v>125532058</v>
      </c>
      <c r="L110" t="s">
        <v>210</v>
      </c>
      <c r="M110" s="19">
        <f>DATEDIF(J110,L110,"M")</f>
        <v>11</v>
      </c>
      <c r="N110" s="19" t="s">
        <v>956</v>
      </c>
      <c r="O110" s="19" t="s">
        <v>958</v>
      </c>
      <c r="P110" s="14">
        <v>11</v>
      </c>
      <c r="Q110" s="18">
        <v>0.37</v>
      </c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>
        <v>4.07</v>
      </c>
      <c r="BF110" s="19" t="s">
        <v>962</v>
      </c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</row>
    <row r="111" spans="1:94" s="26" customFormat="1" x14ac:dyDescent="0.25">
      <c r="A111" t="s">
        <v>478</v>
      </c>
      <c r="B111" t="s">
        <v>479</v>
      </c>
      <c r="C111" t="str">
        <f>CONCATENATE(A111, " ", B111)</f>
        <v>Monica ODonnell</v>
      </c>
      <c r="D111" t="s">
        <v>655</v>
      </c>
      <c r="E111" t="s">
        <v>945</v>
      </c>
      <c r="F111">
        <v>18010408</v>
      </c>
      <c r="G111" t="s">
        <v>157</v>
      </c>
      <c r="H111" t="s">
        <v>669</v>
      </c>
      <c r="I111" t="s">
        <v>670</v>
      </c>
      <c r="J111" t="s">
        <v>737</v>
      </c>
      <c r="K111" s="17">
        <v>40198305</v>
      </c>
      <c r="L111" t="s">
        <v>667</v>
      </c>
      <c r="M111" s="19">
        <f>DATEDIF(J111,L111,"M")</f>
        <v>12</v>
      </c>
      <c r="N111" s="19" t="s">
        <v>956</v>
      </c>
      <c r="O111" s="19" t="s">
        <v>958</v>
      </c>
      <c r="P111" s="14">
        <v>121</v>
      </c>
      <c r="Q111" s="18">
        <v>0.24</v>
      </c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>
        <v>29.04</v>
      </c>
      <c r="BF111" s="19" t="s">
        <v>960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</row>
    <row r="112" spans="1:94" s="26" customFormat="1" x14ac:dyDescent="0.25">
      <c r="A112" t="s">
        <v>243</v>
      </c>
      <c r="B112" t="s">
        <v>324</v>
      </c>
      <c r="C112" t="str">
        <f>CONCATENATE(A112, " ", B112)</f>
        <v>Emily Wike</v>
      </c>
      <c r="D112" t="s">
        <v>657</v>
      </c>
      <c r="E112" t="s">
        <v>945</v>
      </c>
      <c r="F112">
        <v>18010408</v>
      </c>
      <c r="G112" t="s">
        <v>157</v>
      </c>
      <c r="H112" t="s">
        <v>669</v>
      </c>
      <c r="I112" t="s">
        <v>670</v>
      </c>
      <c r="J112" t="s">
        <v>737</v>
      </c>
      <c r="K112" s="17">
        <v>688051988</v>
      </c>
      <c r="L112" t="s">
        <v>667</v>
      </c>
      <c r="M112" s="19">
        <f>DATEDIF(J112,L112,"M")</f>
        <v>12</v>
      </c>
      <c r="N112" s="19" t="s">
        <v>956</v>
      </c>
      <c r="O112" s="19" t="s">
        <v>958</v>
      </c>
      <c r="P112" s="14">
        <v>66</v>
      </c>
      <c r="Q112" s="18">
        <v>0.24</v>
      </c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15.84</v>
      </c>
      <c r="BF112" s="19" t="s">
        <v>960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</row>
    <row r="113" spans="1:94" s="26" customFormat="1" x14ac:dyDescent="0.25">
      <c r="A113" t="s">
        <v>478</v>
      </c>
      <c r="B113" t="s">
        <v>479</v>
      </c>
      <c r="C113" t="str">
        <f>CONCATENATE(A113, " ", B113)</f>
        <v>Monica ODonnell</v>
      </c>
      <c r="D113" t="s">
        <v>655</v>
      </c>
      <c r="E113" t="s">
        <v>945</v>
      </c>
      <c r="F113">
        <v>18010408</v>
      </c>
      <c r="G113" t="s">
        <v>27</v>
      </c>
      <c r="H113" t="s">
        <v>660</v>
      </c>
      <c r="I113" t="s">
        <v>661</v>
      </c>
      <c r="J113" t="s">
        <v>737</v>
      </c>
      <c r="K113" s="17">
        <v>868422442</v>
      </c>
      <c r="L113" t="s">
        <v>667</v>
      </c>
      <c r="M113" s="19">
        <f>DATEDIF(J113,L113,"M")</f>
        <v>12</v>
      </c>
      <c r="N113" s="19" t="s">
        <v>956</v>
      </c>
      <c r="O113" s="19" t="s">
        <v>958</v>
      </c>
      <c r="P113" s="14">
        <v>15</v>
      </c>
      <c r="Q113" s="18">
        <v>0.37</v>
      </c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>
        <v>5.55</v>
      </c>
      <c r="BF113" s="19" t="s">
        <v>962</v>
      </c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</row>
    <row r="114" spans="1:94" s="26" customFormat="1" x14ac:dyDescent="0.25">
      <c r="A114" t="s">
        <v>243</v>
      </c>
      <c r="B114" t="s">
        <v>324</v>
      </c>
      <c r="C114" t="str">
        <f>CONCATENATE(A114, " ", B114)</f>
        <v>Emily Wike</v>
      </c>
      <c r="D114" t="s">
        <v>657</v>
      </c>
      <c r="E114" t="s">
        <v>945</v>
      </c>
      <c r="F114">
        <v>18010408</v>
      </c>
      <c r="G114" t="s">
        <v>27</v>
      </c>
      <c r="H114" t="s">
        <v>660</v>
      </c>
      <c r="I114" t="s">
        <v>661</v>
      </c>
      <c r="J114" t="s">
        <v>737</v>
      </c>
      <c r="K114" s="17">
        <v>746163392</v>
      </c>
      <c r="L114" t="s">
        <v>667</v>
      </c>
      <c r="M114" s="19">
        <f>DATEDIF(J114,L114,"M")</f>
        <v>12</v>
      </c>
      <c r="N114" s="19" t="s">
        <v>956</v>
      </c>
      <c r="O114" s="19" t="s">
        <v>958</v>
      </c>
      <c r="P114" s="14">
        <v>11</v>
      </c>
      <c r="Q114" s="18">
        <v>0.37</v>
      </c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>
        <v>4.07</v>
      </c>
      <c r="BF114" s="19" t="s">
        <v>962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</row>
    <row r="115" spans="1:94" s="26" customFormat="1" x14ac:dyDescent="0.25">
      <c r="A115" t="s">
        <v>543</v>
      </c>
      <c r="B115" t="s">
        <v>544</v>
      </c>
      <c r="C115" t="str">
        <f>CONCATENATE(A115, " ", B115)</f>
        <v>Bryan Pennington</v>
      </c>
      <c r="D115" t="s">
        <v>762</v>
      </c>
      <c r="E115" t="s">
        <v>942</v>
      </c>
      <c r="F115">
        <v>1706194</v>
      </c>
      <c r="G115" t="s">
        <v>87</v>
      </c>
      <c r="H115" t="s">
        <v>669</v>
      </c>
      <c r="I115" t="s">
        <v>670</v>
      </c>
      <c r="J115" t="s">
        <v>764</v>
      </c>
      <c r="K115" s="17">
        <v>623625840</v>
      </c>
      <c r="L115" t="s">
        <v>667</v>
      </c>
      <c r="M115" s="19">
        <f>DATEDIF(J115,L115,"M")</f>
        <v>13</v>
      </c>
      <c r="N115" s="19" t="s">
        <v>956</v>
      </c>
      <c r="O115" s="19" t="s">
        <v>958</v>
      </c>
      <c r="P115" s="14">
        <v>93</v>
      </c>
      <c r="Q115" s="18">
        <v>0.24</v>
      </c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>
        <v>22.32</v>
      </c>
      <c r="BF115" s="19" t="s">
        <v>960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</row>
    <row r="116" spans="1:94" s="19" customFormat="1" x14ac:dyDescent="0.25">
      <c r="A116" t="s">
        <v>172</v>
      </c>
      <c r="B116" t="s">
        <v>173</v>
      </c>
      <c r="C116" t="str">
        <f>CONCATENATE(A116, " ", B116)</f>
        <v>Janice Dziekonski</v>
      </c>
      <c r="D116" t="s">
        <v>702</v>
      </c>
      <c r="E116" t="s">
        <v>947</v>
      </c>
      <c r="F116">
        <v>9213293</v>
      </c>
      <c r="G116" t="s">
        <v>62</v>
      </c>
      <c r="H116" t="s">
        <v>669</v>
      </c>
      <c r="I116" t="s">
        <v>670</v>
      </c>
      <c r="J116" t="s">
        <v>752</v>
      </c>
      <c r="K116" s="17">
        <v>379471379</v>
      </c>
      <c r="L116" t="s">
        <v>667</v>
      </c>
      <c r="M116" s="19">
        <f>DATEDIF(J116,L116,"M")</f>
        <v>15</v>
      </c>
      <c r="N116" s="19" t="s">
        <v>956</v>
      </c>
      <c r="O116" s="19" t="s">
        <v>958</v>
      </c>
      <c r="P116" s="14">
        <v>40</v>
      </c>
      <c r="Q116" s="18">
        <v>0.24</v>
      </c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>
        <v>9.6</v>
      </c>
      <c r="BF116" s="19" t="s">
        <v>960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</row>
    <row r="117" spans="1:94" s="19" customFormat="1" x14ac:dyDescent="0.25">
      <c r="A117" t="s">
        <v>453</v>
      </c>
      <c r="B117" t="s">
        <v>454</v>
      </c>
      <c r="C117" t="str">
        <f>CONCATENATE(A117, " ", B117)</f>
        <v>Gerald Foley</v>
      </c>
      <c r="D117" t="s">
        <v>655</v>
      </c>
      <c r="E117" t="s">
        <v>934</v>
      </c>
      <c r="F117" t="s">
        <v>949</v>
      </c>
      <c r="G117" t="s">
        <v>87</v>
      </c>
      <c r="H117" t="s">
        <v>669</v>
      </c>
      <c r="I117" t="s">
        <v>670</v>
      </c>
      <c r="J117" t="s">
        <v>752</v>
      </c>
      <c r="K117" s="17">
        <v>568485674</v>
      </c>
      <c r="L117" t="s">
        <v>667</v>
      </c>
      <c r="M117" s="19">
        <f>DATEDIF(J117,L117,"M")</f>
        <v>15</v>
      </c>
      <c r="N117" s="19" t="s">
        <v>956</v>
      </c>
      <c r="O117" s="19" t="s">
        <v>958</v>
      </c>
      <c r="P117" s="14">
        <v>25</v>
      </c>
      <c r="Q117" s="18">
        <v>0.24</v>
      </c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6</v>
      </c>
      <c r="BF117" s="19" t="s">
        <v>960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</row>
    <row r="118" spans="1:94" s="19" customFormat="1" x14ac:dyDescent="0.25">
      <c r="A118" s="26" t="s">
        <v>272</v>
      </c>
      <c r="B118" s="26" t="s">
        <v>273</v>
      </c>
      <c r="C118" s="26" t="str">
        <f>CONCATENATE(A118, " ", B118)</f>
        <v>Liane Lefever</v>
      </c>
      <c r="D118" s="26" t="s">
        <v>655</v>
      </c>
      <c r="E118" s="26" t="s">
        <v>953</v>
      </c>
      <c r="F118" s="26">
        <v>15278437</v>
      </c>
      <c r="G118" s="26" t="s">
        <v>27</v>
      </c>
      <c r="H118" s="26" t="s">
        <v>660</v>
      </c>
      <c r="I118" s="26" t="s">
        <v>661</v>
      </c>
      <c r="J118" s="26" t="s">
        <v>835</v>
      </c>
      <c r="K118" s="27">
        <v>784351926</v>
      </c>
      <c r="L118" s="26" t="s">
        <v>210</v>
      </c>
      <c r="M118" s="19">
        <f>DATEDIF(J118,L118,"M")</f>
        <v>15</v>
      </c>
      <c r="N118" s="19" t="s">
        <v>956</v>
      </c>
      <c r="O118" s="19" t="s">
        <v>958</v>
      </c>
      <c r="P118" s="28">
        <v>15</v>
      </c>
      <c r="Q118" s="29">
        <v>0.37</v>
      </c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>
        <v>5.55</v>
      </c>
      <c r="BF118" s="19" t="s">
        <v>962</v>
      </c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</row>
    <row r="119" spans="1:94" s="19" customFormat="1" x14ac:dyDescent="0.25">
      <c r="A119" t="s">
        <v>154</v>
      </c>
      <c r="B119" t="s">
        <v>155</v>
      </c>
      <c r="C119" t="str">
        <f>CONCATENATE(A119, " ", B119)</f>
        <v>Nancy Tiburzio</v>
      </c>
      <c r="D119" t="s">
        <v>727</v>
      </c>
      <c r="E119" t="s">
        <v>934</v>
      </c>
      <c r="F119" t="s">
        <v>949</v>
      </c>
      <c r="G119" t="s">
        <v>157</v>
      </c>
      <c r="H119" t="s">
        <v>669</v>
      </c>
      <c r="I119" t="s">
        <v>670</v>
      </c>
      <c r="J119" t="s">
        <v>835</v>
      </c>
      <c r="K119" s="17">
        <v>970685148</v>
      </c>
      <c r="L119" t="s">
        <v>667</v>
      </c>
      <c r="M119" s="19">
        <f>DATEDIF(J119,L119,"M")</f>
        <v>16</v>
      </c>
      <c r="N119" s="19" t="s">
        <v>956</v>
      </c>
      <c r="O119" s="19" t="s">
        <v>958</v>
      </c>
      <c r="P119" s="14">
        <v>66</v>
      </c>
      <c r="Q119" s="18">
        <v>0.24</v>
      </c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15.84</v>
      </c>
      <c r="BF119" s="19" t="s">
        <v>960</v>
      </c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</row>
    <row r="120" spans="1:94" s="19" customFormat="1" x14ac:dyDescent="0.25">
      <c r="A120" t="s">
        <v>23</v>
      </c>
      <c r="B120" t="s">
        <v>24</v>
      </c>
      <c r="C120" t="str">
        <f>CONCATENATE(A120, " ", B120)</f>
        <v>Cynthia Anderson</v>
      </c>
      <c r="D120" t="s">
        <v>657</v>
      </c>
      <c r="E120" t="s">
        <v>932</v>
      </c>
      <c r="F120">
        <v>9079571</v>
      </c>
      <c r="G120" t="s">
        <v>27</v>
      </c>
      <c r="H120" t="s">
        <v>660</v>
      </c>
      <c r="I120" t="s">
        <v>661</v>
      </c>
      <c r="J120" t="s">
        <v>663</v>
      </c>
      <c r="K120" s="17">
        <v>668933669</v>
      </c>
      <c r="L120" t="s">
        <v>210</v>
      </c>
      <c r="M120" s="19">
        <f>DATEDIF(J120,L120,"M")</f>
        <v>17</v>
      </c>
      <c r="N120" s="19" t="s">
        <v>956</v>
      </c>
      <c r="O120" s="19" t="s">
        <v>958</v>
      </c>
      <c r="P120" s="14">
        <v>11</v>
      </c>
      <c r="Q120" s="18">
        <v>0.37</v>
      </c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>
        <v>4.07</v>
      </c>
      <c r="BF120" s="19" t="s">
        <v>962</v>
      </c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</row>
    <row r="121" spans="1:94" s="19" customFormat="1" x14ac:dyDescent="0.25">
      <c r="A121" t="s">
        <v>23</v>
      </c>
      <c r="B121" t="s">
        <v>24</v>
      </c>
      <c r="C121" t="str">
        <f>CONCATENATE(A121, " ", B121)</f>
        <v>Cynthia Anderson</v>
      </c>
      <c r="D121" t="s">
        <v>657</v>
      </c>
      <c r="E121" t="s">
        <v>932</v>
      </c>
      <c r="F121">
        <v>9079571</v>
      </c>
      <c r="G121" t="s">
        <v>27</v>
      </c>
      <c r="H121" t="s">
        <v>660</v>
      </c>
      <c r="I121" t="s">
        <v>661</v>
      </c>
      <c r="J121" t="s">
        <v>663</v>
      </c>
      <c r="K121" s="17">
        <v>668933669</v>
      </c>
      <c r="L121" t="s">
        <v>210</v>
      </c>
      <c r="M121" s="19">
        <f>DATEDIF(J121,L121,"M")</f>
        <v>17</v>
      </c>
      <c r="N121" s="19" t="s">
        <v>956</v>
      </c>
      <c r="O121" s="19" t="s">
        <v>958</v>
      </c>
      <c r="P121" s="14">
        <v>11</v>
      </c>
      <c r="Q121" s="18">
        <v>0.37</v>
      </c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>
        <v>-4.07</v>
      </c>
      <c r="BF121" s="19" t="s">
        <v>962</v>
      </c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</row>
    <row r="122" spans="1:94" s="19" customFormat="1" x14ac:dyDescent="0.25">
      <c r="A122" t="s">
        <v>119</v>
      </c>
      <c r="B122" t="s">
        <v>120</v>
      </c>
      <c r="C122" t="str">
        <f>CONCATENATE(A122, " ", B122)</f>
        <v>Miosotis Ledesma</v>
      </c>
      <c r="D122" t="s">
        <v>657</v>
      </c>
      <c r="E122" t="s">
        <v>948</v>
      </c>
      <c r="F122">
        <v>20769090</v>
      </c>
      <c r="G122" t="s">
        <v>27</v>
      </c>
      <c r="H122" t="s">
        <v>660</v>
      </c>
      <c r="I122" t="s">
        <v>661</v>
      </c>
      <c r="J122" t="s">
        <v>663</v>
      </c>
      <c r="K122" s="17">
        <v>173898668</v>
      </c>
      <c r="L122" t="s">
        <v>210</v>
      </c>
      <c r="M122" s="19">
        <f>DATEDIF(J122,L122,"M")</f>
        <v>17</v>
      </c>
      <c r="N122" s="19" t="s">
        <v>956</v>
      </c>
      <c r="O122" s="19" t="s">
        <v>958</v>
      </c>
      <c r="P122" s="14">
        <v>11</v>
      </c>
      <c r="Q122" s="18">
        <v>0.37</v>
      </c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>
        <v>4.07</v>
      </c>
      <c r="BF122" s="19" t="s">
        <v>962</v>
      </c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</row>
    <row r="123" spans="1:94" s="19" customFormat="1" x14ac:dyDescent="0.25">
      <c r="A123" t="s">
        <v>197</v>
      </c>
      <c r="B123" t="s">
        <v>198</v>
      </c>
      <c r="C123" t="str">
        <f>CONCATENATE(A123, " ", B123)</f>
        <v>Richard Golden</v>
      </c>
      <c r="D123" t="s">
        <v>727</v>
      </c>
      <c r="E123" t="s">
        <v>934</v>
      </c>
      <c r="F123" t="s">
        <v>949</v>
      </c>
      <c r="G123" t="s">
        <v>157</v>
      </c>
      <c r="H123" t="s">
        <v>669</v>
      </c>
      <c r="I123" t="s">
        <v>670</v>
      </c>
      <c r="J123" t="s">
        <v>663</v>
      </c>
      <c r="K123" s="17">
        <v>297820482</v>
      </c>
      <c r="L123" t="s">
        <v>667</v>
      </c>
      <c r="M123" s="19">
        <f>DATEDIF(J123,L123,"M")</f>
        <v>18</v>
      </c>
      <c r="N123" s="19" t="s">
        <v>956</v>
      </c>
      <c r="O123" s="19" t="s">
        <v>958</v>
      </c>
      <c r="P123" s="14">
        <v>134</v>
      </c>
      <c r="Q123" s="18">
        <v>0.24</v>
      </c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>
        <v>32.159999999999997</v>
      </c>
      <c r="BF123" s="19" t="s">
        <v>960</v>
      </c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</row>
    <row r="124" spans="1:94" s="19" customFormat="1" x14ac:dyDescent="0.25">
      <c r="A124" t="s">
        <v>23</v>
      </c>
      <c r="B124" t="s">
        <v>24</v>
      </c>
      <c r="C124" t="str">
        <f>CONCATENATE(A124, " ", B124)</f>
        <v>Cynthia Anderson</v>
      </c>
      <c r="D124" t="s">
        <v>657</v>
      </c>
      <c r="E124" t="s">
        <v>932</v>
      </c>
      <c r="F124">
        <v>9079571</v>
      </c>
      <c r="G124" t="s">
        <v>27</v>
      </c>
      <c r="H124" t="s">
        <v>660</v>
      </c>
      <c r="I124" t="s">
        <v>661</v>
      </c>
      <c r="J124" t="s">
        <v>663</v>
      </c>
      <c r="K124" s="17">
        <v>668933669</v>
      </c>
      <c r="L124" t="s">
        <v>667</v>
      </c>
      <c r="M124" s="19">
        <f>DATEDIF(J124,L124,"M")</f>
        <v>18</v>
      </c>
      <c r="N124" s="19" t="s">
        <v>956</v>
      </c>
      <c r="O124" s="19" t="s">
        <v>958</v>
      </c>
      <c r="P124" s="14">
        <v>11</v>
      </c>
      <c r="Q124" s="18">
        <v>0.37</v>
      </c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>
        <v>4.07</v>
      </c>
      <c r="BF124" s="19" t="s">
        <v>962</v>
      </c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</row>
    <row r="125" spans="1:94" s="19" customFormat="1" x14ac:dyDescent="0.25">
      <c r="A125" t="s">
        <v>197</v>
      </c>
      <c r="B125" t="s">
        <v>198</v>
      </c>
      <c r="C125" t="str">
        <f>CONCATENATE(A125, " ", B125)</f>
        <v>Richard Golden</v>
      </c>
      <c r="D125" t="s">
        <v>727</v>
      </c>
      <c r="E125" t="s">
        <v>934</v>
      </c>
      <c r="F125" t="s">
        <v>949</v>
      </c>
      <c r="G125" t="s">
        <v>27</v>
      </c>
      <c r="H125" t="s">
        <v>660</v>
      </c>
      <c r="I125" t="s">
        <v>661</v>
      </c>
      <c r="J125" t="s">
        <v>663</v>
      </c>
      <c r="K125" s="17">
        <v>252126537</v>
      </c>
      <c r="L125" t="s">
        <v>667</v>
      </c>
      <c r="M125" s="19">
        <f>DATEDIF(J125,L125,"M")</f>
        <v>18</v>
      </c>
      <c r="N125" s="19" t="s">
        <v>956</v>
      </c>
      <c r="O125" s="19" t="s">
        <v>958</v>
      </c>
      <c r="P125" s="14">
        <v>15</v>
      </c>
      <c r="Q125" s="18">
        <v>0.37</v>
      </c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>
        <v>5.55</v>
      </c>
      <c r="BF125" s="19" t="s">
        <v>962</v>
      </c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</row>
    <row r="126" spans="1:94" s="19" customFormat="1" x14ac:dyDescent="0.25">
      <c r="A126" s="26" t="s">
        <v>272</v>
      </c>
      <c r="B126" s="26" t="s">
        <v>273</v>
      </c>
      <c r="C126" s="26" t="str">
        <f>CONCATENATE(A126, " ", B126)</f>
        <v>Liane Lefever</v>
      </c>
      <c r="D126" s="26" t="s">
        <v>655</v>
      </c>
      <c r="E126" s="26" t="s">
        <v>953</v>
      </c>
      <c r="F126" s="26">
        <v>15278437</v>
      </c>
      <c r="G126" s="26" t="s">
        <v>157</v>
      </c>
      <c r="H126" s="26" t="s">
        <v>669</v>
      </c>
      <c r="I126" s="26" t="s">
        <v>670</v>
      </c>
      <c r="J126" s="26" t="s">
        <v>785</v>
      </c>
      <c r="K126" s="27">
        <v>181995160</v>
      </c>
      <c r="L126" s="26" t="s">
        <v>210</v>
      </c>
      <c r="M126" s="19">
        <f>DATEDIF(J126,L126,"M")</f>
        <v>19</v>
      </c>
      <c r="N126" s="19" t="s">
        <v>956</v>
      </c>
      <c r="O126" s="19" t="s">
        <v>958</v>
      </c>
      <c r="P126" s="28">
        <v>120</v>
      </c>
      <c r="Q126" s="29">
        <v>0.24</v>
      </c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>
        <v>28.8</v>
      </c>
      <c r="BF126" s="19" t="s">
        <v>960</v>
      </c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</row>
    <row r="127" spans="1:94" s="19" customFormat="1" x14ac:dyDescent="0.25">
      <c r="A127" t="s">
        <v>34</v>
      </c>
      <c r="B127" t="s">
        <v>35</v>
      </c>
      <c r="C127" t="str">
        <f>CONCATENATE(A127, " ", B127)</f>
        <v>Robert Steinberg</v>
      </c>
      <c r="D127" t="s">
        <v>655</v>
      </c>
      <c r="E127" t="s">
        <v>934</v>
      </c>
      <c r="F127" t="s">
        <v>949</v>
      </c>
      <c r="G127" t="s">
        <v>38</v>
      </c>
      <c r="H127" t="s">
        <v>669</v>
      </c>
      <c r="I127" t="s">
        <v>670</v>
      </c>
      <c r="J127" t="s">
        <v>785</v>
      </c>
      <c r="K127" s="17">
        <v>654081029</v>
      </c>
      <c r="L127" t="s">
        <v>210</v>
      </c>
      <c r="M127" s="19">
        <f>DATEDIF(J127,L127,"M")</f>
        <v>19</v>
      </c>
      <c r="N127" s="19" t="s">
        <v>956</v>
      </c>
      <c r="O127" s="19" t="s">
        <v>958</v>
      </c>
      <c r="P127" s="14">
        <v>76</v>
      </c>
      <c r="Q127" s="18">
        <v>0.24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18.239999999999998</v>
      </c>
      <c r="BF127" s="19" t="s">
        <v>960</v>
      </c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</row>
    <row r="128" spans="1:94" s="19" customFormat="1" x14ac:dyDescent="0.25">
      <c r="A128" s="23" t="s">
        <v>125</v>
      </c>
      <c r="B128" s="23" t="s">
        <v>126</v>
      </c>
      <c r="C128" s="23" t="str">
        <f>CONCATENATE(A128, " ", B128)</f>
        <v>Thomas DeCoudres</v>
      </c>
      <c r="D128" s="23" t="s">
        <v>655</v>
      </c>
      <c r="E128" s="23" t="s">
        <v>955</v>
      </c>
      <c r="F128" s="23">
        <v>20411454</v>
      </c>
      <c r="G128" s="23" t="s">
        <v>38</v>
      </c>
      <c r="H128" s="23" t="s">
        <v>669</v>
      </c>
      <c r="I128" s="23" t="s">
        <v>670</v>
      </c>
      <c r="J128" s="23" t="s">
        <v>847</v>
      </c>
      <c r="K128" s="24">
        <v>75348521</v>
      </c>
      <c r="L128" s="23" t="s">
        <v>210</v>
      </c>
      <c r="M128" s="23">
        <f>DATEDIF(J128,L128,"M")</f>
        <v>20</v>
      </c>
      <c r="N128" s="23" t="s">
        <v>956</v>
      </c>
      <c r="O128" s="23" t="s">
        <v>958</v>
      </c>
      <c r="P128" s="23">
        <v>1.05</v>
      </c>
      <c r="Q128" s="25">
        <v>0.03</v>
      </c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>
        <v>1.05</v>
      </c>
      <c r="BF128" s="23" t="s">
        <v>954</v>
      </c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</row>
    <row r="129" spans="1:94" x14ac:dyDescent="0.25">
      <c r="A129" t="s">
        <v>512</v>
      </c>
      <c r="B129" t="s">
        <v>513</v>
      </c>
      <c r="C129" t="str">
        <f>CONCATENATE(A129, " ", B129)</f>
        <v>Lizanne Hayes</v>
      </c>
      <c r="D129" t="s">
        <v>655</v>
      </c>
      <c r="E129" t="s">
        <v>934</v>
      </c>
      <c r="F129" t="s">
        <v>949</v>
      </c>
      <c r="G129" t="s">
        <v>157</v>
      </c>
      <c r="H129" t="s">
        <v>669</v>
      </c>
      <c r="I129" t="s">
        <v>670</v>
      </c>
      <c r="J129" t="s">
        <v>785</v>
      </c>
      <c r="K129" s="17">
        <v>438557821</v>
      </c>
      <c r="L129" t="s">
        <v>667</v>
      </c>
      <c r="M129" s="19">
        <f>DATEDIF(J129,L129,"M")</f>
        <v>20</v>
      </c>
      <c r="N129" s="19" t="s">
        <v>956</v>
      </c>
      <c r="O129" s="19" t="s">
        <v>958</v>
      </c>
      <c r="P129" s="14">
        <v>60</v>
      </c>
      <c r="Q129" s="18">
        <v>0.24</v>
      </c>
      <c r="BE129">
        <v>14.4</v>
      </c>
      <c r="BF129" s="19" t="s">
        <v>960</v>
      </c>
      <c r="CO129" s="19"/>
      <c r="CP129" s="19"/>
    </row>
    <row r="130" spans="1:94" x14ac:dyDescent="0.25">
      <c r="A130" t="s">
        <v>188</v>
      </c>
      <c r="B130" t="s">
        <v>189</v>
      </c>
      <c r="C130" t="str">
        <f>CONCATENATE(A130, " ", B130)</f>
        <v>Kathleen McClain</v>
      </c>
      <c r="D130" t="s">
        <v>655</v>
      </c>
      <c r="E130" t="s">
        <v>934</v>
      </c>
      <c r="F130" t="s">
        <v>949</v>
      </c>
      <c r="G130" t="s">
        <v>157</v>
      </c>
      <c r="H130" t="s">
        <v>669</v>
      </c>
      <c r="I130" t="s">
        <v>670</v>
      </c>
      <c r="J130" t="s">
        <v>847</v>
      </c>
      <c r="K130" s="17">
        <v>78980217</v>
      </c>
      <c r="L130" t="s">
        <v>210</v>
      </c>
      <c r="M130" s="19">
        <f>DATEDIF(J130,L130,"M")</f>
        <v>20</v>
      </c>
      <c r="N130" s="19" t="s">
        <v>956</v>
      </c>
      <c r="O130" s="19" t="s">
        <v>958</v>
      </c>
      <c r="P130" s="14">
        <v>65</v>
      </c>
      <c r="Q130" s="18">
        <v>0.24</v>
      </c>
      <c r="BE130">
        <v>15.6</v>
      </c>
      <c r="BF130" s="19" t="s">
        <v>960</v>
      </c>
    </row>
    <row r="131" spans="1:94" x14ac:dyDescent="0.25">
      <c r="A131" t="s">
        <v>115</v>
      </c>
      <c r="B131" t="s">
        <v>116</v>
      </c>
      <c r="C131" t="str">
        <f>CONCATENATE(A131, " ", B131)</f>
        <v>Leon Hankin</v>
      </c>
      <c r="D131" t="s">
        <v>655</v>
      </c>
      <c r="E131" t="s">
        <v>934</v>
      </c>
      <c r="F131" t="s">
        <v>949</v>
      </c>
      <c r="G131" t="s">
        <v>38</v>
      </c>
      <c r="H131" t="s">
        <v>669</v>
      </c>
      <c r="I131" t="s">
        <v>670</v>
      </c>
      <c r="J131" t="s">
        <v>785</v>
      </c>
      <c r="K131" s="17">
        <v>118665193</v>
      </c>
      <c r="L131" t="s">
        <v>667</v>
      </c>
      <c r="M131" s="19">
        <f>DATEDIF(J131,L131,"M")</f>
        <v>20</v>
      </c>
      <c r="N131" s="19" t="s">
        <v>956</v>
      </c>
      <c r="O131" s="19" t="s">
        <v>958</v>
      </c>
      <c r="P131" s="14">
        <v>76</v>
      </c>
      <c r="Q131" s="18">
        <v>0.24</v>
      </c>
      <c r="BE131">
        <v>18.239999999999998</v>
      </c>
      <c r="BF131" s="19" t="s">
        <v>960</v>
      </c>
    </row>
    <row r="132" spans="1:94" x14ac:dyDescent="0.25">
      <c r="A132" t="s">
        <v>417</v>
      </c>
      <c r="B132" t="s">
        <v>418</v>
      </c>
      <c r="C132" t="str">
        <f>CONCATENATE(A132, " ", B132)</f>
        <v>Siti Freedman</v>
      </c>
      <c r="D132" t="s">
        <v>655</v>
      </c>
      <c r="E132" t="s">
        <v>934</v>
      </c>
      <c r="F132" t="s">
        <v>949</v>
      </c>
      <c r="G132" t="s">
        <v>157</v>
      </c>
      <c r="H132" t="s">
        <v>669</v>
      </c>
      <c r="I132" t="s">
        <v>670</v>
      </c>
      <c r="J132" t="s">
        <v>689</v>
      </c>
      <c r="K132" s="17">
        <v>386395185</v>
      </c>
      <c r="L132" t="s">
        <v>667</v>
      </c>
      <c r="M132" s="19">
        <f>DATEDIF(J132,L132,"M")</f>
        <v>22</v>
      </c>
      <c r="N132" s="19" t="s">
        <v>956</v>
      </c>
      <c r="O132" s="19" t="s">
        <v>958</v>
      </c>
      <c r="P132" s="14">
        <v>60</v>
      </c>
      <c r="Q132" s="18">
        <v>0.24</v>
      </c>
      <c r="BE132">
        <v>14.4</v>
      </c>
      <c r="BF132" s="19" t="s">
        <v>960</v>
      </c>
    </row>
    <row r="133" spans="1:94" x14ac:dyDescent="0.25">
      <c r="A133" t="s">
        <v>312</v>
      </c>
      <c r="B133" t="s">
        <v>313</v>
      </c>
      <c r="C133" t="str">
        <f>CONCATENATE(A133, " ", B133)</f>
        <v>Lisa Hopkins</v>
      </c>
      <c r="D133" t="s">
        <v>885</v>
      </c>
      <c r="E133" t="s">
        <v>942</v>
      </c>
      <c r="F133">
        <v>1706194</v>
      </c>
      <c r="G133" t="s">
        <v>27</v>
      </c>
      <c r="H133" t="s">
        <v>660</v>
      </c>
      <c r="I133" t="s">
        <v>661</v>
      </c>
      <c r="J133" t="s">
        <v>689</v>
      </c>
      <c r="K133" s="17">
        <v>464503420</v>
      </c>
      <c r="L133" t="s">
        <v>667</v>
      </c>
      <c r="M133" s="19">
        <f>DATEDIF(J133,L133,"M")</f>
        <v>22</v>
      </c>
      <c r="N133" s="19" t="s">
        <v>956</v>
      </c>
      <c r="O133" s="19" t="s">
        <v>958</v>
      </c>
      <c r="P133" s="14">
        <v>11</v>
      </c>
      <c r="Q133" s="18">
        <v>0.37</v>
      </c>
      <c r="BE133">
        <v>4.07</v>
      </c>
      <c r="BF133" s="19" t="s">
        <v>962</v>
      </c>
    </row>
    <row r="134" spans="1:94" x14ac:dyDescent="0.25">
      <c r="A134" t="s">
        <v>161</v>
      </c>
      <c r="B134" t="s">
        <v>162</v>
      </c>
      <c r="C134" t="str">
        <f>CONCATENATE(A134, " ", B134)</f>
        <v>Kenneth Johnson</v>
      </c>
      <c r="D134" t="s">
        <v>828</v>
      </c>
      <c r="E134" t="s">
        <v>932</v>
      </c>
      <c r="F134">
        <v>9079571</v>
      </c>
      <c r="G134" t="s">
        <v>164</v>
      </c>
      <c r="H134" t="s">
        <v>669</v>
      </c>
      <c r="I134" t="s">
        <v>670</v>
      </c>
      <c r="J134" t="s">
        <v>718</v>
      </c>
      <c r="K134" s="17">
        <v>172575174</v>
      </c>
      <c r="L134" t="s">
        <v>832</v>
      </c>
      <c r="M134" s="19">
        <f>DATEDIF(J134,L134,"M")</f>
        <v>31</v>
      </c>
      <c r="N134" s="19" t="s">
        <v>956</v>
      </c>
      <c r="O134" s="19" t="s">
        <v>958</v>
      </c>
      <c r="P134" s="14">
        <v>212</v>
      </c>
      <c r="Q134" s="18">
        <v>0.26</v>
      </c>
      <c r="BE134">
        <v>55.12</v>
      </c>
      <c r="BF134" s="26" t="s">
        <v>959</v>
      </c>
      <c r="CO134" s="19"/>
      <c r="CP134" s="19"/>
    </row>
    <row r="135" spans="1:94" x14ac:dyDescent="0.25">
      <c r="A135" s="26" t="s">
        <v>499</v>
      </c>
      <c r="B135" s="26" t="s">
        <v>500</v>
      </c>
      <c r="C135" s="26" t="str">
        <f>CONCATENATE(A135, " ", B135)</f>
        <v>Jack Stein</v>
      </c>
      <c r="D135" s="26" t="s">
        <v>787</v>
      </c>
      <c r="E135" s="26" t="s">
        <v>953</v>
      </c>
      <c r="F135" s="26">
        <v>15278437</v>
      </c>
      <c r="G135" s="26" t="s">
        <v>502</v>
      </c>
      <c r="H135" s="26" t="s">
        <v>669</v>
      </c>
      <c r="I135" s="26" t="s">
        <v>670</v>
      </c>
      <c r="J135" s="26" t="s">
        <v>718</v>
      </c>
      <c r="K135" s="27">
        <v>694607964</v>
      </c>
      <c r="L135" s="26" t="s">
        <v>793</v>
      </c>
      <c r="M135" s="19">
        <f>DATEDIF(J135,L135,"M")</f>
        <v>32</v>
      </c>
      <c r="N135" s="19" t="s">
        <v>956</v>
      </c>
      <c r="O135" s="19" t="s">
        <v>958</v>
      </c>
      <c r="P135" s="28">
        <v>172</v>
      </c>
      <c r="Q135" s="29">
        <v>0.26</v>
      </c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>
        <v>44.72</v>
      </c>
      <c r="BF135" s="26" t="s">
        <v>959</v>
      </c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19"/>
      <c r="CP135" s="19"/>
    </row>
    <row r="136" spans="1:94" x14ac:dyDescent="0.25">
      <c r="A136" s="26" t="s">
        <v>499</v>
      </c>
      <c r="B136" s="26" t="s">
        <v>500</v>
      </c>
      <c r="C136" s="26" t="str">
        <f>CONCATENATE(A136, " ", B136)</f>
        <v>Jack Stein</v>
      </c>
      <c r="D136" s="26" t="s">
        <v>787</v>
      </c>
      <c r="E136" s="26" t="s">
        <v>953</v>
      </c>
      <c r="F136" s="26">
        <v>15278437</v>
      </c>
      <c r="G136" s="26" t="s">
        <v>506</v>
      </c>
      <c r="H136" s="26" t="s">
        <v>660</v>
      </c>
      <c r="I136" s="26" t="s">
        <v>661</v>
      </c>
      <c r="J136" s="26" t="s">
        <v>789</v>
      </c>
      <c r="K136" s="27">
        <v>241002988</v>
      </c>
      <c r="L136" s="26" t="s">
        <v>667</v>
      </c>
      <c r="M136" s="19">
        <f>DATEDIF(J136,L136,"M")</f>
        <v>33</v>
      </c>
      <c r="N136" s="19" t="s">
        <v>956</v>
      </c>
      <c r="O136" s="19" t="s">
        <v>958</v>
      </c>
      <c r="P136" s="28">
        <v>48</v>
      </c>
      <c r="Q136" s="29">
        <v>0.26</v>
      </c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>
        <v>12.48</v>
      </c>
      <c r="BF136" s="26" t="s">
        <v>959</v>
      </c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19"/>
      <c r="CP136" s="19"/>
    </row>
  </sheetData>
  <sortState xmlns:xlrd2="http://schemas.microsoft.com/office/spreadsheetml/2017/richdata2" ref="A2:CP136">
    <sortCondition sortBy="cellColor" ref="G2:G136" dxfId="0"/>
    <sortCondition ref="M2:M1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2025-09-11T14:53:42Z</dcterms:created>
  <dcterms:modified xsi:type="dcterms:W3CDTF">2025-09-16T21:52:11Z</dcterms:modified>
</cp:coreProperties>
</file>