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3-23-25 to 3-29-25\"/>
    </mc:Choice>
  </mc:AlternateContent>
  <xr:revisionPtr revIDLastSave="0" documentId="13_ncr:1_{FA3FCBB4-DA01-430D-BAB8-A04A7204C2BD}" xr6:coauthVersionLast="47" xr6:coauthVersionMax="47" xr10:uidLastSave="{00000000-0000-0000-0000-000000000000}"/>
  <bookViews>
    <workbookView xWindow="28680" yWindow="-120" windowWidth="29040" windowHeight="16440" activeTab="2" xr2:uid="{C4D43778-D488-451C-84F9-7D1D4786BEAD}"/>
  </bookViews>
  <sheets>
    <sheet name="Statement" sheetId="2" r:id="rId1"/>
    <sheet name="Details" sheetId="1" r:id="rId2"/>
    <sheet name="Sheet1" sheetId="3" r:id="rId3"/>
  </sheets>
  <definedNames>
    <definedName name="_xlnm._FilterDatabase" localSheetId="1" hidden="1">Details!$A$1:$AS$5</definedName>
  </definedName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3" l="1"/>
  <c r="Q2" i="3"/>
  <c r="R5" i="3"/>
  <c r="R3" i="3"/>
  <c r="R2" i="3"/>
  <c r="Q5" i="3"/>
  <c r="D3" i="3"/>
  <c r="D4" i="3"/>
  <c r="D5" i="3"/>
  <c r="D2" i="3"/>
</calcChain>
</file>

<file path=xl/sharedStrings.xml><?xml version="1.0" encoding="utf-8"?>
<sst xmlns="http://schemas.openxmlformats.org/spreadsheetml/2006/main" count="207" uniqueCount="90">
  <si>
    <t>Aa</t>
  </si>
  <si>
    <t>Created Date</t>
  </si>
  <si>
    <t>Type</t>
  </si>
  <si>
    <t>Subtype</t>
  </si>
  <si>
    <t>Notes</t>
  </si>
  <si>
    <t>Credit</t>
  </si>
  <si>
    <t>Debit</t>
  </si>
  <si>
    <t>Total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</si>
  <si>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</si>
  <si>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</si>
  <si>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</si>
  <si>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</si>
  <si>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</si>
  <si>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</si>
  <si>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</si>
  <si>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ID</t>
  </si>
  <si>
    <t>Member Company</t>
  </si>
  <si>
    <t>Member First Name</t>
  </si>
  <si>
    <t>Member Last Name</t>
  </si>
  <si>
    <t>Member State</t>
  </si>
  <si>
    <t>Member Agent ID</t>
  </si>
  <si>
    <t>Member Agent Label</t>
  </si>
  <si>
    <t>Member Agent Category</t>
  </si>
  <si>
    <t>Member Source Detail</t>
  </si>
  <si>
    <t>Product ID</t>
  </si>
  <si>
    <t>Product Label</t>
  </si>
  <si>
    <t>Benefit</t>
  </si>
  <si>
    <t>Period</t>
  </si>
  <si>
    <t>Product Category</t>
  </si>
  <si>
    <t>Product Category 2</t>
  </si>
  <si>
    <t>Product Created Date</t>
  </si>
  <si>
    <t>Product Active Date</t>
  </si>
  <si>
    <t>Policy Number</t>
  </si>
  <si>
    <t>Transaction ID</t>
  </si>
  <si>
    <t>Transaction Amount</t>
  </si>
  <si>
    <t>Transaction Type</t>
  </si>
  <si>
    <t>Payment Type</t>
  </si>
  <si>
    <t>Transaction Payment</t>
  </si>
  <si>
    <t>Transaction Paid Through Start</t>
  </si>
  <si>
    <t>Transaction Paid Through End</t>
  </si>
  <si>
    <t>Commissionable Amount</t>
  </si>
  <si>
    <t>Payout</t>
  </si>
  <si>
    <t>Payable ID</t>
  </si>
  <si>
    <t>Months Advanced</t>
  </si>
  <si>
    <t>Payout Type</t>
  </si>
  <si>
    <t>COMM</t>
  </si>
  <si>
    <t>Product</t>
  </si>
  <si>
    <t>Main Line Benefits LLC</t>
  </si>
  <si>
    <t>Elizabeth</t>
  </si>
  <si>
    <t>Zane</t>
  </si>
  <si>
    <t>IL</t>
  </si>
  <si>
    <t>Main Line Benefits LLC -Frank Liskovec</t>
  </si>
  <si>
    <t>NCD</t>
  </si>
  <si>
    <t>NCD Value by MetLife</t>
  </si>
  <si>
    <t>Member</t>
  </si>
  <si>
    <t>Monthly</t>
  </si>
  <si>
    <t>Dental</t>
  </si>
  <si>
    <t>MetLife</t>
  </si>
  <si>
    <t>SALE</t>
  </si>
  <si>
    <t>ACH</t>
  </si>
  <si>
    <t>Earned</t>
  </si>
  <si>
    <t>VSP Preferred Plan by NCD</t>
  </si>
  <si>
    <t>Vision</t>
  </si>
  <si>
    <t>VSP</t>
  </si>
  <si>
    <t>Sarah</t>
  </si>
  <si>
    <t>Yoder</t>
  </si>
  <si>
    <t>PA</t>
  </si>
  <si>
    <t>NCD Smile 2500 by MetLife</t>
  </si>
  <si>
    <t>CC</t>
  </si>
  <si>
    <t xml:space="preserve">Monica </t>
  </si>
  <si>
    <t>Cornelio</t>
  </si>
  <si>
    <t>NY</t>
  </si>
  <si>
    <t>Main Line Benefits LLC-Kirk Tigue</t>
  </si>
  <si>
    <t>NCD Value by MetLife - NY / CT</t>
  </si>
  <si>
    <t>Member plus Spouse</t>
  </si>
  <si>
    <t>Grand Total</t>
  </si>
  <si>
    <t>(blank)</t>
  </si>
  <si>
    <t>Earned Total</t>
  </si>
  <si>
    <t>Sum of Net Commission</t>
  </si>
  <si>
    <t>Agent Label: Main Line Benefits LLC</t>
  </si>
  <si>
    <t>For the Period: NB 03.23.2025-03.29.2025 NCD</t>
  </si>
  <si>
    <t>Payout Date: 04.04.2025</t>
  </si>
  <si>
    <t>Earned Payout</t>
  </si>
  <si>
    <t>Total Payout</t>
  </si>
  <si>
    <t>Frank Liskovec</t>
  </si>
  <si>
    <t>Kirk Tigue</t>
  </si>
  <si>
    <t>NCD MetLife -24%</t>
  </si>
  <si>
    <t>Metlife Vision</t>
  </si>
  <si>
    <t>MetLife Dental</t>
  </si>
  <si>
    <t>Jason Hoffman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</si>
</sst>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2" fontId="0" fillId="0" borderId="0" xfId="0" applyNumberFormat="1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0" fontId="2" fillId="0" borderId="0" xfId="0" applyFont="1"/>
    <xf numFmtId="9" fontId="0" fillId="0" borderId="0" xfId="2" applyFont="1"/>
    <xf numFmtId="0" fontId="0" fillId="0" borderId="0" xfId="0" pivotButton="1"/>
    <xf numFmtId="164" fontId="0" fillId="0" borderId="0" xfId="0" applyNumberFormat="1"/>
    <xf numFmtId="0" fontId="0" fillId="3" borderId="0" xfId="0" applyFill="1"/>
    <xf numFmtId="0" fontId="3" fillId="3" borderId="0" xfId="0" applyFont="1" applyFill="1"/>
    <xf numFmtId="0" fontId="4" fillId="0" borderId="0" xfId="0" applyFont="1"/>
    <xf numFmtId="164" fontId="4" fillId="0" borderId="0" xfId="0" applyNumberFormat="1" applyFont="1"/>
    <xf numFmtId="0" fontId="6" fillId="2" borderId="1" xfId="0" applyFont="1" applyFill="1" applyBorder="1"/>
    <xf numFmtId="44" fontId="5" fillId="3" borderId="2" xfId="1" applyFont="1" applyFill="1" applyBorder="1"/>
    <xf numFmtId="0" fontId="6" fillId="2" borderId="2" xfId="0" applyFont="1" applyFill="1" applyBorder="1"/>
    <xf numFmtId="44" fontId="5" fillId="3" borderId="3" xfId="1" applyFont="1" applyFill="1" applyBorder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9" fontId="0" fillId="0" borderId="0" xfId="0" applyNumberFormat="1" applyFill="1"/>
    <xf numFmtId="0" fontId="2" fillId="0" borderId="0" xfId="0" applyFont="1" applyFill="1"/>
    <xf numFmtId="9" fontId="0" fillId="0" borderId="0" xfId="2" applyFont="1" applyFill="1"/>
    <xf numFmtId="2" fontId="0" fillId="0" borderId="0" xfId="0" applyNumberFormat="1" applyFill="1"/>
  </cellXfs>
  <cellStyles count="3">
    <cellStyle name="Currency" xfId="1" builtinId="4"/>
    <cellStyle name="Normal" xfId="0" builtinId="0"/>
    <cellStyle name="Percent" xfId="2" builtinId="5"/>
  </cellStyles>
  <dxfs count="5">
    <dxf>
      <font>
        <sz val="14"/>
      </font>
    </dxf>
    <dxf>
      <font>
        <sz val="14"/>
      </font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</dxfs>
  <tableStyles count="1" defaultTableStyle="TableStyleMedium2" defaultPivotStyle="PivotStyleLight16">
    <tableStyle name="PivotTable Style 2" table="0" count="3" xr9:uid="{3DCFA31B-6E2B-4FC5-8BC0-9092FBBCE1FC}">
      <tableStyleElement type="headerRow" dxfId="4"/>
      <tableStyleElement type="totalRow" dxfId="3"/>
      <tableStyleElement type="firstSubtotal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ojas" refreshedDate="45750.644930208335" createdVersion="3" refreshedVersion="8" minRefreshableVersion="3" recordCount="4" xr:uid="{216A3EAD-D1CB-4798-8A62-4872DA38BB49}">
  <cacheSource type="worksheet">
    <worksheetSource ref="A1:AS5" sheet="Details"/>
  </cacheSource>
  <cacheFields count="45">
    <cacheField name="Aa" numFmtId="14">
      <sharedItems containsSemiMixedTypes="0" containsNonDate="0" containsDate="1" containsString="0" minDate="2025-03-24T00:00:00" maxDate="2025-03-29T00:00:00"/>
    </cacheField>
    <cacheField name="Created Date" numFmtId="14">
      <sharedItems containsSemiMixedTypes="0" containsNonDate="0" containsDate="1" containsString="0" minDate="2025-03-31T00:00:00" maxDate="2025-04-01T00:00:00"/>
    </cacheField>
    <cacheField name="Type" numFmtId="0">
      <sharedItems/>
    </cacheField>
    <cacheField name="Subtype" numFmtId="0">
      <sharedItems/>
    </cacheField>
    <cacheField name="Notes" numFmtId="0">
      <sharedItems containsNonDate="0" containsString="0" containsBlank="1" count="1">
        <m/>
      </sharedItems>
    </cacheField>
    <cacheField name="Credit" numFmtId="0">
      <sharedItems containsSemiMixedTypes="0" containsString="0" containsNumber="1" minValue="4.07" maxValue="12"/>
    </cacheField>
    <cacheField name="Debit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minValue="4.07" maxValue="12"/>
    </cacheField>
    <cacheField name="Payee Agent ID" numFmtId="0">
      <sharedItems containsSemiMixedTypes="0" containsString="0" containsNumber="1" containsInteger="1" minValue="653470" maxValue="653470"/>
    </cacheField>
    <cacheField name="Payee Agent Label" numFmtId="0">
      <sharedItems/>
    </cacheField>
    <cacheField name="Payee Address 1" numFmtId="0">
      <sharedItems containsNonDate="0" containsString="0" containsBlank="1"/>
    </cacheField>
    <cacheField name="Payee Address 2" numFmtId="0">
      <sharedItems containsNonDate="0" containsString="0" containsBlank="1"/>
    </cacheField>
    <cacheField name="Payee City" numFmtId="0">
      <sharedItems containsNonDate="0" containsString="0" containsBlank="1"/>
    </cacheField>
    <cacheField name="Payee State" numFmtId="0">
      <sharedItems containsNonDate="0" containsString="0" containsBlank="1"/>
    </cacheField>
    <cacheField name="Payee Zipcode" numFmtId="0">
      <sharedItems containsNonDate="0" containsString="0" containsBlank="1"/>
    </cacheField>
    <cacheField name="Member ID" numFmtId="0">
      <sharedItems containsSemiMixedTypes="0" containsString="0" containsNumber="1" containsInteger="1" minValue="684143314" maxValue="684234261" count="3">
        <n v="684234107"/>
        <n v="684143314"/>
        <n v="684234261"/>
      </sharedItems>
    </cacheField>
    <cacheField name="Member Company" numFmtId="0">
      <sharedItems containsNonDate="0" containsString="0" containsBlank="1"/>
    </cacheField>
    <cacheField name="Member First Name" numFmtId="0">
      <sharedItems count="3">
        <s v="Elizabeth"/>
        <s v="Sarah"/>
        <s v="Monica "/>
      </sharedItems>
    </cacheField>
    <cacheField name="Member Last Name" numFmtId="0">
      <sharedItems count="3">
        <s v="Zane"/>
        <s v="Yoder"/>
        <s v="Cornelio"/>
      </sharedItems>
    </cacheField>
    <cacheField name="Member State" numFmtId="0">
      <sharedItems/>
    </cacheField>
    <cacheField name="Member Agent ID" numFmtId="0">
      <sharedItems containsSemiMixedTypes="0" containsString="0" containsNumber="1" containsInteger="1" minValue="653470" maxValue="847313" count="3">
        <n v="760338"/>
        <n v="653470"/>
        <n v="847313"/>
      </sharedItems>
    </cacheField>
    <cacheField name="Member Agent Label" numFmtId="0">
      <sharedItems count="3">
        <s v="Main Line Benefits LLC -Frank Liskovec"/>
        <s v="Main Line Benefits LLC"/>
        <s v="Main Line Benefits LLC-Kirk Tigue"/>
      </sharedItems>
    </cacheField>
    <cacheField name="Member Agent Category" numFmtId="0">
      <sharedItems/>
    </cacheField>
    <cacheField name="Member Source Detail" numFmtId="0">
      <sharedItems containsNonDate="0" containsString="0" containsBlank="1"/>
    </cacheField>
    <cacheField name="Product ID" numFmtId="0">
      <sharedItems containsSemiMixedTypes="0" containsString="0" containsNumber="1" containsInteger="1" minValue="38593" maxValue="45041"/>
    </cacheField>
    <cacheField name="Product Label" numFmtId="0">
      <sharedItems count="4">
        <s v="NCD Value by MetLife"/>
        <s v="VSP Preferred Plan by NCD"/>
        <s v="NCD Smile 2500 by MetLife"/>
        <s v="NCD Value by MetLife - NY / CT"/>
      </sharedItems>
    </cacheField>
    <cacheField name="Benefit" numFmtId="0">
      <sharedItems count="2">
        <s v="Member"/>
        <s v="Member plus Spouse"/>
      </sharedItems>
    </cacheField>
    <cacheField name="Period" numFmtId="0">
      <sharedItems/>
    </cacheField>
    <cacheField name="Product Category" numFmtId="0">
      <sharedItems/>
    </cacheField>
    <cacheField name="Product Category 2" numFmtId="0">
      <sharedItems/>
    </cacheField>
    <cacheField name="Product Created Date" numFmtId="14">
      <sharedItems containsSemiMixedTypes="0" containsNonDate="0" containsDate="1" containsString="0" minDate="2025-03-05T00:00:00" maxDate="2025-03-25T00:00:00"/>
    </cacheField>
    <cacheField name="Product Active Date" numFmtId="14">
      <sharedItems containsSemiMixedTypes="0" containsNonDate="0" containsDate="1" containsString="0" minDate="2025-04-01T00:00:00" maxDate="2025-04-02T00:00:00"/>
    </cacheField>
    <cacheField name="Policy Number" numFmtId="0">
      <sharedItems containsSemiMixedTypes="0" containsString="0" containsNumber="1" containsInteger="1" minValue="109514918" maxValue="341203822" count="4">
        <n v="341203822"/>
        <n v="260311117"/>
        <n v="338919869"/>
        <n v="109514918"/>
      </sharedItems>
    </cacheField>
    <cacheField name="Transaction ID" numFmtId="0">
      <sharedItems containsSemiMixedTypes="0" containsString="0" containsNumber="1" containsInteger="1" minValue="10539081494" maxValue="10552380068"/>
    </cacheField>
    <cacheField name="Transaction Amount" numFmtId="8">
      <sharedItems containsNonDate="0" containsString="0" containsBlank="1"/>
    </cacheField>
    <cacheField name="Transaction Type" numFmtId="0">
      <sharedItems count="1">
        <s v="SALE"/>
      </sharedItems>
    </cacheField>
    <cacheField name="Payment Type" numFmtId="0">
      <sharedItems/>
    </cacheField>
    <cacheField name="Transaction Payment" numFmtId="0">
      <sharedItems containsSemiMixedTypes="0" containsString="0" containsNumber="1" containsInteger="1" minValue="1" maxValue="1"/>
    </cacheField>
    <cacheField name="Transaction Paid Through Start" numFmtId="0">
      <sharedItems containsNonDate="0" containsDate="1" containsString="0" containsBlank="1" minDate="2025-04-01T00:00:00" maxDate="2025-04-02T00:00:00"/>
    </cacheField>
    <cacheField name="Transaction Paid Through End" numFmtId="0">
      <sharedItems containsNonDate="0" containsDate="1" containsString="0" containsBlank="1" minDate="2025-04-30T00:00:00" maxDate="2025-05-01T00:00:00"/>
    </cacheField>
    <cacheField name="Commissionable Amount" numFmtId="8">
      <sharedItems containsSemiMixedTypes="0" containsString="0" containsNumber="1" containsInteger="1" minValue="11" maxValue="50" count="3">
        <n v="25"/>
        <n v="11"/>
        <n v="50"/>
      </sharedItems>
    </cacheField>
    <cacheField name="Payout" numFmtId="9">
      <sharedItems containsSemiMixedTypes="0" containsString="0" containsNumber="1" minValue="0.24" maxValue="0.37"/>
    </cacheField>
    <cacheField name="Payable ID" numFmtId="0">
      <sharedItems containsSemiMixedTypes="0" containsString="0" containsNumber="1" containsInteger="1" minValue="1328539666" maxValue="1328546539"/>
    </cacheField>
    <cacheField name="Months Advanced" numFmtId="0">
      <sharedItems containsNonDate="0" containsString="0" containsBlank="1"/>
    </cacheField>
    <cacheField name="Payout Type" numFmtId="0">
      <sharedItems count="1">
        <s v="Ea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d v="2025-03-28T00:00:00"/>
    <d v="2025-03-31T00:00:00"/>
    <s v="COMM"/>
    <s v="Product"/>
    <x v="0"/>
    <n v="6"/>
    <n v="0"/>
    <n v="6"/>
    <n v="653470"/>
    <s v="Main Line Benefits LLC"/>
    <m/>
    <m/>
    <m/>
    <m/>
    <m/>
    <x v="0"/>
    <m/>
    <x v="0"/>
    <x v="0"/>
    <s v="IL"/>
    <x v="0"/>
    <x v="0"/>
    <s v="NCD"/>
    <m/>
    <n v="38796"/>
    <x v="0"/>
    <x v="0"/>
    <s v="Monthly"/>
    <s v="Dental"/>
    <s v="MetLife"/>
    <d v="2025-03-24T00:00:00"/>
    <d v="2025-04-01T00:00:00"/>
    <x v="0"/>
    <n v="10539081494"/>
    <m/>
    <x v="0"/>
    <s v="ACH"/>
    <n v="1"/>
    <m/>
    <m/>
    <x v="0"/>
    <n v="0.24"/>
    <n v="1328541462"/>
    <m/>
    <x v="0"/>
  </r>
  <r>
    <d v="2025-03-28T00:00:00"/>
    <d v="2025-03-31T00:00:00"/>
    <s v="COMM"/>
    <s v="Product"/>
    <x v="0"/>
    <n v="4.07"/>
    <n v="0"/>
    <n v="4.07"/>
    <n v="653470"/>
    <s v="Main Line Benefits LLC"/>
    <m/>
    <m/>
    <m/>
    <m/>
    <m/>
    <x v="0"/>
    <m/>
    <x v="0"/>
    <x v="0"/>
    <s v="IL"/>
    <x v="0"/>
    <x v="0"/>
    <s v="NCD"/>
    <m/>
    <n v="38593"/>
    <x v="1"/>
    <x v="0"/>
    <s v="Monthly"/>
    <s v="Vision"/>
    <s v="VSP"/>
    <d v="2025-03-24T00:00:00"/>
    <d v="2025-04-01T00:00:00"/>
    <x v="1"/>
    <n v="10539081494"/>
    <m/>
    <x v="0"/>
    <s v="ACH"/>
    <n v="1"/>
    <m/>
    <m/>
    <x v="1"/>
    <n v="0.37"/>
    <n v="1328541464"/>
    <m/>
    <x v="0"/>
  </r>
  <r>
    <d v="2025-03-28T00:00:00"/>
    <d v="2025-03-31T00:00:00"/>
    <s v="COMM"/>
    <s v="Product"/>
    <x v="0"/>
    <n v="8"/>
    <n v="0"/>
    <n v="8"/>
    <n v="653470"/>
    <s v="Main Line Benefits LLC"/>
    <m/>
    <m/>
    <m/>
    <m/>
    <m/>
    <x v="1"/>
    <m/>
    <x v="1"/>
    <x v="1"/>
    <s v="PA"/>
    <x v="1"/>
    <x v="1"/>
    <s v="NCD"/>
    <m/>
    <n v="45041"/>
    <x v="2"/>
    <x v="0"/>
    <s v="Monthly"/>
    <s v="Dental"/>
    <s v="MetLife"/>
    <d v="2025-03-05T00:00:00"/>
    <d v="2025-04-01T00:00:00"/>
    <x v="2"/>
    <n v="10552380068"/>
    <m/>
    <x v="0"/>
    <s v="CC"/>
    <n v="1"/>
    <d v="2025-04-01T00:00:00"/>
    <d v="2025-04-30T00:00:00"/>
    <x v="0"/>
    <n v="0.32"/>
    <n v="1328539666"/>
    <m/>
    <x v="0"/>
  </r>
  <r>
    <d v="2025-03-24T00:00:00"/>
    <d v="2025-03-31T00:00:00"/>
    <s v="COMM"/>
    <s v="Product"/>
    <x v="0"/>
    <n v="12"/>
    <n v="0"/>
    <n v="12"/>
    <n v="653470"/>
    <s v="Main Line Benefits LLC"/>
    <m/>
    <m/>
    <m/>
    <m/>
    <m/>
    <x v="2"/>
    <m/>
    <x v="2"/>
    <x v="2"/>
    <s v="NY"/>
    <x v="2"/>
    <x v="2"/>
    <s v="NCD"/>
    <m/>
    <n v="39849"/>
    <x v="3"/>
    <x v="1"/>
    <s v="Monthly"/>
    <s v="Dental"/>
    <s v="MetLife"/>
    <d v="2025-03-24T00:00:00"/>
    <d v="2025-04-01T00:00:00"/>
    <x v="3"/>
    <n v="10539089688"/>
    <m/>
    <x v="0"/>
    <s v="CC"/>
    <n v="1"/>
    <d v="2025-04-01T00:00:00"/>
    <d v="2025-04-30T00:00:00"/>
    <x v="2"/>
    <n v="0.24"/>
    <n v="1328546539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42B7E-7B38-40AD-9813-3D0F0CAB1849}" name="Statement Table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rowHeaderCaption="Payout Type">
  <location ref="A10:M16" firstHeaderRow="1" firstDataRow="1" firstDataCol="12"/>
  <pivotFields count="45">
    <pivotField numFmtId="14" showAll="0"/>
    <pivotField numFmtId="14"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axis="axisRow" outline="0" showAll="0" defaultSubtotal="0">
      <items count="4">
        <item x="2"/>
        <item x="0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numFmtId="14" showAll="0"/>
    <pivotField numFmtId="14" showAll="0"/>
    <pivotField axis="axisRow" outline="0" showAll="0" defaultSubtotal="0">
      <items count="4">
        <item x="3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axis="axisRow" numFmtId="164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/>
    <pivotField showAll="0"/>
    <pivotField showAll="0"/>
    <pivotField axis="axisRow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2">
    <field x="44"/>
    <field x="15"/>
    <field x="17"/>
    <field x="18"/>
    <field x="20"/>
    <field x="21"/>
    <field x="32"/>
    <field x="25"/>
    <field x="26"/>
    <field x="35"/>
    <field x="4"/>
    <field x="40"/>
  </rowFields>
  <rowItems count="6">
    <i>
      <x/>
      <x/>
      <x v="2"/>
      <x v="1"/>
      <x/>
      <x/>
      <x v="2"/>
      <x/>
      <x/>
      <x/>
      <x/>
      <x v="1"/>
    </i>
    <i r="1">
      <x v="1"/>
      <x/>
      <x v="2"/>
      <x v="1"/>
      <x v="1"/>
      <x v="1"/>
      <x v="3"/>
      <x/>
      <x/>
      <x/>
      <x/>
    </i>
    <i r="6">
      <x v="3"/>
      <x v="1"/>
      <x/>
      <x/>
      <x/>
      <x v="1"/>
    </i>
    <i r="1">
      <x v="2"/>
      <x v="1"/>
      <x/>
      <x v="2"/>
      <x v="2"/>
      <x/>
      <x v="2"/>
      <x v="1"/>
      <x/>
      <x/>
      <x v="2"/>
    </i>
    <i t="default">
      <x/>
    </i>
    <i t="grand">
      <x/>
    </i>
  </rowItems>
  <colItems count="1">
    <i/>
  </colItems>
  <dataFields count="1">
    <dataField name="Sum of Net Commission" fld="7" baseField="0" baseItem="0" numFmtId="164"/>
  </dataFields>
  <formats count="2">
    <format dxfId="1">
      <pivotArea dataOnly="0" labelOnly="1" fieldPosition="0">
        <references count="1">
          <reference field="44" count="0" defaultSubtotal="1"/>
        </references>
      </pivotArea>
    </format>
    <format dxfId="0">
      <pivotArea outline="0" collapsedLevelsAreSubtotals="1" fieldPosition="0">
        <references count="1">
          <reference field="44" count="0" selected="0" defaultSubtotal="1"/>
        </references>
      </pivotArea>
    </format>
  </formats>
  <pivotTableStyleInfo name="PivotTable Style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6927-2318-499B-8CD3-36BF6E2A8A82}">
  <dimension ref="A1:P16"/>
  <sheetViews>
    <sheetView topLeftCell="B1" workbookViewId="0">
      <selection activeCell="B30" sqref="B30"/>
    </sheetView>
  </sheetViews>
  <sheetFormatPr defaultColWidth="0" defaultRowHeight="15" x14ac:dyDescent="0.25"/>
  <cols>
    <col min="1" max="1" width="15.28515625" bestFit="1" customWidth="1"/>
    <col min="2" max="2" width="13.140625" bestFit="1" customWidth="1"/>
    <col min="3" max="3" width="21.140625" bestFit="1" customWidth="1"/>
    <col min="4" max="4" width="20.85546875" bestFit="1" customWidth="1"/>
    <col min="5" max="5" width="18.85546875" bestFit="1" customWidth="1"/>
    <col min="6" max="6" width="36.85546875" bestFit="1" customWidth="1"/>
    <col min="7" max="7" width="16.5703125" bestFit="1" customWidth="1"/>
    <col min="8" max="8" width="29.42578125" bestFit="1" customWidth="1"/>
    <col min="9" max="9" width="21.42578125" bestFit="1" customWidth="1"/>
    <col min="10" max="10" width="18.5703125" bestFit="1" customWidth="1"/>
    <col min="11" max="11" width="9.28515625" bestFit="1" customWidth="1"/>
    <col min="12" max="12" width="26.42578125" bestFit="1" customWidth="1"/>
    <col min="13" max="13" width="23.28515625" bestFit="1" customWidth="1"/>
    <col min="14" max="16" width="8.85546875" customWidth="1"/>
    <col min="17" max="16384" width="8.85546875" hidden="1"/>
  </cols>
  <sheetData>
    <row r="1" spans="1:13" s="9" customFormat="1" ht="18.75" x14ac:dyDescent="0.3">
      <c r="A1" s="10" t="s">
        <v>52</v>
      </c>
    </row>
    <row r="2" spans="1:13" s="9" customFormat="1" ht="18.75" x14ac:dyDescent="0.3">
      <c r="A2" s="10" t="s">
        <v>79</v>
      </c>
    </row>
    <row r="3" spans="1:13" s="9" customFormat="1" ht="18.75" x14ac:dyDescent="0.3">
      <c r="A3" s="10" t="s">
        <v>80</v>
      </c>
    </row>
    <row r="4" spans="1:13" s="9" customFormat="1" ht="19.5" thickBot="1" x14ac:dyDescent="0.35">
      <c r="A4" s="10" t="s">
        <v>81</v>
      </c>
    </row>
    <row r="5" spans="1:13" s="9" customFormat="1" ht="21.75" thickBot="1" x14ac:dyDescent="0.4">
      <c r="C5" s="13" t="s">
        <v>82</v>
      </c>
      <c r="D5" s="14">
        <v>30.07</v>
      </c>
      <c r="E5" s="15" t="s">
        <v>83</v>
      </c>
      <c r="F5" s="16">
        <v>30.07</v>
      </c>
    </row>
    <row r="6" spans="1:13" s="9" customFormat="1" x14ac:dyDescent="0.25"/>
    <row r="7" spans="1:13" s="9" customFormat="1" x14ac:dyDescent="0.25"/>
    <row r="8" spans="1:13" s="9" customFormat="1" x14ac:dyDescent="0.25"/>
    <row r="9" spans="1:13" s="9" customFormat="1" x14ac:dyDescent="0.25"/>
    <row r="10" spans="1:13" x14ac:dyDescent="0.25">
      <c r="A10" s="7" t="s">
        <v>44</v>
      </c>
      <c r="B10" s="7" t="s">
        <v>15</v>
      </c>
      <c r="C10" s="7" t="s">
        <v>17</v>
      </c>
      <c r="D10" s="7" t="s">
        <v>18</v>
      </c>
      <c r="E10" s="7" t="s">
        <v>20</v>
      </c>
      <c r="F10" s="7" t="s">
        <v>21</v>
      </c>
      <c r="G10" s="7" t="s">
        <v>32</v>
      </c>
      <c r="H10" s="7" t="s">
        <v>25</v>
      </c>
      <c r="I10" s="7" t="s">
        <v>26</v>
      </c>
      <c r="J10" s="7" t="s">
        <v>35</v>
      </c>
      <c r="K10" s="7" t="s">
        <v>4</v>
      </c>
      <c r="L10" s="7" t="s">
        <v>40</v>
      </c>
      <c r="M10" t="s">
        <v>78</v>
      </c>
    </row>
    <row r="11" spans="1:13" x14ac:dyDescent="0.25">
      <c r="A11" t="s">
        <v>60</v>
      </c>
      <c r="B11">
        <v>684143314</v>
      </c>
      <c r="C11" t="s">
        <v>64</v>
      </c>
      <c r="D11" t="s">
        <v>65</v>
      </c>
      <c r="E11">
        <v>653470</v>
      </c>
      <c r="F11" t="s">
        <v>47</v>
      </c>
      <c r="G11">
        <v>338919869</v>
      </c>
      <c r="H11" t="s">
        <v>67</v>
      </c>
      <c r="I11" t="s">
        <v>54</v>
      </c>
      <c r="J11" t="s">
        <v>58</v>
      </c>
      <c r="K11" t="s">
        <v>76</v>
      </c>
      <c r="L11" s="8">
        <v>25</v>
      </c>
      <c r="M11" s="8">
        <v>8</v>
      </c>
    </row>
    <row r="12" spans="1:13" x14ac:dyDescent="0.25">
      <c r="A12" t="s">
        <v>60</v>
      </c>
      <c r="B12">
        <v>684234107</v>
      </c>
      <c r="C12" t="s">
        <v>48</v>
      </c>
      <c r="D12" t="s">
        <v>49</v>
      </c>
      <c r="E12">
        <v>760338</v>
      </c>
      <c r="F12" t="s">
        <v>51</v>
      </c>
      <c r="G12">
        <v>260311117</v>
      </c>
      <c r="H12" t="s">
        <v>61</v>
      </c>
      <c r="I12" t="s">
        <v>54</v>
      </c>
      <c r="J12" t="s">
        <v>58</v>
      </c>
      <c r="K12" t="s">
        <v>76</v>
      </c>
      <c r="L12" s="8">
        <v>11</v>
      </c>
      <c r="M12" s="8">
        <v>4.07</v>
      </c>
    </row>
    <row r="13" spans="1:13" x14ac:dyDescent="0.25">
      <c r="A13" t="s">
        <v>60</v>
      </c>
      <c r="B13">
        <v>684234107</v>
      </c>
      <c r="C13" t="s">
        <v>48</v>
      </c>
      <c r="D13" t="s">
        <v>49</v>
      </c>
      <c r="E13">
        <v>760338</v>
      </c>
      <c r="F13" t="s">
        <v>51</v>
      </c>
      <c r="G13">
        <v>341203822</v>
      </c>
      <c r="H13" t="s">
        <v>53</v>
      </c>
      <c r="I13" t="s">
        <v>54</v>
      </c>
      <c r="J13" t="s">
        <v>58</v>
      </c>
      <c r="K13" t="s">
        <v>76</v>
      </c>
      <c r="L13" s="8">
        <v>25</v>
      </c>
      <c r="M13" s="8">
        <v>6</v>
      </c>
    </row>
    <row r="14" spans="1:13" x14ac:dyDescent="0.25">
      <c r="A14" t="s">
        <v>60</v>
      </c>
      <c r="B14">
        <v>684234261</v>
      </c>
      <c r="C14" t="s">
        <v>69</v>
      </c>
      <c r="D14" t="s">
        <v>70</v>
      </c>
      <c r="E14">
        <v>847313</v>
      </c>
      <c r="F14" t="s">
        <v>72</v>
      </c>
      <c r="G14">
        <v>109514918</v>
      </c>
      <c r="H14" t="s">
        <v>73</v>
      </c>
      <c r="I14" t="s">
        <v>74</v>
      </c>
      <c r="J14" t="s">
        <v>58</v>
      </c>
      <c r="K14" t="s">
        <v>76</v>
      </c>
      <c r="L14" s="8">
        <v>50</v>
      </c>
      <c r="M14" s="8">
        <v>12</v>
      </c>
    </row>
    <row r="15" spans="1:13" ht="18.75" x14ac:dyDescent="0.3">
      <c r="A15" s="11" t="s">
        <v>77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>
        <v>30.07</v>
      </c>
    </row>
    <row r="16" spans="1:13" x14ac:dyDescent="0.25">
      <c r="A16" t="s">
        <v>75</v>
      </c>
      <c r="M16" s="8">
        <v>30.07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92F0-34E6-4AE3-8370-EF8167338577}">
  <dimension ref="A1:BL5"/>
  <sheetViews>
    <sheetView topLeftCell="W1" zoomScaleNormal="100" workbookViewId="0">
      <selection activeCell="W1" sqref="A1:XFD5"/>
    </sheetView>
  </sheetViews>
  <sheetFormatPr defaultRowHeight="15" x14ac:dyDescent="0.25"/>
  <cols>
    <col min="1" max="1" width="9.28515625" bestFit="1" customWidth="1"/>
    <col min="2" max="2" width="11.5703125" bestFit="1" customWidth="1"/>
    <col min="3" max="3" width="6.42578125" bestFit="1" customWidth="1"/>
    <col min="4" max="4" width="7.28515625" bestFit="1" customWidth="1"/>
    <col min="5" max="5" width="5.7109375" bestFit="1" customWidth="1"/>
    <col min="6" max="6" width="5.85546875" bestFit="1" customWidth="1"/>
    <col min="7" max="7" width="5.28515625" bestFit="1" customWidth="1"/>
    <col min="8" max="8" width="5" bestFit="1" customWidth="1"/>
    <col min="9" max="9" width="12.7109375" bestFit="1" customWidth="1"/>
    <col min="10" max="10" width="19" bestFit="1" customWidth="1"/>
    <col min="11" max="12" width="14.28515625" bestFit="1" customWidth="1"/>
    <col min="13" max="13" width="9.28515625" bestFit="1" customWidth="1"/>
    <col min="14" max="14" width="10.28515625" bestFit="1" customWidth="1"/>
    <col min="15" max="15" width="12.5703125" bestFit="1" customWidth="1"/>
    <col min="16" max="16" width="10" bestFit="1" customWidth="1"/>
    <col min="17" max="17" width="15.7109375" bestFit="1" customWidth="1"/>
    <col min="18" max="18" width="16.85546875" bestFit="1" customWidth="1"/>
    <col min="19" max="19" width="16.7109375" bestFit="1" customWidth="1"/>
    <col min="20" max="20" width="12.140625" bestFit="1" customWidth="1"/>
    <col min="21" max="21" width="14.7109375" bestFit="1" customWidth="1"/>
    <col min="22" max="22" width="32.140625" bestFit="1" customWidth="1"/>
    <col min="23" max="23" width="20.28515625" bestFit="1" customWidth="1"/>
    <col min="24" max="24" width="18.85546875" bestFit="1" customWidth="1"/>
    <col min="25" max="25" width="9.28515625" bestFit="1" customWidth="1"/>
    <col min="26" max="26" width="25.5703125" bestFit="1" customWidth="1"/>
    <col min="27" max="27" width="17.7109375" bestFit="1" customWidth="1"/>
    <col min="28" max="28" width="7.28515625" bestFit="1" customWidth="1"/>
    <col min="29" max="29" width="14.85546875" bestFit="1" customWidth="1"/>
    <col min="30" max="30" width="16.28515625" bestFit="1" customWidth="1"/>
    <col min="31" max="31" width="18.42578125" bestFit="1" customWidth="1"/>
    <col min="32" max="32" width="16.7109375" bestFit="1" customWidth="1"/>
    <col min="33" max="33" width="12.7109375" bestFit="1" customWidth="1"/>
    <col min="34" max="34" width="12.42578125" bestFit="1" customWidth="1"/>
    <col min="35" max="35" width="17.28515625" bestFit="1" customWidth="1"/>
    <col min="36" max="36" width="14.5703125" bestFit="1" customWidth="1"/>
    <col min="37" max="37" width="12" bestFit="1" customWidth="1"/>
    <col min="38" max="38" width="18" bestFit="1" customWidth="1"/>
    <col min="39" max="39" width="25.7109375" bestFit="1" customWidth="1"/>
    <col min="40" max="40" width="24.7109375" bestFit="1" customWidth="1"/>
    <col min="41" max="41" width="21.28515625" bestFit="1" customWidth="1"/>
    <col min="42" max="42" width="6.42578125" bestFit="1" customWidth="1"/>
    <col min="43" max="43" width="11" bestFit="1" customWidth="1"/>
    <col min="44" max="44" width="15.28515625" bestFit="1" customWidth="1"/>
    <col min="45" max="45" width="10.42578125" bestFit="1" customWidth="1"/>
    <col min="16384" max="16384" width="10.42578125" bestFit="1" customWidth="1"/>
  </cols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BE1" s="1"/>
    </row>
    <row r="2" spans="1:64" x14ac:dyDescent="0.25">
      <c r="A2" s="2">
        <v>45744</v>
      </c>
      <c r="B2" s="2">
        <v>45747</v>
      </c>
      <c r="C2" t="s">
        <v>45</v>
      </c>
      <c r="D2" t="s">
        <v>46</v>
      </c>
      <c r="F2">
        <v>6</v>
      </c>
      <c r="G2">
        <v>0</v>
      </c>
      <c r="H2">
        <v>6</v>
      </c>
      <c r="I2">
        <v>653470</v>
      </c>
      <c r="J2" t="s">
        <v>47</v>
      </c>
      <c r="P2">
        <v>684234107</v>
      </c>
      <c r="R2" t="s">
        <v>48</v>
      </c>
      <c r="S2" t="s">
        <v>49</v>
      </c>
      <c r="T2" t="s">
        <v>50</v>
      </c>
      <c r="U2">
        <v>760338</v>
      </c>
      <c r="V2" t="s">
        <v>51</v>
      </c>
      <c r="W2" t="s">
        <v>52</v>
      </c>
      <c r="Y2">
        <v>38796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s="2">
        <v>45740</v>
      </c>
      <c r="AF2" s="2">
        <v>45748</v>
      </c>
      <c r="AG2">
        <v>341203822</v>
      </c>
      <c r="AH2">
        <v>10539081494</v>
      </c>
      <c r="AI2" s="3"/>
      <c r="AJ2" t="s">
        <v>58</v>
      </c>
      <c r="AK2" t="s">
        <v>59</v>
      </c>
      <c r="AL2">
        <v>1</v>
      </c>
      <c r="AO2" s="3">
        <v>25</v>
      </c>
      <c r="AP2" s="4">
        <v>0.24</v>
      </c>
      <c r="AQ2">
        <v>1328541462</v>
      </c>
      <c r="AS2" t="s">
        <v>60</v>
      </c>
      <c r="BB2" s="2"/>
      <c r="BF2" s="5"/>
      <c r="BG2" s="5"/>
      <c r="BJ2" s="6"/>
      <c r="BL2" s="1"/>
    </row>
    <row r="3" spans="1:64" x14ac:dyDescent="0.25">
      <c r="A3" s="2">
        <v>45744</v>
      </c>
      <c r="B3" s="2">
        <v>45747</v>
      </c>
      <c r="C3" t="s">
        <v>45</v>
      </c>
      <c r="D3" t="s">
        <v>46</v>
      </c>
      <c r="F3">
        <v>4.07</v>
      </c>
      <c r="G3">
        <v>0</v>
      </c>
      <c r="H3">
        <v>4.07</v>
      </c>
      <c r="I3">
        <v>653470</v>
      </c>
      <c r="J3" t="s">
        <v>47</v>
      </c>
      <c r="P3">
        <v>684234107</v>
      </c>
      <c r="R3" t="s">
        <v>48</v>
      </c>
      <c r="S3" t="s">
        <v>49</v>
      </c>
      <c r="T3" t="s">
        <v>50</v>
      </c>
      <c r="U3">
        <v>760338</v>
      </c>
      <c r="V3" t="s">
        <v>51</v>
      </c>
      <c r="W3" t="s">
        <v>52</v>
      </c>
      <c r="Y3">
        <v>38593</v>
      </c>
      <c r="Z3" t="s">
        <v>61</v>
      </c>
      <c r="AA3" t="s">
        <v>54</v>
      </c>
      <c r="AB3" t="s">
        <v>55</v>
      </c>
      <c r="AC3" t="s">
        <v>62</v>
      </c>
      <c r="AD3" t="s">
        <v>63</v>
      </c>
      <c r="AE3" s="2">
        <v>45740</v>
      </c>
      <c r="AF3" s="2">
        <v>45748</v>
      </c>
      <c r="AG3">
        <v>260311117</v>
      </c>
      <c r="AH3">
        <v>10539081494</v>
      </c>
      <c r="AI3" s="3"/>
      <c r="AJ3" t="s">
        <v>58</v>
      </c>
      <c r="AK3" t="s">
        <v>59</v>
      </c>
      <c r="AL3">
        <v>1</v>
      </c>
      <c r="AO3" s="3">
        <v>11</v>
      </c>
      <c r="AP3" s="4">
        <v>0.37</v>
      </c>
      <c r="AQ3">
        <v>1328541464</v>
      </c>
      <c r="AS3" t="s">
        <v>60</v>
      </c>
      <c r="BB3" s="2"/>
      <c r="BF3" s="5"/>
      <c r="BG3" s="5"/>
      <c r="BJ3" s="6"/>
      <c r="BL3" s="1"/>
    </row>
    <row r="4" spans="1:64" x14ac:dyDescent="0.25">
      <c r="A4" s="2">
        <v>45744</v>
      </c>
      <c r="B4" s="2">
        <v>45747</v>
      </c>
      <c r="C4" t="s">
        <v>45</v>
      </c>
      <c r="D4" t="s">
        <v>46</v>
      </c>
      <c r="F4">
        <v>8</v>
      </c>
      <c r="G4">
        <v>0</v>
      </c>
      <c r="H4">
        <v>8</v>
      </c>
      <c r="I4">
        <v>653470</v>
      </c>
      <c r="J4" t="s">
        <v>47</v>
      </c>
      <c r="P4">
        <v>684143314</v>
      </c>
      <c r="R4" t="s">
        <v>64</v>
      </c>
      <c r="S4" t="s">
        <v>65</v>
      </c>
      <c r="T4" t="s">
        <v>66</v>
      </c>
      <c r="U4">
        <v>653470</v>
      </c>
      <c r="V4" t="s">
        <v>47</v>
      </c>
      <c r="W4" t="s">
        <v>52</v>
      </c>
      <c r="Y4">
        <v>45041</v>
      </c>
      <c r="Z4" t="s">
        <v>67</v>
      </c>
      <c r="AA4" t="s">
        <v>54</v>
      </c>
      <c r="AB4" t="s">
        <v>55</v>
      </c>
      <c r="AC4" t="s">
        <v>56</v>
      </c>
      <c r="AD4" t="s">
        <v>57</v>
      </c>
      <c r="AE4" s="2">
        <v>45721</v>
      </c>
      <c r="AF4" s="2">
        <v>45748</v>
      </c>
      <c r="AG4">
        <v>338919869</v>
      </c>
      <c r="AH4">
        <v>10552380068</v>
      </c>
      <c r="AI4" s="3"/>
      <c r="AJ4" t="s">
        <v>58</v>
      </c>
      <c r="AK4" t="s">
        <v>68</v>
      </c>
      <c r="AL4">
        <v>1</v>
      </c>
      <c r="AM4" s="2">
        <v>45748</v>
      </c>
      <c r="AN4" s="2">
        <v>45777</v>
      </c>
      <c r="AO4" s="3">
        <v>25</v>
      </c>
      <c r="AP4" s="4">
        <v>0.32</v>
      </c>
      <c r="AQ4">
        <v>1328539666</v>
      </c>
      <c r="AS4" t="s">
        <v>60</v>
      </c>
      <c r="BB4" s="2"/>
      <c r="BF4" s="5"/>
      <c r="BG4" s="5"/>
      <c r="BJ4" s="6"/>
      <c r="BL4" s="1"/>
    </row>
    <row r="5" spans="1:64" x14ac:dyDescent="0.25">
      <c r="A5" s="2">
        <v>45740</v>
      </c>
      <c r="B5" s="2">
        <v>45747</v>
      </c>
      <c r="C5" t="s">
        <v>45</v>
      </c>
      <c r="D5" t="s">
        <v>46</v>
      </c>
      <c r="F5">
        <v>12</v>
      </c>
      <c r="G5">
        <v>0</v>
      </c>
      <c r="H5">
        <v>12</v>
      </c>
      <c r="I5">
        <v>653470</v>
      </c>
      <c r="J5" t="s">
        <v>47</v>
      </c>
      <c r="P5">
        <v>684234261</v>
      </c>
      <c r="R5" t="s">
        <v>69</v>
      </c>
      <c r="S5" t="s">
        <v>70</v>
      </c>
      <c r="T5" t="s">
        <v>71</v>
      </c>
      <c r="U5">
        <v>847313</v>
      </c>
      <c r="V5" t="s">
        <v>72</v>
      </c>
      <c r="W5" t="s">
        <v>52</v>
      </c>
      <c r="Y5">
        <v>39849</v>
      </c>
      <c r="Z5" t="s">
        <v>73</v>
      </c>
      <c r="AA5" t="s">
        <v>74</v>
      </c>
      <c r="AB5" t="s">
        <v>55</v>
      </c>
      <c r="AC5" t="s">
        <v>56</v>
      </c>
      <c r="AD5" t="s">
        <v>57</v>
      </c>
      <c r="AE5" s="2">
        <v>45740</v>
      </c>
      <c r="AF5" s="2">
        <v>45748</v>
      </c>
      <c r="AG5">
        <v>109514918</v>
      </c>
      <c r="AH5">
        <v>10539089688</v>
      </c>
      <c r="AI5" s="3"/>
      <c r="AJ5" t="s">
        <v>58</v>
      </c>
      <c r="AK5" t="s">
        <v>68</v>
      </c>
      <c r="AL5">
        <v>1</v>
      </c>
      <c r="AM5" s="2">
        <v>45748</v>
      </c>
      <c r="AN5" s="2">
        <v>45777</v>
      </c>
      <c r="AO5" s="3">
        <v>50</v>
      </c>
      <c r="AP5" s="4">
        <v>0.24</v>
      </c>
      <c r="AQ5">
        <v>1328546539</v>
      </c>
      <c r="AS5" t="s">
        <v>60</v>
      </c>
      <c r="BB5" s="2"/>
      <c r="BF5" s="5"/>
      <c r="BG5" s="5"/>
      <c r="BJ5" s="6"/>
      <c r="BL5" s="1"/>
    </row>
  </sheetData>
  <autoFilter ref="A1:AS5" xr:uid="{C6DC92F0-34E6-4AE3-8370-EF8167338577}">
    <sortState xmlns:xlrd2="http://schemas.microsoft.com/office/spreadsheetml/2017/richdata2" ref="A2:AS5">
      <sortCondition ref="AS1:AS1048576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6937-0067-432A-AEF6-42AC51C0459A}">
  <dimension ref="A1:AG5"/>
  <sheetViews>
    <sheetView tabSelected="1" workbookViewId="0">
      <selection activeCell="Q8" sqref="Q8"/>
    </sheetView>
  </sheetViews>
  <sheetFormatPr defaultRowHeight="15" x14ac:dyDescent="0.25"/>
  <cols>
    <col min="4" max="4" width="13.85546875" bestFit="1" customWidth="1"/>
    <col min="7" max="7" width="35" bestFit="1" customWidth="1"/>
    <col min="8" max="8" width="27.5703125" bestFit="1" customWidth="1"/>
    <col min="11" max="11" width="18.140625" bestFit="1" customWidth="1"/>
    <col min="12" max="12" width="14" bestFit="1" customWidth="1"/>
  </cols>
  <sheetData>
    <row r="1" spans="1:33" x14ac:dyDescent="0.25">
      <c r="A1" t="s">
        <v>7</v>
      </c>
      <c r="B1" t="s">
        <v>17</v>
      </c>
      <c r="C1" t="s">
        <v>18</v>
      </c>
      <c r="E1" t="s">
        <v>19</v>
      </c>
      <c r="F1" t="s">
        <v>20</v>
      </c>
      <c r="G1" t="s">
        <v>21</v>
      </c>
      <c r="H1" t="s">
        <v>25</v>
      </c>
      <c r="I1" t="s">
        <v>28</v>
      </c>
      <c r="J1" t="s">
        <v>29</v>
      </c>
      <c r="K1" t="s">
        <v>31</v>
      </c>
      <c r="L1" t="s">
        <v>32</v>
      </c>
      <c r="M1" t="s">
        <v>40</v>
      </c>
      <c r="N1" t="s">
        <v>41</v>
      </c>
      <c r="Z1" s="1"/>
    </row>
    <row r="2" spans="1:33" x14ac:dyDescent="0.25">
      <c r="A2">
        <v>6</v>
      </c>
      <c r="B2" t="s">
        <v>48</v>
      </c>
      <c r="C2" t="s">
        <v>49</v>
      </c>
      <c r="D2" t="str">
        <f>CONCATENATE(B2, " ",C2)</f>
        <v>Elizabeth Zane</v>
      </c>
      <c r="E2" t="s">
        <v>50</v>
      </c>
      <c r="F2">
        <v>8814784</v>
      </c>
      <c r="G2" t="s">
        <v>84</v>
      </c>
      <c r="H2" t="s">
        <v>53</v>
      </c>
      <c r="I2" t="s">
        <v>56</v>
      </c>
      <c r="J2" t="s">
        <v>57</v>
      </c>
      <c r="K2" s="2">
        <v>45748</v>
      </c>
      <c r="L2">
        <v>341203822</v>
      </c>
      <c r="M2" s="3">
        <v>25</v>
      </c>
      <c r="N2" s="4">
        <v>0.24</v>
      </c>
      <c r="O2" t="s">
        <v>86</v>
      </c>
      <c r="Q2">
        <f>25*12/6</f>
        <v>50</v>
      </c>
      <c r="R2">
        <f>25*24%</f>
        <v>6</v>
      </c>
      <c r="W2" s="2"/>
      <c r="AA2" s="5"/>
      <c r="AB2" s="5"/>
      <c r="AE2" s="6"/>
      <c r="AG2" s="1"/>
    </row>
    <row r="3" spans="1:33" x14ac:dyDescent="0.25">
      <c r="A3">
        <v>4.07</v>
      </c>
      <c r="B3" t="s">
        <v>48</v>
      </c>
      <c r="C3" t="s">
        <v>49</v>
      </c>
      <c r="D3" t="str">
        <f t="shared" ref="D3:D5" si="0">CONCATENATE(B3, " ",C3)</f>
        <v>Elizabeth Zane</v>
      </c>
      <c r="E3" t="s">
        <v>50</v>
      </c>
      <c r="F3">
        <v>8814784</v>
      </c>
      <c r="G3" t="s">
        <v>84</v>
      </c>
      <c r="H3" t="s">
        <v>61</v>
      </c>
      <c r="I3" t="s">
        <v>62</v>
      </c>
      <c r="J3" t="s">
        <v>63</v>
      </c>
      <c r="K3" s="2">
        <v>45748</v>
      </c>
      <c r="L3">
        <v>260311117</v>
      </c>
      <c r="M3" s="3">
        <v>11</v>
      </c>
      <c r="N3" s="4">
        <v>0.37</v>
      </c>
      <c r="O3" t="s">
        <v>87</v>
      </c>
      <c r="Q3">
        <f>11*12/6</f>
        <v>22</v>
      </c>
      <c r="R3">
        <f>11*37%</f>
        <v>4.07</v>
      </c>
      <c r="W3" s="2"/>
      <c r="AA3" s="5"/>
      <c r="AB3" s="5"/>
      <c r="AE3" s="6"/>
      <c r="AG3" s="1"/>
    </row>
    <row r="4" spans="1:33" s="17" customFormat="1" x14ac:dyDescent="0.25">
      <c r="A4" s="17">
        <v>8</v>
      </c>
      <c r="B4" s="17" t="s">
        <v>64</v>
      </c>
      <c r="C4" s="17" t="s">
        <v>65</v>
      </c>
      <c r="D4" s="17" t="str">
        <f t="shared" si="0"/>
        <v>Sarah Yoder</v>
      </c>
      <c r="E4" s="17" t="s">
        <v>66</v>
      </c>
      <c r="F4" s="17">
        <v>15278437</v>
      </c>
      <c r="G4" s="17" t="s">
        <v>89</v>
      </c>
      <c r="H4" s="17" t="s">
        <v>67</v>
      </c>
      <c r="I4" s="17" t="s">
        <v>56</v>
      </c>
      <c r="J4" s="17" t="s">
        <v>57</v>
      </c>
      <c r="K4" s="18">
        <v>45748</v>
      </c>
      <c r="L4" s="17">
        <v>338919869</v>
      </c>
      <c r="M4" s="19">
        <v>25</v>
      </c>
      <c r="N4" s="20">
        <v>0.32</v>
      </c>
      <c r="O4" s="17" t="s">
        <v>88</v>
      </c>
      <c r="W4" s="18"/>
      <c r="AA4" s="21"/>
      <c r="AB4" s="21"/>
      <c r="AE4" s="22"/>
      <c r="AG4" s="23"/>
    </row>
    <row r="5" spans="1:33" x14ac:dyDescent="0.25">
      <c r="A5">
        <v>12</v>
      </c>
      <c r="B5" t="s">
        <v>69</v>
      </c>
      <c r="C5" t="s">
        <v>70</v>
      </c>
      <c r="D5" t="str">
        <f t="shared" si="0"/>
        <v>Monica  Cornelio</v>
      </c>
      <c r="E5" t="s">
        <v>71</v>
      </c>
      <c r="F5">
        <v>21421111</v>
      </c>
      <c r="G5" t="s">
        <v>85</v>
      </c>
      <c r="H5" t="s">
        <v>73</v>
      </c>
      <c r="I5" t="s">
        <v>56</v>
      </c>
      <c r="J5" t="s">
        <v>57</v>
      </c>
      <c r="K5" s="2">
        <v>45748</v>
      </c>
      <c r="L5">
        <v>109514918</v>
      </c>
      <c r="M5" s="3">
        <v>50</v>
      </c>
      <c r="N5" s="4">
        <v>0.24</v>
      </c>
      <c r="O5" t="s">
        <v>86</v>
      </c>
      <c r="Q5">
        <f>50*12/6</f>
        <v>100</v>
      </c>
      <c r="R5">
        <f>50*24%</f>
        <v>12</v>
      </c>
      <c r="W5" s="2"/>
      <c r="AA5" s="5"/>
      <c r="AB5" s="5"/>
      <c r="AE5" s="6"/>
      <c r="AG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Rojas</dc:creator>
  <cp:lastModifiedBy>Cabel, Denisse Raeka</cp:lastModifiedBy>
  <dcterms:created xsi:type="dcterms:W3CDTF">2025-04-03T20:28:41Z</dcterms:created>
  <dcterms:modified xsi:type="dcterms:W3CDTF">2025-04-04T15:33:29Z</dcterms:modified>
</cp:coreProperties>
</file>