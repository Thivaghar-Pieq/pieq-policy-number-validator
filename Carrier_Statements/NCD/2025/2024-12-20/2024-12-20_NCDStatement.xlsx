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12-20-24\"/>
    </mc:Choice>
  </mc:AlternateContent>
  <xr:revisionPtr revIDLastSave="0" documentId="13_ncr:1_{BFD80B3E-696F-4246-B6CD-A15013DE161E}" xr6:coauthVersionLast="47" xr6:coauthVersionMax="47" xr10:uidLastSave="{00000000-0000-0000-0000-000000000000}"/>
  <bookViews>
    <workbookView xWindow="-57720" yWindow="-45" windowWidth="29040" windowHeight="15720" activeTab="1" xr2:uid="{2FADD2FC-CA2A-4573-B766-88C51AE86AD0}"/>
  </bookViews>
  <sheets>
    <sheet name="Statement" sheetId="2" r:id="rId1"/>
    <sheet name="Details" sheetId="1" r:id="rId2"/>
  </sheets>
  <definedNames>
    <definedName name="_xlnm._FilterDatabase" localSheetId="1" hidden="1">Details!$A$1:$Y$10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Z3" i="1"/>
  <c r="Z4" i="1"/>
  <c r="Z5" i="1"/>
  <c r="Z2" i="1"/>
  <c r="M3" i="1"/>
  <c r="M10" i="1"/>
  <c r="M4" i="1"/>
  <c r="M7" i="1"/>
  <c r="M6" i="1"/>
  <c r="M5" i="1"/>
  <c r="M8" i="1"/>
  <c r="M9" i="1"/>
  <c r="M2" i="1"/>
</calcChain>
</file>

<file path=xl/sharedStrings.xml><?xml version="1.0" encoding="utf-8"?>
<sst xmlns="http://schemas.openxmlformats.org/spreadsheetml/2006/main" count="198" uniqueCount="76">
  <si>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</si>
  <si>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</si>
  <si>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</si>
  <si>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</si>
  <si>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</si>
  <si>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</si>
  <si>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</si>
  <si>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</si>
  <si>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</si>
  <si>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</si>
  <si>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Member ID</t>
  </si>
  <si>
    <t>Member First Name</t>
  </si>
  <si>
    <t>Member Last Name</t>
  </si>
  <si>
    <t>Member State</t>
  </si>
  <si>
    <t>Member Agent ID</t>
  </si>
  <si>
    <t>Member Agent Label</t>
  </si>
  <si>
    <t>Member Source Detail</t>
  </si>
  <si>
    <t>Product Label</t>
  </si>
  <si>
    <t>Benefit</t>
  </si>
  <si>
    <t>Product Active Date</t>
  </si>
  <si>
    <t>Policy Number</t>
  </si>
  <si>
    <t>Transaction ID</t>
  </si>
  <si>
    <t>Transaction Type</t>
  </si>
  <si>
    <t>Transaction Paid Through Start</t>
  </si>
  <si>
    <t>Commissionable Amount</t>
  </si>
  <si>
    <t>Payout</t>
  </si>
  <si>
    <t>Payout Type</t>
  </si>
  <si>
    <t>COMM</t>
  </si>
  <si>
    <t>Product</t>
  </si>
  <si>
    <t>Main Line Benefits LLC</t>
  </si>
  <si>
    <t>Gene</t>
  </si>
  <si>
    <t>Gerzsenyi</t>
  </si>
  <si>
    <t>MD</t>
  </si>
  <si>
    <t xml:space="preserve"> Main Line Benefits - Thomas Kucan</t>
  </si>
  <si>
    <t>NCD</t>
  </si>
  <si>
    <t>NCD Smile 2500 by MetLife</t>
  </si>
  <si>
    <t>Member plus Spouse</t>
  </si>
  <si>
    <t>SALE</t>
  </si>
  <si>
    <t>Earned</t>
  </si>
  <si>
    <t>Amberly</t>
  </si>
  <si>
    <t>Litchfield</t>
  </si>
  <si>
    <t>Member</t>
  </si>
  <si>
    <t>Michael</t>
  </si>
  <si>
    <t>Suskin</t>
  </si>
  <si>
    <t>Mainline Benefits co</t>
  </si>
  <si>
    <t>Dudley</t>
  </si>
  <si>
    <t>Hinegardner</t>
  </si>
  <si>
    <t>Steven</t>
  </si>
  <si>
    <t>Cohen</t>
  </si>
  <si>
    <t>IL</t>
  </si>
  <si>
    <t>Main Line Benefits LLC-Gary Portugal</t>
  </si>
  <si>
    <t>NCD Essentials by MetLife</t>
  </si>
  <si>
    <t>Family</t>
  </si>
  <si>
    <t>Joseph</t>
  </si>
  <si>
    <t>Wilhelm</t>
  </si>
  <si>
    <t>PA</t>
  </si>
  <si>
    <t>Main Line Benefits - Carol Foley</t>
  </si>
  <si>
    <t>Patricia</t>
  </si>
  <si>
    <t>Cammarata</t>
  </si>
  <si>
    <t>Brigette</t>
  </si>
  <si>
    <t>Wilkinson</t>
  </si>
  <si>
    <t>Main Line Benefits LLC-Jared Kinyua</t>
  </si>
  <si>
    <t>VSP Preferred Plan by NCD</t>
  </si>
  <si>
    <t>Grand Total</t>
  </si>
  <si>
    <t>(blank)</t>
  </si>
  <si>
    <t>Earned Total</t>
  </si>
  <si>
    <t>Sum of Net Commission</t>
  </si>
  <si>
    <t>Agent Label: Main Line Benefits LLC</t>
  </si>
  <si>
    <t>For the Period: NB 12.8.24-12.14.24</t>
  </si>
  <si>
    <t>Payout Date: 12.20.2024</t>
  </si>
  <si>
    <t>Earned Payout</t>
  </si>
  <si>
    <t>Total Payout</t>
  </si>
  <si>
    <t>VSP Vision</t>
  </si>
  <si>
    <t>MetLife Dental</t>
  </si>
  <si>
    <t>NCD MetLife -24%</t>
  </si>
  <si>
    <t>Mainline Benefits cathy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</si>
</sst>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  <xf numFmtId="9" fontId="0" fillId="0" borderId="0" xfId="0" applyNumberFormat="1"/>
    <xf numFmtId="8" fontId="0" fillId="0" borderId="0" xfId="0" applyNumberFormat="1"/>
    <xf numFmtId="9" fontId="0" fillId="0" borderId="0" xfId="2" applyFont="1" applyFill="1"/>
    <xf numFmtId="2" fontId="0" fillId="0" borderId="0" xfId="0" applyNumberFormat="1"/>
    <xf numFmtId="14" fontId="0" fillId="0" borderId="0" xfId="0" applyNumberFormat="1" applyFill="1"/>
    <xf numFmtId="0" fontId="0" fillId="0" borderId="0" xfId="0" applyFill="1"/>
    <xf numFmtId="9" fontId="0" fillId="0" borderId="0" xfId="0" applyNumberFormat="1" applyFill="1"/>
    <xf numFmtId="8" fontId="0" fillId="0" borderId="0" xfId="0" applyNumberFormat="1" applyFill="1"/>
    <xf numFmtId="2" fontId="0" fillId="0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DAAC8856-A793-4A67-A8C0-A4BE5B5B17C2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ather Rookwood" refreshedDate="45645.72677685185" createdVersion="3" refreshedVersion="8" minRefreshableVersion="3" recordCount="9" xr:uid="{0D1BBD38-AFB8-4F0D-83D9-A00F3439EAB8}">
  <cacheSource type="worksheet">
    <worksheetSource ref="A1:Y10" sheet="Details"/>
  </cacheSource>
  <cacheFields count="45">
    <cacheField name="Posted Date" numFmtId="14">
      <sharedItems containsSemiMixedTypes="0" containsNonDate="0" containsDate="1" containsString="0" minDate="2024-12-09T00:00:00" maxDate="2024-12-14T00:00:00" count="4">
        <d v="2024-12-13T00:00:00"/>
        <d v="2024-12-11T00:00:00"/>
        <d v="2024-12-10T00:00:00"/>
        <d v="2024-12-09T00:00:00"/>
      </sharedItems>
    </cacheField>
    <cacheField name="Created Date" numFmtId="14">
      <sharedItems containsSemiMixedTypes="0" containsNonDate="0" containsDate="1" containsString="0" minDate="2024-12-16T00:00:00" maxDate="2024-12-17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07" maxValue="44.4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07" maxValue="44.4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3532101" maxValue="683609699" count="8">
        <n v="683589666"/>
        <n v="683532101"/>
        <n v="683609699"/>
        <n v="683552927"/>
        <n v="683593204"/>
        <n v="683593628"/>
        <n v="683596031"/>
        <n v="683551481"/>
      </sharedItems>
    </cacheField>
    <cacheField name="Member Company" numFmtId="0">
      <sharedItems containsNonDate="0" containsString="0" containsBlank="1"/>
    </cacheField>
    <cacheField name="Member First Name" numFmtId="0">
      <sharedItems count="8">
        <s v="Gene"/>
        <s v="Amberly"/>
        <s v="Michael"/>
        <s v="Dudley"/>
        <s v="Steven"/>
        <s v="Joseph"/>
        <s v="Patricia"/>
        <s v="Brigette"/>
      </sharedItems>
    </cacheField>
    <cacheField name="Member Last Name" numFmtId="0">
      <sharedItems count="8">
        <s v="Gerzsenyi"/>
        <s v="Litchfield"/>
        <s v="Suskin"/>
        <s v="Hinegardner"/>
        <s v="Cohen"/>
        <s v="Wilhelm"/>
        <s v="Cammarata"/>
        <s v="Wilkinson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78726" maxValue="798992" count="5">
        <n v="678726"/>
        <n v="706472"/>
        <n v="757929"/>
        <n v="689390"/>
        <n v="798992"/>
      </sharedItems>
    </cacheField>
    <cacheField name="Member Agent Label" numFmtId="0">
      <sharedItems count="5">
        <s v=" Main Line Benefits - Thomas Kucan"/>
        <s v="Mainline Benefits co"/>
        <s v="Main Line Benefits LLC-Gary Portugal"/>
        <s v="Main Line Benefits - Carol Foley"/>
        <s v="Main Line Benefits LLC-Jared Kinyua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398" maxValue="45041"/>
    </cacheField>
    <cacheField name="Product Label" numFmtId="0">
      <sharedItems count="3">
        <s v="NCD Smile 2500 by MetLife"/>
        <s v="NCD Essentials by MetLife"/>
        <s v="VSP Preferred Plan by NCD"/>
      </sharedItems>
    </cacheField>
    <cacheField name="Benefit" numFmtId="0">
      <sharedItems count="3">
        <s v="Member plus Spouse"/>
        <s v="Member"/>
        <s v="Family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4-12-02T00:00:00" maxDate="2024-12-12T00:00:00"/>
    </cacheField>
    <cacheField name="Product Active Date" numFmtId="14">
      <sharedItems containsSemiMixedTypes="0" containsNonDate="0" containsDate="1" containsString="0" minDate="2025-01-01T00:00:00" maxDate="2025-01-02T00:00:00"/>
    </cacheField>
    <cacheField name="Policy Number" numFmtId="0">
      <sharedItems containsSemiMixedTypes="0" containsString="0" containsNumber="1" containsInteger="1" minValue="58861441" maxValue="984523223" count="9">
        <n v="877044360"/>
        <n v="478183816"/>
        <n v="58861441"/>
        <n v="699319353"/>
        <n v="348104279"/>
        <n v="539754163"/>
        <n v="68946309"/>
        <n v="984523223"/>
        <n v="245549848"/>
      </sharedItems>
    </cacheField>
    <cacheField name="Transaction ID" numFmtId="0">
      <sharedItems containsSemiMixedTypes="0" containsString="0" containsNumber="1" containsInteger="1" minValue="10191988401" maxValue="10217914492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1-01T00:00:00" maxDate="2025-01-02T00:00:00"/>
    </cacheField>
    <cacheField name="Transaction Paid Through End" numFmtId="14">
      <sharedItems containsSemiMixedTypes="0" containsNonDate="0" containsDate="1" containsString="0" minDate="2025-01-31T00:00:00" maxDate="2025-02-01T00:00:00"/>
    </cacheField>
    <cacheField name="Commissionable Amount" numFmtId="8">
      <sharedItems containsSemiMixedTypes="0" containsString="0" containsNumber="1" containsInteger="1" minValue="11" maxValue="185" count="6">
        <n v="50"/>
        <n v="25"/>
        <n v="185"/>
        <n v="45"/>
        <n v="30"/>
        <n v="11"/>
      </sharedItems>
    </cacheField>
    <cacheField name="Payout" numFmtId="9">
      <sharedItems containsSemiMixedTypes="0" containsString="0" containsNumber="1" minValue="0.24" maxValue="0.37"/>
    </cacheField>
    <cacheField name="Payable ID" numFmtId="0">
      <sharedItems containsSemiMixedTypes="0" containsString="0" containsNumber="1" containsInteger="1" minValue="1258083280" maxValue="1258812523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4-12-16T00:00:00"/>
    <s v="COMM"/>
    <s v="Product"/>
    <x v="0"/>
    <n v="16"/>
    <n v="0"/>
    <n v="16"/>
    <n v="653470"/>
    <s v="Main Line Benefits LLC"/>
    <m/>
    <m/>
    <m/>
    <m/>
    <m/>
    <x v="0"/>
    <m/>
    <x v="0"/>
    <x v="0"/>
    <s v="MD"/>
    <x v="0"/>
    <x v="0"/>
    <s v="NCD"/>
    <m/>
    <n v="45041"/>
    <x v="0"/>
    <x v="0"/>
    <s v="Monthly"/>
    <s v="Dental"/>
    <s v="MetLife"/>
    <d v="2024-12-09T00:00:00"/>
    <d v="2025-01-01T00:00:00"/>
    <x v="0"/>
    <n v="10217914492"/>
    <m/>
    <x v="0"/>
    <s v="CC"/>
    <n v="1"/>
    <d v="2025-01-01T00:00:00"/>
    <d v="2025-01-31T00:00:00"/>
    <x v="0"/>
    <n v="0.32"/>
    <n v="1258083280"/>
    <m/>
    <x v="0"/>
  </r>
  <r>
    <x v="0"/>
    <d v="2024-12-16T00:00:00"/>
    <s v="COMM"/>
    <s v="Product"/>
    <x v="0"/>
    <n v="8"/>
    <n v="0"/>
    <n v="8"/>
    <n v="653470"/>
    <s v="Main Line Benefits LLC"/>
    <m/>
    <m/>
    <m/>
    <m/>
    <m/>
    <x v="1"/>
    <m/>
    <x v="1"/>
    <x v="1"/>
    <s v="MD"/>
    <x v="0"/>
    <x v="0"/>
    <s v="NCD"/>
    <m/>
    <n v="45041"/>
    <x v="0"/>
    <x v="1"/>
    <s v="Monthly"/>
    <s v="Dental"/>
    <s v="MetLife"/>
    <d v="2024-12-02T00:00:00"/>
    <d v="2025-01-01T00:00:00"/>
    <x v="1"/>
    <n v="10205111490"/>
    <m/>
    <x v="0"/>
    <s v="ACH"/>
    <n v="1"/>
    <d v="2025-01-01T00:00:00"/>
    <d v="2025-01-31T00:00:00"/>
    <x v="1"/>
    <n v="0.32"/>
    <n v="1258094613"/>
    <m/>
    <x v="0"/>
  </r>
  <r>
    <x v="1"/>
    <d v="2024-12-16T00:00:00"/>
    <s v="COMM"/>
    <s v="Product"/>
    <x v="0"/>
    <n v="8"/>
    <n v="0"/>
    <n v="8"/>
    <n v="653470"/>
    <s v="Main Line Benefits LLC"/>
    <m/>
    <m/>
    <m/>
    <m/>
    <m/>
    <x v="2"/>
    <m/>
    <x v="2"/>
    <x v="2"/>
    <s v="MD"/>
    <x v="1"/>
    <x v="1"/>
    <s v="NCD"/>
    <m/>
    <n v="45041"/>
    <x v="0"/>
    <x v="1"/>
    <s v="Monthly"/>
    <s v="Dental"/>
    <s v="MetLife"/>
    <d v="2024-12-11T00:00:00"/>
    <d v="2025-01-01T00:00:00"/>
    <x v="2"/>
    <n v="10213276626"/>
    <m/>
    <x v="0"/>
    <s v="CC"/>
    <n v="1"/>
    <d v="2025-01-01T00:00:00"/>
    <d v="2025-01-31T00:00:00"/>
    <x v="1"/>
    <n v="0.32"/>
    <n v="1258086154"/>
    <m/>
    <x v="0"/>
  </r>
  <r>
    <x v="1"/>
    <d v="2024-12-16T00:00:00"/>
    <s v="COMM"/>
    <s v="Product"/>
    <x v="0"/>
    <n v="8"/>
    <n v="0"/>
    <n v="8"/>
    <n v="653470"/>
    <s v="Main Line Benefits LLC"/>
    <m/>
    <m/>
    <m/>
    <m/>
    <m/>
    <x v="3"/>
    <m/>
    <x v="3"/>
    <x v="3"/>
    <s v="MD"/>
    <x v="0"/>
    <x v="0"/>
    <s v="NCD"/>
    <m/>
    <n v="45041"/>
    <x v="0"/>
    <x v="1"/>
    <s v="Monthly"/>
    <s v="Dental"/>
    <s v="MetLife"/>
    <d v="2024-12-04T00:00:00"/>
    <d v="2025-01-01T00:00:00"/>
    <x v="3"/>
    <n v="10193506651"/>
    <m/>
    <x v="0"/>
    <s v="ACH"/>
    <n v="1"/>
    <d v="2025-01-01T00:00:00"/>
    <d v="2025-01-31T00:00:00"/>
    <x v="1"/>
    <n v="0.32"/>
    <n v="1258100067"/>
    <m/>
    <x v="0"/>
  </r>
  <r>
    <x v="2"/>
    <d v="2024-12-16T00:00:00"/>
    <s v="COMM"/>
    <s v="Product"/>
    <x v="0"/>
    <n v="44.4"/>
    <n v="0"/>
    <n v="44.4"/>
    <n v="653470"/>
    <s v="Main Line Benefits LLC"/>
    <m/>
    <m/>
    <m/>
    <m/>
    <m/>
    <x v="4"/>
    <m/>
    <x v="4"/>
    <x v="4"/>
    <s v="IL"/>
    <x v="2"/>
    <x v="2"/>
    <s v="NCD"/>
    <m/>
    <n v="38398"/>
    <x v="1"/>
    <x v="2"/>
    <s v="Monthly"/>
    <s v="Dental"/>
    <s v="MetLife"/>
    <d v="2024-12-10T00:00:00"/>
    <d v="2025-01-01T00:00:00"/>
    <x v="4"/>
    <n v="10209033499"/>
    <m/>
    <x v="0"/>
    <s v="CC"/>
    <n v="1"/>
    <d v="2025-01-01T00:00:00"/>
    <d v="2025-01-31T00:00:00"/>
    <x v="2"/>
    <n v="0.24"/>
    <n v="1258090285"/>
    <m/>
    <x v="0"/>
  </r>
  <r>
    <x v="2"/>
    <d v="2024-12-16T00:00:00"/>
    <s v="COMM"/>
    <s v="Product"/>
    <x v="0"/>
    <n v="10.8"/>
    <n v="0"/>
    <n v="10.8"/>
    <n v="653470"/>
    <s v="Main Line Benefits LLC"/>
    <m/>
    <m/>
    <m/>
    <m/>
    <m/>
    <x v="5"/>
    <m/>
    <x v="5"/>
    <x v="5"/>
    <s v="PA"/>
    <x v="3"/>
    <x v="3"/>
    <s v="NCD"/>
    <m/>
    <n v="38398"/>
    <x v="1"/>
    <x v="1"/>
    <s v="Monthly"/>
    <s v="Dental"/>
    <s v="MetLife"/>
    <d v="2024-12-10T00:00:00"/>
    <d v="2025-01-01T00:00:00"/>
    <x v="5"/>
    <n v="10209158598"/>
    <m/>
    <x v="0"/>
    <s v="CC"/>
    <n v="1"/>
    <d v="2025-01-01T00:00:00"/>
    <d v="2025-01-31T00:00:00"/>
    <x v="3"/>
    <n v="0.24"/>
    <n v="1258090243"/>
    <m/>
    <x v="0"/>
  </r>
  <r>
    <x v="2"/>
    <d v="2024-12-16T00:00:00"/>
    <s v="COMM"/>
    <s v="Product"/>
    <x v="0"/>
    <n v="8"/>
    <n v="0"/>
    <n v="8"/>
    <n v="653470"/>
    <s v="Main Line Benefits LLC"/>
    <m/>
    <m/>
    <m/>
    <m/>
    <m/>
    <x v="6"/>
    <m/>
    <x v="6"/>
    <x v="6"/>
    <s v="MD"/>
    <x v="0"/>
    <x v="0"/>
    <s v="NCD"/>
    <m/>
    <n v="45041"/>
    <x v="0"/>
    <x v="1"/>
    <s v="Monthly"/>
    <s v="Dental"/>
    <s v="MetLife"/>
    <d v="2024-12-10T00:00:00"/>
    <d v="2025-01-01T00:00:00"/>
    <x v="6"/>
    <n v="10209746025"/>
    <m/>
    <x v="0"/>
    <s v="CC"/>
    <n v="1"/>
    <d v="2025-01-01T00:00:00"/>
    <d v="2025-01-31T00:00:00"/>
    <x v="1"/>
    <n v="0.32"/>
    <n v="1258089426"/>
    <m/>
    <x v="0"/>
  </r>
  <r>
    <x v="3"/>
    <d v="2024-12-16T00:00:00"/>
    <s v="COMM"/>
    <s v="Product"/>
    <x v="0"/>
    <n v="9.6"/>
    <n v="0"/>
    <n v="9.6"/>
    <n v="653470"/>
    <s v="Main Line Benefits LLC"/>
    <m/>
    <m/>
    <m/>
    <m/>
    <m/>
    <x v="7"/>
    <m/>
    <x v="7"/>
    <x v="7"/>
    <s v="MD"/>
    <x v="4"/>
    <x v="4"/>
    <s v="NCD"/>
    <m/>
    <n v="45041"/>
    <x v="0"/>
    <x v="1"/>
    <s v="Monthly"/>
    <s v="Dental"/>
    <s v="MetLife"/>
    <d v="2024-12-04T00:00:00"/>
    <d v="2025-01-01T00:00:00"/>
    <x v="7"/>
    <n v="10191988401"/>
    <m/>
    <x v="0"/>
    <s v="ACH"/>
    <n v="1"/>
    <d v="2025-01-01T00:00:00"/>
    <d v="2025-01-31T00:00:00"/>
    <x v="4"/>
    <n v="0.32"/>
    <n v="1258812520"/>
    <m/>
    <x v="0"/>
  </r>
  <r>
    <x v="3"/>
    <d v="2024-12-16T00:00:00"/>
    <s v="COMM"/>
    <s v="Product"/>
    <x v="0"/>
    <n v="4.07"/>
    <n v="0"/>
    <n v="4.07"/>
    <n v="653470"/>
    <s v="Main Line Benefits LLC"/>
    <m/>
    <m/>
    <m/>
    <m/>
    <m/>
    <x v="7"/>
    <m/>
    <x v="7"/>
    <x v="7"/>
    <s v="MD"/>
    <x v="4"/>
    <x v="4"/>
    <s v="NCD"/>
    <m/>
    <n v="38593"/>
    <x v="2"/>
    <x v="1"/>
    <s v="Monthly"/>
    <s v="Vision"/>
    <s v="VSP"/>
    <d v="2024-12-04T00:00:00"/>
    <d v="2025-01-01T00:00:00"/>
    <x v="8"/>
    <n v="10191988401"/>
    <m/>
    <x v="0"/>
    <s v="ACH"/>
    <n v="1"/>
    <d v="2025-01-01T00:00:00"/>
    <d v="2025-01-31T00:00:00"/>
    <x v="5"/>
    <n v="0.37"/>
    <n v="1258812523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D3913-0FA4-44F8-AAF3-4CEC9B133AA7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21" firstHeaderRow="1" firstDataRow="1" firstDataCol="13"/>
  <pivotFields count="45">
    <pivotField axis="axisRow" numFmtId="14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8">
        <item x="1"/>
        <item x="7"/>
        <item x="3"/>
        <item x="0"/>
        <item x="4"/>
        <item x="5"/>
        <item x="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8">
        <item x="1"/>
        <item x="7"/>
        <item x="3"/>
        <item x="0"/>
        <item x="5"/>
        <item x="2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8">
        <item x="6"/>
        <item x="4"/>
        <item x="0"/>
        <item x="3"/>
        <item x="1"/>
        <item x="2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5">
        <item x="0"/>
        <item x="3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5">
        <item x="0"/>
        <item x="3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9">
        <item x="2"/>
        <item x="6"/>
        <item x="8"/>
        <item x="4"/>
        <item x="1"/>
        <item x="5"/>
        <item x="3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6">
        <item x="5"/>
        <item x="1"/>
        <item x="4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11">
    <i>
      <x/>
      <x/>
      <x/>
      <x v="4"/>
      <x/>
      <x/>
      <x v="4"/>
      <x v="1"/>
      <x v="1"/>
      <x v="3"/>
      <x/>
      <x/>
      <x v="1"/>
    </i>
    <i r="1">
      <x v="1"/>
      <x v="1"/>
      <x v="7"/>
      <x v="4"/>
      <x v="3"/>
      <x v="2"/>
      <x v="2"/>
      <x v="1"/>
      <x/>
      <x/>
      <x/>
      <x/>
    </i>
    <i r="6">
      <x v="8"/>
      <x v="1"/>
      <x v="1"/>
      <x/>
      <x/>
      <x/>
      <x v="2"/>
    </i>
    <i r="1">
      <x v="2"/>
      <x v="2"/>
      <x v="3"/>
      <x/>
      <x/>
      <x v="6"/>
      <x v="1"/>
      <x v="1"/>
      <x v="2"/>
      <x/>
      <x/>
      <x v="1"/>
    </i>
    <i r="1">
      <x v="3"/>
      <x v="3"/>
      <x v="2"/>
      <x/>
      <x/>
      <x v="7"/>
      <x v="1"/>
      <x v="2"/>
      <x v="3"/>
      <x/>
      <x/>
      <x v="4"/>
    </i>
    <i r="1">
      <x v="4"/>
      <x v="7"/>
      <x v="1"/>
      <x v="3"/>
      <x v="2"/>
      <x v="3"/>
      <x/>
      <x/>
      <x v="1"/>
      <x/>
      <x/>
      <x v="5"/>
    </i>
    <i r="1">
      <x v="5"/>
      <x v="4"/>
      <x v="6"/>
      <x v="1"/>
      <x v="1"/>
      <x v="5"/>
      <x/>
      <x v="1"/>
      <x v="1"/>
      <x/>
      <x/>
      <x v="3"/>
    </i>
    <i r="1">
      <x v="6"/>
      <x v="6"/>
      <x/>
      <x/>
      <x/>
      <x v="1"/>
      <x v="1"/>
      <x v="1"/>
      <x v="1"/>
      <x/>
      <x/>
      <x v="1"/>
    </i>
    <i r="1">
      <x v="7"/>
      <x v="5"/>
      <x v="5"/>
      <x v="2"/>
      <x v="4"/>
      <x/>
      <x v="1"/>
      <x v="1"/>
      <x v="2"/>
      <x/>
      <x/>
      <x v="1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D717-FF6F-4BBE-9540-BFC8DDEDE8D6}">
  <dimension ref="A1:P21"/>
  <sheetViews>
    <sheetView workbookViewId="0">
      <selection activeCell="A10" sqref="A10:XFD19"/>
    </sheetView>
  </sheetViews>
  <sheetFormatPr defaultColWidth="0" defaultRowHeight="15" x14ac:dyDescent="0.25"/>
  <cols>
    <col min="1" max="1" width="39.28515625" bestFit="1" customWidth="1"/>
    <col min="2" max="2" width="12.28515625" bestFit="1" customWidth="1"/>
    <col min="3" max="3" width="19.7109375" bestFit="1" customWidth="1"/>
    <col min="4" max="4" width="19.42578125" bestFit="1" customWidth="1"/>
    <col min="5" max="5" width="17.28515625" bestFit="1" customWidth="1"/>
    <col min="6" max="6" width="32.42578125" bestFit="1" customWidth="1"/>
    <col min="7" max="7" width="15.5703125" bestFit="1" customWidth="1"/>
    <col min="8" max="8" width="24.28515625" bestFit="1" customWidth="1"/>
    <col min="9" max="9" width="19.42578125" bestFit="1" customWidth="1"/>
    <col min="10" max="10" width="13.28515625" bestFit="1" customWidth="1"/>
    <col min="11" max="11" width="17.28515625" bestFit="1" customWidth="1"/>
    <col min="12" max="12" width="8.140625" bestFit="1" customWidth="1"/>
    <col min="13" max="13" width="24.42578125" bestFit="1" customWidth="1"/>
    <col min="14" max="14" width="21" bestFit="1" customWidth="1"/>
    <col min="15" max="16" width="8.85546875" customWidth="1"/>
    <col min="17" max="16384" width="8.85546875" hidden="1"/>
  </cols>
  <sheetData>
    <row r="1" spans="1:14" s="4" customFormat="1" ht="18.75" x14ac:dyDescent="0.3">
      <c r="A1" s="5" t="s">
        <v>34</v>
      </c>
    </row>
    <row r="2" spans="1:14" s="4" customFormat="1" ht="18.75" x14ac:dyDescent="0.3">
      <c r="A2" s="5" t="s">
        <v>67</v>
      </c>
    </row>
    <row r="3" spans="1:14" s="4" customFormat="1" ht="18.75" x14ac:dyDescent="0.3">
      <c r="A3" s="5" t="s">
        <v>68</v>
      </c>
    </row>
    <row r="4" spans="1:14" s="4" customFormat="1" ht="19.5" thickBot="1" x14ac:dyDescent="0.35">
      <c r="A4" s="5" t="s">
        <v>69</v>
      </c>
    </row>
    <row r="5" spans="1:14" s="4" customFormat="1" ht="21.75" thickBot="1" x14ac:dyDescent="0.4">
      <c r="C5" s="8" t="s">
        <v>70</v>
      </c>
      <c r="D5" s="9">
        <v>116.87</v>
      </c>
      <c r="E5" s="10" t="s">
        <v>71</v>
      </c>
      <c r="F5" s="11">
        <v>116.87</v>
      </c>
    </row>
    <row r="6" spans="1:14" s="4" customFormat="1" x14ac:dyDescent="0.25"/>
    <row r="7" spans="1:14" s="4" customFormat="1" x14ac:dyDescent="0.25"/>
    <row r="8" spans="1:14" s="4" customFormat="1" x14ac:dyDescent="0.25"/>
    <row r="9" spans="1:14" s="4" customFormat="1" x14ac:dyDescent="0.25"/>
    <row r="10" spans="1:14" x14ac:dyDescent="0.25">
      <c r="A10" s="2" t="s">
        <v>26</v>
      </c>
      <c r="B10" s="2" t="s">
        <v>10</v>
      </c>
      <c r="C10" s="2" t="s">
        <v>11</v>
      </c>
      <c r="D10" s="2" t="s">
        <v>12</v>
      </c>
      <c r="E10" s="2" t="s">
        <v>14</v>
      </c>
      <c r="F10" s="2" t="s">
        <v>15</v>
      </c>
      <c r="G10" s="2" t="s">
        <v>20</v>
      </c>
      <c r="H10" s="2" t="s">
        <v>17</v>
      </c>
      <c r="I10" s="2" t="s">
        <v>18</v>
      </c>
      <c r="J10" s="2" t="s">
        <v>0</v>
      </c>
      <c r="K10" s="2" t="s">
        <v>22</v>
      </c>
      <c r="L10" s="2" t="s">
        <v>4</v>
      </c>
      <c r="M10" s="2" t="s">
        <v>24</v>
      </c>
      <c r="N10" t="s">
        <v>66</v>
      </c>
    </row>
    <row r="11" spans="1:14" x14ac:dyDescent="0.25">
      <c r="A11" t="s">
        <v>38</v>
      </c>
      <c r="B11">
        <v>683532101</v>
      </c>
      <c r="C11" t="s">
        <v>39</v>
      </c>
      <c r="D11" t="s">
        <v>40</v>
      </c>
      <c r="E11">
        <v>678726</v>
      </c>
      <c r="F11" t="s">
        <v>33</v>
      </c>
      <c r="G11">
        <v>478183816</v>
      </c>
      <c r="H11" t="s">
        <v>35</v>
      </c>
      <c r="I11" t="s">
        <v>41</v>
      </c>
      <c r="J11" s="1">
        <v>45639</v>
      </c>
      <c r="K11" t="s">
        <v>37</v>
      </c>
      <c r="L11" t="s">
        <v>64</v>
      </c>
      <c r="M11" s="3">
        <v>25</v>
      </c>
      <c r="N11" s="3">
        <v>8</v>
      </c>
    </row>
    <row r="12" spans="1:14" x14ac:dyDescent="0.25">
      <c r="A12" t="s">
        <v>38</v>
      </c>
      <c r="B12">
        <v>683551481</v>
      </c>
      <c r="C12" t="s">
        <v>59</v>
      </c>
      <c r="D12" t="s">
        <v>60</v>
      </c>
      <c r="E12">
        <v>798992</v>
      </c>
      <c r="F12" t="s">
        <v>61</v>
      </c>
      <c r="G12">
        <v>245549848</v>
      </c>
      <c r="H12" t="s">
        <v>62</v>
      </c>
      <c r="I12" t="s">
        <v>41</v>
      </c>
      <c r="J12" s="1">
        <v>45635</v>
      </c>
      <c r="K12" t="s">
        <v>37</v>
      </c>
      <c r="L12" t="s">
        <v>64</v>
      </c>
      <c r="M12" s="3">
        <v>11</v>
      </c>
      <c r="N12" s="3">
        <v>4.07</v>
      </c>
    </row>
    <row r="13" spans="1:14" x14ac:dyDescent="0.25">
      <c r="A13" t="s">
        <v>38</v>
      </c>
      <c r="B13">
        <v>683551481</v>
      </c>
      <c r="C13" t="s">
        <v>59</v>
      </c>
      <c r="D13" t="s">
        <v>60</v>
      </c>
      <c r="E13">
        <v>798992</v>
      </c>
      <c r="F13" t="s">
        <v>61</v>
      </c>
      <c r="G13">
        <v>984523223</v>
      </c>
      <c r="H13" t="s">
        <v>35</v>
      </c>
      <c r="I13" t="s">
        <v>41</v>
      </c>
      <c r="J13" s="1">
        <v>45635</v>
      </c>
      <c r="K13" t="s">
        <v>37</v>
      </c>
      <c r="L13" t="s">
        <v>64</v>
      </c>
      <c r="M13" s="3">
        <v>30</v>
      </c>
      <c r="N13" s="3">
        <v>9.6</v>
      </c>
    </row>
    <row r="14" spans="1:14" x14ac:dyDescent="0.25">
      <c r="A14" t="s">
        <v>38</v>
      </c>
      <c r="B14">
        <v>683552927</v>
      </c>
      <c r="C14" t="s">
        <v>45</v>
      </c>
      <c r="D14" t="s">
        <v>46</v>
      </c>
      <c r="E14">
        <v>678726</v>
      </c>
      <c r="F14" t="s">
        <v>33</v>
      </c>
      <c r="G14">
        <v>699319353</v>
      </c>
      <c r="H14" t="s">
        <v>35</v>
      </c>
      <c r="I14" t="s">
        <v>41</v>
      </c>
      <c r="J14" s="1">
        <v>45637</v>
      </c>
      <c r="K14" t="s">
        <v>37</v>
      </c>
      <c r="L14" t="s">
        <v>64</v>
      </c>
      <c r="M14" s="3">
        <v>25</v>
      </c>
      <c r="N14" s="3">
        <v>8</v>
      </c>
    </row>
    <row r="15" spans="1:14" x14ac:dyDescent="0.25">
      <c r="A15" t="s">
        <v>38</v>
      </c>
      <c r="B15">
        <v>683589666</v>
      </c>
      <c r="C15" t="s">
        <v>30</v>
      </c>
      <c r="D15" t="s">
        <v>31</v>
      </c>
      <c r="E15">
        <v>678726</v>
      </c>
      <c r="F15" t="s">
        <v>33</v>
      </c>
      <c r="G15">
        <v>877044360</v>
      </c>
      <c r="H15" t="s">
        <v>35</v>
      </c>
      <c r="I15" t="s">
        <v>36</v>
      </c>
      <c r="J15" s="1">
        <v>45639</v>
      </c>
      <c r="K15" t="s">
        <v>37</v>
      </c>
      <c r="L15" t="s">
        <v>64</v>
      </c>
      <c r="M15" s="3">
        <v>50</v>
      </c>
      <c r="N15" s="3">
        <v>16</v>
      </c>
    </row>
    <row r="16" spans="1:14" x14ac:dyDescent="0.25">
      <c r="A16" t="s">
        <v>38</v>
      </c>
      <c r="B16">
        <v>683593204</v>
      </c>
      <c r="C16" t="s">
        <v>47</v>
      </c>
      <c r="D16" t="s">
        <v>48</v>
      </c>
      <c r="E16">
        <v>757929</v>
      </c>
      <c r="F16" t="s">
        <v>50</v>
      </c>
      <c r="G16">
        <v>348104279</v>
      </c>
      <c r="H16" t="s">
        <v>51</v>
      </c>
      <c r="I16" t="s">
        <v>52</v>
      </c>
      <c r="J16" s="1">
        <v>45636</v>
      </c>
      <c r="K16" t="s">
        <v>37</v>
      </c>
      <c r="L16" t="s">
        <v>64</v>
      </c>
      <c r="M16" s="3">
        <v>185</v>
      </c>
      <c r="N16" s="3">
        <v>44.4</v>
      </c>
    </row>
    <row r="17" spans="1:14" x14ac:dyDescent="0.25">
      <c r="A17" t="s">
        <v>38</v>
      </c>
      <c r="B17">
        <v>683593628</v>
      </c>
      <c r="C17" t="s">
        <v>53</v>
      </c>
      <c r="D17" t="s">
        <v>54</v>
      </c>
      <c r="E17">
        <v>689390</v>
      </c>
      <c r="F17" t="s">
        <v>56</v>
      </c>
      <c r="G17">
        <v>539754163</v>
      </c>
      <c r="H17" t="s">
        <v>51</v>
      </c>
      <c r="I17" t="s">
        <v>41</v>
      </c>
      <c r="J17" s="1">
        <v>45636</v>
      </c>
      <c r="K17" t="s">
        <v>37</v>
      </c>
      <c r="L17" t="s">
        <v>64</v>
      </c>
      <c r="M17" s="3">
        <v>45</v>
      </c>
      <c r="N17" s="3">
        <v>10.8</v>
      </c>
    </row>
    <row r="18" spans="1:14" x14ac:dyDescent="0.25">
      <c r="A18" t="s">
        <v>38</v>
      </c>
      <c r="B18">
        <v>683596031</v>
      </c>
      <c r="C18" t="s">
        <v>57</v>
      </c>
      <c r="D18" t="s">
        <v>58</v>
      </c>
      <c r="E18">
        <v>678726</v>
      </c>
      <c r="F18" t="s">
        <v>33</v>
      </c>
      <c r="G18">
        <v>68946309</v>
      </c>
      <c r="H18" t="s">
        <v>35</v>
      </c>
      <c r="I18" t="s">
        <v>41</v>
      </c>
      <c r="J18" s="1">
        <v>45636</v>
      </c>
      <c r="K18" t="s">
        <v>37</v>
      </c>
      <c r="L18" t="s">
        <v>64</v>
      </c>
      <c r="M18" s="3">
        <v>25</v>
      </c>
      <c r="N18" s="3">
        <v>8</v>
      </c>
    </row>
    <row r="19" spans="1:14" x14ac:dyDescent="0.25">
      <c r="A19" t="s">
        <v>38</v>
      </c>
      <c r="B19">
        <v>683609699</v>
      </c>
      <c r="C19" t="s">
        <v>42</v>
      </c>
      <c r="D19" t="s">
        <v>43</v>
      </c>
      <c r="E19">
        <v>706472</v>
      </c>
      <c r="F19" t="s">
        <v>44</v>
      </c>
      <c r="G19">
        <v>58861441</v>
      </c>
      <c r="H19" t="s">
        <v>35</v>
      </c>
      <c r="I19" t="s">
        <v>41</v>
      </c>
      <c r="J19" s="1">
        <v>45637</v>
      </c>
      <c r="K19" t="s">
        <v>37</v>
      </c>
      <c r="L19" t="s">
        <v>64</v>
      </c>
      <c r="M19" s="3">
        <v>25</v>
      </c>
      <c r="N19" s="3">
        <v>8</v>
      </c>
    </row>
    <row r="20" spans="1:14" ht="18.75" x14ac:dyDescent="0.3">
      <c r="A20" s="6" t="s">
        <v>65</v>
      </c>
      <c r="N20" s="7">
        <v>116.86999999999999</v>
      </c>
    </row>
    <row r="21" spans="1:14" x14ac:dyDescent="0.25">
      <c r="A21" t="s">
        <v>63</v>
      </c>
      <c r="N21" s="3">
        <v>116.86999999999999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9A00-5F1F-4F52-82E3-E2378154F300}">
  <dimension ref="A1:AQ11"/>
  <sheetViews>
    <sheetView tabSelected="1" topLeftCell="K1" workbookViewId="0">
      <selection activeCell="Q10" sqref="Q10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8.42578125" bestFit="1" customWidth="1"/>
    <col min="4" max="4" width="18.140625" bestFit="1" customWidth="1"/>
    <col min="5" max="5" width="15.85546875" bestFit="1" customWidth="1"/>
    <col min="6" max="6" width="33.42578125" bestFit="1" customWidth="1"/>
    <col min="7" max="7" width="14" bestFit="1" customWidth="1"/>
    <col min="9" max="9" width="19.5703125" bestFit="1" customWidth="1"/>
    <col min="10" max="10" width="11.42578125" bestFit="1" customWidth="1"/>
    <col min="11" max="11" width="16.140625" bestFit="1" customWidth="1"/>
    <col min="12" max="12" width="7.42578125" bestFit="1" customWidth="1"/>
    <col min="13" max="13" width="23.7109375" bestFit="1" customWidth="1"/>
    <col min="14" max="14" width="22.42578125" bestFit="1" customWidth="1"/>
    <col min="15" max="15" width="18.140625" bestFit="1" customWidth="1"/>
    <col min="16" max="16" width="33.42578125" bestFit="1" customWidth="1"/>
    <col min="17" max="17" width="16.28515625" bestFit="1" customWidth="1"/>
    <col min="18" max="18" width="22.7109375" bestFit="1" customWidth="1"/>
    <col min="19" max="19" width="9.28515625" bestFit="1" customWidth="1"/>
    <col min="20" max="20" width="24.28515625" bestFit="1" customWidth="1"/>
    <col min="21" max="21" width="20.42578125" bestFit="1" customWidth="1"/>
    <col min="23" max="23" width="16.28515625" bestFit="1" customWidth="1"/>
    <col min="24" max="24" width="31" bestFit="1" customWidth="1"/>
    <col min="25" max="25" width="26" bestFit="1" customWidth="1"/>
    <col min="26" max="26" width="9.85546875" bestFit="1" customWidth="1"/>
    <col min="27" max="27" width="24.28515625" bestFit="1" customWidth="1"/>
    <col min="16363" max="16363" width="10.42578125" bestFit="1" customWidth="1"/>
    <col min="16364" max="16384" width="10.425781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8</v>
      </c>
      <c r="J1" t="s">
        <v>9</v>
      </c>
      <c r="K1" t="s">
        <v>11</v>
      </c>
      <c r="L1" t="s">
        <v>12</v>
      </c>
      <c r="N1" t="s">
        <v>13</v>
      </c>
      <c r="O1" t="s">
        <v>14</v>
      </c>
      <c r="P1" t="s">
        <v>15</v>
      </c>
      <c r="Q1" t="s">
        <v>20</v>
      </c>
      <c r="R1" t="s">
        <v>16</v>
      </c>
      <c r="S1" t="s">
        <v>25</v>
      </c>
      <c r="T1" t="s">
        <v>17</v>
      </c>
      <c r="U1" t="s">
        <v>19</v>
      </c>
      <c r="W1" t="s">
        <v>21</v>
      </c>
      <c r="X1" t="s">
        <v>23</v>
      </c>
      <c r="Y1" t="s">
        <v>24</v>
      </c>
      <c r="AA1" t="s">
        <v>7</v>
      </c>
    </row>
    <row r="2" spans="1:43" s="17" customFormat="1" x14ac:dyDescent="0.25">
      <c r="A2" s="16">
        <v>45639</v>
      </c>
      <c r="B2" s="16">
        <v>45642</v>
      </c>
      <c r="C2" s="17" t="s">
        <v>27</v>
      </c>
      <c r="D2" s="17" t="s">
        <v>28</v>
      </c>
      <c r="F2" s="17">
        <v>16</v>
      </c>
      <c r="G2" s="17">
        <f>SUM(F2*6)</f>
        <v>96</v>
      </c>
      <c r="I2" s="17">
        <v>653470</v>
      </c>
      <c r="J2" s="17" t="s">
        <v>29</v>
      </c>
      <c r="K2" s="17" t="s">
        <v>30</v>
      </c>
      <c r="L2" s="17" t="s">
        <v>31</v>
      </c>
      <c r="M2" s="17" t="str">
        <f>CONCATENATE(K2, " ",L2)</f>
        <v>Gene Gerzsenyi</v>
      </c>
      <c r="N2" s="17" t="s">
        <v>32</v>
      </c>
      <c r="O2" s="17">
        <v>16202925</v>
      </c>
      <c r="P2" s="17" t="s">
        <v>33</v>
      </c>
      <c r="Q2" s="17">
        <v>877044360</v>
      </c>
      <c r="R2" s="17" t="s">
        <v>73</v>
      </c>
      <c r="S2" s="18">
        <v>0.32</v>
      </c>
      <c r="T2" s="17" t="s">
        <v>35</v>
      </c>
      <c r="U2" s="16">
        <v>45658</v>
      </c>
      <c r="W2" s="17">
        <v>10217914492</v>
      </c>
      <c r="X2" s="16">
        <v>45658</v>
      </c>
      <c r="Y2" s="19">
        <v>50</v>
      </c>
      <c r="Z2" s="19">
        <f>SUM(Y2*6)</f>
        <v>300</v>
      </c>
      <c r="AA2" s="17">
        <v>16</v>
      </c>
      <c r="AG2" s="16"/>
      <c r="AO2" s="14"/>
      <c r="AQ2" s="20"/>
    </row>
    <row r="3" spans="1:43" s="17" customFormat="1" x14ac:dyDescent="0.25">
      <c r="A3" s="16">
        <v>45639</v>
      </c>
      <c r="B3" s="16">
        <v>45642</v>
      </c>
      <c r="C3" s="17" t="s">
        <v>27</v>
      </c>
      <c r="D3" s="17" t="s">
        <v>28</v>
      </c>
      <c r="F3" s="17">
        <v>8</v>
      </c>
      <c r="G3" s="17">
        <f>SUM(F3*6)</f>
        <v>48</v>
      </c>
      <c r="I3" s="17">
        <v>653470</v>
      </c>
      <c r="J3" s="17" t="s">
        <v>29</v>
      </c>
      <c r="K3" s="17" t="s">
        <v>39</v>
      </c>
      <c r="L3" s="17" t="s">
        <v>40</v>
      </c>
      <c r="M3" s="17" t="str">
        <f>CONCATENATE(K3, " ",L3)</f>
        <v>Amberly Litchfield</v>
      </c>
      <c r="N3" s="17" t="s">
        <v>32</v>
      </c>
      <c r="O3" s="17">
        <v>16202925</v>
      </c>
      <c r="P3" s="17" t="s">
        <v>33</v>
      </c>
      <c r="Q3" s="17">
        <v>478183816</v>
      </c>
      <c r="R3" s="17" t="s">
        <v>73</v>
      </c>
      <c r="S3" s="18">
        <v>0.32</v>
      </c>
      <c r="T3" s="17" t="s">
        <v>35</v>
      </c>
      <c r="U3" s="16">
        <v>45658</v>
      </c>
      <c r="W3" s="17">
        <v>10205111490</v>
      </c>
      <c r="X3" s="16">
        <v>45658</v>
      </c>
      <c r="Y3" s="19">
        <v>25</v>
      </c>
      <c r="Z3" s="19">
        <f>SUM(Y3*6)</f>
        <v>150</v>
      </c>
      <c r="AA3" s="17">
        <v>8</v>
      </c>
      <c r="AG3" s="16"/>
      <c r="AO3" s="14"/>
      <c r="AQ3" s="20"/>
    </row>
    <row r="4" spans="1:43" s="17" customFormat="1" x14ac:dyDescent="0.25">
      <c r="A4" s="16">
        <v>45637</v>
      </c>
      <c r="B4" s="16">
        <v>45642</v>
      </c>
      <c r="C4" s="17" t="s">
        <v>27</v>
      </c>
      <c r="D4" s="17" t="s">
        <v>28</v>
      </c>
      <c r="F4" s="17">
        <v>8</v>
      </c>
      <c r="G4" s="17">
        <f>SUM(F4*6)</f>
        <v>48</v>
      </c>
      <c r="I4" s="17">
        <v>653470</v>
      </c>
      <c r="J4" s="17" t="s">
        <v>29</v>
      </c>
      <c r="K4" s="17" t="s">
        <v>45</v>
      </c>
      <c r="L4" s="17" t="s">
        <v>46</v>
      </c>
      <c r="M4" s="17" t="str">
        <f>CONCATENATE(K4, " ",L4)</f>
        <v>Dudley Hinegardner</v>
      </c>
      <c r="N4" s="17" t="s">
        <v>32</v>
      </c>
      <c r="O4" s="17">
        <v>16202925</v>
      </c>
      <c r="P4" s="17" t="s">
        <v>33</v>
      </c>
      <c r="Q4" s="17">
        <v>699319353</v>
      </c>
      <c r="R4" s="17" t="s">
        <v>73</v>
      </c>
      <c r="S4" s="18">
        <v>0.32</v>
      </c>
      <c r="T4" s="17" t="s">
        <v>35</v>
      </c>
      <c r="U4" s="16">
        <v>45658</v>
      </c>
      <c r="W4" s="17">
        <v>10193506651</v>
      </c>
      <c r="X4" s="16">
        <v>45658</v>
      </c>
      <c r="Y4" s="19">
        <v>25</v>
      </c>
      <c r="Z4" s="19">
        <f>SUM(Y4*6)</f>
        <v>150</v>
      </c>
      <c r="AA4" s="17">
        <v>8</v>
      </c>
      <c r="AG4" s="16"/>
      <c r="AO4" s="14"/>
      <c r="AQ4" s="20"/>
    </row>
    <row r="5" spans="1:43" s="17" customFormat="1" x14ac:dyDescent="0.25">
      <c r="A5" s="16">
        <v>45636</v>
      </c>
      <c r="B5" s="16">
        <v>45642</v>
      </c>
      <c r="C5" s="17" t="s">
        <v>27</v>
      </c>
      <c r="D5" s="17" t="s">
        <v>28</v>
      </c>
      <c r="F5" s="17">
        <v>8</v>
      </c>
      <c r="G5" s="17">
        <f>SUM(F5*6)</f>
        <v>48</v>
      </c>
      <c r="I5" s="17">
        <v>653470</v>
      </c>
      <c r="J5" s="17" t="s">
        <v>29</v>
      </c>
      <c r="K5" s="17" t="s">
        <v>57</v>
      </c>
      <c r="L5" s="17" t="s">
        <v>58</v>
      </c>
      <c r="M5" s="17" t="str">
        <f>CONCATENATE(K5, " ",L5)</f>
        <v>Patricia Cammarata</v>
      </c>
      <c r="N5" s="17" t="s">
        <v>32</v>
      </c>
      <c r="O5" s="17">
        <v>16202925</v>
      </c>
      <c r="P5" s="17" t="s">
        <v>33</v>
      </c>
      <c r="Q5" s="17">
        <v>68946309</v>
      </c>
      <c r="R5" s="17" t="s">
        <v>73</v>
      </c>
      <c r="S5" s="18">
        <v>0.32</v>
      </c>
      <c r="T5" s="17" t="s">
        <v>35</v>
      </c>
      <c r="U5" s="16">
        <v>45658</v>
      </c>
      <c r="W5" s="17">
        <v>10209746025</v>
      </c>
      <c r="X5" s="16">
        <v>45658</v>
      </c>
      <c r="Y5" s="19">
        <v>25</v>
      </c>
      <c r="Z5" s="19">
        <f>SUM(Y5*6)</f>
        <v>150</v>
      </c>
      <c r="AA5" s="17">
        <v>8</v>
      </c>
      <c r="AG5" s="16"/>
      <c r="AO5" s="14"/>
      <c r="AQ5" s="20"/>
    </row>
    <row r="6" spans="1:43" x14ac:dyDescent="0.25">
      <c r="A6" s="1">
        <v>45636</v>
      </c>
      <c r="B6" s="1">
        <v>45642</v>
      </c>
      <c r="C6" t="s">
        <v>27</v>
      </c>
      <c r="D6" t="s">
        <v>28</v>
      </c>
      <c r="F6">
        <v>10.8</v>
      </c>
      <c r="G6">
        <v>10.8</v>
      </c>
      <c r="I6">
        <v>653470</v>
      </c>
      <c r="J6" t="s">
        <v>29</v>
      </c>
      <c r="K6" t="s">
        <v>53</v>
      </c>
      <c r="L6" t="s">
        <v>54</v>
      </c>
      <c r="M6" t="str">
        <f>CONCATENATE(K6, " ",L6)</f>
        <v>Joseph Wilhelm</v>
      </c>
      <c r="N6" t="s">
        <v>55</v>
      </c>
      <c r="O6">
        <v>17425766</v>
      </c>
      <c r="P6" t="s">
        <v>56</v>
      </c>
      <c r="Q6">
        <v>539754163</v>
      </c>
      <c r="R6" t="s">
        <v>74</v>
      </c>
      <c r="S6" s="12">
        <v>0.24</v>
      </c>
      <c r="T6" t="s">
        <v>51</v>
      </c>
      <c r="U6" s="1">
        <v>45658</v>
      </c>
      <c r="W6">
        <v>10209158598</v>
      </c>
      <c r="X6" s="1">
        <v>45658</v>
      </c>
      <c r="Y6" s="13">
        <v>45</v>
      </c>
      <c r="Z6" s="13"/>
      <c r="AA6">
        <v>10.8</v>
      </c>
      <c r="AG6" s="1"/>
      <c r="AO6" s="14"/>
      <c r="AQ6" s="15"/>
    </row>
    <row r="7" spans="1:43" x14ac:dyDescent="0.25">
      <c r="A7" s="1">
        <v>45636</v>
      </c>
      <c r="B7" s="1">
        <v>45642</v>
      </c>
      <c r="C7" t="s">
        <v>27</v>
      </c>
      <c r="D7" t="s">
        <v>28</v>
      </c>
      <c r="F7">
        <v>44.4</v>
      </c>
      <c r="G7">
        <v>44.4</v>
      </c>
      <c r="I7">
        <v>653470</v>
      </c>
      <c r="J7" t="s">
        <v>29</v>
      </c>
      <c r="K7" t="s">
        <v>47</v>
      </c>
      <c r="L7" t="s">
        <v>48</v>
      </c>
      <c r="M7" t="str">
        <f>CONCATENATE(K7, " ",L7)</f>
        <v>Steven Cohen</v>
      </c>
      <c r="N7" t="s">
        <v>49</v>
      </c>
      <c r="O7">
        <v>9213293</v>
      </c>
      <c r="P7" t="s">
        <v>50</v>
      </c>
      <c r="Q7">
        <v>348104279</v>
      </c>
      <c r="R7" t="s">
        <v>74</v>
      </c>
      <c r="S7" s="12">
        <v>0.24</v>
      </c>
      <c r="T7" t="s">
        <v>51</v>
      </c>
      <c r="U7" s="1">
        <v>45658</v>
      </c>
      <c r="W7">
        <v>10209033499</v>
      </c>
      <c r="X7" s="1">
        <v>45658</v>
      </c>
      <c r="Y7" s="13">
        <v>185</v>
      </c>
      <c r="Z7" s="13"/>
      <c r="AA7">
        <v>44.4</v>
      </c>
      <c r="AG7" s="1"/>
      <c r="AO7" s="14"/>
      <c r="AQ7" s="15"/>
    </row>
    <row r="8" spans="1:43" x14ac:dyDescent="0.25">
      <c r="A8" s="1">
        <v>45635</v>
      </c>
      <c r="B8" s="1">
        <v>45642</v>
      </c>
      <c r="C8" t="s">
        <v>27</v>
      </c>
      <c r="D8" t="s">
        <v>28</v>
      </c>
      <c r="F8">
        <v>9.6</v>
      </c>
      <c r="G8">
        <v>9.6</v>
      </c>
      <c r="I8">
        <v>653470</v>
      </c>
      <c r="J8" t="s">
        <v>29</v>
      </c>
      <c r="K8" t="s">
        <v>59</v>
      </c>
      <c r="L8" t="s">
        <v>60</v>
      </c>
      <c r="M8" t="str">
        <f>CONCATENATE(K8, " ",L8)</f>
        <v>Brigette Wilkinson</v>
      </c>
      <c r="N8" t="s">
        <v>32</v>
      </c>
      <c r="O8">
        <v>19279958</v>
      </c>
      <c r="P8" t="s">
        <v>61</v>
      </c>
      <c r="Q8">
        <v>984523223</v>
      </c>
      <c r="R8" t="s">
        <v>73</v>
      </c>
      <c r="S8" s="12">
        <v>0.32</v>
      </c>
      <c r="T8" t="s">
        <v>35</v>
      </c>
      <c r="U8" s="1">
        <v>45658</v>
      </c>
      <c r="W8">
        <v>10191988401</v>
      </c>
      <c r="X8" s="1">
        <v>45658</v>
      </c>
      <c r="Y8" s="13">
        <v>30</v>
      </c>
      <c r="Z8" s="13"/>
      <c r="AA8">
        <v>9.6</v>
      </c>
      <c r="AG8" s="1"/>
      <c r="AO8" s="14"/>
      <c r="AQ8" s="15"/>
    </row>
    <row r="9" spans="1:43" x14ac:dyDescent="0.25">
      <c r="A9" s="1">
        <v>45635</v>
      </c>
      <c r="B9" s="1">
        <v>45642</v>
      </c>
      <c r="C9" t="s">
        <v>27</v>
      </c>
      <c r="D9" t="s">
        <v>28</v>
      </c>
      <c r="F9">
        <v>4.07</v>
      </c>
      <c r="G9">
        <v>4.07</v>
      </c>
      <c r="I9">
        <v>653470</v>
      </c>
      <c r="J9" t="s">
        <v>29</v>
      </c>
      <c r="K9" t="s">
        <v>59</v>
      </c>
      <c r="L9" t="s">
        <v>60</v>
      </c>
      <c r="M9" t="str">
        <f>CONCATENATE(K9, " ",L9)</f>
        <v>Brigette Wilkinson</v>
      </c>
      <c r="N9" t="s">
        <v>32</v>
      </c>
      <c r="O9">
        <v>19279958</v>
      </c>
      <c r="P9" t="s">
        <v>61</v>
      </c>
      <c r="Q9">
        <v>245549848</v>
      </c>
      <c r="R9" t="s">
        <v>72</v>
      </c>
      <c r="S9" s="12">
        <v>0.37</v>
      </c>
      <c r="T9" t="s">
        <v>62</v>
      </c>
      <c r="U9" s="1">
        <v>45658</v>
      </c>
      <c r="W9">
        <v>10191988401</v>
      </c>
      <c r="X9" s="1">
        <v>45658</v>
      </c>
      <c r="Y9" s="13">
        <v>11</v>
      </c>
      <c r="Z9" s="13"/>
      <c r="AA9">
        <v>4.07</v>
      </c>
      <c r="AG9" s="1"/>
      <c r="AO9" s="14"/>
      <c r="AQ9" s="15"/>
    </row>
    <row r="10" spans="1:43" x14ac:dyDescent="0.25">
      <c r="A10" s="1">
        <v>45637</v>
      </c>
      <c r="B10" s="1">
        <v>45642</v>
      </c>
      <c r="C10" t="s">
        <v>27</v>
      </c>
      <c r="D10" t="s">
        <v>28</v>
      </c>
      <c r="F10">
        <v>8</v>
      </c>
      <c r="G10">
        <v>8</v>
      </c>
      <c r="I10">
        <v>653470</v>
      </c>
      <c r="J10" t="s">
        <v>29</v>
      </c>
      <c r="K10" t="s">
        <v>42</v>
      </c>
      <c r="L10" t="s">
        <v>43</v>
      </c>
      <c r="M10" t="str">
        <f>CONCATENATE(K10, " ",L10)</f>
        <v>Michael Suskin</v>
      </c>
      <c r="N10" t="s">
        <v>32</v>
      </c>
      <c r="O10">
        <v>17195620</v>
      </c>
      <c r="P10" t="s">
        <v>75</v>
      </c>
      <c r="Q10">
        <v>58861441</v>
      </c>
      <c r="R10" t="s">
        <v>73</v>
      </c>
      <c r="S10" s="12">
        <v>0.32</v>
      </c>
      <c r="T10" t="s">
        <v>35</v>
      </c>
      <c r="U10" s="1">
        <v>45658</v>
      </c>
      <c r="W10">
        <v>10213276626</v>
      </c>
      <c r="X10" s="1">
        <v>45658</v>
      </c>
      <c r="Y10" s="13">
        <v>25</v>
      </c>
      <c r="Z10" s="13"/>
      <c r="AA10">
        <v>8</v>
      </c>
      <c r="AG10" s="1"/>
      <c r="AO10" s="14"/>
      <c r="AQ10" s="15"/>
    </row>
    <row r="11" spans="1:43" x14ac:dyDescent="0.25">
      <c r="Y11" s="13"/>
    </row>
  </sheetData>
  <sortState xmlns:xlrd2="http://schemas.microsoft.com/office/spreadsheetml/2017/richdata2" ref="A13:AQ21">
    <sortCondition ref="F13:F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Rookwood</dc:creator>
  <cp:lastModifiedBy>Janki Patel</cp:lastModifiedBy>
  <dcterms:created xsi:type="dcterms:W3CDTF">2024-12-19T23:26:32Z</dcterms:created>
  <dcterms:modified xsi:type="dcterms:W3CDTF">2025-01-22T14:12:21Z</dcterms:modified>
</cp:coreProperties>
</file>