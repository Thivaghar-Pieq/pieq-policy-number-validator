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3-2-25 to 3-8-25\"/>
    </mc:Choice>
  </mc:AlternateContent>
  <xr:revisionPtr revIDLastSave="0" documentId="13_ncr:1_{890C30DD-8339-4E23-82F5-71C48C27BF9B}" xr6:coauthVersionLast="47" xr6:coauthVersionMax="47" xr10:uidLastSave="{00000000-0000-0000-0000-000000000000}"/>
  <bookViews>
    <workbookView xWindow="-57720" yWindow="-45" windowWidth="29040" windowHeight="15720" xr2:uid="{AE192477-7047-4238-8616-1008F236E5E2}"/>
  </bookViews>
  <sheets>
    <sheet name="Statement" sheetId="2" r:id="rId1"/>
    <sheet name="Details" sheetId="1" r:id="rId2"/>
    <sheet name="Sheet1" sheetId="3" r:id="rId3"/>
  </sheets>
  <definedNames>
    <definedName name="_xlnm._FilterDatabase" localSheetId="1" hidden="1">Details!$A$1:$AS$4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2" i="3"/>
</calcChain>
</file>

<file path=xl/sharedStrings.xml><?xml version="1.0" encoding="utf-8"?>
<sst xmlns="http://schemas.openxmlformats.org/spreadsheetml/2006/main" count="203" uniqueCount="78">
  <si>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</si>
  <si>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</si>
  <si>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</si>
  <si>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</si>
  <si>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</si>
  <si>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</si>
  <si>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</si>
  <si>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</si>
  <si>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</si>
  <si>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</si>
  <si>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</si>
  <si>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</si>
  <si>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</si>
  <si>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</si>
  <si>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</si>
  <si>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</si>
  <si>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</si>
  <si>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</si>
  <si>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</si>
  <si>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</si>
  <si>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</si>
  <si>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</si>
  <si>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</si>
  <si>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</si>
  <si>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</si>
  <si>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</si>
  <si>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</si>
  <si>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</si>
  <si>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</si>
  <si>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</si>
  <si>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</si>
  <si>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</si>
  <si>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</si>
  <si>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</si>
  <si>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</si>
  <si>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</si>
  <si>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</si>
  <si>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</si>
  <si>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</si>
  <si>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</si>
  <si>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</si>
  <si>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</si>
  <si>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</si>
  <si>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</si>
  <si>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</si>
  <si>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</si>
  <si>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</si>
  <si>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</si>
  <si>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Jean</t>
  </si>
  <si>
    <t>Harrell</t>
  </si>
  <si>
    <t>MD</t>
  </si>
  <si>
    <t xml:space="preserve"> Main Line Benefits - Thomas Kucan</t>
  </si>
  <si>
    <t>NCD</t>
  </si>
  <si>
    <t>NCD Smile 2500 by MetLife</t>
  </si>
  <si>
    <t>Member</t>
  </si>
  <si>
    <t>Monthly</t>
  </si>
  <si>
    <t>Dental</t>
  </si>
  <si>
    <t>MetLife</t>
  </si>
  <si>
    <t>SALE</t>
  </si>
  <si>
    <t>ACH</t>
  </si>
  <si>
    <t>Earned</t>
  </si>
  <si>
    <t>Calogero</t>
  </si>
  <si>
    <t>Interrante</t>
  </si>
  <si>
    <t>PA</t>
  </si>
  <si>
    <t>Main Line Benefits - Carol Foley</t>
  </si>
  <si>
    <t>Sharrod</t>
  </si>
  <si>
    <t>Walker</t>
  </si>
  <si>
    <t>Grand Total</t>
  </si>
  <si>
    <t>(blank)</t>
  </si>
  <si>
    <t>Earned Total</t>
  </si>
  <si>
    <t>Sum of Net Commission</t>
  </si>
  <si>
    <t>Agent Label: Main Line Benefits LLC</t>
  </si>
  <si>
    <t>For the Period: NB 03.02.2025-03.08.2025 NCD</t>
  </si>
  <si>
    <t>Payout Date: 03.14.2025</t>
  </si>
  <si>
    <t>Earned Payout</t>
  </si>
  <si>
    <t>Total Payout</t>
  </si>
  <si>
    <t>Thomas Kucan</t>
  </si>
  <si>
    <t>Carol Foley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</si>
</sst>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2" fillId="3" borderId="0" xfId="0" applyFont="1" applyFill="1"/>
    <xf numFmtId="0" fontId="3" fillId="0" borderId="0" xfId="0" applyFont="1"/>
    <xf numFmtId="164" fontId="3" fillId="0" borderId="0" xfId="0" applyNumberFormat="1" applyFont="1"/>
    <xf numFmtId="0" fontId="5" fillId="2" borderId="1" xfId="0" applyFont="1" applyFill="1" applyBorder="1"/>
    <xf numFmtId="44" fontId="4" fillId="3" borderId="2" xfId="1" applyFont="1" applyFill="1" applyBorder="1"/>
    <xf numFmtId="0" fontId="5" fillId="2" borderId="2" xfId="0" applyFont="1" applyFill="1" applyBorder="1"/>
    <xf numFmtId="44" fontId="4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904ABE7A-EBD5-4BB7-B573-E7B5237491D4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29.650770717592" createdVersion="3" refreshedVersion="8" minRefreshableVersion="3" recordCount="3" xr:uid="{CE652480-1892-4318-A8C0-6185558F8056}">
  <cacheSource type="worksheet">
    <worksheetSource ref="A1:AS4" sheet="Details"/>
  </cacheSource>
  <cacheFields count="45">
    <cacheField name="Posted Date" numFmtId="14">
      <sharedItems containsSemiMixedTypes="0" containsNonDate="0" containsDate="1" containsString="0" minDate="2025-03-05T00:00:00" maxDate="2025-03-07T00:00:00" count="2">
        <d v="2025-03-06T00:00:00"/>
        <d v="2025-03-05T00:00:00"/>
      </sharedItems>
    </cacheField>
    <cacheField name="Created Date" numFmtId="14">
      <sharedItems containsSemiMixedTypes="0" containsNonDate="0" containsDate="1" containsString="0" minDate="2025-03-10T00:00:00" maxDate="2025-03-11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8" maxValue="9.6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8" maxValue="9.6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004299" maxValue="684068645" count="3">
        <n v="684004299"/>
        <n v="684061797"/>
        <n v="684068645"/>
      </sharedItems>
    </cacheField>
    <cacheField name="Member Company" numFmtId="0">
      <sharedItems containsNonDate="0" containsString="0" containsBlank="1"/>
    </cacheField>
    <cacheField name="Member First Name" numFmtId="0">
      <sharedItems count="3">
        <s v="Jean"/>
        <s v="Calogero"/>
        <s v="Sharrod"/>
      </sharedItems>
    </cacheField>
    <cacheField name="Member Last Name" numFmtId="0">
      <sharedItems count="3">
        <s v="Harrell"/>
        <s v="Interrante"/>
        <s v="Walker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678726" maxValue="689390" count="2">
        <n v="678726"/>
        <n v="689390"/>
      </sharedItems>
    </cacheField>
    <cacheField name="Member Agent Label" numFmtId="0">
      <sharedItems count="2">
        <s v=" Main Line Benefits - Thomas Kucan"/>
        <s v="Main Line Benefits - Carol Foley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45041" maxValue="45041"/>
    </cacheField>
    <cacheField name="Product Label" numFmtId="0">
      <sharedItems count="1">
        <s v="NCD Smile 2500 by MetLife"/>
      </sharedItems>
    </cacheField>
    <cacheField name="Benefit" numFmtId="0">
      <sharedItems count="1">
        <s v="Member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2-11T00:00:00" maxDate="2025-02-21T00:00:00"/>
    </cacheField>
    <cacheField name="Product Active Date" numFmtId="14">
      <sharedItems containsSemiMixedTypes="0" containsNonDate="0" containsDate="1" containsString="0" minDate="2025-03-01T00:00:00" maxDate="2025-03-02T00:00:00"/>
    </cacheField>
    <cacheField name="Policy Number" numFmtId="0">
      <sharedItems containsSemiMixedTypes="0" containsString="0" containsNumber="1" containsInteger="1" minValue="384431357" maxValue="848578973" count="3">
        <n v="384431357"/>
        <n v="588549415"/>
        <n v="848578973"/>
      </sharedItems>
    </cacheField>
    <cacheField name="Transaction ID" numFmtId="0">
      <sharedItems containsSemiMixedTypes="0" containsString="0" containsNumber="1" containsInteger="1" minValue="10454810547" maxValue="10461834090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0">
      <sharedItems containsNonDate="0" containsString="0" containsBlank="1"/>
    </cacheField>
    <cacheField name="Transaction Paid Through End" numFmtId="0">
      <sharedItems containsNonDate="0" containsString="0" containsBlank="1"/>
    </cacheField>
    <cacheField name="Commissionable Amount" numFmtId="8">
      <sharedItems containsSemiMixedTypes="0" containsString="0" containsNumber="1" containsInteger="1" minValue="25" maxValue="30" count="2">
        <n v="25"/>
        <n v="30"/>
      </sharedItems>
    </cacheField>
    <cacheField name="Payout" numFmtId="9">
      <sharedItems containsSemiMixedTypes="0" containsString="0" containsNumber="1" minValue="0.32" maxValue="0.32"/>
    </cacheField>
    <cacheField name="Payable ID" numFmtId="0">
      <sharedItems containsSemiMixedTypes="0" containsString="0" containsNumber="1" containsInteger="1" minValue="1317292929" maxValue="1317306716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d v="2025-03-10T00:00:00"/>
    <s v="COMM"/>
    <s v="Product"/>
    <x v="0"/>
    <n v="8"/>
    <n v="0"/>
    <n v="8"/>
    <n v="653470"/>
    <s v="Main Line Benefits LLC"/>
    <m/>
    <m/>
    <m/>
    <m/>
    <m/>
    <x v="0"/>
    <m/>
    <x v="0"/>
    <x v="0"/>
    <s v="MD"/>
    <x v="0"/>
    <x v="0"/>
    <s v="NCD"/>
    <m/>
    <n v="45041"/>
    <x v="0"/>
    <x v="0"/>
    <s v="Monthly"/>
    <s v="Dental"/>
    <s v="MetLife"/>
    <d v="2025-02-11T00:00:00"/>
    <d v="2025-03-01T00:00:00"/>
    <x v="0"/>
    <n v="10458473942"/>
    <m/>
    <x v="0"/>
    <s v="ACH"/>
    <n v="1"/>
    <m/>
    <m/>
    <x v="0"/>
    <n v="0.32"/>
    <n v="1317302851"/>
    <m/>
    <x v="0"/>
  </r>
  <r>
    <x v="0"/>
    <d v="2025-03-10T00:00:00"/>
    <s v="COMM"/>
    <s v="Product"/>
    <x v="0"/>
    <n v="9.6"/>
    <n v="0"/>
    <n v="9.6"/>
    <n v="653470"/>
    <s v="Main Line Benefits LLC"/>
    <m/>
    <m/>
    <m/>
    <m/>
    <m/>
    <x v="1"/>
    <m/>
    <x v="1"/>
    <x v="1"/>
    <s v="PA"/>
    <x v="1"/>
    <x v="1"/>
    <s v="NCD"/>
    <m/>
    <n v="45041"/>
    <x v="0"/>
    <x v="0"/>
    <s v="Monthly"/>
    <s v="Dental"/>
    <s v="MetLife"/>
    <d v="2025-02-19T00:00:00"/>
    <d v="2025-03-01T00:00:00"/>
    <x v="1"/>
    <n v="10461834090"/>
    <m/>
    <x v="0"/>
    <s v="ACH"/>
    <n v="1"/>
    <m/>
    <m/>
    <x v="1"/>
    <n v="0.32"/>
    <n v="1317292929"/>
    <m/>
    <x v="0"/>
  </r>
  <r>
    <x v="1"/>
    <d v="2025-03-10T00:00:00"/>
    <s v="COMM"/>
    <s v="Product"/>
    <x v="0"/>
    <n v="8"/>
    <n v="0"/>
    <n v="8"/>
    <n v="653470"/>
    <s v="Main Line Benefits LLC"/>
    <m/>
    <m/>
    <m/>
    <m/>
    <m/>
    <x v="2"/>
    <m/>
    <x v="2"/>
    <x v="2"/>
    <s v="MD"/>
    <x v="0"/>
    <x v="0"/>
    <s v="NCD"/>
    <m/>
    <n v="45041"/>
    <x v="0"/>
    <x v="0"/>
    <s v="Monthly"/>
    <s v="Dental"/>
    <s v="MetLife"/>
    <d v="2025-02-20T00:00:00"/>
    <d v="2025-03-01T00:00:00"/>
    <x v="2"/>
    <n v="10454810547"/>
    <m/>
    <x v="0"/>
    <s v="ACH"/>
    <n v="1"/>
    <m/>
    <m/>
    <x v="0"/>
    <n v="0.32"/>
    <n v="1317306716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7AF96D-6D6F-4B6C-B30E-CEBCD1BAEB85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outline="1" outlineData="1" multipleFieldFilters="0" rowHeaderCaption="Payout Type">
  <location ref="A10:N15" firstHeaderRow="1" firstDataRow="1" firstDataCol="13"/>
  <pivotFields count="45">
    <pivotField axis="axisRow" numFmtId="14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showAll="0"/>
    <pivotField axis="axisRow" numFmtId="164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5">
    <i>
      <x/>
      <x/>
      <x v="1"/>
      <x/>
      <x/>
      <x/>
      <x/>
      <x/>
      <x/>
      <x v="1"/>
      <x/>
      <x/>
      <x/>
    </i>
    <i r="1">
      <x v="1"/>
      <x/>
      <x v="1"/>
      <x v="1"/>
      <x v="1"/>
      <x v="1"/>
      <x/>
      <x/>
      <x v="1"/>
      <x/>
      <x/>
      <x v="1"/>
    </i>
    <i r="1">
      <x v="2"/>
      <x v="2"/>
      <x v="2"/>
      <x/>
      <x/>
      <x v="2"/>
      <x/>
      <x/>
      <x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65DBF-49B4-4D8B-AC85-4861B5346A78}">
  <dimension ref="A1:P15"/>
  <sheetViews>
    <sheetView tabSelected="1" workbookViewId="0">
      <selection activeCell="B11" sqref="B11"/>
    </sheetView>
  </sheetViews>
  <sheetFormatPr defaultColWidth="0" defaultRowHeight="15" x14ac:dyDescent="0.25"/>
  <cols>
    <col min="1" max="1" width="53.710937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33.28515625" bestFit="1" customWidth="1"/>
    <col min="7" max="7" width="16.140625" bestFit="1" customWidth="1"/>
    <col min="8" max="8" width="24.7109375" bestFit="1" customWidth="1"/>
    <col min="9" max="9" width="9.5703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8" customFormat="1" ht="18.75" x14ac:dyDescent="0.3">
      <c r="A1" s="9" t="s">
        <v>52</v>
      </c>
    </row>
    <row r="2" spans="1:14" s="8" customFormat="1" ht="18.75" x14ac:dyDescent="0.3">
      <c r="A2" s="9" t="s">
        <v>71</v>
      </c>
    </row>
    <row r="3" spans="1:14" s="8" customFormat="1" ht="18.75" x14ac:dyDescent="0.3">
      <c r="A3" s="9" t="s">
        <v>72</v>
      </c>
    </row>
    <row r="4" spans="1:14" s="8" customFormat="1" ht="19.5" thickBot="1" x14ac:dyDescent="0.35">
      <c r="A4" s="9" t="s">
        <v>73</v>
      </c>
    </row>
    <row r="5" spans="1:14" s="8" customFormat="1" ht="21.75" thickBot="1" x14ac:dyDescent="0.4">
      <c r="C5" s="12" t="s">
        <v>74</v>
      </c>
      <c r="D5" s="13">
        <v>25.6</v>
      </c>
      <c r="E5" s="14" t="s">
        <v>75</v>
      </c>
      <c r="F5" s="15">
        <v>25.6</v>
      </c>
    </row>
    <row r="6" spans="1:14" s="8" customFormat="1" x14ac:dyDescent="0.25"/>
    <row r="7" spans="1:14" s="8" customFormat="1" x14ac:dyDescent="0.25"/>
    <row r="8" spans="1:14" s="8" customFormat="1" x14ac:dyDescent="0.25"/>
    <row r="9" spans="1:14" s="8" customFormat="1" x14ac:dyDescent="0.25"/>
    <row r="10" spans="1:14" x14ac:dyDescent="0.25">
      <c r="A10" s="6" t="s">
        <v>44</v>
      </c>
      <c r="B10" s="6" t="s">
        <v>15</v>
      </c>
      <c r="C10" s="6" t="s">
        <v>17</v>
      </c>
      <c r="D10" s="6" t="s">
        <v>18</v>
      </c>
      <c r="E10" s="6" t="s">
        <v>20</v>
      </c>
      <c r="F10" s="6" t="s">
        <v>21</v>
      </c>
      <c r="G10" s="6" t="s">
        <v>32</v>
      </c>
      <c r="H10" s="6" t="s">
        <v>25</v>
      </c>
      <c r="I10" s="6" t="s">
        <v>26</v>
      </c>
      <c r="J10" s="6" t="s">
        <v>0</v>
      </c>
      <c r="K10" s="6" t="s">
        <v>35</v>
      </c>
      <c r="L10" s="6" t="s">
        <v>4</v>
      </c>
      <c r="M10" s="6" t="s">
        <v>40</v>
      </c>
      <c r="N10" t="s">
        <v>70</v>
      </c>
    </row>
    <row r="11" spans="1:14" x14ac:dyDescent="0.25">
      <c r="A11" t="s">
        <v>60</v>
      </c>
      <c r="B11">
        <v>684004299</v>
      </c>
      <c r="C11" t="s">
        <v>48</v>
      </c>
      <c r="D11" t="s">
        <v>49</v>
      </c>
      <c r="E11">
        <v>678726</v>
      </c>
      <c r="F11" t="s">
        <v>51</v>
      </c>
      <c r="G11">
        <v>384431357</v>
      </c>
      <c r="H11" t="s">
        <v>53</v>
      </c>
      <c r="I11" t="s">
        <v>54</v>
      </c>
      <c r="J11" s="2">
        <v>45722</v>
      </c>
      <c r="K11" t="s">
        <v>58</v>
      </c>
      <c r="L11" t="s">
        <v>68</v>
      </c>
      <c r="M11" s="7">
        <v>25</v>
      </c>
      <c r="N11" s="7">
        <v>8</v>
      </c>
    </row>
    <row r="12" spans="1:14" x14ac:dyDescent="0.25">
      <c r="A12" t="s">
        <v>60</v>
      </c>
      <c r="B12">
        <v>684061797</v>
      </c>
      <c r="C12" t="s">
        <v>61</v>
      </c>
      <c r="D12" t="s">
        <v>62</v>
      </c>
      <c r="E12">
        <v>689390</v>
      </c>
      <c r="F12" t="s">
        <v>64</v>
      </c>
      <c r="G12">
        <v>588549415</v>
      </c>
      <c r="H12" t="s">
        <v>53</v>
      </c>
      <c r="I12" t="s">
        <v>54</v>
      </c>
      <c r="J12" s="2">
        <v>45722</v>
      </c>
      <c r="K12" t="s">
        <v>58</v>
      </c>
      <c r="L12" t="s">
        <v>68</v>
      </c>
      <c r="M12" s="7">
        <v>30</v>
      </c>
      <c r="N12" s="7">
        <v>9.6</v>
      </c>
    </row>
    <row r="13" spans="1:14" x14ac:dyDescent="0.25">
      <c r="A13" t="s">
        <v>60</v>
      </c>
      <c r="B13">
        <v>684068645</v>
      </c>
      <c r="C13" t="s">
        <v>65</v>
      </c>
      <c r="D13" t="s">
        <v>66</v>
      </c>
      <c r="E13">
        <v>678726</v>
      </c>
      <c r="F13" t="s">
        <v>51</v>
      </c>
      <c r="G13">
        <v>848578973</v>
      </c>
      <c r="H13" t="s">
        <v>53</v>
      </c>
      <c r="I13" t="s">
        <v>54</v>
      </c>
      <c r="J13" s="2">
        <v>45721</v>
      </c>
      <c r="K13" t="s">
        <v>58</v>
      </c>
      <c r="L13" t="s">
        <v>68</v>
      </c>
      <c r="M13" s="7">
        <v>25</v>
      </c>
      <c r="N13" s="7">
        <v>8</v>
      </c>
    </row>
    <row r="14" spans="1:14" ht="18.75" x14ac:dyDescent="0.3">
      <c r="A14" s="10" t="s">
        <v>69</v>
      </c>
      <c r="N14" s="11">
        <v>25.6</v>
      </c>
    </row>
    <row r="15" spans="1:14" x14ac:dyDescent="0.25">
      <c r="A15" t="s">
        <v>67</v>
      </c>
      <c r="N15" s="7">
        <v>25.6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AA6F2-091F-4AF2-972D-94D3764B261B}">
  <dimension ref="A1:BL4"/>
  <sheetViews>
    <sheetView topLeftCell="W1" workbookViewId="0">
      <selection activeCell="AR10" sqref="AR10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6" width="6" bestFit="1" customWidth="1"/>
    <col min="7" max="7" width="5.42578125" bestFit="1" customWidth="1"/>
    <col min="8" max="8" width="5.28515625" bestFit="1" customWidth="1"/>
    <col min="9" max="9" width="13.42578125" bestFit="1" customWidth="1"/>
    <col min="10" max="10" width="19.85546875" bestFit="1" customWidth="1"/>
    <col min="11" max="12" width="14.85546875" bestFit="1" customWidth="1"/>
    <col min="13" max="13" width="9.42578125" bestFit="1" customWidth="1"/>
    <col min="14" max="14" width="10.5703125" bestFit="1" customWidth="1"/>
    <col min="15" max="15" width="13.28515625" bestFit="1" customWidth="1"/>
    <col min="16" max="16" width="10.140625" bestFit="1" customWidth="1"/>
    <col min="17" max="17" width="16.5703125" bestFit="1" customWidth="1"/>
    <col min="18" max="18" width="17.85546875" bestFit="1" customWidth="1"/>
    <col min="19" max="19" width="17.7109375" bestFit="1" customWidth="1"/>
    <col min="20" max="20" width="12.42578125" bestFit="1" customWidth="1"/>
    <col min="21" max="21" width="15.42578125" bestFit="1" customWidth="1"/>
    <col min="22" max="22" width="31.7109375" bestFit="1" customWidth="1"/>
    <col min="23" max="23" width="21.28515625" bestFit="1" customWidth="1"/>
    <col min="24" max="24" width="19.85546875" bestFit="1" customWidth="1"/>
    <col min="25" max="25" width="9.85546875" bestFit="1" customWidth="1"/>
    <col min="26" max="26" width="23.28515625" bestFit="1" customWidth="1"/>
    <col min="27" max="27" width="7.85546875" bestFit="1" customWidth="1"/>
    <col min="28" max="28" width="7.7109375" bestFit="1" customWidth="1"/>
    <col min="29" max="29" width="15.5703125" bestFit="1" customWidth="1"/>
    <col min="30" max="30" width="17.140625" bestFit="1" customWidth="1"/>
    <col min="31" max="31" width="19.140625" bestFit="1" customWidth="1"/>
    <col min="32" max="32" width="17.7109375" bestFit="1" customWidth="1"/>
    <col min="33" max="34" width="13.5703125" bestFit="1" customWidth="1"/>
    <col min="35" max="35" width="18.5703125" bestFit="1" customWidth="1"/>
    <col min="36" max="36" width="15.7109375" bestFit="1" customWidth="1"/>
    <col min="37" max="37" width="12.7109375" bestFit="1" customWidth="1"/>
    <col min="38" max="38" width="19.28515625" bestFit="1" customWidth="1"/>
    <col min="39" max="39" width="27.85546875" bestFit="1" customWidth="1"/>
    <col min="40" max="40" width="27.28515625" bestFit="1" customWidth="1"/>
    <col min="41" max="41" width="23" bestFit="1" customWidth="1"/>
    <col min="42" max="42" width="6.7109375" bestFit="1" customWidth="1"/>
    <col min="43" max="43" width="11" bestFit="1" customWidth="1"/>
    <col min="44" max="44" width="16.28515625" bestFit="1" customWidth="1"/>
    <col min="45" max="45" width="11.140625" bestFit="1" customWidth="1"/>
    <col min="16384" max="16384" width="11.1406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BE1" s="1"/>
    </row>
    <row r="2" spans="1:64" x14ac:dyDescent="0.25">
      <c r="A2" s="2">
        <v>45722</v>
      </c>
      <c r="B2" s="2">
        <v>45726</v>
      </c>
      <c r="C2" t="s">
        <v>45</v>
      </c>
      <c r="D2" t="s">
        <v>46</v>
      </c>
      <c r="F2">
        <v>8</v>
      </c>
      <c r="G2">
        <v>0</v>
      </c>
      <c r="H2">
        <v>8</v>
      </c>
      <c r="I2">
        <v>653470</v>
      </c>
      <c r="J2" t="s">
        <v>47</v>
      </c>
      <c r="P2">
        <v>684004299</v>
      </c>
      <c r="R2" t="s">
        <v>48</v>
      </c>
      <c r="S2" t="s">
        <v>49</v>
      </c>
      <c r="T2" t="s">
        <v>50</v>
      </c>
      <c r="U2">
        <v>678726</v>
      </c>
      <c r="V2" t="s">
        <v>51</v>
      </c>
      <c r="W2" t="s">
        <v>52</v>
      </c>
      <c r="Y2">
        <v>45041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s="2">
        <v>45699</v>
      </c>
      <c r="AF2" s="2">
        <v>45717</v>
      </c>
      <c r="AG2">
        <v>384431357</v>
      </c>
      <c r="AH2">
        <v>10458473942</v>
      </c>
      <c r="AI2" s="3"/>
      <c r="AJ2" t="s">
        <v>58</v>
      </c>
      <c r="AK2" t="s">
        <v>59</v>
      </c>
      <c r="AL2">
        <v>1</v>
      </c>
      <c r="AO2" s="3">
        <v>25</v>
      </c>
      <c r="AP2" s="4">
        <v>0.32</v>
      </c>
      <c r="AQ2">
        <v>1317302851</v>
      </c>
      <c r="AS2" t="s">
        <v>60</v>
      </c>
      <c r="BB2" s="2"/>
      <c r="BJ2" s="5"/>
      <c r="BL2" s="1"/>
    </row>
    <row r="3" spans="1:64" x14ac:dyDescent="0.25">
      <c r="A3" s="2">
        <v>45722</v>
      </c>
      <c r="B3" s="2">
        <v>45726</v>
      </c>
      <c r="C3" t="s">
        <v>45</v>
      </c>
      <c r="D3" t="s">
        <v>46</v>
      </c>
      <c r="F3">
        <v>9.6</v>
      </c>
      <c r="G3">
        <v>0</v>
      </c>
      <c r="H3">
        <v>9.6</v>
      </c>
      <c r="I3">
        <v>653470</v>
      </c>
      <c r="J3" t="s">
        <v>47</v>
      </c>
      <c r="P3">
        <v>684061797</v>
      </c>
      <c r="R3" t="s">
        <v>61</v>
      </c>
      <c r="S3" t="s">
        <v>62</v>
      </c>
      <c r="T3" t="s">
        <v>63</v>
      </c>
      <c r="U3">
        <v>689390</v>
      </c>
      <c r="V3" t="s">
        <v>64</v>
      </c>
      <c r="W3" t="s">
        <v>52</v>
      </c>
      <c r="Y3">
        <v>45041</v>
      </c>
      <c r="Z3" t="s">
        <v>53</v>
      </c>
      <c r="AA3" t="s">
        <v>54</v>
      </c>
      <c r="AB3" t="s">
        <v>55</v>
      </c>
      <c r="AC3" t="s">
        <v>56</v>
      </c>
      <c r="AD3" t="s">
        <v>57</v>
      </c>
      <c r="AE3" s="2">
        <v>45707</v>
      </c>
      <c r="AF3" s="2">
        <v>45717</v>
      </c>
      <c r="AG3">
        <v>588549415</v>
      </c>
      <c r="AH3">
        <v>10461834090</v>
      </c>
      <c r="AI3" s="3"/>
      <c r="AJ3" t="s">
        <v>58</v>
      </c>
      <c r="AK3" t="s">
        <v>59</v>
      </c>
      <c r="AL3">
        <v>1</v>
      </c>
      <c r="AO3" s="3">
        <v>30</v>
      </c>
      <c r="AP3" s="4">
        <v>0.32</v>
      </c>
      <c r="AQ3">
        <v>1317292929</v>
      </c>
      <c r="AS3" t="s">
        <v>60</v>
      </c>
      <c r="BB3" s="2"/>
      <c r="BJ3" s="5"/>
      <c r="BL3" s="1"/>
    </row>
    <row r="4" spans="1:64" x14ac:dyDescent="0.25">
      <c r="A4" s="2">
        <v>45721</v>
      </c>
      <c r="B4" s="2">
        <v>45726</v>
      </c>
      <c r="C4" t="s">
        <v>45</v>
      </c>
      <c r="D4" t="s">
        <v>46</v>
      </c>
      <c r="F4">
        <v>8</v>
      </c>
      <c r="G4">
        <v>0</v>
      </c>
      <c r="H4">
        <v>8</v>
      </c>
      <c r="I4">
        <v>653470</v>
      </c>
      <c r="J4" t="s">
        <v>47</v>
      </c>
      <c r="P4">
        <v>684068645</v>
      </c>
      <c r="R4" t="s">
        <v>65</v>
      </c>
      <c r="S4" t="s">
        <v>66</v>
      </c>
      <c r="T4" t="s">
        <v>50</v>
      </c>
      <c r="U4">
        <v>678726</v>
      </c>
      <c r="V4" t="s">
        <v>51</v>
      </c>
      <c r="W4" t="s">
        <v>52</v>
      </c>
      <c r="Y4">
        <v>45041</v>
      </c>
      <c r="Z4" t="s">
        <v>53</v>
      </c>
      <c r="AA4" t="s">
        <v>54</v>
      </c>
      <c r="AB4" t="s">
        <v>55</v>
      </c>
      <c r="AC4" t="s">
        <v>56</v>
      </c>
      <c r="AD4" t="s">
        <v>57</v>
      </c>
      <c r="AE4" s="2">
        <v>45708</v>
      </c>
      <c r="AF4" s="2">
        <v>45717</v>
      </c>
      <c r="AG4">
        <v>848578973</v>
      </c>
      <c r="AH4">
        <v>10454810547</v>
      </c>
      <c r="AI4" s="3"/>
      <c r="AJ4" t="s">
        <v>58</v>
      </c>
      <c r="AK4" t="s">
        <v>59</v>
      </c>
      <c r="AL4">
        <v>1</v>
      </c>
      <c r="AO4" s="3">
        <v>25</v>
      </c>
      <c r="AP4" s="4">
        <v>0.32</v>
      </c>
      <c r="AQ4">
        <v>1317306716</v>
      </c>
      <c r="AS4" t="s">
        <v>60</v>
      </c>
      <c r="BB4" s="2"/>
      <c r="BJ4" s="5"/>
      <c r="BL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A2F4-6954-494C-8046-57BD2E0696EA}">
  <dimension ref="A1:Z4"/>
  <sheetViews>
    <sheetView workbookViewId="0">
      <selection activeCell="P21" sqref="P21"/>
    </sheetView>
  </sheetViews>
  <sheetFormatPr defaultRowHeight="15" x14ac:dyDescent="0.25"/>
  <cols>
    <col min="1" max="1" width="23.7109375" bestFit="1" customWidth="1"/>
    <col min="2" max="2" width="7" bestFit="1" customWidth="1"/>
    <col min="3" max="3" width="13.85546875" bestFit="1" customWidth="1"/>
    <col min="4" max="4" width="20.42578125" bestFit="1" customWidth="1"/>
    <col min="5" max="5" width="10.42578125" bestFit="1" customWidth="1"/>
    <col min="6" max="6" width="18.42578125" bestFit="1" customWidth="1"/>
    <col min="7" max="7" width="18.140625" bestFit="1" customWidth="1"/>
    <col min="8" max="8" width="18.140625" customWidth="1"/>
    <col min="9" max="9" width="12.85546875" bestFit="1" customWidth="1"/>
    <col min="10" max="10" width="15.85546875" bestFit="1" customWidth="1"/>
    <col min="11" max="11" width="32.7109375" bestFit="1" customWidth="1"/>
    <col min="12" max="12" width="21.85546875" bestFit="1" customWidth="1"/>
    <col min="13" max="13" width="10.140625" bestFit="1" customWidth="1"/>
    <col min="14" max="14" width="24" bestFit="1" customWidth="1"/>
    <col min="15" max="15" width="8.140625" bestFit="1" customWidth="1"/>
    <col min="16" max="16" width="8" bestFit="1" customWidth="1"/>
    <col min="17" max="17" width="16" bestFit="1" customWidth="1"/>
    <col min="18" max="18" width="17.5703125" bestFit="1" customWidth="1"/>
    <col min="19" max="19" width="19.7109375" style="2" bestFit="1" customWidth="1"/>
    <col min="20" max="20" width="18.140625" style="2" bestFit="1" customWidth="1"/>
    <col min="21" max="22" width="14" bestFit="1" customWidth="1"/>
    <col min="23" max="23" width="16.140625" bestFit="1" customWidth="1"/>
    <col min="24" max="24" width="13.140625" bestFit="1" customWidth="1"/>
    <col min="25" max="25" width="11" bestFit="1" customWidth="1"/>
    <col min="26" max="26" width="11.42578125" bestFit="1" customWidth="1"/>
  </cols>
  <sheetData>
    <row r="1" spans="1:26" x14ac:dyDescent="0.25">
      <c r="A1" t="s">
        <v>40</v>
      </c>
      <c r="B1" t="s">
        <v>41</v>
      </c>
      <c r="C1" t="s">
        <v>8</v>
      </c>
      <c r="D1" t="s">
        <v>9</v>
      </c>
      <c r="E1" t="s">
        <v>15</v>
      </c>
      <c r="F1" t="s">
        <v>17</v>
      </c>
      <c r="G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s="2" t="s">
        <v>30</v>
      </c>
      <c r="T1" s="2" t="s">
        <v>31</v>
      </c>
      <c r="U1" t="s">
        <v>32</v>
      </c>
      <c r="V1" t="s">
        <v>33</v>
      </c>
      <c r="W1" t="s">
        <v>35</v>
      </c>
      <c r="X1" t="s">
        <v>36</v>
      </c>
      <c r="Y1" t="s">
        <v>42</v>
      </c>
      <c r="Z1" t="s">
        <v>44</v>
      </c>
    </row>
    <row r="2" spans="1:26" x14ac:dyDescent="0.25">
      <c r="A2">
        <v>25</v>
      </c>
      <c r="B2">
        <v>0.32</v>
      </c>
      <c r="C2">
        <v>653470</v>
      </c>
      <c r="D2" t="s">
        <v>47</v>
      </c>
      <c r="E2">
        <v>684004299</v>
      </c>
      <c r="F2" t="s">
        <v>48</v>
      </c>
      <c r="G2" t="s">
        <v>49</v>
      </c>
      <c r="H2" t="str">
        <f>CONCATENATE(F2, " ",G2)</f>
        <v>Jean Harrell</v>
      </c>
      <c r="I2" t="s">
        <v>50</v>
      </c>
      <c r="J2">
        <v>678726</v>
      </c>
      <c r="K2" t="s">
        <v>76</v>
      </c>
      <c r="L2">
        <v>16202925</v>
      </c>
      <c r="M2">
        <v>45041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s="2">
        <v>45699</v>
      </c>
      <c r="T2" s="2">
        <v>45717</v>
      </c>
      <c r="U2">
        <v>384431357</v>
      </c>
      <c r="V2">
        <v>10458473942</v>
      </c>
      <c r="W2" t="s">
        <v>58</v>
      </c>
      <c r="X2" t="s">
        <v>59</v>
      </c>
      <c r="Y2">
        <v>1317302851</v>
      </c>
      <c r="Z2" t="s">
        <v>60</v>
      </c>
    </row>
    <row r="3" spans="1:26" x14ac:dyDescent="0.25">
      <c r="A3">
        <v>30</v>
      </c>
      <c r="B3">
        <v>0.32</v>
      </c>
      <c r="C3">
        <v>653470</v>
      </c>
      <c r="D3" t="s">
        <v>47</v>
      </c>
      <c r="E3">
        <v>684061797</v>
      </c>
      <c r="F3" t="s">
        <v>61</v>
      </c>
      <c r="G3" t="s">
        <v>62</v>
      </c>
      <c r="H3" t="str">
        <f t="shared" ref="H3:H4" si="0">CONCATENATE(F3, " ",G3)</f>
        <v>Calogero Interrante</v>
      </c>
      <c r="I3" t="s">
        <v>63</v>
      </c>
      <c r="J3">
        <v>689390</v>
      </c>
      <c r="K3" t="s">
        <v>77</v>
      </c>
      <c r="L3">
        <v>17425766</v>
      </c>
      <c r="M3">
        <v>45041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s="2">
        <v>45707</v>
      </c>
      <c r="T3" s="2">
        <v>45717</v>
      </c>
      <c r="U3">
        <v>588549415</v>
      </c>
      <c r="V3">
        <v>10461834090</v>
      </c>
      <c r="W3" t="s">
        <v>58</v>
      </c>
      <c r="X3" t="s">
        <v>59</v>
      </c>
      <c r="Y3">
        <v>1317292929</v>
      </c>
      <c r="Z3" t="s">
        <v>60</v>
      </c>
    </row>
    <row r="4" spans="1:26" x14ac:dyDescent="0.25">
      <c r="A4">
        <v>25</v>
      </c>
      <c r="B4">
        <v>0.32</v>
      </c>
      <c r="C4">
        <v>653470</v>
      </c>
      <c r="D4" t="s">
        <v>47</v>
      </c>
      <c r="E4">
        <v>684068645</v>
      </c>
      <c r="F4" t="s">
        <v>65</v>
      </c>
      <c r="G4" t="s">
        <v>66</v>
      </c>
      <c r="H4" t="str">
        <f t="shared" si="0"/>
        <v>Sharrod Walker</v>
      </c>
      <c r="I4" t="s">
        <v>50</v>
      </c>
      <c r="J4">
        <v>678726</v>
      </c>
      <c r="K4" t="s">
        <v>76</v>
      </c>
      <c r="L4">
        <v>16202925</v>
      </c>
      <c r="M4">
        <v>45041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s="2">
        <v>45708</v>
      </c>
      <c r="T4" s="2">
        <v>45717</v>
      </c>
      <c r="U4">
        <v>848578973</v>
      </c>
      <c r="V4">
        <v>10454810547</v>
      </c>
      <c r="W4" t="s">
        <v>58</v>
      </c>
      <c r="X4" t="s">
        <v>59</v>
      </c>
      <c r="Y4">
        <v>1317306716</v>
      </c>
      <c r="Z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Details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2025-03-13T20:37:06Z</dcterms:created>
  <dcterms:modified xsi:type="dcterms:W3CDTF">2025-03-19T00:50:32Z</dcterms:modified>
</cp:coreProperties>
</file>