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1-12-25 to 1-18-25\"/>
    </mc:Choice>
  </mc:AlternateContent>
  <xr:revisionPtr revIDLastSave="0" documentId="13_ncr:1_{7B8934D1-3D01-4273-8D90-811F45FE1944}" xr6:coauthVersionLast="47" xr6:coauthVersionMax="47" xr10:uidLastSave="{00000000-0000-0000-0000-000000000000}"/>
  <bookViews>
    <workbookView xWindow="-28920" yWindow="-120" windowWidth="29040" windowHeight="15720" xr2:uid="{1D845B26-662C-4D28-9FCB-0D920EB4858F}"/>
  </bookViews>
  <sheets>
    <sheet name="Statement" sheetId="2" r:id="rId1"/>
    <sheet name="Details" sheetId="1" r:id="rId2"/>
  </sheets>
  <definedNames>
    <definedName name="_xlnm._FilterDatabase" localSheetId="1" hidden="1">Details!$A$1:$AA$5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2" i="1"/>
  <c r="H3" i="1"/>
</calcChain>
</file>

<file path=xl/sharedStrings.xml><?xml version="1.0" encoding="utf-8"?>
<sst xmlns="http://schemas.openxmlformats.org/spreadsheetml/2006/main" count="102" uniqueCount="57">
  <si>
    <t>Posted Date</t>
  </si>
  <si>
    <t>Created Date</t>
  </si>
  <si>
    <t>Type</t>
  </si>
  <si>
    <t>Subtype</t>
  </si>
  <si>
    <t>Notes</t>
  </si>
  <si>
    <t>Total</t>
  </si>
  <si>
    <t>Member ID</t>
  </si>
  <si>
    <t>Member First Name</t>
  </si>
  <si>
    <t>Member Last Name</t>
  </si>
  <si>
    <t>Member State</t>
  </si>
  <si>
    <t>Member Agent ID</t>
  </si>
  <si>
    <t>Member Agent Label</t>
  </si>
  <si>
    <t>Product Label</t>
  </si>
  <si>
    <t>Benefit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</si>
  <si>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</si>
  <si>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</si>
  <si>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</si>
  <si>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</si>
  <si>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</si>
  <si>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</si>
  <si>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</si>
  <si>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</si>
  <si>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</si>
  <si>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</si>
  <si>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</si>
  <si>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</si>
  <si>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</si>
  <si>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</si>
  <si>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</si>
  <si>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COMM</t>
  </si>
  <si>
    <t>Product</t>
  </si>
  <si>
    <t>Joshua</t>
  </si>
  <si>
    <t>Pinckney</t>
  </si>
  <si>
    <t>MD</t>
  </si>
  <si>
    <t xml:space="preserve"> Main Line Benefits - Thomas Kucan</t>
  </si>
  <si>
    <t>NCD</t>
  </si>
  <si>
    <t>NCD Smile 2500 by MetLife</t>
  </si>
  <si>
    <t>Member</t>
  </si>
  <si>
    <t>SALE</t>
  </si>
  <si>
    <t>CC</t>
  </si>
  <si>
    <t>Earned</t>
  </si>
  <si>
    <t>Edlawit</t>
  </si>
  <si>
    <t>Tesfaye</t>
  </si>
  <si>
    <t>Satya</t>
  </si>
  <si>
    <t>Southall</t>
  </si>
  <si>
    <t>Main Line Benefits LLC-Jared Kinyua</t>
  </si>
  <si>
    <t>Grand Total</t>
  </si>
  <si>
    <t>(blank)</t>
  </si>
  <si>
    <t>Earned Total</t>
  </si>
  <si>
    <t>Sum of Net Commission</t>
  </si>
  <si>
    <t>Agent Label: Main Line Benefits LLC</t>
  </si>
  <si>
    <t xml:space="preserve">For the Period: NB 01.12.2025-01.18.2025 NCD </t>
  </si>
  <si>
    <t>Payout Date: 01.24.2025</t>
  </si>
  <si>
    <t>Earned Payout</t>
  </si>
  <si>
    <t>Total Payout</t>
  </si>
  <si>
    <t>Jared Kinyua</t>
  </si>
  <si>
    <t>Thomas Kucan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</si>
</sst>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9" fontId="0" fillId="0" borderId="0" xfId="2" applyFont="1"/>
    <xf numFmtId="2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164" fontId="3" fillId="0" borderId="0" xfId="0" applyNumberFormat="1" applyFont="1"/>
    <xf numFmtId="0" fontId="5" fillId="2" borderId="1" xfId="0" applyFont="1" applyFill="1" applyBorder="1"/>
    <xf numFmtId="44" fontId="4" fillId="3" borderId="2" xfId="1" applyFont="1" applyFill="1" applyBorder="1"/>
    <xf numFmtId="0" fontId="5" fillId="2" borderId="2" xfId="0" applyFont="1" applyFill="1" applyBorder="1"/>
    <xf numFmtId="44" fontId="4" fillId="3" borderId="3" xfId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5">
    <dxf>
      <font>
        <sz val="14"/>
      </font>
    </dxf>
    <dxf>
      <font>
        <sz val="14"/>
      </font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PivotTable Style 2" table="0" count="3" xr9:uid="{E425B493-77A8-46AF-B45C-85DEB2C973C0}">
      <tableStyleElement type="headerRow" dxfId="4"/>
      <tableStyleElement type="totalRow" dxfId="3"/>
      <tableStyleElement type="firstSub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ojas" refreshedDate="45680.56190763889" createdVersion="3" refreshedVersion="8" minRefreshableVersion="3" recordCount="3" xr:uid="{47E2D1FE-6168-4935-BEC2-A13B904A173F}">
  <cacheSource type="worksheet">
    <worksheetSource ref="A1:AA5" sheet="Details"/>
  </cacheSource>
  <cacheFields count="45">
    <cacheField name="Posted Date" numFmtId="14">
      <sharedItems containsSemiMixedTypes="0" containsNonDate="0" containsDate="1" containsString="0" minDate="2025-01-15T00:00:00" maxDate="2025-01-18T00:00:00" count="2">
        <d v="2025-01-17T00:00:00"/>
        <d v="2025-01-15T00:00:00"/>
      </sharedItems>
    </cacheField>
    <cacheField name="Created Date" numFmtId="14">
      <sharedItems containsSemiMixedTypes="0" containsNonDate="0" containsDate="1" containsString="0" minDate="2025-01-20T00:00:00" maxDate="2025-01-21T00:00:00"/>
    </cacheField>
    <cacheField name="Type" numFmtId="0">
      <sharedItems/>
    </cacheField>
    <cacheField name="Subtype" numFmtId="0">
      <sharedItems/>
    </cacheField>
    <cacheField name="Notes" numFmtId="0">
      <sharedItems containsNonDate="0" containsString="0" containsBlank="1" count="1">
        <m/>
      </sharedItems>
    </cacheField>
    <cacheField name="Credit" numFmtId="0">
      <sharedItems containsSemiMixedTypes="0" containsString="0" containsNumber="1" minValue="8" maxValue="9.6"/>
    </cacheField>
    <cacheField name="Debit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8" maxValue="9.6"/>
    </cacheField>
    <cacheField name="Payee Agent ID" numFmtId="0">
      <sharedItems containsSemiMixedTypes="0" containsString="0" containsNumber="1" containsInteger="1" minValue="653470" maxValue="653470"/>
    </cacheField>
    <cacheField name="Payee Agent Label" numFmtId="0">
      <sharedItems/>
    </cacheField>
    <cacheField name="Payee Address 1" numFmtId="0">
      <sharedItems containsNonDate="0" containsString="0" containsBlank="1"/>
    </cacheField>
    <cacheField name="Payee Address 2" numFmtId="0">
      <sharedItems containsNonDate="0" containsString="0" containsBlank="1"/>
    </cacheField>
    <cacheField name="Payee City" numFmtId="0">
      <sharedItems containsNonDate="0" containsString="0" containsBlank="1"/>
    </cacheField>
    <cacheField name="Payee State" numFmtId="0">
      <sharedItems containsNonDate="0" containsString="0" containsBlank="1"/>
    </cacheField>
    <cacheField name="Payee Zipcode" numFmtId="0">
      <sharedItems containsNonDate="0" containsString="0" containsBlank="1"/>
    </cacheField>
    <cacheField name="Member ID" numFmtId="0">
      <sharedItems containsSemiMixedTypes="0" containsString="0" containsNumber="1" containsInteger="1" minValue="683828176" maxValue="683879421" count="3">
        <n v="683879421"/>
        <n v="683829007"/>
        <n v="683828176"/>
      </sharedItems>
    </cacheField>
    <cacheField name="Member Company" numFmtId="0">
      <sharedItems containsNonDate="0" containsString="0" containsBlank="1"/>
    </cacheField>
    <cacheField name="Member First Name" numFmtId="0">
      <sharedItems count="3">
        <s v="Joshua"/>
        <s v="Edlawit"/>
        <s v="Satya"/>
      </sharedItems>
    </cacheField>
    <cacheField name="Member Last Name" numFmtId="0">
      <sharedItems count="3">
        <s v="Pinckney"/>
        <s v="Tesfaye"/>
        <s v="Southall"/>
      </sharedItems>
    </cacheField>
    <cacheField name="Member State" numFmtId="0">
      <sharedItems/>
    </cacheField>
    <cacheField name="Member Agent ID" numFmtId="0">
      <sharedItems containsSemiMixedTypes="0" containsString="0" containsNumber="1" containsInteger="1" minValue="678726" maxValue="798992" count="2">
        <n v="678726"/>
        <n v="798992"/>
      </sharedItems>
    </cacheField>
    <cacheField name="Member Agent Label" numFmtId="0">
      <sharedItems count="2">
        <s v=" Main Line Benefits - Thomas Kucan"/>
        <s v="Main Line Benefits LLC-Jared Kinyua"/>
      </sharedItems>
    </cacheField>
    <cacheField name="Member Agent Category" numFmtId="0">
      <sharedItems/>
    </cacheField>
    <cacheField name="Member Source Detail" numFmtId="0">
      <sharedItems containsNonDate="0" containsString="0" containsBlank="1"/>
    </cacheField>
    <cacheField name="Product ID" numFmtId="0">
      <sharedItems containsSemiMixedTypes="0" containsString="0" containsNumber="1" containsInteger="1" minValue="45041" maxValue="45041"/>
    </cacheField>
    <cacheField name="Product Label" numFmtId="0">
      <sharedItems count="1">
        <s v="NCD Smile 2500 by MetLife"/>
      </sharedItems>
    </cacheField>
    <cacheField name="Benefit" numFmtId="0">
      <sharedItems count="1">
        <s v="Member"/>
      </sharedItems>
    </cacheField>
    <cacheField name="Period" numFmtId="0">
      <sharedItems/>
    </cacheField>
    <cacheField name="Product Category" numFmtId="0">
      <sharedItems/>
    </cacheField>
    <cacheField name="Product Category 2" numFmtId="0">
      <sharedItems/>
    </cacheField>
    <cacheField name="Product Created Date" numFmtId="14">
      <sharedItems containsSemiMixedTypes="0" containsNonDate="0" containsDate="1" containsString="0" minDate="2025-01-15T00:00:00" maxDate="2025-01-18T00:00:00"/>
    </cacheField>
    <cacheField name="Product Active Date" numFmtId="14">
      <sharedItems containsSemiMixedTypes="0" containsNonDate="0" containsDate="1" containsString="0" minDate="2025-02-01T00:00:00" maxDate="2025-02-02T00:00:00"/>
    </cacheField>
    <cacheField name="Policy Number" numFmtId="0">
      <sharedItems containsSemiMixedTypes="0" containsString="0" containsNumber="1" containsInteger="1" minValue="92320846" maxValue="896294214" count="3">
        <n v="92320846"/>
        <n v="298408887"/>
        <n v="896294214"/>
      </sharedItems>
    </cacheField>
    <cacheField name="Transaction ID" numFmtId="0">
      <sharedItems containsSemiMixedTypes="0" containsString="0" containsNumber="1" containsInteger="1" minValue="10318402307" maxValue="10324847609"/>
    </cacheField>
    <cacheField name="Transaction Amount" numFmtId="8">
      <sharedItems containsNonDate="0" containsString="0" containsBlank="1"/>
    </cacheField>
    <cacheField name="Transaction Type" numFmtId="0">
      <sharedItems count="1">
        <s v="SALE"/>
      </sharedItems>
    </cacheField>
    <cacheField name="Payment Type" numFmtId="0">
      <sharedItems/>
    </cacheField>
    <cacheField name="Transaction Payment" numFmtId="0">
      <sharedItems containsSemiMixedTypes="0" containsString="0" containsNumber="1" containsInteger="1" minValue="1" maxValue="1"/>
    </cacheField>
    <cacheField name="Transaction Paid Through Start" numFmtId="14">
      <sharedItems containsSemiMixedTypes="0" containsNonDate="0" containsDate="1" containsString="0" minDate="2025-02-01T00:00:00" maxDate="2025-02-02T00:00:00"/>
    </cacheField>
    <cacheField name="Transaction Paid Through End" numFmtId="14">
      <sharedItems containsSemiMixedTypes="0" containsNonDate="0" containsDate="1" containsString="0" minDate="2025-02-28T00:00:00" maxDate="2025-03-01T00:00:00"/>
    </cacheField>
    <cacheField name="Commissionable Amount" numFmtId="8">
      <sharedItems containsSemiMixedTypes="0" containsString="0" containsNumber="1" containsInteger="1" minValue="25" maxValue="30" count="2">
        <n v="25"/>
        <n v="30"/>
      </sharedItems>
    </cacheField>
    <cacheField name="Payout" numFmtId="9">
      <sharedItems containsSemiMixedTypes="0" containsString="0" containsNumber="1" minValue="0.32" maxValue="0.32"/>
    </cacheField>
    <cacheField name="Payable ID" numFmtId="0">
      <sharedItems containsSemiMixedTypes="0" containsString="0" containsNumber="1" containsInteger="1" minValue="1282988412" maxValue="1282994820"/>
    </cacheField>
    <cacheField name="Months Advanced" numFmtId="0">
      <sharedItems containsNonDate="0" containsString="0" containsBlank="1"/>
    </cacheField>
    <cacheField name="Payout Type" numFmtId="0">
      <sharedItems count="1">
        <s v="Ea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d v="2025-01-20T00:00:00"/>
    <s v="COMM"/>
    <s v="Product"/>
    <x v="0"/>
    <n v="8"/>
    <n v="0"/>
    <n v="8"/>
    <n v="653470"/>
    <s v="Main Line Benefits LLC"/>
    <m/>
    <m/>
    <m/>
    <m/>
    <m/>
    <x v="0"/>
    <m/>
    <x v="0"/>
    <x v="0"/>
    <s v="MD"/>
    <x v="0"/>
    <x v="0"/>
    <s v="NCD"/>
    <m/>
    <n v="45041"/>
    <x v="0"/>
    <x v="0"/>
    <s v="Monthly"/>
    <s v="Dental"/>
    <s v="MetLife"/>
    <d v="2025-01-17T00:00:00"/>
    <d v="2025-02-01T00:00:00"/>
    <x v="0"/>
    <n v="10324847609"/>
    <m/>
    <x v="0"/>
    <s v="CC"/>
    <n v="1"/>
    <d v="2025-02-01T00:00:00"/>
    <d v="2025-02-28T00:00:00"/>
    <x v="0"/>
    <n v="0.32"/>
    <n v="1282988412"/>
    <m/>
    <x v="0"/>
  </r>
  <r>
    <x v="1"/>
    <d v="2025-01-20T00:00:00"/>
    <s v="COMM"/>
    <s v="Product"/>
    <x v="0"/>
    <n v="9.6"/>
    <n v="0"/>
    <n v="9.6"/>
    <n v="653470"/>
    <s v="Main Line Benefits LLC"/>
    <m/>
    <m/>
    <m/>
    <m/>
    <m/>
    <x v="1"/>
    <m/>
    <x v="1"/>
    <x v="1"/>
    <s v="MD"/>
    <x v="0"/>
    <x v="0"/>
    <s v="NCD"/>
    <m/>
    <n v="45041"/>
    <x v="0"/>
    <x v="0"/>
    <s v="Monthly"/>
    <s v="Dental"/>
    <s v="MetLife"/>
    <d v="2025-01-15T00:00:00"/>
    <d v="2025-02-01T00:00:00"/>
    <x v="1"/>
    <n v="10318553392"/>
    <m/>
    <x v="0"/>
    <s v="CC"/>
    <n v="1"/>
    <d v="2025-02-01T00:00:00"/>
    <d v="2025-02-28T00:00:00"/>
    <x v="1"/>
    <n v="0.32"/>
    <n v="1282994156"/>
    <m/>
    <x v="0"/>
  </r>
  <r>
    <x v="1"/>
    <d v="2025-01-20T00:00:00"/>
    <s v="COMM"/>
    <s v="Product"/>
    <x v="0"/>
    <n v="8"/>
    <n v="0"/>
    <n v="8"/>
    <n v="653470"/>
    <s v="Main Line Benefits LLC"/>
    <m/>
    <m/>
    <m/>
    <m/>
    <m/>
    <x v="2"/>
    <m/>
    <x v="2"/>
    <x v="2"/>
    <s v="MD"/>
    <x v="1"/>
    <x v="1"/>
    <s v="NCD"/>
    <m/>
    <n v="45041"/>
    <x v="0"/>
    <x v="0"/>
    <s v="Monthly"/>
    <s v="Dental"/>
    <s v="MetLife"/>
    <d v="2025-01-15T00:00:00"/>
    <d v="2025-02-01T00:00:00"/>
    <x v="2"/>
    <n v="10318402307"/>
    <m/>
    <x v="0"/>
    <s v="CC"/>
    <n v="1"/>
    <d v="2025-02-01T00:00:00"/>
    <d v="2025-02-28T00:00:00"/>
    <x v="0"/>
    <n v="0.32"/>
    <n v="128299482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E8B45-BE8C-499D-977B-30DD12F1B205}" name="Statement Table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rowHeaderCaption="Payout Type">
  <location ref="A10:N15" firstHeaderRow="1" firstDataRow="1" firstDataCol="13"/>
  <pivotFields count="45">
    <pivotField axis="axisRow" numFmtId="14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14" showAll="0"/>
    <pivotField numFmtId="14" showAll="0"/>
    <pivotField axis="axisRow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numFmtId="14" showAll="0"/>
    <pivotField numFmtId="14" showAll="0"/>
    <pivotField axis="axisRow" numFmtId="164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/>
    <pivotField showAll="0"/>
    <pivotField showAll="0"/>
    <pivotField axis="axisRow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44"/>
    <field x="15"/>
    <field x="17"/>
    <field x="18"/>
    <field x="20"/>
    <field x="21"/>
    <field x="32"/>
    <field x="25"/>
    <field x="26"/>
    <field x="0"/>
    <field x="35"/>
    <field x="4"/>
    <field x="40"/>
  </rowFields>
  <rowItems count="5">
    <i>
      <x/>
      <x/>
      <x v="2"/>
      <x v="1"/>
      <x v="1"/>
      <x v="1"/>
      <x v="2"/>
      <x/>
      <x/>
      <x/>
      <x/>
      <x/>
      <x/>
    </i>
    <i r="1">
      <x v="1"/>
      <x/>
      <x v="2"/>
      <x/>
      <x/>
      <x v="1"/>
      <x/>
      <x/>
      <x/>
      <x/>
      <x/>
      <x v="1"/>
    </i>
    <i r="1">
      <x v="2"/>
      <x v="1"/>
      <x/>
      <x/>
      <x/>
      <x/>
      <x/>
      <x/>
      <x v="1"/>
      <x/>
      <x/>
      <x/>
    </i>
    <i t="default">
      <x/>
    </i>
    <i t="grand">
      <x/>
    </i>
  </rowItems>
  <colItems count="1">
    <i/>
  </colItems>
  <dataFields count="1">
    <dataField name="Sum of Net Commission" fld="7" baseField="0" baseItem="0" numFmtId="164"/>
  </dataFields>
  <formats count="2">
    <format dxfId="1">
      <pivotArea dataOnly="0" labelOnly="1" fieldPosition="0">
        <references count="1">
          <reference field="44" count="0" defaultSubtotal="1"/>
        </references>
      </pivotArea>
    </format>
    <format dxfId="0">
      <pivotArea outline="0" collapsedLevelsAreSubtotals="1" fieldPosition="0">
        <references count="1">
          <reference field="44" count="0" selected="0" defaultSubtotal="1"/>
        </references>
      </pivotArea>
    </format>
  </formats>
  <pivotTableStyleInfo name="PivotTable Style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3DE9-ABCA-46FB-A801-FFF1F554B63D}">
  <dimension ref="A1:P15"/>
  <sheetViews>
    <sheetView tabSelected="1" workbookViewId="0">
      <selection activeCell="N13" sqref="N13"/>
    </sheetView>
  </sheetViews>
  <sheetFormatPr defaultColWidth="0" defaultRowHeight="15" x14ac:dyDescent="0.25"/>
  <cols>
    <col min="1" max="1" width="54.140625" bestFit="1" customWidth="1"/>
    <col min="2" max="2" width="12.7109375" bestFit="1" customWidth="1"/>
    <col min="3" max="3" width="20.5703125" bestFit="1" customWidth="1"/>
    <col min="4" max="4" width="20.28515625" bestFit="1" customWidth="1"/>
    <col min="5" max="5" width="18.28515625" bestFit="1" customWidth="1"/>
    <col min="6" max="6" width="33.28515625" bestFit="1" customWidth="1"/>
    <col min="7" max="7" width="16.140625" bestFit="1" customWidth="1"/>
    <col min="8" max="8" width="25.85546875" bestFit="1" customWidth="1"/>
    <col min="9" max="9" width="9.5703125" bestFit="1" customWidth="1"/>
    <col min="10" max="10" width="13.85546875" bestFit="1" customWidth="1"/>
    <col min="11" max="11" width="18" bestFit="1" customWidth="1"/>
    <col min="12" max="12" width="8.7109375" bestFit="1" customWidth="1"/>
    <col min="13" max="13" width="25.7109375" bestFit="1" customWidth="1"/>
    <col min="14" max="14" width="22.7109375" bestFit="1" customWidth="1"/>
    <col min="15" max="16" width="8.85546875" customWidth="1"/>
    <col min="17" max="16384" width="8.85546875" hidden="1"/>
  </cols>
  <sheetData>
    <row r="1" spans="1:14" s="8" customFormat="1" ht="18.75" x14ac:dyDescent="0.3">
      <c r="A1" s="9" t="s">
        <v>35</v>
      </c>
    </row>
    <row r="2" spans="1:14" s="8" customFormat="1" ht="18.75" x14ac:dyDescent="0.3">
      <c r="A2" s="9" t="s">
        <v>50</v>
      </c>
    </row>
    <row r="3" spans="1:14" s="8" customFormat="1" ht="18.75" x14ac:dyDescent="0.3">
      <c r="A3" s="9" t="s">
        <v>51</v>
      </c>
    </row>
    <row r="4" spans="1:14" s="8" customFormat="1" ht="19.5" thickBot="1" x14ac:dyDescent="0.35">
      <c r="A4" s="9" t="s">
        <v>52</v>
      </c>
    </row>
    <row r="5" spans="1:14" s="8" customFormat="1" ht="21.75" thickBot="1" x14ac:dyDescent="0.4">
      <c r="C5" s="12" t="s">
        <v>53</v>
      </c>
      <c r="D5" s="13">
        <v>25.6</v>
      </c>
      <c r="E5" s="14" t="s">
        <v>54</v>
      </c>
      <c r="F5" s="15">
        <v>25.6</v>
      </c>
    </row>
    <row r="6" spans="1:14" s="8" customFormat="1" x14ac:dyDescent="0.25"/>
    <row r="7" spans="1:14" s="8" customFormat="1" x14ac:dyDescent="0.25"/>
    <row r="8" spans="1:14" s="8" customFormat="1" x14ac:dyDescent="0.25"/>
    <row r="9" spans="1:14" s="8" customFormat="1" x14ac:dyDescent="0.25"/>
    <row r="10" spans="1:14" x14ac:dyDescent="0.25">
      <c r="A10" s="6" t="s">
        <v>28</v>
      </c>
      <c r="B10" s="6" t="s">
        <v>6</v>
      </c>
      <c r="C10" s="6" t="s">
        <v>7</v>
      </c>
      <c r="D10" s="6" t="s">
        <v>8</v>
      </c>
      <c r="E10" s="6" t="s">
        <v>10</v>
      </c>
      <c r="F10" s="6" t="s">
        <v>11</v>
      </c>
      <c r="G10" s="6" t="s">
        <v>16</v>
      </c>
      <c r="H10" s="6" t="s">
        <v>12</v>
      </c>
      <c r="I10" s="6" t="s">
        <v>13</v>
      </c>
      <c r="J10" s="6" t="s">
        <v>0</v>
      </c>
      <c r="K10" s="6" t="s">
        <v>19</v>
      </c>
      <c r="L10" s="6" t="s">
        <v>4</v>
      </c>
      <c r="M10" s="6" t="s">
        <v>24</v>
      </c>
      <c r="N10" t="s">
        <v>49</v>
      </c>
    </row>
    <row r="11" spans="1:14" x14ac:dyDescent="0.25">
      <c r="A11" t="s">
        <v>40</v>
      </c>
      <c r="B11">
        <v>683828176</v>
      </c>
      <c r="C11" t="s">
        <v>43</v>
      </c>
      <c r="D11" t="s">
        <v>44</v>
      </c>
      <c r="E11">
        <v>798992</v>
      </c>
      <c r="F11" t="s">
        <v>45</v>
      </c>
      <c r="G11">
        <v>896294214</v>
      </c>
      <c r="H11" t="s">
        <v>36</v>
      </c>
      <c r="I11" t="s">
        <v>37</v>
      </c>
      <c r="J11" s="1">
        <v>45672</v>
      </c>
      <c r="K11" t="s">
        <v>38</v>
      </c>
      <c r="L11" t="s">
        <v>47</v>
      </c>
      <c r="M11" s="7">
        <v>25</v>
      </c>
      <c r="N11" s="7">
        <v>8</v>
      </c>
    </row>
    <row r="12" spans="1:14" x14ac:dyDescent="0.25">
      <c r="A12" t="s">
        <v>40</v>
      </c>
      <c r="B12">
        <v>683829007</v>
      </c>
      <c r="C12" t="s">
        <v>41</v>
      </c>
      <c r="D12" t="s">
        <v>42</v>
      </c>
      <c r="E12">
        <v>678726</v>
      </c>
      <c r="F12" t="s">
        <v>34</v>
      </c>
      <c r="G12">
        <v>298408887</v>
      </c>
      <c r="H12" t="s">
        <v>36</v>
      </c>
      <c r="I12" t="s">
        <v>37</v>
      </c>
      <c r="J12" s="1">
        <v>45672</v>
      </c>
      <c r="K12" t="s">
        <v>38</v>
      </c>
      <c r="L12" t="s">
        <v>47</v>
      </c>
      <c r="M12" s="7">
        <v>30</v>
      </c>
      <c r="N12" s="7">
        <v>9.6</v>
      </c>
    </row>
    <row r="13" spans="1:14" x14ac:dyDescent="0.25">
      <c r="A13" t="s">
        <v>40</v>
      </c>
      <c r="B13">
        <v>683879421</v>
      </c>
      <c r="C13" t="s">
        <v>31</v>
      </c>
      <c r="D13" t="s">
        <v>32</v>
      </c>
      <c r="E13">
        <v>678726</v>
      </c>
      <c r="F13" t="s">
        <v>34</v>
      </c>
      <c r="G13">
        <v>92320846</v>
      </c>
      <c r="H13" t="s">
        <v>36</v>
      </c>
      <c r="I13" t="s">
        <v>37</v>
      </c>
      <c r="J13" s="1">
        <v>45674</v>
      </c>
      <c r="K13" t="s">
        <v>38</v>
      </c>
      <c r="L13" t="s">
        <v>47</v>
      </c>
      <c r="M13" s="7">
        <v>25</v>
      </c>
      <c r="N13" s="7">
        <v>8</v>
      </c>
    </row>
    <row r="14" spans="1:14" ht="18.75" x14ac:dyDescent="0.3">
      <c r="A14" s="10" t="s">
        <v>48</v>
      </c>
      <c r="N14" s="11">
        <v>25.6</v>
      </c>
    </row>
    <row r="15" spans="1:14" x14ac:dyDescent="0.25">
      <c r="A15" t="s">
        <v>46</v>
      </c>
      <c r="N15" s="7">
        <v>25.6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F7927-3D84-47D4-A85D-E3233FECB557}">
  <dimension ref="A1:AT4"/>
  <sheetViews>
    <sheetView workbookViewId="0">
      <selection activeCell="N2" sqref="N2"/>
    </sheetView>
  </sheetViews>
  <sheetFormatPr defaultRowHeight="15" x14ac:dyDescent="0.25"/>
  <cols>
    <col min="1" max="1" width="14.42578125" bestFit="1" customWidth="1"/>
    <col min="2" max="2" width="7.28515625" bestFit="1" customWidth="1"/>
    <col min="3" max="3" width="10.140625" bestFit="1" customWidth="1"/>
    <col min="4" max="4" width="7.7109375" bestFit="1" customWidth="1"/>
    <col min="5" max="5" width="12.7109375" bestFit="1" customWidth="1"/>
    <col min="6" max="6" width="20.7109375" bestFit="1" customWidth="1"/>
    <col min="7" max="7" width="20.42578125" bestFit="1" customWidth="1"/>
    <col min="8" max="8" width="20.42578125" customWidth="1"/>
    <col min="9" max="9" width="15.140625" bestFit="1" customWidth="1"/>
    <col min="10" max="10" width="18.140625" bestFit="1" customWidth="1"/>
    <col min="11" max="11" width="32.7109375" bestFit="1" customWidth="1"/>
    <col min="12" max="12" width="24" bestFit="1" customWidth="1"/>
    <col min="13" max="13" width="22" bestFit="1" customWidth="1"/>
    <col min="14" max="14" width="20.42578125" bestFit="1" customWidth="1"/>
    <col min="15" max="16" width="16.28515625" bestFit="1" customWidth="1"/>
    <col min="17" max="17" width="21.42578125" bestFit="1" customWidth="1"/>
    <col min="18" max="18" width="18.42578125" bestFit="1" customWidth="1"/>
    <col min="19" max="19" width="15.42578125" bestFit="1" customWidth="1"/>
    <col min="20" max="20" width="22.140625" bestFit="1" customWidth="1"/>
    <col min="21" max="21" width="31" bestFit="1" customWidth="1"/>
    <col min="22" max="22" width="30.28515625" bestFit="1" customWidth="1"/>
    <col min="23" max="23" width="26" bestFit="1" customWidth="1"/>
    <col min="24" max="24" width="9.28515625" bestFit="1" customWidth="1"/>
    <col min="25" max="25" width="12.5703125" bestFit="1" customWidth="1"/>
    <col min="26" max="26" width="19" bestFit="1" customWidth="1"/>
    <col min="27" max="27" width="13.7109375" bestFit="1" customWidth="1"/>
    <col min="16366" max="16366" width="11.140625" bestFit="1" customWidth="1"/>
    <col min="16367" max="16384" width="11.140625" customWidth="1"/>
  </cols>
  <sheetData>
    <row r="1" spans="1:46" x14ac:dyDescent="0.25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</row>
    <row r="2" spans="1:46" x14ac:dyDescent="0.25">
      <c r="A2" s="1">
        <v>45677</v>
      </c>
      <c r="B2" t="s">
        <v>29</v>
      </c>
      <c r="C2" t="s">
        <v>30</v>
      </c>
      <c r="D2">
        <v>8</v>
      </c>
      <c r="E2">
        <v>683828176</v>
      </c>
      <c r="F2" t="s">
        <v>43</v>
      </c>
      <c r="G2" t="s">
        <v>44</v>
      </c>
      <c r="H2" t="str">
        <f>CONCATENATE(F2, " ",G2)</f>
        <v>Satya Southall</v>
      </c>
      <c r="I2" t="s">
        <v>33</v>
      </c>
      <c r="J2">
        <v>798992</v>
      </c>
      <c r="K2" t="s">
        <v>55</v>
      </c>
      <c r="L2" t="s">
        <v>36</v>
      </c>
      <c r="M2" s="1">
        <v>45672</v>
      </c>
      <c r="N2" s="1">
        <v>45689</v>
      </c>
      <c r="O2">
        <v>896294214</v>
      </c>
      <c r="P2">
        <v>10318402307</v>
      </c>
      <c r="Q2" s="2"/>
      <c r="R2" t="s">
        <v>38</v>
      </c>
      <c r="S2" t="s">
        <v>39</v>
      </c>
      <c r="T2">
        <v>1</v>
      </c>
      <c r="U2" s="1">
        <v>45689</v>
      </c>
      <c r="V2" s="1">
        <v>45716</v>
      </c>
      <c r="W2" s="2">
        <v>25</v>
      </c>
      <c r="X2" s="3">
        <v>0.32</v>
      </c>
      <c r="Y2">
        <v>1282994820</v>
      </c>
      <c r="AA2" t="s">
        <v>40</v>
      </c>
      <c r="AJ2" s="1"/>
      <c r="AR2" s="4"/>
      <c r="AT2" s="5"/>
    </row>
    <row r="3" spans="1:46" x14ac:dyDescent="0.25">
      <c r="A3" s="1">
        <v>45677</v>
      </c>
      <c r="B3" t="s">
        <v>29</v>
      </c>
      <c r="C3" t="s">
        <v>30</v>
      </c>
      <c r="D3">
        <v>8</v>
      </c>
      <c r="E3">
        <v>683879421</v>
      </c>
      <c r="F3" t="s">
        <v>31</v>
      </c>
      <c r="G3" t="s">
        <v>32</v>
      </c>
      <c r="H3" t="str">
        <f>CONCATENATE(F3, " ",G3)</f>
        <v>Joshua Pinckney</v>
      </c>
      <c r="I3" t="s">
        <v>33</v>
      </c>
      <c r="J3">
        <v>678726</v>
      </c>
      <c r="K3" t="s">
        <v>56</v>
      </c>
      <c r="L3" t="s">
        <v>36</v>
      </c>
      <c r="M3" s="1">
        <v>45674</v>
      </c>
      <c r="N3" s="1">
        <v>45689</v>
      </c>
      <c r="O3">
        <v>92320846</v>
      </c>
      <c r="P3">
        <v>10324847609</v>
      </c>
      <c r="Q3" s="2"/>
      <c r="R3" t="s">
        <v>38</v>
      </c>
      <c r="S3" t="s">
        <v>39</v>
      </c>
      <c r="T3">
        <v>1</v>
      </c>
      <c r="U3" s="1">
        <v>45689</v>
      </c>
      <c r="V3" s="1">
        <v>45716</v>
      </c>
      <c r="W3" s="2">
        <v>25</v>
      </c>
      <c r="X3" s="3">
        <v>0.32</v>
      </c>
      <c r="Y3">
        <v>1282988412</v>
      </c>
      <c r="AA3" t="s">
        <v>40</v>
      </c>
      <c r="AJ3" s="1"/>
      <c r="AR3" s="4"/>
      <c r="AT3" s="5"/>
    </row>
    <row r="4" spans="1:46" x14ac:dyDescent="0.25">
      <c r="A4" s="1">
        <v>45677</v>
      </c>
      <c r="B4" t="s">
        <v>29</v>
      </c>
      <c r="C4" t="s">
        <v>30</v>
      </c>
      <c r="D4">
        <v>9.6</v>
      </c>
      <c r="E4">
        <v>683829007</v>
      </c>
      <c r="F4" t="s">
        <v>41</v>
      </c>
      <c r="G4" t="s">
        <v>42</v>
      </c>
      <c r="H4" t="str">
        <f t="shared" ref="H4" si="0">CONCATENATE(F4, " ",G4)</f>
        <v>Edlawit Tesfaye</v>
      </c>
      <c r="I4" t="s">
        <v>33</v>
      </c>
      <c r="J4">
        <v>678726</v>
      </c>
      <c r="K4" t="s">
        <v>56</v>
      </c>
      <c r="L4" t="s">
        <v>36</v>
      </c>
      <c r="M4" s="1">
        <v>45672</v>
      </c>
      <c r="N4" s="1">
        <v>45689</v>
      </c>
      <c r="O4">
        <v>298408887</v>
      </c>
      <c r="P4">
        <v>10318553392</v>
      </c>
      <c r="Q4" s="2"/>
      <c r="R4" t="s">
        <v>38</v>
      </c>
      <c r="S4" t="s">
        <v>39</v>
      </c>
      <c r="T4">
        <v>1</v>
      </c>
      <c r="U4" s="1">
        <v>45689</v>
      </c>
      <c r="V4" s="1">
        <v>45716</v>
      </c>
      <c r="W4" s="2">
        <v>30</v>
      </c>
      <c r="X4" s="3">
        <v>0.32</v>
      </c>
      <c r="Y4">
        <v>1282994156</v>
      </c>
      <c r="AA4" t="s">
        <v>40</v>
      </c>
      <c r="AJ4" s="1"/>
      <c r="AR4" s="4"/>
      <c r="AT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Rojas</dc:creator>
  <cp:lastModifiedBy>Janki Patel</cp:lastModifiedBy>
  <dcterms:created xsi:type="dcterms:W3CDTF">2025-01-23T19:29:08Z</dcterms:created>
  <dcterms:modified xsi:type="dcterms:W3CDTF">2025-01-24T18:35:12Z</dcterms:modified>
</cp:coreProperties>
</file>