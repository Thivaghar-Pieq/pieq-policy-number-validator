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NCD\3-30-25 to 4-5-25\"/>
    </mc:Choice>
  </mc:AlternateContent>
  <xr:revisionPtr revIDLastSave="0" documentId="13_ncr:1_{E8F01C50-CDA1-4503-B767-588C1118E774}" xr6:coauthVersionLast="47" xr6:coauthVersionMax="47" xr10:uidLastSave="{00000000-0000-0000-0000-000000000000}"/>
  <bookViews>
    <workbookView xWindow="-57720" yWindow="-45" windowWidth="29040" windowHeight="15720" activeTab="1" xr2:uid="{07A136A7-DBD7-4C3D-9AAC-89C157F369C0}"/>
  </bookViews>
  <sheets>
    <sheet name="Statement" sheetId="2" r:id="rId1"/>
    <sheet name="Details" sheetId="1" r:id="rId2"/>
  </sheets>
  <definedNames>
    <definedName name="_xlnm._FilterDatabase" localSheetId="1" hidden="1">Details!$A$1:$AS$2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<sst xmlns="http://schemas.openxmlformats.org/spreadsheetml/2006/main" count="92" uniqueCount="71">
  <si>
    <t>Posted Date</t>
  </si>
  <si>
    <t>Created Date</t>
  </si>
  <si>
    <t>Type</t>
  </si>
  <si>
    <t>Subtype</t>
  </si>
  <si>
    <t>Notes</t>
  </si>
  <si>
    <t>Credit</t>
  </si>
  <si>
    <t>Debit</t>
  </si>
  <si>
    <t>Total</t>
  </si>
  <si>
    <t>Payee Agent ID</t>
  </si>
  <si>
    <t>Payee Agent Label</t>
  </si>
  <si>
    <t>Payee Address 1</t>
  </si>
  <si>
    <t>Payee Address 2</t>
  </si>
  <si>
    <t>Payee City</t>
  </si>
  <si>
    <t>Payee State</t>
  </si>
  <si>
    <t>Payee Zipcode</t>
  </si>
  <si>
    <t>Member ID</t>
  </si>
  <si>
    <t>Member Company</t>
  </si>
  <si>
    <t>Member First Name</t>
  </si>
  <si>
    <t>Member Last Name</t>
  </si>
  <si>
    <t>Member State</t>
  </si>
  <si>
    <t>Member Agent ID</t>
  </si>
  <si>
    <t>Member Agent Label</t>
  </si>
  <si>
    <t>Member Agent Category</t>
  </si>
  <si>
    <t>Member Source Detail</t>
  </si>
  <si>
    <t>Product ID</t>
  </si>
  <si>
    <t>Product Label</t>
  </si>
  <si>
    <t>Benefit</t>
  </si>
  <si>
    <t>Period</t>
  </si>
  <si>
    <t>Product Category</t>
  </si>
  <si>
    <t>Product Category 2</t>
  </si>
  <si>
    <t>Product Created Date</t>
  </si>
  <si>
    <t>Product Active Date</t>
  </si>
  <si>
    <t>Policy Number</t>
  </si>
  <si>
    <t>Transaction ID</t>
  </si>
  <si>
    <t>Transaction Amount</t>
  </si>
  <si>
    <t>Transaction Type</t>
  </si>
  <si>
    <t>Payment Type</t>
  </si>
  <si>
    <t>Transaction Payment</t>
  </si>
  <si>
    <t>Transaction Paid Through Start</t>
  </si>
  <si>
    <t>Transaction Paid Through End</t>
  </si>
  <si>
    <t>Commissionable Amount</t>
  </si>
  <si>
    <t>Payout</t>
  </si>
  <si>
    <t>Payable ID</t>
  </si>
  <si>
    <t>Months Advanced</t>
  </si>
  <si>
    <t>Payout Type</t>
  </si>
  <si>
    <t>COMM</t>
  </si>
  <si>
    <t>Product</t>
  </si>
  <si>
    <t>Main Line Benefits LLC</t>
  </si>
  <si>
    <t>Dennis</t>
  </si>
  <si>
    <t>Matyas</t>
  </si>
  <si>
    <t>NC</t>
  </si>
  <si>
    <t>Lori Tunstall</t>
  </si>
  <si>
    <t>NCD</t>
  </si>
  <si>
    <t>NCD Complete by MetLife</t>
  </si>
  <si>
    <t>Member plus Spouse</t>
  </si>
  <si>
    <t>Monthly</t>
  </si>
  <si>
    <t>Dental</t>
  </si>
  <si>
    <t>MetLife</t>
  </si>
  <si>
    <t>SALE</t>
  </si>
  <si>
    <t>CC</t>
  </si>
  <si>
    <t>Earned</t>
  </si>
  <si>
    <t>Grand Total</t>
  </si>
  <si>
    <t>(blank)</t>
  </si>
  <si>
    <t>Earned Total</t>
  </si>
  <si>
    <t>Sum of Net Commission</t>
  </si>
  <si>
    <t>Agent Label: Main Line Benefits LLC</t>
  </si>
  <si>
    <t>For the Period: NB 03.30.2025-04.05.2025 NCD</t>
  </si>
  <si>
    <t>Payout Date: 04.11.2025</t>
  </si>
  <si>
    <t>Earned Payout</t>
  </si>
  <si>
    <t>Total Payout</t>
  </si>
  <si>
    <t>MetLife Dental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</si>
</sst>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2" fontId="0" fillId="0" borderId="0" xfId="0" applyNumberFormat="1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quotePrefix="1"/>
    <xf numFmtId="0" fontId="2" fillId="0" borderId="0" xfId="0" applyFont="1"/>
    <xf numFmtId="9" fontId="0" fillId="0" borderId="0" xfId="2" applyFont="1"/>
    <xf numFmtId="0" fontId="0" fillId="0" borderId="0" xfId="0" pivotButton="1"/>
    <xf numFmtId="164" fontId="0" fillId="0" borderId="0" xfId="0" applyNumberFormat="1"/>
    <xf numFmtId="0" fontId="0" fillId="3" borderId="0" xfId="0" applyFill="1"/>
    <xf numFmtId="0" fontId="3" fillId="3" borderId="0" xfId="0" applyFont="1" applyFill="1"/>
    <xf numFmtId="0" fontId="4" fillId="0" borderId="0" xfId="0" applyFont="1"/>
    <xf numFmtId="164" fontId="4" fillId="0" borderId="0" xfId="0" applyNumberFormat="1" applyFont="1"/>
    <xf numFmtId="0" fontId="6" fillId="2" borderId="1" xfId="0" applyFont="1" applyFill="1" applyBorder="1"/>
    <xf numFmtId="44" fontId="5" fillId="3" borderId="2" xfId="1" applyFont="1" applyFill="1" applyBorder="1"/>
    <xf numFmtId="0" fontId="6" fillId="2" borderId="2" xfId="0" applyFont="1" applyFill="1" applyBorder="1"/>
    <xf numFmtId="44" fontId="5" fillId="3" borderId="3" xfId="1" applyFont="1" applyFill="1" applyBorder="1"/>
  </cellXfs>
  <cellStyles count="3">
    <cellStyle name="Currency" xfId="1" builtinId="4"/>
    <cellStyle name="Normal" xfId="0" builtinId="0"/>
    <cellStyle name="Percent" xfId="2" builtinId="5"/>
  </cellStyles>
  <dxfs count="5">
    <dxf>
      <font>
        <sz val="14"/>
      </font>
    </dxf>
    <dxf>
      <font>
        <sz val="14"/>
      </font>
    </dxf>
    <dxf>
      <font>
        <b/>
        <i val="0"/>
      </font>
    </dxf>
    <dxf>
      <font>
        <b/>
        <i val="0"/>
        <color theme="0"/>
      </font>
      <fill>
        <patternFill>
          <bgColor rgb="FF0070C0"/>
        </patternFill>
      </fill>
    </dxf>
    <dxf>
      <font>
        <b/>
        <i val="0"/>
        <color theme="0"/>
      </font>
      <fill>
        <patternFill>
          <bgColor rgb="FF0070C0"/>
        </patternFill>
      </fill>
    </dxf>
  </dxfs>
  <tableStyles count="1" defaultTableStyle="TableStyleMedium2" defaultPivotStyle="PivotStyleLight16">
    <tableStyle name="PivotTable Style 2" table="0" count="3" xr9:uid="{155E5631-ACA9-498A-B219-F62019CF3103}">
      <tableStyleElement type="headerRow" dxfId="4"/>
      <tableStyleElement type="totalRow" dxfId="3"/>
      <tableStyleElement type="firstSubtotal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ojas" refreshedDate="45757.682146296298" createdVersion="3" refreshedVersion="8" minRefreshableVersion="3" recordCount="1" xr:uid="{B8EE2A3E-62A2-469C-9994-BF80D24A52A8}">
  <cacheSource type="worksheet">
    <worksheetSource ref="A1:AS2" sheet="Details"/>
  </cacheSource>
  <cacheFields count="45">
    <cacheField name="Posted Date" numFmtId="14">
      <sharedItems containsSemiMixedTypes="0" containsNonDate="0" containsDate="1" containsString="0" minDate="2025-04-02T00:00:00" maxDate="2025-04-03T00:00:00" count="1">
        <d v="2025-04-02T00:00:00"/>
      </sharedItems>
    </cacheField>
    <cacheField name="Created Date" numFmtId="14">
      <sharedItems containsSemiMixedTypes="0" containsNonDate="0" containsDate="1" containsString="0" minDate="2025-04-06T00:00:00" maxDate="2025-04-07T00:00:00"/>
    </cacheField>
    <cacheField name="Type" numFmtId="0">
      <sharedItems/>
    </cacheField>
    <cacheField name="Subtype" numFmtId="0">
      <sharedItems/>
    </cacheField>
    <cacheField name="Notes" numFmtId="0">
      <sharedItems containsNonDate="0" containsString="0" containsBlank="1" count="1">
        <m/>
      </sharedItems>
    </cacheField>
    <cacheField name="Credit" numFmtId="0">
      <sharedItems containsSemiMixedTypes="0" containsString="0" containsNumber="1" minValue="4.29" maxValue="4.29"/>
    </cacheField>
    <cacheField name="Debit" numFmtId="0">
      <sharedItems containsSemiMixedTypes="0" containsString="0" containsNumber="1" containsInteger="1" minValue="0" maxValue="0"/>
    </cacheField>
    <cacheField name="Total" numFmtId="0">
      <sharedItems containsSemiMixedTypes="0" containsString="0" containsNumber="1" minValue="4.29" maxValue="4.29"/>
    </cacheField>
    <cacheField name="Payee Agent ID" numFmtId="0">
      <sharedItems containsSemiMixedTypes="0" containsString="0" containsNumber="1" containsInteger="1" minValue="653470" maxValue="653470"/>
    </cacheField>
    <cacheField name="Payee Agent Label" numFmtId="0">
      <sharedItems/>
    </cacheField>
    <cacheField name="Payee Address 1" numFmtId="0">
      <sharedItems containsNonDate="0" containsString="0" containsBlank="1"/>
    </cacheField>
    <cacheField name="Payee Address 2" numFmtId="0">
      <sharedItems containsNonDate="0" containsString="0" containsBlank="1"/>
    </cacheField>
    <cacheField name="Payee City" numFmtId="0">
      <sharedItems containsNonDate="0" containsString="0" containsBlank="1"/>
    </cacheField>
    <cacheField name="Payee State" numFmtId="0">
      <sharedItems containsNonDate="0" containsString="0" containsBlank="1"/>
    </cacheField>
    <cacheField name="Payee Zipcode" numFmtId="0">
      <sharedItems containsNonDate="0" containsString="0" containsBlank="1"/>
    </cacheField>
    <cacheField name="Member ID" numFmtId="0">
      <sharedItems containsSemiMixedTypes="0" containsString="0" containsNumber="1" containsInteger="1" minValue="684285941" maxValue="684285941" count="1">
        <n v="684285941"/>
      </sharedItems>
    </cacheField>
    <cacheField name="Member Company" numFmtId="0">
      <sharedItems containsNonDate="0" containsString="0" containsBlank="1"/>
    </cacheField>
    <cacheField name="Member First Name" numFmtId="0">
      <sharedItems count="1">
        <s v="Dennis"/>
      </sharedItems>
    </cacheField>
    <cacheField name="Member Last Name" numFmtId="0">
      <sharedItems count="1">
        <s v="Matyas"/>
      </sharedItems>
    </cacheField>
    <cacheField name="Member State" numFmtId="0">
      <sharedItems/>
    </cacheField>
    <cacheField name="Member Agent ID" numFmtId="0">
      <sharedItems containsSemiMixedTypes="0" containsString="0" containsNumber="1" containsInteger="1" minValue="711419" maxValue="711419" count="1">
        <n v="711419"/>
      </sharedItems>
    </cacheField>
    <cacheField name="Member Agent Label" numFmtId="0">
      <sharedItems count="1">
        <s v="Lori Tunstall"/>
      </sharedItems>
    </cacheField>
    <cacheField name="Member Agent Category" numFmtId="0">
      <sharedItems/>
    </cacheField>
    <cacheField name="Member Source Detail" numFmtId="0">
      <sharedItems containsNonDate="0" containsString="0" containsBlank="1"/>
    </cacheField>
    <cacheField name="Product ID" numFmtId="0">
      <sharedItems containsSemiMixedTypes="0" containsString="0" containsNumber="1" containsInteger="1" minValue="38399" maxValue="38399"/>
    </cacheField>
    <cacheField name="Product Label" numFmtId="0">
      <sharedItems count="1">
        <s v="NCD Complete by MetLife"/>
      </sharedItems>
    </cacheField>
    <cacheField name="Benefit" numFmtId="0">
      <sharedItems count="1">
        <s v="Member plus Spouse"/>
      </sharedItems>
    </cacheField>
    <cacheField name="Period" numFmtId="0">
      <sharedItems/>
    </cacheField>
    <cacheField name="Product Category" numFmtId="0">
      <sharedItems/>
    </cacheField>
    <cacheField name="Product Category 2" numFmtId="0">
      <sharedItems/>
    </cacheField>
    <cacheField name="Product Created Date" numFmtId="14">
      <sharedItems containsSemiMixedTypes="0" containsNonDate="0" containsDate="1" containsString="0" minDate="2025-04-02T00:00:00" maxDate="2025-04-03T00:00:00"/>
    </cacheField>
    <cacheField name="Product Active Date" numFmtId="14">
      <sharedItems containsSemiMixedTypes="0" containsNonDate="0" containsDate="1" containsString="0" minDate="2025-05-01T00:00:00" maxDate="2025-05-02T00:00:00"/>
    </cacheField>
    <cacheField name="Policy Number" numFmtId="0">
      <sharedItems containsSemiMixedTypes="0" containsString="0" containsNumber="1" containsInteger="1" minValue="901820000" maxValue="901820000" count="1">
        <n v="901820000"/>
      </sharedItems>
    </cacheField>
    <cacheField name="Transaction ID" numFmtId="0">
      <sharedItems containsSemiMixedTypes="0" containsString="0" containsNumber="1" containsInteger="1" minValue="10570271826" maxValue="10570271826"/>
    </cacheField>
    <cacheField name="Transaction Amount" numFmtId="8">
      <sharedItems containsNonDate="0" containsString="0" containsBlank="1"/>
    </cacheField>
    <cacheField name="Transaction Type" numFmtId="0">
      <sharedItems count="1">
        <s v="SALE"/>
      </sharedItems>
    </cacheField>
    <cacheField name="Payment Type" numFmtId="0">
      <sharedItems/>
    </cacheField>
    <cacheField name="Transaction Payment" numFmtId="0">
      <sharedItems containsSemiMixedTypes="0" containsString="0" containsNumber="1" containsInteger="1" minValue="1" maxValue="1"/>
    </cacheField>
    <cacheField name="Transaction Paid Through Start" numFmtId="14">
      <sharedItems containsSemiMixedTypes="0" containsNonDate="0" containsDate="1" containsString="0" minDate="2025-05-01T00:00:00" maxDate="2025-05-02T00:00:00"/>
    </cacheField>
    <cacheField name="Transaction Paid Through End" numFmtId="14">
      <sharedItems containsSemiMixedTypes="0" containsNonDate="0" containsDate="1" containsString="0" minDate="2025-05-31T00:00:00" maxDate="2025-06-01T00:00:00"/>
    </cacheField>
    <cacheField name="Commissionable Amount" numFmtId="8">
      <sharedItems containsSemiMixedTypes="0" containsString="0" containsNumber="1" containsInteger="1" minValue="143" maxValue="143" count="1">
        <n v="143"/>
      </sharedItems>
    </cacheField>
    <cacheField name="Payout" numFmtId="9">
      <sharedItems containsSemiMixedTypes="0" containsString="0" containsNumber="1" minValue="0.03" maxValue="0.03"/>
    </cacheField>
    <cacheField name="Payable ID" numFmtId="0">
      <sharedItems containsSemiMixedTypes="0" containsString="0" containsNumber="1" containsInteger="1" minValue="1334279785" maxValue="1334279785"/>
    </cacheField>
    <cacheField name="Months Advanced" numFmtId="0">
      <sharedItems containsNonDate="0" containsString="0" containsBlank="1"/>
    </cacheField>
    <cacheField name="Payout Type" numFmtId="0">
      <sharedItems count="1">
        <s v="Earn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d v="2025-04-06T00:00:00"/>
    <s v="COMM"/>
    <s v="Product"/>
    <x v="0"/>
    <n v="4.29"/>
    <n v="0"/>
    <n v="4.29"/>
    <n v="653470"/>
    <s v="Main Line Benefits LLC"/>
    <m/>
    <m/>
    <m/>
    <m/>
    <m/>
    <x v="0"/>
    <m/>
    <x v="0"/>
    <x v="0"/>
    <s v="NC"/>
    <x v="0"/>
    <x v="0"/>
    <s v="NCD"/>
    <m/>
    <n v="38399"/>
    <x v="0"/>
    <x v="0"/>
    <s v="Monthly"/>
    <s v="Dental"/>
    <s v="MetLife"/>
    <d v="2025-04-02T00:00:00"/>
    <d v="2025-05-01T00:00:00"/>
    <x v="0"/>
    <n v="10570271826"/>
    <m/>
    <x v="0"/>
    <s v="CC"/>
    <n v="1"/>
    <d v="2025-05-01T00:00:00"/>
    <d v="2025-05-31T00:00:00"/>
    <x v="0"/>
    <n v="0.03"/>
    <n v="1334279785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C64C19-6B71-4F8B-9D7E-9E9228833352}" name="Statement Table" cacheId="0" applyNumberFormats="0" applyBorderFormats="0" applyFontFormats="0" applyPatternFormats="0" applyAlignmentFormats="0" applyWidthHeightFormats="1" dataCaption="Values" updatedVersion="8" minRefreshableVersion="3" showCalcMbrs="0" useAutoFormatting="1" itemPrintTitles="1" createdVersion="3" indent="0" multipleFieldFilters="0" rowHeaderCaption="Payout Type">
  <location ref="A10:N13" firstHeaderRow="1" firstDataRow="1" firstDataCol="13"/>
  <pivotFields count="45">
    <pivotField axis="axisRow" numFmtId="1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14"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14" showAll="0"/>
    <pivotField numFmtId="14"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axis="axisRow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numFmtId="14" showAll="0"/>
    <pivotField numFmtId="14" showAll="0"/>
    <pivotField axis="axisRow" numFmtId="164" outline="0" showAll="0" defaultSubtota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umFmtId="9" showAll="0"/>
    <pivotField showAll="0"/>
    <pivotField showAll="0"/>
    <pivotField axis="axisRow" outline="0"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3">
    <field x="44"/>
    <field x="15"/>
    <field x="17"/>
    <field x="18"/>
    <field x="20"/>
    <field x="21"/>
    <field x="32"/>
    <field x="25"/>
    <field x="26"/>
    <field x="0"/>
    <field x="35"/>
    <field x="4"/>
    <field x="40"/>
  </rowFields>
  <rowItems count="3">
    <i>
      <x/>
      <x/>
      <x/>
      <x/>
      <x/>
      <x/>
      <x/>
      <x/>
      <x/>
      <x/>
      <x/>
      <x/>
      <x/>
    </i>
    <i t="default">
      <x/>
    </i>
    <i t="grand">
      <x/>
    </i>
  </rowItems>
  <colItems count="1">
    <i/>
  </colItems>
  <dataFields count="1">
    <dataField name="Sum of Net Commission" fld="7" baseField="0" baseItem="0" numFmtId="164"/>
  </dataFields>
  <formats count="2">
    <format dxfId="1">
      <pivotArea dataOnly="0" labelOnly="1" fieldPosition="0">
        <references count="1">
          <reference field="44" count="0" defaultSubtotal="1"/>
        </references>
      </pivotArea>
    </format>
    <format dxfId="0">
      <pivotArea outline="0" collapsedLevelsAreSubtotals="1" fieldPosition="0">
        <references count="1">
          <reference field="44" count="0" selected="0" defaultSubtotal="1"/>
        </references>
      </pivotArea>
    </format>
  </formats>
  <pivotTableStyleInfo name="PivotTable Style 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739DC-A813-4B90-A831-069FDBBC1F13}">
  <dimension ref="A1:P13"/>
  <sheetViews>
    <sheetView workbookViewId="0">
      <selection activeCell="D28" sqref="D28"/>
    </sheetView>
  </sheetViews>
  <sheetFormatPr defaultColWidth="0" defaultRowHeight="15" x14ac:dyDescent="0.25"/>
  <cols>
    <col min="1" max="1" width="53.7109375" bestFit="1" customWidth="1"/>
    <col min="2" max="2" width="12.7109375" bestFit="1" customWidth="1"/>
    <col min="3" max="3" width="20.5703125" bestFit="1" customWidth="1"/>
    <col min="4" max="4" width="20.28515625" bestFit="1" customWidth="1"/>
    <col min="5" max="5" width="18.28515625" bestFit="1" customWidth="1"/>
    <col min="6" max="6" width="21.28515625" bestFit="1" customWidth="1"/>
    <col min="7" max="7" width="16.140625" bestFit="1" customWidth="1"/>
    <col min="8" max="8" width="23.7109375" bestFit="1" customWidth="1"/>
    <col min="9" max="9" width="20.42578125" bestFit="1" customWidth="1"/>
    <col min="10" max="10" width="13.85546875" bestFit="1" customWidth="1"/>
    <col min="11" max="11" width="18" bestFit="1" customWidth="1"/>
    <col min="12" max="12" width="8.7109375" bestFit="1" customWidth="1"/>
    <col min="13" max="13" width="25.7109375" bestFit="1" customWidth="1"/>
    <col min="14" max="14" width="22.7109375" bestFit="1" customWidth="1"/>
    <col min="15" max="16" width="8.85546875" customWidth="1"/>
    <col min="17" max="16384" width="8.85546875" hidden="1"/>
  </cols>
  <sheetData>
    <row r="1" spans="1:14" s="10" customFormat="1" ht="18.75" x14ac:dyDescent="0.3">
      <c r="A1" s="11" t="s">
        <v>52</v>
      </c>
    </row>
    <row r="2" spans="1:14" s="10" customFormat="1" ht="18.75" x14ac:dyDescent="0.3">
      <c r="A2" s="11" t="s">
        <v>65</v>
      </c>
    </row>
    <row r="3" spans="1:14" s="10" customFormat="1" ht="18.75" x14ac:dyDescent="0.3">
      <c r="A3" s="11" t="s">
        <v>66</v>
      </c>
    </row>
    <row r="4" spans="1:14" s="10" customFormat="1" ht="19.5" thickBot="1" x14ac:dyDescent="0.35">
      <c r="A4" s="11" t="s">
        <v>67</v>
      </c>
    </row>
    <row r="5" spans="1:14" s="10" customFormat="1" ht="21.75" thickBot="1" x14ac:dyDescent="0.4">
      <c r="C5" s="14" t="s">
        <v>68</v>
      </c>
      <c r="D5" s="15">
        <v>4.29</v>
      </c>
      <c r="E5" s="16" t="s">
        <v>69</v>
      </c>
      <c r="F5" s="17">
        <v>4.29</v>
      </c>
    </row>
    <row r="6" spans="1:14" s="10" customFormat="1" x14ac:dyDescent="0.25"/>
    <row r="7" spans="1:14" s="10" customFormat="1" x14ac:dyDescent="0.25"/>
    <row r="8" spans="1:14" s="10" customFormat="1" x14ac:dyDescent="0.25"/>
    <row r="9" spans="1:14" s="10" customFormat="1" x14ac:dyDescent="0.25"/>
    <row r="10" spans="1:14" x14ac:dyDescent="0.25">
      <c r="A10" s="8" t="s">
        <v>44</v>
      </c>
      <c r="B10" s="8" t="s">
        <v>15</v>
      </c>
      <c r="C10" s="8" t="s">
        <v>17</v>
      </c>
      <c r="D10" s="8" t="s">
        <v>18</v>
      </c>
      <c r="E10" s="8" t="s">
        <v>20</v>
      </c>
      <c r="F10" s="8" t="s">
        <v>21</v>
      </c>
      <c r="G10" s="8" t="s">
        <v>32</v>
      </c>
      <c r="H10" s="8" t="s">
        <v>25</v>
      </c>
      <c r="I10" s="8" t="s">
        <v>26</v>
      </c>
      <c r="J10" s="8" t="s">
        <v>0</v>
      </c>
      <c r="K10" s="8" t="s">
        <v>35</v>
      </c>
      <c r="L10" s="8" t="s">
        <v>4</v>
      </c>
      <c r="M10" s="8" t="s">
        <v>40</v>
      </c>
      <c r="N10" t="s">
        <v>64</v>
      </c>
    </row>
    <row r="11" spans="1:14" x14ac:dyDescent="0.25">
      <c r="A11" t="s">
        <v>60</v>
      </c>
      <c r="B11">
        <v>684285941</v>
      </c>
      <c r="C11" t="s">
        <v>48</v>
      </c>
      <c r="D11" t="s">
        <v>49</v>
      </c>
      <c r="E11">
        <v>711419</v>
      </c>
      <c r="F11" t="s">
        <v>51</v>
      </c>
      <c r="G11">
        <v>901820000</v>
      </c>
      <c r="H11" t="s">
        <v>53</v>
      </c>
      <c r="I11" t="s">
        <v>54</v>
      </c>
      <c r="J11" s="2">
        <v>45749</v>
      </c>
      <c r="K11" t="s">
        <v>58</v>
      </c>
      <c r="L11" t="s">
        <v>62</v>
      </c>
      <c r="M11" s="9">
        <v>143</v>
      </c>
      <c r="N11" s="9">
        <v>4.29</v>
      </c>
    </row>
    <row r="12" spans="1:14" ht="18.75" x14ac:dyDescent="0.3">
      <c r="A12" s="12" t="s">
        <v>63</v>
      </c>
      <c r="N12" s="13">
        <v>4.29</v>
      </c>
    </row>
    <row r="13" spans="1:14" x14ac:dyDescent="0.25">
      <c r="A13" t="s">
        <v>61</v>
      </c>
      <c r="N13" s="9">
        <v>4.29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E46FC-F77A-48A8-8AEB-D36C0EF2F5FE}">
  <dimension ref="A1:BJ4"/>
  <sheetViews>
    <sheetView tabSelected="1" workbookViewId="0">
      <selection activeCell="AM10" sqref="AM10"/>
    </sheetView>
  </sheetViews>
  <sheetFormatPr defaultRowHeight="15" x14ac:dyDescent="0.25"/>
  <cols>
    <col min="1" max="1" width="11.140625" bestFit="1" customWidth="1"/>
    <col min="2" max="2" width="11.7109375" bestFit="1" customWidth="1"/>
    <col min="3" max="3" width="6.5703125" bestFit="1" customWidth="1"/>
    <col min="4" max="4" width="7.7109375" bestFit="1" customWidth="1"/>
    <col min="5" max="6" width="6" bestFit="1" customWidth="1"/>
    <col min="7" max="7" width="5.42578125" bestFit="1" customWidth="1"/>
    <col min="8" max="8" width="5.28515625" bestFit="1" customWidth="1"/>
    <col min="9" max="9" width="13.42578125" bestFit="1" customWidth="1"/>
    <col min="10" max="10" width="19.85546875" bestFit="1" customWidth="1"/>
    <col min="11" max="12" width="14.85546875" bestFit="1" customWidth="1"/>
    <col min="13" max="13" width="9.42578125" bestFit="1" customWidth="1"/>
    <col min="14" max="14" width="10.5703125" bestFit="1" customWidth="1"/>
    <col min="15" max="15" width="13.28515625" bestFit="1" customWidth="1"/>
    <col min="16" max="16" width="10.140625" bestFit="1" customWidth="1"/>
    <col min="17" max="17" width="16.5703125" bestFit="1" customWidth="1"/>
    <col min="18" max="18" width="17.85546875" bestFit="1" customWidth="1"/>
    <col min="19" max="19" width="17.7109375" bestFit="1" customWidth="1"/>
    <col min="20" max="20" width="12.42578125" bestFit="1" customWidth="1"/>
    <col min="21" max="21" width="15.42578125" bestFit="1" customWidth="1"/>
    <col min="22" max="22" width="18.28515625" bestFit="1" customWidth="1"/>
    <col min="23" max="23" width="21.28515625" bestFit="1" customWidth="1"/>
    <col min="24" max="24" width="19.85546875" bestFit="1" customWidth="1"/>
    <col min="25" max="25" width="9.85546875" bestFit="1" customWidth="1"/>
    <col min="26" max="26" width="22.28515625" bestFit="1" customWidth="1"/>
    <col min="27" max="27" width="19" bestFit="1" customWidth="1"/>
    <col min="28" max="28" width="7.7109375" bestFit="1" customWidth="1"/>
    <col min="29" max="29" width="15.5703125" bestFit="1" customWidth="1"/>
    <col min="30" max="30" width="17.140625" bestFit="1" customWidth="1"/>
    <col min="31" max="31" width="19.140625" bestFit="1" customWidth="1"/>
    <col min="32" max="32" width="17.7109375" bestFit="1" customWidth="1"/>
    <col min="33" max="34" width="13.5703125" bestFit="1" customWidth="1"/>
    <col min="35" max="35" width="18.5703125" bestFit="1" customWidth="1"/>
    <col min="36" max="36" width="15.7109375" bestFit="1" customWidth="1"/>
    <col min="37" max="37" width="12.7109375" bestFit="1" customWidth="1"/>
    <col min="38" max="38" width="19.28515625" bestFit="1" customWidth="1"/>
    <col min="39" max="39" width="27.85546875" bestFit="1" customWidth="1"/>
    <col min="40" max="40" width="27.28515625" bestFit="1" customWidth="1"/>
    <col min="41" max="41" width="23" bestFit="1" customWidth="1"/>
    <col min="42" max="42" width="6.7109375" bestFit="1" customWidth="1"/>
    <col min="43" max="43" width="11" bestFit="1" customWidth="1"/>
    <col min="44" max="44" width="16.28515625" bestFit="1" customWidth="1"/>
    <col min="45" max="45" width="11.140625" bestFit="1" customWidth="1"/>
    <col min="16384" max="16384" width="11.140625" bestFit="1" customWidth="1"/>
  </cols>
  <sheetData>
    <row r="1" spans="1:6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BE1" s="1"/>
    </row>
    <row r="2" spans="1:62" x14ac:dyDescent="0.25">
      <c r="A2" s="2">
        <v>45749</v>
      </c>
      <c r="B2" s="2">
        <v>45753</v>
      </c>
      <c r="C2" t="s">
        <v>45</v>
      </c>
      <c r="D2" t="s">
        <v>46</v>
      </c>
      <c r="F2">
        <v>4.29</v>
      </c>
      <c r="G2">
        <v>0</v>
      </c>
      <c r="H2">
        <v>4.29</v>
      </c>
      <c r="I2">
        <v>653470</v>
      </c>
      <c r="J2" t="s">
        <v>47</v>
      </c>
      <c r="P2">
        <v>684285941</v>
      </c>
      <c r="R2" t="s">
        <v>48</v>
      </c>
      <c r="S2" t="s">
        <v>49</v>
      </c>
      <c r="T2" t="s">
        <v>50</v>
      </c>
      <c r="U2">
        <v>711419</v>
      </c>
      <c r="V2" t="s">
        <v>51</v>
      </c>
      <c r="W2" t="s">
        <v>52</v>
      </c>
      <c r="Y2">
        <v>38399</v>
      </c>
      <c r="Z2" t="s">
        <v>53</v>
      </c>
      <c r="AA2" t="s">
        <v>54</v>
      </c>
      <c r="AB2" t="s">
        <v>55</v>
      </c>
      <c r="AC2" t="s">
        <v>56</v>
      </c>
      <c r="AD2" t="s">
        <v>57</v>
      </c>
      <c r="AE2" s="2">
        <v>45749</v>
      </c>
      <c r="AF2" s="2">
        <v>45778</v>
      </c>
      <c r="AG2">
        <v>901820000</v>
      </c>
      <c r="AH2">
        <v>10570271826</v>
      </c>
      <c r="AI2" s="3"/>
      <c r="AJ2" t="s">
        <v>58</v>
      </c>
      <c r="AK2" t="s">
        <v>59</v>
      </c>
      <c r="AL2">
        <v>1</v>
      </c>
      <c r="AM2" s="2">
        <v>45778</v>
      </c>
      <c r="AN2" s="2">
        <v>45808</v>
      </c>
      <c r="AO2" s="3">
        <v>143</v>
      </c>
      <c r="AP2" s="4">
        <v>0.03</v>
      </c>
      <c r="AQ2">
        <v>1334279785</v>
      </c>
      <c r="AS2" t="s">
        <v>60</v>
      </c>
      <c r="AU2" s="5"/>
      <c r="BB2" s="2"/>
      <c r="BG2" s="6"/>
      <c r="BJ2" s="7"/>
    </row>
    <row r="4" spans="1:62" x14ac:dyDescent="0.25">
      <c r="AL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Statement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Rojas</dc:creator>
  <cp:lastModifiedBy>Janki Patel</cp:lastModifiedBy>
  <dcterms:created xsi:type="dcterms:W3CDTF">2025-04-10T21:22:17Z</dcterms:created>
  <dcterms:modified xsi:type="dcterms:W3CDTF">2025-04-14T22:49:12Z</dcterms:modified>
</cp:coreProperties>
</file>