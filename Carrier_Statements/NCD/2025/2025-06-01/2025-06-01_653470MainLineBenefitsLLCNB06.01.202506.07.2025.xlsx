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6-01-25 to 06-07-25\"/>
    </mc:Choice>
  </mc:AlternateContent>
  <xr:revisionPtr revIDLastSave="0" documentId="13_ncr:1_{B651BF70-2091-48D8-ADC3-D5D8545FC87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ils" sheetId="1" r:id="rId1"/>
    <sheet name="Statement" sheetId="2" r:id="rId2"/>
  </sheets>
  <calcPr calcId="181029"/>
</workbook>
</file>

<file path=xl/calcChain.xml><?xml version="1.0" encoding="utf-8"?>
<calcChain xmlns="http://schemas.openxmlformats.org/spreadsheetml/2006/main">
  <c r="AT3" i="1" l="1"/>
  <c r="AT2" i="1"/>
</calcChain>
</file>

<file path=xl/sharedStrings.xml><?xml version="1.0" encoding="utf-8"?>
<sst xmlns="http://schemas.openxmlformats.org/spreadsheetml/2006/main" count="159" uniqueCount="101">
  <si>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</si>
  <si>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</si>
  <si>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</si>
  <si>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</si>
  <si>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</si>
  <si>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</si>
  <si>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</si>
  <si>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</si>
  <si>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</si>
  <si>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</si>
  <si>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</si>
  <si>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</si>
  <si>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</si>
  <si>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</si>
  <si>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</si>
  <si>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</si>
  <si>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</si>
  <si>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</si>
  <si>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</si>
  <si>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</si>
  <si>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</si>
  <si>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</si>
  <si>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</si>
  <si>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</si>
  <si>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</si>
  <si>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</si>
  <si>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</si>
  <si>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</si>
  <si>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</si>
  <si>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</si>
  <si>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</si>
  <si>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</si>
  <si>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</si>
  <si>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</si>
  <si>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</si>
  <si>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</si>
  <si>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</si>
  <si>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</si>
  <si>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</si>
  <si>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</si>
  <si>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</si>
  <si>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</si>
  <si>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</si>
  <si>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</si>
  <si>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</si>
  <si>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</si>
  <si>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</si>
  <si>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</si>
  <si>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</si>
  <si>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</si>
  <si>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</si>
  <si>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</si>
  <si>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</si>
  <si>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</si>
  <si>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</si>
  <si>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</si>
  <si>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</si>
  <si>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</si>
  <si>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</si>
  <si>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</si>
  <si>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</si>
  <si>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</si>
  <si>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6/1/2025</t>
  </si>
  <si>
    <t>6/9/2025</t>
  </si>
  <si>
    <t>COMM</t>
  </si>
  <si>
    <t>Product</t>
  </si>
  <si>
    <t>Main Line Benefits LLC</t>
  </si>
  <si>
    <t xml:space="preserve">232 E King St </t>
  </si>
  <si>
    <t>Malvern</t>
  </si>
  <si>
    <t>PA</t>
  </si>
  <si>
    <t>19355</t>
  </si>
  <si>
    <t>Maria</t>
  </si>
  <si>
    <t>VonNordeck</t>
  </si>
  <si>
    <t>MD</t>
  </si>
  <si>
    <t xml:space="preserve"> Main Line Benefits - Thomas Kucan</t>
  </si>
  <si>
    <t>NCD</t>
  </si>
  <si>
    <t>NCD Bright 1500 by MetLife</t>
  </si>
  <si>
    <t>Member</t>
  </si>
  <si>
    <t>Monthly</t>
  </si>
  <si>
    <t>Dental</t>
  </si>
  <si>
    <t>MetLife</t>
  </si>
  <si>
    <t>5/28/2025</t>
  </si>
  <si>
    <t>428096508</t>
  </si>
  <si>
    <t>10756586510</t>
  </si>
  <si>
    <t xml:space="preserve">$59.00 </t>
  </si>
  <si>
    <t>SALE</t>
  </si>
  <si>
    <t>ACH</t>
  </si>
  <si>
    <t>6/30/2025</t>
  </si>
  <si>
    <t>24%</t>
  </si>
  <si>
    <t xml:space="preserve">Earned </t>
  </si>
  <si>
    <t>VSP Preferred Plan by NCD</t>
  </si>
  <si>
    <t>Vision</t>
  </si>
  <si>
    <t>VSP</t>
  </si>
  <si>
    <t>795235089</t>
  </si>
  <si>
    <t>37%</t>
  </si>
  <si>
    <t>Agent Label: Main Line Benefits LLC</t>
  </si>
  <si>
    <t>For the Period: NB 06.01.2025-06.07.2025</t>
  </si>
  <si>
    <t>Payout Date: 06.13.2025</t>
  </si>
  <si>
    <t>Earned Pay</t>
  </si>
  <si>
    <t>Total Payout</t>
  </si>
  <si>
    <t>Earned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</si>
</sst>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4"/>
      <name val="Calibri"/>
    </font>
    <font>
      <b/>
      <sz val="16"/>
      <color rgb="FFFFFFFF"/>
      <name val="Calibri"/>
    </font>
    <font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2F2F2"/>
        <bgColor rgb="FFF2F2F2"/>
      </patternFill>
    </fill>
    <fill>
      <patternFill patternType="solid">
        <fgColor rgb="FFFA8406"/>
        <bgColor rgb="FFFA840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5" fillId="4" borderId="1" xfId="0" applyFont="1" applyFill="1" applyBorder="1"/>
    <xf numFmtId="164" fontId="6" fillId="6" borderId="1" xfId="0" applyNumberFormat="1" applyFont="1" applyFill="1" applyBorder="1"/>
    <xf numFmtId="0" fontId="5" fillId="7" borderId="1" xfId="0" applyFont="1" applyFill="1" applyBorder="1"/>
    <xf numFmtId="0" fontId="1" fillId="3" borderId="0" xfId="0" applyFont="1" applyFill="1"/>
    <xf numFmtId="0" fontId="4" fillId="4" borderId="0" xfId="0" applyFont="1" applyFill="1"/>
    <xf numFmtId="164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topLeftCell="AD1" workbookViewId="0">
      <selection activeCell="AG3" sqref="AG3"/>
    </sheetView>
  </sheetViews>
  <sheetFormatPr defaultRowHeight="15" x14ac:dyDescent="0.25"/>
  <cols>
    <col min="1" max="1" width="11.7109375" bestFit="1" customWidth="1"/>
    <col min="2" max="2" width="12.5703125" bestFit="1" customWidth="1"/>
    <col min="3" max="3" width="7" bestFit="1" customWidth="1"/>
    <col min="4" max="4" width="8.28515625" bestFit="1" customWidth="1"/>
    <col min="5" max="5" width="6.28515625" bestFit="1" customWidth="1"/>
    <col min="6" max="6" width="6.42578125" bestFit="1" customWidth="1"/>
    <col min="7" max="7" width="5.85546875" bestFit="1" customWidth="1"/>
    <col min="8" max="8" width="6.28515625" bestFit="1" customWidth="1"/>
    <col min="9" max="9" width="14.5703125" bestFit="1" customWidth="1"/>
    <col min="10" max="10" width="21" bestFit="1" customWidth="1"/>
    <col min="11" max="12" width="15.5703125" bestFit="1" customWidth="1"/>
    <col min="13" max="13" width="10.28515625" bestFit="1" customWidth="1"/>
    <col min="14" max="14" width="11.42578125" bestFit="1" customWidth="1"/>
    <col min="15" max="15" width="14" bestFit="1" customWidth="1"/>
    <col min="16" max="16" width="11" bestFit="1" customWidth="1"/>
    <col min="17" max="17" width="17.7109375" bestFit="1" customWidth="1"/>
    <col min="18" max="18" width="19" customWidth="1"/>
    <col min="19" max="19" width="18.5703125" bestFit="1" customWidth="1"/>
    <col min="20" max="20" width="13.85546875" bestFit="1" customWidth="1"/>
    <col min="21" max="21" width="16.85546875" bestFit="1" customWidth="1"/>
    <col min="22" max="22" width="32.7109375" bestFit="1" customWidth="1"/>
    <col min="23" max="23" width="23.140625" bestFit="1" customWidth="1"/>
    <col min="24" max="24" width="21.140625" bestFit="1" customWidth="1"/>
    <col min="25" max="25" width="10.140625" bestFit="1" customWidth="1"/>
    <col min="26" max="26" width="25.28515625" bestFit="1" customWidth="1"/>
    <col min="27" max="27" width="8.5703125" bestFit="1" customWidth="1"/>
    <col min="28" max="28" width="8.42578125" bestFit="1" customWidth="1"/>
    <col min="29" max="29" width="16.28515625" bestFit="1" customWidth="1"/>
    <col min="30" max="30" width="17.85546875" bestFit="1" customWidth="1"/>
    <col min="31" max="31" width="20.140625" bestFit="1" customWidth="1"/>
    <col min="32" max="32" width="18.7109375" bestFit="1" customWidth="1"/>
    <col min="33" max="33" width="14.140625" bestFit="1" customWidth="1"/>
    <col min="34" max="34" width="13.5703125" bestFit="1" customWidth="1"/>
    <col min="35" max="35" width="19" bestFit="1" customWidth="1"/>
    <col min="36" max="36" width="16" bestFit="1" customWidth="1"/>
    <col min="37" max="37" width="13.7109375" bestFit="1" customWidth="1"/>
    <col min="38" max="38" width="19.7109375" bestFit="1" customWidth="1"/>
    <col min="39" max="39" width="28.28515625" bestFit="1" customWidth="1"/>
    <col min="40" max="40" width="27.42578125" bestFit="1" customWidth="1"/>
    <col min="41" max="41" width="23.7109375" bestFit="1" customWidth="1"/>
    <col min="42" max="42" width="7.140625" bestFit="1" customWidth="1"/>
    <col min="43" max="43" width="11" bestFit="1" customWidth="1"/>
    <col min="44" max="44" width="17.28515625" bestFit="1" customWidth="1"/>
    <col min="45" max="45" width="11.85546875" bestFit="1" customWidth="1"/>
    <col min="46" max="62" width="12.710937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F2">
        <v>6.48</v>
      </c>
      <c r="G2">
        <v>0</v>
      </c>
      <c r="H2" s="2">
        <v>6.48</v>
      </c>
      <c r="I2">
        <v>653470</v>
      </c>
      <c r="J2" t="s">
        <v>66</v>
      </c>
      <c r="K2" t="s">
        <v>67</v>
      </c>
      <c r="M2" t="s">
        <v>68</v>
      </c>
      <c r="N2" t="s">
        <v>69</v>
      </c>
      <c r="O2" t="s">
        <v>70</v>
      </c>
      <c r="P2">
        <v>684613851</v>
      </c>
      <c r="R2" t="s">
        <v>71</v>
      </c>
      <c r="S2" t="s">
        <v>72</v>
      </c>
      <c r="T2" t="s">
        <v>73</v>
      </c>
      <c r="U2">
        <v>678726</v>
      </c>
      <c r="V2" t="s">
        <v>74</v>
      </c>
      <c r="W2" t="s">
        <v>75</v>
      </c>
      <c r="Y2">
        <v>47133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62</v>
      </c>
      <c r="AG2">
        <v>428096508</v>
      </c>
      <c r="AH2" t="s">
        <v>83</v>
      </c>
      <c r="AI2" t="s">
        <v>84</v>
      </c>
      <c r="AJ2" t="s">
        <v>85</v>
      </c>
      <c r="AK2" t="s">
        <v>86</v>
      </c>
      <c r="AL2">
        <v>1</v>
      </c>
      <c r="AM2" t="s">
        <v>62</v>
      </c>
      <c r="AN2" t="s">
        <v>87</v>
      </c>
      <c r="AO2" s="2">
        <v>27</v>
      </c>
      <c r="AP2" t="s">
        <v>88</v>
      </c>
      <c r="AQ2">
        <v>1375623781</v>
      </c>
      <c r="AS2" t="s">
        <v>89</v>
      </c>
      <c r="AT2">
        <f>27*12/6</f>
        <v>54</v>
      </c>
    </row>
    <row r="3" spans="1:62" x14ac:dyDescent="0.25">
      <c r="A3" t="s">
        <v>62</v>
      </c>
      <c r="B3" t="s">
        <v>63</v>
      </c>
      <c r="C3" t="s">
        <v>64</v>
      </c>
      <c r="D3" t="s">
        <v>65</v>
      </c>
      <c r="F3">
        <v>4.07</v>
      </c>
      <c r="G3">
        <v>0</v>
      </c>
      <c r="H3" s="2">
        <v>4.07</v>
      </c>
      <c r="I3">
        <v>653470</v>
      </c>
      <c r="J3" t="s">
        <v>66</v>
      </c>
      <c r="K3" t="s">
        <v>67</v>
      </c>
      <c r="M3" t="s">
        <v>68</v>
      </c>
      <c r="N3" t="s">
        <v>69</v>
      </c>
      <c r="O3" t="s">
        <v>70</v>
      </c>
      <c r="P3">
        <v>684613851</v>
      </c>
      <c r="R3" t="s">
        <v>71</v>
      </c>
      <c r="S3" t="s">
        <v>72</v>
      </c>
      <c r="T3" t="s">
        <v>73</v>
      </c>
      <c r="U3">
        <v>678726</v>
      </c>
      <c r="V3" t="s">
        <v>74</v>
      </c>
      <c r="W3" t="s">
        <v>75</v>
      </c>
      <c r="Y3">
        <v>38593</v>
      </c>
      <c r="Z3" t="s">
        <v>90</v>
      </c>
      <c r="AA3" t="s">
        <v>77</v>
      </c>
      <c r="AB3" t="s">
        <v>78</v>
      </c>
      <c r="AC3" t="s">
        <v>91</v>
      </c>
      <c r="AD3" t="s">
        <v>92</v>
      </c>
      <c r="AE3" t="s">
        <v>81</v>
      </c>
      <c r="AF3" t="s">
        <v>62</v>
      </c>
      <c r="AG3">
        <v>795235089</v>
      </c>
      <c r="AH3" t="s">
        <v>83</v>
      </c>
      <c r="AI3" t="s">
        <v>84</v>
      </c>
      <c r="AJ3" t="s">
        <v>85</v>
      </c>
      <c r="AK3" t="s">
        <v>86</v>
      </c>
      <c r="AL3">
        <v>1</v>
      </c>
      <c r="AM3" t="s">
        <v>62</v>
      </c>
      <c r="AN3" t="s">
        <v>87</v>
      </c>
      <c r="AO3" s="2">
        <v>11</v>
      </c>
      <c r="AP3" t="s">
        <v>94</v>
      </c>
      <c r="AQ3">
        <v>1375623783</v>
      </c>
      <c r="AS3" t="s">
        <v>89</v>
      </c>
      <c r="AT3">
        <f>11*12/6</f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3"/>
  <sheetViews>
    <sheetView workbookViewId="0"/>
  </sheetViews>
  <sheetFormatPr defaultRowHeight="15" x14ac:dyDescent="0.25"/>
  <cols>
    <col min="1" max="14" width="15" customWidth="1"/>
    <col min="17" max="49" width="13" hidden="1" customWidth="1"/>
  </cols>
  <sheetData>
    <row r="1" spans="1:14" ht="23.25" x14ac:dyDescent="0.35">
      <c r="A1" s="3" t="s">
        <v>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 x14ac:dyDescent="0.3">
      <c r="A2" s="5" t="s">
        <v>95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5" t="s">
        <v>96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5" t="s">
        <v>97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6" t="s">
        <v>98</v>
      </c>
      <c r="D5" s="7">
        <v>10.55</v>
      </c>
      <c r="E5" s="8" t="s">
        <v>99</v>
      </c>
      <c r="F5" s="7">
        <v>10.55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9" t="s">
        <v>44</v>
      </c>
      <c r="B10" s="9" t="s">
        <v>15</v>
      </c>
      <c r="C10" s="9" t="s">
        <v>17</v>
      </c>
      <c r="D10" s="9" t="s">
        <v>18</v>
      </c>
      <c r="E10" s="9" t="s">
        <v>20</v>
      </c>
      <c r="F10" s="9" t="s">
        <v>21</v>
      </c>
      <c r="G10" s="9" t="s">
        <v>32</v>
      </c>
      <c r="H10" s="9" t="s">
        <v>25</v>
      </c>
      <c r="I10" s="9" t="s">
        <v>26</v>
      </c>
      <c r="J10" s="9" t="s">
        <v>0</v>
      </c>
      <c r="K10" s="9" t="s">
        <v>35</v>
      </c>
      <c r="L10" s="9" t="s">
        <v>4</v>
      </c>
      <c r="M10" s="9" t="s">
        <v>40</v>
      </c>
      <c r="N10" s="9" t="s">
        <v>7</v>
      </c>
    </row>
    <row r="11" spans="1:14" x14ac:dyDescent="0.25">
      <c r="A11" t="s">
        <v>89</v>
      </c>
      <c r="B11">
        <v>684613851</v>
      </c>
      <c r="C11" t="s">
        <v>71</v>
      </c>
      <c r="D11" t="s">
        <v>72</v>
      </c>
      <c r="E11">
        <v>678726</v>
      </c>
      <c r="F11" t="s">
        <v>74</v>
      </c>
      <c r="G11" t="s">
        <v>82</v>
      </c>
      <c r="H11" t="s">
        <v>76</v>
      </c>
      <c r="I11" t="s">
        <v>77</v>
      </c>
      <c r="J11" t="s">
        <v>62</v>
      </c>
      <c r="K11" t="s">
        <v>85</v>
      </c>
      <c r="M11" s="2">
        <v>27</v>
      </c>
      <c r="N11" s="2">
        <v>6.48</v>
      </c>
    </row>
    <row r="12" spans="1:14" x14ac:dyDescent="0.25">
      <c r="A12" t="s">
        <v>89</v>
      </c>
      <c r="B12">
        <v>684613851</v>
      </c>
      <c r="C12" t="s">
        <v>71</v>
      </c>
      <c r="D12" t="s">
        <v>72</v>
      </c>
      <c r="E12">
        <v>678726</v>
      </c>
      <c r="F12" t="s">
        <v>74</v>
      </c>
      <c r="G12" t="s">
        <v>93</v>
      </c>
      <c r="H12" t="s">
        <v>90</v>
      </c>
      <c r="I12" t="s">
        <v>77</v>
      </c>
      <c r="J12" t="s">
        <v>62</v>
      </c>
      <c r="K12" t="s">
        <v>85</v>
      </c>
      <c r="M12" s="2">
        <v>11</v>
      </c>
      <c r="N12" s="2">
        <v>4.07</v>
      </c>
    </row>
    <row r="13" spans="1:14" ht="18.75" x14ac:dyDescent="0.3">
      <c r="A13" s="10" t="s">
        <v>100</v>
      </c>
      <c r="N13" s="11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Cabel, Denisse Raeka</cp:lastModifiedBy>
  <dcterms:created xsi:type="dcterms:W3CDTF">2025-06-09T22:24:11Z</dcterms:created>
  <dcterms:modified xsi:type="dcterms:W3CDTF">2025-06-13T14:34:07Z</dcterms:modified>
</cp:coreProperties>
</file>