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09-28-25 to 10-04-25\"/>
    </mc:Choice>
  </mc:AlternateContent>
  <xr:revisionPtr revIDLastSave="0" documentId="13_ncr:1_{95B9728E-62FD-4928-9A64-5BD9DD47AA7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3" i="3" l="1"/>
  <c r="D4" i="3"/>
  <c r="D2" i="3"/>
</calcChain>
</file>

<file path=xl/sharedStrings.xml><?xml version="1.0" encoding="utf-8"?>
<sst xmlns="http://schemas.openxmlformats.org/spreadsheetml/2006/main" count="210" uniqueCount="96">
  <si>
    <t>NCD</t>
  </si>
  <si>
    <t>Agent Label: Main Line Benefits LLC</t>
  </si>
  <si>
    <t>For the Period: NB 09.28.2025-10.04.2025</t>
  </si>
  <si>
    <t>Payout Date: 10.10.2025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</si>
  <si>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</si>
  <si>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</si>
  <si>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</si>
  <si>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</si>
  <si>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</si>
  <si>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</si>
  <si>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</si>
  <si>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</si>
  <si>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</si>
  <si>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</si>
  <si>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</si>
  <si>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</si>
  <si>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</si>
  <si>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</si>
  <si>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</si>
  <si>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</si>
  <si>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</si>
  <si>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Patrick</t>
  </si>
  <si>
    <t>Heller</t>
  </si>
  <si>
    <t>Lori Tunstall</t>
  </si>
  <si>
    <t>518008986</t>
  </si>
  <si>
    <t>VSP Preferred Plan by NCD</t>
  </si>
  <si>
    <t>Member + 1</t>
  </si>
  <si>
    <t>10/4/2025</t>
  </si>
  <si>
    <t>SALE</t>
  </si>
  <si>
    <t>Dorothy</t>
  </si>
  <si>
    <t>Musi</t>
  </si>
  <si>
    <t>Main Line Benefits LLC-Jared Kinyua</t>
  </si>
  <si>
    <t>353396219</t>
  </si>
  <si>
    <t>NCD Bright 1500 by MetLife</t>
  </si>
  <si>
    <t>Member</t>
  </si>
  <si>
    <t>10/3/2025</t>
  </si>
  <si>
    <t>Breedy</t>
  </si>
  <si>
    <t>Main Line Benefits - Anne Marie Kozacheck</t>
  </si>
  <si>
    <t>373547815</t>
  </si>
  <si>
    <t>NCD Bright 1000 by MetLife</t>
  </si>
  <si>
    <t>9/30/2025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</si>
  <si>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</si>
  <si>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</si>
  <si>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</si>
  <si>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</si>
  <si>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</si>
  <si>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</si>
  <si>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</si>
  <si>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</si>
  <si>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</si>
  <si>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</si>
  <si>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</si>
  <si>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</si>
  <si>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</si>
  <si>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</si>
  <si>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</si>
  <si>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</si>
  <si>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</si>
  <si>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</si>
  <si>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</si>
  <si>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</si>
  <si>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</si>
  <si>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</si>
  <si>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</si>
  <si>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10/5/2025</t>
  </si>
  <si>
    <t>COMM</t>
  </si>
  <si>
    <t>Product</t>
  </si>
  <si>
    <t>Main Line Benefits LLC</t>
  </si>
  <si>
    <t>MD</t>
  </si>
  <si>
    <t>Field</t>
  </si>
  <si>
    <t>Monthly</t>
  </si>
  <si>
    <t>Vision</t>
  </si>
  <si>
    <t>VSP</t>
  </si>
  <si>
    <t>8/8/2025</t>
  </si>
  <si>
    <t>10/1/2025</t>
  </si>
  <si>
    <t>11198328281</t>
  </si>
  <si>
    <t>ACH</t>
  </si>
  <si>
    <t>10/31/2025</t>
  </si>
  <si>
    <t>3%</t>
  </si>
  <si>
    <t>Dental</t>
  </si>
  <si>
    <t>MetLife</t>
  </si>
  <si>
    <t>9/29/2025</t>
  </si>
  <si>
    <t>11196358949</t>
  </si>
  <si>
    <t>24%</t>
  </si>
  <si>
    <t>PA</t>
  </si>
  <si>
    <t>8/26/2025</t>
  </si>
  <si>
    <t>11198331908</t>
  </si>
  <si>
    <t>CC</t>
  </si>
  <si>
    <t>Jared Kinyua</t>
  </si>
  <si>
    <t>Anne Marie Kozacheck</t>
  </si>
  <si>
    <t>Main Line Benefits</t>
  </si>
  <si>
    <t>NCD override</t>
  </si>
  <si>
    <t>NCD MetLife -24%</t>
  </si>
  <si>
    <t>RN</t>
  </si>
  <si>
    <t>AE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</si>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</sst>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7" borderId="0" xfId="0" applyFill="1"/>
    <xf numFmtId="164" fontId="0" fillId="7" borderId="0" xfId="0" applyNumberFormat="1" applyFill="1"/>
    <xf numFmtId="0" fontId="0" fillId="7" borderId="0" xfId="0" applyNumberFormat="1" applyFill="1"/>
    <xf numFmtId="0" fontId="0" fillId="0" borderId="0" xfId="0" applyNumberFormat="1"/>
    <xf numFmtId="9" fontId="0" fillId="7" borderId="0" xfId="0" applyNumberFormat="1" applyFill="1"/>
    <xf numFmtId="9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3" customWidth="1"/>
    <col min="7" max="7" width="15" customWidth="1"/>
    <col min="8" max="8" width="28" customWidth="1"/>
    <col min="9" max="9" width="12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12.21</v>
      </c>
      <c r="E5" s="7" t="s">
        <v>5</v>
      </c>
      <c r="F5" s="6">
        <v>12.21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685130230</v>
      </c>
      <c r="C11" t="s">
        <v>21</v>
      </c>
      <c r="D11" t="s">
        <v>22</v>
      </c>
      <c r="E11">
        <v>711419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15</v>
      </c>
      <c r="N11" s="9">
        <v>0.45</v>
      </c>
    </row>
    <row r="12" spans="1:14" x14ac:dyDescent="0.25">
      <c r="A12" t="s">
        <v>20</v>
      </c>
      <c r="B12">
        <v>685469893</v>
      </c>
      <c r="C12" t="s">
        <v>29</v>
      </c>
      <c r="D12" t="s">
        <v>30</v>
      </c>
      <c r="E12">
        <v>798992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28</v>
      </c>
      <c r="M12" s="9">
        <v>27</v>
      </c>
      <c r="N12" s="9">
        <v>6.48</v>
      </c>
    </row>
    <row r="13" spans="1:14" x14ac:dyDescent="0.25">
      <c r="A13" t="s">
        <v>20</v>
      </c>
      <c r="B13">
        <v>685256667</v>
      </c>
      <c r="C13" t="s">
        <v>21</v>
      </c>
      <c r="D13" t="s">
        <v>36</v>
      </c>
      <c r="E13">
        <v>655758</v>
      </c>
      <c r="F13" t="s">
        <v>37</v>
      </c>
      <c r="G13" t="s">
        <v>38</v>
      </c>
      <c r="H13" t="s">
        <v>39</v>
      </c>
      <c r="I13" t="s">
        <v>34</v>
      </c>
      <c r="J13" t="s">
        <v>40</v>
      </c>
      <c r="K13" t="s">
        <v>28</v>
      </c>
      <c r="M13" s="9">
        <v>22</v>
      </c>
      <c r="N13" s="9">
        <v>5.28</v>
      </c>
    </row>
    <row r="14" spans="1:14" x14ac:dyDescent="0.25">
      <c r="A14" s="8" t="s">
        <v>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0">
        <v>12.21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"/>
  <sheetViews>
    <sheetView topLeftCell="M1" workbookViewId="0">
      <selection activeCell="M1"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8" customWidth="1"/>
    <col min="20" max="20" width="12" customWidth="1"/>
    <col min="21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42</v>
      </c>
      <c r="C1" s="11" t="s">
        <v>43</v>
      </c>
      <c r="D1" s="11" t="s">
        <v>44</v>
      </c>
      <c r="E1" s="11" t="s">
        <v>17</v>
      </c>
      <c r="F1" s="11" t="s">
        <v>45</v>
      </c>
      <c r="G1" s="11" t="s">
        <v>46</v>
      </c>
      <c r="H1" s="11" t="s">
        <v>19</v>
      </c>
      <c r="I1" s="11" t="s">
        <v>47</v>
      </c>
      <c r="J1" s="11" t="s">
        <v>48</v>
      </c>
      <c r="K1" s="11" t="s">
        <v>7</v>
      </c>
      <c r="L1" s="11" t="s">
        <v>8</v>
      </c>
      <c r="M1" s="11" t="s">
        <v>9</v>
      </c>
      <c r="N1" s="11" t="s">
        <v>49</v>
      </c>
      <c r="O1" s="11" t="s">
        <v>10</v>
      </c>
      <c r="P1" s="11" t="s">
        <v>11</v>
      </c>
      <c r="Q1" s="11" t="s">
        <v>50</v>
      </c>
      <c r="R1" s="11" t="s">
        <v>51</v>
      </c>
      <c r="S1" s="11" t="s">
        <v>13</v>
      </c>
      <c r="T1" s="11" t="s">
        <v>14</v>
      </c>
      <c r="U1" s="11" t="s">
        <v>52</v>
      </c>
      <c r="V1" s="11" t="s">
        <v>53</v>
      </c>
      <c r="W1" s="11" t="s">
        <v>54</v>
      </c>
      <c r="X1" s="11" t="s">
        <v>55</v>
      </c>
      <c r="Y1" s="11" t="s">
        <v>56</v>
      </c>
      <c r="Z1" s="11" t="s">
        <v>12</v>
      </c>
      <c r="AA1" s="11" t="s">
        <v>57</v>
      </c>
      <c r="AB1" s="11" t="s">
        <v>16</v>
      </c>
      <c r="AC1" s="11" t="s">
        <v>58</v>
      </c>
      <c r="AD1" s="11" t="s">
        <v>59</v>
      </c>
      <c r="AE1" s="11" t="s">
        <v>60</v>
      </c>
      <c r="AF1" s="11" t="s">
        <v>61</v>
      </c>
      <c r="AG1" s="11" t="s">
        <v>18</v>
      </c>
      <c r="AH1" s="11" t="s">
        <v>62</v>
      </c>
      <c r="AI1" s="11" t="s">
        <v>63</v>
      </c>
      <c r="AJ1" s="11" t="s">
        <v>6</v>
      </c>
    </row>
    <row r="2" spans="1:36" x14ac:dyDescent="0.25">
      <c r="A2" t="s">
        <v>27</v>
      </c>
      <c r="B2" t="s">
        <v>64</v>
      </c>
      <c r="C2" t="s">
        <v>65</v>
      </c>
      <c r="D2" t="s">
        <v>66</v>
      </c>
      <c r="F2">
        <v>0.45</v>
      </c>
      <c r="G2">
        <v>0</v>
      </c>
      <c r="H2" s="9">
        <v>0.45</v>
      </c>
      <c r="I2">
        <v>653470</v>
      </c>
      <c r="J2" t="s">
        <v>67</v>
      </c>
      <c r="K2">
        <v>685130230</v>
      </c>
      <c r="L2" t="s">
        <v>21</v>
      </c>
      <c r="M2" t="s">
        <v>22</v>
      </c>
      <c r="N2" t="s">
        <v>68</v>
      </c>
      <c r="O2">
        <v>711419</v>
      </c>
      <c r="P2" t="s">
        <v>23</v>
      </c>
      <c r="Q2" t="s">
        <v>69</v>
      </c>
      <c r="R2">
        <v>38593</v>
      </c>
      <c r="S2" t="s">
        <v>25</v>
      </c>
      <c r="T2" t="s">
        <v>26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24</v>
      </c>
      <c r="AA2" t="s">
        <v>75</v>
      </c>
      <c r="AB2" t="s">
        <v>28</v>
      </c>
      <c r="AC2" t="s">
        <v>76</v>
      </c>
      <c r="AD2">
        <v>1</v>
      </c>
      <c r="AE2" t="s">
        <v>74</v>
      </c>
      <c r="AF2" t="s">
        <v>77</v>
      </c>
      <c r="AG2" s="9">
        <v>15</v>
      </c>
      <c r="AH2" t="s">
        <v>78</v>
      </c>
      <c r="AI2">
        <v>1451352199</v>
      </c>
      <c r="AJ2" t="s">
        <v>20</v>
      </c>
    </row>
    <row r="3" spans="1:36" x14ac:dyDescent="0.25">
      <c r="A3" t="s">
        <v>35</v>
      </c>
      <c r="B3" t="s">
        <v>64</v>
      </c>
      <c r="C3" t="s">
        <v>65</v>
      </c>
      <c r="D3" t="s">
        <v>66</v>
      </c>
      <c r="F3">
        <v>6.48</v>
      </c>
      <c r="G3">
        <v>0</v>
      </c>
      <c r="H3" s="9">
        <v>6.48</v>
      </c>
      <c r="I3">
        <v>653470</v>
      </c>
      <c r="J3" t="s">
        <v>67</v>
      </c>
      <c r="K3">
        <v>685469893</v>
      </c>
      <c r="L3" t="s">
        <v>29</v>
      </c>
      <c r="M3" t="s">
        <v>30</v>
      </c>
      <c r="N3" t="s">
        <v>68</v>
      </c>
      <c r="O3">
        <v>798992</v>
      </c>
      <c r="P3" t="s">
        <v>31</v>
      </c>
      <c r="Q3" t="s">
        <v>69</v>
      </c>
      <c r="R3">
        <v>47133</v>
      </c>
      <c r="S3" t="s">
        <v>33</v>
      </c>
      <c r="T3" t="s">
        <v>34</v>
      </c>
      <c r="U3" t="s">
        <v>70</v>
      </c>
      <c r="V3" t="s">
        <v>79</v>
      </c>
      <c r="W3" t="s">
        <v>80</v>
      </c>
      <c r="X3" t="s">
        <v>81</v>
      </c>
      <c r="Y3" t="s">
        <v>74</v>
      </c>
      <c r="Z3" t="s">
        <v>32</v>
      </c>
      <c r="AA3" t="s">
        <v>82</v>
      </c>
      <c r="AB3" t="s">
        <v>28</v>
      </c>
      <c r="AC3" t="s">
        <v>76</v>
      </c>
      <c r="AD3">
        <v>1</v>
      </c>
      <c r="AE3" t="s">
        <v>74</v>
      </c>
      <c r="AF3" t="s">
        <v>77</v>
      </c>
      <c r="AG3" s="9">
        <v>27</v>
      </c>
      <c r="AH3" t="s">
        <v>83</v>
      </c>
      <c r="AI3">
        <v>1451354329</v>
      </c>
      <c r="AJ3" t="s">
        <v>20</v>
      </c>
    </row>
    <row r="4" spans="1:36" x14ac:dyDescent="0.25">
      <c r="A4" t="s">
        <v>40</v>
      </c>
      <c r="B4" t="s">
        <v>64</v>
      </c>
      <c r="C4" t="s">
        <v>65</v>
      </c>
      <c r="D4" t="s">
        <v>66</v>
      </c>
      <c r="F4">
        <v>5.28</v>
      </c>
      <c r="G4">
        <v>0</v>
      </c>
      <c r="H4" s="9">
        <v>5.28</v>
      </c>
      <c r="I4">
        <v>653470</v>
      </c>
      <c r="J4" t="s">
        <v>67</v>
      </c>
      <c r="K4">
        <v>685256667</v>
      </c>
      <c r="L4" t="s">
        <v>21</v>
      </c>
      <c r="M4" t="s">
        <v>36</v>
      </c>
      <c r="N4" t="s">
        <v>84</v>
      </c>
      <c r="O4">
        <v>655758</v>
      </c>
      <c r="P4" t="s">
        <v>37</v>
      </c>
      <c r="Q4" t="s">
        <v>69</v>
      </c>
      <c r="R4">
        <v>47132</v>
      </c>
      <c r="S4" t="s">
        <v>39</v>
      </c>
      <c r="T4" t="s">
        <v>34</v>
      </c>
      <c r="U4" t="s">
        <v>70</v>
      </c>
      <c r="V4" t="s">
        <v>79</v>
      </c>
      <c r="W4" t="s">
        <v>80</v>
      </c>
      <c r="X4" t="s">
        <v>85</v>
      </c>
      <c r="Y4" t="s">
        <v>74</v>
      </c>
      <c r="Z4" t="s">
        <v>38</v>
      </c>
      <c r="AA4" t="s">
        <v>86</v>
      </c>
      <c r="AB4" t="s">
        <v>28</v>
      </c>
      <c r="AC4" t="s">
        <v>87</v>
      </c>
      <c r="AD4">
        <v>1</v>
      </c>
      <c r="AE4" t="s">
        <v>74</v>
      </c>
      <c r="AF4" t="s">
        <v>77</v>
      </c>
      <c r="AG4" s="9">
        <v>22</v>
      </c>
      <c r="AH4" t="s">
        <v>83</v>
      </c>
      <c r="AI4">
        <v>1451550095</v>
      </c>
      <c r="AJ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EFDC-23B7-42EC-8463-433FF4CE8022}">
  <dimension ref="A1:S4"/>
  <sheetViews>
    <sheetView tabSelected="1" workbookViewId="0">
      <selection activeCell="D2" sqref="D2:D4"/>
    </sheetView>
  </sheetViews>
  <sheetFormatPr defaultRowHeight="15" x14ac:dyDescent="0.25"/>
  <cols>
    <col min="1" max="1" width="7" customWidth="1"/>
    <col min="2" max="2" width="12.140625" customWidth="1"/>
    <col min="3" max="4" width="10.140625" customWidth="1"/>
    <col min="5" max="5" width="6.42578125" customWidth="1"/>
    <col min="6" max="6" width="9" customWidth="1"/>
    <col min="7" max="7" width="19.42578125" customWidth="1"/>
    <col min="8" max="8" width="25.7109375" customWidth="1"/>
    <col min="9" max="9" width="9.85546875" customWidth="1"/>
    <col min="10" max="10" width="10.140625" customWidth="1"/>
    <col min="11" max="11" width="11.28515625" customWidth="1"/>
    <col min="12" max="12" width="15" customWidth="1"/>
    <col min="13" max="13" width="12.85546875" customWidth="1"/>
    <col min="14" max="15" width="11.28515625" customWidth="1"/>
    <col min="16" max="18" width="8" customWidth="1"/>
  </cols>
  <sheetData>
    <row r="1" spans="1:19" x14ac:dyDescent="0.25">
      <c r="A1" s="11" t="s">
        <v>19</v>
      </c>
      <c r="B1" s="11" t="s">
        <v>8</v>
      </c>
      <c r="C1" s="11" t="s">
        <v>9</v>
      </c>
      <c r="D1" s="11"/>
      <c r="E1" s="11" t="s">
        <v>49</v>
      </c>
      <c r="F1" s="11" t="s">
        <v>10</v>
      </c>
      <c r="G1" s="11" t="s">
        <v>11</v>
      </c>
      <c r="H1" s="11" t="s">
        <v>13</v>
      </c>
      <c r="I1" s="11" t="s">
        <v>53</v>
      </c>
      <c r="J1" s="11" t="s">
        <v>54</v>
      </c>
      <c r="K1" s="11" t="s">
        <v>56</v>
      </c>
      <c r="L1" s="11" t="s">
        <v>12</v>
      </c>
      <c r="M1" s="11" t="s">
        <v>60</v>
      </c>
      <c r="N1" s="11" t="s">
        <v>18</v>
      </c>
      <c r="O1" s="11" t="s">
        <v>95</v>
      </c>
      <c r="P1" s="11" t="s">
        <v>62</v>
      </c>
      <c r="Q1" s="11"/>
      <c r="R1" s="11"/>
    </row>
    <row r="2" spans="1:19" s="12" customFormat="1" x14ac:dyDescent="0.25">
      <c r="A2" s="13">
        <v>0.45</v>
      </c>
      <c r="B2" s="12" t="s">
        <v>21</v>
      </c>
      <c r="C2" s="12" t="s">
        <v>22</v>
      </c>
      <c r="D2" s="12" t="str">
        <f>CONCATENATE(B2, " ",C2)</f>
        <v>Patrick Heller</v>
      </c>
      <c r="E2" s="12" t="s">
        <v>68</v>
      </c>
      <c r="F2" s="12">
        <v>20411454</v>
      </c>
      <c r="G2" s="12" t="s">
        <v>90</v>
      </c>
      <c r="H2" s="12" t="s">
        <v>25</v>
      </c>
      <c r="I2" s="12" t="s">
        <v>71</v>
      </c>
      <c r="J2" s="12" t="s">
        <v>72</v>
      </c>
      <c r="K2" s="12" t="s">
        <v>74</v>
      </c>
      <c r="L2" s="14">
        <v>518008986</v>
      </c>
      <c r="M2" s="12" t="s">
        <v>74</v>
      </c>
      <c r="N2" s="13">
        <v>15</v>
      </c>
      <c r="O2" s="13">
        <v>0.45</v>
      </c>
      <c r="P2" s="16">
        <v>0.03</v>
      </c>
      <c r="Q2" s="16" t="s">
        <v>93</v>
      </c>
      <c r="R2" s="16" t="s">
        <v>94</v>
      </c>
      <c r="S2" s="12" t="s">
        <v>91</v>
      </c>
    </row>
    <row r="3" spans="1:19" s="19" customFormat="1" x14ac:dyDescent="0.25">
      <c r="A3" s="18">
        <v>6.48</v>
      </c>
      <c r="B3" s="19" t="s">
        <v>29</v>
      </c>
      <c r="C3" s="19" t="s">
        <v>30</v>
      </c>
      <c r="D3" s="12" t="str">
        <f t="shared" ref="D3:D4" si="0">CONCATENATE(B3, " ",C3)</f>
        <v>Dorothy Musi</v>
      </c>
      <c r="E3" s="19" t="s">
        <v>68</v>
      </c>
      <c r="F3" s="19">
        <v>19279958</v>
      </c>
      <c r="G3" s="19" t="s">
        <v>88</v>
      </c>
      <c r="H3" s="19" t="s">
        <v>33</v>
      </c>
      <c r="I3" s="19" t="s">
        <v>79</v>
      </c>
      <c r="J3" s="19" t="s">
        <v>80</v>
      </c>
      <c r="K3" s="19" t="s">
        <v>74</v>
      </c>
      <c r="L3" s="20">
        <v>353396219</v>
      </c>
      <c r="M3" s="19" t="s">
        <v>74</v>
      </c>
      <c r="N3" s="18">
        <v>27</v>
      </c>
      <c r="O3" s="18">
        <v>27</v>
      </c>
      <c r="P3" s="21">
        <v>0.24</v>
      </c>
      <c r="Q3" s="21" t="s">
        <v>93</v>
      </c>
      <c r="R3" s="21" t="s">
        <v>94</v>
      </c>
      <c r="S3" s="19" t="s">
        <v>92</v>
      </c>
    </row>
    <row r="4" spans="1:19" x14ac:dyDescent="0.25">
      <c r="A4" s="9">
        <v>5.28</v>
      </c>
      <c r="B4" t="s">
        <v>21</v>
      </c>
      <c r="C4" t="s">
        <v>36</v>
      </c>
      <c r="D4" s="12" t="str">
        <f t="shared" si="0"/>
        <v>Patrick Breedy</v>
      </c>
      <c r="E4" t="s">
        <v>84</v>
      </c>
      <c r="F4">
        <v>19278370</v>
      </c>
      <c r="G4" t="s">
        <v>89</v>
      </c>
      <c r="H4" t="s">
        <v>39</v>
      </c>
      <c r="I4" t="s">
        <v>79</v>
      </c>
      <c r="J4" t="s">
        <v>80</v>
      </c>
      <c r="K4" t="s">
        <v>74</v>
      </c>
      <c r="L4" s="15">
        <v>373547815</v>
      </c>
      <c r="M4" t="s">
        <v>74</v>
      </c>
      <c r="N4" s="9">
        <v>22</v>
      </c>
      <c r="O4" s="9">
        <v>22</v>
      </c>
      <c r="P4" s="17">
        <v>0.24</v>
      </c>
      <c r="Q4" s="17" t="s">
        <v>93</v>
      </c>
      <c r="R4" s="17" t="s">
        <v>94</v>
      </c>
      <c r="S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2025-10-09T17:01:23Z</dcterms:created>
  <dcterms:modified xsi:type="dcterms:W3CDTF">2025-10-14T20:31:00Z</dcterms:modified>
</cp:coreProperties>
</file>