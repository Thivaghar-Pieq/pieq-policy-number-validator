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2-9-25 to 2-15-25\"/>
    </mc:Choice>
  </mc:AlternateContent>
  <xr:revisionPtr revIDLastSave="0" documentId="13_ncr:1_{1D0D034B-6C5A-4CB7-A655-DD33623771E4}" xr6:coauthVersionLast="47" xr6:coauthVersionMax="47" xr10:uidLastSave="{00000000-0000-0000-0000-000000000000}"/>
  <bookViews>
    <workbookView xWindow="-57720" yWindow="-45" windowWidth="29040" windowHeight="15720" activeTab="1" xr2:uid="{E68A7154-3CFA-4C84-9ED5-12F50D86F3B7}"/>
  </bookViews>
  <sheets>
    <sheet name="Statement" sheetId="2" r:id="rId1"/>
    <sheet name="Details" sheetId="1" r:id="rId2"/>
  </sheets>
  <definedNames>
    <definedName name="_xlnm._FilterDatabase" localSheetId="1" hidden="1">Details!$A$1:$AT$3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2" i="1"/>
</calcChain>
</file>

<file path=xl/sharedStrings.xml><?xml version="1.0" encoding="utf-8"?>
<sst xmlns="http://schemas.openxmlformats.org/spreadsheetml/2006/main" count="117" uniqueCount="75">
  <si>
    <t>Posted Date</t>
  </si>
  <si>
    <t>Created Date</t>
  </si>
  <si>
    <t>Type</t>
  </si>
  <si>
    <t>Subtype</t>
  </si>
  <si>
    <t>Notes</t>
  </si>
  <si>
    <t>Credit</t>
  </si>
  <si>
    <t>Debit</t>
  </si>
  <si>
    <t>Total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</si>
  <si>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</si>
  <si>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</si>
  <si>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</si>
  <si>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</si>
  <si>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</si>
  <si>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</si>
  <si>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</si>
  <si>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ID</t>
  </si>
  <si>
    <t>Member Company</t>
  </si>
  <si>
    <t>Member First Name</t>
  </si>
  <si>
    <t>Member Last Name</t>
  </si>
  <si>
    <t>Member State</t>
  </si>
  <si>
    <t>Member Agent ID</t>
  </si>
  <si>
    <t>Member Agent Label</t>
  </si>
  <si>
    <t>Member Agent Category</t>
  </si>
  <si>
    <t>Member Source Detail</t>
  </si>
  <si>
    <t>Product ID</t>
  </si>
  <si>
    <t>Product Label</t>
  </si>
  <si>
    <t>Benefit</t>
  </si>
  <si>
    <t>Period</t>
  </si>
  <si>
    <t>Product Category</t>
  </si>
  <si>
    <t>Product Category 2</t>
  </si>
  <si>
    <t>Product Created Date</t>
  </si>
  <si>
    <t>Product Active Date</t>
  </si>
  <si>
    <t>Policy Number</t>
  </si>
  <si>
    <t>Transaction ID</t>
  </si>
  <si>
    <t>Transaction Amount</t>
  </si>
  <si>
    <t>Transaction Type</t>
  </si>
  <si>
    <t>Payment Type</t>
  </si>
  <si>
    <t>Transaction Payment</t>
  </si>
  <si>
    <t>Transaction Paid Through Start</t>
  </si>
  <si>
    <t>Transaction Paid Through End</t>
  </si>
  <si>
    <t>Commissionable Amount</t>
  </si>
  <si>
    <t>Payout</t>
  </si>
  <si>
    <t>Payable ID</t>
  </si>
  <si>
    <t>Months Advanced</t>
  </si>
  <si>
    <t>Payout Type</t>
  </si>
  <si>
    <t>COMM</t>
  </si>
  <si>
    <t>Product</t>
  </si>
  <si>
    <t>Main Line Benefits LLC</t>
  </si>
  <si>
    <t>Kristen</t>
  </si>
  <si>
    <t>Facchini</t>
  </si>
  <si>
    <t>IL</t>
  </si>
  <si>
    <t>Main Line Benefits LLC -Frank Liskovec</t>
  </si>
  <si>
    <t>NCD</t>
  </si>
  <si>
    <t>NCD Elite 1500 by MetLife</t>
  </si>
  <si>
    <t>Member</t>
  </si>
  <si>
    <t>Monthly</t>
  </si>
  <si>
    <t>Dental</t>
  </si>
  <si>
    <t>MetLife</t>
  </si>
  <si>
    <t>SALE</t>
  </si>
  <si>
    <t>ACH</t>
  </si>
  <si>
    <t>Earned</t>
  </si>
  <si>
    <t>VSP Preferred Plan by NCD</t>
  </si>
  <si>
    <t>Vision</t>
  </si>
  <si>
    <t>VSP</t>
  </si>
  <si>
    <t>Grand Total</t>
  </si>
  <si>
    <t>(blank)</t>
  </si>
  <si>
    <t>Earned Total</t>
  </si>
  <si>
    <t>Sum of Net Commission</t>
  </si>
  <si>
    <t>Agent Label: Main Line Benefits LLC</t>
  </si>
  <si>
    <t>For the Period: NB 02.09.2025-02.15.2025 NCD</t>
  </si>
  <si>
    <t>Payout Date: 02.21.2025</t>
  </si>
  <si>
    <t>Earned Payout</t>
  </si>
  <si>
    <t>Total Payout</t>
  </si>
  <si>
    <t>NCD MetLife -24%</t>
  </si>
  <si>
    <t>Metlife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</si>
</sst>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0" fontId="2" fillId="0" borderId="0" xfId="0" applyFont="1"/>
    <xf numFmtId="9" fontId="0" fillId="0" borderId="0" xfId="2" applyFont="1"/>
    <xf numFmtId="0" fontId="0" fillId="0" borderId="0" xfId="0" pivotButton="1"/>
    <xf numFmtId="164" fontId="0" fillId="0" borderId="0" xfId="0" applyNumberFormat="1"/>
    <xf numFmtId="0" fontId="0" fillId="3" borderId="0" xfId="0" applyFill="1"/>
    <xf numFmtId="0" fontId="3" fillId="3" borderId="0" xfId="0" applyFont="1" applyFill="1"/>
    <xf numFmtId="0" fontId="4" fillId="0" borderId="0" xfId="0" applyFont="1"/>
    <xf numFmtId="164" fontId="4" fillId="0" borderId="0" xfId="0" applyNumberFormat="1" applyFont="1"/>
    <xf numFmtId="0" fontId="6" fillId="2" borderId="1" xfId="0" applyFont="1" applyFill="1" applyBorder="1"/>
    <xf numFmtId="44" fontId="5" fillId="3" borderId="2" xfId="1" applyFont="1" applyFill="1" applyBorder="1"/>
    <xf numFmtId="0" fontId="6" fillId="2" borderId="2" xfId="0" applyFont="1" applyFill="1" applyBorder="1"/>
    <xf numFmtId="44" fontId="5" fillId="3" borderId="3" xfId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5">
    <dxf>
      <font>
        <sz val="14"/>
      </font>
    </dxf>
    <dxf>
      <font>
        <sz val="14"/>
      </font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1" defaultTableStyle="TableStyleMedium2" defaultPivotStyle="PivotStyleLight16">
    <tableStyle name="PivotTable Style 2" table="0" count="3" xr9:uid="{D7843353-131C-444D-B136-E4025CF14DB3}">
      <tableStyleElement type="headerRow" dxfId="4"/>
      <tableStyleElement type="totalRow" dxfId="3"/>
      <tableStyleElement type="firstSubtotal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ojas" refreshedDate="45708.548909259262" createdVersion="3" refreshedVersion="8" minRefreshableVersion="3" recordCount="2" xr:uid="{65EA1066-6389-41F0-96D5-18580C59ABD2}">
  <cacheSource type="worksheet">
    <worksheetSource ref="A1:AT3" sheet="Details"/>
  </cacheSource>
  <cacheFields count="45">
    <cacheField name="Posted Date" numFmtId="14">
      <sharedItems containsSemiMixedTypes="0" containsNonDate="0" containsDate="1" containsString="0" minDate="2025-02-13T00:00:00" maxDate="2025-02-14T00:00:00" count="1">
        <d v="2025-02-13T00:00:00"/>
      </sharedItems>
    </cacheField>
    <cacheField name="Created Date" numFmtId="14">
      <sharedItems containsSemiMixedTypes="0" containsNonDate="0" containsDate="1" containsString="0" minDate="2025-02-17T00:00:00" maxDate="2025-02-18T00:00:00"/>
    </cacheField>
    <cacheField name="Type" numFmtId="0">
      <sharedItems/>
    </cacheField>
    <cacheField name="Subtype" numFmtId="0">
      <sharedItems/>
    </cacheField>
    <cacheField name="Notes" numFmtId="0">
      <sharedItems containsNonDate="0" containsString="0" containsBlank="1" count="1">
        <m/>
      </sharedItems>
    </cacheField>
    <cacheField name="Credit" numFmtId="0">
      <sharedItems containsSemiMixedTypes="0" containsString="0" containsNumber="1" minValue="4.07" maxValue="9.6"/>
    </cacheField>
    <cacheField name="Debit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minValue="4.07" maxValue="9.6"/>
    </cacheField>
    <cacheField name="Payee Agent ID" numFmtId="0">
      <sharedItems containsSemiMixedTypes="0" containsString="0" containsNumber="1" containsInteger="1" minValue="653470" maxValue="653470"/>
    </cacheField>
    <cacheField name="Payee Agent Label" numFmtId="0">
      <sharedItems/>
    </cacheField>
    <cacheField name="Payee Address 1" numFmtId="0">
      <sharedItems containsNonDate="0" containsString="0" containsBlank="1"/>
    </cacheField>
    <cacheField name="Payee Address 2" numFmtId="0">
      <sharedItems containsNonDate="0" containsString="0" containsBlank="1"/>
    </cacheField>
    <cacheField name="Payee City" numFmtId="0">
      <sharedItems containsNonDate="0" containsString="0" containsBlank="1"/>
    </cacheField>
    <cacheField name="Payee State" numFmtId="0">
      <sharedItems containsNonDate="0" containsString="0" containsBlank="1"/>
    </cacheField>
    <cacheField name="Payee Zipcode" numFmtId="0">
      <sharedItems containsNonDate="0" containsString="0" containsBlank="1"/>
    </cacheField>
    <cacheField name="Member ID" numFmtId="0">
      <sharedItems containsSemiMixedTypes="0" containsString="0" containsNumber="1" containsInteger="1" minValue="683978293" maxValue="683978293" count="1">
        <n v="683978293"/>
      </sharedItems>
    </cacheField>
    <cacheField name="Member Company" numFmtId="0">
      <sharedItems containsNonDate="0" containsString="0" containsBlank="1"/>
    </cacheField>
    <cacheField name="Member First Name" numFmtId="0">
      <sharedItems count="1">
        <s v="Kristen"/>
      </sharedItems>
    </cacheField>
    <cacheField name="Member Last Name" numFmtId="0">
      <sharedItems count="1">
        <s v="Facchini"/>
      </sharedItems>
    </cacheField>
    <cacheField name="Member State" numFmtId="0">
      <sharedItems/>
    </cacheField>
    <cacheField name="Member Agent ID" numFmtId="0">
      <sharedItems containsSemiMixedTypes="0" containsString="0" containsNumber="1" containsInteger="1" minValue="760338" maxValue="760338" count="1">
        <n v="760338"/>
      </sharedItems>
    </cacheField>
    <cacheField name="Member Agent Label" numFmtId="0">
      <sharedItems count="1">
        <s v="Main Line Benefits LLC -Frank Liskovec"/>
      </sharedItems>
    </cacheField>
    <cacheField name="Member Agent Category" numFmtId="0">
      <sharedItems/>
    </cacheField>
    <cacheField name="Member Source Detail" numFmtId="0">
      <sharedItems containsNonDate="0" containsString="0" containsBlank="1"/>
    </cacheField>
    <cacheField name="Product ID" numFmtId="0">
      <sharedItems containsSemiMixedTypes="0" containsString="0" containsNumber="1" containsInteger="1" minValue="38593" maxValue="42249"/>
    </cacheField>
    <cacheField name="Product Label" numFmtId="0">
      <sharedItems count="2">
        <s v="NCD Elite 1500 by MetLife"/>
        <s v="VSP Preferred Plan by NCD"/>
      </sharedItems>
    </cacheField>
    <cacheField name="Benefit" numFmtId="0">
      <sharedItems count="1">
        <s v="Member"/>
      </sharedItems>
    </cacheField>
    <cacheField name="Period" numFmtId="0">
      <sharedItems/>
    </cacheField>
    <cacheField name="Product Category" numFmtId="0">
      <sharedItems/>
    </cacheField>
    <cacheField name="Product Category 2" numFmtId="0">
      <sharedItems/>
    </cacheField>
    <cacheField name="Product Created Date" numFmtId="14">
      <sharedItems containsSemiMixedTypes="0" containsNonDate="0" containsDate="1" containsString="0" minDate="2025-02-07T00:00:00" maxDate="2025-02-08T00:00:00"/>
    </cacheField>
    <cacheField name="Product Active Date" numFmtId="14">
      <sharedItems containsSemiMixedTypes="0" containsNonDate="0" containsDate="1" containsString="0" minDate="2025-03-01T00:00:00" maxDate="2025-03-02T00:00:00"/>
    </cacheField>
    <cacheField name="Policy Number" numFmtId="0">
      <sharedItems containsSemiMixedTypes="0" containsString="0" containsNumber="1" containsInteger="1" minValue="625104953" maxValue="692950875" count="2">
        <n v="692950875"/>
        <n v="625104953"/>
      </sharedItems>
    </cacheField>
    <cacheField name="Transaction ID" numFmtId="0">
      <sharedItems containsSemiMixedTypes="0" containsString="0" containsNumber="1" containsInteger="1" minValue="10391075360" maxValue="10391075360"/>
    </cacheField>
    <cacheField name="Transaction Amount" numFmtId="8">
      <sharedItems containsNonDate="0" containsString="0" containsBlank="1"/>
    </cacheField>
    <cacheField name="Transaction Type" numFmtId="0">
      <sharedItems count="1">
        <s v="SALE"/>
      </sharedItems>
    </cacheField>
    <cacheField name="Payment Type" numFmtId="0">
      <sharedItems/>
    </cacheField>
    <cacheField name="Transaction Payment" numFmtId="0">
      <sharedItems containsSemiMixedTypes="0" containsString="0" containsNumber="1" containsInteger="1" minValue="1" maxValue="1"/>
    </cacheField>
    <cacheField name="Transaction Paid Through Start" numFmtId="14">
      <sharedItems containsSemiMixedTypes="0" containsNonDate="0" containsDate="1" containsString="0" minDate="2025-03-01T00:00:00" maxDate="2025-03-02T00:00:00"/>
    </cacheField>
    <cacheField name="Transaction Paid Through End" numFmtId="14">
      <sharedItems containsSemiMixedTypes="0" containsNonDate="0" containsDate="1" containsString="0" minDate="2025-03-31T00:00:00" maxDate="2025-04-01T00:00:00"/>
    </cacheField>
    <cacheField name="Commissionable Amount" numFmtId="8">
      <sharedItems containsSemiMixedTypes="0" containsString="0" containsNumber="1" containsInteger="1" minValue="11" maxValue="40" count="2">
        <n v="40"/>
        <n v="11"/>
      </sharedItems>
    </cacheField>
    <cacheField name="Payout" numFmtId="9">
      <sharedItems containsSemiMixedTypes="0" containsString="0" containsNumber="1" minValue="0.24" maxValue="0.37"/>
    </cacheField>
    <cacheField name="Payable ID" numFmtId="0">
      <sharedItems containsSemiMixedTypes="0" containsString="0" containsNumber="1" containsInteger="1" minValue="1301887785" maxValue="1301887788"/>
    </cacheField>
    <cacheField name="Months Advanced" numFmtId="0">
      <sharedItems containsNonDate="0" containsString="0" containsBlank="1"/>
    </cacheField>
    <cacheField name="Payout Type" numFmtId="0">
      <sharedItems count="1">
        <s v="Ea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d v="2025-02-17T00:00:00"/>
    <s v="COMM"/>
    <s v="Product"/>
    <x v="0"/>
    <n v="9.6"/>
    <n v="0"/>
    <n v="9.6"/>
    <n v="653470"/>
    <s v="Main Line Benefits LLC"/>
    <m/>
    <m/>
    <m/>
    <m/>
    <m/>
    <x v="0"/>
    <m/>
    <x v="0"/>
    <x v="0"/>
    <s v="IL"/>
    <x v="0"/>
    <x v="0"/>
    <s v="NCD"/>
    <m/>
    <n v="42249"/>
    <x v="0"/>
    <x v="0"/>
    <s v="Monthly"/>
    <s v="Dental"/>
    <s v="MetLife"/>
    <d v="2025-02-07T00:00:00"/>
    <d v="2025-03-01T00:00:00"/>
    <x v="0"/>
    <n v="10391075360"/>
    <m/>
    <x v="0"/>
    <s v="ACH"/>
    <n v="1"/>
    <d v="2025-03-01T00:00:00"/>
    <d v="2025-03-31T00:00:00"/>
    <x v="0"/>
    <n v="0.24"/>
    <n v="1301887785"/>
    <m/>
    <x v="0"/>
  </r>
  <r>
    <x v="0"/>
    <d v="2025-02-17T00:00:00"/>
    <s v="COMM"/>
    <s v="Product"/>
    <x v="0"/>
    <n v="4.07"/>
    <n v="0"/>
    <n v="4.07"/>
    <n v="653470"/>
    <s v="Main Line Benefits LLC"/>
    <m/>
    <m/>
    <m/>
    <m/>
    <m/>
    <x v="0"/>
    <m/>
    <x v="0"/>
    <x v="0"/>
    <s v="IL"/>
    <x v="0"/>
    <x v="0"/>
    <s v="NCD"/>
    <m/>
    <n v="38593"/>
    <x v="1"/>
    <x v="0"/>
    <s v="Monthly"/>
    <s v="Vision"/>
    <s v="VSP"/>
    <d v="2025-02-07T00:00:00"/>
    <d v="2025-03-01T00:00:00"/>
    <x v="1"/>
    <n v="10391075360"/>
    <m/>
    <x v="0"/>
    <s v="ACH"/>
    <n v="1"/>
    <d v="2025-03-01T00:00:00"/>
    <d v="2025-03-31T00:00:00"/>
    <x v="1"/>
    <n v="0.37"/>
    <n v="1301887788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030F6-C6DB-44DF-9D20-89B75A3D99E7}" name="Statement Table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rowHeaderCaption="Payout Type">
  <location ref="A10:N14" firstHeaderRow="1" firstDataRow="1" firstDataCol="13"/>
  <pivotFields count="45">
    <pivotField axis="axisRow" numFmtId="14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numFmtId="14" showAll="0"/>
    <pivotField numFmtId="14" showAll="0"/>
    <pivotField axis="axisRow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numFmtId="14" showAll="0"/>
    <pivotField numFmtId="14" showAll="0"/>
    <pivotField axis="axisRow" numFmtId="164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/>
    <pivotField showAll="0"/>
    <pivotField showAll="0"/>
    <pivotField axis="axisRow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44"/>
    <field x="15"/>
    <field x="17"/>
    <field x="18"/>
    <field x="20"/>
    <field x="21"/>
    <field x="32"/>
    <field x="25"/>
    <field x="26"/>
    <field x="0"/>
    <field x="35"/>
    <field x="4"/>
    <field x="40"/>
  </rowFields>
  <rowItems count="4">
    <i>
      <x/>
      <x/>
      <x/>
      <x/>
      <x/>
      <x/>
      <x/>
      <x v="1"/>
      <x/>
      <x/>
      <x/>
      <x/>
      <x/>
    </i>
    <i r="6">
      <x v="1"/>
      <x/>
      <x/>
      <x/>
      <x/>
      <x/>
      <x v="1"/>
    </i>
    <i t="default">
      <x/>
    </i>
    <i t="grand">
      <x/>
    </i>
  </rowItems>
  <colItems count="1">
    <i/>
  </colItems>
  <dataFields count="1">
    <dataField name="Sum of Net Commission" fld="7" baseField="0" baseItem="0" numFmtId="164"/>
  </dataFields>
  <formats count="2">
    <format dxfId="1">
      <pivotArea dataOnly="0" labelOnly="1" fieldPosition="0">
        <references count="1">
          <reference field="44" count="0" defaultSubtotal="1"/>
        </references>
      </pivotArea>
    </format>
    <format dxfId="0">
      <pivotArea outline="0" collapsedLevelsAreSubtotals="1" fieldPosition="0">
        <references count="1">
          <reference field="44" count="0" selected="0" defaultSubtotal="1"/>
        </references>
      </pivotArea>
    </format>
  </formats>
  <pivotTableStyleInfo name="PivotTable Style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147D-2D49-4E67-9D94-204D6734EEAC}">
  <dimension ref="A1:P14"/>
  <sheetViews>
    <sheetView workbookViewId="0"/>
  </sheetViews>
  <sheetFormatPr defaultColWidth="0" defaultRowHeight="15" x14ac:dyDescent="0.25"/>
  <cols>
    <col min="1" max="1" width="53.7109375" bestFit="1" customWidth="1"/>
    <col min="2" max="2" width="12.7109375" bestFit="1" customWidth="1"/>
    <col min="3" max="3" width="20.5703125" bestFit="1" customWidth="1"/>
    <col min="4" max="4" width="20.28515625" bestFit="1" customWidth="1"/>
    <col min="5" max="5" width="18.28515625" bestFit="1" customWidth="1"/>
    <col min="6" max="6" width="35.42578125" bestFit="1" customWidth="1"/>
    <col min="7" max="7" width="16.140625" bestFit="1" customWidth="1"/>
    <col min="8" max="8" width="25" bestFit="1" customWidth="1"/>
    <col min="9" max="9" width="9.5703125" bestFit="1" customWidth="1"/>
    <col min="10" max="10" width="13.85546875" bestFit="1" customWidth="1"/>
    <col min="11" max="11" width="18" bestFit="1" customWidth="1"/>
    <col min="12" max="12" width="8.7109375" bestFit="1" customWidth="1"/>
    <col min="13" max="13" width="25.7109375" bestFit="1" customWidth="1"/>
    <col min="14" max="14" width="22.7109375" bestFit="1" customWidth="1"/>
    <col min="15" max="16" width="8.85546875" customWidth="1"/>
    <col min="17" max="16384" width="8.85546875" hidden="1"/>
  </cols>
  <sheetData>
    <row r="1" spans="1:14" s="9" customFormat="1" ht="18.75" x14ac:dyDescent="0.3">
      <c r="A1" s="10" t="s">
        <v>52</v>
      </c>
    </row>
    <row r="2" spans="1:14" s="9" customFormat="1" ht="18.75" x14ac:dyDescent="0.3">
      <c r="A2" s="10" t="s">
        <v>68</v>
      </c>
    </row>
    <row r="3" spans="1:14" s="9" customFormat="1" ht="18.75" x14ac:dyDescent="0.3">
      <c r="A3" s="10" t="s">
        <v>69</v>
      </c>
    </row>
    <row r="4" spans="1:14" s="9" customFormat="1" ht="19.5" thickBot="1" x14ac:dyDescent="0.35">
      <c r="A4" s="10" t="s">
        <v>70</v>
      </c>
    </row>
    <row r="5" spans="1:14" s="9" customFormat="1" ht="21.75" thickBot="1" x14ac:dyDescent="0.4">
      <c r="C5" s="13" t="s">
        <v>71</v>
      </c>
      <c r="D5" s="14">
        <v>13.67</v>
      </c>
      <c r="E5" s="15" t="s">
        <v>72</v>
      </c>
      <c r="F5" s="16">
        <v>13.67</v>
      </c>
    </row>
    <row r="6" spans="1:14" s="9" customFormat="1" x14ac:dyDescent="0.25"/>
    <row r="7" spans="1:14" s="9" customFormat="1" x14ac:dyDescent="0.25"/>
    <row r="8" spans="1:14" s="9" customFormat="1" x14ac:dyDescent="0.25"/>
    <row r="9" spans="1:14" s="9" customFormat="1" x14ac:dyDescent="0.25"/>
    <row r="10" spans="1:14" x14ac:dyDescent="0.25">
      <c r="A10" s="7" t="s">
        <v>44</v>
      </c>
      <c r="B10" s="7" t="s">
        <v>15</v>
      </c>
      <c r="C10" s="7" t="s">
        <v>17</v>
      </c>
      <c r="D10" s="7" t="s">
        <v>18</v>
      </c>
      <c r="E10" s="7" t="s">
        <v>20</v>
      </c>
      <c r="F10" s="7" t="s">
        <v>21</v>
      </c>
      <c r="G10" s="7" t="s">
        <v>32</v>
      </c>
      <c r="H10" s="7" t="s">
        <v>25</v>
      </c>
      <c r="I10" s="7" t="s">
        <v>26</v>
      </c>
      <c r="J10" s="7" t="s">
        <v>0</v>
      </c>
      <c r="K10" s="7" t="s">
        <v>35</v>
      </c>
      <c r="L10" s="7" t="s">
        <v>4</v>
      </c>
      <c r="M10" s="7" t="s">
        <v>40</v>
      </c>
      <c r="N10" t="s">
        <v>67</v>
      </c>
    </row>
    <row r="11" spans="1:14" x14ac:dyDescent="0.25">
      <c r="A11" t="s">
        <v>60</v>
      </c>
      <c r="B11">
        <v>683978293</v>
      </c>
      <c r="C11" t="s">
        <v>48</v>
      </c>
      <c r="D11" t="s">
        <v>49</v>
      </c>
      <c r="E11">
        <v>760338</v>
      </c>
      <c r="F11" t="s">
        <v>51</v>
      </c>
      <c r="G11">
        <v>625104953</v>
      </c>
      <c r="H11" t="s">
        <v>61</v>
      </c>
      <c r="I11" t="s">
        <v>54</v>
      </c>
      <c r="J11" s="2">
        <v>45701</v>
      </c>
      <c r="K11" t="s">
        <v>58</v>
      </c>
      <c r="L11" t="s">
        <v>65</v>
      </c>
      <c r="M11" s="8">
        <v>11</v>
      </c>
      <c r="N11" s="8">
        <v>4.07</v>
      </c>
    </row>
    <row r="12" spans="1:14" x14ac:dyDescent="0.25">
      <c r="A12" t="s">
        <v>60</v>
      </c>
      <c r="B12">
        <v>683978293</v>
      </c>
      <c r="C12" t="s">
        <v>48</v>
      </c>
      <c r="D12" t="s">
        <v>49</v>
      </c>
      <c r="E12">
        <v>760338</v>
      </c>
      <c r="F12" t="s">
        <v>51</v>
      </c>
      <c r="G12">
        <v>692950875</v>
      </c>
      <c r="H12" t="s">
        <v>53</v>
      </c>
      <c r="I12" t="s">
        <v>54</v>
      </c>
      <c r="J12" s="2">
        <v>45701</v>
      </c>
      <c r="K12" t="s">
        <v>58</v>
      </c>
      <c r="L12" t="s">
        <v>65</v>
      </c>
      <c r="M12" s="8">
        <v>40</v>
      </c>
      <c r="N12" s="8">
        <v>9.6</v>
      </c>
    </row>
    <row r="13" spans="1:14" ht="18.75" x14ac:dyDescent="0.3">
      <c r="A13" s="11" t="s">
        <v>66</v>
      </c>
      <c r="N13" s="12">
        <v>13.67</v>
      </c>
    </row>
    <row r="14" spans="1:14" x14ac:dyDescent="0.25">
      <c r="A14" t="s">
        <v>64</v>
      </c>
      <c r="N14" s="8">
        <v>13.67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EE382-25A9-4985-A6B2-729D0A119B08}">
  <dimension ref="A1:BM3"/>
  <sheetViews>
    <sheetView tabSelected="1" topLeftCell="AF1" workbookViewId="0">
      <selection activeCell="AO8" sqref="AO8"/>
    </sheetView>
  </sheetViews>
  <sheetFormatPr defaultRowHeight="15" x14ac:dyDescent="0.25"/>
  <cols>
    <col min="1" max="1" width="11.42578125" bestFit="1" customWidth="1"/>
    <col min="2" max="2" width="12.140625" bestFit="1" customWidth="1"/>
    <col min="3" max="3" width="6.7109375" bestFit="1" customWidth="1"/>
    <col min="4" max="4" width="7.85546875" bestFit="1" customWidth="1"/>
    <col min="5" max="6" width="6.140625" bestFit="1" customWidth="1"/>
    <col min="7" max="7" width="5.5703125" bestFit="1" customWidth="1"/>
    <col min="8" max="8" width="5.42578125" bestFit="1" customWidth="1"/>
    <col min="9" max="9" width="13.85546875" bestFit="1" customWidth="1"/>
    <col min="10" max="10" width="20.42578125" bestFit="1" customWidth="1"/>
    <col min="11" max="12" width="15.28515625" bestFit="1" customWidth="1"/>
    <col min="13" max="13" width="9.7109375" bestFit="1" customWidth="1"/>
    <col min="14" max="14" width="10.85546875" bestFit="1" customWidth="1"/>
    <col min="15" max="15" width="13.7109375" bestFit="1" customWidth="1"/>
    <col min="16" max="16" width="10.42578125" bestFit="1" customWidth="1"/>
    <col min="17" max="17" width="17" bestFit="1" customWidth="1"/>
    <col min="18" max="18" width="18.42578125" bestFit="1" customWidth="1"/>
    <col min="19" max="19" width="18.140625" bestFit="1" customWidth="1"/>
    <col min="20" max="20" width="18.140625" customWidth="1"/>
    <col min="21" max="21" width="12.85546875" bestFit="1" customWidth="1"/>
    <col min="22" max="22" width="15.85546875" bestFit="1" customWidth="1"/>
    <col min="23" max="23" width="35" bestFit="1" customWidth="1"/>
    <col min="24" max="24" width="21.85546875" bestFit="1" customWidth="1"/>
    <col min="25" max="25" width="20.42578125" bestFit="1" customWidth="1"/>
    <col min="26" max="26" width="10.140625" bestFit="1" customWidth="1"/>
    <col min="27" max="27" width="24.28515625" bestFit="1" customWidth="1"/>
    <col min="28" max="28" width="8.140625" bestFit="1" customWidth="1"/>
    <col min="29" max="29" width="8" bestFit="1" customWidth="1"/>
    <col min="30" max="30" width="16" bestFit="1" customWidth="1"/>
    <col min="31" max="31" width="17.5703125" bestFit="1" customWidth="1"/>
    <col min="32" max="32" width="19.7109375" bestFit="1" customWidth="1"/>
    <col min="33" max="33" width="18.140625" bestFit="1" customWidth="1"/>
    <col min="34" max="35" width="14" bestFit="1" customWidth="1"/>
    <col min="36" max="36" width="19.140625" bestFit="1" customWidth="1"/>
    <col min="37" max="37" width="16.140625" bestFit="1" customWidth="1"/>
    <col min="38" max="38" width="13.140625" bestFit="1" customWidth="1"/>
    <col min="39" max="39" width="19.85546875" bestFit="1" customWidth="1"/>
    <col min="40" max="40" width="28.7109375" bestFit="1" customWidth="1"/>
    <col min="41" max="41" width="28" bestFit="1" customWidth="1"/>
    <col min="42" max="42" width="23.7109375" bestFit="1" customWidth="1"/>
    <col min="43" max="43" width="7" bestFit="1" customWidth="1"/>
    <col min="44" max="44" width="11" bestFit="1" customWidth="1"/>
    <col min="45" max="45" width="16.7109375" bestFit="1" customWidth="1"/>
    <col min="46" max="46" width="11.42578125" bestFit="1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BF1" s="1"/>
    </row>
    <row r="2" spans="1:65" x14ac:dyDescent="0.25">
      <c r="A2" s="2">
        <v>45701</v>
      </c>
      <c r="B2" s="2">
        <v>45705</v>
      </c>
      <c r="C2" t="s">
        <v>45</v>
      </c>
      <c r="D2" t="s">
        <v>46</v>
      </c>
      <c r="F2">
        <v>9.6</v>
      </c>
      <c r="G2">
        <v>0</v>
      </c>
      <c r="H2">
        <v>9.6</v>
      </c>
      <c r="I2">
        <v>653470</v>
      </c>
      <c r="J2" t="s">
        <v>47</v>
      </c>
      <c r="P2">
        <v>683978293</v>
      </c>
      <c r="R2" t="s">
        <v>48</v>
      </c>
      <c r="S2" t="s">
        <v>49</v>
      </c>
      <c r="T2" t="str">
        <f>CONCATENATE(R2, " ",S2)</f>
        <v>Kristen Facchini</v>
      </c>
      <c r="U2" t="s">
        <v>50</v>
      </c>
      <c r="V2">
        <v>760338</v>
      </c>
      <c r="W2" t="s">
        <v>51</v>
      </c>
      <c r="X2" t="s">
        <v>52</v>
      </c>
      <c r="Z2">
        <v>42249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s="2">
        <v>45695</v>
      </c>
      <c r="AG2" s="2">
        <v>45717</v>
      </c>
      <c r="AH2">
        <v>692950875</v>
      </c>
      <c r="AI2">
        <v>10391075360</v>
      </c>
      <c r="AJ2" s="3" t="s">
        <v>73</v>
      </c>
      <c r="AK2" t="s">
        <v>58</v>
      </c>
      <c r="AL2" t="s">
        <v>59</v>
      </c>
      <c r="AM2">
        <v>1</v>
      </c>
      <c r="AN2" s="2">
        <v>45717</v>
      </c>
      <c r="AO2" s="2">
        <v>45747</v>
      </c>
      <c r="AP2" s="3">
        <v>40</v>
      </c>
      <c r="AQ2" s="4">
        <v>0.24</v>
      </c>
      <c r="AR2">
        <v>1301887785</v>
      </c>
      <c r="AT2" t="s">
        <v>60</v>
      </c>
      <c r="BC2" s="2"/>
      <c r="BE2" s="5"/>
      <c r="BK2" s="6"/>
      <c r="BL2" s="5"/>
      <c r="BM2" s="1"/>
    </row>
    <row r="3" spans="1:65" x14ac:dyDescent="0.25">
      <c r="A3" s="2">
        <v>45701</v>
      </c>
      <c r="B3" s="2">
        <v>45705</v>
      </c>
      <c r="C3" t="s">
        <v>45</v>
      </c>
      <c r="D3" t="s">
        <v>46</v>
      </c>
      <c r="F3">
        <v>4.07</v>
      </c>
      <c r="G3">
        <v>0</v>
      </c>
      <c r="H3">
        <v>4.07</v>
      </c>
      <c r="I3">
        <v>653470</v>
      </c>
      <c r="J3" t="s">
        <v>47</v>
      </c>
      <c r="P3">
        <v>683978293</v>
      </c>
      <c r="R3" t="s">
        <v>48</v>
      </c>
      <c r="S3" t="s">
        <v>49</v>
      </c>
      <c r="T3" t="str">
        <f>CONCATENATE(R3, " ",S3)</f>
        <v>Kristen Facchini</v>
      </c>
      <c r="U3" t="s">
        <v>50</v>
      </c>
      <c r="V3">
        <v>760338</v>
      </c>
      <c r="W3" t="s">
        <v>51</v>
      </c>
      <c r="X3" t="s">
        <v>52</v>
      </c>
      <c r="Z3">
        <v>38593</v>
      </c>
      <c r="AA3" t="s">
        <v>61</v>
      </c>
      <c r="AB3" t="s">
        <v>54</v>
      </c>
      <c r="AC3" t="s">
        <v>55</v>
      </c>
      <c r="AD3" t="s">
        <v>62</v>
      </c>
      <c r="AE3" t="s">
        <v>63</v>
      </c>
      <c r="AF3" s="2">
        <v>45695</v>
      </c>
      <c r="AG3" s="2">
        <v>45717</v>
      </c>
      <c r="AH3">
        <v>625104953</v>
      </c>
      <c r="AI3">
        <v>10391075360</v>
      </c>
      <c r="AJ3" s="3" t="s">
        <v>74</v>
      </c>
      <c r="AK3" t="s">
        <v>58</v>
      </c>
      <c r="AL3" t="s">
        <v>59</v>
      </c>
      <c r="AM3">
        <v>1</v>
      </c>
      <c r="AN3" s="2">
        <v>45717</v>
      </c>
      <c r="AO3" s="2">
        <v>45747</v>
      </c>
      <c r="AP3" s="3">
        <v>11</v>
      </c>
      <c r="AQ3" s="4">
        <v>0.37</v>
      </c>
      <c r="AR3">
        <v>1301887788</v>
      </c>
      <c r="AT3" t="s">
        <v>60</v>
      </c>
      <c r="BC3" s="2"/>
      <c r="BE3" s="5"/>
      <c r="BK3" s="6"/>
      <c r="BL3" s="5"/>
      <c r="BM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Rojas</dc:creator>
  <cp:lastModifiedBy>Janki Patel</cp:lastModifiedBy>
  <dcterms:created xsi:type="dcterms:W3CDTF">2025-02-20T19:10:25Z</dcterms:created>
  <dcterms:modified xsi:type="dcterms:W3CDTF">2025-02-20T23:53:26Z</dcterms:modified>
</cp:coreProperties>
</file>