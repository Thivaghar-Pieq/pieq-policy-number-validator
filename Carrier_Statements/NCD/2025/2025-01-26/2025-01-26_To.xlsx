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1-26-25 to 2-07-25\"/>
    </mc:Choice>
  </mc:AlternateContent>
  <xr:revisionPtr revIDLastSave="0" documentId="13_ncr:1_{B004E920-971C-43CB-9DD4-FF363A4D708F}" xr6:coauthVersionLast="47" xr6:coauthVersionMax="47" xr10:uidLastSave="{00000000-0000-0000-0000-000000000000}"/>
  <bookViews>
    <workbookView xWindow="-28920" yWindow="1800" windowWidth="29040" windowHeight="15720" activeTab="2" xr2:uid="{655CB3EC-F5DF-42A7-AE9C-636A67DACF8D}"/>
  </bookViews>
  <sheets>
    <sheet name="Statement" sheetId="2" r:id="rId1"/>
    <sheet name="Details" sheetId="1" r:id="rId2"/>
    <sheet name="clean data" sheetId="3" r:id="rId3"/>
  </sheets>
  <definedNames>
    <definedName name="_xlnm._FilterDatabase" localSheetId="2" hidden="1">'clean data'!$A$1:$T$136</definedName>
    <definedName name="_xlnm._FilterDatabase" localSheetId="1" hidden="1">Details!$A$1:$AS$133</definedName>
  </definedName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7" i="3" l="1"/>
  <c r="G60" i="3"/>
  <c r="G20" i="3"/>
  <c r="G72" i="3"/>
  <c r="G83" i="3"/>
  <c r="G73" i="3"/>
  <c r="G74" i="3"/>
  <c r="G75" i="3"/>
  <c r="G76" i="3"/>
  <c r="G77" i="3"/>
  <c r="G78" i="3"/>
  <c r="G79" i="3"/>
  <c r="G80" i="3"/>
  <c r="G81" i="3"/>
  <c r="G82" i="3"/>
  <c r="G84" i="3"/>
  <c r="G17" i="3"/>
  <c r="G31" i="3"/>
  <c r="G34" i="3"/>
  <c r="G33" i="3"/>
  <c r="G56" i="3"/>
  <c r="G64" i="3"/>
  <c r="G22" i="3"/>
  <c r="G23" i="3"/>
  <c r="G24" i="3"/>
  <c r="G21" i="3"/>
  <c r="G93" i="3"/>
  <c r="G85" i="3"/>
  <c r="G86" i="3"/>
  <c r="G87" i="3"/>
  <c r="G88" i="3"/>
  <c r="G89" i="3"/>
  <c r="G90" i="3"/>
  <c r="G91" i="3"/>
  <c r="G92" i="3"/>
  <c r="G36" i="3"/>
  <c r="G35" i="3"/>
  <c r="G27" i="3"/>
  <c r="G25" i="3"/>
  <c r="G26" i="3"/>
  <c r="G28" i="3"/>
  <c r="G94" i="3"/>
  <c r="G95" i="3"/>
  <c r="G96" i="3"/>
  <c r="G97" i="3"/>
  <c r="G107" i="3"/>
  <c r="G98" i="3"/>
  <c r="G108" i="3"/>
  <c r="G99" i="3"/>
  <c r="G100" i="3"/>
  <c r="G109" i="3"/>
  <c r="G101" i="3"/>
  <c r="G102" i="3"/>
  <c r="G103" i="3"/>
  <c r="G104" i="3"/>
  <c r="G105" i="3"/>
  <c r="G110" i="3"/>
  <c r="G106" i="3"/>
  <c r="G18" i="3"/>
  <c r="G37" i="3"/>
  <c r="G38" i="3"/>
  <c r="G57" i="3"/>
  <c r="G29" i="3"/>
  <c r="G30" i="3"/>
  <c r="G111" i="3"/>
  <c r="G122" i="3"/>
  <c r="G112" i="3"/>
  <c r="G113" i="3"/>
  <c r="G114" i="3"/>
  <c r="G115" i="3"/>
  <c r="G116" i="3"/>
  <c r="G117" i="3"/>
  <c r="G118" i="3"/>
  <c r="G119" i="3"/>
  <c r="G120" i="3"/>
  <c r="G123" i="3"/>
  <c r="G121" i="3"/>
  <c r="G19" i="3"/>
  <c r="G50" i="3"/>
  <c r="G51" i="3"/>
  <c r="G53" i="3"/>
  <c r="G52" i="3"/>
  <c r="G68" i="3"/>
  <c r="G69" i="3"/>
  <c r="G124" i="3"/>
  <c r="G125" i="3"/>
  <c r="G70" i="3"/>
  <c r="G71" i="3"/>
  <c r="G58" i="3"/>
  <c r="G127" i="3"/>
  <c r="G132" i="3"/>
  <c r="G128" i="3"/>
  <c r="G133" i="3"/>
  <c r="G134" i="3"/>
  <c r="G129" i="3"/>
  <c r="G135" i="3"/>
  <c r="G130" i="3"/>
  <c r="G136" i="3"/>
  <c r="G131" i="3"/>
  <c r="G54" i="3"/>
  <c r="G59" i="3"/>
  <c r="G2" i="3"/>
  <c r="G39" i="3"/>
  <c r="G61" i="3"/>
  <c r="G62" i="3"/>
  <c r="G63" i="3"/>
  <c r="G15" i="3"/>
  <c r="G16" i="3"/>
  <c r="G32" i="3"/>
  <c r="G67" i="3"/>
  <c r="G65" i="3"/>
  <c r="G66" i="3"/>
  <c r="G14" i="3"/>
  <c r="G40" i="3"/>
  <c r="G3" i="3"/>
  <c r="G4" i="3"/>
  <c r="G13" i="3"/>
  <c r="G12" i="3"/>
  <c r="G5" i="3"/>
  <c r="G9" i="3"/>
  <c r="G10" i="3"/>
  <c r="G11" i="3"/>
  <c r="G41" i="3"/>
  <c r="G43" i="3"/>
  <c r="G46" i="3"/>
  <c r="G47" i="3"/>
  <c r="G44" i="3"/>
  <c r="G45" i="3"/>
  <c r="G48" i="3"/>
  <c r="G7" i="3"/>
  <c r="G8" i="3"/>
  <c r="G49" i="3"/>
  <c r="G6" i="3"/>
  <c r="G55" i="3"/>
  <c r="G42" i="3"/>
  <c r="G126" i="3"/>
</calcChain>
</file>

<file path=xl/sharedStrings.xml><?xml version="1.0" encoding="utf-8"?>
<sst xmlns="http://schemas.openxmlformats.org/spreadsheetml/2006/main" count="4670" uniqueCount="325">
  <si>
    <t>Posted Date</t>
  </si>
  <si>
    <t>Created Date</t>
  </si>
  <si>
    <t>Type</t>
  </si>
  <si>
    <t>Subtype</t>
  </si>
  <si>
    <t>Notes</t>
  </si>
  <si>
    <t>Credit</t>
  </si>
  <si>
    <t>Debit</t>
  </si>
  <si>
    <t>Total</t>
  </si>
  <si>
    <t>Payee Agent ID</t>
  </si>
  <si>
    <t>Payee Agent Label</t>
  </si>
  <si>
    <t>Payee Address 1</t>
  </si>
  <si>
    <t>Payee Address 2</t>
  </si>
  <si>
    <t>Payee City</t>
  </si>
  <si>
    <t>Payee State</t>
  </si>
  <si>
    <t>Payee Zipcode</t>
  </si>
  <si>
    <t>Member ID</t>
  </si>
  <si>
    <t>Member Company</t>
  </si>
  <si>
    <t>Member First Name</t>
  </si>
  <si>
    <t>Member Last Name</t>
  </si>
  <si>
    <t>Member State</t>
  </si>
  <si>
    <t>Member Agent ID</t>
  </si>
  <si>
    <t>Member Agent Label</t>
  </si>
  <si>
    <t>Member Agent Category</t>
  </si>
  <si>
    <t>Member Source Detail</t>
  </si>
  <si>
    <t>Product ID</t>
  </si>
  <si>
    <t>Product Label</t>
  </si>
  <si>
    <t>Benefit</t>
  </si>
  <si>
    <t>Period</t>
  </si>
  <si>
    <t>Product Category</t>
  </si>
  <si>
    <t>Product Category 2</t>
  </si>
  <si>
    <t>Product Created Date</t>
  </si>
  <si>
    <t>Product Active Date</t>
  </si>
  <si>
    <t>Policy Number</t>
  </si>
  <si>
    <t>Transaction ID</t>
  </si>
  <si>
    <t>Transaction Amount</t>
  </si>
  <si>
    <t>Transaction Type</t>
  </si>
  <si>
    <t>Payment Type</t>
  </si>
  <si>
    <t>Transaction Payment</t>
  </si>
  <si>
    <t>Transaction Paid Through Start</t>
  </si>
  <si>
    <t>Transaction Paid Through End</t>
  </si>
  <si>
    <t>Commissionable Amount</t>
  </si>
  <si>
    <t>Payout</t>
  </si>
  <si>
    <t>Payable ID</t>
  </si>
  <si>
    <t>Months Advanced</t>
  </si>
  <si>
    <t>Payout Type</t>
  </si>
  <si>
    <t>COMM</t>
  </si>
  <si>
    <t>Product</t>
  </si>
  <si>
    <t>Main Line Benefits LLC</t>
  </si>
  <si>
    <t>Cynthia</t>
  </si>
  <si>
    <t>Anderson</t>
  </si>
  <si>
    <t>MD</t>
  </si>
  <si>
    <t>Main Line Benefits - Adam Richter</t>
  </si>
  <si>
    <t>NCD</t>
  </si>
  <si>
    <t>VSP Preferred Plan by NCD</t>
  </si>
  <si>
    <t>Member</t>
  </si>
  <si>
    <t>Monthly</t>
  </si>
  <si>
    <t>Vision</t>
  </si>
  <si>
    <t>VSP</t>
  </si>
  <si>
    <t>SALE</t>
  </si>
  <si>
    <t>ACH</t>
  </si>
  <si>
    <t>Renewal</t>
  </si>
  <si>
    <t>odmaa</t>
  </si>
  <si>
    <t>enkhtur</t>
  </si>
  <si>
    <t>IL</t>
  </si>
  <si>
    <t>Main Line Benefits LLC-Odmaa Enkhtur</t>
  </si>
  <si>
    <t>NCD Value by MetLife</t>
  </si>
  <si>
    <t>Dental</t>
  </si>
  <si>
    <t>MetLife</t>
  </si>
  <si>
    <t>Twanna</t>
  </si>
  <si>
    <t>Delva</t>
  </si>
  <si>
    <t xml:space="preserve"> Main Line Benefits - Thomas Kucan</t>
  </si>
  <si>
    <t>NCD Smile 2500 by MetLife</t>
  </si>
  <si>
    <t>Clarence</t>
  </si>
  <si>
    <t>Hicks Jr</t>
  </si>
  <si>
    <t>CC</t>
  </si>
  <si>
    <t>Jon Charles</t>
  </si>
  <si>
    <t>Beckstrand</t>
  </si>
  <si>
    <t>Family</t>
  </si>
  <si>
    <t>Michelle</t>
  </si>
  <si>
    <t>Barnowski</t>
  </si>
  <si>
    <t>Member plus Spouse</t>
  </si>
  <si>
    <t>John</t>
  </si>
  <si>
    <t>Fritz</t>
  </si>
  <si>
    <t>DE</t>
  </si>
  <si>
    <t>Main Line Benefits - Carol Foley</t>
  </si>
  <si>
    <t>NCD Complete by MetLife</t>
  </si>
  <si>
    <t>Abigail</t>
  </si>
  <si>
    <t>Duncan</t>
  </si>
  <si>
    <t>Nasandelger</t>
  </si>
  <si>
    <t>Zana</t>
  </si>
  <si>
    <t>Main Line Benefits LLC-Nasandelger Zana</t>
  </si>
  <si>
    <t>Siti</t>
  </si>
  <si>
    <t>Freedman</t>
  </si>
  <si>
    <t>PA</t>
  </si>
  <si>
    <t>Kathleen</t>
  </si>
  <si>
    <t>Flury</t>
  </si>
  <si>
    <t>FL</t>
  </si>
  <si>
    <t>Margaret Finnegan</t>
  </si>
  <si>
    <t>Ashley</t>
  </si>
  <si>
    <t>Boeyen</t>
  </si>
  <si>
    <t>Main Line Benefits LLC-Michael Dunavant</t>
  </si>
  <si>
    <t>Member + 1</t>
  </si>
  <si>
    <t>Kevin</t>
  </si>
  <si>
    <t>Husemann</t>
  </si>
  <si>
    <t>Leon</t>
  </si>
  <si>
    <t>Woodson</t>
  </si>
  <si>
    <t>Tyrell</t>
  </si>
  <si>
    <t>Weaver</t>
  </si>
  <si>
    <t xml:space="preserve">Ann </t>
  </si>
  <si>
    <t>Morgan</t>
  </si>
  <si>
    <t>Mainline Benefits co</t>
  </si>
  <si>
    <t>Fawn</t>
  </si>
  <si>
    <t>Taylor</t>
  </si>
  <si>
    <t>Steven</t>
  </si>
  <si>
    <t>Wooden</t>
  </si>
  <si>
    <t xml:space="preserve">Susan </t>
  </si>
  <si>
    <t>Belden</t>
  </si>
  <si>
    <t>Michael</t>
  </si>
  <si>
    <t>Scarpulla</t>
  </si>
  <si>
    <t>Matthew</t>
  </si>
  <si>
    <t>Lowing</t>
  </si>
  <si>
    <t>NCD Elite 1500 by MetLife</t>
  </si>
  <si>
    <t>Kelly</t>
  </si>
  <si>
    <t>Gallagher</t>
  </si>
  <si>
    <t>Carrie</t>
  </si>
  <si>
    <t>Freshour</t>
  </si>
  <si>
    <t>Carolyn W Smith</t>
  </si>
  <si>
    <t>Arrich</t>
  </si>
  <si>
    <t>Bryan</t>
  </si>
  <si>
    <t>Pennington</t>
  </si>
  <si>
    <t>TX</t>
  </si>
  <si>
    <t>Main Line Benefits - Matthew Daugherty</t>
  </si>
  <si>
    <t>Thomas</t>
  </si>
  <si>
    <t>Kucan</t>
  </si>
  <si>
    <t>Gerald</t>
  </si>
  <si>
    <t>Foley</t>
  </si>
  <si>
    <t>Tyler</t>
  </si>
  <si>
    <t>Fortney</t>
  </si>
  <si>
    <t>Amberly</t>
  </si>
  <si>
    <t>Litchfield</t>
  </si>
  <si>
    <t>Joshua</t>
  </si>
  <si>
    <t>Tutchton</t>
  </si>
  <si>
    <t>Hollie</t>
  </si>
  <si>
    <t>Cacace</t>
  </si>
  <si>
    <t>Lizanne</t>
  </si>
  <si>
    <t>Hayes</t>
  </si>
  <si>
    <t>Teonya</t>
  </si>
  <si>
    <t>Castle</t>
  </si>
  <si>
    <t>Adnan</t>
  </si>
  <si>
    <t>Murad</t>
  </si>
  <si>
    <t>Hunt</t>
  </si>
  <si>
    <t>Scott</t>
  </si>
  <si>
    <t>Crump</t>
  </si>
  <si>
    <t>Main Line Benefits LLC-Pam Deaton Inc</t>
  </si>
  <si>
    <t>Lesko</t>
  </si>
  <si>
    <t>Jack</t>
  </si>
  <si>
    <t>Stein</t>
  </si>
  <si>
    <t>NJ</t>
  </si>
  <si>
    <t>NCD Standard 3000 by MetLife</t>
  </si>
  <si>
    <t>NCD - Vision</t>
  </si>
  <si>
    <t>Alycea</t>
  </si>
  <si>
    <t>Rivera</t>
  </si>
  <si>
    <t xml:space="preserve">Shane </t>
  </si>
  <si>
    <t>Abrams</t>
  </si>
  <si>
    <t>Chargeback Reversal</t>
  </si>
  <si>
    <t>Frederick</t>
  </si>
  <si>
    <t>McNeil</t>
  </si>
  <si>
    <t>Main Line Benefits LLC-Jared Kinyua</t>
  </si>
  <si>
    <t>8B843BAEBBE5F0C1014DD1399A64648C</t>
  </si>
  <si>
    <t>CHARGEBACK</t>
  </si>
  <si>
    <t>Julie</t>
  </si>
  <si>
    <t>Bryant</t>
  </si>
  <si>
    <t>Donna</t>
  </si>
  <si>
    <t>Tarmon</t>
  </si>
  <si>
    <t>Mary</t>
  </si>
  <si>
    <t>Pross</t>
  </si>
  <si>
    <t>Mindi</t>
  </si>
  <si>
    <t>Kane</t>
  </si>
  <si>
    <t>Main Line Benefits LLC -Ricardo D Santos</t>
  </si>
  <si>
    <t>NCD Essentials by MetLife</t>
  </si>
  <si>
    <t>Member plus Children</t>
  </si>
  <si>
    <t>Monica</t>
  </si>
  <si>
    <t>ODonnell</t>
  </si>
  <si>
    <t>Main Line Benefits LLC-William Schaeffer</t>
  </si>
  <si>
    <t>Kenneth</t>
  </si>
  <si>
    <t>Johnson</t>
  </si>
  <si>
    <t>VA</t>
  </si>
  <si>
    <t>NCD Standard 5000 by MetLife</t>
  </si>
  <si>
    <t>Janice</t>
  </si>
  <si>
    <t>Dziekonski</t>
  </si>
  <si>
    <t>Main Line Benefits LLC-Gary Portugal</t>
  </si>
  <si>
    <t>Roxanne</t>
  </si>
  <si>
    <t>Hartrich</t>
  </si>
  <si>
    <t>Jose</t>
  </si>
  <si>
    <t>Manansala</t>
  </si>
  <si>
    <t>Audrey</t>
  </si>
  <si>
    <t>Williams</t>
  </si>
  <si>
    <t>Gene</t>
  </si>
  <si>
    <t>Gerzsenyi</t>
  </si>
  <si>
    <t>A Thomas</t>
  </si>
  <si>
    <t>Loy</t>
  </si>
  <si>
    <t>Nancy</t>
  </si>
  <si>
    <t>Tiburzio</t>
  </si>
  <si>
    <t>Jodi</t>
  </si>
  <si>
    <t>Carpini</t>
  </si>
  <si>
    <t>Suskin</t>
  </si>
  <si>
    <t>Patricia</t>
  </si>
  <si>
    <t>Cammarata</t>
  </si>
  <si>
    <t>Cohen</t>
  </si>
  <si>
    <t>Jospeh</t>
  </si>
  <si>
    <t>Morris II</t>
  </si>
  <si>
    <t>Charles</t>
  </si>
  <si>
    <t>Block-Almazan</t>
  </si>
  <si>
    <t>OR</t>
  </si>
  <si>
    <t>Emily</t>
  </si>
  <si>
    <t>Wike</t>
  </si>
  <si>
    <t>Minas</t>
  </si>
  <si>
    <t>Giorgakis</t>
  </si>
  <si>
    <t>Trenton</t>
  </si>
  <si>
    <t>Pizza</t>
  </si>
  <si>
    <t>Brigitte</t>
  </si>
  <si>
    <t>Wilkinson</t>
  </si>
  <si>
    <t>Dudley</t>
  </si>
  <si>
    <t>Hinegardner</t>
  </si>
  <si>
    <t>Refund Reversal</t>
  </si>
  <si>
    <t>Berkowitz</t>
  </si>
  <si>
    <t>REFUND</t>
  </si>
  <si>
    <t>Cornell</t>
  </si>
  <si>
    <t>Jackson</t>
  </si>
  <si>
    <t xml:space="preserve">Jennifer </t>
  </si>
  <si>
    <t>Harbin</t>
  </si>
  <si>
    <t>Minnie</t>
  </si>
  <si>
    <t>Madden</t>
  </si>
  <si>
    <t>Lisa</t>
  </si>
  <si>
    <t>Hopkins</t>
  </si>
  <si>
    <t>NC</t>
  </si>
  <si>
    <t>Robert</t>
  </si>
  <si>
    <t>Steinberg</t>
  </si>
  <si>
    <t>Jane</t>
  </si>
  <si>
    <t>Wagner</t>
  </si>
  <si>
    <t>Hankin</t>
  </si>
  <si>
    <t>Richard</t>
  </si>
  <si>
    <t>Golden</t>
  </si>
  <si>
    <t>Roderick</t>
  </si>
  <si>
    <t>Acha</t>
  </si>
  <si>
    <t>Pamela</t>
  </si>
  <si>
    <t>Evans</t>
  </si>
  <si>
    <t>Melissa</t>
  </si>
  <si>
    <t>Mahaney</t>
  </si>
  <si>
    <t>Whitacre</t>
  </si>
  <si>
    <t>Ashleigh</t>
  </si>
  <si>
    <t>Lagreco</t>
  </si>
  <si>
    <t>Sheryll</t>
  </si>
  <si>
    <t>Aldred</t>
  </si>
  <si>
    <t>Demetris</t>
  </si>
  <si>
    <t>Jones</t>
  </si>
  <si>
    <t>Cheryl</t>
  </si>
  <si>
    <t>Gaines</t>
  </si>
  <si>
    <t>NCD Elite 5000 by MetLife</t>
  </si>
  <si>
    <t>Dana</t>
  </si>
  <si>
    <t>Wasimin</t>
  </si>
  <si>
    <t>Samantha</t>
  </si>
  <si>
    <t>Bubb</t>
  </si>
  <si>
    <t>James</t>
  </si>
  <si>
    <t>Donovan</t>
  </si>
  <si>
    <t>Liane</t>
  </si>
  <si>
    <t>Lefever</t>
  </si>
  <si>
    <t>Sally</t>
  </si>
  <si>
    <t>Noonan</t>
  </si>
  <si>
    <t>Tom</t>
  </si>
  <si>
    <t>Edung</t>
  </si>
  <si>
    <t>Anna</t>
  </si>
  <si>
    <t>Biebl</t>
  </si>
  <si>
    <t>Rosencranz</t>
  </si>
  <si>
    <t>Miosotis</t>
  </si>
  <si>
    <t>Ledesma</t>
  </si>
  <si>
    <t>Main Line Benefits LLC - Aidan Barber</t>
  </si>
  <si>
    <t>DeCoudres</t>
  </si>
  <si>
    <t>McClain</t>
  </si>
  <si>
    <t>Grand Total</t>
  </si>
  <si>
    <t>(blank)</t>
  </si>
  <si>
    <t>Renewal Total</t>
  </si>
  <si>
    <t>Sum of Net Commission</t>
  </si>
  <si>
    <t>National Care Dental</t>
  </si>
  <si>
    <t>Agent Label: Main Line Benefits LLC</t>
  </si>
  <si>
    <t>For the Period: January 2025 RN</t>
  </si>
  <si>
    <t>Payout Date: 2.7.2025</t>
  </si>
  <si>
    <t>Renewal Payout</t>
  </si>
  <si>
    <t>Total Payout</t>
  </si>
  <si>
    <t>Earned</t>
  </si>
  <si>
    <t>Custer</t>
  </si>
  <si>
    <t xml:space="preserve">William </t>
  </si>
  <si>
    <t>Main Line Benefits LLC - Michelle McCorkle</t>
  </si>
  <si>
    <t>Bottonfield</t>
  </si>
  <si>
    <t>Lori</t>
  </si>
  <si>
    <t>Cci</t>
  </si>
  <si>
    <t xml:space="preserve">Sua </t>
  </si>
  <si>
    <t>name</t>
  </si>
  <si>
    <t>Thomas Kucan</t>
  </si>
  <si>
    <t>Michelle McCorkle</t>
  </si>
  <si>
    <t>Carol Foley</t>
  </si>
  <si>
    <t>Gary Portugal</t>
  </si>
  <si>
    <t>Jared Kinyua</t>
  </si>
  <si>
    <t>Michael Dunavant</t>
  </si>
  <si>
    <t>Pam Deaton Inc</t>
  </si>
  <si>
    <t>Matthew Daugherty</t>
  </si>
  <si>
    <t>Ricardo D Santos</t>
  </si>
  <si>
    <t>William Schaeffer</t>
  </si>
  <si>
    <t>Adam Richter</t>
  </si>
  <si>
    <t>Pamela Deaton</t>
  </si>
  <si>
    <t>Nasandelger Zana</t>
  </si>
  <si>
    <t>Odmaa Enkhtur</t>
  </si>
  <si>
    <t>Aidan Barber</t>
  </si>
  <si>
    <t>Commissionable premium</t>
  </si>
  <si>
    <t>CATHY LEMON</t>
  </si>
  <si>
    <t>Jason Hoffmann</t>
  </si>
  <si>
    <t>Metlife Vision</t>
  </si>
  <si>
    <t>NCD - Dental $3,000</t>
  </si>
  <si>
    <t>NCD MetLife -24%</t>
  </si>
  <si>
    <t>MetLife Dental</t>
  </si>
  <si>
    <t>AV1</t>
  </si>
  <si>
    <t>AE</t>
  </si>
  <si>
    <t>AV</t>
  </si>
  <si>
    <t xml:space="preserve">17425766old </t>
  </si>
  <si>
    <t xml:space="preserve">18828278SUB2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</si>
</sst>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2" fontId="0" fillId="0" borderId="0" xfId="0" applyNumberFormat="1"/>
    <xf numFmtId="0" fontId="2" fillId="0" borderId="0" xfId="0" applyFont="1"/>
    <xf numFmtId="9" fontId="2" fillId="0" borderId="0" xfId="2" applyFont="1" applyFill="1"/>
    <xf numFmtId="14" fontId="2" fillId="0" borderId="0" xfId="0" applyNumberFormat="1" applyFont="1"/>
    <xf numFmtId="0" fontId="0" fillId="2" borderId="0" xfId="0" applyFill="1"/>
    <xf numFmtId="2" fontId="0" fillId="2" borderId="0" xfId="0" applyNumberFormat="1" applyFill="1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0" fontId="3" fillId="0" borderId="0" xfId="0" applyFont="1" applyAlignment="1">
      <alignment horizontal="left" vertical="center" indent="6"/>
    </xf>
    <xf numFmtId="9" fontId="0" fillId="0" borderId="0" xfId="2" applyFont="1"/>
    <xf numFmtId="0" fontId="0" fillId="0" borderId="0" xfId="0" pivotButton="1"/>
    <xf numFmtId="164" fontId="0" fillId="0" borderId="0" xfId="0" applyNumberFormat="1"/>
    <xf numFmtId="0" fontId="0" fillId="4" borderId="0" xfId="0" applyFill="1"/>
    <xf numFmtId="0" fontId="4" fillId="4" borderId="0" xfId="0" applyFont="1" applyFill="1"/>
    <xf numFmtId="0" fontId="5" fillId="0" borderId="0" xfId="0" applyFont="1"/>
    <xf numFmtId="164" fontId="5" fillId="0" borderId="0" xfId="0" applyNumberFormat="1" applyFont="1"/>
    <xf numFmtId="0" fontId="7" fillId="3" borderId="1" xfId="0" applyFont="1" applyFill="1" applyBorder="1"/>
    <xf numFmtId="44" fontId="6" fillId="4" borderId="2" xfId="1" applyFont="1" applyFill="1" applyBorder="1"/>
    <xf numFmtId="0" fontId="7" fillId="3" borderId="2" xfId="0" applyFont="1" applyFill="1" applyBorder="1"/>
    <xf numFmtId="44" fontId="6" fillId="4" borderId="3" xfId="1" applyFont="1" applyFill="1" applyBorder="1"/>
    <xf numFmtId="14" fontId="0" fillId="2" borderId="0" xfId="0" applyNumberFormat="1" applyFill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14" fontId="0" fillId="5" borderId="0" xfId="0" applyNumberFormat="1" applyFill="1"/>
    <xf numFmtId="0" fontId="0" fillId="5" borderId="0" xfId="0" applyFill="1"/>
  </cellXfs>
  <cellStyles count="3">
    <cellStyle name="Currency" xfId="1" builtinId="4"/>
    <cellStyle name="Normal" xfId="0" builtinId="0"/>
    <cellStyle name="Percent" xfId="2" builtinId="5"/>
  </cellStyles>
  <dxfs count="5">
    <dxf>
      <font>
        <sz val="14"/>
      </font>
    </dxf>
    <dxf>
      <font>
        <sz val="14"/>
      </font>
    </dxf>
    <dxf>
      <font>
        <b/>
        <i val="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</dxfs>
  <tableStyles count="1" defaultTableStyle="TableStyleMedium2" defaultPivotStyle="PivotStyleLight16">
    <tableStyle name="PivotTable Style 2" table="0" count="3" xr9:uid="{0FC21F71-7CE3-459B-895B-9766631B97FB}">
      <tableStyleElement type="headerRow" dxfId="4"/>
      <tableStyleElement type="totalRow" dxfId="3"/>
      <tableStyleElement type="firstSubtotalRow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ather Rookwood" refreshedDate="45695.046432291667" createdVersion="3" refreshedVersion="8" minRefreshableVersion="3" recordCount="132" xr:uid="{E7E223BD-3B19-49CC-A47B-1D706C4A81AC}">
  <cacheSource type="worksheet">
    <worksheetSource ref="A1:AS133" sheet="Details"/>
  </cacheSource>
  <cacheFields count="45">
    <cacheField name="Posted Date" numFmtId="14">
      <sharedItems containsSemiMixedTypes="0" containsNonDate="0" containsDate="1" containsString="0" minDate="2025-01-02T00:00:00" maxDate="2025-02-01T00:00:00" count="29">
        <d v="2025-01-31T00:00:00"/>
        <d v="2025-01-30T00:00:00"/>
        <d v="2025-01-29T00:00:00"/>
        <d v="2025-01-28T00:00:00"/>
        <d v="2025-01-27T00:00:00"/>
        <d v="2025-01-26T00:00:00"/>
        <d v="2025-01-25T00:00:00"/>
        <d v="2025-01-24T00:00:00"/>
        <d v="2025-01-23T00:00:00"/>
        <d v="2025-01-22T00:00:00"/>
        <d v="2025-01-20T00:00:00"/>
        <d v="2025-01-19T00:00:00"/>
        <d v="2025-01-18T00:00:00"/>
        <d v="2025-01-17T00:00:00"/>
        <d v="2025-01-16T00:00:00"/>
        <d v="2025-01-15T00:00:00"/>
        <d v="2025-01-14T00:00:00"/>
        <d v="2025-01-13T00:00:00"/>
        <d v="2025-01-12T00:00:00"/>
        <d v="2025-01-11T00:00:00"/>
        <d v="2025-01-10T00:00:00"/>
        <d v="2025-01-09T00:00:00"/>
        <d v="2025-01-08T00:00:00"/>
        <d v="2025-01-07T00:00:00"/>
        <d v="2025-01-06T00:00:00"/>
        <d v="2025-01-05T00:00:00"/>
        <d v="2025-01-04T00:00:00"/>
        <d v="2025-01-03T00:00:00"/>
        <d v="2025-01-02T00:00:00"/>
      </sharedItems>
    </cacheField>
    <cacheField name="Created Date" numFmtId="14">
      <sharedItems containsSemiMixedTypes="0" containsNonDate="0" containsDate="1" containsString="0" minDate="2025-01-17T00:00:00" maxDate="2025-02-04T00:00:00"/>
    </cacheField>
    <cacheField name="Type" numFmtId="0">
      <sharedItems/>
    </cacheField>
    <cacheField name="Subtype" numFmtId="0">
      <sharedItems/>
    </cacheField>
    <cacheField name="Notes" numFmtId="0">
      <sharedItems containsBlank="1" count="3">
        <m/>
        <s v="Chargeback Reversal"/>
        <s v="Refund Reversal"/>
      </sharedItems>
    </cacheField>
    <cacheField name="Credit" numFmtId="2">
      <sharedItems containsSemiMixedTypes="0" containsString="0" containsNumber="1" minValue="0" maxValue="55.12"/>
    </cacheField>
    <cacheField name="Debit" numFmtId="2">
      <sharedItems containsSemiMixedTypes="0" containsString="0" containsNumber="1" minValue="0" maxValue="5.55"/>
    </cacheField>
    <cacheField name="Total" numFmtId="2">
      <sharedItems containsSemiMixedTypes="0" containsString="0" containsNumber="1" minValue="-5.55" maxValue="55.12"/>
    </cacheField>
    <cacheField name="Payee Agent ID" numFmtId="0">
      <sharedItems containsSemiMixedTypes="0" containsString="0" containsNumber="1" containsInteger="1" minValue="653470" maxValue="653470"/>
    </cacheField>
    <cacheField name="Payee Agent Label" numFmtId="0">
      <sharedItems/>
    </cacheField>
    <cacheField name="Payee Address 1" numFmtId="0">
      <sharedItems containsNonDate="0" containsString="0" containsBlank="1"/>
    </cacheField>
    <cacheField name="Payee Address 2" numFmtId="0">
      <sharedItems containsNonDate="0" containsString="0" containsBlank="1"/>
    </cacheField>
    <cacheField name="Payee City" numFmtId="0">
      <sharedItems containsNonDate="0" containsString="0" containsBlank="1"/>
    </cacheField>
    <cacheField name="Payee State" numFmtId="0">
      <sharedItems containsNonDate="0" containsString="0" containsBlank="1"/>
    </cacheField>
    <cacheField name="Payee Zipcode" numFmtId="0">
      <sharedItems containsNonDate="0" containsString="0" containsBlank="1"/>
    </cacheField>
    <cacheField name="Member ID" numFmtId="0">
      <sharedItems containsSemiMixedTypes="0" containsString="0" containsNumber="1" containsInteger="1" minValue="679972196" maxValue="683720644" count="95">
        <n v="682280326"/>
        <n v="682689683"/>
        <n v="683138813"/>
        <n v="683200961"/>
        <n v="683720644"/>
        <n v="683654568"/>
        <n v="683534011"/>
        <n v="683178395"/>
        <n v="682763750"/>
        <n v="681647925"/>
        <n v="681957774"/>
        <n v="683048932"/>
        <n v="683275166"/>
        <n v="683345802"/>
        <n v="683478651"/>
        <n v="683301317"/>
        <n v="683707400"/>
        <n v="683521026"/>
        <n v="683497808"/>
        <n v="683168016"/>
        <n v="683013826"/>
        <n v="683163417"/>
        <n v="683162939"/>
        <n v="683257963"/>
        <n v="682859188"/>
        <n v="682766841"/>
        <n v="682624994"/>
        <n v="683602218"/>
        <n v="683648575"/>
        <n v="683498152"/>
        <n v="683478663"/>
        <n v="681829783"/>
        <n v="683127694"/>
        <n v="683477382"/>
        <n v="683454292"/>
        <n v="683448864"/>
        <n v="683408875"/>
        <n v="679972196"/>
        <n v="683120098"/>
        <n v="683124480"/>
        <n v="683124501"/>
        <n v="683221457"/>
        <n v="683659785"/>
        <n v="683089576"/>
        <n v="683089560"/>
        <n v="682974980"/>
        <n v="682971882"/>
        <n v="680314593"/>
        <n v="682581055"/>
        <n v="682580771"/>
        <n v="683463955"/>
        <n v="683532101"/>
        <n v="683115767"/>
        <n v="683589666"/>
        <n v="683438413"/>
        <n v="682456860"/>
        <n v="683228522"/>
        <n v="683609699"/>
        <n v="683596031"/>
        <n v="683593204"/>
        <n v="683080241"/>
        <n v="683078519"/>
        <n v="682968788"/>
        <n v="683221739"/>
        <n v="683333798"/>
        <n v="683551481"/>
        <n v="683552927"/>
        <n v="683084379"/>
        <n v="683206913"/>
        <n v="683324516"/>
        <n v="683317543"/>
        <n v="681549155"/>
        <n v="681694666"/>
        <n v="681654117"/>
        <n v="681802160"/>
        <n v="682171350"/>
        <n v="683092185"/>
        <n v="683208604"/>
        <n v="683563883"/>
        <n v="683312848"/>
        <n v="683198705"/>
        <n v="683078236"/>
        <n v="682967565"/>
        <n v="682932267"/>
        <n v="682949028"/>
        <n v="682966720"/>
        <n v="682605985"/>
        <n v="681703836"/>
        <n v="683202494"/>
        <n v="683537884"/>
        <n v="683299556"/>
        <n v="683297683"/>
        <n v="682221319"/>
        <n v="681791772"/>
        <n v="681792691"/>
      </sharedItems>
    </cacheField>
    <cacheField name="Member Company" numFmtId="0">
      <sharedItems containsNonDate="0" containsString="0" containsBlank="1"/>
    </cacheField>
    <cacheField name="Member First Name" numFmtId="0">
      <sharedItems count="82">
        <s v="Cynthia"/>
        <s v="odmaa"/>
        <s v="Twanna"/>
        <s v="Clarence"/>
        <s v="Jon Charles"/>
        <s v="Michelle"/>
        <s v="John"/>
        <s v="Abigail"/>
        <s v="Nasandelger"/>
        <s v="Siti"/>
        <s v="Kathleen"/>
        <s v="Ashley"/>
        <s v="Kevin"/>
        <s v="Leon"/>
        <s v="Tyrell"/>
        <s v="Ann "/>
        <s v="Fawn"/>
        <s v="Steven"/>
        <s v="Susan "/>
        <s v="Michael"/>
        <s v="Matthew"/>
        <s v="Kelly"/>
        <s v="Carrie"/>
        <s v="Bryan"/>
        <s v="Thomas"/>
        <s v="Gerald"/>
        <s v="Tyler"/>
        <s v="Amberly"/>
        <s v="Joshua"/>
        <s v="Hollie"/>
        <s v="Lizanne"/>
        <s v="Teonya"/>
        <s v="Adnan"/>
        <s v="Scott"/>
        <s v="Jack"/>
        <s v="Alycea"/>
        <s v="Shane "/>
        <s v="Frederick"/>
        <s v="Julie"/>
        <s v="Donna"/>
        <s v="Mary"/>
        <s v="Mindi"/>
        <s v="Monica"/>
        <s v="Kenneth"/>
        <s v="Janice"/>
        <s v="Roxanne"/>
        <s v="Jose"/>
        <s v="Audrey"/>
        <s v="Gene"/>
        <s v="A Thomas"/>
        <s v="Nancy"/>
        <s v="Jodi"/>
        <s v="Patricia"/>
        <s v="Jospeh"/>
        <s v="Charles"/>
        <s v="Emily"/>
        <s v="Minas"/>
        <s v="Trenton"/>
        <s v="Brigitte"/>
        <s v="Dudley"/>
        <s v="Cornell"/>
        <s v="Jennifer "/>
        <s v="Minnie"/>
        <s v="Lisa"/>
        <s v="Robert"/>
        <s v="Jane"/>
        <s v="Richard"/>
        <s v="Roderick"/>
        <s v="Pamela"/>
        <s v="Melissa"/>
        <s v="Ashleigh"/>
        <s v="Sheryll"/>
        <s v="Demetris"/>
        <s v="Cheryl"/>
        <s v="Dana"/>
        <s v="Samantha"/>
        <s v="James"/>
        <s v="Liane"/>
        <s v="Sally"/>
        <s v="Tom"/>
        <s v="Anna"/>
        <s v="Miosotis"/>
      </sharedItems>
    </cacheField>
    <cacheField name="Member Last Name" numFmtId="0">
      <sharedItems count="93">
        <s v="Anderson"/>
        <s v="enkhtur"/>
        <s v="Delva"/>
        <s v="Hicks Jr"/>
        <s v="Beckstrand"/>
        <s v="Barnowski"/>
        <s v="Fritz"/>
        <s v="Duncan"/>
        <s v="Zana"/>
        <s v="Freedman"/>
        <s v="Flury"/>
        <s v="Boeyen"/>
        <s v="Husemann"/>
        <s v="Woodson"/>
        <s v="Weaver"/>
        <s v="Morgan"/>
        <s v="Taylor"/>
        <s v="Wooden"/>
        <s v="Belden"/>
        <s v="Scarpulla"/>
        <s v="Lowing"/>
        <s v="Gallagher"/>
        <s v="Freshour"/>
        <s v="Arrich"/>
        <s v="Pennington"/>
        <s v="Kucan"/>
        <s v="Foley"/>
        <s v="Fortney"/>
        <s v="Litchfield"/>
        <s v="Tutchton"/>
        <s v="Cacace"/>
        <s v="Hayes"/>
        <s v="Castle"/>
        <s v="Murad"/>
        <s v="Hunt"/>
        <s v="Crump"/>
        <s v="Lesko"/>
        <s v="Stein"/>
        <s v="Rivera"/>
        <s v="Abrams"/>
        <s v="McNeil"/>
        <s v="Bryant"/>
        <s v="Tarmon"/>
        <s v="Pross"/>
        <s v="Kane"/>
        <s v="ODonnell"/>
        <s v="Johnson"/>
        <s v="Dziekonski"/>
        <s v="Hartrich"/>
        <s v="Manansala"/>
        <s v="Williams"/>
        <s v="Gerzsenyi"/>
        <s v="Loy"/>
        <s v="Tiburzio"/>
        <s v="Carpini"/>
        <s v="Suskin"/>
        <s v="Cammarata"/>
        <s v="Cohen"/>
        <s v="Morris II"/>
        <s v="Block-Almazan"/>
        <s v="Wike"/>
        <s v="Giorgakis"/>
        <s v="Pizza"/>
        <s v="Wilkinson"/>
        <s v="Hinegardner"/>
        <s v="Berkowitz"/>
        <s v="Jackson"/>
        <s v="Harbin"/>
        <s v="Madden"/>
        <s v="Hopkins"/>
        <s v="Steinberg"/>
        <s v="Wagner"/>
        <s v="Hankin"/>
        <s v="Golden"/>
        <s v="Acha"/>
        <s v="Evans"/>
        <s v="Mahaney"/>
        <s v="Whitacre"/>
        <s v="Lagreco"/>
        <s v="Aldred"/>
        <s v="Jones"/>
        <s v="Gaines"/>
        <s v="Wasimin"/>
        <s v="Bubb"/>
        <s v="Donovan"/>
        <s v="Lefever"/>
        <s v="Noonan"/>
        <s v="Edung"/>
        <s v="Biebl"/>
        <s v="Rosencranz"/>
        <s v="Ledesma"/>
        <s v="DeCoudres"/>
        <s v="McClain"/>
      </sharedItems>
    </cacheField>
    <cacheField name="Member State" numFmtId="0">
      <sharedItems/>
    </cacheField>
    <cacheField name="Member Agent ID" numFmtId="0">
      <sharedItems containsSemiMixedTypes="0" containsString="0" containsNumber="1" containsInteger="1" minValue="653470" maxValue="798992" count="17">
        <n v="657149"/>
        <n v="757750"/>
        <n v="678726"/>
        <n v="689390"/>
        <n v="757386"/>
        <n v="720542"/>
        <n v="764002"/>
        <n v="706472"/>
        <n v="707256"/>
        <n v="703501"/>
        <n v="757209"/>
        <n v="653470"/>
        <n v="798992"/>
        <n v="759555"/>
        <n v="781535"/>
        <n v="757929"/>
        <n v="723477"/>
      </sharedItems>
    </cacheField>
    <cacheField name="Member Agent Label" numFmtId="0">
      <sharedItems count="17">
        <s v="Main Line Benefits - Adam Richter"/>
        <s v="Main Line Benefits LLC-Odmaa Enkhtur"/>
        <s v=" Main Line Benefits - Thomas Kucan"/>
        <s v="Main Line Benefits - Carol Foley"/>
        <s v="Main Line Benefits LLC-Nasandelger Zana"/>
        <s v="Margaret Finnegan"/>
        <s v="Main Line Benefits LLC-Michael Dunavant"/>
        <s v="Mainline Benefits co"/>
        <s v="Carolyn W Smith"/>
        <s v="Main Line Benefits - Matthew Daugherty"/>
        <s v="Main Line Benefits LLC-Pam Deaton Inc"/>
        <s v="Main Line Benefits LLC"/>
        <s v="Main Line Benefits LLC-Jared Kinyua"/>
        <s v="Main Line Benefits LLC -Ricardo D Santos"/>
        <s v="Main Line Benefits LLC-William Schaeffer"/>
        <s v="Main Line Benefits LLC-Gary Portugal"/>
        <s v="Main Line Benefits LLC - Aidan Barber"/>
      </sharedItems>
    </cacheField>
    <cacheField name="Member Agent Category" numFmtId="0">
      <sharedItems/>
    </cacheField>
    <cacheField name="Member Source Detail" numFmtId="0">
      <sharedItems containsNonDate="0" containsString="0" containsBlank="1"/>
    </cacheField>
    <cacheField name="Product ID" numFmtId="0">
      <sharedItems containsSemiMixedTypes="0" containsString="0" containsNumber="1" containsInteger="1" minValue="27711" maxValue="45041"/>
    </cacheField>
    <cacheField name="Product Label" numFmtId="0">
      <sharedItems count="10">
        <s v="VSP Preferred Plan by NCD"/>
        <s v="NCD Value by MetLife"/>
        <s v="NCD Smile 2500 by MetLife"/>
        <s v="NCD Complete by MetLife"/>
        <s v="NCD Elite 1500 by MetLife"/>
        <s v="NCD Standard 3000 by MetLife"/>
        <s v="NCD - Vision"/>
        <s v="NCD Essentials by MetLife"/>
        <s v="NCD Standard 5000 by MetLife"/>
        <s v="NCD Elite 5000 by MetLife"/>
      </sharedItems>
    </cacheField>
    <cacheField name="Benefit" numFmtId="0">
      <sharedItems count="5">
        <s v="Member"/>
        <s v="Family"/>
        <s v="Member plus Spouse"/>
        <s v="Member + 1"/>
        <s v="Member plus Children"/>
      </sharedItems>
    </cacheField>
    <cacheField name="Period" numFmtId="0">
      <sharedItems/>
    </cacheField>
    <cacheField name="Product Category" numFmtId="0">
      <sharedItems/>
    </cacheField>
    <cacheField name="Product Category 2" numFmtId="0">
      <sharedItems/>
    </cacheField>
    <cacheField name="Product Created Date" numFmtId="14">
      <sharedItems containsSemiMixedTypes="0" containsNonDate="0" containsDate="1" containsString="0" minDate="2022-10-18T00:00:00" maxDate="2025-01-01T00:00:00"/>
    </cacheField>
    <cacheField name="Product Active Date" numFmtId="14">
      <sharedItems containsSemiMixedTypes="0" containsNonDate="0" containsDate="1" containsString="0" minDate="2022-12-01T00:00:00" maxDate="2025-01-02T00:00:00"/>
    </cacheField>
    <cacheField name="Policy Number" numFmtId="0">
      <sharedItems containsSemiMixedTypes="0" containsString="0" containsNumber="1" containsInteger="1" minValue="5274878" maxValue="998017756" count="120">
        <n v="668933669"/>
        <n v="544676671"/>
        <n v="5274878"/>
        <n v="364560725"/>
        <n v="108620713"/>
        <n v="750251718"/>
        <n v="760186562"/>
        <n v="303162685"/>
        <n v="973153223"/>
        <n v="168352383"/>
        <n v="128908745"/>
        <n v="386395185"/>
        <n v="475902412"/>
        <n v="134232423"/>
        <n v="911462605"/>
        <n v="310854872"/>
        <n v="880556692"/>
        <n v="216498659"/>
        <n v="698731916"/>
        <n v="459325166"/>
        <n v="128182846"/>
        <n v="228864968"/>
        <n v="998017756"/>
        <n v="524461911"/>
        <n v="313942658"/>
        <n v="676321759"/>
        <n v="230062447"/>
        <n v="496153713"/>
        <n v="604529563"/>
        <n v="623625840"/>
        <n v="119664581"/>
        <n v="568485674"/>
        <n v="498487989"/>
        <n v="941985094"/>
        <n v="892393390"/>
        <n v="536940641"/>
        <n v="438557821"/>
        <n v="92749947"/>
        <n v="308081747"/>
        <n v="987369850"/>
        <n v="300310162"/>
        <n v="990327518"/>
        <n v="534606531"/>
        <n v="694607964"/>
        <n v="241002988"/>
        <n v="232438202"/>
        <n v="509666499"/>
        <n v="528354958"/>
        <n v="76994225"/>
        <n v="954518880"/>
        <n v="876391898"/>
        <n v="914833590"/>
        <n v="673613358"/>
        <n v="629957651"/>
        <n v="40198305"/>
        <n v="868422442"/>
        <n v="172575174"/>
        <n v="379471379"/>
        <n v="387100933"/>
        <n v="538144779"/>
        <n v="762673318"/>
        <n v="245268586"/>
        <n v="478183816"/>
        <n v="884756940"/>
        <n v="27464876"/>
        <n v="877044360"/>
        <n v="820303811"/>
        <n v="970685148"/>
        <n v="211544974"/>
        <n v="58861441"/>
        <n v="68946309"/>
        <n v="348104279"/>
        <n v="864594072"/>
        <n v="624218472"/>
        <n v="688051988"/>
        <n v="746163392"/>
        <n v="607637254"/>
        <n v="165329262"/>
        <n v="124154427"/>
        <n v="385850665"/>
        <n v="245549848"/>
        <n v="984523223"/>
        <n v="699319353"/>
        <n v="21245735"/>
        <n v="708780484"/>
        <n v="196153282"/>
        <n v="224153635"/>
        <n v="464503420"/>
        <n v="654081029"/>
        <n v="509195534"/>
        <n v="118665193"/>
        <n v="252126537"/>
        <n v="297820482"/>
        <n v="66621000"/>
        <n v="690892951"/>
        <n v="207892095"/>
        <n v="698193150"/>
        <n v="859724247"/>
        <n v="858353460"/>
        <n v="560317195"/>
        <n v="574187796"/>
        <n v="125532058"/>
        <n v="384672439"/>
        <n v="604649461"/>
        <n v="583635919"/>
        <n v="476855083"/>
        <n v="674977797"/>
        <n v="823492648"/>
        <n v="653432432"/>
        <n v="181995160"/>
        <n v="784351926"/>
        <n v="825368073"/>
        <n v="431803401"/>
        <n v="863215382"/>
        <n v="260173605"/>
        <n v="364920174"/>
        <n v="582065076"/>
        <n v="173898668"/>
        <n v="7534852"/>
        <n v="78980217"/>
      </sharedItems>
    </cacheField>
    <cacheField name="Transaction ID" numFmtId="0">
      <sharedItems containsMixedTypes="1" containsNumber="1" containsInteger="1" minValue="10257564715" maxValue="10365809041"/>
    </cacheField>
    <cacheField name="Transaction Amount" numFmtId="8">
      <sharedItems containsNonDate="0" containsString="0" containsBlank="1"/>
    </cacheField>
    <cacheField name="Transaction Type" numFmtId="0">
      <sharedItems count="3">
        <s v="SALE"/>
        <s v="CHARGEBACK"/>
        <s v="REFUND"/>
      </sharedItems>
    </cacheField>
    <cacheField name="Payment Type" numFmtId="0">
      <sharedItems/>
    </cacheField>
    <cacheField name="Transaction Payment" numFmtId="0">
      <sharedItems containsSemiMixedTypes="0" containsString="0" containsNumber="1" containsInteger="1" minValue="2" maxValue="27"/>
    </cacheField>
    <cacheField name="Transaction Paid Through Start" numFmtId="14">
      <sharedItems containsSemiMixedTypes="0" containsNonDate="0" containsDate="1" containsString="0" minDate="2024-12-01T00:00:00" maxDate="2026-08-02T00:00:00"/>
    </cacheField>
    <cacheField name="Transaction Paid Through End" numFmtId="14">
      <sharedItems containsSemiMixedTypes="0" containsNonDate="0" containsDate="1" containsString="0" minDate="2024-12-31T00:00:00" maxDate="2026-09-01T00:00:00"/>
    </cacheField>
    <cacheField name="Commissionable Amount" numFmtId="8">
      <sharedItems containsSemiMixedTypes="0" containsString="0" containsNumber="1" containsInteger="1" minValue="11" maxValue="212" count="29">
        <n v="11"/>
        <n v="25"/>
        <n v="92"/>
        <n v="20"/>
        <n v="50"/>
        <n v="74"/>
        <n v="71"/>
        <n v="60"/>
        <n v="15"/>
        <n v="30"/>
        <n v="38"/>
        <n v="93"/>
        <n v="172"/>
        <n v="48"/>
        <n v="112"/>
        <n v="121"/>
        <n v="212"/>
        <n v="40"/>
        <n v="95"/>
        <n v="66"/>
        <n v="185"/>
        <n v="61"/>
        <n v="76"/>
        <n v="65"/>
        <n v="134"/>
        <n v="124"/>
        <n v="132"/>
        <n v="120"/>
        <n v="35"/>
      </sharedItems>
    </cacheField>
    <cacheField name="Payout" numFmtId="9">
      <sharedItems containsSemiMixedTypes="0" containsString="0" containsNumber="1" minValue="0.03" maxValue="0.37"/>
    </cacheField>
    <cacheField name="Payable ID" numFmtId="0">
      <sharedItems containsSemiMixedTypes="0" containsString="0" containsNumber="1" containsInteger="1" minValue="1281695239" maxValue="1290526770"/>
    </cacheField>
    <cacheField name="Months Advanced" numFmtId="0">
      <sharedItems containsNonDate="0" containsString="0" containsBlank="1"/>
    </cacheField>
    <cacheField name="Payout Type" numFmtId="0">
      <sharedItems count="1">
        <s v="Renew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">
  <r>
    <x v="0"/>
    <d v="2025-02-03T00:00:00"/>
    <s v="COMM"/>
    <s v="Product"/>
    <x v="0"/>
    <n v="4.07"/>
    <n v="0"/>
    <n v="4.07"/>
    <n v="653470"/>
    <s v="Main Line Benefits LLC"/>
    <m/>
    <m/>
    <m/>
    <m/>
    <m/>
    <x v="0"/>
    <m/>
    <x v="0"/>
    <x v="0"/>
    <s v="MD"/>
    <x v="0"/>
    <x v="0"/>
    <s v="NCD"/>
    <m/>
    <n v="38593"/>
    <x v="0"/>
    <x v="0"/>
    <s v="Monthly"/>
    <s v="Vision"/>
    <s v="VSP"/>
    <d v="2024-02-27T00:00:00"/>
    <d v="2024-03-01T00:00:00"/>
    <x v="0"/>
    <n v="10351696116"/>
    <m/>
    <x v="0"/>
    <s v="ACH"/>
    <n v="12"/>
    <d v="2025-02-01T00:00:00"/>
    <d v="2025-02-28T00:00:00"/>
    <x v="0"/>
    <n v="0.37"/>
    <n v="1289999515"/>
    <m/>
    <x v="0"/>
  </r>
  <r>
    <x v="0"/>
    <d v="2025-02-03T00:00:00"/>
    <s v="COMM"/>
    <s v="Product"/>
    <x v="0"/>
    <n v="6"/>
    <n v="0"/>
    <n v="6"/>
    <n v="653470"/>
    <s v="Main Line Benefits LLC"/>
    <m/>
    <m/>
    <m/>
    <m/>
    <m/>
    <x v="1"/>
    <m/>
    <x v="1"/>
    <x v="1"/>
    <s v="IL"/>
    <x v="1"/>
    <x v="1"/>
    <s v="NCD"/>
    <m/>
    <n v="38796"/>
    <x v="1"/>
    <x v="0"/>
    <s v="Monthly"/>
    <s v="Dental"/>
    <s v="MetLife"/>
    <d v="2024-06-06T00:00:00"/>
    <d v="2024-07-01T00:00:00"/>
    <x v="1"/>
    <n v="10351696713"/>
    <m/>
    <x v="0"/>
    <s v="ACH"/>
    <n v="8"/>
    <d v="2025-02-01T00:00:00"/>
    <d v="2025-02-28T00:00:00"/>
    <x v="1"/>
    <n v="0.24"/>
    <n v="1289999089"/>
    <m/>
    <x v="0"/>
  </r>
  <r>
    <x v="0"/>
    <d v="2025-02-03T00:00:00"/>
    <s v="COMM"/>
    <s v="Product"/>
    <x v="0"/>
    <n v="8"/>
    <n v="0"/>
    <n v="8"/>
    <n v="653470"/>
    <s v="Main Line Benefits LLC"/>
    <m/>
    <m/>
    <m/>
    <m/>
    <m/>
    <x v="2"/>
    <m/>
    <x v="2"/>
    <x v="2"/>
    <s v="MD"/>
    <x v="2"/>
    <x v="2"/>
    <s v="NCD"/>
    <m/>
    <n v="45041"/>
    <x v="2"/>
    <x v="0"/>
    <s v="Monthly"/>
    <s v="Dental"/>
    <s v="MetLife"/>
    <d v="2024-09-20T00:00:00"/>
    <d v="2024-10-01T00:00:00"/>
    <x v="2"/>
    <n v="10351699835"/>
    <m/>
    <x v="0"/>
    <s v="ACH"/>
    <n v="5"/>
    <d v="2025-02-01T00:00:00"/>
    <d v="2025-02-28T00:00:00"/>
    <x v="1"/>
    <n v="0.32"/>
    <n v="1289997165"/>
    <m/>
    <x v="0"/>
  </r>
  <r>
    <x v="0"/>
    <d v="2025-02-03T00:00:00"/>
    <s v="COMM"/>
    <s v="Product"/>
    <x v="0"/>
    <n v="8"/>
    <n v="0"/>
    <n v="8"/>
    <n v="653470"/>
    <s v="Main Line Benefits LLC"/>
    <m/>
    <m/>
    <m/>
    <m/>
    <m/>
    <x v="3"/>
    <m/>
    <x v="3"/>
    <x v="3"/>
    <s v="MD"/>
    <x v="2"/>
    <x v="2"/>
    <s v="NCD"/>
    <m/>
    <n v="45041"/>
    <x v="2"/>
    <x v="0"/>
    <s v="Monthly"/>
    <s v="Dental"/>
    <s v="MetLife"/>
    <d v="2024-10-03T00:00:00"/>
    <d v="2024-11-01T00:00:00"/>
    <x v="3"/>
    <n v="10365809041"/>
    <m/>
    <x v="0"/>
    <s v="CC"/>
    <n v="4"/>
    <d v="2025-02-01T00:00:00"/>
    <d v="2025-02-28T00:00:00"/>
    <x v="1"/>
    <n v="0.32"/>
    <n v="1289997377"/>
    <m/>
    <x v="0"/>
  </r>
  <r>
    <x v="0"/>
    <d v="2025-02-03T00:00:00"/>
    <s v="COMM"/>
    <s v="Product"/>
    <x v="0"/>
    <n v="29.44"/>
    <n v="0"/>
    <n v="29.44"/>
    <n v="653470"/>
    <s v="Main Line Benefits LLC"/>
    <m/>
    <m/>
    <m/>
    <m/>
    <m/>
    <x v="4"/>
    <m/>
    <x v="4"/>
    <x v="4"/>
    <s v="MD"/>
    <x v="2"/>
    <x v="2"/>
    <s v="NCD"/>
    <m/>
    <n v="45041"/>
    <x v="2"/>
    <x v="1"/>
    <s v="Monthly"/>
    <s v="Dental"/>
    <s v="MetLife"/>
    <d v="2024-12-31T00:00:00"/>
    <d v="2025-01-01T00:00:00"/>
    <x v="4"/>
    <n v="10364339243"/>
    <m/>
    <x v="0"/>
    <s v="CC"/>
    <n v="2"/>
    <d v="2025-02-01T00:00:00"/>
    <d v="2025-02-28T00:00:00"/>
    <x v="2"/>
    <n v="0.32"/>
    <n v="1290003749"/>
    <m/>
    <x v="0"/>
  </r>
  <r>
    <x v="0"/>
    <d v="2025-02-03T00:00:00"/>
    <s v="COMM"/>
    <s v="Product"/>
    <x v="0"/>
    <n v="7.4"/>
    <n v="0"/>
    <n v="7.4"/>
    <n v="653470"/>
    <s v="Main Line Benefits LLC"/>
    <m/>
    <m/>
    <m/>
    <m/>
    <m/>
    <x v="4"/>
    <m/>
    <x v="4"/>
    <x v="4"/>
    <s v="MD"/>
    <x v="2"/>
    <x v="2"/>
    <s v="NCD"/>
    <m/>
    <n v="38593"/>
    <x v="0"/>
    <x v="1"/>
    <s v="Monthly"/>
    <s v="Vision"/>
    <s v="VSP"/>
    <d v="2024-12-31T00:00:00"/>
    <d v="2025-01-01T00:00:00"/>
    <x v="5"/>
    <n v="10364339243"/>
    <m/>
    <x v="0"/>
    <s v="CC"/>
    <n v="2"/>
    <d v="2025-02-01T00:00:00"/>
    <d v="2025-02-28T00:00:00"/>
    <x v="3"/>
    <n v="0.37"/>
    <n v="1290003745"/>
    <m/>
    <x v="0"/>
  </r>
  <r>
    <x v="1"/>
    <d v="2025-02-03T00:00:00"/>
    <s v="COMM"/>
    <s v="Product"/>
    <x v="0"/>
    <n v="16"/>
    <n v="0"/>
    <n v="16"/>
    <n v="653470"/>
    <s v="Main Line Benefits LLC"/>
    <m/>
    <m/>
    <m/>
    <m/>
    <m/>
    <x v="5"/>
    <m/>
    <x v="5"/>
    <x v="5"/>
    <s v="MD"/>
    <x v="2"/>
    <x v="2"/>
    <s v="NCD"/>
    <m/>
    <n v="45041"/>
    <x v="2"/>
    <x v="2"/>
    <s v="Monthly"/>
    <s v="Dental"/>
    <s v="MetLife"/>
    <d v="2024-12-16T00:00:00"/>
    <d v="2025-01-01T00:00:00"/>
    <x v="6"/>
    <n v="10349603857"/>
    <m/>
    <x v="0"/>
    <s v="ACH"/>
    <n v="2"/>
    <d v="2025-02-01T00:00:00"/>
    <d v="2025-02-28T00:00:00"/>
    <x v="4"/>
    <n v="0.32"/>
    <n v="1290008584"/>
    <m/>
    <x v="0"/>
  </r>
  <r>
    <x v="1"/>
    <d v="2025-02-03T00:00:00"/>
    <s v="COMM"/>
    <s v="Product"/>
    <x v="0"/>
    <n v="17.760000000000002"/>
    <n v="0"/>
    <n v="17.760000000000002"/>
    <n v="653470"/>
    <s v="Main Line Benefits LLC"/>
    <m/>
    <m/>
    <m/>
    <m/>
    <m/>
    <x v="6"/>
    <m/>
    <x v="6"/>
    <x v="6"/>
    <s v="DE"/>
    <x v="3"/>
    <x v="3"/>
    <s v="NCD"/>
    <m/>
    <n v="38399"/>
    <x v="3"/>
    <x v="0"/>
    <s v="Monthly"/>
    <s v="Dental"/>
    <s v="MetLife"/>
    <d v="2024-12-02T00:00:00"/>
    <d v="2025-01-01T00:00:00"/>
    <x v="7"/>
    <n v="10347191436"/>
    <m/>
    <x v="0"/>
    <s v="ACH"/>
    <n v="2"/>
    <d v="2025-02-01T00:00:00"/>
    <d v="2025-02-28T00:00:00"/>
    <x v="5"/>
    <n v="0.24"/>
    <n v="1290018672"/>
    <m/>
    <x v="0"/>
  </r>
  <r>
    <x v="1"/>
    <d v="2025-02-03T00:00:00"/>
    <s v="COMM"/>
    <s v="Product"/>
    <x v="0"/>
    <n v="4.07"/>
    <n v="0"/>
    <n v="4.07"/>
    <n v="653470"/>
    <s v="Main Line Benefits LLC"/>
    <m/>
    <m/>
    <m/>
    <m/>
    <m/>
    <x v="7"/>
    <m/>
    <x v="7"/>
    <x v="7"/>
    <s v="MD"/>
    <x v="2"/>
    <x v="2"/>
    <s v="NCD"/>
    <m/>
    <n v="38593"/>
    <x v="0"/>
    <x v="0"/>
    <s v="Monthly"/>
    <s v="Vision"/>
    <s v="VSP"/>
    <d v="2024-09-30T00:00:00"/>
    <d v="2024-10-01T00:00:00"/>
    <x v="8"/>
    <n v="10361191229"/>
    <m/>
    <x v="0"/>
    <s v="CC"/>
    <n v="5"/>
    <d v="2025-02-01T00:00:00"/>
    <d v="2025-02-28T00:00:00"/>
    <x v="0"/>
    <n v="0.37"/>
    <n v="1290043732"/>
    <m/>
    <x v="0"/>
  </r>
  <r>
    <x v="1"/>
    <d v="2025-02-03T00:00:00"/>
    <s v="COMM"/>
    <s v="Product"/>
    <x v="0"/>
    <n v="8"/>
    <n v="0"/>
    <n v="8"/>
    <n v="653470"/>
    <s v="Main Line Benefits LLC"/>
    <m/>
    <m/>
    <m/>
    <m/>
    <m/>
    <x v="7"/>
    <m/>
    <x v="7"/>
    <x v="7"/>
    <s v="MD"/>
    <x v="2"/>
    <x v="2"/>
    <s v="NCD"/>
    <m/>
    <n v="45041"/>
    <x v="2"/>
    <x v="0"/>
    <s v="Monthly"/>
    <s v="Dental"/>
    <s v="MetLife"/>
    <d v="2024-09-30T00:00:00"/>
    <d v="2024-10-01T00:00:00"/>
    <x v="9"/>
    <n v="10361191229"/>
    <m/>
    <x v="0"/>
    <s v="CC"/>
    <n v="5"/>
    <d v="2025-02-01T00:00:00"/>
    <d v="2025-02-28T00:00:00"/>
    <x v="1"/>
    <n v="0.32"/>
    <n v="1290043734"/>
    <m/>
    <x v="0"/>
  </r>
  <r>
    <x v="1"/>
    <d v="2025-02-03T00:00:00"/>
    <s v="COMM"/>
    <s v="Product"/>
    <x v="0"/>
    <n v="17.04"/>
    <n v="0"/>
    <n v="17.04"/>
    <n v="653470"/>
    <s v="Main Line Benefits LLC"/>
    <m/>
    <m/>
    <m/>
    <m/>
    <m/>
    <x v="8"/>
    <m/>
    <x v="8"/>
    <x v="8"/>
    <s v="IL"/>
    <x v="4"/>
    <x v="4"/>
    <s v="NCD"/>
    <m/>
    <n v="38399"/>
    <x v="3"/>
    <x v="0"/>
    <s v="Monthly"/>
    <s v="Dental"/>
    <s v="MetLife"/>
    <d v="2024-06-24T00:00:00"/>
    <d v="2024-07-01T00:00:00"/>
    <x v="10"/>
    <n v="10343661915"/>
    <m/>
    <x v="0"/>
    <s v="ACH"/>
    <n v="8"/>
    <d v="2025-02-01T00:00:00"/>
    <d v="2025-02-28T00:00:00"/>
    <x v="6"/>
    <n v="0.24"/>
    <n v="1290055758"/>
    <m/>
    <x v="0"/>
  </r>
  <r>
    <x v="1"/>
    <d v="2025-02-03T00:00:00"/>
    <s v="COMM"/>
    <s v="Product"/>
    <x v="0"/>
    <n v="14.4"/>
    <n v="0"/>
    <n v="14.4"/>
    <n v="653470"/>
    <s v="Main Line Benefits LLC"/>
    <m/>
    <m/>
    <m/>
    <m/>
    <m/>
    <x v="9"/>
    <m/>
    <x v="9"/>
    <x v="9"/>
    <s v="PA"/>
    <x v="3"/>
    <x v="3"/>
    <s v="NCD"/>
    <m/>
    <n v="38399"/>
    <x v="3"/>
    <x v="0"/>
    <s v="Monthly"/>
    <s v="Dental"/>
    <s v="MetLife"/>
    <d v="2023-10-31T00:00:00"/>
    <d v="2023-11-01T00:00:00"/>
    <x v="11"/>
    <n v="10361268777"/>
    <m/>
    <x v="0"/>
    <s v="CC"/>
    <n v="16"/>
    <d v="2025-02-01T00:00:00"/>
    <d v="2025-02-28T00:00:00"/>
    <x v="7"/>
    <n v="0.24"/>
    <n v="1290031670"/>
    <m/>
    <x v="0"/>
  </r>
  <r>
    <x v="2"/>
    <d v="2025-02-03T00:00:00"/>
    <s v="COMM"/>
    <s v="Product"/>
    <x v="0"/>
    <n v="1.8"/>
    <n v="0"/>
    <n v="1.8"/>
    <n v="653470"/>
    <s v="Main Line Benefits LLC"/>
    <m/>
    <m/>
    <m/>
    <m/>
    <m/>
    <x v="10"/>
    <m/>
    <x v="10"/>
    <x v="10"/>
    <s v="FL"/>
    <x v="5"/>
    <x v="5"/>
    <s v="NCD"/>
    <m/>
    <n v="38399"/>
    <x v="3"/>
    <x v="0"/>
    <s v="Monthly"/>
    <s v="Dental"/>
    <s v="MetLife"/>
    <d v="2023-12-31T00:00:00"/>
    <d v="2024-01-01T00:00:00"/>
    <x v="12"/>
    <n v="10358034707"/>
    <m/>
    <x v="0"/>
    <s v="CC"/>
    <n v="14"/>
    <d v="2025-02-01T00:00:00"/>
    <d v="2025-02-28T00:00:00"/>
    <x v="7"/>
    <n v="0.03"/>
    <n v="1290088294"/>
    <m/>
    <x v="0"/>
  </r>
  <r>
    <x v="2"/>
    <d v="2025-02-03T00:00:00"/>
    <s v="COMM"/>
    <s v="Product"/>
    <x v="0"/>
    <n v="0.33"/>
    <n v="0"/>
    <n v="0.33"/>
    <n v="653470"/>
    <s v="Main Line Benefits LLC"/>
    <m/>
    <m/>
    <m/>
    <m/>
    <m/>
    <x v="10"/>
    <m/>
    <x v="10"/>
    <x v="10"/>
    <s v="FL"/>
    <x v="5"/>
    <x v="5"/>
    <s v="NCD"/>
    <m/>
    <n v="38593"/>
    <x v="0"/>
    <x v="0"/>
    <s v="Monthly"/>
    <s v="Vision"/>
    <s v="VSP"/>
    <d v="2023-12-31T00:00:00"/>
    <d v="2024-01-01T00:00:00"/>
    <x v="13"/>
    <n v="10358034707"/>
    <m/>
    <x v="0"/>
    <s v="CC"/>
    <n v="14"/>
    <d v="2025-02-01T00:00:00"/>
    <d v="2025-02-28T00:00:00"/>
    <x v="0"/>
    <n v="0.03"/>
    <n v="1290088297"/>
    <m/>
    <x v="0"/>
  </r>
  <r>
    <x v="2"/>
    <d v="2025-02-03T00:00:00"/>
    <s v="COMM"/>
    <s v="Product"/>
    <x v="0"/>
    <n v="5.55"/>
    <n v="0"/>
    <n v="5.55"/>
    <n v="653470"/>
    <s v="Main Line Benefits LLC"/>
    <m/>
    <m/>
    <m/>
    <m/>
    <m/>
    <x v="11"/>
    <m/>
    <x v="11"/>
    <x v="11"/>
    <s v="IL"/>
    <x v="6"/>
    <x v="6"/>
    <s v="NCD"/>
    <m/>
    <n v="38593"/>
    <x v="0"/>
    <x v="3"/>
    <s v="Monthly"/>
    <s v="Vision"/>
    <s v="VSP"/>
    <d v="2024-08-29T00:00:00"/>
    <d v="2024-09-01T00:00:00"/>
    <x v="14"/>
    <n v="10358022809"/>
    <m/>
    <x v="0"/>
    <s v="CC"/>
    <n v="6"/>
    <d v="2025-02-01T00:00:00"/>
    <d v="2025-02-28T00:00:00"/>
    <x v="8"/>
    <n v="0.37"/>
    <n v="1290091316"/>
    <m/>
    <x v="0"/>
  </r>
  <r>
    <x v="2"/>
    <d v="2025-02-03T00:00:00"/>
    <s v="COMM"/>
    <s v="Product"/>
    <x v="0"/>
    <n v="16"/>
    <n v="0"/>
    <n v="16"/>
    <n v="653470"/>
    <s v="Main Line Benefits LLC"/>
    <m/>
    <m/>
    <m/>
    <m/>
    <m/>
    <x v="12"/>
    <m/>
    <x v="12"/>
    <x v="12"/>
    <s v="MD"/>
    <x v="2"/>
    <x v="2"/>
    <s v="NCD"/>
    <m/>
    <n v="45041"/>
    <x v="2"/>
    <x v="2"/>
    <s v="Monthly"/>
    <s v="Dental"/>
    <s v="MetLife"/>
    <d v="2024-10-23T00:00:00"/>
    <d v="2024-11-01T00:00:00"/>
    <x v="15"/>
    <n v="10340557009"/>
    <m/>
    <x v="0"/>
    <s v="ACH"/>
    <n v="4"/>
    <d v="2025-02-01T00:00:00"/>
    <d v="2025-02-28T00:00:00"/>
    <x v="4"/>
    <n v="0.32"/>
    <n v="1290066837"/>
    <m/>
    <x v="0"/>
  </r>
  <r>
    <x v="2"/>
    <d v="2025-02-03T00:00:00"/>
    <s v="COMM"/>
    <s v="Product"/>
    <x v="0"/>
    <n v="4.07"/>
    <n v="0"/>
    <n v="4.07"/>
    <n v="653470"/>
    <s v="Main Line Benefits LLC"/>
    <m/>
    <m/>
    <m/>
    <m/>
    <m/>
    <x v="13"/>
    <m/>
    <x v="13"/>
    <x v="13"/>
    <s v="MD"/>
    <x v="2"/>
    <x v="2"/>
    <s v="NCD"/>
    <m/>
    <n v="38593"/>
    <x v="0"/>
    <x v="0"/>
    <s v="Monthly"/>
    <s v="Vision"/>
    <s v="VSP"/>
    <d v="2024-11-05T00:00:00"/>
    <d v="2024-12-01T00:00:00"/>
    <x v="16"/>
    <n v="10358023818"/>
    <m/>
    <x v="0"/>
    <s v="CC"/>
    <n v="3"/>
    <d v="2025-02-01T00:00:00"/>
    <d v="2025-02-28T00:00:00"/>
    <x v="0"/>
    <n v="0.37"/>
    <n v="1290091046"/>
    <m/>
    <x v="0"/>
  </r>
  <r>
    <x v="2"/>
    <d v="2025-02-03T00:00:00"/>
    <s v="COMM"/>
    <s v="Product"/>
    <x v="0"/>
    <n v="8"/>
    <n v="0"/>
    <n v="8"/>
    <n v="653470"/>
    <s v="Main Line Benefits LLC"/>
    <m/>
    <m/>
    <m/>
    <m/>
    <m/>
    <x v="13"/>
    <m/>
    <x v="13"/>
    <x v="13"/>
    <s v="MD"/>
    <x v="2"/>
    <x v="2"/>
    <s v="NCD"/>
    <m/>
    <n v="45041"/>
    <x v="2"/>
    <x v="0"/>
    <s v="Monthly"/>
    <s v="Dental"/>
    <s v="MetLife"/>
    <d v="2024-11-05T00:00:00"/>
    <d v="2024-12-01T00:00:00"/>
    <x v="17"/>
    <n v="10358023818"/>
    <m/>
    <x v="0"/>
    <s v="CC"/>
    <n v="3"/>
    <d v="2025-02-01T00:00:00"/>
    <d v="2025-02-28T00:00:00"/>
    <x v="1"/>
    <n v="0.32"/>
    <n v="1290091050"/>
    <m/>
    <x v="0"/>
  </r>
  <r>
    <x v="3"/>
    <d v="2025-02-03T00:00:00"/>
    <s v="COMM"/>
    <s v="Product"/>
    <x v="0"/>
    <n v="8"/>
    <n v="0"/>
    <n v="8"/>
    <n v="653470"/>
    <s v="Main Line Benefits LLC"/>
    <m/>
    <m/>
    <m/>
    <m/>
    <m/>
    <x v="14"/>
    <m/>
    <x v="14"/>
    <x v="14"/>
    <s v="MD"/>
    <x v="2"/>
    <x v="2"/>
    <s v="NCD"/>
    <m/>
    <n v="45041"/>
    <x v="2"/>
    <x v="0"/>
    <s v="Monthly"/>
    <s v="Dental"/>
    <s v="MetLife"/>
    <d v="2024-11-19T00:00:00"/>
    <d v="2024-12-01T00:00:00"/>
    <x v="18"/>
    <n v="10355061533"/>
    <m/>
    <x v="0"/>
    <s v="CC"/>
    <n v="3"/>
    <d v="2025-02-01T00:00:00"/>
    <d v="2025-02-28T00:00:00"/>
    <x v="1"/>
    <n v="0.32"/>
    <n v="1290119376"/>
    <m/>
    <x v="0"/>
  </r>
  <r>
    <x v="3"/>
    <d v="2025-02-03T00:00:00"/>
    <s v="COMM"/>
    <s v="Product"/>
    <x v="0"/>
    <n v="9.6"/>
    <n v="0"/>
    <n v="9.6"/>
    <n v="653470"/>
    <s v="Main Line Benefits LLC"/>
    <m/>
    <m/>
    <m/>
    <m/>
    <m/>
    <x v="15"/>
    <m/>
    <x v="15"/>
    <x v="15"/>
    <s v="MD"/>
    <x v="7"/>
    <x v="7"/>
    <s v="NCD"/>
    <m/>
    <n v="45041"/>
    <x v="2"/>
    <x v="0"/>
    <s v="Monthly"/>
    <s v="Dental"/>
    <s v="MetLife"/>
    <d v="2024-10-28T00:00:00"/>
    <d v="2024-11-01T00:00:00"/>
    <x v="19"/>
    <n v="10355058596"/>
    <m/>
    <x v="0"/>
    <s v="CC"/>
    <n v="4"/>
    <d v="2025-02-01T00:00:00"/>
    <d v="2025-02-28T00:00:00"/>
    <x v="9"/>
    <n v="0.32"/>
    <n v="1290119991"/>
    <m/>
    <x v="0"/>
  </r>
  <r>
    <x v="4"/>
    <d v="2025-02-03T00:00:00"/>
    <s v="COMM"/>
    <s v="Product"/>
    <x v="0"/>
    <n v="9.6"/>
    <n v="0"/>
    <n v="9.6"/>
    <n v="653470"/>
    <s v="Main Line Benefits LLC"/>
    <m/>
    <m/>
    <m/>
    <m/>
    <m/>
    <x v="16"/>
    <m/>
    <x v="16"/>
    <x v="16"/>
    <s v="MD"/>
    <x v="2"/>
    <x v="2"/>
    <s v="NCD"/>
    <m/>
    <n v="45041"/>
    <x v="2"/>
    <x v="0"/>
    <s v="Monthly"/>
    <s v="Dental"/>
    <s v="MetLife"/>
    <d v="2024-12-27T00:00:00"/>
    <d v="2025-01-01T00:00:00"/>
    <x v="20"/>
    <n v="10351696965"/>
    <m/>
    <x v="0"/>
    <s v="CC"/>
    <n v="2"/>
    <d v="2025-02-01T00:00:00"/>
    <d v="2025-02-28T00:00:00"/>
    <x v="9"/>
    <n v="0.32"/>
    <n v="1290156241"/>
    <m/>
    <x v="0"/>
  </r>
  <r>
    <x v="5"/>
    <d v="2025-02-03T00:00:00"/>
    <s v="COMM"/>
    <s v="Product"/>
    <x v="0"/>
    <n v="8"/>
    <n v="0"/>
    <n v="8"/>
    <n v="653470"/>
    <s v="Main Line Benefits LLC"/>
    <m/>
    <m/>
    <m/>
    <m/>
    <m/>
    <x v="17"/>
    <m/>
    <x v="17"/>
    <x v="17"/>
    <s v="MD"/>
    <x v="2"/>
    <x v="2"/>
    <s v="NCD"/>
    <m/>
    <n v="45041"/>
    <x v="2"/>
    <x v="0"/>
    <s v="Monthly"/>
    <s v="Dental"/>
    <s v="MetLife"/>
    <d v="2024-11-26T00:00:00"/>
    <d v="2024-12-01T00:00:00"/>
    <x v="21"/>
    <n v="10349603562"/>
    <m/>
    <x v="0"/>
    <s v="CC"/>
    <n v="3"/>
    <d v="2025-02-01T00:00:00"/>
    <d v="2025-02-28T00:00:00"/>
    <x v="1"/>
    <n v="0.32"/>
    <n v="1290169055"/>
    <m/>
    <x v="0"/>
  </r>
  <r>
    <x v="5"/>
    <d v="2025-02-03T00:00:00"/>
    <s v="COMM"/>
    <s v="Product"/>
    <x v="0"/>
    <n v="8"/>
    <n v="0"/>
    <n v="8"/>
    <n v="653470"/>
    <s v="Main Line Benefits LLC"/>
    <m/>
    <m/>
    <m/>
    <m/>
    <m/>
    <x v="18"/>
    <m/>
    <x v="18"/>
    <x v="18"/>
    <s v="MD"/>
    <x v="2"/>
    <x v="2"/>
    <s v="NCD"/>
    <m/>
    <n v="45041"/>
    <x v="2"/>
    <x v="0"/>
    <s v="Monthly"/>
    <s v="Dental"/>
    <s v="MetLife"/>
    <d v="2024-11-22T00:00:00"/>
    <d v="2024-12-01T00:00:00"/>
    <x v="22"/>
    <n v="10337595712"/>
    <m/>
    <x v="0"/>
    <s v="ACH"/>
    <n v="3"/>
    <d v="2025-02-01T00:00:00"/>
    <d v="2025-02-28T00:00:00"/>
    <x v="1"/>
    <n v="0.32"/>
    <n v="1290075176"/>
    <m/>
    <x v="0"/>
  </r>
  <r>
    <x v="5"/>
    <d v="2025-02-03T00:00:00"/>
    <s v="COMM"/>
    <s v="Product"/>
    <x v="0"/>
    <n v="8"/>
    <n v="0"/>
    <n v="8"/>
    <n v="653470"/>
    <s v="Main Line Benefits LLC"/>
    <m/>
    <m/>
    <m/>
    <m/>
    <m/>
    <x v="19"/>
    <m/>
    <x v="19"/>
    <x v="19"/>
    <s v="MD"/>
    <x v="2"/>
    <x v="2"/>
    <s v="NCD"/>
    <m/>
    <n v="45041"/>
    <x v="2"/>
    <x v="0"/>
    <s v="Monthly"/>
    <s v="Dental"/>
    <s v="MetLife"/>
    <d v="2024-09-26T00:00:00"/>
    <d v="2024-10-01T00:00:00"/>
    <x v="23"/>
    <n v="10349602523"/>
    <m/>
    <x v="0"/>
    <s v="CC"/>
    <n v="5"/>
    <d v="2025-02-01T00:00:00"/>
    <d v="2025-02-28T00:00:00"/>
    <x v="1"/>
    <n v="0.32"/>
    <n v="1290169650"/>
    <m/>
    <x v="0"/>
  </r>
  <r>
    <x v="6"/>
    <d v="2025-02-03T00:00:00"/>
    <s v="COMM"/>
    <s v="Product"/>
    <x v="0"/>
    <n v="9.1199999999999992"/>
    <n v="0"/>
    <n v="9.1199999999999992"/>
    <n v="653470"/>
    <s v="Main Line Benefits LLC"/>
    <m/>
    <m/>
    <m/>
    <m/>
    <m/>
    <x v="20"/>
    <m/>
    <x v="20"/>
    <x v="20"/>
    <s v="MD"/>
    <x v="2"/>
    <x v="2"/>
    <s v="NCD"/>
    <m/>
    <n v="42249"/>
    <x v="4"/>
    <x v="0"/>
    <s v="Monthly"/>
    <s v="Dental"/>
    <s v="MetLife"/>
    <d v="2024-08-21T00:00:00"/>
    <d v="2024-09-01T00:00:00"/>
    <x v="24"/>
    <n v="10334503373"/>
    <m/>
    <x v="0"/>
    <s v="ACH"/>
    <n v="6"/>
    <d v="2025-02-01T00:00:00"/>
    <d v="2025-02-28T00:00:00"/>
    <x v="10"/>
    <n v="0.24"/>
    <n v="1290087891"/>
    <m/>
    <x v="0"/>
  </r>
  <r>
    <x v="6"/>
    <d v="2025-02-03T00:00:00"/>
    <s v="COMM"/>
    <s v="Product"/>
    <x v="0"/>
    <n v="4.07"/>
    <n v="0"/>
    <n v="4.07"/>
    <n v="653470"/>
    <s v="Main Line Benefits LLC"/>
    <m/>
    <m/>
    <m/>
    <m/>
    <m/>
    <x v="20"/>
    <m/>
    <x v="20"/>
    <x v="20"/>
    <s v="MD"/>
    <x v="2"/>
    <x v="2"/>
    <s v="NCD"/>
    <m/>
    <n v="38593"/>
    <x v="0"/>
    <x v="0"/>
    <s v="Monthly"/>
    <s v="Vision"/>
    <s v="VSP"/>
    <d v="2024-08-21T00:00:00"/>
    <d v="2024-09-01T00:00:00"/>
    <x v="25"/>
    <n v="10334503373"/>
    <m/>
    <x v="0"/>
    <s v="ACH"/>
    <n v="6"/>
    <d v="2025-02-01T00:00:00"/>
    <d v="2025-02-28T00:00:00"/>
    <x v="0"/>
    <n v="0.37"/>
    <n v="1290087888"/>
    <m/>
    <x v="0"/>
  </r>
  <r>
    <x v="6"/>
    <d v="2025-02-03T00:00:00"/>
    <s v="COMM"/>
    <s v="Product"/>
    <x v="0"/>
    <n v="8"/>
    <n v="0"/>
    <n v="8"/>
    <n v="653470"/>
    <s v="Main Line Benefits LLC"/>
    <m/>
    <m/>
    <m/>
    <m/>
    <m/>
    <x v="21"/>
    <m/>
    <x v="21"/>
    <x v="21"/>
    <s v="MD"/>
    <x v="2"/>
    <x v="2"/>
    <s v="NCD"/>
    <m/>
    <n v="45041"/>
    <x v="2"/>
    <x v="0"/>
    <s v="Monthly"/>
    <s v="Dental"/>
    <s v="MetLife"/>
    <d v="2024-09-25T00:00:00"/>
    <d v="2024-10-01T00:00:00"/>
    <x v="26"/>
    <n v="10347158847"/>
    <m/>
    <x v="0"/>
    <s v="CC"/>
    <n v="5"/>
    <d v="2025-02-01T00:00:00"/>
    <d v="2025-02-28T00:00:00"/>
    <x v="1"/>
    <n v="0.32"/>
    <n v="1290190558"/>
    <m/>
    <x v="0"/>
  </r>
  <r>
    <x v="6"/>
    <d v="2025-02-03T00:00:00"/>
    <s v="COMM"/>
    <s v="Product"/>
    <x v="0"/>
    <n v="29.44"/>
    <n v="0"/>
    <n v="29.44"/>
    <n v="653470"/>
    <s v="Main Line Benefits LLC"/>
    <m/>
    <m/>
    <m/>
    <m/>
    <m/>
    <x v="22"/>
    <m/>
    <x v="22"/>
    <x v="22"/>
    <s v="MD"/>
    <x v="8"/>
    <x v="8"/>
    <s v="NCD"/>
    <m/>
    <n v="45041"/>
    <x v="2"/>
    <x v="1"/>
    <s v="Monthly"/>
    <s v="Dental"/>
    <s v="MetLife"/>
    <d v="2024-09-25T00:00:00"/>
    <d v="2024-10-01T00:00:00"/>
    <x v="27"/>
    <n v="10347158798"/>
    <m/>
    <x v="0"/>
    <s v="CC"/>
    <n v="5"/>
    <d v="2025-02-01T00:00:00"/>
    <d v="2025-02-28T00:00:00"/>
    <x v="2"/>
    <n v="0.32"/>
    <n v="1290190578"/>
    <m/>
    <x v="0"/>
  </r>
  <r>
    <x v="7"/>
    <d v="2025-02-03T00:00:00"/>
    <s v="COMM"/>
    <s v="Product"/>
    <x v="0"/>
    <n v="16"/>
    <n v="0"/>
    <n v="16"/>
    <n v="653470"/>
    <s v="Main Line Benefits LLC"/>
    <m/>
    <m/>
    <m/>
    <m/>
    <m/>
    <x v="23"/>
    <m/>
    <x v="19"/>
    <x v="23"/>
    <s v="MD"/>
    <x v="2"/>
    <x v="2"/>
    <s v="NCD"/>
    <m/>
    <n v="45041"/>
    <x v="2"/>
    <x v="2"/>
    <s v="Monthly"/>
    <s v="Dental"/>
    <s v="MetLife"/>
    <d v="2024-10-17T00:00:00"/>
    <d v="2024-11-01T00:00:00"/>
    <x v="28"/>
    <n v="10323469071"/>
    <m/>
    <x v="0"/>
    <s v="ACH"/>
    <n v="4"/>
    <d v="2025-02-01T00:00:00"/>
    <d v="2025-02-28T00:00:00"/>
    <x v="4"/>
    <n v="0.32"/>
    <n v="1290129096"/>
    <m/>
    <x v="0"/>
  </r>
  <r>
    <x v="7"/>
    <d v="2025-02-03T00:00:00"/>
    <s v="COMM"/>
    <s v="Product"/>
    <x v="0"/>
    <n v="22.32"/>
    <n v="0"/>
    <n v="22.32"/>
    <n v="653470"/>
    <s v="Main Line Benefits LLC"/>
    <m/>
    <m/>
    <m/>
    <m/>
    <m/>
    <x v="24"/>
    <m/>
    <x v="23"/>
    <x v="24"/>
    <s v="TX"/>
    <x v="9"/>
    <x v="9"/>
    <s v="NCD"/>
    <m/>
    <n v="38796"/>
    <x v="1"/>
    <x v="1"/>
    <s v="Monthly"/>
    <s v="Dental"/>
    <s v="MetLife"/>
    <d v="2024-07-18T00:00:00"/>
    <d v="2024-08-01T00:00:00"/>
    <x v="29"/>
    <n v="10326943858"/>
    <m/>
    <x v="0"/>
    <s v="ACH"/>
    <n v="7"/>
    <d v="2025-02-01T00:00:00"/>
    <d v="2025-02-28T00:00:00"/>
    <x v="11"/>
    <n v="0.24"/>
    <n v="1290123374"/>
    <m/>
    <x v="0"/>
  </r>
  <r>
    <x v="7"/>
    <d v="2025-02-03T00:00:00"/>
    <s v="COMM"/>
    <s v="Product"/>
    <x v="0"/>
    <n v="8"/>
    <n v="0"/>
    <n v="8"/>
    <n v="653470"/>
    <s v="Main Line Benefits LLC"/>
    <m/>
    <m/>
    <m/>
    <m/>
    <m/>
    <x v="25"/>
    <m/>
    <x v="24"/>
    <x v="25"/>
    <s v="MD"/>
    <x v="2"/>
    <x v="2"/>
    <s v="NCD"/>
    <m/>
    <n v="45041"/>
    <x v="2"/>
    <x v="0"/>
    <s v="Monthly"/>
    <s v="Dental"/>
    <s v="MetLife"/>
    <d v="2024-10-01T00:00:00"/>
    <d v="2024-11-01T00:00:00"/>
    <x v="30"/>
    <n v="10343659416"/>
    <m/>
    <x v="0"/>
    <s v="CC"/>
    <n v="4"/>
    <d v="2025-02-01T00:00:00"/>
    <d v="2025-02-28T00:00:00"/>
    <x v="1"/>
    <n v="0.32"/>
    <n v="1290217421"/>
    <m/>
    <x v="0"/>
  </r>
  <r>
    <x v="7"/>
    <d v="2025-02-03T00:00:00"/>
    <s v="COMM"/>
    <s v="Product"/>
    <x v="0"/>
    <n v="6"/>
    <n v="0"/>
    <n v="6"/>
    <n v="653470"/>
    <s v="Main Line Benefits LLC"/>
    <m/>
    <m/>
    <m/>
    <m/>
    <m/>
    <x v="26"/>
    <m/>
    <x v="25"/>
    <x v="26"/>
    <s v="PA"/>
    <x v="3"/>
    <x v="3"/>
    <s v="NCD"/>
    <m/>
    <n v="38796"/>
    <x v="1"/>
    <x v="0"/>
    <s v="Monthly"/>
    <s v="Dental"/>
    <s v="MetLife"/>
    <d v="2024-05-20T00:00:00"/>
    <d v="2024-06-01T00:00:00"/>
    <x v="31"/>
    <n v="10331379494"/>
    <m/>
    <x v="0"/>
    <s v="ACH"/>
    <n v="9"/>
    <d v="2025-02-01T00:00:00"/>
    <d v="2025-02-28T00:00:00"/>
    <x v="1"/>
    <n v="0.24"/>
    <n v="1290102698"/>
    <m/>
    <x v="0"/>
  </r>
  <r>
    <x v="7"/>
    <d v="2025-02-03T00:00:00"/>
    <s v="COMM"/>
    <s v="Product"/>
    <x v="0"/>
    <n v="0.33"/>
    <n v="0"/>
    <n v="0.33"/>
    <n v="653470"/>
    <s v="Main Line Benefits LLC"/>
    <m/>
    <m/>
    <m/>
    <m/>
    <m/>
    <x v="10"/>
    <m/>
    <x v="10"/>
    <x v="10"/>
    <s v="FL"/>
    <x v="5"/>
    <x v="5"/>
    <s v="NCD"/>
    <m/>
    <n v="38593"/>
    <x v="0"/>
    <x v="0"/>
    <s v="Monthly"/>
    <s v="Vision"/>
    <s v="VSP"/>
    <d v="2023-12-31T00:00:00"/>
    <d v="2024-01-01T00:00:00"/>
    <x v="13"/>
    <n v="10344897438"/>
    <m/>
    <x v="0"/>
    <s v="CC"/>
    <n v="13"/>
    <d v="2025-01-01T00:00:00"/>
    <d v="2025-01-31T00:00:00"/>
    <x v="0"/>
    <n v="0.03"/>
    <n v="1290212221"/>
    <m/>
    <x v="0"/>
  </r>
  <r>
    <x v="7"/>
    <d v="2025-02-03T00:00:00"/>
    <s v="COMM"/>
    <s v="Product"/>
    <x v="0"/>
    <n v="1.8"/>
    <n v="0"/>
    <n v="1.8"/>
    <n v="653470"/>
    <s v="Main Line Benefits LLC"/>
    <m/>
    <m/>
    <m/>
    <m/>
    <m/>
    <x v="10"/>
    <m/>
    <x v="10"/>
    <x v="10"/>
    <s v="FL"/>
    <x v="5"/>
    <x v="5"/>
    <s v="NCD"/>
    <m/>
    <n v="38399"/>
    <x v="3"/>
    <x v="0"/>
    <s v="Monthly"/>
    <s v="Dental"/>
    <s v="MetLife"/>
    <d v="2023-12-31T00:00:00"/>
    <d v="2024-01-01T00:00:00"/>
    <x v="12"/>
    <n v="10344897438"/>
    <m/>
    <x v="0"/>
    <s v="CC"/>
    <n v="13"/>
    <d v="2025-01-01T00:00:00"/>
    <d v="2025-01-31T00:00:00"/>
    <x v="7"/>
    <n v="0.03"/>
    <n v="1290212218"/>
    <m/>
    <x v="0"/>
  </r>
  <r>
    <x v="8"/>
    <d v="2025-02-03T00:00:00"/>
    <s v="COMM"/>
    <s v="Product"/>
    <x v="0"/>
    <n v="1.8"/>
    <n v="0"/>
    <n v="1.8"/>
    <n v="653470"/>
    <s v="Main Line Benefits LLC"/>
    <m/>
    <m/>
    <m/>
    <m/>
    <m/>
    <x v="10"/>
    <m/>
    <x v="10"/>
    <x v="10"/>
    <s v="FL"/>
    <x v="5"/>
    <x v="5"/>
    <s v="NCD"/>
    <m/>
    <n v="38399"/>
    <x v="3"/>
    <x v="0"/>
    <s v="Monthly"/>
    <s v="Dental"/>
    <s v="MetLife"/>
    <d v="2023-12-31T00:00:00"/>
    <d v="2024-01-01T00:00:00"/>
    <x v="12"/>
    <n v="10342231505"/>
    <m/>
    <x v="0"/>
    <s v="CC"/>
    <n v="12"/>
    <d v="2024-12-01T00:00:00"/>
    <d v="2024-12-31T00:00:00"/>
    <x v="7"/>
    <n v="0.03"/>
    <n v="1290221272"/>
    <m/>
    <x v="0"/>
  </r>
  <r>
    <x v="8"/>
    <d v="2025-02-03T00:00:00"/>
    <s v="COMM"/>
    <s v="Product"/>
    <x v="0"/>
    <n v="0.33"/>
    <n v="0"/>
    <n v="0.33"/>
    <n v="653470"/>
    <s v="Main Line Benefits LLC"/>
    <m/>
    <m/>
    <m/>
    <m/>
    <m/>
    <x v="10"/>
    <m/>
    <x v="10"/>
    <x v="10"/>
    <s v="FL"/>
    <x v="5"/>
    <x v="5"/>
    <s v="NCD"/>
    <m/>
    <n v="38593"/>
    <x v="0"/>
    <x v="0"/>
    <s v="Monthly"/>
    <s v="Vision"/>
    <s v="VSP"/>
    <d v="2023-12-31T00:00:00"/>
    <d v="2024-01-01T00:00:00"/>
    <x v="13"/>
    <n v="10342231505"/>
    <m/>
    <x v="0"/>
    <s v="CC"/>
    <n v="12"/>
    <d v="2024-12-01T00:00:00"/>
    <d v="2024-12-31T00:00:00"/>
    <x v="0"/>
    <n v="0.03"/>
    <n v="1290221276"/>
    <m/>
    <x v="0"/>
  </r>
  <r>
    <x v="8"/>
    <d v="2025-02-03T00:00:00"/>
    <s v="COMM"/>
    <s v="Product"/>
    <x v="0"/>
    <n v="8"/>
    <n v="0"/>
    <n v="8"/>
    <n v="653470"/>
    <s v="Main Line Benefits LLC"/>
    <m/>
    <m/>
    <m/>
    <m/>
    <m/>
    <x v="27"/>
    <m/>
    <x v="26"/>
    <x v="27"/>
    <s v="MD"/>
    <x v="2"/>
    <x v="2"/>
    <s v="NCD"/>
    <m/>
    <n v="45041"/>
    <x v="2"/>
    <x v="0"/>
    <s v="Monthly"/>
    <s v="Dental"/>
    <s v="MetLife"/>
    <d v="2024-12-10T00:00:00"/>
    <d v="2025-01-01T00:00:00"/>
    <x v="32"/>
    <n v="10320115038"/>
    <m/>
    <x v="0"/>
    <s v="ACH"/>
    <n v="2"/>
    <d v="2025-02-01T00:00:00"/>
    <d v="2025-02-28T00:00:00"/>
    <x v="1"/>
    <n v="0.32"/>
    <n v="1290136465"/>
    <m/>
    <x v="0"/>
  </r>
  <r>
    <x v="8"/>
    <d v="2025-02-03T00:00:00"/>
    <s v="COMM"/>
    <s v="Product"/>
    <x v="0"/>
    <n v="8"/>
    <n v="0"/>
    <n v="8"/>
    <n v="653470"/>
    <s v="Main Line Benefits LLC"/>
    <m/>
    <m/>
    <m/>
    <m/>
    <m/>
    <x v="28"/>
    <m/>
    <x v="27"/>
    <x v="28"/>
    <s v="MD"/>
    <x v="2"/>
    <x v="2"/>
    <s v="NCD"/>
    <m/>
    <n v="45041"/>
    <x v="2"/>
    <x v="0"/>
    <s v="Monthly"/>
    <s v="Dental"/>
    <s v="MetLife"/>
    <d v="2024-12-16T00:00:00"/>
    <d v="2025-01-01T00:00:00"/>
    <x v="33"/>
    <n v="10320115363"/>
    <m/>
    <x v="0"/>
    <s v="ACH"/>
    <n v="2"/>
    <d v="2025-02-01T00:00:00"/>
    <d v="2025-02-28T00:00:00"/>
    <x v="1"/>
    <n v="0.32"/>
    <n v="1290136344"/>
    <m/>
    <x v="0"/>
  </r>
  <r>
    <x v="9"/>
    <d v="2025-02-03T00:00:00"/>
    <s v="COMM"/>
    <s v="Product"/>
    <x v="0"/>
    <n v="8"/>
    <n v="0"/>
    <n v="8"/>
    <n v="653470"/>
    <s v="Main Line Benefits LLC"/>
    <m/>
    <m/>
    <m/>
    <m/>
    <m/>
    <x v="29"/>
    <m/>
    <x v="28"/>
    <x v="29"/>
    <s v="MD"/>
    <x v="2"/>
    <x v="2"/>
    <s v="NCD"/>
    <m/>
    <n v="45041"/>
    <x v="2"/>
    <x v="0"/>
    <s v="Monthly"/>
    <s v="Dental"/>
    <s v="MetLife"/>
    <d v="2024-11-22T00:00:00"/>
    <d v="2024-12-01T00:00:00"/>
    <x v="34"/>
    <n v="10337590624"/>
    <m/>
    <x v="0"/>
    <s v="CC"/>
    <n v="3"/>
    <d v="2025-02-01T00:00:00"/>
    <d v="2025-02-28T00:00:00"/>
    <x v="1"/>
    <n v="0.32"/>
    <n v="1290236084"/>
    <m/>
    <x v="0"/>
  </r>
  <r>
    <x v="9"/>
    <d v="2025-02-03T00:00:00"/>
    <s v="COMM"/>
    <s v="Product"/>
    <x v="0"/>
    <n v="16"/>
    <n v="0"/>
    <n v="16"/>
    <n v="653470"/>
    <s v="Main Line Benefits LLC"/>
    <m/>
    <m/>
    <m/>
    <m/>
    <m/>
    <x v="30"/>
    <m/>
    <x v="29"/>
    <x v="30"/>
    <s v="MD"/>
    <x v="2"/>
    <x v="2"/>
    <s v="NCD"/>
    <m/>
    <n v="45041"/>
    <x v="2"/>
    <x v="2"/>
    <s v="Monthly"/>
    <s v="Dental"/>
    <s v="MetLife"/>
    <d v="2024-11-19T00:00:00"/>
    <d v="2024-12-01T00:00:00"/>
    <x v="35"/>
    <n v="10337590311"/>
    <m/>
    <x v="0"/>
    <s v="CC"/>
    <n v="3"/>
    <d v="2025-02-01T00:00:00"/>
    <d v="2025-02-28T00:00:00"/>
    <x v="4"/>
    <n v="0.32"/>
    <n v="1290236176"/>
    <m/>
    <x v="0"/>
  </r>
  <r>
    <x v="10"/>
    <d v="2025-02-03T00:00:00"/>
    <s v="COMM"/>
    <s v="Product"/>
    <x v="0"/>
    <n v="14.4"/>
    <n v="0"/>
    <n v="14.4"/>
    <n v="653470"/>
    <s v="Main Line Benefits LLC"/>
    <m/>
    <m/>
    <m/>
    <m/>
    <m/>
    <x v="31"/>
    <m/>
    <x v="30"/>
    <x v="31"/>
    <s v="PA"/>
    <x v="3"/>
    <x v="3"/>
    <s v="NCD"/>
    <m/>
    <n v="38399"/>
    <x v="3"/>
    <x v="0"/>
    <s v="Monthly"/>
    <s v="Dental"/>
    <s v="MetLife"/>
    <d v="2023-12-07T00:00:00"/>
    <d v="2024-01-01T00:00:00"/>
    <x v="36"/>
    <n v="10331393043"/>
    <m/>
    <x v="0"/>
    <s v="CC"/>
    <n v="14"/>
    <d v="2025-02-01T00:00:00"/>
    <d v="2025-02-28T00:00:00"/>
    <x v="7"/>
    <n v="0.24"/>
    <n v="1290260410"/>
    <m/>
    <x v="0"/>
  </r>
  <r>
    <x v="11"/>
    <d v="2025-02-03T00:00:00"/>
    <s v="COMM"/>
    <s v="Product"/>
    <x v="0"/>
    <n v="8"/>
    <n v="0"/>
    <n v="8"/>
    <n v="653470"/>
    <s v="Main Line Benefits LLC"/>
    <m/>
    <m/>
    <m/>
    <m/>
    <m/>
    <x v="32"/>
    <m/>
    <x v="31"/>
    <x v="32"/>
    <s v="MD"/>
    <x v="2"/>
    <x v="2"/>
    <s v="NCD"/>
    <m/>
    <n v="45041"/>
    <x v="2"/>
    <x v="0"/>
    <s v="Monthly"/>
    <s v="Dental"/>
    <s v="MetLife"/>
    <d v="2024-12-19T00:00:00"/>
    <d v="2025-01-01T00:00:00"/>
    <x v="37"/>
    <n v="10329231093"/>
    <m/>
    <x v="0"/>
    <s v="CC"/>
    <n v="3"/>
    <d v="2025-03-01T00:00:00"/>
    <d v="2025-03-31T00:00:00"/>
    <x v="1"/>
    <n v="0.32"/>
    <n v="1290273790"/>
    <m/>
    <x v="0"/>
  </r>
  <r>
    <x v="11"/>
    <d v="2025-02-03T00:00:00"/>
    <s v="COMM"/>
    <s v="Product"/>
    <x v="0"/>
    <n v="4.07"/>
    <n v="0"/>
    <n v="4.07"/>
    <n v="653470"/>
    <s v="Main Line Benefits LLC"/>
    <m/>
    <m/>
    <m/>
    <m/>
    <m/>
    <x v="33"/>
    <m/>
    <x v="32"/>
    <x v="33"/>
    <s v="MD"/>
    <x v="7"/>
    <x v="7"/>
    <s v="NCD"/>
    <m/>
    <n v="38593"/>
    <x v="0"/>
    <x v="0"/>
    <s v="Monthly"/>
    <s v="Vision"/>
    <s v="VSP"/>
    <d v="2024-11-19T00:00:00"/>
    <d v="2024-12-01T00:00:00"/>
    <x v="38"/>
    <n v="10329232311"/>
    <m/>
    <x v="0"/>
    <s v="CC"/>
    <n v="3"/>
    <d v="2025-02-01T00:00:00"/>
    <d v="2025-02-28T00:00:00"/>
    <x v="0"/>
    <n v="0.37"/>
    <n v="1290273219"/>
    <m/>
    <x v="0"/>
  </r>
  <r>
    <x v="11"/>
    <d v="2025-02-03T00:00:00"/>
    <s v="COMM"/>
    <s v="Product"/>
    <x v="0"/>
    <n v="8"/>
    <n v="0"/>
    <n v="8"/>
    <n v="653470"/>
    <s v="Main Line Benefits LLC"/>
    <m/>
    <m/>
    <m/>
    <m/>
    <m/>
    <x v="33"/>
    <m/>
    <x v="32"/>
    <x v="33"/>
    <s v="MD"/>
    <x v="7"/>
    <x v="7"/>
    <s v="NCD"/>
    <m/>
    <n v="45041"/>
    <x v="2"/>
    <x v="0"/>
    <s v="Monthly"/>
    <s v="Dental"/>
    <s v="MetLife"/>
    <d v="2024-11-19T00:00:00"/>
    <d v="2024-12-01T00:00:00"/>
    <x v="39"/>
    <n v="10329232311"/>
    <m/>
    <x v="0"/>
    <s v="CC"/>
    <n v="3"/>
    <d v="2025-02-01T00:00:00"/>
    <d v="2025-02-28T00:00:00"/>
    <x v="1"/>
    <n v="0.32"/>
    <n v="1290273220"/>
    <m/>
    <x v="0"/>
  </r>
  <r>
    <x v="12"/>
    <d v="2025-02-03T00:00:00"/>
    <s v="COMM"/>
    <s v="Product"/>
    <x v="0"/>
    <n v="5.55"/>
    <n v="0"/>
    <n v="5.55"/>
    <n v="653470"/>
    <s v="Main Line Benefits LLC"/>
    <m/>
    <m/>
    <m/>
    <m/>
    <m/>
    <x v="34"/>
    <m/>
    <x v="5"/>
    <x v="34"/>
    <s v="IL"/>
    <x v="6"/>
    <x v="6"/>
    <s v="NCD"/>
    <m/>
    <n v="38593"/>
    <x v="0"/>
    <x v="3"/>
    <s v="Monthly"/>
    <s v="Vision"/>
    <s v="VSP"/>
    <d v="2024-11-14T00:00:00"/>
    <d v="2025-01-01T00:00:00"/>
    <x v="40"/>
    <n v="10312486844"/>
    <m/>
    <x v="0"/>
    <s v="ACH"/>
    <n v="2"/>
    <d v="2025-02-01T00:00:00"/>
    <d v="2025-02-28T00:00:00"/>
    <x v="8"/>
    <n v="0.37"/>
    <n v="1290184017"/>
    <m/>
    <x v="0"/>
  </r>
  <r>
    <x v="12"/>
    <d v="2025-02-03T00:00:00"/>
    <s v="COMM"/>
    <s v="Product"/>
    <x v="0"/>
    <n v="5.55"/>
    <n v="0"/>
    <n v="5.55"/>
    <n v="653470"/>
    <s v="Main Line Benefits LLC"/>
    <m/>
    <m/>
    <m/>
    <m/>
    <m/>
    <x v="35"/>
    <m/>
    <x v="33"/>
    <x v="35"/>
    <s v="IL"/>
    <x v="10"/>
    <x v="10"/>
    <s v="NCD"/>
    <m/>
    <n v="38593"/>
    <x v="0"/>
    <x v="3"/>
    <s v="Monthly"/>
    <s v="Vision"/>
    <s v="VSP"/>
    <d v="2024-11-14T00:00:00"/>
    <d v="2025-01-01T00:00:00"/>
    <x v="41"/>
    <n v="10312486606"/>
    <m/>
    <x v="0"/>
    <s v="ACH"/>
    <n v="2"/>
    <d v="2025-02-01T00:00:00"/>
    <d v="2025-02-28T00:00:00"/>
    <x v="8"/>
    <n v="0.37"/>
    <n v="1290184276"/>
    <m/>
    <x v="0"/>
  </r>
  <r>
    <x v="12"/>
    <d v="2025-02-03T00:00:00"/>
    <s v="COMM"/>
    <s v="Product"/>
    <x v="0"/>
    <n v="16"/>
    <n v="0"/>
    <n v="16"/>
    <n v="653470"/>
    <s v="Main Line Benefits LLC"/>
    <m/>
    <m/>
    <m/>
    <m/>
    <m/>
    <x v="36"/>
    <m/>
    <x v="10"/>
    <x v="36"/>
    <s v="MD"/>
    <x v="2"/>
    <x v="2"/>
    <s v="NCD"/>
    <m/>
    <n v="45041"/>
    <x v="2"/>
    <x v="2"/>
    <s v="Monthly"/>
    <s v="Dental"/>
    <s v="MetLife"/>
    <d v="2024-11-06T00:00:00"/>
    <d v="2025-01-01T00:00:00"/>
    <x v="42"/>
    <n v="10326945082"/>
    <m/>
    <x v="0"/>
    <s v="CC"/>
    <n v="2"/>
    <d v="2025-02-01T00:00:00"/>
    <d v="2025-02-28T00:00:00"/>
    <x v="4"/>
    <n v="0.32"/>
    <n v="1290282120"/>
    <m/>
    <x v="0"/>
  </r>
  <r>
    <x v="12"/>
    <d v="2025-02-03T00:00:00"/>
    <s v="COMM"/>
    <s v="Product"/>
    <x v="0"/>
    <n v="44.72"/>
    <n v="0"/>
    <n v="44.72"/>
    <n v="653470"/>
    <s v="Main Line Benefits LLC"/>
    <m/>
    <m/>
    <m/>
    <m/>
    <m/>
    <x v="37"/>
    <m/>
    <x v="34"/>
    <x v="37"/>
    <s v="NJ"/>
    <x v="11"/>
    <x v="11"/>
    <s v="NCD"/>
    <m/>
    <n v="43553"/>
    <x v="5"/>
    <x v="1"/>
    <s v="Monthly"/>
    <s v="Dental"/>
    <s v="MetLife"/>
    <d v="2024-05-29T00:00:00"/>
    <d v="2024-07-01T00:00:00"/>
    <x v="43"/>
    <n v="10326935106"/>
    <m/>
    <x v="0"/>
    <s v="CC"/>
    <n v="26"/>
    <d v="2026-08-01T00:00:00"/>
    <d v="2026-08-31T00:00:00"/>
    <x v="12"/>
    <n v="0.26"/>
    <n v="1290284851"/>
    <m/>
    <x v="0"/>
  </r>
  <r>
    <x v="12"/>
    <d v="2025-02-03T00:00:00"/>
    <s v="COMM"/>
    <s v="Product"/>
    <x v="0"/>
    <n v="12.48"/>
    <n v="0"/>
    <n v="12.48"/>
    <n v="653470"/>
    <s v="Main Line Benefits LLC"/>
    <m/>
    <m/>
    <m/>
    <m/>
    <m/>
    <x v="37"/>
    <m/>
    <x v="34"/>
    <x v="37"/>
    <s v="NJ"/>
    <x v="11"/>
    <x v="11"/>
    <s v="NCD"/>
    <m/>
    <n v="27711"/>
    <x v="6"/>
    <x v="1"/>
    <s v="Monthly"/>
    <s v="Vision"/>
    <s v="VSP"/>
    <d v="2022-10-18T00:00:00"/>
    <d v="2022-12-01T00:00:00"/>
    <x v="44"/>
    <n v="10326935106"/>
    <m/>
    <x v="0"/>
    <s v="CC"/>
    <n v="27"/>
    <d v="2025-02-01T00:00:00"/>
    <d v="2025-02-28T00:00:00"/>
    <x v="13"/>
    <n v="0.26"/>
    <n v="1290284849"/>
    <m/>
    <x v="0"/>
  </r>
  <r>
    <x v="13"/>
    <d v="2025-02-03T00:00:00"/>
    <s v="COMM"/>
    <s v="Product"/>
    <x v="0"/>
    <n v="8"/>
    <n v="0"/>
    <n v="8"/>
    <n v="653470"/>
    <s v="Main Line Benefits LLC"/>
    <m/>
    <m/>
    <m/>
    <m/>
    <m/>
    <x v="38"/>
    <m/>
    <x v="35"/>
    <x v="38"/>
    <s v="MD"/>
    <x v="2"/>
    <x v="2"/>
    <s v="NCD"/>
    <m/>
    <n v="45041"/>
    <x v="2"/>
    <x v="0"/>
    <s v="Monthly"/>
    <s v="Dental"/>
    <s v="MetLife"/>
    <d v="2024-09-16T00:00:00"/>
    <d v="2024-10-01T00:00:00"/>
    <x v="45"/>
    <n v="10323466842"/>
    <m/>
    <x v="0"/>
    <s v="CC"/>
    <n v="5"/>
    <d v="2025-02-01T00:00:00"/>
    <d v="2025-02-28T00:00:00"/>
    <x v="1"/>
    <n v="0.32"/>
    <n v="1290293347"/>
    <m/>
    <x v="0"/>
  </r>
  <r>
    <x v="13"/>
    <d v="2025-02-03T00:00:00"/>
    <s v="COMM"/>
    <s v="Product"/>
    <x v="0"/>
    <n v="8"/>
    <n v="0"/>
    <n v="8"/>
    <n v="653470"/>
    <s v="Main Line Benefits LLC"/>
    <m/>
    <m/>
    <m/>
    <m/>
    <m/>
    <x v="39"/>
    <m/>
    <x v="36"/>
    <x v="39"/>
    <s v="MD"/>
    <x v="2"/>
    <x v="2"/>
    <s v="NCD"/>
    <m/>
    <n v="45041"/>
    <x v="2"/>
    <x v="0"/>
    <s v="Monthly"/>
    <s v="Dental"/>
    <s v="MetLife"/>
    <d v="2024-09-17T00:00:00"/>
    <d v="2024-10-01T00:00:00"/>
    <x v="46"/>
    <n v="10323467147"/>
    <m/>
    <x v="0"/>
    <s v="CC"/>
    <n v="5"/>
    <d v="2025-02-01T00:00:00"/>
    <d v="2025-02-28T00:00:00"/>
    <x v="1"/>
    <n v="0.32"/>
    <n v="1290293250"/>
    <m/>
    <x v="0"/>
  </r>
  <r>
    <x v="13"/>
    <d v="2025-02-03T00:00:00"/>
    <s v="COMM"/>
    <s v="Product"/>
    <x v="0"/>
    <n v="16"/>
    <n v="0"/>
    <n v="16"/>
    <n v="653470"/>
    <s v="Main Line Benefits LLC"/>
    <m/>
    <m/>
    <m/>
    <m/>
    <m/>
    <x v="40"/>
    <m/>
    <x v="10"/>
    <x v="39"/>
    <s v="MD"/>
    <x v="2"/>
    <x v="2"/>
    <s v="NCD"/>
    <m/>
    <n v="45041"/>
    <x v="2"/>
    <x v="2"/>
    <s v="Monthly"/>
    <s v="Dental"/>
    <s v="MetLife"/>
    <d v="2024-09-17T00:00:00"/>
    <d v="2024-10-01T00:00:00"/>
    <x v="47"/>
    <n v="10323467222"/>
    <m/>
    <x v="0"/>
    <s v="CC"/>
    <n v="5"/>
    <d v="2025-02-01T00:00:00"/>
    <d v="2025-02-28T00:00:00"/>
    <x v="4"/>
    <n v="0.32"/>
    <n v="1290293220"/>
    <m/>
    <x v="0"/>
  </r>
  <r>
    <x v="13"/>
    <d v="2025-01-17T00:00:00"/>
    <s v="COMM"/>
    <s v="Product"/>
    <x v="1"/>
    <n v="0"/>
    <n v="4.07"/>
    <n v="-4.07"/>
    <n v="653470"/>
    <s v="Main Line Benefits LLC"/>
    <m/>
    <m/>
    <m/>
    <m/>
    <m/>
    <x v="41"/>
    <m/>
    <x v="37"/>
    <x v="40"/>
    <s v="MD"/>
    <x v="12"/>
    <x v="12"/>
    <s v="NCD"/>
    <m/>
    <n v="38593"/>
    <x v="0"/>
    <x v="0"/>
    <s v="Monthly"/>
    <s v="Vision"/>
    <s v="VSP"/>
    <d v="2024-10-09T00:00:00"/>
    <d v="2024-11-01T00:00:00"/>
    <x v="48"/>
    <s v="8B843BAEBBE5F0C1014DD1399A64648C"/>
    <m/>
    <x v="1"/>
    <s v="ACH"/>
    <n v="4"/>
    <d v="2025-02-01T00:00:00"/>
    <d v="2025-02-28T00:00:00"/>
    <x v="0"/>
    <n v="0.37"/>
    <n v="1281695239"/>
    <m/>
    <x v="0"/>
  </r>
  <r>
    <x v="13"/>
    <d v="2025-02-03T00:00:00"/>
    <s v="COMM"/>
    <s v="Product"/>
    <x v="0"/>
    <n v="16"/>
    <n v="0"/>
    <n v="16"/>
    <n v="653470"/>
    <s v="Main Line Benefits LLC"/>
    <m/>
    <m/>
    <m/>
    <m/>
    <m/>
    <x v="42"/>
    <m/>
    <x v="38"/>
    <x v="41"/>
    <s v="MD"/>
    <x v="7"/>
    <x v="7"/>
    <s v="NCD"/>
    <m/>
    <n v="45041"/>
    <x v="2"/>
    <x v="2"/>
    <s v="Monthly"/>
    <s v="Dental"/>
    <s v="MetLife"/>
    <d v="2024-12-17T00:00:00"/>
    <d v="2025-01-01T00:00:00"/>
    <x v="49"/>
    <n v="10323469081"/>
    <m/>
    <x v="0"/>
    <s v="CC"/>
    <n v="2"/>
    <d v="2025-02-01T00:00:00"/>
    <d v="2025-02-28T00:00:00"/>
    <x v="4"/>
    <n v="0.32"/>
    <n v="1290292615"/>
    <m/>
    <x v="0"/>
  </r>
  <r>
    <x v="14"/>
    <d v="2025-02-03T00:00:00"/>
    <s v="COMM"/>
    <s v="Product"/>
    <x v="0"/>
    <n v="8"/>
    <n v="0"/>
    <n v="8"/>
    <n v="653470"/>
    <s v="Main Line Benefits LLC"/>
    <m/>
    <m/>
    <m/>
    <m/>
    <m/>
    <x v="43"/>
    <m/>
    <x v="39"/>
    <x v="42"/>
    <s v="MD"/>
    <x v="2"/>
    <x v="2"/>
    <s v="NCD"/>
    <m/>
    <n v="45041"/>
    <x v="2"/>
    <x v="0"/>
    <s v="Monthly"/>
    <s v="Dental"/>
    <s v="MetLife"/>
    <d v="2024-09-10T00:00:00"/>
    <d v="2024-10-01T00:00:00"/>
    <x v="50"/>
    <n v="10301249766"/>
    <m/>
    <x v="0"/>
    <s v="ACH"/>
    <n v="5"/>
    <d v="2025-02-01T00:00:00"/>
    <d v="2025-02-28T00:00:00"/>
    <x v="1"/>
    <n v="0.32"/>
    <n v="1290218041"/>
    <m/>
    <x v="0"/>
  </r>
  <r>
    <x v="14"/>
    <d v="2025-02-03T00:00:00"/>
    <s v="COMM"/>
    <s v="Product"/>
    <x v="0"/>
    <n v="16"/>
    <n v="0"/>
    <n v="16"/>
    <n v="653470"/>
    <s v="Main Line Benefits LLC"/>
    <m/>
    <m/>
    <m/>
    <m/>
    <m/>
    <x v="44"/>
    <m/>
    <x v="40"/>
    <x v="43"/>
    <s v="MD"/>
    <x v="2"/>
    <x v="2"/>
    <s v="NCD"/>
    <m/>
    <n v="45041"/>
    <x v="2"/>
    <x v="2"/>
    <s v="Monthly"/>
    <s v="Dental"/>
    <s v="MetLife"/>
    <d v="2024-09-10T00:00:00"/>
    <d v="2024-10-01T00:00:00"/>
    <x v="51"/>
    <n v="10301249689"/>
    <m/>
    <x v="0"/>
    <s v="ACH"/>
    <n v="5"/>
    <d v="2025-02-01T00:00:00"/>
    <d v="2025-02-28T00:00:00"/>
    <x v="4"/>
    <n v="0.32"/>
    <n v="1290218049"/>
    <m/>
    <x v="0"/>
  </r>
  <r>
    <x v="14"/>
    <d v="2025-02-03T00:00:00"/>
    <s v="COMM"/>
    <s v="Product"/>
    <x v="0"/>
    <n v="26.88"/>
    <n v="0"/>
    <n v="26.88"/>
    <n v="653470"/>
    <s v="Main Line Benefits LLC"/>
    <m/>
    <m/>
    <m/>
    <m/>
    <m/>
    <x v="45"/>
    <m/>
    <x v="41"/>
    <x v="44"/>
    <s v="IL"/>
    <x v="13"/>
    <x v="13"/>
    <s v="NCD"/>
    <m/>
    <n v="38398"/>
    <x v="7"/>
    <x v="4"/>
    <s v="Monthly"/>
    <s v="Dental"/>
    <s v="MetLife"/>
    <d v="2024-08-12T00:00:00"/>
    <d v="2024-09-01T00:00:00"/>
    <x v="52"/>
    <n v="10307132015"/>
    <m/>
    <x v="0"/>
    <s v="ACH"/>
    <n v="6"/>
    <d v="2025-02-01T00:00:00"/>
    <d v="2025-02-28T00:00:00"/>
    <x v="14"/>
    <n v="0.24"/>
    <n v="1290202010"/>
    <m/>
    <x v="0"/>
  </r>
  <r>
    <x v="14"/>
    <d v="2025-02-03T00:00:00"/>
    <s v="COMM"/>
    <s v="Product"/>
    <x v="0"/>
    <n v="7.4"/>
    <n v="0"/>
    <n v="7.4"/>
    <n v="653470"/>
    <s v="Main Line Benefits LLC"/>
    <m/>
    <m/>
    <m/>
    <m/>
    <m/>
    <x v="45"/>
    <m/>
    <x v="41"/>
    <x v="44"/>
    <s v="IL"/>
    <x v="13"/>
    <x v="13"/>
    <s v="NCD"/>
    <m/>
    <n v="38593"/>
    <x v="0"/>
    <x v="1"/>
    <s v="Monthly"/>
    <s v="Vision"/>
    <s v="VSP"/>
    <d v="2024-08-12T00:00:00"/>
    <d v="2024-09-01T00:00:00"/>
    <x v="53"/>
    <n v="10307132015"/>
    <m/>
    <x v="0"/>
    <s v="ACH"/>
    <n v="6"/>
    <d v="2025-02-01T00:00:00"/>
    <d v="2025-02-28T00:00:00"/>
    <x v="3"/>
    <n v="0.37"/>
    <n v="1290202013"/>
    <m/>
    <x v="0"/>
  </r>
  <r>
    <x v="14"/>
    <d v="2025-02-03T00:00:00"/>
    <s v="COMM"/>
    <s v="Product"/>
    <x v="0"/>
    <n v="29.04"/>
    <n v="0"/>
    <n v="29.04"/>
    <n v="653470"/>
    <s v="Main Line Benefits LLC"/>
    <m/>
    <m/>
    <m/>
    <m/>
    <m/>
    <x v="46"/>
    <m/>
    <x v="42"/>
    <x v="45"/>
    <s v="PA"/>
    <x v="14"/>
    <x v="14"/>
    <s v="NCD"/>
    <m/>
    <n v="38399"/>
    <x v="3"/>
    <x v="2"/>
    <s v="Monthly"/>
    <s v="Dental"/>
    <s v="MetLife"/>
    <d v="2024-08-12T00:00:00"/>
    <d v="2024-09-01T00:00:00"/>
    <x v="54"/>
    <n v="10307131037"/>
    <m/>
    <x v="0"/>
    <s v="ACH"/>
    <n v="6"/>
    <d v="2025-02-01T00:00:00"/>
    <d v="2025-02-28T00:00:00"/>
    <x v="15"/>
    <n v="0.24"/>
    <n v="1290202725"/>
    <m/>
    <x v="0"/>
  </r>
  <r>
    <x v="14"/>
    <d v="2025-02-03T00:00:00"/>
    <s v="COMM"/>
    <s v="Product"/>
    <x v="0"/>
    <n v="5.55"/>
    <n v="0"/>
    <n v="5.55"/>
    <n v="653470"/>
    <s v="Main Line Benefits LLC"/>
    <m/>
    <m/>
    <m/>
    <m/>
    <m/>
    <x v="46"/>
    <m/>
    <x v="42"/>
    <x v="45"/>
    <s v="PA"/>
    <x v="14"/>
    <x v="14"/>
    <s v="NCD"/>
    <m/>
    <n v="38593"/>
    <x v="0"/>
    <x v="3"/>
    <s v="Monthly"/>
    <s v="Vision"/>
    <s v="VSP"/>
    <d v="2024-08-12T00:00:00"/>
    <d v="2024-09-01T00:00:00"/>
    <x v="55"/>
    <n v="10307131037"/>
    <m/>
    <x v="0"/>
    <s v="ACH"/>
    <n v="6"/>
    <d v="2025-02-01T00:00:00"/>
    <d v="2025-02-28T00:00:00"/>
    <x v="8"/>
    <n v="0.37"/>
    <n v="1290202729"/>
    <m/>
    <x v="0"/>
  </r>
  <r>
    <x v="15"/>
    <d v="2025-02-03T00:00:00"/>
    <s v="COMM"/>
    <s v="Product"/>
    <x v="0"/>
    <n v="55.12"/>
    <n v="0"/>
    <n v="55.12"/>
    <n v="653470"/>
    <s v="Main Line Benefits LLC"/>
    <m/>
    <m/>
    <m/>
    <m/>
    <m/>
    <x v="47"/>
    <m/>
    <x v="43"/>
    <x v="46"/>
    <s v="VA"/>
    <x v="0"/>
    <x v="0"/>
    <s v="NCD"/>
    <m/>
    <n v="43554"/>
    <x v="8"/>
    <x v="1"/>
    <s v="Monthly"/>
    <s v="Dental"/>
    <s v="MetLife"/>
    <d v="2024-05-18T00:00:00"/>
    <d v="2024-07-01T00:00:00"/>
    <x v="56"/>
    <n v="10297921149"/>
    <m/>
    <x v="0"/>
    <s v="ACH"/>
    <n v="25"/>
    <d v="2026-07-01T00:00:00"/>
    <d v="2026-07-31T00:00:00"/>
    <x v="16"/>
    <n v="0.26"/>
    <n v="1290230928"/>
    <m/>
    <x v="0"/>
  </r>
  <r>
    <x v="15"/>
    <d v="2025-02-03T00:00:00"/>
    <s v="COMM"/>
    <s v="Product"/>
    <x v="0"/>
    <n v="9.6"/>
    <n v="0"/>
    <n v="9.6"/>
    <n v="653470"/>
    <s v="Main Line Benefits LLC"/>
    <m/>
    <m/>
    <m/>
    <m/>
    <m/>
    <x v="48"/>
    <m/>
    <x v="44"/>
    <x v="47"/>
    <s v="IL"/>
    <x v="15"/>
    <x v="15"/>
    <s v="NCD"/>
    <m/>
    <n v="42249"/>
    <x v="4"/>
    <x v="0"/>
    <s v="Monthly"/>
    <s v="Dental"/>
    <s v="MetLife"/>
    <d v="2024-05-09T00:00:00"/>
    <d v="2024-06-01T00:00:00"/>
    <x v="57"/>
    <n v="10297923887"/>
    <m/>
    <x v="0"/>
    <s v="ACH"/>
    <n v="9"/>
    <d v="2025-02-01T00:00:00"/>
    <d v="2025-02-28T00:00:00"/>
    <x v="17"/>
    <n v="0.24"/>
    <n v="1290229521"/>
    <m/>
    <x v="0"/>
  </r>
  <r>
    <x v="15"/>
    <d v="2025-02-03T00:00:00"/>
    <s v="COMM"/>
    <s v="Product"/>
    <x v="0"/>
    <n v="5.55"/>
    <n v="0"/>
    <n v="5.55"/>
    <n v="653470"/>
    <s v="Main Line Benefits LLC"/>
    <m/>
    <m/>
    <m/>
    <m/>
    <m/>
    <x v="49"/>
    <m/>
    <x v="45"/>
    <x v="48"/>
    <s v="IL"/>
    <x v="10"/>
    <x v="10"/>
    <s v="NCD"/>
    <m/>
    <n v="38593"/>
    <x v="0"/>
    <x v="3"/>
    <s v="Monthly"/>
    <s v="Vision"/>
    <s v="VSP"/>
    <d v="2024-05-09T00:00:00"/>
    <d v="2024-06-01T00:00:00"/>
    <x v="58"/>
    <n v="10297923778"/>
    <m/>
    <x v="0"/>
    <s v="ACH"/>
    <n v="9"/>
    <d v="2025-02-01T00:00:00"/>
    <d v="2025-02-28T00:00:00"/>
    <x v="8"/>
    <n v="0.37"/>
    <n v="1290229553"/>
    <m/>
    <x v="0"/>
  </r>
  <r>
    <x v="15"/>
    <d v="2025-02-03T00:00:00"/>
    <s v="COMM"/>
    <s v="Product"/>
    <x v="0"/>
    <n v="22.8"/>
    <n v="0"/>
    <n v="22.8"/>
    <n v="653470"/>
    <s v="Main Line Benefits LLC"/>
    <m/>
    <m/>
    <m/>
    <m/>
    <m/>
    <x v="49"/>
    <m/>
    <x v="45"/>
    <x v="48"/>
    <s v="IL"/>
    <x v="10"/>
    <x v="10"/>
    <s v="NCD"/>
    <m/>
    <n v="42249"/>
    <x v="4"/>
    <x v="4"/>
    <s v="Monthly"/>
    <s v="Dental"/>
    <s v="MetLife"/>
    <d v="2024-05-09T00:00:00"/>
    <d v="2024-06-01T00:00:00"/>
    <x v="59"/>
    <n v="10297923778"/>
    <m/>
    <x v="0"/>
    <s v="ACH"/>
    <n v="9"/>
    <d v="2025-02-01T00:00:00"/>
    <d v="2025-02-28T00:00:00"/>
    <x v="18"/>
    <n v="0.24"/>
    <n v="1290229557"/>
    <m/>
    <x v="0"/>
  </r>
  <r>
    <x v="15"/>
    <d v="2025-02-03T00:00:00"/>
    <s v="COMM"/>
    <s v="Product"/>
    <x v="0"/>
    <n v="4.07"/>
    <n v="0"/>
    <n v="4.07"/>
    <n v="653470"/>
    <s v="Main Line Benefits LLC"/>
    <m/>
    <m/>
    <m/>
    <m/>
    <m/>
    <x v="41"/>
    <m/>
    <x v="37"/>
    <x v="40"/>
    <s v="MD"/>
    <x v="12"/>
    <x v="12"/>
    <s v="NCD"/>
    <m/>
    <n v="38593"/>
    <x v="0"/>
    <x v="0"/>
    <s v="Monthly"/>
    <s v="Vision"/>
    <s v="VSP"/>
    <d v="2024-10-09T00:00:00"/>
    <d v="2024-11-01T00:00:00"/>
    <x v="48"/>
    <n v="10297925550"/>
    <m/>
    <x v="0"/>
    <s v="ACH"/>
    <n v="4"/>
    <d v="2025-02-01T00:00:00"/>
    <d v="2025-02-28T00:00:00"/>
    <x v="0"/>
    <n v="0.37"/>
    <n v="1290228578"/>
    <m/>
    <x v="0"/>
  </r>
  <r>
    <x v="15"/>
    <d v="2025-02-03T00:00:00"/>
    <s v="COMM"/>
    <s v="Product"/>
    <x v="0"/>
    <n v="16"/>
    <n v="0"/>
    <n v="16"/>
    <n v="653470"/>
    <s v="Main Line Benefits LLC"/>
    <m/>
    <m/>
    <m/>
    <m/>
    <m/>
    <x v="50"/>
    <m/>
    <x v="46"/>
    <x v="49"/>
    <s v="MD"/>
    <x v="7"/>
    <x v="7"/>
    <s v="NCD"/>
    <m/>
    <n v="45041"/>
    <x v="2"/>
    <x v="2"/>
    <s v="Monthly"/>
    <s v="Dental"/>
    <s v="MetLife"/>
    <d v="2024-11-15T00:00:00"/>
    <d v="2024-12-01T00:00:00"/>
    <x v="60"/>
    <n v="10316225034"/>
    <m/>
    <x v="0"/>
    <s v="CC"/>
    <n v="3"/>
    <d v="2025-02-01T00:00:00"/>
    <d v="2025-02-28T00:00:00"/>
    <x v="4"/>
    <n v="0.32"/>
    <n v="1290327042"/>
    <m/>
    <x v="0"/>
  </r>
  <r>
    <x v="15"/>
    <d v="2025-02-03T00:00:00"/>
    <s v="COMM"/>
    <s v="Product"/>
    <x v="0"/>
    <n v="5.55"/>
    <n v="0"/>
    <n v="5.55"/>
    <n v="653470"/>
    <s v="Main Line Benefits LLC"/>
    <m/>
    <m/>
    <m/>
    <m/>
    <m/>
    <x v="50"/>
    <m/>
    <x v="46"/>
    <x v="49"/>
    <s v="MD"/>
    <x v="7"/>
    <x v="7"/>
    <s v="NCD"/>
    <m/>
    <n v="38593"/>
    <x v="0"/>
    <x v="3"/>
    <s v="Monthly"/>
    <s v="Vision"/>
    <s v="VSP"/>
    <d v="2024-11-15T00:00:00"/>
    <d v="2024-12-01T00:00:00"/>
    <x v="61"/>
    <n v="10316225034"/>
    <m/>
    <x v="0"/>
    <s v="CC"/>
    <n v="3"/>
    <d v="2025-02-01T00:00:00"/>
    <d v="2025-02-28T00:00:00"/>
    <x v="8"/>
    <n v="0.37"/>
    <n v="1290327040"/>
    <m/>
    <x v="0"/>
  </r>
  <r>
    <x v="15"/>
    <d v="2025-02-03T00:00:00"/>
    <s v="COMM"/>
    <s v="Product"/>
    <x v="0"/>
    <n v="8"/>
    <n v="0"/>
    <n v="8"/>
    <n v="653470"/>
    <s v="Main Line Benefits LLC"/>
    <m/>
    <m/>
    <m/>
    <m/>
    <m/>
    <x v="51"/>
    <m/>
    <x v="27"/>
    <x v="28"/>
    <s v="MD"/>
    <x v="2"/>
    <x v="2"/>
    <s v="NCD"/>
    <m/>
    <n v="45041"/>
    <x v="2"/>
    <x v="0"/>
    <s v="Monthly"/>
    <s v="Dental"/>
    <s v="MetLife"/>
    <d v="2024-12-02T00:00:00"/>
    <d v="2025-01-01T00:00:00"/>
    <x v="62"/>
    <n v="10297925766"/>
    <m/>
    <x v="0"/>
    <s v="ACH"/>
    <n v="2"/>
    <d v="2025-02-01T00:00:00"/>
    <d v="2025-02-28T00:00:00"/>
    <x v="1"/>
    <n v="0.32"/>
    <n v="1290228441"/>
    <m/>
    <x v="0"/>
  </r>
  <r>
    <x v="16"/>
    <d v="2025-02-03T00:00:00"/>
    <s v="COMM"/>
    <s v="Product"/>
    <x v="0"/>
    <n v="4.07"/>
    <n v="0"/>
    <n v="4.07"/>
    <n v="653470"/>
    <s v="Main Line Benefits LLC"/>
    <m/>
    <m/>
    <m/>
    <m/>
    <m/>
    <x v="52"/>
    <m/>
    <x v="47"/>
    <x v="50"/>
    <s v="MD"/>
    <x v="2"/>
    <x v="2"/>
    <s v="NCD"/>
    <m/>
    <n v="38593"/>
    <x v="0"/>
    <x v="0"/>
    <s v="Monthly"/>
    <s v="Vision"/>
    <s v="VSP"/>
    <d v="2024-10-29T00:00:00"/>
    <d v="2024-11-01T00:00:00"/>
    <x v="63"/>
    <n v="10312484465"/>
    <m/>
    <x v="0"/>
    <s v="CC"/>
    <n v="4"/>
    <d v="2025-02-01T00:00:00"/>
    <d v="2025-02-28T00:00:00"/>
    <x v="0"/>
    <n v="0.37"/>
    <n v="1290350445"/>
    <m/>
    <x v="0"/>
  </r>
  <r>
    <x v="16"/>
    <d v="2025-02-03T00:00:00"/>
    <s v="COMM"/>
    <s v="Product"/>
    <x v="0"/>
    <n v="8"/>
    <n v="0"/>
    <n v="8"/>
    <n v="653470"/>
    <s v="Main Line Benefits LLC"/>
    <m/>
    <m/>
    <m/>
    <m/>
    <m/>
    <x v="52"/>
    <m/>
    <x v="47"/>
    <x v="50"/>
    <s v="MD"/>
    <x v="2"/>
    <x v="2"/>
    <s v="NCD"/>
    <m/>
    <n v="45041"/>
    <x v="2"/>
    <x v="0"/>
    <s v="Monthly"/>
    <s v="Dental"/>
    <s v="MetLife"/>
    <d v="2024-09-14T00:00:00"/>
    <d v="2024-10-01T00:00:00"/>
    <x v="64"/>
    <n v="10312484465"/>
    <m/>
    <x v="0"/>
    <s v="CC"/>
    <n v="5"/>
    <d v="2025-02-01T00:00:00"/>
    <d v="2025-02-28T00:00:00"/>
    <x v="1"/>
    <n v="0.32"/>
    <n v="1290350447"/>
    <m/>
    <x v="0"/>
  </r>
  <r>
    <x v="17"/>
    <d v="2025-02-03T00:00:00"/>
    <s v="COMM"/>
    <s v="Product"/>
    <x v="0"/>
    <n v="16"/>
    <n v="0"/>
    <n v="16"/>
    <n v="653470"/>
    <s v="Main Line Benefits LLC"/>
    <m/>
    <m/>
    <m/>
    <m/>
    <m/>
    <x v="53"/>
    <m/>
    <x v="48"/>
    <x v="51"/>
    <s v="MD"/>
    <x v="2"/>
    <x v="2"/>
    <s v="NCD"/>
    <m/>
    <n v="45041"/>
    <x v="2"/>
    <x v="2"/>
    <s v="Monthly"/>
    <s v="Dental"/>
    <s v="MetLife"/>
    <d v="2024-12-09T00:00:00"/>
    <d v="2025-01-01T00:00:00"/>
    <x v="65"/>
    <n v="10309329219"/>
    <m/>
    <x v="0"/>
    <s v="CC"/>
    <n v="2"/>
    <d v="2025-02-01T00:00:00"/>
    <d v="2025-02-28T00:00:00"/>
    <x v="4"/>
    <n v="0.32"/>
    <n v="1290370967"/>
    <m/>
    <x v="0"/>
  </r>
  <r>
    <x v="18"/>
    <d v="2025-02-03T00:00:00"/>
    <s v="COMM"/>
    <s v="Product"/>
    <x v="0"/>
    <n v="19.2"/>
    <n v="0"/>
    <n v="19.2"/>
    <n v="653470"/>
    <s v="Main Line Benefits LLC"/>
    <m/>
    <m/>
    <m/>
    <m/>
    <m/>
    <x v="54"/>
    <m/>
    <x v="49"/>
    <x v="52"/>
    <s v="MD"/>
    <x v="2"/>
    <x v="2"/>
    <s v="NCD"/>
    <m/>
    <n v="45041"/>
    <x v="2"/>
    <x v="2"/>
    <s v="Monthly"/>
    <s v="Dental"/>
    <s v="MetLife"/>
    <d v="2024-11-12T00:00:00"/>
    <d v="2024-12-01T00:00:00"/>
    <x v="66"/>
    <n v="10307131531"/>
    <m/>
    <x v="0"/>
    <s v="CC"/>
    <n v="3"/>
    <d v="2025-02-01T00:00:00"/>
    <d v="2025-02-28T00:00:00"/>
    <x v="7"/>
    <n v="0.32"/>
    <n v="1290380297"/>
    <m/>
    <x v="0"/>
  </r>
  <r>
    <x v="18"/>
    <d v="2025-02-03T00:00:00"/>
    <s v="COMM"/>
    <s v="Product"/>
    <x v="0"/>
    <n v="15.84"/>
    <n v="0"/>
    <n v="15.84"/>
    <n v="653470"/>
    <s v="Main Line Benefits LLC"/>
    <m/>
    <m/>
    <m/>
    <m/>
    <m/>
    <x v="55"/>
    <m/>
    <x v="50"/>
    <x v="53"/>
    <s v="FL"/>
    <x v="3"/>
    <x v="3"/>
    <s v="NCD"/>
    <m/>
    <n v="38399"/>
    <x v="3"/>
    <x v="0"/>
    <s v="Monthly"/>
    <s v="Dental"/>
    <s v="MetLife"/>
    <d v="2024-04-08T00:00:00"/>
    <d v="2024-05-01T00:00:00"/>
    <x v="67"/>
    <n v="10294856443"/>
    <m/>
    <x v="0"/>
    <s v="ACH"/>
    <n v="10"/>
    <d v="2025-02-01T00:00:00"/>
    <d v="2025-02-28T00:00:00"/>
    <x v="19"/>
    <n v="0.24"/>
    <n v="1290233584"/>
    <m/>
    <x v="0"/>
  </r>
  <r>
    <x v="19"/>
    <d v="2025-02-03T00:00:00"/>
    <s v="COMM"/>
    <s v="Product"/>
    <x v="0"/>
    <n v="16"/>
    <n v="0"/>
    <n v="16"/>
    <n v="653470"/>
    <s v="Main Line Benefits LLC"/>
    <m/>
    <m/>
    <m/>
    <m/>
    <m/>
    <x v="56"/>
    <m/>
    <x v="51"/>
    <x v="54"/>
    <s v="MD"/>
    <x v="2"/>
    <x v="2"/>
    <s v="NCD"/>
    <m/>
    <n v="45041"/>
    <x v="2"/>
    <x v="2"/>
    <s v="Monthly"/>
    <s v="Dental"/>
    <s v="MetLife"/>
    <d v="2024-10-11T00:00:00"/>
    <d v="2024-11-01T00:00:00"/>
    <x v="68"/>
    <n v="10304792813"/>
    <m/>
    <x v="0"/>
    <s v="CC"/>
    <n v="4"/>
    <d v="2025-02-01T00:00:00"/>
    <d v="2025-02-28T00:00:00"/>
    <x v="4"/>
    <n v="0.32"/>
    <n v="1290388308"/>
    <m/>
    <x v="0"/>
  </r>
  <r>
    <x v="19"/>
    <d v="2025-02-03T00:00:00"/>
    <s v="COMM"/>
    <s v="Product"/>
    <x v="0"/>
    <n v="8"/>
    <n v="0"/>
    <n v="8"/>
    <n v="653470"/>
    <s v="Main Line Benefits LLC"/>
    <m/>
    <m/>
    <m/>
    <m/>
    <m/>
    <x v="57"/>
    <m/>
    <x v="19"/>
    <x v="55"/>
    <s v="MD"/>
    <x v="7"/>
    <x v="7"/>
    <s v="NCD"/>
    <m/>
    <n v="45041"/>
    <x v="2"/>
    <x v="0"/>
    <s v="Monthly"/>
    <s v="Dental"/>
    <s v="MetLife"/>
    <d v="2024-12-11T00:00:00"/>
    <d v="2025-01-01T00:00:00"/>
    <x v="69"/>
    <n v="10304794082"/>
    <m/>
    <x v="0"/>
    <s v="CC"/>
    <n v="2"/>
    <d v="2025-02-01T00:00:00"/>
    <d v="2025-02-28T00:00:00"/>
    <x v="1"/>
    <n v="0.32"/>
    <n v="1290387838"/>
    <m/>
    <x v="0"/>
  </r>
  <r>
    <x v="20"/>
    <d v="2025-02-03T00:00:00"/>
    <s v="COMM"/>
    <s v="Product"/>
    <x v="0"/>
    <n v="8"/>
    <n v="0"/>
    <n v="8"/>
    <n v="653470"/>
    <s v="Main Line Benefits LLC"/>
    <m/>
    <m/>
    <m/>
    <m/>
    <m/>
    <x v="58"/>
    <m/>
    <x v="52"/>
    <x v="56"/>
    <s v="MD"/>
    <x v="2"/>
    <x v="2"/>
    <s v="NCD"/>
    <m/>
    <n v="45041"/>
    <x v="2"/>
    <x v="0"/>
    <s v="Monthly"/>
    <s v="Dental"/>
    <s v="MetLife"/>
    <d v="2024-12-10T00:00:00"/>
    <d v="2025-01-01T00:00:00"/>
    <x v="70"/>
    <n v="10301246670"/>
    <m/>
    <x v="0"/>
    <s v="CC"/>
    <n v="2"/>
    <d v="2025-02-01T00:00:00"/>
    <d v="2025-02-28T00:00:00"/>
    <x v="1"/>
    <n v="0.32"/>
    <n v="1290425002"/>
    <m/>
    <x v="0"/>
  </r>
  <r>
    <x v="20"/>
    <d v="2025-02-03T00:00:00"/>
    <s v="COMM"/>
    <s v="Product"/>
    <x v="0"/>
    <n v="44.4"/>
    <n v="0"/>
    <n v="44.4"/>
    <n v="653470"/>
    <s v="Main Line Benefits LLC"/>
    <m/>
    <m/>
    <m/>
    <m/>
    <m/>
    <x v="59"/>
    <m/>
    <x v="17"/>
    <x v="57"/>
    <s v="IL"/>
    <x v="15"/>
    <x v="15"/>
    <s v="NCD"/>
    <m/>
    <n v="38398"/>
    <x v="7"/>
    <x v="1"/>
    <s v="Monthly"/>
    <s v="Dental"/>
    <s v="MetLife"/>
    <d v="2024-12-10T00:00:00"/>
    <d v="2025-01-01T00:00:00"/>
    <x v="71"/>
    <n v="10301246458"/>
    <m/>
    <x v="0"/>
    <s v="CC"/>
    <n v="2"/>
    <d v="2025-02-01T00:00:00"/>
    <d v="2025-02-28T00:00:00"/>
    <x v="20"/>
    <n v="0.24"/>
    <n v="1290425044"/>
    <m/>
    <x v="0"/>
  </r>
  <r>
    <x v="20"/>
    <d v="2025-02-03T00:00:00"/>
    <s v="COMM"/>
    <s v="Product"/>
    <x v="0"/>
    <n v="6"/>
    <n v="0"/>
    <n v="6"/>
    <n v="653470"/>
    <s v="Main Line Benefits LLC"/>
    <m/>
    <m/>
    <m/>
    <m/>
    <m/>
    <x v="60"/>
    <m/>
    <x v="53"/>
    <x v="58"/>
    <s v="VA"/>
    <x v="9"/>
    <x v="9"/>
    <s v="NCD"/>
    <m/>
    <n v="38796"/>
    <x v="1"/>
    <x v="0"/>
    <s v="Monthly"/>
    <s v="Dental"/>
    <s v="MetLife"/>
    <d v="2024-09-06T00:00:00"/>
    <d v="2024-10-01T00:00:00"/>
    <x v="72"/>
    <n v="10288385365"/>
    <m/>
    <x v="0"/>
    <s v="ACH"/>
    <n v="5"/>
    <d v="2025-02-01T00:00:00"/>
    <d v="2025-02-28T00:00:00"/>
    <x v="1"/>
    <n v="0.24"/>
    <n v="1290246908"/>
    <m/>
    <x v="0"/>
  </r>
  <r>
    <x v="20"/>
    <d v="2025-02-03T00:00:00"/>
    <s v="COMM"/>
    <s v="Product"/>
    <x v="0"/>
    <n v="14.64"/>
    <n v="0"/>
    <n v="14.64"/>
    <n v="653470"/>
    <s v="Main Line Benefits LLC"/>
    <m/>
    <m/>
    <m/>
    <m/>
    <m/>
    <x v="61"/>
    <m/>
    <x v="54"/>
    <x v="59"/>
    <s v="OR"/>
    <x v="9"/>
    <x v="9"/>
    <s v="NCD"/>
    <m/>
    <n v="38796"/>
    <x v="1"/>
    <x v="4"/>
    <s v="Monthly"/>
    <s v="Dental"/>
    <s v="MetLife"/>
    <d v="2024-09-06T00:00:00"/>
    <d v="2024-10-01T00:00:00"/>
    <x v="73"/>
    <n v="10288385230"/>
    <m/>
    <x v="0"/>
    <s v="ACH"/>
    <n v="5"/>
    <d v="2025-02-01T00:00:00"/>
    <d v="2025-02-28T00:00:00"/>
    <x v="21"/>
    <n v="0.24"/>
    <n v="1290246996"/>
    <m/>
    <x v="0"/>
  </r>
  <r>
    <x v="21"/>
    <d v="2025-02-03T00:00:00"/>
    <s v="COMM"/>
    <s v="Product"/>
    <x v="0"/>
    <n v="15.84"/>
    <n v="0"/>
    <n v="15.84"/>
    <n v="653470"/>
    <s v="Main Line Benefits LLC"/>
    <m/>
    <m/>
    <m/>
    <m/>
    <m/>
    <x v="62"/>
    <m/>
    <x v="55"/>
    <x v="60"/>
    <s v="MD"/>
    <x v="14"/>
    <x v="14"/>
    <s v="NCD"/>
    <m/>
    <n v="38399"/>
    <x v="3"/>
    <x v="0"/>
    <s v="Monthly"/>
    <s v="Dental"/>
    <s v="MetLife"/>
    <d v="2024-08-09T00:00:00"/>
    <d v="2024-09-01T00:00:00"/>
    <x v="74"/>
    <n v="10297927260"/>
    <m/>
    <x v="0"/>
    <s v="CC"/>
    <n v="6"/>
    <d v="2025-02-01T00:00:00"/>
    <d v="2025-02-28T00:00:00"/>
    <x v="19"/>
    <n v="0.24"/>
    <n v="1290441855"/>
    <m/>
    <x v="0"/>
  </r>
  <r>
    <x v="21"/>
    <d v="2025-02-03T00:00:00"/>
    <s v="COMM"/>
    <s v="Product"/>
    <x v="0"/>
    <n v="4.07"/>
    <n v="0"/>
    <n v="4.07"/>
    <n v="653470"/>
    <s v="Main Line Benefits LLC"/>
    <m/>
    <m/>
    <m/>
    <m/>
    <m/>
    <x v="62"/>
    <m/>
    <x v="55"/>
    <x v="60"/>
    <s v="MD"/>
    <x v="14"/>
    <x v="14"/>
    <s v="NCD"/>
    <m/>
    <n v="38593"/>
    <x v="0"/>
    <x v="0"/>
    <s v="Monthly"/>
    <s v="Vision"/>
    <s v="VSP"/>
    <d v="2024-08-09T00:00:00"/>
    <d v="2024-09-01T00:00:00"/>
    <x v="75"/>
    <n v="10297927260"/>
    <m/>
    <x v="0"/>
    <s v="CC"/>
    <n v="6"/>
    <d v="2025-02-01T00:00:00"/>
    <d v="2025-02-28T00:00:00"/>
    <x v="0"/>
    <n v="0.37"/>
    <n v="1290441857"/>
    <m/>
    <x v="0"/>
  </r>
  <r>
    <x v="21"/>
    <d v="2025-02-03T00:00:00"/>
    <s v="COMM"/>
    <s v="Product"/>
    <x v="0"/>
    <n v="4.07"/>
    <n v="0"/>
    <n v="4.07"/>
    <n v="653470"/>
    <s v="Main Line Benefits LLC"/>
    <m/>
    <m/>
    <m/>
    <m/>
    <m/>
    <x v="63"/>
    <m/>
    <x v="56"/>
    <x v="61"/>
    <s v="MD"/>
    <x v="2"/>
    <x v="2"/>
    <s v="NCD"/>
    <m/>
    <n v="38593"/>
    <x v="0"/>
    <x v="0"/>
    <s v="Monthly"/>
    <s v="Vision"/>
    <s v="VSP"/>
    <d v="2024-10-09T00:00:00"/>
    <d v="2024-11-01T00:00:00"/>
    <x v="76"/>
    <n v="10297928630"/>
    <m/>
    <x v="0"/>
    <s v="CC"/>
    <n v="4"/>
    <d v="2025-02-01T00:00:00"/>
    <d v="2025-02-28T00:00:00"/>
    <x v="0"/>
    <n v="0.37"/>
    <n v="1290441291"/>
    <m/>
    <x v="0"/>
  </r>
  <r>
    <x v="21"/>
    <d v="2025-02-03T00:00:00"/>
    <s v="COMM"/>
    <s v="Product"/>
    <x v="0"/>
    <n v="8"/>
    <n v="0"/>
    <n v="8"/>
    <n v="653470"/>
    <s v="Main Line Benefits LLC"/>
    <m/>
    <m/>
    <m/>
    <m/>
    <m/>
    <x v="63"/>
    <m/>
    <x v="56"/>
    <x v="61"/>
    <s v="MD"/>
    <x v="2"/>
    <x v="2"/>
    <s v="NCD"/>
    <m/>
    <n v="45041"/>
    <x v="2"/>
    <x v="0"/>
    <s v="Monthly"/>
    <s v="Dental"/>
    <s v="MetLife"/>
    <d v="2024-10-09T00:00:00"/>
    <d v="2024-11-01T00:00:00"/>
    <x v="77"/>
    <n v="10297928630"/>
    <m/>
    <x v="0"/>
    <s v="CC"/>
    <n v="4"/>
    <d v="2025-02-01T00:00:00"/>
    <d v="2025-02-28T00:00:00"/>
    <x v="1"/>
    <n v="0.32"/>
    <n v="1290441294"/>
    <m/>
    <x v="0"/>
  </r>
  <r>
    <x v="21"/>
    <d v="2025-02-03T00:00:00"/>
    <s v="COMM"/>
    <s v="Product"/>
    <x v="0"/>
    <n v="5.55"/>
    <n v="0"/>
    <n v="5.55"/>
    <n v="653470"/>
    <s v="Main Line Benefits LLC"/>
    <m/>
    <m/>
    <m/>
    <m/>
    <m/>
    <x v="64"/>
    <m/>
    <x v="57"/>
    <x v="62"/>
    <s v="VA"/>
    <x v="12"/>
    <x v="12"/>
    <s v="NCD"/>
    <m/>
    <n v="38593"/>
    <x v="0"/>
    <x v="3"/>
    <s v="Monthly"/>
    <s v="Vision"/>
    <s v="VSP"/>
    <d v="2024-11-04T00:00:00"/>
    <d v="2024-12-01T00:00:00"/>
    <x v="78"/>
    <n v="10283528026"/>
    <m/>
    <x v="0"/>
    <s v="ACH"/>
    <n v="3"/>
    <d v="2025-02-01T00:00:00"/>
    <d v="2025-02-28T00:00:00"/>
    <x v="8"/>
    <n v="0.37"/>
    <n v="1290268929"/>
    <m/>
    <x v="0"/>
  </r>
  <r>
    <x v="21"/>
    <d v="2025-02-03T00:00:00"/>
    <s v="COMM"/>
    <s v="Product"/>
    <x v="0"/>
    <n v="16"/>
    <n v="0"/>
    <n v="16"/>
    <n v="653470"/>
    <s v="Main Line Benefits LLC"/>
    <m/>
    <m/>
    <m/>
    <m/>
    <m/>
    <x v="64"/>
    <m/>
    <x v="57"/>
    <x v="62"/>
    <s v="VA"/>
    <x v="12"/>
    <x v="12"/>
    <s v="NCD"/>
    <m/>
    <n v="45041"/>
    <x v="2"/>
    <x v="2"/>
    <s v="Monthly"/>
    <s v="Dental"/>
    <s v="MetLife"/>
    <d v="2024-11-04T00:00:00"/>
    <d v="2024-12-01T00:00:00"/>
    <x v="79"/>
    <n v="10283528026"/>
    <m/>
    <x v="0"/>
    <s v="ACH"/>
    <n v="3"/>
    <d v="2025-02-01T00:00:00"/>
    <d v="2025-02-28T00:00:00"/>
    <x v="4"/>
    <n v="0.32"/>
    <n v="1290268933"/>
    <m/>
    <x v="0"/>
  </r>
  <r>
    <x v="21"/>
    <d v="2025-02-03T00:00:00"/>
    <s v="COMM"/>
    <s v="Product"/>
    <x v="0"/>
    <n v="4.07"/>
    <n v="0"/>
    <n v="4.07"/>
    <n v="653470"/>
    <s v="Main Line Benefits LLC"/>
    <m/>
    <m/>
    <m/>
    <m/>
    <m/>
    <x v="65"/>
    <m/>
    <x v="58"/>
    <x v="63"/>
    <s v="MD"/>
    <x v="12"/>
    <x v="12"/>
    <s v="NCD"/>
    <m/>
    <n v="38593"/>
    <x v="0"/>
    <x v="0"/>
    <s v="Monthly"/>
    <s v="Vision"/>
    <s v="VSP"/>
    <d v="2024-12-04T00:00:00"/>
    <d v="2025-01-01T00:00:00"/>
    <x v="80"/>
    <n v="10283539948"/>
    <m/>
    <x v="0"/>
    <s v="ACH"/>
    <n v="2"/>
    <d v="2025-02-01T00:00:00"/>
    <d v="2025-02-28T00:00:00"/>
    <x v="0"/>
    <n v="0.37"/>
    <n v="1290265928"/>
    <m/>
    <x v="0"/>
  </r>
  <r>
    <x v="21"/>
    <d v="2025-02-03T00:00:00"/>
    <s v="COMM"/>
    <s v="Product"/>
    <x v="0"/>
    <n v="9.6"/>
    <n v="0"/>
    <n v="9.6"/>
    <n v="653470"/>
    <s v="Main Line Benefits LLC"/>
    <m/>
    <m/>
    <m/>
    <m/>
    <m/>
    <x v="65"/>
    <m/>
    <x v="58"/>
    <x v="63"/>
    <s v="MD"/>
    <x v="12"/>
    <x v="12"/>
    <s v="NCD"/>
    <m/>
    <n v="45041"/>
    <x v="2"/>
    <x v="0"/>
    <s v="Monthly"/>
    <s v="Dental"/>
    <s v="MetLife"/>
    <d v="2024-12-04T00:00:00"/>
    <d v="2025-01-01T00:00:00"/>
    <x v="81"/>
    <n v="10283539948"/>
    <m/>
    <x v="0"/>
    <s v="ACH"/>
    <n v="2"/>
    <d v="2025-02-01T00:00:00"/>
    <d v="2025-02-28T00:00:00"/>
    <x v="9"/>
    <n v="0.32"/>
    <n v="1290265934"/>
    <m/>
    <x v="0"/>
  </r>
  <r>
    <x v="21"/>
    <d v="2025-02-03T00:00:00"/>
    <s v="COMM"/>
    <s v="Product"/>
    <x v="0"/>
    <n v="8"/>
    <n v="0"/>
    <n v="8"/>
    <n v="653470"/>
    <s v="Main Line Benefits LLC"/>
    <m/>
    <m/>
    <m/>
    <m/>
    <m/>
    <x v="66"/>
    <m/>
    <x v="59"/>
    <x v="64"/>
    <s v="MD"/>
    <x v="2"/>
    <x v="2"/>
    <s v="NCD"/>
    <m/>
    <n v="45041"/>
    <x v="2"/>
    <x v="0"/>
    <s v="Monthly"/>
    <s v="Dental"/>
    <s v="MetLife"/>
    <d v="2024-12-04T00:00:00"/>
    <d v="2025-01-01T00:00:00"/>
    <x v="82"/>
    <n v="10286064838"/>
    <m/>
    <x v="0"/>
    <s v="ACH"/>
    <n v="2"/>
    <d v="2025-02-01T00:00:00"/>
    <d v="2025-02-28T00:00:00"/>
    <x v="1"/>
    <n v="0.32"/>
    <n v="1290253452"/>
    <m/>
    <x v="0"/>
  </r>
  <r>
    <x v="22"/>
    <d v="2025-02-03T00:00:00"/>
    <s v="COMM"/>
    <s v="Product"/>
    <x v="2"/>
    <n v="0"/>
    <n v="5.55"/>
    <n v="-5.55"/>
    <n v="653470"/>
    <s v="Main Line Benefits LLC"/>
    <m/>
    <m/>
    <m/>
    <m/>
    <m/>
    <x v="67"/>
    <m/>
    <x v="19"/>
    <x v="65"/>
    <s v="IL"/>
    <x v="13"/>
    <x v="13"/>
    <s v="NCD"/>
    <m/>
    <n v="38593"/>
    <x v="0"/>
    <x v="3"/>
    <s v="Monthly"/>
    <s v="Vision"/>
    <s v="VSP"/>
    <d v="2024-09-09T00:00:00"/>
    <d v="2024-10-01T00:00:00"/>
    <x v="83"/>
    <n v="10295480805"/>
    <m/>
    <x v="2"/>
    <s v="ACH"/>
    <n v="4"/>
    <d v="2025-01-01T00:00:00"/>
    <d v="2025-01-31T00:00:00"/>
    <x v="8"/>
    <n v="0.37"/>
    <n v="1290232547"/>
    <m/>
    <x v="0"/>
  </r>
  <r>
    <x v="23"/>
    <d v="2025-02-03T00:00:00"/>
    <s v="COMM"/>
    <s v="Product"/>
    <x v="0"/>
    <n v="8"/>
    <n v="0"/>
    <n v="8"/>
    <n v="653470"/>
    <s v="Main Line Benefits LLC"/>
    <m/>
    <m/>
    <m/>
    <m/>
    <m/>
    <x v="68"/>
    <m/>
    <x v="60"/>
    <x v="66"/>
    <s v="MD"/>
    <x v="2"/>
    <x v="2"/>
    <s v="NCD"/>
    <m/>
    <n v="45041"/>
    <x v="2"/>
    <x v="0"/>
    <s v="Monthly"/>
    <s v="Dental"/>
    <s v="MetLife"/>
    <d v="2024-10-04T00:00:00"/>
    <d v="2024-11-01T00:00:00"/>
    <x v="84"/>
    <n v="10291805348"/>
    <m/>
    <x v="0"/>
    <s v="CC"/>
    <n v="4"/>
    <d v="2025-02-01T00:00:00"/>
    <d v="2025-02-28T00:00:00"/>
    <x v="1"/>
    <n v="0.32"/>
    <n v="1290460523"/>
    <m/>
    <x v="0"/>
  </r>
  <r>
    <x v="23"/>
    <d v="2025-02-03T00:00:00"/>
    <s v="COMM"/>
    <s v="Product"/>
    <x v="0"/>
    <n v="8"/>
    <n v="0"/>
    <n v="8"/>
    <n v="653470"/>
    <s v="Main Line Benefits LLC"/>
    <m/>
    <m/>
    <m/>
    <m/>
    <m/>
    <x v="69"/>
    <m/>
    <x v="61"/>
    <x v="67"/>
    <s v="MD"/>
    <x v="2"/>
    <x v="2"/>
    <s v="NCD"/>
    <m/>
    <n v="45041"/>
    <x v="2"/>
    <x v="0"/>
    <s v="Monthly"/>
    <s v="Dental"/>
    <s v="MetLife"/>
    <d v="2024-11-01T00:00:00"/>
    <d v="2024-12-01T00:00:00"/>
    <x v="85"/>
    <n v="10291750700"/>
    <m/>
    <x v="0"/>
    <s v="CC"/>
    <n v="3"/>
    <d v="2025-02-01T00:00:00"/>
    <d v="2025-02-28T00:00:00"/>
    <x v="1"/>
    <n v="0.32"/>
    <n v="1290465987"/>
    <m/>
    <x v="0"/>
  </r>
  <r>
    <x v="24"/>
    <d v="2025-02-03T00:00:00"/>
    <s v="COMM"/>
    <s v="Product"/>
    <x v="0"/>
    <n v="8"/>
    <n v="0"/>
    <n v="8"/>
    <n v="653470"/>
    <s v="Main Line Benefits LLC"/>
    <m/>
    <m/>
    <m/>
    <m/>
    <m/>
    <x v="70"/>
    <m/>
    <x v="62"/>
    <x v="68"/>
    <s v="MD"/>
    <x v="8"/>
    <x v="8"/>
    <s v="NCD"/>
    <m/>
    <n v="45041"/>
    <x v="2"/>
    <x v="0"/>
    <s v="Monthly"/>
    <s v="Dental"/>
    <s v="MetLife"/>
    <d v="2024-10-31T00:00:00"/>
    <d v="2024-11-01T00:00:00"/>
    <x v="86"/>
    <n v="10289930591"/>
    <m/>
    <x v="0"/>
    <s v="CC"/>
    <n v="3"/>
    <d v="2025-01-01T00:00:00"/>
    <d v="2025-01-31T00:00:00"/>
    <x v="1"/>
    <n v="0.32"/>
    <n v="1290471062"/>
    <m/>
    <x v="0"/>
  </r>
  <r>
    <x v="25"/>
    <d v="2025-02-03T00:00:00"/>
    <s v="COMM"/>
    <s v="Product"/>
    <x v="0"/>
    <n v="4.07"/>
    <n v="0"/>
    <n v="4.07"/>
    <n v="653470"/>
    <s v="Main Line Benefits LLC"/>
    <m/>
    <m/>
    <m/>
    <m/>
    <m/>
    <x v="71"/>
    <m/>
    <x v="63"/>
    <x v="69"/>
    <s v="NC"/>
    <x v="9"/>
    <x v="9"/>
    <s v="NCD"/>
    <m/>
    <n v="38593"/>
    <x v="0"/>
    <x v="0"/>
    <s v="Monthly"/>
    <s v="Vision"/>
    <s v="VSP"/>
    <d v="2023-10-05T00:00:00"/>
    <d v="2023-11-01T00:00:00"/>
    <x v="87"/>
    <n v="10286064867"/>
    <m/>
    <x v="0"/>
    <s v="CC"/>
    <n v="16"/>
    <d v="2025-02-01T00:00:00"/>
    <d v="2025-02-28T00:00:00"/>
    <x v="0"/>
    <n v="0.37"/>
    <n v="1290490326"/>
    <m/>
    <x v="0"/>
  </r>
  <r>
    <x v="25"/>
    <d v="2025-02-03T00:00:00"/>
    <s v="COMM"/>
    <s v="Product"/>
    <x v="0"/>
    <n v="18.239999999999998"/>
    <n v="0"/>
    <n v="18.239999999999998"/>
    <n v="653470"/>
    <s v="Main Line Benefits LLC"/>
    <m/>
    <m/>
    <m/>
    <m/>
    <m/>
    <x v="72"/>
    <m/>
    <x v="64"/>
    <x v="70"/>
    <s v="PA"/>
    <x v="3"/>
    <x v="3"/>
    <s v="NCD"/>
    <m/>
    <n v="38398"/>
    <x v="7"/>
    <x v="2"/>
    <s v="Monthly"/>
    <s v="Dental"/>
    <s v="MetLife"/>
    <d v="2023-11-10T00:00:00"/>
    <d v="2024-01-01T00:00:00"/>
    <x v="88"/>
    <n v="10272421305"/>
    <m/>
    <x v="0"/>
    <s v="ACH"/>
    <n v="13"/>
    <d v="2025-01-01T00:00:00"/>
    <d v="2025-01-31T00:00:00"/>
    <x v="22"/>
    <n v="0.24"/>
    <n v="1290316787"/>
    <m/>
    <x v="0"/>
  </r>
  <r>
    <x v="25"/>
    <d v="2025-02-03T00:00:00"/>
    <s v="COMM"/>
    <s v="Product"/>
    <x v="0"/>
    <n v="15.6"/>
    <n v="0"/>
    <n v="15.6"/>
    <n v="653470"/>
    <s v="Main Line Benefits LLC"/>
    <m/>
    <m/>
    <m/>
    <m/>
    <m/>
    <x v="73"/>
    <m/>
    <x v="65"/>
    <x v="71"/>
    <s v="PA"/>
    <x v="3"/>
    <x v="3"/>
    <s v="NCD"/>
    <m/>
    <n v="38399"/>
    <x v="3"/>
    <x v="0"/>
    <s v="Monthly"/>
    <s v="Dental"/>
    <s v="MetLife"/>
    <d v="2023-11-01T00:00:00"/>
    <d v="2023-12-01T00:00:00"/>
    <x v="89"/>
    <n v="10272420249"/>
    <m/>
    <x v="0"/>
    <s v="ACH"/>
    <n v="15"/>
    <d v="2025-02-01T00:00:00"/>
    <d v="2025-02-28T00:00:00"/>
    <x v="23"/>
    <n v="0.24"/>
    <n v="1290316943"/>
    <m/>
    <x v="0"/>
  </r>
  <r>
    <x v="25"/>
    <d v="2025-02-03T00:00:00"/>
    <s v="COMM"/>
    <s v="Product"/>
    <x v="0"/>
    <n v="18.239999999999998"/>
    <n v="0"/>
    <n v="18.239999999999998"/>
    <n v="653470"/>
    <s v="Main Line Benefits LLC"/>
    <m/>
    <m/>
    <m/>
    <m/>
    <m/>
    <x v="74"/>
    <m/>
    <x v="13"/>
    <x v="72"/>
    <s v="PA"/>
    <x v="3"/>
    <x v="3"/>
    <s v="NCD"/>
    <m/>
    <n v="38398"/>
    <x v="7"/>
    <x v="2"/>
    <s v="Monthly"/>
    <s v="Dental"/>
    <s v="MetLife"/>
    <d v="2023-12-01T00:00:00"/>
    <d v="2024-01-01T00:00:00"/>
    <x v="90"/>
    <n v="10272423820"/>
    <m/>
    <x v="0"/>
    <s v="ACH"/>
    <n v="14"/>
    <d v="2025-02-01T00:00:00"/>
    <d v="2025-02-28T00:00:00"/>
    <x v="22"/>
    <n v="0.24"/>
    <n v="1290316326"/>
    <m/>
    <x v="0"/>
  </r>
  <r>
    <x v="25"/>
    <d v="2025-02-03T00:00:00"/>
    <s v="COMM"/>
    <s v="Product"/>
    <x v="0"/>
    <n v="5.55"/>
    <n v="0"/>
    <n v="5.55"/>
    <n v="653470"/>
    <s v="Main Line Benefits LLC"/>
    <m/>
    <m/>
    <m/>
    <m/>
    <m/>
    <x v="75"/>
    <m/>
    <x v="66"/>
    <x v="73"/>
    <s v="FL"/>
    <x v="3"/>
    <x v="3"/>
    <s v="NCD"/>
    <m/>
    <n v="38593"/>
    <x v="0"/>
    <x v="3"/>
    <s v="Monthly"/>
    <s v="Vision"/>
    <s v="VSP"/>
    <d v="2024-02-01T00:00:00"/>
    <d v="2024-03-01T00:00:00"/>
    <x v="91"/>
    <n v="10273321282"/>
    <m/>
    <x v="0"/>
    <s v="ACH"/>
    <n v="12"/>
    <d v="2025-02-01T00:00:00"/>
    <d v="2025-02-28T00:00:00"/>
    <x v="8"/>
    <n v="0.37"/>
    <n v="1290300265"/>
    <m/>
    <x v="0"/>
  </r>
  <r>
    <x v="25"/>
    <d v="2025-02-03T00:00:00"/>
    <s v="COMM"/>
    <s v="Product"/>
    <x v="0"/>
    <n v="32.159999999999997"/>
    <n v="0"/>
    <n v="32.159999999999997"/>
    <n v="653470"/>
    <s v="Main Line Benefits LLC"/>
    <m/>
    <m/>
    <m/>
    <m/>
    <m/>
    <x v="75"/>
    <m/>
    <x v="66"/>
    <x v="73"/>
    <s v="FL"/>
    <x v="3"/>
    <x v="3"/>
    <s v="NCD"/>
    <m/>
    <n v="38399"/>
    <x v="3"/>
    <x v="2"/>
    <s v="Monthly"/>
    <s v="Dental"/>
    <s v="MetLife"/>
    <d v="2024-02-01T00:00:00"/>
    <d v="2024-03-01T00:00:00"/>
    <x v="92"/>
    <n v="10273321282"/>
    <m/>
    <x v="0"/>
    <s v="ACH"/>
    <n v="12"/>
    <d v="2025-02-01T00:00:00"/>
    <d v="2025-02-28T00:00:00"/>
    <x v="24"/>
    <n v="0.24"/>
    <n v="1290300262"/>
    <m/>
    <x v="0"/>
  </r>
  <r>
    <x v="25"/>
    <d v="2025-02-03T00:00:00"/>
    <s v="COMM"/>
    <s v="Product"/>
    <x v="0"/>
    <n v="7.4"/>
    <n v="0"/>
    <n v="7.4"/>
    <n v="653470"/>
    <s v="Main Line Benefits LLC"/>
    <m/>
    <m/>
    <m/>
    <m/>
    <m/>
    <x v="76"/>
    <m/>
    <x v="67"/>
    <x v="74"/>
    <s v="TX"/>
    <x v="9"/>
    <x v="9"/>
    <s v="NCD"/>
    <m/>
    <n v="38593"/>
    <x v="0"/>
    <x v="1"/>
    <s v="Monthly"/>
    <s v="Vision"/>
    <s v="VSP"/>
    <d v="2024-09-10T00:00:00"/>
    <d v="2024-10-01T00:00:00"/>
    <x v="93"/>
    <n v="10272451251"/>
    <m/>
    <x v="0"/>
    <s v="ACH"/>
    <n v="4"/>
    <d v="2025-01-01T00:00:00"/>
    <d v="2025-01-31T00:00:00"/>
    <x v="3"/>
    <n v="0.37"/>
    <n v="1290313607"/>
    <m/>
    <x v="0"/>
  </r>
  <r>
    <x v="25"/>
    <d v="2025-02-03T00:00:00"/>
    <s v="COMM"/>
    <s v="Product"/>
    <x v="0"/>
    <n v="22.32"/>
    <n v="0"/>
    <n v="22.32"/>
    <n v="653470"/>
    <s v="Main Line Benefits LLC"/>
    <m/>
    <m/>
    <m/>
    <m/>
    <m/>
    <x v="76"/>
    <m/>
    <x v="67"/>
    <x v="74"/>
    <s v="TX"/>
    <x v="9"/>
    <x v="9"/>
    <s v="NCD"/>
    <m/>
    <n v="38796"/>
    <x v="1"/>
    <x v="1"/>
    <s v="Monthly"/>
    <s v="Dental"/>
    <s v="MetLife"/>
    <d v="2024-09-10T00:00:00"/>
    <d v="2024-10-01T00:00:00"/>
    <x v="94"/>
    <n v="10272451251"/>
    <m/>
    <x v="0"/>
    <s v="ACH"/>
    <n v="4"/>
    <d v="2025-01-01T00:00:00"/>
    <d v="2025-01-31T00:00:00"/>
    <x v="11"/>
    <n v="0.24"/>
    <n v="1290313609"/>
    <m/>
    <x v="0"/>
  </r>
  <r>
    <x v="25"/>
    <d v="2025-02-03T00:00:00"/>
    <s v="COMM"/>
    <s v="Product"/>
    <x v="0"/>
    <n v="6"/>
    <n v="0"/>
    <n v="6"/>
    <n v="653470"/>
    <s v="Main Line Benefits LLC"/>
    <m/>
    <m/>
    <m/>
    <m/>
    <m/>
    <x v="77"/>
    <m/>
    <x v="68"/>
    <x v="75"/>
    <s v="MD"/>
    <x v="7"/>
    <x v="7"/>
    <s v="NCD"/>
    <m/>
    <n v="38796"/>
    <x v="1"/>
    <x v="0"/>
    <s v="Monthly"/>
    <s v="Dental"/>
    <s v="MetLife"/>
    <d v="2024-10-05T00:00:00"/>
    <d v="2024-11-01T00:00:00"/>
    <x v="95"/>
    <n v="10286061430"/>
    <m/>
    <x v="0"/>
    <s v="CC"/>
    <n v="4"/>
    <d v="2025-02-01T00:00:00"/>
    <d v="2025-02-28T00:00:00"/>
    <x v="1"/>
    <n v="0.24"/>
    <n v="1290491456"/>
    <m/>
    <x v="0"/>
  </r>
  <r>
    <x v="25"/>
    <d v="2025-02-03T00:00:00"/>
    <s v="COMM"/>
    <s v="Product"/>
    <x v="0"/>
    <n v="4.07"/>
    <n v="0"/>
    <n v="4.07"/>
    <n v="653470"/>
    <s v="Main Line Benefits LLC"/>
    <m/>
    <m/>
    <m/>
    <m/>
    <m/>
    <x v="78"/>
    <m/>
    <x v="69"/>
    <x v="76"/>
    <s v="MD"/>
    <x v="2"/>
    <x v="2"/>
    <s v="NCD"/>
    <m/>
    <n v="38593"/>
    <x v="0"/>
    <x v="0"/>
    <s v="Monthly"/>
    <s v="Vision"/>
    <s v="VSP"/>
    <d v="2024-12-05T00:00:00"/>
    <d v="2025-01-01T00:00:00"/>
    <x v="96"/>
    <n v="10286063997"/>
    <m/>
    <x v="0"/>
    <s v="CC"/>
    <n v="2"/>
    <d v="2025-02-01T00:00:00"/>
    <d v="2025-02-28T00:00:00"/>
    <x v="0"/>
    <n v="0.37"/>
    <n v="1290490578"/>
    <m/>
    <x v="0"/>
  </r>
  <r>
    <x v="26"/>
    <d v="2025-02-03T00:00:00"/>
    <s v="COMM"/>
    <s v="Product"/>
    <x v="0"/>
    <n v="4.07"/>
    <n v="0"/>
    <n v="4.07"/>
    <n v="653470"/>
    <s v="Main Line Benefits LLC"/>
    <m/>
    <m/>
    <m/>
    <m/>
    <m/>
    <x v="79"/>
    <m/>
    <x v="55"/>
    <x v="77"/>
    <s v="MD"/>
    <x v="2"/>
    <x v="2"/>
    <s v="NCD"/>
    <m/>
    <n v="38593"/>
    <x v="0"/>
    <x v="0"/>
    <s v="Monthly"/>
    <s v="Vision"/>
    <s v="VSP"/>
    <d v="2024-10-30T00:00:00"/>
    <d v="2024-11-01T00:00:00"/>
    <x v="97"/>
    <n v="10265525544"/>
    <m/>
    <x v="0"/>
    <s v="ACH"/>
    <n v="3"/>
    <d v="2025-01-01T00:00:00"/>
    <d v="2025-01-31T00:00:00"/>
    <x v="0"/>
    <n v="0.37"/>
    <n v="1290331220"/>
    <m/>
    <x v="0"/>
  </r>
  <r>
    <x v="26"/>
    <d v="2025-02-03T00:00:00"/>
    <s v="COMM"/>
    <s v="Product"/>
    <x v="0"/>
    <n v="8"/>
    <n v="0"/>
    <n v="8"/>
    <n v="653470"/>
    <s v="Main Line Benefits LLC"/>
    <m/>
    <m/>
    <m/>
    <m/>
    <m/>
    <x v="79"/>
    <m/>
    <x v="55"/>
    <x v="77"/>
    <s v="MD"/>
    <x v="2"/>
    <x v="2"/>
    <s v="NCD"/>
    <m/>
    <n v="45041"/>
    <x v="2"/>
    <x v="0"/>
    <s v="Monthly"/>
    <s v="Dental"/>
    <s v="MetLife"/>
    <d v="2024-10-30T00:00:00"/>
    <d v="2024-11-01T00:00:00"/>
    <x v="98"/>
    <n v="10265525544"/>
    <m/>
    <x v="0"/>
    <s v="ACH"/>
    <n v="3"/>
    <d v="2025-01-01T00:00:00"/>
    <d v="2025-01-31T00:00:00"/>
    <x v="1"/>
    <n v="0.32"/>
    <n v="1290331223"/>
    <m/>
    <x v="0"/>
  </r>
  <r>
    <x v="26"/>
    <d v="2025-02-03T00:00:00"/>
    <s v="COMM"/>
    <s v="Product"/>
    <x v="0"/>
    <n v="8"/>
    <n v="0"/>
    <n v="8"/>
    <n v="653470"/>
    <s v="Main Line Benefits LLC"/>
    <m/>
    <m/>
    <m/>
    <m/>
    <m/>
    <x v="80"/>
    <m/>
    <x v="70"/>
    <x v="78"/>
    <s v="MD"/>
    <x v="2"/>
    <x v="2"/>
    <s v="NCD"/>
    <m/>
    <n v="45041"/>
    <x v="2"/>
    <x v="0"/>
    <s v="Monthly"/>
    <s v="Dental"/>
    <s v="MetLife"/>
    <d v="2024-10-03T00:00:00"/>
    <d v="2024-11-01T00:00:00"/>
    <x v="99"/>
    <n v="10283538336"/>
    <m/>
    <x v="0"/>
    <s v="CC"/>
    <n v="4"/>
    <d v="2025-02-01T00:00:00"/>
    <d v="2025-02-28T00:00:00"/>
    <x v="1"/>
    <n v="0.32"/>
    <n v="1290502514"/>
    <m/>
    <x v="0"/>
  </r>
  <r>
    <x v="26"/>
    <d v="2025-02-03T00:00:00"/>
    <s v="COMM"/>
    <s v="Product"/>
    <x v="0"/>
    <n v="5.55"/>
    <n v="0"/>
    <n v="5.55"/>
    <n v="653470"/>
    <s v="Main Line Benefits LLC"/>
    <m/>
    <m/>
    <m/>
    <m/>
    <m/>
    <x v="67"/>
    <m/>
    <x v="19"/>
    <x v="65"/>
    <s v="IL"/>
    <x v="13"/>
    <x v="13"/>
    <s v="NCD"/>
    <m/>
    <n v="38593"/>
    <x v="0"/>
    <x v="3"/>
    <s v="Monthly"/>
    <s v="Vision"/>
    <s v="VSP"/>
    <d v="2024-09-09T00:00:00"/>
    <d v="2024-10-01T00:00:00"/>
    <x v="83"/>
    <n v="10265520732"/>
    <m/>
    <x v="0"/>
    <s v="ACH"/>
    <n v="4"/>
    <d v="2025-01-01T00:00:00"/>
    <d v="2025-01-31T00:00:00"/>
    <x v="8"/>
    <n v="0.37"/>
    <n v="1290333526"/>
    <m/>
    <x v="0"/>
  </r>
  <r>
    <x v="26"/>
    <d v="2025-02-03T00:00:00"/>
    <s v="COMM"/>
    <s v="Product"/>
    <x v="0"/>
    <n v="4.07"/>
    <n v="0"/>
    <n v="4.07"/>
    <n v="653470"/>
    <s v="Main Line Benefits LLC"/>
    <m/>
    <m/>
    <m/>
    <m/>
    <m/>
    <x v="81"/>
    <m/>
    <x v="71"/>
    <x v="79"/>
    <s v="MD"/>
    <x v="2"/>
    <x v="2"/>
    <s v="NCD"/>
    <m/>
    <n v="38593"/>
    <x v="0"/>
    <x v="0"/>
    <s v="Monthly"/>
    <s v="Vision"/>
    <s v="VSP"/>
    <d v="2024-09-06T00:00:00"/>
    <d v="2024-10-01T00:00:00"/>
    <x v="100"/>
    <n v="10265520564"/>
    <m/>
    <x v="0"/>
    <s v="ACH"/>
    <n v="4"/>
    <d v="2025-01-01T00:00:00"/>
    <d v="2025-01-31T00:00:00"/>
    <x v="0"/>
    <n v="0.37"/>
    <n v="1290333574"/>
    <m/>
    <x v="0"/>
  </r>
  <r>
    <x v="26"/>
    <d v="2025-02-03T00:00:00"/>
    <s v="COMM"/>
    <s v="Product"/>
    <x v="0"/>
    <n v="4.07"/>
    <n v="0"/>
    <n v="4.07"/>
    <n v="653470"/>
    <s v="Main Line Benefits LLC"/>
    <m/>
    <m/>
    <m/>
    <m/>
    <m/>
    <x v="82"/>
    <m/>
    <x v="72"/>
    <x v="80"/>
    <s v="MD"/>
    <x v="14"/>
    <x v="14"/>
    <s v="NCD"/>
    <m/>
    <n v="38593"/>
    <x v="0"/>
    <x v="0"/>
    <s v="Monthly"/>
    <s v="Vision"/>
    <s v="VSP"/>
    <d v="2024-08-09T00:00:00"/>
    <d v="2024-09-01T00:00:00"/>
    <x v="101"/>
    <n v="10265518917"/>
    <m/>
    <x v="0"/>
    <s v="ACH"/>
    <n v="5"/>
    <d v="2025-01-01T00:00:00"/>
    <d v="2025-01-31T00:00:00"/>
    <x v="0"/>
    <n v="0.37"/>
    <n v="1290334952"/>
    <m/>
    <x v="0"/>
  </r>
  <r>
    <x v="26"/>
    <d v="2025-02-03T00:00:00"/>
    <s v="COMM"/>
    <s v="Product"/>
    <x v="0"/>
    <n v="15.84"/>
    <n v="0"/>
    <n v="15.84"/>
    <n v="653470"/>
    <s v="Main Line Benefits LLC"/>
    <m/>
    <m/>
    <m/>
    <m/>
    <m/>
    <x v="82"/>
    <m/>
    <x v="72"/>
    <x v="80"/>
    <s v="MD"/>
    <x v="14"/>
    <x v="14"/>
    <s v="NCD"/>
    <m/>
    <n v="38399"/>
    <x v="3"/>
    <x v="0"/>
    <s v="Monthly"/>
    <s v="Dental"/>
    <s v="MetLife"/>
    <d v="2024-08-09T00:00:00"/>
    <d v="2024-09-01T00:00:00"/>
    <x v="102"/>
    <n v="10265518917"/>
    <m/>
    <x v="0"/>
    <s v="ACH"/>
    <n v="5"/>
    <d v="2025-01-01T00:00:00"/>
    <d v="2025-01-31T00:00:00"/>
    <x v="19"/>
    <n v="0.24"/>
    <n v="1290334950"/>
    <m/>
    <x v="0"/>
  </r>
  <r>
    <x v="26"/>
    <d v="2025-02-03T00:00:00"/>
    <s v="COMM"/>
    <s v="Product"/>
    <x v="0"/>
    <n v="29.76"/>
    <n v="0"/>
    <n v="29.76"/>
    <n v="653470"/>
    <s v="Main Line Benefits LLC"/>
    <m/>
    <m/>
    <m/>
    <m/>
    <m/>
    <x v="83"/>
    <m/>
    <x v="73"/>
    <x v="81"/>
    <s v="IL"/>
    <x v="6"/>
    <x v="6"/>
    <s v="NCD"/>
    <m/>
    <n v="42251"/>
    <x v="9"/>
    <x v="2"/>
    <s v="Monthly"/>
    <s v="Dental"/>
    <s v="MetLife"/>
    <d v="2024-07-31T00:00:00"/>
    <d v="2024-08-01T00:00:00"/>
    <x v="103"/>
    <n v="10265518643"/>
    <m/>
    <x v="0"/>
    <s v="ACH"/>
    <n v="6"/>
    <d v="2025-01-01T00:00:00"/>
    <d v="2025-01-31T00:00:00"/>
    <x v="25"/>
    <n v="0.24"/>
    <n v="1290335209"/>
    <m/>
    <x v="0"/>
  </r>
  <r>
    <x v="26"/>
    <d v="2025-02-03T00:00:00"/>
    <s v="COMM"/>
    <s v="Product"/>
    <x v="0"/>
    <n v="5.55"/>
    <n v="0"/>
    <n v="5.55"/>
    <n v="653470"/>
    <s v="Main Line Benefits LLC"/>
    <m/>
    <m/>
    <m/>
    <m/>
    <m/>
    <x v="84"/>
    <m/>
    <x v="74"/>
    <x v="82"/>
    <s v="PA"/>
    <x v="14"/>
    <x v="14"/>
    <s v="NCD"/>
    <m/>
    <n v="38593"/>
    <x v="0"/>
    <x v="3"/>
    <s v="Monthly"/>
    <s v="Vision"/>
    <s v="VSP"/>
    <d v="2024-08-06T00:00:00"/>
    <d v="2024-09-01T00:00:00"/>
    <x v="104"/>
    <n v="10265511392"/>
    <m/>
    <x v="0"/>
    <s v="ACH"/>
    <n v="5"/>
    <d v="2025-01-01T00:00:00"/>
    <d v="2025-01-31T00:00:00"/>
    <x v="8"/>
    <n v="0.37"/>
    <n v="1290341169"/>
    <m/>
    <x v="0"/>
  </r>
  <r>
    <x v="26"/>
    <d v="2025-02-03T00:00:00"/>
    <s v="COMM"/>
    <s v="Product"/>
    <x v="0"/>
    <n v="31.68"/>
    <n v="0"/>
    <n v="31.68"/>
    <n v="653470"/>
    <s v="Main Line Benefits LLC"/>
    <m/>
    <m/>
    <m/>
    <m/>
    <m/>
    <x v="84"/>
    <m/>
    <x v="74"/>
    <x v="82"/>
    <s v="PA"/>
    <x v="14"/>
    <x v="14"/>
    <s v="NCD"/>
    <m/>
    <n v="38399"/>
    <x v="3"/>
    <x v="2"/>
    <s v="Monthly"/>
    <s v="Dental"/>
    <s v="MetLife"/>
    <d v="2024-08-06T00:00:00"/>
    <d v="2024-09-01T00:00:00"/>
    <x v="105"/>
    <n v="10265511392"/>
    <m/>
    <x v="0"/>
    <s v="ACH"/>
    <n v="5"/>
    <d v="2025-01-01T00:00:00"/>
    <d v="2025-01-31T00:00:00"/>
    <x v="26"/>
    <n v="0.24"/>
    <n v="1290341167"/>
    <m/>
    <x v="0"/>
  </r>
  <r>
    <x v="26"/>
    <d v="2025-02-03T00:00:00"/>
    <s v="COMM"/>
    <s v="Product"/>
    <x v="0"/>
    <n v="4.07"/>
    <n v="0"/>
    <n v="4.07"/>
    <n v="653470"/>
    <s v="Main Line Benefits LLC"/>
    <m/>
    <m/>
    <m/>
    <m/>
    <m/>
    <x v="85"/>
    <m/>
    <x v="75"/>
    <x v="83"/>
    <s v="PA"/>
    <x v="14"/>
    <x v="14"/>
    <s v="NCD"/>
    <m/>
    <n v="38593"/>
    <x v="0"/>
    <x v="0"/>
    <s v="Monthly"/>
    <s v="Vision"/>
    <s v="VSP"/>
    <d v="2024-08-08T00:00:00"/>
    <d v="2024-09-01T00:00:00"/>
    <x v="106"/>
    <n v="10265511585"/>
    <m/>
    <x v="0"/>
    <s v="ACH"/>
    <n v="5"/>
    <d v="2025-01-01T00:00:00"/>
    <d v="2025-01-31T00:00:00"/>
    <x v="0"/>
    <n v="0.37"/>
    <n v="1290340998"/>
    <m/>
    <x v="0"/>
  </r>
  <r>
    <x v="26"/>
    <d v="2025-02-03T00:00:00"/>
    <s v="COMM"/>
    <s v="Product"/>
    <x v="0"/>
    <n v="15.84"/>
    <n v="0"/>
    <n v="15.84"/>
    <n v="653470"/>
    <s v="Main Line Benefits LLC"/>
    <m/>
    <m/>
    <m/>
    <m/>
    <m/>
    <x v="85"/>
    <m/>
    <x v="75"/>
    <x v="83"/>
    <s v="PA"/>
    <x v="14"/>
    <x v="14"/>
    <s v="NCD"/>
    <m/>
    <n v="38399"/>
    <x v="3"/>
    <x v="0"/>
    <s v="Monthly"/>
    <s v="Dental"/>
    <s v="MetLife"/>
    <d v="2024-08-08T00:00:00"/>
    <d v="2024-09-01T00:00:00"/>
    <x v="107"/>
    <n v="10265511585"/>
    <m/>
    <x v="0"/>
    <s v="ACH"/>
    <n v="5"/>
    <d v="2025-01-01T00:00:00"/>
    <d v="2025-01-31T00:00:00"/>
    <x v="19"/>
    <n v="0.24"/>
    <n v="1290340994"/>
    <m/>
    <x v="0"/>
  </r>
  <r>
    <x v="26"/>
    <d v="2025-02-03T00:00:00"/>
    <s v="COMM"/>
    <s v="Product"/>
    <x v="0"/>
    <n v="9.1199999999999992"/>
    <n v="0"/>
    <n v="9.1199999999999992"/>
    <n v="653470"/>
    <s v="Main Line Benefits LLC"/>
    <m/>
    <m/>
    <m/>
    <m/>
    <m/>
    <x v="86"/>
    <m/>
    <x v="76"/>
    <x v="84"/>
    <s v="IL"/>
    <x v="10"/>
    <x v="10"/>
    <s v="NCD"/>
    <m/>
    <n v="42249"/>
    <x v="4"/>
    <x v="0"/>
    <s v="Monthly"/>
    <s v="Dental"/>
    <s v="MetLife"/>
    <d v="2024-05-14T00:00:00"/>
    <d v="2024-06-01T00:00:00"/>
    <x v="108"/>
    <n v="10265514029"/>
    <m/>
    <x v="0"/>
    <s v="ACH"/>
    <n v="8"/>
    <d v="2025-01-01T00:00:00"/>
    <d v="2025-01-31T00:00:00"/>
    <x v="10"/>
    <n v="0.24"/>
    <n v="1290338853"/>
    <m/>
    <x v="0"/>
  </r>
  <r>
    <x v="26"/>
    <d v="2025-02-03T00:00:00"/>
    <s v="COMM"/>
    <s v="Product"/>
    <x v="0"/>
    <n v="28.8"/>
    <n v="0"/>
    <n v="28.8"/>
    <n v="653470"/>
    <s v="Main Line Benefits LLC"/>
    <m/>
    <m/>
    <m/>
    <m/>
    <m/>
    <x v="87"/>
    <m/>
    <x v="77"/>
    <x v="85"/>
    <s v="PA"/>
    <x v="11"/>
    <x v="11"/>
    <s v="NCD"/>
    <m/>
    <n v="38399"/>
    <x v="3"/>
    <x v="2"/>
    <s v="Monthly"/>
    <s v="Dental"/>
    <s v="MetLife"/>
    <d v="2023-11-13T00:00:00"/>
    <d v="2024-01-01T00:00:00"/>
    <x v="109"/>
    <n v="10265497152"/>
    <m/>
    <x v="0"/>
    <s v="ACH"/>
    <n v="13"/>
    <d v="2025-01-01T00:00:00"/>
    <d v="2025-01-31T00:00:00"/>
    <x v="27"/>
    <n v="0.24"/>
    <n v="1290350801"/>
    <m/>
    <x v="0"/>
  </r>
  <r>
    <x v="26"/>
    <d v="2025-02-03T00:00:00"/>
    <s v="COMM"/>
    <s v="Product"/>
    <x v="0"/>
    <n v="5.55"/>
    <n v="0"/>
    <n v="5.55"/>
    <n v="653470"/>
    <s v="Main Line Benefits LLC"/>
    <m/>
    <m/>
    <m/>
    <m/>
    <m/>
    <x v="87"/>
    <m/>
    <x v="77"/>
    <x v="85"/>
    <s v="PA"/>
    <x v="11"/>
    <x v="11"/>
    <s v="NCD"/>
    <m/>
    <n v="38967"/>
    <x v="0"/>
    <x v="3"/>
    <s v="Monthly"/>
    <s v="Vision"/>
    <s v="VSP"/>
    <d v="2024-04-19T00:00:00"/>
    <d v="2024-05-01T00:00:00"/>
    <x v="110"/>
    <n v="10265497152"/>
    <m/>
    <x v="0"/>
    <s v="ACH"/>
    <n v="9"/>
    <d v="2025-01-01T00:00:00"/>
    <d v="2025-01-31T00:00:00"/>
    <x v="8"/>
    <n v="0.37"/>
    <n v="1290350805"/>
    <m/>
    <x v="0"/>
  </r>
  <r>
    <x v="27"/>
    <d v="2025-02-03T00:00:00"/>
    <s v="COMM"/>
    <s v="Product"/>
    <x v="0"/>
    <n v="8"/>
    <n v="0"/>
    <n v="8"/>
    <n v="653470"/>
    <s v="Main Line Benefits LLC"/>
    <m/>
    <m/>
    <m/>
    <m/>
    <m/>
    <x v="25"/>
    <m/>
    <x v="24"/>
    <x v="25"/>
    <s v="MD"/>
    <x v="2"/>
    <x v="2"/>
    <s v="NCD"/>
    <m/>
    <n v="45041"/>
    <x v="2"/>
    <x v="0"/>
    <s v="Monthly"/>
    <s v="Dental"/>
    <s v="MetLife"/>
    <d v="2024-10-01T00:00:00"/>
    <d v="2024-11-01T00:00:00"/>
    <x v="30"/>
    <n v="10279819623"/>
    <m/>
    <x v="0"/>
    <s v="CC"/>
    <n v="3"/>
    <d v="2025-01-01T00:00:00"/>
    <d v="2025-01-31T00:00:00"/>
    <x v="1"/>
    <n v="0.32"/>
    <n v="1290518021"/>
    <m/>
    <x v="0"/>
  </r>
  <r>
    <x v="27"/>
    <d v="2025-02-03T00:00:00"/>
    <s v="COMM"/>
    <s v="Product"/>
    <x v="0"/>
    <n v="4.07"/>
    <n v="0"/>
    <n v="4.07"/>
    <n v="653470"/>
    <s v="Main Line Benefits LLC"/>
    <m/>
    <m/>
    <m/>
    <m/>
    <m/>
    <x v="88"/>
    <m/>
    <x v="78"/>
    <x v="86"/>
    <s v="IL"/>
    <x v="6"/>
    <x v="6"/>
    <s v="NCD"/>
    <m/>
    <n v="38593"/>
    <x v="0"/>
    <x v="0"/>
    <s v="Monthly"/>
    <s v="Vision"/>
    <s v="VSP"/>
    <d v="2024-10-03T00:00:00"/>
    <d v="2024-11-01T00:00:00"/>
    <x v="111"/>
    <n v="10282345215"/>
    <m/>
    <x v="0"/>
    <s v="CC"/>
    <n v="4"/>
    <d v="2025-02-01T00:00:00"/>
    <d v="2025-02-28T00:00:00"/>
    <x v="0"/>
    <n v="0.37"/>
    <n v="1290507415"/>
    <m/>
    <x v="0"/>
  </r>
  <r>
    <x v="27"/>
    <d v="2025-02-03T00:00:00"/>
    <s v="COMM"/>
    <s v="Product"/>
    <x v="0"/>
    <n v="8"/>
    <n v="0"/>
    <n v="8"/>
    <n v="653470"/>
    <s v="Main Line Benefits LLC"/>
    <m/>
    <m/>
    <m/>
    <m/>
    <m/>
    <x v="3"/>
    <m/>
    <x v="3"/>
    <x v="3"/>
    <s v="MD"/>
    <x v="2"/>
    <x v="2"/>
    <s v="NCD"/>
    <m/>
    <n v="45041"/>
    <x v="2"/>
    <x v="0"/>
    <s v="Monthly"/>
    <s v="Dental"/>
    <s v="MetLife"/>
    <d v="2024-10-03T00:00:00"/>
    <d v="2024-11-01T00:00:00"/>
    <x v="3"/>
    <n v="10279880956"/>
    <m/>
    <x v="0"/>
    <s v="CC"/>
    <n v="3"/>
    <d v="2025-01-01T00:00:00"/>
    <d v="2025-01-31T00:00:00"/>
    <x v="1"/>
    <n v="0.32"/>
    <n v="1290514344"/>
    <m/>
    <x v="0"/>
  </r>
  <r>
    <x v="28"/>
    <d v="2025-02-03T00:00:00"/>
    <s v="COMM"/>
    <s v="Product"/>
    <x v="0"/>
    <n v="4.07"/>
    <n v="0"/>
    <n v="4.07"/>
    <n v="653470"/>
    <s v="Main Line Benefits LLC"/>
    <m/>
    <m/>
    <m/>
    <m/>
    <m/>
    <x v="89"/>
    <m/>
    <x v="79"/>
    <x v="87"/>
    <s v="MD"/>
    <x v="7"/>
    <x v="7"/>
    <s v="NCD"/>
    <m/>
    <n v="38593"/>
    <x v="0"/>
    <x v="0"/>
    <s v="Monthly"/>
    <s v="Vision"/>
    <s v="VSP"/>
    <d v="2024-12-02T00:00:00"/>
    <d v="2025-01-01T00:00:00"/>
    <x v="112"/>
    <n v="10275748584"/>
    <m/>
    <x v="0"/>
    <s v="CC"/>
    <n v="2"/>
    <d v="2025-02-01T00:00:00"/>
    <d v="2025-02-28T00:00:00"/>
    <x v="0"/>
    <n v="0.37"/>
    <n v="1290526768"/>
    <m/>
    <x v="0"/>
  </r>
  <r>
    <x v="28"/>
    <d v="2025-02-03T00:00:00"/>
    <s v="COMM"/>
    <s v="Product"/>
    <x v="0"/>
    <n v="9.1199999999999992"/>
    <n v="0"/>
    <n v="9.1199999999999992"/>
    <n v="653470"/>
    <s v="Main Line Benefits LLC"/>
    <m/>
    <m/>
    <m/>
    <m/>
    <m/>
    <x v="89"/>
    <m/>
    <x v="79"/>
    <x v="87"/>
    <s v="MD"/>
    <x v="7"/>
    <x v="7"/>
    <s v="NCD"/>
    <m/>
    <n v="42249"/>
    <x v="4"/>
    <x v="0"/>
    <s v="Monthly"/>
    <s v="Dental"/>
    <s v="MetLife"/>
    <d v="2024-12-02T00:00:00"/>
    <d v="2025-01-01T00:00:00"/>
    <x v="113"/>
    <n v="10275748584"/>
    <m/>
    <x v="0"/>
    <s v="CC"/>
    <n v="2"/>
    <d v="2025-02-01T00:00:00"/>
    <d v="2025-02-28T00:00:00"/>
    <x v="10"/>
    <n v="0.24"/>
    <n v="1290526770"/>
    <m/>
    <x v="0"/>
  </r>
  <r>
    <x v="28"/>
    <d v="2025-02-03T00:00:00"/>
    <s v="COMM"/>
    <s v="Product"/>
    <x v="0"/>
    <n v="8"/>
    <n v="0"/>
    <n v="8"/>
    <n v="653470"/>
    <s v="Main Line Benefits LLC"/>
    <m/>
    <m/>
    <m/>
    <m/>
    <m/>
    <x v="90"/>
    <m/>
    <x v="80"/>
    <x v="88"/>
    <s v="MD"/>
    <x v="2"/>
    <x v="2"/>
    <s v="NCD"/>
    <m/>
    <n v="45041"/>
    <x v="2"/>
    <x v="0"/>
    <s v="Monthly"/>
    <s v="Dental"/>
    <s v="MetLife"/>
    <d v="2024-10-28T00:00:00"/>
    <d v="2024-11-01T00:00:00"/>
    <x v="114"/>
    <n v="10261045099"/>
    <m/>
    <x v="0"/>
    <s v="ACH"/>
    <n v="3"/>
    <d v="2025-01-01T00:00:00"/>
    <d v="2025-01-31T00:00:00"/>
    <x v="1"/>
    <n v="0.32"/>
    <n v="1290416903"/>
    <m/>
    <x v="0"/>
  </r>
  <r>
    <x v="28"/>
    <d v="2025-02-03T00:00:00"/>
    <s v="COMM"/>
    <s v="Product"/>
    <x v="0"/>
    <n v="4.07"/>
    <n v="0"/>
    <n v="4.07"/>
    <n v="653470"/>
    <s v="Main Line Benefits LLC"/>
    <m/>
    <m/>
    <m/>
    <m/>
    <m/>
    <x v="91"/>
    <m/>
    <x v="40"/>
    <x v="89"/>
    <s v="MD"/>
    <x v="2"/>
    <x v="2"/>
    <s v="NCD"/>
    <m/>
    <n v="38593"/>
    <x v="0"/>
    <x v="0"/>
    <s v="Monthly"/>
    <s v="Vision"/>
    <s v="VSP"/>
    <d v="2024-10-28T00:00:00"/>
    <d v="2024-11-01T00:00:00"/>
    <x v="115"/>
    <n v="10261044828"/>
    <m/>
    <x v="0"/>
    <s v="ACH"/>
    <n v="3"/>
    <d v="2025-01-01T00:00:00"/>
    <d v="2025-01-31T00:00:00"/>
    <x v="0"/>
    <n v="0.37"/>
    <n v="1290416984"/>
    <m/>
    <x v="0"/>
  </r>
  <r>
    <x v="28"/>
    <d v="2025-02-03T00:00:00"/>
    <s v="COMM"/>
    <s v="Product"/>
    <x v="0"/>
    <n v="8"/>
    <n v="0"/>
    <n v="8"/>
    <n v="653470"/>
    <s v="Main Line Benefits LLC"/>
    <m/>
    <m/>
    <m/>
    <m/>
    <m/>
    <x v="91"/>
    <m/>
    <x v="40"/>
    <x v="89"/>
    <s v="MD"/>
    <x v="2"/>
    <x v="2"/>
    <s v="NCD"/>
    <m/>
    <n v="45041"/>
    <x v="2"/>
    <x v="0"/>
    <s v="Monthly"/>
    <s v="Dental"/>
    <s v="MetLife"/>
    <d v="2024-10-28T00:00:00"/>
    <d v="2024-11-01T00:00:00"/>
    <x v="116"/>
    <n v="10261044828"/>
    <m/>
    <x v="0"/>
    <s v="ACH"/>
    <n v="3"/>
    <d v="2025-01-01T00:00:00"/>
    <d v="2025-01-31T00:00:00"/>
    <x v="1"/>
    <n v="0.32"/>
    <n v="1290416986"/>
    <m/>
    <x v="0"/>
  </r>
  <r>
    <x v="28"/>
    <d v="2025-02-03T00:00:00"/>
    <s v="COMM"/>
    <s v="Product"/>
    <x v="0"/>
    <n v="8"/>
    <n v="0"/>
    <n v="8"/>
    <n v="653470"/>
    <s v="Main Line Benefits LLC"/>
    <m/>
    <m/>
    <m/>
    <m/>
    <m/>
    <x v="2"/>
    <m/>
    <x v="2"/>
    <x v="2"/>
    <s v="MD"/>
    <x v="2"/>
    <x v="2"/>
    <s v="NCD"/>
    <m/>
    <n v="45041"/>
    <x v="2"/>
    <x v="0"/>
    <s v="Monthly"/>
    <s v="Dental"/>
    <s v="MetLife"/>
    <d v="2024-09-20T00:00:00"/>
    <d v="2024-10-01T00:00:00"/>
    <x v="2"/>
    <n v="10257570828"/>
    <m/>
    <x v="0"/>
    <s v="ACH"/>
    <n v="4"/>
    <d v="2025-01-01T00:00:00"/>
    <d v="2025-01-31T00:00:00"/>
    <x v="1"/>
    <n v="0.32"/>
    <n v="1290471865"/>
    <m/>
    <x v="0"/>
  </r>
  <r>
    <x v="28"/>
    <d v="2025-02-03T00:00:00"/>
    <s v="COMM"/>
    <s v="Product"/>
    <x v="0"/>
    <n v="6"/>
    <n v="0"/>
    <n v="6"/>
    <n v="653470"/>
    <s v="Main Line Benefits LLC"/>
    <m/>
    <m/>
    <m/>
    <m/>
    <m/>
    <x v="1"/>
    <m/>
    <x v="1"/>
    <x v="1"/>
    <s v="IL"/>
    <x v="1"/>
    <x v="1"/>
    <s v="NCD"/>
    <m/>
    <n v="38796"/>
    <x v="1"/>
    <x v="0"/>
    <s v="Monthly"/>
    <s v="Dental"/>
    <s v="MetLife"/>
    <d v="2024-06-06T00:00:00"/>
    <d v="2024-07-01T00:00:00"/>
    <x v="1"/>
    <n v="10257565770"/>
    <m/>
    <x v="0"/>
    <s v="ACH"/>
    <n v="7"/>
    <d v="2025-01-01T00:00:00"/>
    <d v="2025-01-31T00:00:00"/>
    <x v="1"/>
    <n v="0.24"/>
    <n v="1290473892"/>
    <m/>
    <x v="0"/>
  </r>
  <r>
    <x v="28"/>
    <d v="2025-02-03T00:00:00"/>
    <s v="COMM"/>
    <s v="Product"/>
    <x v="0"/>
    <n v="6"/>
    <n v="0"/>
    <n v="6"/>
    <n v="653470"/>
    <s v="Main Line Benefits LLC"/>
    <m/>
    <m/>
    <m/>
    <m/>
    <m/>
    <x v="26"/>
    <m/>
    <x v="25"/>
    <x v="26"/>
    <s v="PA"/>
    <x v="3"/>
    <x v="3"/>
    <s v="NCD"/>
    <m/>
    <n v="38796"/>
    <x v="1"/>
    <x v="0"/>
    <s v="Monthly"/>
    <s v="Dental"/>
    <s v="MetLife"/>
    <d v="2024-05-20T00:00:00"/>
    <d v="2024-06-01T00:00:00"/>
    <x v="31"/>
    <n v="10259759254"/>
    <m/>
    <x v="0"/>
    <s v="ACH"/>
    <n v="8"/>
    <d v="2025-01-01T00:00:00"/>
    <d v="2025-01-31T00:00:00"/>
    <x v="1"/>
    <n v="0.24"/>
    <n v="1290466811"/>
    <m/>
    <x v="0"/>
  </r>
  <r>
    <x v="28"/>
    <d v="2025-02-03T00:00:00"/>
    <s v="COMM"/>
    <s v="Product"/>
    <x v="0"/>
    <n v="4.07"/>
    <n v="0"/>
    <n v="4.07"/>
    <n v="653470"/>
    <s v="Main Line Benefits LLC"/>
    <m/>
    <m/>
    <m/>
    <m/>
    <m/>
    <x v="0"/>
    <m/>
    <x v="0"/>
    <x v="0"/>
    <s v="MD"/>
    <x v="0"/>
    <x v="0"/>
    <s v="NCD"/>
    <m/>
    <n v="38593"/>
    <x v="0"/>
    <x v="0"/>
    <s v="Monthly"/>
    <s v="Vision"/>
    <s v="VSP"/>
    <d v="2024-02-27T00:00:00"/>
    <d v="2024-03-01T00:00:00"/>
    <x v="0"/>
    <n v="10257564715"/>
    <m/>
    <x v="0"/>
    <s v="ACH"/>
    <n v="11"/>
    <d v="2025-01-01T00:00:00"/>
    <d v="2025-01-31T00:00:00"/>
    <x v="0"/>
    <n v="0.37"/>
    <n v="1290474477"/>
    <m/>
    <x v="0"/>
  </r>
  <r>
    <x v="28"/>
    <d v="2025-02-03T00:00:00"/>
    <s v="COMM"/>
    <s v="Product"/>
    <x v="0"/>
    <n v="4.07"/>
    <n v="0"/>
    <n v="4.07"/>
    <n v="653470"/>
    <s v="Main Line Benefits LLC"/>
    <m/>
    <m/>
    <m/>
    <m/>
    <m/>
    <x v="92"/>
    <m/>
    <x v="81"/>
    <x v="90"/>
    <s v="MD"/>
    <x v="16"/>
    <x v="16"/>
    <s v="NCD"/>
    <m/>
    <n v="38593"/>
    <x v="0"/>
    <x v="0"/>
    <s v="Monthly"/>
    <s v="Vision"/>
    <s v="VSP"/>
    <d v="2024-02-12T00:00:00"/>
    <d v="2024-03-01T00:00:00"/>
    <x v="117"/>
    <n v="10263243422"/>
    <m/>
    <x v="0"/>
    <s v="ACH"/>
    <n v="11"/>
    <d v="2025-01-01T00:00:00"/>
    <d v="2025-01-31T00:00:00"/>
    <x v="0"/>
    <n v="0.37"/>
    <n v="1290406805"/>
    <m/>
    <x v="0"/>
  </r>
  <r>
    <x v="28"/>
    <d v="2025-02-03T00:00:00"/>
    <s v="COMM"/>
    <s v="Product"/>
    <x v="0"/>
    <n v="1.05"/>
    <n v="0"/>
    <n v="1.05"/>
    <n v="653470"/>
    <s v="Main Line Benefits LLC"/>
    <m/>
    <m/>
    <m/>
    <m/>
    <m/>
    <x v="93"/>
    <m/>
    <x v="24"/>
    <x v="91"/>
    <s v="PA"/>
    <x v="5"/>
    <x v="5"/>
    <s v="NCD"/>
    <m/>
    <n v="38398"/>
    <x v="7"/>
    <x v="0"/>
    <s v="Monthly"/>
    <s v="Dental"/>
    <s v="MetLife"/>
    <d v="2023-11-29T00:00:00"/>
    <d v="2023-12-01T00:00:00"/>
    <x v="118"/>
    <n v="10263240611"/>
    <m/>
    <x v="0"/>
    <s v="ACH"/>
    <n v="14"/>
    <d v="2025-01-01T00:00:00"/>
    <d v="2025-01-31T00:00:00"/>
    <x v="28"/>
    <n v="0.03"/>
    <n v="1290409987"/>
    <m/>
    <x v="0"/>
  </r>
  <r>
    <x v="28"/>
    <d v="2025-02-03T00:00:00"/>
    <s v="COMM"/>
    <s v="Product"/>
    <x v="0"/>
    <n v="15.6"/>
    <n v="0"/>
    <n v="15.6"/>
    <n v="653470"/>
    <s v="Main Line Benefits LLC"/>
    <m/>
    <m/>
    <m/>
    <m/>
    <m/>
    <x v="94"/>
    <m/>
    <x v="10"/>
    <x v="92"/>
    <s v="PA"/>
    <x v="3"/>
    <x v="3"/>
    <s v="NCD"/>
    <m/>
    <n v="38399"/>
    <x v="3"/>
    <x v="0"/>
    <s v="Monthly"/>
    <s v="Dental"/>
    <s v="MetLife"/>
    <d v="2023-11-29T00:00:00"/>
    <d v="2023-12-01T00:00:00"/>
    <x v="119"/>
    <n v="10263240793"/>
    <m/>
    <x v="0"/>
    <s v="ACH"/>
    <n v="14"/>
    <d v="2025-01-01T00:00:00"/>
    <d v="2025-01-31T00:00:00"/>
    <x v="23"/>
    <n v="0.24"/>
    <n v="1290409829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924CC0-F9A1-407E-BE49-4716222231C3}" name="Statement Table" cacheId="1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outline="1" outlineData="1" multipleFieldFilters="0" rowHeaderCaption="Payout Type">
  <location ref="A10:N144" firstHeaderRow="1" firstDataRow="1" firstDataCol="13"/>
  <pivotFields count="45">
    <pivotField axis="axisRow" numFmtId="14" outline="0" showAll="0" defaultSubtotal="0">
      <items count="29"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14" showAll="0"/>
    <pivotField showAll="0"/>
    <pivotField showAll="0"/>
    <pivotField axis="axisRow" outline="0" showAll="0" defaultSubtotal="0">
      <items count="3"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2" showAll="0"/>
    <pivotField numFmtId="2" showAll="0"/>
    <pivotField dataField="1" numFmtId="2" showAll="0"/>
    <pivotField showAll="0"/>
    <pivotField showAll="0"/>
    <pivotField showAll="0"/>
    <pivotField showAll="0"/>
    <pivotField showAll="0"/>
    <pivotField showAll="0"/>
    <pivotField showAll="0"/>
    <pivotField axis="axisRow" outline="0" showAll="0" defaultSubtotal="0">
      <items count="95">
        <item x="37"/>
        <item x="47"/>
        <item x="71"/>
        <item x="9"/>
        <item x="73"/>
        <item x="72"/>
        <item x="87"/>
        <item x="93"/>
        <item x="94"/>
        <item x="74"/>
        <item x="31"/>
        <item x="10"/>
        <item x="75"/>
        <item x="92"/>
        <item x="0"/>
        <item x="55"/>
        <item x="49"/>
        <item x="48"/>
        <item x="86"/>
        <item x="26"/>
        <item x="1"/>
        <item x="8"/>
        <item x="25"/>
        <item x="24"/>
        <item x="83"/>
        <item x="84"/>
        <item x="85"/>
        <item x="82"/>
        <item x="62"/>
        <item x="46"/>
        <item x="45"/>
        <item x="20"/>
        <item x="11"/>
        <item x="81"/>
        <item x="61"/>
        <item x="60"/>
        <item x="67"/>
        <item x="44"/>
        <item x="43"/>
        <item x="76"/>
        <item x="52"/>
        <item x="38"/>
        <item x="39"/>
        <item x="40"/>
        <item x="32"/>
        <item x="2"/>
        <item x="22"/>
        <item x="21"/>
        <item x="19"/>
        <item x="7"/>
        <item x="80"/>
        <item x="3"/>
        <item x="88"/>
        <item x="68"/>
        <item x="77"/>
        <item x="41"/>
        <item x="63"/>
        <item x="56"/>
        <item x="23"/>
        <item x="12"/>
        <item x="91"/>
        <item x="90"/>
        <item x="15"/>
        <item x="79"/>
        <item x="70"/>
        <item x="69"/>
        <item x="64"/>
        <item x="13"/>
        <item x="36"/>
        <item x="54"/>
        <item x="35"/>
        <item x="34"/>
        <item x="50"/>
        <item x="33"/>
        <item x="14"/>
        <item x="30"/>
        <item x="18"/>
        <item x="29"/>
        <item x="17"/>
        <item x="51"/>
        <item x="6"/>
        <item x="89"/>
        <item x="65"/>
        <item x="66"/>
        <item x="78"/>
        <item x="53"/>
        <item x="59"/>
        <item x="58"/>
        <item x="27"/>
        <item x="57"/>
        <item x="28"/>
        <item x="5"/>
        <item x="42"/>
        <item x="16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axis="axisRow" outline="0" showAll="0" defaultSubtotal="0">
      <items count="82">
        <item x="49"/>
        <item x="7"/>
        <item x="32"/>
        <item x="35"/>
        <item x="27"/>
        <item x="15"/>
        <item x="80"/>
        <item x="70"/>
        <item x="11"/>
        <item x="47"/>
        <item x="58"/>
        <item x="23"/>
        <item x="22"/>
        <item x="54"/>
        <item x="73"/>
        <item x="3"/>
        <item x="60"/>
        <item x="0"/>
        <item x="74"/>
        <item x="72"/>
        <item x="39"/>
        <item x="59"/>
        <item x="55"/>
        <item x="16"/>
        <item x="37"/>
        <item x="48"/>
        <item x="25"/>
        <item x="29"/>
        <item x="34"/>
        <item x="76"/>
        <item x="65"/>
        <item x="44"/>
        <item x="61"/>
        <item x="51"/>
        <item x="6"/>
        <item x="4"/>
        <item x="46"/>
        <item x="28"/>
        <item x="53"/>
        <item x="38"/>
        <item x="10"/>
        <item x="21"/>
        <item x="43"/>
        <item x="12"/>
        <item x="13"/>
        <item x="77"/>
        <item x="63"/>
        <item x="30"/>
        <item x="40"/>
        <item x="20"/>
        <item x="69"/>
        <item x="19"/>
        <item x="5"/>
        <item x="56"/>
        <item x="41"/>
        <item x="62"/>
        <item x="81"/>
        <item x="42"/>
        <item x="50"/>
        <item x="8"/>
        <item x="1"/>
        <item x="68"/>
        <item x="52"/>
        <item x="66"/>
        <item x="64"/>
        <item x="67"/>
        <item x="45"/>
        <item x="78"/>
        <item x="75"/>
        <item x="33"/>
        <item x="36"/>
        <item x="71"/>
        <item x="9"/>
        <item x="17"/>
        <item x="18"/>
        <item x="31"/>
        <item x="24"/>
        <item x="79"/>
        <item x="57"/>
        <item x="2"/>
        <item x="26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93">
        <item x="39"/>
        <item x="74"/>
        <item x="79"/>
        <item x="0"/>
        <item x="23"/>
        <item x="5"/>
        <item x="4"/>
        <item x="18"/>
        <item x="65"/>
        <item x="88"/>
        <item x="59"/>
        <item x="11"/>
        <item x="41"/>
        <item x="83"/>
        <item x="30"/>
        <item x="56"/>
        <item x="54"/>
        <item x="32"/>
        <item x="57"/>
        <item x="35"/>
        <item x="91"/>
        <item x="2"/>
        <item x="84"/>
        <item x="7"/>
        <item x="47"/>
        <item x="87"/>
        <item x="1"/>
        <item x="75"/>
        <item x="10"/>
        <item x="26"/>
        <item x="27"/>
        <item x="9"/>
        <item x="22"/>
        <item x="6"/>
        <item x="81"/>
        <item x="21"/>
        <item x="51"/>
        <item x="61"/>
        <item x="73"/>
        <item x="72"/>
        <item x="67"/>
        <item x="48"/>
        <item x="31"/>
        <item x="3"/>
        <item x="64"/>
        <item x="69"/>
        <item x="34"/>
        <item x="12"/>
        <item x="66"/>
        <item x="46"/>
        <item x="80"/>
        <item x="44"/>
        <item x="25"/>
        <item x="78"/>
        <item x="90"/>
        <item x="85"/>
        <item x="36"/>
        <item x="28"/>
        <item x="20"/>
        <item x="52"/>
        <item x="68"/>
        <item x="76"/>
        <item x="49"/>
        <item x="92"/>
        <item x="40"/>
        <item x="15"/>
        <item x="58"/>
        <item x="33"/>
        <item x="86"/>
        <item x="45"/>
        <item x="24"/>
        <item x="62"/>
        <item x="43"/>
        <item x="38"/>
        <item x="89"/>
        <item x="19"/>
        <item x="37"/>
        <item x="70"/>
        <item x="55"/>
        <item x="42"/>
        <item x="16"/>
        <item x="53"/>
        <item x="29"/>
        <item x="71"/>
        <item x="82"/>
        <item x="14"/>
        <item x="77"/>
        <item x="60"/>
        <item x="63"/>
        <item x="50"/>
        <item x="17"/>
        <item x="13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axis="axisRow" outline="0" showAll="0" defaultSubtotal="0">
      <items count="17">
        <item x="11"/>
        <item x="0"/>
        <item x="2"/>
        <item x="3"/>
        <item x="9"/>
        <item x="7"/>
        <item x="8"/>
        <item x="5"/>
        <item x="16"/>
        <item x="10"/>
        <item x="4"/>
        <item x="1"/>
        <item x="15"/>
        <item x="13"/>
        <item x="6"/>
        <item x="14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17">
        <item x="2"/>
        <item x="8"/>
        <item x="0"/>
        <item x="3"/>
        <item x="9"/>
        <item x="11"/>
        <item x="16"/>
        <item x="13"/>
        <item x="15"/>
        <item x="12"/>
        <item x="6"/>
        <item x="4"/>
        <item x="1"/>
        <item x="10"/>
        <item x="14"/>
        <item x="7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axis="axisRow" outline="0" showAll="0" defaultSubtotal="0">
      <items count="10">
        <item x="6"/>
        <item x="3"/>
        <item x="4"/>
        <item x="9"/>
        <item x="7"/>
        <item x="2"/>
        <item x="5"/>
        <item x="8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5">
        <item x="1"/>
        <item x="0"/>
        <item x="3"/>
        <item x="4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numFmtId="14" showAll="0"/>
    <pivotField numFmtId="14" showAll="0"/>
    <pivotField axis="axisRow" outline="0" showAll="0" defaultSubtotal="0">
      <items count="120">
        <item x="2"/>
        <item x="118"/>
        <item x="83"/>
        <item x="64"/>
        <item x="54"/>
        <item x="69"/>
        <item x="93"/>
        <item x="70"/>
        <item x="48"/>
        <item x="119"/>
        <item x="37"/>
        <item x="4"/>
        <item x="90"/>
        <item x="30"/>
        <item x="78"/>
        <item x="101"/>
        <item x="20"/>
        <item x="10"/>
        <item x="13"/>
        <item x="77"/>
        <item x="9"/>
        <item x="56"/>
        <item x="117"/>
        <item x="109"/>
        <item x="85"/>
        <item x="95"/>
        <item x="68"/>
        <item x="17"/>
        <item x="86"/>
        <item x="21"/>
        <item x="26"/>
        <item x="45"/>
        <item x="44"/>
        <item x="61"/>
        <item x="80"/>
        <item x="91"/>
        <item x="114"/>
        <item x="92"/>
        <item x="40"/>
        <item x="7"/>
        <item x="38"/>
        <item x="15"/>
        <item x="24"/>
        <item x="71"/>
        <item x="3"/>
        <item x="115"/>
        <item x="57"/>
        <item x="102"/>
        <item x="79"/>
        <item x="11"/>
        <item x="58"/>
        <item x="112"/>
        <item x="36"/>
        <item x="19"/>
        <item x="87"/>
        <item x="12"/>
        <item x="105"/>
        <item x="62"/>
        <item x="27"/>
        <item x="32"/>
        <item x="89"/>
        <item x="46"/>
        <item x="23"/>
        <item x="47"/>
        <item x="42"/>
        <item x="35"/>
        <item x="59"/>
        <item x="1"/>
        <item x="99"/>
        <item x="31"/>
        <item x="100"/>
        <item x="116"/>
        <item x="104"/>
        <item x="28"/>
        <item x="103"/>
        <item x="76"/>
        <item x="29"/>
        <item x="73"/>
        <item x="53"/>
        <item x="108"/>
        <item x="88"/>
        <item x="0"/>
        <item x="52"/>
        <item x="106"/>
        <item x="25"/>
        <item x="74"/>
        <item x="94"/>
        <item x="43"/>
        <item x="96"/>
        <item x="18"/>
        <item x="82"/>
        <item x="84"/>
        <item x="75"/>
        <item x="5"/>
        <item x="6"/>
        <item x="60"/>
        <item x="110"/>
        <item x="66"/>
        <item x="107"/>
        <item x="111"/>
        <item x="98"/>
        <item x="97"/>
        <item x="113"/>
        <item x="72"/>
        <item x="55"/>
        <item x="50"/>
        <item x="65"/>
        <item x="16"/>
        <item x="63"/>
        <item x="34"/>
        <item x="14"/>
        <item x="51"/>
        <item x="33"/>
        <item x="49"/>
        <item x="67"/>
        <item x="8"/>
        <item x="81"/>
        <item x="39"/>
        <item x="4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axis="axisRow" outline="0" showAll="0" defaultSubtotal="0">
      <items count="3"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numFmtId="14" showAll="0"/>
    <pivotField numFmtId="14" showAll="0"/>
    <pivotField axis="axisRow" numFmtId="164" outline="0" showAll="0" defaultSubtotal="0">
      <items count="29">
        <item x="0"/>
        <item x="8"/>
        <item x="3"/>
        <item x="1"/>
        <item x="9"/>
        <item x="28"/>
        <item x="10"/>
        <item x="17"/>
        <item x="13"/>
        <item x="4"/>
        <item x="7"/>
        <item x="21"/>
        <item x="23"/>
        <item x="19"/>
        <item x="6"/>
        <item x="5"/>
        <item x="22"/>
        <item x="2"/>
        <item x="11"/>
        <item x="18"/>
        <item x="14"/>
        <item x="27"/>
        <item x="15"/>
        <item x="25"/>
        <item x="26"/>
        <item x="24"/>
        <item x="12"/>
        <item x="20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9" showAll="0"/>
    <pivotField showAll="0"/>
    <pivotField showAll="0"/>
    <pivotField axis="axisRow" outline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3">
    <field x="44"/>
    <field x="15"/>
    <field x="17"/>
    <field x="18"/>
    <field x="20"/>
    <field x="21"/>
    <field x="32"/>
    <field x="25"/>
    <field x="26"/>
    <field x="0"/>
    <field x="35"/>
    <field x="4"/>
    <field x="40"/>
  </rowFields>
  <rowItems count="134">
    <i>
      <x/>
      <x/>
      <x v="28"/>
      <x v="76"/>
      <x/>
      <x v="5"/>
      <x v="32"/>
      <x/>
      <x/>
      <x v="16"/>
      <x v="2"/>
      <x v="2"/>
      <x v="8"/>
    </i>
    <i r="6">
      <x v="87"/>
      <x v="6"/>
      <x/>
      <x v="16"/>
      <x v="2"/>
      <x v="2"/>
      <x v="26"/>
    </i>
    <i r="1">
      <x v="1"/>
      <x v="42"/>
      <x v="49"/>
      <x v="1"/>
      <x v="2"/>
      <x v="21"/>
      <x v="7"/>
      <x/>
      <x v="13"/>
      <x v="2"/>
      <x v="2"/>
      <x v="28"/>
    </i>
    <i r="1">
      <x v="2"/>
      <x v="46"/>
      <x v="45"/>
      <x v="4"/>
      <x v="4"/>
      <x v="54"/>
      <x v="9"/>
      <x v="1"/>
      <x v="3"/>
      <x v="2"/>
      <x v="2"/>
      <x/>
    </i>
    <i r="1">
      <x v="3"/>
      <x v="72"/>
      <x v="31"/>
      <x v="3"/>
      <x v="3"/>
      <x v="49"/>
      <x v="1"/>
      <x v="1"/>
      <x v="27"/>
      <x v="2"/>
      <x v="2"/>
      <x v="10"/>
    </i>
    <i r="1">
      <x v="4"/>
      <x v="30"/>
      <x v="83"/>
      <x v="3"/>
      <x v="3"/>
      <x v="60"/>
      <x v="1"/>
      <x v="1"/>
      <x v="3"/>
      <x v="2"/>
      <x v="2"/>
      <x v="12"/>
    </i>
    <i r="1">
      <x v="5"/>
      <x v="64"/>
      <x v="77"/>
      <x v="3"/>
      <x v="3"/>
      <x v="80"/>
      <x v="4"/>
      <x v="4"/>
      <x v="3"/>
      <x v="2"/>
      <x v="2"/>
      <x v="16"/>
    </i>
    <i r="1">
      <x v="6"/>
      <x v="45"/>
      <x v="55"/>
      <x/>
      <x v="5"/>
      <x v="23"/>
      <x v="1"/>
      <x v="4"/>
      <x v="2"/>
      <x v="2"/>
      <x v="2"/>
      <x v="21"/>
    </i>
    <i r="6">
      <x v="96"/>
      <x v="9"/>
      <x v="2"/>
      <x v="2"/>
      <x v="2"/>
      <x v="2"/>
      <x v="1"/>
    </i>
    <i r="1">
      <x v="7"/>
      <x v="76"/>
      <x v="20"/>
      <x v="7"/>
      <x v="16"/>
      <x v="1"/>
      <x v="4"/>
      <x v="1"/>
      <x/>
      <x v="2"/>
      <x v="2"/>
      <x v="5"/>
    </i>
    <i r="1">
      <x v="8"/>
      <x v="40"/>
      <x v="63"/>
      <x v="3"/>
      <x v="3"/>
      <x v="9"/>
      <x v="1"/>
      <x v="1"/>
      <x/>
      <x v="2"/>
      <x v="2"/>
      <x v="12"/>
    </i>
    <i r="1">
      <x v="9"/>
      <x v="44"/>
      <x v="39"/>
      <x v="3"/>
      <x v="3"/>
      <x v="12"/>
      <x v="4"/>
      <x v="4"/>
      <x v="3"/>
      <x v="2"/>
      <x v="2"/>
      <x v="16"/>
    </i>
    <i r="1">
      <x v="10"/>
      <x v="47"/>
      <x v="42"/>
      <x v="3"/>
      <x v="3"/>
      <x v="52"/>
      <x v="1"/>
      <x v="1"/>
      <x v="18"/>
      <x v="2"/>
      <x v="2"/>
      <x v="10"/>
    </i>
    <i r="1">
      <x v="11"/>
      <x v="40"/>
      <x v="28"/>
      <x v="7"/>
      <x v="16"/>
      <x v="18"/>
      <x v="9"/>
      <x v="1"/>
      <x v="20"/>
      <x v="2"/>
      <x v="2"/>
      <x/>
    </i>
    <i r="9">
      <x v="21"/>
      <x v="2"/>
      <x v="2"/>
      <x/>
    </i>
    <i r="9">
      <x v="26"/>
      <x v="2"/>
      <x v="2"/>
      <x/>
    </i>
    <i r="6">
      <x v="55"/>
      <x v="1"/>
      <x v="1"/>
      <x v="20"/>
      <x v="2"/>
      <x v="2"/>
      <x v="10"/>
    </i>
    <i r="9">
      <x v="21"/>
      <x v="2"/>
      <x v="2"/>
      <x v="10"/>
    </i>
    <i r="9">
      <x v="26"/>
      <x v="2"/>
      <x v="2"/>
      <x v="10"/>
    </i>
    <i r="1">
      <x v="12"/>
      <x v="63"/>
      <x v="38"/>
      <x v="3"/>
      <x v="3"/>
      <x v="35"/>
      <x v="9"/>
      <x v="2"/>
      <x v="3"/>
      <x v="2"/>
      <x v="2"/>
      <x v="1"/>
    </i>
    <i r="6">
      <x v="37"/>
      <x v="1"/>
      <x v="4"/>
      <x v="3"/>
      <x v="2"/>
      <x v="2"/>
      <x v="25"/>
    </i>
    <i r="1">
      <x v="13"/>
      <x v="56"/>
      <x v="54"/>
      <x v="8"/>
      <x v="6"/>
      <x v="22"/>
      <x v="9"/>
      <x v="1"/>
      <x/>
      <x v="2"/>
      <x v="2"/>
      <x/>
    </i>
    <i r="1">
      <x v="14"/>
      <x v="17"/>
      <x v="3"/>
      <x v="1"/>
      <x v="2"/>
      <x v="81"/>
      <x v="9"/>
      <x v="1"/>
      <x/>
      <x v="2"/>
      <x v="2"/>
      <x/>
    </i>
    <i r="9">
      <x v="28"/>
      <x v="2"/>
      <x v="2"/>
      <x/>
    </i>
    <i r="1">
      <x v="15"/>
      <x v="58"/>
      <x v="81"/>
      <x v="3"/>
      <x v="3"/>
      <x v="114"/>
      <x v="1"/>
      <x v="1"/>
      <x v="10"/>
      <x v="2"/>
      <x v="2"/>
      <x v="13"/>
    </i>
    <i r="1">
      <x v="16"/>
      <x v="66"/>
      <x v="41"/>
      <x v="9"/>
      <x v="13"/>
      <x v="50"/>
      <x v="9"/>
      <x v="2"/>
      <x v="13"/>
      <x v="2"/>
      <x v="2"/>
      <x v="1"/>
    </i>
    <i r="6">
      <x v="66"/>
      <x v="2"/>
      <x v="3"/>
      <x v="13"/>
      <x v="2"/>
      <x v="2"/>
      <x v="19"/>
    </i>
    <i r="1">
      <x v="17"/>
      <x v="31"/>
      <x v="24"/>
      <x v="12"/>
      <x v="8"/>
      <x v="46"/>
      <x v="2"/>
      <x v="1"/>
      <x v="13"/>
      <x v="2"/>
      <x v="2"/>
      <x v="7"/>
    </i>
    <i r="1">
      <x v="18"/>
      <x v="29"/>
      <x v="22"/>
      <x v="9"/>
      <x v="13"/>
      <x v="79"/>
      <x v="2"/>
      <x v="1"/>
      <x v="2"/>
      <x v="2"/>
      <x v="2"/>
      <x v="6"/>
    </i>
    <i r="1">
      <x v="19"/>
      <x v="26"/>
      <x v="29"/>
      <x v="3"/>
      <x v="3"/>
      <x v="69"/>
      <x v="8"/>
      <x v="1"/>
      <x/>
      <x v="2"/>
      <x v="2"/>
      <x v="3"/>
    </i>
    <i r="9">
      <x v="21"/>
      <x v="2"/>
      <x v="2"/>
      <x v="3"/>
    </i>
    <i r="1">
      <x v="20"/>
      <x v="60"/>
      <x v="26"/>
      <x v="11"/>
      <x v="12"/>
      <x v="67"/>
      <x v="8"/>
      <x v="1"/>
      <x/>
      <x v="2"/>
      <x v="2"/>
      <x v="3"/>
    </i>
    <i r="9">
      <x v="28"/>
      <x v="2"/>
      <x v="2"/>
      <x v="3"/>
    </i>
    <i r="1">
      <x v="21"/>
      <x v="59"/>
      <x v="92"/>
      <x v="10"/>
      <x v="11"/>
      <x v="17"/>
      <x v="1"/>
      <x v="1"/>
      <x v="27"/>
      <x v="2"/>
      <x v="2"/>
      <x v="14"/>
    </i>
    <i r="1">
      <x v="22"/>
      <x v="76"/>
      <x v="52"/>
      <x v="2"/>
      <x/>
      <x v="13"/>
      <x v="5"/>
      <x v="1"/>
      <x v="1"/>
      <x v="2"/>
      <x v="2"/>
      <x v="3"/>
    </i>
    <i r="9">
      <x v="21"/>
      <x v="2"/>
      <x v="2"/>
      <x v="3"/>
    </i>
    <i r="1">
      <x v="23"/>
      <x v="11"/>
      <x v="70"/>
      <x v="4"/>
      <x v="4"/>
      <x v="76"/>
      <x v="8"/>
      <x/>
      <x v="21"/>
      <x v="2"/>
      <x v="2"/>
      <x v="18"/>
    </i>
    <i r="1">
      <x v="24"/>
      <x v="14"/>
      <x v="34"/>
      <x v="14"/>
      <x v="10"/>
      <x v="74"/>
      <x v="3"/>
      <x v="4"/>
      <x v="2"/>
      <x v="2"/>
      <x v="2"/>
      <x v="23"/>
    </i>
    <i r="1">
      <x v="25"/>
      <x v="18"/>
      <x v="84"/>
      <x v="15"/>
      <x v="14"/>
      <x v="56"/>
      <x v="1"/>
      <x v="4"/>
      <x v="2"/>
      <x v="2"/>
      <x v="2"/>
      <x v="24"/>
    </i>
    <i r="6">
      <x v="72"/>
      <x v="9"/>
      <x v="2"/>
      <x v="2"/>
      <x v="2"/>
      <x v="2"/>
      <x v="1"/>
    </i>
    <i r="1">
      <x v="26"/>
      <x v="68"/>
      <x v="13"/>
      <x v="15"/>
      <x v="14"/>
      <x v="83"/>
      <x v="9"/>
      <x v="1"/>
      <x v="2"/>
      <x v="2"/>
      <x v="2"/>
      <x/>
    </i>
    <i r="6">
      <x v="98"/>
      <x v="1"/>
      <x v="1"/>
      <x v="2"/>
      <x v="2"/>
      <x v="2"/>
      <x v="13"/>
    </i>
    <i r="1">
      <x v="27"/>
      <x v="19"/>
      <x v="50"/>
      <x v="15"/>
      <x v="14"/>
      <x v="15"/>
      <x v="9"/>
      <x v="1"/>
      <x v="2"/>
      <x v="2"/>
      <x v="2"/>
      <x/>
    </i>
    <i r="6">
      <x v="47"/>
      <x v="1"/>
      <x v="1"/>
      <x v="2"/>
      <x v="2"/>
      <x v="2"/>
      <x v="13"/>
    </i>
    <i r="1">
      <x v="28"/>
      <x v="22"/>
      <x v="87"/>
      <x v="15"/>
      <x v="14"/>
      <x v="85"/>
      <x v="1"/>
      <x v="1"/>
      <x v="7"/>
      <x v="2"/>
      <x v="2"/>
      <x v="13"/>
    </i>
    <i r="6">
      <x v="92"/>
      <x v="9"/>
      <x v="1"/>
      <x v="7"/>
      <x v="2"/>
      <x v="2"/>
      <x/>
    </i>
    <i r="1">
      <x v="29"/>
      <x v="57"/>
      <x v="69"/>
      <x v="15"/>
      <x v="14"/>
      <x v="4"/>
      <x v="1"/>
      <x v="4"/>
      <x v="14"/>
      <x v="2"/>
      <x v="2"/>
      <x v="22"/>
    </i>
    <i r="6">
      <x v="104"/>
      <x v="9"/>
      <x v="2"/>
      <x v="14"/>
      <x v="2"/>
      <x v="2"/>
      <x v="1"/>
    </i>
    <i r="1">
      <x v="30"/>
      <x v="54"/>
      <x v="51"/>
      <x v="13"/>
      <x v="7"/>
      <x v="78"/>
      <x v="9"/>
      <x/>
      <x v="14"/>
      <x v="2"/>
      <x v="2"/>
      <x v="2"/>
    </i>
    <i r="6">
      <x v="82"/>
      <x v="4"/>
      <x v="3"/>
      <x v="14"/>
      <x v="2"/>
      <x v="2"/>
      <x v="20"/>
    </i>
    <i r="1">
      <x v="31"/>
      <x v="49"/>
      <x v="58"/>
      <x v="2"/>
      <x/>
      <x v="42"/>
      <x v="2"/>
      <x v="1"/>
      <x v="22"/>
      <x v="2"/>
      <x v="2"/>
      <x v="6"/>
    </i>
    <i r="6">
      <x v="84"/>
      <x v="9"/>
      <x v="1"/>
      <x v="22"/>
      <x v="2"/>
      <x v="2"/>
      <x/>
    </i>
    <i r="1">
      <x v="32"/>
      <x v="8"/>
      <x v="11"/>
      <x v="14"/>
      <x v="10"/>
      <x v="110"/>
      <x v="9"/>
      <x v="2"/>
      <x v="26"/>
      <x v="2"/>
      <x v="2"/>
      <x v="1"/>
    </i>
    <i r="1">
      <x v="33"/>
      <x v="71"/>
      <x v="2"/>
      <x v="2"/>
      <x/>
      <x v="70"/>
      <x v="9"/>
      <x v="1"/>
      <x v="2"/>
      <x v="2"/>
      <x v="2"/>
      <x/>
    </i>
    <i r="1">
      <x v="34"/>
      <x v="13"/>
      <x v="10"/>
      <x v="4"/>
      <x v="4"/>
      <x v="77"/>
      <x v="8"/>
      <x v="3"/>
      <x v="8"/>
      <x v="2"/>
      <x v="2"/>
      <x v="11"/>
    </i>
    <i r="1">
      <x v="35"/>
      <x v="38"/>
      <x v="66"/>
      <x v="4"/>
      <x v="4"/>
      <x v="103"/>
      <x v="8"/>
      <x v="1"/>
      <x v="8"/>
      <x v="2"/>
      <x v="2"/>
      <x v="3"/>
    </i>
    <i r="1">
      <x v="36"/>
      <x v="51"/>
      <x v="8"/>
      <x v="13"/>
      <x v="7"/>
      <x v="2"/>
      <x v="9"/>
      <x v="2"/>
      <x v="2"/>
      <x v="2"/>
      <x v="2"/>
      <x v="1"/>
    </i>
    <i r="9">
      <x v="6"/>
      <x v="1"/>
      <x v="1"/>
      <x v="1"/>
    </i>
    <i r="1">
      <x v="37"/>
      <x v="48"/>
      <x v="72"/>
      <x v="2"/>
      <x/>
      <x v="111"/>
      <x v="5"/>
      <x v="4"/>
      <x v="14"/>
      <x v="2"/>
      <x v="2"/>
      <x v="9"/>
    </i>
    <i r="1">
      <x v="38"/>
      <x v="20"/>
      <x v="79"/>
      <x v="2"/>
      <x/>
      <x v="105"/>
      <x v="5"/>
      <x v="1"/>
      <x v="14"/>
      <x v="2"/>
      <x v="2"/>
      <x v="3"/>
    </i>
    <i r="1">
      <x v="39"/>
      <x v="65"/>
      <x v="1"/>
      <x v="4"/>
      <x v="4"/>
      <x v="6"/>
      <x v="9"/>
      <x/>
      <x v="3"/>
      <x v="2"/>
      <x v="2"/>
      <x v="2"/>
    </i>
    <i r="6">
      <x v="86"/>
      <x v="8"/>
      <x/>
      <x v="3"/>
      <x v="2"/>
      <x v="2"/>
      <x v="18"/>
    </i>
    <i r="1">
      <x v="40"/>
      <x v="9"/>
      <x v="89"/>
      <x v="2"/>
      <x/>
      <x v="3"/>
      <x v="5"/>
      <x v="1"/>
      <x v="12"/>
      <x v="2"/>
      <x v="2"/>
      <x v="3"/>
    </i>
    <i r="6">
      <x v="108"/>
      <x v="9"/>
      <x v="1"/>
      <x v="12"/>
      <x v="2"/>
      <x v="2"/>
      <x/>
    </i>
    <i r="1">
      <x v="41"/>
      <x v="3"/>
      <x v="73"/>
      <x v="2"/>
      <x/>
      <x v="31"/>
      <x v="5"/>
      <x v="1"/>
      <x v="15"/>
      <x v="2"/>
      <x v="2"/>
      <x v="3"/>
    </i>
    <i r="1">
      <x v="42"/>
      <x v="70"/>
      <x/>
      <x v="2"/>
      <x/>
      <x v="61"/>
      <x v="5"/>
      <x v="1"/>
      <x v="15"/>
      <x v="2"/>
      <x v="2"/>
      <x v="3"/>
    </i>
    <i r="1">
      <x v="43"/>
      <x v="40"/>
      <x/>
      <x v="2"/>
      <x/>
      <x v="63"/>
      <x v="5"/>
      <x v="4"/>
      <x v="15"/>
      <x v="2"/>
      <x v="2"/>
      <x v="9"/>
    </i>
    <i r="1">
      <x v="44"/>
      <x v="75"/>
      <x v="17"/>
      <x v="2"/>
      <x/>
      <x v="10"/>
      <x v="5"/>
      <x v="1"/>
      <x v="17"/>
      <x v="2"/>
      <x v="2"/>
      <x v="3"/>
    </i>
    <i r="1">
      <x v="45"/>
      <x v="79"/>
      <x v="21"/>
      <x v="2"/>
      <x/>
      <x/>
      <x v="5"/>
      <x v="1"/>
      <x/>
      <x v="2"/>
      <x v="2"/>
      <x v="3"/>
    </i>
    <i r="9">
      <x v="28"/>
      <x v="2"/>
      <x v="2"/>
      <x v="3"/>
    </i>
    <i r="1">
      <x v="46"/>
      <x v="12"/>
      <x v="32"/>
      <x v="6"/>
      <x v="1"/>
      <x v="58"/>
      <x v="5"/>
      <x/>
      <x v="22"/>
      <x v="2"/>
      <x v="2"/>
      <x v="17"/>
    </i>
    <i r="1">
      <x v="47"/>
      <x v="41"/>
      <x v="35"/>
      <x v="2"/>
      <x/>
      <x v="30"/>
      <x v="5"/>
      <x v="1"/>
      <x v="22"/>
      <x v="2"/>
      <x v="2"/>
      <x v="3"/>
    </i>
    <i r="1">
      <x v="48"/>
      <x v="51"/>
      <x v="75"/>
      <x v="2"/>
      <x/>
      <x v="62"/>
      <x v="5"/>
      <x v="1"/>
      <x v="23"/>
      <x v="2"/>
      <x v="2"/>
      <x v="3"/>
    </i>
    <i r="1">
      <x v="49"/>
      <x v="1"/>
      <x v="23"/>
      <x v="2"/>
      <x/>
      <x v="20"/>
      <x v="5"/>
      <x v="1"/>
      <x v="27"/>
      <x v="2"/>
      <x v="2"/>
      <x v="3"/>
    </i>
    <i r="6">
      <x v="115"/>
      <x v="9"/>
      <x v="1"/>
      <x v="27"/>
      <x v="2"/>
      <x v="2"/>
      <x/>
    </i>
    <i r="1">
      <x v="50"/>
      <x v="7"/>
      <x v="53"/>
      <x v="2"/>
      <x/>
      <x v="68"/>
      <x v="5"/>
      <x v="1"/>
      <x v="2"/>
      <x v="2"/>
      <x v="2"/>
      <x v="3"/>
    </i>
    <i r="1">
      <x v="51"/>
      <x v="15"/>
      <x v="43"/>
      <x v="2"/>
      <x/>
      <x v="44"/>
      <x v="5"/>
      <x v="1"/>
      <x v="1"/>
      <x v="2"/>
      <x v="2"/>
      <x v="3"/>
    </i>
    <i r="9">
      <x v="28"/>
      <x v="2"/>
      <x v="2"/>
      <x v="3"/>
    </i>
    <i r="1">
      <x v="52"/>
      <x v="67"/>
      <x v="68"/>
      <x v="14"/>
      <x v="10"/>
      <x v="99"/>
      <x v="9"/>
      <x v="1"/>
      <x v="1"/>
      <x v="2"/>
      <x v="2"/>
      <x/>
    </i>
    <i r="1">
      <x v="53"/>
      <x v="16"/>
      <x v="48"/>
      <x v="2"/>
      <x/>
      <x v="91"/>
      <x v="5"/>
      <x v="1"/>
      <x v="5"/>
      <x v="2"/>
      <x v="2"/>
      <x v="3"/>
    </i>
    <i r="1">
      <x v="54"/>
      <x v="61"/>
      <x v="27"/>
      <x v="5"/>
      <x v="15"/>
      <x v="25"/>
      <x v="8"/>
      <x v="1"/>
      <x v="3"/>
      <x v="2"/>
      <x v="2"/>
      <x v="3"/>
    </i>
    <i r="1">
      <x v="55"/>
      <x v="24"/>
      <x v="64"/>
      <x v="16"/>
      <x v="9"/>
      <x v="8"/>
      <x v="9"/>
      <x v="1"/>
      <x v="13"/>
      <x v="2"/>
      <x v="2"/>
      <x/>
    </i>
    <i r="9">
      <x v="15"/>
      <x/>
      <x/>
      <x/>
    </i>
    <i r="1">
      <x v="56"/>
      <x v="53"/>
      <x v="37"/>
      <x v="2"/>
      <x/>
      <x v="19"/>
      <x v="5"/>
      <x v="1"/>
      <x v="7"/>
      <x v="2"/>
      <x v="2"/>
      <x v="3"/>
    </i>
    <i r="6">
      <x v="75"/>
      <x v="9"/>
      <x v="1"/>
      <x v="7"/>
      <x v="2"/>
      <x v="2"/>
      <x/>
    </i>
    <i r="1">
      <x v="57"/>
      <x v="33"/>
      <x v="16"/>
      <x v="2"/>
      <x/>
      <x v="26"/>
      <x v="5"/>
      <x v="4"/>
      <x v="9"/>
      <x v="2"/>
      <x v="2"/>
      <x v="9"/>
    </i>
    <i r="1">
      <x v="58"/>
      <x v="51"/>
      <x v="4"/>
      <x v="2"/>
      <x/>
      <x v="73"/>
      <x v="5"/>
      <x v="4"/>
      <x v="21"/>
      <x v="2"/>
      <x v="2"/>
      <x v="9"/>
    </i>
    <i r="1">
      <x v="59"/>
      <x v="43"/>
      <x v="47"/>
      <x v="2"/>
      <x/>
      <x v="41"/>
      <x v="5"/>
      <x v="4"/>
      <x v="26"/>
      <x v="2"/>
      <x v="2"/>
      <x v="9"/>
    </i>
    <i r="1">
      <x v="60"/>
      <x v="48"/>
      <x v="74"/>
      <x v="2"/>
      <x/>
      <x v="45"/>
      <x v="9"/>
      <x v="1"/>
      <x/>
      <x v="2"/>
      <x v="2"/>
      <x/>
    </i>
    <i r="6">
      <x v="71"/>
      <x v="5"/>
      <x v="1"/>
      <x/>
      <x v="2"/>
      <x v="2"/>
      <x v="3"/>
    </i>
    <i r="1">
      <x v="61"/>
      <x v="6"/>
      <x v="9"/>
      <x v="2"/>
      <x/>
      <x v="36"/>
      <x v="5"/>
      <x v="1"/>
      <x/>
      <x v="2"/>
      <x v="2"/>
      <x v="3"/>
    </i>
    <i r="1">
      <x v="62"/>
      <x v="5"/>
      <x v="65"/>
      <x v="5"/>
      <x v="15"/>
      <x v="53"/>
      <x v="5"/>
      <x v="1"/>
      <x v="25"/>
      <x v="2"/>
      <x v="2"/>
      <x v="4"/>
    </i>
    <i r="1">
      <x v="63"/>
      <x v="22"/>
      <x v="86"/>
      <x v="2"/>
      <x/>
      <x v="100"/>
      <x v="5"/>
      <x v="1"/>
      <x v="2"/>
      <x v="2"/>
      <x v="2"/>
      <x v="3"/>
    </i>
    <i r="6">
      <x v="101"/>
      <x v="9"/>
      <x v="1"/>
      <x v="2"/>
      <x v="2"/>
      <x v="2"/>
      <x/>
    </i>
    <i r="1">
      <x v="64"/>
      <x v="55"/>
      <x v="60"/>
      <x v="6"/>
      <x v="1"/>
      <x v="28"/>
      <x v="5"/>
      <x v="1"/>
      <x v="4"/>
      <x v="2"/>
      <x v="2"/>
      <x v="3"/>
    </i>
    <i r="1">
      <x v="65"/>
      <x v="32"/>
      <x v="40"/>
      <x v="2"/>
      <x/>
      <x v="24"/>
      <x v="5"/>
      <x v="1"/>
      <x v="5"/>
      <x v="2"/>
      <x v="2"/>
      <x v="3"/>
    </i>
    <i r="1">
      <x v="66"/>
      <x v="78"/>
      <x v="71"/>
      <x v="16"/>
      <x v="9"/>
      <x v="14"/>
      <x v="9"/>
      <x v="2"/>
      <x v="7"/>
      <x v="2"/>
      <x v="2"/>
      <x v="1"/>
    </i>
    <i r="6">
      <x v="48"/>
      <x v="5"/>
      <x v="4"/>
      <x v="7"/>
      <x v="2"/>
      <x v="2"/>
      <x v="9"/>
    </i>
    <i r="1">
      <x v="67"/>
      <x v="44"/>
      <x v="91"/>
      <x v="2"/>
      <x/>
      <x v="27"/>
      <x v="5"/>
      <x v="1"/>
      <x v="26"/>
      <x v="2"/>
      <x v="2"/>
      <x v="3"/>
    </i>
    <i r="6">
      <x v="107"/>
      <x v="9"/>
      <x v="1"/>
      <x v="26"/>
      <x v="2"/>
      <x v="2"/>
      <x/>
    </i>
    <i r="1">
      <x v="68"/>
      <x v="40"/>
      <x v="56"/>
      <x v="2"/>
      <x/>
      <x v="64"/>
      <x v="5"/>
      <x v="4"/>
      <x v="16"/>
      <x v="2"/>
      <x v="2"/>
      <x v="9"/>
    </i>
    <i r="1">
      <x v="69"/>
      <x/>
      <x v="59"/>
      <x v="2"/>
      <x/>
      <x v="97"/>
      <x v="5"/>
      <x v="4"/>
      <x v="10"/>
      <x v="2"/>
      <x v="2"/>
      <x v="10"/>
    </i>
    <i r="1">
      <x v="70"/>
      <x v="69"/>
      <x v="19"/>
      <x v="9"/>
      <x v="13"/>
      <x v="118"/>
      <x v="9"/>
      <x v="2"/>
      <x v="16"/>
      <x v="2"/>
      <x v="2"/>
      <x v="1"/>
    </i>
    <i r="1">
      <x v="71"/>
      <x v="52"/>
      <x v="46"/>
      <x v="14"/>
      <x v="10"/>
      <x v="38"/>
      <x v="9"/>
      <x v="2"/>
      <x v="16"/>
      <x v="2"/>
      <x v="2"/>
      <x v="1"/>
    </i>
    <i r="1">
      <x v="72"/>
      <x v="36"/>
      <x v="62"/>
      <x v="5"/>
      <x v="15"/>
      <x v="33"/>
      <x v="9"/>
      <x v="2"/>
      <x v="13"/>
      <x v="2"/>
      <x v="2"/>
      <x v="1"/>
    </i>
    <i r="6">
      <x v="95"/>
      <x v="5"/>
      <x v="4"/>
      <x v="13"/>
      <x v="2"/>
      <x v="2"/>
      <x v="9"/>
    </i>
    <i r="1">
      <x v="73"/>
      <x v="2"/>
      <x v="67"/>
      <x v="5"/>
      <x v="15"/>
      <x v="40"/>
      <x v="9"/>
      <x v="1"/>
      <x v="17"/>
      <x v="2"/>
      <x v="2"/>
      <x/>
    </i>
    <i r="6">
      <x v="117"/>
      <x v="5"/>
      <x v="1"/>
      <x v="17"/>
      <x v="2"/>
      <x v="2"/>
      <x v="3"/>
    </i>
    <i r="1">
      <x v="74"/>
      <x v="81"/>
      <x v="85"/>
      <x v="2"/>
      <x/>
      <x v="89"/>
      <x v="5"/>
      <x v="1"/>
      <x v="25"/>
      <x v="2"/>
      <x v="2"/>
      <x v="3"/>
    </i>
    <i r="1">
      <x v="75"/>
      <x v="27"/>
      <x v="14"/>
      <x v="2"/>
      <x/>
      <x v="65"/>
      <x v="5"/>
      <x v="4"/>
      <x v="19"/>
      <x v="2"/>
      <x v="2"/>
      <x v="9"/>
    </i>
    <i r="1">
      <x v="76"/>
      <x v="74"/>
      <x v="7"/>
      <x v="2"/>
      <x/>
      <x v="119"/>
      <x v="5"/>
      <x v="1"/>
      <x v="23"/>
      <x v="2"/>
      <x v="2"/>
      <x v="3"/>
    </i>
    <i r="1">
      <x v="77"/>
      <x v="37"/>
      <x v="82"/>
      <x v="2"/>
      <x/>
      <x v="109"/>
      <x v="5"/>
      <x v="1"/>
      <x v="19"/>
      <x v="2"/>
      <x v="2"/>
      <x v="3"/>
    </i>
    <i r="1">
      <x v="78"/>
      <x v="73"/>
      <x v="90"/>
      <x v="2"/>
      <x/>
      <x v="29"/>
      <x v="5"/>
      <x v="1"/>
      <x v="23"/>
      <x v="2"/>
      <x v="2"/>
      <x v="3"/>
    </i>
    <i r="1">
      <x v="79"/>
      <x v="4"/>
      <x v="57"/>
      <x v="2"/>
      <x/>
      <x v="57"/>
      <x v="5"/>
      <x v="1"/>
      <x v="13"/>
      <x v="2"/>
      <x v="2"/>
      <x v="3"/>
    </i>
    <i r="1">
      <x v="80"/>
      <x v="34"/>
      <x v="33"/>
      <x v="3"/>
      <x v="3"/>
      <x v="39"/>
      <x v="1"/>
      <x v="1"/>
      <x v="27"/>
      <x v="2"/>
      <x v="2"/>
      <x v="15"/>
    </i>
    <i r="1">
      <x v="81"/>
      <x v="77"/>
      <x v="25"/>
      <x v="5"/>
      <x v="15"/>
      <x v="51"/>
      <x v="9"/>
      <x v="1"/>
      <x/>
      <x v="2"/>
      <x v="2"/>
      <x/>
    </i>
    <i r="6">
      <x v="102"/>
      <x v="2"/>
      <x v="1"/>
      <x/>
      <x v="2"/>
      <x v="2"/>
      <x v="6"/>
    </i>
    <i r="1">
      <x v="82"/>
      <x v="10"/>
      <x v="88"/>
      <x v="16"/>
      <x v="9"/>
      <x v="34"/>
      <x v="9"/>
      <x v="1"/>
      <x v="7"/>
      <x v="2"/>
      <x v="2"/>
      <x/>
    </i>
    <i r="6">
      <x v="116"/>
      <x v="5"/>
      <x v="1"/>
      <x v="7"/>
      <x v="2"/>
      <x v="2"/>
      <x v="4"/>
    </i>
    <i r="1">
      <x v="83"/>
      <x v="21"/>
      <x v="44"/>
      <x v="2"/>
      <x/>
      <x v="90"/>
      <x v="5"/>
      <x v="1"/>
      <x v="7"/>
      <x v="2"/>
      <x v="2"/>
      <x v="3"/>
    </i>
    <i r="1">
      <x v="84"/>
      <x v="50"/>
      <x v="61"/>
      <x v="2"/>
      <x/>
      <x v="88"/>
      <x v="9"/>
      <x v="1"/>
      <x v="3"/>
      <x v="2"/>
      <x v="2"/>
      <x/>
    </i>
    <i r="1">
      <x v="85"/>
      <x v="25"/>
      <x v="36"/>
      <x v="2"/>
      <x/>
      <x v="106"/>
      <x v="5"/>
      <x v="4"/>
      <x v="11"/>
      <x v="2"/>
      <x v="2"/>
      <x v="9"/>
    </i>
    <i r="1">
      <x v="86"/>
      <x v="73"/>
      <x v="18"/>
      <x v="12"/>
      <x v="8"/>
      <x v="43"/>
      <x v="4"/>
      <x/>
      <x v="8"/>
      <x v="2"/>
      <x v="2"/>
      <x v="27"/>
    </i>
    <i r="1">
      <x v="87"/>
      <x v="62"/>
      <x v="15"/>
      <x v="2"/>
      <x/>
      <x v="7"/>
      <x v="5"/>
      <x v="1"/>
      <x v="8"/>
      <x v="2"/>
      <x v="2"/>
      <x v="3"/>
    </i>
    <i r="1">
      <x v="88"/>
      <x v="80"/>
      <x v="30"/>
      <x v="2"/>
      <x/>
      <x v="59"/>
      <x v="5"/>
      <x v="1"/>
      <x v="20"/>
      <x v="2"/>
      <x v="2"/>
      <x v="3"/>
    </i>
    <i r="1">
      <x v="89"/>
      <x v="51"/>
      <x v="78"/>
      <x v="5"/>
      <x v="15"/>
      <x v="5"/>
      <x v="5"/>
      <x v="1"/>
      <x v="9"/>
      <x v="2"/>
      <x v="2"/>
      <x v="3"/>
    </i>
    <i r="1">
      <x v="90"/>
      <x v="4"/>
      <x v="57"/>
      <x v="2"/>
      <x/>
      <x v="112"/>
      <x v="5"/>
      <x v="1"/>
      <x v="20"/>
      <x v="2"/>
      <x v="2"/>
      <x v="3"/>
    </i>
    <i r="1">
      <x v="91"/>
      <x v="52"/>
      <x v="5"/>
      <x v="2"/>
      <x/>
      <x v="94"/>
      <x v="5"/>
      <x v="4"/>
      <x v="27"/>
      <x v="2"/>
      <x v="2"/>
      <x v="9"/>
    </i>
    <i r="1">
      <x v="92"/>
      <x v="39"/>
      <x v="12"/>
      <x v="5"/>
      <x v="15"/>
      <x v="113"/>
      <x v="5"/>
      <x v="4"/>
      <x v="15"/>
      <x v="2"/>
      <x v="2"/>
      <x v="9"/>
    </i>
    <i r="1">
      <x v="93"/>
      <x v="23"/>
      <x v="80"/>
      <x v="2"/>
      <x/>
      <x v="16"/>
      <x v="5"/>
      <x v="1"/>
      <x v="24"/>
      <x v="2"/>
      <x v="2"/>
      <x v="4"/>
    </i>
    <i r="1">
      <x v="94"/>
      <x v="35"/>
      <x v="6"/>
      <x v="2"/>
      <x/>
      <x v="11"/>
      <x v="5"/>
      <x/>
      <x v="28"/>
      <x v="2"/>
      <x v="2"/>
      <x v="17"/>
    </i>
    <i r="6">
      <x v="93"/>
      <x v="9"/>
      <x/>
      <x v="28"/>
      <x v="2"/>
      <x v="2"/>
      <x v="2"/>
    </i>
    <i t="default">
      <x/>
    </i>
    <i t="grand">
      <x/>
    </i>
  </rowItems>
  <colItems count="1">
    <i/>
  </colItems>
  <dataFields count="1">
    <dataField name="Sum of Net Commission" fld="7" baseField="0" baseItem="0" numFmtId="164"/>
  </dataFields>
  <formats count="2">
    <format dxfId="1">
      <pivotArea dataOnly="0" labelOnly="1" fieldPosition="0">
        <references count="1">
          <reference field="44" count="0" defaultSubtotal="1"/>
        </references>
      </pivotArea>
    </format>
    <format dxfId="0">
      <pivotArea outline="0" collapsedLevelsAreSubtotals="1" fieldPosition="0">
        <references count="1">
          <reference field="44" count="0" selected="0" defaultSubtotal="1"/>
        </references>
      </pivotArea>
    </format>
  </formats>
  <pivotTableStyleInfo name="PivotTable Style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6D94C-9D1F-4580-BEE2-2CDBC3F51A85}">
  <dimension ref="A1:P144"/>
  <sheetViews>
    <sheetView workbookViewId="0"/>
  </sheetViews>
  <sheetFormatPr defaultColWidth="0" defaultRowHeight="15" x14ac:dyDescent="0.25"/>
  <cols>
    <col min="1" max="1" width="39.28515625" bestFit="1" customWidth="1"/>
    <col min="2" max="2" width="12.28515625" bestFit="1" customWidth="1"/>
    <col min="3" max="3" width="21.140625" bestFit="1" customWidth="1"/>
    <col min="4" max="4" width="19.42578125" bestFit="1" customWidth="1"/>
    <col min="5" max="5" width="17.28515625" bestFit="1" customWidth="1"/>
    <col min="6" max="6" width="36.28515625" bestFit="1" customWidth="1"/>
    <col min="7" max="7" width="15.5703125" bestFit="1" customWidth="1"/>
    <col min="8" max="8" width="27.140625" bestFit="1" customWidth="1"/>
    <col min="9" max="9" width="20.28515625" bestFit="1" customWidth="1"/>
    <col min="10" max="10" width="13.28515625" bestFit="1" customWidth="1"/>
    <col min="11" max="11" width="17.28515625" bestFit="1" customWidth="1"/>
    <col min="12" max="12" width="19.7109375" bestFit="1" customWidth="1"/>
    <col min="13" max="13" width="24.42578125" bestFit="1" customWidth="1"/>
    <col min="14" max="14" width="21" bestFit="1" customWidth="1"/>
    <col min="15" max="16" width="8.85546875" customWidth="1"/>
    <col min="17" max="16384" width="8.85546875" hidden="1"/>
  </cols>
  <sheetData>
    <row r="1" spans="1:14" s="14" customFormat="1" ht="18.75" x14ac:dyDescent="0.3">
      <c r="A1" s="15" t="s">
        <v>283</v>
      </c>
    </row>
    <row r="2" spans="1:14" s="14" customFormat="1" ht="18.75" x14ac:dyDescent="0.3">
      <c r="A2" s="15" t="s">
        <v>284</v>
      </c>
    </row>
    <row r="3" spans="1:14" s="14" customFormat="1" ht="18.75" x14ac:dyDescent="0.3">
      <c r="A3" s="15" t="s">
        <v>285</v>
      </c>
    </row>
    <row r="4" spans="1:14" s="14" customFormat="1" ht="19.5" thickBot="1" x14ac:dyDescent="0.35">
      <c r="A4" s="15" t="s">
        <v>286</v>
      </c>
    </row>
    <row r="5" spans="1:14" s="14" customFormat="1" ht="21.75" thickBot="1" x14ac:dyDescent="0.4">
      <c r="C5" s="18" t="s">
        <v>287</v>
      </c>
      <c r="D5" s="19">
        <v>1422.14</v>
      </c>
      <c r="E5" s="20" t="s">
        <v>288</v>
      </c>
      <c r="F5" s="21">
        <v>1422.14</v>
      </c>
    </row>
    <row r="6" spans="1:14" s="14" customFormat="1" x14ac:dyDescent="0.25"/>
    <row r="7" spans="1:14" s="14" customFormat="1" x14ac:dyDescent="0.25"/>
    <row r="8" spans="1:14" s="14" customFormat="1" x14ac:dyDescent="0.25"/>
    <row r="9" spans="1:14" s="14" customFormat="1" x14ac:dyDescent="0.25"/>
    <row r="10" spans="1:14" x14ac:dyDescent="0.25">
      <c r="A10" s="12" t="s">
        <v>44</v>
      </c>
      <c r="B10" s="12" t="s">
        <v>15</v>
      </c>
      <c r="C10" s="12" t="s">
        <v>17</v>
      </c>
      <c r="D10" s="12" t="s">
        <v>18</v>
      </c>
      <c r="E10" s="12" t="s">
        <v>20</v>
      </c>
      <c r="F10" s="12" t="s">
        <v>21</v>
      </c>
      <c r="G10" s="12" t="s">
        <v>32</v>
      </c>
      <c r="H10" s="12" t="s">
        <v>25</v>
      </c>
      <c r="I10" s="12" t="s">
        <v>26</v>
      </c>
      <c r="J10" s="12" t="s">
        <v>0</v>
      </c>
      <c r="K10" s="12" t="s">
        <v>35</v>
      </c>
      <c r="L10" s="12" t="s">
        <v>4</v>
      </c>
      <c r="M10" s="12" t="s">
        <v>40</v>
      </c>
      <c r="N10" t="s">
        <v>282</v>
      </c>
    </row>
    <row r="11" spans="1:14" x14ac:dyDescent="0.25">
      <c r="A11" t="s">
        <v>60</v>
      </c>
      <c r="B11">
        <v>679972196</v>
      </c>
      <c r="C11" t="s">
        <v>155</v>
      </c>
      <c r="D11" t="s">
        <v>156</v>
      </c>
      <c r="E11">
        <v>653470</v>
      </c>
      <c r="F11" t="s">
        <v>47</v>
      </c>
      <c r="G11">
        <v>241002988</v>
      </c>
      <c r="H11" t="s">
        <v>159</v>
      </c>
      <c r="I11" t="s">
        <v>77</v>
      </c>
      <c r="J11" s="7">
        <v>45675</v>
      </c>
      <c r="K11" t="s">
        <v>58</v>
      </c>
      <c r="L11" t="s">
        <v>280</v>
      </c>
      <c r="M11" s="13">
        <v>48</v>
      </c>
      <c r="N11" s="13">
        <v>12.48</v>
      </c>
    </row>
    <row r="12" spans="1:14" x14ac:dyDescent="0.25">
      <c r="A12" t="s">
        <v>60</v>
      </c>
      <c r="B12">
        <v>679972196</v>
      </c>
      <c r="C12" t="s">
        <v>155</v>
      </c>
      <c r="D12" t="s">
        <v>156</v>
      </c>
      <c r="E12">
        <v>653470</v>
      </c>
      <c r="F12" t="s">
        <v>47</v>
      </c>
      <c r="G12">
        <v>694607964</v>
      </c>
      <c r="H12" t="s">
        <v>158</v>
      </c>
      <c r="I12" t="s">
        <v>77</v>
      </c>
      <c r="J12" s="7">
        <v>45675</v>
      </c>
      <c r="K12" t="s">
        <v>58</v>
      </c>
      <c r="L12" t="s">
        <v>280</v>
      </c>
      <c r="M12" s="13">
        <v>172</v>
      </c>
      <c r="N12" s="13">
        <v>44.72</v>
      </c>
    </row>
    <row r="13" spans="1:14" x14ac:dyDescent="0.25">
      <c r="A13" t="s">
        <v>60</v>
      </c>
      <c r="B13">
        <v>680314593</v>
      </c>
      <c r="C13" t="s">
        <v>184</v>
      </c>
      <c r="D13" t="s">
        <v>185</v>
      </c>
      <c r="E13">
        <v>657149</v>
      </c>
      <c r="F13" t="s">
        <v>51</v>
      </c>
      <c r="G13">
        <v>172575174</v>
      </c>
      <c r="H13" t="s">
        <v>187</v>
      </c>
      <c r="I13" t="s">
        <v>77</v>
      </c>
      <c r="J13" s="7">
        <v>45672</v>
      </c>
      <c r="K13" t="s">
        <v>58</v>
      </c>
      <c r="L13" t="s">
        <v>280</v>
      </c>
      <c r="M13" s="13">
        <v>212</v>
      </c>
      <c r="N13" s="13">
        <v>55.12</v>
      </c>
    </row>
    <row r="14" spans="1:14" x14ac:dyDescent="0.25">
      <c r="A14" t="s">
        <v>60</v>
      </c>
      <c r="B14">
        <v>681549155</v>
      </c>
      <c r="C14" t="s">
        <v>233</v>
      </c>
      <c r="D14" t="s">
        <v>234</v>
      </c>
      <c r="E14">
        <v>703501</v>
      </c>
      <c r="F14" t="s">
        <v>131</v>
      </c>
      <c r="G14">
        <v>464503420</v>
      </c>
      <c r="H14" t="s">
        <v>53</v>
      </c>
      <c r="I14" t="s">
        <v>54</v>
      </c>
      <c r="J14" s="7">
        <v>45662</v>
      </c>
      <c r="K14" t="s">
        <v>58</v>
      </c>
      <c r="L14" t="s">
        <v>280</v>
      </c>
      <c r="M14" s="13">
        <v>11</v>
      </c>
      <c r="N14" s="13">
        <v>4.07</v>
      </c>
    </row>
    <row r="15" spans="1:14" x14ac:dyDescent="0.25">
      <c r="A15" t="s">
        <v>60</v>
      </c>
      <c r="B15">
        <v>681647925</v>
      </c>
      <c r="C15" t="s">
        <v>91</v>
      </c>
      <c r="D15" t="s">
        <v>92</v>
      </c>
      <c r="E15">
        <v>689390</v>
      </c>
      <c r="F15" t="s">
        <v>84</v>
      </c>
      <c r="G15">
        <v>386395185</v>
      </c>
      <c r="H15" t="s">
        <v>85</v>
      </c>
      <c r="I15" t="s">
        <v>54</v>
      </c>
      <c r="J15" s="7">
        <v>45687</v>
      </c>
      <c r="K15" t="s">
        <v>58</v>
      </c>
      <c r="L15" t="s">
        <v>280</v>
      </c>
      <c r="M15" s="13">
        <v>60</v>
      </c>
      <c r="N15" s="13">
        <v>14.4</v>
      </c>
    </row>
    <row r="16" spans="1:14" x14ac:dyDescent="0.25">
      <c r="A16" t="s">
        <v>60</v>
      </c>
      <c r="B16">
        <v>681654117</v>
      </c>
      <c r="C16" t="s">
        <v>238</v>
      </c>
      <c r="D16" t="s">
        <v>239</v>
      </c>
      <c r="E16">
        <v>689390</v>
      </c>
      <c r="F16" t="s">
        <v>84</v>
      </c>
      <c r="G16">
        <v>509195534</v>
      </c>
      <c r="H16" t="s">
        <v>85</v>
      </c>
      <c r="I16" t="s">
        <v>54</v>
      </c>
      <c r="J16" s="7">
        <v>45662</v>
      </c>
      <c r="K16" t="s">
        <v>58</v>
      </c>
      <c r="L16" t="s">
        <v>280</v>
      </c>
      <c r="M16" s="13">
        <v>65</v>
      </c>
      <c r="N16" s="13">
        <v>15.6</v>
      </c>
    </row>
    <row r="17" spans="1:14" x14ac:dyDescent="0.25">
      <c r="A17" t="s">
        <v>60</v>
      </c>
      <c r="B17">
        <v>681694666</v>
      </c>
      <c r="C17" t="s">
        <v>236</v>
      </c>
      <c r="D17" t="s">
        <v>237</v>
      </c>
      <c r="E17">
        <v>689390</v>
      </c>
      <c r="F17" t="s">
        <v>84</v>
      </c>
      <c r="G17">
        <v>654081029</v>
      </c>
      <c r="H17" t="s">
        <v>179</v>
      </c>
      <c r="I17" t="s">
        <v>80</v>
      </c>
      <c r="J17" s="7">
        <v>45662</v>
      </c>
      <c r="K17" t="s">
        <v>58</v>
      </c>
      <c r="L17" t="s">
        <v>280</v>
      </c>
      <c r="M17" s="13">
        <v>76</v>
      </c>
      <c r="N17" s="13">
        <v>18.239999999999998</v>
      </c>
    </row>
    <row r="18" spans="1:14" x14ac:dyDescent="0.25">
      <c r="A18" t="s">
        <v>60</v>
      </c>
      <c r="B18">
        <v>681703836</v>
      </c>
      <c r="C18" t="s">
        <v>265</v>
      </c>
      <c r="D18" t="s">
        <v>266</v>
      </c>
      <c r="E18">
        <v>653470</v>
      </c>
      <c r="F18" t="s">
        <v>47</v>
      </c>
      <c r="G18">
        <v>181995160</v>
      </c>
      <c r="H18" t="s">
        <v>85</v>
      </c>
      <c r="I18" t="s">
        <v>80</v>
      </c>
      <c r="J18" s="7">
        <v>45661</v>
      </c>
      <c r="K18" t="s">
        <v>58</v>
      </c>
      <c r="L18" t="s">
        <v>280</v>
      </c>
      <c r="M18" s="13">
        <v>120</v>
      </c>
      <c r="N18" s="13">
        <v>28.8</v>
      </c>
    </row>
    <row r="19" spans="1:14" x14ac:dyDescent="0.25">
      <c r="A19" t="s">
        <v>60</v>
      </c>
      <c r="B19">
        <v>681703836</v>
      </c>
      <c r="C19" t="s">
        <v>265</v>
      </c>
      <c r="D19" t="s">
        <v>266</v>
      </c>
      <c r="E19">
        <v>653470</v>
      </c>
      <c r="F19" t="s">
        <v>47</v>
      </c>
      <c r="G19">
        <v>784351926</v>
      </c>
      <c r="H19" t="s">
        <v>53</v>
      </c>
      <c r="I19" t="s">
        <v>101</v>
      </c>
      <c r="J19" s="7">
        <v>45661</v>
      </c>
      <c r="K19" t="s">
        <v>58</v>
      </c>
      <c r="L19" t="s">
        <v>280</v>
      </c>
      <c r="M19" s="13">
        <v>15</v>
      </c>
      <c r="N19" s="13">
        <v>5.55</v>
      </c>
    </row>
    <row r="20" spans="1:14" x14ac:dyDescent="0.25">
      <c r="A20" t="s">
        <v>60</v>
      </c>
      <c r="B20">
        <v>681791772</v>
      </c>
      <c r="C20" t="s">
        <v>132</v>
      </c>
      <c r="D20" t="s">
        <v>277</v>
      </c>
      <c r="E20">
        <v>720542</v>
      </c>
      <c r="F20" t="s">
        <v>97</v>
      </c>
      <c r="G20">
        <v>7534852</v>
      </c>
      <c r="H20" t="s">
        <v>179</v>
      </c>
      <c r="I20" t="s">
        <v>54</v>
      </c>
      <c r="J20" s="7">
        <v>45659</v>
      </c>
      <c r="K20" t="s">
        <v>58</v>
      </c>
      <c r="L20" t="s">
        <v>280</v>
      </c>
      <c r="M20" s="13">
        <v>35</v>
      </c>
      <c r="N20" s="13">
        <v>1.05</v>
      </c>
    </row>
    <row r="21" spans="1:14" x14ac:dyDescent="0.25">
      <c r="A21" t="s">
        <v>60</v>
      </c>
      <c r="B21">
        <v>681792691</v>
      </c>
      <c r="C21" t="s">
        <v>94</v>
      </c>
      <c r="D21" t="s">
        <v>278</v>
      </c>
      <c r="E21">
        <v>689390</v>
      </c>
      <c r="F21" t="s">
        <v>84</v>
      </c>
      <c r="G21">
        <v>78980217</v>
      </c>
      <c r="H21" t="s">
        <v>85</v>
      </c>
      <c r="I21" t="s">
        <v>54</v>
      </c>
      <c r="J21" s="7">
        <v>45659</v>
      </c>
      <c r="K21" t="s">
        <v>58</v>
      </c>
      <c r="L21" t="s">
        <v>280</v>
      </c>
      <c r="M21" s="13">
        <v>65</v>
      </c>
      <c r="N21" s="13">
        <v>15.6</v>
      </c>
    </row>
    <row r="22" spans="1:14" x14ac:dyDescent="0.25">
      <c r="A22" t="s">
        <v>60</v>
      </c>
      <c r="B22">
        <v>681802160</v>
      </c>
      <c r="C22" t="s">
        <v>104</v>
      </c>
      <c r="D22" t="s">
        <v>240</v>
      </c>
      <c r="E22">
        <v>689390</v>
      </c>
      <c r="F22" t="s">
        <v>84</v>
      </c>
      <c r="G22">
        <v>118665193</v>
      </c>
      <c r="H22" t="s">
        <v>179</v>
      </c>
      <c r="I22" t="s">
        <v>80</v>
      </c>
      <c r="J22" s="7">
        <v>45662</v>
      </c>
      <c r="K22" t="s">
        <v>58</v>
      </c>
      <c r="L22" t="s">
        <v>280</v>
      </c>
      <c r="M22" s="13">
        <v>76</v>
      </c>
      <c r="N22" s="13">
        <v>18.239999999999998</v>
      </c>
    </row>
    <row r="23" spans="1:14" x14ac:dyDescent="0.25">
      <c r="A23" t="s">
        <v>60</v>
      </c>
      <c r="B23">
        <v>681829783</v>
      </c>
      <c r="C23" t="s">
        <v>144</v>
      </c>
      <c r="D23" t="s">
        <v>145</v>
      </c>
      <c r="E23">
        <v>689390</v>
      </c>
      <c r="F23" t="s">
        <v>84</v>
      </c>
      <c r="G23">
        <v>438557821</v>
      </c>
      <c r="H23" t="s">
        <v>85</v>
      </c>
      <c r="I23" t="s">
        <v>54</v>
      </c>
      <c r="J23" s="7">
        <v>45677</v>
      </c>
      <c r="K23" t="s">
        <v>58</v>
      </c>
      <c r="L23" t="s">
        <v>280</v>
      </c>
      <c r="M23" s="13">
        <v>60</v>
      </c>
      <c r="N23" s="13">
        <v>14.4</v>
      </c>
    </row>
    <row r="24" spans="1:14" x14ac:dyDescent="0.25">
      <c r="A24" t="s">
        <v>60</v>
      </c>
      <c r="B24">
        <v>681957774</v>
      </c>
      <c r="C24" t="s">
        <v>94</v>
      </c>
      <c r="D24" t="s">
        <v>95</v>
      </c>
      <c r="E24">
        <v>720542</v>
      </c>
      <c r="F24" t="s">
        <v>97</v>
      </c>
      <c r="G24">
        <v>134232423</v>
      </c>
      <c r="H24" t="s">
        <v>53</v>
      </c>
      <c r="I24" t="s">
        <v>54</v>
      </c>
      <c r="J24" s="7">
        <v>45680</v>
      </c>
      <c r="K24" t="s">
        <v>58</v>
      </c>
      <c r="L24" t="s">
        <v>280</v>
      </c>
      <c r="M24" s="13">
        <v>11</v>
      </c>
      <c r="N24" s="13">
        <v>0.33</v>
      </c>
    </row>
    <row r="25" spans="1:14" x14ac:dyDescent="0.25">
      <c r="A25" t="s">
        <v>60</v>
      </c>
      <c r="B25">
        <v>681957774</v>
      </c>
      <c r="C25" t="s">
        <v>94</v>
      </c>
      <c r="D25" t="s">
        <v>95</v>
      </c>
      <c r="E25">
        <v>720542</v>
      </c>
      <c r="F25" t="s">
        <v>97</v>
      </c>
      <c r="G25">
        <v>134232423</v>
      </c>
      <c r="H25" t="s">
        <v>53</v>
      </c>
      <c r="I25" t="s">
        <v>54</v>
      </c>
      <c r="J25" s="7">
        <v>45681</v>
      </c>
      <c r="K25" t="s">
        <v>58</v>
      </c>
      <c r="L25" t="s">
        <v>280</v>
      </c>
      <c r="M25" s="13">
        <v>11</v>
      </c>
      <c r="N25" s="13">
        <v>0.33</v>
      </c>
    </row>
    <row r="26" spans="1:14" x14ac:dyDescent="0.25">
      <c r="A26" t="s">
        <v>60</v>
      </c>
      <c r="B26">
        <v>681957774</v>
      </c>
      <c r="C26" t="s">
        <v>94</v>
      </c>
      <c r="D26" t="s">
        <v>95</v>
      </c>
      <c r="E26">
        <v>720542</v>
      </c>
      <c r="F26" t="s">
        <v>97</v>
      </c>
      <c r="G26">
        <v>134232423</v>
      </c>
      <c r="H26" t="s">
        <v>53</v>
      </c>
      <c r="I26" t="s">
        <v>54</v>
      </c>
      <c r="J26" s="7">
        <v>45686</v>
      </c>
      <c r="K26" t="s">
        <v>58</v>
      </c>
      <c r="L26" t="s">
        <v>280</v>
      </c>
      <c r="M26" s="13">
        <v>11</v>
      </c>
      <c r="N26" s="13">
        <v>0.33</v>
      </c>
    </row>
    <row r="27" spans="1:14" x14ac:dyDescent="0.25">
      <c r="A27" t="s">
        <v>60</v>
      </c>
      <c r="B27">
        <v>681957774</v>
      </c>
      <c r="C27" t="s">
        <v>94</v>
      </c>
      <c r="D27" t="s">
        <v>95</v>
      </c>
      <c r="E27">
        <v>720542</v>
      </c>
      <c r="F27" t="s">
        <v>97</v>
      </c>
      <c r="G27">
        <v>475902412</v>
      </c>
      <c r="H27" t="s">
        <v>85</v>
      </c>
      <c r="I27" t="s">
        <v>54</v>
      </c>
      <c r="J27" s="7">
        <v>45680</v>
      </c>
      <c r="K27" t="s">
        <v>58</v>
      </c>
      <c r="L27" t="s">
        <v>280</v>
      </c>
      <c r="M27" s="13">
        <v>60</v>
      </c>
      <c r="N27" s="13">
        <v>1.8</v>
      </c>
    </row>
    <row r="28" spans="1:14" x14ac:dyDescent="0.25">
      <c r="A28" t="s">
        <v>60</v>
      </c>
      <c r="B28">
        <v>681957774</v>
      </c>
      <c r="C28" t="s">
        <v>94</v>
      </c>
      <c r="D28" t="s">
        <v>95</v>
      </c>
      <c r="E28">
        <v>720542</v>
      </c>
      <c r="F28" t="s">
        <v>97</v>
      </c>
      <c r="G28">
        <v>475902412</v>
      </c>
      <c r="H28" t="s">
        <v>85</v>
      </c>
      <c r="I28" t="s">
        <v>54</v>
      </c>
      <c r="J28" s="7">
        <v>45681</v>
      </c>
      <c r="K28" t="s">
        <v>58</v>
      </c>
      <c r="L28" t="s">
        <v>280</v>
      </c>
      <c r="M28" s="13">
        <v>60</v>
      </c>
      <c r="N28" s="13">
        <v>1.8</v>
      </c>
    </row>
    <row r="29" spans="1:14" x14ac:dyDescent="0.25">
      <c r="A29" t="s">
        <v>60</v>
      </c>
      <c r="B29">
        <v>681957774</v>
      </c>
      <c r="C29" t="s">
        <v>94</v>
      </c>
      <c r="D29" t="s">
        <v>95</v>
      </c>
      <c r="E29">
        <v>720542</v>
      </c>
      <c r="F29" t="s">
        <v>97</v>
      </c>
      <c r="G29">
        <v>475902412</v>
      </c>
      <c r="H29" t="s">
        <v>85</v>
      </c>
      <c r="I29" t="s">
        <v>54</v>
      </c>
      <c r="J29" s="7">
        <v>45686</v>
      </c>
      <c r="K29" t="s">
        <v>58</v>
      </c>
      <c r="L29" t="s">
        <v>280</v>
      </c>
      <c r="M29" s="13">
        <v>60</v>
      </c>
      <c r="N29" s="13">
        <v>1.8</v>
      </c>
    </row>
    <row r="30" spans="1:14" x14ac:dyDescent="0.25">
      <c r="A30" t="s">
        <v>60</v>
      </c>
      <c r="B30">
        <v>682171350</v>
      </c>
      <c r="C30" t="s">
        <v>241</v>
      </c>
      <c r="D30" t="s">
        <v>242</v>
      </c>
      <c r="E30">
        <v>689390</v>
      </c>
      <c r="F30" t="s">
        <v>84</v>
      </c>
      <c r="G30">
        <v>252126537</v>
      </c>
      <c r="H30" t="s">
        <v>53</v>
      </c>
      <c r="I30" t="s">
        <v>101</v>
      </c>
      <c r="J30" s="7">
        <v>45662</v>
      </c>
      <c r="K30" t="s">
        <v>58</v>
      </c>
      <c r="L30" t="s">
        <v>280</v>
      </c>
      <c r="M30" s="13">
        <v>15</v>
      </c>
      <c r="N30" s="13">
        <v>5.55</v>
      </c>
    </row>
    <row r="31" spans="1:14" x14ac:dyDescent="0.25">
      <c r="A31" t="s">
        <v>60</v>
      </c>
      <c r="B31">
        <v>682171350</v>
      </c>
      <c r="C31" t="s">
        <v>241</v>
      </c>
      <c r="D31" t="s">
        <v>242</v>
      </c>
      <c r="E31">
        <v>689390</v>
      </c>
      <c r="F31" t="s">
        <v>84</v>
      </c>
      <c r="G31">
        <v>297820482</v>
      </c>
      <c r="H31" t="s">
        <v>85</v>
      </c>
      <c r="I31" t="s">
        <v>80</v>
      </c>
      <c r="J31" s="7">
        <v>45662</v>
      </c>
      <c r="K31" t="s">
        <v>58</v>
      </c>
      <c r="L31" t="s">
        <v>280</v>
      </c>
      <c r="M31" s="13">
        <v>134</v>
      </c>
      <c r="N31" s="13">
        <v>32.159999999999997</v>
      </c>
    </row>
    <row r="32" spans="1:14" x14ac:dyDescent="0.25">
      <c r="A32" t="s">
        <v>60</v>
      </c>
      <c r="B32">
        <v>682221319</v>
      </c>
      <c r="C32" t="s">
        <v>274</v>
      </c>
      <c r="D32" t="s">
        <v>275</v>
      </c>
      <c r="E32">
        <v>723477</v>
      </c>
      <c r="F32" t="s">
        <v>276</v>
      </c>
      <c r="G32">
        <v>173898668</v>
      </c>
      <c r="H32" t="s">
        <v>53</v>
      </c>
      <c r="I32" t="s">
        <v>54</v>
      </c>
      <c r="J32" s="7">
        <v>45659</v>
      </c>
      <c r="K32" t="s">
        <v>58</v>
      </c>
      <c r="L32" t="s">
        <v>280</v>
      </c>
      <c r="M32" s="13">
        <v>11</v>
      </c>
      <c r="N32" s="13">
        <v>4.07</v>
      </c>
    </row>
    <row r="33" spans="1:14" x14ac:dyDescent="0.25">
      <c r="A33" t="s">
        <v>60</v>
      </c>
      <c r="B33">
        <v>682280326</v>
      </c>
      <c r="C33" t="s">
        <v>48</v>
      </c>
      <c r="D33" t="s">
        <v>49</v>
      </c>
      <c r="E33">
        <v>657149</v>
      </c>
      <c r="F33" t="s">
        <v>51</v>
      </c>
      <c r="G33">
        <v>668933669</v>
      </c>
      <c r="H33" t="s">
        <v>53</v>
      </c>
      <c r="I33" t="s">
        <v>54</v>
      </c>
      <c r="J33" s="7">
        <v>45659</v>
      </c>
      <c r="K33" t="s">
        <v>58</v>
      </c>
      <c r="L33" t="s">
        <v>280</v>
      </c>
      <c r="M33" s="13">
        <v>11</v>
      </c>
      <c r="N33" s="13">
        <v>4.07</v>
      </c>
    </row>
    <row r="34" spans="1:14" x14ac:dyDescent="0.25">
      <c r="A34" t="s">
        <v>60</v>
      </c>
      <c r="B34">
        <v>682280326</v>
      </c>
      <c r="C34" t="s">
        <v>48</v>
      </c>
      <c r="D34" t="s">
        <v>49</v>
      </c>
      <c r="E34">
        <v>657149</v>
      </c>
      <c r="F34" t="s">
        <v>51</v>
      </c>
      <c r="G34">
        <v>668933669</v>
      </c>
      <c r="H34" t="s">
        <v>53</v>
      </c>
      <c r="I34" t="s">
        <v>54</v>
      </c>
      <c r="J34" s="7">
        <v>45688</v>
      </c>
      <c r="K34" t="s">
        <v>58</v>
      </c>
      <c r="L34" t="s">
        <v>280</v>
      </c>
      <c r="M34" s="13">
        <v>11</v>
      </c>
      <c r="N34" s="13">
        <v>4.07</v>
      </c>
    </row>
    <row r="35" spans="1:14" x14ac:dyDescent="0.25">
      <c r="A35" t="s">
        <v>60</v>
      </c>
      <c r="B35">
        <v>682456860</v>
      </c>
      <c r="C35" t="s">
        <v>201</v>
      </c>
      <c r="D35" t="s">
        <v>202</v>
      </c>
      <c r="E35">
        <v>689390</v>
      </c>
      <c r="F35" t="s">
        <v>84</v>
      </c>
      <c r="G35">
        <v>970685148</v>
      </c>
      <c r="H35" t="s">
        <v>85</v>
      </c>
      <c r="I35" t="s">
        <v>54</v>
      </c>
      <c r="J35" s="7">
        <v>45669</v>
      </c>
      <c r="K35" t="s">
        <v>58</v>
      </c>
      <c r="L35" t="s">
        <v>280</v>
      </c>
      <c r="M35" s="13">
        <v>66</v>
      </c>
      <c r="N35" s="13">
        <v>15.84</v>
      </c>
    </row>
    <row r="36" spans="1:14" x14ac:dyDescent="0.25">
      <c r="A36" t="s">
        <v>60</v>
      </c>
      <c r="B36">
        <v>682580771</v>
      </c>
      <c r="C36" t="s">
        <v>191</v>
      </c>
      <c r="D36" t="s">
        <v>192</v>
      </c>
      <c r="E36">
        <v>757209</v>
      </c>
      <c r="F36" t="s">
        <v>153</v>
      </c>
      <c r="G36">
        <v>387100933</v>
      </c>
      <c r="H36" t="s">
        <v>53</v>
      </c>
      <c r="I36" t="s">
        <v>101</v>
      </c>
      <c r="J36" s="7">
        <v>45672</v>
      </c>
      <c r="K36" t="s">
        <v>58</v>
      </c>
      <c r="L36" t="s">
        <v>280</v>
      </c>
      <c r="M36" s="13">
        <v>15</v>
      </c>
      <c r="N36" s="13">
        <v>5.55</v>
      </c>
    </row>
    <row r="37" spans="1:14" x14ac:dyDescent="0.25">
      <c r="A37" t="s">
        <v>60</v>
      </c>
      <c r="B37">
        <v>682580771</v>
      </c>
      <c r="C37" t="s">
        <v>191</v>
      </c>
      <c r="D37" t="s">
        <v>192</v>
      </c>
      <c r="E37">
        <v>757209</v>
      </c>
      <c r="F37" t="s">
        <v>153</v>
      </c>
      <c r="G37">
        <v>538144779</v>
      </c>
      <c r="H37" t="s">
        <v>121</v>
      </c>
      <c r="I37" t="s">
        <v>180</v>
      </c>
      <c r="J37" s="7">
        <v>45672</v>
      </c>
      <c r="K37" t="s">
        <v>58</v>
      </c>
      <c r="L37" t="s">
        <v>280</v>
      </c>
      <c r="M37" s="13">
        <v>95</v>
      </c>
      <c r="N37" s="13">
        <v>22.8</v>
      </c>
    </row>
    <row r="38" spans="1:14" x14ac:dyDescent="0.25">
      <c r="A38" t="s">
        <v>60</v>
      </c>
      <c r="B38">
        <v>682581055</v>
      </c>
      <c r="C38" t="s">
        <v>188</v>
      </c>
      <c r="D38" t="s">
        <v>189</v>
      </c>
      <c r="E38">
        <v>757929</v>
      </c>
      <c r="F38" t="s">
        <v>190</v>
      </c>
      <c r="G38">
        <v>379471379</v>
      </c>
      <c r="H38" t="s">
        <v>121</v>
      </c>
      <c r="I38" t="s">
        <v>54</v>
      </c>
      <c r="J38" s="7">
        <v>45672</v>
      </c>
      <c r="K38" t="s">
        <v>58</v>
      </c>
      <c r="L38" t="s">
        <v>280</v>
      </c>
      <c r="M38" s="13">
        <v>40</v>
      </c>
      <c r="N38" s="13">
        <v>9.6</v>
      </c>
    </row>
    <row r="39" spans="1:14" x14ac:dyDescent="0.25">
      <c r="A39" t="s">
        <v>60</v>
      </c>
      <c r="B39">
        <v>682605985</v>
      </c>
      <c r="C39" t="s">
        <v>263</v>
      </c>
      <c r="D39" t="s">
        <v>264</v>
      </c>
      <c r="E39">
        <v>757209</v>
      </c>
      <c r="F39" t="s">
        <v>153</v>
      </c>
      <c r="G39">
        <v>653432432</v>
      </c>
      <c r="H39" t="s">
        <v>121</v>
      </c>
      <c r="I39" t="s">
        <v>54</v>
      </c>
      <c r="J39" s="7">
        <v>45661</v>
      </c>
      <c r="K39" t="s">
        <v>58</v>
      </c>
      <c r="L39" t="s">
        <v>280</v>
      </c>
      <c r="M39" s="13">
        <v>38</v>
      </c>
      <c r="N39" s="13">
        <v>9.1199999999999992</v>
      </c>
    </row>
    <row r="40" spans="1:14" x14ac:dyDescent="0.25">
      <c r="A40" t="s">
        <v>60</v>
      </c>
      <c r="B40">
        <v>682624994</v>
      </c>
      <c r="C40" t="s">
        <v>134</v>
      </c>
      <c r="D40" t="s">
        <v>135</v>
      </c>
      <c r="E40">
        <v>689390</v>
      </c>
      <c r="F40" t="s">
        <v>84</v>
      </c>
      <c r="G40">
        <v>568485674</v>
      </c>
      <c r="H40" t="s">
        <v>65</v>
      </c>
      <c r="I40" t="s">
        <v>54</v>
      </c>
      <c r="J40" s="7">
        <v>45659</v>
      </c>
      <c r="K40" t="s">
        <v>58</v>
      </c>
      <c r="L40" t="s">
        <v>280</v>
      </c>
      <c r="M40" s="13">
        <v>25</v>
      </c>
      <c r="N40" s="13">
        <v>6</v>
      </c>
    </row>
    <row r="41" spans="1:14" x14ac:dyDescent="0.25">
      <c r="A41" t="s">
        <v>60</v>
      </c>
      <c r="B41">
        <v>682624994</v>
      </c>
      <c r="C41" t="s">
        <v>134</v>
      </c>
      <c r="D41" t="s">
        <v>135</v>
      </c>
      <c r="E41">
        <v>689390</v>
      </c>
      <c r="F41" t="s">
        <v>84</v>
      </c>
      <c r="G41">
        <v>568485674</v>
      </c>
      <c r="H41" t="s">
        <v>65</v>
      </c>
      <c r="I41" t="s">
        <v>54</v>
      </c>
      <c r="J41" s="7">
        <v>45681</v>
      </c>
      <c r="K41" t="s">
        <v>58</v>
      </c>
      <c r="L41" t="s">
        <v>280</v>
      </c>
      <c r="M41" s="13">
        <v>25</v>
      </c>
      <c r="N41" s="13">
        <v>6</v>
      </c>
    </row>
    <row r="42" spans="1:14" x14ac:dyDescent="0.25">
      <c r="A42" t="s">
        <v>60</v>
      </c>
      <c r="B42">
        <v>682689683</v>
      </c>
      <c r="C42" t="s">
        <v>61</v>
      </c>
      <c r="D42" t="s">
        <v>62</v>
      </c>
      <c r="E42">
        <v>757750</v>
      </c>
      <c r="F42" t="s">
        <v>64</v>
      </c>
      <c r="G42">
        <v>544676671</v>
      </c>
      <c r="H42" t="s">
        <v>65</v>
      </c>
      <c r="I42" t="s">
        <v>54</v>
      </c>
      <c r="J42" s="7">
        <v>45659</v>
      </c>
      <c r="K42" t="s">
        <v>58</v>
      </c>
      <c r="L42" t="s">
        <v>280</v>
      </c>
      <c r="M42" s="13">
        <v>25</v>
      </c>
      <c r="N42" s="13">
        <v>6</v>
      </c>
    </row>
    <row r="43" spans="1:14" x14ac:dyDescent="0.25">
      <c r="A43" t="s">
        <v>60</v>
      </c>
      <c r="B43">
        <v>682689683</v>
      </c>
      <c r="C43" t="s">
        <v>61</v>
      </c>
      <c r="D43" t="s">
        <v>62</v>
      </c>
      <c r="E43">
        <v>757750</v>
      </c>
      <c r="F43" t="s">
        <v>64</v>
      </c>
      <c r="G43">
        <v>544676671</v>
      </c>
      <c r="H43" t="s">
        <v>65</v>
      </c>
      <c r="I43" t="s">
        <v>54</v>
      </c>
      <c r="J43" s="7">
        <v>45688</v>
      </c>
      <c r="K43" t="s">
        <v>58</v>
      </c>
      <c r="L43" t="s">
        <v>280</v>
      </c>
      <c r="M43" s="13">
        <v>25</v>
      </c>
      <c r="N43" s="13">
        <v>6</v>
      </c>
    </row>
    <row r="44" spans="1:14" x14ac:dyDescent="0.25">
      <c r="A44" t="s">
        <v>60</v>
      </c>
      <c r="B44">
        <v>682763750</v>
      </c>
      <c r="C44" t="s">
        <v>88</v>
      </c>
      <c r="D44" t="s">
        <v>89</v>
      </c>
      <c r="E44">
        <v>757386</v>
      </c>
      <c r="F44" t="s">
        <v>90</v>
      </c>
      <c r="G44">
        <v>128908745</v>
      </c>
      <c r="H44" t="s">
        <v>85</v>
      </c>
      <c r="I44" t="s">
        <v>54</v>
      </c>
      <c r="J44" s="7">
        <v>45687</v>
      </c>
      <c r="K44" t="s">
        <v>58</v>
      </c>
      <c r="L44" t="s">
        <v>280</v>
      </c>
      <c r="M44" s="13">
        <v>71</v>
      </c>
      <c r="N44" s="13">
        <v>17.04</v>
      </c>
    </row>
    <row r="45" spans="1:14" x14ac:dyDescent="0.25">
      <c r="A45" t="s">
        <v>60</v>
      </c>
      <c r="B45">
        <v>682766841</v>
      </c>
      <c r="C45" t="s">
        <v>132</v>
      </c>
      <c r="D45" t="s">
        <v>133</v>
      </c>
      <c r="E45">
        <v>678726</v>
      </c>
      <c r="F45" t="s">
        <v>70</v>
      </c>
      <c r="G45">
        <v>119664581</v>
      </c>
      <c r="H45" t="s">
        <v>71</v>
      </c>
      <c r="I45" t="s">
        <v>54</v>
      </c>
      <c r="J45" s="7">
        <v>45660</v>
      </c>
      <c r="K45" t="s">
        <v>58</v>
      </c>
      <c r="L45" t="s">
        <v>280</v>
      </c>
      <c r="M45" s="13">
        <v>25</v>
      </c>
      <c r="N45" s="13">
        <v>8</v>
      </c>
    </row>
    <row r="46" spans="1:14" x14ac:dyDescent="0.25">
      <c r="A46" t="s">
        <v>60</v>
      </c>
      <c r="B46">
        <v>682766841</v>
      </c>
      <c r="C46" t="s">
        <v>132</v>
      </c>
      <c r="D46" t="s">
        <v>133</v>
      </c>
      <c r="E46">
        <v>678726</v>
      </c>
      <c r="F46" t="s">
        <v>70</v>
      </c>
      <c r="G46">
        <v>119664581</v>
      </c>
      <c r="H46" t="s">
        <v>71</v>
      </c>
      <c r="I46" t="s">
        <v>54</v>
      </c>
      <c r="J46" s="7">
        <v>45681</v>
      </c>
      <c r="K46" t="s">
        <v>58</v>
      </c>
      <c r="L46" t="s">
        <v>280</v>
      </c>
      <c r="M46" s="13">
        <v>25</v>
      </c>
      <c r="N46" s="13">
        <v>8</v>
      </c>
    </row>
    <row r="47" spans="1:14" x14ac:dyDescent="0.25">
      <c r="A47" t="s">
        <v>60</v>
      </c>
      <c r="B47">
        <v>682859188</v>
      </c>
      <c r="C47" t="s">
        <v>128</v>
      </c>
      <c r="D47" t="s">
        <v>129</v>
      </c>
      <c r="E47">
        <v>703501</v>
      </c>
      <c r="F47" t="s">
        <v>131</v>
      </c>
      <c r="G47">
        <v>623625840</v>
      </c>
      <c r="H47" t="s">
        <v>65</v>
      </c>
      <c r="I47" t="s">
        <v>77</v>
      </c>
      <c r="J47" s="7">
        <v>45681</v>
      </c>
      <c r="K47" t="s">
        <v>58</v>
      </c>
      <c r="L47" t="s">
        <v>280</v>
      </c>
      <c r="M47" s="13">
        <v>93</v>
      </c>
      <c r="N47" s="13">
        <v>22.32</v>
      </c>
    </row>
    <row r="48" spans="1:14" x14ac:dyDescent="0.25">
      <c r="A48" t="s">
        <v>60</v>
      </c>
      <c r="B48">
        <v>682932267</v>
      </c>
      <c r="C48" t="s">
        <v>256</v>
      </c>
      <c r="D48" t="s">
        <v>257</v>
      </c>
      <c r="E48">
        <v>764002</v>
      </c>
      <c r="F48" t="s">
        <v>100</v>
      </c>
      <c r="G48">
        <v>604649461</v>
      </c>
      <c r="H48" t="s">
        <v>258</v>
      </c>
      <c r="I48" t="s">
        <v>80</v>
      </c>
      <c r="J48" s="7">
        <v>45661</v>
      </c>
      <c r="K48" t="s">
        <v>58</v>
      </c>
      <c r="L48" t="s">
        <v>280</v>
      </c>
      <c r="M48" s="13">
        <v>124</v>
      </c>
      <c r="N48" s="13">
        <v>29.76</v>
      </c>
    </row>
    <row r="49" spans="1:14" x14ac:dyDescent="0.25">
      <c r="A49" t="s">
        <v>60</v>
      </c>
      <c r="B49">
        <v>682949028</v>
      </c>
      <c r="C49" t="s">
        <v>259</v>
      </c>
      <c r="D49" t="s">
        <v>260</v>
      </c>
      <c r="E49">
        <v>781535</v>
      </c>
      <c r="F49" t="s">
        <v>183</v>
      </c>
      <c r="G49">
        <v>476855083</v>
      </c>
      <c r="H49" t="s">
        <v>85</v>
      </c>
      <c r="I49" t="s">
        <v>80</v>
      </c>
      <c r="J49" s="7">
        <v>45661</v>
      </c>
      <c r="K49" t="s">
        <v>58</v>
      </c>
      <c r="L49" t="s">
        <v>280</v>
      </c>
      <c r="M49" s="13">
        <v>132</v>
      </c>
      <c r="N49" s="13">
        <v>31.68</v>
      </c>
    </row>
    <row r="50" spans="1:14" x14ac:dyDescent="0.25">
      <c r="A50" t="s">
        <v>60</v>
      </c>
      <c r="B50">
        <v>682949028</v>
      </c>
      <c r="C50" t="s">
        <v>259</v>
      </c>
      <c r="D50" t="s">
        <v>260</v>
      </c>
      <c r="E50">
        <v>781535</v>
      </c>
      <c r="F50" t="s">
        <v>183</v>
      </c>
      <c r="G50">
        <v>583635919</v>
      </c>
      <c r="H50" t="s">
        <v>53</v>
      </c>
      <c r="I50" t="s">
        <v>101</v>
      </c>
      <c r="J50" s="7">
        <v>45661</v>
      </c>
      <c r="K50" t="s">
        <v>58</v>
      </c>
      <c r="L50" t="s">
        <v>280</v>
      </c>
      <c r="M50" s="13">
        <v>15</v>
      </c>
      <c r="N50" s="13">
        <v>5.55</v>
      </c>
    </row>
    <row r="51" spans="1:14" x14ac:dyDescent="0.25">
      <c r="A51" t="s">
        <v>60</v>
      </c>
      <c r="B51">
        <v>682966720</v>
      </c>
      <c r="C51" t="s">
        <v>261</v>
      </c>
      <c r="D51" t="s">
        <v>262</v>
      </c>
      <c r="E51">
        <v>781535</v>
      </c>
      <c r="F51" t="s">
        <v>183</v>
      </c>
      <c r="G51">
        <v>674977797</v>
      </c>
      <c r="H51" t="s">
        <v>53</v>
      </c>
      <c r="I51" t="s">
        <v>54</v>
      </c>
      <c r="J51" s="7">
        <v>45661</v>
      </c>
      <c r="K51" t="s">
        <v>58</v>
      </c>
      <c r="L51" t="s">
        <v>280</v>
      </c>
      <c r="M51" s="13">
        <v>11</v>
      </c>
      <c r="N51" s="13">
        <v>4.07</v>
      </c>
    </row>
    <row r="52" spans="1:14" x14ac:dyDescent="0.25">
      <c r="A52" t="s">
        <v>60</v>
      </c>
      <c r="B52">
        <v>682966720</v>
      </c>
      <c r="C52" t="s">
        <v>261</v>
      </c>
      <c r="D52" t="s">
        <v>262</v>
      </c>
      <c r="E52">
        <v>781535</v>
      </c>
      <c r="F52" t="s">
        <v>183</v>
      </c>
      <c r="G52">
        <v>823492648</v>
      </c>
      <c r="H52" t="s">
        <v>85</v>
      </c>
      <c r="I52" t="s">
        <v>54</v>
      </c>
      <c r="J52" s="7">
        <v>45661</v>
      </c>
      <c r="K52" t="s">
        <v>58</v>
      </c>
      <c r="L52" t="s">
        <v>280</v>
      </c>
      <c r="M52" s="13">
        <v>66</v>
      </c>
      <c r="N52" s="13">
        <v>15.84</v>
      </c>
    </row>
    <row r="53" spans="1:14" x14ac:dyDescent="0.25">
      <c r="A53" t="s">
        <v>60</v>
      </c>
      <c r="B53">
        <v>682967565</v>
      </c>
      <c r="C53" t="s">
        <v>254</v>
      </c>
      <c r="D53" t="s">
        <v>255</v>
      </c>
      <c r="E53">
        <v>781535</v>
      </c>
      <c r="F53" t="s">
        <v>183</v>
      </c>
      <c r="G53">
        <v>125532058</v>
      </c>
      <c r="H53" t="s">
        <v>53</v>
      </c>
      <c r="I53" t="s">
        <v>54</v>
      </c>
      <c r="J53" s="7">
        <v>45661</v>
      </c>
      <c r="K53" t="s">
        <v>58</v>
      </c>
      <c r="L53" t="s">
        <v>280</v>
      </c>
      <c r="M53" s="13">
        <v>11</v>
      </c>
      <c r="N53" s="13">
        <v>4.07</v>
      </c>
    </row>
    <row r="54" spans="1:14" x14ac:dyDescent="0.25">
      <c r="A54" t="s">
        <v>60</v>
      </c>
      <c r="B54">
        <v>682967565</v>
      </c>
      <c r="C54" t="s">
        <v>254</v>
      </c>
      <c r="D54" t="s">
        <v>255</v>
      </c>
      <c r="E54">
        <v>781535</v>
      </c>
      <c r="F54" t="s">
        <v>183</v>
      </c>
      <c r="G54">
        <v>384672439</v>
      </c>
      <c r="H54" t="s">
        <v>85</v>
      </c>
      <c r="I54" t="s">
        <v>54</v>
      </c>
      <c r="J54" s="7">
        <v>45661</v>
      </c>
      <c r="K54" t="s">
        <v>58</v>
      </c>
      <c r="L54" t="s">
        <v>280</v>
      </c>
      <c r="M54" s="13">
        <v>66</v>
      </c>
      <c r="N54" s="13">
        <v>15.84</v>
      </c>
    </row>
    <row r="55" spans="1:14" x14ac:dyDescent="0.25">
      <c r="A55" t="s">
        <v>60</v>
      </c>
      <c r="B55">
        <v>682968788</v>
      </c>
      <c r="C55" t="s">
        <v>214</v>
      </c>
      <c r="D55" t="s">
        <v>215</v>
      </c>
      <c r="E55">
        <v>781535</v>
      </c>
      <c r="F55" t="s">
        <v>183</v>
      </c>
      <c r="G55">
        <v>688051988</v>
      </c>
      <c r="H55" t="s">
        <v>85</v>
      </c>
      <c r="I55" t="s">
        <v>54</v>
      </c>
      <c r="J55" s="7">
        <v>45666</v>
      </c>
      <c r="K55" t="s">
        <v>58</v>
      </c>
      <c r="L55" t="s">
        <v>280</v>
      </c>
      <c r="M55" s="13">
        <v>66</v>
      </c>
      <c r="N55" s="13">
        <v>15.84</v>
      </c>
    </row>
    <row r="56" spans="1:14" x14ac:dyDescent="0.25">
      <c r="A56" t="s">
        <v>60</v>
      </c>
      <c r="B56">
        <v>682968788</v>
      </c>
      <c r="C56" t="s">
        <v>214</v>
      </c>
      <c r="D56" t="s">
        <v>215</v>
      </c>
      <c r="E56">
        <v>781535</v>
      </c>
      <c r="F56" t="s">
        <v>183</v>
      </c>
      <c r="G56">
        <v>746163392</v>
      </c>
      <c r="H56" t="s">
        <v>53</v>
      </c>
      <c r="I56" t="s">
        <v>54</v>
      </c>
      <c r="J56" s="7">
        <v>45666</v>
      </c>
      <c r="K56" t="s">
        <v>58</v>
      </c>
      <c r="L56" t="s">
        <v>280</v>
      </c>
      <c r="M56" s="13">
        <v>11</v>
      </c>
      <c r="N56" s="13">
        <v>4.07</v>
      </c>
    </row>
    <row r="57" spans="1:14" x14ac:dyDescent="0.25">
      <c r="A57" t="s">
        <v>60</v>
      </c>
      <c r="B57">
        <v>682971882</v>
      </c>
      <c r="C57" t="s">
        <v>181</v>
      </c>
      <c r="D57" t="s">
        <v>182</v>
      </c>
      <c r="E57">
        <v>781535</v>
      </c>
      <c r="F57" t="s">
        <v>183</v>
      </c>
      <c r="G57">
        <v>40198305</v>
      </c>
      <c r="H57" t="s">
        <v>85</v>
      </c>
      <c r="I57" t="s">
        <v>80</v>
      </c>
      <c r="J57" s="7">
        <v>45673</v>
      </c>
      <c r="K57" t="s">
        <v>58</v>
      </c>
      <c r="L57" t="s">
        <v>280</v>
      </c>
      <c r="M57" s="13">
        <v>121</v>
      </c>
      <c r="N57" s="13">
        <v>29.04</v>
      </c>
    </row>
    <row r="58" spans="1:14" x14ac:dyDescent="0.25">
      <c r="A58" t="s">
        <v>60</v>
      </c>
      <c r="B58">
        <v>682971882</v>
      </c>
      <c r="C58" t="s">
        <v>181</v>
      </c>
      <c r="D58" t="s">
        <v>182</v>
      </c>
      <c r="E58">
        <v>781535</v>
      </c>
      <c r="F58" t="s">
        <v>183</v>
      </c>
      <c r="G58">
        <v>868422442</v>
      </c>
      <c r="H58" t="s">
        <v>53</v>
      </c>
      <c r="I58" t="s">
        <v>101</v>
      </c>
      <c r="J58" s="7">
        <v>45673</v>
      </c>
      <c r="K58" t="s">
        <v>58</v>
      </c>
      <c r="L58" t="s">
        <v>280</v>
      </c>
      <c r="M58" s="13">
        <v>15</v>
      </c>
      <c r="N58" s="13">
        <v>5.55</v>
      </c>
    </row>
    <row r="59" spans="1:14" x14ac:dyDescent="0.25">
      <c r="A59" t="s">
        <v>60</v>
      </c>
      <c r="B59">
        <v>682974980</v>
      </c>
      <c r="C59" t="s">
        <v>176</v>
      </c>
      <c r="D59" t="s">
        <v>177</v>
      </c>
      <c r="E59">
        <v>759555</v>
      </c>
      <c r="F59" t="s">
        <v>178</v>
      </c>
      <c r="G59">
        <v>629957651</v>
      </c>
      <c r="H59" t="s">
        <v>53</v>
      </c>
      <c r="I59" t="s">
        <v>77</v>
      </c>
      <c r="J59" s="7">
        <v>45673</v>
      </c>
      <c r="K59" t="s">
        <v>58</v>
      </c>
      <c r="L59" t="s">
        <v>280</v>
      </c>
      <c r="M59" s="13">
        <v>20</v>
      </c>
      <c r="N59" s="13">
        <v>7.4</v>
      </c>
    </row>
    <row r="60" spans="1:14" x14ac:dyDescent="0.25">
      <c r="A60" t="s">
        <v>60</v>
      </c>
      <c r="B60">
        <v>682974980</v>
      </c>
      <c r="C60" t="s">
        <v>176</v>
      </c>
      <c r="D60" t="s">
        <v>177</v>
      </c>
      <c r="E60">
        <v>759555</v>
      </c>
      <c r="F60" t="s">
        <v>178</v>
      </c>
      <c r="G60">
        <v>673613358</v>
      </c>
      <c r="H60" t="s">
        <v>179</v>
      </c>
      <c r="I60" t="s">
        <v>180</v>
      </c>
      <c r="J60" s="7">
        <v>45673</v>
      </c>
      <c r="K60" t="s">
        <v>58</v>
      </c>
      <c r="L60" t="s">
        <v>280</v>
      </c>
      <c r="M60" s="13">
        <v>112</v>
      </c>
      <c r="N60" s="13">
        <v>26.88</v>
      </c>
    </row>
    <row r="61" spans="1:14" x14ac:dyDescent="0.25">
      <c r="A61" t="s">
        <v>60</v>
      </c>
      <c r="B61">
        <v>683013826</v>
      </c>
      <c r="C61" t="s">
        <v>119</v>
      </c>
      <c r="D61" t="s">
        <v>120</v>
      </c>
      <c r="E61">
        <v>678726</v>
      </c>
      <c r="F61" t="s">
        <v>70</v>
      </c>
      <c r="G61">
        <v>313942658</v>
      </c>
      <c r="H61" t="s">
        <v>121</v>
      </c>
      <c r="I61" t="s">
        <v>54</v>
      </c>
      <c r="J61" s="7">
        <v>45682</v>
      </c>
      <c r="K61" t="s">
        <v>58</v>
      </c>
      <c r="L61" t="s">
        <v>280</v>
      </c>
      <c r="M61" s="13">
        <v>38</v>
      </c>
      <c r="N61" s="13">
        <v>9.1199999999999992</v>
      </c>
    </row>
    <row r="62" spans="1:14" x14ac:dyDescent="0.25">
      <c r="A62" t="s">
        <v>60</v>
      </c>
      <c r="B62">
        <v>683013826</v>
      </c>
      <c r="C62" t="s">
        <v>119</v>
      </c>
      <c r="D62" t="s">
        <v>120</v>
      </c>
      <c r="E62">
        <v>678726</v>
      </c>
      <c r="F62" t="s">
        <v>70</v>
      </c>
      <c r="G62">
        <v>676321759</v>
      </c>
      <c r="H62" t="s">
        <v>53</v>
      </c>
      <c r="I62" t="s">
        <v>54</v>
      </c>
      <c r="J62" s="7">
        <v>45682</v>
      </c>
      <c r="K62" t="s">
        <v>58</v>
      </c>
      <c r="L62" t="s">
        <v>280</v>
      </c>
      <c r="M62" s="13">
        <v>11</v>
      </c>
      <c r="N62" s="13">
        <v>4.07</v>
      </c>
    </row>
    <row r="63" spans="1:14" x14ac:dyDescent="0.25">
      <c r="A63" t="s">
        <v>60</v>
      </c>
      <c r="B63">
        <v>683048932</v>
      </c>
      <c r="C63" t="s">
        <v>98</v>
      </c>
      <c r="D63" t="s">
        <v>99</v>
      </c>
      <c r="E63">
        <v>764002</v>
      </c>
      <c r="F63" t="s">
        <v>100</v>
      </c>
      <c r="G63">
        <v>911462605</v>
      </c>
      <c r="H63" t="s">
        <v>53</v>
      </c>
      <c r="I63" t="s">
        <v>101</v>
      </c>
      <c r="J63" s="7">
        <v>45686</v>
      </c>
      <c r="K63" t="s">
        <v>58</v>
      </c>
      <c r="L63" t="s">
        <v>280</v>
      </c>
      <c r="M63" s="13">
        <v>15</v>
      </c>
      <c r="N63" s="13">
        <v>5.55</v>
      </c>
    </row>
    <row r="64" spans="1:14" x14ac:dyDescent="0.25">
      <c r="A64" t="s">
        <v>60</v>
      </c>
      <c r="B64">
        <v>683078236</v>
      </c>
      <c r="C64" t="s">
        <v>252</v>
      </c>
      <c r="D64" t="s">
        <v>253</v>
      </c>
      <c r="E64">
        <v>678726</v>
      </c>
      <c r="F64" t="s">
        <v>70</v>
      </c>
      <c r="G64">
        <v>574187796</v>
      </c>
      <c r="H64" t="s">
        <v>53</v>
      </c>
      <c r="I64" t="s">
        <v>54</v>
      </c>
      <c r="J64" s="7">
        <v>45661</v>
      </c>
      <c r="K64" t="s">
        <v>58</v>
      </c>
      <c r="L64" t="s">
        <v>280</v>
      </c>
      <c r="M64" s="13">
        <v>11</v>
      </c>
      <c r="N64" s="13">
        <v>4.07</v>
      </c>
    </row>
    <row r="65" spans="1:14" x14ac:dyDescent="0.25">
      <c r="A65" t="s">
        <v>60</v>
      </c>
      <c r="B65">
        <v>683078519</v>
      </c>
      <c r="C65" t="s">
        <v>211</v>
      </c>
      <c r="D65" t="s">
        <v>212</v>
      </c>
      <c r="E65">
        <v>703501</v>
      </c>
      <c r="F65" t="s">
        <v>131</v>
      </c>
      <c r="G65">
        <v>624218472</v>
      </c>
      <c r="H65" t="s">
        <v>65</v>
      </c>
      <c r="I65" t="s">
        <v>180</v>
      </c>
      <c r="J65" s="7">
        <v>45667</v>
      </c>
      <c r="K65" t="s">
        <v>58</v>
      </c>
      <c r="L65" t="s">
        <v>280</v>
      </c>
      <c r="M65" s="13">
        <v>61</v>
      </c>
      <c r="N65" s="13">
        <v>14.64</v>
      </c>
    </row>
    <row r="66" spans="1:14" x14ac:dyDescent="0.25">
      <c r="A66" t="s">
        <v>60</v>
      </c>
      <c r="B66">
        <v>683080241</v>
      </c>
      <c r="C66" t="s">
        <v>209</v>
      </c>
      <c r="D66" t="s">
        <v>210</v>
      </c>
      <c r="E66">
        <v>703501</v>
      </c>
      <c r="F66" t="s">
        <v>131</v>
      </c>
      <c r="G66">
        <v>864594072</v>
      </c>
      <c r="H66" t="s">
        <v>65</v>
      </c>
      <c r="I66" t="s">
        <v>54</v>
      </c>
      <c r="J66" s="7">
        <v>45667</v>
      </c>
      <c r="K66" t="s">
        <v>58</v>
      </c>
      <c r="L66" t="s">
        <v>280</v>
      </c>
      <c r="M66" s="13">
        <v>25</v>
      </c>
      <c r="N66" s="13">
        <v>6</v>
      </c>
    </row>
    <row r="67" spans="1:14" x14ac:dyDescent="0.25">
      <c r="A67" t="s">
        <v>60</v>
      </c>
      <c r="B67">
        <v>683084379</v>
      </c>
      <c r="C67" t="s">
        <v>117</v>
      </c>
      <c r="D67" t="s">
        <v>225</v>
      </c>
      <c r="E67">
        <v>759555</v>
      </c>
      <c r="F67" t="s">
        <v>178</v>
      </c>
      <c r="G67">
        <v>21245735</v>
      </c>
      <c r="H67" t="s">
        <v>53</v>
      </c>
      <c r="I67" t="s">
        <v>101</v>
      </c>
      <c r="J67" s="7">
        <v>45661</v>
      </c>
      <c r="K67" t="s">
        <v>58</v>
      </c>
      <c r="L67" t="s">
        <v>280</v>
      </c>
      <c r="M67" s="13">
        <v>15</v>
      </c>
      <c r="N67" s="13">
        <v>5.55</v>
      </c>
    </row>
    <row r="68" spans="1:14" x14ac:dyDescent="0.25">
      <c r="A68" t="s">
        <v>60</v>
      </c>
      <c r="B68">
        <v>683084379</v>
      </c>
      <c r="C68" t="s">
        <v>117</v>
      </c>
      <c r="D68" t="s">
        <v>225</v>
      </c>
      <c r="E68">
        <v>759555</v>
      </c>
      <c r="F68" t="s">
        <v>178</v>
      </c>
      <c r="G68">
        <v>21245735</v>
      </c>
      <c r="H68" t="s">
        <v>53</v>
      </c>
      <c r="I68" t="s">
        <v>101</v>
      </c>
      <c r="J68" s="7">
        <v>45665</v>
      </c>
      <c r="K68" t="s">
        <v>226</v>
      </c>
      <c r="L68" t="s">
        <v>224</v>
      </c>
      <c r="M68" s="13">
        <v>15</v>
      </c>
      <c r="N68" s="13">
        <v>-5.55</v>
      </c>
    </row>
    <row r="69" spans="1:14" x14ac:dyDescent="0.25">
      <c r="A69" t="s">
        <v>60</v>
      </c>
      <c r="B69">
        <v>683089560</v>
      </c>
      <c r="C69" t="s">
        <v>174</v>
      </c>
      <c r="D69" t="s">
        <v>175</v>
      </c>
      <c r="E69">
        <v>678726</v>
      </c>
      <c r="F69" t="s">
        <v>70</v>
      </c>
      <c r="G69">
        <v>914833590</v>
      </c>
      <c r="H69" t="s">
        <v>71</v>
      </c>
      <c r="I69" t="s">
        <v>80</v>
      </c>
      <c r="J69" s="7">
        <v>45673</v>
      </c>
      <c r="K69" t="s">
        <v>58</v>
      </c>
      <c r="L69" t="s">
        <v>280</v>
      </c>
      <c r="M69" s="13">
        <v>50</v>
      </c>
      <c r="N69" s="13">
        <v>16</v>
      </c>
    </row>
    <row r="70" spans="1:14" x14ac:dyDescent="0.25">
      <c r="A70" t="s">
        <v>60</v>
      </c>
      <c r="B70">
        <v>683089576</v>
      </c>
      <c r="C70" t="s">
        <v>172</v>
      </c>
      <c r="D70" t="s">
        <v>173</v>
      </c>
      <c r="E70">
        <v>678726</v>
      </c>
      <c r="F70" t="s">
        <v>70</v>
      </c>
      <c r="G70">
        <v>876391898</v>
      </c>
      <c r="H70" t="s">
        <v>71</v>
      </c>
      <c r="I70" t="s">
        <v>54</v>
      </c>
      <c r="J70" s="7">
        <v>45673</v>
      </c>
      <c r="K70" t="s">
        <v>58</v>
      </c>
      <c r="L70" t="s">
        <v>280</v>
      </c>
      <c r="M70" s="13">
        <v>25</v>
      </c>
      <c r="N70" s="13">
        <v>8</v>
      </c>
    </row>
    <row r="71" spans="1:14" x14ac:dyDescent="0.25">
      <c r="A71" t="s">
        <v>60</v>
      </c>
      <c r="B71">
        <v>683092185</v>
      </c>
      <c r="C71" t="s">
        <v>243</v>
      </c>
      <c r="D71" t="s">
        <v>244</v>
      </c>
      <c r="E71">
        <v>703501</v>
      </c>
      <c r="F71" t="s">
        <v>131</v>
      </c>
      <c r="G71">
        <v>66621000</v>
      </c>
      <c r="H71" t="s">
        <v>53</v>
      </c>
      <c r="I71" t="s">
        <v>77</v>
      </c>
      <c r="J71" s="7">
        <v>45662</v>
      </c>
      <c r="K71" t="s">
        <v>58</v>
      </c>
      <c r="L71" t="s">
        <v>280</v>
      </c>
      <c r="M71" s="13">
        <v>20</v>
      </c>
      <c r="N71" s="13">
        <v>7.4</v>
      </c>
    </row>
    <row r="72" spans="1:14" x14ac:dyDescent="0.25">
      <c r="A72" t="s">
        <v>60</v>
      </c>
      <c r="B72">
        <v>683092185</v>
      </c>
      <c r="C72" t="s">
        <v>243</v>
      </c>
      <c r="D72" t="s">
        <v>244</v>
      </c>
      <c r="E72">
        <v>703501</v>
      </c>
      <c r="F72" t="s">
        <v>131</v>
      </c>
      <c r="G72">
        <v>690892951</v>
      </c>
      <c r="H72" t="s">
        <v>65</v>
      </c>
      <c r="I72" t="s">
        <v>77</v>
      </c>
      <c r="J72" s="7">
        <v>45662</v>
      </c>
      <c r="K72" t="s">
        <v>58</v>
      </c>
      <c r="L72" t="s">
        <v>280</v>
      </c>
      <c r="M72" s="13">
        <v>93</v>
      </c>
      <c r="N72" s="13">
        <v>22.32</v>
      </c>
    </row>
    <row r="73" spans="1:14" x14ac:dyDescent="0.25">
      <c r="A73" t="s">
        <v>60</v>
      </c>
      <c r="B73">
        <v>683115767</v>
      </c>
      <c r="C73" t="s">
        <v>195</v>
      </c>
      <c r="D73" t="s">
        <v>196</v>
      </c>
      <c r="E73">
        <v>678726</v>
      </c>
      <c r="F73" t="s">
        <v>70</v>
      </c>
      <c r="G73">
        <v>27464876</v>
      </c>
      <c r="H73" t="s">
        <v>71</v>
      </c>
      <c r="I73" t="s">
        <v>54</v>
      </c>
      <c r="J73" s="7">
        <v>45671</v>
      </c>
      <c r="K73" t="s">
        <v>58</v>
      </c>
      <c r="L73" t="s">
        <v>280</v>
      </c>
      <c r="M73" s="13">
        <v>25</v>
      </c>
      <c r="N73" s="13">
        <v>8</v>
      </c>
    </row>
    <row r="74" spans="1:14" x14ac:dyDescent="0.25">
      <c r="A74" t="s">
        <v>60</v>
      </c>
      <c r="B74">
        <v>683115767</v>
      </c>
      <c r="C74" t="s">
        <v>195</v>
      </c>
      <c r="D74" t="s">
        <v>196</v>
      </c>
      <c r="E74">
        <v>678726</v>
      </c>
      <c r="F74" t="s">
        <v>70</v>
      </c>
      <c r="G74">
        <v>884756940</v>
      </c>
      <c r="H74" t="s">
        <v>53</v>
      </c>
      <c r="I74" t="s">
        <v>54</v>
      </c>
      <c r="J74" s="7">
        <v>45671</v>
      </c>
      <c r="K74" t="s">
        <v>58</v>
      </c>
      <c r="L74" t="s">
        <v>280</v>
      </c>
      <c r="M74" s="13">
        <v>11</v>
      </c>
      <c r="N74" s="13">
        <v>4.07</v>
      </c>
    </row>
    <row r="75" spans="1:14" x14ac:dyDescent="0.25">
      <c r="A75" t="s">
        <v>60</v>
      </c>
      <c r="B75">
        <v>683120098</v>
      </c>
      <c r="C75" t="s">
        <v>160</v>
      </c>
      <c r="D75" t="s">
        <v>161</v>
      </c>
      <c r="E75">
        <v>678726</v>
      </c>
      <c r="F75" t="s">
        <v>70</v>
      </c>
      <c r="G75">
        <v>232438202</v>
      </c>
      <c r="H75" t="s">
        <v>71</v>
      </c>
      <c r="I75" t="s">
        <v>54</v>
      </c>
      <c r="J75" s="7">
        <v>45674</v>
      </c>
      <c r="K75" t="s">
        <v>58</v>
      </c>
      <c r="L75" t="s">
        <v>280</v>
      </c>
      <c r="M75" s="13">
        <v>25</v>
      </c>
      <c r="N75" s="13">
        <v>8</v>
      </c>
    </row>
    <row r="76" spans="1:14" x14ac:dyDescent="0.25">
      <c r="A76" t="s">
        <v>60</v>
      </c>
      <c r="B76">
        <v>683124480</v>
      </c>
      <c r="C76" t="s">
        <v>162</v>
      </c>
      <c r="D76" t="s">
        <v>163</v>
      </c>
      <c r="E76">
        <v>678726</v>
      </c>
      <c r="F76" t="s">
        <v>70</v>
      </c>
      <c r="G76">
        <v>509666499</v>
      </c>
      <c r="H76" t="s">
        <v>71</v>
      </c>
      <c r="I76" t="s">
        <v>54</v>
      </c>
      <c r="J76" s="7">
        <v>45674</v>
      </c>
      <c r="K76" t="s">
        <v>58</v>
      </c>
      <c r="L76" t="s">
        <v>280</v>
      </c>
      <c r="M76" s="13">
        <v>25</v>
      </c>
      <c r="N76" s="13">
        <v>8</v>
      </c>
    </row>
    <row r="77" spans="1:14" x14ac:dyDescent="0.25">
      <c r="A77" t="s">
        <v>60</v>
      </c>
      <c r="B77">
        <v>683124501</v>
      </c>
      <c r="C77" t="s">
        <v>94</v>
      </c>
      <c r="D77" t="s">
        <v>163</v>
      </c>
      <c r="E77">
        <v>678726</v>
      </c>
      <c r="F77" t="s">
        <v>70</v>
      </c>
      <c r="G77">
        <v>528354958</v>
      </c>
      <c r="H77" t="s">
        <v>71</v>
      </c>
      <c r="I77" t="s">
        <v>80</v>
      </c>
      <c r="J77" s="7">
        <v>45674</v>
      </c>
      <c r="K77" t="s">
        <v>58</v>
      </c>
      <c r="L77" t="s">
        <v>280</v>
      </c>
      <c r="M77" s="13">
        <v>50</v>
      </c>
      <c r="N77" s="13">
        <v>16</v>
      </c>
    </row>
    <row r="78" spans="1:14" x14ac:dyDescent="0.25">
      <c r="A78" t="s">
        <v>60</v>
      </c>
      <c r="B78">
        <v>683127694</v>
      </c>
      <c r="C78" t="s">
        <v>146</v>
      </c>
      <c r="D78" t="s">
        <v>147</v>
      </c>
      <c r="E78">
        <v>678726</v>
      </c>
      <c r="F78" t="s">
        <v>70</v>
      </c>
      <c r="G78">
        <v>92749947</v>
      </c>
      <c r="H78" t="s">
        <v>71</v>
      </c>
      <c r="I78" t="s">
        <v>54</v>
      </c>
      <c r="J78" s="7">
        <v>45676</v>
      </c>
      <c r="K78" t="s">
        <v>58</v>
      </c>
      <c r="L78" t="s">
        <v>280</v>
      </c>
      <c r="M78" s="13">
        <v>25</v>
      </c>
      <c r="N78" s="13">
        <v>8</v>
      </c>
    </row>
    <row r="79" spans="1:14" x14ac:dyDescent="0.25">
      <c r="A79" t="s">
        <v>60</v>
      </c>
      <c r="B79">
        <v>683138813</v>
      </c>
      <c r="C79" t="s">
        <v>68</v>
      </c>
      <c r="D79" t="s">
        <v>69</v>
      </c>
      <c r="E79">
        <v>678726</v>
      </c>
      <c r="F79" t="s">
        <v>70</v>
      </c>
      <c r="G79">
        <v>5274878</v>
      </c>
      <c r="H79" t="s">
        <v>71</v>
      </c>
      <c r="I79" t="s">
        <v>54</v>
      </c>
      <c r="J79" s="7">
        <v>45659</v>
      </c>
      <c r="K79" t="s">
        <v>58</v>
      </c>
      <c r="L79" t="s">
        <v>280</v>
      </c>
      <c r="M79" s="13">
        <v>25</v>
      </c>
      <c r="N79" s="13">
        <v>8</v>
      </c>
    </row>
    <row r="80" spans="1:14" x14ac:dyDescent="0.25">
      <c r="A80" t="s">
        <v>60</v>
      </c>
      <c r="B80">
        <v>683138813</v>
      </c>
      <c r="C80" t="s">
        <v>68</v>
      </c>
      <c r="D80" t="s">
        <v>69</v>
      </c>
      <c r="E80">
        <v>678726</v>
      </c>
      <c r="F80" t="s">
        <v>70</v>
      </c>
      <c r="G80">
        <v>5274878</v>
      </c>
      <c r="H80" t="s">
        <v>71</v>
      </c>
      <c r="I80" t="s">
        <v>54</v>
      </c>
      <c r="J80" s="7">
        <v>45688</v>
      </c>
      <c r="K80" t="s">
        <v>58</v>
      </c>
      <c r="L80" t="s">
        <v>280</v>
      </c>
      <c r="M80" s="13">
        <v>25</v>
      </c>
      <c r="N80" s="13">
        <v>8</v>
      </c>
    </row>
    <row r="81" spans="1:14" x14ac:dyDescent="0.25">
      <c r="A81" t="s">
        <v>60</v>
      </c>
      <c r="B81">
        <v>683162939</v>
      </c>
      <c r="C81" t="s">
        <v>124</v>
      </c>
      <c r="D81" t="s">
        <v>125</v>
      </c>
      <c r="E81">
        <v>707256</v>
      </c>
      <c r="F81" t="s">
        <v>126</v>
      </c>
      <c r="G81">
        <v>496153713</v>
      </c>
      <c r="H81" t="s">
        <v>71</v>
      </c>
      <c r="I81" t="s">
        <v>77</v>
      </c>
      <c r="J81" s="7">
        <v>45682</v>
      </c>
      <c r="K81" t="s">
        <v>58</v>
      </c>
      <c r="L81" t="s">
        <v>280</v>
      </c>
      <c r="M81" s="13">
        <v>92</v>
      </c>
      <c r="N81" s="13">
        <v>29.44</v>
      </c>
    </row>
    <row r="82" spans="1:14" x14ac:dyDescent="0.25">
      <c r="A82" t="s">
        <v>60</v>
      </c>
      <c r="B82">
        <v>683163417</v>
      </c>
      <c r="C82" t="s">
        <v>122</v>
      </c>
      <c r="D82" t="s">
        <v>123</v>
      </c>
      <c r="E82">
        <v>678726</v>
      </c>
      <c r="F82" t="s">
        <v>70</v>
      </c>
      <c r="G82">
        <v>230062447</v>
      </c>
      <c r="H82" t="s">
        <v>71</v>
      </c>
      <c r="I82" t="s">
        <v>54</v>
      </c>
      <c r="J82" s="7">
        <v>45682</v>
      </c>
      <c r="K82" t="s">
        <v>58</v>
      </c>
      <c r="L82" t="s">
        <v>280</v>
      </c>
      <c r="M82" s="13">
        <v>25</v>
      </c>
      <c r="N82" s="13">
        <v>8</v>
      </c>
    </row>
    <row r="83" spans="1:14" x14ac:dyDescent="0.25">
      <c r="A83" t="s">
        <v>60</v>
      </c>
      <c r="B83">
        <v>683168016</v>
      </c>
      <c r="C83" t="s">
        <v>117</v>
      </c>
      <c r="D83" t="s">
        <v>118</v>
      </c>
      <c r="E83">
        <v>678726</v>
      </c>
      <c r="F83" t="s">
        <v>70</v>
      </c>
      <c r="G83">
        <v>524461911</v>
      </c>
      <c r="H83" t="s">
        <v>71</v>
      </c>
      <c r="I83" t="s">
        <v>54</v>
      </c>
      <c r="J83" s="7">
        <v>45683</v>
      </c>
      <c r="K83" t="s">
        <v>58</v>
      </c>
      <c r="L83" t="s">
        <v>280</v>
      </c>
      <c r="M83" s="13">
        <v>25</v>
      </c>
      <c r="N83" s="13">
        <v>8</v>
      </c>
    </row>
    <row r="84" spans="1:14" x14ac:dyDescent="0.25">
      <c r="A84" t="s">
        <v>60</v>
      </c>
      <c r="B84">
        <v>683178395</v>
      </c>
      <c r="C84" t="s">
        <v>86</v>
      </c>
      <c r="D84" t="s">
        <v>87</v>
      </c>
      <c r="E84">
        <v>678726</v>
      </c>
      <c r="F84" t="s">
        <v>70</v>
      </c>
      <c r="G84">
        <v>168352383</v>
      </c>
      <c r="H84" t="s">
        <v>71</v>
      </c>
      <c r="I84" t="s">
        <v>54</v>
      </c>
      <c r="J84" s="7">
        <v>45687</v>
      </c>
      <c r="K84" t="s">
        <v>58</v>
      </c>
      <c r="L84" t="s">
        <v>280</v>
      </c>
      <c r="M84" s="13">
        <v>25</v>
      </c>
      <c r="N84" s="13">
        <v>8</v>
      </c>
    </row>
    <row r="85" spans="1:14" x14ac:dyDescent="0.25">
      <c r="A85" t="s">
        <v>60</v>
      </c>
      <c r="B85">
        <v>683178395</v>
      </c>
      <c r="C85" t="s">
        <v>86</v>
      </c>
      <c r="D85" t="s">
        <v>87</v>
      </c>
      <c r="E85">
        <v>678726</v>
      </c>
      <c r="F85" t="s">
        <v>70</v>
      </c>
      <c r="G85">
        <v>973153223</v>
      </c>
      <c r="H85" t="s">
        <v>53</v>
      </c>
      <c r="I85" t="s">
        <v>54</v>
      </c>
      <c r="J85" s="7">
        <v>45687</v>
      </c>
      <c r="K85" t="s">
        <v>58</v>
      </c>
      <c r="L85" t="s">
        <v>280</v>
      </c>
      <c r="M85" s="13">
        <v>11</v>
      </c>
      <c r="N85" s="13">
        <v>4.07</v>
      </c>
    </row>
    <row r="86" spans="1:14" x14ac:dyDescent="0.25">
      <c r="A86" t="s">
        <v>60</v>
      </c>
      <c r="B86">
        <v>683198705</v>
      </c>
      <c r="C86" t="s">
        <v>250</v>
      </c>
      <c r="D86" t="s">
        <v>251</v>
      </c>
      <c r="E86">
        <v>678726</v>
      </c>
      <c r="F86" t="s">
        <v>70</v>
      </c>
      <c r="G86">
        <v>560317195</v>
      </c>
      <c r="H86" t="s">
        <v>71</v>
      </c>
      <c r="I86" t="s">
        <v>54</v>
      </c>
      <c r="J86" s="7">
        <v>45661</v>
      </c>
      <c r="K86" t="s">
        <v>58</v>
      </c>
      <c r="L86" t="s">
        <v>280</v>
      </c>
      <c r="M86" s="13">
        <v>25</v>
      </c>
      <c r="N86" s="13">
        <v>8</v>
      </c>
    </row>
    <row r="87" spans="1:14" x14ac:dyDescent="0.25">
      <c r="A87" t="s">
        <v>60</v>
      </c>
      <c r="B87">
        <v>683200961</v>
      </c>
      <c r="C87" t="s">
        <v>72</v>
      </c>
      <c r="D87" t="s">
        <v>73</v>
      </c>
      <c r="E87">
        <v>678726</v>
      </c>
      <c r="F87" t="s">
        <v>70</v>
      </c>
      <c r="G87">
        <v>364560725</v>
      </c>
      <c r="H87" t="s">
        <v>71</v>
      </c>
      <c r="I87" t="s">
        <v>54</v>
      </c>
      <c r="J87" s="7">
        <v>45660</v>
      </c>
      <c r="K87" t="s">
        <v>58</v>
      </c>
      <c r="L87" t="s">
        <v>280</v>
      </c>
      <c r="M87" s="13">
        <v>25</v>
      </c>
      <c r="N87" s="13">
        <v>8</v>
      </c>
    </row>
    <row r="88" spans="1:14" x14ac:dyDescent="0.25">
      <c r="A88" t="s">
        <v>60</v>
      </c>
      <c r="B88">
        <v>683200961</v>
      </c>
      <c r="C88" t="s">
        <v>72</v>
      </c>
      <c r="D88" t="s">
        <v>73</v>
      </c>
      <c r="E88">
        <v>678726</v>
      </c>
      <c r="F88" t="s">
        <v>70</v>
      </c>
      <c r="G88">
        <v>364560725</v>
      </c>
      <c r="H88" t="s">
        <v>71</v>
      </c>
      <c r="I88" t="s">
        <v>54</v>
      </c>
      <c r="J88" s="7">
        <v>45688</v>
      </c>
      <c r="K88" t="s">
        <v>58</v>
      </c>
      <c r="L88" t="s">
        <v>280</v>
      </c>
      <c r="M88" s="13">
        <v>25</v>
      </c>
      <c r="N88" s="13">
        <v>8</v>
      </c>
    </row>
    <row r="89" spans="1:14" x14ac:dyDescent="0.25">
      <c r="A89" t="s">
        <v>60</v>
      </c>
      <c r="B89">
        <v>683202494</v>
      </c>
      <c r="C89" t="s">
        <v>267</v>
      </c>
      <c r="D89" t="s">
        <v>268</v>
      </c>
      <c r="E89">
        <v>764002</v>
      </c>
      <c r="F89" t="s">
        <v>100</v>
      </c>
      <c r="G89">
        <v>825368073</v>
      </c>
      <c r="H89" t="s">
        <v>53</v>
      </c>
      <c r="I89" t="s">
        <v>54</v>
      </c>
      <c r="J89" s="7">
        <v>45660</v>
      </c>
      <c r="K89" t="s">
        <v>58</v>
      </c>
      <c r="L89" t="s">
        <v>280</v>
      </c>
      <c r="M89" s="13">
        <v>11</v>
      </c>
      <c r="N89" s="13">
        <v>4.07</v>
      </c>
    </row>
    <row r="90" spans="1:14" x14ac:dyDescent="0.25">
      <c r="A90" t="s">
        <v>60</v>
      </c>
      <c r="B90">
        <v>683206913</v>
      </c>
      <c r="C90" t="s">
        <v>227</v>
      </c>
      <c r="D90" t="s">
        <v>228</v>
      </c>
      <c r="E90">
        <v>678726</v>
      </c>
      <c r="F90" t="s">
        <v>70</v>
      </c>
      <c r="G90">
        <v>708780484</v>
      </c>
      <c r="H90" t="s">
        <v>71</v>
      </c>
      <c r="I90" t="s">
        <v>54</v>
      </c>
      <c r="J90" s="7">
        <v>45664</v>
      </c>
      <c r="K90" t="s">
        <v>58</v>
      </c>
      <c r="L90" t="s">
        <v>280</v>
      </c>
      <c r="M90" s="13">
        <v>25</v>
      </c>
      <c r="N90" s="13">
        <v>8</v>
      </c>
    </row>
    <row r="91" spans="1:14" x14ac:dyDescent="0.25">
      <c r="A91" t="s">
        <v>60</v>
      </c>
      <c r="B91">
        <v>683208604</v>
      </c>
      <c r="C91" t="s">
        <v>245</v>
      </c>
      <c r="D91" t="s">
        <v>246</v>
      </c>
      <c r="E91">
        <v>706472</v>
      </c>
      <c r="F91" t="s">
        <v>110</v>
      </c>
      <c r="G91">
        <v>207892095</v>
      </c>
      <c r="H91" t="s">
        <v>65</v>
      </c>
      <c r="I91" t="s">
        <v>54</v>
      </c>
      <c r="J91" s="7">
        <v>45662</v>
      </c>
      <c r="K91" t="s">
        <v>58</v>
      </c>
      <c r="L91" t="s">
        <v>280</v>
      </c>
      <c r="M91" s="13">
        <v>25</v>
      </c>
      <c r="N91" s="13">
        <v>6</v>
      </c>
    </row>
    <row r="92" spans="1:14" x14ac:dyDescent="0.25">
      <c r="A92" t="s">
        <v>60</v>
      </c>
      <c r="B92">
        <v>683221457</v>
      </c>
      <c r="C92" t="s">
        <v>165</v>
      </c>
      <c r="D92" t="s">
        <v>166</v>
      </c>
      <c r="E92">
        <v>798992</v>
      </c>
      <c r="F92" t="s">
        <v>167</v>
      </c>
      <c r="G92">
        <v>76994225</v>
      </c>
      <c r="H92" t="s">
        <v>53</v>
      </c>
      <c r="I92" t="s">
        <v>54</v>
      </c>
      <c r="J92" s="7">
        <v>45672</v>
      </c>
      <c r="K92" t="s">
        <v>58</v>
      </c>
      <c r="L92" t="s">
        <v>280</v>
      </c>
      <c r="M92" s="13">
        <v>11</v>
      </c>
      <c r="N92" s="13">
        <v>4.07</v>
      </c>
    </row>
    <row r="93" spans="1:14" x14ac:dyDescent="0.25">
      <c r="A93" t="s">
        <v>60</v>
      </c>
      <c r="B93">
        <v>683221457</v>
      </c>
      <c r="C93" t="s">
        <v>165</v>
      </c>
      <c r="D93" t="s">
        <v>166</v>
      </c>
      <c r="E93">
        <v>798992</v>
      </c>
      <c r="F93" t="s">
        <v>167</v>
      </c>
      <c r="G93">
        <v>76994225</v>
      </c>
      <c r="H93" t="s">
        <v>53</v>
      </c>
      <c r="I93" t="s">
        <v>54</v>
      </c>
      <c r="J93" s="7">
        <v>45674</v>
      </c>
      <c r="K93" t="s">
        <v>169</v>
      </c>
      <c r="L93" t="s">
        <v>164</v>
      </c>
      <c r="M93" s="13">
        <v>11</v>
      </c>
      <c r="N93" s="13">
        <v>-4.07</v>
      </c>
    </row>
    <row r="94" spans="1:14" x14ac:dyDescent="0.25">
      <c r="A94" t="s">
        <v>60</v>
      </c>
      <c r="B94">
        <v>683221739</v>
      </c>
      <c r="C94" t="s">
        <v>216</v>
      </c>
      <c r="D94" t="s">
        <v>217</v>
      </c>
      <c r="E94">
        <v>678726</v>
      </c>
      <c r="F94" t="s">
        <v>70</v>
      </c>
      <c r="G94">
        <v>165329262</v>
      </c>
      <c r="H94" t="s">
        <v>71</v>
      </c>
      <c r="I94" t="s">
        <v>54</v>
      </c>
      <c r="J94" s="7">
        <v>45666</v>
      </c>
      <c r="K94" t="s">
        <v>58</v>
      </c>
      <c r="L94" t="s">
        <v>280</v>
      </c>
      <c r="M94" s="13">
        <v>25</v>
      </c>
      <c r="N94" s="13">
        <v>8</v>
      </c>
    </row>
    <row r="95" spans="1:14" x14ac:dyDescent="0.25">
      <c r="A95" t="s">
        <v>60</v>
      </c>
      <c r="B95">
        <v>683221739</v>
      </c>
      <c r="C95" t="s">
        <v>216</v>
      </c>
      <c r="D95" t="s">
        <v>217</v>
      </c>
      <c r="E95">
        <v>678726</v>
      </c>
      <c r="F95" t="s">
        <v>70</v>
      </c>
      <c r="G95">
        <v>607637254</v>
      </c>
      <c r="H95" t="s">
        <v>53</v>
      </c>
      <c r="I95" t="s">
        <v>54</v>
      </c>
      <c r="J95" s="7">
        <v>45666</v>
      </c>
      <c r="K95" t="s">
        <v>58</v>
      </c>
      <c r="L95" t="s">
        <v>280</v>
      </c>
      <c r="M95" s="13">
        <v>11</v>
      </c>
      <c r="N95" s="13">
        <v>4.07</v>
      </c>
    </row>
    <row r="96" spans="1:14" x14ac:dyDescent="0.25">
      <c r="A96" t="s">
        <v>60</v>
      </c>
      <c r="B96">
        <v>683228522</v>
      </c>
      <c r="C96" t="s">
        <v>203</v>
      </c>
      <c r="D96" t="s">
        <v>204</v>
      </c>
      <c r="E96">
        <v>678726</v>
      </c>
      <c r="F96" t="s">
        <v>70</v>
      </c>
      <c r="G96">
        <v>211544974</v>
      </c>
      <c r="H96" t="s">
        <v>71</v>
      </c>
      <c r="I96" t="s">
        <v>80</v>
      </c>
      <c r="J96" s="7">
        <v>45668</v>
      </c>
      <c r="K96" t="s">
        <v>58</v>
      </c>
      <c r="L96" t="s">
        <v>280</v>
      </c>
      <c r="M96" s="13">
        <v>50</v>
      </c>
      <c r="N96" s="13">
        <v>16</v>
      </c>
    </row>
    <row r="97" spans="1:14" x14ac:dyDescent="0.25">
      <c r="A97" t="s">
        <v>60</v>
      </c>
      <c r="B97">
        <v>683257963</v>
      </c>
      <c r="C97" t="s">
        <v>117</v>
      </c>
      <c r="D97" t="s">
        <v>127</v>
      </c>
      <c r="E97">
        <v>678726</v>
      </c>
      <c r="F97" t="s">
        <v>70</v>
      </c>
      <c r="G97">
        <v>604529563</v>
      </c>
      <c r="H97" t="s">
        <v>71</v>
      </c>
      <c r="I97" t="s">
        <v>80</v>
      </c>
      <c r="J97" s="7">
        <v>45681</v>
      </c>
      <c r="K97" t="s">
        <v>58</v>
      </c>
      <c r="L97" t="s">
        <v>280</v>
      </c>
      <c r="M97" s="13">
        <v>50</v>
      </c>
      <c r="N97" s="13">
        <v>16</v>
      </c>
    </row>
    <row r="98" spans="1:14" x14ac:dyDescent="0.25">
      <c r="A98" t="s">
        <v>60</v>
      </c>
      <c r="B98">
        <v>683275166</v>
      </c>
      <c r="C98" t="s">
        <v>102</v>
      </c>
      <c r="D98" t="s">
        <v>103</v>
      </c>
      <c r="E98">
        <v>678726</v>
      </c>
      <c r="F98" t="s">
        <v>70</v>
      </c>
      <c r="G98">
        <v>310854872</v>
      </c>
      <c r="H98" t="s">
        <v>71</v>
      </c>
      <c r="I98" t="s">
        <v>80</v>
      </c>
      <c r="J98" s="7">
        <v>45686</v>
      </c>
      <c r="K98" t="s">
        <v>58</v>
      </c>
      <c r="L98" t="s">
        <v>280</v>
      </c>
      <c r="M98" s="13">
        <v>50</v>
      </c>
      <c r="N98" s="13">
        <v>16</v>
      </c>
    </row>
    <row r="99" spans="1:14" x14ac:dyDescent="0.25">
      <c r="A99" t="s">
        <v>60</v>
      </c>
      <c r="B99">
        <v>683297683</v>
      </c>
      <c r="C99" t="s">
        <v>174</v>
      </c>
      <c r="D99" t="s">
        <v>273</v>
      </c>
      <c r="E99">
        <v>678726</v>
      </c>
      <c r="F99" t="s">
        <v>70</v>
      </c>
      <c r="G99">
        <v>364920174</v>
      </c>
      <c r="H99" t="s">
        <v>53</v>
      </c>
      <c r="I99" t="s">
        <v>54</v>
      </c>
      <c r="J99" s="7">
        <v>45659</v>
      </c>
      <c r="K99" t="s">
        <v>58</v>
      </c>
      <c r="L99" t="s">
        <v>280</v>
      </c>
      <c r="M99" s="13">
        <v>11</v>
      </c>
      <c r="N99" s="13">
        <v>4.07</v>
      </c>
    </row>
    <row r="100" spans="1:14" x14ac:dyDescent="0.25">
      <c r="A100" t="s">
        <v>60</v>
      </c>
      <c r="B100">
        <v>683297683</v>
      </c>
      <c r="C100" t="s">
        <v>174</v>
      </c>
      <c r="D100" t="s">
        <v>273</v>
      </c>
      <c r="E100">
        <v>678726</v>
      </c>
      <c r="F100" t="s">
        <v>70</v>
      </c>
      <c r="G100">
        <v>582065076</v>
      </c>
      <c r="H100" t="s">
        <v>71</v>
      </c>
      <c r="I100" t="s">
        <v>54</v>
      </c>
      <c r="J100" s="7">
        <v>45659</v>
      </c>
      <c r="K100" t="s">
        <v>58</v>
      </c>
      <c r="L100" t="s">
        <v>280</v>
      </c>
      <c r="M100" s="13">
        <v>25</v>
      </c>
      <c r="N100" s="13">
        <v>8</v>
      </c>
    </row>
    <row r="101" spans="1:14" x14ac:dyDescent="0.25">
      <c r="A101" t="s">
        <v>60</v>
      </c>
      <c r="B101">
        <v>683299556</v>
      </c>
      <c r="C101" t="s">
        <v>271</v>
      </c>
      <c r="D101" t="s">
        <v>272</v>
      </c>
      <c r="E101">
        <v>678726</v>
      </c>
      <c r="F101" t="s">
        <v>70</v>
      </c>
      <c r="G101">
        <v>260173605</v>
      </c>
      <c r="H101" t="s">
        <v>71</v>
      </c>
      <c r="I101" t="s">
        <v>54</v>
      </c>
      <c r="J101" s="7">
        <v>45659</v>
      </c>
      <c r="K101" t="s">
        <v>58</v>
      </c>
      <c r="L101" t="s">
        <v>280</v>
      </c>
      <c r="M101" s="13">
        <v>25</v>
      </c>
      <c r="N101" s="13">
        <v>8</v>
      </c>
    </row>
    <row r="102" spans="1:14" x14ac:dyDescent="0.25">
      <c r="A102" t="s">
        <v>60</v>
      </c>
      <c r="B102">
        <v>683301317</v>
      </c>
      <c r="C102" t="s">
        <v>108</v>
      </c>
      <c r="D102" t="s">
        <v>109</v>
      </c>
      <c r="E102">
        <v>706472</v>
      </c>
      <c r="F102" t="s">
        <v>110</v>
      </c>
      <c r="G102">
        <v>459325166</v>
      </c>
      <c r="H102" t="s">
        <v>71</v>
      </c>
      <c r="I102" t="s">
        <v>54</v>
      </c>
      <c r="J102" s="7">
        <v>45685</v>
      </c>
      <c r="K102" t="s">
        <v>58</v>
      </c>
      <c r="L102" t="s">
        <v>280</v>
      </c>
      <c r="M102" s="13">
        <v>30</v>
      </c>
      <c r="N102" s="13">
        <v>9.6</v>
      </c>
    </row>
    <row r="103" spans="1:14" x14ac:dyDescent="0.25">
      <c r="A103" t="s">
        <v>60</v>
      </c>
      <c r="B103">
        <v>683312848</v>
      </c>
      <c r="C103" t="s">
        <v>214</v>
      </c>
      <c r="D103" t="s">
        <v>249</v>
      </c>
      <c r="E103">
        <v>678726</v>
      </c>
      <c r="F103" t="s">
        <v>70</v>
      </c>
      <c r="G103">
        <v>858353460</v>
      </c>
      <c r="H103" t="s">
        <v>71</v>
      </c>
      <c r="I103" t="s">
        <v>54</v>
      </c>
      <c r="J103" s="7">
        <v>45661</v>
      </c>
      <c r="K103" t="s">
        <v>58</v>
      </c>
      <c r="L103" t="s">
        <v>280</v>
      </c>
      <c r="M103" s="13">
        <v>25</v>
      </c>
      <c r="N103" s="13">
        <v>8</v>
      </c>
    </row>
    <row r="104" spans="1:14" x14ac:dyDescent="0.25">
      <c r="A104" t="s">
        <v>60</v>
      </c>
      <c r="B104">
        <v>683312848</v>
      </c>
      <c r="C104" t="s">
        <v>214</v>
      </c>
      <c r="D104" t="s">
        <v>249</v>
      </c>
      <c r="E104">
        <v>678726</v>
      </c>
      <c r="F104" t="s">
        <v>70</v>
      </c>
      <c r="G104">
        <v>859724247</v>
      </c>
      <c r="H104" t="s">
        <v>53</v>
      </c>
      <c r="I104" t="s">
        <v>54</v>
      </c>
      <c r="J104" s="7">
        <v>45661</v>
      </c>
      <c r="K104" t="s">
        <v>58</v>
      </c>
      <c r="L104" t="s">
        <v>280</v>
      </c>
      <c r="M104" s="13">
        <v>11</v>
      </c>
      <c r="N104" s="13">
        <v>4.07</v>
      </c>
    </row>
    <row r="105" spans="1:14" x14ac:dyDescent="0.25">
      <c r="A105" t="s">
        <v>60</v>
      </c>
      <c r="B105">
        <v>683317543</v>
      </c>
      <c r="C105" t="s">
        <v>231</v>
      </c>
      <c r="D105" t="s">
        <v>232</v>
      </c>
      <c r="E105">
        <v>707256</v>
      </c>
      <c r="F105" t="s">
        <v>126</v>
      </c>
      <c r="G105">
        <v>224153635</v>
      </c>
      <c r="H105" t="s">
        <v>71</v>
      </c>
      <c r="I105" t="s">
        <v>54</v>
      </c>
      <c r="J105" s="7">
        <v>45663</v>
      </c>
      <c r="K105" t="s">
        <v>58</v>
      </c>
      <c r="L105" t="s">
        <v>280</v>
      </c>
      <c r="M105" s="13">
        <v>25</v>
      </c>
      <c r="N105" s="13">
        <v>8</v>
      </c>
    </row>
    <row r="106" spans="1:14" x14ac:dyDescent="0.25">
      <c r="A106" t="s">
        <v>60</v>
      </c>
      <c r="B106">
        <v>683324516</v>
      </c>
      <c r="C106" t="s">
        <v>229</v>
      </c>
      <c r="D106" t="s">
        <v>230</v>
      </c>
      <c r="E106">
        <v>678726</v>
      </c>
      <c r="F106" t="s">
        <v>70</v>
      </c>
      <c r="G106">
        <v>196153282</v>
      </c>
      <c r="H106" t="s">
        <v>71</v>
      </c>
      <c r="I106" t="s">
        <v>54</v>
      </c>
      <c r="J106" s="7">
        <v>45664</v>
      </c>
      <c r="K106" t="s">
        <v>58</v>
      </c>
      <c r="L106" t="s">
        <v>280</v>
      </c>
      <c r="M106" s="13">
        <v>25</v>
      </c>
      <c r="N106" s="13">
        <v>8</v>
      </c>
    </row>
    <row r="107" spans="1:14" x14ac:dyDescent="0.25">
      <c r="A107" t="s">
        <v>60</v>
      </c>
      <c r="B107">
        <v>683333798</v>
      </c>
      <c r="C107" t="s">
        <v>218</v>
      </c>
      <c r="D107" t="s">
        <v>219</v>
      </c>
      <c r="E107">
        <v>798992</v>
      </c>
      <c r="F107" t="s">
        <v>167</v>
      </c>
      <c r="G107">
        <v>124154427</v>
      </c>
      <c r="H107" t="s">
        <v>53</v>
      </c>
      <c r="I107" t="s">
        <v>101</v>
      </c>
      <c r="J107" s="7">
        <v>45666</v>
      </c>
      <c r="K107" t="s">
        <v>58</v>
      </c>
      <c r="L107" t="s">
        <v>280</v>
      </c>
      <c r="M107" s="13">
        <v>15</v>
      </c>
      <c r="N107" s="13">
        <v>5.55</v>
      </c>
    </row>
    <row r="108" spans="1:14" x14ac:dyDescent="0.25">
      <c r="A108" t="s">
        <v>60</v>
      </c>
      <c r="B108">
        <v>683333798</v>
      </c>
      <c r="C108" t="s">
        <v>218</v>
      </c>
      <c r="D108" t="s">
        <v>219</v>
      </c>
      <c r="E108">
        <v>798992</v>
      </c>
      <c r="F108" t="s">
        <v>167</v>
      </c>
      <c r="G108">
        <v>385850665</v>
      </c>
      <c r="H108" t="s">
        <v>71</v>
      </c>
      <c r="I108" t="s">
        <v>80</v>
      </c>
      <c r="J108" s="7">
        <v>45666</v>
      </c>
      <c r="K108" t="s">
        <v>58</v>
      </c>
      <c r="L108" t="s">
        <v>280</v>
      </c>
      <c r="M108" s="13">
        <v>50</v>
      </c>
      <c r="N108" s="13">
        <v>16</v>
      </c>
    </row>
    <row r="109" spans="1:14" x14ac:dyDescent="0.25">
      <c r="A109" t="s">
        <v>60</v>
      </c>
      <c r="B109">
        <v>683345802</v>
      </c>
      <c r="C109" t="s">
        <v>104</v>
      </c>
      <c r="D109" t="s">
        <v>105</v>
      </c>
      <c r="E109">
        <v>678726</v>
      </c>
      <c r="F109" t="s">
        <v>70</v>
      </c>
      <c r="G109">
        <v>216498659</v>
      </c>
      <c r="H109" t="s">
        <v>71</v>
      </c>
      <c r="I109" t="s">
        <v>54</v>
      </c>
      <c r="J109" s="7">
        <v>45686</v>
      </c>
      <c r="K109" t="s">
        <v>58</v>
      </c>
      <c r="L109" t="s">
        <v>280</v>
      </c>
      <c r="M109" s="13">
        <v>25</v>
      </c>
      <c r="N109" s="13">
        <v>8</v>
      </c>
    </row>
    <row r="110" spans="1:14" x14ac:dyDescent="0.25">
      <c r="A110" t="s">
        <v>60</v>
      </c>
      <c r="B110">
        <v>683345802</v>
      </c>
      <c r="C110" t="s">
        <v>104</v>
      </c>
      <c r="D110" t="s">
        <v>105</v>
      </c>
      <c r="E110">
        <v>678726</v>
      </c>
      <c r="F110" t="s">
        <v>70</v>
      </c>
      <c r="G110">
        <v>880556692</v>
      </c>
      <c r="H110" t="s">
        <v>53</v>
      </c>
      <c r="I110" t="s">
        <v>54</v>
      </c>
      <c r="J110" s="7">
        <v>45686</v>
      </c>
      <c r="K110" t="s">
        <v>58</v>
      </c>
      <c r="L110" t="s">
        <v>280</v>
      </c>
      <c r="M110" s="13">
        <v>11</v>
      </c>
      <c r="N110" s="13">
        <v>4.07</v>
      </c>
    </row>
    <row r="111" spans="1:14" x14ac:dyDescent="0.25">
      <c r="A111" t="s">
        <v>60</v>
      </c>
      <c r="B111">
        <v>683408875</v>
      </c>
      <c r="C111" t="s">
        <v>94</v>
      </c>
      <c r="D111" t="s">
        <v>154</v>
      </c>
      <c r="E111">
        <v>678726</v>
      </c>
      <c r="F111" t="s">
        <v>70</v>
      </c>
      <c r="G111">
        <v>534606531</v>
      </c>
      <c r="H111" t="s">
        <v>71</v>
      </c>
      <c r="I111" t="s">
        <v>80</v>
      </c>
      <c r="J111" s="7">
        <v>45675</v>
      </c>
      <c r="K111" t="s">
        <v>58</v>
      </c>
      <c r="L111" t="s">
        <v>280</v>
      </c>
      <c r="M111" s="13">
        <v>50</v>
      </c>
      <c r="N111" s="13">
        <v>16</v>
      </c>
    </row>
    <row r="112" spans="1:14" x14ac:dyDescent="0.25">
      <c r="A112" t="s">
        <v>60</v>
      </c>
      <c r="B112">
        <v>683438413</v>
      </c>
      <c r="C112" t="s">
        <v>199</v>
      </c>
      <c r="D112" t="s">
        <v>200</v>
      </c>
      <c r="E112">
        <v>678726</v>
      </c>
      <c r="F112" t="s">
        <v>70</v>
      </c>
      <c r="G112">
        <v>820303811</v>
      </c>
      <c r="H112" t="s">
        <v>71</v>
      </c>
      <c r="I112" t="s">
        <v>80</v>
      </c>
      <c r="J112" s="7">
        <v>45669</v>
      </c>
      <c r="K112" t="s">
        <v>58</v>
      </c>
      <c r="L112" t="s">
        <v>280</v>
      </c>
      <c r="M112" s="13">
        <v>60</v>
      </c>
      <c r="N112" s="13">
        <v>19.2</v>
      </c>
    </row>
    <row r="113" spans="1:14" x14ac:dyDescent="0.25">
      <c r="A113" t="s">
        <v>60</v>
      </c>
      <c r="B113">
        <v>683448864</v>
      </c>
      <c r="C113" t="s">
        <v>151</v>
      </c>
      <c r="D113" t="s">
        <v>152</v>
      </c>
      <c r="E113">
        <v>757209</v>
      </c>
      <c r="F113" t="s">
        <v>153</v>
      </c>
      <c r="G113">
        <v>990327518</v>
      </c>
      <c r="H113" t="s">
        <v>53</v>
      </c>
      <c r="I113" t="s">
        <v>101</v>
      </c>
      <c r="J113" s="7">
        <v>45675</v>
      </c>
      <c r="K113" t="s">
        <v>58</v>
      </c>
      <c r="L113" t="s">
        <v>280</v>
      </c>
      <c r="M113" s="13">
        <v>15</v>
      </c>
      <c r="N113" s="13">
        <v>5.55</v>
      </c>
    </row>
    <row r="114" spans="1:14" x14ac:dyDescent="0.25">
      <c r="A114" t="s">
        <v>60</v>
      </c>
      <c r="B114">
        <v>683454292</v>
      </c>
      <c r="C114" t="s">
        <v>78</v>
      </c>
      <c r="D114" t="s">
        <v>150</v>
      </c>
      <c r="E114">
        <v>764002</v>
      </c>
      <c r="F114" t="s">
        <v>100</v>
      </c>
      <c r="G114">
        <v>300310162</v>
      </c>
      <c r="H114" t="s">
        <v>53</v>
      </c>
      <c r="I114" t="s">
        <v>101</v>
      </c>
      <c r="J114" s="7">
        <v>45675</v>
      </c>
      <c r="K114" t="s">
        <v>58</v>
      </c>
      <c r="L114" t="s">
        <v>280</v>
      </c>
      <c r="M114" s="13">
        <v>15</v>
      </c>
      <c r="N114" s="13">
        <v>5.55</v>
      </c>
    </row>
    <row r="115" spans="1:14" x14ac:dyDescent="0.25">
      <c r="A115" t="s">
        <v>60</v>
      </c>
      <c r="B115">
        <v>683463955</v>
      </c>
      <c r="C115" t="s">
        <v>193</v>
      </c>
      <c r="D115" t="s">
        <v>194</v>
      </c>
      <c r="E115">
        <v>706472</v>
      </c>
      <c r="F115" t="s">
        <v>110</v>
      </c>
      <c r="G115">
        <v>245268586</v>
      </c>
      <c r="H115" t="s">
        <v>53</v>
      </c>
      <c r="I115" t="s">
        <v>101</v>
      </c>
      <c r="J115" s="7">
        <v>45672</v>
      </c>
      <c r="K115" t="s">
        <v>58</v>
      </c>
      <c r="L115" t="s">
        <v>280</v>
      </c>
      <c r="M115" s="13">
        <v>15</v>
      </c>
      <c r="N115" s="13">
        <v>5.55</v>
      </c>
    </row>
    <row r="116" spans="1:14" x14ac:dyDescent="0.25">
      <c r="A116" t="s">
        <v>60</v>
      </c>
      <c r="B116">
        <v>683463955</v>
      </c>
      <c r="C116" t="s">
        <v>193</v>
      </c>
      <c r="D116" t="s">
        <v>194</v>
      </c>
      <c r="E116">
        <v>706472</v>
      </c>
      <c r="F116" t="s">
        <v>110</v>
      </c>
      <c r="G116">
        <v>762673318</v>
      </c>
      <c r="H116" t="s">
        <v>71</v>
      </c>
      <c r="I116" t="s">
        <v>80</v>
      </c>
      <c r="J116" s="7">
        <v>45672</v>
      </c>
      <c r="K116" t="s">
        <v>58</v>
      </c>
      <c r="L116" t="s">
        <v>280</v>
      </c>
      <c r="M116" s="13">
        <v>50</v>
      </c>
      <c r="N116" s="13">
        <v>16</v>
      </c>
    </row>
    <row r="117" spans="1:14" x14ac:dyDescent="0.25">
      <c r="A117" t="s">
        <v>60</v>
      </c>
      <c r="B117">
        <v>683477382</v>
      </c>
      <c r="C117" t="s">
        <v>148</v>
      </c>
      <c r="D117" t="s">
        <v>149</v>
      </c>
      <c r="E117">
        <v>706472</v>
      </c>
      <c r="F117" t="s">
        <v>110</v>
      </c>
      <c r="G117">
        <v>308081747</v>
      </c>
      <c r="H117" t="s">
        <v>53</v>
      </c>
      <c r="I117" t="s">
        <v>54</v>
      </c>
      <c r="J117" s="7">
        <v>45676</v>
      </c>
      <c r="K117" t="s">
        <v>58</v>
      </c>
      <c r="L117" t="s">
        <v>280</v>
      </c>
      <c r="M117" s="13">
        <v>11</v>
      </c>
      <c r="N117" s="13">
        <v>4.07</v>
      </c>
    </row>
    <row r="118" spans="1:14" x14ac:dyDescent="0.25">
      <c r="A118" t="s">
        <v>60</v>
      </c>
      <c r="B118">
        <v>683477382</v>
      </c>
      <c r="C118" t="s">
        <v>148</v>
      </c>
      <c r="D118" t="s">
        <v>149</v>
      </c>
      <c r="E118">
        <v>706472</v>
      </c>
      <c r="F118" t="s">
        <v>110</v>
      </c>
      <c r="G118">
        <v>987369850</v>
      </c>
      <c r="H118" t="s">
        <v>71</v>
      </c>
      <c r="I118" t="s">
        <v>54</v>
      </c>
      <c r="J118" s="7">
        <v>45676</v>
      </c>
      <c r="K118" t="s">
        <v>58</v>
      </c>
      <c r="L118" t="s">
        <v>280</v>
      </c>
      <c r="M118" s="13">
        <v>25</v>
      </c>
      <c r="N118" s="13">
        <v>8</v>
      </c>
    </row>
    <row r="119" spans="1:14" x14ac:dyDescent="0.25">
      <c r="A119" t="s">
        <v>60</v>
      </c>
      <c r="B119">
        <v>683478651</v>
      </c>
      <c r="C119" t="s">
        <v>106</v>
      </c>
      <c r="D119" t="s">
        <v>107</v>
      </c>
      <c r="E119">
        <v>678726</v>
      </c>
      <c r="F119" t="s">
        <v>70</v>
      </c>
      <c r="G119">
        <v>698731916</v>
      </c>
      <c r="H119" t="s">
        <v>71</v>
      </c>
      <c r="I119" t="s">
        <v>54</v>
      </c>
      <c r="J119" s="7">
        <v>45685</v>
      </c>
      <c r="K119" t="s">
        <v>58</v>
      </c>
      <c r="L119" t="s">
        <v>280</v>
      </c>
      <c r="M119" s="13">
        <v>25</v>
      </c>
      <c r="N119" s="13">
        <v>8</v>
      </c>
    </row>
    <row r="120" spans="1:14" x14ac:dyDescent="0.25">
      <c r="A120" t="s">
        <v>60</v>
      </c>
      <c r="B120">
        <v>683478663</v>
      </c>
      <c r="C120" t="s">
        <v>142</v>
      </c>
      <c r="D120" t="s">
        <v>143</v>
      </c>
      <c r="E120">
        <v>678726</v>
      </c>
      <c r="F120" t="s">
        <v>70</v>
      </c>
      <c r="G120">
        <v>536940641</v>
      </c>
      <c r="H120" t="s">
        <v>71</v>
      </c>
      <c r="I120" t="s">
        <v>80</v>
      </c>
      <c r="J120" s="7">
        <v>45679</v>
      </c>
      <c r="K120" t="s">
        <v>58</v>
      </c>
      <c r="L120" t="s">
        <v>280</v>
      </c>
      <c r="M120" s="13">
        <v>50</v>
      </c>
      <c r="N120" s="13">
        <v>16</v>
      </c>
    </row>
    <row r="121" spans="1:14" x14ac:dyDescent="0.25">
      <c r="A121" t="s">
        <v>60</v>
      </c>
      <c r="B121">
        <v>683497808</v>
      </c>
      <c r="C121" t="s">
        <v>115</v>
      </c>
      <c r="D121" t="s">
        <v>116</v>
      </c>
      <c r="E121">
        <v>678726</v>
      </c>
      <c r="F121" t="s">
        <v>70</v>
      </c>
      <c r="G121">
        <v>998017756</v>
      </c>
      <c r="H121" t="s">
        <v>71</v>
      </c>
      <c r="I121" t="s">
        <v>54</v>
      </c>
      <c r="J121" s="7">
        <v>45683</v>
      </c>
      <c r="K121" t="s">
        <v>58</v>
      </c>
      <c r="L121" t="s">
        <v>280</v>
      </c>
      <c r="M121" s="13">
        <v>25</v>
      </c>
      <c r="N121" s="13">
        <v>8</v>
      </c>
    </row>
    <row r="122" spans="1:14" x14ac:dyDescent="0.25">
      <c r="A122" t="s">
        <v>60</v>
      </c>
      <c r="B122">
        <v>683498152</v>
      </c>
      <c r="C122" t="s">
        <v>140</v>
      </c>
      <c r="D122" t="s">
        <v>141</v>
      </c>
      <c r="E122">
        <v>678726</v>
      </c>
      <c r="F122" t="s">
        <v>70</v>
      </c>
      <c r="G122">
        <v>892393390</v>
      </c>
      <c r="H122" t="s">
        <v>71</v>
      </c>
      <c r="I122" t="s">
        <v>54</v>
      </c>
      <c r="J122" s="7">
        <v>45679</v>
      </c>
      <c r="K122" t="s">
        <v>58</v>
      </c>
      <c r="L122" t="s">
        <v>280</v>
      </c>
      <c r="M122" s="13">
        <v>25</v>
      </c>
      <c r="N122" s="13">
        <v>8</v>
      </c>
    </row>
    <row r="123" spans="1:14" x14ac:dyDescent="0.25">
      <c r="A123" t="s">
        <v>60</v>
      </c>
      <c r="B123">
        <v>683521026</v>
      </c>
      <c r="C123" t="s">
        <v>113</v>
      </c>
      <c r="D123" t="s">
        <v>114</v>
      </c>
      <c r="E123">
        <v>678726</v>
      </c>
      <c r="F123" t="s">
        <v>70</v>
      </c>
      <c r="G123">
        <v>228864968</v>
      </c>
      <c r="H123" t="s">
        <v>71</v>
      </c>
      <c r="I123" t="s">
        <v>54</v>
      </c>
      <c r="J123" s="7">
        <v>45683</v>
      </c>
      <c r="K123" t="s">
        <v>58</v>
      </c>
      <c r="L123" t="s">
        <v>280</v>
      </c>
      <c r="M123" s="13">
        <v>25</v>
      </c>
      <c r="N123" s="13">
        <v>8</v>
      </c>
    </row>
    <row r="124" spans="1:14" x14ac:dyDescent="0.25">
      <c r="A124" t="s">
        <v>60</v>
      </c>
      <c r="B124">
        <v>683532101</v>
      </c>
      <c r="C124" t="s">
        <v>138</v>
      </c>
      <c r="D124" t="s">
        <v>139</v>
      </c>
      <c r="E124">
        <v>678726</v>
      </c>
      <c r="F124" t="s">
        <v>70</v>
      </c>
      <c r="G124">
        <v>478183816</v>
      </c>
      <c r="H124" t="s">
        <v>71</v>
      </c>
      <c r="I124" t="s">
        <v>54</v>
      </c>
      <c r="J124" s="7">
        <v>45672</v>
      </c>
      <c r="K124" t="s">
        <v>58</v>
      </c>
      <c r="L124" t="s">
        <v>280</v>
      </c>
      <c r="M124" s="13">
        <v>25</v>
      </c>
      <c r="N124" s="13">
        <v>8</v>
      </c>
    </row>
    <row r="125" spans="1:14" x14ac:dyDescent="0.25">
      <c r="A125" t="s">
        <v>60</v>
      </c>
      <c r="B125">
        <v>683534011</v>
      </c>
      <c r="C125" t="s">
        <v>81</v>
      </c>
      <c r="D125" t="s">
        <v>82</v>
      </c>
      <c r="E125">
        <v>689390</v>
      </c>
      <c r="F125" t="s">
        <v>84</v>
      </c>
      <c r="G125">
        <v>303162685</v>
      </c>
      <c r="H125" t="s">
        <v>85</v>
      </c>
      <c r="I125" t="s">
        <v>54</v>
      </c>
      <c r="J125" s="7">
        <v>45687</v>
      </c>
      <c r="K125" t="s">
        <v>58</v>
      </c>
      <c r="L125" t="s">
        <v>280</v>
      </c>
      <c r="M125" s="13">
        <v>74</v>
      </c>
      <c r="N125" s="13">
        <v>17.760000000000002</v>
      </c>
    </row>
    <row r="126" spans="1:14" x14ac:dyDescent="0.25">
      <c r="A126" t="s">
        <v>60</v>
      </c>
      <c r="B126">
        <v>683537884</v>
      </c>
      <c r="C126" t="s">
        <v>269</v>
      </c>
      <c r="D126" t="s">
        <v>270</v>
      </c>
      <c r="E126">
        <v>706472</v>
      </c>
      <c r="F126" t="s">
        <v>110</v>
      </c>
      <c r="G126">
        <v>431803401</v>
      </c>
      <c r="H126" t="s">
        <v>53</v>
      </c>
      <c r="I126" t="s">
        <v>54</v>
      </c>
      <c r="J126" s="7">
        <v>45659</v>
      </c>
      <c r="K126" t="s">
        <v>58</v>
      </c>
      <c r="L126" t="s">
        <v>280</v>
      </c>
      <c r="M126" s="13">
        <v>11</v>
      </c>
      <c r="N126" s="13">
        <v>4.07</v>
      </c>
    </row>
    <row r="127" spans="1:14" x14ac:dyDescent="0.25">
      <c r="A127" t="s">
        <v>60</v>
      </c>
      <c r="B127">
        <v>683537884</v>
      </c>
      <c r="C127" t="s">
        <v>269</v>
      </c>
      <c r="D127" t="s">
        <v>270</v>
      </c>
      <c r="E127">
        <v>706472</v>
      </c>
      <c r="F127" t="s">
        <v>110</v>
      </c>
      <c r="G127">
        <v>863215382</v>
      </c>
      <c r="H127" t="s">
        <v>121</v>
      </c>
      <c r="I127" t="s">
        <v>54</v>
      </c>
      <c r="J127" s="7">
        <v>45659</v>
      </c>
      <c r="K127" t="s">
        <v>58</v>
      </c>
      <c r="L127" t="s">
        <v>280</v>
      </c>
      <c r="M127" s="13">
        <v>38</v>
      </c>
      <c r="N127" s="13">
        <v>9.1199999999999992</v>
      </c>
    </row>
    <row r="128" spans="1:14" x14ac:dyDescent="0.25">
      <c r="A128" t="s">
        <v>60</v>
      </c>
      <c r="B128">
        <v>683551481</v>
      </c>
      <c r="C128" t="s">
        <v>220</v>
      </c>
      <c r="D128" t="s">
        <v>221</v>
      </c>
      <c r="E128">
        <v>798992</v>
      </c>
      <c r="F128" t="s">
        <v>167</v>
      </c>
      <c r="G128">
        <v>245549848</v>
      </c>
      <c r="H128" t="s">
        <v>53</v>
      </c>
      <c r="I128" t="s">
        <v>54</v>
      </c>
      <c r="J128" s="7">
        <v>45666</v>
      </c>
      <c r="K128" t="s">
        <v>58</v>
      </c>
      <c r="L128" t="s">
        <v>280</v>
      </c>
      <c r="M128" s="13">
        <v>11</v>
      </c>
      <c r="N128" s="13">
        <v>4.07</v>
      </c>
    </row>
    <row r="129" spans="1:14" x14ac:dyDescent="0.25">
      <c r="A129" t="s">
        <v>60</v>
      </c>
      <c r="B129">
        <v>683551481</v>
      </c>
      <c r="C129" t="s">
        <v>220</v>
      </c>
      <c r="D129" t="s">
        <v>221</v>
      </c>
      <c r="E129">
        <v>798992</v>
      </c>
      <c r="F129" t="s">
        <v>167</v>
      </c>
      <c r="G129">
        <v>984523223</v>
      </c>
      <c r="H129" t="s">
        <v>71</v>
      </c>
      <c r="I129" t="s">
        <v>54</v>
      </c>
      <c r="J129" s="7">
        <v>45666</v>
      </c>
      <c r="K129" t="s">
        <v>58</v>
      </c>
      <c r="L129" t="s">
        <v>280</v>
      </c>
      <c r="M129" s="13">
        <v>30</v>
      </c>
      <c r="N129" s="13">
        <v>9.6</v>
      </c>
    </row>
    <row r="130" spans="1:14" x14ac:dyDescent="0.25">
      <c r="A130" t="s">
        <v>60</v>
      </c>
      <c r="B130">
        <v>683552927</v>
      </c>
      <c r="C130" t="s">
        <v>222</v>
      </c>
      <c r="D130" t="s">
        <v>223</v>
      </c>
      <c r="E130">
        <v>678726</v>
      </c>
      <c r="F130" t="s">
        <v>70</v>
      </c>
      <c r="G130">
        <v>699319353</v>
      </c>
      <c r="H130" t="s">
        <v>71</v>
      </c>
      <c r="I130" t="s">
        <v>54</v>
      </c>
      <c r="J130" s="7">
        <v>45666</v>
      </c>
      <c r="K130" t="s">
        <v>58</v>
      </c>
      <c r="L130" t="s">
        <v>280</v>
      </c>
      <c r="M130" s="13">
        <v>25</v>
      </c>
      <c r="N130" s="13">
        <v>8</v>
      </c>
    </row>
    <row r="131" spans="1:14" x14ac:dyDescent="0.25">
      <c r="A131" t="s">
        <v>60</v>
      </c>
      <c r="B131">
        <v>683563883</v>
      </c>
      <c r="C131" t="s">
        <v>247</v>
      </c>
      <c r="D131" t="s">
        <v>248</v>
      </c>
      <c r="E131">
        <v>678726</v>
      </c>
      <c r="F131" t="s">
        <v>70</v>
      </c>
      <c r="G131">
        <v>698193150</v>
      </c>
      <c r="H131" t="s">
        <v>53</v>
      </c>
      <c r="I131" t="s">
        <v>54</v>
      </c>
      <c r="J131" s="7">
        <v>45662</v>
      </c>
      <c r="K131" t="s">
        <v>58</v>
      </c>
      <c r="L131" t="s">
        <v>280</v>
      </c>
      <c r="M131" s="13">
        <v>11</v>
      </c>
      <c r="N131" s="13">
        <v>4.07</v>
      </c>
    </row>
    <row r="132" spans="1:14" x14ac:dyDescent="0.25">
      <c r="A132" t="s">
        <v>60</v>
      </c>
      <c r="B132">
        <v>683589666</v>
      </c>
      <c r="C132" t="s">
        <v>197</v>
      </c>
      <c r="D132" t="s">
        <v>198</v>
      </c>
      <c r="E132">
        <v>678726</v>
      </c>
      <c r="F132" t="s">
        <v>70</v>
      </c>
      <c r="G132">
        <v>877044360</v>
      </c>
      <c r="H132" t="s">
        <v>71</v>
      </c>
      <c r="I132" t="s">
        <v>80</v>
      </c>
      <c r="J132" s="7">
        <v>45670</v>
      </c>
      <c r="K132" t="s">
        <v>58</v>
      </c>
      <c r="L132" t="s">
        <v>280</v>
      </c>
      <c r="M132" s="13">
        <v>50</v>
      </c>
      <c r="N132" s="13">
        <v>16</v>
      </c>
    </row>
    <row r="133" spans="1:14" x14ac:dyDescent="0.25">
      <c r="A133" t="s">
        <v>60</v>
      </c>
      <c r="B133">
        <v>683593204</v>
      </c>
      <c r="C133" t="s">
        <v>113</v>
      </c>
      <c r="D133" t="s">
        <v>208</v>
      </c>
      <c r="E133">
        <v>757929</v>
      </c>
      <c r="F133" t="s">
        <v>190</v>
      </c>
      <c r="G133">
        <v>348104279</v>
      </c>
      <c r="H133" t="s">
        <v>179</v>
      </c>
      <c r="I133" t="s">
        <v>77</v>
      </c>
      <c r="J133" s="7">
        <v>45667</v>
      </c>
      <c r="K133" t="s">
        <v>58</v>
      </c>
      <c r="L133" t="s">
        <v>280</v>
      </c>
      <c r="M133" s="13">
        <v>185</v>
      </c>
      <c r="N133" s="13">
        <v>44.4</v>
      </c>
    </row>
    <row r="134" spans="1:14" x14ac:dyDescent="0.25">
      <c r="A134" t="s">
        <v>60</v>
      </c>
      <c r="B134">
        <v>683596031</v>
      </c>
      <c r="C134" t="s">
        <v>206</v>
      </c>
      <c r="D134" t="s">
        <v>207</v>
      </c>
      <c r="E134">
        <v>678726</v>
      </c>
      <c r="F134" t="s">
        <v>70</v>
      </c>
      <c r="G134">
        <v>68946309</v>
      </c>
      <c r="H134" t="s">
        <v>71</v>
      </c>
      <c r="I134" t="s">
        <v>54</v>
      </c>
      <c r="J134" s="7">
        <v>45667</v>
      </c>
      <c r="K134" t="s">
        <v>58</v>
      </c>
      <c r="L134" t="s">
        <v>280</v>
      </c>
      <c r="M134" s="13">
        <v>25</v>
      </c>
      <c r="N134" s="13">
        <v>8</v>
      </c>
    </row>
    <row r="135" spans="1:14" x14ac:dyDescent="0.25">
      <c r="A135" t="s">
        <v>60</v>
      </c>
      <c r="B135">
        <v>683602218</v>
      </c>
      <c r="C135" t="s">
        <v>136</v>
      </c>
      <c r="D135" t="s">
        <v>137</v>
      </c>
      <c r="E135">
        <v>678726</v>
      </c>
      <c r="F135" t="s">
        <v>70</v>
      </c>
      <c r="G135">
        <v>498487989</v>
      </c>
      <c r="H135" t="s">
        <v>71</v>
      </c>
      <c r="I135" t="s">
        <v>54</v>
      </c>
      <c r="J135" s="7">
        <v>45680</v>
      </c>
      <c r="K135" t="s">
        <v>58</v>
      </c>
      <c r="L135" t="s">
        <v>280</v>
      </c>
      <c r="M135" s="13">
        <v>25</v>
      </c>
      <c r="N135" s="13">
        <v>8</v>
      </c>
    </row>
    <row r="136" spans="1:14" x14ac:dyDescent="0.25">
      <c r="A136" t="s">
        <v>60</v>
      </c>
      <c r="B136">
        <v>683609699</v>
      </c>
      <c r="C136" t="s">
        <v>117</v>
      </c>
      <c r="D136" t="s">
        <v>205</v>
      </c>
      <c r="E136">
        <v>706472</v>
      </c>
      <c r="F136" t="s">
        <v>110</v>
      </c>
      <c r="G136">
        <v>58861441</v>
      </c>
      <c r="H136" t="s">
        <v>71</v>
      </c>
      <c r="I136" t="s">
        <v>54</v>
      </c>
      <c r="J136" s="7">
        <v>45668</v>
      </c>
      <c r="K136" t="s">
        <v>58</v>
      </c>
      <c r="L136" t="s">
        <v>280</v>
      </c>
      <c r="M136" s="13">
        <v>25</v>
      </c>
      <c r="N136" s="13">
        <v>8</v>
      </c>
    </row>
    <row r="137" spans="1:14" x14ac:dyDescent="0.25">
      <c r="A137" t="s">
        <v>60</v>
      </c>
      <c r="B137">
        <v>683648575</v>
      </c>
      <c r="C137" t="s">
        <v>138</v>
      </c>
      <c r="D137" t="s">
        <v>139</v>
      </c>
      <c r="E137">
        <v>678726</v>
      </c>
      <c r="F137" t="s">
        <v>70</v>
      </c>
      <c r="G137">
        <v>941985094</v>
      </c>
      <c r="H137" t="s">
        <v>71</v>
      </c>
      <c r="I137" t="s">
        <v>54</v>
      </c>
      <c r="J137" s="7">
        <v>45680</v>
      </c>
      <c r="K137" t="s">
        <v>58</v>
      </c>
      <c r="L137" t="s">
        <v>280</v>
      </c>
      <c r="M137" s="13">
        <v>25</v>
      </c>
      <c r="N137" s="13">
        <v>8</v>
      </c>
    </row>
    <row r="138" spans="1:14" x14ac:dyDescent="0.25">
      <c r="A138" t="s">
        <v>60</v>
      </c>
      <c r="B138">
        <v>683654568</v>
      </c>
      <c r="C138" t="s">
        <v>78</v>
      </c>
      <c r="D138" t="s">
        <v>79</v>
      </c>
      <c r="E138">
        <v>678726</v>
      </c>
      <c r="F138" t="s">
        <v>70</v>
      </c>
      <c r="G138">
        <v>760186562</v>
      </c>
      <c r="H138" t="s">
        <v>71</v>
      </c>
      <c r="I138" t="s">
        <v>80</v>
      </c>
      <c r="J138" s="7">
        <v>45687</v>
      </c>
      <c r="K138" t="s">
        <v>58</v>
      </c>
      <c r="L138" t="s">
        <v>280</v>
      </c>
      <c r="M138" s="13">
        <v>50</v>
      </c>
      <c r="N138" s="13">
        <v>16</v>
      </c>
    </row>
    <row r="139" spans="1:14" x14ac:dyDescent="0.25">
      <c r="A139" t="s">
        <v>60</v>
      </c>
      <c r="B139">
        <v>683659785</v>
      </c>
      <c r="C139" t="s">
        <v>170</v>
      </c>
      <c r="D139" t="s">
        <v>171</v>
      </c>
      <c r="E139">
        <v>706472</v>
      </c>
      <c r="F139" t="s">
        <v>110</v>
      </c>
      <c r="G139">
        <v>954518880</v>
      </c>
      <c r="H139" t="s">
        <v>71</v>
      </c>
      <c r="I139" t="s">
        <v>80</v>
      </c>
      <c r="J139" s="7">
        <v>45674</v>
      </c>
      <c r="K139" t="s">
        <v>58</v>
      </c>
      <c r="L139" t="s">
        <v>280</v>
      </c>
      <c r="M139" s="13">
        <v>50</v>
      </c>
      <c r="N139" s="13">
        <v>16</v>
      </c>
    </row>
    <row r="140" spans="1:14" x14ac:dyDescent="0.25">
      <c r="A140" t="s">
        <v>60</v>
      </c>
      <c r="B140">
        <v>683707400</v>
      </c>
      <c r="C140" t="s">
        <v>111</v>
      </c>
      <c r="D140" t="s">
        <v>112</v>
      </c>
      <c r="E140">
        <v>678726</v>
      </c>
      <c r="F140" t="s">
        <v>70</v>
      </c>
      <c r="G140">
        <v>128182846</v>
      </c>
      <c r="H140" t="s">
        <v>71</v>
      </c>
      <c r="I140" t="s">
        <v>54</v>
      </c>
      <c r="J140" s="7">
        <v>45684</v>
      </c>
      <c r="K140" t="s">
        <v>58</v>
      </c>
      <c r="L140" t="s">
        <v>280</v>
      </c>
      <c r="M140" s="13">
        <v>30</v>
      </c>
      <c r="N140" s="13">
        <v>9.6</v>
      </c>
    </row>
    <row r="141" spans="1:14" x14ac:dyDescent="0.25">
      <c r="A141" t="s">
        <v>60</v>
      </c>
      <c r="B141">
        <v>683720644</v>
      </c>
      <c r="C141" t="s">
        <v>75</v>
      </c>
      <c r="D141" t="s">
        <v>76</v>
      </c>
      <c r="E141">
        <v>678726</v>
      </c>
      <c r="F141" t="s">
        <v>70</v>
      </c>
      <c r="G141">
        <v>108620713</v>
      </c>
      <c r="H141" t="s">
        <v>71</v>
      </c>
      <c r="I141" t="s">
        <v>77</v>
      </c>
      <c r="J141" s="7">
        <v>45688</v>
      </c>
      <c r="K141" t="s">
        <v>58</v>
      </c>
      <c r="L141" t="s">
        <v>280</v>
      </c>
      <c r="M141" s="13">
        <v>92</v>
      </c>
      <c r="N141" s="13">
        <v>29.44</v>
      </c>
    </row>
    <row r="142" spans="1:14" x14ac:dyDescent="0.25">
      <c r="A142" t="s">
        <v>60</v>
      </c>
      <c r="B142">
        <v>683720644</v>
      </c>
      <c r="C142" t="s">
        <v>75</v>
      </c>
      <c r="D142" t="s">
        <v>76</v>
      </c>
      <c r="E142">
        <v>678726</v>
      </c>
      <c r="F142" t="s">
        <v>70</v>
      </c>
      <c r="G142">
        <v>750251718</v>
      </c>
      <c r="H142" t="s">
        <v>53</v>
      </c>
      <c r="I142" t="s">
        <v>77</v>
      </c>
      <c r="J142" s="7">
        <v>45688</v>
      </c>
      <c r="K142" t="s">
        <v>58</v>
      </c>
      <c r="L142" t="s">
        <v>280</v>
      </c>
      <c r="M142" s="13">
        <v>20</v>
      </c>
      <c r="N142" s="13">
        <v>7.4</v>
      </c>
    </row>
    <row r="143" spans="1:14" ht="18.75" x14ac:dyDescent="0.3">
      <c r="A143" s="16" t="s">
        <v>281</v>
      </c>
      <c r="N143" s="17">
        <v>1422.14</v>
      </c>
    </row>
    <row r="144" spans="1:14" x14ac:dyDescent="0.25">
      <c r="A144" t="s">
        <v>279</v>
      </c>
      <c r="N144" s="13">
        <v>1422.14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2BFE1-9AF8-4793-A850-C358D83A13C3}">
  <dimension ref="A1:CG136"/>
  <sheetViews>
    <sheetView topLeftCell="S1" workbookViewId="0">
      <selection activeCell="A12" sqref="A12:XFD12"/>
    </sheetView>
  </sheetViews>
  <sheetFormatPr defaultRowHeight="15" x14ac:dyDescent="0.25"/>
  <cols>
    <col min="1" max="1" width="10.7109375" bestFit="1" customWidth="1"/>
    <col min="2" max="2" width="11.5703125" bestFit="1" customWidth="1"/>
    <col min="3" max="3" width="6.42578125" bestFit="1" customWidth="1"/>
    <col min="4" max="4" width="7.28515625" bestFit="1" customWidth="1"/>
    <col min="5" max="5" width="18.140625" bestFit="1" customWidth="1"/>
    <col min="6" max="6" width="5.85546875" bestFit="1" customWidth="1"/>
    <col min="7" max="7" width="5.28515625" bestFit="1" customWidth="1"/>
    <col min="8" max="8" width="5.5703125" bestFit="1" customWidth="1"/>
    <col min="9" max="9" width="12.7109375" bestFit="1" customWidth="1"/>
    <col min="10" max="10" width="19" bestFit="1" customWidth="1"/>
    <col min="11" max="12" width="14.28515625" bestFit="1" customWidth="1"/>
    <col min="13" max="13" width="9.28515625" bestFit="1" customWidth="1"/>
    <col min="14" max="14" width="10.28515625" bestFit="1" customWidth="1"/>
    <col min="15" max="15" width="12.5703125" bestFit="1" customWidth="1"/>
    <col min="16" max="16" width="10" bestFit="1" customWidth="1"/>
    <col min="17" max="17" width="15.7109375" bestFit="1" customWidth="1"/>
    <col min="18" max="18" width="16.85546875" bestFit="1" customWidth="1"/>
    <col min="19" max="19" width="16.7109375" bestFit="1" customWidth="1"/>
    <col min="20" max="20" width="12.140625" bestFit="1" customWidth="1"/>
    <col min="21" max="21" width="14.7109375" bestFit="1" customWidth="1"/>
    <col min="22" max="22" width="34.5703125" bestFit="1" customWidth="1"/>
    <col min="23" max="23" width="20.28515625" bestFit="1" customWidth="1"/>
    <col min="24" max="24" width="18.85546875" bestFit="1" customWidth="1"/>
    <col min="25" max="25" width="9.28515625" bestFit="1" customWidth="1"/>
    <col min="26" max="26" width="25.42578125" bestFit="1" customWidth="1"/>
    <col min="27" max="27" width="18.7109375" bestFit="1" customWidth="1"/>
    <col min="28" max="28" width="7.28515625" bestFit="1" customWidth="1"/>
    <col min="29" max="29" width="14.85546875" bestFit="1" customWidth="1"/>
    <col min="30" max="30" width="16.28515625" bestFit="1" customWidth="1"/>
    <col min="31" max="31" width="18.42578125" bestFit="1" customWidth="1"/>
    <col min="32" max="32" width="16.7109375" bestFit="1" customWidth="1"/>
    <col min="33" max="33" width="12.7109375" bestFit="1" customWidth="1"/>
    <col min="34" max="34" width="35.28515625" bestFit="1" customWidth="1"/>
    <col min="35" max="35" width="17.28515625" bestFit="1" customWidth="1"/>
    <col min="36" max="36" width="14.5703125" bestFit="1" customWidth="1"/>
    <col min="37" max="37" width="12" bestFit="1" customWidth="1"/>
    <col min="38" max="38" width="18" bestFit="1" customWidth="1"/>
    <col min="39" max="39" width="25.7109375" bestFit="1" customWidth="1"/>
    <col min="40" max="40" width="24.7109375" bestFit="1" customWidth="1"/>
    <col min="41" max="41" width="21.28515625" bestFit="1" customWidth="1"/>
    <col min="42" max="42" width="6.42578125" bestFit="1" customWidth="1"/>
    <col min="43" max="43" width="11" bestFit="1" customWidth="1"/>
    <col min="44" max="44" width="15.28515625" bestFit="1" customWidth="1"/>
    <col min="45" max="45" width="10.42578125" bestFit="1" customWidth="1"/>
    <col min="16384" max="16384" width="10.42578125" bestFit="1" customWidth="1"/>
  </cols>
  <sheetData>
    <row r="1" spans="1:8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BD1" s="2"/>
      <c r="BE1" s="2"/>
      <c r="BF1" s="3"/>
      <c r="BG1" s="4"/>
      <c r="BH1" s="2"/>
      <c r="BI1" s="2"/>
      <c r="BJ1" s="2"/>
      <c r="BK1" s="2"/>
      <c r="BL1" s="2"/>
      <c r="BM1" s="2"/>
      <c r="BN1" s="2"/>
      <c r="BO1" s="2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6"/>
      <c r="CG1" s="5"/>
    </row>
    <row r="2" spans="1:85" x14ac:dyDescent="0.25">
      <c r="A2" s="7">
        <v>45688</v>
      </c>
      <c r="B2" s="7">
        <v>45691</v>
      </c>
      <c r="C2" t="s">
        <v>45</v>
      </c>
      <c r="D2" t="s">
        <v>46</v>
      </c>
      <c r="F2" s="1">
        <v>4.07</v>
      </c>
      <c r="G2" s="1">
        <v>0</v>
      </c>
      <c r="H2" s="1">
        <v>4.07</v>
      </c>
      <c r="I2">
        <v>653470</v>
      </c>
      <c r="J2" t="s">
        <v>47</v>
      </c>
      <c r="P2">
        <v>682280326</v>
      </c>
      <c r="R2" t="s">
        <v>48</v>
      </c>
      <c r="S2" t="s">
        <v>49</v>
      </c>
      <c r="T2" t="s">
        <v>50</v>
      </c>
      <c r="U2">
        <v>657149</v>
      </c>
      <c r="V2" t="s">
        <v>51</v>
      </c>
      <c r="W2" t="s">
        <v>52</v>
      </c>
      <c r="Y2">
        <v>38593</v>
      </c>
      <c r="Z2" t="s">
        <v>53</v>
      </c>
      <c r="AA2" t="s">
        <v>54</v>
      </c>
      <c r="AB2" t="s">
        <v>55</v>
      </c>
      <c r="AC2" t="s">
        <v>56</v>
      </c>
      <c r="AD2" t="s">
        <v>57</v>
      </c>
      <c r="AE2" s="7">
        <v>45349</v>
      </c>
      <c r="AF2" s="7">
        <v>45352</v>
      </c>
      <c r="AG2">
        <v>668933669</v>
      </c>
      <c r="AH2">
        <v>10351696116</v>
      </c>
      <c r="AI2" s="8"/>
      <c r="AJ2" t="s">
        <v>58</v>
      </c>
      <c r="AK2" t="s">
        <v>59</v>
      </c>
      <c r="AL2">
        <v>12</v>
      </c>
      <c r="AM2" s="7">
        <v>45689</v>
      </c>
      <c r="AN2" s="7">
        <v>45716</v>
      </c>
      <c r="AO2" s="8">
        <v>11</v>
      </c>
      <c r="AP2" s="9">
        <v>0.37</v>
      </c>
      <c r="AQ2">
        <v>1289999515</v>
      </c>
      <c r="AS2" t="s">
        <v>60</v>
      </c>
      <c r="BB2" s="7"/>
      <c r="BD2" s="10"/>
      <c r="BF2" s="11"/>
      <c r="CF2" s="1"/>
    </row>
    <row r="3" spans="1:85" x14ac:dyDescent="0.25">
      <c r="A3" s="7">
        <v>45688</v>
      </c>
      <c r="B3" s="7">
        <v>45691</v>
      </c>
      <c r="C3" t="s">
        <v>45</v>
      </c>
      <c r="D3" t="s">
        <v>46</v>
      </c>
      <c r="F3" s="1">
        <v>6</v>
      </c>
      <c r="G3" s="1">
        <v>0</v>
      </c>
      <c r="H3" s="1">
        <v>6</v>
      </c>
      <c r="I3">
        <v>653470</v>
      </c>
      <c r="J3" t="s">
        <v>47</v>
      </c>
      <c r="P3">
        <v>682689683</v>
      </c>
      <c r="R3" t="s">
        <v>61</v>
      </c>
      <c r="S3" t="s">
        <v>62</v>
      </c>
      <c r="T3" t="s">
        <v>63</v>
      </c>
      <c r="U3">
        <v>757750</v>
      </c>
      <c r="V3" t="s">
        <v>64</v>
      </c>
      <c r="W3" t="s">
        <v>52</v>
      </c>
      <c r="Y3">
        <v>38796</v>
      </c>
      <c r="Z3" t="s">
        <v>65</v>
      </c>
      <c r="AA3" t="s">
        <v>54</v>
      </c>
      <c r="AB3" t="s">
        <v>55</v>
      </c>
      <c r="AC3" t="s">
        <v>66</v>
      </c>
      <c r="AD3" t="s">
        <v>67</v>
      </c>
      <c r="AE3" s="7">
        <v>45449</v>
      </c>
      <c r="AF3" s="7">
        <v>45474</v>
      </c>
      <c r="AG3">
        <v>544676671</v>
      </c>
      <c r="AH3">
        <v>10351696713</v>
      </c>
      <c r="AI3" s="8"/>
      <c r="AJ3" t="s">
        <v>58</v>
      </c>
      <c r="AK3" t="s">
        <v>59</v>
      </c>
      <c r="AL3">
        <v>8</v>
      </c>
      <c r="AM3" s="7">
        <v>45689</v>
      </c>
      <c r="AN3" s="7">
        <v>45716</v>
      </c>
      <c r="AO3" s="8">
        <v>25</v>
      </c>
      <c r="AP3" s="9">
        <v>0.24</v>
      </c>
      <c r="AQ3">
        <v>1289999089</v>
      </c>
      <c r="AS3" t="s">
        <v>60</v>
      </c>
      <c r="BB3" s="7"/>
      <c r="BD3" s="10"/>
      <c r="BF3" s="11"/>
      <c r="BG3" s="7"/>
      <c r="CF3" s="1"/>
    </row>
    <row r="4" spans="1:85" x14ac:dyDescent="0.25">
      <c r="A4" s="7">
        <v>45688</v>
      </c>
      <c r="B4" s="7">
        <v>45691</v>
      </c>
      <c r="C4" t="s">
        <v>45</v>
      </c>
      <c r="D4" t="s">
        <v>46</v>
      </c>
      <c r="F4" s="1">
        <v>8</v>
      </c>
      <c r="G4" s="1">
        <v>0</v>
      </c>
      <c r="H4" s="1">
        <v>8</v>
      </c>
      <c r="I4">
        <v>653470</v>
      </c>
      <c r="J4" t="s">
        <v>47</v>
      </c>
      <c r="P4">
        <v>683138813</v>
      </c>
      <c r="R4" t="s">
        <v>68</v>
      </c>
      <c r="S4" t="s">
        <v>69</v>
      </c>
      <c r="T4" t="s">
        <v>50</v>
      </c>
      <c r="U4">
        <v>678726</v>
      </c>
      <c r="V4" t="s">
        <v>70</v>
      </c>
      <c r="W4" t="s">
        <v>52</v>
      </c>
      <c r="Y4">
        <v>45041</v>
      </c>
      <c r="Z4" t="s">
        <v>71</v>
      </c>
      <c r="AA4" t="s">
        <v>54</v>
      </c>
      <c r="AB4" t="s">
        <v>55</v>
      </c>
      <c r="AC4" t="s">
        <v>66</v>
      </c>
      <c r="AD4" t="s">
        <v>67</v>
      </c>
      <c r="AE4" s="7">
        <v>45555</v>
      </c>
      <c r="AF4" s="7">
        <v>45566</v>
      </c>
      <c r="AG4">
        <v>5274878</v>
      </c>
      <c r="AH4">
        <v>10351699835</v>
      </c>
      <c r="AI4" s="8"/>
      <c r="AJ4" t="s">
        <v>58</v>
      </c>
      <c r="AK4" t="s">
        <v>59</v>
      </c>
      <c r="AL4">
        <v>5</v>
      </c>
      <c r="AM4" s="7">
        <v>45689</v>
      </c>
      <c r="AN4" s="7">
        <v>45716</v>
      </c>
      <c r="AO4" s="8">
        <v>25</v>
      </c>
      <c r="AP4" s="9">
        <v>0.32</v>
      </c>
      <c r="AQ4">
        <v>1289997165</v>
      </c>
      <c r="AS4" t="s">
        <v>60</v>
      </c>
      <c r="BB4" s="7"/>
      <c r="BD4" s="10"/>
      <c r="BF4" s="11"/>
      <c r="BG4" s="7"/>
      <c r="CF4" s="1"/>
    </row>
    <row r="5" spans="1:85" x14ac:dyDescent="0.25">
      <c r="A5" s="7">
        <v>45688</v>
      </c>
      <c r="B5" s="7">
        <v>45691</v>
      </c>
      <c r="C5" t="s">
        <v>45</v>
      </c>
      <c r="D5" t="s">
        <v>46</v>
      </c>
      <c r="F5" s="1">
        <v>8</v>
      </c>
      <c r="G5" s="1">
        <v>0</v>
      </c>
      <c r="H5" s="1">
        <v>8</v>
      </c>
      <c r="I5">
        <v>653470</v>
      </c>
      <c r="J5" t="s">
        <v>47</v>
      </c>
      <c r="P5">
        <v>683200961</v>
      </c>
      <c r="R5" t="s">
        <v>72</v>
      </c>
      <c r="S5" t="s">
        <v>73</v>
      </c>
      <c r="T5" t="s">
        <v>50</v>
      </c>
      <c r="U5">
        <v>678726</v>
      </c>
      <c r="V5" t="s">
        <v>70</v>
      </c>
      <c r="W5" t="s">
        <v>52</v>
      </c>
      <c r="Y5">
        <v>45041</v>
      </c>
      <c r="Z5" t="s">
        <v>71</v>
      </c>
      <c r="AA5" t="s">
        <v>54</v>
      </c>
      <c r="AB5" t="s">
        <v>55</v>
      </c>
      <c r="AC5" t="s">
        <v>66</v>
      </c>
      <c r="AD5" t="s">
        <v>67</v>
      </c>
      <c r="AE5" s="7">
        <v>45568</v>
      </c>
      <c r="AF5" s="7">
        <v>45597</v>
      </c>
      <c r="AG5">
        <v>364560725</v>
      </c>
      <c r="AH5">
        <v>10365809041</v>
      </c>
      <c r="AI5" s="8"/>
      <c r="AJ5" t="s">
        <v>58</v>
      </c>
      <c r="AK5" t="s">
        <v>74</v>
      </c>
      <c r="AL5">
        <v>4</v>
      </c>
      <c r="AM5" s="7">
        <v>45689</v>
      </c>
      <c r="AN5" s="7">
        <v>45716</v>
      </c>
      <c r="AO5" s="8">
        <v>25</v>
      </c>
      <c r="AP5" s="9">
        <v>0.32</v>
      </c>
      <c r="AQ5">
        <v>1289997377</v>
      </c>
      <c r="AS5" t="s">
        <v>60</v>
      </c>
      <c r="BB5" s="7"/>
      <c r="BD5" s="10"/>
      <c r="BF5" s="11"/>
      <c r="CF5" s="1"/>
    </row>
    <row r="6" spans="1:85" x14ac:dyDescent="0.25">
      <c r="A6" s="7">
        <v>45688</v>
      </c>
      <c r="B6" s="7">
        <v>45691</v>
      </c>
      <c r="C6" t="s">
        <v>45</v>
      </c>
      <c r="D6" t="s">
        <v>46</v>
      </c>
      <c r="F6" s="1">
        <v>29.44</v>
      </c>
      <c r="G6" s="1">
        <v>0</v>
      </c>
      <c r="H6" s="1">
        <v>29.44</v>
      </c>
      <c r="I6">
        <v>653470</v>
      </c>
      <c r="J6" t="s">
        <v>47</v>
      </c>
      <c r="P6">
        <v>683720644</v>
      </c>
      <c r="R6" t="s">
        <v>75</v>
      </c>
      <c r="S6" t="s">
        <v>76</v>
      </c>
      <c r="T6" t="s">
        <v>50</v>
      </c>
      <c r="U6">
        <v>678726</v>
      </c>
      <c r="V6" t="s">
        <v>70</v>
      </c>
      <c r="W6" t="s">
        <v>52</v>
      </c>
      <c r="Y6">
        <v>45041</v>
      </c>
      <c r="Z6" t="s">
        <v>71</v>
      </c>
      <c r="AA6" t="s">
        <v>77</v>
      </c>
      <c r="AB6" t="s">
        <v>55</v>
      </c>
      <c r="AC6" t="s">
        <v>66</v>
      </c>
      <c r="AD6" t="s">
        <v>67</v>
      </c>
      <c r="AE6" s="7">
        <v>45657</v>
      </c>
      <c r="AF6" s="7">
        <v>45658</v>
      </c>
      <c r="AG6">
        <v>108620713</v>
      </c>
      <c r="AH6">
        <v>10364339243</v>
      </c>
      <c r="AI6" s="8"/>
      <c r="AJ6" t="s">
        <v>58</v>
      </c>
      <c r="AK6" t="s">
        <v>74</v>
      </c>
      <c r="AL6">
        <v>2</v>
      </c>
      <c r="AM6" s="7">
        <v>45689</v>
      </c>
      <c r="AN6" s="7">
        <v>45716</v>
      </c>
      <c r="AO6" s="8">
        <v>92</v>
      </c>
      <c r="AP6" s="9">
        <v>0.32</v>
      </c>
      <c r="AQ6">
        <v>1290003749</v>
      </c>
      <c r="AS6" t="s">
        <v>60</v>
      </c>
      <c r="BB6" s="7"/>
      <c r="BD6" s="10"/>
      <c r="BF6" s="11"/>
      <c r="BG6" s="7"/>
      <c r="CF6" s="1"/>
    </row>
    <row r="7" spans="1:85" x14ac:dyDescent="0.25">
      <c r="A7" s="7">
        <v>45688</v>
      </c>
      <c r="B7" s="7">
        <v>45691</v>
      </c>
      <c r="C7" t="s">
        <v>45</v>
      </c>
      <c r="D7" t="s">
        <v>46</v>
      </c>
      <c r="F7" s="1">
        <v>7.4</v>
      </c>
      <c r="G7" s="1">
        <v>0</v>
      </c>
      <c r="H7" s="1">
        <v>7.4</v>
      </c>
      <c r="I7">
        <v>653470</v>
      </c>
      <c r="J7" t="s">
        <v>47</v>
      </c>
      <c r="P7">
        <v>683720644</v>
      </c>
      <c r="R7" t="s">
        <v>75</v>
      </c>
      <c r="S7" t="s">
        <v>76</v>
      </c>
      <c r="T7" t="s">
        <v>50</v>
      </c>
      <c r="U7">
        <v>678726</v>
      </c>
      <c r="V7" t="s">
        <v>70</v>
      </c>
      <c r="W7" t="s">
        <v>52</v>
      </c>
      <c r="Y7">
        <v>38593</v>
      </c>
      <c r="Z7" t="s">
        <v>53</v>
      </c>
      <c r="AA7" t="s">
        <v>77</v>
      </c>
      <c r="AB7" t="s">
        <v>55</v>
      </c>
      <c r="AC7" t="s">
        <v>56</v>
      </c>
      <c r="AD7" t="s">
        <v>57</v>
      </c>
      <c r="AE7" s="7">
        <v>45657</v>
      </c>
      <c r="AF7" s="7">
        <v>45658</v>
      </c>
      <c r="AG7">
        <v>750251718</v>
      </c>
      <c r="AH7">
        <v>10364339243</v>
      </c>
      <c r="AI7" s="8"/>
      <c r="AJ7" t="s">
        <v>58</v>
      </c>
      <c r="AK7" t="s">
        <v>74</v>
      </c>
      <c r="AL7">
        <v>2</v>
      </c>
      <c r="AM7" s="7">
        <v>45689</v>
      </c>
      <c r="AN7" s="7">
        <v>45716</v>
      </c>
      <c r="AO7" s="8">
        <v>20</v>
      </c>
      <c r="AP7" s="9">
        <v>0.37</v>
      </c>
      <c r="AQ7">
        <v>1290003745</v>
      </c>
      <c r="AS7" t="s">
        <v>60</v>
      </c>
      <c r="BB7" s="7"/>
      <c r="BD7" s="10"/>
      <c r="BF7" s="11"/>
      <c r="BG7" s="7"/>
      <c r="CF7" s="1"/>
    </row>
    <row r="8" spans="1:85" x14ac:dyDescent="0.25">
      <c r="A8" s="7">
        <v>45687</v>
      </c>
      <c r="B8" s="7">
        <v>45691</v>
      </c>
      <c r="C8" t="s">
        <v>45</v>
      </c>
      <c r="D8" t="s">
        <v>46</v>
      </c>
      <c r="F8" s="1">
        <v>16</v>
      </c>
      <c r="G8" s="1">
        <v>0</v>
      </c>
      <c r="H8" s="1">
        <v>16</v>
      </c>
      <c r="I8">
        <v>653470</v>
      </c>
      <c r="J8" t="s">
        <v>47</v>
      </c>
      <c r="P8">
        <v>683654568</v>
      </c>
      <c r="R8" t="s">
        <v>78</v>
      </c>
      <c r="S8" t="s">
        <v>79</v>
      </c>
      <c r="T8" t="s">
        <v>50</v>
      </c>
      <c r="U8">
        <v>678726</v>
      </c>
      <c r="V8" t="s">
        <v>70</v>
      </c>
      <c r="W8" t="s">
        <v>52</v>
      </c>
      <c r="Y8">
        <v>45041</v>
      </c>
      <c r="Z8" t="s">
        <v>71</v>
      </c>
      <c r="AA8" t="s">
        <v>80</v>
      </c>
      <c r="AB8" t="s">
        <v>55</v>
      </c>
      <c r="AC8" t="s">
        <v>66</v>
      </c>
      <c r="AD8" t="s">
        <v>67</v>
      </c>
      <c r="AE8" s="7">
        <v>45642</v>
      </c>
      <c r="AF8" s="7">
        <v>45658</v>
      </c>
      <c r="AG8">
        <v>760186562</v>
      </c>
      <c r="AH8">
        <v>10349603857</v>
      </c>
      <c r="AI8" s="8"/>
      <c r="AJ8" t="s">
        <v>58</v>
      </c>
      <c r="AK8" t="s">
        <v>59</v>
      </c>
      <c r="AL8">
        <v>2</v>
      </c>
      <c r="AM8" s="7">
        <v>45689</v>
      </c>
      <c r="AN8" s="7">
        <v>45716</v>
      </c>
      <c r="AO8" s="8">
        <v>50</v>
      </c>
      <c r="AP8" s="9">
        <v>0.32</v>
      </c>
      <c r="AQ8">
        <v>1290008584</v>
      </c>
      <c r="AS8" t="s">
        <v>60</v>
      </c>
      <c r="BB8" s="7"/>
      <c r="BD8" s="10"/>
      <c r="BF8" s="11"/>
      <c r="CF8" s="1"/>
    </row>
    <row r="9" spans="1:85" x14ac:dyDescent="0.25">
      <c r="A9" s="7">
        <v>45687</v>
      </c>
      <c r="B9" s="7">
        <v>45691</v>
      </c>
      <c r="C9" t="s">
        <v>45</v>
      </c>
      <c r="D9" t="s">
        <v>46</v>
      </c>
      <c r="F9" s="1">
        <v>17.760000000000002</v>
      </c>
      <c r="G9" s="1">
        <v>0</v>
      </c>
      <c r="H9" s="1">
        <v>17.760000000000002</v>
      </c>
      <c r="I9">
        <v>653470</v>
      </c>
      <c r="J9" t="s">
        <v>47</v>
      </c>
      <c r="P9">
        <v>683534011</v>
      </c>
      <c r="R9" t="s">
        <v>81</v>
      </c>
      <c r="S9" t="s">
        <v>82</v>
      </c>
      <c r="T9" t="s">
        <v>83</v>
      </c>
      <c r="U9">
        <v>689390</v>
      </c>
      <c r="V9" t="s">
        <v>84</v>
      </c>
      <c r="W9" t="s">
        <v>52</v>
      </c>
      <c r="Y9">
        <v>38399</v>
      </c>
      <c r="Z9" t="s">
        <v>85</v>
      </c>
      <c r="AA9" t="s">
        <v>54</v>
      </c>
      <c r="AB9" t="s">
        <v>55</v>
      </c>
      <c r="AC9" t="s">
        <v>66</v>
      </c>
      <c r="AD9" t="s">
        <v>67</v>
      </c>
      <c r="AE9" s="7">
        <v>45628</v>
      </c>
      <c r="AF9" s="7">
        <v>45658</v>
      </c>
      <c r="AG9">
        <v>303162685</v>
      </c>
      <c r="AH9">
        <v>10347191436</v>
      </c>
      <c r="AI9" s="8"/>
      <c r="AJ9" t="s">
        <v>58</v>
      </c>
      <c r="AK9" t="s">
        <v>59</v>
      </c>
      <c r="AL9">
        <v>2</v>
      </c>
      <c r="AM9" s="7">
        <v>45689</v>
      </c>
      <c r="AN9" s="7">
        <v>45716</v>
      </c>
      <c r="AO9" s="8">
        <v>74</v>
      </c>
      <c r="AP9" s="9">
        <v>0.24</v>
      </c>
      <c r="AQ9">
        <v>1290018672</v>
      </c>
      <c r="AS9" t="s">
        <v>60</v>
      </c>
      <c r="BB9" s="7"/>
      <c r="BD9" s="10"/>
      <c r="BF9" s="11"/>
      <c r="CF9" s="1"/>
    </row>
    <row r="10" spans="1:85" x14ac:dyDescent="0.25">
      <c r="A10" s="7">
        <v>45687</v>
      </c>
      <c r="B10" s="7">
        <v>45691</v>
      </c>
      <c r="C10" t="s">
        <v>45</v>
      </c>
      <c r="D10" t="s">
        <v>46</v>
      </c>
      <c r="F10" s="1">
        <v>4.07</v>
      </c>
      <c r="G10" s="1">
        <v>0</v>
      </c>
      <c r="H10" s="1">
        <v>4.07</v>
      </c>
      <c r="I10">
        <v>653470</v>
      </c>
      <c r="J10" t="s">
        <v>47</v>
      </c>
      <c r="P10">
        <v>683178395</v>
      </c>
      <c r="R10" t="s">
        <v>86</v>
      </c>
      <c r="S10" t="s">
        <v>87</v>
      </c>
      <c r="T10" t="s">
        <v>50</v>
      </c>
      <c r="U10">
        <v>678726</v>
      </c>
      <c r="V10" t="s">
        <v>70</v>
      </c>
      <c r="W10" t="s">
        <v>52</v>
      </c>
      <c r="Y10">
        <v>38593</v>
      </c>
      <c r="Z10" t="s">
        <v>53</v>
      </c>
      <c r="AA10" t="s">
        <v>54</v>
      </c>
      <c r="AB10" t="s">
        <v>55</v>
      </c>
      <c r="AC10" t="s">
        <v>56</v>
      </c>
      <c r="AD10" t="s">
        <v>57</v>
      </c>
      <c r="AE10" s="7">
        <v>45565</v>
      </c>
      <c r="AF10" s="7">
        <v>45566</v>
      </c>
      <c r="AG10">
        <v>973153223</v>
      </c>
      <c r="AH10">
        <v>10361191229</v>
      </c>
      <c r="AI10" s="8"/>
      <c r="AJ10" t="s">
        <v>58</v>
      </c>
      <c r="AK10" t="s">
        <v>74</v>
      </c>
      <c r="AL10">
        <v>5</v>
      </c>
      <c r="AM10" s="7">
        <v>45689</v>
      </c>
      <c r="AN10" s="7">
        <v>45716</v>
      </c>
      <c r="AO10" s="8">
        <v>11</v>
      </c>
      <c r="AP10" s="9">
        <v>0.37</v>
      </c>
      <c r="AQ10">
        <v>1290043732</v>
      </c>
      <c r="AS10" t="s">
        <v>60</v>
      </c>
      <c r="BB10" s="7"/>
      <c r="BD10" s="10"/>
      <c r="BF10" s="11"/>
      <c r="CF10" s="1"/>
    </row>
    <row r="11" spans="1:85" x14ac:dyDescent="0.25">
      <c r="A11" s="7">
        <v>45687</v>
      </c>
      <c r="B11" s="7">
        <v>45691</v>
      </c>
      <c r="C11" t="s">
        <v>45</v>
      </c>
      <c r="D11" t="s">
        <v>46</v>
      </c>
      <c r="F11" s="1">
        <v>8</v>
      </c>
      <c r="G11" s="1">
        <v>0</v>
      </c>
      <c r="H11" s="1">
        <v>8</v>
      </c>
      <c r="I11">
        <v>653470</v>
      </c>
      <c r="J11" t="s">
        <v>47</v>
      </c>
      <c r="P11">
        <v>683178395</v>
      </c>
      <c r="R11" t="s">
        <v>86</v>
      </c>
      <c r="S11" t="s">
        <v>87</v>
      </c>
      <c r="T11" t="s">
        <v>50</v>
      </c>
      <c r="U11">
        <v>678726</v>
      </c>
      <c r="V11" t="s">
        <v>70</v>
      </c>
      <c r="W11" t="s">
        <v>52</v>
      </c>
      <c r="Y11">
        <v>45041</v>
      </c>
      <c r="Z11" t="s">
        <v>71</v>
      </c>
      <c r="AA11" t="s">
        <v>54</v>
      </c>
      <c r="AB11" t="s">
        <v>55</v>
      </c>
      <c r="AC11" t="s">
        <v>66</v>
      </c>
      <c r="AD11" t="s">
        <v>67</v>
      </c>
      <c r="AE11" s="7">
        <v>45565</v>
      </c>
      <c r="AF11" s="7">
        <v>45566</v>
      </c>
      <c r="AG11">
        <v>168352383</v>
      </c>
      <c r="AH11">
        <v>10361191229</v>
      </c>
      <c r="AI11" s="8"/>
      <c r="AJ11" t="s">
        <v>58</v>
      </c>
      <c r="AK11" t="s">
        <v>74</v>
      </c>
      <c r="AL11">
        <v>5</v>
      </c>
      <c r="AM11" s="7">
        <v>45689</v>
      </c>
      <c r="AN11" s="7">
        <v>45716</v>
      </c>
      <c r="AO11" s="8">
        <v>25</v>
      </c>
      <c r="AP11" s="9">
        <v>0.32</v>
      </c>
      <c r="AQ11">
        <v>1290043734</v>
      </c>
      <c r="AS11" t="s">
        <v>60</v>
      </c>
      <c r="BB11" s="7"/>
      <c r="BD11" s="10"/>
      <c r="BF11" s="11"/>
      <c r="CF11" s="1"/>
    </row>
    <row r="12" spans="1:85" x14ac:dyDescent="0.25">
      <c r="A12" s="7">
        <v>45687</v>
      </c>
      <c r="B12" s="7">
        <v>45691</v>
      </c>
      <c r="C12" t="s">
        <v>45</v>
      </c>
      <c r="D12" t="s">
        <v>46</v>
      </c>
      <c r="F12" s="1">
        <v>17.04</v>
      </c>
      <c r="G12" s="1">
        <v>0</v>
      </c>
      <c r="H12" s="1">
        <v>17.04</v>
      </c>
      <c r="I12">
        <v>653470</v>
      </c>
      <c r="J12" t="s">
        <v>47</v>
      </c>
      <c r="P12">
        <v>682763750</v>
      </c>
      <c r="R12" t="s">
        <v>88</v>
      </c>
      <c r="S12" t="s">
        <v>89</v>
      </c>
      <c r="T12" t="s">
        <v>63</v>
      </c>
      <c r="U12">
        <v>757386</v>
      </c>
      <c r="V12" t="s">
        <v>90</v>
      </c>
      <c r="W12" t="s">
        <v>52</v>
      </c>
      <c r="Y12">
        <v>38399</v>
      </c>
      <c r="Z12" t="s">
        <v>85</v>
      </c>
      <c r="AA12" t="s">
        <v>54</v>
      </c>
      <c r="AB12" t="s">
        <v>55</v>
      </c>
      <c r="AC12" t="s">
        <v>66</v>
      </c>
      <c r="AD12" t="s">
        <v>67</v>
      </c>
      <c r="AE12" s="7">
        <v>45467</v>
      </c>
      <c r="AF12" s="7">
        <v>45474</v>
      </c>
      <c r="AG12">
        <v>128908745</v>
      </c>
      <c r="AH12">
        <v>10343661915</v>
      </c>
      <c r="AI12" s="8"/>
      <c r="AJ12" t="s">
        <v>58</v>
      </c>
      <c r="AK12" t="s">
        <v>59</v>
      </c>
      <c r="AL12">
        <v>8</v>
      </c>
      <c r="AM12" s="7">
        <v>45689</v>
      </c>
      <c r="AN12" s="7">
        <v>45716</v>
      </c>
      <c r="AO12" s="8">
        <v>71</v>
      </c>
      <c r="AP12" s="9">
        <v>0.24</v>
      </c>
      <c r="AQ12">
        <v>1290055758</v>
      </c>
      <c r="AS12" t="s">
        <v>60</v>
      </c>
      <c r="BB12" s="7"/>
      <c r="BD12" s="10"/>
      <c r="BF12" s="11"/>
      <c r="BG12" s="7"/>
      <c r="CF12" s="1"/>
    </row>
    <row r="13" spans="1:85" x14ac:dyDescent="0.25">
      <c r="A13" s="7">
        <v>45687</v>
      </c>
      <c r="B13" s="7">
        <v>45691</v>
      </c>
      <c r="C13" t="s">
        <v>45</v>
      </c>
      <c r="D13" t="s">
        <v>46</v>
      </c>
      <c r="F13" s="1">
        <v>14.4</v>
      </c>
      <c r="G13" s="1">
        <v>0</v>
      </c>
      <c r="H13" s="1">
        <v>14.4</v>
      </c>
      <c r="I13">
        <v>653470</v>
      </c>
      <c r="J13" t="s">
        <v>47</v>
      </c>
      <c r="P13">
        <v>681647925</v>
      </c>
      <c r="R13" t="s">
        <v>91</v>
      </c>
      <c r="S13" t="s">
        <v>92</v>
      </c>
      <c r="T13" t="s">
        <v>93</v>
      </c>
      <c r="U13">
        <v>689390</v>
      </c>
      <c r="V13" t="s">
        <v>84</v>
      </c>
      <c r="W13" t="s">
        <v>52</v>
      </c>
      <c r="Y13">
        <v>38399</v>
      </c>
      <c r="Z13" t="s">
        <v>85</v>
      </c>
      <c r="AA13" t="s">
        <v>54</v>
      </c>
      <c r="AB13" t="s">
        <v>55</v>
      </c>
      <c r="AC13" t="s">
        <v>66</v>
      </c>
      <c r="AD13" t="s">
        <v>67</v>
      </c>
      <c r="AE13" s="7">
        <v>45230</v>
      </c>
      <c r="AF13" s="7">
        <v>45231</v>
      </c>
      <c r="AG13">
        <v>386395185</v>
      </c>
      <c r="AH13">
        <v>10361268777</v>
      </c>
      <c r="AI13" s="8"/>
      <c r="AJ13" t="s">
        <v>58</v>
      </c>
      <c r="AK13" t="s">
        <v>74</v>
      </c>
      <c r="AL13">
        <v>16</v>
      </c>
      <c r="AM13" s="7">
        <v>45689</v>
      </c>
      <c r="AN13" s="7">
        <v>45716</v>
      </c>
      <c r="AO13" s="8">
        <v>60</v>
      </c>
      <c r="AP13" s="9">
        <v>0.24</v>
      </c>
      <c r="AQ13">
        <v>1290031670</v>
      </c>
      <c r="AS13" t="s">
        <v>60</v>
      </c>
      <c r="BB13" s="7"/>
      <c r="BD13" s="10"/>
      <c r="BF13" s="11"/>
      <c r="BG13" s="7"/>
      <c r="CF13" s="1"/>
    </row>
    <row r="14" spans="1:85" x14ac:dyDescent="0.25">
      <c r="A14" s="7">
        <v>45686</v>
      </c>
      <c r="B14" s="7">
        <v>45691</v>
      </c>
      <c r="C14" t="s">
        <v>45</v>
      </c>
      <c r="D14" t="s">
        <v>46</v>
      </c>
      <c r="F14" s="1">
        <v>1.8</v>
      </c>
      <c r="G14" s="1">
        <v>0</v>
      </c>
      <c r="H14" s="1">
        <v>1.8</v>
      </c>
      <c r="I14">
        <v>653470</v>
      </c>
      <c r="J14" t="s">
        <v>47</v>
      </c>
      <c r="P14">
        <v>681957774</v>
      </c>
      <c r="R14" t="s">
        <v>94</v>
      </c>
      <c r="S14" t="s">
        <v>95</v>
      </c>
      <c r="T14" t="s">
        <v>96</v>
      </c>
      <c r="U14">
        <v>720542</v>
      </c>
      <c r="V14" t="s">
        <v>97</v>
      </c>
      <c r="W14" t="s">
        <v>52</v>
      </c>
      <c r="Y14">
        <v>38399</v>
      </c>
      <c r="Z14" t="s">
        <v>85</v>
      </c>
      <c r="AA14" t="s">
        <v>54</v>
      </c>
      <c r="AB14" t="s">
        <v>55</v>
      </c>
      <c r="AC14" t="s">
        <v>66</v>
      </c>
      <c r="AD14" t="s">
        <v>67</v>
      </c>
      <c r="AE14" s="7">
        <v>45291</v>
      </c>
      <c r="AF14" s="7">
        <v>45292</v>
      </c>
      <c r="AG14">
        <v>475902412</v>
      </c>
      <c r="AH14">
        <v>10358034707</v>
      </c>
      <c r="AI14" s="8"/>
      <c r="AJ14" t="s">
        <v>58</v>
      </c>
      <c r="AK14" t="s">
        <v>74</v>
      </c>
      <c r="AL14">
        <v>14</v>
      </c>
      <c r="AM14" s="7">
        <v>45689</v>
      </c>
      <c r="AN14" s="7">
        <v>45716</v>
      </c>
      <c r="AO14" s="8">
        <v>60</v>
      </c>
      <c r="AP14" s="9">
        <v>0.03</v>
      </c>
      <c r="AQ14">
        <v>1290088294</v>
      </c>
      <c r="AS14" t="s">
        <v>60</v>
      </c>
      <c r="BB14" s="7"/>
      <c r="BD14" s="10"/>
      <c r="BF14" s="11"/>
      <c r="BG14" s="7"/>
      <c r="CF14" s="1"/>
    </row>
    <row r="15" spans="1:85" x14ac:dyDescent="0.25">
      <c r="A15" s="7">
        <v>45686</v>
      </c>
      <c r="B15" s="7">
        <v>45691</v>
      </c>
      <c r="C15" t="s">
        <v>45</v>
      </c>
      <c r="D15" t="s">
        <v>46</v>
      </c>
      <c r="F15" s="1">
        <v>0.33</v>
      </c>
      <c r="G15" s="1">
        <v>0</v>
      </c>
      <c r="H15" s="1">
        <v>0.33</v>
      </c>
      <c r="I15">
        <v>653470</v>
      </c>
      <c r="J15" t="s">
        <v>47</v>
      </c>
      <c r="P15">
        <v>681957774</v>
      </c>
      <c r="R15" t="s">
        <v>94</v>
      </c>
      <c r="S15" t="s">
        <v>95</v>
      </c>
      <c r="T15" t="s">
        <v>96</v>
      </c>
      <c r="U15">
        <v>720542</v>
      </c>
      <c r="V15" t="s">
        <v>97</v>
      </c>
      <c r="W15" t="s">
        <v>52</v>
      </c>
      <c r="Y15">
        <v>38593</v>
      </c>
      <c r="Z15" t="s">
        <v>53</v>
      </c>
      <c r="AA15" t="s">
        <v>54</v>
      </c>
      <c r="AB15" t="s">
        <v>55</v>
      </c>
      <c r="AC15" t="s">
        <v>56</v>
      </c>
      <c r="AD15" t="s">
        <v>57</v>
      </c>
      <c r="AE15" s="7">
        <v>45291</v>
      </c>
      <c r="AF15" s="7">
        <v>45292</v>
      </c>
      <c r="AG15">
        <v>134232423</v>
      </c>
      <c r="AH15">
        <v>10358034707</v>
      </c>
      <c r="AI15" s="8"/>
      <c r="AJ15" t="s">
        <v>58</v>
      </c>
      <c r="AK15" t="s">
        <v>74</v>
      </c>
      <c r="AL15">
        <v>14</v>
      </c>
      <c r="AM15" s="7">
        <v>45689</v>
      </c>
      <c r="AN15" s="7">
        <v>45716</v>
      </c>
      <c r="AO15" s="8">
        <v>11</v>
      </c>
      <c r="AP15" s="9">
        <v>0.03</v>
      </c>
      <c r="AQ15">
        <v>1290088297</v>
      </c>
      <c r="AS15" t="s">
        <v>60</v>
      </c>
      <c r="BB15" s="7"/>
      <c r="BD15" s="10"/>
      <c r="BF15" s="11"/>
      <c r="BG15" s="7"/>
      <c r="CF15" s="1"/>
    </row>
    <row r="16" spans="1:85" x14ac:dyDescent="0.25">
      <c r="A16" s="7">
        <v>45686</v>
      </c>
      <c r="B16" s="7">
        <v>45691</v>
      </c>
      <c r="C16" t="s">
        <v>45</v>
      </c>
      <c r="D16" t="s">
        <v>46</v>
      </c>
      <c r="F16" s="1">
        <v>5.55</v>
      </c>
      <c r="G16" s="1">
        <v>0</v>
      </c>
      <c r="H16" s="1">
        <v>5.55</v>
      </c>
      <c r="I16">
        <v>653470</v>
      </c>
      <c r="J16" t="s">
        <v>47</v>
      </c>
      <c r="P16">
        <v>683048932</v>
      </c>
      <c r="R16" t="s">
        <v>98</v>
      </c>
      <c r="S16" t="s">
        <v>99</v>
      </c>
      <c r="T16" t="s">
        <v>63</v>
      </c>
      <c r="U16">
        <v>764002</v>
      </c>
      <c r="V16" t="s">
        <v>100</v>
      </c>
      <c r="W16" t="s">
        <v>52</v>
      </c>
      <c r="Y16">
        <v>38593</v>
      </c>
      <c r="Z16" t="s">
        <v>53</v>
      </c>
      <c r="AA16" t="s">
        <v>101</v>
      </c>
      <c r="AB16" t="s">
        <v>55</v>
      </c>
      <c r="AC16" t="s">
        <v>56</v>
      </c>
      <c r="AD16" t="s">
        <v>57</v>
      </c>
      <c r="AE16" s="7">
        <v>45533</v>
      </c>
      <c r="AF16" s="7">
        <v>45536</v>
      </c>
      <c r="AG16">
        <v>911462605</v>
      </c>
      <c r="AH16">
        <v>10358022809</v>
      </c>
      <c r="AI16" s="8"/>
      <c r="AJ16" t="s">
        <v>58</v>
      </c>
      <c r="AK16" t="s">
        <v>74</v>
      </c>
      <c r="AL16">
        <v>6</v>
      </c>
      <c r="AM16" s="7">
        <v>45689</v>
      </c>
      <c r="AN16" s="7">
        <v>45716</v>
      </c>
      <c r="AO16" s="8">
        <v>15</v>
      </c>
      <c r="AP16" s="9">
        <v>0.37</v>
      </c>
      <c r="AQ16">
        <v>1290091316</v>
      </c>
      <c r="AS16" t="s">
        <v>60</v>
      </c>
      <c r="BB16" s="7"/>
      <c r="BD16" s="10"/>
      <c r="BF16" s="11"/>
      <c r="BG16" s="7"/>
      <c r="CF16" s="1"/>
    </row>
    <row r="17" spans="1:84" x14ac:dyDescent="0.25">
      <c r="A17" s="7">
        <v>45686</v>
      </c>
      <c r="B17" s="7">
        <v>45691</v>
      </c>
      <c r="C17" t="s">
        <v>45</v>
      </c>
      <c r="D17" t="s">
        <v>46</v>
      </c>
      <c r="F17" s="1">
        <v>16</v>
      </c>
      <c r="G17" s="1">
        <v>0</v>
      </c>
      <c r="H17" s="1">
        <v>16</v>
      </c>
      <c r="I17">
        <v>653470</v>
      </c>
      <c r="J17" t="s">
        <v>47</v>
      </c>
      <c r="P17">
        <v>683275166</v>
      </c>
      <c r="R17" t="s">
        <v>102</v>
      </c>
      <c r="S17" t="s">
        <v>103</v>
      </c>
      <c r="T17" t="s">
        <v>50</v>
      </c>
      <c r="U17">
        <v>678726</v>
      </c>
      <c r="V17" t="s">
        <v>70</v>
      </c>
      <c r="W17" t="s">
        <v>52</v>
      </c>
      <c r="Y17">
        <v>45041</v>
      </c>
      <c r="Z17" t="s">
        <v>71</v>
      </c>
      <c r="AA17" t="s">
        <v>80</v>
      </c>
      <c r="AB17" t="s">
        <v>55</v>
      </c>
      <c r="AC17" t="s">
        <v>66</v>
      </c>
      <c r="AD17" t="s">
        <v>67</v>
      </c>
      <c r="AE17" s="7">
        <v>45588</v>
      </c>
      <c r="AF17" s="7">
        <v>45597</v>
      </c>
      <c r="AG17">
        <v>310854872</v>
      </c>
      <c r="AH17">
        <v>10340557009</v>
      </c>
      <c r="AI17" s="8"/>
      <c r="AJ17" t="s">
        <v>58</v>
      </c>
      <c r="AK17" t="s">
        <v>59</v>
      </c>
      <c r="AL17">
        <v>4</v>
      </c>
      <c r="AM17" s="7">
        <v>45689</v>
      </c>
      <c r="AN17" s="7">
        <v>45716</v>
      </c>
      <c r="AO17" s="8">
        <v>50</v>
      </c>
      <c r="AP17" s="9">
        <v>0.32</v>
      </c>
      <c r="AQ17">
        <v>1290066837</v>
      </c>
      <c r="AS17" t="s">
        <v>60</v>
      </c>
      <c r="BB17" s="7"/>
      <c r="BD17" s="10"/>
      <c r="BF17" s="11"/>
      <c r="CF17" s="1"/>
    </row>
    <row r="18" spans="1:84" x14ac:dyDescent="0.25">
      <c r="A18" s="7">
        <v>45686</v>
      </c>
      <c r="B18" s="7">
        <v>45691</v>
      </c>
      <c r="C18" t="s">
        <v>45</v>
      </c>
      <c r="D18" t="s">
        <v>46</v>
      </c>
      <c r="F18" s="1">
        <v>4.07</v>
      </c>
      <c r="G18" s="1">
        <v>0</v>
      </c>
      <c r="H18" s="1">
        <v>4.07</v>
      </c>
      <c r="I18">
        <v>653470</v>
      </c>
      <c r="J18" t="s">
        <v>47</v>
      </c>
      <c r="P18">
        <v>683345802</v>
      </c>
      <c r="R18" t="s">
        <v>104</v>
      </c>
      <c r="S18" t="s">
        <v>105</v>
      </c>
      <c r="T18" t="s">
        <v>50</v>
      </c>
      <c r="U18">
        <v>678726</v>
      </c>
      <c r="V18" t="s">
        <v>70</v>
      </c>
      <c r="W18" t="s">
        <v>52</v>
      </c>
      <c r="Y18">
        <v>38593</v>
      </c>
      <c r="Z18" t="s">
        <v>53</v>
      </c>
      <c r="AA18" t="s">
        <v>54</v>
      </c>
      <c r="AB18" t="s">
        <v>55</v>
      </c>
      <c r="AC18" t="s">
        <v>56</v>
      </c>
      <c r="AD18" t="s">
        <v>57</v>
      </c>
      <c r="AE18" s="7">
        <v>45601</v>
      </c>
      <c r="AF18" s="7">
        <v>45627</v>
      </c>
      <c r="AG18">
        <v>880556692</v>
      </c>
      <c r="AH18">
        <v>10358023818</v>
      </c>
      <c r="AI18" s="8"/>
      <c r="AJ18" t="s">
        <v>58</v>
      </c>
      <c r="AK18" t="s">
        <v>74</v>
      </c>
      <c r="AL18">
        <v>3</v>
      </c>
      <c r="AM18" s="7">
        <v>45689</v>
      </c>
      <c r="AN18" s="7">
        <v>45716</v>
      </c>
      <c r="AO18" s="8">
        <v>11</v>
      </c>
      <c r="AP18" s="9">
        <v>0.37</v>
      </c>
      <c r="AQ18">
        <v>1290091046</v>
      </c>
      <c r="AS18" t="s">
        <v>60</v>
      </c>
      <c r="BB18" s="7"/>
      <c r="BD18" s="10"/>
      <c r="BF18" s="11"/>
      <c r="BG18" s="7"/>
      <c r="CF18" s="1"/>
    </row>
    <row r="19" spans="1:84" x14ac:dyDescent="0.25">
      <c r="A19" s="7">
        <v>45686</v>
      </c>
      <c r="B19" s="7">
        <v>45691</v>
      </c>
      <c r="C19" t="s">
        <v>45</v>
      </c>
      <c r="D19" t="s">
        <v>46</v>
      </c>
      <c r="F19" s="1">
        <v>8</v>
      </c>
      <c r="G19" s="1">
        <v>0</v>
      </c>
      <c r="H19" s="1">
        <v>8</v>
      </c>
      <c r="I19">
        <v>653470</v>
      </c>
      <c r="J19" t="s">
        <v>47</v>
      </c>
      <c r="P19">
        <v>683345802</v>
      </c>
      <c r="R19" t="s">
        <v>104</v>
      </c>
      <c r="S19" t="s">
        <v>105</v>
      </c>
      <c r="T19" t="s">
        <v>50</v>
      </c>
      <c r="U19">
        <v>678726</v>
      </c>
      <c r="V19" t="s">
        <v>70</v>
      </c>
      <c r="W19" t="s">
        <v>52</v>
      </c>
      <c r="Y19">
        <v>45041</v>
      </c>
      <c r="Z19" t="s">
        <v>71</v>
      </c>
      <c r="AA19" t="s">
        <v>54</v>
      </c>
      <c r="AB19" t="s">
        <v>55</v>
      </c>
      <c r="AC19" t="s">
        <v>66</v>
      </c>
      <c r="AD19" t="s">
        <v>67</v>
      </c>
      <c r="AE19" s="7">
        <v>45601</v>
      </c>
      <c r="AF19" s="7">
        <v>45627</v>
      </c>
      <c r="AG19">
        <v>216498659</v>
      </c>
      <c r="AH19">
        <v>10358023818</v>
      </c>
      <c r="AI19" s="8"/>
      <c r="AJ19" t="s">
        <v>58</v>
      </c>
      <c r="AK19" t="s">
        <v>74</v>
      </c>
      <c r="AL19">
        <v>3</v>
      </c>
      <c r="AM19" s="7">
        <v>45689</v>
      </c>
      <c r="AN19" s="7">
        <v>45716</v>
      </c>
      <c r="AO19" s="8">
        <v>25</v>
      </c>
      <c r="AP19" s="9">
        <v>0.32</v>
      </c>
      <c r="AQ19">
        <v>1290091050</v>
      </c>
      <c r="AS19" t="s">
        <v>60</v>
      </c>
      <c r="BB19" s="7"/>
      <c r="BD19" s="10"/>
      <c r="BF19" s="11"/>
      <c r="BG19" s="7"/>
      <c r="CF19" s="1"/>
    </row>
    <row r="20" spans="1:84" x14ac:dyDescent="0.25">
      <c r="A20" s="7">
        <v>45685</v>
      </c>
      <c r="B20" s="7">
        <v>45691</v>
      </c>
      <c r="C20" t="s">
        <v>45</v>
      </c>
      <c r="D20" t="s">
        <v>46</v>
      </c>
      <c r="F20" s="1">
        <v>8</v>
      </c>
      <c r="G20" s="1">
        <v>0</v>
      </c>
      <c r="H20" s="1">
        <v>8</v>
      </c>
      <c r="I20">
        <v>653470</v>
      </c>
      <c r="J20" t="s">
        <v>47</v>
      </c>
      <c r="P20">
        <v>683478651</v>
      </c>
      <c r="R20" t="s">
        <v>106</v>
      </c>
      <c r="S20" t="s">
        <v>107</v>
      </c>
      <c r="T20" t="s">
        <v>50</v>
      </c>
      <c r="U20">
        <v>678726</v>
      </c>
      <c r="V20" t="s">
        <v>70</v>
      </c>
      <c r="W20" t="s">
        <v>52</v>
      </c>
      <c r="Y20">
        <v>45041</v>
      </c>
      <c r="Z20" t="s">
        <v>71</v>
      </c>
      <c r="AA20" t="s">
        <v>54</v>
      </c>
      <c r="AB20" t="s">
        <v>55</v>
      </c>
      <c r="AC20" t="s">
        <v>66</v>
      </c>
      <c r="AD20" t="s">
        <v>67</v>
      </c>
      <c r="AE20" s="7">
        <v>45615</v>
      </c>
      <c r="AF20" s="7">
        <v>45627</v>
      </c>
      <c r="AG20">
        <v>698731916</v>
      </c>
      <c r="AH20">
        <v>10355061533</v>
      </c>
      <c r="AI20" s="8"/>
      <c r="AJ20" t="s">
        <v>58</v>
      </c>
      <c r="AK20" t="s">
        <v>74</v>
      </c>
      <c r="AL20">
        <v>3</v>
      </c>
      <c r="AM20" s="7">
        <v>45689</v>
      </c>
      <c r="AN20" s="7">
        <v>45716</v>
      </c>
      <c r="AO20" s="8">
        <v>25</v>
      </c>
      <c r="AP20" s="9">
        <v>0.32</v>
      </c>
      <c r="AQ20">
        <v>1290119376</v>
      </c>
      <c r="AS20" t="s">
        <v>60</v>
      </c>
      <c r="BB20" s="7"/>
      <c r="BD20" s="10"/>
      <c r="BF20" s="11"/>
      <c r="CF20" s="1"/>
    </row>
    <row r="21" spans="1:84" x14ac:dyDescent="0.25">
      <c r="A21" s="7">
        <v>45685</v>
      </c>
      <c r="B21" s="7">
        <v>45691</v>
      </c>
      <c r="C21" t="s">
        <v>45</v>
      </c>
      <c r="D21" t="s">
        <v>46</v>
      </c>
      <c r="F21" s="1">
        <v>9.6</v>
      </c>
      <c r="G21" s="1">
        <v>0</v>
      </c>
      <c r="H21" s="1">
        <v>9.6</v>
      </c>
      <c r="I21">
        <v>653470</v>
      </c>
      <c r="J21" t="s">
        <v>47</v>
      </c>
      <c r="P21">
        <v>683301317</v>
      </c>
      <c r="R21" t="s">
        <v>108</v>
      </c>
      <c r="S21" t="s">
        <v>109</v>
      </c>
      <c r="T21" t="s">
        <v>50</v>
      </c>
      <c r="U21">
        <v>706472</v>
      </c>
      <c r="V21" t="s">
        <v>110</v>
      </c>
      <c r="W21" t="s">
        <v>52</v>
      </c>
      <c r="Y21">
        <v>45041</v>
      </c>
      <c r="Z21" t="s">
        <v>71</v>
      </c>
      <c r="AA21" t="s">
        <v>54</v>
      </c>
      <c r="AB21" t="s">
        <v>55</v>
      </c>
      <c r="AC21" t="s">
        <v>66</v>
      </c>
      <c r="AD21" t="s">
        <v>67</v>
      </c>
      <c r="AE21" s="7">
        <v>45593</v>
      </c>
      <c r="AF21" s="7">
        <v>45597</v>
      </c>
      <c r="AG21">
        <v>459325166</v>
      </c>
      <c r="AH21">
        <v>10355058596</v>
      </c>
      <c r="AI21" s="8"/>
      <c r="AJ21" t="s">
        <v>58</v>
      </c>
      <c r="AK21" t="s">
        <v>74</v>
      </c>
      <c r="AL21">
        <v>4</v>
      </c>
      <c r="AM21" s="7">
        <v>45689</v>
      </c>
      <c r="AN21" s="7">
        <v>45716</v>
      </c>
      <c r="AO21" s="8">
        <v>30</v>
      </c>
      <c r="AP21" s="9">
        <v>0.32</v>
      </c>
      <c r="AQ21">
        <v>1290119991</v>
      </c>
      <c r="AS21" t="s">
        <v>60</v>
      </c>
      <c r="BB21" s="7"/>
      <c r="BD21" s="10"/>
      <c r="BF21" s="11"/>
      <c r="BG21" s="7"/>
      <c r="CF21" s="1"/>
    </row>
    <row r="22" spans="1:84" x14ac:dyDescent="0.25">
      <c r="A22" s="7">
        <v>45684</v>
      </c>
      <c r="B22" s="7">
        <v>45691</v>
      </c>
      <c r="C22" t="s">
        <v>45</v>
      </c>
      <c r="D22" t="s">
        <v>46</v>
      </c>
      <c r="F22" s="1">
        <v>9.6</v>
      </c>
      <c r="G22" s="1">
        <v>0</v>
      </c>
      <c r="H22" s="1">
        <v>9.6</v>
      </c>
      <c r="I22">
        <v>653470</v>
      </c>
      <c r="J22" t="s">
        <v>47</v>
      </c>
      <c r="P22">
        <v>683707400</v>
      </c>
      <c r="R22" t="s">
        <v>111</v>
      </c>
      <c r="S22" t="s">
        <v>112</v>
      </c>
      <c r="T22" t="s">
        <v>50</v>
      </c>
      <c r="U22">
        <v>678726</v>
      </c>
      <c r="V22" t="s">
        <v>70</v>
      </c>
      <c r="W22" t="s">
        <v>52</v>
      </c>
      <c r="Y22">
        <v>45041</v>
      </c>
      <c r="Z22" t="s">
        <v>71</v>
      </c>
      <c r="AA22" t="s">
        <v>54</v>
      </c>
      <c r="AB22" t="s">
        <v>55</v>
      </c>
      <c r="AC22" t="s">
        <v>66</v>
      </c>
      <c r="AD22" t="s">
        <v>67</v>
      </c>
      <c r="AE22" s="7">
        <v>45653</v>
      </c>
      <c r="AF22" s="7">
        <v>45658</v>
      </c>
      <c r="AG22">
        <v>128182846</v>
      </c>
      <c r="AH22">
        <v>10351696965</v>
      </c>
      <c r="AI22" s="8"/>
      <c r="AJ22" t="s">
        <v>58</v>
      </c>
      <c r="AK22" t="s">
        <v>74</v>
      </c>
      <c r="AL22">
        <v>2</v>
      </c>
      <c r="AM22" s="7">
        <v>45689</v>
      </c>
      <c r="AN22" s="7">
        <v>45716</v>
      </c>
      <c r="AO22" s="8">
        <v>30</v>
      </c>
      <c r="AP22" s="9">
        <v>0.32</v>
      </c>
      <c r="AQ22">
        <v>1290156241</v>
      </c>
      <c r="AS22" t="s">
        <v>60</v>
      </c>
      <c r="BB22" s="7"/>
      <c r="BD22" s="10"/>
      <c r="BF22" s="11"/>
      <c r="BG22" s="7"/>
      <c r="CF22" s="1"/>
    </row>
    <row r="23" spans="1:84" x14ac:dyDescent="0.25">
      <c r="A23" s="7">
        <v>45683</v>
      </c>
      <c r="B23" s="7">
        <v>45691</v>
      </c>
      <c r="C23" t="s">
        <v>45</v>
      </c>
      <c r="D23" t="s">
        <v>46</v>
      </c>
      <c r="F23" s="1">
        <v>8</v>
      </c>
      <c r="G23" s="1">
        <v>0</v>
      </c>
      <c r="H23" s="1">
        <v>8</v>
      </c>
      <c r="I23">
        <v>653470</v>
      </c>
      <c r="J23" t="s">
        <v>47</v>
      </c>
      <c r="P23">
        <v>683521026</v>
      </c>
      <c r="R23" t="s">
        <v>113</v>
      </c>
      <c r="S23" t="s">
        <v>114</v>
      </c>
      <c r="T23" t="s">
        <v>50</v>
      </c>
      <c r="U23">
        <v>678726</v>
      </c>
      <c r="V23" t="s">
        <v>70</v>
      </c>
      <c r="W23" t="s">
        <v>52</v>
      </c>
      <c r="Y23">
        <v>45041</v>
      </c>
      <c r="Z23" t="s">
        <v>71</v>
      </c>
      <c r="AA23" t="s">
        <v>54</v>
      </c>
      <c r="AB23" t="s">
        <v>55</v>
      </c>
      <c r="AC23" t="s">
        <v>66</v>
      </c>
      <c r="AD23" t="s">
        <v>67</v>
      </c>
      <c r="AE23" s="7">
        <v>45622</v>
      </c>
      <c r="AF23" s="7">
        <v>45627</v>
      </c>
      <c r="AG23">
        <v>228864968</v>
      </c>
      <c r="AH23">
        <v>10349603562</v>
      </c>
      <c r="AI23" s="8"/>
      <c r="AJ23" t="s">
        <v>58</v>
      </c>
      <c r="AK23" t="s">
        <v>74</v>
      </c>
      <c r="AL23">
        <v>3</v>
      </c>
      <c r="AM23" s="7">
        <v>45689</v>
      </c>
      <c r="AN23" s="7">
        <v>45716</v>
      </c>
      <c r="AO23" s="8">
        <v>25</v>
      </c>
      <c r="AP23" s="9">
        <v>0.32</v>
      </c>
      <c r="AQ23">
        <v>1290169055</v>
      </c>
      <c r="AS23" t="s">
        <v>60</v>
      </c>
      <c r="BB23" s="7"/>
      <c r="BD23" s="10"/>
      <c r="BF23" s="11"/>
      <c r="BG23" s="7"/>
      <c r="CF23" s="1"/>
    </row>
    <row r="24" spans="1:84" x14ac:dyDescent="0.25">
      <c r="A24" s="7">
        <v>45683</v>
      </c>
      <c r="B24" s="7">
        <v>45691</v>
      </c>
      <c r="C24" t="s">
        <v>45</v>
      </c>
      <c r="D24" t="s">
        <v>46</v>
      </c>
      <c r="F24" s="1">
        <v>8</v>
      </c>
      <c r="G24" s="1">
        <v>0</v>
      </c>
      <c r="H24" s="1">
        <v>8</v>
      </c>
      <c r="I24">
        <v>653470</v>
      </c>
      <c r="J24" t="s">
        <v>47</v>
      </c>
      <c r="P24">
        <v>683497808</v>
      </c>
      <c r="R24" t="s">
        <v>115</v>
      </c>
      <c r="S24" t="s">
        <v>116</v>
      </c>
      <c r="T24" t="s">
        <v>50</v>
      </c>
      <c r="U24">
        <v>678726</v>
      </c>
      <c r="V24" t="s">
        <v>70</v>
      </c>
      <c r="W24" t="s">
        <v>52</v>
      </c>
      <c r="Y24">
        <v>45041</v>
      </c>
      <c r="Z24" t="s">
        <v>71</v>
      </c>
      <c r="AA24" t="s">
        <v>54</v>
      </c>
      <c r="AB24" t="s">
        <v>55</v>
      </c>
      <c r="AC24" t="s">
        <v>66</v>
      </c>
      <c r="AD24" t="s">
        <v>67</v>
      </c>
      <c r="AE24" s="7">
        <v>45618</v>
      </c>
      <c r="AF24" s="7">
        <v>45627</v>
      </c>
      <c r="AG24">
        <v>998017756</v>
      </c>
      <c r="AH24">
        <v>10337595712</v>
      </c>
      <c r="AI24" s="8"/>
      <c r="AJ24" t="s">
        <v>58</v>
      </c>
      <c r="AK24" t="s">
        <v>59</v>
      </c>
      <c r="AL24">
        <v>3</v>
      </c>
      <c r="AM24" s="7">
        <v>45689</v>
      </c>
      <c r="AN24" s="7">
        <v>45716</v>
      </c>
      <c r="AO24" s="8">
        <v>25</v>
      </c>
      <c r="AP24" s="9">
        <v>0.32</v>
      </c>
      <c r="AQ24">
        <v>1290075176</v>
      </c>
      <c r="AS24" t="s">
        <v>60</v>
      </c>
      <c r="BB24" s="7"/>
      <c r="BD24" s="10"/>
      <c r="BF24" s="11"/>
      <c r="CF24" s="1"/>
    </row>
    <row r="25" spans="1:84" x14ac:dyDescent="0.25">
      <c r="A25" s="7">
        <v>45683</v>
      </c>
      <c r="B25" s="7">
        <v>45691</v>
      </c>
      <c r="C25" t="s">
        <v>45</v>
      </c>
      <c r="D25" t="s">
        <v>46</v>
      </c>
      <c r="F25" s="1">
        <v>8</v>
      </c>
      <c r="G25" s="1">
        <v>0</v>
      </c>
      <c r="H25" s="1">
        <v>8</v>
      </c>
      <c r="I25">
        <v>653470</v>
      </c>
      <c r="J25" t="s">
        <v>47</v>
      </c>
      <c r="P25">
        <v>683168016</v>
      </c>
      <c r="R25" t="s">
        <v>117</v>
      </c>
      <c r="S25" t="s">
        <v>118</v>
      </c>
      <c r="T25" t="s">
        <v>50</v>
      </c>
      <c r="U25">
        <v>678726</v>
      </c>
      <c r="V25" t="s">
        <v>70</v>
      </c>
      <c r="W25" t="s">
        <v>52</v>
      </c>
      <c r="Y25">
        <v>45041</v>
      </c>
      <c r="Z25" t="s">
        <v>71</v>
      </c>
      <c r="AA25" t="s">
        <v>54</v>
      </c>
      <c r="AB25" t="s">
        <v>55</v>
      </c>
      <c r="AC25" t="s">
        <v>66</v>
      </c>
      <c r="AD25" t="s">
        <v>67</v>
      </c>
      <c r="AE25" s="7">
        <v>45561</v>
      </c>
      <c r="AF25" s="7">
        <v>45566</v>
      </c>
      <c r="AG25">
        <v>524461911</v>
      </c>
      <c r="AH25">
        <v>10349602523</v>
      </c>
      <c r="AI25" s="8"/>
      <c r="AJ25" t="s">
        <v>58</v>
      </c>
      <c r="AK25" t="s">
        <v>74</v>
      </c>
      <c r="AL25">
        <v>5</v>
      </c>
      <c r="AM25" s="7">
        <v>45689</v>
      </c>
      <c r="AN25" s="7">
        <v>45716</v>
      </c>
      <c r="AO25" s="8">
        <v>25</v>
      </c>
      <c r="AP25" s="9">
        <v>0.32</v>
      </c>
      <c r="AQ25">
        <v>1290169650</v>
      </c>
      <c r="AS25" t="s">
        <v>60</v>
      </c>
      <c r="BB25" s="7"/>
      <c r="BD25" s="10"/>
      <c r="BF25" s="11"/>
      <c r="CF25" s="1"/>
    </row>
    <row r="26" spans="1:84" x14ac:dyDescent="0.25">
      <c r="A26" s="7">
        <v>45682</v>
      </c>
      <c r="B26" s="7">
        <v>45691</v>
      </c>
      <c r="C26" t="s">
        <v>45</v>
      </c>
      <c r="D26" t="s">
        <v>46</v>
      </c>
      <c r="F26" s="1">
        <v>9.1199999999999992</v>
      </c>
      <c r="G26" s="1">
        <v>0</v>
      </c>
      <c r="H26" s="1">
        <v>9.1199999999999992</v>
      </c>
      <c r="I26">
        <v>653470</v>
      </c>
      <c r="J26" t="s">
        <v>47</v>
      </c>
      <c r="P26">
        <v>683013826</v>
      </c>
      <c r="R26" t="s">
        <v>119</v>
      </c>
      <c r="S26" t="s">
        <v>120</v>
      </c>
      <c r="T26" t="s">
        <v>50</v>
      </c>
      <c r="U26">
        <v>678726</v>
      </c>
      <c r="V26" t="s">
        <v>70</v>
      </c>
      <c r="W26" t="s">
        <v>52</v>
      </c>
      <c r="Y26">
        <v>42249</v>
      </c>
      <c r="Z26" t="s">
        <v>121</v>
      </c>
      <c r="AA26" t="s">
        <v>54</v>
      </c>
      <c r="AB26" t="s">
        <v>55</v>
      </c>
      <c r="AC26" t="s">
        <v>66</v>
      </c>
      <c r="AD26" t="s">
        <v>67</v>
      </c>
      <c r="AE26" s="7">
        <v>45525</v>
      </c>
      <c r="AF26" s="7">
        <v>45536</v>
      </c>
      <c r="AG26">
        <v>313942658</v>
      </c>
      <c r="AH26">
        <v>10334503373</v>
      </c>
      <c r="AI26" s="8"/>
      <c r="AJ26" t="s">
        <v>58</v>
      </c>
      <c r="AK26" t="s">
        <v>59</v>
      </c>
      <c r="AL26">
        <v>6</v>
      </c>
      <c r="AM26" s="7">
        <v>45689</v>
      </c>
      <c r="AN26" s="7">
        <v>45716</v>
      </c>
      <c r="AO26" s="8">
        <v>38</v>
      </c>
      <c r="AP26" s="9">
        <v>0.24</v>
      </c>
      <c r="AQ26">
        <v>1290087891</v>
      </c>
      <c r="AS26" t="s">
        <v>60</v>
      </c>
      <c r="BB26" s="7"/>
      <c r="BD26" s="10"/>
      <c r="BF26" s="11"/>
      <c r="BG26" s="7"/>
      <c r="CF26" s="1"/>
    </row>
    <row r="27" spans="1:84" x14ac:dyDescent="0.25">
      <c r="A27" s="7">
        <v>45682</v>
      </c>
      <c r="B27" s="7">
        <v>45691</v>
      </c>
      <c r="C27" t="s">
        <v>45</v>
      </c>
      <c r="D27" t="s">
        <v>46</v>
      </c>
      <c r="F27" s="1">
        <v>4.07</v>
      </c>
      <c r="G27" s="1">
        <v>0</v>
      </c>
      <c r="H27" s="1">
        <v>4.07</v>
      </c>
      <c r="I27">
        <v>653470</v>
      </c>
      <c r="J27" t="s">
        <v>47</v>
      </c>
      <c r="P27">
        <v>683013826</v>
      </c>
      <c r="R27" t="s">
        <v>119</v>
      </c>
      <c r="S27" t="s">
        <v>120</v>
      </c>
      <c r="T27" t="s">
        <v>50</v>
      </c>
      <c r="U27">
        <v>678726</v>
      </c>
      <c r="V27" t="s">
        <v>70</v>
      </c>
      <c r="W27" t="s">
        <v>52</v>
      </c>
      <c r="Y27">
        <v>38593</v>
      </c>
      <c r="Z27" t="s">
        <v>53</v>
      </c>
      <c r="AA27" t="s">
        <v>54</v>
      </c>
      <c r="AB27" t="s">
        <v>55</v>
      </c>
      <c r="AC27" t="s">
        <v>56</v>
      </c>
      <c r="AD27" t="s">
        <v>57</v>
      </c>
      <c r="AE27" s="7">
        <v>45525</v>
      </c>
      <c r="AF27" s="7">
        <v>45536</v>
      </c>
      <c r="AG27">
        <v>676321759</v>
      </c>
      <c r="AH27">
        <v>10334503373</v>
      </c>
      <c r="AI27" s="8"/>
      <c r="AJ27" t="s">
        <v>58</v>
      </c>
      <c r="AK27" t="s">
        <v>59</v>
      </c>
      <c r="AL27">
        <v>6</v>
      </c>
      <c r="AM27" s="7">
        <v>45689</v>
      </c>
      <c r="AN27" s="7">
        <v>45716</v>
      </c>
      <c r="AO27" s="8">
        <v>11</v>
      </c>
      <c r="AP27" s="9">
        <v>0.37</v>
      </c>
      <c r="AQ27">
        <v>1290087888</v>
      </c>
      <c r="AS27" t="s">
        <v>60</v>
      </c>
      <c r="BB27" s="7"/>
      <c r="BD27" s="10"/>
      <c r="BF27" s="11"/>
      <c r="BG27" s="7"/>
      <c r="CF27" s="1"/>
    </row>
    <row r="28" spans="1:84" x14ac:dyDescent="0.25">
      <c r="A28" s="7">
        <v>45682</v>
      </c>
      <c r="B28" s="7">
        <v>45691</v>
      </c>
      <c r="C28" t="s">
        <v>45</v>
      </c>
      <c r="D28" t="s">
        <v>46</v>
      </c>
      <c r="F28" s="1">
        <v>8</v>
      </c>
      <c r="G28" s="1">
        <v>0</v>
      </c>
      <c r="H28" s="1">
        <v>8</v>
      </c>
      <c r="I28">
        <v>653470</v>
      </c>
      <c r="J28" t="s">
        <v>47</v>
      </c>
      <c r="P28">
        <v>683163417</v>
      </c>
      <c r="R28" t="s">
        <v>122</v>
      </c>
      <c r="S28" t="s">
        <v>123</v>
      </c>
      <c r="T28" t="s">
        <v>50</v>
      </c>
      <c r="U28">
        <v>678726</v>
      </c>
      <c r="V28" t="s">
        <v>70</v>
      </c>
      <c r="W28" t="s">
        <v>52</v>
      </c>
      <c r="Y28">
        <v>45041</v>
      </c>
      <c r="Z28" t="s">
        <v>71</v>
      </c>
      <c r="AA28" t="s">
        <v>54</v>
      </c>
      <c r="AB28" t="s">
        <v>55</v>
      </c>
      <c r="AC28" t="s">
        <v>66</v>
      </c>
      <c r="AD28" t="s">
        <v>67</v>
      </c>
      <c r="AE28" s="7">
        <v>45560</v>
      </c>
      <c r="AF28" s="7">
        <v>45566</v>
      </c>
      <c r="AG28">
        <v>230062447</v>
      </c>
      <c r="AH28">
        <v>10347158847</v>
      </c>
      <c r="AI28" s="8"/>
      <c r="AJ28" t="s">
        <v>58</v>
      </c>
      <c r="AK28" t="s">
        <v>74</v>
      </c>
      <c r="AL28">
        <v>5</v>
      </c>
      <c r="AM28" s="7">
        <v>45689</v>
      </c>
      <c r="AN28" s="7">
        <v>45716</v>
      </c>
      <c r="AO28" s="8">
        <v>25</v>
      </c>
      <c r="AP28" s="9">
        <v>0.32</v>
      </c>
      <c r="AQ28">
        <v>1290190558</v>
      </c>
      <c r="AS28" t="s">
        <v>60</v>
      </c>
      <c r="BB28" s="7"/>
      <c r="BD28" s="10"/>
      <c r="BF28" s="11"/>
      <c r="BG28" s="7"/>
      <c r="CF28" s="1"/>
    </row>
    <row r="29" spans="1:84" x14ac:dyDescent="0.25">
      <c r="A29" s="7">
        <v>45682</v>
      </c>
      <c r="B29" s="7">
        <v>45691</v>
      </c>
      <c r="C29" t="s">
        <v>45</v>
      </c>
      <c r="D29" t="s">
        <v>46</v>
      </c>
      <c r="F29" s="1">
        <v>29.44</v>
      </c>
      <c r="G29" s="1">
        <v>0</v>
      </c>
      <c r="H29" s="1">
        <v>29.44</v>
      </c>
      <c r="I29">
        <v>653470</v>
      </c>
      <c r="J29" t="s">
        <v>47</v>
      </c>
      <c r="P29">
        <v>683162939</v>
      </c>
      <c r="R29" t="s">
        <v>124</v>
      </c>
      <c r="S29" t="s">
        <v>125</v>
      </c>
      <c r="T29" t="s">
        <v>50</v>
      </c>
      <c r="U29">
        <v>707256</v>
      </c>
      <c r="V29" t="s">
        <v>126</v>
      </c>
      <c r="W29" t="s">
        <v>52</v>
      </c>
      <c r="Y29">
        <v>45041</v>
      </c>
      <c r="Z29" t="s">
        <v>71</v>
      </c>
      <c r="AA29" t="s">
        <v>77</v>
      </c>
      <c r="AB29" t="s">
        <v>55</v>
      </c>
      <c r="AC29" t="s">
        <v>66</v>
      </c>
      <c r="AD29" t="s">
        <v>67</v>
      </c>
      <c r="AE29" s="7">
        <v>45560</v>
      </c>
      <c r="AF29" s="7">
        <v>45566</v>
      </c>
      <c r="AG29">
        <v>496153713</v>
      </c>
      <c r="AH29">
        <v>10347158798</v>
      </c>
      <c r="AI29" s="8"/>
      <c r="AJ29" t="s">
        <v>58</v>
      </c>
      <c r="AK29" t="s">
        <v>74</v>
      </c>
      <c r="AL29">
        <v>5</v>
      </c>
      <c r="AM29" s="7">
        <v>45689</v>
      </c>
      <c r="AN29" s="7">
        <v>45716</v>
      </c>
      <c r="AO29" s="8">
        <v>92</v>
      </c>
      <c r="AP29" s="9">
        <v>0.32</v>
      </c>
      <c r="AQ29">
        <v>1290190578</v>
      </c>
      <c r="AS29" t="s">
        <v>60</v>
      </c>
      <c r="BB29" s="7"/>
      <c r="BD29" s="10"/>
      <c r="BF29" s="11"/>
      <c r="BG29" s="7"/>
      <c r="CF29" s="1"/>
    </row>
    <row r="30" spans="1:84" x14ac:dyDescent="0.25">
      <c r="A30" s="7">
        <v>45681</v>
      </c>
      <c r="B30" s="7">
        <v>45691</v>
      </c>
      <c r="C30" t="s">
        <v>45</v>
      </c>
      <c r="D30" t="s">
        <v>46</v>
      </c>
      <c r="F30" s="1">
        <v>16</v>
      </c>
      <c r="G30" s="1">
        <v>0</v>
      </c>
      <c r="H30" s="1">
        <v>16</v>
      </c>
      <c r="I30">
        <v>653470</v>
      </c>
      <c r="J30" t="s">
        <v>47</v>
      </c>
      <c r="P30">
        <v>683257963</v>
      </c>
      <c r="R30" t="s">
        <v>117</v>
      </c>
      <c r="S30" t="s">
        <v>127</v>
      </c>
      <c r="T30" t="s">
        <v>50</v>
      </c>
      <c r="U30">
        <v>678726</v>
      </c>
      <c r="V30" t="s">
        <v>70</v>
      </c>
      <c r="W30" t="s">
        <v>52</v>
      </c>
      <c r="Y30">
        <v>45041</v>
      </c>
      <c r="Z30" t="s">
        <v>71</v>
      </c>
      <c r="AA30" t="s">
        <v>80</v>
      </c>
      <c r="AB30" t="s">
        <v>55</v>
      </c>
      <c r="AC30" t="s">
        <v>66</v>
      </c>
      <c r="AD30" t="s">
        <v>67</v>
      </c>
      <c r="AE30" s="7">
        <v>45582</v>
      </c>
      <c r="AF30" s="7">
        <v>45597</v>
      </c>
      <c r="AG30">
        <v>604529563</v>
      </c>
      <c r="AH30">
        <v>10323469071</v>
      </c>
      <c r="AI30" s="8"/>
      <c r="AJ30" t="s">
        <v>58</v>
      </c>
      <c r="AK30" t="s">
        <v>59</v>
      </c>
      <c r="AL30">
        <v>4</v>
      </c>
      <c r="AM30" s="7">
        <v>45689</v>
      </c>
      <c r="AN30" s="7">
        <v>45716</v>
      </c>
      <c r="AO30" s="8">
        <v>50</v>
      </c>
      <c r="AP30" s="9">
        <v>0.32</v>
      </c>
      <c r="AQ30">
        <v>1290129096</v>
      </c>
      <c r="AS30" t="s">
        <v>60</v>
      </c>
      <c r="BB30" s="7"/>
      <c r="BD30" s="10"/>
      <c r="BF30" s="11"/>
      <c r="BG30" s="7"/>
      <c r="CF30" s="1"/>
    </row>
    <row r="31" spans="1:84" x14ac:dyDescent="0.25">
      <c r="A31" s="7">
        <v>45681</v>
      </c>
      <c r="B31" s="7">
        <v>45691</v>
      </c>
      <c r="C31" t="s">
        <v>45</v>
      </c>
      <c r="D31" t="s">
        <v>46</v>
      </c>
      <c r="F31" s="1">
        <v>22.32</v>
      </c>
      <c r="G31" s="1">
        <v>0</v>
      </c>
      <c r="H31" s="1">
        <v>22.32</v>
      </c>
      <c r="I31">
        <v>653470</v>
      </c>
      <c r="J31" t="s">
        <v>47</v>
      </c>
      <c r="P31">
        <v>682859188</v>
      </c>
      <c r="R31" t="s">
        <v>128</v>
      </c>
      <c r="S31" t="s">
        <v>129</v>
      </c>
      <c r="T31" t="s">
        <v>130</v>
      </c>
      <c r="U31">
        <v>703501</v>
      </c>
      <c r="V31" t="s">
        <v>131</v>
      </c>
      <c r="W31" t="s">
        <v>52</v>
      </c>
      <c r="Y31">
        <v>38796</v>
      </c>
      <c r="Z31" t="s">
        <v>65</v>
      </c>
      <c r="AA31" t="s">
        <v>77</v>
      </c>
      <c r="AB31" t="s">
        <v>55</v>
      </c>
      <c r="AC31" t="s">
        <v>66</v>
      </c>
      <c r="AD31" t="s">
        <v>67</v>
      </c>
      <c r="AE31" s="7">
        <v>45491</v>
      </c>
      <c r="AF31" s="7">
        <v>45505</v>
      </c>
      <c r="AG31">
        <v>623625840</v>
      </c>
      <c r="AH31">
        <v>10326943858</v>
      </c>
      <c r="AI31" s="8"/>
      <c r="AJ31" t="s">
        <v>58</v>
      </c>
      <c r="AK31" t="s">
        <v>59</v>
      </c>
      <c r="AL31">
        <v>7</v>
      </c>
      <c r="AM31" s="7">
        <v>45689</v>
      </c>
      <c r="AN31" s="7">
        <v>45716</v>
      </c>
      <c r="AO31" s="8">
        <v>93</v>
      </c>
      <c r="AP31" s="9">
        <v>0.24</v>
      </c>
      <c r="AQ31">
        <v>1290123374</v>
      </c>
      <c r="AS31" t="s">
        <v>60</v>
      </c>
      <c r="BB31" s="7"/>
      <c r="BD31" s="10"/>
      <c r="BF31" s="11"/>
      <c r="BG31" s="7"/>
      <c r="CF31" s="1"/>
    </row>
    <row r="32" spans="1:84" x14ac:dyDescent="0.25">
      <c r="A32" s="7">
        <v>45681</v>
      </c>
      <c r="B32" s="7">
        <v>45691</v>
      </c>
      <c r="C32" t="s">
        <v>45</v>
      </c>
      <c r="D32" t="s">
        <v>46</v>
      </c>
      <c r="F32" s="1">
        <v>8</v>
      </c>
      <c r="G32" s="1">
        <v>0</v>
      </c>
      <c r="H32" s="1">
        <v>8</v>
      </c>
      <c r="I32">
        <v>653470</v>
      </c>
      <c r="J32" t="s">
        <v>47</v>
      </c>
      <c r="P32">
        <v>682766841</v>
      </c>
      <c r="R32" t="s">
        <v>132</v>
      </c>
      <c r="S32" t="s">
        <v>133</v>
      </c>
      <c r="T32" t="s">
        <v>50</v>
      </c>
      <c r="U32">
        <v>678726</v>
      </c>
      <c r="V32" t="s">
        <v>70</v>
      </c>
      <c r="W32" t="s">
        <v>52</v>
      </c>
      <c r="Y32">
        <v>45041</v>
      </c>
      <c r="Z32" t="s">
        <v>71</v>
      </c>
      <c r="AA32" t="s">
        <v>54</v>
      </c>
      <c r="AB32" t="s">
        <v>55</v>
      </c>
      <c r="AC32" t="s">
        <v>66</v>
      </c>
      <c r="AD32" t="s">
        <v>67</v>
      </c>
      <c r="AE32" s="7">
        <v>45566</v>
      </c>
      <c r="AF32" s="7">
        <v>45597</v>
      </c>
      <c r="AG32">
        <v>119664581</v>
      </c>
      <c r="AH32">
        <v>10343659416</v>
      </c>
      <c r="AI32" s="8"/>
      <c r="AJ32" t="s">
        <v>58</v>
      </c>
      <c r="AK32" t="s">
        <v>74</v>
      </c>
      <c r="AL32">
        <v>4</v>
      </c>
      <c r="AM32" s="7">
        <v>45689</v>
      </c>
      <c r="AN32" s="7">
        <v>45716</v>
      </c>
      <c r="AO32" s="8">
        <v>25</v>
      </c>
      <c r="AP32" s="9">
        <v>0.32</v>
      </c>
      <c r="AQ32">
        <v>1290217421</v>
      </c>
      <c r="AS32" t="s">
        <v>60</v>
      </c>
      <c r="BB32" s="7"/>
      <c r="BD32" s="10"/>
      <c r="BF32" s="11"/>
      <c r="BG32" s="7"/>
      <c r="CF32" s="1"/>
    </row>
    <row r="33" spans="1:84" x14ac:dyDescent="0.25">
      <c r="A33" s="7">
        <v>45681</v>
      </c>
      <c r="B33" s="7">
        <v>45691</v>
      </c>
      <c r="C33" t="s">
        <v>45</v>
      </c>
      <c r="D33" t="s">
        <v>46</v>
      </c>
      <c r="F33" s="1">
        <v>6</v>
      </c>
      <c r="G33" s="1">
        <v>0</v>
      </c>
      <c r="H33" s="1">
        <v>6</v>
      </c>
      <c r="I33">
        <v>653470</v>
      </c>
      <c r="J33" t="s">
        <v>47</v>
      </c>
      <c r="P33">
        <v>682624994</v>
      </c>
      <c r="R33" t="s">
        <v>134</v>
      </c>
      <c r="S33" t="s">
        <v>135</v>
      </c>
      <c r="T33" t="s">
        <v>93</v>
      </c>
      <c r="U33">
        <v>689390</v>
      </c>
      <c r="V33" t="s">
        <v>84</v>
      </c>
      <c r="W33" t="s">
        <v>52</v>
      </c>
      <c r="Y33">
        <v>38796</v>
      </c>
      <c r="Z33" t="s">
        <v>65</v>
      </c>
      <c r="AA33" t="s">
        <v>54</v>
      </c>
      <c r="AB33" t="s">
        <v>55</v>
      </c>
      <c r="AC33" t="s">
        <v>66</v>
      </c>
      <c r="AD33" t="s">
        <v>67</v>
      </c>
      <c r="AE33" s="7">
        <v>45432</v>
      </c>
      <c r="AF33" s="7">
        <v>45444</v>
      </c>
      <c r="AG33">
        <v>568485674</v>
      </c>
      <c r="AH33">
        <v>10331379494</v>
      </c>
      <c r="AI33" s="8"/>
      <c r="AJ33" t="s">
        <v>58</v>
      </c>
      <c r="AK33" t="s">
        <v>59</v>
      </c>
      <c r="AL33">
        <v>9</v>
      </c>
      <c r="AM33" s="7">
        <v>45689</v>
      </c>
      <c r="AN33" s="7">
        <v>45716</v>
      </c>
      <c r="AO33" s="8">
        <v>25</v>
      </c>
      <c r="AP33" s="9">
        <v>0.24</v>
      </c>
      <c r="AQ33">
        <v>1290102698</v>
      </c>
      <c r="AS33" t="s">
        <v>60</v>
      </c>
      <c r="BB33" s="7"/>
      <c r="BD33" s="10"/>
      <c r="BF33" s="11"/>
      <c r="BG33" s="7"/>
      <c r="CF33" s="1"/>
    </row>
    <row r="34" spans="1:84" x14ac:dyDescent="0.25">
      <c r="A34" s="7">
        <v>45681</v>
      </c>
      <c r="B34" s="7">
        <v>45691</v>
      </c>
      <c r="C34" t="s">
        <v>45</v>
      </c>
      <c r="D34" t="s">
        <v>46</v>
      </c>
      <c r="F34" s="1">
        <v>0.33</v>
      </c>
      <c r="G34" s="1">
        <v>0</v>
      </c>
      <c r="H34" s="1">
        <v>0.33</v>
      </c>
      <c r="I34">
        <v>653470</v>
      </c>
      <c r="J34" t="s">
        <v>47</v>
      </c>
      <c r="P34">
        <v>681957774</v>
      </c>
      <c r="R34" t="s">
        <v>94</v>
      </c>
      <c r="S34" t="s">
        <v>95</v>
      </c>
      <c r="T34" t="s">
        <v>96</v>
      </c>
      <c r="U34">
        <v>720542</v>
      </c>
      <c r="V34" t="s">
        <v>97</v>
      </c>
      <c r="W34" t="s">
        <v>52</v>
      </c>
      <c r="Y34">
        <v>38593</v>
      </c>
      <c r="Z34" t="s">
        <v>53</v>
      </c>
      <c r="AA34" t="s">
        <v>54</v>
      </c>
      <c r="AB34" t="s">
        <v>55</v>
      </c>
      <c r="AC34" t="s">
        <v>56</v>
      </c>
      <c r="AD34" t="s">
        <v>57</v>
      </c>
      <c r="AE34" s="7">
        <v>45291</v>
      </c>
      <c r="AF34" s="7">
        <v>45292</v>
      </c>
      <c r="AG34">
        <v>134232423</v>
      </c>
      <c r="AH34">
        <v>10344897438</v>
      </c>
      <c r="AI34" s="8"/>
      <c r="AJ34" t="s">
        <v>58</v>
      </c>
      <c r="AK34" t="s">
        <v>74</v>
      </c>
      <c r="AL34">
        <v>13</v>
      </c>
      <c r="AM34" s="7">
        <v>45658</v>
      </c>
      <c r="AN34" s="7">
        <v>45688</v>
      </c>
      <c r="AO34" s="8">
        <v>11</v>
      </c>
      <c r="AP34" s="9">
        <v>0.03</v>
      </c>
      <c r="AQ34">
        <v>1290212221</v>
      </c>
      <c r="AS34" t="s">
        <v>60</v>
      </c>
      <c r="BB34" s="7"/>
      <c r="BD34" s="10"/>
      <c r="BF34" s="11"/>
      <c r="BG34" s="7"/>
      <c r="CF34" s="1"/>
    </row>
    <row r="35" spans="1:84" x14ac:dyDescent="0.25">
      <c r="A35" s="7">
        <v>45681</v>
      </c>
      <c r="B35" s="7">
        <v>45691</v>
      </c>
      <c r="C35" t="s">
        <v>45</v>
      </c>
      <c r="D35" t="s">
        <v>46</v>
      </c>
      <c r="F35" s="1">
        <v>1.8</v>
      </c>
      <c r="G35" s="1">
        <v>0</v>
      </c>
      <c r="H35" s="1">
        <v>1.8</v>
      </c>
      <c r="I35">
        <v>653470</v>
      </c>
      <c r="J35" t="s">
        <v>47</v>
      </c>
      <c r="P35">
        <v>681957774</v>
      </c>
      <c r="R35" t="s">
        <v>94</v>
      </c>
      <c r="S35" t="s">
        <v>95</v>
      </c>
      <c r="T35" t="s">
        <v>96</v>
      </c>
      <c r="U35">
        <v>720542</v>
      </c>
      <c r="V35" t="s">
        <v>97</v>
      </c>
      <c r="W35" t="s">
        <v>52</v>
      </c>
      <c r="Y35">
        <v>38399</v>
      </c>
      <c r="Z35" t="s">
        <v>85</v>
      </c>
      <c r="AA35" t="s">
        <v>54</v>
      </c>
      <c r="AB35" t="s">
        <v>55</v>
      </c>
      <c r="AC35" t="s">
        <v>66</v>
      </c>
      <c r="AD35" t="s">
        <v>67</v>
      </c>
      <c r="AE35" s="7">
        <v>45291</v>
      </c>
      <c r="AF35" s="7">
        <v>45292</v>
      </c>
      <c r="AG35">
        <v>475902412</v>
      </c>
      <c r="AH35">
        <v>10344897438</v>
      </c>
      <c r="AI35" s="8"/>
      <c r="AJ35" t="s">
        <v>58</v>
      </c>
      <c r="AK35" t="s">
        <v>74</v>
      </c>
      <c r="AL35">
        <v>13</v>
      </c>
      <c r="AM35" s="7">
        <v>45658</v>
      </c>
      <c r="AN35" s="7">
        <v>45688</v>
      </c>
      <c r="AO35" s="8">
        <v>60</v>
      </c>
      <c r="AP35" s="9">
        <v>0.03</v>
      </c>
      <c r="AQ35">
        <v>1290212218</v>
      </c>
      <c r="AS35" t="s">
        <v>60</v>
      </c>
      <c r="BB35" s="7"/>
      <c r="BD35" s="10"/>
      <c r="BF35" s="11"/>
      <c r="BG35" s="7"/>
      <c r="CF35" s="1"/>
    </row>
    <row r="36" spans="1:84" x14ac:dyDescent="0.25">
      <c r="A36" s="7">
        <v>45680</v>
      </c>
      <c r="B36" s="7">
        <v>45691</v>
      </c>
      <c r="C36" t="s">
        <v>45</v>
      </c>
      <c r="D36" t="s">
        <v>46</v>
      </c>
      <c r="F36" s="1">
        <v>1.8</v>
      </c>
      <c r="G36" s="1">
        <v>0</v>
      </c>
      <c r="H36" s="1">
        <v>1.8</v>
      </c>
      <c r="I36">
        <v>653470</v>
      </c>
      <c r="J36" t="s">
        <v>47</v>
      </c>
      <c r="P36">
        <v>681957774</v>
      </c>
      <c r="R36" t="s">
        <v>94</v>
      </c>
      <c r="S36" t="s">
        <v>95</v>
      </c>
      <c r="T36" t="s">
        <v>96</v>
      </c>
      <c r="U36">
        <v>720542</v>
      </c>
      <c r="V36" t="s">
        <v>97</v>
      </c>
      <c r="W36" t="s">
        <v>52</v>
      </c>
      <c r="Y36">
        <v>38399</v>
      </c>
      <c r="Z36" t="s">
        <v>85</v>
      </c>
      <c r="AA36" t="s">
        <v>54</v>
      </c>
      <c r="AB36" t="s">
        <v>55</v>
      </c>
      <c r="AC36" t="s">
        <v>66</v>
      </c>
      <c r="AD36" t="s">
        <v>67</v>
      </c>
      <c r="AE36" s="7">
        <v>45291</v>
      </c>
      <c r="AF36" s="7">
        <v>45292</v>
      </c>
      <c r="AG36">
        <v>475902412</v>
      </c>
      <c r="AH36">
        <v>10342231505</v>
      </c>
      <c r="AI36" s="8"/>
      <c r="AJ36" t="s">
        <v>58</v>
      </c>
      <c r="AK36" t="s">
        <v>74</v>
      </c>
      <c r="AL36">
        <v>12</v>
      </c>
      <c r="AM36" s="7">
        <v>45627</v>
      </c>
      <c r="AN36" s="7">
        <v>45657</v>
      </c>
      <c r="AO36" s="8">
        <v>60</v>
      </c>
      <c r="AP36" s="9">
        <v>0.03</v>
      </c>
      <c r="AQ36">
        <v>1290221272</v>
      </c>
      <c r="AS36" t="s">
        <v>60</v>
      </c>
      <c r="BB36" s="7"/>
      <c r="BD36" s="10"/>
      <c r="BF36" s="11"/>
      <c r="BG36" s="7"/>
      <c r="CF36" s="1"/>
    </row>
    <row r="37" spans="1:84" x14ac:dyDescent="0.25">
      <c r="A37" s="7">
        <v>45680</v>
      </c>
      <c r="B37" s="7">
        <v>45691</v>
      </c>
      <c r="C37" t="s">
        <v>45</v>
      </c>
      <c r="D37" t="s">
        <v>46</v>
      </c>
      <c r="F37" s="1">
        <v>0.33</v>
      </c>
      <c r="G37" s="1">
        <v>0</v>
      </c>
      <c r="H37" s="1">
        <v>0.33</v>
      </c>
      <c r="I37">
        <v>653470</v>
      </c>
      <c r="J37" t="s">
        <v>47</v>
      </c>
      <c r="P37">
        <v>681957774</v>
      </c>
      <c r="R37" t="s">
        <v>94</v>
      </c>
      <c r="S37" t="s">
        <v>95</v>
      </c>
      <c r="T37" t="s">
        <v>96</v>
      </c>
      <c r="U37">
        <v>720542</v>
      </c>
      <c r="V37" t="s">
        <v>97</v>
      </c>
      <c r="W37" t="s">
        <v>52</v>
      </c>
      <c r="Y37">
        <v>38593</v>
      </c>
      <c r="Z37" t="s">
        <v>53</v>
      </c>
      <c r="AA37" t="s">
        <v>54</v>
      </c>
      <c r="AB37" t="s">
        <v>55</v>
      </c>
      <c r="AC37" t="s">
        <v>56</v>
      </c>
      <c r="AD37" t="s">
        <v>57</v>
      </c>
      <c r="AE37" s="7">
        <v>45291</v>
      </c>
      <c r="AF37" s="7">
        <v>45292</v>
      </c>
      <c r="AG37">
        <v>134232423</v>
      </c>
      <c r="AH37">
        <v>10342231505</v>
      </c>
      <c r="AI37" s="8"/>
      <c r="AJ37" t="s">
        <v>58</v>
      </c>
      <c r="AK37" t="s">
        <v>74</v>
      </c>
      <c r="AL37">
        <v>12</v>
      </c>
      <c r="AM37" s="7">
        <v>45627</v>
      </c>
      <c r="AN37" s="7">
        <v>45657</v>
      </c>
      <c r="AO37" s="8">
        <v>11</v>
      </c>
      <c r="AP37" s="9">
        <v>0.03</v>
      </c>
      <c r="AQ37">
        <v>1290221276</v>
      </c>
      <c r="AS37" t="s">
        <v>60</v>
      </c>
      <c r="BB37" s="7"/>
      <c r="BD37" s="10"/>
      <c r="BF37" s="11"/>
      <c r="BG37" s="7"/>
      <c r="CF37" s="1"/>
    </row>
    <row r="38" spans="1:84" x14ac:dyDescent="0.25">
      <c r="A38" s="7">
        <v>45680</v>
      </c>
      <c r="B38" s="7">
        <v>45691</v>
      </c>
      <c r="C38" t="s">
        <v>45</v>
      </c>
      <c r="D38" t="s">
        <v>46</v>
      </c>
      <c r="F38" s="1">
        <v>8</v>
      </c>
      <c r="G38" s="1">
        <v>0</v>
      </c>
      <c r="H38" s="1">
        <v>8</v>
      </c>
      <c r="I38">
        <v>653470</v>
      </c>
      <c r="J38" t="s">
        <v>47</v>
      </c>
      <c r="P38">
        <v>683602218</v>
      </c>
      <c r="R38" t="s">
        <v>136</v>
      </c>
      <c r="S38" t="s">
        <v>137</v>
      </c>
      <c r="T38" t="s">
        <v>50</v>
      </c>
      <c r="U38">
        <v>678726</v>
      </c>
      <c r="V38" t="s">
        <v>70</v>
      </c>
      <c r="W38" t="s">
        <v>52</v>
      </c>
      <c r="Y38">
        <v>45041</v>
      </c>
      <c r="Z38" t="s">
        <v>71</v>
      </c>
      <c r="AA38" t="s">
        <v>54</v>
      </c>
      <c r="AB38" t="s">
        <v>55</v>
      </c>
      <c r="AC38" t="s">
        <v>66</v>
      </c>
      <c r="AD38" t="s">
        <v>67</v>
      </c>
      <c r="AE38" s="7">
        <v>45636</v>
      </c>
      <c r="AF38" s="7">
        <v>45658</v>
      </c>
      <c r="AG38">
        <v>498487989</v>
      </c>
      <c r="AH38">
        <v>10320115038</v>
      </c>
      <c r="AI38" s="8"/>
      <c r="AJ38" t="s">
        <v>58</v>
      </c>
      <c r="AK38" t="s">
        <v>59</v>
      </c>
      <c r="AL38">
        <v>2</v>
      </c>
      <c r="AM38" s="7">
        <v>45689</v>
      </c>
      <c r="AN38" s="7">
        <v>45716</v>
      </c>
      <c r="AO38" s="8">
        <v>25</v>
      </c>
      <c r="AP38" s="9">
        <v>0.32</v>
      </c>
      <c r="AQ38">
        <v>1290136465</v>
      </c>
      <c r="AS38" t="s">
        <v>60</v>
      </c>
      <c r="BB38" s="7"/>
      <c r="BD38" s="10"/>
      <c r="BF38" s="11"/>
      <c r="BG38" s="7"/>
      <c r="CF38" s="1"/>
    </row>
    <row r="39" spans="1:84" x14ac:dyDescent="0.25">
      <c r="A39" s="7">
        <v>45680</v>
      </c>
      <c r="B39" s="7">
        <v>45691</v>
      </c>
      <c r="C39" t="s">
        <v>45</v>
      </c>
      <c r="D39" t="s">
        <v>46</v>
      </c>
      <c r="F39" s="1">
        <v>8</v>
      </c>
      <c r="G39" s="1">
        <v>0</v>
      </c>
      <c r="H39" s="1">
        <v>8</v>
      </c>
      <c r="I39">
        <v>653470</v>
      </c>
      <c r="J39" t="s">
        <v>47</v>
      </c>
      <c r="P39">
        <v>683648575</v>
      </c>
      <c r="R39" t="s">
        <v>138</v>
      </c>
      <c r="S39" t="s">
        <v>139</v>
      </c>
      <c r="T39" t="s">
        <v>50</v>
      </c>
      <c r="U39">
        <v>678726</v>
      </c>
      <c r="V39" t="s">
        <v>70</v>
      </c>
      <c r="W39" t="s">
        <v>52</v>
      </c>
      <c r="Y39">
        <v>45041</v>
      </c>
      <c r="Z39" t="s">
        <v>71</v>
      </c>
      <c r="AA39" t="s">
        <v>54</v>
      </c>
      <c r="AB39" t="s">
        <v>55</v>
      </c>
      <c r="AC39" t="s">
        <v>66</v>
      </c>
      <c r="AD39" t="s">
        <v>67</v>
      </c>
      <c r="AE39" s="7">
        <v>45642</v>
      </c>
      <c r="AF39" s="7">
        <v>45658</v>
      </c>
      <c r="AG39">
        <v>941985094</v>
      </c>
      <c r="AH39">
        <v>10320115363</v>
      </c>
      <c r="AI39" s="8"/>
      <c r="AJ39" t="s">
        <v>58</v>
      </c>
      <c r="AK39" t="s">
        <v>59</v>
      </c>
      <c r="AL39">
        <v>2</v>
      </c>
      <c r="AM39" s="7">
        <v>45689</v>
      </c>
      <c r="AN39" s="7">
        <v>45716</v>
      </c>
      <c r="AO39" s="8">
        <v>25</v>
      </c>
      <c r="AP39" s="9">
        <v>0.32</v>
      </c>
      <c r="AQ39">
        <v>1290136344</v>
      </c>
      <c r="AS39" t="s">
        <v>60</v>
      </c>
      <c r="BB39" s="7"/>
      <c r="BD39" s="10"/>
      <c r="BF39" s="11"/>
      <c r="BG39" s="7"/>
      <c r="CF39" s="1"/>
    </row>
    <row r="40" spans="1:84" x14ac:dyDescent="0.25">
      <c r="A40" s="7">
        <v>45679</v>
      </c>
      <c r="B40" s="7">
        <v>45691</v>
      </c>
      <c r="C40" t="s">
        <v>45</v>
      </c>
      <c r="D40" t="s">
        <v>46</v>
      </c>
      <c r="F40" s="1">
        <v>8</v>
      </c>
      <c r="G40" s="1">
        <v>0</v>
      </c>
      <c r="H40" s="1">
        <v>8</v>
      </c>
      <c r="I40">
        <v>653470</v>
      </c>
      <c r="J40" t="s">
        <v>47</v>
      </c>
      <c r="P40">
        <v>683498152</v>
      </c>
      <c r="R40" t="s">
        <v>140</v>
      </c>
      <c r="S40" t="s">
        <v>141</v>
      </c>
      <c r="T40" t="s">
        <v>50</v>
      </c>
      <c r="U40">
        <v>678726</v>
      </c>
      <c r="V40" t="s">
        <v>70</v>
      </c>
      <c r="W40" t="s">
        <v>52</v>
      </c>
      <c r="Y40">
        <v>45041</v>
      </c>
      <c r="Z40" t="s">
        <v>71</v>
      </c>
      <c r="AA40" t="s">
        <v>54</v>
      </c>
      <c r="AB40" t="s">
        <v>55</v>
      </c>
      <c r="AC40" t="s">
        <v>66</v>
      </c>
      <c r="AD40" t="s">
        <v>67</v>
      </c>
      <c r="AE40" s="7">
        <v>45618</v>
      </c>
      <c r="AF40" s="7">
        <v>45627</v>
      </c>
      <c r="AG40">
        <v>892393390</v>
      </c>
      <c r="AH40">
        <v>10337590624</v>
      </c>
      <c r="AI40" s="8"/>
      <c r="AJ40" t="s">
        <v>58</v>
      </c>
      <c r="AK40" t="s">
        <v>74</v>
      </c>
      <c r="AL40">
        <v>3</v>
      </c>
      <c r="AM40" s="7">
        <v>45689</v>
      </c>
      <c r="AN40" s="7">
        <v>45716</v>
      </c>
      <c r="AO40" s="8">
        <v>25</v>
      </c>
      <c r="AP40" s="9">
        <v>0.32</v>
      </c>
      <c r="AQ40">
        <v>1290236084</v>
      </c>
      <c r="AS40" t="s">
        <v>60</v>
      </c>
      <c r="BB40" s="7"/>
      <c r="BD40" s="10"/>
      <c r="BF40" s="11"/>
      <c r="BG40" s="7"/>
      <c r="CF40" s="1"/>
    </row>
    <row r="41" spans="1:84" x14ac:dyDescent="0.25">
      <c r="A41" s="7">
        <v>45679</v>
      </c>
      <c r="B41" s="7">
        <v>45691</v>
      </c>
      <c r="C41" t="s">
        <v>45</v>
      </c>
      <c r="D41" t="s">
        <v>46</v>
      </c>
      <c r="F41" s="1">
        <v>16</v>
      </c>
      <c r="G41" s="1">
        <v>0</v>
      </c>
      <c r="H41" s="1">
        <v>16</v>
      </c>
      <c r="I41">
        <v>653470</v>
      </c>
      <c r="J41" t="s">
        <v>47</v>
      </c>
      <c r="P41">
        <v>683478663</v>
      </c>
      <c r="R41" t="s">
        <v>142</v>
      </c>
      <c r="S41" t="s">
        <v>143</v>
      </c>
      <c r="T41" t="s">
        <v>50</v>
      </c>
      <c r="U41">
        <v>678726</v>
      </c>
      <c r="V41" t="s">
        <v>70</v>
      </c>
      <c r="W41" t="s">
        <v>52</v>
      </c>
      <c r="Y41">
        <v>45041</v>
      </c>
      <c r="Z41" t="s">
        <v>71</v>
      </c>
      <c r="AA41" t="s">
        <v>80</v>
      </c>
      <c r="AB41" t="s">
        <v>55</v>
      </c>
      <c r="AC41" t="s">
        <v>66</v>
      </c>
      <c r="AD41" t="s">
        <v>67</v>
      </c>
      <c r="AE41" s="7">
        <v>45615</v>
      </c>
      <c r="AF41" s="7">
        <v>45627</v>
      </c>
      <c r="AG41">
        <v>536940641</v>
      </c>
      <c r="AH41">
        <v>10337590311</v>
      </c>
      <c r="AI41" s="8"/>
      <c r="AJ41" t="s">
        <v>58</v>
      </c>
      <c r="AK41" t="s">
        <v>74</v>
      </c>
      <c r="AL41">
        <v>3</v>
      </c>
      <c r="AM41" s="7">
        <v>45689</v>
      </c>
      <c r="AN41" s="7">
        <v>45716</v>
      </c>
      <c r="AO41" s="8">
        <v>50</v>
      </c>
      <c r="AP41" s="9">
        <v>0.32</v>
      </c>
      <c r="AQ41">
        <v>1290236176</v>
      </c>
      <c r="AS41" t="s">
        <v>60</v>
      </c>
      <c r="BB41" s="7"/>
      <c r="BD41" s="10"/>
      <c r="BF41" s="11"/>
      <c r="CF41" s="1"/>
    </row>
    <row r="42" spans="1:84" x14ac:dyDescent="0.25">
      <c r="A42" s="7">
        <v>45677</v>
      </c>
      <c r="B42" s="7">
        <v>45691</v>
      </c>
      <c r="C42" t="s">
        <v>45</v>
      </c>
      <c r="D42" t="s">
        <v>46</v>
      </c>
      <c r="F42" s="1">
        <v>14.4</v>
      </c>
      <c r="G42" s="1">
        <v>0</v>
      </c>
      <c r="H42" s="1">
        <v>14.4</v>
      </c>
      <c r="I42">
        <v>653470</v>
      </c>
      <c r="J42" t="s">
        <v>47</v>
      </c>
      <c r="P42">
        <v>681829783</v>
      </c>
      <c r="R42" t="s">
        <v>144</v>
      </c>
      <c r="S42" t="s">
        <v>145</v>
      </c>
      <c r="T42" t="s">
        <v>93</v>
      </c>
      <c r="U42">
        <v>689390</v>
      </c>
      <c r="V42" t="s">
        <v>84</v>
      </c>
      <c r="W42" t="s">
        <v>52</v>
      </c>
      <c r="Y42">
        <v>38399</v>
      </c>
      <c r="Z42" t="s">
        <v>85</v>
      </c>
      <c r="AA42" t="s">
        <v>54</v>
      </c>
      <c r="AB42" t="s">
        <v>55</v>
      </c>
      <c r="AC42" t="s">
        <v>66</v>
      </c>
      <c r="AD42" t="s">
        <v>67</v>
      </c>
      <c r="AE42" s="7">
        <v>45267</v>
      </c>
      <c r="AF42" s="7">
        <v>45292</v>
      </c>
      <c r="AG42">
        <v>438557821</v>
      </c>
      <c r="AH42">
        <v>10331393043</v>
      </c>
      <c r="AI42" s="8"/>
      <c r="AJ42" t="s">
        <v>58</v>
      </c>
      <c r="AK42" t="s">
        <v>74</v>
      </c>
      <c r="AL42">
        <v>14</v>
      </c>
      <c r="AM42" s="7">
        <v>45689</v>
      </c>
      <c r="AN42" s="7">
        <v>45716</v>
      </c>
      <c r="AO42" s="8">
        <v>60</v>
      </c>
      <c r="AP42" s="9">
        <v>0.24</v>
      </c>
      <c r="AQ42">
        <v>1290260410</v>
      </c>
      <c r="AS42" t="s">
        <v>60</v>
      </c>
      <c r="BB42" s="7"/>
      <c r="BD42" s="10"/>
      <c r="BF42" s="11"/>
      <c r="CF42" s="1"/>
    </row>
    <row r="43" spans="1:84" x14ac:dyDescent="0.25">
      <c r="A43" s="7">
        <v>45676</v>
      </c>
      <c r="B43" s="7">
        <v>45691</v>
      </c>
      <c r="C43" t="s">
        <v>45</v>
      </c>
      <c r="D43" t="s">
        <v>46</v>
      </c>
      <c r="F43" s="1">
        <v>8</v>
      </c>
      <c r="G43" s="1">
        <v>0</v>
      </c>
      <c r="H43" s="1">
        <v>8</v>
      </c>
      <c r="I43">
        <v>653470</v>
      </c>
      <c r="J43" t="s">
        <v>47</v>
      </c>
      <c r="P43">
        <v>683127694</v>
      </c>
      <c r="R43" t="s">
        <v>146</v>
      </c>
      <c r="S43" t="s">
        <v>147</v>
      </c>
      <c r="T43" t="s">
        <v>50</v>
      </c>
      <c r="U43">
        <v>678726</v>
      </c>
      <c r="V43" t="s">
        <v>70</v>
      </c>
      <c r="W43" t="s">
        <v>52</v>
      </c>
      <c r="Y43">
        <v>45041</v>
      </c>
      <c r="Z43" t="s">
        <v>71</v>
      </c>
      <c r="AA43" t="s">
        <v>54</v>
      </c>
      <c r="AB43" t="s">
        <v>55</v>
      </c>
      <c r="AC43" t="s">
        <v>66</v>
      </c>
      <c r="AD43" t="s">
        <v>67</v>
      </c>
      <c r="AE43" s="7">
        <v>45645</v>
      </c>
      <c r="AF43" s="7">
        <v>45658</v>
      </c>
      <c r="AG43">
        <v>92749947</v>
      </c>
      <c r="AH43">
        <v>10329231093</v>
      </c>
      <c r="AI43" s="8"/>
      <c r="AJ43" t="s">
        <v>58</v>
      </c>
      <c r="AK43" t="s">
        <v>74</v>
      </c>
      <c r="AL43">
        <v>3</v>
      </c>
      <c r="AM43" s="7">
        <v>45717</v>
      </c>
      <c r="AN43" s="7">
        <v>45747</v>
      </c>
      <c r="AO43" s="8">
        <v>25</v>
      </c>
      <c r="AP43" s="9">
        <v>0.32</v>
      </c>
      <c r="AQ43">
        <v>1290273790</v>
      </c>
      <c r="AS43" t="s">
        <v>60</v>
      </c>
      <c r="BB43" s="7"/>
      <c r="BD43" s="10"/>
      <c r="BF43" s="11"/>
      <c r="CF43" s="1"/>
    </row>
    <row r="44" spans="1:84" x14ac:dyDescent="0.25">
      <c r="A44" s="7">
        <v>45676</v>
      </c>
      <c r="B44" s="7">
        <v>45691</v>
      </c>
      <c r="C44" t="s">
        <v>45</v>
      </c>
      <c r="D44" t="s">
        <v>46</v>
      </c>
      <c r="F44" s="1">
        <v>4.07</v>
      </c>
      <c r="G44" s="1">
        <v>0</v>
      </c>
      <c r="H44" s="1">
        <v>4.07</v>
      </c>
      <c r="I44">
        <v>653470</v>
      </c>
      <c r="J44" t="s">
        <v>47</v>
      </c>
      <c r="P44">
        <v>683477382</v>
      </c>
      <c r="R44" t="s">
        <v>148</v>
      </c>
      <c r="S44" t="s">
        <v>149</v>
      </c>
      <c r="T44" t="s">
        <v>50</v>
      </c>
      <c r="U44">
        <v>706472</v>
      </c>
      <c r="V44" t="s">
        <v>110</v>
      </c>
      <c r="W44" t="s">
        <v>52</v>
      </c>
      <c r="Y44">
        <v>38593</v>
      </c>
      <c r="Z44" t="s">
        <v>53</v>
      </c>
      <c r="AA44" t="s">
        <v>54</v>
      </c>
      <c r="AB44" t="s">
        <v>55</v>
      </c>
      <c r="AC44" t="s">
        <v>56</v>
      </c>
      <c r="AD44" t="s">
        <v>57</v>
      </c>
      <c r="AE44" s="7">
        <v>45615</v>
      </c>
      <c r="AF44" s="7">
        <v>45627</v>
      </c>
      <c r="AG44">
        <v>308081747</v>
      </c>
      <c r="AH44">
        <v>10329232311</v>
      </c>
      <c r="AI44" s="8"/>
      <c r="AJ44" t="s">
        <v>58</v>
      </c>
      <c r="AK44" t="s">
        <v>74</v>
      </c>
      <c r="AL44">
        <v>3</v>
      </c>
      <c r="AM44" s="7">
        <v>45689</v>
      </c>
      <c r="AN44" s="7">
        <v>45716</v>
      </c>
      <c r="AO44" s="8">
        <v>11</v>
      </c>
      <c r="AP44" s="9">
        <v>0.37</v>
      </c>
      <c r="AQ44">
        <v>1290273219</v>
      </c>
      <c r="AS44" t="s">
        <v>60</v>
      </c>
      <c r="BB44" s="7"/>
      <c r="BD44" s="10"/>
      <c r="BF44" s="11"/>
      <c r="CF44" s="1"/>
    </row>
    <row r="45" spans="1:84" x14ac:dyDescent="0.25">
      <c r="A45" s="7">
        <v>45676</v>
      </c>
      <c r="B45" s="7">
        <v>45691</v>
      </c>
      <c r="C45" t="s">
        <v>45</v>
      </c>
      <c r="D45" t="s">
        <v>46</v>
      </c>
      <c r="F45" s="1">
        <v>8</v>
      </c>
      <c r="G45" s="1">
        <v>0</v>
      </c>
      <c r="H45" s="1">
        <v>8</v>
      </c>
      <c r="I45">
        <v>653470</v>
      </c>
      <c r="J45" t="s">
        <v>47</v>
      </c>
      <c r="P45">
        <v>683477382</v>
      </c>
      <c r="R45" t="s">
        <v>148</v>
      </c>
      <c r="S45" t="s">
        <v>149</v>
      </c>
      <c r="T45" t="s">
        <v>50</v>
      </c>
      <c r="U45">
        <v>706472</v>
      </c>
      <c r="V45" t="s">
        <v>110</v>
      </c>
      <c r="W45" t="s">
        <v>52</v>
      </c>
      <c r="Y45">
        <v>45041</v>
      </c>
      <c r="Z45" t="s">
        <v>71</v>
      </c>
      <c r="AA45" t="s">
        <v>54</v>
      </c>
      <c r="AB45" t="s">
        <v>55</v>
      </c>
      <c r="AC45" t="s">
        <v>66</v>
      </c>
      <c r="AD45" t="s">
        <v>67</v>
      </c>
      <c r="AE45" s="7">
        <v>45615</v>
      </c>
      <c r="AF45" s="7">
        <v>45627</v>
      </c>
      <c r="AG45">
        <v>987369850</v>
      </c>
      <c r="AH45">
        <v>10329232311</v>
      </c>
      <c r="AI45" s="8"/>
      <c r="AJ45" t="s">
        <v>58</v>
      </c>
      <c r="AK45" t="s">
        <v>74</v>
      </c>
      <c r="AL45">
        <v>3</v>
      </c>
      <c r="AM45" s="7">
        <v>45689</v>
      </c>
      <c r="AN45" s="7">
        <v>45716</v>
      </c>
      <c r="AO45" s="8">
        <v>25</v>
      </c>
      <c r="AP45" s="9">
        <v>0.32</v>
      </c>
      <c r="AQ45">
        <v>1290273220</v>
      </c>
      <c r="AS45" t="s">
        <v>60</v>
      </c>
      <c r="BB45" s="7"/>
      <c r="BD45" s="10"/>
      <c r="BF45" s="11"/>
      <c r="CF45" s="1"/>
    </row>
    <row r="46" spans="1:84" x14ac:dyDescent="0.25">
      <c r="A46" s="7">
        <v>45675</v>
      </c>
      <c r="B46" s="7">
        <v>45691</v>
      </c>
      <c r="C46" t="s">
        <v>45</v>
      </c>
      <c r="D46" t="s">
        <v>46</v>
      </c>
      <c r="F46" s="1">
        <v>5.55</v>
      </c>
      <c r="G46" s="1">
        <v>0</v>
      </c>
      <c r="H46" s="1">
        <v>5.55</v>
      </c>
      <c r="I46">
        <v>653470</v>
      </c>
      <c r="J46" t="s">
        <v>47</v>
      </c>
      <c r="P46">
        <v>683454292</v>
      </c>
      <c r="R46" t="s">
        <v>78</v>
      </c>
      <c r="S46" t="s">
        <v>150</v>
      </c>
      <c r="T46" t="s">
        <v>63</v>
      </c>
      <c r="U46">
        <v>764002</v>
      </c>
      <c r="V46" t="s">
        <v>100</v>
      </c>
      <c r="W46" t="s">
        <v>52</v>
      </c>
      <c r="Y46">
        <v>38593</v>
      </c>
      <c r="Z46" t="s">
        <v>53</v>
      </c>
      <c r="AA46" t="s">
        <v>101</v>
      </c>
      <c r="AB46" t="s">
        <v>55</v>
      </c>
      <c r="AC46" t="s">
        <v>56</v>
      </c>
      <c r="AD46" t="s">
        <v>57</v>
      </c>
      <c r="AE46" s="7">
        <v>45610</v>
      </c>
      <c r="AF46" s="7">
        <v>45658</v>
      </c>
      <c r="AG46">
        <v>300310162</v>
      </c>
      <c r="AH46">
        <v>10312486844</v>
      </c>
      <c r="AI46" s="8"/>
      <c r="AJ46" t="s">
        <v>58</v>
      </c>
      <c r="AK46" t="s">
        <v>59</v>
      </c>
      <c r="AL46">
        <v>2</v>
      </c>
      <c r="AM46" s="7">
        <v>45689</v>
      </c>
      <c r="AN46" s="7">
        <v>45716</v>
      </c>
      <c r="AO46" s="8">
        <v>15</v>
      </c>
      <c r="AP46" s="9">
        <v>0.37</v>
      </c>
      <c r="AQ46">
        <v>1290184017</v>
      </c>
      <c r="AS46" t="s">
        <v>60</v>
      </c>
      <c r="BB46" s="7"/>
      <c r="BD46" s="10"/>
      <c r="BF46" s="11"/>
      <c r="CF46" s="1"/>
    </row>
    <row r="47" spans="1:84" x14ac:dyDescent="0.25">
      <c r="A47" s="7">
        <v>45675</v>
      </c>
      <c r="B47" s="7">
        <v>45691</v>
      </c>
      <c r="C47" t="s">
        <v>45</v>
      </c>
      <c r="D47" t="s">
        <v>46</v>
      </c>
      <c r="F47" s="1">
        <v>5.55</v>
      </c>
      <c r="G47" s="1">
        <v>0</v>
      </c>
      <c r="H47" s="1">
        <v>5.55</v>
      </c>
      <c r="I47">
        <v>653470</v>
      </c>
      <c r="J47" t="s">
        <v>47</v>
      </c>
      <c r="P47">
        <v>683448864</v>
      </c>
      <c r="R47" t="s">
        <v>151</v>
      </c>
      <c r="S47" t="s">
        <v>152</v>
      </c>
      <c r="T47" t="s">
        <v>63</v>
      </c>
      <c r="U47">
        <v>757209</v>
      </c>
      <c r="V47" t="s">
        <v>153</v>
      </c>
      <c r="W47" t="s">
        <v>52</v>
      </c>
      <c r="Y47">
        <v>38593</v>
      </c>
      <c r="Z47" t="s">
        <v>53</v>
      </c>
      <c r="AA47" t="s">
        <v>101</v>
      </c>
      <c r="AB47" t="s">
        <v>55</v>
      </c>
      <c r="AC47" t="s">
        <v>56</v>
      </c>
      <c r="AD47" t="s">
        <v>57</v>
      </c>
      <c r="AE47" s="7">
        <v>45610</v>
      </c>
      <c r="AF47" s="7">
        <v>45658</v>
      </c>
      <c r="AG47">
        <v>990327518</v>
      </c>
      <c r="AH47">
        <v>10312486606</v>
      </c>
      <c r="AI47" s="8"/>
      <c r="AJ47" t="s">
        <v>58</v>
      </c>
      <c r="AK47" t="s">
        <v>59</v>
      </c>
      <c r="AL47">
        <v>2</v>
      </c>
      <c r="AM47" s="7">
        <v>45689</v>
      </c>
      <c r="AN47" s="7">
        <v>45716</v>
      </c>
      <c r="AO47" s="8">
        <v>15</v>
      </c>
      <c r="AP47" s="9">
        <v>0.37</v>
      </c>
      <c r="AQ47">
        <v>1290184276</v>
      </c>
      <c r="AS47" t="s">
        <v>60</v>
      </c>
      <c r="BB47" s="7"/>
      <c r="BD47" s="10"/>
      <c r="BF47" s="11"/>
      <c r="BG47" s="7"/>
      <c r="CF47" s="1"/>
    </row>
    <row r="48" spans="1:84" x14ac:dyDescent="0.25">
      <c r="A48" s="7">
        <v>45675</v>
      </c>
      <c r="B48" s="7">
        <v>45691</v>
      </c>
      <c r="C48" t="s">
        <v>45</v>
      </c>
      <c r="D48" t="s">
        <v>46</v>
      </c>
      <c r="F48" s="1">
        <v>16</v>
      </c>
      <c r="G48" s="1">
        <v>0</v>
      </c>
      <c r="H48" s="1">
        <v>16</v>
      </c>
      <c r="I48">
        <v>653470</v>
      </c>
      <c r="J48" t="s">
        <v>47</v>
      </c>
      <c r="P48">
        <v>683408875</v>
      </c>
      <c r="R48" t="s">
        <v>94</v>
      </c>
      <c r="S48" t="s">
        <v>154</v>
      </c>
      <c r="T48" t="s">
        <v>50</v>
      </c>
      <c r="U48">
        <v>678726</v>
      </c>
      <c r="V48" t="s">
        <v>70</v>
      </c>
      <c r="W48" t="s">
        <v>52</v>
      </c>
      <c r="Y48">
        <v>45041</v>
      </c>
      <c r="Z48" t="s">
        <v>71</v>
      </c>
      <c r="AA48" t="s">
        <v>80</v>
      </c>
      <c r="AB48" t="s">
        <v>55</v>
      </c>
      <c r="AC48" t="s">
        <v>66</v>
      </c>
      <c r="AD48" t="s">
        <v>67</v>
      </c>
      <c r="AE48" s="7">
        <v>45602</v>
      </c>
      <c r="AF48" s="7">
        <v>45658</v>
      </c>
      <c r="AG48">
        <v>534606531</v>
      </c>
      <c r="AH48">
        <v>10326945082</v>
      </c>
      <c r="AI48" s="8"/>
      <c r="AJ48" t="s">
        <v>58</v>
      </c>
      <c r="AK48" t="s">
        <v>74</v>
      </c>
      <c r="AL48">
        <v>2</v>
      </c>
      <c r="AM48" s="7">
        <v>45689</v>
      </c>
      <c r="AN48" s="7">
        <v>45716</v>
      </c>
      <c r="AO48" s="8">
        <v>50</v>
      </c>
      <c r="AP48" s="9">
        <v>0.32</v>
      </c>
      <c r="AQ48">
        <v>1290282120</v>
      </c>
      <c r="AS48" t="s">
        <v>60</v>
      </c>
      <c r="BB48" s="7"/>
      <c r="BD48" s="10"/>
      <c r="BF48" s="11"/>
      <c r="BG48" s="7"/>
      <c r="CF48" s="1"/>
    </row>
    <row r="49" spans="1:84" x14ac:dyDescent="0.25">
      <c r="A49" s="7">
        <v>45675</v>
      </c>
      <c r="B49" s="7">
        <v>45691</v>
      </c>
      <c r="C49" t="s">
        <v>45</v>
      </c>
      <c r="D49" t="s">
        <v>46</v>
      </c>
      <c r="F49" s="1">
        <v>44.72</v>
      </c>
      <c r="G49" s="1">
        <v>0</v>
      </c>
      <c r="H49" s="1">
        <v>44.72</v>
      </c>
      <c r="I49">
        <v>653470</v>
      </c>
      <c r="J49" t="s">
        <v>47</v>
      </c>
      <c r="P49">
        <v>679972196</v>
      </c>
      <c r="R49" t="s">
        <v>155</v>
      </c>
      <c r="S49" t="s">
        <v>156</v>
      </c>
      <c r="T49" t="s">
        <v>157</v>
      </c>
      <c r="U49">
        <v>653470</v>
      </c>
      <c r="V49" t="s">
        <v>47</v>
      </c>
      <c r="W49" t="s">
        <v>52</v>
      </c>
      <c r="Y49">
        <v>43553</v>
      </c>
      <c r="Z49" t="s">
        <v>158</v>
      </c>
      <c r="AA49" t="s">
        <v>77</v>
      </c>
      <c r="AB49" t="s">
        <v>55</v>
      </c>
      <c r="AC49" t="s">
        <v>66</v>
      </c>
      <c r="AD49" t="s">
        <v>67</v>
      </c>
      <c r="AE49" s="7">
        <v>45441</v>
      </c>
      <c r="AF49" s="7">
        <v>45474</v>
      </c>
      <c r="AG49">
        <v>694607964</v>
      </c>
      <c r="AH49">
        <v>10326935106</v>
      </c>
      <c r="AI49" s="8"/>
      <c r="AJ49" t="s">
        <v>58</v>
      </c>
      <c r="AK49" t="s">
        <v>74</v>
      </c>
      <c r="AL49">
        <v>26</v>
      </c>
      <c r="AM49" s="7">
        <v>46235</v>
      </c>
      <c r="AN49" s="7">
        <v>46265</v>
      </c>
      <c r="AO49" s="8">
        <v>172</v>
      </c>
      <c r="AP49" s="9">
        <v>0.26</v>
      </c>
      <c r="AQ49">
        <v>1290284851</v>
      </c>
      <c r="AS49" t="s">
        <v>60</v>
      </c>
      <c r="BB49" s="7"/>
      <c r="BD49" s="10"/>
      <c r="BF49" s="11"/>
      <c r="BG49" s="7"/>
      <c r="CF49" s="1"/>
    </row>
    <row r="50" spans="1:84" x14ac:dyDescent="0.25">
      <c r="A50" s="7">
        <v>45675</v>
      </c>
      <c r="B50" s="7">
        <v>45691</v>
      </c>
      <c r="C50" t="s">
        <v>45</v>
      </c>
      <c r="D50" t="s">
        <v>46</v>
      </c>
      <c r="F50" s="1">
        <v>12.48</v>
      </c>
      <c r="G50" s="1">
        <v>0</v>
      </c>
      <c r="H50" s="1">
        <v>12.48</v>
      </c>
      <c r="I50">
        <v>653470</v>
      </c>
      <c r="J50" t="s">
        <v>47</v>
      </c>
      <c r="P50">
        <v>679972196</v>
      </c>
      <c r="R50" t="s">
        <v>155</v>
      </c>
      <c r="S50" t="s">
        <v>156</v>
      </c>
      <c r="T50" t="s">
        <v>157</v>
      </c>
      <c r="U50">
        <v>653470</v>
      </c>
      <c r="V50" t="s">
        <v>47</v>
      </c>
      <c r="W50" t="s">
        <v>52</v>
      </c>
      <c r="Y50">
        <v>27711</v>
      </c>
      <c r="Z50" t="s">
        <v>159</v>
      </c>
      <c r="AA50" t="s">
        <v>77</v>
      </c>
      <c r="AB50" t="s">
        <v>55</v>
      </c>
      <c r="AC50" t="s">
        <v>56</v>
      </c>
      <c r="AD50" t="s">
        <v>57</v>
      </c>
      <c r="AE50" s="7">
        <v>44852</v>
      </c>
      <c r="AF50" s="7">
        <v>44896</v>
      </c>
      <c r="AG50">
        <v>241002988</v>
      </c>
      <c r="AH50">
        <v>10326935106</v>
      </c>
      <c r="AI50" s="8"/>
      <c r="AJ50" t="s">
        <v>58</v>
      </c>
      <c r="AK50" t="s">
        <v>74</v>
      </c>
      <c r="AL50">
        <v>27</v>
      </c>
      <c r="AM50" s="7">
        <v>45689</v>
      </c>
      <c r="AN50" s="7">
        <v>45716</v>
      </c>
      <c r="AO50" s="8">
        <v>48</v>
      </c>
      <c r="AP50" s="9">
        <v>0.26</v>
      </c>
      <c r="AQ50">
        <v>1290284849</v>
      </c>
      <c r="AS50" t="s">
        <v>60</v>
      </c>
      <c r="BB50" s="7"/>
      <c r="BD50" s="10"/>
      <c r="BF50" s="11"/>
      <c r="BG50" s="7"/>
      <c r="CF50" s="1"/>
    </row>
    <row r="51" spans="1:84" x14ac:dyDescent="0.25">
      <c r="A51" s="7">
        <v>45674</v>
      </c>
      <c r="B51" s="7">
        <v>45691</v>
      </c>
      <c r="C51" t="s">
        <v>45</v>
      </c>
      <c r="D51" t="s">
        <v>46</v>
      </c>
      <c r="F51" s="1">
        <v>8</v>
      </c>
      <c r="G51" s="1">
        <v>0</v>
      </c>
      <c r="H51" s="1">
        <v>8</v>
      </c>
      <c r="I51">
        <v>653470</v>
      </c>
      <c r="J51" t="s">
        <v>47</v>
      </c>
      <c r="P51">
        <v>683120098</v>
      </c>
      <c r="R51" t="s">
        <v>160</v>
      </c>
      <c r="S51" t="s">
        <v>161</v>
      </c>
      <c r="T51" t="s">
        <v>50</v>
      </c>
      <c r="U51">
        <v>678726</v>
      </c>
      <c r="V51" t="s">
        <v>70</v>
      </c>
      <c r="W51" t="s">
        <v>52</v>
      </c>
      <c r="Y51">
        <v>45041</v>
      </c>
      <c r="Z51" t="s">
        <v>71</v>
      </c>
      <c r="AA51" t="s">
        <v>54</v>
      </c>
      <c r="AB51" t="s">
        <v>55</v>
      </c>
      <c r="AC51" t="s">
        <v>66</v>
      </c>
      <c r="AD51" t="s">
        <v>67</v>
      </c>
      <c r="AE51" s="7">
        <v>45551</v>
      </c>
      <c r="AF51" s="7">
        <v>45566</v>
      </c>
      <c r="AG51">
        <v>232438202</v>
      </c>
      <c r="AH51">
        <v>10323466842</v>
      </c>
      <c r="AI51" s="8"/>
      <c r="AJ51" t="s">
        <v>58</v>
      </c>
      <c r="AK51" t="s">
        <v>74</v>
      </c>
      <c r="AL51">
        <v>5</v>
      </c>
      <c r="AM51" s="7">
        <v>45689</v>
      </c>
      <c r="AN51" s="7">
        <v>45716</v>
      </c>
      <c r="AO51" s="8">
        <v>25</v>
      </c>
      <c r="AP51" s="9">
        <v>0.32</v>
      </c>
      <c r="AQ51">
        <v>1290293347</v>
      </c>
      <c r="AS51" t="s">
        <v>60</v>
      </c>
      <c r="BB51" s="7"/>
      <c r="BD51" s="10"/>
      <c r="BF51" s="11"/>
      <c r="BG51" s="7"/>
      <c r="CF51" s="1"/>
    </row>
    <row r="52" spans="1:84" x14ac:dyDescent="0.25">
      <c r="A52" s="7">
        <v>45674</v>
      </c>
      <c r="B52" s="7">
        <v>45691</v>
      </c>
      <c r="C52" t="s">
        <v>45</v>
      </c>
      <c r="D52" t="s">
        <v>46</v>
      </c>
      <c r="F52" s="1">
        <v>8</v>
      </c>
      <c r="G52" s="1">
        <v>0</v>
      </c>
      <c r="H52" s="1">
        <v>8</v>
      </c>
      <c r="I52">
        <v>653470</v>
      </c>
      <c r="J52" t="s">
        <v>47</v>
      </c>
      <c r="P52">
        <v>683124480</v>
      </c>
      <c r="R52" t="s">
        <v>162</v>
      </c>
      <c r="S52" t="s">
        <v>163</v>
      </c>
      <c r="T52" t="s">
        <v>50</v>
      </c>
      <c r="U52">
        <v>678726</v>
      </c>
      <c r="V52" t="s">
        <v>70</v>
      </c>
      <c r="W52" t="s">
        <v>52</v>
      </c>
      <c r="Y52">
        <v>45041</v>
      </c>
      <c r="Z52" t="s">
        <v>71</v>
      </c>
      <c r="AA52" t="s">
        <v>54</v>
      </c>
      <c r="AB52" t="s">
        <v>55</v>
      </c>
      <c r="AC52" t="s">
        <v>66</v>
      </c>
      <c r="AD52" t="s">
        <v>67</v>
      </c>
      <c r="AE52" s="7">
        <v>45552</v>
      </c>
      <c r="AF52" s="7">
        <v>45566</v>
      </c>
      <c r="AG52">
        <v>509666499</v>
      </c>
      <c r="AH52">
        <v>10323467147</v>
      </c>
      <c r="AI52" s="8"/>
      <c r="AJ52" t="s">
        <v>58</v>
      </c>
      <c r="AK52" t="s">
        <v>74</v>
      </c>
      <c r="AL52">
        <v>5</v>
      </c>
      <c r="AM52" s="7">
        <v>45689</v>
      </c>
      <c r="AN52" s="7">
        <v>45716</v>
      </c>
      <c r="AO52" s="8">
        <v>25</v>
      </c>
      <c r="AP52" s="9">
        <v>0.32</v>
      </c>
      <c r="AQ52">
        <v>1290293250</v>
      </c>
      <c r="AS52" t="s">
        <v>60</v>
      </c>
      <c r="BB52" s="7"/>
      <c r="BD52" s="10"/>
      <c r="BF52" s="11"/>
      <c r="BG52" s="7"/>
      <c r="CF52" s="1"/>
    </row>
    <row r="53" spans="1:84" x14ac:dyDescent="0.25">
      <c r="A53" s="7">
        <v>45674</v>
      </c>
      <c r="B53" s="7">
        <v>45691</v>
      </c>
      <c r="C53" t="s">
        <v>45</v>
      </c>
      <c r="D53" t="s">
        <v>46</v>
      </c>
      <c r="F53" s="1">
        <v>16</v>
      </c>
      <c r="G53" s="1">
        <v>0</v>
      </c>
      <c r="H53" s="1">
        <v>16</v>
      </c>
      <c r="I53">
        <v>653470</v>
      </c>
      <c r="J53" t="s">
        <v>47</v>
      </c>
      <c r="P53">
        <v>683124501</v>
      </c>
      <c r="R53" t="s">
        <v>94</v>
      </c>
      <c r="S53" t="s">
        <v>163</v>
      </c>
      <c r="T53" t="s">
        <v>50</v>
      </c>
      <c r="U53">
        <v>678726</v>
      </c>
      <c r="V53" t="s">
        <v>70</v>
      </c>
      <c r="W53" t="s">
        <v>52</v>
      </c>
      <c r="Y53">
        <v>45041</v>
      </c>
      <c r="Z53" t="s">
        <v>71</v>
      </c>
      <c r="AA53" t="s">
        <v>80</v>
      </c>
      <c r="AB53" t="s">
        <v>55</v>
      </c>
      <c r="AC53" t="s">
        <v>66</v>
      </c>
      <c r="AD53" t="s">
        <v>67</v>
      </c>
      <c r="AE53" s="7">
        <v>45552</v>
      </c>
      <c r="AF53" s="7">
        <v>45566</v>
      </c>
      <c r="AG53">
        <v>528354958</v>
      </c>
      <c r="AH53">
        <v>10323467222</v>
      </c>
      <c r="AI53" s="8"/>
      <c r="AJ53" t="s">
        <v>58</v>
      </c>
      <c r="AK53" t="s">
        <v>74</v>
      </c>
      <c r="AL53">
        <v>5</v>
      </c>
      <c r="AM53" s="7">
        <v>45689</v>
      </c>
      <c r="AN53" s="7">
        <v>45716</v>
      </c>
      <c r="AO53" s="8">
        <v>50</v>
      </c>
      <c r="AP53" s="9">
        <v>0.32</v>
      </c>
      <c r="AQ53">
        <v>1290293220</v>
      </c>
      <c r="AS53" t="s">
        <v>60</v>
      </c>
      <c r="BB53" s="7"/>
      <c r="BD53" s="10"/>
      <c r="BF53" s="11"/>
      <c r="BG53" s="7"/>
      <c r="CF53" s="1"/>
    </row>
    <row r="54" spans="1:84" x14ac:dyDescent="0.25">
      <c r="A54" s="7">
        <v>45674</v>
      </c>
      <c r="B54" s="7">
        <v>45674</v>
      </c>
      <c r="C54" t="s">
        <v>45</v>
      </c>
      <c r="D54" t="s">
        <v>46</v>
      </c>
      <c r="E54" t="s">
        <v>164</v>
      </c>
      <c r="F54" s="1">
        <v>0</v>
      </c>
      <c r="G54" s="1">
        <v>4.07</v>
      </c>
      <c r="H54" s="1">
        <v>-4.07</v>
      </c>
      <c r="I54">
        <v>653470</v>
      </c>
      <c r="J54" t="s">
        <v>47</v>
      </c>
      <c r="P54">
        <v>683221457</v>
      </c>
      <c r="R54" t="s">
        <v>165</v>
      </c>
      <c r="S54" t="s">
        <v>166</v>
      </c>
      <c r="T54" t="s">
        <v>50</v>
      </c>
      <c r="U54">
        <v>798992</v>
      </c>
      <c r="V54" t="s">
        <v>167</v>
      </c>
      <c r="W54" t="s">
        <v>52</v>
      </c>
      <c r="Y54">
        <v>38593</v>
      </c>
      <c r="Z54" t="s">
        <v>53</v>
      </c>
      <c r="AA54" t="s">
        <v>54</v>
      </c>
      <c r="AB54" t="s">
        <v>55</v>
      </c>
      <c r="AC54" t="s">
        <v>56</v>
      </c>
      <c r="AD54" t="s">
        <v>57</v>
      </c>
      <c r="AE54" s="7">
        <v>45574</v>
      </c>
      <c r="AF54" s="7">
        <v>45597</v>
      </c>
      <c r="AG54">
        <v>76994225</v>
      </c>
      <c r="AH54" t="s">
        <v>168</v>
      </c>
      <c r="AI54" s="8"/>
      <c r="AJ54" t="s">
        <v>169</v>
      </c>
      <c r="AK54" t="s">
        <v>59</v>
      </c>
      <c r="AL54">
        <v>4</v>
      </c>
      <c r="AM54" s="7">
        <v>45689</v>
      </c>
      <c r="AN54" s="7">
        <v>45716</v>
      </c>
      <c r="AO54" s="8">
        <v>11</v>
      </c>
      <c r="AP54" s="9">
        <v>0.37</v>
      </c>
      <c r="AQ54">
        <v>1281695239</v>
      </c>
      <c r="AS54" t="s">
        <v>60</v>
      </c>
      <c r="BB54" s="7"/>
      <c r="BD54" s="10"/>
      <c r="BF54" s="11"/>
      <c r="BG54" s="7"/>
      <c r="CF54" s="1"/>
    </row>
    <row r="55" spans="1:84" x14ac:dyDescent="0.25">
      <c r="A55" s="7">
        <v>45674</v>
      </c>
      <c r="B55" s="7">
        <v>45691</v>
      </c>
      <c r="C55" t="s">
        <v>45</v>
      </c>
      <c r="D55" t="s">
        <v>46</v>
      </c>
      <c r="F55" s="1">
        <v>16</v>
      </c>
      <c r="G55" s="1">
        <v>0</v>
      </c>
      <c r="H55" s="1">
        <v>16</v>
      </c>
      <c r="I55">
        <v>653470</v>
      </c>
      <c r="J55" t="s">
        <v>47</v>
      </c>
      <c r="P55">
        <v>683659785</v>
      </c>
      <c r="R55" t="s">
        <v>170</v>
      </c>
      <c r="S55" t="s">
        <v>171</v>
      </c>
      <c r="T55" t="s">
        <v>50</v>
      </c>
      <c r="U55">
        <v>706472</v>
      </c>
      <c r="V55" t="s">
        <v>110</v>
      </c>
      <c r="W55" t="s">
        <v>52</v>
      </c>
      <c r="Y55">
        <v>45041</v>
      </c>
      <c r="Z55" t="s">
        <v>71</v>
      </c>
      <c r="AA55" t="s">
        <v>80</v>
      </c>
      <c r="AB55" t="s">
        <v>55</v>
      </c>
      <c r="AC55" t="s">
        <v>66</v>
      </c>
      <c r="AD55" t="s">
        <v>67</v>
      </c>
      <c r="AE55" s="7">
        <v>45643</v>
      </c>
      <c r="AF55" s="7">
        <v>45658</v>
      </c>
      <c r="AG55">
        <v>954518880</v>
      </c>
      <c r="AH55">
        <v>10323469081</v>
      </c>
      <c r="AI55" s="8"/>
      <c r="AJ55" t="s">
        <v>58</v>
      </c>
      <c r="AK55" t="s">
        <v>74</v>
      </c>
      <c r="AL55">
        <v>2</v>
      </c>
      <c r="AM55" s="7">
        <v>45689</v>
      </c>
      <c r="AN55" s="7">
        <v>45716</v>
      </c>
      <c r="AO55" s="8">
        <v>50</v>
      </c>
      <c r="AP55" s="9">
        <v>0.32</v>
      </c>
      <c r="AQ55">
        <v>1290292615</v>
      </c>
      <c r="AS55" t="s">
        <v>60</v>
      </c>
      <c r="BB55" s="7"/>
      <c r="BD55" s="10"/>
      <c r="BF55" s="11"/>
      <c r="BG55" s="7"/>
      <c r="CF55" s="1"/>
    </row>
    <row r="56" spans="1:84" x14ac:dyDescent="0.25">
      <c r="A56" s="7">
        <v>45673</v>
      </c>
      <c r="B56" s="7">
        <v>45691</v>
      </c>
      <c r="C56" t="s">
        <v>45</v>
      </c>
      <c r="D56" t="s">
        <v>46</v>
      </c>
      <c r="F56" s="1">
        <v>8</v>
      </c>
      <c r="G56" s="1">
        <v>0</v>
      </c>
      <c r="H56" s="1">
        <v>8</v>
      </c>
      <c r="I56">
        <v>653470</v>
      </c>
      <c r="J56" t="s">
        <v>47</v>
      </c>
      <c r="P56">
        <v>683089576</v>
      </c>
      <c r="R56" t="s">
        <v>172</v>
      </c>
      <c r="S56" t="s">
        <v>173</v>
      </c>
      <c r="T56" t="s">
        <v>50</v>
      </c>
      <c r="U56">
        <v>678726</v>
      </c>
      <c r="V56" t="s">
        <v>70</v>
      </c>
      <c r="W56" t="s">
        <v>52</v>
      </c>
      <c r="Y56">
        <v>45041</v>
      </c>
      <c r="Z56" t="s">
        <v>71</v>
      </c>
      <c r="AA56" t="s">
        <v>54</v>
      </c>
      <c r="AB56" t="s">
        <v>55</v>
      </c>
      <c r="AC56" t="s">
        <v>66</v>
      </c>
      <c r="AD56" t="s">
        <v>67</v>
      </c>
      <c r="AE56" s="7">
        <v>45545</v>
      </c>
      <c r="AF56" s="7">
        <v>45566</v>
      </c>
      <c r="AG56">
        <v>876391898</v>
      </c>
      <c r="AH56">
        <v>10301249766</v>
      </c>
      <c r="AI56" s="8"/>
      <c r="AJ56" t="s">
        <v>58</v>
      </c>
      <c r="AK56" t="s">
        <v>59</v>
      </c>
      <c r="AL56">
        <v>5</v>
      </c>
      <c r="AM56" s="7">
        <v>45689</v>
      </c>
      <c r="AN56" s="7">
        <v>45716</v>
      </c>
      <c r="AO56" s="8">
        <v>25</v>
      </c>
      <c r="AP56" s="9">
        <v>0.32</v>
      </c>
      <c r="AQ56">
        <v>1290218041</v>
      </c>
      <c r="AS56" t="s">
        <v>60</v>
      </c>
      <c r="BB56" s="7"/>
      <c r="BD56" s="10"/>
      <c r="BF56" s="11"/>
      <c r="BG56" s="7"/>
      <c r="CF56" s="1"/>
    </row>
    <row r="57" spans="1:84" x14ac:dyDescent="0.25">
      <c r="A57" s="7">
        <v>45673</v>
      </c>
      <c r="B57" s="7">
        <v>45691</v>
      </c>
      <c r="C57" t="s">
        <v>45</v>
      </c>
      <c r="D57" t="s">
        <v>46</v>
      </c>
      <c r="F57" s="1">
        <v>16</v>
      </c>
      <c r="G57" s="1">
        <v>0</v>
      </c>
      <c r="H57" s="1">
        <v>16</v>
      </c>
      <c r="I57">
        <v>653470</v>
      </c>
      <c r="J57" t="s">
        <v>47</v>
      </c>
      <c r="P57">
        <v>683089560</v>
      </c>
      <c r="R57" t="s">
        <v>174</v>
      </c>
      <c r="S57" t="s">
        <v>175</v>
      </c>
      <c r="T57" t="s">
        <v>50</v>
      </c>
      <c r="U57">
        <v>678726</v>
      </c>
      <c r="V57" t="s">
        <v>70</v>
      </c>
      <c r="W57" t="s">
        <v>52</v>
      </c>
      <c r="Y57">
        <v>45041</v>
      </c>
      <c r="Z57" t="s">
        <v>71</v>
      </c>
      <c r="AA57" t="s">
        <v>80</v>
      </c>
      <c r="AB57" t="s">
        <v>55</v>
      </c>
      <c r="AC57" t="s">
        <v>66</v>
      </c>
      <c r="AD57" t="s">
        <v>67</v>
      </c>
      <c r="AE57" s="7">
        <v>45545</v>
      </c>
      <c r="AF57" s="7">
        <v>45566</v>
      </c>
      <c r="AG57">
        <v>914833590</v>
      </c>
      <c r="AH57">
        <v>10301249689</v>
      </c>
      <c r="AI57" s="8"/>
      <c r="AJ57" t="s">
        <v>58</v>
      </c>
      <c r="AK57" t="s">
        <v>59</v>
      </c>
      <c r="AL57">
        <v>5</v>
      </c>
      <c r="AM57" s="7">
        <v>45689</v>
      </c>
      <c r="AN57" s="7">
        <v>45716</v>
      </c>
      <c r="AO57" s="8">
        <v>50</v>
      </c>
      <c r="AP57" s="9">
        <v>0.32</v>
      </c>
      <c r="AQ57">
        <v>1290218049</v>
      </c>
      <c r="AS57" t="s">
        <v>60</v>
      </c>
      <c r="BB57" s="7"/>
      <c r="BD57" s="10"/>
      <c r="BF57" s="11"/>
      <c r="CF57" s="1"/>
    </row>
    <row r="58" spans="1:84" x14ac:dyDescent="0.25">
      <c r="A58" s="7">
        <v>45673</v>
      </c>
      <c r="B58" s="7">
        <v>45691</v>
      </c>
      <c r="C58" t="s">
        <v>45</v>
      </c>
      <c r="D58" t="s">
        <v>46</v>
      </c>
      <c r="F58" s="1">
        <v>26.88</v>
      </c>
      <c r="G58" s="1">
        <v>0</v>
      </c>
      <c r="H58" s="1">
        <v>26.88</v>
      </c>
      <c r="I58">
        <v>653470</v>
      </c>
      <c r="J58" t="s">
        <v>47</v>
      </c>
      <c r="P58">
        <v>682974980</v>
      </c>
      <c r="R58" t="s">
        <v>176</v>
      </c>
      <c r="S58" t="s">
        <v>177</v>
      </c>
      <c r="T58" t="s">
        <v>63</v>
      </c>
      <c r="U58">
        <v>759555</v>
      </c>
      <c r="V58" t="s">
        <v>178</v>
      </c>
      <c r="W58" t="s">
        <v>52</v>
      </c>
      <c r="Y58">
        <v>38398</v>
      </c>
      <c r="Z58" t="s">
        <v>179</v>
      </c>
      <c r="AA58" t="s">
        <v>180</v>
      </c>
      <c r="AB58" t="s">
        <v>55</v>
      </c>
      <c r="AC58" t="s">
        <v>66</v>
      </c>
      <c r="AD58" t="s">
        <v>67</v>
      </c>
      <c r="AE58" s="7">
        <v>45516</v>
      </c>
      <c r="AF58" s="7">
        <v>45536</v>
      </c>
      <c r="AG58">
        <v>673613358</v>
      </c>
      <c r="AH58">
        <v>10307132015</v>
      </c>
      <c r="AI58" s="8"/>
      <c r="AJ58" t="s">
        <v>58</v>
      </c>
      <c r="AK58" t="s">
        <v>59</v>
      </c>
      <c r="AL58">
        <v>6</v>
      </c>
      <c r="AM58" s="7">
        <v>45689</v>
      </c>
      <c r="AN58" s="7">
        <v>45716</v>
      </c>
      <c r="AO58" s="8">
        <v>112</v>
      </c>
      <c r="AP58" s="9">
        <v>0.24</v>
      </c>
      <c r="AQ58">
        <v>1290202010</v>
      </c>
      <c r="AS58" t="s">
        <v>60</v>
      </c>
      <c r="BB58" s="7"/>
      <c r="BD58" s="10"/>
      <c r="BF58" s="11"/>
      <c r="CF58" s="1"/>
    </row>
    <row r="59" spans="1:84" x14ac:dyDescent="0.25">
      <c r="A59" s="7">
        <v>45673</v>
      </c>
      <c r="B59" s="7">
        <v>45691</v>
      </c>
      <c r="C59" t="s">
        <v>45</v>
      </c>
      <c r="D59" t="s">
        <v>46</v>
      </c>
      <c r="F59" s="1">
        <v>7.4</v>
      </c>
      <c r="G59" s="1">
        <v>0</v>
      </c>
      <c r="H59" s="1">
        <v>7.4</v>
      </c>
      <c r="I59">
        <v>653470</v>
      </c>
      <c r="J59" t="s">
        <v>47</v>
      </c>
      <c r="P59">
        <v>682974980</v>
      </c>
      <c r="R59" t="s">
        <v>176</v>
      </c>
      <c r="S59" t="s">
        <v>177</v>
      </c>
      <c r="T59" t="s">
        <v>63</v>
      </c>
      <c r="U59">
        <v>759555</v>
      </c>
      <c r="V59" t="s">
        <v>178</v>
      </c>
      <c r="W59" t="s">
        <v>52</v>
      </c>
      <c r="Y59">
        <v>38593</v>
      </c>
      <c r="Z59" t="s">
        <v>53</v>
      </c>
      <c r="AA59" t="s">
        <v>77</v>
      </c>
      <c r="AB59" t="s">
        <v>55</v>
      </c>
      <c r="AC59" t="s">
        <v>56</v>
      </c>
      <c r="AD59" t="s">
        <v>57</v>
      </c>
      <c r="AE59" s="7">
        <v>45516</v>
      </c>
      <c r="AF59" s="7">
        <v>45536</v>
      </c>
      <c r="AG59">
        <v>629957651</v>
      </c>
      <c r="AH59">
        <v>10307132015</v>
      </c>
      <c r="AI59" s="8"/>
      <c r="AJ59" t="s">
        <v>58</v>
      </c>
      <c r="AK59" t="s">
        <v>59</v>
      </c>
      <c r="AL59">
        <v>6</v>
      </c>
      <c r="AM59" s="7">
        <v>45689</v>
      </c>
      <c r="AN59" s="7">
        <v>45716</v>
      </c>
      <c r="AO59" s="8">
        <v>20</v>
      </c>
      <c r="AP59" s="9">
        <v>0.37</v>
      </c>
      <c r="AQ59">
        <v>1290202013</v>
      </c>
      <c r="AS59" t="s">
        <v>60</v>
      </c>
      <c r="BB59" s="7"/>
      <c r="BD59" s="10"/>
      <c r="BF59" s="11"/>
      <c r="CF59" s="1"/>
    </row>
    <row r="60" spans="1:84" x14ac:dyDescent="0.25">
      <c r="A60" s="7">
        <v>45673</v>
      </c>
      <c r="B60" s="7">
        <v>45691</v>
      </c>
      <c r="C60" t="s">
        <v>45</v>
      </c>
      <c r="D60" t="s">
        <v>46</v>
      </c>
      <c r="F60" s="1">
        <v>29.04</v>
      </c>
      <c r="G60" s="1">
        <v>0</v>
      </c>
      <c r="H60" s="1">
        <v>29.04</v>
      </c>
      <c r="I60">
        <v>653470</v>
      </c>
      <c r="J60" t="s">
        <v>47</v>
      </c>
      <c r="P60">
        <v>682971882</v>
      </c>
      <c r="R60" t="s">
        <v>181</v>
      </c>
      <c r="S60" t="s">
        <v>182</v>
      </c>
      <c r="T60" t="s">
        <v>93</v>
      </c>
      <c r="U60">
        <v>781535</v>
      </c>
      <c r="V60" t="s">
        <v>183</v>
      </c>
      <c r="W60" t="s">
        <v>52</v>
      </c>
      <c r="Y60">
        <v>38399</v>
      </c>
      <c r="Z60" t="s">
        <v>85</v>
      </c>
      <c r="AA60" t="s">
        <v>80</v>
      </c>
      <c r="AB60" t="s">
        <v>55</v>
      </c>
      <c r="AC60" t="s">
        <v>66</v>
      </c>
      <c r="AD60" t="s">
        <v>67</v>
      </c>
      <c r="AE60" s="7">
        <v>45516</v>
      </c>
      <c r="AF60" s="7">
        <v>45536</v>
      </c>
      <c r="AG60">
        <v>40198305</v>
      </c>
      <c r="AH60">
        <v>10307131037</v>
      </c>
      <c r="AI60" s="8"/>
      <c r="AJ60" t="s">
        <v>58</v>
      </c>
      <c r="AK60" t="s">
        <v>59</v>
      </c>
      <c r="AL60">
        <v>6</v>
      </c>
      <c r="AM60" s="7">
        <v>45689</v>
      </c>
      <c r="AN60" s="7">
        <v>45716</v>
      </c>
      <c r="AO60" s="8">
        <v>121</v>
      </c>
      <c r="AP60" s="9">
        <v>0.24</v>
      </c>
      <c r="AQ60">
        <v>1290202725</v>
      </c>
      <c r="AS60" t="s">
        <v>60</v>
      </c>
      <c r="BB60" s="7"/>
      <c r="BD60" s="10"/>
      <c r="BF60" s="11"/>
      <c r="BG60" s="7"/>
      <c r="CF60" s="1"/>
    </row>
    <row r="61" spans="1:84" x14ac:dyDescent="0.25">
      <c r="A61" s="7">
        <v>45673</v>
      </c>
      <c r="B61" s="7">
        <v>45691</v>
      </c>
      <c r="C61" t="s">
        <v>45</v>
      </c>
      <c r="D61" t="s">
        <v>46</v>
      </c>
      <c r="F61" s="1">
        <v>5.55</v>
      </c>
      <c r="G61" s="1">
        <v>0</v>
      </c>
      <c r="H61" s="1">
        <v>5.55</v>
      </c>
      <c r="I61">
        <v>653470</v>
      </c>
      <c r="J61" t="s">
        <v>47</v>
      </c>
      <c r="P61">
        <v>682971882</v>
      </c>
      <c r="R61" t="s">
        <v>181</v>
      </c>
      <c r="S61" t="s">
        <v>182</v>
      </c>
      <c r="T61" t="s">
        <v>93</v>
      </c>
      <c r="U61">
        <v>781535</v>
      </c>
      <c r="V61" t="s">
        <v>183</v>
      </c>
      <c r="W61" t="s">
        <v>52</v>
      </c>
      <c r="Y61">
        <v>38593</v>
      </c>
      <c r="Z61" t="s">
        <v>53</v>
      </c>
      <c r="AA61" t="s">
        <v>101</v>
      </c>
      <c r="AB61" t="s">
        <v>55</v>
      </c>
      <c r="AC61" t="s">
        <v>56</v>
      </c>
      <c r="AD61" t="s">
        <v>57</v>
      </c>
      <c r="AE61" s="7">
        <v>45516</v>
      </c>
      <c r="AF61" s="7">
        <v>45536</v>
      </c>
      <c r="AG61">
        <v>868422442</v>
      </c>
      <c r="AH61">
        <v>10307131037</v>
      </c>
      <c r="AI61" s="8"/>
      <c r="AJ61" t="s">
        <v>58</v>
      </c>
      <c r="AK61" t="s">
        <v>59</v>
      </c>
      <c r="AL61">
        <v>6</v>
      </c>
      <c r="AM61" s="7">
        <v>45689</v>
      </c>
      <c r="AN61" s="7">
        <v>45716</v>
      </c>
      <c r="AO61" s="8">
        <v>15</v>
      </c>
      <c r="AP61" s="9">
        <v>0.37</v>
      </c>
      <c r="AQ61">
        <v>1290202729</v>
      </c>
      <c r="AS61" t="s">
        <v>60</v>
      </c>
      <c r="BB61" s="7"/>
      <c r="BD61" s="10"/>
      <c r="BF61" s="11"/>
      <c r="BG61" s="7"/>
      <c r="CF61" s="1"/>
    </row>
    <row r="62" spans="1:84" x14ac:dyDescent="0.25">
      <c r="A62" s="7">
        <v>45672</v>
      </c>
      <c r="B62" s="7">
        <v>45691</v>
      </c>
      <c r="C62" t="s">
        <v>45</v>
      </c>
      <c r="D62" t="s">
        <v>46</v>
      </c>
      <c r="F62" s="1">
        <v>55.12</v>
      </c>
      <c r="G62" s="1">
        <v>0</v>
      </c>
      <c r="H62" s="1">
        <v>55.12</v>
      </c>
      <c r="I62">
        <v>653470</v>
      </c>
      <c r="J62" t="s">
        <v>47</v>
      </c>
      <c r="P62">
        <v>680314593</v>
      </c>
      <c r="R62" t="s">
        <v>184</v>
      </c>
      <c r="S62" t="s">
        <v>185</v>
      </c>
      <c r="T62" t="s">
        <v>186</v>
      </c>
      <c r="U62">
        <v>657149</v>
      </c>
      <c r="V62" t="s">
        <v>51</v>
      </c>
      <c r="W62" t="s">
        <v>52</v>
      </c>
      <c r="Y62">
        <v>43554</v>
      </c>
      <c r="Z62" t="s">
        <v>187</v>
      </c>
      <c r="AA62" t="s">
        <v>77</v>
      </c>
      <c r="AB62" t="s">
        <v>55</v>
      </c>
      <c r="AC62" t="s">
        <v>66</v>
      </c>
      <c r="AD62" t="s">
        <v>67</v>
      </c>
      <c r="AE62" s="7">
        <v>45430</v>
      </c>
      <c r="AF62" s="7">
        <v>45474</v>
      </c>
      <c r="AG62">
        <v>172575174</v>
      </c>
      <c r="AH62">
        <v>10297921149</v>
      </c>
      <c r="AI62" s="8"/>
      <c r="AJ62" t="s">
        <v>58</v>
      </c>
      <c r="AK62" t="s">
        <v>59</v>
      </c>
      <c r="AL62">
        <v>25</v>
      </c>
      <c r="AM62" s="7">
        <v>46204</v>
      </c>
      <c r="AN62" s="7">
        <v>46234</v>
      </c>
      <c r="AO62" s="8">
        <v>212</v>
      </c>
      <c r="AP62" s="9">
        <v>0.26</v>
      </c>
      <c r="AQ62">
        <v>1290230928</v>
      </c>
      <c r="AS62" t="s">
        <v>60</v>
      </c>
      <c r="BB62" s="7"/>
      <c r="BD62" s="10"/>
      <c r="BF62" s="11"/>
      <c r="BG62" s="7"/>
      <c r="CF62" s="1"/>
    </row>
    <row r="63" spans="1:84" x14ac:dyDescent="0.25">
      <c r="A63" s="7">
        <v>45672</v>
      </c>
      <c r="B63" s="7">
        <v>45691</v>
      </c>
      <c r="C63" t="s">
        <v>45</v>
      </c>
      <c r="D63" t="s">
        <v>46</v>
      </c>
      <c r="F63" s="1">
        <v>9.6</v>
      </c>
      <c r="G63" s="1">
        <v>0</v>
      </c>
      <c r="H63" s="1">
        <v>9.6</v>
      </c>
      <c r="I63">
        <v>653470</v>
      </c>
      <c r="J63" t="s">
        <v>47</v>
      </c>
      <c r="P63">
        <v>682581055</v>
      </c>
      <c r="R63" t="s">
        <v>188</v>
      </c>
      <c r="S63" t="s">
        <v>189</v>
      </c>
      <c r="T63" t="s">
        <v>63</v>
      </c>
      <c r="U63">
        <v>757929</v>
      </c>
      <c r="V63" t="s">
        <v>190</v>
      </c>
      <c r="W63" t="s">
        <v>52</v>
      </c>
      <c r="Y63">
        <v>42249</v>
      </c>
      <c r="Z63" t="s">
        <v>121</v>
      </c>
      <c r="AA63" t="s">
        <v>54</v>
      </c>
      <c r="AB63" t="s">
        <v>55</v>
      </c>
      <c r="AC63" t="s">
        <v>66</v>
      </c>
      <c r="AD63" t="s">
        <v>67</v>
      </c>
      <c r="AE63" s="7">
        <v>45421</v>
      </c>
      <c r="AF63" s="7">
        <v>45444</v>
      </c>
      <c r="AG63">
        <v>379471379</v>
      </c>
      <c r="AH63">
        <v>10297923887</v>
      </c>
      <c r="AI63" s="8"/>
      <c r="AJ63" t="s">
        <v>58</v>
      </c>
      <c r="AK63" t="s">
        <v>59</v>
      </c>
      <c r="AL63">
        <v>9</v>
      </c>
      <c r="AM63" s="7">
        <v>45689</v>
      </c>
      <c r="AN63" s="7">
        <v>45716</v>
      </c>
      <c r="AO63" s="8">
        <v>40</v>
      </c>
      <c r="AP63" s="9">
        <v>0.24</v>
      </c>
      <c r="AQ63">
        <v>1290229521</v>
      </c>
      <c r="AS63" t="s">
        <v>60</v>
      </c>
      <c r="BB63" s="7"/>
      <c r="BD63" s="10"/>
      <c r="BF63" s="11"/>
      <c r="BG63" s="7"/>
      <c r="CF63" s="1"/>
    </row>
    <row r="64" spans="1:84" x14ac:dyDescent="0.25">
      <c r="A64" s="7">
        <v>45672</v>
      </c>
      <c r="B64" s="7">
        <v>45691</v>
      </c>
      <c r="C64" t="s">
        <v>45</v>
      </c>
      <c r="D64" t="s">
        <v>46</v>
      </c>
      <c r="F64" s="1">
        <v>5.55</v>
      </c>
      <c r="G64" s="1">
        <v>0</v>
      </c>
      <c r="H64" s="1">
        <v>5.55</v>
      </c>
      <c r="I64">
        <v>653470</v>
      </c>
      <c r="J64" t="s">
        <v>47</v>
      </c>
      <c r="P64">
        <v>682580771</v>
      </c>
      <c r="R64" t="s">
        <v>191</v>
      </c>
      <c r="S64" t="s">
        <v>192</v>
      </c>
      <c r="T64" t="s">
        <v>63</v>
      </c>
      <c r="U64">
        <v>757209</v>
      </c>
      <c r="V64" t="s">
        <v>153</v>
      </c>
      <c r="W64" t="s">
        <v>52</v>
      </c>
      <c r="Y64">
        <v>38593</v>
      </c>
      <c r="Z64" t="s">
        <v>53</v>
      </c>
      <c r="AA64" t="s">
        <v>101</v>
      </c>
      <c r="AB64" t="s">
        <v>55</v>
      </c>
      <c r="AC64" t="s">
        <v>56</v>
      </c>
      <c r="AD64" t="s">
        <v>57</v>
      </c>
      <c r="AE64" s="7">
        <v>45421</v>
      </c>
      <c r="AF64" s="7">
        <v>45444</v>
      </c>
      <c r="AG64">
        <v>387100933</v>
      </c>
      <c r="AH64">
        <v>10297923778</v>
      </c>
      <c r="AI64" s="8"/>
      <c r="AJ64" t="s">
        <v>58</v>
      </c>
      <c r="AK64" t="s">
        <v>59</v>
      </c>
      <c r="AL64">
        <v>9</v>
      </c>
      <c r="AM64" s="7">
        <v>45689</v>
      </c>
      <c r="AN64" s="7">
        <v>45716</v>
      </c>
      <c r="AO64" s="8">
        <v>15</v>
      </c>
      <c r="AP64" s="9">
        <v>0.37</v>
      </c>
      <c r="AQ64">
        <v>1290229553</v>
      </c>
      <c r="AS64" t="s">
        <v>60</v>
      </c>
      <c r="BB64" s="7"/>
      <c r="BD64" s="10"/>
      <c r="BF64" s="11"/>
      <c r="BG64" s="7"/>
      <c r="CF64" s="1"/>
    </row>
    <row r="65" spans="1:84" x14ac:dyDescent="0.25">
      <c r="A65" s="7">
        <v>45672</v>
      </c>
      <c r="B65" s="7">
        <v>45691</v>
      </c>
      <c r="C65" t="s">
        <v>45</v>
      </c>
      <c r="D65" t="s">
        <v>46</v>
      </c>
      <c r="F65" s="1">
        <v>22.8</v>
      </c>
      <c r="G65" s="1">
        <v>0</v>
      </c>
      <c r="H65" s="1">
        <v>22.8</v>
      </c>
      <c r="I65">
        <v>653470</v>
      </c>
      <c r="J65" t="s">
        <v>47</v>
      </c>
      <c r="P65">
        <v>682580771</v>
      </c>
      <c r="R65" t="s">
        <v>191</v>
      </c>
      <c r="S65" t="s">
        <v>192</v>
      </c>
      <c r="T65" t="s">
        <v>63</v>
      </c>
      <c r="U65">
        <v>757209</v>
      </c>
      <c r="V65" t="s">
        <v>153</v>
      </c>
      <c r="W65" t="s">
        <v>52</v>
      </c>
      <c r="Y65">
        <v>42249</v>
      </c>
      <c r="Z65" t="s">
        <v>121</v>
      </c>
      <c r="AA65" t="s">
        <v>180</v>
      </c>
      <c r="AB65" t="s">
        <v>55</v>
      </c>
      <c r="AC65" t="s">
        <v>66</v>
      </c>
      <c r="AD65" t="s">
        <v>67</v>
      </c>
      <c r="AE65" s="7">
        <v>45421</v>
      </c>
      <c r="AF65" s="7">
        <v>45444</v>
      </c>
      <c r="AG65">
        <v>538144779</v>
      </c>
      <c r="AH65">
        <v>10297923778</v>
      </c>
      <c r="AI65" s="8"/>
      <c r="AJ65" t="s">
        <v>58</v>
      </c>
      <c r="AK65" t="s">
        <v>59</v>
      </c>
      <c r="AL65">
        <v>9</v>
      </c>
      <c r="AM65" s="7">
        <v>45689</v>
      </c>
      <c r="AN65" s="7">
        <v>45716</v>
      </c>
      <c r="AO65" s="8">
        <v>95</v>
      </c>
      <c r="AP65" s="9">
        <v>0.24</v>
      </c>
      <c r="AQ65">
        <v>1290229557</v>
      </c>
      <c r="AS65" t="s">
        <v>60</v>
      </c>
      <c r="BB65" s="7"/>
      <c r="BD65" s="10"/>
      <c r="BF65" s="11"/>
      <c r="CF65" s="1"/>
    </row>
    <row r="66" spans="1:84" x14ac:dyDescent="0.25">
      <c r="A66" s="7">
        <v>45672</v>
      </c>
      <c r="B66" s="7">
        <v>45691</v>
      </c>
      <c r="C66" t="s">
        <v>45</v>
      </c>
      <c r="D66" t="s">
        <v>46</v>
      </c>
      <c r="F66" s="1">
        <v>4.07</v>
      </c>
      <c r="G66" s="1">
        <v>0</v>
      </c>
      <c r="H66" s="1">
        <v>4.07</v>
      </c>
      <c r="I66">
        <v>653470</v>
      </c>
      <c r="J66" t="s">
        <v>47</v>
      </c>
      <c r="P66">
        <v>683221457</v>
      </c>
      <c r="R66" t="s">
        <v>165</v>
      </c>
      <c r="S66" t="s">
        <v>166</v>
      </c>
      <c r="T66" t="s">
        <v>50</v>
      </c>
      <c r="U66">
        <v>798992</v>
      </c>
      <c r="V66" t="s">
        <v>167</v>
      </c>
      <c r="W66" t="s">
        <v>52</v>
      </c>
      <c r="Y66">
        <v>38593</v>
      </c>
      <c r="Z66" t="s">
        <v>53</v>
      </c>
      <c r="AA66" t="s">
        <v>54</v>
      </c>
      <c r="AB66" t="s">
        <v>55</v>
      </c>
      <c r="AC66" t="s">
        <v>56</v>
      </c>
      <c r="AD66" t="s">
        <v>57</v>
      </c>
      <c r="AE66" s="7">
        <v>45574</v>
      </c>
      <c r="AF66" s="7">
        <v>45597</v>
      </c>
      <c r="AG66">
        <v>76994225</v>
      </c>
      <c r="AH66">
        <v>10297925550</v>
      </c>
      <c r="AI66" s="8"/>
      <c r="AJ66" t="s">
        <v>58</v>
      </c>
      <c r="AK66" t="s">
        <v>59</v>
      </c>
      <c r="AL66">
        <v>4</v>
      </c>
      <c r="AM66" s="7">
        <v>45689</v>
      </c>
      <c r="AN66" s="7">
        <v>45716</v>
      </c>
      <c r="AO66" s="8">
        <v>11</v>
      </c>
      <c r="AP66" s="9">
        <v>0.37</v>
      </c>
      <c r="AQ66">
        <v>1290228578</v>
      </c>
      <c r="AS66" t="s">
        <v>60</v>
      </c>
      <c r="BB66" s="7"/>
      <c r="BD66" s="10"/>
      <c r="BF66" s="11"/>
      <c r="CF66" s="1"/>
    </row>
    <row r="67" spans="1:84" x14ac:dyDescent="0.25">
      <c r="A67" s="7">
        <v>45672</v>
      </c>
      <c r="B67" s="7">
        <v>45691</v>
      </c>
      <c r="C67" t="s">
        <v>45</v>
      </c>
      <c r="D67" t="s">
        <v>46</v>
      </c>
      <c r="F67" s="1">
        <v>16</v>
      </c>
      <c r="G67" s="1">
        <v>0</v>
      </c>
      <c r="H67" s="1">
        <v>16</v>
      </c>
      <c r="I67">
        <v>653470</v>
      </c>
      <c r="J67" t="s">
        <v>47</v>
      </c>
      <c r="P67">
        <v>683463955</v>
      </c>
      <c r="R67" t="s">
        <v>193</v>
      </c>
      <c r="S67" t="s">
        <v>194</v>
      </c>
      <c r="T67" t="s">
        <v>50</v>
      </c>
      <c r="U67">
        <v>706472</v>
      </c>
      <c r="V67" t="s">
        <v>110</v>
      </c>
      <c r="W67" t="s">
        <v>52</v>
      </c>
      <c r="Y67">
        <v>45041</v>
      </c>
      <c r="Z67" t="s">
        <v>71</v>
      </c>
      <c r="AA67" t="s">
        <v>80</v>
      </c>
      <c r="AB67" t="s">
        <v>55</v>
      </c>
      <c r="AC67" t="s">
        <v>66</v>
      </c>
      <c r="AD67" t="s">
        <v>67</v>
      </c>
      <c r="AE67" s="7">
        <v>45611</v>
      </c>
      <c r="AF67" s="7">
        <v>45627</v>
      </c>
      <c r="AG67">
        <v>762673318</v>
      </c>
      <c r="AH67">
        <v>10316225034</v>
      </c>
      <c r="AI67" s="8"/>
      <c r="AJ67" t="s">
        <v>58</v>
      </c>
      <c r="AK67" t="s">
        <v>74</v>
      </c>
      <c r="AL67">
        <v>3</v>
      </c>
      <c r="AM67" s="7">
        <v>45689</v>
      </c>
      <c r="AN67" s="7">
        <v>45716</v>
      </c>
      <c r="AO67" s="8">
        <v>50</v>
      </c>
      <c r="AP67" s="9">
        <v>0.32</v>
      </c>
      <c r="AQ67">
        <v>1290327042</v>
      </c>
      <c r="AS67" t="s">
        <v>60</v>
      </c>
      <c r="BB67" s="7"/>
      <c r="BD67" s="10"/>
      <c r="BF67" s="11"/>
      <c r="BG67" s="7"/>
      <c r="CF67" s="1"/>
    </row>
    <row r="68" spans="1:84" x14ac:dyDescent="0.25">
      <c r="A68" s="7">
        <v>45672</v>
      </c>
      <c r="B68" s="7">
        <v>45691</v>
      </c>
      <c r="C68" t="s">
        <v>45</v>
      </c>
      <c r="D68" t="s">
        <v>46</v>
      </c>
      <c r="F68" s="1">
        <v>5.55</v>
      </c>
      <c r="G68" s="1">
        <v>0</v>
      </c>
      <c r="H68" s="1">
        <v>5.55</v>
      </c>
      <c r="I68">
        <v>653470</v>
      </c>
      <c r="J68" t="s">
        <v>47</v>
      </c>
      <c r="P68">
        <v>683463955</v>
      </c>
      <c r="R68" t="s">
        <v>193</v>
      </c>
      <c r="S68" t="s">
        <v>194</v>
      </c>
      <c r="T68" t="s">
        <v>50</v>
      </c>
      <c r="U68">
        <v>706472</v>
      </c>
      <c r="V68" t="s">
        <v>110</v>
      </c>
      <c r="W68" t="s">
        <v>52</v>
      </c>
      <c r="Y68">
        <v>38593</v>
      </c>
      <c r="Z68" t="s">
        <v>53</v>
      </c>
      <c r="AA68" t="s">
        <v>101</v>
      </c>
      <c r="AB68" t="s">
        <v>55</v>
      </c>
      <c r="AC68" t="s">
        <v>56</v>
      </c>
      <c r="AD68" t="s">
        <v>57</v>
      </c>
      <c r="AE68" s="7">
        <v>45611</v>
      </c>
      <c r="AF68" s="7">
        <v>45627</v>
      </c>
      <c r="AG68">
        <v>245268586</v>
      </c>
      <c r="AH68">
        <v>10316225034</v>
      </c>
      <c r="AI68" s="8"/>
      <c r="AJ68" t="s">
        <v>58</v>
      </c>
      <c r="AK68" t="s">
        <v>74</v>
      </c>
      <c r="AL68">
        <v>3</v>
      </c>
      <c r="AM68" s="7">
        <v>45689</v>
      </c>
      <c r="AN68" s="7">
        <v>45716</v>
      </c>
      <c r="AO68" s="8">
        <v>15</v>
      </c>
      <c r="AP68" s="9">
        <v>0.37</v>
      </c>
      <c r="AQ68">
        <v>1290327040</v>
      </c>
      <c r="AS68" t="s">
        <v>60</v>
      </c>
      <c r="BB68" s="7"/>
      <c r="BD68" s="10"/>
      <c r="BF68" s="11"/>
      <c r="BG68" s="7"/>
      <c r="CF68" s="1"/>
    </row>
    <row r="69" spans="1:84" x14ac:dyDescent="0.25">
      <c r="A69" s="7">
        <v>45672</v>
      </c>
      <c r="B69" s="7">
        <v>45691</v>
      </c>
      <c r="C69" t="s">
        <v>45</v>
      </c>
      <c r="D69" t="s">
        <v>46</v>
      </c>
      <c r="F69" s="1">
        <v>8</v>
      </c>
      <c r="G69" s="1">
        <v>0</v>
      </c>
      <c r="H69" s="1">
        <v>8</v>
      </c>
      <c r="I69">
        <v>653470</v>
      </c>
      <c r="J69" t="s">
        <v>47</v>
      </c>
      <c r="P69">
        <v>683532101</v>
      </c>
      <c r="R69" t="s">
        <v>138</v>
      </c>
      <c r="S69" t="s">
        <v>139</v>
      </c>
      <c r="T69" t="s">
        <v>50</v>
      </c>
      <c r="U69">
        <v>678726</v>
      </c>
      <c r="V69" t="s">
        <v>70</v>
      </c>
      <c r="W69" t="s">
        <v>52</v>
      </c>
      <c r="Y69">
        <v>45041</v>
      </c>
      <c r="Z69" t="s">
        <v>71</v>
      </c>
      <c r="AA69" t="s">
        <v>54</v>
      </c>
      <c r="AB69" t="s">
        <v>55</v>
      </c>
      <c r="AC69" t="s">
        <v>66</v>
      </c>
      <c r="AD69" t="s">
        <v>67</v>
      </c>
      <c r="AE69" s="7">
        <v>45628</v>
      </c>
      <c r="AF69" s="7">
        <v>45658</v>
      </c>
      <c r="AG69">
        <v>478183816</v>
      </c>
      <c r="AH69">
        <v>10297925766</v>
      </c>
      <c r="AI69" s="8"/>
      <c r="AJ69" t="s">
        <v>58</v>
      </c>
      <c r="AK69" t="s">
        <v>59</v>
      </c>
      <c r="AL69">
        <v>2</v>
      </c>
      <c r="AM69" s="7">
        <v>45689</v>
      </c>
      <c r="AN69" s="7">
        <v>45716</v>
      </c>
      <c r="AO69" s="8">
        <v>25</v>
      </c>
      <c r="AP69" s="9">
        <v>0.32</v>
      </c>
      <c r="AQ69">
        <v>1290228441</v>
      </c>
      <c r="AS69" t="s">
        <v>60</v>
      </c>
      <c r="BB69" s="7"/>
      <c r="BD69" s="10"/>
      <c r="BF69" s="11"/>
      <c r="CF69" s="1"/>
    </row>
    <row r="70" spans="1:84" x14ac:dyDescent="0.25">
      <c r="A70" s="7">
        <v>45671</v>
      </c>
      <c r="B70" s="7">
        <v>45691</v>
      </c>
      <c r="C70" t="s">
        <v>45</v>
      </c>
      <c r="D70" t="s">
        <v>46</v>
      </c>
      <c r="F70" s="1">
        <v>4.07</v>
      </c>
      <c r="G70" s="1">
        <v>0</v>
      </c>
      <c r="H70" s="1">
        <v>4.07</v>
      </c>
      <c r="I70">
        <v>653470</v>
      </c>
      <c r="J70" t="s">
        <v>47</v>
      </c>
      <c r="P70">
        <v>683115767</v>
      </c>
      <c r="R70" t="s">
        <v>195</v>
      </c>
      <c r="S70" t="s">
        <v>196</v>
      </c>
      <c r="T70" t="s">
        <v>50</v>
      </c>
      <c r="U70">
        <v>678726</v>
      </c>
      <c r="V70" t="s">
        <v>70</v>
      </c>
      <c r="W70" t="s">
        <v>52</v>
      </c>
      <c r="Y70">
        <v>38593</v>
      </c>
      <c r="Z70" t="s">
        <v>53</v>
      </c>
      <c r="AA70" t="s">
        <v>54</v>
      </c>
      <c r="AB70" t="s">
        <v>55</v>
      </c>
      <c r="AC70" t="s">
        <v>56</v>
      </c>
      <c r="AD70" t="s">
        <v>57</v>
      </c>
      <c r="AE70" s="7">
        <v>45594</v>
      </c>
      <c r="AF70" s="7">
        <v>45597</v>
      </c>
      <c r="AG70">
        <v>884756940</v>
      </c>
      <c r="AH70">
        <v>10312484465</v>
      </c>
      <c r="AI70" s="8"/>
      <c r="AJ70" t="s">
        <v>58</v>
      </c>
      <c r="AK70" t="s">
        <v>74</v>
      </c>
      <c r="AL70">
        <v>4</v>
      </c>
      <c r="AM70" s="7">
        <v>45689</v>
      </c>
      <c r="AN70" s="7">
        <v>45716</v>
      </c>
      <c r="AO70" s="8">
        <v>11</v>
      </c>
      <c r="AP70" s="9">
        <v>0.37</v>
      </c>
      <c r="AQ70">
        <v>1290350445</v>
      </c>
      <c r="AS70" t="s">
        <v>60</v>
      </c>
      <c r="BB70" s="7"/>
      <c r="BD70" s="10"/>
      <c r="BF70" s="11"/>
      <c r="CF70" s="1"/>
    </row>
    <row r="71" spans="1:84" x14ac:dyDescent="0.25">
      <c r="A71" s="7">
        <v>45671</v>
      </c>
      <c r="B71" s="7">
        <v>45691</v>
      </c>
      <c r="C71" t="s">
        <v>45</v>
      </c>
      <c r="D71" t="s">
        <v>46</v>
      </c>
      <c r="F71" s="1">
        <v>8</v>
      </c>
      <c r="G71" s="1">
        <v>0</v>
      </c>
      <c r="H71" s="1">
        <v>8</v>
      </c>
      <c r="I71">
        <v>653470</v>
      </c>
      <c r="J71" t="s">
        <v>47</v>
      </c>
      <c r="P71">
        <v>683115767</v>
      </c>
      <c r="R71" t="s">
        <v>195</v>
      </c>
      <c r="S71" t="s">
        <v>196</v>
      </c>
      <c r="T71" t="s">
        <v>50</v>
      </c>
      <c r="U71">
        <v>678726</v>
      </c>
      <c r="V71" t="s">
        <v>70</v>
      </c>
      <c r="W71" t="s">
        <v>52</v>
      </c>
      <c r="Y71">
        <v>45041</v>
      </c>
      <c r="Z71" t="s">
        <v>71</v>
      </c>
      <c r="AA71" t="s">
        <v>54</v>
      </c>
      <c r="AB71" t="s">
        <v>55</v>
      </c>
      <c r="AC71" t="s">
        <v>66</v>
      </c>
      <c r="AD71" t="s">
        <v>67</v>
      </c>
      <c r="AE71" s="7">
        <v>45549</v>
      </c>
      <c r="AF71" s="7">
        <v>45566</v>
      </c>
      <c r="AG71">
        <v>27464876</v>
      </c>
      <c r="AH71">
        <v>10312484465</v>
      </c>
      <c r="AI71" s="8"/>
      <c r="AJ71" t="s">
        <v>58</v>
      </c>
      <c r="AK71" t="s">
        <v>74</v>
      </c>
      <c r="AL71">
        <v>5</v>
      </c>
      <c r="AM71" s="7">
        <v>45689</v>
      </c>
      <c r="AN71" s="7">
        <v>45716</v>
      </c>
      <c r="AO71" s="8">
        <v>25</v>
      </c>
      <c r="AP71" s="9">
        <v>0.32</v>
      </c>
      <c r="AQ71">
        <v>1290350447</v>
      </c>
      <c r="AS71" t="s">
        <v>60</v>
      </c>
      <c r="BB71" s="7"/>
      <c r="BD71" s="10"/>
      <c r="BF71" s="11"/>
      <c r="BG71" s="7"/>
      <c r="CF71" s="1"/>
    </row>
    <row r="72" spans="1:84" x14ac:dyDescent="0.25">
      <c r="A72" s="7">
        <v>45670</v>
      </c>
      <c r="B72" s="7">
        <v>45691</v>
      </c>
      <c r="C72" t="s">
        <v>45</v>
      </c>
      <c r="D72" t="s">
        <v>46</v>
      </c>
      <c r="F72" s="1">
        <v>16</v>
      </c>
      <c r="G72" s="1">
        <v>0</v>
      </c>
      <c r="H72" s="1">
        <v>16</v>
      </c>
      <c r="I72">
        <v>653470</v>
      </c>
      <c r="J72" t="s">
        <v>47</v>
      </c>
      <c r="P72">
        <v>683589666</v>
      </c>
      <c r="R72" t="s">
        <v>197</v>
      </c>
      <c r="S72" t="s">
        <v>198</v>
      </c>
      <c r="T72" t="s">
        <v>50</v>
      </c>
      <c r="U72">
        <v>678726</v>
      </c>
      <c r="V72" t="s">
        <v>70</v>
      </c>
      <c r="W72" t="s">
        <v>52</v>
      </c>
      <c r="Y72">
        <v>45041</v>
      </c>
      <c r="Z72" t="s">
        <v>71</v>
      </c>
      <c r="AA72" t="s">
        <v>80</v>
      </c>
      <c r="AB72" t="s">
        <v>55</v>
      </c>
      <c r="AC72" t="s">
        <v>66</v>
      </c>
      <c r="AD72" t="s">
        <v>67</v>
      </c>
      <c r="AE72" s="7">
        <v>45635</v>
      </c>
      <c r="AF72" s="7">
        <v>45658</v>
      </c>
      <c r="AG72">
        <v>877044360</v>
      </c>
      <c r="AH72">
        <v>10309329219</v>
      </c>
      <c r="AI72" s="8"/>
      <c r="AJ72" t="s">
        <v>58</v>
      </c>
      <c r="AK72" t="s">
        <v>74</v>
      </c>
      <c r="AL72">
        <v>2</v>
      </c>
      <c r="AM72" s="7">
        <v>45689</v>
      </c>
      <c r="AN72" s="7">
        <v>45716</v>
      </c>
      <c r="AO72" s="8">
        <v>50</v>
      </c>
      <c r="AP72" s="9">
        <v>0.32</v>
      </c>
      <c r="AQ72">
        <v>1290370967</v>
      </c>
      <c r="AS72" t="s">
        <v>60</v>
      </c>
      <c r="BB72" s="7"/>
      <c r="BD72" s="10"/>
      <c r="BF72" s="11"/>
      <c r="CF72" s="1"/>
    </row>
    <row r="73" spans="1:84" x14ac:dyDescent="0.25">
      <c r="A73" s="7">
        <v>45669</v>
      </c>
      <c r="B73" s="7">
        <v>45691</v>
      </c>
      <c r="C73" t="s">
        <v>45</v>
      </c>
      <c r="D73" t="s">
        <v>46</v>
      </c>
      <c r="F73" s="1">
        <v>19.2</v>
      </c>
      <c r="G73" s="1">
        <v>0</v>
      </c>
      <c r="H73" s="1">
        <v>19.2</v>
      </c>
      <c r="I73">
        <v>653470</v>
      </c>
      <c r="J73" t="s">
        <v>47</v>
      </c>
      <c r="P73">
        <v>683438413</v>
      </c>
      <c r="R73" t="s">
        <v>199</v>
      </c>
      <c r="S73" t="s">
        <v>200</v>
      </c>
      <c r="T73" t="s">
        <v>50</v>
      </c>
      <c r="U73">
        <v>678726</v>
      </c>
      <c r="V73" t="s">
        <v>70</v>
      </c>
      <c r="W73" t="s">
        <v>52</v>
      </c>
      <c r="Y73">
        <v>45041</v>
      </c>
      <c r="Z73" t="s">
        <v>71</v>
      </c>
      <c r="AA73" t="s">
        <v>80</v>
      </c>
      <c r="AB73" t="s">
        <v>55</v>
      </c>
      <c r="AC73" t="s">
        <v>66</v>
      </c>
      <c r="AD73" t="s">
        <v>67</v>
      </c>
      <c r="AE73" s="7">
        <v>45608</v>
      </c>
      <c r="AF73" s="7">
        <v>45627</v>
      </c>
      <c r="AG73">
        <v>820303811</v>
      </c>
      <c r="AH73">
        <v>10307131531</v>
      </c>
      <c r="AI73" s="8"/>
      <c r="AJ73" t="s">
        <v>58</v>
      </c>
      <c r="AK73" t="s">
        <v>74</v>
      </c>
      <c r="AL73">
        <v>3</v>
      </c>
      <c r="AM73" s="7">
        <v>45689</v>
      </c>
      <c r="AN73" s="7">
        <v>45716</v>
      </c>
      <c r="AO73" s="8">
        <v>60</v>
      </c>
      <c r="AP73" s="9">
        <v>0.32</v>
      </c>
      <c r="AQ73">
        <v>1290380297</v>
      </c>
      <c r="AS73" t="s">
        <v>60</v>
      </c>
      <c r="BB73" s="7"/>
      <c r="BD73" s="10"/>
      <c r="BF73" s="11"/>
      <c r="BG73" s="7"/>
      <c r="CF73" s="1"/>
    </row>
    <row r="74" spans="1:84" x14ac:dyDescent="0.25">
      <c r="A74" s="7">
        <v>45669</v>
      </c>
      <c r="B74" s="7">
        <v>45691</v>
      </c>
      <c r="C74" t="s">
        <v>45</v>
      </c>
      <c r="D74" t="s">
        <v>46</v>
      </c>
      <c r="F74" s="1">
        <v>15.84</v>
      </c>
      <c r="G74" s="1">
        <v>0</v>
      </c>
      <c r="H74" s="1">
        <v>15.84</v>
      </c>
      <c r="I74">
        <v>653470</v>
      </c>
      <c r="J74" t="s">
        <v>47</v>
      </c>
      <c r="P74">
        <v>682456860</v>
      </c>
      <c r="R74" t="s">
        <v>201</v>
      </c>
      <c r="S74" t="s">
        <v>202</v>
      </c>
      <c r="T74" t="s">
        <v>96</v>
      </c>
      <c r="U74">
        <v>689390</v>
      </c>
      <c r="V74" t="s">
        <v>84</v>
      </c>
      <c r="W74" t="s">
        <v>52</v>
      </c>
      <c r="Y74">
        <v>38399</v>
      </c>
      <c r="Z74" t="s">
        <v>85</v>
      </c>
      <c r="AA74" t="s">
        <v>54</v>
      </c>
      <c r="AB74" t="s">
        <v>55</v>
      </c>
      <c r="AC74" t="s">
        <v>66</v>
      </c>
      <c r="AD74" t="s">
        <v>67</v>
      </c>
      <c r="AE74" s="7">
        <v>45390</v>
      </c>
      <c r="AF74" s="7">
        <v>45413</v>
      </c>
      <c r="AG74">
        <v>970685148</v>
      </c>
      <c r="AH74">
        <v>10294856443</v>
      </c>
      <c r="AI74" s="8"/>
      <c r="AJ74" t="s">
        <v>58</v>
      </c>
      <c r="AK74" t="s">
        <v>59</v>
      </c>
      <c r="AL74">
        <v>10</v>
      </c>
      <c r="AM74" s="7">
        <v>45689</v>
      </c>
      <c r="AN74" s="7">
        <v>45716</v>
      </c>
      <c r="AO74" s="8">
        <v>66</v>
      </c>
      <c r="AP74" s="9">
        <v>0.24</v>
      </c>
      <c r="AQ74">
        <v>1290233584</v>
      </c>
      <c r="AS74" t="s">
        <v>60</v>
      </c>
      <c r="BB74" s="7"/>
      <c r="BD74" s="10"/>
      <c r="BF74" s="11"/>
      <c r="BG74" s="7"/>
      <c r="CF74" s="1"/>
    </row>
    <row r="75" spans="1:84" x14ac:dyDescent="0.25">
      <c r="A75" s="7">
        <v>45668</v>
      </c>
      <c r="B75" s="7">
        <v>45691</v>
      </c>
      <c r="C75" t="s">
        <v>45</v>
      </c>
      <c r="D75" t="s">
        <v>46</v>
      </c>
      <c r="F75" s="1">
        <v>16</v>
      </c>
      <c r="G75" s="1">
        <v>0</v>
      </c>
      <c r="H75" s="1">
        <v>16</v>
      </c>
      <c r="I75">
        <v>653470</v>
      </c>
      <c r="J75" t="s">
        <v>47</v>
      </c>
      <c r="P75">
        <v>683228522</v>
      </c>
      <c r="R75" t="s">
        <v>203</v>
      </c>
      <c r="S75" t="s">
        <v>204</v>
      </c>
      <c r="T75" t="s">
        <v>50</v>
      </c>
      <c r="U75">
        <v>678726</v>
      </c>
      <c r="V75" t="s">
        <v>70</v>
      </c>
      <c r="W75" t="s">
        <v>52</v>
      </c>
      <c r="Y75">
        <v>45041</v>
      </c>
      <c r="Z75" t="s">
        <v>71</v>
      </c>
      <c r="AA75" t="s">
        <v>80</v>
      </c>
      <c r="AB75" t="s">
        <v>55</v>
      </c>
      <c r="AC75" t="s">
        <v>66</v>
      </c>
      <c r="AD75" t="s">
        <v>67</v>
      </c>
      <c r="AE75" s="7">
        <v>45576</v>
      </c>
      <c r="AF75" s="7">
        <v>45597</v>
      </c>
      <c r="AG75">
        <v>211544974</v>
      </c>
      <c r="AH75">
        <v>10304792813</v>
      </c>
      <c r="AI75" s="8"/>
      <c r="AJ75" t="s">
        <v>58</v>
      </c>
      <c r="AK75" t="s">
        <v>74</v>
      </c>
      <c r="AL75">
        <v>4</v>
      </c>
      <c r="AM75" s="7">
        <v>45689</v>
      </c>
      <c r="AN75" s="7">
        <v>45716</v>
      </c>
      <c r="AO75" s="8">
        <v>50</v>
      </c>
      <c r="AP75" s="9">
        <v>0.32</v>
      </c>
      <c r="AQ75">
        <v>1290388308</v>
      </c>
      <c r="AS75" t="s">
        <v>60</v>
      </c>
      <c r="BB75" s="7"/>
      <c r="BD75" s="10"/>
      <c r="BF75" s="11"/>
      <c r="BG75" s="7"/>
      <c r="CF75" s="1"/>
    </row>
    <row r="76" spans="1:84" x14ac:dyDescent="0.25">
      <c r="A76" s="7">
        <v>45668</v>
      </c>
      <c r="B76" s="7">
        <v>45691</v>
      </c>
      <c r="C76" t="s">
        <v>45</v>
      </c>
      <c r="D76" t="s">
        <v>46</v>
      </c>
      <c r="F76" s="1">
        <v>8</v>
      </c>
      <c r="G76" s="1">
        <v>0</v>
      </c>
      <c r="H76" s="1">
        <v>8</v>
      </c>
      <c r="I76">
        <v>653470</v>
      </c>
      <c r="J76" t="s">
        <v>47</v>
      </c>
      <c r="P76">
        <v>683609699</v>
      </c>
      <c r="R76" t="s">
        <v>117</v>
      </c>
      <c r="S76" t="s">
        <v>205</v>
      </c>
      <c r="T76" t="s">
        <v>50</v>
      </c>
      <c r="U76">
        <v>706472</v>
      </c>
      <c r="V76" t="s">
        <v>110</v>
      </c>
      <c r="W76" t="s">
        <v>52</v>
      </c>
      <c r="Y76">
        <v>45041</v>
      </c>
      <c r="Z76" t="s">
        <v>71</v>
      </c>
      <c r="AA76" t="s">
        <v>54</v>
      </c>
      <c r="AB76" t="s">
        <v>55</v>
      </c>
      <c r="AC76" t="s">
        <v>66</v>
      </c>
      <c r="AD76" t="s">
        <v>67</v>
      </c>
      <c r="AE76" s="7">
        <v>45637</v>
      </c>
      <c r="AF76" s="7">
        <v>45658</v>
      </c>
      <c r="AG76">
        <v>58861441</v>
      </c>
      <c r="AH76">
        <v>10304794082</v>
      </c>
      <c r="AI76" s="8"/>
      <c r="AJ76" t="s">
        <v>58</v>
      </c>
      <c r="AK76" t="s">
        <v>74</v>
      </c>
      <c r="AL76">
        <v>2</v>
      </c>
      <c r="AM76" s="7">
        <v>45689</v>
      </c>
      <c r="AN76" s="7">
        <v>45716</v>
      </c>
      <c r="AO76" s="8">
        <v>25</v>
      </c>
      <c r="AP76" s="9">
        <v>0.32</v>
      </c>
      <c r="AQ76">
        <v>1290387838</v>
      </c>
      <c r="AS76" t="s">
        <v>60</v>
      </c>
      <c r="BB76" s="7"/>
      <c r="BD76" s="10"/>
      <c r="BF76" s="11"/>
      <c r="BG76" s="7"/>
      <c r="CF76" s="1"/>
    </row>
    <row r="77" spans="1:84" x14ac:dyDescent="0.25">
      <c r="A77" s="7">
        <v>45667</v>
      </c>
      <c r="B77" s="7">
        <v>45691</v>
      </c>
      <c r="C77" t="s">
        <v>45</v>
      </c>
      <c r="D77" t="s">
        <v>46</v>
      </c>
      <c r="F77" s="1">
        <v>8</v>
      </c>
      <c r="G77" s="1">
        <v>0</v>
      </c>
      <c r="H77" s="1">
        <v>8</v>
      </c>
      <c r="I77">
        <v>653470</v>
      </c>
      <c r="J77" t="s">
        <v>47</v>
      </c>
      <c r="P77">
        <v>683596031</v>
      </c>
      <c r="R77" t="s">
        <v>206</v>
      </c>
      <c r="S77" t="s">
        <v>207</v>
      </c>
      <c r="T77" t="s">
        <v>50</v>
      </c>
      <c r="U77">
        <v>678726</v>
      </c>
      <c r="V77" t="s">
        <v>70</v>
      </c>
      <c r="W77" t="s">
        <v>52</v>
      </c>
      <c r="Y77">
        <v>45041</v>
      </c>
      <c r="Z77" t="s">
        <v>71</v>
      </c>
      <c r="AA77" t="s">
        <v>54</v>
      </c>
      <c r="AB77" t="s">
        <v>55</v>
      </c>
      <c r="AC77" t="s">
        <v>66</v>
      </c>
      <c r="AD77" t="s">
        <v>67</v>
      </c>
      <c r="AE77" s="7">
        <v>45636</v>
      </c>
      <c r="AF77" s="7">
        <v>45658</v>
      </c>
      <c r="AG77">
        <v>68946309</v>
      </c>
      <c r="AH77">
        <v>10301246670</v>
      </c>
      <c r="AI77" s="8"/>
      <c r="AJ77" t="s">
        <v>58</v>
      </c>
      <c r="AK77" t="s">
        <v>74</v>
      </c>
      <c r="AL77">
        <v>2</v>
      </c>
      <c r="AM77" s="7">
        <v>45689</v>
      </c>
      <c r="AN77" s="7">
        <v>45716</v>
      </c>
      <c r="AO77" s="8">
        <v>25</v>
      </c>
      <c r="AP77" s="9">
        <v>0.32</v>
      </c>
      <c r="AQ77">
        <v>1290425002</v>
      </c>
      <c r="AS77" t="s">
        <v>60</v>
      </c>
      <c r="BB77" s="7"/>
      <c r="BD77" s="10"/>
      <c r="BF77" s="11"/>
      <c r="BG77" s="7"/>
      <c r="CF77" s="1"/>
    </row>
    <row r="78" spans="1:84" x14ac:dyDescent="0.25">
      <c r="A78" s="7">
        <v>45667</v>
      </c>
      <c r="B78" s="7">
        <v>45691</v>
      </c>
      <c r="C78" t="s">
        <v>45</v>
      </c>
      <c r="D78" t="s">
        <v>46</v>
      </c>
      <c r="F78" s="1">
        <v>44.4</v>
      </c>
      <c r="G78" s="1">
        <v>0</v>
      </c>
      <c r="H78" s="1">
        <v>44.4</v>
      </c>
      <c r="I78">
        <v>653470</v>
      </c>
      <c r="J78" t="s">
        <v>47</v>
      </c>
      <c r="P78">
        <v>683593204</v>
      </c>
      <c r="R78" t="s">
        <v>113</v>
      </c>
      <c r="S78" t="s">
        <v>208</v>
      </c>
      <c r="T78" t="s">
        <v>63</v>
      </c>
      <c r="U78">
        <v>757929</v>
      </c>
      <c r="V78" t="s">
        <v>190</v>
      </c>
      <c r="W78" t="s">
        <v>52</v>
      </c>
      <c r="Y78">
        <v>38398</v>
      </c>
      <c r="Z78" t="s">
        <v>179</v>
      </c>
      <c r="AA78" t="s">
        <v>77</v>
      </c>
      <c r="AB78" t="s">
        <v>55</v>
      </c>
      <c r="AC78" t="s">
        <v>66</v>
      </c>
      <c r="AD78" t="s">
        <v>67</v>
      </c>
      <c r="AE78" s="7">
        <v>45636</v>
      </c>
      <c r="AF78" s="7">
        <v>45658</v>
      </c>
      <c r="AG78">
        <v>348104279</v>
      </c>
      <c r="AH78">
        <v>10301246458</v>
      </c>
      <c r="AI78" s="8"/>
      <c r="AJ78" t="s">
        <v>58</v>
      </c>
      <c r="AK78" t="s">
        <v>74</v>
      </c>
      <c r="AL78">
        <v>2</v>
      </c>
      <c r="AM78" s="7">
        <v>45689</v>
      </c>
      <c r="AN78" s="7">
        <v>45716</v>
      </c>
      <c r="AO78" s="8">
        <v>185</v>
      </c>
      <c r="AP78" s="9">
        <v>0.24</v>
      </c>
      <c r="AQ78">
        <v>1290425044</v>
      </c>
      <c r="AS78" t="s">
        <v>60</v>
      </c>
      <c r="BB78" s="7"/>
      <c r="BD78" s="10"/>
      <c r="BF78" s="11"/>
      <c r="BG78" s="7"/>
      <c r="CF78" s="1"/>
    </row>
    <row r="79" spans="1:84" x14ac:dyDescent="0.25">
      <c r="A79" s="7">
        <v>45667</v>
      </c>
      <c r="B79" s="7">
        <v>45691</v>
      </c>
      <c r="C79" t="s">
        <v>45</v>
      </c>
      <c r="D79" t="s">
        <v>46</v>
      </c>
      <c r="F79" s="1">
        <v>6</v>
      </c>
      <c r="G79" s="1">
        <v>0</v>
      </c>
      <c r="H79" s="1">
        <v>6</v>
      </c>
      <c r="I79">
        <v>653470</v>
      </c>
      <c r="J79" t="s">
        <v>47</v>
      </c>
      <c r="P79">
        <v>683080241</v>
      </c>
      <c r="R79" t="s">
        <v>209</v>
      </c>
      <c r="S79" t="s">
        <v>210</v>
      </c>
      <c r="T79" t="s">
        <v>186</v>
      </c>
      <c r="U79">
        <v>703501</v>
      </c>
      <c r="V79" t="s">
        <v>131</v>
      </c>
      <c r="W79" t="s">
        <v>52</v>
      </c>
      <c r="Y79">
        <v>38796</v>
      </c>
      <c r="Z79" t="s">
        <v>65</v>
      </c>
      <c r="AA79" t="s">
        <v>54</v>
      </c>
      <c r="AB79" t="s">
        <v>55</v>
      </c>
      <c r="AC79" t="s">
        <v>66</v>
      </c>
      <c r="AD79" t="s">
        <v>67</v>
      </c>
      <c r="AE79" s="7">
        <v>45541</v>
      </c>
      <c r="AF79" s="7">
        <v>45566</v>
      </c>
      <c r="AG79">
        <v>864594072</v>
      </c>
      <c r="AH79">
        <v>10288385365</v>
      </c>
      <c r="AI79" s="8"/>
      <c r="AJ79" t="s">
        <v>58</v>
      </c>
      <c r="AK79" t="s">
        <v>59</v>
      </c>
      <c r="AL79">
        <v>5</v>
      </c>
      <c r="AM79" s="7">
        <v>45689</v>
      </c>
      <c r="AN79" s="7">
        <v>45716</v>
      </c>
      <c r="AO79" s="8">
        <v>25</v>
      </c>
      <c r="AP79" s="9">
        <v>0.24</v>
      </c>
      <c r="AQ79">
        <v>1290246908</v>
      </c>
      <c r="AS79" t="s">
        <v>60</v>
      </c>
      <c r="BB79" s="7"/>
      <c r="BD79" s="10"/>
      <c r="BF79" s="11"/>
      <c r="CF79" s="1"/>
    </row>
    <row r="80" spans="1:84" x14ac:dyDescent="0.25">
      <c r="A80" s="7">
        <v>45667</v>
      </c>
      <c r="B80" s="7">
        <v>45691</v>
      </c>
      <c r="C80" t="s">
        <v>45</v>
      </c>
      <c r="D80" t="s">
        <v>46</v>
      </c>
      <c r="F80" s="1">
        <v>14.64</v>
      </c>
      <c r="G80" s="1">
        <v>0</v>
      </c>
      <c r="H80" s="1">
        <v>14.64</v>
      </c>
      <c r="I80">
        <v>653470</v>
      </c>
      <c r="J80" t="s">
        <v>47</v>
      </c>
      <c r="P80">
        <v>683078519</v>
      </c>
      <c r="R80" t="s">
        <v>211</v>
      </c>
      <c r="S80" t="s">
        <v>212</v>
      </c>
      <c r="T80" t="s">
        <v>213</v>
      </c>
      <c r="U80">
        <v>703501</v>
      </c>
      <c r="V80" t="s">
        <v>131</v>
      </c>
      <c r="W80" t="s">
        <v>52</v>
      </c>
      <c r="Y80">
        <v>38796</v>
      </c>
      <c r="Z80" t="s">
        <v>65</v>
      </c>
      <c r="AA80" t="s">
        <v>180</v>
      </c>
      <c r="AB80" t="s">
        <v>55</v>
      </c>
      <c r="AC80" t="s">
        <v>66</v>
      </c>
      <c r="AD80" t="s">
        <v>67</v>
      </c>
      <c r="AE80" s="7">
        <v>45541</v>
      </c>
      <c r="AF80" s="7">
        <v>45566</v>
      </c>
      <c r="AG80">
        <v>624218472</v>
      </c>
      <c r="AH80">
        <v>10288385230</v>
      </c>
      <c r="AI80" s="8"/>
      <c r="AJ80" t="s">
        <v>58</v>
      </c>
      <c r="AK80" t="s">
        <v>59</v>
      </c>
      <c r="AL80">
        <v>5</v>
      </c>
      <c r="AM80" s="7">
        <v>45689</v>
      </c>
      <c r="AN80" s="7">
        <v>45716</v>
      </c>
      <c r="AO80" s="8">
        <v>61</v>
      </c>
      <c r="AP80" s="9">
        <v>0.24</v>
      </c>
      <c r="AQ80">
        <v>1290246996</v>
      </c>
      <c r="AS80" t="s">
        <v>60</v>
      </c>
      <c r="BB80" s="7"/>
      <c r="BD80" s="10"/>
      <c r="BF80" s="11"/>
      <c r="BG80" s="7"/>
      <c r="CF80" s="1"/>
    </row>
    <row r="81" spans="1:84" x14ac:dyDescent="0.25">
      <c r="A81" s="7">
        <v>45666</v>
      </c>
      <c r="B81" s="7">
        <v>45691</v>
      </c>
      <c r="C81" t="s">
        <v>45</v>
      </c>
      <c r="D81" t="s">
        <v>46</v>
      </c>
      <c r="F81" s="1">
        <v>15.84</v>
      </c>
      <c r="G81" s="1">
        <v>0</v>
      </c>
      <c r="H81" s="1">
        <v>15.84</v>
      </c>
      <c r="I81">
        <v>653470</v>
      </c>
      <c r="J81" t="s">
        <v>47</v>
      </c>
      <c r="P81">
        <v>682968788</v>
      </c>
      <c r="R81" t="s">
        <v>214</v>
      </c>
      <c r="S81" t="s">
        <v>215</v>
      </c>
      <c r="T81" t="s">
        <v>50</v>
      </c>
      <c r="U81">
        <v>781535</v>
      </c>
      <c r="V81" t="s">
        <v>183</v>
      </c>
      <c r="W81" t="s">
        <v>52</v>
      </c>
      <c r="Y81">
        <v>38399</v>
      </c>
      <c r="Z81" t="s">
        <v>85</v>
      </c>
      <c r="AA81" t="s">
        <v>54</v>
      </c>
      <c r="AB81" t="s">
        <v>55</v>
      </c>
      <c r="AC81" t="s">
        <v>66</v>
      </c>
      <c r="AD81" t="s">
        <v>67</v>
      </c>
      <c r="AE81" s="7">
        <v>45513</v>
      </c>
      <c r="AF81" s="7">
        <v>45536</v>
      </c>
      <c r="AG81">
        <v>688051988</v>
      </c>
      <c r="AH81">
        <v>10297927260</v>
      </c>
      <c r="AI81" s="8"/>
      <c r="AJ81" t="s">
        <v>58</v>
      </c>
      <c r="AK81" t="s">
        <v>74</v>
      </c>
      <c r="AL81">
        <v>6</v>
      </c>
      <c r="AM81" s="7">
        <v>45689</v>
      </c>
      <c r="AN81" s="7">
        <v>45716</v>
      </c>
      <c r="AO81" s="8">
        <v>66</v>
      </c>
      <c r="AP81" s="9">
        <v>0.24</v>
      </c>
      <c r="AQ81">
        <v>1290441855</v>
      </c>
      <c r="AS81" t="s">
        <v>60</v>
      </c>
      <c r="BB81" s="7"/>
      <c r="BD81" s="10"/>
      <c r="BF81" s="11"/>
      <c r="CF81" s="1"/>
    </row>
    <row r="82" spans="1:84" x14ac:dyDescent="0.25">
      <c r="A82" s="7">
        <v>45666</v>
      </c>
      <c r="B82" s="7">
        <v>45691</v>
      </c>
      <c r="C82" t="s">
        <v>45</v>
      </c>
      <c r="D82" t="s">
        <v>46</v>
      </c>
      <c r="F82" s="1">
        <v>4.07</v>
      </c>
      <c r="G82" s="1">
        <v>0</v>
      </c>
      <c r="H82" s="1">
        <v>4.07</v>
      </c>
      <c r="I82">
        <v>653470</v>
      </c>
      <c r="J82" t="s">
        <v>47</v>
      </c>
      <c r="P82">
        <v>682968788</v>
      </c>
      <c r="R82" t="s">
        <v>214</v>
      </c>
      <c r="S82" t="s">
        <v>215</v>
      </c>
      <c r="T82" t="s">
        <v>50</v>
      </c>
      <c r="U82">
        <v>781535</v>
      </c>
      <c r="V82" t="s">
        <v>183</v>
      </c>
      <c r="W82" t="s">
        <v>52</v>
      </c>
      <c r="Y82">
        <v>38593</v>
      </c>
      <c r="Z82" t="s">
        <v>53</v>
      </c>
      <c r="AA82" t="s">
        <v>54</v>
      </c>
      <c r="AB82" t="s">
        <v>55</v>
      </c>
      <c r="AC82" t="s">
        <v>56</v>
      </c>
      <c r="AD82" t="s">
        <v>57</v>
      </c>
      <c r="AE82" s="7">
        <v>45513</v>
      </c>
      <c r="AF82" s="7">
        <v>45536</v>
      </c>
      <c r="AG82">
        <v>746163392</v>
      </c>
      <c r="AH82">
        <v>10297927260</v>
      </c>
      <c r="AI82" s="8"/>
      <c r="AJ82" t="s">
        <v>58</v>
      </c>
      <c r="AK82" t="s">
        <v>74</v>
      </c>
      <c r="AL82">
        <v>6</v>
      </c>
      <c r="AM82" s="7">
        <v>45689</v>
      </c>
      <c r="AN82" s="7">
        <v>45716</v>
      </c>
      <c r="AO82" s="8">
        <v>11</v>
      </c>
      <c r="AP82" s="9">
        <v>0.37</v>
      </c>
      <c r="AQ82">
        <v>1290441857</v>
      </c>
      <c r="AS82" t="s">
        <v>60</v>
      </c>
      <c r="BB82" s="7"/>
      <c r="BD82" s="10"/>
      <c r="BF82" s="11"/>
      <c r="BG82" s="7"/>
      <c r="CF82" s="1"/>
    </row>
    <row r="83" spans="1:84" x14ac:dyDescent="0.25">
      <c r="A83" s="7">
        <v>45666</v>
      </c>
      <c r="B83" s="7">
        <v>45691</v>
      </c>
      <c r="C83" t="s">
        <v>45</v>
      </c>
      <c r="D83" t="s">
        <v>46</v>
      </c>
      <c r="F83" s="1">
        <v>4.07</v>
      </c>
      <c r="G83" s="1">
        <v>0</v>
      </c>
      <c r="H83" s="1">
        <v>4.07</v>
      </c>
      <c r="I83">
        <v>653470</v>
      </c>
      <c r="J83" t="s">
        <v>47</v>
      </c>
      <c r="P83">
        <v>683221739</v>
      </c>
      <c r="R83" t="s">
        <v>216</v>
      </c>
      <c r="S83" t="s">
        <v>217</v>
      </c>
      <c r="T83" t="s">
        <v>50</v>
      </c>
      <c r="U83">
        <v>678726</v>
      </c>
      <c r="V83" t="s">
        <v>70</v>
      </c>
      <c r="W83" t="s">
        <v>52</v>
      </c>
      <c r="Y83">
        <v>38593</v>
      </c>
      <c r="Z83" t="s">
        <v>53</v>
      </c>
      <c r="AA83" t="s">
        <v>54</v>
      </c>
      <c r="AB83" t="s">
        <v>55</v>
      </c>
      <c r="AC83" t="s">
        <v>56</v>
      </c>
      <c r="AD83" t="s">
        <v>57</v>
      </c>
      <c r="AE83" s="7">
        <v>45574</v>
      </c>
      <c r="AF83" s="7">
        <v>45597</v>
      </c>
      <c r="AG83">
        <v>607637254</v>
      </c>
      <c r="AH83">
        <v>10297928630</v>
      </c>
      <c r="AI83" s="8"/>
      <c r="AJ83" t="s">
        <v>58</v>
      </c>
      <c r="AK83" t="s">
        <v>74</v>
      </c>
      <c r="AL83">
        <v>4</v>
      </c>
      <c r="AM83" s="7">
        <v>45689</v>
      </c>
      <c r="AN83" s="7">
        <v>45716</v>
      </c>
      <c r="AO83" s="8">
        <v>11</v>
      </c>
      <c r="AP83" s="9">
        <v>0.37</v>
      </c>
      <c r="AQ83">
        <v>1290441291</v>
      </c>
      <c r="AS83" t="s">
        <v>60</v>
      </c>
      <c r="BB83" s="7"/>
      <c r="BD83" s="10"/>
      <c r="BF83" s="11"/>
      <c r="CF83" s="1"/>
    </row>
    <row r="84" spans="1:84" x14ac:dyDescent="0.25">
      <c r="A84" s="7">
        <v>45666</v>
      </c>
      <c r="B84" s="7">
        <v>45691</v>
      </c>
      <c r="C84" t="s">
        <v>45</v>
      </c>
      <c r="D84" t="s">
        <v>46</v>
      </c>
      <c r="F84" s="1">
        <v>8</v>
      </c>
      <c r="G84" s="1">
        <v>0</v>
      </c>
      <c r="H84" s="1">
        <v>8</v>
      </c>
      <c r="I84">
        <v>653470</v>
      </c>
      <c r="J84" t="s">
        <v>47</v>
      </c>
      <c r="P84">
        <v>683221739</v>
      </c>
      <c r="R84" t="s">
        <v>216</v>
      </c>
      <c r="S84" t="s">
        <v>217</v>
      </c>
      <c r="T84" t="s">
        <v>50</v>
      </c>
      <c r="U84">
        <v>678726</v>
      </c>
      <c r="V84" t="s">
        <v>70</v>
      </c>
      <c r="W84" t="s">
        <v>52</v>
      </c>
      <c r="Y84">
        <v>45041</v>
      </c>
      <c r="Z84" t="s">
        <v>71</v>
      </c>
      <c r="AA84" t="s">
        <v>54</v>
      </c>
      <c r="AB84" t="s">
        <v>55</v>
      </c>
      <c r="AC84" t="s">
        <v>66</v>
      </c>
      <c r="AD84" t="s">
        <v>67</v>
      </c>
      <c r="AE84" s="7">
        <v>45574</v>
      </c>
      <c r="AF84" s="7">
        <v>45597</v>
      </c>
      <c r="AG84">
        <v>165329262</v>
      </c>
      <c r="AH84">
        <v>10297928630</v>
      </c>
      <c r="AI84" s="8"/>
      <c r="AJ84" t="s">
        <v>58</v>
      </c>
      <c r="AK84" t="s">
        <v>74</v>
      </c>
      <c r="AL84">
        <v>4</v>
      </c>
      <c r="AM84" s="7">
        <v>45689</v>
      </c>
      <c r="AN84" s="7">
        <v>45716</v>
      </c>
      <c r="AO84" s="8">
        <v>25</v>
      </c>
      <c r="AP84" s="9">
        <v>0.32</v>
      </c>
      <c r="AQ84">
        <v>1290441294</v>
      </c>
      <c r="AS84" t="s">
        <v>60</v>
      </c>
      <c r="BB84" s="7"/>
      <c r="BD84" s="10"/>
      <c r="BF84" s="11"/>
      <c r="BG84" s="7"/>
      <c r="CF84" s="1"/>
    </row>
    <row r="85" spans="1:84" x14ac:dyDescent="0.25">
      <c r="A85" s="7">
        <v>45666</v>
      </c>
      <c r="B85" s="7">
        <v>45691</v>
      </c>
      <c r="C85" t="s">
        <v>45</v>
      </c>
      <c r="D85" t="s">
        <v>46</v>
      </c>
      <c r="F85" s="1">
        <v>5.55</v>
      </c>
      <c r="G85" s="1">
        <v>0</v>
      </c>
      <c r="H85" s="1">
        <v>5.55</v>
      </c>
      <c r="I85">
        <v>653470</v>
      </c>
      <c r="J85" t="s">
        <v>47</v>
      </c>
      <c r="P85">
        <v>683333798</v>
      </c>
      <c r="R85" t="s">
        <v>218</v>
      </c>
      <c r="S85" t="s">
        <v>219</v>
      </c>
      <c r="T85" t="s">
        <v>186</v>
      </c>
      <c r="U85">
        <v>798992</v>
      </c>
      <c r="V85" t="s">
        <v>167</v>
      </c>
      <c r="W85" t="s">
        <v>52</v>
      </c>
      <c r="Y85">
        <v>38593</v>
      </c>
      <c r="Z85" t="s">
        <v>53</v>
      </c>
      <c r="AA85" t="s">
        <v>101</v>
      </c>
      <c r="AB85" t="s">
        <v>55</v>
      </c>
      <c r="AC85" t="s">
        <v>56</v>
      </c>
      <c r="AD85" t="s">
        <v>57</v>
      </c>
      <c r="AE85" s="7">
        <v>45600</v>
      </c>
      <c r="AF85" s="7">
        <v>45627</v>
      </c>
      <c r="AG85">
        <v>124154427</v>
      </c>
      <c r="AH85">
        <v>10283528026</v>
      </c>
      <c r="AI85" s="8"/>
      <c r="AJ85" t="s">
        <v>58</v>
      </c>
      <c r="AK85" t="s">
        <v>59</v>
      </c>
      <c r="AL85">
        <v>3</v>
      </c>
      <c r="AM85" s="7">
        <v>45689</v>
      </c>
      <c r="AN85" s="7">
        <v>45716</v>
      </c>
      <c r="AO85" s="8">
        <v>15</v>
      </c>
      <c r="AP85" s="9">
        <v>0.37</v>
      </c>
      <c r="AQ85">
        <v>1290268929</v>
      </c>
      <c r="AS85" t="s">
        <v>60</v>
      </c>
      <c r="BB85" s="7"/>
      <c r="BD85" s="10"/>
      <c r="BF85" s="11"/>
      <c r="CF85" s="1"/>
    </row>
    <row r="86" spans="1:84" x14ac:dyDescent="0.25">
      <c r="A86" s="7">
        <v>45666</v>
      </c>
      <c r="B86" s="7">
        <v>45691</v>
      </c>
      <c r="C86" t="s">
        <v>45</v>
      </c>
      <c r="D86" t="s">
        <v>46</v>
      </c>
      <c r="F86" s="1">
        <v>16</v>
      </c>
      <c r="G86" s="1">
        <v>0</v>
      </c>
      <c r="H86" s="1">
        <v>16</v>
      </c>
      <c r="I86">
        <v>653470</v>
      </c>
      <c r="J86" t="s">
        <v>47</v>
      </c>
      <c r="P86">
        <v>683333798</v>
      </c>
      <c r="R86" t="s">
        <v>218</v>
      </c>
      <c r="S86" t="s">
        <v>219</v>
      </c>
      <c r="T86" t="s">
        <v>186</v>
      </c>
      <c r="U86">
        <v>798992</v>
      </c>
      <c r="V86" t="s">
        <v>167</v>
      </c>
      <c r="W86" t="s">
        <v>52</v>
      </c>
      <c r="Y86">
        <v>45041</v>
      </c>
      <c r="Z86" t="s">
        <v>71</v>
      </c>
      <c r="AA86" t="s">
        <v>80</v>
      </c>
      <c r="AB86" t="s">
        <v>55</v>
      </c>
      <c r="AC86" t="s">
        <v>66</v>
      </c>
      <c r="AD86" t="s">
        <v>67</v>
      </c>
      <c r="AE86" s="7">
        <v>45600</v>
      </c>
      <c r="AF86" s="7">
        <v>45627</v>
      </c>
      <c r="AG86">
        <v>385850665</v>
      </c>
      <c r="AH86">
        <v>10283528026</v>
      </c>
      <c r="AI86" s="8"/>
      <c r="AJ86" t="s">
        <v>58</v>
      </c>
      <c r="AK86" t="s">
        <v>59</v>
      </c>
      <c r="AL86">
        <v>3</v>
      </c>
      <c r="AM86" s="7">
        <v>45689</v>
      </c>
      <c r="AN86" s="7">
        <v>45716</v>
      </c>
      <c r="AO86" s="8">
        <v>50</v>
      </c>
      <c r="AP86" s="9">
        <v>0.32</v>
      </c>
      <c r="AQ86">
        <v>1290268933</v>
      </c>
      <c r="AS86" t="s">
        <v>60</v>
      </c>
      <c r="BD86" s="10"/>
      <c r="BF86" s="11"/>
      <c r="BG86" s="7"/>
      <c r="CF86" s="1"/>
    </row>
    <row r="87" spans="1:84" x14ac:dyDescent="0.25">
      <c r="A87" s="7">
        <v>45666</v>
      </c>
      <c r="B87" s="7">
        <v>45691</v>
      </c>
      <c r="C87" t="s">
        <v>45</v>
      </c>
      <c r="D87" t="s">
        <v>46</v>
      </c>
      <c r="F87" s="1">
        <v>4.07</v>
      </c>
      <c r="G87" s="1">
        <v>0</v>
      </c>
      <c r="H87" s="1">
        <v>4.07</v>
      </c>
      <c r="I87">
        <v>653470</v>
      </c>
      <c r="J87" t="s">
        <v>47</v>
      </c>
      <c r="P87">
        <v>683551481</v>
      </c>
      <c r="R87" t="s">
        <v>220</v>
      </c>
      <c r="S87" t="s">
        <v>221</v>
      </c>
      <c r="T87" t="s">
        <v>50</v>
      </c>
      <c r="U87">
        <v>798992</v>
      </c>
      <c r="V87" t="s">
        <v>167</v>
      </c>
      <c r="W87" t="s">
        <v>52</v>
      </c>
      <c r="Y87">
        <v>38593</v>
      </c>
      <c r="Z87" t="s">
        <v>53</v>
      </c>
      <c r="AA87" t="s">
        <v>54</v>
      </c>
      <c r="AB87" t="s">
        <v>55</v>
      </c>
      <c r="AC87" t="s">
        <v>56</v>
      </c>
      <c r="AD87" t="s">
        <v>57</v>
      </c>
      <c r="AE87" s="7">
        <v>45630</v>
      </c>
      <c r="AF87" s="7">
        <v>45658</v>
      </c>
      <c r="AG87">
        <v>245549848</v>
      </c>
      <c r="AH87">
        <v>10283539948</v>
      </c>
      <c r="AI87" s="8"/>
      <c r="AJ87" t="s">
        <v>58</v>
      </c>
      <c r="AK87" t="s">
        <v>59</v>
      </c>
      <c r="AL87">
        <v>2</v>
      </c>
      <c r="AM87" s="7">
        <v>45689</v>
      </c>
      <c r="AN87" s="7">
        <v>45716</v>
      </c>
      <c r="AO87" s="8">
        <v>11</v>
      </c>
      <c r="AP87" s="9">
        <v>0.37</v>
      </c>
      <c r="AQ87">
        <v>1290265928</v>
      </c>
      <c r="AS87" t="s">
        <v>60</v>
      </c>
      <c r="BB87" s="7"/>
      <c r="BD87" s="10"/>
      <c r="BF87" s="11"/>
      <c r="BG87" s="7"/>
      <c r="CF87" s="1"/>
    </row>
    <row r="88" spans="1:84" x14ac:dyDescent="0.25">
      <c r="A88" s="7">
        <v>45666</v>
      </c>
      <c r="B88" s="7">
        <v>45691</v>
      </c>
      <c r="C88" t="s">
        <v>45</v>
      </c>
      <c r="D88" t="s">
        <v>46</v>
      </c>
      <c r="F88" s="1">
        <v>9.6</v>
      </c>
      <c r="G88" s="1">
        <v>0</v>
      </c>
      <c r="H88" s="1">
        <v>9.6</v>
      </c>
      <c r="I88">
        <v>653470</v>
      </c>
      <c r="J88" t="s">
        <v>47</v>
      </c>
      <c r="P88">
        <v>683551481</v>
      </c>
      <c r="R88" t="s">
        <v>220</v>
      </c>
      <c r="S88" t="s">
        <v>221</v>
      </c>
      <c r="T88" t="s">
        <v>50</v>
      </c>
      <c r="U88">
        <v>798992</v>
      </c>
      <c r="V88" t="s">
        <v>167</v>
      </c>
      <c r="W88" t="s">
        <v>52</v>
      </c>
      <c r="Y88">
        <v>45041</v>
      </c>
      <c r="Z88" t="s">
        <v>71</v>
      </c>
      <c r="AA88" t="s">
        <v>54</v>
      </c>
      <c r="AB88" t="s">
        <v>55</v>
      </c>
      <c r="AC88" t="s">
        <v>66</v>
      </c>
      <c r="AD88" t="s">
        <v>67</v>
      </c>
      <c r="AE88" s="7">
        <v>45630</v>
      </c>
      <c r="AF88" s="7">
        <v>45658</v>
      </c>
      <c r="AG88">
        <v>984523223</v>
      </c>
      <c r="AH88">
        <v>10283539948</v>
      </c>
      <c r="AI88" s="8"/>
      <c r="AJ88" t="s">
        <v>58</v>
      </c>
      <c r="AK88" t="s">
        <v>59</v>
      </c>
      <c r="AL88">
        <v>2</v>
      </c>
      <c r="AM88" s="7">
        <v>45689</v>
      </c>
      <c r="AN88" s="7">
        <v>45716</v>
      </c>
      <c r="AO88" s="8">
        <v>30</v>
      </c>
      <c r="AP88" s="9">
        <v>0.32</v>
      </c>
      <c r="AQ88">
        <v>1290265934</v>
      </c>
      <c r="AS88" t="s">
        <v>60</v>
      </c>
      <c r="BB88" s="7"/>
      <c r="BD88" s="10"/>
      <c r="BF88" s="11"/>
      <c r="CF88" s="1"/>
    </row>
    <row r="89" spans="1:84" x14ac:dyDescent="0.25">
      <c r="A89" s="7">
        <v>45666</v>
      </c>
      <c r="B89" s="7">
        <v>45691</v>
      </c>
      <c r="C89" t="s">
        <v>45</v>
      </c>
      <c r="D89" t="s">
        <v>46</v>
      </c>
      <c r="F89" s="1">
        <v>8</v>
      </c>
      <c r="G89" s="1">
        <v>0</v>
      </c>
      <c r="H89" s="1">
        <v>8</v>
      </c>
      <c r="I89">
        <v>653470</v>
      </c>
      <c r="J89" t="s">
        <v>47</v>
      </c>
      <c r="P89">
        <v>683552927</v>
      </c>
      <c r="R89" t="s">
        <v>222</v>
      </c>
      <c r="S89" t="s">
        <v>223</v>
      </c>
      <c r="T89" t="s">
        <v>50</v>
      </c>
      <c r="U89">
        <v>678726</v>
      </c>
      <c r="V89" t="s">
        <v>70</v>
      </c>
      <c r="W89" t="s">
        <v>52</v>
      </c>
      <c r="Y89">
        <v>45041</v>
      </c>
      <c r="Z89" t="s">
        <v>71</v>
      </c>
      <c r="AA89" t="s">
        <v>54</v>
      </c>
      <c r="AB89" t="s">
        <v>55</v>
      </c>
      <c r="AC89" t="s">
        <v>66</v>
      </c>
      <c r="AD89" t="s">
        <v>67</v>
      </c>
      <c r="AE89" s="7">
        <v>45630</v>
      </c>
      <c r="AF89" s="7">
        <v>45658</v>
      </c>
      <c r="AG89">
        <v>699319353</v>
      </c>
      <c r="AH89">
        <v>10286064838</v>
      </c>
      <c r="AI89" s="8"/>
      <c r="AJ89" t="s">
        <v>58</v>
      </c>
      <c r="AK89" t="s">
        <v>59</v>
      </c>
      <c r="AL89">
        <v>2</v>
      </c>
      <c r="AM89" s="7">
        <v>45689</v>
      </c>
      <c r="AN89" s="7">
        <v>45716</v>
      </c>
      <c r="AO89" s="8">
        <v>25</v>
      </c>
      <c r="AP89" s="9">
        <v>0.32</v>
      </c>
      <c r="AQ89">
        <v>1290253452</v>
      </c>
      <c r="AS89" t="s">
        <v>60</v>
      </c>
      <c r="BB89" s="7"/>
      <c r="BD89" s="10"/>
      <c r="BF89" s="11"/>
      <c r="CF89" s="1"/>
    </row>
    <row r="90" spans="1:84" x14ac:dyDescent="0.25">
      <c r="A90" s="7">
        <v>45665</v>
      </c>
      <c r="B90" s="7">
        <v>45691</v>
      </c>
      <c r="C90" t="s">
        <v>45</v>
      </c>
      <c r="D90" t="s">
        <v>46</v>
      </c>
      <c r="E90" t="s">
        <v>224</v>
      </c>
      <c r="F90" s="1">
        <v>0</v>
      </c>
      <c r="G90" s="1">
        <v>5.55</v>
      </c>
      <c r="H90" s="1">
        <v>-5.55</v>
      </c>
      <c r="I90">
        <v>653470</v>
      </c>
      <c r="J90" t="s">
        <v>47</v>
      </c>
      <c r="P90">
        <v>683084379</v>
      </c>
      <c r="R90" t="s">
        <v>117</v>
      </c>
      <c r="S90" t="s">
        <v>225</v>
      </c>
      <c r="T90" t="s">
        <v>63</v>
      </c>
      <c r="U90">
        <v>759555</v>
      </c>
      <c r="V90" t="s">
        <v>178</v>
      </c>
      <c r="W90" t="s">
        <v>52</v>
      </c>
      <c r="Y90">
        <v>38593</v>
      </c>
      <c r="Z90" t="s">
        <v>53</v>
      </c>
      <c r="AA90" t="s">
        <v>101</v>
      </c>
      <c r="AB90" t="s">
        <v>55</v>
      </c>
      <c r="AC90" t="s">
        <v>56</v>
      </c>
      <c r="AD90" t="s">
        <v>57</v>
      </c>
      <c r="AE90" s="7">
        <v>45544</v>
      </c>
      <c r="AF90" s="7">
        <v>45566</v>
      </c>
      <c r="AG90">
        <v>21245735</v>
      </c>
      <c r="AH90">
        <v>10295480805</v>
      </c>
      <c r="AI90" s="8"/>
      <c r="AJ90" t="s">
        <v>226</v>
      </c>
      <c r="AK90" t="s">
        <v>59</v>
      </c>
      <c r="AL90">
        <v>4</v>
      </c>
      <c r="AM90" s="7">
        <v>45658</v>
      </c>
      <c r="AN90" s="7">
        <v>45688</v>
      </c>
      <c r="AO90" s="8">
        <v>15</v>
      </c>
      <c r="AP90" s="9">
        <v>0.37</v>
      </c>
      <c r="AQ90">
        <v>1290232547</v>
      </c>
      <c r="AS90" t="s">
        <v>60</v>
      </c>
      <c r="BB90" s="7"/>
      <c r="BD90" s="10"/>
      <c r="BF90" s="11"/>
      <c r="CF90" s="1"/>
    </row>
    <row r="91" spans="1:84" x14ac:dyDescent="0.25">
      <c r="A91" s="7">
        <v>45664</v>
      </c>
      <c r="B91" s="7">
        <v>45691</v>
      </c>
      <c r="C91" t="s">
        <v>45</v>
      </c>
      <c r="D91" t="s">
        <v>46</v>
      </c>
      <c r="F91" s="1">
        <v>8</v>
      </c>
      <c r="G91" s="1">
        <v>0</v>
      </c>
      <c r="H91" s="1">
        <v>8</v>
      </c>
      <c r="I91">
        <v>653470</v>
      </c>
      <c r="J91" t="s">
        <v>47</v>
      </c>
      <c r="P91">
        <v>683206913</v>
      </c>
      <c r="R91" t="s">
        <v>227</v>
      </c>
      <c r="S91" t="s">
        <v>228</v>
      </c>
      <c r="T91" t="s">
        <v>50</v>
      </c>
      <c r="U91">
        <v>678726</v>
      </c>
      <c r="V91" t="s">
        <v>70</v>
      </c>
      <c r="W91" t="s">
        <v>52</v>
      </c>
      <c r="Y91">
        <v>45041</v>
      </c>
      <c r="Z91" t="s">
        <v>71</v>
      </c>
      <c r="AA91" t="s">
        <v>54</v>
      </c>
      <c r="AB91" t="s">
        <v>55</v>
      </c>
      <c r="AC91" t="s">
        <v>66</v>
      </c>
      <c r="AD91" t="s">
        <v>67</v>
      </c>
      <c r="AE91" s="7">
        <v>45569</v>
      </c>
      <c r="AF91" s="7">
        <v>45597</v>
      </c>
      <c r="AG91">
        <v>708780484</v>
      </c>
      <c r="AH91">
        <v>10291805348</v>
      </c>
      <c r="AI91" s="8"/>
      <c r="AJ91" t="s">
        <v>58</v>
      </c>
      <c r="AK91" t="s">
        <v>74</v>
      </c>
      <c r="AL91">
        <v>4</v>
      </c>
      <c r="AM91" s="7">
        <v>45689</v>
      </c>
      <c r="AN91" s="7">
        <v>45716</v>
      </c>
      <c r="AO91" s="8">
        <v>25</v>
      </c>
      <c r="AP91" s="9">
        <v>0.32</v>
      </c>
      <c r="AQ91">
        <v>1290460523</v>
      </c>
      <c r="AS91" t="s">
        <v>60</v>
      </c>
      <c r="BB91" s="7"/>
      <c r="BD91" s="10"/>
      <c r="BF91" s="11"/>
      <c r="BG91" s="7"/>
      <c r="CF91" s="1"/>
    </row>
    <row r="92" spans="1:84" x14ac:dyDescent="0.25">
      <c r="A92" s="7">
        <v>45664</v>
      </c>
      <c r="B92" s="7">
        <v>45691</v>
      </c>
      <c r="C92" t="s">
        <v>45</v>
      </c>
      <c r="D92" t="s">
        <v>46</v>
      </c>
      <c r="F92" s="1">
        <v>8</v>
      </c>
      <c r="G92" s="1">
        <v>0</v>
      </c>
      <c r="H92" s="1">
        <v>8</v>
      </c>
      <c r="I92">
        <v>653470</v>
      </c>
      <c r="J92" t="s">
        <v>47</v>
      </c>
      <c r="P92">
        <v>683324516</v>
      </c>
      <c r="R92" t="s">
        <v>229</v>
      </c>
      <c r="S92" t="s">
        <v>230</v>
      </c>
      <c r="T92" t="s">
        <v>50</v>
      </c>
      <c r="U92">
        <v>678726</v>
      </c>
      <c r="V92" t="s">
        <v>70</v>
      </c>
      <c r="W92" t="s">
        <v>52</v>
      </c>
      <c r="Y92">
        <v>45041</v>
      </c>
      <c r="Z92" t="s">
        <v>71</v>
      </c>
      <c r="AA92" t="s">
        <v>54</v>
      </c>
      <c r="AB92" t="s">
        <v>55</v>
      </c>
      <c r="AC92" t="s">
        <v>66</v>
      </c>
      <c r="AD92" t="s">
        <v>67</v>
      </c>
      <c r="AE92" s="7">
        <v>45597</v>
      </c>
      <c r="AF92" s="7">
        <v>45627</v>
      </c>
      <c r="AG92">
        <v>196153282</v>
      </c>
      <c r="AH92">
        <v>10291750700</v>
      </c>
      <c r="AI92" s="8"/>
      <c r="AJ92" t="s">
        <v>58</v>
      </c>
      <c r="AK92" t="s">
        <v>74</v>
      </c>
      <c r="AL92">
        <v>3</v>
      </c>
      <c r="AM92" s="7">
        <v>45689</v>
      </c>
      <c r="AN92" s="7">
        <v>45716</v>
      </c>
      <c r="AO92" s="8">
        <v>25</v>
      </c>
      <c r="AP92" s="9">
        <v>0.32</v>
      </c>
      <c r="AQ92">
        <v>1290465987</v>
      </c>
      <c r="AS92" t="s">
        <v>60</v>
      </c>
      <c r="BB92" s="7"/>
      <c r="BD92" s="10"/>
      <c r="BF92" s="11"/>
      <c r="BG92" s="7"/>
      <c r="CF92" s="1"/>
    </row>
    <row r="93" spans="1:84" x14ac:dyDescent="0.25">
      <c r="A93" s="7">
        <v>45663</v>
      </c>
      <c r="B93" s="7">
        <v>45691</v>
      </c>
      <c r="C93" t="s">
        <v>45</v>
      </c>
      <c r="D93" t="s">
        <v>46</v>
      </c>
      <c r="F93" s="1">
        <v>8</v>
      </c>
      <c r="G93" s="1">
        <v>0</v>
      </c>
      <c r="H93" s="1">
        <v>8</v>
      </c>
      <c r="I93">
        <v>653470</v>
      </c>
      <c r="J93" t="s">
        <v>47</v>
      </c>
      <c r="P93">
        <v>683317543</v>
      </c>
      <c r="R93" t="s">
        <v>231</v>
      </c>
      <c r="S93" t="s">
        <v>232</v>
      </c>
      <c r="T93" t="s">
        <v>50</v>
      </c>
      <c r="U93">
        <v>707256</v>
      </c>
      <c r="V93" t="s">
        <v>126</v>
      </c>
      <c r="W93" t="s">
        <v>52</v>
      </c>
      <c r="Y93">
        <v>45041</v>
      </c>
      <c r="Z93" t="s">
        <v>71</v>
      </c>
      <c r="AA93" t="s">
        <v>54</v>
      </c>
      <c r="AB93" t="s">
        <v>55</v>
      </c>
      <c r="AC93" t="s">
        <v>66</v>
      </c>
      <c r="AD93" t="s">
        <v>67</v>
      </c>
      <c r="AE93" s="7">
        <v>45596</v>
      </c>
      <c r="AF93" s="7">
        <v>45597</v>
      </c>
      <c r="AG93">
        <v>224153635</v>
      </c>
      <c r="AH93">
        <v>10289930591</v>
      </c>
      <c r="AI93" s="8"/>
      <c r="AJ93" t="s">
        <v>58</v>
      </c>
      <c r="AK93" t="s">
        <v>74</v>
      </c>
      <c r="AL93">
        <v>3</v>
      </c>
      <c r="AM93" s="7">
        <v>45658</v>
      </c>
      <c r="AN93" s="7">
        <v>45688</v>
      </c>
      <c r="AO93" s="8">
        <v>25</v>
      </c>
      <c r="AP93" s="9">
        <v>0.32</v>
      </c>
      <c r="AQ93">
        <v>1290471062</v>
      </c>
      <c r="AS93" t="s">
        <v>60</v>
      </c>
      <c r="BB93" s="7"/>
      <c r="BD93" s="10"/>
      <c r="BF93" s="11"/>
      <c r="BG93" s="7"/>
      <c r="CF93" s="1"/>
    </row>
    <row r="94" spans="1:84" x14ac:dyDescent="0.25">
      <c r="A94" s="7">
        <v>45662</v>
      </c>
      <c r="B94" s="7">
        <v>45691</v>
      </c>
      <c r="C94" t="s">
        <v>45</v>
      </c>
      <c r="D94" t="s">
        <v>46</v>
      </c>
      <c r="F94" s="1">
        <v>4.07</v>
      </c>
      <c r="G94" s="1">
        <v>0</v>
      </c>
      <c r="H94" s="1">
        <v>4.07</v>
      </c>
      <c r="I94">
        <v>653470</v>
      </c>
      <c r="J94" t="s">
        <v>47</v>
      </c>
      <c r="P94">
        <v>681549155</v>
      </c>
      <c r="R94" t="s">
        <v>233</v>
      </c>
      <c r="S94" t="s">
        <v>234</v>
      </c>
      <c r="T94" t="s">
        <v>235</v>
      </c>
      <c r="U94">
        <v>703501</v>
      </c>
      <c r="V94" t="s">
        <v>131</v>
      </c>
      <c r="W94" t="s">
        <v>52</v>
      </c>
      <c r="Y94">
        <v>38593</v>
      </c>
      <c r="Z94" t="s">
        <v>53</v>
      </c>
      <c r="AA94" t="s">
        <v>54</v>
      </c>
      <c r="AB94" t="s">
        <v>55</v>
      </c>
      <c r="AC94" t="s">
        <v>56</v>
      </c>
      <c r="AD94" t="s">
        <v>57</v>
      </c>
      <c r="AE94" s="7">
        <v>45204</v>
      </c>
      <c r="AF94" s="7">
        <v>45231</v>
      </c>
      <c r="AG94">
        <v>464503420</v>
      </c>
      <c r="AH94">
        <v>10286064867</v>
      </c>
      <c r="AI94" s="8"/>
      <c r="AJ94" t="s">
        <v>58</v>
      </c>
      <c r="AK94" t="s">
        <v>74</v>
      </c>
      <c r="AL94">
        <v>16</v>
      </c>
      <c r="AM94" s="7">
        <v>45689</v>
      </c>
      <c r="AN94" s="7">
        <v>45716</v>
      </c>
      <c r="AO94" s="8">
        <v>11</v>
      </c>
      <c r="AP94" s="9">
        <v>0.37</v>
      </c>
      <c r="AQ94">
        <v>1290490326</v>
      </c>
      <c r="AS94" t="s">
        <v>60</v>
      </c>
      <c r="BB94" s="7"/>
      <c r="BD94" s="10"/>
      <c r="BF94" s="11"/>
      <c r="BG94" s="7"/>
      <c r="CF94" s="1"/>
    </row>
    <row r="95" spans="1:84" x14ac:dyDescent="0.25">
      <c r="A95" s="7">
        <v>45662</v>
      </c>
      <c r="B95" s="7">
        <v>45691</v>
      </c>
      <c r="C95" t="s">
        <v>45</v>
      </c>
      <c r="D95" t="s">
        <v>46</v>
      </c>
      <c r="F95" s="1">
        <v>18.239999999999998</v>
      </c>
      <c r="G95" s="1">
        <v>0</v>
      </c>
      <c r="H95" s="1">
        <v>18.239999999999998</v>
      </c>
      <c r="I95">
        <v>653470</v>
      </c>
      <c r="J95" t="s">
        <v>47</v>
      </c>
      <c r="P95">
        <v>681694666</v>
      </c>
      <c r="R95" t="s">
        <v>236</v>
      </c>
      <c r="S95" t="s">
        <v>237</v>
      </c>
      <c r="T95" t="s">
        <v>93</v>
      </c>
      <c r="U95">
        <v>689390</v>
      </c>
      <c r="V95" t="s">
        <v>84</v>
      </c>
      <c r="W95" t="s">
        <v>52</v>
      </c>
      <c r="Y95">
        <v>38398</v>
      </c>
      <c r="Z95" t="s">
        <v>179</v>
      </c>
      <c r="AA95" t="s">
        <v>80</v>
      </c>
      <c r="AB95" t="s">
        <v>55</v>
      </c>
      <c r="AC95" t="s">
        <v>66</v>
      </c>
      <c r="AD95" t="s">
        <v>67</v>
      </c>
      <c r="AE95" s="7">
        <v>45240</v>
      </c>
      <c r="AF95" s="7">
        <v>45292</v>
      </c>
      <c r="AG95">
        <v>654081029</v>
      </c>
      <c r="AH95">
        <v>10272421305</v>
      </c>
      <c r="AI95" s="8"/>
      <c r="AJ95" t="s">
        <v>58</v>
      </c>
      <c r="AK95" t="s">
        <v>59</v>
      </c>
      <c r="AL95">
        <v>13</v>
      </c>
      <c r="AM95" s="7">
        <v>45658</v>
      </c>
      <c r="AN95" s="7">
        <v>45688</v>
      </c>
      <c r="AO95" s="8">
        <v>76</v>
      </c>
      <c r="AP95" s="9">
        <v>0.24</v>
      </c>
      <c r="AQ95">
        <v>1290316787</v>
      </c>
      <c r="AS95" t="s">
        <v>60</v>
      </c>
      <c r="BB95" s="7"/>
      <c r="BD95" s="10"/>
      <c r="BF95" s="11"/>
      <c r="BG95" s="7"/>
      <c r="CF95" s="1"/>
    </row>
    <row r="96" spans="1:84" x14ac:dyDescent="0.25">
      <c r="A96" s="7">
        <v>45662</v>
      </c>
      <c r="B96" s="7">
        <v>45691</v>
      </c>
      <c r="C96" t="s">
        <v>45</v>
      </c>
      <c r="D96" t="s">
        <v>46</v>
      </c>
      <c r="F96" s="1">
        <v>15.6</v>
      </c>
      <c r="G96" s="1">
        <v>0</v>
      </c>
      <c r="H96" s="1">
        <v>15.6</v>
      </c>
      <c r="I96">
        <v>653470</v>
      </c>
      <c r="J96" t="s">
        <v>47</v>
      </c>
      <c r="P96">
        <v>681654117</v>
      </c>
      <c r="R96" t="s">
        <v>238</v>
      </c>
      <c r="S96" t="s">
        <v>239</v>
      </c>
      <c r="T96" t="s">
        <v>93</v>
      </c>
      <c r="U96">
        <v>689390</v>
      </c>
      <c r="V96" t="s">
        <v>84</v>
      </c>
      <c r="W96" t="s">
        <v>52</v>
      </c>
      <c r="Y96">
        <v>38399</v>
      </c>
      <c r="Z96" t="s">
        <v>85</v>
      </c>
      <c r="AA96" t="s">
        <v>54</v>
      </c>
      <c r="AB96" t="s">
        <v>55</v>
      </c>
      <c r="AC96" t="s">
        <v>66</v>
      </c>
      <c r="AD96" t="s">
        <v>67</v>
      </c>
      <c r="AE96" s="7">
        <v>45231</v>
      </c>
      <c r="AF96" s="7">
        <v>45261</v>
      </c>
      <c r="AG96">
        <v>509195534</v>
      </c>
      <c r="AH96">
        <v>10272420249</v>
      </c>
      <c r="AI96" s="8"/>
      <c r="AJ96" t="s">
        <v>58</v>
      </c>
      <c r="AK96" t="s">
        <v>59</v>
      </c>
      <c r="AL96">
        <v>15</v>
      </c>
      <c r="AM96" s="7">
        <v>45689</v>
      </c>
      <c r="AN96" s="7">
        <v>45716</v>
      </c>
      <c r="AO96" s="8">
        <v>65</v>
      </c>
      <c r="AP96" s="9">
        <v>0.24</v>
      </c>
      <c r="AQ96">
        <v>1290316943</v>
      </c>
      <c r="AS96" t="s">
        <v>60</v>
      </c>
      <c r="BB96" s="7"/>
      <c r="BD96" s="10"/>
      <c r="BF96" s="11"/>
      <c r="CF96" s="1"/>
    </row>
    <row r="97" spans="1:84" x14ac:dyDescent="0.25">
      <c r="A97" s="7">
        <v>45662</v>
      </c>
      <c r="B97" s="7">
        <v>45691</v>
      </c>
      <c r="C97" t="s">
        <v>45</v>
      </c>
      <c r="D97" t="s">
        <v>46</v>
      </c>
      <c r="F97" s="1">
        <v>18.239999999999998</v>
      </c>
      <c r="G97" s="1">
        <v>0</v>
      </c>
      <c r="H97" s="1">
        <v>18.239999999999998</v>
      </c>
      <c r="I97">
        <v>653470</v>
      </c>
      <c r="J97" t="s">
        <v>47</v>
      </c>
      <c r="P97">
        <v>681802160</v>
      </c>
      <c r="R97" t="s">
        <v>104</v>
      </c>
      <c r="S97" t="s">
        <v>240</v>
      </c>
      <c r="T97" t="s">
        <v>93</v>
      </c>
      <c r="U97">
        <v>689390</v>
      </c>
      <c r="V97" t="s">
        <v>84</v>
      </c>
      <c r="W97" t="s">
        <v>52</v>
      </c>
      <c r="Y97">
        <v>38398</v>
      </c>
      <c r="Z97" t="s">
        <v>179</v>
      </c>
      <c r="AA97" t="s">
        <v>80</v>
      </c>
      <c r="AB97" t="s">
        <v>55</v>
      </c>
      <c r="AC97" t="s">
        <v>66</v>
      </c>
      <c r="AD97" t="s">
        <v>67</v>
      </c>
      <c r="AE97" s="7">
        <v>45261</v>
      </c>
      <c r="AF97" s="7">
        <v>45292</v>
      </c>
      <c r="AG97">
        <v>118665193</v>
      </c>
      <c r="AH97">
        <v>10272423820</v>
      </c>
      <c r="AI97" s="8"/>
      <c r="AJ97" t="s">
        <v>58</v>
      </c>
      <c r="AK97" t="s">
        <v>59</v>
      </c>
      <c r="AL97">
        <v>14</v>
      </c>
      <c r="AM97" s="7">
        <v>45689</v>
      </c>
      <c r="AN97" s="7">
        <v>45716</v>
      </c>
      <c r="AO97" s="8">
        <v>76</v>
      </c>
      <c r="AP97" s="9">
        <v>0.24</v>
      </c>
      <c r="AQ97">
        <v>1290316326</v>
      </c>
      <c r="AS97" t="s">
        <v>60</v>
      </c>
      <c r="BB97" s="7"/>
      <c r="BD97" s="10"/>
      <c r="BF97" s="11"/>
      <c r="BG97" s="7"/>
      <c r="CF97" s="1"/>
    </row>
    <row r="98" spans="1:84" x14ac:dyDescent="0.25">
      <c r="A98" s="7">
        <v>45662</v>
      </c>
      <c r="B98" s="7">
        <v>45691</v>
      </c>
      <c r="C98" t="s">
        <v>45</v>
      </c>
      <c r="D98" t="s">
        <v>46</v>
      </c>
      <c r="F98" s="1">
        <v>5.55</v>
      </c>
      <c r="G98" s="1">
        <v>0</v>
      </c>
      <c r="H98" s="1">
        <v>5.55</v>
      </c>
      <c r="I98">
        <v>653470</v>
      </c>
      <c r="J98" t="s">
        <v>47</v>
      </c>
      <c r="P98">
        <v>682171350</v>
      </c>
      <c r="R98" t="s">
        <v>241</v>
      </c>
      <c r="S98" t="s">
        <v>242</v>
      </c>
      <c r="T98" t="s">
        <v>96</v>
      </c>
      <c r="U98">
        <v>689390</v>
      </c>
      <c r="V98" t="s">
        <v>84</v>
      </c>
      <c r="W98" t="s">
        <v>52</v>
      </c>
      <c r="Y98">
        <v>38593</v>
      </c>
      <c r="Z98" t="s">
        <v>53</v>
      </c>
      <c r="AA98" t="s">
        <v>101</v>
      </c>
      <c r="AB98" t="s">
        <v>55</v>
      </c>
      <c r="AC98" t="s">
        <v>56</v>
      </c>
      <c r="AD98" t="s">
        <v>57</v>
      </c>
      <c r="AE98" s="7">
        <v>45323</v>
      </c>
      <c r="AF98" s="7">
        <v>45352</v>
      </c>
      <c r="AG98">
        <v>252126537</v>
      </c>
      <c r="AH98">
        <v>10273321282</v>
      </c>
      <c r="AI98" s="8"/>
      <c r="AJ98" t="s">
        <v>58</v>
      </c>
      <c r="AK98" t="s">
        <v>59</v>
      </c>
      <c r="AL98">
        <v>12</v>
      </c>
      <c r="AM98" s="7">
        <v>45689</v>
      </c>
      <c r="AN98" s="7">
        <v>45716</v>
      </c>
      <c r="AO98" s="8">
        <v>15</v>
      </c>
      <c r="AP98" s="9">
        <v>0.37</v>
      </c>
      <c r="AQ98">
        <v>1290300265</v>
      </c>
      <c r="AS98" t="s">
        <v>60</v>
      </c>
      <c r="BB98" s="7"/>
      <c r="BD98" s="10"/>
      <c r="BF98" s="11"/>
      <c r="CF98" s="1"/>
    </row>
    <row r="99" spans="1:84" x14ac:dyDescent="0.25">
      <c r="A99" s="7">
        <v>45662</v>
      </c>
      <c r="B99" s="7">
        <v>45691</v>
      </c>
      <c r="C99" t="s">
        <v>45</v>
      </c>
      <c r="D99" t="s">
        <v>46</v>
      </c>
      <c r="F99" s="1">
        <v>32.159999999999997</v>
      </c>
      <c r="G99" s="1">
        <v>0</v>
      </c>
      <c r="H99" s="1">
        <v>32.159999999999997</v>
      </c>
      <c r="I99">
        <v>653470</v>
      </c>
      <c r="J99" t="s">
        <v>47</v>
      </c>
      <c r="P99">
        <v>682171350</v>
      </c>
      <c r="R99" t="s">
        <v>241</v>
      </c>
      <c r="S99" t="s">
        <v>242</v>
      </c>
      <c r="T99" t="s">
        <v>96</v>
      </c>
      <c r="U99">
        <v>689390</v>
      </c>
      <c r="V99" t="s">
        <v>84</v>
      </c>
      <c r="W99" t="s">
        <v>52</v>
      </c>
      <c r="Y99">
        <v>38399</v>
      </c>
      <c r="Z99" t="s">
        <v>85</v>
      </c>
      <c r="AA99" t="s">
        <v>80</v>
      </c>
      <c r="AB99" t="s">
        <v>55</v>
      </c>
      <c r="AC99" t="s">
        <v>66</v>
      </c>
      <c r="AD99" t="s">
        <v>67</v>
      </c>
      <c r="AE99" s="7">
        <v>45323</v>
      </c>
      <c r="AF99" s="7">
        <v>45352</v>
      </c>
      <c r="AG99">
        <v>297820482</v>
      </c>
      <c r="AH99">
        <v>10273321282</v>
      </c>
      <c r="AI99" s="8"/>
      <c r="AJ99" t="s">
        <v>58</v>
      </c>
      <c r="AK99" t="s">
        <v>59</v>
      </c>
      <c r="AL99">
        <v>12</v>
      </c>
      <c r="AM99" s="7">
        <v>45689</v>
      </c>
      <c r="AN99" s="7">
        <v>45716</v>
      </c>
      <c r="AO99" s="8">
        <v>134</v>
      </c>
      <c r="AP99" s="9">
        <v>0.24</v>
      </c>
      <c r="AQ99">
        <v>1290300262</v>
      </c>
      <c r="AS99" t="s">
        <v>60</v>
      </c>
      <c r="BB99" s="7"/>
      <c r="BD99" s="10"/>
      <c r="BF99" s="11"/>
      <c r="BG99" s="7"/>
      <c r="CF99" s="1"/>
    </row>
    <row r="100" spans="1:84" x14ac:dyDescent="0.25">
      <c r="A100" s="7">
        <v>45662</v>
      </c>
      <c r="B100" s="7">
        <v>45691</v>
      </c>
      <c r="C100" t="s">
        <v>45</v>
      </c>
      <c r="D100" t="s">
        <v>46</v>
      </c>
      <c r="F100" s="1">
        <v>7.4</v>
      </c>
      <c r="G100" s="1">
        <v>0</v>
      </c>
      <c r="H100" s="1">
        <v>7.4</v>
      </c>
      <c r="I100">
        <v>653470</v>
      </c>
      <c r="J100" t="s">
        <v>47</v>
      </c>
      <c r="P100">
        <v>683092185</v>
      </c>
      <c r="R100" t="s">
        <v>243</v>
      </c>
      <c r="S100" t="s">
        <v>244</v>
      </c>
      <c r="T100" t="s">
        <v>130</v>
      </c>
      <c r="U100">
        <v>703501</v>
      </c>
      <c r="V100" t="s">
        <v>131</v>
      </c>
      <c r="W100" t="s">
        <v>52</v>
      </c>
      <c r="Y100">
        <v>38593</v>
      </c>
      <c r="Z100" t="s">
        <v>53</v>
      </c>
      <c r="AA100" t="s">
        <v>77</v>
      </c>
      <c r="AB100" t="s">
        <v>55</v>
      </c>
      <c r="AC100" t="s">
        <v>56</v>
      </c>
      <c r="AD100" t="s">
        <v>57</v>
      </c>
      <c r="AE100" s="7">
        <v>45545</v>
      </c>
      <c r="AF100" s="7">
        <v>45566</v>
      </c>
      <c r="AG100">
        <v>66621000</v>
      </c>
      <c r="AH100">
        <v>10272451251</v>
      </c>
      <c r="AI100" s="8"/>
      <c r="AJ100" t="s">
        <v>58</v>
      </c>
      <c r="AK100" t="s">
        <v>59</v>
      </c>
      <c r="AL100">
        <v>4</v>
      </c>
      <c r="AM100" s="7">
        <v>45658</v>
      </c>
      <c r="AN100" s="7">
        <v>45688</v>
      </c>
      <c r="AO100" s="8">
        <v>20</v>
      </c>
      <c r="AP100" s="9">
        <v>0.37</v>
      </c>
      <c r="AQ100">
        <v>1290313607</v>
      </c>
      <c r="AS100" t="s">
        <v>60</v>
      </c>
      <c r="BB100" s="7"/>
      <c r="BD100" s="10"/>
      <c r="BF100" s="11"/>
      <c r="BG100" s="7"/>
      <c r="CF100" s="1"/>
    </row>
    <row r="101" spans="1:84" x14ac:dyDescent="0.25">
      <c r="A101" s="7">
        <v>45662</v>
      </c>
      <c r="B101" s="7">
        <v>45691</v>
      </c>
      <c r="C101" t="s">
        <v>45</v>
      </c>
      <c r="D101" t="s">
        <v>46</v>
      </c>
      <c r="F101" s="1">
        <v>22.32</v>
      </c>
      <c r="G101" s="1">
        <v>0</v>
      </c>
      <c r="H101" s="1">
        <v>22.32</v>
      </c>
      <c r="I101">
        <v>653470</v>
      </c>
      <c r="J101" t="s">
        <v>47</v>
      </c>
      <c r="P101">
        <v>683092185</v>
      </c>
      <c r="R101" t="s">
        <v>243</v>
      </c>
      <c r="S101" t="s">
        <v>244</v>
      </c>
      <c r="T101" t="s">
        <v>130</v>
      </c>
      <c r="U101">
        <v>703501</v>
      </c>
      <c r="V101" t="s">
        <v>131</v>
      </c>
      <c r="W101" t="s">
        <v>52</v>
      </c>
      <c r="Y101">
        <v>38796</v>
      </c>
      <c r="Z101" t="s">
        <v>65</v>
      </c>
      <c r="AA101" t="s">
        <v>77</v>
      </c>
      <c r="AB101" t="s">
        <v>55</v>
      </c>
      <c r="AC101" t="s">
        <v>66</v>
      </c>
      <c r="AD101" t="s">
        <v>67</v>
      </c>
      <c r="AE101" s="7">
        <v>45545</v>
      </c>
      <c r="AF101" s="7">
        <v>45566</v>
      </c>
      <c r="AG101">
        <v>690892951</v>
      </c>
      <c r="AH101">
        <v>10272451251</v>
      </c>
      <c r="AI101" s="8"/>
      <c r="AJ101" t="s">
        <v>58</v>
      </c>
      <c r="AK101" t="s">
        <v>59</v>
      </c>
      <c r="AL101">
        <v>4</v>
      </c>
      <c r="AM101" s="7">
        <v>45658</v>
      </c>
      <c r="AN101" s="7">
        <v>45688</v>
      </c>
      <c r="AO101" s="8">
        <v>93</v>
      </c>
      <c r="AP101" s="9">
        <v>0.24</v>
      </c>
      <c r="AQ101">
        <v>1290313609</v>
      </c>
      <c r="AS101" t="s">
        <v>60</v>
      </c>
      <c r="BB101" s="7"/>
      <c r="BD101" s="10"/>
      <c r="BF101" s="11"/>
      <c r="CF101" s="1"/>
    </row>
    <row r="102" spans="1:84" x14ac:dyDescent="0.25">
      <c r="A102" s="7">
        <v>45662</v>
      </c>
      <c r="B102" s="7">
        <v>45691</v>
      </c>
      <c r="C102" t="s">
        <v>45</v>
      </c>
      <c r="D102" t="s">
        <v>46</v>
      </c>
      <c r="F102" s="1">
        <v>6</v>
      </c>
      <c r="G102" s="1">
        <v>0</v>
      </c>
      <c r="H102" s="1">
        <v>6</v>
      </c>
      <c r="I102">
        <v>653470</v>
      </c>
      <c r="J102" t="s">
        <v>47</v>
      </c>
      <c r="P102">
        <v>683208604</v>
      </c>
      <c r="R102" t="s">
        <v>245</v>
      </c>
      <c r="S102" t="s">
        <v>246</v>
      </c>
      <c r="T102" t="s">
        <v>50</v>
      </c>
      <c r="U102">
        <v>706472</v>
      </c>
      <c r="V102" t="s">
        <v>110</v>
      </c>
      <c r="W102" t="s">
        <v>52</v>
      </c>
      <c r="Y102">
        <v>38796</v>
      </c>
      <c r="Z102" t="s">
        <v>65</v>
      </c>
      <c r="AA102" t="s">
        <v>54</v>
      </c>
      <c r="AB102" t="s">
        <v>55</v>
      </c>
      <c r="AC102" t="s">
        <v>66</v>
      </c>
      <c r="AD102" t="s">
        <v>67</v>
      </c>
      <c r="AE102" s="7">
        <v>45570</v>
      </c>
      <c r="AF102" s="7">
        <v>45597</v>
      </c>
      <c r="AG102">
        <v>207892095</v>
      </c>
      <c r="AH102">
        <v>10286061430</v>
      </c>
      <c r="AI102" s="8"/>
      <c r="AJ102" t="s">
        <v>58</v>
      </c>
      <c r="AK102" t="s">
        <v>74</v>
      </c>
      <c r="AL102">
        <v>4</v>
      </c>
      <c r="AM102" s="7">
        <v>45689</v>
      </c>
      <c r="AN102" s="7">
        <v>45716</v>
      </c>
      <c r="AO102" s="8">
        <v>25</v>
      </c>
      <c r="AP102" s="9">
        <v>0.24</v>
      </c>
      <c r="AQ102">
        <v>1290491456</v>
      </c>
      <c r="AS102" t="s">
        <v>60</v>
      </c>
      <c r="BB102" s="7"/>
      <c r="BD102" s="10"/>
      <c r="BF102" s="11"/>
      <c r="BG102" s="7"/>
      <c r="CF102" s="1"/>
    </row>
    <row r="103" spans="1:84" x14ac:dyDescent="0.25">
      <c r="A103" s="7">
        <v>45662</v>
      </c>
      <c r="B103" s="7">
        <v>45691</v>
      </c>
      <c r="C103" t="s">
        <v>45</v>
      </c>
      <c r="D103" t="s">
        <v>46</v>
      </c>
      <c r="F103" s="1">
        <v>4.07</v>
      </c>
      <c r="G103" s="1">
        <v>0</v>
      </c>
      <c r="H103" s="1">
        <v>4.07</v>
      </c>
      <c r="I103">
        <v>653470</v>
      </c>
      <c r="J103" t="s">
        <v>47</v>
      </c>
      <c r="P103">
        <v>683563883</v>
      </c>
      <c r="R103" t="s">
        <v>247</v>
      </c>
      <c r="S103" t="s">
        <v>248</v>
      </c>
      <c r="T103" t="s">
        <v>50</v>
      </c>
      <c r="U103">
        <v>678726</v>
      </c>
      <c r="V103" t="s">
        <v>70</v>
      </c>
      <c r="W103" t="s">
        <v>52</v>
      </c>
      <c r="Y103">
        <v>38593</v>
      </c>
      <c r="Z103" t="s">
        <v>53</v>
      </c>
      <c r="AA103" t="s">
        <v>54</v>
      </c>
      <c r="AB103" t="s">
        <v>55</v>
      </c>
      <c r="AC103" t="s">
        <v>56</v>
      </c>
      <c r="AD103" t="s">
        <v>57</v>
      </c>
      <c r="AE103" s="7">
        <v>45631</v>
      </c>
      <c r="AF103" s="7">
        <v>45658</v>
      </c>
      <c r="AG103">
        <v>698193150</v>
      </c>
      <c r="AH103">
        <v>10286063997</v>
      </c>
      <c r="AI103" s="8"/>
      <c r="AJ103" t="s">
        <v>58</v>
      </c>
      <c r="AK103" t="s">
        <v>74</v>
      </c>
      <c r="AL103">
        <v>2</v>
      </c>
      <c r="AM103" s="7">
        <v>45689</v>
      </c>
      <c r="AN103" s="7">
        <v>45716</v>
      </c>
      <c r="AO103" s="8">
        <v>11</v>
      </c>
      <c r="AP103" s="9">
        <v>0.37</v>
      </c>
      <c r="AQ103">
        <v>1290490578</v>
      </c>
      <c r="AS103" t="s">
        <v>60</v>
      </c>
      <c r="BB103" s="7"/>
      <c r="BD103" s="10"/>
      <c r="BF103" s="11"/>
      <c r="CF103" s="1"/>
    </row>
    <row r="104" spans="1:84" x14ac:dyDescent="0.25">
      <c r="A104" s="7">
        <v>45661</v>
      </c>
      <c r="B104" s="7">
        <v>45691</v>
      </c>
      <c r="C104" t="s">
        <v>45</v>
      </c>
      <c r="D104" t="s">
        <v>46</v>
      </c>
      <c r="F104" s="1">
        <v>4.07</v>
      </c>
      <c r="G104" s="1">
        <v>0</v>
      </c>
      <c r="H104" s="1">
        <v>4.07</v>
      </c>
      <c r="I104">
        <v>653470</v>
      </c>
      <c r="J104" t="s">
        <v>47</v>
      </c>
      <c r="P104">
        <v>683312848</v>
      </c>
      <c r="R104" t="s">
        <v>214</v>
      </c>
      <c r="S104" t="s">
        <v>249</v>
      </c>
      <c r="T104" t="s">
        <v>50</v>
      </c>
      <c r="U104">
        <v>678726</v>
      </c>
      <c r="V104" t="s">
        <v>70</v>
      </c>
      <c r="W104" t="s">
        <v>52</v>
      </c>
      <c r="Y104">
        <v>38593</v>
      </c>
      <c r="Z104" t="s">
        <v>53</v>
      </c>
      <c r="AA104" t="s">
        <v>54</v>
      </c>
      <c r="AB104" t="s">
        <v>55</v>
      </c>
      <c r="AC104" t="s">
        <v>56</v>
      </c>
      <c r="AD104" t="s">
        <v>57</v>
      </c>
      <c r="AE104" s="7">
        <v>45595</v>
      </c>
      <c r="AF104" s="7">
        <v>45597</v>
      </c>
      <c r="AG104">
        <v>859724247</v>
      </c>
      <c r="AH104">
        <v>10265525544</v>
      </c>
      <c r="AI104" s="8"/>
      <c r="AJ104" t="s">
        <v>58</v>
      </c>
      <c r="AK104" t="s">
        <v>59</v>
      </c>
      <c r="AL104">
        <v>3</v>
      </c>
      <c r="AM104" s="7">
        <v>45658</v>
      </c>
      <c r="AN104" s="7">
        <v>45688</v>
      </c>
      <c r="AO104" s="8">
        <v>11</v>
      </c>
      <c r="AP104" s="9">
        <v>0.37</v>
      </c>
      <c r="AQ104">
        <v>1290331220</v>
      </c>
      <c r="AS104" t="s">
        <v>60</v>
      </c>
      <c r="BB104" s="7"/>
      <c r="BD104" s="10"/>
      <c r="BF104" s="11"/>
      <c r="CF104" s="1"/>
    </row>
    <row r="105" spans="1:84" x14ac:dyDescent="0.25">
      <c r="A105" s="7">
        <v>45661</v>
      </c>
      <c r="B105" s="7">
        <v>45691</v>
      </c>
      <c r="C105" t="s">
        <v>45</v>
      </c>
      <c r="D105" t="s">
        <v>46</v>
      </c>
      <c r="F105" s="1">
        <v>8</v>
      </c>
      <c r="G105" s="1">
        <v>0</v>
      </c>
      <c r="H105" s="1">
        <v>8</v>
      </c>
      <c r="I105">
        <v>653470</v>
      </c>
      <c r="J105" t="s">
        <v>47</v>
      </c>
      <c r="P105">
        <v>683312848</v>
      </c>
      <c r="R105" t="s">
        <v>214</v>
      </c>
      <c r="S105" t="s">
        <v>249</v>
      </c>
      <c r="T105" t="s">
        <v>50</v>
      </c>
      <c r="U105">
        <v>678726</v>
      </c>
      <c r="V105" t="s">
        <v>70</v>
      </c>
      <c r="W105" t="s">
        <v>52</v>
      </c>
      <c r="Y105">
        <v>45041</v>
      </c>
      <c r="Z105" t="s">
        <v>71</v>
      </c>
      <c r="AA105" t="s">
        <v>54</v>
      </c>
      <c r="AB105" t="s">
        <v>55</v>
      </c>
      <c r="AC105" t="s">
        <v>66</v>
      </c>
      <c r="AD105" t="s">
        <v>67</v>
      </c>
      <c r="AE105" s="7">
        <v>45595</v>
      </c>
      <c r="AF105" s="7">
        <v>45597</v>
      </c>
      <c r="AG105">
        <v>858353460</v>
      </c>
      <c r="AH105">
        <v>10265525544</v>
      </c>
      <c r="AI105" s="8"/>
      <c r="AJ105" t="s">
        <v>58</v>
      </c>
      <c r="AK105" t="s">
        <v>59</v>
      </c>
      <c r="AL105">
        <v>3</v>
      </c>
      <c r="AM105" s="7">
        <v>45658</v>
      </c>
      <c r="AN105" s="7">
        <v>45688</v>
      </c>
      <c r="AO105" s="8">
        <v>25</v>
      </c>
      <c r="AP105" s="9">
        <v>0.32</v>
      </c>
      <c r="AQ105">
        <v>1290331223</v>
      </c>
      <c r="AS105" t="s">
        <v>60</v>
      </c>
      <c r="BB105" s="7"/>
      <c r="BD105" s="10"/>
      <c r="BF105" s="11"/>
      <c r="BG105" s="7"/>
      <c r="CF105" s="1"/>
    </row>
    <row r="106" spans="1:84" x14ac:dyDescent="0.25">
      <c r="A106" s="7">
        <v>45661</v>
      </c>
      <c r="B106" s="7">
        <v>45691</v>
      </c>
      <c r="C106" t="s">
        <v>45</v>
      </c>
      <c r="D106" t="s">
        <v>46</v>
      </c>
      <c r="F106" s="1">
        <v>8</v>
      </c>
      <c r="G106" s="1">
        <v>0</v>
      </c>
      <c r="H106" s="1">
        <v>8</v>
      </c>
      <c r="I106">
        <v>653470</v>
      </c>
      <c r="J106" t="s">
        <v>47</v>
      </c>
      <c r="P106">
        <v>683198705</v>
      </c>
      <c r="R106" t="s">
        <v>250</v>
      </c>
      <c r="S106" t="s">
        <v>251</v>
      </c>
      <c r="T106" t="s">
        <v>50</v>
      </c>
      <c r="U106">
        <v>678726</v>
      </c>
      <c r="V106" t="s">
        <v>70</v>
      </c>
      <c r="W106" t="s">
        <v>52</v>
      </c>
      <c r="Y106">
        <v>45041</v>
      </c>
      <c r="Z106" t="s">
        <v>71</v>
      </c>
      <c r="AA106" t="s">
        <v>54</v>
      </c>
      <c r="AB106" t="s">
        <v>55</v>
      </c>
      <c r="AC106" t="s">
        <v>66</v>
      </c>
      <c r="AD106" t="s">
        <v>67</v>
      </c>
      <c r="AE106" s="7">
        <v>45568</v>
      </c>
      <c r="AF106" s="7">
        <v>45597</v>
      </c>
      <c r="AG106">
        <v>560317195</v>
      </c>
      <c r="AH106">
        <v>10283538336</v>
      </c>
      <c r="AI106" s="8"/>
      <c r="AJ106" t="s">
        <v>58</v>
      </c>
      <c r="AK106" t="s">
        <v>74</v>
      </c>
      <c r="AL106">
        <v>4</v>
      </c>
      <c r="AM106" s="7">
        <v>45689</v>
      </c>
      <c r="AN106" s="7">
        <v>45716</v>
      </c>
      <c r="AO106" s="8">
        <v>25</v>
      </c>
      <c r="AP106" s="9">
        <v>0.32</v>
      </c>
      <c r="AQ106">
        <v>1290502514</v>
      </c>
      <c r="AS106" t="s">
        <v>60</v>
      </c>
      <c r="BB106" s="7"/>
      <c r="BD106" s="10"/>
      <c r="BF106" s="11"/>
      <c r="BG106" s="7"/>
      <c r="CF106" s="1"/>
    </row>
    <row r="107" spans="1:84" x14ac:dyDescent="0.25">
      <c r="A107" s="7">
        <v>45661</v>
      </c>
      <c r="B107" s="7">
        <v>45691</v>
      </c>
      <c r="C107" t="s">
        <v>45</v>
      </c>
      <c r="D107" t="s">
        <v>46</v>
      </c>
      <c r="F107" s="1">
        <v>5.55</v>
      </c>
      <c r="G107" s="1">
        <v>0</v>
      </c>
      <c r="H107" s="1">
        <v>5.55</v>
      </c>
      <c r="I107">
        <v>653470</v>
      </c>
      <c r="J107" t="s">
        <v>47</v>
      </c>
      <c r="P107">
        <v>683084379</v>
      </c>
      <c r="R107" t="s">
        <v>117</v>
      </c>
      <c r="S107" t="s">
        <v>225</v>
      </c>
      <c r="T107" t="s">
        <v>63</v>
      </c>
      <c r="U107">
        <v>759555</v>
      </c>
      <c r="V107" t="s">
        <v>178</v>
      </c>
      <c r="W107" t="s">
        <v>52</v>
      </c>
      <c r="Y107">
        <v>38593</v>
      </c>
      <c r="Z107" t="s">
        <v>53</v>
      </c>
      <c r="AA107" t="s">
        <v>101</v>
      </c>
      <c r="AB107" t="s">
        <v>55</v>
      </c>
      <c r="AC107" t="s">
        <v>56</v>
      </c>
      <c r="AD107" t="s">
        <v>57</v>
      </c>
      <c r="AE107" s="7">
        <v>45544</v>
      </c>
      <c r="AF107" s="7">
        <v>45566</v>
      </c>
      <c r="AG107">
        <v>21245735</v>
      </c>
      <c r="AH107">
        <v>10265520732</v>
      </c>
      <c r="AI107" s="8"/>
      <c r="AJ107" t="s">
        <v>58</v>
      </c>
      <c r="AK107" t="s">
        <v>59</v>
      </c>
      <c r="AL107">
        <v>4</v>
      </c>
      <c r="AM107" s="7">
        <v>45658</v>
      </c>
      <c r="AN107" s="7">
        <v>45688</v>
      </c>
      <c r="AO107" s="8">
        <v>15</v>
      </c>
      <c r="AP107" s="9">
        <v>0.37</v>
      </c>
      <c r="AQ107">
        <v>1290333526</v>
      </c>
      <c r="AS107" t="s">
        <v>60</v>
      </c>
      <c r="BB107" s="7"/>
      <c r="BD107" s="10"/>
      <c r="BF107" s="11"/>
      <c r="CF107" s="1"/>
    </row>
    <row r="108" spans="1:84" x14ac:dyDescent="0.25">
      <c r="A108" s="7">
        <v>45661</v>
      </c>
      <c r="B108" s="7">
        <v>45691</v>
      </c>
      <c r="C108" t="s">
        <v>45</v>
      </c>
      <c r="D108" t="s">
        <v>46</v>
      </c>
      <c r="F108" s="1">
        <v>4.07</v>
      </c>
      <c r="G108" s="1">
        <v>0</v>
      </c>
      <c r="H108" s="1">
        <v>4.07</v>
      </c>
      <c r="I108">
        <v>653470</v>
      </c>
      <c r="J108" t="s">
        <v>47</v>
      </c>
      <c r="P108">
        <v>683078236</v>
      </c>
      <c r="R108" t="s">
        <v>252</v>
      </c>
      <c r="S108" t="s">
        <v>253</v>
      </c>
      <c r="T108" t="s">
        <v>50</v>
      </c>
      <c r="U108">
        <v>678726</v>
      </c>
      <c r="V108" t="s">
        <v>70</v>
      </c>
      <c r="W108" t="s">
        <v>52</v>
      </c>
      <c r="Y108">
        <v>38593</v>
      </c>
      <c r="Z108" t="s">
        <v>53</v>
      </c>
      <c r="AA108" t="s">
        <v>54</v>
      </c>
      <c r="AB108" t="s">
        <v>55</v>
      </c>
      <c r="AC108" t="s">
        <v>56</v>
      </c>
      <c r="AD108" t="s">
        <v>57</v>
      </c>
      <c r="AE108" s="7">
        <v>45541</v>
      </c>
      <c r="AF108" s="7">
        <v>45566</v>
      </c>
      <c r="AG108">
        <v>574187796</v>
      </c>
      <c r="AH108">
        <v>10265520564</v>
      </c>
      <c r="AI108" s="8"/>
      <c r="AJ108" t="s">
        <v>58</v>
      </c>
      <c r="AK108" t="s">
        <v>59</v>
      </c>
      <c r="AL108">
        <v>4</v>
      </c>
      <c r="AM108" s="7">
        <v>45658</v>
      </c>
      <c r="AN108" s="7">
        <v>45688</v>
      </c>
      <c r="AO108" s="8">
        <v>11</v>
      </c>
      <c r="AP108" s="9">
        <v>0.37</v>
      </c>
      <c r="AQ108">
        <v>1290333574</v>
      </c>
      <c r="AS108" t="s">
        <v>60</v>
      </c>
      <c r="BB108" s="7"/>
      <c r="BD108" s="10"/>
      <c r="BF108" s="11"/>
      <c r="BG108" s="7"/>
      <c r="CF108" s="1"/>
    </row>
    <row r="109" spans="1:84" x14ac:dyDescent="0.25">
      <c r="A109" s="7">
        <v>45661</v>
      </c>
      <c r="B109" s="7">
        <v>45691</v>
      </c>
      <c r="C109" t="s">
        <v>45</v>
      </c>
      <c r="D109" t="s">
        <v>46</v>
      </c>
      <c r="F109" s="1">
        <v>4.07</v>
      </c>
      <c r="G109" s="1">
        <v>0</v>
      </c>
      <c r="H109" s="1">
        <v>4.07</v>
      </c>
      <c r="I109">
        <v>653470</v>
      </c>
      <c r="J109" t="s">
        <v>47</v>
      </c>
      <c r="P109">
        <v>682967565</v>
      </c>
      <c r="R109" t="s">
        <v>254</v>
      </c>
      <c r="S109" t="s">
        <v>255</v>
      </c>
      <c r="T109" t="s">
        <v>50</v>
      </c>
      <c r="U109">
        <v>781535</v>
      </c>
      <c r="V109" t="s">
        <v>183</v>
      </c>
      <c r="W109" t="s">
        <v>52</v>
      </c>
      <c r="Y109">
        <v>38593</v>
      </c>
      <c r="Z109" t="s">
        <v>53</v>
      </c>
      <c r="AA109" t="s">
        <v>54</v>
      </c>
      <c r="AB109" t="s">
        <v>55</v>
      </c>
      <c r="AC109" t="s">
        <v>56</v>
      </c>
      <c r="AD109" t="s">
        <v>57</v>
      </c>
      <c r="AE109" s="7">
        <v>45513</v>
      </c>
      <c r="AF109" s="7">
        <v>45536</v>
      </c>
      <c r="AG109">
        <v>125532058</v>
      </c>
      <c r="AH109">
        <v>10265518917</v>
      </c>
      <c r="AI109" s="8"/>
      <c r="AJ109" t="s">
        <v>58</v>
      </c>
      <c r="AK109" t="s">
        <v>59</v>
      </c>
      <c r="AL109">
        <v>5</v>
      </c>
      <c r="AM109" s="7">
        <v>45658</v>
      </c>
      <c r="AN109" s="7">
        <v>45688</v>
      </c>
      <c r="AO109" s="8">
        <v>11</v>
      </c>
      <c r="AP109" s="9">
        <v>0.37</v>
      </c>
      <c r="AQ109">
        <v>1290334952</v>
      </c>
      <c r="AS109" t="s">
        <v>60</v>
      </c>
      <c r="BB109" s="7"/>
      <c r="BD109" s="10"/>
      <c r="BF109" s="11"/>
      <c r="BG109" s="7"/>
      <c r="CF109" s="1"/>
    </row>
    <row r="110" spans="1:84" x14ac:dyDescent="0.25">
      <c r="A110" s="7">
        <v>45661</v>
      </c>
      <c r="B110" s="7">
        <v>45691</v>
      </c>
      <c r="C110" t="s">
        <v>45</v>
      </c>
      <c r="D110" t="s">
        <v>46</v>
      </c>
      <c r="F110" s="1">
        <v>15.84</v>
      </c>
      <c r="G110" s="1">
        <v>0</v>
      </c>
      <c r="H110" s="1">
        <v>15.84</v>
      </c>
      <c r="I110">
        <v>653470</v>
      </c>
      <c r="J110" t="s">
        <v>47</v>
      </c>
      <c r="P110">
        <v>682967565</v>
      </c>
      <c r="R110" t="s">
        <v>254</v>
      </c>
      <c r="S110" t="s">
        <v>255</v>
      </c>
      <c r="T110" t="s">
        <v>50</v>
      </c>
      <c r="U110">
        <v>781535</v>
      </c>
      <c r="V110" t="s">
        <v>183</v>
      </c>
      <c r="W110" t="s">
        <v>52</v>
      </c>
      <c r="Y110">
        <v>38399</v>
      </c>
      <c r="Z110" t="s">
        <v>85</v>
      </c>
      <c r="AA110" t="s">
        <v>54</v>
      </c>
      <c r="AB110" t="s">
        <v>55</v>
      </c>
      <c r="AC110" t="s">
        <v>66</v>
      </c>
      <c r="AD110" t="s">
        <v>67</v>
      </c>
      <c r="AE110" s="7">
        <v>45513</v>
      </c>
      <c r="AF110" s="7">
        <v>45536</v>
      </c>
      <c r="AG110">
        <v>384672439</v>
      </c>
      <c r="AH110">
        <v>10265518917</v>
      </c>
      <c r="AI110" s="8"/>
      <c r="AJ110" t="s">
        <v>58</v>
      </c>
      <c r="AK110" t="s">
        <v>59</v>
      </c>
      <c r="AL110">
        <v>5</v>
      </c>
      <c r="AM110" s="7">
        <v>45658</v>
      </c>
      <c r="AN110" s="7">
        <v>45688</v>
      </c>
      <c r="AO110" s="8">
        <v>66</v>
      </c>
      <c r="AP110" s="9">
        <v>0.24</v>
      </c>
      <c r="AQ110">
        <v>1290334950</v>
      </c>
      <c r="AS110" t="s">
        <v>60</v>
      </c>
      <c r="BB110" s="7"/>
      <c r="BD110" s="10"/>
      <c r="BF110" s="11"/>
      <c r="CF110" s="1"/>
    </row>
    <row r="111" spans="1:84" x14ac:dyDescent="0.25">
      <c r="A111" s="7">
        <v>45661</v>
      </c>
      <c r="B111" s="7">
        <v>45691</v>
      </c>
      <c r="C111" t="s">
        <v>45</v>
      </c>
      <c r="D111" t="s">
        <v>46</v>
      </c>
      <c r="F111" s="1">
        <v>29.76</v>
      </c>
      <c r="G111" s="1">
        <v>0</v>
      </c>
      <c r="H111" s="1">
        <v>29.76</v>
      </c>
      <c r="I111">
        <v>653470</v>
      </c>
      <c r="J111" t="s">
        <v>47</v>
      </c>
      <c r="P111">
        <v>682932267</v>
      </c>
      <c r="R111" t="s">
        <v>256</v>
      </c>
      <c r="S111" t="s">
        <v>257</v>
      </c>
      <c r="T111" t="s">
        <v>63</v>
      </c>
      <c r="U111">
        <v>764002</v>
      </c>
      <c r="V111" t="s">
        <v>100</v>
      </c>
      <c r="W111" t="s">
        <v>52</v>
      </c>
      <c r="Y111">
        <v>42251</v>
      </c>
      <c r="Z111" t="s">
        <v>258</v>
      </c>
      <c r="AA111" t="s">
        <v>80</v>
      </c>
      <c r="AB111" t="s">
        <v>55</v>
      </c>
      <c r="AC111" t="s">
        <v>66</v>
      </c>
      <c r="AD111" t="s">
        <v>67</v>
      </c>
      <c r="AE111" s="7">
        <v>45504</v>
      </c>
      <c r="AF111" s="7">
        <v>45505</v>
      </c>
      <c r="AG111">
        <v>604649461</v>
      </c>
      <c r="AH111">
        <v>10265518643</v>
      </c>
      <c r="AI111" s="8"/>
      <c r="AJ111" t="s">
        <v>58</v>
      </c>
      <c r="AK111" t="s">
        <v>59</v>
      </c>
      <c r="AL111">
        <v>6</v>
      </c>
      <c r="AM111" s="7">
        <v>45658</v>
      </c>
      <c r="AN111" s="7">
        <v>45688</v>
      </c>
      <c r="AO111" s="8">
        <v>124</v>
      </c>
      <c r="AP111" s="9">
        <v>0.24</v>
      </c>
      <c r="AQ111">
        <v>1290335209</v>
      </c>
      <c r="AS111" t="s">
        <v>60</v>
      </c>
      <c r="BB111" s="7"/>
      <c r="BD111" s="10"/>
      <c r="BF111" s="11"/>
      <c r="BG111" s="7"/>
      <c r="CF111" s="1"/>
    </row>
    <row r="112" spans="1:84" x14ac:dyDescent="0.25">
      <c r="A112" s="7">
        <v>45661</v>
      </c>
      <c r="B112" s="7">
        <v>45691</v>
      </c>
      <c r="C112" t="s">
        <v>45</v>
      </c>
      <c r="D112" t="s">
        <v>46</v>
      </c>
      <c r="F112" s="1">
        <v>5.55</v>
      </c>
      <c r="G112" s="1">
        <v>0</v>
      </c>
      <c r="H112" s="1">
        <v>5.55</v>
      </c>
      <c r="I112">
        <v>653470</v>
      </c>
      <c r="J112" t="s">
        <v>47</v>
      </c>
      <c r="P112">
        <v>682949028</v>
      </c>
      <c r="R112" t="s">
        <v>259</v>
      </c>
      <c r="S112" t="s">
        <v>260</v>
      </c>
      <c r="T112" t="s">
        <v>93</v>
      </c>
      <c r="U112">
        <v>781535</v>
      </c>
      <c r="V112" t="s">
        <v>183</v>
      </c>
      <c r="W112" t="s">
        <v>52</v>
      </c>
      <c r="Y112">
        <v>38593</v>
      </c>
      <c r="Z112" t="s">
        <v>53</v>
      </c>
      <c r="AA112" t="s">
        <v>101</v>
      </c>
      <c r="AB112" t="s">
        <v>55</v>
      </c>
      <c r="AC112" t="s">
        <v>56</v>
      </c>
      <c r="AD112" t="s">
        <v>57</v>
      </c>
      <c r="AE112" s="7">
        <v>45510</v>
      </c>
      <c r="AF112" s="7">
        <v>45536</v>
      </c>
      <c r="AG112">
        <v>583635919</v>
      </c>
      <c r="AH112">
        <v>10265511392</v>
      </c>
      <c r="AI112" s="8"/>
      <c r="AJ112" t="s">
        <v>58</v>
      </c>
      <c r="AK112" t="s">
        <v>59</v>
      </c>
      <c r="AL112">
        <v>5</v>
      </c>
      <c r="AM112" s="7">
        <v>45658</v>
      </c>
      <c r="AN112" s="7">
        <v>45688</v>
      </c>
      <c r="AO112" s="8">
        <v>15</v>
      </c>
      <c r="AP112" s="9">
        <v>0.37</v>
      </c>
      <c r="AQ112">
        <v>1290341169</v>
      </c>
      <c r="AS112" t="s">
        <v>60</v>
      </c>
      <c r="BB112" s="7"/>
      <c r="BD112" s="10"/>
      <c r="BF112" s="11"/>
      <c r="CF112" s="1"/>
    </row>
    <row r="113" spans="1:84" x14ac:dyDescent="0.25">
      <c r="A113" s="7">
        <v>45661</v>
      </c>
      <c r="B113" s="7">
        <v>45691</v>
      </c>
      <c r="C113" t="s">
        <v>45</v>
      </c>
      <c r="D113" t="s">
        <v>46</v>
      </c>
      <c r="F113" s="1">
        <v>31.68</v>
      </c>
      <c r="G113" s="1">
        <v>0</v>
      </c>
      <c r="H113" s="1">
        <v>31.68</v>
      </c>
      <c r="I113">
        <v>653470</v>
      </c>
      <c r="J113" t="s">
        <v>47</v>
      </c>
      <c r="P113">
        <v>682949028</v>
      </c>
      <c r="R113" t="s">
        <v>259</v>
      </c>
      <c r="S113" t="s">
        <v>260</v>
      </c>
      <c r="T113" t="s">
        <v>93</v>
      </c>
      <c r="U113">
        <v>781535</v>
      </c>
      <c r="V113" t="s">
        <v>183</v>
      </c>
      <c r="W113" t="s">
        <v>52</v>
      </c>
      <c r="Y113">
        <v>38399</v>
      </c>
      <c r="Z113" t="s">
        <v>85</v>
      </c>
      <c r="AA113" t="s">
        <v>80</v>
      </c>
      <c r="AB113" t="s">
        <v>55</v>
      </c>
      <c r="AC113" t="s">
        <v>66</v>
      </c>
      <c r="AD113" t="s">
        <v>67</v>
      </c>
      <c r="AE113" s="7">
        <v>45510</v>
      </c>
      <c r="AF113" s="7">
        <v>45536</v>
      </c>
      <c r="AG113">
        <v>476855083</v>
      </c>
      <c r="AH113">
        <v>10265511392</v>
      </c>
      <c r="AI113" s="8"/>
      <c r="AJ113" t="s">
        <v>58</v>
      </c>
      <c r="AK113" t="s">
        <v>59</v>
      </c>
      <c r="AL113">
        <v>5</v>
      </c>
      <c r="AM113" s="7">
        <v>45658</v>
      </c>
      <c r="AN113" s="7">
        <v>45688</v>
      </c>
      <c r="AO113" s="8">
        <v>132</v>
      </c>
      <c r="AP113" s="9">
        <v>0.24</v>
      </c>
      <c r="AQ113">
        <v>1290341167</v>
      </c>
      <c r="AS113" t="s">
        <v>60</v>
      </c>
      <c r="BB113" s="7"/>
      <c r="BD113" s="10"/>
      <c r="BF113" s="11"/>
      <c r="BG113" s="7"/>
      <c r="CF113" s="1"/>
    </row>
    <row r="114" spans="1:84" x14ac:dyDescent="0.25">
      <c r="A114" s="7">
        <v>45661</v>
      </c>
      <c r="B114" s="7">
        <v>45691</v>
      </c>
      <c r="C114" t="s">
        <v>45</v>
      </c>
      <c r="D114" t="s">
        <v>46</v>
      </c>
      <c r="F114" s="1">
        <v>4.07</v>
      </c>
      <c r="G114" s="1">
        <v>0</v>
      </c>
      <c r="H114" s="1">
        <v>4.07</v>
      </c>
      <c r="I114">
        <v>653470</v>
      </c>
      <c r="J114" t="s">
        <v>47</v>
      </c>
      <c r="P114">
        <v>682966720</v>
      </c>
      <c r="R114" t="s">
        <v>261</v>
      </c>
      <c r="S114" t="s">
        <v>262</v>
      </c>
      <c r="T114" t="s">
        <v>93</v>
      </c>
      <c r="U114">
        <v>781535</v>
      </c>
      <c r="V114" t="s">
        <v>183</v>
      </c>
      <c r="W114" t="s">
        <v>52</v>
      </c>
      <c r="Y114">
        <v>38593</v>
      </c>
      <c r="Z114" t="s">
        <v>53</v>
      </c>
      <c r="AA114" t="s">
        <v>54</v>
      </c>
      <c r="AB114" t="s">
        <v>55</v>
      </c>
      <c r="AC114" t="s">
        <v>56</v>
      </c>
      <c r="AD114" t="s">
        <v>57</v>
      </c>
      <c r="AE114" s="7">
        <v>45512</v>
      </c>
      <c r="AF114" s="7">
        <v>45536</v>
      </c>
      <c r="AG114">
        <v>674977797</v>
      </c>
      <c r="AH114">
        <v>10265511585</v>
      </c>
      <c r="AI114" s="8"/>
      <c r="AJ114" t="s">
        <v>58</v>
      </c>
      <c r="AK114" t="s">
        <v>59</v>
      </c>
      <c r="AL114">
        <v>5</v>
      </c>
      <c r="AM114" s="7">
        <v>45658</v>
      </c>
      <c r="AN114" s="7">
        <v>45688</v>
      </c>
      <c r="AO114" s="8">
        <v>11</v>
      </c>
      <c r="AP114" s="9">
        <v>0.37</v>
      </c>
      <c r="AQ114">
        <v>1290340998</v>
      </c>
      <c r="AS114" t="s">
        <v>60</v>
      </c>
      <c r="BB114" s="7"/>
      <c r="BD114" s="10"/>
      <c r="BF114" s="11"/>
      <c r="CF114" s="1"/>
    </row>
    <row r="115" spans="1:84" x14ac:dyDescent="0.25">
      <c r="A115" s="7">
        <v>45661</v>
      </c>
      <c r="B115" s="7">
        <v>45691</v>
      </c>
      <c r="C115" t="s">
        <v>45</v>
      </c>
      <c r="D115" t="s">
        <v>46</v>
      </c>
      <c r="F115" s="1">
        <v>15.84</v>
      </c>
      <c r="G115" s="1">
        <v>0</v>
      </c>
      <c r="H115" s="1">
        <v>15.84</v>
      </c>
      <c r="I115">
        <v>653470</v>
      </c>
      <c r="J115" t="s">
        <v>47</v>
      </c>
      <c r="P115">
        <v>682966720</v>
      </c>
      <c r="R115" t="s">
        <v>261</v>
      </c>
      <c r="S115" t="s">
        <v>262</v>
      </c>
      <c r="T115" t="s">
        <v>93</v>
      </c>
      <c r="U115">
        <v>781535</v>
      </c>
      <c r="V115" t="s">
        <v>183</v>
      </c>
      <c r="W115" t="s">
        <v>52</v>
      </c>
      <c r="Y115">
        <v>38399</v>
      </c>
      <c r="Z115" t="s">
        <v>85</v>
      </c>
      <c r="AA115" t="s">
        <v>54</v>
      </c>
      <c r="AB115" t="s">
        <v>55</v>
      </c>
      <c r="AC115" t="s">
        <v>66</v>
      </c>
      <c r="AD115" t="s">
        <v>67</v>
      </c>
      <c r="AE115" s="7">
        <v>45512</v>
      </c>
      <c r="AF115" s="7">
        <v>45536</v>
      </c>
      <c r="AG115">
        <v>823492648</v>
      </c>
      <c r="AH115">
        <v>10265511585</v>
      </c>
      <c r="AI115" s="8"/>
      <c r="AJ115" t="s">
        <v>58</v>
      </c>
      <c r="AK115" t="s">
        <v>59</v>
      </c>
      <c r="AL115">
        <v>5</v>
      </c>
      <c r="AM115" s="7">
        <v>45658</v>
      </c>
      <c r="AN115" s="7">
        <v>45688</v>
      </c>
      <c r="AO115" s="8">
        <v>66</v>
      </c>
      <c r="AP115" s="9">
        <v>0.24</v>
      </c>
      <c r="AQ115">
        <v>1290340994</v>
      </c>
      <c r="AS115" t="s">
        <v>60</v>
      </c>
      <c r="BB115" s="7"/>
      <c r="BD115" s="10"/>
      <c r="BF115" s="11"/>
      <c r="CF115" s="1"/>
    </row>
    <row r="116" spans="1:84" x14ac:dyDescent="0.25">
      <c r="A116" s="7">
        <v>45661</v>
      </c>
      <c r="B116" s="7">
        <v>45691</v>
      </c>
      <c r="C116" t="s">
        <v>45</v>
      </c>
      <c r="D116" t="s">
        <v>46</v>
      </c>
      <c r="F116" s="1">
        <v>9.1199999999999992</v>
      </c>
      <c r="G116" s="1">
        <v>0</v>
      </c>
      <c r="H116" s="1">
        <v>9.1199999999999992</v>
      </c>
      <c r="I116">
        <v>653470</v>
      </c>
      <c r="J116" t="s">
        <v>47</v>
      </c>
      <c r="P116">
        <v>682605985</v>
      </c>
      <c r="R116" t="s">
        <v>263</v>
      </c>
      <c r="S116" t="s">
        <v>264</v>
      </c>
      <c r="T116" t="s">
        <v>63</v>
      </c>
      <c r="U116">
        <v>757209</v>
      </c>
      <c r="V116" t="s">
        <v>153</v>
      </c>
      <c r="W116" t="s">
        <v>52</v>
      </c>
      <c r="Y116">
        <v>42249</v>
      </c>
      <c r="Z116" t="s">
        <v>121</v>
      </c>
      <c r="AA116" t="s">
        <v>54</v>
      </c>
      <c r="AB116" t="s">
        <v>55</v>
      </c>
      <c r="AC116" t="s">
        <v>66</v>
      </c>
      <c r="AD116" t="s">
        <v>67</v>
      </c>
      <c r="AE116" s="7">
        <v>45426</v>
      </c>
      <c r="AF116" s="7">
        <v>45444</v>
      </c>
      <c r="AG116">
        <v>653432432</v>
      </c>
      <c r="AH116">
        <v>10265514029</v>
      </c>
      <c r="AI116" s="8"/>
      <c r="AJ116" t="s">
        <v>58</v>
      </c>
      <c r="AK116" t="s">
        <v>59</v>
      </c>
      <c r="AL116">
        <v>8</v>
      </c>
      <c r="AM116" s="7">
        <v>45658</v>
      </c>
      <c r="AN116" s="7">
        <v>45688</v>
      </c>
      <c r="AO116" s="8">
        <v>38</v>
      </c>
      <c r="AP116" s="9">
        <v>0.24</v>
      </c>
      <c r="AQ116">
        <v>1290338853</v>
      </c>
      <c r="AS116" t="s">
        <v>60</v>
      </c>
      <c r="BB116" s="7"/>
      <c r="BD116" s="10"/>
      <c r="BF116" s="11"/>
      <c r="BG116" s="7"/>
      <c r="CF116" s="1"/>
    </row>
    <row r="117" spans="1:84" x14ac:dyDescent="0.25">
      <c r="A117" s="7">
        <v>45661</v>
      </c>
      <c r="B117" s="7">
        <v>45691</v>
      </c>
      <c r="C117" t="s">
        <v>45</v>
      </c>
      <c r="D117" t="s">
        <v>46</v>
      </c>
      <c r="F117" s="1">
        <v>28.8</v>
      </c>
      <c r="G117" s="1">
        <v>0</v>
      </c>
      <c r="H117" s="1">
        <v>28.8</v>
      </c>
      <c r="I117">
        <v>653470</v>
      </c>
      <c r="J117" t="s">
        <v>47</v>
      </c>
      <c r="P117">
        <v>681703836</v>
      </c>
      <c r="R117" t="s">
        <v>265</v>
      </c>
      <c r="S117" t="s">
        <v>266</v>
      </c>
      <c r="T117" t="s">
        <v>93</v>
      </c>
      <c r="U117">
        <v>653470</v>
      </c>
      <c r="V117" t="s">
        <v>47</v>
      </c>
      <c r="W117" t="s">
        <v>52</v>
      </c>
      <c r="Y117">
        <v>38399</v>
      </c>
      <c r="Z117" t="s">
        <v>85</v>
      </c>
      <c r="AA117" t="s">
        <v>80</v>
      </c>
      <c r="AB117" t="s">
        <v>55</v>
      </c>
      <c r="AC117" t="s">
        <v>66</v>
      </c>
      <c r="AD117" t="s">
        <v>67</v>
      </c>
      <c r="AE117" s="7">
        <v>45243</v>
      </c>
      <c r="AF117" s="7">
        <v>45292</v>
      </c>
      <c r="AG117">
        <v>181995160</v>
      </c>
      <c r="AH117">
        <v>10265497152</v>
      </c>
      <c r="AI117" s="8"/>
      <c r="AJ117" t="s">
        <v>58</v>
      </c>
      <c r="AK117" t="s">
        <v>59</v>
      </c>
      <c r="AL117">
        <v>13</v>
      </c>
      <c r="AM117" s="7">
        <v>45658</v>
      </c>
      <c r="AN117" s="7">
        <v>45688</v>
      </c>
      <c r="AO117" s="8">
        <v>120</v>
      </c>
      <c r="AP117" s="9">
        <v>0.24</v>
      </c>
      <c r="AQ117">
        <v>1290350801</v>
      </c>
      <c r="AS117" t="s">
        <v>60</v>
      </c>
      <c r="BB117" s="7"/>
      <c r="BD117" s="10"/>
      <c r="BF117" s="11"/>
      <c r="CF117" s="1"/>
    </row>
    <row r="118" spans="1:84" x14ac:dyDescent="0.25">
      <c r="A118" s="7">
        <v>45661</v>
      </c>
      <c r="B118" s="7">
        <v>45691</v>
      </c>
      <c r="C118" t="s">
        <v>45</v>
      </c>
      <c r="D118" t="s">
        <v>46</v>
      </c>
      <c r="F118" s="1">
        <v>5.55</v>
      </c>
      <c r="G118" s="1">
        <v>0</v>
      </c>
      <c r="H118" s="1">
        <v>5.55</v>
      </c>
      <c r="I118">
        <v>653470</v>
      </c>
      <c r="J118" t="s">
        <v>47</v>
      </c>
      <c r="P118">
        <v>681703836</v>
      </c>
      <c r="R118" t="s">
        <v>265</v>
      </c>
      <c r="S118" t="s">
        <v>266</v>
      </c>
      <c r="T118" t="s">
        <v>93</v>
      </c>
      <c r="U118">
        <v>653470</v>
      </c>
      <c r="V118" t="s">
        <v>47</v>
      </c>
      <c r="W118" t="s">
        <v>52</v>
      </c>
      <c r="Y118">
        <v>38967</v>
      </c>
      <c r="Z118" t="s">
        <v>53</v>
      </c>
      <c r="AA118" t="s">
        <v>101</v>
      </c>
      <c r="AB118" t="s">
        <v>55</v>
      </c>
      <c r="AC118" t="s">
        <v>56</v>
      </c>
      <c r="AD118" t="s">
        <v>57</v>
      </c>
      <c r="AE118" s="7">
        <v>45401</v>
      </c>
      <c r="AF118" s="7">
        <v>45413</v>
      </c>
      <c r="AG118">
        <v>784351926</v>
      </c>
      <c r="AH118">
        <v>10265497152</v>
      </c>
      <c r="AI118" s="8"/>
      <c r="AJ118" t="s">
        <v>58</v>
      </c>
      <c r="AK118" t="s">
        <v>59</v>
      </c>
      <c r="AL118">
        <v>9</v>
      </c>
      <c r="AM118" s="7">
        <v>45658</v>
      </c>
      <c r="AN118" s="7">
        <v>45688</v>
      </c>
      <c r="AO118" s="8">
        <v>15</v>
      </c>
      <c r="AP118" s="9">
        <v>0.37</v>
      </c>
      <c r="AQ118">
        <v>1290350805</v>
      </c>
      <c r="AS118" t="s">
        <v>60</v>
      </c>
      <c r="BB118" s="7"/>
      <c r="BD118" s="10"/>
      <c r="BF118" s="11"/>
      <c r="BG118" s="7"/>
      <c r="CF118" s="1"/>
    </row>
    <row r="119" spans="1:84" x14ac:dyDescent="0.25">
      <c r="A119" s="7">
        <v>45660</v>
      </c>
      <c r="B119" s="7">
        <v>45691</v>
      </c>
      <c r="C119" t="s">
        <v>45</v>
      </c>
      <c r="D119" t="s">
        <v>46</v>
      </c>
      <c r="F119" s="1">
        <v>8</v>
      </c>
      <c r="G119" s="1">
        <v>0</v>
      </c>
      <c r="H119" s="1">
        <v>8</v>
      </c>
      <c r="I119">
        <v>653470</v>
      </c>
      <c r="J119" t="s">
        <v>47</v>
      </c>
      <c r="P119">
        <v>682766841</v>
      </c>
      <c r="R119" t="s">
        <v>132</v>
      </c>
      <c r="S119" t="s">
        <v>133</v>
      </c>
      <c r="T119" t="s">
        <v>50</v>
      </c>
      <c r="U119">
        <v>678726</v>
      </c>
      <c r="V119" t="s">
        <v>70</v>
      </c>
      <c r="W119" t="s">
        <v>52</v>
      </c>
      <c r="Y119">
        <v>45041</v>
      </c>
      <c r="Z119" t="s">
        <v>71</v>
      </c>
      <c r="AA119" t="s">
        <v>54</v>
      </c>
      <c r="AB119" t="s">
        <v>55</v>
      </c>
      <c r="AC119" t="s">
        <v>66</v>
      </c>
      <c r="AD119" t="s">
        <v>67</v>
      </c>
      <c r="AE119" s="7">
        <v>45566</v>
      </c>
      <c r="AF119" s="7">
        <v>45597</v>
      </c>
      <c r="AG119">
        <v>119664581</v>
      </c>
      <c r="AH119">
        <v>10279819623</v>
      </c>
      <c r="AI119" s="8"/>
      <c r="AJ119" t="s">
        <v>58</v>
      </c>
      <c r="AK119" t="s">
        <v>74</v>
      </c>
      <c r="AL119">
        <v>3</v>
      </c>
      <c r="AM119" s="7">
        <v>45658</v>
      </c>
      <c r="AN119" s="7">
        <v>45688</v>
      </c>
      <c r="AO119" s="8">
        <v>25</v>
      </c>
      <c r="AP119" s="9">
        <v>0.32</v>
      </c>
      <c r="AQ119">
        <v>1290518021</v>
      </c>
      <c r="AS119" t="s">
        <v>60</v>
      </c>
      <c r="BB119" s="7"/>
      <c r="BD119" s="10"/>
      <c r="BF119" s="11"/>
      <c r="BG119" s="7"/>
      <c r="CF119" s="1"/>
    </row>
    <row r="120" spans="1:84" x14ac:dyDescent="0.25">
      <c r="A120" s="7">
        <v>45660</v>
      </c>
      <c r="B120" s="7">
        <v>45691</v>
      </c>
      <c r="C120" t="s">
        <v>45</v>
      </c>
      <c r="D120" t="s">
        <v>46</v>
      </c>
      <c r="F120" s="1">
        <v>4.07</v>
      </c>
      <c r="G120" s="1">
        <v>0</v>
      </c>
      <c r="H120" s="1">
        <v>4.07</v>
      </c>
      <c r="I120">
        <v>653470</v>
      </c>
      <c r="J120" t="s">
        <v>47</v>
      </c>
      <c r="P120">
        <v>683202494</v>
      </c>
      <c r="R120" t="s">
        <v>267</v>
      </c>
      <c r="S120" t="s">
        <v>268</v>
      </c>
      <c r="T120" t="s">
        <v>63</v>
      </c>
      <c r="U120">
        <v>764002</v>
      </c>
      <c r="V120" t="s">
        <v>100</v>
      </c>
      <c r="W120" t="s">
        <v>52</v>
      </c>
      <c r="Y120">
        <v>38593</v>
      </c>
      <c r="Z120" t="s">
        <v>53</v>
      </c>
      <c r="AA120" t="s">
        <v>54</v>
      </c>
      <c r="AB120" t="s">
        <v>55</v>
      </c>
      <c r="AC120" t="s">
        <v>56</v>
      </c>
      <c r="AD120" t="s">
        <v>57</v>
      </c>
      <c r="AE120" s="7">
        <v>45568</v>
      </c>
      <c r="AF120" s="7">
        <v>45597</v>
      </c>
      <c r="AG120">
        <v>825368073</v>
      </c>
      <c r="AH120">
        <v>10282345215</v>
      </c>
      <c r="AI120" s="8"/>
      <c r="AJ120" t="s">
        <v>58</v>
      </c>
      <c r="AK120" t="s">
        <v>74</v>
      </c>
      <c r="AL120">
        <v>4</v>
      </c>
      <c r="AM120" s="7">
        <v>45689</v>
      </c>
      <c r="AN120" s="7">
        <v>45716</v>
      </c>
      <c r="AO120" s="8">
        <v>11</v>
      </c>
      <c r="AP120" s="9">
        <v>0.37</v>
      </c>
      <c r="AQ120">
        <v>1290507415</v>
      </c>
      <c r="AS120" t="s">
        <v>60</v>
      </c>
      <c r="BB120" s="7"/>
      <c r="BD120" s="10"/>
      <c r="BF120" s="11"/>
      <c r="BG120" s="7"/>
      <c r="CF120" s="1"/>
    </row>
    <row r="121" spans="1:84" x14ac:dyDescent="0.25">
      <c r="A121" s="7">
        <v>45660</v>
      </c>
      <c r="B121" s="7">
        <v>45691</v>
      </c>
      <c r="C121" t="s">
        <v>45</v>
      </c>
      <c r="D121" t="s">
        <v>46</v>
      </c>
      <c r="F121" s="1">
        <v>8</v>
      </c>
      <c r="G121" s="1">
        <v>0</v>
      </c>
      <c r="H121" s="1">
        <v>8</v>
      </c>
      <c r="I121">
        <v>653470</v>
      </c>
      <c r="J121" t="s">
        <v>47</v>
      </c>
      <c r="P121">
        <v>683200961</v>
      </c>
      <c r="R121" t="s">
        <v>72</v>
      </c>
      <c r="S121" t="s">
        <v>73</v>
      </c>
      <c r="T121" t="s">
        <v>50</v>
      </c>
      <c r="U121">
        <v>678726</v>
      </c>
      <c r="V121" t="s">
        <v>70</v>
      </c>
      <c r="W121" t="s">
        <v>52</v>
      </c>
      <c r="Y121">
        <v>45041</v>
      </c>
      <c r="Z121" t="s">
        <v>71</v>
      </c>
      <c r="AA121" t="s">
        <v>54</v>
      </c>
      <c r="AB121" t="s">
        <v>55</v>
      </c>
      <c r="AC121" t="s">
        <v>66</v>
      </c>
      <c r="AD121" t="s">
        <v>67</v>
      </c>
      <c r="AE121" s="7">
        <v>45568</v>
      </c>
      <c r="AF121" s="7">
        <v>45597</v>
      </c>
      <c r="AG121">
        <v>364560725</v>
      </c>
      <c r="AH121">
        <v>10279880956</v>
      </c>
      <c r="AI121" s="8"/>
      <c r="AJ121" t="s">
        <v>58</v>
      </c>
      <c r="AK121" t="s">
        <v>74</v>
      </c>
      <c r="AL121">
        <v>3</v>
      </c>
      <c r="AM121" s="7">
        <v>45658</v>
      </c>
      <c r="AN121" s="7">
        <v>45688</v>
      </c>
      <c r="AO121" s="8">
        <v>25</v>
      </c>
      <c r="AP121" s="9">
        <v>0.32</v>
      </c>
      <c r="AQ121">
        <v>1290514344</v>
      </c>
      <c r="AS121" t="s">
        <v>60</v>
      </c>
      <c r="BB121" s="7"/>
      <c r="BD121" s="10"/>
      <c r="BF121" s="11"/>
      <c r="CF121" s="1"/>
    </row>
    <row r="122" spans="1:84" x14ac:dyDescent="0.25">
      <c r="A122" s="7">
        <v>45659</v>
      </c>
      <c r="B122" s="7">
        <v>45691</v>
      </c>
      <c r="C122" t="s">
        <v>45</v>
      </c>
      <c r="D122" t="s">
        <v>46</v>
      </c>
      <c r="F122" s="1">
        <v>4.07</v>
      </c>
      <c r="G122" s="1">
        <v>0</v>
      </c>
      <c r="H122" s="1">
        <v>4.07</v>
      </c>
      <c r="I122">
        <v>653470</v>
      </c>
      <c r="J122" t="s">
        <v>47</v>
      </c>
      <c r="P122">
        <v>683537884</v>
      </c>
      <c r="R122" t="s">
        <v>269</v>
      </c>
      <c r="S122" t="s">
        <v>270</v>
      </c>
      <c r="T122" t="s">
        <v>50</v>
      </c>
      <c r="U122">
        <v>706472</v>
      </c>
      <c r="V122" t="s">
        <v>110</v>
      </c>
      <c r="W122" t="s">
        <v>52</v>
      </c>
      <c r="Y122">
        <v>38593</v>
      </c>
      <c r="Z122" t="s">
        <v>53</v>
      </c>
      <c r="AA122" t="s">
        <v>54</v>
      </c>
      <c r="AB122" t="s">
        <v>55</v>
      </c>
      <c r="AC122" t="s">
        <v>56</v>
      </c>
      <c r="AD122" t="s">
        <v>57</v>
      </c>
      <c r="AE122" s="7">
        <v>45628</v>
      </c>
      <c r="AF122" s="7">
        <v>45658</v>
      </c>
      <c r="AG122">
        <v>431803401</v>
      </c>
      <c r="AH122">
        <v>10275748584</v>
      </c>
      <c r="AI122" s="8"/>
      <c r="AJ122" t="s">
        <v>58</v>
      </c>
      <c r="AK122" t="s">
        <v>74</v>
      </c>
      <c r="AL122">
        <v>2</v>
      </c>
      <c r="AM122" s="7">
        <v>45689</v>
      </c>
      <c r="AN122" s="7">
        <v>45716</v>
      </c>
      <c r="AO122" s="8">
        <v>11</v>
      </c>
      <c r="AP122" s="9">
        <v>0.37</v>
      </c>
      <c r="AQ122">
        <v>1290526768</v>
      </c>
      <c r="AS122" t="s">
        <v>60</v>
      </c>
      <c r="BB122" s="7"/>
      <c r="BD122" s="10"/>
      <c r="BF122" s="11"/>
      <c r="BG122" s="7"/>
      <c r="CF122" s="1"/>
    </row>
    <row r="123" spans="1:84" x14ac:dyDescent="0.25">
      <c r="A123" s="7">
        <v>45659</v>
      </c>
      <c r="B123" s="7">
        <v>45691</v>
      </c>
      <c r="C123" t="s">
        <v>45</v>
      </c>
      <c r="D123" t="s">
        <v>46</v>
      </c>
      <c r="F123" s="1">
        <v>9.1199999999999992</v>
      </c>
      <c r="G123" s="1">
        <v>0</v>
      </c>
      <c r="H123" s="1">
        <v>9.1199999999999992</v>
      </c>
      <c r="I123">
        <v>653470</v>
      </c>
      <c r="J123" t="s">
        <v>47</v>
      </c>
      <c r="P123">
        <v>683537884</v>
      </c>
      <c r="R123" t="s">
        <v>269</v>
      </c>
      <c r="S123" t="s">
        <v>270</v>
      </c>
      <c r="T123" t="s">
        <v>50</v>
      </c>
      <c r="U123">
        <v>706472</v>
      </c>
      <c r="V123" t="s">
        <v>110</v>
      </c>
      <c r="W123" t="s">
        <v>52</v>
      </c>
      <c r="Y123">
        <v>42249</v>
      </c>
      <c r="Z123" t="s">
        <v>121</v>
      </c>
      <c r="AA123" t="s">
        <v>54</v>
      </c>
      <c r="AB123" t="s">
        <v>55</v>
      </c>
      <c r="AC123" t="s">
        <v>66</v>
      </c>
      <c r="AD123" t="s">
        <v>67</v>
      </c>
      <c r="AE123" s="7">
        <v>45628</v>
      </c>
      <c r="AF123" s="7">
        <v>45658</v>
      </c>
      <c r="AG123">
        <v>863215382</v>
      </c>
      <c r="AH123">
        <v>10275748584</v>
      </c>
      <c r="AI123" s="8"/>
      <c r="AJ123" t="s">
        <v>58</v>
      </c>
      <c r="AK123" t="s">
        <v>74</v>
      </c>
      <c r="AL123">
        <v>2</v>
      </c>
      <c r="AM123" s="7">
        <v>45689</v>
      </c>
      <c r="AN123" s="7">
        <v>45716</v>
      </c>
      <c r="AO123" s="8">
        <v>38</v>
      </c>
      <c r="AP123" s="9">
        <v>0.24</v>
      </c>
      <c r="AQ123">
        <v>1290526770</v>
      </c>
      <c r="AS123" t="s">
        <v>60</v>
      </c>
      <c r="BB123" s="7"/>
      <c r="BD123" s="10"/>
      <c r="BF123" s="11"/>
      <c r="BG123" s="7"/>
      <c r="CF123" s="1"/>
    </row>
    <row r="124" spans="1:84" x14ac:dyDescent="0.25">
      <c r="A124" s="7">
        <v>45659</v>
      </c>
      <c r="B124" s="7">
        <v>45691</v>
      </c>
      <c r="C124" t="s">
        <v>45</v>
      </c>
      <c r="D124" t="s">
        <v>46</v>
      </c>
      <c r="F124" s="1">
        <v>8</v>
      </c>
      <c r="G124" s="1">
        <v>0</v>
      </c>
      <c r="H124" s="1">
        <v>8</v>
      </c>
      <c r="I124">
        <v>653470</v>
      </c>
      <c r="J124" t="s">
        <v>47</v>
      </c>
      <c r="P124">
        <v>683299556</v>
      </c>
      <c r="R124" t="s">
        <v>271</v>
      </c>
      <c r="S124" t="s">
        <v>272</v>
      </c>
      <c r="T124" t="s">
        <v>50</v>
      </c>
      <c r="U124">
        <v>678726</v>
      </c>
      <c r="V124" t="s">
        <v>70</v>
      </c>
      <c r="W124" t="s">
        <v>52</v>
      </c>
      <c r="Y124">
        <v>45041</v>
      </c>
      <c r="Z124" t="s">
        <v>71</v>
      </c>
      <c r="AA124" t="s">
        <v>54</v>
      </c>
      <c r="AB124" t="s">
        <v>55</v>
      </c>
      <c r="AC124" t="s">
        <v>66</v>
      </c>
      <c r="AD124" t="s">
        <v>67</v>
      </c>
      <c r="AE124" s="7">
        <v>45593</v>
      </c>
      <c r="AF124" s="7">
        <v>45597</v>
      </c>
      <c r="AG124">
        <v>260173605</v>
      </c>
      <c r="AH124">
        <v>10261045099</v>
      </c>
      <c r="AI124" s="8"/>
      <c r="AJ124" t="s">
        <v>58</v>
      </c>
      <c r="AK124" t="s">
        <v>59</v>
      </c>
      <c r="AL124">
        <v>3</v>
      </c>
      <c r="AM124" s="7">
        <v>45658</v>
      </c>
      <c r="AN124" s="7">
        <v>45688</v>
      </c>
      <c r="AO124" s="8">
        <v>25</v>
      </c>
      <c r="AP124" s="9">
        <v>0.32</v>
      </c>
      <c r="AQ124">
        <v>1290416903</v>
      </c>
      <c r="AS124" t="s">
        <v>60</v>
      </c>
      <c r="BB124" s="7"/>
      <c r="BD124" s="10"/>
      <c r="BF124" s="11"/>
      <c r="BG124" s="7"/>
      <c r="CF124" s="1"/>
    </row>
    <row r="125" spans="1:84" x14ac:dyDescent="0.25">
      <c r="A125" s="7">
        <v>45659</v>
      </c>
      <c r="B125" s="7">
        <v>45691</v>
      </c>
      <c r="C125" t="s">
        <v>45</v>
      </c>
      <c r="D125" t="s">
        <v>46</v>
      </c>
      <c r="F125" s="1">
        <v>4.07</v>
      </c>
      <c r="G125" s="1">
        <v>0</v>
      </c>
      <c r="H125" s="1">
        <v>4.07</v>
      </c>
      <c r="I125">
        <v>653470</v>
      </c>
      <c r="J125" t="s">
        <v>47</v>
      </c>
      <c r="P125">
        <v>683297683</v>
      </c>
      <c r="R125" t="s">
        <v>174</v>
      </c>
      <c r="S125" t="s">
        <v>273</v>
      </c>
      <c r="T125" t="s">
        <v>50</v>
      </c>
      <c r="U125">
        <v>678726</v>
      </c>
      <c r="V125" t="s">
        <v>70</v>
      </c>
      <c r="W125" t="s">
        <v>52</v>
      </c>
      <c r="Y125">
        <v>38593</v>
      </c>
      <c r="Z125" t="s">
        <v>53</v>
      </c>
      <c r="AA125" t="s">
        <v>54</v>
      </c>
      <c r="AB125" t="s">
        <v>55</v>
      </c>
      <c r="AC125" t="s">
        <v>56</v>
      </c>
      <c r="AD125" t="s">
        <v>57</v>
      </c>
      <c r="AE125" s="7">
        <v>45593</v>
      </c>
      <c r="AF125" s="7">
        <v>45597</v>
      </c>
      <c r="AG125">
        <v>364920174</v>
      </c>
      <c r="AH125">
        <v>10261044828</v>
      </c>
      <c r="AI125" s="8"/>
      <c r="AJ125" t="s">
        <v>58</v>
      </c>
      <c r="AK125" t="s">
        <v>59</v>
      </c>
      <c r="AL125">
        <v>3</v>
      </c>
      <c r="AM125" s="7">
        <v>45658</v>
      </c>
      <c r="AN125" s="7">
        <v>45688</v>
      </c>
      <c r="AO125" s="8">
        <v>11</v>
      </c>
      <c r="AP125" s="9">
        <v>0.37</v>
      </c>
      <c r="AQ125">
        <v>1290416984</v>
      </c>
      <c r="AS125" t="s">
        <v>60</v>
      </c>
      <c r="BB125" s="7"/>
      <c r="BD125" s="10"/>
      <c r="BF125" s="11"/>
      <c r="CF125" s="1"/>
    </row>
    <row r="126" spans="1:84" x14ac:dyDescent="0.25">
      <c r="A126" s="7">
        <v>45659</v>
      </c>
      <c r="B126" s="7">
        <v>45691</v>
      </c>
      <c r="C126" t="s">
        <v>45</v>
      </c>
      <c r="D126" t="s">
        <v>46</v>
      </c>
      <c r="F126" s="1">
        <v>8</v>
      </c>
      <c r="G126" s="1">
        <v>0</v>
      </c>
      <c r="H126" s="1">
        <v>8</v>
      </c>
      <c r="I126">
        <v>653470</v>
      </c>
      <c r="J126" t="s">
        <v>47</v>
      </c>
      <c r="P126">
        <v>683297683</v>
      </c>
      <c r="R126" t="s">
        <v>174</v>
      </c>
      <c r="S126" t="s">
        <v>273</v>
      </c>
      <c r="T126" t="s">
        <v>50</v>
      </c>
      <c r="U126">
        <v>678726</v>
      </c>
      <c r="V126" t="s">
        <v>70</v>
      </c>
      <c r="W126" t="s">
        <v>52</v>
      </c>
      <c r="Y126">
        <v>45041</v>
      </c>
      <c r="Z126" t="s">
        <v>71</v>
      </c>
      <c r="AA126" t="s">
        <v>54</v>
      </c>
      <c r="AB126" t="s">
        <v>55</v>
      </c>
      <c r="AC126" t="s">
        <v>66</v>
      </c>
      <c r="AD126" t="s">
        <v>67</v>
      </c>
      <c r="AE126" s="7">
        <v>45593</v>
      </c>
      <c r="AF126" s="7">
        <v>45597</v>
      </c>
      <c r="AG126">
        <v>582065076</v>
      </c>
      <c r="AH126">
        <v>10261044828</v>
      </c>
      <c r="AI126" s="8"/>
      <c r="AJ126" t="s">
        <v>58</v>
      </c>
      <c r="AK126" t="s">
        <v>59</v>
      </c>
      <c r="AL126">
        <v>3</v>
      </c>
      <c r="AM126" s="7">
        <v>45658</v>
      </c>
      <c r="AN126" s="7">
        <v>45688</v>
      </c>
      <c r="AO126" s="8">
        <v>25</v>
      </c>
      <c r="AP126" s="9">
        <v>0.32</v>
      </c>
      <c r="AQ126">
        <v>1290416986</v>
      </c>
      <c r="AS126" t="s">
        <v>60</v>
      </c>
      <c r="BB126" s="7"/>
      <c r="BD126" s="10"/>
      <c r="BF126" s="11"/>
      <c r="CF126" s="1"/>
    </row>
    <row r="127" spans="1:84" x14ac:dyDescent="0.25">
      <c r="A127" s="7">
        <v>45659</v>
      </c>
      <c r="B127" s="7">
        <v>45691</v>
      </c>
      <c r="C127" t="s">
        <v>45</v>
      </c>
      <c r="D127" t="s">
        <v>46</v>
      </c>
      <c r="F127" s="1">
        <v>8</v>
      </c>
      <c r="G127" s="1">
        <v>0</v>
      </c>
      <c r="H127" s="1">
        <v>8</v>
      </c>
      <c r="I127">
        <v>653470</v>
      </c>
      <c r="J127" t="s">
        <v>47</v>
      </c>
      <c r="P127">
        <v>683138813</v>
      </c>
      <c r="R127" t="s">
        <v>68</v>
      </c>
      <c r="S127" t="s">
        <v>69</v>
      </c>
      <c r="T127" t="s">
        <v>50</v>
      </c>
      <c r="U127">
        <v>678726</v>
      </c>
      <c r="V127" t="s">
        <v>70</v>
      </c>
      <c r="W127" t="s">
        <v>52</v>
      </c>
      <c r="Y127">
        <v>45041</v>
      </c>
      <c r="Z127" t="s">
        <v>71</v>
      </c>
      <c r="AA127" t="s">
        <v>54</v>
      </c>
      <c r="AB127" t="s">
        <v>55</v>
      </c>
      <c r="AC127" t="s">
        <v>66</v>
      </c>
      <c r="AD127" t="s">
        <v>67</v>
      </c>
      <c r="AE127" s="7">
        <v>45555</v>
      </c>
      <c r="AF127" s="7">
        <v>45566</v>
      </c>
      <c r="AG127">
        <v>5274878</v>
      </c>
      <c r="AH127">
        <v>10257570828</v>
      </c>
      <c r="AI127" s="8"/>
      <c r="AJ127" t="s">
        <v>58</v>
      </c>
      <c r="AK127" t="s">
        <v>59</v>
      </c>
      <c r="AL127">
        <v>4</v>
      </c>
      <c r="AM127" s="7">
        <v>45658</v>
      </c>
      <c r="AN127" s="7">
        <v>45688</v>
      </c>
      <c r="AO127" s="8">
        <v>25</v>
      </c>
      <c r="AP127" s="9">
        <v>0.32</v>
      </c>
      <c r="AQ127">
        <v>1290471865</v>
      </c>
      <c r="AS127" t="s">
        <v>60</v>
      </c>
      <c r="BB127" s="7"/>
      <c r="BD127" s="10"/>
      <c r="BF127" s="11"/>
      <c r="CF127" s="1"/>
    </row>
    <row r="128" spans="1:84" x14ac:dyDescent="0.25">
      <c r="A128" s="7">
        <v>45659</v>
      </c>
      <c r="B128" s="7">
        <v>45691</v>
      </c>
      <c r="C128" t="s">
        <v>45</v>
      </c>
      <c r="D128" t="s">
        <v>46</v>
      </c>
      <c r="F128" s="1">
        <v>6</v>
      </c>
      <c r="G128" s="1">
        <v>0</v>
      </c>
      <c r="H128" s="1">
        <v>6</v>
      </c>
      <c r="I128">
        <v>653470</v>
      </c>
      <c r="J128" t="s">
        <v>47</v>
      </c>
      <c r="P128">
        <v>682689683</v>
      </c>
      <c r="R128" t="s">
        <v>61</v>
      </c>
      <c r="S128" t="s">
        <v>62</v>
      </c>
      <c r="T128" t="s">
        <v>63</v>
      </c>
      <c r="U128">
        <v>757750</v>
      </c>
      <c r="V128" t="s">
        <v>64</v>
      </c>
      <c r="W128" t="s">
        <v>52</v>
      </c>
      <c r="Y128">
        <v>38796</v>
      </c>
      <c r="Z128" t="s">
        <v>65</v>
      </c>
      <c r="AA128" t="s">
        <v>54</v>
      </c>
      <c r="AB128" t="s">
        <v>55</v>
      </c>
      <c r="AC128" t="s">
        <v>66</v>
      </c>
      <c r="AD128" t="s">
        <v>67</v>
      </c>
      <c r="AE128" s="7">
        <v>45449</v>
      </c>
      <c r="AF128" s="7">
        <v>45474</v>
      </c>
      <c r="AG128">
        <v>544676671</v>
      </c>
      <c r="AH128">
        <v>10257565770</v>
      </c>
      <c r="AI128" s="8"/>
      <c r="AJ128" t="s">
        <v>58</v>
      </c>
      <c r="AK128" t="s">
        <v>59</v>
      </c>
      <c r="AL128">
        <v>7</v>
      </c>
      <c r="AM128" s="7">
        <v>45658</v>
      </c>
      <c r="AN128" s="7">
        <v>45688</v>
      </c>
      <c r="AO128" s="8">
        <v>25</v>
      </c>
      <c r="AP128" s="9">
        <v>0.24</v>
      </c>
      <c r="AQ128">
        <v>1290473892</v>
      </c>
      <c r="AS128" t="s">
        <v>60</v>
      </c>
      <c r="BB128" s="7"/>
      <c r="BD128" s="10"/>
      <c r="BF128" s="11"/>
      <c r="BG128" s="7"/>
      <c r="CF128" s="1"/>
    </row>
    <row r="129" spans="1:84" x14ac:dyDescent="0.25">
      <c r="A129" s="7">
        <v>45659</v>
      </c>
      <c r="B129" s="7">
        <v>45691</v>
      </c>
      <c r="C129" t="s">
        <v>45</v>
      </c>
      <c r="D129" t="s">
        <v>46</v>
      </c>
      <c r="F129" s="1">
        <v>6</v>
      </c>
      <c r="G129" s="1">
        <v>0</v>
      </c>
      <c r="H129" s="1">
        <v>6</v>
      </c>
      <c r="I129">
        <v>653470</v>
      </c>
      <c r="J129" t="s">
        <v>47</v>
      </c>
      <c r="P129">
        <v>682624994</v>
      </c>
      <c r="R129" t="s">
        <v>134</v>
      </c>
      <c r="S129" t="s">
        <v>135</v>
      </c>
      <c r="T129" t="s">
        <v>93</v>
      </c>
      <c r="U129">
        <v>689390</v>
      </c>
      <c r="V129" t="s">
        <v>84</v>
      </c>
      <c r="W129" t="s">
        <v>52</v>
      </c>
      <c r="Y129">
        <v>38796</v>
      </c>
      <c r="Z129" t="s">
        <v>65</v>
      </c>
      <c r="AA129" t="s">
        <v>54</v>
      </c>
      <c r="AB129" t="s">
        <v>55</v>
      </c>
      <c r="AC129" t="s">
        <v>66</v>
      </c>
      <c r="AD129" t="s">
        <v>67</v>
      </c>
      <c r="AE129" s="7">
        <v>45432</v>
      </c>
      <c r="AF129" s="7">
        <v>45444</v>
      </c>
      <c r="AG129">
        <v>568485674</v>
      </c>
      <c r="AH129">
        <v>10259759254</v>
      </c>
      <c r="AI129" s="8"/>
      <c r="AJ129" t="s">
        <v>58</v>
      </c>
      <c r="AK129" t="s">
        <v>59</v>
      </c>
      <c r="AL129">
        <v>8</v>
      </c>
      <c r="AM129" s="7">
        <v>45658</v>
      </c>
      <c r="AN129" s="7">
        <v>45688</v>
      </c>
      <c r="AO129" s="8">
        <v>25</v>
      </c>
      <c r="AP129" s="9">
        <v>0.24</v>
      </c>
      <c r="AQ129">
        <v>1290466811</v>
      </c>
      <c r="AS129" t="s">
        <v>60</v>
      </c>
      <c r="BB129" s="7"/>
      <c r="BD129" s="10"/>
      <c r="BF129" s="11"/>
      <c r="BG129" s="7"/>
      <c r="CF129" s="1"/>
    </row>
    <row r="130" spans="1:84" x14ac:dyDescent="0.25">
      <c r="A130" s="7">
        <v>45659</v>
      </c>
      <c r="B130" s="7">
        <v>45691</v>
      </c>
      <c r="C130" t="s">
        <v>45</v>
      </c>
      <c r="D130" t="s">
        <v>46</v>
      </c>
      <c r="F130" s="1">
        <v>4.07</v>
      </c>
      <c r="G130" s="1">
        <v>0</v>
      </c>
      <c r="H130" s="1">
        <v>4.07</v>
      </c>
      <c r="I130">
        <v>653470</v>
      </c>
      <c r="J130" t="s">
        <v>47</v>
      </c>
      <c r="P130">
        <v>682280326</v>
      </c>
      <c r="R130" t="s">
        <v>48</v>
      </c>
      <c r="S130" t="s">
        <v>49</v>
      </c>
      <c r="T130" t="s">
        <v>50</v>
      </c>
      <c r="U130">
        <v>657149</v>
      </c>
      <c r="V130" t="s">
        <v>51</v>
      </c>
      <c r="W130" t="s">
        <v>52</v>
      </c>
      <c r="Y130">
        <v>38593</v>
      </c>
      <c r="Z130" t="s">
        <v>53</v>
      </c>
      <c r="AA130" t="s">
        <v>54</v>
      </c>
      <c r="AB130" t="s">
        <v>55</v>
      </c>
      <c r="AC130" t="s">
        <v>56</v>
      </c>
      <c r="AD130" t="s">
        <v>57</v>
      </c>
      <c r="AE130" s="7">
        <v>45349</v>
      </c>
      <c r="AF130" s="7">
        <v>45352</v>
      </c>
      <c r="AG130">
        <v>668933669</v>
      </c>
      <c r="AH130">
        <v>10257564715</v>
      </c>
      <c r="AI130" s="8"/>
      <c r="AJ130" t="s">
        <v>58</v>
      </c>
      <c r="AK130" t="s">
        <v>59</v>
      </c>
      <c r="AL130">
        <v>11</v>
      </c>
      <c r="AM130" s="7">
        <v>45658</v>
      </c>
      <c r="AN130" s="7">
        <v>45688</v>
      </c>
      <c r="AO130" s="8">
        <v>11</v>
      </c>
      <c r="AP130" s="9">
        <v>0.37</v>
      </c>
      <c r="AQ130">
        <v>1290474477</v>
      </c>
      <c r="AS130" t="s">
        <v>60</v>
      </c>
      <c r="BB130" s="7"/>
      <c r="BD130" s="10"/>
      <c r="BF130" s="11"/>
      <c r="CF130" s="1"/>
    </row>
    <row r="131" spans="1:84" x14ac:dyDescent="0.25">
      <c r="A131" s="7">
        <v>45659</v>
      </c>
      <c r="B131" s="7">
        <v>45691</v>
      </c>
      <c r="C131" t="s">
        <v>45</v>
      </c>
      <c r="D131" t="s">
        <v>46</v>
      </c>
      <c r="F131" s="1">
        <v>4.07</v>
      </c>
      <c r="G131" s="1">
        <v>0</v>
      </c>
      <c r="H131" s="1">
        <v>4.07</v>
      </c>
      <c r="I131">
        <v>653470</v>
      </c>
      <c r="J131" t="s">
        <v>47</v>
      </c>
      <c r="P131">
        <v>682221319</v>
      </c>
      <c r="R131" t="s">
        <v>274</v>
      </c>
      <c r="S131" t="s">
        <v>275</v>
      </c>
      <c r="T131" t="s">
        <v>50</v>
      </c>
      <c r="U131">
        <v>723477</v>
      </c>
      <c r="V131" t="s">
        <v>276</v>
      </c>
      <c r="W131" t="s">
        <v>52</v>
      </c>
      <c r="Y131">
        <v>38593</v>
      </c>
      <c r="Z131" t="s">
        <v>53</v>
      </c>
      <c r="AA131" t="s">
        <v>54</v>
      </c>
      <c r="AB131" t="s">
        <v>55</v>
      </c>
      <c r="AC131" t="s">
        <v>56</v>
      </c>
      <c r="AD131" t="s">
        <v>57</v>
      </c>
      <c r="AE131" s="7">
        <v>45334</v>
      </c>
      <c r="AF131" s="7">
        <v>45352</v>
      </c>
      <c r="AG131">
        <v>173898668</v>
      </c>
      <c r="AH131">
        <v>10263243422</v>
      </c>
      <c r="AI131" s="8"/>
      <c r="AJ131" t="s">
        <v>58</v>
      </c>
      <c r="AK131" t="s">
        <v>59</v>
      </c>
      <c r="AL131">
        <v>11</v>
      </c>
      <c r="AM131" s="7">
        <v>45658</v>
      </c>
      <c r="AN131" s="7">
        <v>45688</v>
      </c>
      <c r="AO131" s="8">
        <v>11</v>
      </c>
      <c r="AP131" s="9">
        <v>0.37</v>
      </c>
      <c r="AQ131">
        <v>1290406805</v>
      </c>
      <c r="AS131" t="s">
        <v>60</v>
      </c>
      <c r="BB131" s="7"/>
      <c r="BD131" s="10"/>
      <c r="BF131" s="11"/>
      <c r="BG131" s="7"/>
      <c r="CF131" s="1"/>
    </row>
    <row r="132" spans="1:84" x14ac:dyDescent="0.25">
      <c r="A132" s="7">
        <v>45659</v>
      </c>
      <c r="B132" s="7">
        <v>45691</v>
      </c>
      <c r="C132" t="s">
        <v>45</v>
      </c>
      <c r="D132" t="s">
        <v>46</v>
      </c>
      <c r="F132" s="1">
        <v>1.05</v>
      </c>
      <c r="G132" s="1">
        <v>0</v>
      </c>
      <c r="H132" s="1">
        <v>1.05</v>
      </c>
      <c r="I132">
        <v>653470</v>
      </c>
      <c r="J132" t="s">
        <v>47</v>
      </c>
      <c r="P132">
        <v>681791772</v>
      </c>
      <c r="R132" t="s">
        <v>132</v>
      </c>
      <c r="S132" t="s">
        <v>277</v>
      </c>
      <c r="T132" t="s">
        <v>93</v>
      </c>
      <c r="U132">
        <v>720542</v>
      </c>
      <c r="V132" t="s">
        <v>97</v>
      </c>
      <c r="W132" t="s">
        <v>52</v>
      </c>
      <c r="Y132">
        <v>38398</v>
      </c>
      <c r="Z132" t="s">
        <v>179</v>
      </c>
      <c r="AA132" t="s">
        <v>54</v>
      </c>
      <c r="AB132" t="s">
        <v>55</v>
      </c>
      <c r="AC132" t="s">
        <v>66</v>
      </c>
      <c r="AD132" t="s">
        <v>67</v>
      </c>
      <c r="AE132" s="7">
        <v>45259</v>
      </c>
      <c r="AF132" s="7">
        <v>45261</v>
      </c>
      <c r="AG132">
        <v>7534852</v>
      </c>
      <c r="AH132">
        <v>10263240611</v>
      </c>
      <c r="AI132" s="8"/>
      <c r="AJ132" t="s">
        <v>58</v>
      </c>
      <c r="AK132" t="s">
        <v>59</v>
      </c>
      <c r="AL132">
        <v>14</v>
      </c>
      <c r="AM132" s="7">
        <v>45658</v>
      </c>
      <c r="AN132" s="7">
        <v>45688</v>
      </c>
      <c r="AO132" s="8">
        <v>35</v>
      </c>
      <c r="AP132" s="9">
        <v>0.03</v>
      </c>
      <c r="AQ132">
        <v>1290409987</v>
      </c>
      <c r="AS132" t="s">
        <v>60</v>
      </c>
      <c r="BB132" s="7"/>
      <c r="BD132" s="10"/>
      <c r="BF132" s="11"/>
      <c r="BG132" s="7"/>
      <c r="CF132" s="1"/>
    </row>
    <row r="133" spans="1:84" x14ac:dyDescent="0.25">
      <c r="A133" s="7">
        <v>45659</v>
      </c>
      <c r="B133" s="7">
        <v>45691</v>
      </c>
      <c r="C133" t="s">
        <v>45</v>
      </c>
      <c r="D133" t="s">
        <v>46</v>
      </c>
      <c r="F133" s="1">
        <v>15.6</v>
      </c>
      <c r="G133" s="1">
        <v>0</v>
      </c>
      <c r="H133" s="1">
        <v>15.6</v>
      </c>
      <c r="I133">
        <v>653470</v>
      </c>
      <c r="J133" t="s">
        <v>47</v>
      </c>
      <c r="P133">
        <v>681792691</v>
      </c>
      <c r="R133" t="s">
        <v>94</v>
      </c>
      <c r="S133" t="s">
        <v>278</v>
      </c>
      <c r="T133" t="s">
        <v>93</v>
      </c>
      <c r="U133">
        <v>689390</v>
      </c>
      <c r="V133" t="s">
        <v>84</v>
      </c>
      <c r="W133" t="s">
        <v>52</v>
      </c>
      <c r="Y133">
        <v>38399</v>
      </c>
      <c r="Z133" t="s">
        <v>85</v>
      </c>
      <c r="AA133" t="s">
        <v>54</v>
      </c>
      <c r="AB133" t="s">
        <v>55</v>
      </c>
      <c r="AC133" t="s">
        <v>66</v>
      </c>
      <c r="AD133" t="s">
        <v>67</v>
      </c>
      <c r="AE133" s="7">
        <v>45259</v>
      </c>
      <c r="AF133" s="7">
        <v>45261</v>
      </c>
      <c r="AG133">
        <v>78980217</v>
      </c>
      <c r="AH133">
        <v>10263240793</v>
      </c>
      <c r="AI133" s="8"/>
      <c r="AJ133" t="s">
        <v>58</v>
      </c>
      <c r="AK133" t="s">
        <v>59</v>
      </c>
      <c r="AL133">
        <v>14</v>
      </c>
      <c r="AM133" s="7">
        <v>45658</v>
      </c>
      <c r="AN133" s="7">
        <v>45688</v>
      </c>
      <c r="AO133" s="8">
        <v>65</v>
      </c>
      <c r="AP133" s="9">
        <v>0.24</v>
      </c>
      <c r="AQ133">
        <v>1290409829</v>
      </c>
      <c r="AS133" t="s">
        <v>60</v>
      </c>
      <c r="BB133" s="7"/>
      <c r="BD133" s="10"/>
      <c r="BF133" s="11"/>
      <c r="BG133" s="7"/>
      <c r="CF133" s="1"/>
    </row>
    <row r="134" spans="1:84" x14ac:dyDescent="0.25">
      <c r="A134" s="7">
        <v>45688</v>
      </c>
      <c r="B134" s="7">
        <v>45691</v>
      </c>
      <c r="C134" t="s">
        <v>45</v>
      </c>
      <c r="D134" t="s">
        <v>46</v>
      </c>
      <c r="F134">
        <v>18.559999999999999</v>
      </c>
      <c r="G134">
        <v>0</v>
      </c>
      <c r="H134">
        <v>18.559999999999999</v>
      </c>
      <c r="I134">
        <v>653470</v>
      </c>
      <c r="J134" t="s">
        <v>47</v>
      </c>
      <c r="P134">
        <v>683908486</v>
      </c>
      <c r="R134" t="s">
        <v>296</v>
      </c>
      <c r="S134" t="s">
        <v>295</v>
      </c>
      <c r="T134" t="s">
        <v>50</v>
      </c>
      <c r="U134">
        <v>706472</v>
      </c>
      <c r="V134" t="s">
        <v>110</v>
      </c>
      <c r="W134" t="s">
        <v>52</v>
      </c>
      <c r="Y134">
        <v>45041</v>
      </c>
      <c r="Z134" t="s">
        <v>71</v>
      </c>
      <c r="AA134" t="s">
        <v>180</v>
      </c>
      <c r="AB134" t="s">
        <v>55</v>
      </c>
      <c r="AC134" t="s">
        <v>66</v>
      </c>
      <c r="AD134" t="s">
        <v>67</v>
      </c>
      <c r="AE134" s="7">
        <v>45681</v>
      </c>
      <c r="AF134" s="7">
        <v>45689</v>
      </c>
      <c r="AG134">
        <v>199325683</v>
      </c>
      <c r="AH134">
        <v>10364362176</v>
      </c>
      <c r="AI134" s="8">
        <v>78</v>
      </c>
      <c r="AJ134" t="s">
        <v>58</v>
      </c>
      <c r="AK134" t="s">
        <v>74</v>
      </c>
      <c r="AL134">
        <v>1</v>
      </c>
      <c r="AM134" s="7">
        <v>45689</v>
      </c>
      <c r="AN134" s="7">
        <v>45716</v>
      </c>
      <c r="AO134" s="8">
        <v>58</v>
      </c>
      <c r="AP134" s="9">
        <v>0.32</v>
      </c>
      <c r="AQ134">
        <v>1290751305</v>
      </c>
      <c r="AS134" t="s">
        <v>289</v>
      </c>
      <c r="BB134" s="7"/>
      <c r="BJ134" s="11"/>
      <c r="BL134" s="1"/>
    </row>
    <row r="135" spans="1:84" x14ac:dyDescent="0.25">
      <c r="A135" s="7">
        <v>45685</v>
      </c>
      <c r="B135" s="7">
        <v>45691</v>
      </c>
      <c r="C135" t="s">
        <v>45</v>
      </c>
      <c r="D135" t="s">
        <v>46</v>
      </c>
      <c r="F135">
        <v>8</v>
      </c>
      <c r="G135">
        <v>0</v>
      </c>
      <c r="H135">
        <v>8</v>
      </c>
      <c r="I135">
        <v>653470</v>
      </c>
      <c r="J135" t="s">
        <v>47</v>
      </c>
      <c r="P135">
        <v>683929409</v>
      </c>
      <c r="R135" t="s">
        <v>294</v>
      </c>
      <c r="S135" t="s">
        <v>293</v>
      </c>
      <c r="T135" t="s">
        <v>96</v>
      </c>
      <c r="U135">
        <v>749876</v>
      </c>
      <c r="V135" t="s">
        <v>292</v>
      </c>
      <c r="W135" t="s">
        <v>52</v>
      </c>
      <c r="Y135">
        <v>45041</v>
      </c>
      <c r="Z135" t="s">
        <v>71</v>
      </c>
      <c r="AA135" t="s">
        <v>54</v>
      </c>
      <c r="AB135" t="s">
        <v>55</v>
      </c>
      <c r="AC135" t="s">
        <v>66</v>
      </c>
      <c r="AD135" t="s">
        <v>67</v>
      </c>
      <c r="AE135" s="7">
        <v>45685</v>
      </c>
      <c r="AF135" s="7">
        <v>45689</v>
      </c>
      <c r="AG135">
        <v>176713886</v>
      </c>
      <c r="AH135">
        <v>10355830915</v>
      </c>
      <c r="AI135" s="8">
        <v>35</v>
      </c>
      <c r="AJ135" t="s">
        <v>58</v>
      </c>
      <c r="AK135" t="s">
        <v>74</v>
      </c>
      <c r="AL135">
        <v>1</v>
      </c>
      <c r="AM135" s="7">
        <v>45689</v>
      </c>
      <c r="AN135" s="7">
        <v>45716</v>
      </c>
      <c r="AO135" s="8">
        <v>25</v>
      </c>
      <c r="AP135" s="9">
        <v>0.32</v>
      </c>
      <c r="AQ135">
        <v>1290758864</v>
      </c>
      <c r="AS135" t="s">
        <v>289</v>
      </c>
      <c r="BB135" s="7"/>
      <c r="BJ135" s="11"/>
      <c r="BL135" s="1"/>
    </row>
    <row r="136" spans="1:84" x14ac:dyDescent="0.25">
      <c r="A136" s="7">
        <v>45683</v>
      </c>
      <c r="B136" s="7">
        <v>45691</v>
      </c>
      <c r="C136" t="s">
        <v>45</v>
      </c>
      <c r="D136" t="s">
        <v>46</v>
      </c>
      <c r="F136">
        <v>8</v>
      </c>
      <c r="G136">
        <v>0</v>
      </c>
      <c r="H136">
        <v>8</v>
      </c>
      <c r="I136">
        <v>653470</v>
      </c>
      <c r="J136" t="s">
        <v>47</v>
      </c>
      <c r="P136">
        <v>683899850</v>
      </c>
      <c r="R136" t="s">
        <v>291</v>
      </c>
      <c r="S136" t="s">
        <v>290</v>
      </c>
      <c r="T136" t="s">
        <v>50</v>
      </c>
      <c r="U136">
        <v>678726</v>
      </c>
      <c r="V136" t="s">
        <v>70</v>
      </c>
      <c r="W136" t="s">
        <v>52</v>
      </c>
      <c r="Y136">
        <v>45041</v>
      </c>
      <c r="Z136" t="s">
        <v>71</v>
      </c>
      <c r="AA136" t="s">
        <v>54</v>
      </c>
      <c r="AB136" t="s">
        <v>55</v>
      </c>
      <c r="AC136" t="s">
        <v>66</v>
      </c>
      <c r="AD136" t="s">
        <v>67</v>
      </c>
      <c r="AE136" s="7">
        <v>45679</v>
      </c>
      <c r="AF136" s="7">
        <v>45689</v>
      </c>
      <c r="AG136">
        <v>571135014</v>
      </c>
      <c r="AH136">
        <v>10339277059</v>
      </c>
      <c r="AI136" s="8">
        <v>35</v>
      </c>
      <c r="AJ136" t="s">
        <v>58</v>
      </c>
      <c r="AK136" t="s">
        <v>59</v>
      </c>
      <c r="AL136">
        <v>1</v>
      </c>
      <c r="AM136" s="7">
        <v>45689</v>
      </c>
      <c r="AN136" s="7">
        <v>45716</v>
      </c>
      <c r="AO136" s="8">
        <v>25</v>
      </c>
      <c r="AP136" s="9">
        <v>0.32</v>
      </c>
      <c r="AQ136">
        <v>1291017969</v>
      </c>
      <c r="AS136" t="s">
        <v>289</v>
      </c>
      <c r="BB136" s="7"/>
      <c r="BJ136" s="11"/>
      <c r="BL136" s="1"/>
    </row>
  </sheetData>
  <autoFilter ref="A1:AS133" xr:uid="{B0E2BFE1-9AF8-4793-A850-C358D83A13C3}">
    <sortState xmlns:xlrd2="http://schemas.microsoft.com/office/spreadsheetml/2017/richdata2" ref="A2:AS133">
      <sortCondition ref="AS1:AS104857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85CC3-FBC0-4901-A53A-AE67C4AE9095}">
  <dimension ref="A1:T137"/>
  <sheetViews>
    <sheetView tabSelected="1" topLeftCell="B1" workbookViewId="0">
      <pane ySplit="1" topLeftCell="A106" activePane="bottomLeft" state="frozen"/>
      <selection pane="bottomLeft" activeCell="B137" sqref="B137"/>
    </sheetView>
  </sheetViews>
  <sheetFormatPr defaultRowHeight="15" x14ac:dyDescent="0.25"/>
  <cols>
    <col min="1" max="1" width="13.7109375" style="7" bestFit="1" customWidth="1"/>
    <col min="2" max="2" width="7.7109375" bestFit="1" customWidth="1"/>
    <col min="3" max="3" width="8.28515625" customWidth="1"/>
    <col min="4" max="4" width="16.28515625" bestFit="1" customWidth="1"/>
    <col min="5" max="5" width="20.7109375" bestFit="1" customWidth="1"/>
    <col min="6" max="6" width="20.42578125" bestFit="1" customWidth="1"/>
    <col min="7" max="7" width="20.42578125" customWidth="1"/>
    <col min="8" max="8" width="15.140625" bestFit="1" customWidth="1"/>
    <col min="9" max="9" width="18.140625" bestFit="1" customWidth="1"/>
    <col min="10" max="10" width="38.7109375" bestFit="1" customWidth="1"/>
    <col min="11" max="11" width="12.42578125" bestFit="1" customWidth="1"/>
    <col min="12" max="12" width="27.28515625" bestFit="1" customWidth="1"/>
    <col min="13" max="13" width="20.5703125" bestFit="1" customWidth="1"/>
    <col min="14" max="14" width="18.28515625" bestFit="1" customWidth="1"/>
    <col min="15" max="15" width="19.85546875" bestFit="1" customWidth="1"/>
    <col min="16" max="16" width="22" style="7" bestFit="1" customWidth="1"/>
    <col min="17" max="17" width="20.42578125" style="7" bestFit="1" customWidth="1"/>
    <col min="19" max="19" width="19" bestFit="1" customWidth="1"/>
    <col min="20" max="20" width="13.7109375" bestFit="1" customWidth="1"/>
  </cols>
  <sheetData>
    <row r="1" spans="1:20" x14ac:dyDescent="0.25">
      <c r="A1" s="7" t="s">
        <v>0</v>
      </c>
      <c r="B1" t="s">
        <v>7</v>
      </c>
      <c r="C1" t="s">
        <v>313</v>
      </c>
      <c r="D1" t="s">
        <v>32</v>
      </c>
      <c r="E1" t="s">
        <v>17</v>
      </c>
      <c r="F1" t="s">
        <v>18</v>
      </c>
      <c r="G1" t="s">
        <v>297</v>
      </c>
      <c r="H1" t="s">
        <v>19</v>
      </c>
      <c r="I1" t="s">
        <v>20</v>
      </c>
      <c r="J1" t="s">
        <v>21</v>
      </c>
      <c r="K1" t="s">
        <v>24</v>
      </c>
      <c r="L1" t="s">
        <v>25</v>
      </c>
      <c r="M1" t="s">
        <v>26</v>
      </c>
      <c r="N1" t="s">
        <v>28</v>
      </c>
      <c r="O1" t="s">
        <v>29</v>
      </c>
      <c r="P1" s="7" t="s">
        <v>30</v>
      </c>
      <c r="Q1" s="7" t="s">
        <v>31</v>
      </c>
      <c r="S1" t="s">
        <v>43</v>
      </c>
      <c r="T1" t="s">
        <v>44</v>
      </c>
    </row>
    <row r="2" spans="1:20" x14ac:dyDescent="0.25">
      <c r="A2" s="7">
        <v>45672</v>
      </c>
      <c r="B2">
        <v>55.12</v>
      </c>
      <c r="C2">
        <v>212</v>
      </c>
      <c r="D2">
        <v>172575174</v>
      </c>
      <c r="E2" t="s">
        <v>184</v>
      </c>
      <c r="F2" t="s">
        <v>185</v>
      </c>
      <c r="G2" t="str">
        <f t="shared" ref="G2:G33" si="0">CONCATENATE(E2, " ",F2)</f>
        <v>Kenneth Johnson</v>
      </c>
      <c r="H2" t="s">
        <v>186</v>
      </c>
      <c r="I2">
        <v>9079571</v>
      </c>
      <c r="J2" t="s">
        <v>308</v>
      </c>
      <c r="K2">
        <v>43554</v>
      </c>
      <c r="L2" t="s">
        <v>317</v>
      </c>
      <c r="M2" t="s">
        <v>77</v>
      </c>
      <c r="N2" t="s">
        <v>66</v>
      </c>
      <c r="O2" t="s">
        <v>67</v>
      </c>
      <c r="P2" s="7">
        <v>45430</v>
      </c>
      <c r="Q2" s="7">
        <v>45474</v>
      </c>
      <c r="R2" t="s">
        <v>321</v>
      </c>
      <c r="T2" t="s">
        <v>60</v>
      </c>
    </row>
    <row r="3" spans="1:20" x14ac:dyDescent="0.25">
      <c r="A3" s="7">
        <v>45688</v>
      </c>
      <c r="B3">
        <v>4.07</v>
      </c>
      <c r="C3">
        <v>11</v>
      </c>
      <c r="D3">
        <v>668933669</v>
      </c>
      <c r="E3" t="s">
        <v>48</v>
      </c>
      <c r="F3" t="s">
        <v>49</v>
      </c>
      <c r="G3" t="str">
        <f t="shared" si="0"/>
        <v>Cynthia Anderson</v>
      </c>
      <c r="H3" t="s">
        <v>50</v>
      </c>
      <c r="I3">
        <v>9079571</v>
      </c>
      <c r="J3" t="s">
        <v>308</v>
      </c>
      <c r="K3">
        <v>38593</v>
      </c>
      <c r="L3" t="s">
        <v>316</v>
      </c>
      <c r="M3" t="s">
        <v>54</v>
      </c>
      <c r="N3" t="s">
        <v>56</v>
      </c>
      <c r="O3" t="s">
        <v>57</v>
      </c>
      <c r="P3" s="7">
        <v>45349</v>
      </c>
      <c r="Q3" s="7">
        <v>45352</v>
      </c>
      <c r="R3" t="s">
        <v>321</v>
      </c>
      <c r="T3" t="s">
        <v>60</v>
      </c>
    </row>
    <row r="4" spans="1:20" x14ac:dyDescent="0.25">
      <c r="A4" s="7">
        <v>45659</v>
      </c>
      <c r="B4">
        <v>4.07</v>
      </c>
      <c r="C4">
        <v>11</v>
      </c>
      <c r="D4">
        <v>668933669</v>
      </c>
      <c r="E4" t="s">
        <v>48</v>
      </c>
      <c r="F4" t="s">
        <v>49</v>
      </c>
      <c r="G4" t="str">
        <f t="shared" si="0"/>
        <v>Cynthia Anderson</v>
      </c>
      <c r="H4" t="s">
        <v>50</v>
      </c>
      <c r="I4">
        <v>9079571</v>
      </c>
      <c r="J4" t="s">
        <v>308</v>
      </c>
      <c r="K4">
        <v>38593</v>
      </c>
      <c r="L4" t="s">
        <v>316</v>
      </c>
      <c r="M4" t="s">
        <v>54</v>
      </c>
      <c r="N4" t="s">
        <v>56</v>
      </c>
      <c r="O4" t="s">
        <v>57</v>
      </c>
      <c r="P4" s="7">
        <v>45349</v>
      </c>
      <c r="Q4" s="7">
        <v>45352</v>
      </c>
      <c r="R4" t="s">
        <v>321</v>
      </c>
      <c r="T4" t="s">
        <v>60</v>
      </c>
    </row>
    <row r="5" spans="1:20" x14ac:dyDescent="0.25">
      <c r="A5" s="7">
        <v>45659</v>
      </c>
      <c r="B5">
        <v>4.07</v>
      </c>
      <c r="C5">
        <v>11</v>
      </c>
      <c r="D5">
        <v>173898668</v>
      </c>
      <c r="E5" t="s">
        <v>274</v>
      </c>
      <c r="F5" t="s">
        <v>275</v>
      </c>
      <c r="G5" t="str">
        <f t="shared" si="0"/>
        <v>Miosotis Ledesma</v>
      </c>
      <c r="H5" t="s">
        <v>50</v>
      </c>
      <c r="I5">
        <v>20769090</v>
      </c>
      <c r="J5" t="s">
        <v>312</v>
      </c>
      <c r="K5">
        <v>38593</v>
      </c>
      <c r="L5" t="s">
        <v>316</v>
      </c>
      <c r="M5" t="s">
        <v>54</v>
      </c>
      <c r="N5" t="s">
        <v>56</v>
      </c>
      <c r="O5" t="s">
        <v>57</v>
      </c>
      <c r="P5" s="7">
        <v>45334</v>
      </c>
      <c r="Q5" s="7">
        <v>45352</v>
      </c>
      <c r="R5" t="s">
        <v>321</v>
      </c>
      <c r="T5" t="s">
        <v>60</v>
      </c>
    </row>
    <row r="6" spans="1:20" x14ac:dyDescent="0.25">
      <c r="A6" s="7">
        <v>45687</v>
      </c>
      <c r="B6">
        <v>14.4</v>
      </c>
      <c r="C6">
        <v>60</v>
      </c>
      <c r="D6">
        <v>386395185</v>
      </c>
      <c r="E6" t="s">
        <v>91</v>
      </c>
      <c r="F6" t="s">
        <v>92</v>
      </c>
      <c r="G6" t="str">
        <f t="shared" ref="G6:G17" si="1">CONCATENATE(E6, " ",F6)</f>
        <v>Siti Freedman</v>
      </c>
      <c r="H6" t="s">
        <v>93</v>
      </c>
      <c r="I6" s="23" t="s">
        <v>323</v>
      </c>
      <c r="J6" t="s">
        <v>300</v>
      </c>
      <c r="K6">
        <v>38399</v>
      </c>
      <c r="L6" t="s">
        <v>318</v>
      </c>
      <c r="M6" t="s">
        <v>54</v>
      </c>
      <c r="N6" t="s">
        <v>66</v>
      </c>
      <c r="O6" t="s">
        <v>67</v>
      </c>
      <c r="P6" s="7">
        <v>45230</v>
      </c>
      <c r="Q6" s="7">
        <v>45231</v>
      </c>
      <c r="R6" t="s">
        <v>321</v>
      </c>
      <c r="T6" t="s">
        <v>60</v>
      </c>
    </row>
    <row r="7" spans="1:20" x14ac:dyDescent="0.25">
      <c r="A7" s="7">
        <v>45662</v>
      </c>
      <c r="B7">
        <v>15.6</v>
      </c>
      <c r="C7">
        <v>65</v>
      </c>
      <c r="D7">
        <v>509195534</v>
      </c>
      <c r="E7" t="s">
        <v>238</v>
      </c>
      <c r="F7" t="s">
        <v>239</v>
      </c>
      <c r="G7" t="str">
        <f t="shared" si="1"/>
        <v>Jane Wagner</v>
      </c>
      <c r="H7" t="s">
        <v>93</v>
      </c>
      <c r="I7" s="23" t="s">
        <v>323</v>
      </c>
      <c r="J7" t="s">
        <v>300</v>
      </c>
      <c r="K7">
        <v>38399</v>
      </c>
      <c r="L7" t="s">
        <v>318</v>
      </c>
      <c r="M7" t="s">
        <v>54</v>
      </c>
      <c r="N7" t="s">
        <v>66</v>
      </c>
      <c r="O7" t="s">
        <v>67</v>
      </c>
      <c r="P7" s="7">
        <v>45231</v>
      </c>
      <c r="Q7" s="7">
        <v>45261</v>
      </c>
      <c r="R7" t="s">
        <v>321</v>
      </c>
      <c r="T7" t="s">
        <v>60</v>
      </c>
    </row>
    <row r="8" spans="1:20" x14ac:dyDescent="0.25">
      <c r="A8" s="7">
        <v>45659</v>
      </c>
      <c r="B8">
        <v>15.6</v>
      </c>
      <c r="C8">
        <v>65</v>
      </c>
      <c r="D8">
        <v>78980217</v>
      </c>
      <c r="E8" t="s">
        <v>94</v>
      </c>
      <c r="F8" t="s">
        <v>278</v>
      </c>
      <c r="G8" t="str">
        <f t="shared" si="1"/>
        <v>Kathleen McClain</v>
      </c>
      <c r="H8" t="s">
        <v>93</v>
      </c>
      <c r="I8" s="23" t="s">
        <v>323</v>
      </c>
      <c r="J8" t="s">
        <v>300</v>
      </c>
      <c r="K8">
        <v>38399</v>
      </c>
      <c r="L8" t="s">
        <v>318</v>
      </c>
      <c r="M8" t="s">
        <v>54</v>
      </c>
      <c r="N8" t="s">
        <v>66</v>
      </c>
      <c r="O8" t="s">
        <v>67</v>
      </c>
      <c r="P8" s="7">
        <v>45259</v>
      </c>
      <c r="Q8" s="7">
        <v>45261</v>
      </c>
      <c r="R8" t="s">
        <v>321</v>
      </c>
      <c r="T8" t="s">
        <v>60</v>
      </c>
    </row>
    <row r="9" spans="1:20" x14ac:dyDescent="0.25">
      <c r="A9" s="7">
        <v>45677</v>
      </c>
      <c r="B9">
        <v>14.4</v>
      </c>
      <c r="C9">
        <v>60</v>
      </c>
      <c r="D9">
        <v>438557821</v>
      </c>
      <c r="E9" t="s">
        <v>144</v>
      </c>
      <c r="F9" t="s">
        <v>145</v>
      </c>
      <c r="G9" t="str">
        <f t="shared" si="1"/>
        <v>Lizanne Hayes</v>
      </c>
      <c r="H9" t="s">
        <v>93</v>
      </c>
      <c r="I9" s="23" t="s">
        <v>323</v>
      </c>
      <c r="J9" t="s">
        <v>300</v>
      </c>
      <c r="K9">
        <v>38399</v>
      </c>
      <c r="L9" t="s">
        <v>318</v>
      </c>
      <c r="M9" t="s">
        <v>54</v>
      </c>
      <c r="N9" t="s">
        <v>66</v>
      </c>
      <c r="O9" t="s">
        <v>67</v>
      </c>
      <c r="P9" s="7">
        <v>45267</v>
      </c>
      <c r="Q9" s="7">
        <v>45292</v>
      </c>
      <c r="R9" t="s">
        <v>321</v>
      </c>
      <c r="T9" t="s">
        <v>60</v>
      </c>
    </row>
    <row r="10" spans="1:20" x14ac:dyDescent="0.25">
      <c r="A10" s="7">
        <v>45662</v>
      </c>
      <c r="B10">
        <v>18.239999999999998</v>
      </c>
      <c r="C10">
        <v>76</v>
      </c>
      <c r="D10">
        <v>654081029</v>
      </c>
      <c r="E10" t="s">
        <v>236</v>
      </c>
      <c r="F10" t="s">
        <v>237</v>
      </c>
      <c r="G10" t="str">
        <f t="shared" si="1"/>
        <v>Robert Steinberg</v>
      </c>
      <c r="H10" t="s">
        <v>93</v>
      </c>
      <c r="I10" s="23" t="s">
        <v>323</v>
      </c>
      <c r="J10" t="s">
        <v>300</v>
      </c>
      <c r="K10">
        <v>38398</v>
      </c>
      <c r="L10" t="s">
        <v>318</v>
      </c>
      <c r="M10" t="s">
        <v>80</v>
      </c>
      <c r="N10" t="s">
        <v>66</v>
      </c>
      <c r="O10" t="s">
        <v>67</v>
      </c>
      <c r="P10" s="7">
        <v>45240</v>
      </c>
      <c r="Q10" s="7">
        <v>45292</v>
      </c>
      <c r="R10" t="s">
        <v>321</v>
      </c>
      <c r="T10" t="s">
        <v>60</v>
      </c>
    </row>
    <row r="11" spans="1:20" x14ac:dyDescent="0.25">
      <c r="A11" s="7">
        <v>45662</v>
      </c>
      <c r="B11">
        <v>18.239999999999998</v>
      </c>
      <c r="C11">
        <v>76</v>
      </c>
      <c r="D11">
        <v>118665193</v>
      </c>
      <c r="E11" t="s">
        <v>104</v>
      </c>
      <c r="F11" t="s">
        <v>240</v>
      </c>
      <c r="G11" t="str">
        <f t="shared" si="1"/>
        <v>Leon Hankin</v>
      </c>
      <c r="H11" t="s">
        <v>93</v>
      </c>
      <c r="I11" s="23" t="s">
        <v>323</v>
      </c>
      <c r="J11" t="s">
        <v>300</v>
      </c>
      <c r="K11">
        <v>38398</v>
      </c>
      <c r="L11" t="s">
        <v>318</v>
      </c>
      <c r="M11" t="s">
        <v>80</v>
      </c>
      <c r="N11" t="s">
        <v>66</v>
      </c>
      <c r="O11" t="s">
        <v>67</v>
      </c>
      <c r="P11" s="7">
        <v>45261</v>
      </c>
      <c r="Q11" s="7">
        <v>45292</v>
      </c>
      <c r="R11" t="s">
        <v>321</v>
      </c>
      <c r="T11" t="s">
        <v>60</v>
      </c>
    </row>
    <row r="12" spans="1:20" x14ac:dyDescent="0.25">
      <c r="A12" s="7">
        <v>45662</v>
      </c>
      <c r="B12">
        <v>32.159999999999997</v>
      </c>
      <c r="C12">
        <v>134</v>
      </c>
      <c r="D12">
        <v>297820482</v>
      </c>
      <c r="E12" t="s">
        <v>241</v>
      </c>
      <c r="F12" t="s">
        <v>242</v>
      </c>
      <c r="G12" t="str">
        <f t="shared" si="1"/>
        <v>Richard Golden</v>
      </c>
      <c r="H12" t="s">
        <v>96</v>
      </c>
      <c r="I12" s="23" t="s">
        <v>323</v>
      </c>
      <c r="J12" t="s">
        <v>300</v>
      </c>
      <c r="K12">
        <v>38399</v>
      </c>
      <c r="L12" t="s">
        <v>318</v>
      </c>
      <c r="M12" t="s">
        <v>80</v>
      </c>
      <c r="N12" t="s">
        <v>66</v>
      </c>
      <c r="O12" t="s">
        <v>67</v>
      </c>
      <c r="P12" s="7">
        <v>45323</v>
      </c>
      <c r="Q12" s="7">
        <v>45352</v>
      </c>
      <c r="R12" t="s">
        <v>321</v>
      </c>
      <c r="T12" t="s">
        <v>60</v>
      </c>
    </row>
    <row r="13" spans="1:20" x14ac:dyDescent="0.25">
      <c r="A13" s="7">
        <v>45662</v>
      </c>
      <c r="B13">
        <v>5.55</v>
      </c>
      <c r="C13">
        <v>15</v>
      </c>
      <c r="D13">
        <v>252126537</v>
      </c>
      <c r="E13" t="s">
        <v>241</v>
      </c>
      <c r="F13" t="s">
        <v>242</v>
      </c>
      <c r="G13" t="str">
        <f t="shared" si="1"/>
        <v>Richard Golden</v>
      </c>
      <c r="H13" t="s">
        <v>96</v>
      </c>
      <c r="I13" s="23" t="s">
        <v>323</v>
      </c>
      <c r="J13" t="s">
        <v>300</v>
      </c>
      <c r="K13">
        <v>38593</v>
      </c>
      <c r="L13" t="s">
        <v>316</v>
      </c>
      <c r="M13" t="s">
        <v>101</v>
      </c>
      <c r="N13" t="s">
        <v>56</v>
      </c>
      <c r="O13" t="s">
        <v>57</v>
      </c>
      <c r="P13" s="7">
        <v>45323</v>
      </c>
      <c r="Q13" s="7">
        <v>45352</v>
      </c>
      <c r="R13" t="s">
        <v>321</v>
      </c>
      <c r="T13" t="s">
        <v>60</v>
      </c>
    </row>
    <row r="14" spans="1:20" x14ac:dyDescent="0.25">
      <c r="A14" s="7">
        <v>45669</v>
      </c>
      <c r="B14">
        <v>15.84</v>
      </c>
      <c r="C14">
        <v>66</v>
      </c>
      <c r="D14">
        <v>970685148</v>
      </c>
      <c r="E14" t="s">
        <v>201</v>
      </c>
      <c r="F14" t="s">
        <v>202</v>
      </c>
      <c r="G14" t="str">
        <f t="shared" si="1"/>
        <v>Nancy Tiburzio</v>
      </c>
      <c r="H14" t="s">
        <v>96</v>
      </c>
      <c r="I14" s="23" t="s">
        <v>323</v>
      </c>
      <c r="J14" t="s">
        <v>300</v>
      </c>
      <c r="K14">
        <v>38399</v>
      </c>
      <c r="L14" t="s">
        <v>318</v>
      </c>
      <c r="M14" t="s">
        <v>54</v>
      </c>
      <c r="N14" t="s">
        <v>66</v>
      </c>
      <c r="O14" t="s">
        <v>67</v>
      </c>
      <c r="P14" s="7">
        <v>45390</v>
      </c>
      <c r="Q14" s="7">
        <v>45413</v>
      </c>
      <c r="R14" t="s">
        <v>321</v>
      </c>
      <c r="T14" t="s">
        <v>60</v>
      </c>
    </row>
    <row r="15" spans="1:20" x14ac:dyDescent="0.25">
      <c r="A15" s="7">
        <v>45681</v>
      </c>
      <c r="B15">
        <v>6</v>
      </c>
      <c r="C15">
        <v>25</v>
      </c>
      <c r="D15">
        <v>568485674</v>
      </c>
      <c r="E15" t="s">
        <v>134</v>
      </c>
      <c r="F15" t="s">
        <v>135</v>
      </c>
      <c r="G15" t="str">
        <f t="shared" si="1"/>
        <v>Gerald Foley</v>
      </c>
      <c r="H15" t="s">
        <v>93</v>
      </c>
      <c r="I15" s="23" t="s">
        <v>323</v>
      </c>
      <c r="J15" t="s">
        <v>300</v>
      </c>
      <c r="K15">
        <v>38796</v>
      </c>
      <c r="L15" t="s">
        <v>318</v>
      </c>
      <c r="M15" t="s">
        <v>54</v>
      </c>
      <c r="N15" t="s">
        <v>66</v>
      </c>
      <c r="O15" t="s">
        <v>67</v>
      </c>
      <c r="P15" s="7">
        <v>45432</v>
      </c>
      <c r="Q15" s="7">
        <v>45444</v>
      </c>
      <c r="R15" t="s">
        <v>321</v>
      </c>
      <c r="T15" t="s">
        <v>60</v>
      </c>
    </row>
    <row r="16" spans="1:20" x14ac:dyDescent="0.25">
      <c r="A16" s="7">
        <v>45659</v>
      </c>
      <c r="B16">
        <v>6</v>
      </c>
      <c r="C16">
        <v>25</v>
      </c>
      <c r="D16">
        <v>568485674</v>
      </c>
      <c r="E16" t="s">
        <v>134</v>
      </c>
      <c r="F16" t="s">
        <v>135</v>
      </c>
      <c r="G16" t="str">
        <f t="shared" si="1"/>
        <v>Gerald Foley</v>
      </c>
      <c r="H16" t="s">
        <v>93</v>
      </c>
      <c r="I16" s="23" t="s">
        <v>323</v>
      </c>
      <c r="J16" t="s">
        <v>300</v>
      </c>
      <c r="K16">
        <v>38796</v>
      </c>
      <c r="L16" t="s">
        <v>318</v>
      </c>
      <c r="M16" t="s">
        <v>54</v>
      </c>
      <c r="N16" t="s">
        <v>66</v>
      </c>
      <c r="O16" t="s">
        <v>67</v>
      </c>
      <c r="P16" s="7">
        <v>45432</v>
      </c>
      <c r="Q16" s="7">
        <v>45444</v>
      </c>
      <c r="R16" t="s">
        <v>321</v>
      </c>
      <c r="T16" t="s">
        <v>60</v>
      </c>
    </row>
    <row r="17" spans="1:20" x14ac:dyDescent="0.25">
      <c r="A17" s="7">
        <v>45687</v>
      </c>
      <c r="B17">
        <v>17.760000000000002</v>
      </c>
      <c r="C17">
        <v>74</v>
      </c>
      <c r="D17">
        <v>303162685</v>
      </c>
      <c r="E17" t="s">
        <v>81</v>
      </c>
      <c r="F17" t="s">
        <v>82</v>
      </c>
      <c r="G17" t="str">
        <f t="shared" si="1"/>
        <v>John Fritz</v>
      </c>
      <c r="H17" t="s">
        <v>83</v>
      </c>
      <c r="I17">
        <v>17425766</v>
      </c>
      <c r="J17" t="s">
        <v>300</v>
      </c>
      <c r="K17">
        <v>38399</v>
      </c>
      <c r="L17" t="s">
        <v>318</v>
      </c>
      <c r="M17" t="s">
        <v>54</v>
      </c>
      <c r="N17" t="s">
        <v>66</v>
      </c>
      <c r="O17" t="s">
        <v>67</v>
      </c>
      <c r="P17" s="7">
        <v>45628</v>
      </c>
      <c r="Q17" s="7">
        <v>45658</v>
      </c>
      <c r="R17" t="s">
        <v>321</v>
      </c>
      <c r="T17" t="s">
        <v>60</v>
      </c>
    </row>
    <row r="18" spans="1:20" x14ac:dyDescent="0.25">
      <c r="A18" s="7">
        <v>45663</v>
      </c>
      <c r="B18">
        <v>8</v>
      </c>
      <c r="C18">
        <v>25</v>
      </c>
      <c r="D18">
        <v>224153635</v>
      </c>
      <c r="E18" t="s">
        <v>231</v>
      </c>
      <c r="F18" t="s">
        <v>232</v>
      </c>
      <c r="G18" t="str">
        <f t="shared" si="0"/>
        <v>Minnie Madden</v>
      </c>
      <c r="H18" t="s">
        <v>50</v>
      </c>
      <c r="I18">
        <v>7387433</v>
      </c>
      <c r="J18" t="s">
        <v>126</v>
      </c>
      <c r="K18">
        <v>45041</v>
      </c>
      <c r="L18" t="s">
        <v>319</v>
      </c>
      <c r="M18" t="s">
        <v>54</v>
      </c>
      <c r="N18" t="s">
        <v>66</v>
      </c>
      <c r="O18" t="s">
        <v>67</v>
      </c>
      <c r="P18" s="7">
        <v>45596</v>
      </c>
      <c r="Q18" s="7">
        <v>45597</v>
      </c>
      <c r="R18" t="s">
        <v>321</v>
      </c>
      <c r="T18" t="s">
        <v>60</v>
      </c>
    </row>
    <row r="19" spans="1:20" x14ac:dyDescent="0.25">
      <c r="A19" s="7">
        <v>45682</v>
      </c>
      <c r="B19">
        <v>29.44</v>
      </c>
      <c r="C19">
        <v>92</v>
      </c>
      <c r="D19">
        <v>496153713</v>
      </c>
      <c r="E19" t="s">
        <v>124</v>
      </c>
      <c r="F19" t="s">
        <v>125</v>
      </c>
      <c r="G19" t="str">
        <f t="shared" si="0"/>
        <v>Carrie Freshour</v>
      </c>
      <c r="H19" t="s">
        <v>50</v>
      </c>
      <c r="I19">
        <v>7387433</v>
      </c>
      <c r="J19" t="s">
        <v>126</v>
      </c>
      <c r="K19">
        <v>45041</v>
      </c>
      <c r="L19" t="s">
        <v>319</v>
      </c>
      <c r="M19" t="s">
        <v>77</v>
      </c>
      <c r="N19" t="s">
        <v>66</v>
      </c>
      <c r="O19" t="s">
        <v>67</v>
      </c>
      <c r="P19" s="7">
        <v>45560</v>
      </c>
      <c r="Q19" s="7">
        <v>45566</v>
      </c>
      <c r="R19" t="s">
        <v>321</v>
      </c>
      <c r="T19" t="s">
        <v>60</v>
      </c>
    </row>
    <row r="20" spans="1:20" x14ac:dyDescent="0.25">
      <c r="A20" s="7">
        <v>45688</v>
      </c>
      <c r="B20">
        <v>18.559999999999999</v>
      </c>
      <c r="C20">
        <v>58</v>
      </c>
      <c r="D20">
        <v>199325683</v>
      </c>
      <c r="E20" t="s">
        <v>296</v>
      </c>
      <c r="F20" t="s">
        <v>295</v>
      </c>
      <c r="G20" t="str">
        <f t="shared" si="0"/>
        <v>Sua  Cci</v>
      </c>
      <c r="H20" t="s">
        <v>50</v>
      </c>
      <c r="I20">
        <v>17195620</v>
      </c>
      <c r="J20" t="s">
        <v>314</v>
      </c>
      <c r="K20">
        <v>45041</v>
      </c>
      <c r="L20" t="s">
        <v>319</v>
      </c>
      <c r="M20" t="s">
        <v>180</v>
      </c>
      <c r="N20" t="s">
        <v>66</v>
      </c>
      <c r="O20" t="s">
        <v>67</v>
      </c>
      <c r="P20" s="7">
        <v>45681</v>
      </c>
      <c r="Q20" s="7">
        <v>45689</v>
      </c>
      <c r="R20" t="s">
        <v>321</v>
      </c>
      <c r="T20" t="s">
        <v>60</v>
      </c>
    </row>
    <row r="21" spans="1:20" x14ac:dyDescent="0.25">
      <c r="A21" s="7">
        <v>45659</v>
      </c>
      <c r="B21">
        <v>9.1199999999999992</v>
      </c>
      <c r="C21">
        <v>38</v>
      </c>
      <c r="D21">
        <v>863215382</v>
      </c>
      <c r="E21" t="s">
        <v>269</v>
      </c>
      <c r="F21" t="s">
        <v>270</v>
      </c>
      <c r="G21" t="str">
        <f t="shared" si="0"/>
        <v>Tom Edung</v>
      </c>
      <c r="H21" t="s">
        <v>50</v>
      </c>
      <c r="I21">
        <v>17195620</v>
      </c>
      <c r="J21" t="s">
        <v>314</v>
      </c>
      <c r="K21">
        <v>42249</v>
      </c>
      <c r="L21" t="s">
        <v>318</v>
      </c>
      <c r="M21" t="s">
        <v>54</v>
      </c>
      <c r="N21" t="s">
        <v>66</v>
      </c>
      <c r="O21" t="s">
        <v>67</v>
      </c>
      <c r="P21" s="7">
        <v>45628</v>
      </c>
      <c r="Q21" s="7">
        <v>45658</v>
      </c>
      <c r="R21" t="s">
        <v>321</v>
      </c>
      <c r="T21" t="s">
        <v>60</v>
      </c>
    </row>
    <row r="22" spans="1:20" x14ac:dyDescent="0.25">
      <c r="A22" s="7">
        <v>45674</v>
      </c>
      <c r="B22">
        <v>16</v>
      </c>
      <c r="C22">
        <v>50</v>
      </c>
      <c r="D22">
        <v>954518880</v>
      </c>
      <c r="E22" t="s">
        <v>170</v>
      </c>
      <c r="F22" t="s">
        <v>171</v>
      </c>
      <c r="G22" t="str">
        <f t="shared" si="0"/>
        <v>Julie Bryant</v>
      </c>
      <c r="H22" t="s">
        <v>50</v>
      </c>
      <c r="I22">
        <v>17195620</v>
      </c>
      <c r="J22" t="s">
        <v>314</v>
      </c>
      <c r="K22">
        <v>45041</v>
      </c>
      <c r="L22" t="s">
        <v>319</v>
      </c>
      <c r="M22" t="s">
        <v>80</v>
      </c>
      <c r="N22" t="s">
        <v>66</v>
      </c>
      <c r="O22" t="s">
        <v>67</v>
      </c>
      <c r="P22" s="7">
        <v>45643</v>
      </c>
      <c r="Q22" s="7">
        <v>45658</v>
      </c>
      <c r="R22" t="s">
        <v>321</v>
      </c>
      <c r="T22" t="s">
        <v>60</v>
      </c>
    </row>
    <row r="23" spans="1:20" x14ac:dyDescent="0.25">
      <c r="A23" s="7">
        <v>45668</v>
      </c>
      <c r="B23">
        <v>8</v>
      </c>
      <c r="C23">
        <v>25</v>
      </c>
      <c r="D23">
        <v>58861441</v>
      </c>
      <c r="E23" t="s">
        <v>117</v>
      </c>
      <c r="F23" t="s">
        <v>205</v>
      </c>
      <c r="G23" t="str">
        <f t="shared" si="0"/>
        <v>Michael Suskin</v>
      </c>
      <c r="H23" t="s">
        <v>50</v>
      </c>
      <c r="I23">
        <v>17195620</v>
      </c>
      <c r="J23" t="s">
        <v>314</v>
      </c>
      <c r="K23">
        <v>45041</v>
      </c>
      <c r="L23" t="s">
        <v>319</v>
      </c>
      <c r="M23" t="s">
        <v>54</v>
      </c>
      <c r="N23" t="s">
        <v>66</v>
      </c>
      <c r="O23" t="s">
        <v>67</v>
      </c>
      <c r="P23" s="7">
        <v>45637</v>
      </c>
      <c r="Q23" s="7">
        <v>45658</v>
      </c>
      <c r="R23" t="s">
        <v>321</v>
      </c>
      <c r="T23" t="s">
        <v>60</v>
      </c>
    </row>
    <row r="24" spans="1:20" x14ac:dyDescent="0.25">
      <c r="A24" s="7">
        <v>45659</v>
      </c>
      <c r="B24">
        <v>4.07</v>
      </c>
      <c r="C24">
        <v>11</v>
      </c>
      <c r="D24">
        <v>431803401</v>
      </c>
      <c r="E24" t="s">
        <v>269</v>
      </c>
      <c r="F24" t="s">
        <v>270</v>
      </c>
      <c r="G24" t="str">
        <f t="shared" si="0"/>
        <v>Tom Edung</v>
      </c>
      <c r="H24" t="s">
        <v>50</v>
      </c>
      <c r="I24">
        <v>17195620</v>
      </c>
      <c r="J24" t="s">
        <v>314</v>
      </c>
      <c r="K24">
        <v>38593</v>
      </c>
      <c r="L24" t="s">
        <v>316</v>
      </c>
      <c r="M24" t="s">
        <v>54</v>
      </c>
      <c r="N24" t="s">
        <v>56</v>
      </c>
      <c r="O24" t="s">
        <v>57</v>
      </c>
      <c r="P24" s="7">
        <v>45628</v>
      </c>
      <c r="Q24" s="7">
        <v>45658</v>
      </c>
      <c r="R24" t="s">
        <v>321</v>
      </c>
      <c r="T24" t="s">
        <v>60</v>
      </c>
    </row>
    <row r="25" spans="1:20" x14ac:dyDescent="0.25">
      <c r="A25" s="7">
        <v>45676</v>
      </c>
      <c r="B25">
        <v>8</v>
      </c>
      <c r="C25">
        <v>25</v>
      </c>
      <c r="D25">
        <v>987369850</v>
      </c>
      <c r="E25" t="s">
        <v>148</v>
      </c>
      <c r="F25" t="s">
        <v>149</v>
      </c>
      <c r="G25" t="str">
        <f t="shared" si="0"/>
        <v>Adnan Murad</v>
      </c>
      <c r="H25" t="s">
        <v>50</v>
      </c>
      <c r="I25">
        <v>17195620</v>
      </c>
      <c r="J25" t="s">
        <v>314</v>
      </c>
      <c r="K25">
        <v>45041</v>
      </c>
      <c r="L25" t="s">
        <v>319</v>
      </c>
      <c r="M25" t="s">
        <v>54</v>
      </c>
      <c r="N25" t="s">
        <v>66</v>
      </c>
      <c r="O25" t="s">
        <v>67</v>
      </c>
      <c r="P25" s="7">
        <v>45615</v>
      </c>
      <c r="Q25" s="7">
        <v>45627</v>
      </c>
      <c r="R25" t="s">
        <v>321</v>
      </c>
      <c r="T25" t="s">
        <v>60</v>
      </c>
    </row>
    <row r="26" spans="1:20" x14ac:dyDescent="0.25">
      <c r="A26" s="7">
        <v>45672</v>
      </c>
      <c r="B26">
        <v>16</v>
      </c>
      <c r="C26">
        <v>50</v>
      </c>
      <c r="D26">
        <v>762673318</v>
      </c>
      <c r="E26" t="s">
        <v>193</v>
      </c>
      <c r="F26" t="s">
        <v>194</v>
      </c>
      <c r="G26" t="str">
        <f t="shared" si="0"/>
        <v>Jose Manansala</v>
      </c>
      <c r="H26" t="s">
        <v>50</v>
      </c>
      <c r="I26">
        <v>17195620</v>
      </c>
      <c r="J26" t="s">
        <v>314</v>
      </c>
      <c r="K26">
        <v>45041</v>
      </c>
      <c r="L26" t="s">
        <v>319</v>
      </c>
      <c r="M26" t="s">
        <v>80</v>
      </c>
      <c r="N26" t="s">
        <v>66</v>
      </c>
      <c r="O26" t="s">
        <v>67</v>
      </c>
      <c r="P26" s="7">
        <v>45611</v>
      </c>
      <c r="Q26" s="7">
        <v>45627</v>
      </c>
      <c r="R26" t="s">
        <v>321</v>
      </c>
      <c r="T26" t="s">
        <v>60</v>
      </c>
    </row>
    <row r="27" spans="1:20" x14ac:dyDescent="0.25">
      <c r="A27" s="7">
        <v>45676</v>
      </c>
      <c r="B27">
        <v>4.07</v>
      </c>
      <c r="C27">
        <v>11</v>
      </c>
      <c r="D27">
        <v>308081747</v>
      </c>
      <c r="E27" t="s">
        <v>148</v>
      </c>
      <c r="F27" t="s">
        <v>149</v>
      </c>
      <c r="G27" t="str">
        <f t="shared" si="0"/>
        <v>Adnan Murad</v>
      </c>
      <c r="H27" t="s">
        <v>50</v>
      </c>
      <c r="I27">
        <v>17195620</v>
      </c>
      <c r="J27" t="s">
        <v>314</v>
      </c>
      <c r="K27">
        <v>38593</v>
      </c>
      <c r="L27" t="s">
        <v>316</v>
      </c>
      <c r="M27" t="s">
        <v>54</v>
      </c>
      <c r="N27" t="s">
        <v>56</v>
      </c>
      <c r="O27" t="s">
        <v>57</v>
      </c>
      <c r="P27" s="7">
        <v>45615</v>
      </c>
      <c r="Q27" s="7">
        <v>45627</v>
      </c>
      <c r="R27" t="s">
        <v>321</v>
      </c>
      <c r="T27" t="s">
        <v>60</v>
      </c>
    </row>
    <row r="28" spans="1:20" x14ac:dyDescent="0.25">
      <c r="A28" s="7">
        <v>45672</v>
      </c>
      <c r="B28">
        <v>5.55</v>
      </c>
      <c r="C28">
        <v>15</v>
      </c>
      <c r="D28">
        <v>245268586</v>
      </c>
      <c r="E28" t="s">
        <v>193</v>
      </c>
      <c r="F28" t="s">
        <v>194</v>
      </c>
      <c r="G28" t="str">
        <f t="shared" si="0"/>
        <v>Jose Manansala</v>
      </c>
      <c r="H28" t="s">
        <v>50</v>
      </c>
      <c r="I28">
        <v>17195620</v>
      </c>
      <c r="J28" t="s">
        <v>314</v>
      </c>
      <c r="K28">
        <v>38593</v>
      </c>
      <c r="L28" t="s">
        <v>316</v>
      </c>
      <c r="M28" t="s">
        <v>101</v>
      </c>
      <c r="N28" t="s">
        <v>56</v>
      </c>
      <c r="O28" t="s">
        <v>57</v>
      </c>
      <c r="P28" s="7">
        <v>45611</v>
      </c>
      <c r="Q28" s="7">
        <v>45627</v>
      </c>
      <c r="R28" t="s">
        <v>321</v>
      </c>
      <c r="T28" t="s">
        <v>60</v>
      </c>
    </row>
    <row r="29" spans="1:20" x14ac:dyDescent="0.25">
      <c r="A29" s="7">
        <v>45685</v>
      </c>
      <c r="B29">
        <v>9.6</v>
      </c>
      <c r="C29">
        <v>30</v>
      </c>
      <c r="D29">
        <v>459325166</v>
      </c>
      <c r="E29" t="s">
        <v>108</v>
      </c>
      <c r="F29" t="s">
        <v>109</v>
      </c>
      <c r="G29" t="str">
        <f t="shared" si="0"/>
        <v>Ann  Morgan</v>
      </c>
      <c r="H29" t="s">
        <v>50</v>
      </c>
      <c r="I29">
        <v>17195620</v>
      </c>
      <c r="J29" t="s">
        <v>314</v>
      </c>
      <c r="K29">
        <v>45041</v>
      </c>
      <c r="L29" t="s">
        <v>319</v>
      </c>
      <c r="M29" t="s">
        <v>54</v>
      </c>
      <c r="N29" t="s">
        <v>66</v>
      </c>
      <c r="O29" t="s">
        <v>67</v>
      </c>
      <c r="P29" s="7">
        <v>45593</v>
      </c>
      <c r="Q29" s="7">
        <v>45597</v>
      </c>
      <c r="R29" t="s">
        <v>321</v>
      </c>
      <c r="T29" t="s">
        <v>60</v>
      </c>
    </row>
    <row r="30" spans="1:20" x14ac:dyDescent="0.25">
      <c r="A30" s="7">
        <v>45662</v>
      </c>
      <c r="B30">
        <v>6</v>
      </c>
      <c r="C30">
        <v>25</v>
      </c>
      <c r="D30">
        <v>207892095</v>
      </c>
      <c r="E30" t="s">
        <v>245</v>
      </c>
      <c r="F30" t="s">
        <v>246</v>
      </c>
      <c r="G30" t="str">
        <f t="shared" si="0"/>
        <v>Pamela Evans</v>
      </c>
      <c r="H30" t="s">
        <v>50</v>
      </c>
      <c r="I30">
        <v>17195620</v>
      </c>
      <c r="J30" t="s">
        <v>314</v>
      </c>
      <c r="K30">
        <v>38796</v>
      </c>
      <c r="L30" t="s">
        <v>318</v>
      </c>
      <c r="M30" t="s">
        <v>54</v>
      </c>
      <c r="N30" t="s">
        <v>66</v>
      </c>
      <c r="O30" t="s">
        <v>67</v>
      </c>
      <c r="P30" s="7">
        <v>45570</v>
      </c>
      <c r="Q30" s="7">
        <v>45597</v>
      </c>
      <c r="R30" t="s">
        <v>321</v>
      </c>
      <c r="T30" t="s">
        <v>60</v>
      </c>
    </row>
    <row r="31" spans="1:20" x14ac:dyDescent="0.25">
      <c r="A31" s="7">
        <v>45667</v>
      </c>
      <c r="B31">
        <v>44.4</v>
      </c>
      <c r="C31">
        <v>185</v>
      </c>
      <c r="D31">
        <v>348104279</v>
      </c>
      <c r="E31" t="s">
        <v>113</v>
      </c>
      <c r="F31" t="s">
        <v>208</v>
      </c>
      <c r="G31" t="str">
        <f t="shared" si="0"/>
        <v>Steven Cohen</v>
      </c>
      <c r="H31" t="s">
        <v>63</v>
      </c>
      <c r="I31">
        <v>9213293</v>
      </c>
      <c r="J31" t="s">
        <v>301</v>
      </c>
      <c r="K31">
        <v>38398</v>
      </c>
      <c r="L31" t="s">
        <v>318</v>
      </c>
      <c r="M31" t="s">
        <v>77</v>
      </c>
      <c r="N31" t="s">
        <v>66</v>
      </c>
      <c r="O31" t="s">
        <v>67</v>
      </c>
      <c r="P31" s="7">
        <v>45636</v>
      </c>
      <c r="Q31" s="7">
        <v>45658</v>
      </c>
      <c r="R31" t="s">
        <v>321</v>
      </c>
      <c r="T31" t="s">
        <v>60</v>
      </c>
    </row>
    <row r="32" spans="1:20" x14ac:dyDescent="0.25">
      <c r="A32" s="7">
        <v>45672</v>
      </c>
      <c r="B32">
        <v>9.6</v>
      </c>
      <c r="C32">
        <v>40</v>
      </c>
      <c r="D32">
        <v>379471379</v>
      </c>
      <c r="E32" t="s">
        <v>188</v>
      </c>
      <c r="F32" t="s">
        <v>189</v>
      </c>
      <c r="G32" t="str">
        <f t="shared" si="0"/>
        <v>Janice Dziekonski</v>
      </c>
      <c r="H32" t="s">
        <v>63</v>
      </c>
      <c r="I32">
        <v>9213293</v>
      </c>
      <c r="J32" t="s">
        <v>301</v>
      </c>
      <c r="K32">
        <v>42249</v>
      </c>
      <c r="L32" t="s">
        <v>318</v>
      </c>
      <c r="M32" t="s">
        <v>54</v>
      </c>
      <c r="N32" t="s">
        <v>66</v>
      </c>
      <c r="O32" t="s">
        <v>67</v>
      </c>
      <c r="P32" s="7">
        <v>45421</v>
      </c>
      <c r="Q32" s="7">
        <v>45444</v>
      </c>
      <c r="R32" t="s">
        <v>321</v>
      </c>
      <c r="T32" t="s">
        <v>60</v>
      </c>
    </row>
    <row r="33" spans="1:20" x14ac:dyDescent="0.25">
      <c r="A33" s="7">
        <v>45666</v>
      </c>
      <c r="B33">
        <v>9.6</v>
      </c>
      <c r="C33">
        <v>30</v>
      </c>
      <c r="D33">
        <v>984523223</v>
      </c>
      <c r="E33" t="s">
        <v>220</v>
      </c>
      <c r="F33" t="s">
        <v>221</v>
      </c>
      <c r="G33" t="str">
        <f t="shared" si="0"/>
        <v>Brigitte Wilkinson</v>
      </c>
      <c r="H33" t="s">
        <v>50</v>
      </c>
      <c r="I33">
        <v>19279958</v>
      </c>
      <c r="J33" t="s">
        <v>302</v>
      </c>
      <c r="K33">
        <v>45041</v>
      </c>
      <c r="L33" t="s">
        <v>319</v>
      </c>
      <c r="M33" t="s">
        <v>54</v>
      </c>
      <c r="N33" t="s">
        <v>66</v>
      </c>
      <c r="O33" t="s">
        <v>67</v>
      </c>
      <c r="P33" s="7">
        <v>45630</v>
      </c>
      <c r="Q33" s="7">
        <v>45658</v>
      </c>
      <c r="R33" t="s">
        <v>321</v>
      </c>
      <c r="T33" t="s">
        <v>289</v>
      </c>
    </row>
    <row r="34" spans="1:20" x14ac:dyDescent="0.25">
      <c r="A34" s="7">
        <v>45666</v>
      </c>
      <c r="B34">
        <v>4.07</v>
      </c>
      <c r="C34">
        <v>11</v>
      </c>
      <c r="D34">
        <v>245549848</v>
      </c>
      <c r="E34" t="s">
        <v>220</v>
      </c>
      <c r="F34" t="s">
        <v>221</v>
      </c>
      <c r="G34" t="str">
        <f t="shared" ref="G34:G65" si="2">CONCATENATE(E34, " ",F34)</f>
        <v>Brigitte Wilkinson</v>
      </c>
      <c r="H34" t="s">
        <v>50</v>
      </c>
      <c r="I34">
        <v>19279958</v>
      </c>
      <c r="J34" t="s">
        <v>302</v>
      </c>
      <c r="K34">
        <v>38593</v>
      </c>
      <c r="L34" t="s">
        <v>316</v>
      </c>
      <c r="M34" t="s">
        <v>54</v>
      </c>
      <c r="N34" t="s">
        <v>56</v>
      </c>
      <c r="O34" t="s">
        <v>57</v>
      </c>
      <c r="P34" s="7">
        <v>45630</v>
      </c>
      <c r="Q34" s="7">
        <v>45658</v>
      </c>
      <c r="R34" t="s">
        <v>321</v>
      </c>
      <c r="T34" t="s">
        <v>60</v>
      </c>
    </row>
    <row r="35" spans="1:20" x14ac:dyDescent="0.25">
      <c r="A35" s="7">
        <v>45666</v>
      </c>
      <c r="B35">
        <v>16</v>
      </c>
      <c r="C35">
        <v>50</v>
      </c>
      <c r="D35">
        <v>385850665</v>
      </c>
      <c r="E35" t="s">
        <v>218</v>
      </c>
      <c r="F35" t="s">
        <v>219</v>
      </c>
      <c r="G35" t="str">
        <f t="shared" si="2"/>
        <v>Trenton Pizza</v>
      </c>
      <c r="H35" t="s">
        <v>186</v>
      </c>
      <c r="I35">
        <v>19279958</v>
      </c>
      <c r="J35" t="s">
        <v>302</v>
      </c>
      <c r="K35">
        <v>45041</v>
      </c>
      <c r="L35" t="s">
        <v>319</v>
      </c>
      <c r="M35" t="s">
        <v>80</v>
      </c>
      <c r="N35" t="s">
        <v>66</v>
      </c>
      <c r="O35" t="s">
        <v>67</v>
      </c>
      <c r="P35" s="7">
        <v>45600</v>
      </c>
      <c r="Q35" s="7">
        <v>45627</v>
      </c>
      <c r="R35" t="s">
        <v>321</v>
      </c>
      <c r="T35" t="s">
        <v>60</v>
      </c>
    </row>
    <row r="36" spans="1:20" x14ac:dyDescent="0.25">
      <c r="A36" s="7">
        <v>45666</v>
      </c>
      <c r="B36">
        <v>5.55</v>
      </c>
      <c r="C36">
        <v>15</v>
      </c>
      <c r="D36">
        <v>124154427</v>
      </c>
      <c r="E36" t="s">
        <v>218</v>
      </c>
      <c r="F36" t="s">
        <v>219</v>
      </c>
      <c r="G36" t="str">
        <f t="shared" si="2"/>
        <v>Trenton Pizza</v>
      </c>
      <c r="H36" t="s">
        <v>186</v>
      </c>
      <c r="I36">
        <v>19279958</v>
      </c>
      <c r="J36" t="s">
        <v>302</v>
      </c>
      <c r="K36">
        <v>38593</v>
      </c>
      <c r="L36" t="s">
        <v>316</v>
      </c>
      <c r="M36" t="s">
        <v>101</v>
      </c>
      <c r="N36" t="s">
        <v>56</v>
      </c>
      <c r="O36" t="s">
        <v>57</v>
      </c>
      <c r="P36" s="7">
        <v>45600</v>
      </c>
      <c r="Q36" s="7">
        <v>45627</v>
      </c>
      <c r="R36" t="s">
        <v>321</v>
      </c>
      <c r="T36" t="s">
        <v>60</v>
      </c>
    </row>
    <row r="37" spans="1:20" x14ac:dyDescent="0.25">
      <c r="A37" s="7">
        <v>45674</v>
      </c>
      <c r="B37">
        <v>-4.07</v>
      </c>
      <c r="C37">
        <v>11</v>
      </c>
      <c r="D37">
        <v>76994225</v>
      </c>
      <c r="E37" t="s">
        <v>165</v>
      </c>
      <c r="F37" t="s">
        <v>166</v>
      </c>
      <c r="G37" t="str">
        <f t="shared" si="2"/>
        <v>Frederick McNeil</v>
      </c>
      <c r="H37" t="s">
        <v>50</v>
      </c>
      <c r="I37">
        <v>19279958</v>
      </c>
      <c r="J37" t="s">
        <v>302</v>
      </c>
      <c r="K37">
        <v>38593</v>
      </c>
      <c r="L37" t="s">
        <v>316</v>
      </c>
      <c r="M37" t="s">
        <v>54</v>
      </c>
      <c r="N37" t="s">
        <v>56</v>
      </c>
      <c r="O37" t="s">
        <v>57</v>
      </c>
      <c r="P37" s="7">
        <v>45574</v>
      </c>
      <c r="Q37" s="7">
        <v>45597</v>
      </c>
      <c r="R37" t="s">
        <v>321</v>
      </c>
      <c r="T37" t="s">
        <v>60</v>
      </c>
    </row>
    <row r="38" spans="1:20" x14ac:dyDescent="0.25">
      <c r="A38" s="7">
        <v>45672</v>
      </c>
      <c r="B38">
        <v>4.07</v>
      </c>
      <c r="C38">
        <v>11</v>
      </c>
      <c r="D38">
        <v>76994225</v>
      </c>
      <c r="E38" t="s">
        <v>165</v>
      </c>
      <c r="F38" t="s">
        <v>166</v>
      </c>
      <c r="G38" t="str">
        <f t="shared" si="2"/>
        <v>Frederick McNeil</v>
      </c>
      <c r="H38" t="s">
        <v>50</v>
      </c>
      <c r="I38">
        <v>19279958</v>
      </c>
      <c r="J38" t="s">
        <v>302</v>
      </c>
      <c r="K38">
        <v>38593</v>
      </c>
      <c r="L38" t="s">
        <v>316</v>
      </c>
      <c r="M38" t="s">
        <v>54</v>
      </c>
      <c r="N38" t="s">
        <v>56</v>
      </c>
      <c r="O38" t="s">
        <v>57</v>
      </c>
      <c r="P38" s="7">
        <v>45574</v>
      </c>
      <c r="Q38" s="7">
        <v>45597</v>
      </c>
      <c r="R38" t="s">
        <v>321</v>
      </c>
      <c r="T38" t="s">
        <v>60</v>
      </c>
    </row>
    <row r="39" spans="1:20" x14ac:dyDescent="0.25">
      <c r="A39" s="7">
        <v>45675</v>
      </c>
      <c r="B39">
        <v>44.72</v>
      </c>
      <c r="C39">
        <v>172</v>
      </c>
      <c r="D39">
        <v>694607964</v>
      </c>
      <c r="E39" t="s">
        <v>155</v>
      </c>
      <c r="F39" t="s">
        <v>156</v>
      </c>
      <c r="G39" t="str">
        <f t="shared" si="2"/>
        <v>Jack Stein</v>
      </c>
      <c r="H39" t="s">
        <v>157</v>
      </c>
      <c r="I39">
        <v>15278437</v>
      </c>
      <c r="J39" t="s">
        <v>315</v>
      </c>
      <c r="K39">
        <v>43553</v>
      </c>
      <c r="L39" t="s">
        <v>317</v>
      </c>
      <c r="M39" t="s">
        <v>77</v>
      </c>
      <c r="N39" t="s">
        <v>66</v>
      </c>
      <c r="O39" t="s">
        <v>67</v>
      </c>
      <c r="P39" s="7">
        <v>45441</v>
      </c>
      <c r="Q39" s="7">
        <v>45474</v>
      </c>
      <c r="R39" t="s">
        <v>321</v>
      </c>
      <c r="T39" t="s">
        <v>60</v>
      </c>
    </row>
    <row r="40" spans="1:20" x14ac:dyDescent="0.25">
      <c r="A40" s="7">
        <v>45661</v>
      </c>
      <c r="B40">
        <v>5.55</v>
      </c>
      <c r="C40">
        <v>15</v>
      </c>
      <c r="D40">
        <v>784351926</v>
      </c>
      <c r="E40" t="s">
        <v>265</v>
      </c>
      <c r="F40" t="s">
        <v>266</v>
      </c>
      <c r="G40" t="str">
        <f t="shared" si="2"/>
        <v>Liane Lefever</v>
      </c>
      <c r="H40" t="s">
        <v>93</v>
      </c>
      <c r="I40">
        <v>15278437</v>
      </c>
      <c r="J40" t="s">
        <v>315</v>
      </c>
      <c r="K40">
        <v>38967</v>
      </c>
      <c r="L40" t="s">
        <v>316</v>
      </c>
      <c r="M40" t="s">
        <v>101</v>
      </c>
      <c r="N40" t="s">
        <v>56</v>
      </c>
      <c r="O40" t="s">
        <v>57</v>
      </c>
      <c r="P40" s="7">
        <v>45401</v>
      </c>
      <c r="Q40" s="7">
        <v>45413</v>
      </c>
      <c r="R40" t="s">
        <v>321</v>
      </c>
      <c r="T40" t="s">
        <v>60</v>
      </c>
    </row>
    <row r="41" spans="1:20" x14ac:dyDescent="0.25">
      <c r="A41" s="7">
        <v>45661</v>
      </c>
      <c r="B41">
        <v>28.8</v>
      </c>
      <c r="C41">
        <v>120</v>
      </c>
      <c r="D41">
        <v>181995160</v>
      </c>
      <c r="E41" t="s">
        <v>265</v>
      </c>
      <c r="F41" t="s">
        <v>266</v>
      </c>
      <c r="G41" t="str">
        <f t="shared" si="2"/>
        <v>Liane Lefever</v>
      </c>
      <c r="H41" t="s">
        <v>93</v>
      </c>
      <c r="I41">
        <v>15278437</v>
      </c>
      <c r="J41" t="s">
        <v>315</v>
      </c>
      <c r="K41">
        <v>38399</v>
      </c>
      <c r="L41" t="s">
        <v>318</v>
      </c>
      <c r="M41" t="s">
        <v>80</v>
      </c>
      <c r="N41" t="s">
        <v>66</v>
      </c>
      <c r="O41" t="s">
        <v>67</v>
      </c>
      <c r="P41" s="7">
        <v>45243</v>
      </c>
      <c r="Q41" s="7">
        <v>45292</v>
      </c>
      <c r="R41" t="s">
        <v>321</v>
      </c>
      <c r="T41" t="s">
        <v>60</v>
      </c>
    </row>
    <row r="42" spans="1:20" x14ac:dyDescent="0.25">
      <c r="A42" s="7">
        <v>45675</v>
      </c>
      <c r="B42">
        <v>12.48</v>
      </c>
      <c r="C42">
        <v>48</v>
      </c>
      <c r="D42">
        <v>241002988</v>
      </c>
      <c r="E42" t="s">
        <v>155</v>
      </c>
      <c r="F42" t="s">
        <v>156</v>
      </c>
      <c r="G42" t="str">
        <f t="shared" si="2"/>
        <v>Jack Stein</v>
      </c>
      <c r="H42" t="s">
        <v>157</v>
      </c>
      <c r="I42">
        <v>15278437</v>
      </c>
      <c r="J42" t="s">
        <v>315</v>
      </c>
      <c r="K42">
        <v>27711</v>
      </c>
      <c r="L42" t="s">
        <v>159</v>
      </c>
      <c r="M42" t="s">
        <v>77</v>
      </c>
      <c r="N42" t="s">
        <v>56</v>
      </c>
      <c r="O42" t="s">
        <v>57</v>
      </c>
      <c r="P42" s="7">
        <v>44852</v>
      </c>
      <c r="Q42" s="7">
        <v>44896</v>
      </c>
      <c r="R42" t="s">
        <v>321</v>
      </c>
      <c r="T42" t="s">
        <v>60</v>
      </c>
    </row>
    <row r="43" spans="1:20" x14ac:dyDescent="0.25">
      <c r="A43" s="7">
        <v>45686</v>
      </c>
      <c r="B43">
        <v>1.8</v>
      </c>
      <c r="C43">
        <v>60</v>
      </c>
      <c r="D43">
        <v>475902412</v>
      </c>
      <c r="E43" t="s">
        <v>94</v>
      </c>
      <c r="F43" t="s">
        <v>95</v>
      </c>
      <c r="G43" t="str">
        <f t="shared" si="2"/>
        <v>Kathleen Flury</v>
      </c>
      <c r="H43" t="s">
        <v>96</v>
      </c>
      <c r="I43">
        <v>19861194</v>
      </c>
      <c r="J43" t="s">
        <v>97</v>
      </c>
      <c r="K43">
        <v>38399</v>
      </c>
      <c r="L43" t="s">
        <v>318</v>
      </c>
      <c r="M43" t="s">
        <v>54</v>
      </c>
      <c r="N43" t="s">
        <v>66</v>
      </c>
      <c r="O43" t="s">
        <v>67</v>
      </c>
      <c r="P43" s="7">
        <v>45291</v>
      </c>
      <c r="Q43" s="7">
        <v>45292</v>
      </c>
      <c r="R43" t="s">
        <v>321</v>
      </c>
      <c r="T43" t="s">
        <v>60</v>
      </c>
    </row>
    <row r="44" spans="1:20" x14ac:dyDescent="0.25">
      <c r="A44" s="7">
        <v>45681</v>
      </c>
      <c r="B44">
        <v>1.8</v>
      </c>
      <c r="C44">
        <v>60</v>
      </c>
      <c r="D44">
        <v>475902412</v>
      </c>
      <c r="E44" t="s">
        <v>94</v>
      </c>
      <c r="F44" t="s">
        <v>95</v>
      </c>
      <c r="G44" t="str">
        <f t="shared" si="2"/>
        <v>Kathleen Flury</v>
      </c>
      <c r="H44" t="s">
        <v>96</v>
      </c>
      <c r="I44">
        <v>19861194</v>
      </c>
      <c r="J44" t="s">
        <v>97</v>
      </c>
      <c r="K44">
        <v>38399</v>
      </c>
      <c r="L44" t="s">
        <v>318</v>
      </c>
      <c r="M44" t="s">
        <v>54</v>
      </c>
      <c r="N44" t="s">
        <v>66</v>
      </c>
      <c r="O44" t="s">
        <v>67</v>
      </c>
      <c r="P44" s="7">
        <v>45291</v>
      </c>
      <c r="Q44" s="7">
        <v>45292</v>
      </c>
      <c r="R44" t="s">
        <v>321</v>
      </c>
      <c r="T44" t="s">
        <v>60</v>
      </c>
    </row>
    <row r="45" spans="1:20" x14ac:dyDescent="0.25">
      <c r="A45" s="7">
        <v>45680</v>
      </c>
      <c r="B45">
        <v>1.8</v>
      </c>
      <c r="C45">
        <v>60</v>
      </c>
      <c r="D45">
        <v>475902412</v>
      </c>
      <c r="E45" t="s">
        <v>94</v>
      </c>
      <c r="F45" t="s">
        <v>95</v>
      </c>
      <c r="G45" t="str">
        <f t="shared" si="2"/>
        <v>Kathleen Flury</v>
      </c>
      <c r="H45" t="s">
        <v>96</v>
      </c>
      <c r="I45">
        <v>19861194</v>
      </c>
      <c r="J45" t="s">
        <v>97</v>
      </c>
      <c r="K45">
        <v>38399</v>
      </c>
      <c r="L45" t="s">
        <v>318</v>
      </c>
      <c r="M45" t="s">
        <v>54</v>
      </c>
      <c r="N45" t="s">
        <v>66</v>
      </c>
      <c r="O45" t="s">
        <v>67</v>
      </c>
      <c r="P45" s="7">
        <v>45291</v>
      </c>
      <c r="Q45" s="7">
        <v>45292</v>
      </c>
      <c r="R45" t="s">
        <v>321</v>
      </c>
      <c r="T45" t="s">
        <v>60</v>
      </c>
    </row>
    <row r="46" spans="1:20" x14ac:dyDescent="0.25">
      <c r="A46" s="7">
        <v>45686</v>
      </c>
      <c r="B46">
        <v>0.33</v>
      </c>
      <c r="C46">
        <v>11</v>
      </c>
      <c r="D46">
        <v>134232423</v>
      </c>
      <c r="E46" t="s">
        <v>94</v>
      </c>
      <c r="F46" t="s">
        <v>95</v>
      </c>
      <c r="G46" t="str">
        <f t="shared" si="2"/>
        <v>Kathleen Flury</v>
      </c>
      <c r="H46" t="s">
        <v>96</v>
      </c>
      <c r="I46">
        <v>19861194</v>
      </c>
      <c r="J46" t="s">
        <v>97</v>
      </c>
      <c r="K46">
        <v>38593</v>
      </c>
      <c r="L46" t="s">
        <v>316</v>
      </c>
      <c r="M46" t="s">
        <v>54</v>
      </c>
      <c r="N46" t="s">
        <v>56</v>
      </c>
      <c r="O46" t="s">
        <v>57</v>
      </c>
      <c r="P46" s="7">
        <v>45291</v>
      </c>
      <c r="Q46" s="7">
        <v>45292</v>
      </c>
      <c r="R46" t="s">
        <v>321</v>
      </c>
      <c r="T46" t="s">
        <v>60</v>
      </c>
    </row>
    <row r="47" spans="1:20" x14ac:dyDescent="0.25">
      <c r="A47" s="7">
        <v>45681</v>
      </c>
      <c r="B47">
        <v>0.33</v>
      </c>
      <c r="C47">
        <v>11</v>
      </c>
      <c r="D47">
        <v>134232423</v>
      </c>
      <c r="E47" t="s">
        <v>94</v>
      </c>
      <c r="F47" t="s">
        <v>95</v>
      </c>
      <c r="G47" t="str">
        <f t="shared" si="2"/>
        <v>Kathleen Flury</v>
      </c>
      <c r="H47" t="s">
        <v>96</v>
      </c>
      <c r="I47">
        <v>19861194</v>
      </c>
      <c r="J47" t="s">
        <v>97</v>
      </c>
      <c r="K47">
        <v>38593</v>
      </c>
      <c r="L47" t="s">
        <v>316</v>
      </c>
      <c r="M47" t="s">
        <v>54</v>
      </c>
      <c r="N47" t="s">
        <v>56</v>
      </c>
      <c r="O47" t="s">
        <v>57</v>
      </c>
      <c r="P47" s="7">
        <v>45291</v>
      </c>
      <c r="Q47" s="7">
        <v>45292</v>
      </c>
      <c r="R47" t="s">
        <v>321</v>
      </c>
      <c r="T47" t="s">
        <v>60</v>
      </c>
    </row>
    <row r="48" spans="1:20" x14ac:dyDescent="0.25">
      <c r="A48" s="7">
        <v>45680</v>
      </c>
      <c r="B48">
        <v>0.33</v>
      </c>
      <c r="C48">
        <v>11</v>
      </c>
      <c r="D48">
        <v>134232423</v>
      </c>
      <c r="E48" t="s">
        <v>94</v>
      </c>
      <c r="F48" t="s">
        <v>95</v>
      </c>
      <c r="G48" t="str">
        <f t="shared" si="2"/>
        <v>Kathleen Flury</v>
      </c>
      <c r="H48" t="s">
        <v>96</v>
      </c>
      <c r="I48">
        <v>19861194</v>
      </c>
      <c r="J48" t="s">
        <v>97</v>
      </c>
      <c r="K48">
        <v>38593</v>
      </c>
      <c r="L48" t="s">
        <v>316</v>
      </c>
      <c r="M48" t="s">
        <v>54</v>
      </c>
      <c r="N48" t="s">
        <v>56</v>
      </c>
      <c r="O48" t="s">
        <v>57</v>
      </c>
      <c r="P48" s="7">
        <v>45291</v>
      </c>
      <c r="Q48" s="7">
        <v>45292</v>
      </c>
      <c r="R48" t="s">
        <v>321</v>
      </c>
      <c r="T48" t="s">
        <v>60</v>
      </c>
    </row>
    <row r="49" spans="1:20" x14ac:dyDescent="0.25">
      <c r="A49" s="7">
        <v>45659</v>
      </c>
      <c r="B49">
        <v>1.05</v>
      </c>
      <c r="C49">
        <v>35</v>
      </c>
      <c r="D49">
        <v>7534852</v>
      </c>
      <c r="E49" t="s">
        <v>132</v>
      </c>
      <c r="F49" t="s">
        <v>277</v>
      </c>
      <c r="G49" t="str">
        <f t="shared" si="2"/>
        <v>Thomas DeCoudres</v>
      </c>
      <c r="H49" t="s">
        <v>93</v>
      </c>
      <c r="I49">
        <v>19861194</v>
      </c>
      <c r="J49" t="s">
        <v>97</v>
      </c>
      <c r="K49">
        <v>38398</v>
      </c>
      <c r="L49" t="s">
        <v>318</v>
      </c>
      <c r="M49" t="s">
        <v>54</v>
      </c>
      <c r="N49" t="s">
        <v>66</v>
      </c>
      <c r="O49" t="s">
        <v>67</v>
      </c>
      <c r="P49" s="7">
        <v>45259</v>
      </c>
      <c r="Q49" s="7">
        <v>45261</v>
      </c>
      <c r="R49" t="s">
        <v>321</v>
      </c>
      <c r="T49" t="s">
        <v>60</v>
      </c>
    </row>
    <row r="50" spans="1:20" x14ac:dyDescent="0.25">
      <c r="A50" s="7">
        <v>45667</v>
      </c>
      <c r="B50">
        <v>6</v>
      </c>
      <c r="C50">
        <v>25</v>
      </c>
      <c r="D50">
        <v>864594072</v>
      </c>
      <c r="E50" t="s">
        <v>209</v>
      </c>
      <c r="F50" t="s">
        <v>210</v>
      </c>
      <c r="G50" t="str">
        <f t="shared" si="2"/>
        <v>Jospeh Morris II</v>
      </c>
      <c r="H50" t="s">
        <v>186</v>
      </c>
      <c r="I50">
        <v>1706194</v>
      </c>
      <c r="J50" t="s">
        <v>305</v>
      </c>
      <c r="K50">
        <v>38796</v>
      </c>
      <c r="L50" t="s">
        <v>318</v>
      </c>
      <c r="M50" t="s">
        <v>54</v>
      </c>
      <c r="N50" t="s">
        <v>66</v>
      </c>
      <c r="O50" t="s">
        <v>67</v>
      </c>
      <c r="P50" s="7">
        <v>45541</v>
      </c>
      <c r="Q50" s="7">
        <v>45566</v>
      </c>
      <c r="R50" t="s">
        <v>321</v>
      </c>
      <c r="T50" t="s">
        <v>60</v>
      </c>
    </row>
    <row r="51" spans="1:20" x14ac:dyDescent="0.25">
      <c r="A51" s="7">
        <v>45667</v>
      </c>
      <c r="B51">
        <v>14.64</v>
      </c>
      <c r="C51">
        <v>61</v>
      </c>
      <c r="D51">
        <v>624218472</v>
      </c>
      <c r="E51" t="s">
        <v>211</v>
      </c>
      <c r="F51" t="s">
        <v>212</v>
      </c>
      <c r="G51" t="str">
        <f t="shared" si="2"/>
        <v>Charles Block-Almazan</v>
      </c>
      <c r="H51" t="s">
        <v>213</v>
      </c>
      <c r="I51">
        <v>1706194</v>
      </c>
      <c r="J51" t="s">
        <v>305</v>
      </c>
      <c r="K51">
        <v>38796</v>
      </c>
      <c r="L51" t="s">
        <v>318</v>
      </c>
      <c r="M51" t="s">
        <v>180</v>
      </c>
      <c r="N51" t="s">
        <v>66</v>
      </c>
      <c r="O51" t="s">
        <v>67</v>
      </c>
      <c r="P51" s="7">
        <v>45541</v>
      </c>
      <c r="Q51" s="7">
        <v>45566</v>
      </c>
      <c r="R51" t="s">
        <v>321</v>
      </c>
      <c r="T51" t="s">
        <v>60</v>
      </c>
    </row>
    <row r="52" spans="1:20" x14ac:dyDescent="0.25">
      <c r="A52" s="7">
        <v>45662</v>
      </c>
      <c r="B52">
        <v>22.32</v>
      </c>
      <c r="C52">
        <v>93</v>
      </c>
      <c r="D52">
        <v>690892951</v>
      </c>
      <c r="E52" t="s">
        <v>243</v>
      </c>
      <c r="F52" t="s">
        <v>244</v>
      </c>
      <c r="G52" t="str">
        <f t="shared" si="2"/>
        <v>Roderick Acha</v>
      </c>
      <c r="H52" t="s">
        <v>130</v>
      </c>
      <c r="I52">
        <v>1706194</v>
      </c>
      <c r="J52" t="s">
        <v>305</v>
      </c>
      <c r="K52">
        <v>38796</v>
      </c>
      <c r="L52" t="s">
        <v>318</v>
      </c>
      <c r="M52" t="s">
        <v>77</v>
      </c>
      <c r="N52" t="s">
        <v>66</v>
      </c>
      <c r="O52" t="s">
        <v>67</v>
      </c>
      <c r="P52" s="7">
        <v>45545</v>
      </c>
      <c r="Q52" s="7">
        <v>45566</v>
      </c>
      <c r="R52" t="s">
        <v>321</v>
      </c>
      <c r="T52" t="s">
        <v>60</v>
      </c>
    </row>
    <row r="53" spans="1:20" x14ac:dyDescent="0.25">
      <c r="A53" s="7">
        <v>45662</v>
      </c>
      <c r="B53">
        <v>7.4</v>
      </c>
      <c r="C53">
        <v>20</v>
      </c>
      <c r="D53">
        <v>66621000</v>
      </c>
      <c r="E53" t="s">
        <v>243</v>
      </c>
      <c r="F53" t="s">
        <v>244</v>
      </c>
      <c r="G53" t="str">
        <f t="shared" si="2"/>
        <v>Roderick Acha</v>
      </c>
      <c r="H53" t="s">
        <v>130</v>
      </c>
      <c r="I53">
        <v>1706194</v>
      </c>
      <c r="J53" t="s">
        <v>305</v>
      </c>
      <c r="K53">
        <v>38593</v>
      </c>
      <c r="L53" t="s">
        <v>316</v>
      </c>
      <c r="M53" t="s">
        <v>77</v>
      </c>
      <c r="N53" t="s">
        <v>56</v>
      </c>
      <c r="O53" t="s">
        <v>57</v>
      </c>
      <c r="P53" s="7">
        <v>45545</v>
      </c>
      <c r="Q53" s="7">
        <v>45566</v>
      </c>
      <c r="R53" t="s">
        <v>321</v>
      </c>
      <c r="T53" t="s">
        <v>60</v>
      </c>
    </row>
    <row r="54" spans="1:20" x14ac:dyDescent="0.25">
      <c r="A54" s="7">
        <v>45681</v>
      </c>
      <c r="B54">
        <v>22.32</v>
      </c>
      <c r="C54">
        <v>93</v>
      </c>
      <c r="D54">
        <v>623625840</v>
      </c>
      <c r="E54" t="s">
        <v>128</v>
      </c>
      <c r="F54" t="s">
        <v>129</v>
      </c>
      <c r="G54" t="str">
        <f t="shared" si="2"/>
        <v>Bryan Pennington</v>
      </c>
      <c r="H54" t="s">
        <v>130</v>
      </c>
      <c r="I54">
        <v>1706194</v>
      </c>
      <c r="J54" t="s">
        <v>305</v>
      </c>
      <c r="K54">
        <v>38796</v>
      </c>
      <c r="L54" t="s">
        <v>318</v>
      </c>
      <c r="M54" t="s">
        <v>77</v>
      </c>
      <c r="N54" t="s">
        <v>66</v>
      </c>
      <c r="O54" t="s">
        <v>67</v>
      </c>
      <c r="P54" s="7">
        <v>45491</v>
      </c>
      <c r="Q54" s="7">
        <v>45505</v>
      </c>
      <c r="R54" t="s">
        <v>321</v>
      </c>
      <c r="T54" t="s">
        <v>60</v>
      </c>
    </row>
    <row r="55" spans="1:20" x14ac:dyDescent="0.25">
      <c r="A55" s="7">
        <v>45662</v>
      </c>
      <c r="B55">
        <v>4.07</v>
      </c>
      <c r="C55">
        <v>11</v>
      </c>
      <c r="D55">
        <v>464503420</v>
      </c>
      <c r="E55" t="s">
        <v>233</v>
      </c>
      <c r="F55" t="s">
        <v>234</v>
      </c>
      <c r="G55" t="str">
        <f t="shared" si="2"/>
        <v>Lisa Hopkins</v>
      </c>
      <c r="H55" t="s">
        <v>235</v>
      </c>
      <c r="I55">
        <v>1706194</v>
      </c>
      <c r="J55" t="s">
        <v>305</v>
      </c>
      <c r="K55">
        <v>38593</v>
      </c>
      <c r="L55" t="s">
        <v>316</v>
      </c>
      <c r="M55" t="s">
        <v>54</v>
      </c>
      <c r="N55" t="s">
        <v>56</v>
      </c>
      <c r="O55" t="s">
        <v>57</v>
      </c>
      <c r="P55" s="7">
        <v>45204</v>
      </c>
      <c r="Q55" s="7">
        <v>45231</v>
      </c>
      <c r="R55" t="s">
        <v>321</v>
      </c>
      <c r="T55" t="s">
        <v>60</v>
      </c>
    </row>
    <row r="56" spans="1:20" s="5" customFormat="1" x14ac:dyDescent="0.25">
      <c r="A56" s="22">
        <v>45675</v>
      </c>
      <c r="B56" s="5">
        <v>5.55</v>
      </c>
      <c r="C56" s="5">
        <v>15</v>
      </c>
      <c r="D56" s="5">
        <v>300310162</v>
      </c>
      <c r="E56" s="5" t="s">
        <v>78</v>
      </c>
      <c r="F56" s="5" t="s">
        <v>150</v>
      </c>
      <c r="G56" s="5" t="str">
        <f t="shared" si="2"/>
        <v>Michelle Hunt</v>
      </c>
      <c r="H56" s="5" t="s">
        <v>63</v>
      </c>
      <c r="I56" s="24" t="s">
        <v>324</v>
      </c>
      <c r="J56" s="5" t="s">
        <v>303</v>
      </c>
      <c r="K56" s="5">
        <v>38593</v>
      </c>
      <c r="L56" s="5" t="s">
        <v>316</v>
      </c>
      <c r="M56" s="5" t="s">
        <v>101</v>
      </c>
      <c r="N56" s="5" t="s">
        <v>56</v>
      </c>
      <c r="O56" s="5" t="s">
        <v>57</v>
      </c>
      <c r="P56" s="22">
        <v>45610</v>
      </c>
      <c r="Q56" s="22">
        <v>45658</v>
      </c>
      <c r="R56" s="5" t="s">
        <v>320</v>
      </c>
      <c r="T56" s="5" t="s">
        <v>60</v>
      </c>
    </row>
    <row r="57" spans="1:20" s="5" customFormat="1" x14ac:dyDescent="0.25">
      <c r="A57" s="22">
        <v>45660</v>
      </c>
      <c r="B57" s="5">
        <v>4.07</v>
      </c>
      <c r="C57" s="5">
        <v>11</v>
      </c>
      <c r="D57" s="5">
        <v>825368073</v>
      </c>
      <c r="E57" s="5" t="s">
        <v>267</v>
      </c>
      <c r="F57" s="5" t="s">
        <v>268</v>
      </c>
      <c r="G57" s="5" t="str">
        <f t="shared" si="2"/>
        <v>Sally Noonan</v>
      </c>
      <c r="H57" s="5" t="s">
        <v>63</v>
      </c>
      <c r="I57" s="24" t="s">
        <v>324</v>
      </c>
      <c r="J57" s="5" t="s">
        <v>303</v>
      </c>
      <c r="K57" s="5">
        <v>38593</v>
      </c>
      <c r="L57" s="5" t="s">
        <v>316</v>
      </c>
      <c r="M57" s="5" t="s">
        <v>54</v>
      </c>
      <c r="N57" s="5" t="s">
        <v>56</v>
      </c>
      <c r="O57" s="5" t="s">
        <v>57</v>
      </c>
      <c r="P57" s="22">
        <v>45568</v>
      </c>
      <c r="Q57" s="22">
        <v>45597</v>
      </c>
      <c r="R57" s="5" t="s">
        <v>320</v>
      </c>
      <c r="T57" s="5" t="s">
        <v>60</v>
      </c>
    </row>
    <row r="58" spans="1:20" s="5" customFormat="1" x14ac:dyDescent="0.25">
      <c r="A58" s="22">
        <v>45686</v>
      </c>
      <c r="B58" s="5">
        <v>5.55</v>
      </c>
      <c r="C58" s="5">
        <v>15</v>
      </c>
      <c r="D58" s="5">
        <v>911462605</v>
      </c>
      <c r="E58" s="5" t="s">
        <v>98</v>
      </c>
      <c r="F58" s="5" t="s">
        <v>99</v>
      </c>
      <c r="G58" s="5" t="str">
        <f t="shared" si="2"/>
        <v>Ashley Boeyen</v>
      </c>
      <c r="H58" s="5" t="s">
        <v>63</v>
      </c>
      <c r="I58" s="24" t="s">
        <v>324</v>
      </c>
      <c r="J58" s="5" t="s">
        <v>303</v>
      </c>
      <c r="K58" s="5">
        <v>38593</v>
      </c>
      <c r="L58" s="5" t="s">
        <v>316</v>
      </c>
      <c r="M58" s="5" t="s">
        <v>101</v>
      </c>
      <c r="N58" s="5" t="s">
        <v>56</v>
      </c>
      <c r="O58" s="5" t="s">
        <v>57</v>
      </c>
      <c r="P58" s="22">
        <v>45533</v>
      </c>
      <c r="Q58" s="22">
        <v>45536</v>
      </c>
      <c r="R58" s="5" t="s">
        <v>320</v>
      </c>
      <c r="T58" s="5" t="s">
        <v>60</v>
      </c>
    </row>
    <row r="59" spans="1:20" s="5" customFormat="1" x14ac:dyDescent="0.25">
      <c r="A59" s="22">
        <v>45661</v>
      </c>
      <c r="B59" s="5">
        <v>29.76</v>
      </c>
      <c r="C59" s="5">
        <v>124</v>
      </c>
      <c r="D59" s="5">
        <v>604649461</v>
      </c>
      <c r="E59" s="5" t="s">
        <v>256</v>
      </c>
      <c r="F59" s="5" t="s">
        <v>257</v>
      </c>
      <c r="G59" s="5" t="str">
        <f t="shared" si="2"/>
        <v>Cheryl Gaines</v>
      </c>
      <c r="H59" s="5" t="s">
        <v>63</v>
      </c>
      <c r="I59" s="24" t="s">
        <v>324</v>
      </c>
      <c r="J59" s="5" t="s">
        <v>303</v>
      </c>
      <c r="K59" s="5">
        <v>42251</v>
      </c>
      <c r="L59" s="5" t="s">
        <v>318</v>
      </c>
      <c r="M59" s="5" t="s">
        <v>80</v>
      </c>
      <c r="N59" s="5" t="s">
        <v>66</v>
      </c>
      <c r="O59" s="5" t="s">
        <v>67</v>
      </c>
      <c r="P59" s="22">
        <v>45504</v>
      </c>
      <c r="Q59" s="22">
        <v>45505</v>
      </c>
      <c r="R59" s="5" t="s">
        <v>321</v>
      </c>
      <c r="T59" s="5" t="s">
        <v>60</v>
      </c>
    </row>
    <row r="60" spans="1:20" x14ac:dyDescent="0.25">
      <c r="A60" s="7">
        <v>45685</v>
      </c>
      <c r="B60">
        <v>8</v>
      </c>
      <c r="C60">
        <v>25</v>
      </c>
      <c r="D60">
        <v>176713886</v>
      </c>
      <c r="E60" t="s">
        <v>294</v>
      </c>
      <c r="F60" t="s">
        <v>293</v>
      </c>
      <c r="G60" t="str">
        <f t="shared" si="2"/>
        <v>Lori Bottonfield</v>
      </c>
      <c r="H60" t="s">
        <v>96</v>
      </c>
      <c r="I60">
        <v>18710070</v>
      </c>
      <c r="J60" t="s">
        <v>299</v>
      </c>
      <c r="K60">
        <v>45041</v>
      </c>
      <c r="L60" t="s">
        <v>319</v>
      </c>
      <c r="M60" t="s">
        <v>54</v>
      </c>
      <c r="N60" t="s">
        <v>66</v>
      </c>
      <c r="O60" t="s">
        <v>67</v>
      </c>
      <c r="P60" s="7">
        <v>45685</v>
      </c>
      <c r="Q60" s="7">
        <v>45689</v>
      </c>
      <c r="R60" t="s">
        <v>321</v>
      </c>
      <c r="T60" t="s">
        <v>289</v>
      </c>
    </row>
    <row r="61" spans="1:20" s="5" customFormat="1" x14ac:dyDescent="0.25">
      <c r="A61" s="22">
        <v>45687</v>
      </c>
      <c r="B61" s="5">
        <v>17.04</v>
      </c>
      <c r="C61" s="5">
        <v>71</v>
      </c>
      <c r="D61" s="5">
        <v>128908745</v>
      </c>
      <c r="E61" s="5" t="s">
        <v>88</v>
      </c>
      <c r="F61" s="5" t="s">
        <v>89</v>
      </c>
      <c r="G61" s="5" t="str">
        <f t="shared" si="2"/>
        <v>Nasandelger Zana</v>
      </c>
      <c r="H61" s="5" t="s">
        <v>63</v>
      </c>
      <c r="I61" s="5">
        <v>20220688</v>
      </c>
      <c r="J61" s="5" t="s">
        <v>310</v>
      </c>
      <c r="K61" s="5">
        <v>38399</v>
      </c>
      <c r="L61" s="5" t="s">
        <v>318</v>
      </c>
      <c r="M61" s="5" t="s">
        <v>54</v>
      </c>
      <c r="N61" s="5" t="s">
        <v>66</v>
      </c>
      <c r="O61" s="5" t="s">
        <v>67</v>
      </c>
      <c r="P61" s="22">
        <v>45467</v>
      </c>
      <c r="Q61" s="22">
        <v>45474</v>
      </c>
      <c r="R61" s="5" t="s">
        <v>321</v>
      </c>
      <c r="T61" s="5" t="s">
        <v>60</v>
      </c>
    </row>
    <row r="62" spans="1:20" s="5" customFormat="1" x14ac:dyDescent="0.25">
      <c r="A62" s="22">
        <v>45688</v>
      </c>
      <c r="B62" s="5">
        <v>6</v>
      </c>
      <c r="C62" s="5">
        <v>25</v>
      </c>
      <c r="D62" s="5">
        <v>544676671</v>
      </c>
      <c r="E62" s="5" t="s">
        <v>61</v>
      </c>
      <c r="F62" s="5" t="s">
        <v>62</v>
      </c>
      <c r="G62" s="5" t="str">
        <f t="shared" si="2"/>
        <v>odmaa enkhtur</v>
      </c>
      <c r="H62" s="5" t="s">
        <v>63</v>
      </c>
      <c r="I62" s="5">
        <v>20999157</v>
      </c>
      <c r="J62" s="5" t="s">
        <v>311</v>
      </c>
      <c r="K62" s="5">
        <v>38796</v>
      </c>
      <c r="L62" s="5" t="s">
        <v>318</v>
      </c>
      <c r="M62" s="5" t="s">
        <v>54</v>
      </c>
      <c r="N62" s="5" t="s">
        <v>66</v>
      </c>
      <c r="O62" s="5" t="s">
        <v>67</v>
      </c>
      <c r="P62" s="22">
        <v>45449</v>
      </c>
      <c r="Q62" s="22">
        <v>45474</v>
      </c>
      <c r="R62" s="5" t="s">
        <v>321</v>
      </c>
      <c r="T62" s="5" t="s">
        <v>60</v>
      </c>
    </row>
    <row r="63" spans="1:20" s="5" customFormat="1" x14ac:dyDescent="0.25">
      <c r="A63" s="22">
        <v>45659</v>
      </c>
      <c r="B63" s="5">
        <v>6</v>
      </c>
      <c r="C63" s="5">
        <v>25</v>
      </c>
      <c r="D63" s="5">
        <v>544676671</v>
      </c>
      <c r="E63" s="5" t="s">
        <v>61</v>
      </c>
      <c r="F63" s="5" t="s">
        <v>62</v>
      </c>
      <c r="G63" s="5" t="str">
        <f t="shared" si="2"/>
        <v>odmaa enkhtur</v>
      </c>
      <c r="H63" s="5" t="s">
        <v>63</v>
      </c>
      <c r="I63" s="5">
        <v>20999157</v>
      </c>
      <c r="J63" s="5" t="s">
        <v>311</v>
      </c>
      <c r="K63" s="5">
        <v>38796</v>
      </c>
      <c r="L63" s="5" t="s">
        <v>318</v>
      </c>
      <c r="M63" s="5" t="s">
        <v>54</v>
      </c>
      <c r="N63" s="5" t="s">
        <v>66</v>
      </c>
      <c r="O63" s="5" t="s">
        <v>67</v>
      </c>
      <c r="P63" s="22">
        <v>45449</v>
      </c>
      <c r="Q63" s="22">
        <v>45474</v>
      </c>
      <c r="R63" s="5" t="s">
        <v>321</v>
      </c>
      <c r="T63" s="5" t="s">
        <v>60</v>
      </c>
    </row>
    <row r="64" spans="1:20" x14ac:dyDescent="0.25">
      <c r="A64" s="7">
        <v>45675</v>
      </c>
      <c r="B64">
        <v>5.55</v>
      </c>
      <c r="C64">
        <v>15</v>
      </c>
      <c r="D64">
        <v>990327518</v>
      </c>
      <c r="E64" t="s">
        <v>151</v>
      </c>
      <c r="F64" t="s">
        <v>152</v>
      </c>
      <c r="G64" t="str">
        <f t="shared" si="2"/>
        <v>Scott Crump</v>
      </c>
      <c r="H64" t="s">
        <v>63</v>
      </c>
      <c r="I64">
        <v>8244481</v>
      </c>
      <c r="J64" t="s">
        <v>304</v>
      </c>
      <c r="K64">
        <v>38593</v>
      </c>
      <c r="L64" t="s">
        <v>316</v>
      </c>
      <c r="M64" t="s">
        <v>101</v>
      </c>
      <c r="N64" t="s">
        <v>56</v>
      </c>
      <c r="O64" t="s">
        <v>57</v>
      </c>
      <c r="P64" s="7">
        <v>45610</v>
      </c>
      <c r="Q64" s="7">
        <v>45658</v>
      </c>
      <c r="R64" t="s">
        <v>321</v>
      </c>
      <c r="T64" t="s">
        <v>60</v>
      </c>
    </row>
    <row r="65" spans="1:20" x14ac:dyDescent="0.25">
      <c r="A65" s="7">
        <v>45672</v>
      </c>
      <c r="B65">
        <v>22.8</v>
      </c>
      <c r="C65">
        <v>95</v>
      </c>
      <c r="D65">
        <v>538144779</v>
      </c>
      <c r="E65" t="s">
        <v>191</v>
      </c>
      <c r="F65" t="s">
        <v>192</v>
      </c>
      <c r="G65" t="str">
        <f t="shared" si="2"/>
        <v>Roxanne Hartrich</v>
      </c>
      <c r="H65" t="s">
        <v>63</v>
      </c>
      <c r="I65">
        <v>8244481</v>
      </c>
      <c r="J65" t="s">
        <v>309</v>
      </c>
      <c r="K65">
        <v>42249</v>
      </c>
      <c r="L65" t="s">
        <v>318</v>
      </c>
      <c r="M65" t="s">
        <v>180</v>
      </c>
      <c r="N65" t="s">
        <v>66</v>
      </c>
      <c r="O65" t="s">
        <v>67</v>
      </c>
      <c r="P65" s="7">
        <v>45421</v>
      </c>
      <c r="Q65" s="7">
        <v>45444</v>
      </c>
      <c r="R65" t="s">
        <v>321</v>
      </c>
      <c r="T65" t="s">
        <v>60</v>
      </c>
    </row>
    <row r="66" spans="1:20" x14ac:dyDescent="0.25">
      <c r="A66" s="7">
        <v>45661</v>
      </c>
      <c r="B66">
        <v>9.1199999999999992</v>
      </c>
      <c r="C66">
        <v>38</v>
      </c>
      <c r="D66">
        <v>653432432</v>
      </c>
      <c r="E66" t="s">
        <v>263</v>
      </c>
      <c r="F66" t="s">
        <v>264</v>
      </c>
      <c r="G66" t="str">
        <f t="shared" ref="G66:G71" si="3">CONCATENATE(E66, " ",F66)</f>
        <v>James Donovan</v>
      </c>
      <c r="H66" t="s">
        <v>63</v>
      </c>
      <c r="I66">
        <v>8244481</v>
      </c>
      <c r="J66" t="s">
        <v>309</v>
      </c>
      <c r="K66">
        <v>42249</v>
      </c>
      <c r="L66" t="s">
        <v>318</v>
      </c>
      <c r="M66" t="s">
        <v>54</v>
      </c>
      <c r="N66" t="s">
        <v>66</v>
      </c>
      <c r="O66" t="s">
        <v>67</v>
      </c>
      <c r="P66" s="7">
        <v>45426</v>
      </c>
      <c r="Q66" s="7">
        <v>45444</v>
      </c>
      <c r="R66" t="s">
        <v>321</v>
      </c>
      <c r="T66" t="s">
        <v>60</v>
      </c>
    </row>
    <row r="67" spans="1:20" x14ac:dyDescent="0.25">
      <c r="A67" s="7">
        <v>45672</v>
      </c>
      <c r="B67">
        <v>5.55</v>
      </c>
      <c r="C67">
        <v>15</v>
      </c>
      <c r="D67">
        <v>387100933</v>
      </c>
      <c r="E67" t="s">
        <v>191</v>
      </c>
      <c r="F67" t="s">
        <v>192</v>
      </c>
      <c r="G67" t="str">
        <f t="shared" si="3"/>
        <v>Roxanne Hartrich</v>
      </c>
      <c r="H67" t="s">
        <v>63</v>
      </c>
      <c r="I67">
        <v>8244481</v>
      </c>
      <c r="J67" t="s">
        <v>309</v>
      </c>
      <c r="K67">
        <v>38593</v>
      </c>
      <c r="L67" t="s">
        <v>316</v>
      </c>
      <c r="M67" t="s">
        <v>101</v>
      </c>
      <c r="N67" t="s">
        <v>56</v>
      </c>
      <c r="O67" t="s">
        <v>57</v>
      </c>
      <c r="P67" s="7">
        <v>45421</v>
      </c>
      <c r="Q67" s="7">
        <v>45444</v>
      </c>
      <c r="R67" t="s">
        <v>321</v>
      </c>
      <c r="T67" t="s">
        <v>60</v>
      </c>
    </row>
    <row r="68" spans="1:20" x14ac:dyDescent="0.25">
      <c r="A68" s="7">
        <v>45665</v>
      </c>
      <c r="B68">
        <v>-5.55</v>
      </c>
      <c r="C68">
        <v>15</v>
      </c>
      <c r="D68">
        <v>21245735</v>
      </c>
      <c r="E68" t="s">
        <v>117</v>
      </c>
      <c r="F68" t="s">
        <v>225</v>
      </c>
      <c r="G68" t="str">
        <f t="shared" si="3"/>
        <v>Michael Berkowitz</v>
      </c>
      <c r="H68" t="s">
        <v>63</v>
      </c>
      <c r="I68">
        <v>19200754</v>
      </c>
      <c r="J68" t="s">
        <v>306</v>
      </c>
      <c r="K68">
        <v>38593</v>
      </c>
      <c r="L68" t="s">
        <v>316</v>
      </c>
      <c r="M68" t="s">
        <v>101</v>
      </c>
      <c r="N68" t="s">
        <v>56</v>
      </c>
      <c r="O68" t="s">
        <v>57</v>
      </c>
      <c r="P68" s="7">
        <v>45544</v>
      </c>
      <c r="Q68" s="7">
        <v>45566</v>
      </c>
      <c r="R68" t="s">
        <v>321</v>
      </c>
      <c r="T68" t="s">
        <v>60</v>
      </c>
    </row>
    <row r="69" spans="1:20" x14ac:dyDescent="0.25">
      <c r="A69" s="7">
        <v>45661</v>
      </c>
      <c r="B69">
        <v>5.55</v>
      </c>
      <c r="C69">
        <v>15</v>
      </c>
      <c r="D69">
        <v>21245735</v>
      </c>
      <c r="E69" t="s">
        <v>117</v>
      </c>
      <c r="F69" t="s">
        <v>225</v>
      </c>
      <c r="G69" t="str">
        <f t="shared" si="3"/>
        <v>Michael Berkowitz</v>
      </c>
      <c r="H69" t="s">
        <v>63</v>
      </c>
      <c r="I69">
        <v>19200754</v>
      </c>
      <c r="J69" t="s">
        <v>306</v>
      </c>
      <c r="K69">
        <v>38593</v>
      </c>
      <c r="L69" t="s">
        <v>316</v>
      </c>
      <c r="M69" t="s">
        <v>101</v>
      </c>
      <c r="N69" t="s">
        <v>56</v>
      </c>
      <c r="O69" t="s">
        <v>57</v>
      </c>
      <c r="P69" s="7">
        <v>45544</v>
      </c>
      <c r="Q69" s="7">
        <v>45566</v>
      </c>
      <c r="R69" t="s">
        <v>321</v>
      </c>
      <c r="T69" t="s">
        <v>60</v>
      </c>
    </row>
    <row r="70" spans="1:20" x14ac:dyDescent="0.25">
      <c r="A70" s="7">
        <v>45673</v>
      </c>
      <c r="B70">
        <v>26.88</v>
      </c>
      <c r="C70">
        <v>112</v>
      </c>
      <c r="D70">
        <v>673613358</v>
      </c>
      <c r="E70" t="s">
        <v>176</v>
      </c>
      <c r="F70" t="s">
        <v>177</v>
      </c>
      <c r="G70" t="str">
        <f t="shared" si="3"/>
        <v>Mindi Kane</v>
      </c>
      <c r="H70" t="s">
        <v>63</v>
      </c>
      <c r="I70">
        <v>19200754</v>
      </c>
      <c r="J70" t="s">
        <v>306</v>
      </c>
      <c r="K70">
        <v>38398</v>
      </c>
      <c r="L70" t="s">
        <v>318</v>
      </c>
      <c r="M70" t="s">
        <v>180</v>
      </c>
      <c r="N70" t="s">
        <v>66</v>
      </c>
      <c r="O70" t="s">
        <v>67</v>
      </c>
      <c r="P70" s="7">
        <v>45516</v>
      </c>
      <c r="Q70" s="7">
        <v>45536</v>
      </c>
      <c r="R70" t="s">
        <v>321</v>
      </c>
      <c r="T70" t="s">
        <v>60</v>
      </c>
    </row>
    <row r="71" spans="1:20" ht="14.25" customHeight="1" x14ac:dyDescent="0.25">
      <c r="A71" s="7">
        <v>45673</v>
      </c>
      <c r="B71">
        <v>7.4</v>
      </c>
      <c r="C71">
        <v>20</v>
      </c>
      <c r="D71">
        <v>629957651</v>
      </c>
      <c r="E71" t="s">
        <v>176</v>
      </c>
      <c r="F71" t="s">
        <v>177</v>
      </c>
      <c r="G71" t="str">
        <f t="shared" si="3"/>
        <v>Mindi Kane</v>
      </c>
      <c r="H71" t="s">
        <v>63</v>
      </c>
      <c r="I71">
        <v>19200754</v>
      </c>
      <c r="J71" t="s">
        <v>306</v>
      </c>
      <c r="K71">
        <v>38593</v>
      </c>
      <c r="L71" t="s">
        <v>316</v>
      </c>
      <c r="M71" t="s">
        <v>77</v>
      </c>
      <c r="N71" t="s">
        <v>56</v>
      </c>
      <c r="O71" t="s">
        <v>57</v>
      </c>
      <c r="P71" s="7">
        <v>45516</v>
      </c>
      <c r="Q71" s="7">
        <v>45536</v>
      </c>
      <c r="R71" t="s">
        <v>321</v>
      </c>
      <c r="T71" t="s">
        <v>60</v>
      </c>
    </row>
    <row r="72" spans="1:20" s="26" customFormat="1" x14ac:dyDescent="0.25">
      <c r="A72" s="25">
        <v>45688</v>
      </c>
      <c r="B72" s="26">
        <v>29.44</v>
      </c>
      <c r="C72" s="26">
        <v>92</v>
      </c>
      <c r="D72" s="26">
        <v>108620713</v>
      </c>
      <c r="E72" s="26" t="s">
        <v>75</v>
      </c>
      <c r="F72" s="26" t="s">
        <v>76</v>
      </c>
      <c r="G72" s="26" t="str">
        <f t="shared" ref="G72:G103" si="4">CONCATENATE(E72, " ",F72)</f>
        <v>Jon Charles Beckstrand</v>
      </c>
      <c r="H72" s="26" t="s">
        <v>50</v>
      </c>
      <c r="I72" s="26">
        <v>16202925</v>
      </c>
      <c r="J72" s="26" t="s">
        <v>298</v>
      </c>
      <c r="K72" s="26">
        <v>45041</v>
      </c>
      <c r="L72" s="26" t="s">
        <v>319</v>
      </c>
      <c r="M72" s="26" t="s">
        <v>77</v>
      </c>
      <c r="N72" s="26" t="s">
        <v>66</v>
      </c>
      <c r="O72" s="26" t="s">
        <v>67</v>
      </c>
      <c r="P72" s="25">
        <v>45657</v>
      </c>
      <c r="Q72" s="25">
        <v>45658</v>
      </c>
      <c r="R72" s="26" t="s">
        <v>320</v>
      </c>
      <c r="T72" s="26" t="s">
        <v>289</v>
      </c>
    </row>
    <row r="73" spans="1:20" s="26" customFormat="1" x14ac:dyDescent="0.25">
      <c r="A73" s="25">
        <v>45687</v>
      </c>
      <c r="B73" s="26">
        <v>16</v>
      </c>
      <c r="C73" s="26">
        <v>50</v>
      </c>
      <c r="D73" s="26">
        <v>760186562</v>
      </c>
      <c r="E73" s="26" t="s">
        <v>78</v>
      </c>
      <c r="F73" s="26" t="s">
        <v>79</v>
      </c>
      <c r="G73" s="26" t="str">
        <f t="shared" si="4"/>
        <v>Michelle Barnowski</v>
      </c>
      <c r="H73" s="26" t="s">
        <v>50</v>
      </c>
      <c r="I73" s="26">
        <v>16202925</v>
      </c>
      <c r="J73" s="26" t="s">
        <v>298</v>
      </c>
      <c r="K73" s="26">
        <v>45041</v>
      </c>
      <c r="L73" s="26" t="s">
        <v>319</v>
      </c>
      <c r="M73" s="26" t="s">
        <v>80</v>
      </c>
      <c r="N73" s="26" t="s">
        <v>66</v>
      </c>
      <c r="O73" s="26" t="s">
        <v>67</v>
      </c>
      <c r="P73" s="25">
        <v>45642</v>
      </c>
      <c r="Q73" s="25">
        <v>45658</v>
      </c>
      <c r="R73" s="26" t="s">
        <v>320</v>
      </c>
      <c r="T73" s="26" t="s">
        <v>60</v>
      </c>
    </row>
    <row r="74" spans="1:20" s="26" customFormat="1" x14ac:dyDescent="0.25">
      <c r="A74" s="25">
        <v>45684</v>
      </c>
      <c r="B74" s="26">
        <v>9.6</v>
      </c>
      <c r="C74" s="26">
        <v>30</v>
      </c>
      <c r="D74" s="26">
        <v>128182846</v>
      </c>
      <c r="E74" s="26" t="s">
        <v>111</v>
      </c>
      <c r="F74" s="26" t="s">
        <v>112</v>
      </c>
      <c r="G74" s="26" t="str">
        <f t="shared" si="4"/>
        <v>Fawn Taylor</v>
      </c>
      <c r="H74" s="26" t="s">
        <v>50</v>
      </c>
      <c r="I74" s="26">
        <v>16202925</v>
      </c>
      <c r="J74" s="26" t="s">
        <v>298</v>
      </c>
      <c r="K74" s="26">
        <v>45041</v>
      </c>
      <c r="L74" s="26" t="s">
        <v>319</v>
      </c>
      <c r="M74" s="26" t="s">
        <v>54</v>
      </c>
      <c r="N74" s="26" t="s">
        <v>66</v>
      </c>
      <c r="O74" s="26" t="s">
        <v>67</v>
      </c>
      <c r="P74" s="25">
        <v>45653</v>
      </c>
      <c r="Q74" s="25">
        <v>45658</v>
      </c>
      <c r="R74" s="26" t="s">
        <v>320</v>
      </c>
      <c r="T74" s="26" t="s">
        <v>60</v>
      </c>
    </row>
    <row r="75" spans="1:20" s="26" customFormat="1" x14ac:dyDescent="0.25">
      <c r="A75" s="25">
        <v>45680</v>
      </c>
      <c r="B75" s="26">
        <v>8</v>
      </c>
      <c r="C75" s="26">
        <v>25</v>
      </c>
      <c r="D75" s="26">
        <v>498487989</v>
      </c>
      <c r="E75" s="26" t="s">
        <v>136</v>
      </c>
      <c r="F75" s="26" t="s">
        <v>137</v>
      </c>
      <c r="G75" s="26" t="str">
        <f t="shared" si="4"/>
        <v>Tyler Fortney</v>
      </c>
      <c r="H75" s="26" t="s">
        <v>50</v>
      </c>
      <c r="I75" s="26">
        <v>16202925</v>
      </c>
      <c r="J75" s="26" t="s">
        <v>298</v>
      </c>
      <c r="K75" s="26">
        <v>45041</v>
      </c>
      <c r="L75" s="26" t="s">
        <v>319</v>
      </c>
      <c r="M75" s="26" t="s">
        <v>54</v>
      </c>
      <c r="N75" s="26" t="s">
        <v>66</v>
      </c>
      <c r="O75" s="26" t="s">
        <v>67</v>
      </c>
      <c r="P75" s="25">
        <v>45636</v>
      </c>
      <c r="Q75" s="25">
        <v>45658</v>
      </c>
      <c r="R75" s="26" t="s">
        <v>320</v>
      </c>
      <c r="T75" s="26" t="s">
        <v>60</v>
      </c>
    </row>
    <row r="76" spans="1:20" s="26" customFormat="1" x14ac:dyDescent="0.25">
      <c r="A76" s="25">
        <v>45680</v>
      </c>
      <c r="B76" s="26">
        <v>8</v>
      </c>
      <c r="C76" s="26">
        <v>25</v>
      </c>
      <c r="D76" s="26">
        <v>941985094</v>
      </c>
      <c r="E76" s="26" t="s">
        <v>138</v>
      </c>
      <c r="F76" s="26" t="s">
        <v>139</v>
      </c>
      <c r="G76" s="26" t="str">
        <f t="shared" si="4"/>
        <v>Amberly Litchfield</v>
      </c>
      <c r="H76" s="26" t="s">
        <v>50</v>
      </c>
      <c r="I76" s="26">
        <v>16202925</v>
      </c>
      <c r="J76" s="26" t="s">
        <v>298</v>
      </c>
      <c r="K76" s="26">
        <v>45041</v>
      </c>
      <c r="L76" s="26" t="s">
        <v>319</v>
      </c>
      <c r="M76" s="26" t="s">
        <v>54</v>
      </c>
      <c r="N76" s="26" t="s">
        <v>66</v>
      </c>
      <c r="O76" s="26" t="s">
        <v>67</v>
      </c>
      <c r="P76" s="25">
        <v>45642</v>
      </c>
      <c r="Q76" s="25">
        <v>45658</v>
      </c>
      <c r="R76" s="26" t="s">
        <v>320</v>
      </c>
      <c r="T76" s="26" t="s">
        <v>60</v>
      </c>
    </row>
    <row r="77" spans="1:20" s="26" customFormat="1" x14ac:dyDescent="0.25">
      <c r="A77" s="25">
        <v>45676</v>
      </c>
      <c r="B77" s="26">
        <v>8</v>
      </c>
      <c r="C77" s="26">
        <v>25</v>
      </c>
      <c r="D77" s="26">
        <v>92749947</v>
      </c>
      <c r="E77" s="26" t="s">
        <v>146</v>
      </c>
      <c r="F77" s="26" t="s">
        <v>147</v>
      </c>
      <c r="G77" s="26" t="str">
        <f t="shared" si="4"/>
        <v>Teonya Castle</v>
      </c>
      <c r="H77" s="26" t="s">
        <v>50</v>
      </c>
      <c r="I77" s="26">
        <v>16202925</v>
      </c>
      <c r="J77" s="26" t="s">
        <v>298</v>
      </c>
      <c r="K77" s="26">
        <v>45041</v>
      </c>
      <c r="L77" s="26" t="s">
        <v>319</v>
      </c>
      <c r="M77" s="26" t="s">
        <v>54</v>
      </c>
      <c r="N77" s="26" t="s">
        <v>66</v>
      </c>
      <c r="O77" s="26" t="s">
        <v>67</v>
      </c>
      <c r="P77" s="25">
        <v>45645</v>
      </c>
      <c r="Q77" s="25">
        <v>45658</v>
      </c>
      <c r="R77" s="26" t="s">
        <v>320</v>
      </c>
      <c r="T77" s="26" t="s">
        <v>60</v>
      </c>
    </row>
    <row r="78" spans="1:20" s="26" customFormat="1" x14ac:dyDescent="0.25">
      <c r="A78" s="25">
        <v>45675</v>
      </c>
      <c r="B78" s="26">
        <v>16</v>
      </c>
      <c r="C78" s="26">
        <v>50</v>
      </c>
      <c r="D78" s="26">
        <v>534606531</v>
      </c>
      <c r="E78" s="26" t="s">
        <v>94</v>
      </c>
      <c r="F78" s="26" t="s">
        <v>154</v>
      </c>
      <c r="G78" s="26" t="str">
        <f t="shared" si="4"/>
        <v>Kathleen Lesko</v>
      </c>
      <c r="H78" s="26" t="s">
        <v>50</v>
      </c>
      <c r="I78" s="26">
        <v>16202925</v>
      </c>
      <c r="J78" s="26" t="s">
        <v>298</v>
      </c>
      <c r="K78" s="26">
        <v>45041</v>
      </c>
      <c r="L78" s="26" t="s">
        <v>319</v>
      </c>
      <c r="M78" s="26" t="s">
        <v>80</v>
      </c>
      <c r="N78" s="26" t="s">
        <v>66</v>
      </c>
      <c r="O78" s="26" t="s">
        <v>67</v>
      </c>
      <c r="P78" s="25">
        <v>45602</v>
      </c>
      <c r="Q78" s="25">
        <v>45658</v>
      </c>
      <c r="R78" s="26" t="s">
        <v>320</v>
      </c>
      <c r="T78" s="26" t="s">
        <v>60</v>
      </c>
    </row>
    <row r="79" spans="1:20" s="26" customFormat="1" x14ac:dyDescent="0.25">
      <c r="A79" s="25">
        <v>45672</v>
      </c>
      <c r="B79" s="26">
        <v>8</v>
      </c>
      <c r="C79" s="26">
        <v>25</v>
      </c>
      <c r="D79" s="26">
        <v>478183816</v>
      </c>
      <c r="E79" s="26" t="s">
        <v>138</v>
      </c>
      <c r="F79" s="26" t="s">
        <v>139</v>
      </c>
      <c r="G79" s="26" t="str">
        <f t="shared" si="4"/>
        <v>Amberly Litchfield</v>
      </c>
      <c r="H79" s="26" t="s">
        <v>50</v>
      </c>
      <c r="I79" s="26">
        <v>16202925</v>
      </c>
      <c r="J79" s="26" t="s">
        <v>298</v>
      </c>
      <c r="K79" s="26">
        <v>45041</v>
      </c>
      <c r="L79" s="26" t="s">
        <v>319</v>
      </c>
      <c r="M79" s="26" t="s">
        <v>54</v>
      </c>
      <c r="N79" s="26" t="s">
        <v>66</v>
      </c>
      <c r="O79" s="26" t="s">
        <v>67</v>
      </c>
      <c r="P79" s="25">
        <v>45628</v>
      </c>
      <c r="Q79" s="25">
        <v>45658</v>
      </c>
      <c r="R79" s="26" t="s">
        <v>320</v>
      </c>
      <c r="T79" s="26" t="s">
        <v>60</v>
      </c>
    </row>
    <row r="80" spans="1:20" s="26" customFormat="1" x14ac:dyDescent="0.25">
      <c r="A80" s="25">
        <v>45670</v>
      </c>
      <c r="B80" s="26">
        <v>16</v>
      </c>
      <c r="C80" s="26">
        <v>50</v>
      </c>
      <c r="D80" s="26">
        <v>877044360</v>
      </c>
      <c r="E80" s="26" t="s">
        <v>197</v>
      </c>
      <c r="F80" s="26" t="s">
        <v>198</v>
      </c>
      <c r="G80" s="26" t="str">
        <f t="shared" si="4"/>
        <v>Gene Gerzsenyi</v>
      </c>
      <c r="H80" s="26" t="s">
        <v>50</v>
      </c>
      <c r="I80" s="26">
        <v>16202925</v>
      </c>
      <c r="J80" s="26" t="s">
        <v>298</v>
      </c>
      <c r="K80" s="26">
        <v>45041</v>
      </c>
      <c r="L80" s="26" t="s">
        <v>319</v>
      </c>
      <c r="M80" s="26" t="s">
        <v>80</v>
      </c>
      <c r="N80" s="26" t="s">
        <v>66</v>
      </c>
      <c r="O80" s="26" t="s">
        <v>67</v>
      </c>
      <c r="P80" s="25">
        <v>45635</v>
      </c>
      <c r="Q80" s="25">
        <v>45658</v>
      </c>
      <c r="R80" s="26" t="s">
        <v>320</v>
      </c>
      <c r="T80" s="26" t="s">
        <v>60</v>
      </c>
    </row>
    <row r="81" spans="1:20" s="26" customFormat="1" x14ac:dyDescent="0.25">
      <c r="A81" s="25">
        <v>45667</v>
      </c>
      <c r="B81" s="26">
        <v>8</v>
      </c>
      <c r="C81" s="26">
        <v>25</v>
      </c>
      <c r="D81" s="26">
        <v>68946309</v>
      </c>
      <c r="E81" s="26" t="s">
        <v>206</v>
      </c>
      <c r="F81" s="26" t="s">
        <v>207</v>
      </c>
      <c r="G81" s="26" t="str">
        <f t="shared" si="4"/>
        <v>Patricia Cammarata</v>
      </c>
      <c r="H81" s="26" t="s">
        <v>50</v>
      </c>
      <c r="I81" s="26">
        <v>16202925</v>
      </c>
      <c r="J81" s="26" t="s">
        <v>298</v>
      </c>
      <c r="K81" s="26">
        <v>45041</v>
      </c>
      <c r="L81" s="26" t="s">
        <v>319</v>
      </c>
      <c r="M81" s="26" t="s">
        <v>54</v>
      </c>
      <c r="N81" s="26" t="s">
        <v>66</v>
      </c>
      <c r="O81" s="26" t="s">
        <v>67</v>
      </c>
      <c r="P81" s="25">
        <v>45636</v>
      </c>
      <c r="Q81" s="25">
        <v>45658</v>
      </c>
      <c r="R81" s="26" t="s">
        <v>320</v>
      </c>
      <c r="T81" s="26" t="s">
        <v>60</v>
      </c>
    </row>
    <row r="82" spans="1:20" s="26" customFormat="1" x14ac:dyDescent="0.25">
      <c r="A82" s="25">
        <v>45666</v>
      </c>
      <c r="B82" s="26">
        <v>8</v>
      </c>
      <c r="C82" s="26">
        <v>25</v>
      </c>
      <c r="D82" s="26">
        <v>699319353</v>
      </c>
      <c r="E82" s="26" t="s">
        <v>222</v>
      </c>
      <c r="F82" s="26" t="s">
        <v>223</v>
      </c>
      <c r="G82" s="26" t="str">
        <f t="shared" si="4"/>
        <v>Dudley Hinegardner</v>
      </c>
      <c r="H82" s="26" t="s">
        <v>50</v>
      </c>
      <c r="I82" s="26">
        <v>16202925</v>
      </c>
      <c r="J82" s="26" t="s">
        <v>298</v>
      </c>
      <c r="K82" s="26">
        <v>45041</v>
      </c>
      <c r="L82" s="26" t="s">
        <v>319</v>
      </c>
      <c r="M82" s="26" t="s">
        <v>54</v>
      </c>
      <c r="N82" s="26" t="s">
        <v>66</v>
      </c>
      <c r="O82" s="26" t="s">
        <v>67</v>
      </c>
      <c r="P82" s="25">
        <v>45630</v>
      </c>
      <c r="Q82" s="25">
        <v>45658</v>
      </c>
      <c r="R82" s="26" t="s">
        <v>320</v>
      </c>
      <c r="T82" s="26" t="s">
        <v>60</v>
      </c>
    </row>
    <row r="83" spans="1:20" s="26" customFormat="1" x14ac:dyDescent="0.25">
      <c r="A83" s="25">
        <v>45688</v>
      </c>
      <c r="B83" s="26">
        <v>7.4</v>
      </c>
      <c r="C83" s="26">
        <v>20</v>
      </c>
      <c r="D83" s="26">
        <v>750251718</v>
      </c>
      <c r="E83" s="26" t="s">
        <v>75</v>
      </c>
      <c r="F83" s="26" t="s">
        <v>76</v>
      </c>
      <c r="G83" s="26" t="str">
        <f t="shared" si="4"/>
        <v>Jon Charles Beckstrand</v>
      </c>
      <c r="H83" s="26" t="s">
        <v>50</v>
      </c>
      <c r="I83" s="26">
        <v>16202925</v>
      </c>
      <c r="J83" s="26" t="s">
        <v>298</v>
      </c>
      <c r="K83" s="26">
        <v>38593</v>
      </c>
      <c r="L83" s="26" t="s">
        <v>316</v>
      </c>
      <c r="M83" s="26" t="s">
        <v>77</v>
      </c>
      <c r="N83" s="26" t="s">
        <v>56</v>
      </c>
      <c r="O83" s="26" t="s">
        <v>57</v>
      </c>
      <c r="P83" s="25">
        <v>45657</v>
      </c>
      <c r="Q83" s="25">
        <v>45658</v>
      </c>
      <c r="R83" s="26" t="s">
        <v>320</v>
      </c>
      <c r="T83" s="26" t="s">
        <v>60</v>
      </c>
    </row>
    <row r="84" spans="1:20" s="26" customFormat="1" x14ac:dyDescent="0.25">
      <c r="A84" s="25">
        <v>45662</v>
      </c>
      <c r="B84" s="26">
        <v>4.07</v>
      </c>
      <c r="C84" s="26">
        <v>11</v>
      </c>
      <c r="D84" s="26">
        <v>698193150</v>
      </c>
      <c r="E84" s="26" t="s">
        <v>247</v>
      </c>
      <c r="F84" s="26" t="s">
        <v>248</v>
      </c>
      <c r="G84" s="26" t="str">
        <f t="shared" si="4"/>
        <v>Melissa Mahaney</v>
      </c>
      <c r="H84" s="26" t="s">
        <v>50</v>
      </c>
      <c r="I84" s="26">
        <v>16202925</v>
      </c>
      <c r="J84" s="26" t="s">
        <v>298</v>
      </c>
      <c r="K84" s="26">
        <v>38593</v>
      </c>
      <c r="L84" s="26" t="s">
        <v>316</v>
      </c>
      <c r="M84" s="26" t="s">
        <v>54</v>
      </c>
      <c r="N84" s="26" t="s">
        <v>56</v>
      </c>
      <c r="O84" s="26" t="s">
        <v>57</v>
      </c>
      <c r="P84" s="25">
        <v>45631</v>
      </c>
      <c r="Q84" s="25">
        <v>45658</v>
      </c>
      <c r="R84" s="26" t="s">
        <v>320</v>
      </c>
      <c r="T84" s="26" t="s">
        <v>60</v>
      </c>
    </row>
    <row r="85" spans="1:20" s="26" customFormat="1" x14ac:dyDescent="0.25">
      <c r="A85" s="25">
        <v>45686</v>
      </c>
      <c r="B85" s="26">
        <v>8</v>
      </c>
      <c r="C85" s="26">
        <v>25</v>
      </c>
      <c r="D85" s="26">
        <v>216498659</v>
      </c>
      <c r="E85" s="26" t="s">
        <v>104</v>
      </c>
      <c r="F85" s="26" t="s">
        <v>105</v>
      </c>
      <c r="G85" s="26" t="str">
        <f t="shared" si="4"/>
        <v>Leon Woodson</v>
      </c>
      <c r="H85" s="26" t="s">
        <v>50</v>
      </c>
      <c r="I85" s="26">
        <v>16202925</v>
      </c>
      <c r="J85" s="26" t="s">
        <v>298</v>
      </c>
      <c r="K85" s="26">
        <v>45041</v>
      </c>
      <c r="L85" s="26" t="s">
        <v>319</v>
      </c>
      <c r="M85" s="26" t="s">
        <v>54</v>
      </c>
      <c r="N85" s="26" t="s">
        <v>66</v>
      </c>
      <c r="O85" s="26" t="s">
        <v>67</v>
      </c>
      <c r="P85" s="25">
        <v>45601</v>
      </c>
      <c r="Q85" s="25">
        <v>45627</v>
      </c>
      <c r="R85" s="26" t="s">
        <v>320</v>
      </c>
      <c r="T85" s="26" t="s">
        <v>60</v>
      </c>
    </row>
    <row r="86" spans="1:20" s="26" customFormat="1" x14ac:dyDescent="0.25">
      <c r="A86" s="25">
        <v>45685</v>
      </c>
      <c r="B86" s="26">
        <v>8</v>
      </c>
      <c r="C86" s="26">
        <v>25</v>
      </c>
      <c r="D86" s="26">
        <v>698731916</v>
      </c>
      <c r="E86" s="26" t="s">
        <v>106</v>
      </c>
      <c r="F86" s="26" t="s">
        <v>107</v>
      </c>
      <c r="G86" s="26" t="str">
        <f t="shared" si="4"/>
        <v>Tyrell Weaver</v>
      </c>
      <c r="H86" s="26" t="s">
        <v>50</v>
      </c>
      <c r="I86" s="26">
        <v>16202925</v>
      </c>
      <c r="J86" s="26" t="s">
        <v>298</v>
      </c>
      <c r="K86" s="26">
        <v>45041</v>
      </c>
      <c r="L86" s="26" t="s">
        <v>319</v>
      </c>
      <c r="M86" s="26" t="s">
        <v>54</v>
      </c>
      <c r="N86" s="26" t="s">
        <v>66</v>
      </c>
      <c r="O86" s="26" t="s">
        <v>67</v>
      </c>
      <c r="P86" s="25">
        <v>45615</v>
      </c>
      <c r="Q86" s="25">
        <v>45627</v>
      </c>
      <c r="R86" s="26" t="s">
        <v>320</v>
      </c>
      <c r="T86" s="26" t="s">
        <v>60</v>
      </c>
    </row>
    <row r="87" spans="1:20" s="26" customFormat="1" x14ac:dyDescent="0.25">
      <c r="A87" s="25">
        <v>45683</v>
      </c>
      <c r="B87" s="26">
        <v>8</v>
      </c>
      <c r="C87" s="26">
        <v>25</v>
      </c>
      <c r="D87" s="26">
        <v>228864968</v>
      </c>
      <c r="E87" s="26" t="s">
        <v>113</v>
      </c>
      <c r="F87" s="26" t="s">
        <v>114</v>
      </c>
      <c r="G87" s="26" t="str">
        <f t="shared" si="4"/>
        <v>Steven Wooden</v>
      </c>
      <c r="H87" s="26" t="s">
        <v>50</v>
      </c>
      <c r="I87" s="26">
        <v>16202925</v>
      </c>
      <c r="J87" s="26" t="s">
        <v>298</v>
      </c>
      <c r="K87" s="26">
        <v>45041</v>
      </c>
      <c r="L87" s="26" t="s">
        <v>319</v>
      </c>
      <c r="M87" s="26" t="s">
        <v>54</v>
      </c>
      <c r="N87" s="26" t="s">
        <v>66</v>
      </c>
      <c r="O87" s="26" t="s">
        <v>67</v>
      </c>
      <c r="P87" s="25">
        <v>45622</v>
      </c>
      <c r="Q87" s="25">
        <v>45627</v>
      </c>
      <c r="R87" s="26" t="s">
        <v>320</v>
      </c>
      <c r="T87" s="26" t="s">
        <v>60</v>
      </c>
    </row>
    <row r="88" spans="1:20" s="26" customFormat="1" x14ac:dyDescent="0.25">
      <c r="A88" s="25">
        <v>45683</v>
      </c>
      <c r="B88" s="26">
        <v>8</v>
      </c>
      <c r="C88" s="26">
        <v>25</v>
      </c>
      <c r="D88" s="26">
        <v>998017756</v>
      </c>
      <c r="E88" s="26" t="s">
        <v>115</v>
      </c>
      <c r="F88" s="26" t="s">
        <v>116</v>
      </c>
      <c r="G88" s="26" t="str">
        <f t="shared" si="4"/>
        <v>Susan  Belden</v>
      </c>
      <c r="H88" s="26" t="s">
        <v>50</v>
      </c>
      <c r="I88" s="26">
        <v>16202925</v>
      </c>
      <c r="J88" s="26" t="s">
        <v>298</v>
      </c>
      <c r="K88" s="26">
        <v>45041</v>
      </c>
      <c r="L88" s="26" t="s">
        <v>319</v>
      </c>
      <c r="M88" s="26" t="s">
        <v>54</v>
      </c>
      <c r="N88" s="26" t="s">
        <v>66</v>
      </c>
      <c r="O88" s="26" t="s">
        <v>67</v>
      </c>
      <c r="P88" s="25">
        <v>45618</v>
      </c>
      <c r="Q88" s="25">
        <v>45627</v>
      </c>
      <c r="R88" s="26" t="s">
        <v>320</v>
      </c>
      <c r="T88" s="26" t="s">
        <v>60</v>
      </c>
    </row>
    <row r="89" spans="1:20" s="26" customFormat="1" x14ac:dyDescent="0.25">
      <c r="A89" s="25">
        <v>45679</v>
      </c>
      <c r="B89" s="26">
        <v>8</v>
      </c>
      <c r="C89" s="26">
        <v>25</v>
      </c>
      <c r="D89" s="26">
        <v>892393390</v>
      </c>
      <c r="E89" s="26" t="s">
        <v>140</v>
      </c>
      <c r="F89" s="26" t="s">
        <v>141</v>
      </c>
      <c r="G89" s="26" t="str">
        <f t="shared" si="4"/>
        <v>Joshua Tutchton</v>
      </c>
      <c r="H89" s="26" t="s">
        <v>50</v>
      </c>
      <c r="I89" s="26">
        <v>16202925</v>
      </c>
      <c r="J89" s="26" t="s">
        <v>298</v>
      </c>
      <c r="K89" s="26">
        <v>45041</v>
      </c>
      <c r="L89" s="26" t="s">
        <v>319</v>
      </c>
      <c r="M89" s="26" t="s">
        <v>54</v>
      </c>
      <c r="N89" s="26" t="s">
        <v>66</v>
      </c>
      <c r="O89" s="26" t="s">
        <v>67</v>
      </c>
      <c r="P89" s="25">
        <v>45618</v>
      </c>
      <c r="Q89" s="25">
        <v>45627</v>
      </c>
      <c r="R89" s="26" t="s">
        <v>320</v>
      </c>
      <c r="T89" s="26" t="s">
        <v>60</v>
      </c>
    </row>
    <row r="90" spans="1:20" s="26" customFormat="1" x14ac:dyDescent="0.25">
      <c r="A90" s="25">
        <v>45679</v>
      </c>
      <c r="B90" s="26">
        <v>16</v>
      </c>
      <c r="C90" s="26">
        <v>50</v>
      </c>
      <c r="D90" s="26">
        <v>536940641</v>
      </c>
      <c r="E90" s="26" t="s">
        <v>142</v>
      </c>
      <c r="F90" s="26" t="s">
        <v>143</v>
      </c>
      <c r="G90" s="26" t="str">
        <f t="shared" si="4"/>
        <v>Hollie Cacace</v>
      </c>
      <c r="H90" s="26" t="s">
        <v>50</v>
      </c>
      <c r="I90" s="26">
        <v>16202925</v>
      </c>
      <c r="J90" s="26" t="s">
        <v>298</v>
      </c>
      <c r="K90" s="26">
        <v>45041</v>
      </c>
      <c r="L90" s="26" t="s">
        <v>319</v>
      </c>
      <c r="M90" s="26" t="s">
        <v>80</v>
      </c>
      <c r="N90" s="26" t="s">
        <v>66</v>
      </c>
      <c r="O90" s="26" t="s">
        <v>67</v>
      </c>
      <c r="P90" s="25">
        <v>45615</v>
      </c>
      <c r="Q90" s="25">
        <v>45627</v>
      </c>
      <c r="R90" s="26" t="s">
        <v>320</v>
      </c>
      <c r="T90" s="26" t="s">
        <v>60</v>
      </c>
    </row>
    <row r="91" spans="1:20" s="26" customFormat="1" x14ac:dyDescent="0.25">
      <c r="A91" s="25">
        <v>45669</v>
      </c>
      <c r="B91" s="26">
        <v>19.2</v>
      </c>
      <c r="C91" s="26">
        <v>60</v>
      </c>
      <c r="D91" s="26">
        <v>820303811</v>
      </c>
      <c r="E91" s="26" t="s">
        <v>199</v>
      </c>
      <c r="F91" s="26" t="s">
        <v>200</v>
      </c>
      <c r="G91" s="26" t="str">
        <f t="shared" si="4"/>
        <v>A Thomas Loy</v>
      </c>
      <c r="H91" s="26" t="s">
        <v>50</v>
      </c>
      <c r="I91" s="26">
        <v>16202925</v>
      </c>
      <c r="J91" s="26" t="s">
        <v>298</v>
      </c>
      <c r="K91" s="26">
        <v>45041</v>
      </c>
      <c r="L91" s="26" t="s">
        <v>319</v>
      </c>
      <c r="M91" s="26" t="s">
        <v>80</v>
      </c>
      <c r="N91" s="26" t="s">
        <v>66</v>
      </c>
      <c r="O91" s="26" t="s">
        <v>67</v>
      </c>
      <c r="P91" s="25">
        <v>45608</v>
      </c>
      <c r="Q91" s="25">
        <v>45627</v>
      </c>
      <c r="R91" s="26" t="s">
        <v>320</v>
      </c>
      <c r="T91" s="26" t="s">
        <v>60</v>
      </c>
    </row>
    <row r="92" spans="1:20" s="26" customFormat="1" x14ac:dyDescent="0.25">
      <c r="A92" s="25">
        <v>45664</v>
      </c>
      <c r="B92" s="26">
        <v>8</v>
      </c>
      <c r="C92" s="26">
        <v>25</v>
      </c>
      <c r="D92" s="26">
        <v>196153282</v>
      </c>
      <c r="E92" s="26" t="s">
        <v>229</v>
      </c>
      <c r="F92" s="26" t="s">
        <v>230</v>
      </c>
      <c r="G92" s="26" t="str">
        <f t="shared" si="4"/>
        <v>Jennifer  Harbin</v>
      </c>
      <c r="H92" s="26" t="s">
        <v>50</v>
      </c>
      <c r="I92" s="26">
        <v>16202925</v>
      </c>
      <c r="J92" s="26" t="s">
        <v>298</v>
      </c>
      <c r="K92" s="26">
        <v>45041</v>
      </c>
      <c r="L92" s="26" t="s">
        <v>319</v>
      </c>
      <c r="M92" s="26" t="s">
        <v>54</v>
      </c>
      <c r="N92" s="26" t="s">
        <v>66</v>
      </c>
      <c r="O92" s="26" t="s">
        <v>67</v>
      </c>
      <c r="P92" s="25">
        <v>45597</v>
      </c>
      <c r="Q92" s="25">
        <v>45627</v>
      </c>
      <c r="R92" s="26" t="s">
        <v>320</v>
      </c>
      <c r="T92" s="26" t="s">
        <v>60</v>
      </c>
    </row>
    <row r="93" spans="1:20" s="26" customFormat="1" x14ac:dyDescent="0.25">
      <c r="A93" s="25">
        <v>45686</v>
      </c>
      <c r="B93" s="26">
        <v>4.07</v>
      </c>
      <c r="C93" s="26">
        <v>11</v>
      </c>
      <c r="D93" s="26">
        <v>880556692</v>
      </c>
      <c r="E93" s="26" t="s">
        <v>104</v>
      </c>
      <c r="F93" s="26" t="s">
        <v>105</v>
      </c>
      <c r="G93" s="26" t="str">
        <f t="shared" si="4"/>
        <v>Leon Woodson</v>
      </c>
      <c r="H93" s="26" t="s">
        <v>50</v>
      </c>
      <c r="I93" s="26">
        <v>16202925</v>
      </c>
      <c r="J93" s="26" t="s">
        <v>298</v>
      </c>
      <c r="K93" s="26">
        <v>38593</v>
      </c>
      <c r="L93" s="26" t="s">
        <v>316</v>
      </c>
      <c r="M93" s="26" t="s">
        <v>54</v>
      </c>
      <c r="N93" s="26" t="s">
        <v>56</v>
      </c>
      <c r="O93" s="26" t="s">
        <v>57</v>
      </c>
      <c r="P93" s="25">
        <v>45601</v>
      </c>
      <c r="Q93" s="25">
        <v>45627</v>
      </c>
      <c r="R93" s="26" t="s">
        <v>320</v>
      </c>
      <c r="T93" s="26" t="s">
        <v>60</v>
      </c>
    </row>
    <row r="94" spans="1:20" s="26" customFormat="1" x14ac:dyDescent="0.25">
      <c r="A94" s="25">
        <v>45688</v>
      </c>
      <c r="B94" s="26">
        <v>8</v>
      </c>
      <c r="C94" s="26">
        <v>25</v>
      </c>
      <c r="D94" s="26">
        <v>364560725</v>
      </c>
      <c r="E94" s="26" t="s">
        <v>72</v>
      </c>
      <c r="F94" s="26" t="s">
        <v>73</v>
      </c>
      <c r="G94" s="26" t="str">
        <f t="shared" si="4"/>
        <v>Clarence Hicks Jr</v>
      </c>
      <c r="H94" s="26" t="s">
        <v>50</v>
      </c>
      <c r="I94" s="26">
        <v>16202925</v>
      </c>
      <c r="J94" s="26" t="s">
        <v>298</v>
      </c>
      <c r="K94" s="26">
        <v>45041</v>
      </c>
      <c r="L94" s="26" t="s">
        <v>319</v>
      </c>
      <c r="M94" s="26" t="s">
        <v>54</v>
      </c>
      <c r="N94" s="26" t="s">
        <v>66</v>
      </c>
      <c r="O94" s="26" t="s">
        <v>67</v>
      </c>
      <c r="P94" s="25">
        <v>45568</v>
      </c>
      <c r="Q94" s="25">
        <v>45597</v>
      </c>
      <c r="R94" s="26" t="s">
        <v>320</v>
      </c>
      <c r="T94" s="26" t="s">
        <v>60</v>
      </c>
    </row>
    <row r="95" spans="1:20" s="26" customFormat="1" x14ac:dyDescent="0.25">
      <c r="A95" s="25">
        <v>45686</v>
      </c>
      <c r="B95" s="26">
        <v>16</v>
      </c>
      <c r="C95" s="26">
        <v>50</v>
      </c>
      <c r="D95" s="26">
        <v>310854872</v>
      </c>
      <c r="E95" s="26" t="s">
        <v>102</v>
      </c>
      <c r="F95" s="26" t="s">
        <v>103</v>
      </c>
      <c r="G95" s="26" t="str">
        <f t="shared" si="4"/>
        <v>Kevin Husemann</v>
      </c>
      <c r="H95" s="26" t="s">
        <v>50</v>
      </c>
      <c r="I95" s="26">
        <v>16202925</v>
      </c>
      <c r="J95" s="26" t="s">
        <v>298</v>
      </c>
      <c r="K95" s="26">
        <v>45041</v>
      </c>
      <c r="L95" s="26" t="s">
        <v>319</v>
      </c>
      <c r="M95" s="26" t="s">
        <v>80</v>
      </c>
      <c r="N95" s="26" t="s">
        <v>66</v>
      </c>
      <c r="O95" s="26" t="s">
        <v>67</v>
      </c>
      <c r="P95" s="25">
        <v>45588</v>
      </c>
      <c r="Q95" s="25">
        <v>45597</v>
      </c>
      <c r="R95" s="26" t="s">
        <v>320</v>
      </c>
      <c r="T95" s="26" t="s">
        <v>60</v>
      </c>
    </row>
    <row r="96" spans="1:20" s="26" customFormat="1" x14ac:dyDescent="0.25">
      <c r="A96" s="25">
        <v>45681</v>
      </c>
      <c r="B96" s="26">
        <v>16</v>
      </c>
      <c r="C96" s="26">
        <v>50</v>
      </c>
      <c r="D96" s="26">
        <v>604529563</v>
      </c>
      <c r="E96" s="26" t="s">
        <v>117</v>
      </c>
      <c r="F96" s="26" t="s">
        <v>127</v>
      </c>
      <c r="G96" s="26" t="str">
        <f t="shared" si="4"/>
        <v>Michael Arrich</v>
      </c>
      <c r="H96" s="26" t="s">
        <v>50</v>
      </c>
      <c r="I96" s="26">
        <v>16202925</v>
      </c>
      <c r="J96" s="26" t="s">
        <v>298</v>
      </c>
      <c r="K96" s="26">
        <v>45041</v>
      </c>
      <c r="L96" s="26" t="s">
        <v>319</v>
      </c>
      <c r="M96" s="26" t="s">
        <v>80</v>
      </c>
      <c r="N96" s="26" t="s">
        <v>66</v>
      </c>
      <c r="O96" s="26" t="s">
        <v>67</v>
      </c>
      <c r="P96" s="25">
        <v>45582</v>
      </c>
      <c r="Q96" s="25">
        <v>45597</v>
      </c>
      <c r="R96" s="26" t="s">
        <v>320</v>
      </c>
      <c r="T96" s="26" t="s">
        <v>60</v>
      </c>
    </row>
    <row r="97" spans="1:20" s="26" customFormat="1" x14ac:dyDescent="0.25">
      <c r="A97" s="25">
        <v>45681</v>
      </c>
      <c r="B97" s="26">
        <v>8</v>
      </c>
      <c r="C97" s="26">
        <v>25</v>
      </c>
      <c r="D97" s="26">
        <v>119664581</v>
      </c>
      <c r="E97" s="26" t="s">
        <v>132</v>
      </c>
      <c r="F97" s="26" t="s">
        <v>133</v>
      </c>
      <c r="G97" s="26" t="str">
        <f t="shared" si="4"/>
        <v>Thomas Kucan</v>
      </c>
      <c r="H97" s="26" t="s">
        <v>50</v>
      </c>
      <c r="I97" s="26">
        <v>16202925</v>
      </c>
      <c r="J97" s="26" t="s">
        <v>298</v>
      </c>
      <c r="K97" s="26">
        <v>45041</v>
      </c>
      <c r="L97" s="26" t="s">
        <v>319</v>
      </c>
      <c r="M97" s="26" t="s">
        <v>54</v>
      </c>
      <c r="N97" s="26" t="s">
        <v>66</v>
      </c>
      <c r="O97" s="26" t="s">
        <v>67</v>
      </c>
      <c r="P97" s="25">
        <v>45566</v>
      </c>
      <c r="Q97" s="25">
        <v>45597</v>
      </c>
      <c r="R97" s="26" t="s">
        <v>320</v>
      </c>
      <c r="T97" s="26" t="s">
        <v>60</v>
      </c>
    </row>
    <row r="98" spans="1:20" s="26" customFormat="1" x14ac:dyDescent="0.25">
      <c r="A98" s="25">
        <v>45668</v>
      </c>
      <c r="B98" s="26">
        <v>16</v>
      </c>
      <c r="C98" s="26">
        <v>50</v>
      </c>
      <c r="D98" s="26">
        <v>211544974</v>
      </c>
      <c r="E98" s="26" t="s">
        <v>203</v>
      </c>
      <c r="F98" s="26" t="s">
        <v>204</v>
      </c>
      <c r="G98" s="26" t="str">
        <f t="shared" si="4"/>
        <v>Jodi Carpini</v>
      </c>
      <c r="H98" s="26" t="s">
        <v>50</v>
      </c>
      <c r="I98" s="26">
        <v>16202925</v>
      </c>
      <c r="J98" s="26" t="s">
        <v>298</v>
      </c>
      <c r="K98" s="26">
        <v>45041</v>
      </c>
      <c r="L98" s="26" t="s">
        <v>319</v>
      </c>
      <c r="M98" s="26" t="s">
        <v>80</v>
      </c>
      <c r="N98" s="26" t="s">
        <v>66</v>
      </c>
      <c r="O98" s="26" t="s">
        <v>67</v>
      </c>
      <c r="P98" s="25">
        <v>45576</v>
      </c>
      <c r="Q98" s="25">
        <v>45597</v>
      </c>
      <c r="R98" s="26" t="s">
        <v>320</v>
      </c>
      <c r="T98" s="26" t="s">
        <v>60</v>
      </c>
    </row>
    <row r="99" spans="1:20" s="26" customFormat="1" x14ac:dyDescent="0.25">
      <c r="A99" s="25">
        <v>45666</v>
      </c>
      <c r="B99" s="26">
        <v>8</v>
      </c>
      <c r="C99" s="26">
        <v>25</v>
      </c>
      <c r="D99" s="26">
        <v>165329262</v>
      </c>
      <c r="E99" s="26" t="s">
        <v>216</v>
      </c>
      <c r="F99" s="26" t="s">
        <v>217</v>
      </c>
      <c r="G99" s="26" t="str">
        <f t="shared" si="4"/>
        <v>Minas Giorgakis</v>
      </c>
      <c r="H99" s="26" t="s">
        <v>50</v>
      </c>
      <c r="I99" s="26">
        <v>16202925</v>
      </c>
      <c r="J99" s="26" t="s">
        <v>298</v>
      </c>
      <c r="K99" s="26">
        <v>45041</v>
      </c>
      <c r="L99" s="26" t="s">
        <v>319</v>
      </c>
      <c r="M99" s="26" t="s">
        <v>54</v>
      </c>
      <c r="N99" s="26" t="s">
        <v>66</v>
      </c>
      <c r="O99" s="26" t="s">
        <v>67</v>
      </c>
      <c r="P99" s="25">
        <v>45574</v>
      </c>
      <c r="Q99" s="25">
        <v>45597</v>
      </c>
      <c r="R99" s="26" t="s">
        <v>320</v>
      </c>
      <c r="T99" s="26" t="s">
        <v>60</v>
      </c>
    </row>
    <row r="100" spans="1:20" s="26" customFormat="1" x14ac:dyDescent="0.25">
      <c r="A100" s="25">
        <v>45664</v>
      </c>
      <c r="B100" s="26">
        <v>8</v>
      </c>
      <c r="C100" s="26">
        <v>25</v>
      </c>
      <c r="D100" s="26">
        <v>708780484</v>
      </c>
      <c r="E100" s="26" t="s">
        <v>227</v>
      </c>
      <c r="F100" s="26" t="s">
        <v>228</v>
      </c>
      <c r="G100" s="26" t="str">
        <f t="shared" si="4"/>
        <v>Cornell Jackson</v>
      </c>
      <c r="H100" s="26" t="s">
        <v>50</v>
      </c>
      <c r="I100" s="26">
        <v>16202925</v>
      </c>
      <c r="J100" s="26" t="s">
        <v>298</v>
      </c>
      <c r="K100" s="26">
        <v>45041</v>
      </c>
      <c r="L100" s="26" t="s">
        <v>319</v>
      </c>
      <c r="M100" s="26" t="s">
        <v>54</v>
      </c>
      <c r="N100" s="26" t="s">
        <v>66</v>
      </c>
      <c r="O100" s="26" t="s">
        <v>67</v>
      </c>
      <c r="P100" s="25">
        <v>45569</v>
      </c>
      <c r="Q100" s="25">
        <v>45597</v>
      </c>
      <c r="R100" s="26" t="s">
        <v>320</v>
      </c>
      <c r="T100" s="26" t="s">
        <v>60</v>
      </c>
    </row>
    <row r="101" spans="1:20" s="26" customFormat="1" x14ac:dyDescent="0.25">
      <c r="A101" s="25">
        <v>45661</v>
      </c>
      <c r="B101" s="26">
        <v>8</v>
      </c>
      <c r="C101" s="26">
        <v>25</v>
      </c>
      <c r="D101" s="26">
        <v>858353460</v>
      </c>
      <c r="E101" s="26" t="s">
        <v>214</v>
      </c>
      <c r="F101" s="26" t="s">
        <v>249</v>
      </c>
      <c r="G101" s="26" t="str">
        <f t="shared" si="4"/>
        <v>Emily Whitacre</v>
      </c>
      <c r="H101" s="26" t="s">
        <v>50</v>
      </c>
      <c r="I101" s="26">
        <v>16202925</v>
      </c>
      <c r="J101" s="26" t="s">
        <v>298</v>
      </c>
      <c r="K101" s="26">
        <v>45041</v>
      </c>
      <c r="L101" s="26" t="s">
        <v>319</v>
      </c>
      <c r="M101" s="26" t="s">
        <v>54</v>
      </c>
      <c r="N101" s="26" t="s">
        <v>66</v>
      </c>
      <c r="O101" s="26" t="s">
        <v>67</v>
      </c>
      <c r="P101" s="25">
        <v>45595</v>
      </c>
      <c r="Q101" s="25">
        <v>45597</v>
      </c>
      <c r="R101" s="26" t="s">
        <v>320</v>
      </c>
      <c r="T101" s="26" t="s">
        <v>60</v>
      </c>
    </row>
    <row r="102" spans="1:20" s="26" customFormat="1" x14ac:dyDescent="0.25">
      <c r="A102" s="25">
        <v>45661</v>
      </c>
      <c r="B102" s="26">
        <v>8</v>
      </c>
      <c r="C102" s="26">
        <v>25</v>
      </c>
      <c r="D102" s="26">
        <v>560317195</v>
      </c>
      <c r="E102" s="26" t="s">
        <v>250</v>
      </c>
      <c r="F102" s="26" t="s">
        <v>251</v>
      </c>
      <c r="G102" s="26" t="str">
        <f t="shared" si="4"/>
        <v>Ashleigh Lagreco</v>
      </c>
      <c r="H102" s="26" t="s">
        <v>50</v>
      </c>
      <c r="I102" s="26">
        <v>16202925</v>
      </c>
      <c r="J102" s="26" t="s">
        <v>298</v>
      </c>
      <c r="K102" s="26">
        <v>45041</v>
      </c>
      <c r="L102" s="26" t="s">
        <v>319</v>
      </c>
      <c r="M102" s="26" t="s">
        <v>54</v>
      </c>
      <c r="N102" s="26" t="s">
        <v>66</v>
      </c>
      <c r="O102" s="26" t="s">
        <v>67</v>
      </c>
      <c r="P102" s="25">
        <v>45568</v>
      </c>
      <c r="Q102" s="25">
        <v>45597</v>
      </c>
      <c r="R102" s="26" t="s">
        <v>320</v>
      </c>
      <c r="T102" s="26" t="s">
        <v>60</v>
      </c>
    </row>
    <row r="103" spans="1:20" s="26" customFormat="1" x14ac:dyDescent="0.25">
      <c r="A103" s="25">
        <v>45660</v>
      </c>
      <c r="B103" s="26">
        <v>8</v>
      </c>
      <c r="C103" s="26">
        <v>25</v>
      </c>
      <c r="D103" s="26">
        <v>119664581</v>
      </c>
      <c r="E103" s="26" t="s">
        <v>132</v>
      </c>
      <c r="F103" s="26" t="s">
        <v>133</v>
      </c>
      <c r="G103" s="26" t="str">
        <f t="shared" si="4"/>
        <v>Thomas Kucan</v>
      </c>
      <c r="H103" s="26" t="s">
        <v>50</v>
      </c>
      <c r="I103" s="26">
        <v>16202925</v>
      </c>
      <c r="J103" s="26" t="s">
        <v>298</v>
      </c>
      <c r="K103" s="26">
        <v>45041</v>
      </c>
      <c r="L103" s="26" t="s">
        <v>319</v>
      </c>
      <c r="M103" s="26" t="s">
        <v>54</v>
      </c>
      <c r="N103" s="26" t="s">
        <v>66</v>
      </c>
      <c r="O103" s="26" t="s">
        <v>67</v>
      </c>
      <c r="P103" s="25">
        <v>45566</v>
      </c>
      <c r="Q103" s="25">
        <v>45597</v>
      </c>
      <c r="R103" s="26" t="s">
        <v>320</v>
      </c>
      <c r="T103" s="26" t="s">
        <v>60</v>
      </c>
    </row>
    <row r="104" spans="1:20" s="26" customFormat="1" x14ac:dyDescent="0.25">
      <c r="A104" s="25">
        <v>45660</v>
      </c>
      <c r="B104" s="26">
        <v>8</v>
      </c>
      <c r="C104" s="26">
        <v>25</v>
      </c>
      <c r="D104" s="26">
        <v>364560725</v>
      </c>
      <c r="E104" s="26" t="s">
        <v>72</v>
      </c>
      <c r="F104" s="26" t="s">
        <v>73</v>
      </c>
      <c r="G104" s="26" t="str">
        <f t="shared" ref="G104:G135" si="5">CONCATENATE(E104, " ",F104)</f>
        <v>Clarence Hicks Jr</v>
      </c>
      <c r="H104" s="26" t="s">
        <v>50</v>
      </c>
      <c r="I104" s="26">
        <v>16202925</v>
      </c>
      <c r="J104" s="26" t="s">
        <v>298</v>
      </c>
      <c r="K104" s="26">
        <v>45041</v>
      </c>
      <c r="L104" s="26" t="s">
        <v>319</v>
      </c>
      <c r="M104" s="26" t="s">
        <v>54</v>
      </c>
      <c r="N104" s="26" t="s">
        <v>66</v>
      </c>
      <c r="O104" s="26" t="s">
        <v>67</v>
      </c>
      <c r="P104" s="25">
        <v>45568</v>
      </c>
      <c r="Q104" s="25">
        <v>45597</v>
      </c>
      <c r="R104" s="26" t="s">
        <v>320</v>
      </c>
      <c r="T104" s="26" t="s">
        <v>60</v>
      </c>
    </row>
    <row r="105" spans="1:20" s="26" customFormat="1" x14ac:dyDescent="0.25">
      <c r="A105" s="25">
        <v>45659</v>
      </c>
      <c r="B105" s="26">
        <v>8</v>
      </c>
      <c r="C105" s="26">
        <v>25</v>
      </c>
      <c r="D105" s="26">
        <v>260173605</v>
      </c>
      <c r="E105" s="26" t="s">
        <v>271</v>
      </c>
      <c r="F105" s="26" t="s">
        <v>272</v>
      </c>
      <c r="G105" s="26" t="str">
        <f t="shared" si="5"/>
        <v>Anna Biebl</v>
      </c>
      <c r="H105" s="26" t="s">
        <v>50</v>
      </c>
      <c r="I105" s="26">
        <v>16202925</v>
      </c>
      <c r="J105" s="26" t="s">
        <v>298</v>
      </c>
      <c r="K105" s="26">
        <v>45041</v>
      </c>
      <c r="L105" s="26" t="s">
        <v>319</v>
      </c>
      <c r="M105" s="26" t="s">
        <v>54</v>
      </c>
      <c r="N105" s="26" t="s">
        <v>66</v>
      </c>
      <c r="O105" s="26" t="s">
        <v>67</v>
      </c>
      <c r="P105" s="25">
        <v>45593</v>
      </c>
      <c r="Q105" s="25">
        <v>45597</v>
      </c>
      <c r="R105" s="26" t="s">
        <v>320</v>
      </c>
      <c r="T105" s="26" t="s">
        <v>60</v>
      </c>
    </row>
    <row r="106" spans="1:20" s="26" customFormat="1" x14ac:dyDescent="0.25">
      <c r="A106" s="25">
        <v>45659</v>
      </c>
      <c r="B106" s="26">
        <v>8</v>
      </c>
      <c r="C106" s="26">
        <v>25</v>
      </c>
      <c r="D106" s="26">
        <v>582065076</v>
      </c>
      <c r="E106" s="26" t="s">
        <v>174</v>
      </c>
      <c r="F106" s="26" t="s">
        <v>273</v>
      </c>
      <c r="G106" s="26" t="str">
        <f t="shared" si="5"/>
        <v>Mary Rosencranz</v>
      </c>
      <c r="H106" s="26" t="s">
        <v>50</v>
      </c>
      <c r="I106" s="26">
        <v>16202925</v>
      </c>
      <c r="J106" s="26" t="s">
        <v>298</v>
      </c>
      <c r="K106" s="26">
        <v>45041</v>
      </c>
      <c r="L106" s="26" t="s">
        <v>319</v>
      </c>
      <c r="M106" s="26" t="s">
        <v>54</v>
      </c>
      <c r="N106" s="26" t="s">
        <v>66</v>
      </c>
      <c r="O106" s="26" t="s">
        <v>67</v>
      </c>
      <c r="P106" s="25">
        <v>45593</v>
      </c>
      <c r="Q106" s="25">
        <v>45597</v>
      </c>
      <c r="R106" s="26" t="s">
        <v>320</v>
      </c>
      <c r="T106" s="26" t="s">
        <v>60</v>
      </c>
    </row>
    <row r="107" spans="1:20" s="26" customFormat="1" x14ac:dyDescent="0.25">
      <c r="A107" s="25">
        <v>45671</v>
      </c>
      <c r="B107" s="26">
        <v>4.07</v>
      </c>
      <c r="C107" s="26">
        <v>11</v>
      </c>
      <c r="D107" s="26">
        <v>884756940</v>
      </c>
      <c r="E107" s="26" t="s">
        <v>195</v>
      </c>
      <c r="F107" s="26" t="s">
        <v>196</v>
      </c>
      <c r="G107" s="26" t="str">
        <f t="shared" si="5"/>
        <v>Audrey Williams</v>
      </c>
      <c r="H107" s="26" t="s">
        <v>50</v>
      </c>
      <c r="I107" s="26">
        <v>16202925</v>
      </c>
      <c r="J107" s="26" t="s">
        <v>298</v>
      </c>
      <c r="K107" s="26">
        <v>38593</v>
      </c>
      <c r="L107" s="26" t="s">
        <v>316</v>
      </c>
      <c r="M107" s="26" t="s">
        <v>54</v>
      </c>
      <c r="N107" s="26" t="s">
        <v>56</v>
      </c>
      <c r="O107" s="26" t="s">
        <v>57</v>
      </c>
      <c r="P107" s="25">
        <v>45594</v>
      </c>
      <c r="Q107" s="25">
        <v>45597</v>
      </c>
      <c r="R107" s="26" t="s">
        <v>320</v>
      </c>
      <c r="T107" s="26" t="s">
        <v>60</v>
      </c>
    </row>
    <row r="108" spans="1:20" s="26" customFormat="1" x14ac:dyDescent="0.25">
      <c r="A108" s="25">
        <v>45666</v>
      </c>
      <c r="B108" s="26">
        <v>4.07</v>
      </c>
      <c r="C108" s="26">
        <v>11</v>
      </c>
      <c r="D108" s="26">
        <v>607637254</v>
      </c>
      <c r="E108" s="26" t="s">
        <v>216</v>
      </c>
      <c r="F108" s="26" t="s">
        <v>217</v>
      </c>
      <c r="G108" s="26" t="str">
        <f t="shared" si="5"/>
        <v>Minas Giorgakis</v>
      </c>
      <c r="H108" s="26" t="s">
        <v>50</v>
      </c>
      <c r="I108" s="26">
        <v>16202925</v>
      </c>
      <c r="J108" s="26" t="s">
        <v>298</v>
      </c>
      <c r="K108" s="26">
        <v>38593</v>
      </c>
      <c r="L108" s="26" t="s">
        <v>316</v>
      </c>
      <c r="M108" s="26" t="s">
        <v>54</v>
      </c>
      <c r="N108" s="26" t="s">
        <v>56</v>
      </c>
      <c r="O108" s="26" t="s">
        <v>57</v>
      </c>
      <c r="P108" s="25">
        <v>45574</v>
      </c>
      <c r="Q108" s="25">
        <v>45597</v>
      </c>
      <c r="R108" s="26" t="s">
        <v>320</v>
      </c>
      <c r="T108" s="26" t="s">
        <v>60</v>
      </c>
    </row>
    <row r="109" spans="1:20" s="26" customFormat="1" x14ac:dyDescent="0.25">
      <c r="A109" s="25">
        <v>45661</v>
      </c>
      <c r="B109" s="26">
        <v>4.07</v>
      </c>
      <c r="C109" s="26">
        <v>11</v>
      </c>
      <c r="D109" s="26">
        <v>859724247</v>
      </c>
      <c r="E109" s="26" t="s">
        <v>214</v>
      </c>
      <c r="F109" s="26" t="s">
        <v>249</v>
      </c>
      <c r="G109" s="26" t="str">
        <f t="shared" si="5"/>
        <v>Emily Whitacre</v>
      </c>
      <c r="H109" s="26" t="s">
        <v>50</v>
      </c>
      <c r="I109" s="26">
        <v>16202925</v>
      </c>
      <c r="J109" s="26" t="s">
        <v>298</v>
      </c>
      <c r="K109" s="26">
        <v>38593</v>
      </c>
      <c r="L109" s="26" t="s">
        <v>316</v>
      </c>
      <c r="M109" s="26" t="s">
        <v>54</v>
      </c>
      <c r="N109" s="26" t="s">
        <v>56</v>
      </c>
      <c r="O109" s="26" t="s">
        <v>57</v>
      </c>
      <c r="P109" s="25">
        <v>45595</v>
      </c>
      <c r="Q109" s="25">
        <v>45597</v>
      </c>
      <c r="R109" s="26" t="s">
        <v>320</v>
      </c>
      <c r="T109" s="26" t="s">
        <v>60</v>
      </c>
    </row>
    <row r="110" spans="1:20" s="26" customFormat="1" x14ac:dyDescent="0.25">
      <c r="A110" s="25">
        <v>45659</v>
      </c>
      <c r="B110" s="26">
        <v>4.07</v>
      </c>
      <c r="C110" s="26">
        <v>11</v>
      </c>
      <c r="D110" s="26">
        <v>364920174</v>
      </c>
      <c r="E110" s="26" t="s">
        <v>174</v>
      </c>
      <c r="F110" s="26" t="s">
        <v>273</v>
      </c>
      <c r="G110" s="26" t="str">
        <f t="shared" si="5"/>
        <v>Mary Rosencranz</v>
      </c>
      <c r="H110" s="26" t="s">
        <v>50</v>
      </c>
      <c r="I110" s="26">
        <v>16202925</v>
      </c>
      <c r="J110" s="26" t="s">
        <v>298</v>
      </c>
      <c r="K110" s="26">
        <v>38593</v>
      </c>
      <c r="L110" s="26" t="s">
        <v>316</v>
      </c>
      <c r="M110" s="26" t="s">
        <v>54</v>
      </c>
      <c r="N110" s="26" t="s">
        <v>56</v>
      </c>
      <c r="O110" s="26" t="s">
        <v>57</v>
      </c>
      <c r="P110" s="25">
        <v>45593</v>
      </c>
      <c r="Q110" s="25">
        <v>45597</v>
      </c>
      <c r="R110" s="26" t="s">
        <v>320</v>
      </c>
      <c r="T110" s="26" t="s">
        <v>60</v>
      </c>
    </row>
    <row r="111" spans="1:20" s="26" customFormat="1" x14ac:dyDescent="0.25">
      <c r="A111" s="25">
        <v>45688</v>
      </c>
      <c r="B111" s="26">
        <v>8</v>
      </c>
      <c r="C111" s="26">
        <v>25</v>
      </c>
      <c r="D111" s="26">
        <v>5274878</v>
      </c>
      <c r="E111" s="26" t="s">
        <v>68</v>
      </c>
      <c r="F111" s="26" t="s">
        <v>69</v>
      </c>
      <c r="G111" s="26" t="str">
        <f t="shared" si="5"/>
        <v>Twanna Delva</v>
      </c>
      <c r="H111" s="26" t="s">
        <v>50</v>
      </c>
      <c r="I111" s="26">
        <v>16202925</v>
      </c>
      <c r="J111" s="26" t="s">
        <v>298</v>
      </c>
      <c r="K111" s="26">
        <v>45041</v>
      </c>
      <c r="L111" s="26" t="s">
        <v>319</v>
      </c>
      <c r="M111" s="26" t="s">
        <v>54</v>
      </c>
      <c r="N111" s="26" t="s">
        <v>66</v>
      </c>
      <c r="O111" s="26" t="s">
        <v>67</v>
      </c>
      <c r="P111" s="25">
        <v>45555</v>
      </c>
      <c r="Q111" s="25">
        <v>45566</v>
      </c>
      <c r="R111" s="26" t="s">
        <v>320</v>
      </c>
      <c r="T111" s="26" t="s">
        <v>60</v>
      </c>
    </row>
    <row r="112" spans="1:20" s="26" customFormat="1" x14ac:dyDescent="0.25">
      <c r="A112" s="25">
        <v>45687</v>
      </c>
      <c r="B112" s="26">
        <v>8</v>
      </c>
      <c r="C112" s="26">
        <v>25</v>
      </c>
      <c r="D112" s="26">
        <v>168352383</v>
      </c>
      <c r="E112" s="26" t="s">
        <v>86</v>
      </c>
      <c r="F112" s="26" t="s">
        <v>87</v>
      </c>
      <c r="G112" s="26" t="str">
        <f t="shared" si="5"/>
        <v>Abigail Duncan</v>
      </c>
      <c r="H112" s="26" t="s">
        <v>50</v>
      </c>
      <c r="I112" s="26">
        <v>16202925</v>
      </c>
      <c r="J112" s="26" t="s">
        <v>298</v>
      </c>
      <c r="K112" s="26">
        <v>45041</v>
      </c>
      <c r="L112" s="26" t="s">
        <v>319</v>
      </c>
      <c r="M112" s="26" t="s">
        <v>54</v>
      </c>
      <c r="N112" s="26" t="s">
        <v>66</v>
      </c>
      <c r="O112" s="26" t="s">
        <v>67</v>
      </c>
      <c r="P112" s="25">
        <v>45565</v>
      </c>
      <c r="Q112" s="25">
        <v>45566</v>
      </c>
      <c r="R112" s="26" t="s">
        <v>320</v>
      </c>
      <c r="T112" s="26" t="s">
        <v>60</v>
      </c>
    </row>
    <row r="113" spans="1:20" s="26" customFormat="1" x14ac:dyDescent="0.25">
      <c r="A113" s="25">
        <v>45683</v>
      </c>
      <c r="B113" s="26">
        <v>8</v>
      </c>
      <c r="C113" s="26">
        <v>25</v>
      </c>
      <c r="D113" s="26">
        <v>524461911</v>
      </c>
      <c r="E113" s="26" t="s">
        <v>117</v>
      </c>
      <c r="F113" s="26" t="s">
        <v>118</v>
      </c>
      <c r="G113" s="26" t="str">
        <f t="shared" si="5"/>
        <v>Michael Scarpulla</v>
      </c>
      <c r="H113" s="26" t="s">
        <v>50</v>
      </c>
      <c r="I113" s="26">
        <v>16202925</v>
      </c>
      <c r="J113" s="26" t="s">
        <v>298</v>
      </c>
      <c r="K113" s="26">
        <v>45041</v>
      </c>
      <c r="L113" s="26" t="s">
        <v>319</v>
      </c>
      <c r="M113" s="26" t="s">
        <v>54</v>
      </c>
      <c r="N113" s="26" t="s">
        <v>66</v>
      </c>
      <c r="O113" s="26" t="s">
        <v>67</v>
      </c>
      <c r="P113" s="25">
        <v>45561</v>
      </c>
      <c r="Q113" s="25">
        <v>45566</v>
      </c>
      <c r="R113" s="26" t="s">
        <v>320</v>
      </c>
      <c r="T113" s="26" t="s">
        <v>60</v>
      </c>
    </row>
    <row r="114" spans="1:20" s="26" customFormat="1" x14ac:dyDescent="0.25">
      <c r="A114" s="25">
        <v>45682</v>
      </c>
      <c r="B114" s="26">
        <v>8</v>
      </c>
      <c r="C114" s="26">
        <v>25</v>
      </c>
      <c r="D114" s="26">
        <v>230062447</v>
      </c>
      <c r="E114" s="26" t="s">
        <v>122</v>
      </c>
      <c r="F114" s="26" t="s">
        <v>123</v>
      </c>
      <c r="G114" s="26" t="str">
        <f t="shared" si="5"/>
        <v>Kelly Gallagher</v>
      </c>
      <c r="H114" s="26" t="s">
        <v>50</v>
      </c>
      <c r="I114" s="26">
        <v>16202925</v>
      </c>
      <c r="J114" s="26" t="s">
        <v>298</v>
      </c>
      <c r="K114" s="26">
        <v>45041</v>
      </c>
      <c r="L114" s="26" t="s">
        <v>319</v>
      </c>
      <c r="M114" s="26" t="s">
        <v>54</v>
      </c>
      <c r="N114" s="26" t="s">
        <v>66</v>
      </c>
      <c r="O114" s="26" t="s">
        <v>67</v>
      </c>
      <c r="P114" s="25">
        <v>45560</v>
      </c>
      <c r="Q114" s="25">
        <v>45566</v>
      </c>
      <c r="R114" s="26" t="s">
        <v>320</v>
      </c>
      <c r="T114" s="26" t="s">
        <v>60</v>
      </c>
    </row>
    <row r="115" spans="1:20" s="26" customFormat="1" x14ac:dyDescent="0.25">
      <c r="A115" s="25">
        <v>45674</v>
      </c>
      <c r="B115" s="26">
        <v>8</v>
      </c>
      <c r="C115" s="26">
        <v>25</v>
      </c>
      <c r="D115" s="26">
        <v>232438202</v>
      </c>
      <c r="E115" s="26" t="s">
        <v>160</v>
      </c>
      <c r="F115" s="26" t="s">
        <v>161</v>
      </c>
      <c r="G115" s="26" t="str">
        <f t="shared" si="5"/>
        <v>Alycea Rivera</v>
      </c>
      <c r="H115" s="26" t="s">
        <v>50</v>
      </c>
      <c r="I115" s="26">
        <v>16202925</v>
      </c>
      <c r="J115" s="26" t="s">
        <v>298</v>
      </c>
      <c r="K115" s="26">
        <v>45041</v>
      </c>
      <c r="L115" s="26" t="s">
        <v>319</v>
      </c>
      <c r="M115" s="26" t="s">
        <v>54</v>
      </c>
      <c r="N115" s="26" t="s">
        <v>66</v>
      </c>
      <c r="O115" s="26" t="s">
        <v>67</v>
      </c>
      <c r="P115" s="25">
        <v>45551</v>
      </c>
      <c r="Q115" s="25">
        <v>45566</v>
      </c>
      <c r="R115" s="26" t="s">
        <v>320</v>
      </c>
      <c r="T115" s="26" t="s">
        <v>60</v>
      </c>
    </row>
    <row r="116" spans="1:20" s="26" customFormat="1" x14ac:dyDescent="0.25">
      <c r="A116" s="25">
        <v>45674</v>
      </c>
      <c r="B116" s="26">
        <v>8</v>
      </c>
      <c r="C116" s="26">
        <v>25</v>
      </c>
      <c r="D116" s="26">
        <v>509666499</v>
      </c>
      <c r="E116" s="26" t="s">
        <v>162</v>
      </c>
      <c r="F116" s="26" t="s">
        <v>163</v>
      </c>
      <c r="G116" s="26" t="str">
        <f t="shared" si="5"/>
        <v>Shane  Abrams</v>
      </c>
      <c r="H116" s="26" t="s">
        <v>50</v>
      </c>
      <c r="I116" s="26">
        <v>16202925</v>
      </c>
      <c r="J116" s="26" t="s">
        <v>298</v>
      </c>
      <c r="K116" s="26">
        <v>45041</v>
      </c>
      <c r="L116" s="26" t="s">
        <v>319</v>
      </c>
      <c r="M116" s="26" t="s">
        <v>54</v>
      </c>
      <c r="N116" s="26" t="s">
        <v>66</v>
      </c>
      <c r="O116" s="26" t="s">
        <v>67</v>
      </c>
      <c r="P116" s="25">
        <v>45552</v>
      </c>
      <c r="Q116" s="25">
        <v>45566</v>
      </c>
      <c r="R116" s="26" t="s">
        <v>320</v>
      </c>
      <c r="T116" s="26" t="s">
        <v>60</v>
      </c>
    </row>
    <row r="117" spans="1:20" s="26" customFormat="1" x14ac:dyDescent="0.25">
      <c r="A117" s="25">
        <v>45674</v>
      </c>
      <c r="B117" s="26">
        <v>16</v>
      </c>
      <c r="C117" s="26">
        <v>50</v>
      </c>
      <c r="D117" s="26">
        <v>528354958</v>
      </c>
      <c r="E117" s="26" t="s">
        <v>94</v>
      </c>
      <c r="F117" s="26" t="s">
        <v>163</v>
      </c>
      <c r="G117" s="26" t="str">
        <f t="shared" si="5"/>
        <v>Kathleen Abrams</v>
      </c>
      <c r="H117" s="26" t="s">
        <v>50</v>
      </c>
      <c r="I117" s="26">
        <v>16202925</v>
      </c>
      <c r="J117" s="26" t="s">
        <v>298</v>
      </c>
      <c r="K117" s="26">
        <v>45041</v>
      </c>
      <c r="L117" s="26" t="s">
        <v>319</v>
      </c>
      <c r="M117" s="26" t="s">
        <v>80</v>
      </c>
      <c r="N117" s="26" t="s">
        <v>66</v>
      </c>
      <c r="O117" s="26" t="s">
        <v>67</v>
      </c>
      <c r="P117" s="25">
        <v>45552</v>
      </c>
      <c r="Q117" s="25">
        <v>45566</v>
      </c>
      <c r="R117" s="26" t="s">
        <v>320</v>
      </c>
      <c r="T117" s="26" t="s">
        <v>60</v>
      </c>
    </row>
    <row r="118" spans="1:20" s="26" customFormat="1" x14ac:dyDescent="0.25">
      <c r="A118" s="25">
        <v>45673</v>
      </c>
      <c r="B118" s="26">
        <v>8</v>
      </c>
      <c r="C118" s="26">
        <v>25</v>
      </c>
      <c r="D118" s="26">
        <v>876391898</v>
      </c>
      <c r="E118" s="26" t="s">
        <v>172</v>
      </c>
      <c r="F118" s="26" t="s">
        <v>173</v>
      </c>
      <c r="G118" s="26" t="str">
        <f t="shared" si="5"/>
        <v>Donna Tarmon</v>
      </c>
      <c r="H118" s="26" t="s">
        <v>50</v>
      </c>
      <c r="I118" s="26">
        <v>16202925</v>
      </c>
      <c r="J118" s="26" t="s">
        <v>298</v>
      </c>
      <c r="K118" s="26">
        <v>45041</v>
      </c>
      <c r="L118" s="26" t="s">
        <v>319</v>
      </c>
      <c r="M118" s="26" t="s">
        <v>54</v>
      </c>
      <c r="N118" s="26" t="s">
        <v>66</v>
      </c>
      <c r="O118" s="26" t="s">
        <v>67</v>
      </c>
      <c r="P118" s="25">
        <v>45545</v>
      </c>
      <c r="Q118" s="25">
        <v>45566</v>
      </c>
      <c r="R118" s="26" t="s">
        <v>320</v>
      </c>
      <c r="T118" s="26" t="s">
        <v>60</v>
      </c>
    </row>
    <row r="119" spans="1:20" s="26" customFormat="1" x14ac:dyDescent="0.25">
      <c r="A119" s="25">
        <v>45673</v>
      </c>
      <c r="B119" s="26">
        <v>16</v>
      </c>
      <c r="C119" s="26">
        <v>50</v>
      </c>
      <c r="D119" s="26">
        <v>914833590</v>
      </c>
      <c r="E119" s="26" t="s">
        <v>174</v>
      </c>
      <c r="F119" s="26" t="s">
        <v>175</v>
      </c>
      <c r="G119" s="26" t="str">
        <f t="shared" si="5"/>
        <v>Mary Pross</v>
      </c>
      <c r="H119" s="26" t="s">
        <v>50</v>
      </c>
      <c r="I119" s="26">
        <v>16202925</v>
      </c>
      <c r="J119" s="26" t="s">
        <v>298</v>
      </c>
      <c r="K119" s="26">
        <v>45041</v>
      </c>
      <c r="L119" s="26" t="s">
        <v>319</v>
      </c>
      <c r="M119" s="26" t="s">
        <v>80</v>
      </c>
      <c r="N119" s="26" t="s">
        <v>66</v>
      </c>
      <c r="O119" s="26" t="s">
        <v>67</v>
      </c>
      <c r="P119" s="25">
        <v>45545</v>
      </c>
      <c r="Q119" s="25">
        <v>45566</v>
      </c>
      <c r="R119" s="26" t="s">
        <v>320</v>
      </c>
      <c r="T119" s="26" t="s">
        <v>60</v>
      </c>
    </row>
    <row r="120" spans="1:20" s="26" customFormat="1" x14ac:dyDescent="0.25">
      <c r="A120" s="25">
        <v>45671</v>
      </c>
      <c r="B120" s="26">
        <v>8</v>
      </c>
      <c r="C120" s="26">
        <v>25</v>
      </c>
      <c r="D120" s="26">
        <v>27464876</v>
      </c>
      <c r="E120" s="26" t="s">
        <v>195</v>
      </c>
      <c r="F120" s="26" t="s">
        <v>196</v>
      </c>
      <c r="G120" s="26" t="str">
        <f t="shared" si="5"/>
        <v>Audrey Williams</v>
      </c>
      <c r="H120" s="26" t="s">
        <v>50</v>
      </c>
      <c r="I120" s="26">
        <v>16202925</v>
      </c>
      <c r="J120" s="26" t="s">
        <v>298</v>
      </c>
      <c r="K120" s="26">
        <v>45041</v>
      </c>
      <c r="L120" s="26" t="s">
        <v>319</v>
      </c>
      <c r="M120" s="26" t="s">
        <v>54</v>
      </c>
      <c r="N120" s="26" t="s">
        <v>66</v>
      </c>
      <c r="O120" s="26" t="s">
        <v>67</v>
      </c>
      <c r="P120" s="25">
        <v>45549</v>
      </c>
      <c r="Q120" s="25">
        <v>45566</v>
      </c>
      <c r="R120" s="26" t="s">
        <v>320</v>
      </c>
      <c r="T120" s="26" t="s">
        <v>60</v>
      </c>
    </row>
    <row r="121" spans="1:20" s="26" customFormat="1" x14ac:dyDescent="0.25">
      <c r="A121" s="25">
        <v>45659</v>
      </c>
      <c r="B121" s="26">
        <v>8</v>
      </c>
      <c r="C121" s="26">
        <v>25</v>
      </c>
      <c r="D121" s="26">
        <v>5274878</v>
      </c>
      <c r="E121" s="26" t="s">
        <v>68</v>
      </c>
      <c r="F121" s="26" t="s">
        <v>69</v>
      </c>
      <c r="G121" s="26" t="str">
        <f t="shared" si="5"/>
        <v>Twanna Delva</v>
      </c>
      <c r="H121" s="26" t="s">
        <v>50</v>
      </c>
      <c r="I121" s="26">
        <v>16202925</v>
      </c>
      <c r="J121" s="26" t="s">
        <v>298</v>
      </c>
      <c r="K121" s="26">
        <v>45041</v>
      </c>
      <c r="L121" s="26" t="s">
        <v>319</v>
      </c>
      <c r="M121" s="26" t="s">
        <v>54</v>
      </c>
      <c r="N121" s="26" t="s">
        <v>66</v>
      </c>
      <c r="O121" s="26" t="s">
        <v>67</v>
      </c>
      <c r="P121" s="25">
        <v>45555</v>
      </c>
      <c r="Q121" s="25">
        <v>45566</v>
      </c>
      <c r="R121" s="26" t="s">
        <v>320</v>
      </c>
      <c r="T121" s="26" t="s">
        <v>60</v>
      </c>
    </row>
    <row r="122" spans="1:20" s="26" customFormat="1" x14ac:dyDescent="0.25">
      <c r="A122" s="25">
        <v>45687</v>
      </c>
      <c r="B122" s="26">
        <v>4.07</v>
      </c>
      <c r="C122" s="26">
        <v>11</v>
      </c>
      <c r="D122" s="26">
        <v>973153223</v>
      </c>
      <c r="E122" s="26" t="s">
        <v>86</v>
      </c>
      <c r="F122" s="26" t="s">
        <v>87</v>
      </c>
      <c r="G122" s="26" t="str">
        <f t="shared" si="5"/>
        <v>Abigail Duncan</v>
      </c>
      <c r="H122" s="26" t="s">
        <v>50</v>
      </c>
      <c r="I122" s="26">
        <v>16202925</v>
      </c>
      <c r="J122" s="26" t="s">
        <v>298</v>
      </c>
      <c r="K122" s="26">
        <v>38593</v>
      </c>
      <c r="L122" s="26" t="s">
        <v>316</v>
      </c>
      <c r="M122" s="26" t="s">
        <v>54</v>
      </c>
      <c r="N122" s="26" t="s">
        <v>56</v>
      </c>
      <c r="O122" s="26" t="s">
        <v>57</v>
      </c>
      <c r="P122" s="25">
        <v>45565</v>
      </c>
      <c r="Q122" s="25">
        <v>45566</v>
      </c>
      <c r="R122" s="26" t="s">
        <v>320</v>
      </c>
      <c r="T122" s="26" t="s">
        <v>60</v>
      </c>
    </row>
    <row r="123" spans="1:20" s="26" customFormat="1" x14ac:dyDescent="0.25">
      <c r="A123" s="25">
        <v>45661</v>
      </c>
      <c r="B123" s="26">
        <v>4.07</v>
      </c>
      <c r="C123" s="26">
        <v>11</v>
      </c>
      <c r="D123" s="26">
        <v>574187796</v>
      </c>
      <c r="E123" s="26" t="s">
        <v>252</v>
      </c>
      <c r="F123" s="26" t="s">
        <v>253</v>
      </c>
      <c r="G123" s="26" t="str">
        <f t="shared" si="5"/>
        <v>Sheryll Aldred</v>
      </c>
      <c r="H123" s="26" t="s">
        <v>50</v>
      </c>
      <c r="I123" s="26">
        <v>16202925</v>
      </c>
      <c r="J123" s="26" t="s">
        <v>298</v>
      </c>
      <c r="K123" s="26">
        <v>38593</v>
      </c>
      <c r="L123" s="26" t="s">
        <v>316</v>
      </c>
      <c r="M123" s="26" t="s">
        <v>54</v>
      </c>
      <c r="N123" s="26" t="s">
        <v>56</v>
      </c>
      <c r="O123" s="26" t="s">
        <v>57</v>
      </c>
      <c r="P123" s="25">
        <v>45541</v>
      </c>
      <c r="Q123" s="25">
        <v>45566</v>
      </c>
      <c r="R123" s="26" t="s">
        <v>320</v>
      </c>
      <c r="T123" s="26" t="s">
        <v>60</v>
      </c>
    </row>
    <row r="124" spans="1:20" s="26" customFormat="1" x14ac:dyDescent="0.25">
      <c r="A124" s="25">
        <v>45682</v>
      </c>
      <c r="B124" s="26">
        <v>9.1199999999999992</v>
      </c>
      <c r="C124" s="26">
        <v>38</v>
      </c>
      <c r="D124" s="26">
        <v>313942658</v>
      </c>
      <c r="E124" s="26" t="s">
        <v>119</v>
      </c>
      <c r="F124" s="26" t="s">
        <v>120</v>
      </c>
      <c r="G124" s="26" t="str">
        <f t="shared" si="5"/>
        <v>Matthew Lowing</v>
      </c>
      <c r="H124" s="26" t="s">
        <v>50</v>
      </c>
      <c r="I124" s="26">
        <v>16202925</v>
      </c>
      <c r="J124" s="26" t="s">
        <v>298</v>
      </c>
      <c r="K124" s="26">
        <v>42249</v>
      </c>
      <c r="L124" s="26" t="s">
        <v>318</v>
      </c>
      <c r="M124" s="26" t="s">
        <v>54</v>
      </c>
      <c r="N124" s="26" t="s">
        <v>66</v>
      </c>
      <c r="O124" s="26" t="s">
        <v>67</v>
      </c>
      <c r="P124" s="25">
        <v>45525</v>
      </c>
      <c r="Q124" s="25">
        <v>45536</v>
      </c>
      <c r="R124" s="26" t="s">
        <v>320</v>
      </c>
      <c r="T124" s="26" t="s">
        <v>60</v>
      </c>
    </row>
    <row r="125" spans="1:20" s="26" customFormat="1" x14ac:dyDescent="0.25">
      <c r="A125" s="25">
        <v>45682</v>
      </c>
      <c r="B125" s="26">
        <v>4.07</v>
      </c>
      <c r="C125" s="26">
        <v>11</v>
      </c>
      <c r="D125" s="26">
        <v>676321759</v>
      </c>
      <c r="E125" s="26" t="s">
        <v>119</v>
      </c>
      <c r="F125" s="26" t="s">
        <v>120</v>
      </c>
      <c r="G125" s="26" t="str">
        <f t="shared" si="5"/>
        <v>Matthew Lowing</v>
      </c>
      <c r="H125" s="26" t="s">
        <v>50</v>
      </c>
      <c r="I125" s="26">
        <v>16202925</v>
      </c>
      <c r="J125" s="26" t="s">
        <v>298</v>
      </c>
      <c r="K125" s="26">
        <v>38593</v>
      </c>
      <c r="L125" s="26" t="s">
        <v>316</v>
      </c>
      <c r="M125" s="26" t="s">
        <v>54</v>
      </c>
      <c r="N125" s="26" t="s">
        <v>56</v>
      </c>
      <c r="O125" s="26" t="s">
        <v>57</v>
      </c>
      <c r="P125" s="25">
        <v>45525</v>
      </c>
      <c r="Q125" s="25">
        <v>45536</v>
      </c>
      <c r="R125" s="26" t="s">
        <v>320</v>
      </c>
      <c r="T125" s="26" t="s">
        <v>60</v>
      </c>
    </row>
    <row r="126" spans="1:20" s="5" customFormat="1" x14ac:dyDescent="0.25">
      <c r="A126" s="22">
        <v>45683</v>
      </c>
      <c r="B126" s="5">
        <v>8</v>
      </c>
      <c r="C126" s="5">
        <v>25</v>
      </c>
      <c r="D126" s="5">
        <v>571135014</v>
      </c>
      <c r="E126" s="5" t="s">
        <v>291</v>
      </c>
      <c r="F126" s="5" t="s">
        <v>290</v>
      </c>
      <c r="G126" s="5" t="str">
        <f t="shared" si="5"/>
        <v>William  Custer</v>
      </c>
      <c r="H126" s="5" t="s">
        <v>50</v>
      </c>
      <c r="I126" s="5">
        <v>16202925</v>
      </c>
      <c r="J126" s="5" t="s">
        <v>298</v>
      </c>
      <c r="K126" s="5">
        <v>45041</v>
      </c>
      <c r="L126" s="5" t="s">
        <v>319</v>
      </c>
      <c r="M126" s="5" t="s">
        <v>54</v>
      </c>
      <c r="N126" s="5" t="s">
        <v>66</v>
      </c>
      <c r="O126" s="5" t="s">
        <v>67</v>
      </c>
      <c r="P126" s="22">
        <v>45679</v>
      </c>
      <c r="Q126" s="22">
        <v>45689</v>
      </c>
      <c r="R126" s="5" t="s">
        <v>322</v>
      </c>
      <c r="T126" s="5" t="s">
        <v>60</v>
      </c>
    </row>
    <row r="127" spans="1:20" x14ac:dyDescent="0.25">
      <c r="A127" s="7">
        <v>45673</v>
      </c>
      <c r="B127">
        <v>29.04</v>
      </c>
      <c r="C127">
        <v>121</v>
      </c>
      <c r="D127">
        <v>40198305</v>
      </c>
      <c r="E127" t="s">
        <v>181</v>
      </c>
      <c r="F127" t="s">
        <v>182</v>
      </c>
      <c r="G127" t="str">
        <f t="shared" si="5"/>
        <v>Monica ODonnell</v>
      </c>
      <c r="H127" t="s">
        <v>93</v>
      </c>
      <c r="I127">
        <v>18010408</v>
      </c>
      <c r="J127" t="s">
        <v>307</v>
      </c>
      <c r="K127">
        <v>38399</v>
      </c>
      <c r="L127" t="s">
        <v>318</v>
      </c>
      <c r="M127" t="s">
        <v>80</v>
      </c>
      <c r="N127" t="s">
        <v>66</v>
      </c>
      <c r="O127" t="s">
        <v>67</v>
      </c>
      <c r="P127" s="7">
        <v>45516</v>
      </c>
      <c r="Q127" s="7">
        <v>45536</v>
      </c>
      <c r="R127" t="s">
        <v>321</v>
      </c>
      <c r="T127" t="s">
        <v>60</v>
      </c>
    </row>
    <row r="128" spans="1:20" x14ac:dyDescent="0.25">
      <c r="A128" s="7">
        <v>45666</v>
      </c>
      <c r="B128">
        <v>15.84</v>
      </c>
      <c r="C128">
        <v>66</v>
      </c>
      <c r="D128">
        <v>688051988</v>
      </c>
      <c r="E128" t="s">
        <v>214</v>
      </c>
      <c r="F128" t="s">
        <v>215</v>
      </c>
      <c r="G128" t="str">
        <f t="shared" si="5"/>
        <v>Emily Wike</v>
      </c>
      <c r="H128" t="s">
        <v>50</v>
      </c>
      <c r="I128">
        <v>18010408</v>
      </c>
      <c r="J128" t="s">
        <v>307</v>
      </c>
      <c r="K128">
        <v>38399</v>
      </c>
      <c r="L128" t="s">
        <v>318</v>
      </c>
      <c r="M128" t="s">
        <v>54</v>
      </c>
      <c r="N128" t="s">
        <v>66</v>
      </c>
      <c r="O128" t="s">
        <v>67</v>
      </c>
      <c r="P128" s="7">
        <v>45513</v>
      </c>
      <c r="Q128" s="7">
        <v>45536</v>
      </c>
      <c r="R128" t="s">
        <v>321</v>
      </c>
      <c r="T128" t="s">
        <v>60</v>
      </c>
    </row>
    <row r="129" spans="1:20" x14ac:dyDescent="0.25">
      <c r="A129" s="7">
        <v>45661</v>
      </c>
      <c r="B129">
        <v>15.84</v>
      </c>
      <c r="C129">
        <v>66</v>
      </c>
      <c r="D129">
        <v>384672439</v>
      </c>
      <c r="E129" t="s">
        <v>254</v>
      </c>
      <c r="F129" t="s">
        <v>255</v>
      </c>
      <c r="G129" t="str">
        <f t="shared" si="5"/>
        <v>Demetris Jones</v>
      </c>
      <c r="H129" t="s">
        <v>50</v>
      </c>
      <c r="I129">
        <v>18010408</v>
      </c>
      <c r="J129" t="s">
        <v>307</v>
      </c>
      <c r="K129">
        <v>38399</v>
      </c>
      <c r="L129" t="s">
        <v>318</v>
      </c>
      <c r="M129" t="s">
        <v>54</v>
      </c>
      <c r="N129" t="s">
        <v>66</v>
      </c>
      <c r="O129" t="s">
        <v>67</v>
      </c>
      <c r="P129" s="7">
        <v>45513</v>
      </c>
      <c r="Q129" s="7">
        <v>45536</v>
      </c>
      <c r="R129" t="s">
        <v>321</v>
      </c>
      <c r="T129" t="s">
        <v>60</v>
      </c>
    </row>
    <row r="130" spans="1:20" x14ac:dyDescent="0.25">
      <c r="A130" s="7">
        <v>45661</v>
      </c>
      <c r="B130">
        <v>31.68</v>
      </c>
      <c r="C130">
        <v>132</v>
      </c>
      <c r="D130">
        <v>476855083</v>
      </c>
      <c r="E130" t="s">
        <v>259</v>
      </c>
      <c r="F130" t="s">
        <v>260</v>
      </c>
      <c r="G130" t="str">
        <f t="shared" si="5"/>
        <v>Dana Wasimin</v>
      </c>
      <c r="H130" t="s">
        <v>93</v>
      </c>
      <c r="I130">
        <v>18010408</v>
      </c>
      <c r="J130" t="s">
        <v>307</v>
      </c>
      <c r="K130">
        <v>38399</v>
      </c>
      <c r="L130" t="s">
        <v>318</v>
      </c>
      <c r="M130" t="s">
        <v>80</v>
      </c>
      <c r="N130" t="s">
        <v>66</v>
      </c>
      <c r="O130" t="s">
        <v>67</v>
      </c>
      <c r="P130" s="7">
        <v>45510</v>
      </c>
      <c r="Q130" s="7">
        <v>45536</v>
      </c>
      <c r="R130" t="s">
        <v>321</v>
      </c>
      <c r="T130" t="s">
        <v>60</v>
      </c>
    </row>
    <row r="131" spans="1:20" x14ac:dyDescent="0.25">
      <c r="A131" s="7">
        <v>45661</v>
      </c>
      <c r="B131">
        <v>15.84</v>
      </c>
      <c r="C131">
        <v>66</v>
      </c>
      <c r="D131">
        <v>823492648</v>
      </c>
      <c r="E131" t="s">
        <v>261</v>
      </c>
      <c r="F131" t="s">
        <v>262</v>
      </c>
      <c r="G131" t="str">
        <f t="shared" si="5"/>
        <v>Samantha Bubb</v>
      </c>
      <c r="H131" t="s">
        <v>93</v>
      </c>
      <c r="I131">
        <v>18010408</v>
      </c>
      <c r="J131" t="s">
        <v>307</v>
      </c>
      <c r="K131">
        <v>38399</v>
      </c>
      <c r="L131" t="s">
        <v>318</v>
      </c>
      <c r="M131" t="s">
        <v>54</v>
      </c>
      <c r="N131" t="s">
        <v>66</v>
      </c>
      <c r="O131" t="s">
        <v>67</v>
      </c>
      <c r="P131" s="7">
        <v>45512</v>
      </c>
      <c r="Q131" s="7">
        <v>45536</v>
      </c>
      <c r="R131" t="s">
        <v>321</v>
      </c>
      <c r="T131" t="s">
        <v>60</v>
      </c>
    </row>
    <row r="132" spans="1:20" x14ac:dyDescent="0.25">
      <c r="A132" s="7">
        <v>45673</v>
      </c>
      <c r="B132">
        <v>5.55</v>
      </c>
      <c r="C132">
        <v>15</v>
      </c>
      <c r="D132">
        <v>868422442</v>
      </c>
      <c r="E132" t="s">
        <v>181</v>
      </c>
      <c r="F132" t="s">
        <v>182</v>
      </c>
      <c r="G132" t="str">
        <f t="shared" si="5"/>
        <v>Monica ODonnell</v>
      </c>
      <c r="H132" t="s">
        <v>93</v>
      </c>
      <c r="I132">
        <v>18010408</v>
      </c>
      <c r="J132" t="s">
        <v>307</v>
      </c>
      <c r="K132">
        <v>38593</v>
      </c>
      <c r="L132" t="s">
        <v>316</v>
      </c>
      <c r="M132" t="s">
        <v>101</v>
      </c>
      <c r="N132" t="s">
        <v>56</v>
      </c>
      <c r="O132" t="s">
        <v>57</v>
      </c>
      <c r="P132" s="7">
        <v>45516</v>
      </c>
      <c r="Q132" s="7">
        <v>45536</v>
      </c>
      <c r="R132" t="s">
        <v>321</v>
      </c>
      <c r="T132" t="s">
        <v>60</v>
      </c>
    </row>
    <row r="133" spans="1:20" x14ac:dyDescent="0.25">
      <c r="A133" s="7">
        <v>45666</v>
      </c>
      <c r="B133">
        <v>4.07</v>
      </c>
      <c r="C133">
        <v>11</v>
      </c>
      <c r="D133">
        <v>746163392</v>
      </c>
      <c r="E133" t="s">
        <v>214</v>
      </c>
      <c r="F133" t="s">
        <v>215</v>
      </c>
      <c r="G133" t="str">
        <f t="shared" si="5"/>
        <v>Emily Wike</v>
      </c>
      <c r="H133" t="s">
        <v>50</v>
      </c>
      <c r="I133">
        <v>18010408</v>
      </c>
      <c r="J133" t="s">
        <v>307</v>
      </c>
      <c r="K133">
        <v>38593</v>
      </c>
      <c r="L133" t="s">
        <v>316</v>
      </c>
      <c r="M133" t="s">
        <v>54</v>
      </c>
      <c r="N133" t="s">
        <v>56</v>
      </c>
      <c r="O133" t="s">
        <v>57</v>
      </c>
      <c r="P133" s="7">
        <v>45513</v>
      </c>
      <c r="Q133" s="7">
        <v>45536</v>
      </c>
      <c r="R133" t="s">
        <v>321</v>
      </c>
      <c r="T133" t="s">
        <v>60</v>
      </c>
    </row>
    <row r="134" spans="1:20" x14ac:dyDescent="0.25">
      <c r="A134" s="7">
        <v>45661</v>
      </c>
      <c r="B134">
        <v>4.07</v>
      </c>
      <c r="C134">
        <v>11</v>
      </c>
      <c r="D134">
        <v>125532058</v>
      </c>
      <c r="E134" t="s">
        <v>254</v>
      </c>
      <c r="F134" t="s">
        <v>255</v>
      </c>
      <c r="G134" t="str">
        <f t="shared" si="5"/>
        <v>Demetris Jones</v>
      </c>
      <c r="H134" t="s">
        <v>50</v>
      </c>
      <c r="I134">
        <v>18010408</v>
      </c>
      <c r="J134" t="s">
        <v>307</v>
      </c>
      <c r="K134">
        <v>38593</v>
      </c>
      <c r="L134" t="s">
        <v>316</v>
      </c>
      <c r="M134" t="s">
        <v>54</v>
      </c>
      <c r="N134" t="s">
        <v>56</v>
      </c>
      <c r="O134" t="s">
        <v>57</v>
      </c>
      <c r="P134" s="7">
        <v>45513</v>
      </c>
      <c r="Q134" s="7">
        <v>45536</v>
      </c>
      <c r="R134" t="s">
        <v>321</v>
      </c>
      <c r="T134" t="s">
        <v>60</v>
      </c>
    </row>
    <row r="135" spans="1:20" x14ac:dyDescent="0.25">
      <c r="A135" s="7">
        <v>45661</v>
      </c>
      <c r="B135">
        <v>5.55</v>
      </c>
      <c r="C135">
        <v>15</v>
      </c>
      <c r="D135">
        <v>583635919</v>
      </c>
      <c r="E135" t="s">
        <v>259</v>
      </c>
      <c r="F135" t="s">
        <v>260</v>
      </c>
      <c r="G135" t="str">
        <f t="shared" si="5"/>
        <v>Dana Wasimin</v>
      </c>
      <c r="H135" t="s">
        <v>93</v>
      </c>
      <c r="I135">
        <v>18010408</v>
      </c>
      <c r="J135" t="s">
        <v>307</v>
      </c>
      <c r="K135">
        <v>38593</v>
      </c>
      <c r="L135" t="s">
        <v>316</v>
      </c>
      <c r="M135" t="s">
        <v>101</v>
      </c>
      <c r="N135" t="s">
        <v>56</v>
      </c>
      <c r="O135" t="s">
        <v>57</v>
      </c>
      <c r="P135" s="7">
        <v>45510</v>
      </c>
      <c r="Q135" s="7">
        <v>45536</v>
      </c>
      <c r="R135" t="s">
        <v>321</v>
      </c>
      <c r="T135" t="s">
        <v>60</v>
      </c>
    </row>
    <row r="136" spans="1:20" x14ac:dyDescent="0.25">
      <c r="A136" s="7">
        <v>45661</v>
      </c>
      <c r="B136">
        <v>4.07</v>
      </c>
      <c r="C136">
        <v>11</v>
      </c>
      <c r="D136">
        <v>674977797</v>
      </c>
      <c r="E136" t="s">
        <v>261</v>
      </c>
      <c r="F136" t="s">
        <v>262</v>
      </c>
      <c r="G136" t="str">
        <f t="shared" ref="G136:G167" si="6">CONCATENATE(E136, " ",F136)</f>
        <v>Samantha Bubb</v>
      </c>
      <c r="H136" t="s">
        <v>93</v>
      </c>
      <c r="I136">
        <v>18010408</v>
      </c>
      <c r="J136" t="s">
        <v>307</v>
      </c>
      <c r="K136">
        <v>38593</v>
      </c>
      <c r="L136" t="s">
        <v>316</v>
      </c>
      <c r="M136" t="s">
        <v>54</v>
      </c>
      <c r="N136" t="s">
        <v>56</v>
      </c>
      <c r="O136" t="s">
        <v>57</v>
      </c>
      <c r="P136" s="7">
        <v>45512</v>
      </c>
      <c r="Q136" s="7">
        <v>45536</v>
      </c>
      <c r="R136" t="s">
        <v>321</v>
      </c>
      <c r="T136" t="s">
        <v>60</v>
      </c>
    </row>
    <row r="137" spans="1:20" x14ac:dyDescent="0.25">
      <c r="B137">
        <f>SUM(B2:B136)</f>
        <v>1456.6999999999987</v>
      </c>
    </row>
  </sheetData>
  <sortState xmlns:xlrd2="http://schemas.microsoft.com/office/spreadsheetml/2017/richdata2" ref="A72:T125">
    <sortCondition descending="1" ref="Q72:Q1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Statement</vt:lpstr>
      <vt:lpstr>Details</vt:lpstr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 Rookwood</dc:creator>
  <cp:lastModifiedBy>Janki Patel</cp:lastModifiedBy>
  <dcterms:created xsi:type="dcterms:W3CDTF">2025-02-07T07:06:49Z</dcterms:created>
  <dcterms:modified xsi:type="dcterms:W3CDTF">2025-02-12T21:10:07Z</dcterms:modified>
</cp:coreProperties>
</file>