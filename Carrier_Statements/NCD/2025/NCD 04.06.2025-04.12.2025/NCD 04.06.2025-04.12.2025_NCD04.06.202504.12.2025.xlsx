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04.06.2025-04.12.2025\"/>
    </mc:Choice>
  </mc:AlternateContent>
  <xr:revisionPtr revIDLastSave="0" documentId="13_ncr:1_{4E5DA06E-4F1C-481B-BE57-5FC195F436F9}" xr6:coauthVersionLast="47" xr6:coauthVersionMax="47" xr10:uidLastSave="{00000000-0000-0000-0000-000000000000}"/>
  <bookViews>
    <workbookView xWindow="-57720" yWindow="-120" windowWidth="29040" windowHeight="15720" activeTab="1" xr2:uid="{1268C906-2BA6-4694-AA6E-F7C5B1C5525B}"/>
  </bookViews>
  <sheets>
    <sheet name="Statement" sheetId="2" r:id="rId1"/>
    <sheet name="Details" sheetId="1" r:id="rId2"/>
  </sheets>
  <definedNames>
    <definedName name="_xlnm._FilterDatabase" localSheetId="1" hidden="1">Details!$A$1:$Y$3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<sst xmlns="http://schemas.openxmlformats.org/spreadsheetml/2006/main" count="86" uniqueCount="58">
  <si>
    <t>Posted Date</t>
  </si>
  <si>
    <t>Notes</t>
  </si>
  <si>
    <t>Credit</t>
  </si>
  <si>
    <t>Total</t>
  </si>
  <si>
    <t>Payee Agent ID</t>
  </si>
  <si>
    <t>Payee Agent Label</t>
  </si>
  <si>
    <t>Member ID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</si>
  <si>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</si>
  <si>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</si>
  <si>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</si>
  <si>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</si>
  <si>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</si>
  <si>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</si>
  <si>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</si>
  <si>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</si>
  <si>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</si>
  <si>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</si>
  <si>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</si>
  <si>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</si>
  <si>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</si>
  <si>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</si>
  <si>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</si>
  <si>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</si>
  <si>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Type</t>
  </si>
  <si>
    <t>Commissionable Amount</t>
  </si>
  <si>
    <t>Payout</t>
  </si>
  <si>
    <t>Payout Type</t>
  </si>
  <si>
    <t>Main Line Benefits LLC</t>
  </si>
  <si>
    <t>Paul</t>
  </si>
  <si>
    <t>Agbodjogbe</t>
  </si>
  <si>
    <t>MD</t>
  </si>
  <si>
    <t>Main Line Benefits LLC-Jared Kinyua</t>
  </si>
  <si>
    <t>NCD</t>
  </si>
  <si>
    <t>NCD Smile 2500 by MetLife</t>
  </si>
  <si>
    <t>Member</t>
  </si>
  <si>
    <t>Monthly</t>
  </si>
  <si>
    <t>Dental</t>
  </si>
  <si>
    <t>MetLife</t>
  </si>
  <si>
    <t>SALE</t>
  </si>
  <si>
    <t>Earned</t>
  </si>
  <si>
    <t>Carl</t>
  </si>
  <si>
    <t>Pine</t>
  </si>
  <si>
    <t>PA</t>
  </si>
  <si>
    <t>Main Line Benefits LLC-Alison Luse</t>
  </si>
  <si>
    <t>Member plus Spouse</t>
  </si>
  <si>
    <t>Grand Total</t>
  </si>
  <si>
    <t>(blank)</t>
  </si>
  <si>
    <t>Earned Total</t>
  </si>
  <si>
    <t>Sum of Net Commission</t>
  </si>
  <si>
    <t>Agent Label: Main Line Benefits LLC</t>
  </si>
  <si>
    <t>For the Period: NB 04.06.2025-04.12.2025</t>
  </si>
  <si>
    <t>Payout Date: 04.18.2025</t>
  </si>
  <si>
    <t>Earned Payout</t>
  </si>
  <si>
    <t>Total Payout</t>
  </si>
  <si>
    <t>Member Name</t>
  </si>
  <si>
    <t>Jared Kinyua</t>
  </si>
  <si>
    <t>Alison Luse</t>
  </si>
  <si>
    <t>9254978AV6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</si>
</sst>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  <xf numFmtId="0" fontId="0" fillId="0" borderId="0" xfId="0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367B70A4-2D42-4E2D-AC2E-29B35298EA24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64.789995717591" createdVersion="3" refreshedVersion="8" minRefreshableVersion="3" recordCount="2" xr:uid="{54DDD6CB-6BDB-46DE-9EBF-09A67C09C025}">
  <cacheSource type="worksheet">
    <worksheetSource ref="A1:Y3" sheet="Details"/>
  </cacheSource>
  <cacheFields count="45">
    <cacheField name="Posted Date" numFmtId="14">
      <sharedItems containsSemiMixedTypes="0" containsNonDate="0" containsDate="1" containsString="0" minDate="2025-04-11T00:00:00" maxDate="2025-04-12T00:00:00" count="1">
        <d v="2025-04-11T00:00:00"/>
      </sharedItems>
    </cacheField>
    <cacheField name="Created Date" numFmtId="14">
      <sharedItems containsSemiMixedTypes="0" containsNonDate="0" containsDate="1" containsString="0" minDate="2025-04-15T00:00:00" maxDate="2025-04-16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8" maxValue="14.72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8" maxValue="14.72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311399" maxValue="684314332" count="2">
        <n v="684311399"/>
        <n v="684314332"/>
      </sharedItems>
    </cacheField>
    <cacheField name="Member Company" numFmtId="0">
      <sharedItems containsNonDate="0" containsString="0" containsBlank="1"/>
    </cacheField>
    <cacheField name="Member First Name" numFmtId="0">
      <sharedItems count="2">
        <s v="Paul"/>
        <s v="Carl"/>
      </sharedItems>
    </cacheField>
    <cacheField name="Member Last Name" numFmtId="0">
      <sharedItems count="2">
        <s v="Agbodjogbe"/>
        <s v="Pine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798992" maxValue="820877" count="2">
        <n v="798992"/>
        <n v="820877"/>
      </sharedItems>
    </cacheField>
    <cacheField name="Member Agent Label" numFmtId="0">
      <sharedItems count="2">
        <s v="Main Line Benefits LLC-Jared Kinyua"/>
        <s v="Main Line Benefits LLC-Alison Luse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45041" maxValue="45041"/>
    </cacheField>
    <cacheField name="Product Label" numFmtId="0">
      <sharedItems count="1">
        <s v="NCD Smile 2500 by MetLife"/>
      </sharedItems>
    </cacheField>
    <cacheField name="Benefit" numFmtId="0">
      <sharedItems count="2">
        <s v="Member"/>
        <s v="Member plus Spouse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4-07T00:00:00" maxDate="2025-04-08T00:00:00"/>
    </cacheField>
    <cacheField name="Product Active Date" numFmtId="14">
      <sharedItems containsSemiMixedTypes="0" containsNonDate="0" containsDate="1" containsString="0" minDate="2025-05-01T00:00:00" maxDate="2025-05-02T00:00:00"/>
    </cacheField>
    <cacheField name="Policy Number" numFmtId="0">
      <sharedItems containsSemiMixedTypes="0" containsString="0" containsNumber="1" containsInteger="1" minValue="328251776" maxValue="542134560" count="2">
        <n v="542134560"/>
        <n v="328251776"/>
      </sharedItems>
    </cacheField>
    <cacheField name="Transaction ID" numFmtId="0">
      <sharedItems containsSemiMixedTypes="0" containsString="0" containsNumber="1" containsInteger="1" minValue="10586956656" maxValue="10587510388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0">
      <sharedItems containsNonDate="0" containsString="0" containsBlank="1"/>
    </cacheField>
    <cacheField name="Transaction Paid Through End" numFmtId="0">
      <sharedItems containsNonDate="0" containsString="0" containsBlank="1"/>
    </cacheField>
    <cacheField name="Commissionable Amount" numFmtId="8">
      <sharedItems containsSemiMixedTypes="0" containsString="0" containsNumber="1" containsInteger="1" minValue="25" maxValue="46" count="2">
        <n v="25"/>
        <n v="46"/>
      </sharedItems>
    </cacheField>
    <cacheField name="Payout" numFmtId="9">
      <sharedItems containsSemiMixedTypes="0" containsString="0" containsNumber="1" minValue="0.32" maxValue="0.32"/>
    </cacheField>
    <cacheField name="Payable ID" numFmtId="0">
      <sharedItems containsSemiMixedTypes="0" containsString="0" containsNumber="1" containsInteger="1" minValue="1338525831" maxValue="1338526065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d v="2025-04-15T00:00:00"/>
    <s v="COMM"/>
    <s v="Product"/>
    <x v="0"/>
    <n v="8"/>
    <n v="0"/>
    <n v="8"/>
    <n v="653470"/>
    <s v="Main Line Benefits LLC"/>
    <m/>
    <m/>
    <m/>
    <m/>
    <m/>
    <x v="0"/>
    <m/>
    <x v="0"/>
    <x v="0"/>
    <s v="MD"/>
    <x v="0"/>
    <x v="0"/>
    <s v="NCD"/>
    <m/>
    <n v="45041"/>
    <x v="0"/>
    <x v="0"/>
    <s v="Monthly"/>
    <s v="Dental"/>
    <s v="MetLife"/>
    <d v="2025-04-07T00:00:00"/>
    <d v="2025-05-01T00:00:00"/>
    <x v="0"/>
    <n v="10586956656"/>
    <m/>
    <x v="0"/>
    <s v="ACH"/>
    <n v="1"/>
    <m/>
    <m/>
    <x v="0"/>
    <n v="0.32"/>
    <n v="1338526065"/>
    <m/>
    <x v="0"/>
  </r>
  <r>
    <x v="0"/>
    <d v="2025-04-15T00:00:00"/>
    <s v="COMM"/>
    <s v="Product"/>
    <x v="0"/>
    <n v="14.72"/>
    <n v="0"/>
    <n v="14.72"/>
    <n v="653470"/>
    <s v="Main Line Benefits LLC"/>
    <m/>
    <m/>
    <m/>
    <m/>
    <m/>
    <x v="1"/>
    <m/>
    <x v="1"/>
    <x v="1"/>
    <s v="PA"/>
    <x v="1"/>
    <x v="1"/>
    <s v="NCD"/>
    <m/>
    <n v="45041"/>
    <x v="0"/>
    <x v="1"/>
    <s v="Monthly"/>
    <s v="Dental"/>
    <s v="MetLife"/>
    <d v="2025-04-07T00:00:00"/>
    <d v="2025-05-01T00:00:00"/>
    <x v="1"/>
    <n v="10587510388"/>
    <m/>
    <x v="0"/>
    <s v="ACH"/>
    <n v="1"/>
    <m/>
    <m/>
    <x v="1"/>
    <n v="0.32"/>
    <n v="133852583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3125D-9DB5-4451-8C95-8D5C621E4532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multipleFieldFilters="0" rowHeaderCaption="Payout Type">
  <location ref="A10:N14" firstHeaderRow="1" firstDataRow="1" firstDataCol="13"/>
  <pivotFields count="45">
    <pivotField axis="axisRow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axis="axisRow" numFmtId="164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4">
    <i>
      <x/>
      <x/>
      <x v="1"/>
      <x/>
      <x/>
      <x v="1"/>
      <x v="1"/>
      <x/>
      <x/>
      <x/>
      <x/>
      <x/>
      <x/>
    </i>
    <i r="1">
      <x v="1"/>
      <x/>
      <x v="1"/>
      <x v="1"/>
      <x/>
      <x/>
      <x/>
      <x v="1"/>
      <x/>
      <x/>
      <x/>
      <x v="1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A611-C885-40EF-8E28-9A0AEC0EBDAD}">
  <dimension ref="A1:P14"/>
  <sheetViews>
    <sheetView workbookViewId="0">
      <selection activeCell="N10" sqref="N10"/>
    </sheetView>
  </sheetViews>
  <sheetFormatPr defaultColWidth="0" defaultRowHeight="15" x14ac:dyDescent="0.25"/>
  <cols>
    <col min="1" max="1" width="46.28515625" bestFit="1" customWidth="1"/>
    <col min="2" max="2" width="12.28515625" bestFit="1" customWidth="1"/>
    <col min="3" max="3" width="19.7109375" bestFit="1" customWidth="1"/>
    <col min="4" max="4" width="19.42578125" bestFit="1" customWidth="1"/>
    <col min="5" max="5" width="17.28515625" bestFit="1" customWidth="1"/>
    <col min="6" max="6" width="31.5703125" bestFit="1" customWidth="1"/>
    <col min="7" max="7" width="15.5703125" bestFit="1" customWidth="1"/>
    <col min="8" max="8" width="24.28515625" bestFit="1" customWidth="1"/>
    <col min="9" max="9" width="19.42578125" bestFit="1" customWidth="1"/>
    <col min="10" max="10" width="13.28515625" bestFit="1" customWidth="1"/>
    <col min="11" max="11" width="17.28515625" bestFit="1" customWidth="1"/>
    <col min="12" max="12" width="8.140625" bestFit="1" customWidth="1"/>
    <col min="13" max="13" width="24.42578125" bestFit="1" customWidth="1"/>
    <col min="14" max="14" width="21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32</v>
      </c>
    </row>
    <row r="2" spans="1:14" s="8" customFormat="1" ht="18.75" x14ac:dyDescent="0.3">
      <c r="A2" s="9" t="s">
        <v>49</v>
      </c>
    </row>
    <row r="3" spans="1:14" s="8" customFormat="1" ht="18.75" x14ac:dyDescent="0.3">
      <c r="A3" s="9" t="s">
        <v>50</v>
      </c>
    </row>
    <row r="4" spans="1:14" s="8" customFormat="1" ht="19.5" thickBot="1" x14ac:dyDescent="0.35">
      <c r="A4" s="9" t="s">
        <v>51</v>
      </c>
    </row>
    <row r="5" spans="1:14" s="8" customFormat="1" ht="21.75" thickBot="1" x14ac:dyDescent="0.4">
      <c r="C5" s="12" t="s">
        <v>52</v>
      </c>
      <c r="D5" s="13">
        <v>22.72</v>
      </c>
      <c r="E5" s="14" t="s">
        <v>53</v>
      </c>
      <c r="F5" s="15">
        <v>22.72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6" t="s">
        <v>26</v>
      </c>
      <c r="B10" s="6" t="s">
        <v>6</v>
      </c>
      <c r="C10" s="6" t="s">
        <v>7</v>
      </c>
      <c r="D10" s="6" t="s">
        <v>8</v>
      </c>
      <c r="E10" s="6" t="s">
        <v>10</v>
      </c>
      <c r="F10" s="6" t="s">
        <v>11</v>
      </c>
      <c r="G10" s="6" t="s">
        <v>21</v>
      </c>
      <c r="H10" s="6" t="s">
        <v>14</v>
      </c>
      <c r="I10" s="6" t="s">
        <v>15</v>
      </c>
      <c r="J10" s="6" t="s">
        <v>0</v>
      </c>
      <c r="K10" s="6" t="s">
        <v>23</v>
      </c>
      <c r="L10" s="6" t="s">
        <v>1</v>
      </c>
      <c r="M10" s="6" t="s">
        <v>24</v>
      </c>
      <c r="N10" t="s">
        <v>48</v>
      </c>
    </row>
    <row r="11" spans="1:14" x14ac:dyDescent="0.25">
      <c r="A11" t="s">
        <v>39</v>
      </c>
      <c r="B11">
        <v>684311399</v>
      </c>
      <c r="C11" t="s">
        <v>28</v>
      </c>
      <c r="D11" t="s">
        <v>29</v>
      </c>
      <c r="E11">
        <v>798992</v>
      </c>
      <c r="F11" t="s">
        <v>31</v>
      </c>
      <c r="G11">
        <v>542134560</v>
      </c>
      <c r="H11" t="s">
        <v>33</v>
      </c>
      <c r="I11" t="s">
        <v>34</v>
      </c>
      <c r="J11" s="2">
        <v>45758</v>
      </c>
      <c r="K11" t="s">
        <v>38</v>
      </c>
      <c r="L11" t="s">
        <v>46</v>
      </c>
      <c r="M11" s="7">
        <v>25</v>
      </c>
      <c r="N11" s="7">
        <v>8</v>
      </c>
    </row>
    <row r="12" spans="1:14" x14ac:dyDescent="0.25">
      <c r="A12" t="s">
        <v>39</v>
      </c>
      <c r="B12">
        <v>684314332</v>
      </c>
      <c r="C12" t="s">
        <v>40</v>
      </c>
      <c r="D12" t="s">
        <v>41</v>
      </c>
      <c r="E12">
        <v>820877</v>
      </c>
      <c r="F12" t="s">
        <v>43</v>
      </c>
      <c r="G12">
        <v>328251776</v>
      </c>
      <c r="H12" t="s">
        <v>33</v>
      </c>
      <c r="I12" t="s">
        <v>44</v>
      </c>
      <c r="J12" s="2">
        <v>45758</v>
      </c>
      <c r="K12" t="s">
        <v>38</v>
      </c>
      <c r="L12" t="s">
        <v>46</v>
      </c>
      <c r="M12" s="7">
        <v>46</v>
      </c>
      <c r="N12" s="7">
        <v>14.72</v>
      </c>
    </row>
    <row r="13" spans="1:14" ht="18.75" x14ac:dyDescent="0.3">
      <c r="A13" s="10" t="s">
        <v>47</v>
      </c>
      <c r="N13" s="11">
        <v>22.72</v>
      </c>
    </row>
    <row r="14" spans="1:14" x14ac:dyDescent="0.25">
      <c r="A14" t="s">
        <v>45</v>
      </c>
      <c r="N14" s="7">
        <v>22.72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58F4-8041-4659-AAA3-69632574D3BA}">
  <dimension ref="A1:AP3"/>
  <sheetViews>
    <sheetView tabSelected="1" workbookViewId="0">
      <selection activeCell="X2" sqref="X2"/>
    </sheetView>
  </sheetViews>
  <sheetFormatPr defaultRowHeight="15" x14ac:dyDescent="0.25"/>
  <cols>
    <col min="1" max="1" width="11.42578125" bestFit="1" customWidth="1"/>
    <col min="2" max="2" width="6.140625" bestFit="1" customWidth="1"/>
    <col min="3" max="3" width="6" bestFit="1" customWidth="1"/>
    <col min="4" max="4" width="13.85546875" bestFit="1" customWidth="1"/>
    <col min="5" max="5" width="23.7109375" bestFit="1" customWidth="1"/>
    <col min="6" max="6" width="7" bestFit="1" customWidth="1"/>
    <col min="7" max="7" width="20.42578125" bestFit="1" customWidth="1"/>
    <col min="8" max="8" width="10.42578125" bestFit="1" customWidth="1"/>
    <col min="9" max="9" width="17" bestFit="1" customWidth="1"/>
    <col min="10" max="10" width="18.42578125" bestFit="1" customWidth="1"/>
    <col min="11" max="11" width="18.140625" bestFit="1" customWidth="1"/>
    <col min="12" max="12" width="12.85546875" bestFit="1" customWidth="1"/>
    <col min="13" max="13" width="15.85546875" bestFit="1" customWidth="1"/>
    <col min="14" max="14" width="32.7109375" bestFit="1" customWidth="1"/>
    <col min="15" max="15" width="21.85546875" bestFit="1" customWidth="1"/>
    <col min="16" max="16" width="10.140625" bestFit="1" customWidth="1"/>
    <col min="17" max="17" width="24" bestFit="1" customWidth="1"/>
    <col min="18" max="18" width="19.5703125" bestFit="1" customWidth="1"/>
    <col min="19" max="19" width="8" bestFit="1" customWidth="1"/>
    <col min="20" max="20" width="16" bestFit="1" customWidth="1"/>
    <col min="21" max="21" width="17.5703125" bestFit="1" customWidth="1"/>
    <col min="22" max="22" width="19.7109375" bestFit="1" customWidth="1"/>
    <col min="23" max="23" width="18.140625" bestFit="1" customWidth="1"/>
    <col min="24" max="25" width="14" bestFit="1" customWidth="1"/>
    <col min="16362" max="16362" width="10.42578125" bestFit="1" customWidth="1"/>
    <col min="16363" max="16384" width="10.42578125" customWidth="1"/>
  </cols>
  <sheetData>
    <row r="1" spans="1:42" x14ac:dyDescent="0.25">
      <c r="A1" t="s">
        <v>0</v>
      </c>
      <c r="B1" t="s">
        <v>2</v>
      </c>
      <c r="C1" t="s">
        <v>3</v>
      </c>
      <c r="D1" t="s">
        <v>4</v>
      </c>
      <c r="E1" t="s">
        <v>24</v>
      </c>
      <c r="F1" t="s">
        <v>25</v>
      </c>
      <c r="G1" t="s">
        <v>5</v>
      </c>
      <c r="H1" t="s">
        <v>6</v>
      </c>
      <c r="I1" t="s">
        <v>54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AH1" s="1"/>
    </row>
    <row r="2" spans="1:42" x14ac:dyDescent="0.25">
      <c r="A2" s="2">
        <v>45758</v>
      </c>
      <c r="B2">
        <v>8</v>
      </c>
      <c r="C2">
        <v>8</v>
      </c>
      <c r="D2">
        <v>653470</v>
      </c>
      <c r="E2" s="3">
        <v>25</v>
      </c>
      <c r="F2" s="4">
        <v>0.32</v>
      </c>
      <c r="G2" t="s">
        <v>27</v>
      </c>
      <c r="H2">
        <v>684311399</v>
      </c>
      <c r="I2" t="str">
        <f>CONCATENATE(J2, " ",K2)</f>
        <v>Paul Agbodjogbe</v>
      </c>
      <c r="J2" t="s">
        <v>28</v>
      </c>
      <c r="K2" t="s">
        <v>29</v>
      </c>
      <c r="L2" t="s">
        <v>30</v>
      </c>
      <c r="M2">
        <v>19279958</v>
      </c>
      <c r="N2" t="s">
        <v>55</v>
      </c>
      <c r="O2" t="s">
        <v>32</v>
      </c>
      <c r="P2">
        <v>45041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s="2">
        <v>45754</v>
      </c>
      <c r="W2" s="2">
        <v>45778</v>
      </c>
      <c r="X2">
        <v>542134560</v>
      </c>
      <c r="Y2">
        <v>10586956656</v>
      </c>
      <c r="AF2" s="2"/>
      <c r="AN2" s="5"/>
      <c r="AP2" s="1"/>
    </row>
    <row r="3" spans="1:42" x14ac:dyDescent="0.25">
      <c r="A3" s="2">
        <v>45758</v>
      </c>
      <c r="B3">
        <v>14.72</v>
      </c>
      <c r="C3">
        <v>14.72</v>
      </c>
      <c r="D3">
        <v>653470</v>
      </c>
      <c r="E3" s="3">
        <v>46</v>
      </c>
      <c r="F3" s="4">
        <v>0.32</v>
      </c>
      <c r="G3" t="s">
        <v>27</v>
      </c>
      <c r="H3">
        <v>684314332</v>
      </c>
      <c r="I3" t="str">
        <f>CONCATENATE(J3, " ",K3)</f>
        <v>Carl Pine</v>
      </c>
      <c r="J3" t="s">
        <v>40</v>
      </c>
      <c r="K3" t="s">
        <v>41</v>
      </c>
      <c r="L3" t="s">
        <v>42</v>
      </c>
      <c r="M3" s="16" t="s">
        <v>57</v>
      </c>
      <c r="N3" t="s">
        <v>56</v>
      </c>
      <c r="O3" t="s">
        <v>32</v>
      </c>
      <c r="P3">
        <v>45041</v>
      </c>
      <c r="Q3" t="s">
        <v>33</v>
      </c>
      <c r="R3" t="s">
        <v>44</v>
      </c>
      <c r="S3" t="s">
        <v>35</v>
      </c>
      <c r="T3" t="s">
        <v>36</v>
      </c>
      <c r="U3" t="s">
        <v>37</v>
      </c>
      <c r="V3" s="2">
        <v>45754</v>
      </c>
      <c r="W3" s="2">
        <v>45778</v>
      </c>
      <c r="X3">
        <v>328251776</v>
      </c>
      <c r="Y3">
        <v>10587510388</v>
      </c>
      <c r="AF3" s="2"/>
      <c r="AN3" s="5"/>
      <c r="AP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2025-04-17T23:57:35Z</dcterms:created>
  <dcterms:modified xsi:type="dcterms:W3CDTF">2025-04-20T19:43:57Z</dcterms:modified>
</cp:coreProperties>
</file>