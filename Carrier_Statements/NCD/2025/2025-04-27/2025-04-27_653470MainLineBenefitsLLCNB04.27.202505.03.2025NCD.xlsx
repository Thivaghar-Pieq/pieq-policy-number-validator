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4-27-25 to 05-03-25\"/>
    </mc:Choice>
  </mc:AlternateContent>
  <xr:revisionPtr revIDLastSave="0" documentId="13_ncr:1_{17CD3EB8-B17B-4B13-AA8C-A10FBEA498F0}" xr6:coauthVersionLast="47" xr6:coauthVersionMax="47" xr10:uidLastSave="{00000000-0000-0000-0000-000000000000}"/>
  <bookViews>
    <workbookView xWindow="-57720" yWindow="-45" windowWidth="29040" windowHeight="15720" xr2:uid="{74229B0F-D92B-4019-928E-F586AEDA68C9}"/>
  </bookViews>
  <sheets>
    <sheet name="Statement" sheetId="2" r:id="rId1"/>
    <sheet name="Details" sheetId="1" r:id="rId2"/>
  </sheets>
  <definedNames>
    <definedName name="_xlnm._FilterDatabase" localSheetId="1" hidden="1">Details!$A$1:$AS$2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<sst xmlns="http://schemas.openxmlformats.org/spreadsheetml/2006/main" count="91" uniqueCount="70">
  <si>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</si>
  <si>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</si>
  <si>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</si>
  <si>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</si>
  <si>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</si>
  <si>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</si>
  <si>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</si>
  <si>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</si>
  <si>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</si>
  <si>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</si>
  <si>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</si>
  <si>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</si>
  <si>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</si>
  <si>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</si>
  <si>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</si>
  <si>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</si>
  <si>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</si>
  <si>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</si>
  <si>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</si>
  <si>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</si>
  <si>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</si>
  <si>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</si>
  <si>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</si>
  <si>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</si>
  <si>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</si>
  <si>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</si>
  <si>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</si>
  <si>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</si>
  <si>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</si>
  <si>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</si>
  <si>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</si>
  <si>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</si>
  <si>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</si>
  <si>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</si>
  <si>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</si>
  <si>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</si>
  <si>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</si>
  <si>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</si>
  <si>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</si>
  <si>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</si>
  <si>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</si>
  <si>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</si>
  <si>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</si>
  <si>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</si>
  <si>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</si>
  <si>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</si>
  <si>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</si>
  <si>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</si>
  <si>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Barbara</t>
  </si>
  <si>
    <t>Mason-Jonas</t>
  </si>
  <si>
    <t>FL</t>
  </si>
  <si>
    <t>Lori Tunstall</t>
  </si>
  <si>
    <t>NCD</t>
  </si>
  <si>
    <t>NCD Complete by MetLife</t>
  </si>
  <si>
    <t>Member</t>
  </si>
  <si>
    <t>Monthly</t>
  </si>
  <si>
    <t>Dental</t>
  </si>
  <si>
    <t>MetLife</t>
  </si>
  <si>
    <t>SALE</t>
  </si>
  <si>
    <t>CC</t>
  </si>
  <si>
    <t>Earned</t>
  </si>
  <si>
    <t>Grand Total</t>
  </si>
  <si>
    <t>(blank)</t>
  </si>
  <si>
    <t>Earned Total</t>
  </si>
  <si>
    <t>Sum of Net Commission</t>
  </si>
  <si>
    <t>Agent Label: Main Line Benefits LLC</t>
  </si>
  <si>
    <t xml:space="preserve">For the Period: NB 04.27.2025-05.03.2025 NCD </t>
  </si>
  <si>
    <t>Payout Date: 05.09.2025</t>
  </si>
  <si>
    <t>Earned Payout</t>
  </si>
  <si>
    <t>Total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</si>
</sst>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0" fontId="0" fillId="0" borderId="0" xfId="0" pivotButton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2" borderId="1" xfId="0" applyFont="1" applyFill="1" applyBorder="1"/>
    <xf numFmtId="44" fontId="5" fillId="3" borderId="2" xfId="1" applyFont="1" applyFill="1" applyBorder="1"/>
    <xf numFmtId="0" fontId="6" fillId="2" borderId="2" xfId="0" applyFont="1" applyFill="1" applyBorder="1"/>
    <xf numFmtId="44" fontId="5" fillId="3" borderId="3" xfId="1" applyFont="1" applyFill="1" applyBorder="1"/>
  </cellXfs>
  <cellStyles count="2">
    <cellStyle name="Currency" xfId="1" builtinId="4"/>
    <cellStyle name="Normal" xfId="0" builtinId="0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8D27CF9E-7524-46C7-A9CF-6D22FB593EC7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ow" refreshedDate="45784.590895370369" createdVersion="3" refreshedVersion="8" minRefreshableVersion="3" recordCount="1" xr:uid="{D876A33E-C55B-4E27-B490-D060306335E9}">
  <cacheSource type="worksheet">
    <worksheetSource ref="A1:AS2" sheet="Details"/>
  </cacheSource>
  <cacheFields count="45">
    <cacheField name="Posted Date" numFmtId="14">
      <sharedItems containsSemiMixedTypes="0" containsNonDate="0" containsDate="1" containsString="0" minDate="2025-04-28T00:00:00" maxDate="2025-04-29T00:00:00" count="1">
        <d v="2025-04-28T00:00:00"/>
      </sharedItems>
    </cacheField>
    <cacheField name="Created Date" numFmtId="14">
      <sharedItems containsSemiMixedTypes="0" containsNonDate="0" containsDate="1" containsString="0" minDate="2025-04-28T00:00:00" maxDate="2025-04-29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2.13" maxValue="2.13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2.13" maxValue="2.13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425815" maxValue="684425815" count="1">
        <n v="684425815"/>
      </sharedItems>
    </cacheField>
    <cacheField name="Member Company" numFmtId="0">
      <sharedItems containsNonDate="0" containsString="0" containsBlank="1"/>
    </cacheField>
    <cacheField name="Member First Name" numFmtId="0">
      <sharedItems count="1">
        <s v="Barbara"/>
      </sharedItems>
    </cacheField>
    <cacheField name="Member Last Name" numFmtId="0">
      <sharedItems count="1">
        <s v="Mason-Jonas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11419" maxValue="711419" count="1">
        <n v="711419"/>
      </sharedItems>
    </cacheField>
    <cacheField name="Member Agent Label" numFmtId="0">
      <sharedItems count="1">
        <s v="Lori Tunstall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399" maxValue="38399"/>
    </cacheField>
    <cacheField name="Product Label" numFmtId="0">
      <sharedItems count="1">
        <s v="NCD Complete by MetLife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4-28T00:00:00" maxDate="2025-04-29T00:00:00"/>
    </cacheField>
    <cacheField name="Product Active Date" numFmtId="14">
      <sharedItems containsSemiMixedTypes="0" containsNonDate="0" containsDate="1" containsString="0" minDate="2025-05-01T00:00:00" maxDate="2025-05-02T00:00:00"/>
    </cacheField>
    <cacheField name="Policy Number" numFmtId="0">
      <sharedItems containsSemiMixedTypes="0" containsString="0" containsNumber="1" containsInteger="1" minValue="540552002" maxValue="540552002" count="1">
        <n v="540552002"/>
      </sharedItems>
    </cacheField>
    <cacheField name="Transaction ID" numFmtId="0">
      <sharedItems containsSemiMixedTypes="0" containsString="0" containsNumber="1" containsInteger="1" minValue="10654501225" maxValue="10654501225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5-01T00:00:00" maxDate="2025-05-02T00:00:00"/>
    </cacheField>
    <cacheField name="Transaction Paid Through End" numFmtId="14">
      <sharedItems containsSemiMixedTypes="0" containsNonDate="0" containsDate="1" containsString="0" minDate="2025-05-31T00:00:00" maxDate="2025-06-01T00:00:00"/>
    </cacheField>
    <cacheField name="Commissionable Amount" numFmtId="8">
      <sharedItems containsSemiMixedTypes="0" containsString="0" containsNumber="1" containsInteger="1" minValue="71" maxValue="71" count="1">
        <n v="71"/>
      </sharedItems>
    </cacheField>
    <cacheField name="Payout" numFmtId="9">
      <sharedItems containsSemiMixedTypes="0" containsString="0" containsNumber="1" minValue="0.03" maxValue="0.03"/>
    </cacheField>
    <cacheField name="Payable ID" numFmtId="0">
      <sharedItems containsSemiMixedTypes="0" containsString="0" containsNumber="1" containsInteger="1" minValue="1349048447" maxValue="1349048447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d v="2025-04-28T00:00:00"/>
    <s v="COMM"/>
    <s v="Product"/>
    <x v="0"/>
    <n v="2.13"/>
    <n v="0"/>
    <n v="2.13"/>
    <n v="653470"/>
    <s v="Main Line Benefits LLC"/>
    <m/>
    <m/>
    <m/>
    <m/>
    <m/>
    <x v="0"/>
    <m/>
    <x v="0"/>
    <x v="0"/>
    <s v="FL"/>
    <x v="0"/>
    <x v="0"/>
    <s v="NCD"/>
    <m/>
    <n v="38399"/>
    <x v="0"/>
    <x v="0"/>
    <s v="Monthly"/>
    <s v="Dental"/>
    <s v="MetLife"/>
    <d v="2025-04-28T00:00:00"/>
    <d v="2025-05-01T00:00:00"/>
    <x v="0"/>
    <n v="10654501225"/>
    <m/>
    <x v="0"/>
    <s v="CC"/>
    <n v="1"/>
    <d v="2025-05-01T00:00:00"/>
    <d v="2025-05-31T00:00:00"/>
    <x v="0"/>
    <n v="0.03"/>
    <n v="1349048447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9DB7C-DDD9-4E06-A9EC-2806B1D17B21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3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3">
    <i>
      <x/>
      <x/>
      <x/>
      <x/>
      <x/>
      <x/>
      <x/>
      <x/>
      <x/>
      <x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E818-5D89-436C-87B3-C6C0D8F03220}">
  <dimension ref="A1:P13"/>
  <sheetViews>
    <sheetView tabSelected="1" topLeftCell="B1" workbookViewId="0">
      <selection activeCell="G11" sqref="G11"/>
    </sheetView>
  </sheetViews>
  <sheetFormatPr defaultColWidth="0" defaultRowHeight="15" x14ac:dyDescent="0.25"/>
  <cols>
    <col min="1" max="1" width="52.28515625" bestFit="1" customWidth="1"/>
    <col min="2" max="2" width="12.28515625" bestFit="1" customWidth="1"/>
    <col min="3" max="3" width="19.7109375" bestFit="1" customWidth="1"/>
    <col min="4" max="4" width="19.42578125" bestFit="1" customWidth="1"/>
    <col min="5" max="5" width="17.28515625" bestFit="1" customWidth="1"/>
    <col min="6" max="6" width="20.28515625" bestFit="1" customWidth="1"/>
    <col min="7" max="7" width="15.5703125" bestFit="1" customWidth="1"/>
    <col min="8" max="8" width="23.28515625" bestFit="1" customWidth="1"/>
    <col min="9" max="9" width="9.28515625" bestFit="1" customWidth="1"/>
    <col min="10" max="10" width="13.28515625" bestFit="1" customWidth="1"/>
    <col min="11" max="11" width="17.28515625" bestFit="1" customWidth="1"/>
    <col min="12" max="12" width="8.140625" bestFit="1" customWidth="1"/>
    <col min="13" max="13" width="24.42578125" bestFit="1" customWidth="1"/>
    <col min="14" max="14" width="21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52</v>
      </c>
    </row>
    <row r="2" spans="1:14" s="8" customFormat="1" ht="18.75" x14ac:dyDescent="0.3">
      <c r="A2" s="9" t="s">
        <v>65</v>
      </c>
    </row>
    <row r="3" spans="1:14" s="8" customFormat="1" ht="18.75" x14ac:dyDescent="0.3">
      <c r="A3" s="9" t="s">
        <v>66</v>
      </c>
    </row>
    <row r="4" spans="1:14" s="8" customFormat="1" ht="19.5" thickBot="1" x14ac:dyDescent="0.35">
      <c r="A4" s="9" t="s">
        <v>67</v>
      </c>
    </row>
    <row r="5" spans="1:14" s="8" customFormat="1" ht="21.75" thickBot="1" x14ac:dyDescent="0.4">
      <c r="C5" s="12" t="s">
        <v>68</v>
      </c>
      <c r="D5" s="13">
        <v>2.13</v>
      </c>
      <c r="E5" s="14" t="s">
        <v>69</v>
      </c>
      <c r="F5" s="15">
        <v>2.13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5" t="s">
        <v>44</v>
      </c>
      <c r="B10" s="5" t="s">
        <v>15</v>
      </c>
      <c r="C10" s="5" t="s">
        <v>17</v>
      </c>
      <c r="D10" s="5" t="s">
        <v>18</v>
      </c>
      <c r="E10" s="5" t="s">
        <v>20</v>
      </c>
      <c r="F10" s="5" t="s">
        <v>21</v>
      </c>
      <c r="G10" s="5" t="s">
        <v>32</v>
      </c>
      <c r="H10" s="5" t="s">
        <v>25</v>
      </c>
      <c r="I10" s="5" t="s">
        <v>26</v>
      </c>
      <c r="J10" s="5" t="s">
        <v>0</v>
      </c>
      <c r="K10" s="5" t="s">
        <v>35</v>
      </c>
      <c r="L10" s="5" t="s">
        <v>4</v>
      </c>
      <c r="M10" s="5" t="s">
        <v>40</v>
      </c>
      <c r="N10" t="s">
        <v>64</v>
      </c>
    </row>
    <row r="11" spans="1:14" x14ac:dyDescent="0.25">
      <c r="A11" t="s">
        <v>60</v>
      </c>
      <c r="B11">
        <v>684425815</v>
      </c>
      <c r="C11" t="s">
        <v>48</v>
      </c>
      <c r="D11" t="s">
        <v>49</v>
      </c>
      <c r="E11">
        <v>711419</v>
      </c>
      <c r="F11" t="s">
        <v>51</v>
      </c>
      <c r="G11">
        <v>540552002</v>
      </c>
      <c r="H11" t="s">
        <v>53</v>
      </c>
      <c r="I11" t="s">
        <v>54</v>
      </c>
      <c r="J11" s="6">
        <v>45775</v>
      </c>
      <c r="K11" t="s">
        <v>58</v>
      </c>
      <c r="L11" t="s">
        <v>62</v>
      </c>
      <c r="M11" s="7">
        <v>71</v>
      </c>
      <c r="N11" s="7">
        <v>2.13</v>
      </c>
    </row>
    <row r="12" spans="1:14" ht="18.75" x14ac:dyDescent="0.3">
      <c r="A12" s="10" t="s">
        <v>63</v>
      </c>
      <c r="N12" s="11">
        <v>2.13</v>
      </c>
    </row>
    <row r="13" spans="1:14" x14ac:dyDescent="0.25">
      <c r="A13" t="s">
        <v>61</v>
      </c>
      <c r="N13" s="7">
        <v>2.13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FC52-91CF-4C02-BFFD-E8210B9FA43F}">
  <dimension ref="A1:BM2"/>
  <sheetViews>
    <sheetView topLeftCell="N1" workbookViewId="0">
      <selection activeCell="AO5" sqref="AO5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6.7109375" bestFit="1" customWidth="1"/>
    <col min="4" max="4" width="7.85546875" bestFit="1" customWidth="1"/>
    <col min="5" max="6" width="6.140625" bestFit="1" customWidth="1"/>
    <col min="7" max="7" width="5.5703125" bestFit="1" customWidth="1"/>
    <col min="8" max="8" width="5.42578125" bestFit="1" customWidth="1"/>
    <col min="9" max="9" width="13.85546875" bestFit="1" customWidth="1"/>
    <col min="10" max="10" width="20.42578125" bestFit="1" customWidth="1"/>
    <col min="11" max="12" width="15.28515625" bestFit="1" customWidth="1"/>
    <col min="13" max="13" width="9.7109375" bestFit="1" customWidth="1"/>
    <col min="14" max="14" width="10.85546875" bestFit="1" customWidth="1"/>
    <col min="15" max="15" width="13.7109375" bestFit="1" customWidth="1"/>
    <col min="16" max="16" width="10.42578125" bestFit="1" customWidth="1"/>
    <col min="17" max="17" width="17" bestFit="1" customWidth="1"/>
    <col min="18" max="18" width="18.42578125" bestFit="1" customWidth="1"/>
    <col min="19" max="19" width="18.140625" bestFit="1" customWidth="1"/>
    <col min="20" max="20" width="12.85546875" bestFit="1" customWidth="1"/>
    <col min="21" max="21" width="15.85546875" bestFit="1" customWidth="1"/>
    <col min="22" max="22" width="18.85546875" bestFit="1" customWidth="1"/>
    <col min="23" max="23" width="21.85546875" bestFit="1" customWidth="1"/>
    <col min="24" max="24" width="20.42578125" bestFit="1" customWidth="1"/>
    <col min="25" max="25" width="10.140625" bestFit="1" customWidth="1"/>
    <col min="26" max="26" width="23" bestFit="1" customWidth="1"/>
    <col min="27" max="27" width="8.140625" bestFit="1" customWidth="1"/>
    <col min="28" max="28" width="8" bestFit="1" customWidth="1"/>
    <col min="29" max="29" width="16" bestFit="1" customWidth="1"/>
    <col min="30" max="30" width="17.5703125" bestFit="1" customWidth="1"/>
    <col min="31" max="31" width="19.7109375" bestFit="1" customWidth="1"/>
    <col min="32" max="32" width="18.140625" bestFit="1" customWidth="1"/>
    <col min="33" max="34" width="14" bestFit="1" customWidth="1"/>
    <col min="35" max="35" width="19.140625" bestFit="1" customWidth="1"/>
    <col min="36" max="36" width="16.140625" bestFit="1" customWidth="1"/>
    <col min="37" max="37" width="13.140625" bestFit="1" customWidth="1"/>
    <col min="38" max="38" width="19.85546875" bestFit="1" customWidth="1"/>
    <col min="39" max="39" width="28.7109375" bestFit="1" customWidth="1"/>
    <col min="40" max="40" width="28" bestFit="1" customWidth="1"/>
    <col min="41" max="41" width="23.7109375" bestFit="1" customWidth="1"/>
    <col min="42" max="42" width="7" bestFit="1" customWidth="1"/>
    <col min="43" max="43" width="11" bestFit="1" customWidth="1"/>
    <col min="44" max="44" width="16.7109375" bestFit="1" customWidth="1"/>
    <col min="45" max="45" width="11.42578125" bestFit="1" customWidth="1"/>
    <col min="16384" max="16384" width="10.42578125" bestFit="1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65" x14ac:dyDescent="0.25">
      <c r="A2" s="2">
        <v>45775</v>
      </c>
      <c r="B2" s="2">
        <v>45775</v>
      </c>
      <c r="C2" s="1" t="s">
        <v>45</v>
      </c>
      <c r="D2" s="1" t="s">
        <v>46</v>
      </c>
      <c r="E2" s="1"/>
      <c r="F2" s="1">
        <v>2.13</v>
      </c>
      <c r="G2" s="1">
        <v>0</v>
      </c>
      <c r="H2" s="1">
        <v>2.13</v>
      </c>
      <c r="I2" s="1">
        <v>653470</v>
      </c>
      <c r="J2" s="1" t="s">
        <v>47</v>
      </c>
      <c r="K2" s="1"/>
      <c r="L2" s="1"/>
      <c r="M2" s="1"/>
      <c r="N2" s="1"/>
      <c r="O2" s="1"/>
      <c r="P2" s="1">
        <v>684425815</v>
      </c>
      <c r="Q2" s="1"/>
      <c r="R2" s="1" t="s">
        <v>48</v>
      </c>
      <c r="S2" s="1" t="s">
        <v>49</v>
      </c>
      <c r="T2" s="1" t="s">
        <v>50</v>
      </c>
      <c r="U2" s="1">
        <v>711419</v>
      </c>
      <c r="V2" s="1" t="s">
        <v>51</v>
      </c>
      <c r="W2" s="1" t="s">
        <v>52</v>
      </c>
      <c r="X2" s="1"/>
      <c r="Y2" s="1">
        <v>38399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2">
        <v>45775</v>
      </c>
      <c r="AF2" s="2">
        <v>45778</v>
      </c>
      <c r="AG2" s="1">
        <v>540552002</v>
      </c>
      <c r="AH2" s="1">
        <v>10654501225</v>
      </c>
      <c r="AI2" s="3"/>
      <c r="AJ2" s="1" t="s">
        <v>58</v>
      </c>
      <c r="AK2" s="1" t="s">
        <v>59</v>
      </c>
      <c r="AL2" s="1">
        <v>1</v>
      </c>
      <c r="AM2" s="2">
        <v>45778</v>
      </c>
      <c r="AN2" s="2">
        <v>45808</v>
      </c>
      <c r="AO2" s="3">
        <v>71</v>
      </c>
      <c r="AP2" s="4">
        <v>0.03</v>
      </c>
      <c r="AQ2" s="1">
        <v>1349048447</v>
      </c>
      <c r="AR2" s="1"/>
      <c r="AS2" s="1" t="s">
        <v>60</v>
      </c>
      <c r="AT2" s="1"/>
      <c r="AU2" s="1"/>
      <c r="AV2" s="1"/>
      <c r="AW2" s="1"/>
      <c r="AX2" s="1"/>
      <c r="AY2" s="1"/>
      <c r="AZ2" s="1"/>
      <c r="BA2" s="1"/>
      <c r="BB2" s="2"/>
      <c r="BC2" s="1"/>
      <c r="BD2" s="1"/>
      <c r="BE2" s="1"/>
      <c r="BF2" s="1"/>
      <c r="BG2" s="1"/>
      <c r="BH2" s="1"/>
      <c r="BI2" s="1"/>
      <c r="BJ2" s="4"/>
      <c r="BK2" s="1"/>
      <c r="BL2" s="1"/>
      <c r="BM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2025-05-07T21:10:51Z</dcterms:created>
  <dcterms:modified xsi:type="dcterms:W3CDTF">2025-05-09T14:29:10Z</dcterms:modified>
</cp:coreProperties>
</file>