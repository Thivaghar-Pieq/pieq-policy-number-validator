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1-30-25 to 12-6-25\"/>
    </mc:Choice>
  </mc:AlternateContent>
  <xr:revisionPtr revIDLastSave="0" documentId="13_ncr:1_{E8EAE0B6-7706-4C40-854E-A68133B5C1BE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3" i="3" l="1"/>
  <c r="D4" i="3"/>
  <c r="D6" i="3"/>
  <c r="D7" i="3"/>
  <c r="D5" i="3"/>
  <c r="D8" i="3"/>
  <c r="D2" i="3"/>
</calcChain>
</file>

<file path=xl/sharedStrings.xml><?xml version="1.0" encoding="utf-8"?>
<sst xmlns="http://schemas.openxmlformats.org/spreadsheetml/2006/main" count="408" uniqueCount="104">
  <si>
    <t>NCD</t>
  </si>
  <si>
    <t>Agent Label: Main Line Benefits LLC</t>
  </si>
  <si>
    <t>For the Period: NB 11.30.2025-12.06.2025</t>
  </si>
  <si>
    <t>Payout Date: 12.12.2025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</si>
  <si>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</si>
  <si>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</si>
  <si>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</si>
  <si>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</si>
  <si>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</si>
  <si>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</si>
  <si>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</si>
  <si>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</si>
  <si>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</si>
  <si>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</si>
  <si>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</si>
  <si>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</si>
  <si>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</si>
  <si>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</si>
  <si>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</si>
  <si>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</si>
  <si>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</si>
  <si>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Fidel</t>
  </si>
  <si>
    <t>Estanda</t>
  </si>
  <si>
    <t>Main Line Benefits LLC -Ricardo D Santos</t>
  </si>
  <si>
    <t>737401508</t>
  </si>
  <si>
    <t>NCD Elite 1500 by MetLife</t>
  </si>
  <si>
    <t>Member</t>
  </si>
  <si>
    <t>12/4/2025</t>
  </si>
  <si>
    <t>SALE</t>
  </si>
  <si>
    <t>Brianna</t>
  </si>
  <si>
    <t>Brown</t>
  </si>
  <si>
    <t xml:space="preserve"> Main Line Benefits - Thomas Kucan</t>
  </si>
  <si>
    <t>432972166</t>
  </si>
  <si>
    <t>NCD Bright 1500 by MetLife</t>
  </si>
  <si>
    <t>12/3/2025</t>
  </si>
  <si>
    <t>CHARGEBACK</t>
  </si>
  <si>
    <t>Chargeback Reversal</t>
  </si>
  <si>
    <t>653641115</t>
  </si>
  <si>
    <t>VSP Preferred Plan by NCD</t>
  </si>
  <si>
    <t>Katrin</t>
  </si>
  <si>
    <t>Urban</t>
  </si>
  <si>
    <t>979071245</t>
  </si>
  <si>
    <t>Member + 1</t>
  </si>
  <si>
    <t>11/30/2025</t>
  </si>
  <si>
    <t>397825233</t>
  </si>
  <si>
    <t>NCD Essentials by MetLife</t>
  </si>
  <si>
    <t>Member plus Children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</si>
  <si>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</si>
  <si>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</si>
  <si>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</si>
  <si>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</si>
  <si>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</si>
  <si>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</si>
  <si>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</si>
  <si>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</si>
  <si>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</si>
  <si>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</si>
  <si>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</si>
  <si>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</si>
  <si>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</si>
  <si>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</si>
  <si>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</si>
  <si>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</si>
  <si>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</si>
  <si>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</si>
  <si>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</si>
  <si>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</si>
  <si>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</si>
  <si>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</si>
  <si>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</si>
  <si>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12/8/2025</t>
  </si>
  <si>
    <t>COMM</t>
  </si>
  <si>
    <t>Product</t>
  </si>
  <si>
    <t>Main Line Benefits LLC</t>
  </si>
  <si>
    <t>IL</t>
  </si>
  <si>
    <t>Field</t>
  </si>
  <si>
    <t>Monthly</t>
  </si>
  <si>
    <t>Dental</t>
  </si>
  <si>
    <t>MetLife</t>
  </si>
  <si>
    <t>11/21/2025</t>
  </si>
  <si>
    <t>12/1/2025</t>
  </si>
  <si>
    <t>11418871040</t>
  </si>
  <si>
    <t>ACH</t>
  </si>
  <si>
    <t>12/31/2025</t>
  </si>
  <si>
    <t>24%</t>
  </si>
  <si>
    <t>MD</t>
  </si>
  <si>
    <t>EAFF6E390582E74E0E70D9A467DBD2A5</t>
  </si>
  <si>
    <t>Vision</t>
  </si>
  <si>
    <t>VSP</t>
  </si>
  <si>
    <t>37%</t>
  </si>
  <si>
    <t>11/4/2025</t>
  </si>
  <si>
    <t>11418839247</t>
  </si>
  <si>
    <t>CC</t>
  </si>
  <si>
    <t>11397568321</t>
  </si>
  <si>
    <t>Ricardo D Santos</t>
  </si>
  <si>
    <t xml:space="preserve"> Thomas Kucan</t>
  </si>
  <si>
    <t>16202925AV6</t>
  </si>
  <si>
    <t>19200754AV6</t>
  </si>
  <si>
    <t>NCD MetLife -24%</t>
  </si>
  <si>
    <t>Metlife Vision</t>
  </si>
  <si>
    <t>NB</t>
  </si>
  <si>
    <t>RN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</si>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</sst>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164" fontId="0" fillId="7" borderId="0" xfId="0" applyNumberFormat="1" applyFill="1"/>
    <xf numFmtId="0" fontId="0" fillId="7" borderId="0" xfId="0" applyFill="1"/>
    <xf numFmtId="0" fontId="0" fillId="7" borderId="0" xfId="0" applyNumberFormat="1" applyFill="1"/>
    <xf numFmtId="9" fontId="0" fillId="7" borderId="0" xfId="0" applyNumberFormat="1" applyFill="1"/>
    <xf numFmtId="164" fontId="7" fillId="0" borderId="0" xfId="0" applyNumberFormat="1" applyFont="1" applyFill="1"/>
    <xf numFmtId="0" fontId="7" fillId="0" borderId="0" xfId="0" applyFont="1" applyFill="1"/>
    <xf numFmtId="0" fontId="7" fillId="0" borderId="0" xfId="0" applyNumberFormat="1" applyFont="1" applyFill="1"/>
    <xf numFmtId="9" fontId="7" fillId="0" borderId="0" xfId="0" applyNumberFormat="1" applyFont="1" applyFill="1"/>
    <xf numFmtId="164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"/>
  <sheetViews>
    <sheetView topLeftCell="B1"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2" customWidth="1"/>
    <col min="7" max="7" width="15" customWidth="1"/>
    <col min="8" max="8" width="28" customWidth="1"/>
    <col min="9" max="9" width="22" customWidth="1"/>
    <col min="10" max="10" width="13" customWidth="1"/>
    <col min="11" max="11" width="18" customWidth="1"/>
    <col min="12" max="12" width="21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38.43</v>
      </c>
      <c r="E5" s="7" t="s">
        <v>5</v>
      </c>
      <c r="F5" s="6">
        <v>38.43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685875685</v>
      </c>
      <c r="C11" t="s">
        <v>21</v>
      </c>
      <c r="D11" t="s">
        <v>22</v>
      </c>
      <c r="E11">
        <v>759555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40</v>
      </c>
      <c r="N11" s="9">
        <v>9.6</v>
      </c>
    </row>
    <row r="12" spans="1:14" x14ac:dyDescent="0.25">
      <c r="A12" t="s">
        <v>20</v>
      </c>
      <c r="B12">
        <v>685874362</v>
      </c>
      <c r="C12" t="s">
        <v>29</v>
      </c>
      <c r="D12" t="s">
        <v>30</v>
      </c>
      <c r="E12">
        <v>678726</v>
      </c>
      <c r="F12" t="s">
        <v>31</v>
      </c>
      <c r="G12" t="s">
        <v>32</v>
      </c>
      <c r="H12" t="s">
        <v>33</v>
      </c>
      <c r="I12" t="s">
        <v>26</v>
      </c>
      <c r="J12" t="s">
        <v>34</v>
      </c>
      <c r="K12" t="s">
        <v>35</v>
      </c>
      <c r="L12" t="s">
        <v>36</v>
      </c>
      <c r="M12" s="9">
        <v>27</v>
      </c>
      <c r="N12" s="9">
        <v>-6.48</v>
      </c>
    </row>
    <row r="13" spans="1:14" x14ac:dyDescent="0.25">
      <c r="A13" t="s">
        <v>20</v>
      </c>
      <c r="B13">
        <v>685874362</v>
      </c>
      <c r="C13" t="s">
        <v>29</v>
      </c>
      <c r="D13" t="s">
        <v>30</v>
      </c>
      <c r="E13">
        <v>678726</v>
      </c>
      <c r="F13" t="s">
        <v>31</v>
      </c>
      <c r="G13" t="s">
        <v>37</v>
      </c>
      <c r="H13" t="s">
        <v>38</v>
      </c>
      <c r="I13" t="s">
        <v>26</v>
      </c>
      <c r="J13" t="s">
        <v>34</v>
      </c>
      <c r="K13" t="s">
        <v>35</v>
      </c>
      <c r="L13" t="s">
        <v>36</v>
      </c>
      <c r="M13" s="9">
        <v>11</v>
      </c>
      <c r="N13" s="9">
        <v>-4.07</v>
      </c>
    </row>
    <row r="14" spans="1:14" x14ac:dyDescent="0.25">
      <c r="A14" t="s">
        <v>20</v>
      </c>
      <c r="B14">
        <v>685724727</v>
      </c>
      <c r="C14" t="s">
        <v>39</v>
      </c>
      <c r="D14" t="s">
        <v>40</v>
      </c>
      <c r="E14">
        <v>678726</v>
      </c>
      <c r="F14" t="s">
        <v>31</v>
      </c>
      <c r="G14" t="s">
        <v>41</v>
      </c>
      <c r="H14" t="s">
        <v>38</v>
      </c>
      <c r="I14" t="s">
        <v>42</v>
      </c>
      <c r="J14" t="s">
        <v>43</v>
      </c>
      <c r="K14" t="s">
        <v>28</v>
      </c>
      <c r="M14" s="9">
        <v>15</v>
      </c>
      <c r="N14" s="9">
        <v>5.55</v>
      </c>
    </row>
    <row r="15" spans="1:14" x14ac:dyDescent="0.25">
      <c r="A15" t="s">
        <v>20</v>
      </c>
      <c r="B15">
        <v>685874362</v>
      </c>
      <c r="C15" t="s">
        <v>29</v>
      </c>
      <c r="D15" t="s">
        <v>30</v>
      </c>
      <c r="E15">
        <v>678726</v>
      </c>
      <c r="F15" t="s">
        <v>31</v>
      </c>
      <c r="G15" t="s">
        <v>37</v>
      </c>
      <c r="H15" t="s">
        <v>38</v>
      </c>
      <c r="I15" t="s">
        <v>26</v>
      </c>
      <c r="J15" t="s">
        <v>43</v>
      </c>
      <c r="K15" t="s">
        <v>28</v>
      </c>
      <c r="M15" s="9">
        <v>11</v>
      </c>
      <c r="N15" s="9">
        <v>4.07</v>
      </c>
    </row>
    <row r="16" spans="1:14" x14ac:dyDescent="0.25">
      <c r="A16" t="s">
        <v>20</v>
      </c>
      <c r="B16">
        <v>685874362</v>
      </c>
      <c r="C16" t="s">
        <v>29</v>
      </c>
      <c r="D16" t="s">
        <v>30</v>
      </c>
      <c r="E16">
        <v>678726</v>
      </c>
      <c r="F16" t="s">
        <v>31</v>
      </c>
      <c r="G16" t="s">
        <v>32</v>
      </c>
      <c r="H16" t="s">
        <v>33</v>
      </c>
      <c r="I16" t="s">
        <v>26</v>
      </c>
      <c r="J16" t="s">
        <v>43</v>
      </c>
      <c r="K16" t="s">
        <v>28</v>
      </c>
      <c r="M16" s="9">
        <v>27</v>
      </c>
      <c r="N16" s="9">
        <v>6.48</v>
      </c>
    </row>
    <row r="17" spans="1:14" x14ac:dyDescent="0.25">
      <c r="A17" t="s">
        <v>20</v>
      </c>
      <c r="B17">
        <v>685724727</v>
      </c>
      <c r="C17" t="s">
        <v>39</v>
      </c>
      <c r="D17" t="s">
        <v>40</v>
      </c>
      <c r="E17">
        <v>678726</v>
      </c>
      <c r="F17" t="s">
        <v>31</v>
      </c>
      <c r="G17" t="s">
        <v>44</v>
      </c>
      <c r="H17" t="s">
        <v>45</v>
      </c>
      <c r="I17" t="s">
        <v>46</v>
      </c>
      <c r="J17" t="s">
        <v>43</v>
      </c>
      <c r="K17" t="s">
        <v>28</v>
      </c>
      <c r="M17" s="9">
        <v>97</v>
      </c>
      <c r="N17" s="9">
        <v>23.28</v>
      </c>
    </row>
    <row r="18" spans="1:14" x14ac:dyDescent="0.25">
      <c r="A18" s="8" t="s">
        <v>47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10">
        <v>38.43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8" customWidth="1"/>
    <col min="20" max="20" width="22" customWidth="1"/>
    <col min="21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30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48</v>
      </c>
      <c r="C1" s="11" t="s">
        <v>49</v>
      </c>
      <c r="D1" s="11" t="s">
        <v>50</v>
      </c>
      <c r="E1" s="11" t="s">
        <v>17</v>
      </c>
      <c r="F1" s="11" t="s">
        <v>51</v>
      </c>
      <c r="G1" s="11" t="s">
        <v>52</v>
      </c>
      <c r="H1" s="11" t="s">
        <v>19</v>
      </c>
      <c r="I1" s="11" t="s">
        <v>53</v>
      </c>
      <c r="J1" s="11" t="s">
        <v>54</v>
      </c>
      <c r="K1" s="11" t="s">
        <v>7</v>
      </c>
      <c r="L1" s="11" t="s">
        <v>8</v>
      </c>
      <c r="M1" s="11" t="s">
        <v>9</v>
      </c>
      <c r="N1" s="11" t="s">
        <v>55</v>
      </c>
      <c r="O1" s="11" t="s">
        <v>10</v>
      </c>
      <c r="P1" s="11" t="s">
        <v>11</v>
      </c>
      <c r="Q1" s="11" t="s">
        <v>56</v>
      </c>
      <c r="R1" s="11" t="s">
        <v>57</v>
      </c>
      <c r="S1" s="11" t="s">
        <v>13</v>
      </c>
      <c r="T1" s="11" t="s">
        <v>14</v>
      </c>
      <c r="U1" s="11" t="s">
        <v>58</v>
      </c>
      <c r="V1" s="11" t="s">
        <v>59</v>
      </c>
      <c r="W1" s="11" t="s">
        <v>60</v>
      </c>
      <c r="X1" s="11" t="s">
        <v>61</v>
      </c>
      <c r="Y1" s="11" t="s">
        <v>62</v>
      </c>
      <c r="Z1" s="11" t="s">
        <v>12</v>
      </c>
      <c r="AA1" s="11" t="s">
        <v>63</v>
      </c>
      <c r="AB1" s="11" t="s">
        <v>16</v>
      </c>
      <c r="AC1" s="11" t="s">
        <v>64</v>
      </c>
      <c r="AD1" s="11" t="s">
        <v>65</v>
      </c>
      <c r="AE1" s="11" t="s">
        <v>66</v>
      </c>
      <c r="AF1" s="11" t="s">
        <v>67</v>
      </c>
      <c r="AG1" s="11" t="s">
        <v>18</v>
      </c>
      <c r="AH1" s="11" t="s">
        <v>68</v>
      </c>
      <c r="AI1" s="11" t="s">
        <v>69</v>
      </c>
      <c r="AJ1" s="11" t="s">
        <v>6</v>
      </c>
    </row>
    <row r="2" spans="1:36" x14ac:dyDescent="0.25">
      <c r="A2" t="s">
        <v>27</v>
      </c>
      <c r="B2" t="s">
        <v>70</v>
      </c>
      <c r="C2" t="s">
        <v>71</v>
      </c>
      <c r="D2" t="s">
        <v>72</v>
      </c>
      <c r="F2">
        <v>9.6</v>
      </c>
      <c r="G2">
        <v>0</v>
      </c>
      <c r="H2" s="9">
        <v>9.6</v>
      </c>
      <c r="I2">
        <v>653470</v>
      </c>
      <c r="J2" t="s">
        <v>73</v>
      </c>
      <c r="K2">
        <v>685875685</v>
      </c>
      <c r="L2" t="s">
        <v>21</v>
      </c>
      <c r="M2" t="s">
        <v>22</v>
      </c>
      <c r="N2" t="s">
        <v>74</v>
      </c>
      <c r="O2">
        <v>759555</v>
      </c>
      <c r="P2" t="s">
        <v>23</v>
      </c>
      <c r="Q2" t="s">
        <v>75</v>
      </c>
      <c r="R2">
        <v>42249</v>
      </c>
      <c r="S2" t="s">
        <v>25</v>
      </c>
      <c r="T2" t="s">
        <v>26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24</v>
      </c>
      <c r="AA2" t="s">
        <v>81</v>
      </c>
      <c r="AB2" t="s">
        <v>28</v>
      </c>
      <c r="AC2" t="s">
        <v>82</v>
      </c>
      <c r="AD2">
        <v>1</v>
      </c>
      <c r="AE2" t="s">
        <v>80</v>
      </c>
      <c r="AF2" t="s">
        <v>83</v>
      </c>
      <c r="AG2" s="9">
        <v>40</v>
      </c>
      <c r="AH2" t="s">
        <v>84</v>
      </c>
      <c r="AI2">
        <v>1504061950</v>
      </c>
      <c r="AJ2" t="s">
        <v>20</v>
      </c>
    </row>
    <row r="3" spans="1:36" x14ac:dyDescent="0.25">
      <c r="A3" t="s">
        <v>34</v>
      </c>
      <c r="B3" t="s">
        <v>70</v>
      </c>
      <c r="C3" t="s">
        <v>71</v>
      </c>
      <c r="D3" t="s">
        <v>72</v>
      </c>
      <c r="E3" t="s">
        <v>36</v>
      </c>
      <c r="F3">
        <v>0</v>
      </c>
      <c r="G3">
        <v>6.48</v>
      </c>
      <c r="H3" s="9">
        <v>-6.48</v>
      </c>
      <c r="I3">
        <v>653470</v>
      </c>
      <c r="J3" t="s">
        <v>73</v>
      </c>
      <c r="K3">
        <v>685874362</v>
      </c>
      <c r="L3" t="s">
        <v>29</v>
      </c>
      <c r="M3" t="s">
        <v>30</v>
      </c>
      <c r="N3" t="s">
        <v>85</v>
      </c>
      <c r="O3">
        <v>678726</v>
      </c>
      <c r="P3" t="s">
        <v>31</v>
      </c>
      <c r="Q3" t="s">
        <v>75</v>
      </c>
      <c r="R3">
        <v>47133</v>
      </c>
      <c r="S3" t="s">
        <v>33</v>
      </c>
      <c r="T3" t="s">
        <v>26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 t="s">
        <v>32</v>
      </c>
      <c r="AA3" t="s">
        <v>86</v>
      </c>
      <c r="AB3" t="s">
        <v>35</v>
      </c>
      <c r="AC3" t="s">
        <v>82</v>
      </c>
      <c r="AD3">
        <v>1</v>
      </c>
      <c r="AE3" t="s">
        <v>80</v>
      </c>
      <c r="AF3" t="s">
        <v>83</v>
      </c>
      <c r="AG3" s="9">
        <v>27</v>
      </c>
      <c r="AH3" t="s">
        <v>84</v>
      </c>
      <c r="AI3">
        <v>1504054950</v>
      </c>
      <c r="AJ3" t="s">
        <v>20</v>
      </c>
    </row>
    <row r="4" spans="1:36" x14ac:dyDescent="0.25">
      <c r="A4" t="s">
        <v>34</v>
      </c>
      <c r="B4" t="s">
        <v>70</v>
      </c>
      <c r="C4" t="s">
        <v>71</v>
      </c>
      <c r="D4" t="s">
        <v>72</v>
      </c>
      <c r="E4" t="s">
        <v>36</v>
      </c>
      <c r="F4">
        <v>0</v>
      </c>
      <c r="G4">
        <v>4.07</v>
      </c>
      <c r="H4" s="9">
        <v>-4.07</v>
      </c>
      <c r="I4">
        <v>653470</v>
      </c>
      <c r="J4" t="s">
        <v>73</v>
      </c>
      <c r="K4">
        <v>685874362</v>
      </c>
      <c r="L4" t="s">
        <v>29</v>
      </c>
      <c r="M4" t="s">
        <v>30</v>
      </c>
      <c r="N4" t="s">
        <v>85</v>
      </c>
      <c r="O4">
        <v>678726</v>
      </c>
      <c r="P4" t="s">
        <v>31</v>
      </c>
      <c r="Q4" t="s">
        <v>75</v>
      </c>
      <c r="R4">
        <v>38593</v>
      </c>
      <c r="S4" t="s">
        <v>38</v>
      </c>
      <c r="T4" t="s">
        <v>26</v>
      </c>
      <c r="U4" t="s">
        <v>76</v>
      </c>
      <c r="V4" t="s">
        <v>87</v>
      </c>
      <c r="W4" t="s">
        <v>88</v>
      </c>
      <c r="X4" t="s">
        <v>79</v>
      </c>
      <c r="Y4" t="s">
        <v>80</v>
      </c>
      <c r="Z4" t="s">
        <v>37</v>
      </c>
      <c r="AA4" t="s">
        <v>86</v>
      </c>
      <c r="AB4" t="s">
        <v>35</v>
      </c>
      <c r="AC4" t="s">
        <v>82</v>
      </c>
      <c r="AD4">
        <v>1</v>
      </c>
      <c r="AE4" t="s">
        <v>80</v>
      </c>
      <c r="AF4" t="s">
        <v>83</v>
      </c>
      <c r="AG4" s="9">
        <v>11</v>
      </c>
      <c r="AH4" t="s">
        <v>89</v>
      </c>
      <c r="AI4">
        <v>1504054954</v>
      </c>
      <c r="AJ4" t="s">
        <v>20</v>
      </c>
    </row>
    <row r="5" spans="1:36" x14ac:dyDescent="0.25">
      <c r="A5" t="s">
        <v>43</v>
      </c>
      <c r="B5" t="s">
        <v>70</v>
      </c>
      <c r="C5" t="s">
        <v>71</v>
      </c>
      <c r="D5" t="s">
        <v>72</v>
      </c>
      <c r="F5">
        <v>5.55</v>
      </c>
      <c r="G5">
        <v>0</v>
      </c>
      <c r="H5" s="9">
        <v>5.55</v>
      </c>
      <c r="I5">
        <v>653470</v>
      </c>
      <c r="J5" t="s">
        <v>73</v>
      </c>
      <c r="K5">
        <v>685724727</v>
      </c>
      <c r="L5" t="s">
        <v>39</v>
      </c>
      <c r="M5" t="s">
        <v>40</v>
      </c>
      <c r="N5" t="s">
        <v>85</v>
      </c>
      <c r="O5">
        <v>678726</v>
      </c>
      <c r="P5" t="s">
        <v>31</v>
      </c>
      <c r="Q5" t="s">
        <v>75</v>
      </c>
      <c r="R5">
        <v>38593</v>
      </c>
      <c r="S5" t="s">
        <v>38</v>
      </c>
      <c r="T5" t="s">
        <v>42</v>
      </c>
      <c r="U5" t="s">
        <v>76</v>
      </c>
      <c r="V5" t="s">
        <v>87</v>
      </c>
      <c r="W5" t="s">
        <v>88</v>
      </c>
      <c r="X5" t="s">
        <v>90</v>
      </c>
      <c r="Y5" t="s">
        <v>80</v>
      </c>
      <c r="Z5" t="s">
        <v>41</v>
      </c>
      <c r="AA5" t="s">
        <v>91</v>
      </c>
      <c r="AB5" t="s">
        <v>28</v>
      </c>
      <c r="AC5" t="s">
        <v>92</v>
      </c>
      <c r="AD5">
        <v>1</v>
      </c>
      <c r="AE5" t="s">
        <v>80</v>
      </c>
      <c r="AF5" t="s">
        <v>83</v>
      </c>
      <c r="AG5" s="9">
        <v>15</v>
      </c>
      <c r="AH5" t="s">
        <v>89</v>
      </c>
      <c r="AI5">
        <v>1504075634</v>
      </c>
      <c r="AJ5" t="s">
        <v>20</v>
      </c>
    </row>
    <row r="6" spans="1:36" x14ac:dyDescent="0.25">
      <c r="A6" t="s">
        <v>43</v>
      </c>
      <c r="B6" t="s">
        <v>70</v>
      </c>
      <c r="C6" t="s">
        <v>71</v>
      </c>
      <c r="D6" t="s">
        <v>72</v>
      </c>
      <c r="F6">
        <v>4.07</v>
      </c>
      <c r="G6">
        <v>0</v>
      </c>
      <c r="H6" s="9">
        <v>4.07</v>
      </c>
      <c r="I6">
        <v>653470</v>
      </c>
      <c r="J6" t="s">
        <v>73</v>
      </c>
      <c r="K6">
        <v>685874362</v>
      </c>
      <c r="L6" t="s">
        <v>29</v>
      </c>
      <c r="M6" t="s">
        <v>30</v>
      </c>
      <c r="N6" t="s">
        <v>85</v>
      </c>
      <c r="O6">
        <v>678726</v>
      </c>
      <c r="P6" t="s">
        <v>31</v>
      </c>
      <c r="Q6" t="s">
        <v>75</v>
      </c>
      <c r="R6">
        <v>38593</v>
      </c>
      <c r="S6" t="s">
        <v>38</v>
      </c>
      <c r="T6" t="s">
        <v>26</v>
      </c>
      <c r="U6" t="s">
        <v>76</v>
      </c>
      <c r="V6" t="s">
        <v>87</v>
      </c>
      <c r="W6" t="s">
        <v>88</v>
      </c>
      <c r="X6" t="s">
        <v>79</v>
      </c>
      <c r="Y6" t="s">
        <v>80</v>
      </c>
      <c r="Z6" t="s">
        <v>37</v>
      </c>
      <c r="AA6" t="s">
        <v>93</v>
      </c>
      <c r="AB6" t="s">
        <v>28</v>
      </c>
      <c r="AC6" t="s">
        <v>82</v>
      </c>
      <c r="AD6">
        <v>1</v>
      </c>
      <c r="AE6" t="s">
        <v>80</v>
      </c>
      <c r="AF6" t="s">
        <v>83</v>
      </c>
      <c r="AG6" s="9">
        <v>11</v>
      </c>
      <c r="AH6" t="s">
        <v>89</v>
      </c>
      <c r="AI6">
        <v>1504077266</v>
      </c>
      <c r="AJ6" t="s">
        <v>20</v>
      </c>
    </row>
    <row r="7" spans="1:36" x14ac:dyDescent="0.25">
      <c r="A7" t="s">
        <v>43</v>
      </c>
      <c r="B7" t="s">
        <v>70</v>
      </c>
      <c r="C7" t="s">
        <v>71</v>
      </c>
      <c r="D7" t="s">
        <v>72</v>
      </c>
      <c r="F7">
        <v>6.48</v>
      </c>
      <c r="G7">
        <v>0</v>
      </c>
      <c r="H7" s="9">
        <v>6.48</v>
      </c>
      <c r="I7">
        <v>653470</v>
      </c>
      <c r="J7" t="s">
        <v>73</v>
      </c>
      <c r="K7">
        <v>685874362</v>
      </c>
      <c r="L7" t="s">
        <v>29</v>
      </c>
      <c r="M7" t="s">
        <v>30</v>
      </c>
      <c r="N7" t="s">
        <v>85</v>
      </c>
      <c r="O7">
        <v>678726</v>
      </c>
      <c r="P7" t="s">
        <v>31</v>
      </c>
      <c r="Q7" t="s">
        <v>75</v>
      </c>
      <c r="R7">
        <v>47133</v>
      </c>
      <c r="S7" t="s">
        <v>33</v>
      </c>
      <c r="T7" t="s">
        <v>26</v>
      </c>
      <c r="U7" t="s">
        <v>76</v>
      </c>
      <c r="V7" t="s">
        <v>77</v>
      </c>
      <c r="W7" t="s">
        <v>78</v>
      </c>
      <c r="X7" t="s">
        <v>79</v>
      </c>
      <c r="Y7" t="s">
        <v>80</v>
      </c>
      <c r="Z7" t="s">
        <v>32</v>
      </c>
      <c r="AA7" t="s">
        <v>93</v>
      </c>
      <c r="AB7" t="s">
        <v>28</v>
      </c>
      <c r="AC7" t="s">
        <v>82</v>
      </c>
      <c r="AD7">
        <v>1</v>
      </c>
      <c r="AE7" t="s">
        <v>80</v>
      </c>
      <c r="AF7" t="s">
        <v>83</v>
      </c>
      <c r="AG7" s="9">
        <v>27</v>
      </c>
      <c r="AH7" t="s">
        <v>84</v>
      </c>
      <c r="AI7">
        <v>1504077262</v>
      </c>
      <c r="AJ7" t="s">
        <v>20</v>
      </c>
    </row>
    <row r="8" spans="1:36" x14ac:dyDescent="0.25">
      <c r="A8" t="s">
        <v>43</v>
      </c>
      <c r="B8" t="s">
        <v>70</v>
      </c>
      <c r="C8" t="s">
        <v>71</v>
      </c>
      <c r="D8" t="s">
        <v>72</v>
      </c>
      <c r="F8">
        <v>23.28</v>
      </c>
      <c r="G8">
        <v>0</v>
      </c>
      <c r="H8" s="9">
        <v>23.28</v>
      </c>
      <c r="I8">
        <v>653470</v>
      </c>
      <c r="J8" t="s">
        <v>73</v>
      </c>
      <c r="K8">
        <v>685724727</v>
      </c>
      <c r="L8" t="s">
        <v>39</v>
      </c>
      <c r="M8" t="s">
        <v>40</v>
      </c>
      <c r="N8" t="s">
        <v>85</v>
      </c>
      <c r="O8">
        <v>678726</v>
      </c>
      <c r="P8" t="s">
        <v>31</v>
      </c>
      <c r="Q8" t="s">
        <v>75</v>
      </c>
      <c r="R8">
        <v>38398</v>
      </c>
      <c r="S8" t="s">
        <v>45</v>
      </c>
      <c r="T8" t="s">
        <v>46</v>
      </c>
      <c r="U8" t="s">
        <v>76</v>
      </c>
      <c r="V8" t="s">
        <v>77</v>
      </c>
      <c r="W8" t="s">
        <v>78</v>
      </c>
      <c r="X8" t="s">
        <v>90</v>
      </c>
      <c r="Y8" t="s">
        <v>80</v>
      </c>
      <c r="Z8" t="s">
        <v>44</v>
      </c>
      <c r="AA8" t="s">
        <v>91</v>
      </c>
      <c r="AB8" t="s">
        <v>28</v>
      </c>
      <c r="AC8" t="s">
        <v>92</v>
      </c>
      <c r="AD8">
        <v>1</v>
      </c>
      <c r="AE8" t="s">
        <v>80</v>
      </c>
      <c r="AF8" t="s">
        <v>83</v>
      </c>
      <c r="AG8" s="9">
        <v>97</v>
      </c>
      <c r="AH8" t="s">
        <v>84</v>
      </c>
      <c r="AI8">
        <v>1504075630</v>
      </c>
      <c r="AJ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68BB-1F2F-45B4-A2BF-86DA2D616B77}">
  <dimension ref="A1:AK8"/>
  <sheetViews>
    <sheetView tabSelected="1" workbookViewId="0">
      <selection activeCell="P2" sqref="P2:P8"/>
    </sheetView>
  </sheetViews>
  <sheetFormatPr defaultRowHeight="15" x14ac:dyDescent="0.25"/>
  <cols>
    <col min="1" max="1" width="7" customWidth="1"/>
    <col min="2" max="2" width="9.140625" customWidth="1"/>
    <col min="3" max="4" width="8.5703125" customWidth="1"/>
    <col min="5" max="5" width="6.42578125" customWidth="1"/>
    <col min="6" max="6" width="16.85546875" bestFit="1" customWidth="1"/>
    <col min="7" max="7" width="16.42578125" customWidth="1"/>
    <col min="8" max="8" width="25" customWidth="1"/>
    <col min="9" max="9" width="13.28515625" customWidth="1"/>
    <col min="10" max="10" width="10" customWidth="1"/>
    <col min="11" max="11" width="10.28515625" customWidth="1"/>
    <col min="12" max="12" width="13" customWidth="1"/>
    <col min="13" max="13" width="12" customWidth="1"/>
    <col min="14" max="14" width="11.85546875" customWidth="1"/>
    <col min="15" max="15" width="9.140625" customWidth="1"/>
    <col min="16" max="16" width="8" customWidth="1"/>
    <col min="17" max="17" width="17" bestFit="1" customWidth="1"/>
  </cols>
  <sheetData>
    <row r="1" spans="1:37" x14ac:dyDescent="0.25">
      <c r="A1" s="11" t="s">
        <v>19</v>
      </c>
      <c r="B1" s="11" t="s">
        <v>8</v>
      </c>
      <c r="C1" s="11" t="s">
        <v>9</v>
      </c>
      <c r="D1" s="11"/>
      <c r="E1" s="11" t="s">
        <v>55</v>
      </c>
      <c r="F1" s="11" t="s">
        <v>10</v>
      </c>
      <c r="G1" s="11" t="s">
        <v>11</v>
      </c>
      <c r="H1" s="11" t="s">
        <v>13</v>
      </c>
      <c r="I1" s="11" t="s">
        <v>14</v>
      </c>
      <c r="J1" s="11" t="s">
        <v>59</v>
      </c>
      <c r="K1" s="11" t="s">
        <v>60</v>
      </c>
      <c r="L1" s="11" t="s">
        <v>62</v>
      </c>
      <c r="M1" s="11" t="s">
        <v>12</v>
      </c>
      <c r="N1" s="11" t="s">
        <v>66</v>
      </c>
      <c r="O1" s="11" t="s">
        <v>18</v>
      </c>
      <c r="P1" s="11" t="s">
        <v>68</v>
      </c>
    </row>
    <row r="2" spans="1:37" s="13" customFormat="1" x14ac:dyDescent="0.25">
      <c r="A2" s="12">
        <v>23.28</v>
      </c>
      <c r="B2" s="13" t="s">
        <v>39</v>
      </c>
      <c r="C2" s="13" t="s">
        <v>40</v>
      </c>
      <c r="D2" s="13" t="str">
        <f>CONCATENATE(B2," ",C2)</f>
        <v>Katrin Urban</v>
      </c>
      <c r="E2" s="13" t="s">
        <v>85</v>
      </c>
      <c r="F2" s="13" t="s">
        <v>96</v>
      </c>
      <c r="G2" s="13" t="s">
        <v>95</v>
      </c>
      <c r="H2" s="13" t="s">
        <v>45</v>
      </c>
      <c r="I2" s="13" t="s">
        <v>46</v>
      </c>
      <c r="J2" s="13" t="s">
        <v>77</v>
      </c>
      <c r="K2" s="13" t="s">
        <v>78</v>
      </c>
      <c r="L2" s="13" t="s">
        <v>80</v>
      </c>
      <c r="M2" s="14">
        <v>397825233</v>
      </c>
      <c r="N2" s="13" t="s">
        <v>80</v>
      </c>
      <c r="O2" s="12">
        <v>97</v>
      </c>
      <c r="P2" s="15">
        <v>0.24</v>
      </c>
      <c r="Q2" s="13" t="s">
        <v>98</v>
      </c>
      <c r="R2" s="13" t="s">
        <v>100</v>
      </c>
      <c r="S2" s="13" t="s">
        <v>102</v>
      </c>
    </row>
    <row r="3" spans="1:37" s="17" customFormat="1" x14ac:dyDescent="0.25">
      <c r="A3" s="16">
        <v>-6.48</v>
      </c>
      <c r="B3" s="17" t="s">
        <v>29</v>
      </c>
      <c r="C3" s="17" t="s">
        <v>30</v>
      </c>
      <c r="D3" s="21" t="str">
        <f>CONCATENATE(B3," ",C3)</f>
        <v>Brianna Brown</v>
      </c>
      <c r="E3" s="17" t="s">
        <v>85</v>
      </c>
      <c r="F3" s="17">
        <v>16202925</v>
      </c>
      <c r="G3" s="17" t="s">
        <v>95</v>
      </c>
      <c r="H3" s="17" t="s">
        <v>33</v>
      </c>
      <c r="I3" s="17" t="s">
        <v>26</v>
      </c>
      <c r="J3" s="17" t="s">
        <v>77</v>
      </c>
      <c r="K3" s="17" t="s">
        <v>78</v>
      </c>
      <c r="L3" s="17" t="s">
        <v>80</v>
      </c>
      <c r="M3" s="18">
        <v>432972166</v>
      </c>
      <c r="N3" s="17" t="s">
        <v>80</v>
      </c>
      <c r="O3" s="16">
        <v>-27</v>
      </c>
      <c r="P3" s="19">
        <v>0.24</v>
      </c>
      <c r="Q3" s="17" t="s">
        <v>98</v>
      </c>
      <c r="R3" s="17" t="s">
        <v>101</v>
      </c>
      <c r="S3" s="17" t="s">
        <v>103</v>
      </c>
    </row>
    <row r="4" spans="1:37" s="17" customFormat="1" x14ac:dyDescent="0.25">
      <c r="A4" s="20">
        <v>6.48</v>
      </c>
      <c r="B4" s="21" t="s">
        <v>29</v>
      </c>
      <c r="C4" s="21" t="s">
        <v>30</v>
      </c>
      <c r="D4" s="21" t="str">
        <f>CONCATENATE(B4," ",C4)</f>
        <v>Brianna Brown</v>
      </c>
      <c r="E4" s="21" t="s">
        <v>85</v>
      </c>
      <c r="F4" s="21">
        <v>16202925</v>
      </c>
      <c r="G4" s="21" t="s">
        <v>95</v>
      </c>
      <c r="H4" s="21" t="s">
        <v>33</v>
      </c>
      <c r="I4" s="21" t="s">
        <v>26</v>
      </c>
      <c r="J4" s="21" t="s">
        <v>77</v>
      </c>
      <c r="K4" s="21" t="s">
        <v>78</v>
      </c>
      <c r="L4" s="21" t="s">
        <v>80</v>
      </c>
      <c r="M4" s="22">
        <v>432972166</v>
      </c>
      <c r="N4" s="21" t="s">
        <v>80</v>
      </c>
      <c r="O4" s="20">
        <v>27</v>
      </c>
      <c r="P4" s="23">
        <v>0.24</v>
      </c>
      <c r="Q4" s="21" t="s">
        <v>98</v>
      </c>
      <c r="R4" s="17" t="s">
        <v>101</v>
      </c>
      <c r="S4" s="17" t="s">
        <v>103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pans="1:37" s="21" customFormat="1" x14ac:dyDescent="0.25">
      <c r="A5" s="12">
        <v>9.6</v>
      </c>
      <c r="B5" s="13" t="s">
        <v>21</v>
      </c>
      <c r="C5" s="13" t="s">
        <v>22</v>
      </c>
      <c r="D5" s="13" t="str">
        <f>CONCATENATE(B5," ",C5)</f>
        <v>Fidel Estanda</v>
      </c>
      <c r="E5" s="13" t="s">
        <v>74</v>
      </c>
      <c r="F5" s="13" t="s">
        <v>97</v>
      </c>
      <c r="G5" s="13" t="s">
        <v>94</v>
      </c>
      <c r="H5" s="13" t="s">
        <v>25</v>
      </c>
      <c r="I5" s="13" t="s">
        <v>26</v>
      </c>
      <c r="J5" s="13" t="s">
        <v>77</v>
      </c>
      <c r="K5" s="13" t="s">
        <v>78</v>
      </c>
      <c r="L5" s="13" t="s">
        <v>80</v>
      </c>
      <c r="M5" s="14">
        <v>737401508</v>
      </c>
      <c r="N5" s="13" t="s">
        <v>80</v>
      </c>
      <c r="O5" s="12">
        <v>40</v>
      </c>
      <c r="P5" s="15">
        <v>0.24</v>
      </c>
      <c r="Q5" s="13" t="s">
        <v>98</v>
      </c>
      <c r="R5" s="13" t="s">
        <v>100</v>
      </c>
      <c r="S5" s="13" t="s">
        <v>102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s="21" customFormat="1" x14ac:dyDescent="0.25">
      <c r="A6" s="16">
        <v>-4.07</v>
      </c>
      <c r="B6" s="17" t="s">
        <v>29</v>
      </c>
      <c r="C6" s="17" t="s">
        <v>30</v>
      </c>
      <c r="D6" s="21" t="str">
        <f>CONCATENATE(B6," ",C6)</f>
        <v>Brianna Brown</v>
      </c>
      <c r="E6" s="17" t="s">
        <v>85</v>
      </c>
      <c r="F6" s="17">
        <v>16202925</v>
      </c>
      <c r="G6" s="17" t="s">
        <v>95</v>
      </c>
      <c r="H6" s="17" t="s">
        <v>38</v>
      </c>
      <c r="I6" s="17" t="s">
        <v>26</v>
      </c>
      <c r="J6" s="17" t="s">
        <v>87</v>
      </c>
      <c r="K6" s="17" t="s">
        <v>88</v>
      </c>
      <c r="L6" s="17" t="s">
        <v>80</v>
      </c>
      <c r="M6" s="18">
        <v>653641115</v>
      </c>
      <c r="N6" s="17" t="s">
        <v>80</v>
      </c>
      <c r="O6" s="16">
        <v>-11</v>
      </c>
      <c r="P6" s="19">
        <v>0.37</v>
      </c>
      <c r="Q6" s="17" t="s">
        <v>99</v>
      </c>
      <c r="R6" s="17" t="s">
        <v>101</v>
      </c>
      <c r="S6" s="17" t="s">
        <v>103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" s="13" customFormat="1" x14ac:dyDescent="0.25">
      <c r="A7" s="20">
        <v>4.07</v>
      </c>
      <c r="B7" s="21" t="s">
        <v>29</v>
      </c>
      <c r="C7" s="21" t="s">
        <v>30</v>
      </c>
      <c r="D7" s="21" t="str">
        <f>CONCATENATE(B7," ",C7)</f>
        <v>Brianna Brown</v>
      </c>
      <c r="E7" s="21" t="s">
        <v>85</v>
      </c>
      <c r="F7" s="21">
        <v>16202925</v>
      </c>
      <c r="G7" s="21" t="s">
        <v>95</v>
      </c>
      <c r="H7" s="21" t="s">
        <v>38</v>
      </c>
      <c r="I7" s="21" t="s">
        <v>26</v>
      </c>
      <c r="J7" s="21" t="s">
        <v>87</v>
      </c>
      <c r="K7" s="21" t="s">
        <v>88</v>
      </c>
      <c r="L7" s="21" t="s">
        <v>80</v>
      </c>
      <c r="M7" s="22">
        <v>653641115</v>
      </c>
      <c r="N7" s="21" t="s">
        <v>80</v>
      </c>
      <c r="O7" s="20">
        <v>11</v>
      </c>
      <c r="P7" s="23">
        <v>0.37</v>
      </c>
      <c r="Q7" s="21" t="s">
        <v>99</v>
      </c>
      <c r="R7" s="17" t="s">
        <v>101</v>
      </c>
      <c r="S7" s="17" t="s">
        <v>103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s="13" customFormat="1" x14ac:dyDescent="0.25">
      <c r="A8" s="12">
        <v>5.55</v>
      </c>
      <c r="B8" s="13" t="s">
        <v>39</v>
      </c>
      <c r="C8" s="13" t="s">
        <v>40</v>
      </c>
      <c r="D8" s="13" t="str">
        <f>CONCATENATE(B8," ",C8)</f>
        <v>Katrin Urban</v>
      </c>
      <c r="E8" s="13" t="s">
        <v>85</v>
      </c>
      <c r="F8" s="13" t="s">
        <v>96</v>
      </c>
      <c r="G8" s="13" t="s">
        <v>95</v>
      </c>
      <c r="H8" s="13" t="s">
        <v>38</v>
      </c>
      <c r="I8" s="13" t="s">
        <v>42</v>
      </c>
      <c r="J8" s="13" t="s">
        <v>87</v>
      </c>
      <c r="K8" s="13" t="s">
        <v>88</v>
      </c>
      <c r="L8" s="13" t="s">
        <v>80</v>
      </c>
      <c r="M8" s="14">
        <v>979071245</v>
      </c>
      <c r="N8" s="13" t="s">
        <v>80</v>
      </c>
      <c r="O8" s="12">
        <v>15</v>
      </c>
      <c r="P8" s="15">
        <v>0.37</v>
      </c>
      <c r="Q8" s="13" t="s">
        <v>99</v>
      </c>
      <c r="R8" s="13" t="s">
        <v>100</v>
      </c>
      <c r="S8" s="13" t="s">
        <v>102</v>
      </c>
    </row>
  </sheetData>
  <sortState xmlns:xlrd2="http://schemas.microsoft.com/office/spreadsheetml/2017/richdata2" ref="A2:AK8">
    <sortCondition ref="P2:P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2025-12-10T15:56:43Z</dcterms:created>
  <dcterms:modified xsi:type="dcterms:W3CDTF">2025-12-12T20:42:05Z</dcterms:modified>
</cp:coreProperties>
</file>