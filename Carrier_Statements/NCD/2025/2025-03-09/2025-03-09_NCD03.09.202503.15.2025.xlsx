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03-09-25 to 03-15-25\"/>
    </mc:Choice>
  </mc:AlternateContent>
  <xr:revisionPtr revIDLastSave="0" documentId="13_ncr:1_{B88FE0C2-A983-440F-A896-A927EFAD7E25}" xr6:coauthVersionLast="47" xr6:coauthVersionMax="47" xr10:uidLastSave="{00000000-0000-0000-0000-000000000000}"/>
  <bookViews>
    <workbookView xWindow="-57720" yWindow="-45" windowWidth="29040" windowHeight="15720" activeTab="1" xr2:uid="{415B1961-CBF7-45AB-A293-62A72FEC45DB}"/>
  </bookViews>
  <sheets>
    <sheet name="Statement" sheetId="2" r:id="rId1"/>
    <sheet name="Details" sheetId="1" r:id="rId2"/>
  </sheets>
  <definedNames>
    <definedName name="_xlnm._FilterDatabase" localSheetId="1" hidden="1">Details!$A$1:$AT$3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2" i="1"/>
</calcChain>
</file>

<file path=xl/sharedStrings.xml><?xml version="1.0" encoding="utf-8"?>
<sst xmlns="http://schemas.openxmlformats.org/spreadsheetml/2006/main" count="115" uniqueCount="74">
  <si>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</si>
  <si>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</si>
  <si>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</si>
  <si>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</si>
  <si>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</si>
  <si>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</si>
  <si>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</si>
  <si>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</si>
  <si>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</si>
  <si>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</si>
  <si>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</si>
  <si>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</si>
  <si>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</si>
  <si>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</si>
  <si>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</si>
  <si>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</si>
  <si>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</si>
  <si>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</si>
  <si>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</si>
  <si>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</si>
  <si>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</si>
  <si>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</si>
  <si>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</si>
  <si>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</si>
  <si>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</si>
  <si>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</si>
  <si>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</si>
  <si>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</si>
  <si>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</si>
  <si>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</si>
  <si>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</si>
  <si>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</si>
  <si>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</si>
  <si>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</si>
  <si>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</si>
  <si>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</si>
  <si>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</si>
  <si>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</si>
  <si>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</si>
  <si>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</si>
  <si>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</si>
  <si>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</si>
  <si>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</si>
  <si>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</si>
  <si>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</si>
  <si>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COMM</t>
  </si>
  <si>
    <t>Product</t>
  </si>
  <si>
    <t>Main Line Benefits LLC</t>
  </si>
  <si>
    <t>Alonzo</t>
  </si>
  <si>
    <t>Brown</t>
  </si>
  <si>
    <t>MD</t>
  </si>
  <si>
    <t>Carolyn W Smith</t>
  </si>
  <si>
    <t>NCD</t>
  </si>
  <si>
    <t>NCD Smile 2500 by MetLife</t>
  </si>
  <si>
    <t>Member</t>
  </si>
  <si>
    <t>Monthly</t>
  </si>
  <si>
    <t>Dental</t>
  </si>
  <si>
    <t>MetLife</t>
  </si>
  <si>
    <t>SALE</t>
  </si>
  <si>
    <t>CC</t>
  </si>
  <si>
    <t>Earned</t>
  </si>
  <si>
    <t>Donna</t>
  </si>
  <si>
    <t>Arrich</t>
  </si>
  <si>
    <t xml:space="preserve"> Main Line Benefits - Thomas Kucan</t>
  </si>
  <si>
    <t>ACH</t>
  </si>
  <si>
    <t>Grand Total</t>
  </si>
  <si>
    <t>(blank)</t>
  </si>
  <si>
    <t>Earned Total</t>
  </si>
  <si>
    <t>Sum of Net Commission</t>
  </si>
  <si>
    <t>Agent Label: Main Line Benefits LLC</t>
  </si>
  <si>
    <t>For the Period: NB 03.09.2025-03.15.2025 NCD</t>
  </si>
  <si>
    <t>Payout Date: 03.21.2025</t>
  </si>
  <si>
    <t>Earned Payout</t>
  </si>
  <si>
    <t>Total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</si>
</sst>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0" fontId="2" fillId="0" borderId="0" xfId="0" applyFont="1"/>
    <xf numFmtId="9" fontId="0" fillId="0" borderId="0" xfId="2" applyFont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164" fontId="4" fillId="0" borderId="0" xfId="0" applyNumberFormat="1" applyFont="1"/>
    <xf numFmtId="0" fontId="6" fillId="2" borderId="1" xfId="0" applyFont="1" applyFill="1" applyBorder="1"/>
    <xf numFmtId="44" fontId="5" fillId="3" borderId="2" xfId="1" applyFont="1" applyFill="1" applyBorder="1"/>
    <xf numFmtId="0" fontId="6" fillId="2" borderId="2" xfId="0" applyFont="1" applyFill="1" applyBorder="1"/>
    <xf numFmtId="44" fontId="5" fillId="3" borderId="3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F8E9591A-94B3-4A82-8625-2E5566F0AE28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ojas" refreshedDate="45736.650674074073" createdVersion="3" refreshedVersion="8" minRefreshableVersion="3" recordCount="2" xr:uid="{1ADED7B0-3D17-4C5B-B002-62CB8F084D8C}">
  <cacheSource type="worksheet">
    <worksheetSource ref="A1:AT3" sheet="Details"/>
  </cacheSource>
  <cacheFields count="45">
    <cacheField name="Posted Date" numFmtId="14">
      <sharedItems containsSemiMixedTypes="0" containsNonDate="0" containsDate="1" containsString="0" minDate="2025-03-13T00:00:00" maxDate="2025-03-16T00:00:00" count="2">
        <d v="2025-03-15T00:00:00"/>
        <d v="2025-03-13T00:00:00"/>
      </sharedItems>
    </cacheField>
    <cacheField name="Created Date" numFmtId="14">
      <sharedItems containsSemiMixedTypes="0" containsNonDate="0" containsDate="1" containsString="0" minDate="2025-03-17T00:00:00" maxDate="2025-03-18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containsInteger="1" minValue="8" maxValue="8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containsInteger="1" minValue="8" maxValue="8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4135257" maxValue="684158179" count="2">
        <n v="684135257"/>
        <n v="684158179"/>
      </sharedItems>
    </cacheField>
    <cacheField name="Member Company" numFmtId="0">
      <sharedItems containsNonDate="0" containsString="0" containsBlank="1"/>
    </cacheField>
    <cacheField name="Member First Name" numFmtId="0">
      <sharedItems count="2">
        <s v="Alonzo"/>
        <s v="Donna"/>
      </sharedItems>
    </cacheField>
    <cacheField name="Member Last Name" numFmtId="0">
      <sharedItems count="2">
        <s v="Brown"/>
        <s v="Arrich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678726" maxValue="707256" count="2">
        <n v="707256"/>
        <n v="678726"/>
      </sharedItems>
    </cacheField>
    <cacheField name="Member Agent Label" numFmtId="0">
      <sharedItems count="2">
        <s v="Carolyn W Smith"/>
        <s v=" Main Line Benefits - Thomas Kucan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45041" maxValue="45041"/>
    </cacheField>
    <cacheField name="Product Label" numFmtId="0">
      <sharedItems count="1">
        <s v="NCD Smile 2500 by MetLife"/>
      </sharedItems>
    </cacheField>
    <cacheField name="Benefit" numFmtId="0">
      <sharedItems count="1">
        <s v="Member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5-03-03T00:00:00" maxDate="2025-03-08T00:00:00"/>
    </cacheField>
    <cacheField name="Product Active Date" numFmtId="14">
      <sharedItems containsSemiMixedTypes="0" containsNonDate="0" containsDate="1" containsString="0" minDate="2025-03-01T00:00:00" maxDate="2025-04-02T00:00:00"/>
    </cacheField>
    <cacheField name="Policy Number" numFmtId="0">
      <sharedItems containsSemiMixedTypes="0" containsString="0" containsNumber="1" containsInteger="1" minValue="138655428" maxValue="418031090" count="2">
        <n v="418031090"/>
        <n v="138655428"/>
      </sharedItems>
    </cacheField>
    <cacheField name="Transaction ID" numFmtId="0">
      <sharedItems containsSemiMixedTypes="0" containsString="0" containsNumber="1" containsInteger="1" minValue="10485561403" maxValue="10510301352"/>
    </cacheField>
    <cacheField name="Transaction Amount" numFmtId="8">
      <sharedItems containsNonDate="0" containsString="0" containsBlank="1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1" maxValue="1"/>
    </cacheField>
    <cacheField name="Transaction Paid Through Start" numFmtId="14">
      <sharedItems containsSemiMixedTypes="0" containsNonDate="0" containsDate="1" containsString="0" minDate="2025-03-01T00:00:00" maxDate="2025-04-02T00:00:00"/>
    </cacheField>
    <cacheField name="Transaction Paid Through End" numFmtId="14">
      <sharedItems containsSemiMixedTypes="0" containsNonDate="0" containsDate="1" containsString="0" minDate="2025-03-31T00:00:00" maxDate="2025-05-01T00:00:00"/>
    </cacheField>
    <cacheField name="Commissionable Amount" numFmtId="8">
      <sharedItems containsSemiMixedTypes="0" containsString="0" containsNumber="1" containsInteger="1" minValue="25" maxValue="25" count="1">
        <n v="25"/>
      </sharedItems>
    </cacheField>
    <cacheField name="Payout" numFmtId="9">
      <sharedItems containsSemiMixedTypes="0" containsString="0" containsNumber="1" minValue="0.32" maxValue="0.32"/>
    </cacheField>
    <cacheField name="Payable ID" numFmtId="0">
      <sharedItems containsSemiMixedTypes="0" containsString="0" containsNumber="1" containsInteger="1" minValue="1321839999" maxValue="1321844715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d v="2025-03-17T00:00:00"/>
    <s v="COMM"/>
    <s v="Product"/>
    <x v="0"/>
    <n v="8"/>
    <n v="0"/>
    <n v="8"/>
    <n v="653470"/>
    <s v="Main Line Benefits LLC"/>
    <m/>
    <m/>
    <m/>
    <m/>
    <m/>
    <x v="0"/>
    <m/>
    <x v="0"/>
    <x v="0"/>
    <s v="MD"/>
    <x v="0"/>
    <x v="0"/>
    <s v="NCD"/>
    <m/>
    <n v="45041"/>
    <x v="0"/>
    <x v="0"/>
    <s v="Monthly"/>
    <s v="Dental"/>
    <s v="MetLife"/>
    <d v="2025-03-03T00:00:00"/>
    <d v="2025-04-01T00:00:00"/>
    <x v="0"/>
    <n v="10510301352"/>
    <m/>
    <x v="0"/>
    <s v="CC"/>
    <n v="1"/>
    <d v="2025-04-01T00:00:00"/>
    <d v="2025-04-30T00:00:00"/>
    <x v="0"/>
    <n v="0.32"/>
    <n v="1321839999"/>
    <m/>
    <x v="0"/>
  </r>
  <r>
    <x v="1"/>
    <d v="2025-03-17T00:00:00"/>
    <s v="COMM"/>
    <s v="Product"/>
    <x v="0"/>
    <n v="8"/>
    <n v="0"/>
    <n v="8"/>
    <n v="653470"/>
    <s v="Main Line Benefits LLC"/>
    <m/>
    <m/>
    <m/>
    <m/>
    <m/>
    <x v="1"/>
    <m/>
    <x v="1"/>
    <x v="1"/>
    <s v="MD"/>
    <x v="1"/>
    <x v="1"/>
    <s v="NCD"/>
    <m/>
    <n v="45041"/>
    <x v="0"/>
    <x v="0"/>
    <s v="Monthly"/>
    <s v="Dental"/>
    <s v="MetLife"/>
    <d v="2025-03-07T00:00:00"/>
    <d v="2025-03-01T00:00:00"/>
    <x v="1"/>
    <n v="10485561403"/>
    <m/>
    <x v="0"/>
    <s v="ACH"/>
    <n v="1"/>
    <d v="2025-03-01T00:00:00"/>
    <d v="2025-03-31T00:00:00"/>
    <x v="0"/>
    <n v="0.32"/>
    <n v="1321844715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606D3-C2CE-4DB5-86FF-C4B244B5AF4E}" name="Statement Table" cacheId="1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ayout Type">
  <location ref="A10:N14" firstHeaderRow="1" firstDataRow="1" firstDataCol="13"/>
  <pivotFields count="45">
    <pivotField axis="axisRow" numFmtId="14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numFmtId="14" showAll="0"/>
    <pivotField numFmtId="14" showAll="0"/>
    <pivotField axis="axisRow" numFmtId="16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4">
    <i>
      <x/>
      <x/>
      <x/>
      <x v="1"/>
      <x v="1"/>
      <x v="1"/>
      <x v="1"/>
      <x/>
      <x/>
      <x v="1"/>
      <x/>
      <x/>
      <x/>
    </i>
    <i r="1">
      <x v="1"/>
      <x v="1"/>
      <x/>
      <x/>
      <x/>
      <x/>
      <x/>
      <x/>
      <x/>
      <x/>
      <x/>
      <x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86B2-A549-4BD7-9EC7-7DCE85DC6D94}">
  <dimension ref="A1:P14"/>
  <sheetViews>
    <sheetView workbookViewId="0">
      <selection activeCell="C18" sqref="C18"/>
    </sheetView>
  </sheetViews>
  <sheetFormatPr defaultColWidth="0" defaultRowHeight="15" x14ac:dyDescent="0.25"/>
  <cols>
    <col min="1" max="1" width="53.7109375" bestFit="1" customWidth="1"/>
    <col min="2" max="2" width="12.7109375" bestFit="1" customWidth="1"/>
    <col min="3" max="3" width="20.5703125" bestFit="1" customWidth="1"/>
    <col min="4" max="4" width="20.28515625" bestFit="1" customWidth="1"/>
    <col min="5" max="5" width="18.28515625" bestFit="1" customWidth="1"/>
    <col min="6" max="6" width="33.28515625" bestFit="1" customWidth="1"/>
    <col min="7" max="7" width="16.140625" bestFit="1" customWidth="1"/>
    <col min="8" max="8" width="27.7109375" customWidth="1"/>
    <col min="9" max="9" width="9.5703125" bestFit="1" customWidth="1"/>
    <col min="10" max="10" width="13.85546875" bestFit="1" customWidth="1"/>
    <col min="11" max="11" width="18" bestFit="1" customWidth="1"/>
    <col min="12" max="12" width="8.7109375" bestFit="1" customWidth="1"/>
    <col min="13" max="13" width="25.7109375" bestFit="1" customWidth="1"/>
    <col min="14" max="14" width="22.7109375" bestFit="1" customWidth="1"/>
    <col min="15" max="16" width="8.85546875" customWidth="1"/>
    <col min="17" max="16384" width="8.85546875" hidden="1"/>
  </cols>
  <sheetData>
    <row r="1" spans="1:14" s="9" customFormat="1" ht="18.75" x14ac:dyDescent="0.3">
      <c r="A1" s="10" t="s">
        <v>52</v>
      </c>
    </row>
    <row r="2" spans="1:14" s="9" customFormat="1" ht="18.75" x14ac:dyDescent="0.3">
      <c r="A2" s="10" t="s">
        <v>69</v>
      </c>
    </row>
    <row r="3" spans="1:14" s="9" customFormat="1" ht="18.75" x14ac:dyDescent="0.3">
      <c r="A3" s="10" t="s">
        <v>70</v>
      </c>
    </row>
    <row r="4" spans="1:14" s="9" customFormat="1" ht="19.5" thickBot="1" x14ac:dyDescent="0.35">
      <c r="A4" s="10" t="s">
        <v>71</v>
      </c>
    </row>
    <row r="5" spans="1:14" s="9" customFormat="1" ht="21.75" thickBot="1" x14ac:dyDescent="0.4">
      <c r="C5" s="13" t="s">
        <v>72</v>
      </c>
      <c r="D5" s="14">
        <v>16</v>
      </c>
      <c r="E5" s="15" t="s">
        <v>73</v>
      </c>
      <c r="F5" s="16">
        <v>16</v>
      </c>
    </row>
    <row r="6" spans="1:14" s="9" customFormat="1" x14ac:dyDescent="0.25"/>
    <row r="7" spans="1:14" s="9" customFormat="1" x14ac:dyDescent="0.25"/>
    <row r="8" spans="1:14" s="9" customFormat="1" x14ac:dyDescent="0.25"/>
    <row r="9" spans="1:14" s="9" customFormat="1" x14ac:dyDescent="0.25"/>
    <row r="10" spans="1:14" x14ac:dyDescent="0.25">
      <c r="A10" s="7" t="s">
        <v>44</v>
      </c>
      <c r="B10" s="7" t="s">
        <v>15</v>
      </c>
      <c r="C10" s="7" t="s">
        <v>17</v>
      </c>
      <c r="D10" s="7" t="s">
        <v>18</v>
      </c>
      <c r="E10" s="7" t="s">
        <v>20</v>
      </c>
      <c r="F10" s="7" t="s">
        <v>21</v>
      </c>
      <c r="G10" s="7" t="s">
        <v>32</v>
      </c>
      <c r="H10" s="7" t="s">
        <v>25</v>
      </c>
      <c r="I10" s="7" t="s">
        <v>26</v>
      </c>
      <c r="J10" s="7" t="s">
        <v>0</v>
      </c>
      <c r="K10" s="7" t="s">
        <v>35</v>
      </c>
      <c r="L10" s="7" t="s">
        <v>4</v>
      </c>
      <c r="M10" s="7" t="s">
        <v>40</v>
      </c>
      <c r="N10" t="s">
        <v>68</v>
      </c>
    </row>
    <row r="11" spans="1:14" x14ac:dyDescent="0.25">
      <c r="A11" t="s">
        <v>60</v>
      </c>
      <c r="B11">
        <v>684135257</v>
      </c>
      <c r="C11" t="s">
        <v>48</v>
      </c>
      <c r="D11" t="s">
        <v>49</v>
      </c>
      <c r="E11">
        <v>707256</v>
      </c>
      <c r="F11" t="s">
        <v>51</v>
      </c>
      <c r="G11">
        <v>418031090</v>
      </c>
      <c r="H11" t="s">
        <v>53</v>
      </c>
      <c r="I11" t="s">
        <v>54</v>
      </c>
      <c r="J11" s="2">
        <v>45731</v>
      </c>
      <c r="K11" t="s">
        <v>58</v>
      </c>
      <c r="L11" t="s">
        <v>66</v>
      </c>
      <c r="M11" s="8">
        <v>25</v>
      </c>
      <c r="N11" s="8">
        <v>8</v>
      </c>
    </row>
    <row r="12" spans="1:14" x14ac:dyDescent="0.25">
      <c r="A12" t="s">
        <v>60</v>
      </c>
      <c r="B12">
        <v>684158179</v>
      </c>
      <c r="C12" t="s">
        <v>61</v>
      </c>
      <c r="D12" t="s">
        <v>62</v>
      </c>
      <c r="E12">
        <v>678726</v>
      </c>
      <c r="F12" t="s">
        <v>63</v>
      </c>
      <c r="G12">
        <v>138655428</v>
      </c>
      <c r="H12" t="s">
        <v>53</v>
      </c>
      <c r="I12" t="s">
        <v>54</v>
      </c>
      <c r="J12" s="2">
        <v>45729</v>
      </c>
      <c r="K12" t="s">
        <v>58</v>
      </c>
      <c r="L12" t="s">
        <v>66</v>
      </c>
      <c r="M12" s="8">
        <v>25</v>
      </c>
      <c r="N12" s="8">
        <v>8</v>
      </c>
    </row>
    <row r="13" spans="1:14" ht="18.75" x14ac:dyDescent="0.3">
      <c r="A13" s="11" t="s">
        <v>67</v>
      </c>
      <c r="N13" s="12">
        <v>16</v>
      </c>
    </row>
    <row r="14" spans="1:14" x14ac:dyDescent="0.25">
      <c r="A14" t="s">
        <v>65</v>
      </c>
      <c r="N14" s="8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A05A-9FD3-4DF0-B689-6353529320D0}">
  <dimension ref="A1:BM3"/>
  <sheetViews>
    <sheetView tabSelected="1" workbookViewId="0">
      <selection activeCell="P15" sqref="P15"/>
    </sheetView>
  </sheetViews>
  <sheetFormatPr defaultRowHeight="15" x14ac:dyDescent="0.25"/>
  <cols>
    <col min="1" max="1" width="11.140625" bestFit="1" customWidth="1"/>
    <col min="2" max="2" width="11.7109375" bestFit="1" customWidth="1"/>
    <col min="3" max="3" width="6.5703125" bestFit="1" customWidth="1"/>
    <col min="4" max="4" width="7.7109375" bestFit="1" customWidth="1"/>
    <col min="5" max="6" width="6" bestFit="1" customWidth="1"/>
    <col min="7" max="7" width="5.42578125" bestFit="1" customWidth="1"/>
    <col min="8" max="8" width="5.28515625" bestFit="1" customWidth="1"/>
    <col min="9" max="9" width="13.42578125" bestFit="1" customWidth="1"/>
    <col min="10" max="10" width="19.85546875" bestFit="1" customWidth="1"/>
    <col min="11" max="12" width="14.85546875" bestFit="1" customWidth="1"/>
    <col min="13" max="13" width="9.42578125" bestFit="1" customWidth="1"/>
    <col min="14" max="14" width="10.5703125" bestFit="1" customWidth="1"/>
    <col min="15" max="15" width="13.28515625" bestFit="1" customWidth="1"/>
    <col min="16" max="16" width="10.140625" bestFit="1" customWidth="1"/>
    <col min="17" max="17" width="16.5703125" bestFit="1" customWidth="1"/>
    <col min="18" max="18" width="17.85546875" bestFit="1" customWidth="1"/>
    <col min="19" max="19" width="17.7109375" bestFit="1" customWidth="1"/>
    <col min="20" max="20" width="17.7109375" customWidth="1"/>
    <col min="21" max="21" width="12.42578125" bestFit="1" customWidth="1"/>
    <col min="22" max="22" width="15.42578125" bestFit="1" customWidth="1"/>
    <col min="23" max="23" width="31.7109375" bestFit="1" customWidth="1"/>
    <col min="24" max="24" width="21.28515625" bestFit="1" customWidth="1"/>
    <col min="25" max="25" width="19.85546875" bestFit="1" customWidth="1"/>
    <col min="26" max="26" width="9.85546875" bestFit="1" customWidth="1"/>
    <col min="27" max="27" width="23.28515625" bestFit="1" customWidth="1"/>
    <col min="28" max="28" width="7.85546875" bestFit="1" customWidth="1"/>
    <col min="29" max="29" width="7.7109375" bestFit="1" customWidth="1"/>
    <col min="30" max="30" width="15.5703125" bestFit="1" customWidth="1"/>
    <col min="31" max="31" width="17.140625" bestFit="1" customWidth="1"/>
    <col min="32" max="32" width="19.140625" bestFit="1" customWidth="1"/>
    <col min="33" max="33" width="17.7109375" bestFit="1" customWidth="1"/>
    <col min="34" max="35" width="13.5703125" bestFit="1" customWidth="1"/>
    <col min="36" max="36" width="18.5703125" bestFit="1" customWidth="1"/>
    <col min="37" max="37" width="15.7109375" bestFit="1" customWidth="1"/>
    <col min="38" max="38" width="12.7109375" bestFit="1" customWidth="1"/>
    <col min="39" max="39" width="19.28515625" bestFit="1" customWidth="1"/>
    <col min="40" max="40" width="27.85546875" bestFit="1" customWidth="1"/>
    <col min="41" max="41" width="27.28515625" bestFit="1" customWidth="1"/>
    <col min="42" max="42" width="23" bestFit="1" customWidth="1"/>
    <col min="43" max="43" width="6.7109375" bestFit="1" customWidth="1"/>
    <col min="44" max="44" width="11" bestFit="1" customWidth="1"/>
    <col min="45" max="45" width="16.28515625" bestFit="1" customWidth="1"/>
    <col min="46" max="46" width="11.14062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BF1" s="1"/>
    </row>
    <row r="2" spans="1:65" x14ac:dyDescent="0.25">
      <c r="A2" s="2">
        <v>45731</v>
      </c>
      <c r="B2" s="2">
        <v>45733</v>
      </c>
      <c r="C2" t="s">
        <v>45</v>
      </c>
      <c r="D2" t="s">
        <v>46</v>
      </c>
      <c r="F2">
        <v>8</v>
      </c>
      <c r="G2">
        <v>0</v>
      </c>
      <c r="H2">
        <v>8</v>
      </c>
      <c r="I2">
        <v>653470</v>
      </c>
      <c r="J2" t="s">
        <v>47</v>
      </c>
      <c r="P2">
        <v>684135257</v>
      </c>
      <c r="R2" t="s">
        <v>48</v>
      </c>
      <c r="S2" t="s">
        <v>49</v>
      </c>
      <c r="T2" t="str">
        <f>CONCATENATE(R2, " ",S2)</f>
        <v>Alonzo Brown</v>
      </c>
      <c r="U2" t="s">
        <v>50</v>
      </c>
      <c r="V2">
        <v>707256</v>
      </c>
      <c r="W2" t="s">
        <v>51</v>
      </c>
      <c r="X2" t="s">
        <v>52</v>
      </c>
      <c r="Z2">
        <v>45041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s="2">
        <v>45719</v>
      </c>
      <c r="AG2" s="2">
        <v>45748</v>
      </c>
      <c r="AH2">
        <v>418031090</v>
      </c>
      <c r="AI2">
        <v>10510301352</v>
      </c>
      <c r="AJ2" s="3"/>
      <c r="AK2" t="s">
        <v>58</v>
      </c>
      <c r="AL2" t="s">
        <v>59</v>
      </c>
      <c r="AM2">
        <v>1</v>
      </c>
      <c r="AN2" s="2">
        <v>45748</v>
      </c>
      <c r="AO2" s="2">
        <v>45777</v>
      </c>
      <c r="AP2" s="3">
        <v>25</v>
      </c>
      <c r="AQ2" s="4">
        <v>0.32</v>
      </c>
      <c r="AR2">
        <v>1321839999</v>
      </c>
      <c r="AT2" t="s">
        <v>60</v>
      </c>
      <c r="BC2" s="2"/>
      <c r="BE2" s="5"/>
      <c r="BK2" s="6"/>
      <c r="BM2" s="1"/>
    </row>
    <row r="3" spans="1:65" x14ac:dyDescent="0.25">
      <c r="A3" s="2">
        <v>45729</v>
      </c>
      <c r="B3" s="2">
        <v>45733</v>
      </c>
      <c r="C3" t="s">
        <v>45</v>
      </c>
      <c r="D3" t="s">
        <v>46</v>
      </c>
      <c r="F3">
        <v>8</v>
      </c>
      <c r="G3">
        <v>0</v>
      </c>
      <c r="H3">
        <v>8</v>
      </c>
      <c r="I3">
        <v>653470</v>
      </c>
      <c r="J3" t="s">
        <v>47</v>
      </c>
      <c r="P3">
        <v>684158179</v>
      </c>
      <c r="R3" t="s">
        <v>61</v>
      </c>
      <c r="S3" t="s">
        <v>62</v>
      </c>
      <c r="T3" t="str">
        <f>CONCATENATE(R3, " ",S3)</f>
        <v>Donna Arrich</v>
      </c>
      <c r="U3" t="s">
        <v>50</v>
      </c>
      <c r="V3">
        <v>678726</v>
      </c>
      <c r="W3" t="s">
        <v>63</v>
      </c>
      <c r="X3" t="s">
        <v>52</v>
      </c>
      <c r="Z3">
        <v>45041</v>
      </c>
      <c r="AA3" t="s">
        <v>53</v>
      </c>
      <c r="AB3" t="s">
        <v>54</v>
      </c>
      <c r="AC3" t="s">
        <v>55</v>
      </c>
      <c r="AD3" t="s">
        <v>56</v>
      </c>
      <c r="AE3" t="s">
        <v>57</v>
      </c>
      <c r="AF3" s="2">
        <v>45723</v>
      </c>
      <c r="AG3" s="2">
        <v>45717</v>
      </c>
      <c r="AH3">
        <v>138655428</v>
      </c>
      <c r="AI3">
        <v>10485561403</v>
      </c>
      <c r="AJ3" s="3"/>
      <c r="AK3" t="s">
        <v>58</v>
      </c>
      <c r="AL3" t="s">
        <v>64</v>
      </c>
      <c r="AM3">
        <v>1</v>
      </c>
      <c r="AN3" s="2">
        <v>45717</v>
      </c>
      <c r="AO3" s="2">
        <v>45747</v>
      </c>
      <c r="AP3" s="3">
        <v>25</v>
      </c>
      <c r="AQ3" s="4">
        <v>0.32</v>
      </c>
      <c r="AR3">
        <v>1321844715</v>
      </c>
      <c r="AT3" t="s">
        <v>60</v>
      </c>
      <c r="BC3" s="2"/>
      <c r="BE3" s="5"/>
      <c r="BK3" s="6"/>
      <c r="BM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Rojas</dc:creator>
  <cp:lastModifiedBy>Janki Patel</cp:lastModifiedBy>
  <dcterms:created xsi:type="dcterms:W3CDTF">2025-03-20T20:36:57Z</dcterms:created>
  <dcterms:modified xsi:type="dcterms:W3CDTF">2025-03-25T23:50:08Z</dcterms:modified>
</cp:coreProperties>
</file>