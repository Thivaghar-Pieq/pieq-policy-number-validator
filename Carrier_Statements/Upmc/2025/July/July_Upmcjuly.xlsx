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PMC\2025\carrier site\July\"/>
    </mc:Choice>
  </mc:AlternateContent>
  <xr:revisionPtr revIDLastSave="0" documentId="13_ncr:1_{EA238D3F-6D61-4F1F-B3ED-9A2A4CAF1213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ummary" sheetId="1" r:id="rId1"/>
    <sheet name="IND Detail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2" i="3"/>
</calcChain>
</file>

<file path=xl/sharedStrings.xml><?xml version="1.0" encoding="utf-8"?>
<sst xmlns="http://schemas.openxmlformats.org/spreadsheetml/2006/main" count="526" uniqueCount="112">
  <si>
    <t/>
  </si>
  <si>
    <t>Payee Name</t>
  </si>
  <si>
    <t>Payee ID</t>
  </si>
  <si>
    <t>Writing Agency Name</t>
  </si>
  <si>
    <t>Writing Agency ID</t>
  </si>
  <si>
    <t>AoR Name</t>
  </si>
  <si>
    <t>AoR ID</t>
  </si>
  <si>
    <t>NPN</t>
  </si>
  <si>
    <t>Definition</t>
  </si>
  <si>
    <t>Contract Count</t>
  </si>
  <si>
    <t>Dependent Count</t>
  </si>
  <si>
    <t>Total Count</t>
  </si>
  <si>
    <t>Total</t>
  </si>
  <si>
    <t>Main Line Benefits LLC</t>
  </si>
  <si>
    <t>B000004792</t>
  </si>
  <si>
    <t>WB00004792</t>
  </si>
  <si>
    <t>Jason Hoffmann</t>
  </si>
  <si>
    <t>000004157409</t>
  </si>
  <si>
    <t>15278437</t>
  </si>
  <si>
    <t>ECPA</t>
  </si>
  <si>
    <t>WPA</t>
  </si>
  <si>
    <t>AoR Start Date</t>
  </si>
  <si>
    <t>AoR End Date</t>
  </si>
  <si>
    <t>Policy Number</t>
  </si>
  <si>
    <t>Subscriber Name</t>
  </si>
  <si>
    <t>Policy Start Date</t>
  </si>
  <si>
    <t>Policy End Date</t>
  </si>
  <si>
    <t>Region</t>
  </si>
  <si>
    <t>County</t>
  </si>
  <si>
    <t>Status</t>
  </si>
  <si>
    <t>Group ID</t>
  </si>
  <si>
    <t>Prem Month</t>
  </si>
  <si>
    <t>Statement Date</t>
  </si>
  <si>
    <t>Plan</t>
  </si>
  <si>
    <t>Plan Type</t>
  </si>
  <si>
    <t>Mem Count</t>
  </si>
  <si>
    <t>Applied Rate</t>
  </si>
  <si>
    <t>Misc Description</t>
  </si>
  <si>
    <t>03/01/2025</t>
  </si>
  <si>
    <t>07/31/2025</t>
  </si>
  <si>
    <t>01781986801</t>
  </si>
  <si>
    <t>FRISHKORN, BRITTANY</t>
  </si>
  <si>
    <t>Beaver</t>
  </si>
  <si>
    <t>R</t>
  </si>
  <si>
    <t>PAO054</t>
  </si>
  <si>
    <t>07/2025</t>
  </si>
  <si>
    <t>XAPJU</t>
  </si>
  <si>
    <t>IND</t>
  </si>
  <si>
    <t>$15.00</t>
  </si>
  <si>
    <t>01677291501</t>
  </si>
  <si>
    <t>KUZMA, DANIEL</t>
  </si>
  <si>
    <t>Erie</t>
  </si>
  <si>
    <t>PAO059</t>
  </si>
  <si>
    <t>XAEVN</t>
  </si>
  <si>
    <t>01820309001</t>
  </si>
  <si>
    <t>RITTLE, DAVID</t>
  </si>
  <si>
    <t>Lebanon</t>
  </si>
  <si>
    <t>I</t>
  </si>
  <si>
    <t>PAO061</t>
  </si>
  <si>
    <t>XAPJS</t>
  </si>
  <si>
    <t>01712238701</t>
  </si>
  <si>
    <t>BARONE, FRANCIS</t>
  </si>
  <si>
    <t>Lycoming</t>
  </si>
  <si>
    <t>PAO055</t>
  </si>
  <si>
    <t>XAEVF</t>
  </si>
  <si>
    <t>01676904401</t>
  </si>
  <si>
    <t>DONAHOE, GARY</t>
  </si>
  <si>
    <t>Clearfield</t>
  </si>
  <si>
    <t>PAO057</t>
  </si>
  <si>
    <t>XAH90</t>
  </si>
  <si>
    <t>01742186401</t>
  </si>
  <si>
    <t>MILLER, INGRID</t>
  </si>
  <si>
    <t>Allegheny</t>
  </si>
  <si>
    <t>XAEVP</t>
  </si>
  <si>
    <t>01519711001</t>
  </si>
  <si>
    <t>KAMENSKY, JOEL</t>
  </si>
  <si>
    <t>Westmoreland</t>
  </si>
  <si>
    <t>PAO062</t>
  </si>
  <si>
    <t>XASEJ</t>
  </si>
  <si>
    <t>01722910201</t>
  </si>
  <si>
    <t>LAUER, KAYLEIGH</t>
  </si>
  <si>
    <t>XAEVY</t>
  </si>
  <si>
    <t>01508608001</t>
  </si>
  <si>
    <t>BORING, LINDA</t>
  </si>
  <si>
    <t>XAEVX</t>
  </si>
  <si>
    <t>01724784101</t>
  </si>
  <si>
    <t>COUGHANOUR, MARIA</t>
  </si>
  <si>
    <t>05/01/2025</t>
  </si>
  <si>
    <t>01776998701</t>
  </si>
  <si>
    <t>SHULLO, MARIA</t>
  </si>
  <si>
    <t>Butler</t>
  </si>
  <si>
    <t>PAO058</t>
  </si>
  <si>
    <t>XAPJY</t>
  </si>
  <si>
    <t>01815682901</t>
  </si>
  <si>
    <t>ROUPP, MAUREEN</t>
  </si>
  <si>
    <t>XAEVW</t>
  </si>
  <si>
    <t>01720404801</t>
  </si>
  <si>
    <t>NICODEM, MONTE</t>
  </si>
  <si>
    <t>01743368301</t>
  </si>
  <si>
    <t>BECKER, ROBERT</t>
  </si>
  <si>
    <t>Cambria</t>
  </si>
  <si>
    <t>01826648301</t>
  </si>
  <si>
    <t>MCGUIRE, RONDA</t>
  </si>
  <si>
    <t>Clarion</t>
  </si>
  <si>
    <t>01722064301</t>
  </si>
  <si>
    <t>PEEL, SHELLY</t>
  </si>
  <si>
    <t>Indiana</t>
  </si>
  <si>
    <t>01555597901</t>
  </si>
  <si>
    <t>KUZMA, TIMOTHY</t>
  </si>
  <si>
    <t>[PMPM=3]</t>
  </si>
  <si>
    <t>[PMPM=6]</t>
  </si>
  <si>
    <t>UPMC 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</si>
</sst>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dd/mm/yyyy\ "/>
    <numFmt numFmtId="165" formatCode="mm/dd/yyyy\ 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workbookViewId="0">
      <selection activeCell="E7" sqref="E7"/>
    </sheetView>
  </sheetViews>
  <sheetFormatPr defaultRowHeight="15" x14ac:dyDescent="0.25"/>
  <cols>
    <col min="1" max="1" width="35" customWidth="1"/>
    <col min="2" max="2" width="20" customWidth="1"/>
    <col min="3" max="3" width="35" customWidth="1"/>
    <col min="4" max="4" width="20" customWidth="1"/>
    <col min="9" max="9" width="8.7109375" customWidth="1"/>
    <col min="10" max="10" width="9.42578125" customWidth="1"/>
  </cols>
  <sheetData>
    <row r="1" spans="1:12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25">
      <c r="A2" t="s">
        <v>13</v>
      </c>
      <c r="B2" t="s">
        <v>14</v>
      </c>
      <c r="C2" t="s">
        <v>13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4</v>
      </c>
      <c r="J2">
        <v>2</v>
      </c>
      <c r="K2">
        <v>6</v>
      </c>
      <c r="L2" s="4">
        <v>90</v>
      </c>
    </row>
    <row r="3" spans="1:12" x14ac:dyDescent="0.25">
      <c r="A3" t="s">
        <v>13</v>
      </c>
      <c r="B3" t="s">
        <v>14</v>
      </c>
      <c r="C3" t="s">
        <v>13</v>
      </c>
      <c r="D3" t="s">
        <v>15</v>
      </c>
      <c r="E3" t="s">
        <v>16</v>
      </c>
      <c r="F3" t="s">
        <v>17</v>
      </c>
      <c r="G3" t="s">
        <v>18</v>
      </c>
      <c r="H3" t="s">
        <v>20</v>
      </c>
      <c r="I3">
        <v>13</v>
      </c>
      <c r="J3">
        <v>5</v>
      </c>
      <c r="K3">
        <v>18</v>
      </c>
      <c r="L3" s="4">
        <v>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8"/>
  <sheetViews>
    <sheetView tabSelected="1" topLeftCell="J1" workbookViewId="0">
      <selection activeCell="J1" sqref="A1:XFD1048576"/>
    </sheetView>
  </sheetViews>
  <sheetFormatPr defaultRowHeight="15" x14ac:dyDescent="0.25"/>
  <cols>
    <col min="1" max="4" width="20" customWidth="1"/>
    <col min="5" max="5" width="15" customWidth="1"/>
    <col min="6" max="6" width="25" customWidth="1"/>
    <col min="7" max="8" width="15" customWidth="1"/>
    <col min="9" max="9" width="45" customWidth="1"/>
    <col min="10" max="13" width="15" customWidth="1"/>
    <col min="14" max="14" width="7.140625" bestFit="1" customWidth="1"/>
    <col min="15" max="15" width="14.28515625" bestFit="1" customWidth="1"/>
    <col min="16" max="16" width="6.5703125" bestFit="1" customWidth="1"/>
    <col min="17" max="17" width="9" bestFit="1" customWidth="1"/>
    <col min="18" max="18" width="9.85546875" bestFit="1" customWidth="1"/>
    <col min="19" max="19" width="12.42578125" bestFit="1" customWidth="1"/>
    <col min="20" max="20" width="15.140625" bestFit="1" customWidth="1"/>
    <col min="21" max="21" width="7.7109375" bestFit="1" customWidth="1"/>
    <col min="22" max="22" width="9.7109375" bestFit="1" customWidth="1"/>
    <col min="23" max="23" width="14.5703125" bestFit="1" customWidth="1"/>
    <col min="24" max="24" width="16.85546875" bestFit="1" customWidth="1"/>
    <col min="25" max="25" width="11.7109375" bestFit="1" customWidth="1"/>
    <col min="26" max="26" width="12.42578125" bestFit="1" customWidth="1"/>
    <col min="27" max="27" width="5.5703125" bestFit="1" customWidth="1"/>
    <col min="28" max="28" width="16" bestFit="1" customWidth="1"/>
  </cols>
  <sheetData>
    <row r="1" spans="1:28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8</v>
      </c>
      <c r="S1" t="s">
        <v>31</v>
      </c>
      <c r="T1" t="s">
        <v>32</v>
      </c>
      <c r="U1" t="s">
        <v>33</v>
      </c>
      <c r="V1" t="s">
        <v>34</v>
      </c>
      <c r="W1" t="s">
        <v>9</v>
      </c>
      <c r="X1" t="s">
        <v>10</v>
      </c>
      <c r="Y1" t="s">
        <v>35</v>
      </c>
      <c r="Z1" t="s">
        <v>36</v>
      </c>
      <c r="AA1" t="s">
        <v>12</v>
      </c>
      <c r="AB1" t="s">
        <v>37</v>
      </c>
    </row>
    <row r="2" spans="1:28" x14ac:dyDescent="0.25">
      <c r="A2" t="s">
        <v>13</v>
      </c>
      <c r="B2" t="s">
        <v>14</v>
      </c>
      <c r="C2" t="s">
        <v>13</v>
      </c>
      <c r="D2" t="s">
        <v>15</v>
      </c>
      <c r="E2" t="s">
        <v>16</v>
      </c>
      <c r="F2" t="s">
        <v>17</v>
      </c>
      <c r="G2" t="s">
        <v>18</v>
      </c>
      <c r="H2" t="s">
        <v>38</v>
      </c>
      <c r="I2" t="s">
        <v>39</v>
      </c>
      <c r="J2" t="s">
        <v>40</v>
      </c>
      <c r="K2" t="s">
        <v>41</v>
      </c>
      <c r="L2" s="1">
        <v>45658</v>
      </c>
      <c r="M2" s="2">
        <v>45869</v>
      </c>
      <c r="N2" t="s">
        <v>20</v>
      </c>
      <c r="O2" t="s">
        <v>42</v>
      </c>
      <c r="P2" t="s">
        <v>43</v>
      </c>
      <c r="Q2" t="s">
        <v>44</v>
      </c>
      <c r="R2" t="s">
        <v>20</v>
      </c>
      <c r="S2" t="s">
        <v>45</v>
      </c>
      <c r="T2" s="2">
        <v>45839</v>
      </c>
      <c r="U2" t="s">
        <v>46</v>
      </c>
      <c r="V2" t="s">
        <v>47</v>
      </c>
      <c r="W2">
        <v>1</v>
      </c>
      <c r="X2">
        <v>0</v>
      </c>
      <c r="Y2">
        <v>1</v>
      </c>
      <c r="Z2" t="s">
        <v>48</v>
      </c>
      <c r="AA2">
        <v>15</v>
      </c>
      <c r="AB2" t="s">
        <v>0</v>
      </c>
    </row>
    <row r="3" spans="1:28" x14ac:dyDescent="0.25">
      <c r="A3" t="s">
        <v>13</v>
      </c>
      <c r="B3" t="s">
        <v>14</v>
      </c>
      <c r="C3" t="s">
        <v>13</v>
      </c>
      <c r="D3" t="s">
        <v>15</v>
      </c>
      <c r="E3" t="s">
        <v>16</v>
      </c>
      <c r="F3" t="s">
        <v>17</v>
      </c>
      <c r="G3" t="s">
        <v>18</v>
      </c>
      <c r="H3" t="s">
        <v>38</v>
      </c>
      <c r="I3" t="s">
        <v>0</v>
      </c>
      <c r="J3" t="s">
        <v>49</v>
      </c>
      <c r="K3" t="s">
        <v>50</v>
      </c>
      <c r="L3" s="1">
        <v>45658</v>
      </c>
      <c r="M3" t="s">
        <v>0</v>
      </c>
      <c r="N3" t="s">
        <v>20</v>
      </c>
      <c r="O3" t="s">
        <v>51</v>
      </c>
      <c r="P3" t="s">
        <v>43</v>
      </c>
      <c r="Q3" t="s">
        <v>52</v>
      </c>
      <c r="R3" t="s">
        <v>20</v>
      </c>
      <c r="S3" t="s">
        <v>45</v>
      </c>
      <c r="T3" s="2">
        <v>45839</v>
      </c>
      <c r="U3" t="s">
        <v>53</v>
      </c>
      <c r="V3" t="s">
        <v>47</v>
      </c>
      <c r="W3">
        <v>1</v>
      </c>
      <c r="X3">
        <v>0</v>
      </c>
      <c r="Y3">
        <v>1</v>
      </c>
      <c r="Z3" t="s">
        <v>48</v>
      </c>
      <c r="AA3">
        <v>15</v>
      </c>
      <c r="AB3" t="s">
        <v>0</v>
      </c>
    </row>
    <row r="4" spans="1:28" x14ac:dyDescent="0.25">
      <c r="A4" t="s">
        <v>13</v>
      </c>
      <c r="B4" t="s">
        <v>14</v>
      </c>
      <c r="C4" t="s">
        <v>13</v>
      </c>
      <c r="D4" t="s">
        <v>15</v>
      </c>
      <c r="E4" t="s">
        <v>16</v>
      </c>
      <c r="F4" t="s">
        <v>17</v>
      </c>
      <c r="G4" t="s">
        <v>18</v>
      </c>
      <c r="H4" t="s">
        <v>38</v>
      </c>
      <c r="I4" t="s">
        <v>0</v>
      </c>
      <c r="J4" t="s">
        <v>54</v>
      </c>
      <c r="K4" t="s">
        <v>55</v>
      </c>
      <c r="L4" s="2">
        <v>45689</v>
      </c>
      <c r="M4" t="s">
        <v>0</v>
      </c>
      <c r="N4" t="s">
        <v>19</v>
      </c>
      <c r="O4" t="s">
        <v>56</v>
      </c>
      <c r="P4" t="s">
        <v>57</v>
      </c>
      <c r="Q4" t="s">
        <v>58</v>
      </c>
      <c r="R4" t="s">
        <v>19</v>
      </c>
      <c r="S4" t="s">
        <v>45</v>
      </c>
      <c r="T4" s="2">
        <v>45839</v>
      </c>
      <c r="U4" t="s">
        <v>59</v>
      </c>
      <c r="V4" t="s">
        <v>47</v>
      </c>
      <c r="W4">
        <v>1</v>
      </c>
      <c r="X4">
        <v>2</v>
      </c>
      <c r="Y4">
        <v>3</v>
      </c>
      <c r="Z4" t="s">
        <v>48</v>
      </c>
      <c r="AA4">
        <v>45</v>
      </c>
      <c r="AB4" t="s">
        <v>0</v>
      </c>
    </row>
    <row r="5" spans="1:28" x14ac:dyDescent="0.25">
      <c r="A5" t="s">
        <v>13</v>
      </c>
      <c r="B5" t="s">
        <v>14</v>
      </c>
      <c r="C5" t="s">
        <v>13</v>
      </c>
      <c r="D5" t="s">
        <v>15</v>
      </c>
      <c r="E5" t="s">
        <v>16</v>
      </c>
      <c r="F5" t="s">
        <v>17</v>
      </c>
      <c r="G5" t="s">
        <v>18</v>
      </c>
      <c r="H5" t="s">
        <v>38</v>
      </c>
      <c r="I5" t="s">
        <v>0</v>
      </c>
      <c r="J5" t="s">
        <v>60</v>
      </c>
      <c r="K5" t="s">
        <v>61</v>
      </c>
      <c r="L5" s="2">
        <v>45689</v>
      </c>
      <c r="M5" t="s">
        <v>0</v>
      </c>
      <c r="N5" t="s">
        <v>19</v>
      </c>
      <c r="O5" t="s">
        <v>62</v>
      </c>
      <c r="P5" t="s">
        <v>43</v>
      </c>
      <c r="Q5" t="s">
        <v>63</v>
      </c>
      <c r="R5" t="s">
        <v>19</v>
      </c>
      <c r="S5" t="s">
        <v>45</v>
      </c>
      <c r="T5" s="2">
        <v>45839</v>
      </c>
      <c r="U5" t="s">
        <v>64</v>
      </c>
      <c r="V5" t="s">
        <v>47</v>
      </c>
      <c r="W5">
        <v>1</v>
      </c>
      <c r="X5">
        <v>0</v>
      </c>
      <c r="Y5">
        <v>1</v>
      </c>
      <c r="Z5" t="s">
        <v>48</v>
      </c>
      <c r="AA5">
        <v>15</v>
      </c>
      <c r="AB5" t="s">
        <v>0</v>
      </c>
    </row>
    <row r="6" spans="1:28" x14ac:dyDescent="0.25">
      <c r="A6" t="s">
        <v>13</v>
      </c>
      <c r="B6" t="s">
        <v>14</v>
      </c>
      <c r="C6" t="s">
        <v>13</v>
      </c>
      <c r="D6" t="s">
        <v>15</v>
      </c>
      <c r="E6" t="s">
        <v>16</v>
      </c>
      <c r="F6" t="s">
        <v>17</v>
      </c>
      <c r="G6" t="s">
        <v>18</v>
      </c>
      <c r="H6" t="s">
        <v>38</v>
      </c>
      <c r="I6" t="s">
        <v>0</v>
      </c>
      <c r="J6" t="s">
        <v>65</v>
      </c>
      <c r="K6" t="s">
        <v>66</v>
      </c>
      <c r="L6" s="1">
        <v>45658</v>
      </c>
      <c r="M6" t="s">
        <v>0</v>
      </c>
      <c r="N6" t="s">
        <v>20</v>
      </c>
      <c r="O6" t="s">
        <v>67</v>
      </c>
      <c r="P6" t="s">
        <v>43</v>
      </c>
      <c r="Q6" t="s">
        <v>68</v>
      </c>
      <c r="R6" t="s">
        <v>20</v>
      </c>
      <c r="S6" t="s">
        <v>45</v>
      </c>
      <c r="T6" s="2">
        <v>45839</v>
      </c>
      <c r="U6" t="s">
        <v>69</v>
      </c>
      <c r="V6" t="s">
        <v>47</v>
      </c>
      <c r="W6">
        <v>1</v>
      </c>
      <c r="X6">
        <v>0</v>
      </c>
      <c r="Y6">
        <v>1</v>
      </c>
      <c r="Z6" t="s">
        <v>48</v>
      </c>
      <c r="AA6">
        <v>15</v>
      </c>
      <c r="AB6" t="s">
        <v>0</v>
      </c>
    </row>
    <row r="7" spans="1:28" x14ac:dyDescent="0.25">
      <c r="A7" t="s">
        <v>13</v>
      </c>
      <c r="B7" t="s">
        <v>14</v>
      </c>
      <c r="C7" t="s">
        <v>13</v>
      </c>
      <c r="D7" t="s">
        <v>15</v>
      </c>
      <c r="E7" t="s">
        <v>16</v>
      </c>
      <c r="F7" t="s">
        <v>17</v>
      </c>
      <c r="G7" t="s">
        <v>18</v>
      </c>
      <c r="H7" t="s">
        <v>38</v>
      </c>
      <c r="I7" t="s">
        <v>0</v>
      </c>
      <c r="J7" t="s">
        <v>70</v>
      </c>
      <c r="K7" t="s">
        <v>71</v>
      </c>
      <c r="L7" s="1">
        <v>45658</v>
      </c>
      <c r="M7" t="s">
        <v>0</v>
      </c>
      <c r="N7" t="s">
        <v>20</v>
      </c>
      <c r="O7" t="s">
        <v>72</v>
      </c>
      <c r="P7" t="s">
        <v>43</v>
      </c>
      <c r="Q7" t="s">
        <v>63</v>
      </c>
      <c r="R7" t="s">
        <v>20</v>
      </c>
      <c r="S7" t="s">
        <v>45</v>
      </c>
      <c r="T7" s="2">
        <v>45839</v>
      </c>
      <c r="U7" t="s">
        <v>73</v>
      </c>
      <c r="V7" t="s">
        <v>47</v>
      </c>
      <c r="W7">
        <v>1</v>
      </c>
      <c r="X7">
        <v>0</v>
      </c>
      <c r="Y7">
        <v>1</v>
      </c>
      <c r="Z7" t="s">
        <v>48</v>
      </c>
      <c r="AA7">
        <v>15</v>
      </c>
      <c r="AB7" t="s">
        <v>0</v>
      </c>
    </row>
    <row r="8" spans="1:28" x14ac:dyDescent="0.25">
      <c r="A8" t="s">
        <v>13</v>
      </c>
      <c r="B8" t="s">
        <v>14</v>
      </c>
      <c r="C8" t="s">
        <v>13</v>
      </c>
      <c r="D8" t="s">
        <v>15</v>
      </c>
      <c r="E8" t="s">
        <v>16</v>
      </c>
      <c r="F8" t="s">
        <v>17</v>
      </c>
      <c r="G8" t="s">
        <v>18</v>
      </c>
      <c r="H8" t="s">
        <v>38</v>
      </c>
      <c r="I8" t="s">
        <v>0</v>
      </c>
      <c r="J8" t="s">
        <v>74</v>
      </c>
      <c r="K8" t="s">
        <v>75</v>
      </c>
      <c r="L8" s="1">
        <v>45658</v>
      </c>
      <c r="M8" t="s">
        <v>0</v>
      </c>
      <c r="N8" t="s">
        <v>20</v>
      </c>
      <c r="O8" t="s">
        <v>76</v>
      </c>
      <c r="P8" t="s">
        <v>43</v>
      </c>
      <c r="Q8" t="s">
        <v>77</v>
      </c>
      <c r="R8" t="s">
        <v>20</v>
      </c>
      <c r="S8" t="s">
        <v>45</v>
      </c>
      <c r="T8" s="2">
        <v>45839</v>
      </c>
      <c r="U8" t="s">
        <v>78</v>
      </c>
      <c r="V8" t="s">
        <v>47</v>
      </c>
      <c r="W8">
        <v>1</v>
      </c>
      <c r="X8">
        <v>5</v>
      </c>
      <c r="Y8">
        <v>6</v>
      </c>
      <c r="Z8" t="s">
        <v>48</v>
      </c>
      <c r="AA8">
        <v>90</v>
      </c>
    </row>
    <row r="9" spans="1:28" x14ac:dyDescent="0.25">
      <c r="A9" t="s">
        <v>13</v>
      </c>
      <c r="B9" t="s">
        <v>14</v>
      </c>
      <c r="C9" t="s">
        <v>13</v>
      </c>
      <c r="D9" t="s">
        <v>15</v>
      </c>
      <c r="E9" t="s">
        <v>16</v>
      </c>
      <c r="F9" t="s">
        <v>17</v>
      </c>
      <c r="G9" t="s">
        <v>18</v>
      </c>
      <c r="H9" t="s">
        <v>38</v>
      </c>
      <c r="I9" t="s">
        <v>0</v>
      </c>
      <c r="J9" t="s">
        <v>79</v>
      </c>
      <c r="K9" t="s">
        <v>80</v>
      </c>
      <c r="L9" s="1">
        <v>45658</v>
      </c>
      <c r="M9" t="s">
        <v>0</v>
      </c>
      <c r="N9" t="s">
        <v>19</v>
      </c>
      <c r="O9" t="s">
        <v>62</v>
      </c>
      <c r="P9" t="s">
        <v>43</v>
      </c>
      <c r="Q9" t="s">
        <v>52</v>
      </c>
      <c r="R9" t="s">
        <v>19</v>
      </c>
      <c r="S9" t="s">
        <v>45</v>
      </c>
      <c r="T9" s="2">
        <v>45839</v>
      </c>
      <c r="U9" t="s">
        <v>81</v>
      </c>
      <c r="V9" t="s">
        <v>47</v>
      </c>
      <c r="W9">
        <v>1</v>
      </c>
      <c r="X9">
        <v>0</v>
      </c>
      <c r="Y9">
        <v>1</v>
      </c>
      <c r="Z9" t="s">
        <v>48</v>
      </c>
      <c r="AA9">
        <v>15</v>
      </c>
      <c r="AB9" t="s">
        <v>0</v>
      </c>
    </row>
    <row r="10" spans="1:28" x14ac:dyDescent="0.25">
      <c r="A10" t="s">
        <v>13</v>
      </c>
      <c r="B10" t="s">
        <v>14</v>
      </c>
      <c r="C10" t="s">
        <v>13</v>
      </c>
      <c r="D10" t="s">
        <v>15</v>
      </c>
      <c r="E10" t="s">
        <v>16</v>
      </c>
      <c r="F10" t="s">
        <v>17</v>
      </c>
      <c r="G10" t="s">
        <v>18</v>
      </c>
      <c r="H10" t="s">
        <v>38</v>
      </c>
      <c r="I10" t="s">
        <v>0</v>
      </c>
      <c r="J10" t="s">
        <v>82</v>
      </c>
      <c r="K10" t="s">
        <v>83</v>
      </c>
      <c r="L10" s="1">
        <v>45658</v>
      </c>
      <c r="M10" t="s">
        <v>0</v>
      </c>
      <c r="N10" t="s">
        <v>20</v>
      </c>
      <c r="O10" t="s">
        <v>76</v>
      </c>
      <c r="P10" t="s">
        <v>43</v>
      </c>
      <c r="Q10" t="s">
        <v>77</v>
      </c>
      <c r="R10" t="s">
        <v>20</v>
      </c>
      <c r="S10" t="s">
        <v>45</v>
      </c>
      <c r="T10" s="2">
        <v>45839</v>
      </c>
      <c r="U10" t="s">
        <v>84</v>
      </c>
      <c r="V10" t="s">
        <v>47</v>
      </c>
      <c r="W10">
        <v>1</v>
      </c>
      <c r="X10">
        <v>0</v>
      </c>
      <c r="Y10">
        <v>1</v>
      </c>
      <c r="Z10" t="s">
        <v>48</v>
      </c>
      <c r="AA10">
        <v>15</v>
      </c>
      <c r="AB10" t="s">
        <v>0</v>
      </c>
    </row>
    <row r="11" spans="1:28" x14ac:dyDescent="0.25">
      <c r="A11" t="s">
        <v>13</v>
      </c>
      <c r="B11" t="s">
        <v>14</v>
      </c>
      <c r="C11" t="s">
        <v>13</v>
      </c>
      <c r="D11" t="s">
        <v>15</v>
      </c>
      <c r="E11" t="s">
        <v>16</v>
      </c>
      <c r="F11" t="s">
        <v>17</v>
      </c>
      <c r="G11" t="s">
        <v>18</v>
      </c>
      <c r="H11" t="s">
        <v>38</v>
      </c>
      <c r="I11" t="s">
        <v>0</v>
      </c>
      <c r="J11" t="s">
        <v>85</v>
      </c>
      <c r="K11" t="s">
        <v>86</v>
      </c>
      <c r="L11" s="1">
        <v>45658</v>
      </c>
      <c r="M11" t="s">
        <v>0</v>
      </c>
      <c r="N11" t="s">
        <v>20</v>
      </c>
      <c r="O11" t="s">
        <v>72</v>
      </c>
      <c r="P11" t="s">
        <v>43</v>
      </c>
      <c r="Q11" t="s">
        <v>52</v>
      </c>
      <c r="R11" t="s">
        <v>20</v>
      </c>
      <c r="S11" t="s">
        <v>45</v>
      </c>
      <c r="T11" s="2">
        <v>45839</v>
      </c>
      <c r="U11" t="s">
        <v>53</v>
      </c>
      <c r="V11" t="s">
        <v>47</v>
      </c>
      <c r="W11">
        <v>1</v>
      </c>
      <c r="X11">
        <v>0</v>
      </c>
      <c r="Y11">
        <v>1</v>
      </c>
      <c r="Z11" t="s">
        <v>48</v>
      </c>
      <c r="AA11">
        <v>15</v>
      </c>
      <c r="AB11" t="s">
        <v>0</v>
      </c>
    </row>
    <row r="12" spans="1:28" x14ac:dyDescent="0.25">
      <c r="A12" t="s">
        <v>13</v>
      </c>
      <c r="B12" t="s">
        <v>14</v>
      </c>
      <c r="C12" t="s">
        <v>13</v>
      </c>
      <c r="D12" t="s">
        <v>15</v>
      </c>
      <c r="E12" t="s">
        <v>16</v>
      </c>
      <c r="F12" t="s">
        <v>17</v>
      </c>
      <c r="G12" t="s">
        <v>18</v>
      </c>
      <c r="H12" t="s">
        <v>87</v>
      </c>
      <c r="I12" t="s">
        <v>0</v>
      </c>
      <c r="J12" t="s">
        <v>88</v>
      </c>
      <c r="K12" t="s">
        <v>89</v>
      </c>
      <c r="L12" s="2">
        <v>45778</v>
      </c>
      <c r="M12" t="s">
        <v>0</v>
      </c>
      <c r="N12" t="s">
        <v>20</v>
      </c>
      <c r="O12" t="s">
        <v>90</v>
      </c>
      <c r="P12" t="s">
        <v>43</v>
      </c>
      <c r="Q12" t="s">
        <v>91</v>
      </c>
      <c r="R12" t="s">
        <v>20</v>
      </c>
      <c r="S12" t="s">
        <v>45</v>
      </c>
      <c r="T12" s="2">
        <v>45839</v>
      </c>
      <c r="U12" t="s">
        <v>92</v>
      </c>
      <c r="V12" t="s">
        <v>47</v>
      </c>
      <c r="W12">
        <v>1</v>
      </c>
      <c r="X12">
        <v>0</v>
      </c>
      <c r="Y12">
        <v>1</v>
      </c>
      <c r="Z12" t="s">
        <v>48</v>
      </c>
      <c r="AA12">
        <v>15</v>
      </c>
      <c r="AB12" t="s">
        <v>0</v>
      </c>
    </row>
    <row r="13" spans="1:28" x14ac:dyDescent="0.25">
      <c r="A13" t="s">
        <v>13</v>
      </c>
      <c r="B13" t="s">
        <v>14</v>
      </c>
      <c r="C13" t="s">
        <v>13</v>
      </c>
      <c r="D13" t="s">
        <v>15</v>
      </c>
      <c r="E13" t="s">
        <v>16</v>
      </c>
      <c r="F13" t="s">
        <v>17</v>
      </c>
      <c r="G13" t="s">
        <v>18</v>
      </c>
      <c r="H13" t="s">
        <v>38</v>
      </c>
      <c r="I13" t="s">
        <v>0</v>
      </c>
      <c r="J13" t="s">
        <v>93</v>
      </c>
      <c r="K13" t="s">
        <v>94</v>
      </c>
      <c r="L13" s="1">
        <v>45658</v>
      </c>
      <c r="M13" t="s">
        <v>0</v>
      </c>
      <c r="N13" t="s">
        <v>19</v>
      </c>
      <c r="O13" t="s">
        <v>62</v>
      </c>
      <c r="P13" t="s">
        <v>57</v>
      </c>
      <c r="Q13" t="s">
        <v>77</v>
      </c>
      <c r="R13" t="s">
        <v>19</v>
      </c>
      <c r="S13" t="s">
        <v>45</v>
      </c>
      <c r="T13" s="2">
        <v>45839</v>
      </c>
      <c r="U13" t="s">
        <v>95</v>
      </c>
      <c r="V13" t="s">
        <v>47</v>
      </c>
      <c r="W13">
        <v>1</v>
      </c>
      <c r="X13">
        <v>0</v>
      </c>
      <c r="Y13">
        <v>1</v>
      </c>
      <c r="Z13" t="s">
        <v>48</v>
      </c>
      <c r="AA13">
        <v>15</v>
      </c>
      <c r="AB13" t="s">
        <v>0</v>
      </c>
    </row>
    <row r="14" spans="1:28" x14ac:dyDescent="0.25">
      <c r="A14" t="s">
        <v>13</v>
      </c>
      <c r="B14" t="s">
        <v>14</v>
      </c>
      <c r="C14" t="s">
        <v>13</v>
      </c>
      <c r="D14" t="s">
        <v>15</v>
      </c>
      <c r="E14" t="s">
        <v>16</v>
      </c>
      <c r="F14" t="s">
        <v>17</v>
      </c>
      <c r="G14" t="s">
        <v>18</v>
      </c>
      <c r="H14" t="s">
        <v>38</v>
      </c>
      <c r="I14" t="s">
        <v>0</v>
      </c>
      <c r="J14" t="s">
        <v>96</v>
      </c>
      <c r="K14" t="s">
        <v>97</v>
      </c>
      <c r="L14" s="1">
        <v>45658</v>
      </c>
      <c r="M14" t="s">
        <v>0</v>
      </c>
      <c r="N14" t="s">
        <v>20</v>
      </c>
      <c r="O14" t="s">
        <v>76</v>
      </c>
      <c r="P14" t="s">
        <v>43</v>
      </c>
      <c r="Q14" t="s">
        <v>77</v>
      </c>
      <c r="R14" t="s">
        <v>20</v>
      </c>
      <c r="S14" t="s">
        <v>45</v>
      </c>
      <c r="T14" s="2">
        <v>45839</v>
      </c>
      <c r="U14" t="s">
        <v>84</v>
      </c>
      <c r="V14" t="s">
        <v>47</v>
      </c>
      <c r="W14">
        <v>1</v>
      </c>
      <c r="X14">
        <v>0</v>
      </c>
      <c r="Y14">
        <v>1</v>
      </c>
      <c r="Z14" t="s">
        <v>48</v>
      </c>
      <c r="AA14">
        <v>15</v>
      </c>
      <c r="AB14" t="s">
        <v>0</v>
      </c>
    </row>
    <row r="15" spans="1:28" x14ac:dyDescent="0.25">
      <c r="A15" t="s">
        <v>13</v>
      </c>
      <c r="B15" t="s">
        <v>14</v>
      </c>
      <c r="C15" t="s">
        <v>13</v>
      </c>
      <c r="D15" t="s">
        <v>15</v>
      </c>
      <c r="E15" t="s">
        <v>16</v>
      </c>
      <c r="F15" t="s">
        <v>17</v>
      </c>
      <c r="G15" t="s">
        <v>18</v>
      </c>
      <c r="H15" t="s">
        <v>38</v>
      </c>
      <c r="I15" t="s">
        <v>0</v>
      </c>
      <c r="J15" t="s">
        <v>98</v>
      </c>
      <c r="K15" t="s">
        <v>99</v>
      </c>
      <c r="L15" s="1">
        <v>45658</v>
      </c>
      <c r="M15" t="s">
        <v>0</v>
      </c>
      <c r="N15" t="s">
        <v>20</v>
      </c>
      <c r="O15" t="s">
        <v>100</v>
      </c>
      <c r="P15" t="s">
        <v>43</v>
      </c>
      <c r="Q15" t="s">
        <v>44</v>
      </c>
      <c r="R15" t="s">
        <v>20</v>
      </c>
      <c r="S15" t="s">
        <v>45</v>
      </c>
      <c r="T15" s="2">
        <v>45839</v>
      </c>
      <c r="U15" t="s">
        <v>46</v>
      </c>
      <c r="V15" t="s">
        <v>47</v>
      </c>
      <c r="W15">
        <v>1</v>
      </c>
      <c r="X15">
        <v>0</v>
      </c>
      <c r="Y15">
        <v>1</v>
      </c>
      <c r="Z15" t="s">
        <v>48</v>
      </c>
      <c r="AA15">
        <v>15</v>
      </c>
      <c r="AB15" t="s">
        <v>0</v>
      </c>
    </row>
    <row r="16" spans="1:28" x14ac:dyDescent="0.25">
      <c r="A16" t="s">
        <v>13</v>
      </c>
      <c r="B16" t="s">
        <v>14</v>
      </c>
      <c r="C16" t="s">
        <v>13</v>
      </c>
      <c r="D16" t="s">
        <v>15</v>
      </c>
      <c r="E16" t="s">
        <v>16</v>
      </c>
      <c r="F16" t="s">
        <v>17</v>
      </c>
      <c r="G16" t="s">
        <v>18</v>
      </c>
      <c r="H16" t="s">
        <v>87</v>
      </c>
      <c r="I16" t="s">
        <v>0</v>
      </c>
      <c r="J16" t="s">
        <v>101</v>
      </c>
      <c r="K16" t="s">
        <v>102</v>
      </c>
      <c r="L16" s="2">
        <v>45778</v>
      </c>
      <c r="M16" t="s">
        <v>0</v>
      </c>
      <c r="N16" t="s">
        <v>20</v>
      </c>
      <c r="O16" t="s">
        <v>103</v>
      </c>
      <c r="P16" t="s">
        <v>57</v>
      </c>
      <c r="Q16" t="s">
        <v>44</v>
      </c>
      <c r="R16" t="s">
        <v>20</v>
      </c>
      <c r="S16" t="s">
        <v>45</v>
      </c>
      <c r="T16" s="2">
        <v>45839</v>
      </c>
      <c r="U16" t="s">
        <v>46</v>
      </c>
      <c r="V16" t="s">
        <v>47</v>
      </c>
      <c r="W16">
        <v>1</v>
      </c>
      <c r="X16">
        <v>0</v>
      </c>
      <c r="Y16">
        <v>1</v>
      </c>
      <c r="Z16" t="s">
        <v>48</v>
      </c>
      <c r="AA16">
        <v>15</v>
      </c>
      <c r="AB16" t="s">
        <v>0</v>
      </c>
    </row>
    <row r="17" spans="1:28" x14ac:dyDescent="0.25">
      <c r="A17" t="s">
        <v>13</v>
      </c>
      <c r="B17" t="s">
        <v>14</v>
      </c>
      <c r="C17" t="s">
        <v>13</v>
      </c>
      <c r="D17" t="s">
        <v>15</v>
      </c>
      <c r="E17" t="s">
        <v>16</v>
      </c>
      <c r="F17" t="s">
        <v>17</v>
      </c>
      <c r="G17" t="s">
        <v>18</v>
      </c>
      <c r="H17" t="s">
        <v>38</v>
      </c>
      <c r="I17" t="s">
        <v>0</v>
      </c>
      <c r="J17" t="s">
        <v>104</v>
      </c>
      <c r="K17" t="s">
        <v>105</v>
      </c>
      <c r="L17" s="1">
        <v>45658</v>
      </c>
      <c r="M17" t="s">
        <v>0</v>
      </c>
      <c r="N17" t="s">
        <v>20</v>
      </c>
      <c r="O17" t="s">
        <v>106</v>
      </c>
      <c r="P17" t="s">
        <v>57</v>
      </c>
      <c r="Q17" t="s">
        <v>58</v>
      </c>
      <c r="R17" t="s">
        <v>20</v>
      </c>
      <c r="S17" t="s">
        <v>45</v>
      </c>
      <c r="T17" s="2">
        <v>45839</v>
      </c>
      <c r="U17" t="s">
        <v>59</v>
      </c>
      <c r="V17" t="s">
        <v>47</v>
      </c>
      <c r="W17">
        <v>1</v>
      </c>
      <c r="X17">
        <v>0</v>
      </c>
      <c r="Y17">
        <v>1</v>
      </c>
      <c r="Z17" t="s">
        <v>48</v>
      </c>
      <c r="AA17">
        <v>15</v>
      </c>
      <c r="AB17" t="s">
        <v>0</v>
      </c>
    </row>
    <row r="18" spans="1:28" x14ac:dyDescent="0.25">
      <c r="A18" t="s">
        <v>13</v>
      </c>
      <c r="B18" t="s">
        <v>14</v>
      </c>
      <c r="C18" t="s">
        <v>13</v>
      </c>
      <c r="D18" t="s">
        <v>15</v>
      </c>
      <c r="E18" t="s">
        <v>16</v>
      </c>
      <c r="F18" t="s">
        <v>17</v>
      </c>
      <c r="G18" t="s">
        <v>18</v>
      </c>
      <c r="H18" t="s">
        <v>38</v>
      </c>
      <c r="I18" t="s">
        <v>0</v>
      </c>
      <c r="J18" t="s">
        <v>107</v>
      </c>
      <c r="K18" t="s">
        <v>108</v>
      </c>
      <c r="L18" s="1">
        <v>45658</v>
      </c>
      <c r="M18" t="s">
        <v>0</v>
      </c>
      <c r="N18" t="s">
        <v>20</v>
      </c>
      <c r="O18" t="s">
        <v>51</v>
      </c>
      <c r="P18" t="s">
        <v>43</v>
      </c>
      <c r="Q18" t="s">
        <v>63</v>
      </c>
      <c r="R18" t="s">
        <v>20</v>
      </c>
      <c r="S18" t="s">
        <v>45</v>
      </c>
      <c r="T18" s="2">
        <v>45839</v>
      </c>
      <c r="U18" t="s">
        <v>64</v>
      </c>
      <c r="V18" t="s">
        <v>47</v>
      </c>
      <c r="W18">
        <v>1</v>
      </c>
      <c r="X18">
        <v>0</v>
      </c>
      <c r="Y18">
        <v>1</v>
      </c>
      <c r="Z18" t="s">
        <v>48</v>
      </c>
      <c r="AA18">
        <v>15</v>
      </c>
      <c r="AB18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E5F2F-69CB-4D30-A1C8-AE719FDB9FAE}">
  <dimension ref="A1:L18"/>
  <sheetViews>
    <sheetView workbookViewId="0">
      <selection activeCell="I2" sqref="I2:I18"/>
    </sheetView>
  </sheetViews>
  <sheetFormatPr defaultRowHeight="15" x14ac:dyDescent="0.25"/>
  <cols>
    <col min="1" max="6" width="15" customWidth="1"/>
    <col min="7" max="7" width="12.42578125" bestFit="1" customWidth="1"/>
    <col min="8" max="8" width="15.140625" bestFit="1" customWidth="1"/>
    <col min="9" max="9" width="11.7109375" bestFit="1" customWidth="1"/>
    <col min="10" max="10" width="12.42578125" bestFit="1" customWidth="1"/>
    <col min="11" max="11" width="5.5703125" bestFit="1" customWidth="1"/>
    <col min="12" max="12" width="16" bestFit="1" customWidth="1"/>
  </cols>
  <sheetData>
    <row r="1" spans="1:12" x14ac:dyDescent="0.25">
      <c r="A1" t="s">
        <v>5</v>
      </c>
      <c r="B1" t="s">
        <v>7</v>
      </c>
      <c r="C1" t="s">
        <v>23</v>
      </c>
      <c r="E1" t="s">
        <v>24</v>
      </c>
      <c r="F1" t="s">
        <v>25</v>
      </c>
      <c r="G1" t="s">
        <v>31</v>
      </c>
      <c r="H1" t="s">
        <v>32</v>
      </c>
      <c r="I1" t="s">
        <v>35</v>
      </c>
      <c r="J1" t="s">
        <v>36</v>
      </c>
      <c r="K1" t="s">
        <v>12</v>
      </c>
      <c r="L1" t="s">
        <v>37</v>
      </c>
    </row>
    <row r="2" spans="1:12" x14ac:dyDescent="0.25">
      <c r="A2" t="s">
        <v>16</v>
      </c>
      <c r="B2" s="3">
        <v>15278437</v>
      </c>
      <c r="C2" s="3">
        <v>1781986801</v>
      </c>
      <c r="D2" s="3" t="str">
        <f>CONCATENATE(C2,2)</f>
        <v>17819868012</v>
      </c>
      <c r="E2" t="s">
        <v>41</v>
      </c>
      <c r="F2" s="1">
        <v>45658</v>
      </c>
      <c r="G2" t="s">
        <v>45</v>
      </c>
      <c r="H2" s="2">
        <v>45839</v>
      </c>
      <c r="J2" t="s">
        <v>48</v>
      </c>
      <c r="K2">
        <v>15</v>
      </c>
      <c r="L2" t="s">
        <v>111</v>
      </c>
    </row>
    <row r="3" spans="1:12" x14ac:dyDescent="0.25">
      <c r="A3" t="s">
        <v>16</v>
      </c>
      <c r="B3" s="3">
        <v>15278437</v>
      </c>
      <c r="C3" s="3">
        <v>1677291501</v>
      </c>
      <c r="D3" s="3" t="str">
        <f t="shared" ref="D3:D18" si="0">CONCATENATE(C3,2)</f>
        <v>16772915012</v>
      </c>
      <c r="E3" t="s">
        <v>50</v>
      </c>
      <c r="F3" s="1">
        <v>45658</v>
      </c>
      <c r="G3" t="s">
        <v>45</v>
      </c>
      <c r="H3" s="2">
        <v>45839</v>
      </c>
      <c r="J3" t="s">
        <v>48</v>
      </c>
      <c r="K3">
        <v>15</v>
      </c>
      <c r="L3" t="s">
        <v>111</v>
      </c>
    </row>
    <row r="4" spans="1:12" x14ac:dyDescent="0.25">
      <c r="A4" t="s">
        <v>16</v>
      </c>
      <c r="B4" s="3">
        <v>15278437</v>
      </c>
      <c r="C4" s="3">
        <v>1820309001</v>
      </c>
      <c r="D4" s="3" t="str">
        <f t="shared" si="0"/>
        <v>18203090012</v>
      </c>
      <c r="E4" t="s">
        <v>55</v>
      </c>
      <c r="F4" s="2">
        <v>45689</v>
      </c>
      <c r="G4" t="s">
        <v>45</v>
      </c>
      <c r="H4" s="2">
        <v>45839</v>
      </c>
      <c r="I4" t="s">
        <v>109</v>
      </c>
      <c r="J4" t="s">
        <v>48</v>
      </c>
      <c r="K4">
        <v>45</v>
      </c>
      <c r="L4" t="s">
        <v>111</v>
      </c>
    </row>
    <row r="5" spans="1:12" x14ac:dyDescent="0.25">
      <c r="A5" t="s">
        <v>16</v>
      </c>
      <c r="B5" s="3">
        <v>15278437</v>
      </c>
      <c r="C5" s="3">
        <v>1712238701</v>
      </c>
      <c r="D5" s="3" t="str">
        <f t="shared" si="0"/>
        <v>17122387012</v>
      </c>
      <c r="E5" t="s">
        <v>61</v>
      </c>
      <c r="F5" s="2">
        <v>45689</v>
      </c>
      <c r="G5" t="s">
        <v>45</v>
      </c>
      <c r="H5" s="2">
        <v>45839</v>
      </c>
      <c r="J5" t="s">
        <v>48</v>
      </c>
      <c r="K5">
        <v>15</v>
      </c>
      <c r="L5" t="s">
        <v>111</v>
      </c>
    </row>
    <row r="6" spans="1:12" x14ac:dyDescent="0.25">
      <c r="A6" t="s">
        <v>16</v>
      </c>
      <c r="B6" s="3">
        <v>15278437</v>
      </c>
      <c r="C6" s="3">
        <v>1676904401</v>
      </c>
      <c r="D6" s="3" t="str">
        <f t="shared" si="0"/>
        <v>16769044012</v>
      </c>
      <c r="E6" t="s">
        <v>66</v>
      </c>
      <c r="F6" s="1">
        <v>45658</v>
      </c>
      <c r="G6" t="s">
        <v>45</v>
      </c>
      <c r="H6" s="2">
        <v>45839</v>
      </c>
      <c r="J6" t="s">
        <v>48</v>
      </c>
      <c r="K6">
        <v>15</v>
      </c>
      <c r="L6" t="s">
        <v>111</v>
      </c>
    </row>
    <row r="7" spans="1:12" x14ac:dyDescent="0.25">
      <c r="A7" t="s">
        <v>16</v>
      </c>
      <c r="B7" s="3">
        <v>15278437</v>
      </c>
      <c r="C7" s="3">
        <v>1742186401</v>
      </c>
      <c r="D7" s="3" t="str">
        <f t="shared" si="0"/>
        <v>17421864012</v>
      </c>
      <c r="E7" t="s">
        <v>71</v>
      </c>
      <c r="F7" s="1">
        <v>45658</v>
      </c>
      <c r="G7" t="s">
        <v>45</v>
      </c>
      <c r="H7" s="2">
        <v>45839</v>
      </c>
      <c r="J7" t="s">
        <v>48</v>
      </c>
      <c r="K7">
        <v>15</v>
      </c>
      <c r="L7" t="s">
        <v>111</v>
      </c>
    </row>
    <row r="8" spans="1:12" x14ac:dyDescent="0.25">
      <c r="A8" t="s">
        <v>16</v>
      </c>
      <c r="B8" s="3">
        <v>15278437</v>
      </c>
      <c r="C8" s="3">
        <v>1519711001</v>
      </c>
      <c r="D8" s="3" t="str">
        <f t="shared" si="0"/>
        <v>15197110012</v>
      </c>
      <c r="E8" t="s">
        <v>75</v>
      </c>
      <c r="F8" s="1">
        <v>45658</v>
      </c>
      <c r="G8" t="s">
        <v>45</v>
      </c>
      <c r="H8" s="2">
        <v>45839</v>
      </c>
      <c r="I8" t="s">
        <v>110</v>
      </c>
      <c r="J8" t="s">
        <v>48</v>
      </c>
      <c r="K8">
        <v>90</v>
      </c>
      <c r="L8" t="s">
        <v>111</v>
      </c>
    </row>
    <row r="9" spans="1:12" x14ac:dyDescent="0.25">
      <c r="A9" t="s">
        <v>16</v>
      </c>
      <c r="B9" s="3">
        <v>15278437</v>
      </c>
      <c r="C9" s="3">
        <v>1722910201</v>
      </c>
      <c r="D9" s="3" t="str">
        <f t="shared" si="0"/>
        <v>17229102012</v>
      </c>
      <c r="E9" t="s">
        <v>80</v>
      </c>
      <c r="F9" s="1">
        <v>45658</v>
      </c>
      <c r="G9" t="s">
        <v>45</v>
      </c>
      <c r="H9" s="2">
        <v>45839</v>
      </c>
      <c r="J9" t="s">
        <v>48</v>
      </c>
      <c r="K9">
        <v>15</v>
      </c>
      <c r="L9" t="s">
        <v>111</v>
      </c>
    </row>
    <row r="10" spans="1:12" x14ac:dyDescent="0.25">
      <c r="A10" t="s">
        <v>16</v>
      </c>
      <c r="B10" s="3">
        <v>15278437</v>
      </c>
      <c r="C10" s="3">
        <v>1508608001</v>
      </c>
      <c r="D10" s="3" t="str">
        <f t="shared" si="0"/>
        <v>15086080012</v>
      </c>
      <c r="E10" t="s">
        <v>83</v>
      </c>
      <c r="F10" s="1">
        <v>45658</v>
      </c>
      <c r="G10" t="s">
        <v>45</v>
      </c>
      <c r="H10" s="2">
        <v>45839</v>
      </c>
      <c r="J10" t="s">
        <v>48</v>
      </c>
      <c r="K10">
        <v>15</v>
      </c>
      <c r="L10" t="s">
        <v>111</v>
      </c>
    </row>
    <row r="11" spans="1:12" x14ac:dyDescent="0.25">
      <c r="A11" t="s">
        <v>16</v>
      </c>
      <c r="B11" s="3">
        <v>15278437</v>
      </c>
      <c r="C11" s="3">
        <v>1724784101</v>
      </c>
      <c r="D11" s="3" t="str">
        <f t="shared" si="0"/>
        <v>17247841012</v>
      </c>
      <c r="E11" t="s">
        <v>86</v>
      </c>
      <c r="F11" s="1">
        <v>45658</v>
      </c>
      <c r="G11" t="s">
        <v>45</v>
      </c>
      <c r="H11" s="2">
        <v>45839</v>
      </c>
      <c r="J11" t="s">
        <v>48</v>
      </c>
      <c r="K11">
        <v>15</v>
      </c>
      <c r="L11" t="s">
        <v>111</v>
      </c>
    </row>
    <row r="12" spans="1:12" x14ac:dyDescent="0.25">
      <c r="A12" t="s">
        <v>16</v>
      </c>
      <c r="B12" s="3">
        <v>15278437</v>
      </c>
      <c r="C12" s="3">
        <v>1776998701</v>
      </c>
      <c r="D12" s="3" t="str">
        <f t="shared" si="0"/>
        <v>17769987012</v>
      </c>
      <c r="E12" t="s">
        <v>89</v>
      </c>
      <c r="F12" s="2">
        <v>45778</v>
      </c>
      <c r="G12" t="s">
        <v>45</v>
      </c>
      <c r="H12" s="2">
        <v>45839</v>
      </c>
      <c r="J12" t="s">
        <v>48</v>
      </c>
      <c r="K12">
        <v>15</v>
      </c>
      <c r="L12" t="s">
        <v>111</v>
      </c>
    </row>
    <row r="13" spans="1:12" x14ac:dyDescent="0.25">
      <c r="A13" t="s">
        <v>16</v>
      </c>
      <c r="B13" s="3">
        <v>15278437</v>
      </c>
      <c r="C13" s="3">
        <v>1815682901</v>
      </c>
      <c r="D13" s="3" t="str">
        <f t="shared" si="0"/>
        <v>18156829012</v>
      </c>
      <c r="E13" t="s">
        <v>94</v>
      </c>
      <c r="F13" s="1">
        <v>45658</v>
      </c>
      <c r="G13" t="s">
        <v>45</v>
      </c>
      <c r="H13" s="2">
        <v>45839</v>
      </c>
      <c r="J13" t="s">
        <v>48</v>
      </c>
      <c r="K13">
        <v>15</v>
      </c>
      <c r="L13" t="s">
        <v>111</v>
      </c>
    </row>
    <row r="14" spans="1:12" x14ac:dyDescent="0.25">
      <c r="A14" t="s">
        <v>16</v>
      </c>
      <c r="B14" s="3">
        <v>15278437</v>
      </c>
      <c r="C14" s="3">
        <v>1720404801</v>
      </c>
      <c r="D14" s="3" t="str">
        <f t="shared" si="0"/>
        <v>17204048012</v>
      </c>
      <c r="E14" t="s">
        <v>97</v>
      </c>
      <c r="F14" s="1">
        <v>45658</v>
      </c>
      <c r="G14" t="s">
        <v>45</v>
      </c>
      <c r="H14" s="2">
        <v>45839</v>
      </c>
      <c r="J14" t="s">
        <v>48</v>
      </c>
      <c r="K14">
        <v>15</v>
      </c>
      <c r="L14" t="s">
        <v>111</v>
      </c>
    </row>
    <row r="15" spans="1:12" x14ac:dyDescent="0.25">
      <c r="A15" t="s">
        <v>16</v>
      </c>
      <c r="B15" s="3">
        <v>15278437</v>
      </c>
      <c r="C15" s="3">
        <v>1743368301</v>
      </c>
      <c r="D15" s="3" t="str">
        <f t="shared" si="0"/>
        <v>17433683012</v>
      </c>
      <c r="E15" t="s">
        <v>99</v>
      </c>
      <c r="F15" s="1">
        <v>45658</v>
      </c>
      <c r="G15" t="s">
        <v>45</v>
      </c>
      <c r="H15" s="2">
        <v>45839</v>
      </c>
      <c r="J15" t="s">
        <v>48</v>
      </c>
      <c r="K15">
        <v>15</v>
      </c>
      <c r="L15" t="s">
        <v>111</v>
      </c>
    </row>
    <row r="16" spans="1:12" x14ac:dyDescent="0.25">
      <c r="A16" t="s">
        <v>16</v>
      </c>
      <c r="B16" s="3">
        <v>15278437</v>
      </c>
      <c r="C16" s="3">
        <v>1826648301</v>
      </c>
      <c r="D16" s="3" t="str">
        <f t="shared" si="0"/>
        <v>18266483012</v>
      </c>
      <c r="E16" t="s">
        <v>102</v>
      </c>
      <c r="F16" s="2">
        <v>45778</v>
      </c>
      <c r="G16" t="s">
        <v>45</v>
      </c>
      <c r="H16" s="2">
        <v>45839</v>
      </c>
      <c r="J16" t="s">
        <v>48</v>
      </c>
      <c r="K16">
        <v>15</v>
      </c>
      <c r="L16" t="s">
        <v>111</v>
      </c>
    </row>
    <row r="17" spans="1:12" x14ac:dyDescent="0.25">
      <c r="A17" t="s">
        <v>16</v>
      </c>
      <c r="B17" s="3">
        <v>15278437</v>
      </c>
      <c r="C17" s="3">
        <v>1722064301</v>
      </c>
      <c r="D17" s="3" t="str">
        <f t="shared" si="0"/>
        <v>17220643012</v>
      </c>
      <c r="E17" t="s">
        <v>105</v>
      </c>
      <c r="F17" s="1">
        <v>45658</v>
      </c>
      <c r="G17" t="s">
        <v>45</v>
      </c>
      <c r="H17" s="2">
        <v>45839</v>
      </c>
      <c r="J17" t="s">
        <v>48</v>
      </c>
      <c r="K17">
        <v>15</v>
      </c>
      <c r="L17" t="s">
        <v>111</v>
      </c>
    </row>
    <row r="18" spans="1:12" x14ac:dyDescent="0.25">
      <c r="A18" t="s">
        <v>16</v>
      </c>
      <c r="B18" s="3">
        <v>15278437</v>
      </c>
      <c r="C18" s="3">
        <v>1555597901</v>
      </c>
      <c r="D18" s="3" t="str">
        <f t="shared" si="0"/>
        <v>15555979012</v>
      </c>
      <c r="E18" t="s">
        <v>108</v>
      </c>
      <c r="F18" s="1">
        <v>45658</v>
      </c>
      <c r="G18" t="s">
        <v>45</v>
      </c>
      <c r="H18" s="2">
        <v>45839</v>
      </c>
      <c r="J18" t="s">
        <v>48</v>
      </c>
      <c r="K18">
        <v>15</v>
      </c>
      <c r="L18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IND Detail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Cabel, Denisse Raeka</cp:lastModifiedBy>
  <dcterms:created xsi:type="dcterms:W3CDTF">2025-08-01T13:46:12Z</dcterms:created>
  <dcterms:modified xsi:type="dcterms:W3CDTF">2025-08-01T14:43:34Z</dcterms:modified>
</cp:coreProperties>
</file>