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  <sheet state="visible" name="Sheet1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UlVvY3WLRCiT1sK9Ley07ODIogdE5oClVbZ7QtJweS4="/>
    </ext>
  </extLst>
</workbook>
</file>

<file path=xl/sharedStrings.xml><?xml version="1.0" encoding="utf-8"?>
<sst xmlns="http://schemas.openxmlformats.org/spreadsheetml/2006/main" count="599" uniqueCount="117">
  <si>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</si>
  <si>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</si>
  <si>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</si>
  <si>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</si>
  <si>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</si>
  <si>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</si>
  <si>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</si>
  <si>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</si>
  <si>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</si>
  <si>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</si>
  <si>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</si>
  <si>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</si>
  <si>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</si>
  <si>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</si>
  <si>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</si>
  <si>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</si>
  <si>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</si>
  <si>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</si>
  <si>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</si>
  <si>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$90.00</t>
  </si>
  <si>
    <t>WPA</t>
  </si>
  <si>
    <t>$330.00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</si>
  <si>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</si>
  <si>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</si>
  <si>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</si>
  <si>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</si>
  <si>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</si>
  <si>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</si>
  <si>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</si>
  <si>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</si>
  <si>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</si>
  <si>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</si>
  <si>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</si>
  <si>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</si>
  <si>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</si>
  <si>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</si>
  <si>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</si>
  <si>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</si>
  <si>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</si>
  <si>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</si>
  <si>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</si>
  <si>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</si>
  <si>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</si>
  <si>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03/01/2026</t>
  </si>
  <si>
    <t>03/31/2026</t>
  </si>
  <si>
    <t>01843085601</t>
  </si>
  <si>
    <t>RITTLE, AMY</t>
  </si>
  <si>
    <t>Lebanon</t>
  </si>
  <si>
    <t>I</t>
  </si>
  <si>
    <t>PAO074</t>
  </si>
  <si>
    <t>03/2026</t>
  </si>
  <si>
    <t>XAPK3</t>
  </si>
  <si>
    <t>IND</t>
  </si>
  <si>
    <t/>
  </si>
  <si>
    <t>04/01/2026</t>
  </si>
  <si>
    <t>R</t>
  </si>
  <si>
    <t>PAO067</t>
  </si>
  <si>
    <t>04/2026</t>
  </si>
  <si>
    <t>XAPJ9</t>
  </si>
  <si>
    <t>01/01/2026</t>
  </si>
  <si>
    <t>01781986801</t>
  </si>
  <si>
    <t>FRISHKORN, BRITTANY</t>
  </si>
  <si>
    <t>Beaver</t>
  </si>
  <si>
    <t>PAO068</t>
  </si>
  <si>
    <t>XAEY8</t>
  </si>
  <si>
    <t>01677291501</t>
  </si>
  <si>
    <t>KUZMA, DANIEL</t>
  </si>
  <si>
    <t>Erie</t>
  </si>
  <si>
    <t>PAO072</t>
  </si>
  <si>
    <t>XAE1D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</si>
  <si>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</si>
  <si>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</si>
  <si>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</si>
  <si>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</si>
  <si>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</si>
  <si>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</si>
  <si>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</si>
  <si>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02/01/2026</t>
  </si>
  <si>
    <t>01842192101</t>
  </si>
  <si>
    <t>ARGELANDER, JENNIFER</t>
  </si>
  <si>
    <t>PAO075</t>
  </si>
  <si>
    <t>XAE1C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</si>
  <si>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</si>
  <si>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</si>
  <si>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</si>
  <si>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</si>
  <si>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</si>
  <si>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</si>
  <si>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</si>
  <si>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XASEL</t>
  </si>
  <si>
    <t>01584143501</t>
  </si>
  <si>
    <t>WILSON, JONATHON</t>
  </si>
  <si>
    <t>X0AE5</t>
  </si>
  <si>
    <t>01508608001</t>
  </si>
  <si>
    <t>BORING, LINDA</t>
  </si>
  <si>
    <t>XAE1B</t>
  </si>
  <si>
    <t>01724784101</t>
  </si>
  <si>
    <t>COUGHANOUR, MARIA</t>
  </si>
  <si>
    <t>01776998701</t>
  </si>
  <si>
    <t>SHULLO, MARIA</t>
  </si>
  <si>
    <t>Butler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</si>
  <si>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</si>
  <si>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</si>
  <si>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</si>
  <si>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</si>
  <si>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</si>
  <si>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</si>
  <si>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</si>
  <si>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</si>
  <si>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04/30/2026</t>
  </si>
  <si>
    <t>01722064301</t>
  </si>
  <si>
    <t>PEEL, SHELLY</t>
  </si>
  <si>
    <t>Indiana</t>
  </si>
  <si>
    <t>XAPJ5</t>
  </si>
  <si>
    <t>01555597901</t>
  </si>
  <si>
    <t>KUZMA, TIMOTHY</t>
  </si>
  <si>
    <t>Issue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</si>
</sst>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"/>
    <numFmt numFmtId="165" formatCode="dd/mm/yyyy\ "/>
    <numFmt numFmtId="166" formatCode="m/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1.14"/>
    <col customWidth="1" min="3" max="3" width="21.0"/>
    <col customWidth="1" min="4" max="4" width="16.86"/>
    <col customWidth="1" min="5" max="5" width="15.29"/>
    <col customWidth="1" min="6" max="6" width="13.14"/>
    <col customWidth="1" min="7" max="7" width="9.0"/>
    <col customWidth="1" min="8" max="8" width="10.0"/>
    <col customWidth="1" min="9" max="9" width="14.29"/>
    <col customWidth="1" min="10" max="10" width="16.86"/>
    <col customWidth="1" min="11" max="11" width="11.14"/>
    <col customWidth="1" min="12" max="12" width="7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4.0</v>
      </c>
      <c r="J2" s="1">
        <v>2.0</v>
      </c>
      <c r="K2" s="1">
        <v>6.0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13.0</v>
      </c>
      <c r="J3" s="1">
        <v>9.0</v>
      </c>
      <c r="K3" s="1">
        <v>22.0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3" width="15.0"/>
    <col customWidth="1" min="14" max="14" width="7.14"/>
    <col customWidth="1" min="15" max="15" width="14.29"/>
    <col customWidth="1" min="16" max="16" width="6.57"/>
    <col customWidth="1" min="17" max="17" width="9.0"/>
    <col customWidth="1" min="18" max="18" width="9.86"/>
    <col customWidth="1" min="19" max="19" width="12.43"/>
    <col customWidth="1" min="20" max="20" width="15.14"/>
    <col customWidth="1" min="21" max="21" width="7.43"/>
    <col customWidth="1" min="22" max="22" width="9.71"/>
    <col customWidth="1" min="23" max="23" width="14.57"/>
    <col customWidth="1" min="24" max="24" width="16.86"/>
    <col customWidth="1" min="25" max="25" width="11.71"/>
    <col customWidth="1" min="26" max="26" width="12.43"/>
    <col customWidth="1" min="27" max="27" width="5.57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46082.0</v>
      </c>
      <c r="M2" s="2">
        <v>46112.0</v>
      </c>
      <c r="N2" s="1" t="s">
        <v>18</v>
      </c>
      <c r="O2" s="1" t="s">
        <v>47</v>
      </c>
      <c r="P2" s="1" t="s">
        <v>48</v>
      </c>
      <c r="Q2" s="1" t="s">
        <v>49</v>
      </c>
      <c r="R2" s="1" t="s">
        <v>18</v>
      </c>
      <c r="S2" s="1" t="s">
        <v>50</v>
      </c>
      <c r="T2" s="2">
        <v>46113.0</v>
      </c>
      <c r="U2" s="1" t="s">
        <v>51</v>
      </c>
      <c r="V2" s="1" t="s">
        <v>52</v>
      </c>
      <c r="W2" s="1">
        <v>1.0</v>
      </c>
      <c r="X2" s="1">
        <v>1.0</v>
      </c>
      <c r="Y2" s="1">
        <v>2.0</v>
      </c>
      <c r="Z2" s="1" t="s">
        <v>25</v>
      </c>
      <c r="AA2" s="1">
        <v>30.0</v>
      </c>
      <c r="AB2" s="1" t="s">
        <v>53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54</v>
      </c>
      <c r="I3" s="1" t="s">
        <v>53</v>
      </c>
      <c r="J3" s="1" t="s">
        <v>45</v>
      </c>
      <c r="K3" s="1" t="s">
        <v>46</v>
      </c>
      <c r="L3" s="2">
        <v>46113.0</v>
      </c>
      <c r="M3" s="1" t="s">
        <v>53</v>
      </c>
      <c r="N3" s="1" t="s">
        <v>18</v>
      </c>
      <c r="O3" s="1" t="s">
        <v>47</v>
      </c>
      <c r="P3" s="1" t="s">
        <v>55</v>
      </c>
      <c r="Q3" s="1" t="s">
        <v>56</v>
      </c>
      <c r="R3" s="1" t="s">
        <v>18</v>
      </c>
      <c r="S3" s="1" t="s">
        <v>57</v>
      </c>
      <c r="T3" s="2">
        <v>46113.0</v>
      </c>
      <c r="U3" s="1" t="s">
        <v>58</v>
      </c>
      <c r="V3" s="1" t="s">
        <v>52</v>
      </c>
      <c r="W3" s="1">
        <v>1.0</v>
      </c>
      <c r="X3" s="1">
        <v>1.0</v>
      </c>
      <c r="Y3" s="1">
        <v>2.0</v>
      </c>
      <c r="Z3" s="1" t="s">
        <v>25</v>
      </c>
      <c r="AA3" s="1">
        <v>30.0</v>
      </c>
      <c r="AB3" s="1" t="s">
        <v>53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59</v>
      </c>
      <c r="I4" s="1" t="s">
        <v>53</v>
      </c>
      <c r="J4" s="1" t="s">
        <v>60</v>
      </c>
      <c r="K4" s="1" t="s">
        <v>61</v>
      </c>
      <c r="L4" s="3">
        <v>46023.0</v>
      </c>
      <c r="M4" s="1" t="s">
        <v>53</v>
      </c>
      <c r="N4" s="1" t="s">
        <v>20</v>
      </c>
      <c r="O4" s="1" t="s">
        <v>62</v>
      </c>
      <c r="P4" s="1" t="s">
        <v>55</v>
      </c>
      <c r="Q4" s="1" t="s">
        <v>63</v>
      </c>
      <c r="R4" s="1" t="s">
        <v>20</v>
      </c>
      <c r="S4" s="1" t="s">
        <v>57</v>
      </c>
      <c r="T4" s="2">
        <v>46113.0</v>
      </c>
      <c r="U4" s="1" t="s">
        <v>64</v>
      </c>
      <c r="V4" s="1" t="s">
        <v>52</v>
      </c>
      <c r="W4" s="1">
        <v>1.0</v>
      </c>
      <c r="X4" s="1">
        <v>0.0</v>
      </c>
      <c r="Y4" s="1">
        <v>1.0</v>
      </c>
      <c r="Z4" s="1" t="s">
        <v>25</v>
      </c>
      <c r="AA4" s="1">
        <v>15.0</v>
      </c>
      <c r="AB4" s="1" t="s">
        <v>53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59</v>
      </c>
      <c r="I5" s="1" t="s">
        <v>53</v>
      </c>
      <c r="J5" s="1" t="s">
        <v>65</v>
      </c>
      <c r="K5" s="1" t="s">
        <v>66</v>
      </c>
      <c r="L5" s="3">
        <v>46023.0</v>
      </c>
      <c r="M5" s="1" t="s">
        <v>53</v>
      </c>
      <c r="N5" s="1" t="s">
        <v>20</v>
      </c>
      <c r="O5" s="1" t="s">
        <v>67</v>
      </c>
      <c r="P5" s="1" t="s">
        <v>55</v>
      </c>
      <c r="Q5" s="1" t="s">
        <v>68</v>
      </c>
      <c r="R5" s="1" t="s">
        <v>20</v>
      </c>
      <c r="S5" s="1" t="s">
        <v>57</v>
      </c>
      <c r="T5" s="2">
        <v>46113.0</v>
      </c>
      <c r="U5" s="1" t="s">
        <v>69</v>
      </c>
      <c r="V5" s="1" t="s">
        <v>52</v>
      </c>
      <c r="W5" s="1">
        <v>1.0</v>
      </c>
      <c r="X5" s="1">
        <v>0.0</v>
      </c>
      <c r="Y5" s="1">
        <v>1.0</v>
      </c>
      <c r="Z5" s="1" t="s">
        <v>25</v>
      </c>
      <c r="AA5" s="1">
        <v>15.0</v>
      </c>
      <c r="AB5" s="1" t="s">
        <v>53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59</v>
      </c>
      <c r="I6" s="1" t="s">
        <v>53</v>
      </c>
      <c r="J6" s="1" t="s">
        <v>70</v>
      </c>
      <c r="K6" s="1" t="s">
        <v>71</v>
      </c>
      <c r="L6" s="3">
        <v>46023.0</v>
      </c>
      <c r="M6" s="1" t="s">
        <v>53</v>
      </c>
      <c r="N6" s="1" t="s">
        <v>18</v>
      </c>
      <c r="O6" s="1" t="s">
        <v>72</v>
      </c>
      <c r="P6" s="1" t="s">
        <v>55</v>
      </c>
      <c r="Q6" s="1" t="s">
        <v>63</v>
      </c>
      <c r="R6" s="1" t="s">
        <v>18</v>
      </c>
      <c r="S6" s="1" t="s">
        <v>57</v>
      </c>
      <c r="T6" s="2">
        <v>46113.0</v>
      </c>
      <c r="U6" s="1" t="s">
        <v>73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53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59</v>
      </c>
      <c r="I7" s="1" t="s">
        <v>53</v>
      </c>
      <c r="J7" s="1" t="s">
        <v>74</v>
      </c>
      <c r="K7" s="1" t="s">
        <v>75</v>
      </c>
      <c r="L7" s="3">
        <v>46023.0</v>
      </c>
      <c r="M7" s="1" t="s">
        <v>53</v>
      </c>
      <c r="N7" s="1" t="s">
        <v>20</v>
      </c>
      <c r="O7" s="1" t="s">
        <v>76</v>
      </c>
      <c r="P7" s="1" t="s">
        <v>55</v>
      </c>
      <c r="Q7" s="1" t="s">
        <v>63</v>
      </c>
      <c r="R7" s="1" t="s">
        <v>20</v>
      </c>
      <c r="S7" s="1" t="s">
        <v>57</v>
      </c>
      <c r="T7" s="2">
        <v>46113.0</v>
      </c>
      <c r="U7" s="1" t="s">
        <v>64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53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77</v>
      </c>
      <c r="I8" s="1" t="s">
        <v>53</v>
      </c>
      <c r="J8" s="1" t="s">
        <v>78</v>
      </c>
      <c r="K8" s="1" t="s">
        <v>79</v>
      </c>
      <c r="L8" s="2">
        <v>46054.0</v>
      </c>
      <c r="M8" s="1" t="s">
        <v>53</v>
      </c>
      <c r="N8" s="1" t="s">
        <v>20</v>
      </c>
      <c r="O8" s="1" t="s">
        <v>76</v>
      </c>
      <c r="P8" s="1" t="s">
        <v>48</v>
      </c>
      <c r="Q8" s="1" t="s">
        <v>80</v>
      </c>
      <c r="R8" s="1" t="s">
        <v>20</v>
      </c>
      <c r="S8" s="1" t="s">
        <v>57</v>
      </c>
      <c r="T8" s="2">
        <v>46113.0</v>
      </c>
      <c r="U8" s="1" t="s">
        <v>81</v>
      </c>
      <c r="V8" s="1" t="s">
        <v>52</v>
      </c>
      <c r="W8" s="1">
        <v>1.0</v>
      </c>
      <c r="X8" s="1">
        <v>0.0</v>
      </c>
      <c r="Y8" s="1">
        <v>1.0</v>
      </c>
      <c r="Z8" s="1" t="s">
        <v>25</v>
      </c>
      <c r="AA8" s="1">
        <v>15.0</v>
      </c>
      <c r="AB8" s="1" t="s">
        <v>53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22</v>
      </c>
      <c r="F9" s="1" t="s">
        <v>23</v>
      </c>
      <c r="G9" s="1" t="s">
        <v>24</v>
      </c>
      <c r="H9" s="1" t="s">
        <v>59</v>
      </c>
      <c r="I9" s="1" t="s">
        <v>53</v>
      </c>
      <c r="J9" s="1" t="s">
        <v>82</v>
      </c>
      <c r="K9" s="1" t="s">
        <v>83</v>
      </c>
      <c r="L9" s="3">
        <v>46023.0</v>
      </c>
      <c r="M9" s="1" t="s">
        <v>53</v>
      </c>
      <c r="N9" s="1" t="s">
        <v>20</v>
      </c>
      <c r="O9" s="1" t="s">
        <v>76</v>
      </c>
      <c r="P9" s="1" t="s">
        <v>55</v>
      </c>
      <c r="Q9" s="1" t="s">
        <v>84</v>
      </c>
      <c r="R9" s="1" t="s">
        <v>20</v>
      </c>
      <c r="S9" s="1" t="s">
        <v>57</v>
      </c>
      <c r="T9" s="2">
        <v>46113.0</v>
      </c>
      <c r="U9" s="1" t="s">
        <v>85</v>
      </c>
      <c r="V9" s="1" t="s">
        <v>52</v>
      </c>
      <c r="W9" s="1">
        <v>1.0</v>
      </c>
      <c r="X9" s="1">
        <v>0.0</v>
      </c>
      <c r="Y9" s="1">
        <v>1.0</v>
      </c>
      <c r="Z9" s="1" t="s">
        <v>25</v>
      </c>
      <c r="AA9" s="1">
        <v>15.0</v>
      </c>
      <c r="AB9" s="1" t="s">
        <v>53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59</v>
      </c>
      <c r="I10" s="1" t="s">
        <v>53</v>
      </c>
      <c r="J10" s="1" t="s">
        <v>86</v>
      </c>
      <c r="K10" s="1" t="s">
        <v>87</v>
      </c>
      <c r="L10" s="3">
        <v>46023.0</v>
      </c>
      <c r="M10" s="1" t="s">
        <v>53</v>
      </c>
      <c r="N10" s="1" t="s">
        <v>20</v>
      </c>
      <c r="O10" s="1" t="s">
        <v>88</v>
      </c>
      <c r="P10" s="1" t="s">
        <v>55</v>
      </c>
      <c r="Q10" s="1" t="s">
        <v>80</v>
      </c>
      <c r="R10" s="1" t="s">
        <v>20</v>
      </c>
      <c r="S10" s="1" t="s">
        <v>57</v>
      </c>
      <c r="T10" s="2">
        <v>46113.0</v>
      </c>
      <c r="U10" s="1" t="s">
        <v>89</v>
      </c>
      <c r="V10" s="1" t="s">
        <v>52</v>
      </c>
      <c r="W10" s="1">
        <v>1.0</v>
      </c>
      <c r="X10" s="1">
        <v>5.0</v>
      </c>
      <c r="Y10" s="1">
        <v>6.0</v>
      </c>
      <c r="Z10" s="1" t="s">
        <v>25</v>
      </c>
      <c r="AA10" s="1">
        <v>90.0</v>
      </c>
      <c r="AB10" s="1" t="s">
        <v>53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77</v>
      </c>
      <c r="I11" s="1" t="s">
        <v>53</v>
      </c>
      <c r="J11" s="1" t="s">
        <v>90</v>
      </c>
      <c r="K11" s="1" t="s">
        <v>91</v>
      </c>
      <c r="L11" s="2">
        <v>46054.0</v>
      </c>
      <c r="M11" s="1" t="s">
        <v>53</v>
      </c>
      <c r="N11" s="1" t="s">
        <v>20</v>
      </c>
      <c r="O11" s="1" t="s">
        <v>76</v>
      </c>
      <c r="P11" s="1" t="s">
        <v>48</v>
      </c>
      <c r="Q11" s="1" t="s">
        <v>80</v>
      </c>
      <c r="R11" s="1" t="s">
        <v>20</v>
      </c>
      <c r="S11" s="1" t="s">
        <v>57</v>
      </c>
      <c r="T11" s="2">
        <v>46113.0</v>
      </c>
      <c r="U11" s="1" t="s">
        <v>92</v>
      </c>
      <c r="V11" s="1" t="s">
        <v>52</v>
      </c>
      <c r="W11" s="1">
        <v>1.0</v>
      </c>
      <c r="X11" s="1">
        <v>4.0</v>
      </c>
      <c r="Y11" s="1">
        <v>5.0</v>
      </c>
      <c r="Z11" s="1" t="s">
        <v>25</v>
      </c>
      <c r="AA11" s="1">
        <v>75.0</v>
      </c>
      <c r="AB11" s="1" t="s">
        <v>53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59</v>
      </c>
      <c r="I12" s="1" t="s">
        <v>53</v>
      </c>
      <c r="J12" s="1" t="s">
        <v>93</v>
      </c>
      <c r="K12" s="1" t="s">
        <v>94</v>
      </c>
      <c r="L12" s="3">
        <v>46023.0</v>
      </c>
      <c r="M12" s="1" t="s">
        <v>53</v>
      </c>
      <c r="N12" s="1" t="s">
        <v>20</v>
      </c>
      <c r="O12" s="1" t="s">
        <v>88</v>
      </c>
      <c r="P12" s="1" t="s">
        <v>55</v>
      </c>
      <c r="Q12" s="1" t="s">
        <v>80</v>
      </c>
      <c r="R12" s="1" t="s">
        <v>20</v>
      </c>
      <c r="S12" s="1" t="s">
        <v>57</v>
      </c>
      <c r="T12" s="2">
        <v>46113.0</v>
      </c>
      <c r="U12" s="1" t="s">
        <v>95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15.0</v>
      </c>
      <c r="AB12" s="1" t="s">
        <v>53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59</v>
      </c>
      <c r="I13" s="1" t="s">
        <v>53</v>
      </c>
      <c r="J13" s="1" t="s">
        <v>96</v>
      </c>
      <c r="K13" s="1" t="s">
        <v>97</v>
      </c>
      <c r="L13" s="3">
        <v>46023.0</v>
      </c>
      <c r="M13" s="1" t="s">
        <v>53</v>
      </c>
      <c r="N13" s="1" t="s">
        <v>20</v>
      </c>
      <c r="O13" s="1" t="s">
        <v>76</v>
      </c>
      <c r="P13" s="1" t="s">
        <v>55</v>
      </c>
      <c r="Q13" s="1" t="s">
        <v>68</v>
      </c>
      <c r="R13" s="1" t="s">
        <v>20</v>
      </c>
      <c r="S13" s="1" t="s">
        <v>57</v>
      </c>
      <c r="T13" s="2">
        <v>46113.0</v>
      </c>
      <c r="U13" s="1" t="s">
        <v>69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15.0</v>
      </c>
      <c r="AB13" s="1" t="s">
        <v>53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77</v>
      </c>
      <c r="I14" s="1" t="s">
        <v>53</v>
      </c>
      <c r="J14" s="1" t="s">
        <v>98</v>
      </c>
      <c r="K14" s="1" t="s">
        <v>99</v>
      </c>
      <c r="L14" s="2">
        <v>46054.0</v>
      </c>
      <c r="M14" s="1" t="s">
        <v>53</v>
      </c>
      <c r="N14" s="1" t="s">
        <v>20</v>
      </c>
      <c r="O14" s="1" t="s">
        <v>100</v>
      </c>
      <c r="P14" s="1" t="s">
        <v>55</v>
      </c>
      <c r="Q14" s="1" t="s">
        <v>80</v>
      </c>
      <c r="R14" s="1" t="s">
        <v>20</v>
      </c>
      <c r="S14" s="1" t="s">
        <v>57</v>
      </c>
      <c r="T14" s="2">
        <v>46113.0</v>
      </c>
      <c r="U14" s="1" t="s">
        <v>92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15.0</v>
      </c>
      <c r="AB14" s="1" t="s">
        <v>53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59</v>
      </c>
      <c r="I15" s="1" t="s">
        <v>53</v>
      </c>
      <c r="J15" s="1" t="s">
        <v>101</v>
      </c>
      <c r="K15" s="1" t="s">
        <v>102</v>
      </c>
      <c r="L15" s="3">
        <v>46023.0</v>
      </c>
      <c r="M15" s="1" t="s">
        <v>53</v>
      </c>
      <c r="N15" s="1" t="s">
        <v>18</v>
      </c>
      <c r="O15" s="1" t="s">
        <v>72</v>
      </c>
      <c r="P15" s="1" t="s">
        <v>55</v>
      </c>
      <c r="Q15" s="1" t="s">
        <v>80</v>
      </c>
      <c r="R15" s="1" t="s">
        <v>18</v>
      </c>
      <c r="S15" s="1" t="s">
        <v>57</v>
      </c>
      <c r="T15" s="2">
        <v>46113.0</v>
      </c>
      <c r="U15" s="1" t="s">
        <v>103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15.0</v>
      </c>
      <c r="AB15" s="1" t="s">
        <v>53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59</v>
      </c>
      <c r="I16" s="1" t="s">
        <v>53</v>
      </c>
      <c r="J16" s="1" t="s">
        <v>104</v>
      </c>
      <c r="K16" s="1" t="s">
        <v>105</v>
      </c>
      <c r="L16" s="3">
        <v>46023.0</v>
      </c>
      <c r="M16" s="1" t="s">
        <v>53</v>
      </c>
      <c r="N16" s="1" t="s">
        <v>20</v>
      </c>
      <c r="O16" s="1" t="s">
        <v>88</v>
      </c>
      <c r="P16" s="1" t="s">
        <v>55</v>
      </c>
      <c r="Q16" s="1" t="s">
        <v>80</v>
      </c>
      <c r="R16" s="1" t="s">
        <v>20</v>
      </c>
      <c r="S16" s="1" t="s">
        <v>57</v>
      </c>
      <c r="T16" s="2">
        <v>46113.0</v>
      </c>
      <c r="U16" s="1" t="s">
        <v>95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15.0</v>
      </c>
      <c r="AB16" s="1" t="s">
        <v>53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59</v>
      </c>
      <c r="I17" s="1" t="s">
        <v>53</v>
      </c>
      <c r="J17" s="1" t="s">
        <v>106</v>
      </c>
      <c r="K17" s="1" t="s">
        <v>107</v>
      </c>
      <c r="L17" s="3">
        <v>46023.0</v>
      </c>
      <c r="M17" s="1" t="s">
        <v>53</v>
      </c>
      <c r="N17" s="1" t="s">
        <v>20</v>
      </c>
      <c r="O17" s="1" t="s">
        <v>108</v>
      </c>
      <c r="P17" s="1" t="s">
        <v>55</v>
      </c>
      <c r="Q17" s="1" t="s">
        <v>56</v>
      </c>
      <c r="R17" s="1" t="s">
        <v>20</v>
      </c>
      <c r="S17" s="1" t="s">
        <v>57</v>
      </c>
      <c r="T17" s="2">
        <v>46113.0</v>
      </c>
      <c r="U17" s="1" t="s">
        <v>58</v>
      </c>
      <c r="V17" s="1" t="s">
        <v>52</v>
      </c>
      <c r="W17" s="1">
        <v>1.0</v>
      </c>
      <c r="X17" s="1">
        <v>0.0</v>
      </c>
      <c r="Y17" s="1">
        <v>1.0</v>
      </c>
      <c r="Z17" s="1" t="s">
        <v>25</v>
      </c>
      <c r="AA17" s="1">
        <v>15.0</v>
      </c>
      <c r="AB17" s="1" t="s">
        <v>53</v>
      </c>
    </row>
    <row r="18">
      <c r="A18" s="1" t="s">
        <v>12</v>
      </c>
      <c r="B18" s="1" t="s">
        <v>13</v>
      </c>
      <c r="C18" s="1" t="s">
        <v>12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59</v>
      </c>
      <c r="I18" s="1" t="s">
        <v>109</v>
      </c>
      <c r="J18" s="1" t="s">
        <v>110</v>
      </c>
      <c r="K18" s="1" t="s">
        <v>111</v>
      </c>
      <c r="L18" s="3">
        <v>46023.0</v>
      </c>
      <c r="M18" s="2">
        <v>46142.0</v>
      </c>
      <c r="N18" s="1" t="s">
        <v>20</v>
      </c>
      <c r="O18" s="1" t="s">
        <v>112</v>
      </c>
      <c r="P18" s="1" t="s">
        <v>55</v>
      </c>
      <c r="Q18" s="1" t="s">
        <v>49</v>
      </c>
      <c r="R18" s="1" t="s">
        <v>20</v>
      </c>
      <c r="S18" s="1" t="s">
        <v>57</v>
      </c>
      <c r="T18" s="2">
        <v>46113.0</v>
      </c>
      <c r="U18" s="1" t="s">
        <v>113</v>
      </c>
      <c r="V18" s="1" t="s">
        <v>52</v>
      </c>
      <c r="W18" s="1">
        <v>1.0</v>
      </c>
      <c r="X18" s="1">
        <v>0.0</v>
      </c>
      <c r="Y18" s="1">
        <v>1.0</v>
      </c>
      <c r="Z18" s="1" t="s">
        <v>25</v>
      </c>
      <c r="AA18" s="1">
        <v>15.0</v>
      </c>
      <c r="AB18" s="1" t="s">
        <v>53</v>
      </c>
    </row>
    <row r="19">
      <c r="A19" s="1" t="s">
        <v>12</v>
      </c>
      <c r="B19" s="1" t="s">
        <v>13</v>
      </c>
      <c r="C19" s="1" t="s">
        <v>12</v>
      </c>
      <c r="D19" s="1" t="s">
        <v>14</v>
      </c>
      <c r="E19" s="1" t="s">
        <v>15</v>
      </c>
      <c r="F19" s="1" t="s">
        <v>16</v>
      </c>
      <c r="G19" s="1" t="s">
        <v>17</v>
      </c>
      <c r="H19" s="1" t="s">
        <v>59</v>
      </c>
      <c r="I19" s="1" t="s">
        <v>53</v>
      </c>
      <c r="J19" s="1" t="s">
        <v>114</v>
      </c>
      <c r="K19" s="1" t="s">
        <v>115</v>
      </c>
      <c r="L19" s="3">
        <v>46023.0</v>
      </c>
      <c r="M19" s="1" t="s">
        <v>53</v>
      </c>
      <c r="N19" s="1" t="s">
        <v>20</v>
      </c>
      <c r="O19" s="1" t="s">
        <v>67</v>
      </c>
      <c r="P19" s="1" t="s">
        <v>55</v>
      </c>
      <c r="Q19" s="1" t="s">
        <v>63</v>
      </c>
      <c r="R19" s="1" t="s">
        <v>20</v>
      </c>
      <c r="S19" s="1" t="s">
        <v>57</v>
      </c>
      <c r="T19" s="2">
        <v>46113.0</v>
      </c>
      <c r="U19" s="1" t="s">
        <v>73</v>
      </c>
      <c r="V19" s="1" t="s">
        <v>52</v>
      </c>
      <c r="W19" s="1">
        <v>1.0</v>
      </c>
      <c r="X19" s="1">
        <v>0.0</v>
      </c>
      <c r="Y19" s="1">
        <v>1.0</v>
      </c>
      <c r="Z19" s="1" t="s">
        <v>25</v>
      </c>
      <c r="AA19" s="1">
        <v>15.0</v>
      </c>
      <c r="AB19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4</v>
      </c>
      <c r="B1" s="1" t="s">
        <v>5</v>
      </c>
      <c r="C1" s="1" t="s">
        <v>26</v>
      </c>
      <c r="D1" s="4" t="s">
        <v>28</v>
      </c>
      <c r="E1" s="4"/>
      <c r="F1" s="1" t="s">
        <v>29</v>
      </c>
      <c r="G1" s="1" t="s">
        <v>30</v>
      </c>
      <c r="H1" s="1" t="s">
        <v>31</v>
      </c>
      <c r="I1" s="1" t="s">
        <v>36</v>
      </c>
      <c r="J1" s="1" t="s">
        <v>37</v>
      </c>
      <c r="K1" s="1" t="s">
        <v>40</v>
      </c>
      <c r="L1" s="1" t="s">
        <v>41</v>
      </c>
      <c r="M1" s="1" t="s">
        <v>11</v>
      </c>
    </row>
    <row r="2">
      <c r="A2" s="1" t="s">
        <v>15</v>
      </c>
      <c r="B2" s="1" t="s">
        <v>16</v>
      </c>
      <c r="C2" s="1" t="s">
        <v>43</v>
      </c>
      <c r="D2" s="4">
        <v>1.843085601E9</v>
      </c>
      <c r="E2" s="4" t="str">
        <f t="shared" ref="E2:E19" si="1">Concat(D2,2)</f>
        <v>18430856012</v>
      </c>
      <c r="F2" s="1" t="s">
        <v>46</v>
      </c>
      <c r="G2" s="2">
        <v>46082.0</v>
      </c>
      <c r="H2" s="2">
        <v>46112.0</v>
      </c>
      <c r="I2" s="1" t="s">
        <v>50</v>
      </c>
      <c r="J2" s="2">
        <v>46113.0</v>
      </c>
      <c r="K2" s="1">
        <v>2.0</v>
      </c>
      <c r="L2" s="1" t="s">
        <v>25</v>
      </c>
      <c r="M2" s="1">
        <v>30.0</v>
      </c>
    </row>
    <row r="3">
      <c r="A3" s="1" t="s">
        <v>15</v>
      </c>
      <c r="B3" s="1" t="s">
        <v>16</v>
      </c>
      <c r="C3" s="1" t="s">
        <v>54</v>
      </c>
      <c r="D3" s="4">
        <v>1.843085601E9</v>
      </c>
      <c r="E3" s="4" t="str">
        <f t="shared" si="1"/>
        <v>18430856012</v>
      </c>
      <c r="F3" s="1" t="s">
        <v>46</v>
      </c>
      <c r="G3" s="2">
        <v>46113.0</v>
      </c>
      <c r="H3" s="1" t="s">
        <v>53</v>
      </c>
      <c r="I3" s="1" t="s">
        <v>57</v>
      </c>
      <c r="J3" s="2">
        <v>46113.0</v>
      </c>
      <c r="K3" s="1">
        <v>2.0</v>
      </c>
      <c r="L3" s="1" t="s">
        <v>25</v>
      </c>
      <c r="M3" s="1">
        <v>30.0</v>
      </c>
    </row>
    <row r="4">
      <c r="A4" s="1" t="s">
        <v>15</v>
      </c>
      <c r="B4" s="1" t="s">
        <v>16</v>
      </c>
      <c r="C4" s="1" t="s">
        <v>59</v>
      </c>
      <c r="D4" s="4">
        <v>1.781986801E9</v>
      </c>
      <c r="E4" s="4" t="str">
        <f t="shared" si="1"/>
        <v>17819868012</v>
      </c>
      <c r="F4" s="1" t="s">
        <v>61</v>
      </c>
      <c r="G4" s="3">
        <v>46023.0</v>
      </c>
      <c r="H4" s="1" t="s">
        <v>53</v>
      </c>
      <c r="I4" s="1" t="s">
        <v>57</v>
      </c>
      <c r="J4" s="2">
        <v>46113.0</v>
      </c>
      <c r="K4" s="1">
        <v>1.0</v>
      </c>
      <c r="L4" s="1" t="s">
        <v>25</v>
      </c>
      <c r="M4" s="1">
        <v>15.0</v>
      </c>
    </row>
    <row r="5">
      <c r="A5" s="1" t="s">
        <v>15</v>
      </c>
      <c r="B5" s="1" t="s">
        <v>16</v>
      </c>
      <c r="C5" s="1" t="s">
        <v>59</v>
      </c>
      <c r="D5" s="4">
        <v>1.677291501E9</v>
      </c>
      <c r="E5" s="4" t="str">
        <f t="shared" si="1"/>
        <v>16772915012</v>
      </c>
      <c r="F5" s="1" t="s">
        <v>66</v>
      </c>
      <c r="G5" s="3">
        <v>46023.0</v>
      </c>
      <c r="H5" s="1" t="s">
        <v>53</v>
      </c>
      <c r="I5" s="1" t="s">
        <v>57</v>
      </c>
      <c r="J5" s="2">
        <v>46113.0</v>
      </c>
      <c r="K5" s="1">
        <v>1.0</v>
      </c>
      <c r="L5" s="1" t="s">
        <v>25</v>
      </c>
      <c r="M5" s="1">
        <v>15.0</v>
      </c>
    </row>
    <row r="6">
      <c r="A6" s="1" t="s">
        <v>15</v>
      </c>
      <c r="B6" s="1" t="s">
        <v>16</v>
      </c>
      <c r="C6" s="1" t="s">
        <v>59</v>
      </c>
      <c r="D6" s="4">
        <v>1.712238701E9</v>
      </c>
      <c r="E6" s="4" t="str">
        <f t="shared" si="1"/>
        <v>17122387012</v>
      </c>
      <c r="F6" s="1" t="s">
        <v>71</v>
      </c>
      <c r="G6" s="3">
        <v>46023.0</v>
      </c>
      <c r="H6" s="1" t="s">
        <v>53</v>
      </c>
      <c r="I6" s="1" t="s">
        <v>57</v>
      </c>
      <c r="J6" s="2">
        <v>46113.0</v>
      </c>
      <c r="K6" s="1">
        <v>1.0</v>
      </c>
      <c r="L6" s="1" t="s">
        <v>25</v>
      </c>
      <c r="M6" s="1">
        <v>15.0</v>
      </c>
    </row>
    <row r="7">
      <c r="A7" s="1" t="s">
        <v>15</v>
      </c>
      <c r="B7" s="1" t="s">
        <v>16</v>
      </c>
      <c r="C7" s="1" t="s">
        <v>59</v>
      </c>
      <c r="D7" s="4">
        <v>1.742186401E9</v>
      </c>
      <c r="E7" s="4" t="str">
        <f t="shared" si="1"/>
        <v>17421864012</v>
      </c>
      <c r="F7" s="1" t="s">
        <v>75</v>
      </c>
      <c r="G7" s="3">
        <v>46023.0</v>
      </c>
      <c r="H7" s="1" t="s">
        <v>53</v>
      </c>
      <c r="I7" s="1" t="s">
        <v>57</v>
      </c>
      <c r="J7" s="2">
        <v>46113.0</v>
      </c>
      <c r="K7" s="1">
        <v>1.0</v>
      </c>
      <c r="L7" s="1" t="s">
        <v>25</v>
      </c>
      <c r="M7" s="1">
        <v>15.0</v>
      </c>
    </row>
    <row r="8">
      <c r="A8" s="1" t="s">
        <v>15</v>
      </c>
      <c r="B8" s="1" t="s">
        <v>16</v>
      </c>
      <c r="C8" s="1" t="s">
        <v>77</v>
      </c>
      <c r="D8" s="4">
        <v>1.842192101E9</v>
      </c>
      <c r="E8" s="4" t="str">
        <f t="shared" si="1"/>
        <v>18421921012</v>
      </c>
      <c r="F8" s="1" t="s">
        <v>79</v>
      </c>
      <c r="G8" s="2">
        <v>46054.0</v>
      </c>
      <c r="H8" s="1" t="s">
        <v>53</v>
      </c>
      <c r="I8" s="1" t="s">
        <v>57</v>
      </c>
      <c r="J8" s="2">
        <v>46113.0</v>
      </c>
      <c r="K8" s="1">
        <v>1.0</v>
      </c>
      <c r="L8" s="1" t="s">
        <v>25</v>
      </c>
      <c r="M8" s="1">
        <v>15.0</v>
      </c>
    </row>
    <row r="9">
      <c r="A9" s="1" t="s">
        <v>22</v>
      </c>
      <c r="B9" s="1" t="s">
        <v>23</v>
      </c>
      <c r="C9" s="1" t="s">
        <v>59</v>
      </c>
      <c r="D9" s="4">
        <v>1.832480301E9</v>
      </c>
      <c r="E9" s="4" t="str">
        <f t="shared" si="1"/>
        <v>18324803012</v>
      </c>
      <c r="F9" s="1" t="s">
        <v>83</v>
      </c>
      <c r="G9" s="3">
        <v>46023.0</v>
      </c>
      <c r="H9" s="1" t="s">
        <v>53</v>
      </c>
      <c r="I9" s="1" t="s">
        <v>57</v>
      </c>
      <c r="J9" s="2">
        <v>46113.0</v>
      </c>
      <c r="K9" s="1">
        <v>1.0</v>
      </c>
      <c r="L9" s="1" t="s">
        <v>25</v>
      </c>
      <c r="M9" s="1">
        <v>15.0</v>
      </c>
    </row>
    <row r="10">
      <c r="A10" s="1" t="s">
        <v>15</v>
      </c>
      <c r="B10" s="1" t="s">
        <v>16</v>
      </c>
      <c r="C10" s="1" t="s">
        <v>59</v>
      </c>
      <c r="D10" s="4">
        <v>1.519711001E9</v>
      </c>
      <c r="E10" s="4" t="str">
        <f t="shared" si="1"/>
        <v>15197110012</v>
      </c>
      <c r="F10" s="1" t="s">
        <v>87</v>
      </c>
      <c r="G10" s="3">
        <v>46023.0</v>
      </c>
      <c r="H10" s="1" t="s">
        <v>53</v>
      </c>
      <c r="I10" s="1" t="s">
        <v>57</v>
      </c>
      <c r="J10" s="2">
        <v>46113.0</v>
      </c>
      <c r="K10" s="1">
        <v>6.0</v>
      </c>
      <c r="L10" s="1" t="s">
        <v>25</v>
      </c>
      <c r="M10" s="1">
        <v>90.0</v>
      </c>
    </row>
    <row r="11">
      <c r="A11" s="1" t="s">
        <v>15</v>
      </c>
      <c r="B11" s="1" t="s">
        <v>16</v>
      </c>
      <c r="C11" s="1" t="s">
        <v>77</v>
      </c>
      <c r="D11" s="4">
        <v>1.584143501E9</v>
      </c>
      <c r="E11" s="4" t="str">
        <f t="shared" si="1"/>
        <v>15841435012</v>
      </c>
      <c r="F11" s="1" t="s">
        <v>91</v>
      </c>
      <c r="G11" s="2">
        <v>46054.0</v>
      </c>
      <c r="H11" s="1" t="s">
        <v>53</v>
      </c>
      <c r="I11" s="1" t="s">
        <v>57</v>
      </c>
      <c r="J11" s="2">
        <v>46113.0</v>
      </c>
      <c r="K11" s="1">
        <v>5.0</v>
      </c>
      <c r="L11" s="1" t="s">
        <v>25</v>
      </c>
      <c r="M11" s="1">
        <v>75.0</v>
      </c>
    </row>
    <row r="12">
      <c r="A12" s="1" t="s">
        <v>15</v>
      </c>
      <c r="B12" s="1" t="s">
        <v>16</v>
      </c>
      <c r="C12" s="1" t="s">
        <v>59</v>
      </c>
      <c r="D12" s="4">
        <v>1.508608001E9</v>
      </c>
      <c r="E12" s="4" t="str">
        <f t="shared" si="1"/>
        <v>15086080012</v>
      </c>
      <c r="F12" s="1" t="s">
        <v>94</v>
      </c>
      <c r="G12" s="3">
        <v>46023.0</v>
      </c>
      <c r="H12" s="1" t="s">
        <v>53</v>
      </c>
      <c r="I12" s="1" t="s">
        <v>57</v>
      </c>
      <c r="J12" s="2">
        <v>46113.0</v>
      </c>
      <c r="K12" s="1">
        <v>1.0</v>
      </c>
      <c r="L12" s="1" t="s">
        <v>25</v>
      </c>
      <c r="M12" s="1">
        <v>15.0</v>
      </c>
    </row>
    <row r="13">
      <c r="A13" s="1" t="s">
        <v>15</v>
      </c>
      <c r="B13" s="1" t="s">
        <v>16</v>
      </c>
      <c r="C13" s="1" t="s">
        <v>59</v>
      </c>
      <c r="D13" s="4">
        <v>1.724784101E9</v>
      </c>
      <c r="E13" s="4" t="str">
        <f t="shared" si="1"/>
        <v>17247841012</v>
      </c>
      <c r="F13" s="1" t="s">
        <v>97</v>
      </c>
      <c r="G13" s="3">
        <v>46023.0</v>
      </c>
      <c r="H13" s="1" t="s">
        <v>53</v>
      </c>
      <c r="I13" s="1" t="s">
        <v>57</v>
      </c>
      <c r="J13" s="2">
        <v>46113.0</v>
      </c>
      <c r="K13" s="1">
        <v>1.0</v>
      </c>
      <c r="L13" s="1" t="s">
        <v>25</v>
      </c>
      <c r="M13" s="1">
        <v>15.0</v>
      </c>
    </row>
    <row r="14">
      <c r="A14" s="1" t="s">
        <v>15</v>
      </c>
      <c r="B14" s="1" t="s">
        <v>16</v>
      </c>
      <c r="C14" s="1" t="s">
        <v>77</v>
      </c>
      <c r="D14" s="4">
        <v>1.776998701E9</v>
      </c>
      <c r="E14" s="4" t="str">
        <f t="shared" si="1"/>
        <v>17769987012</v>
      </c>
      <c r="F14" s="1" t="s">
        <v>99</v>
      </c>
      <c r="G14" s="2">
        <v>46054.0</v>
      </c>
      <c r="H14" s="1" t="s">
        <v>53</v>
      </c>
      <c r="I14" s="1" t="s">
        <v>57</v>
      </c>
      <c r="J14" s="2">
        <v>46113.0</v>
      </c>
      <c r="K14" s="1">
        <v>1.0</v>
      </c>
      <c r="L14" s="1" t="s">
        <v>25</v>
      </c>
      <c r="M14" s="1">
        <v>15.0</v>
      </c>
    </row>
    <row r="15">
      <c r="A15" s="1" t="s">
        <v>15</v>
      </c>
      <c r="B15" s="1" t="s">
        <v>16</v>
      </c>
      <c r="C15" s="1" t="s">
        <v>59</v>
      </c>
      <c r="D15" s="4">
        <v>1.815682901E9</v>
      </c>
      <c r="E15" s="4" t="str">
        <f t="shared" si="1"/>
        <v>18156829012</v>
      </c>
      <c r="F15" s="1" t="s">
        <v>102</v>
      </c>
      <c r="G15" s="3">
        <v>46023.0</v>
      </c>
      <c r="H15" s="1" t="s">
        <v>53</v>
      </c>
      <c r="I15" s="1" t="s">
        <v>57</v>
      </c>
      <c r="J15" s="2">
        <v>46113.0</v>
      </c>
      <c r="K15" s="1">
        <v>1.0</v>
      </c>
      <c r="L15" s="1" t="s">
        <v>25</v>
      </c>
      <c r="M15" s="1">
        <v>15.0</v>
      </c>
    </row>
    <row r="16">
      <c r="A16" s="1" t="s">
        <v>15</v>
      </c>
      <c r="B16" s="1" t="s">
        <v>16</v>
      </c>
      <c r="C16" s="1" t="s">
        <v>59</v>
      </c>
      <c r="D16" s="4">
        <v>1.720404801E9</v>
      </c>
      <c r="E16" s="4" t="str">
        <f t="shared" si="1"/>
        <v>17204048012</v>
      </c>
      <c r="F16" s="1" t="s">
        <v>105</v>
      </c>
      <c r="G16" s="3">
        <v>46023.0</v>
      </c>
      <c r="H16" s="1" t="s">
        <v>53</v>
      </c>
      <c r="I16" s="1" t="s">
        <v>57</v>
      </c>
      <c r="J16" s="2">
        <v>46113.0</v>
      </c>
      <c r="K16" s="1">
        <v>1.0</v>
      </c>
      <c r="L16" s="1" t="s">
        <v>25</v>
      </c>
      <c r="M16" s="1">
        <v>15.0</v>
      </c>
    </row>
    <row r="17">
      <c r="A17" s="1" t="s">
        <v>15</v>
      </c>
      <c r="B17" s="1" t="s">
        <v>16</v>
      </c>
      <c r="C17" s="1" t="s">
        <v>59</v>
      </c>
      <c r="D17" s="4">
        <v>1.743368301E9</v>
      </c>
      <c r="E17" s="4" t="str">
        <f t="shared" si="1"/>
        <v>17433683012</v>
      </c>
      <c r="F17" s="1" t="s">
        <v>107</v>
      </c>
      <c r="G17" s="3">
        <v>46023.0</v>
      </c>
      <c r="H17" s="1" t="s">
        <v>53</v>
      </c>
      <c r="I17" s="1" t="s">
        <v>57</v>
      </c>
      <c r="J17" s="2">
        <v>46113.0</v>
      </c>
      <c r="K17" s="1">
        <v>1.0</v>
      </c>
      <c r="L17" s="1" t="s">
        <v>25</v>
      </c>
      <c r="M17" s="1">
        <v>15.0</v>
      </c>
    </row>
    <row r="18">
      <c r="A18" s="1" t="s">
        <v>15</v>
      </c>
      <c r="B18" s="1" t="s">
        <v>16</v>
      </c>
      <c r="C18" s="1" t="s">
        <v>59</v>
      </c>
      <c r="D18" s="4">
        <v>1.722064301E9</v>
      </c>
      <c r="E18" s="4" t="str">
        <f t="shared" si="1"/>
        <v>17220643012</v>
      </c>
      <c r="F18" s="1" t="s">
        <v>111</v>
      </c>
      <c r="G18" s="3">
        <v>46023.0</v>
      </c>
      <c r="H18" s="2">
        <v>46142.0</v>
      </c>
      <c r="I18" s="1" t="s">
        <v>57</v>
      </c>
      <c r="J18" s="2">
        <v>46113.0</v>
      </c>
      <c r="K18" s="1">
        <v>1.0</v>
      </c>
      <c r="L18" s="1" t="s">
        <v>25</v>
      </c>
      <c r="M18" s="1">
        <v>15.0</v>
      </c>
    </row>
    <row r="19">
      <c r="A19" s="1" t="s">
        <v>15</v>
      </c>
      <c r="B19" s="1" t="s">
        <v>16</v>
      </c>
      <c r="C19" s="1" t="s">
        <v>59</v>
      </c>
      <c r="D19" s="4">
        <v>1.555597901E9</v>
      </c>
      <c r="E19" s="4" t="str">
        <f t="shared" si="1"/>
        <v>15555979012</v>
      </c>
      <c r="F19" s="1" t="s">
        <v>115</v>
      </c>
      <c r="G19" s="3">
        <v>46023.0</v>
      </c>
      <c r="H19" s="1" t="s">
        <v>53</v>
      </c>
      <c r="I19" s="1" t="s">
        <v>57</v>
      </c>
      <c r="J19" s="2">
        <v>46113.0</v>
      </c>
      <c r="K19" s="1">
        <v>1.0</v>
      </c>
      <c r="L19" s="1" t="s">
        <v>25</v>
      </c>
      <c r="M19" s="1">
        <v>15.0</v>
      </c>
    </row>
    <row r="20">
      <c r="D20" s="4"/>
      <c r="E20" s="4"/>
    </row>
    <row r="21">
      <c r="D21" s="4"/>
      <c r="E21" s="4"/>
    </row>
    <row r="22">
      <c r="D22" s="4"/>
      <c r="E22" s="4"/>
    </row>
    <row r="23">
      <c r="D23" s="4"/>
      <c r="E23" s="4"/>
    </row>
    <row r="24">
      <c r="D24" s="4"/>
      <c r="E24" s="4"/>
    </row>
    <row r="25">
      <c r="D25" s="4"/>
      <c r="E25" s="4"/>
    </row>
    <row r="26">
      <c r="D26" s="4"/>
      <c r="E26" s="4"/>
    </row>
    <row r="27">
      <c r="A27" s="4"/>
      <c r="D27" s="5"/>
      <c r="E27" s="5"/>
    </row>
    <row r="28">
      <c r="A28" s="4"/>
      <c r="D28" s="5"/>
      <c r="E28" s="6"/>
    </row>
    <row r="29">
      <c r="A29" s="4"/>
      <c r="D29" s="5"/>
      <c r="E29" s="6"/>
    </row>
    <row r="30">
      <c r="A30" s="4"/>
      <c r="D30" s="5"/>
      <c r="E30" s="6"/>
    </row>
    <row r="31">
      <c r="A31" s="4"/>
      <c r="D31" s="5"/>
      <c r="E31" s="6"/>
    </row>
    <row r="32">
      <c r="A32" s="4"/>
      <c r="D32" s="5"/>
      <c r="E32" s="6"/>
    </row>
    <row r="33">
      <c r="A33" s="4"/>
      <c r="D33" s="5"/>
      <c r="E33" s="6"/>
    </row>
    <row r="34">
      <c r="A34" s="4"/>
      <c r="D34" s="5"/>
      <c r="E34" s="6"/>
    </row>
    <row r="35">
      <c r="A35" s="4"/>
      <c r="D35" s="5"/>
      <c r="E35" s="6"/>
    </row>
    <row r="36">
      <c r="A36" s="4"/>
      <c r="D36" s="5"/>
      <c r="E36" s="6"/>
    </row>
    <row r="37">
      <c r="A37" s="4"/>
      <c r="D37" s="5"/>
      <c r="E37" s="6"/>
    </row>
    <row r="38">
      <c r="A38" s="4"/>
      <c r="D38" s="5"/>
      <c r="E38" s="6"/>
    </row>
    <row r="39">
      <c r="A39" s="4"/>
      <c r="D39" s="5"/>
      <c r="E39" s="6"/>
    </row>
    <row r="40">
      <c r="A40" s="4"/>
      <c r="D40" s="5"/>
      <c r="E40" s="6"/>
    </row>
    <row r="41">
      <c r="A41" s="4"/>
      <c r="D41" s="5"/>
      <c r="E41" s="6"/>
    </row>
    <row r="42">
      <c r="A42" s="4"/>
      <c r="D42" s="5"/>
      <c r="E42" s="6"/>
    </row>
    <row r="43">
      <c r="A43" s="4"/>
      <c r="D43" s="5"/>
      <c r="E43" s="6"/>
    </row>
    <row r="44">
      <c r="A44" s="4"/>
      <c r="D44" s="4"/>
      <c r="E44" s="4"/>
    </row>
    <row r="45">
      <c r="D45" s="4"/>
      <c r="E45" s="4"/>
    </row>
    <row r="46">
      <c r="D46" s="4"/>
      <c r="E46" s="4"/>
    </row>
    <row r="47">
      <c r="D47" s="4"/>
      <c r="E47" s="4"/>
    </row>
    <row r="48">
      <c r="D48" s="4"/>
      <c r="E48" s="4"/>
    </row>
    <row r="49">
      <c r="D49" s="4"/>
      <c r="E49" s="4"/>
    </row>
    <row r="50">
      <c r="D50" s="4"/>
      <c r="E50" s="4"/>
    </row>
    <row r="51">
      <c r="D51" s="4"/>
      <c r="E51" s="4"/>
    </row>
    <row r="52">
      <c r="D52" s="4"/>
      <c r="E52" s="4"/>
    </row>
    <row r="53">
      <c r="D53" s="4"/>
      <c r="E53" s="4"/>
    </row>
    <row r="54">
      <c r="D54" s="4"/>
      <c r="E54" s="4"/>
    </row>
    <row r="55">
      <c r="D55" s="4"/>
      <c r="E55" s="4"/>
    </row>
    <row r="56">
      <c r="D56" s="4"/>
      <c r="E56" s="4"/>
    </row>
    <row r="57">
      <c r="D57" s="4"/>
      <c r="E57" s="4"/>
    </row>
    <row r="58">
      <c r="D58" s="4"/>
      <c r="E58" s="4"/>
    </row>
    <row r="59">
      <c r="D59" s="4"/>
      <c r="E59" s="4"/>
    </row>
    <row r="60">
      <c r="D60" s="4"/>
      <c r="E60" s="4"/>
    </row>
    <row r="61">
      <c r="D61" s="4"/>
      <c r="E61" s="4"/>
    </row>
    <row r="62">
      <c r="D62" s="4"/>
      <c r="E62" s="4"/>
    </row>
    <row r="63">
      <c r="D63" s="4"/>
      <c r="E63" s="4"/>
    </row>
    <row r="64">
      <c r="D64" s="4"/>
      <c r="E64" s="4"/>
    </row>
    <row r="65">
      <c r="D65" s="4"/>
      <c r="E65" s="4"/>
    </row>
    <row r="66">
      <c r="D66" s="4"/>
      <c r="E66" s="4"/>
    </row>
    <row r="67">
      <c r="D67" s="4"/>
      <c r="E67" s="4"/>
    </row>
    <row r="68">
      <c r="D68" s="4"/>
      <c r="E68" s="4"/>
    </row>
    <row r="69">
      <c r="D69" s="4"/>
      <c r="E69" s="4"/>
    </row>
    <row r="70">
      <c r="D70" s="4"/>
      <c r="E70" s="4"/>
    </row>
    <row r="71">
      <c r="D71" s="4"/>
      <c r="E71" s="4"/>
    </row>
    <row r="72">
      <c r="D72" s="4"/>
      <c r="E72" s="4"/>
    </row>
    <row r="73">
      <c r="D73" s="4"/>
      <c r="E73" s="4"/>
    </row>
    <row r="74">
      <c r="D74" s="4"/>
      <c r="E74" s="4"/>
    </row>
    <row r="75">
      <c r="D75" s="4"/>
      <c r="E75" s="4"/>
    </row>
    <row r="76">
      <c r="D76" s="4"/>
      <c r="E76" s="4"/>
    </row>
    <row r="77">
      <c r="D77" s="4"/>
      <c r="E77" s="4"/>
    </row>
    <row r="78">
      <c r="D78" s="4"/>
      <c r="E78" s="4"/>
    </row>
    <row r="79">
      <c r="D79" s="4"/>
      <c r="E79" s="4"/>
    </row>
    <row r="80">
      <c r="D80" s="4"/>
      <c r="E80" s="4"/>
    </row>
    <row r="81">
      <c r="D81" s="4"/>
      <c r="E81" s="4"/>
    </row>
    <row r="82">
      <c r="D82" s="4"/>
      <c r="E82" s="4"/>
    </row>
    <row r="83">
      <c r="D83" s="4"/>
      <c r="E83" s="4"/>
    </row>
    <row r="84">
      <c r="D84" s="4"/>
      <c r="E84" s="4"/>
    </row>
    <row r="85">
      <c r="D85" s="4"/>
      <c r="E85" s="4"/>
    </row>
    <row r="86">
      <c r="D86" s="4"/>
      <c r="E86" s="4"/>
    </row>
    <row r="87">
      <c r="D87" s="4"/>
      <c r="E87" s="4"/>
    </row>
    <row r="88">
      <c r="D88" s="4"/>
      <c r="E88" s="4"/>
    </row>
    <row r="89">
      <c r="D89" s="4"/>
      <c r="E89" s="4"/>
    </row>
    <row r="90">
      <c r="D90" s="4"/>
      <c r="E90" s="4"/>
    </row>
    <row r="91">
      <c r="D91" s="4"/>
      <c r="E91" s="4"/>
    </row>
    <row r="92">
      <c r="D92" s="4"/>
      <c r="E92" s="4"/>
    </row>
    <row r="93">
      <c r="D93" s="4"/>
      <c r="E93" s="4"/>
    </row>
    <row r="94">
      <c r="D94" s="4"/>
      <c r="E94" s="4"/>
    </row>
    <row r="95">
      <c r="D95" s="4"/>
      <c r="E95" s="4"/>
    </row>
    <row r="96">
      <c r="D96" s="4"/>
      <c r="E96" s="4"/>
    </row>
    <row r="97">
      <c r="D97" s="4"/>
      <c r="E97" s="4"/>
    </row>
    <row r="98">
      <c r="D98" s="4"/>
      <c r="E98" s="4"/>
    </row>
    <row r="99">
      <c r="D99" s="4"/>
      <c r="E99" s="4"/>
    </row>
    <row r="100">
      <c r="D100" s="4"/>
      <c r="E100" s="4"/>
    </row>
    <row r="101">
      <c r="D101" s="4"/>
      <c r="E101" s="4"/>
    </row>
    <row r="102">
      <c r="D102" s="4"/>
      <c r="E102" s="4"/>
    </row>
    <row r="103">
      <c r="D103" s="4"/>
      <c r="E103" s="4"/>
    </row>
    <row r="104">
      <c r="D104" s="4"/>
      <c r="E104" s="4"/>
    </row>
    <row r="105">
      <c r="D105" s="4"/>
      <c r="E105" s="4"/>
    </row>
    <row r="106">
      <c r="D106" s="4"/>
      <c r="E106" s="4"/>
    </row>
    <row r="107">
      <c r="D107" s="4"/>
      <c r="E107" s="4"/>
    </row>
    <row r="108">
      <c r="D108" s="4"/>
      <c r="E108" s="4"/>
    </row>
    <row r="109">
      <c r="D109" s="4"/>
      <c r="E109" s="4"/>
    </row>
    <row r="110">
      <c r="D110" s="4"/>
      <c r="E110" s="4"/>
    </row>
    <row r="111">
      <c r="D111" s="4"/>
      <c r="E111" s="4"/>
    </row>
    <row r="112">
      <c r="D112" s="4"/>
      <c r="E112" s="4"/>
    </row>
    <row r="113">
      <c r="D113" s="4"/>
      <c r="E113" s="4"/>
    </row>
    <row r="114">
      <c r="D114" s="4"/>
      <c r="E114" s="4"/>
    </row>
    <row r="115">
      <c r="D115" s="4"/>
      <c r="E115" s="4"/>
    </row>
    <row r="116">
      <c r="D116" s="4"/>
      <c r="E116" s="4"/>
    </row>
    <row r="117">
      <c r="D117" s="4"/>
      <c r="E117" s="4"/>
    </row>
    <row r="118">
      <c r="D118" s="4"/>
      <c r="E118" s="4"/>
    </row>
    <row r="119">
      <c r="D119" s="4"/>
      <c r="E119" s="4"/>
    </row>
    <row r="120">
      <c r="D120" s="4"/>
      <c r="E120" s="4"/>
    </row>
    <row r="121">
      <c r="D121" s="4"/>
      <c r="E121" s="4"/>
    </row>
    <row r="122">
      <c r="D122" s="4"/>
      <c r="E122" s="4"/>
    </row>
    <row r="123">
      <c r="D123" s="4"/>
      <c r="E123" s="4"/>
    </row>
    <row r="124">
      <c r="D124" s="4"/>
      <c r="E124" s="4"/>
    </row>
    <row r="125">
      <c r="D125" s="4"/>
      <c r="E125" s="4"/>
    </row>
    <row r="126">
      <c r="D126" s="4"/>
      <c r="E126" s="4"/>
    </row>
    <row r="127">
      <c r="D127" s="4"/>
      <c r="E127" s="4"/>
    </row>
    <row r="128">
      <c r="D128" s="4"/>
      <c r="E128" s="4"/>
    </row>
    <row r="129">
      <c r="D129" s="4"/>
      <c r="E129" s="4"/>
    </row>
    <row r="130">
      <c r="D130" s="4"/>
      <c r="E130" s="4"/>
    </row>
    <row r="131">
      <c r="D131" s="4"/>
      <c r="E131" s="4"/>
    </row>
    <row r="132">
      <c r="D132" s="4"/>
      <c r="E132" s="4"/>
    </row>
    <row r="133">
      <c r="D133" s="4"/>
      <c r="E133" s="4"/>
    </row>
    <row r="134">
      <c r="D134" s="4"/>
      <c r="E134" s="4"/>
    </row>
    <row r="135">
      <c r="D135" s="4"/>
      <c r="E135" s="4"/>
    </row>
    <row r="136">
      <c r="D136" s="4"/>
      <c r="E136" s="4"/>
    </row>
    <row r="137">
      <c r="D137" s="4"/>
      <c r="E137" s="4"/>
    </row>
    <row r="138">
      <c r="D138" s="4"/>
      <c r="E138" s="4"/>
    </row>
    <row r="139">
      <c r="D139" s="4"/>
      <c r="E139" s="4"/>
    </row>
    <row r="140">
      <c r="D140" s="4"/>
      <c r="E140" s="4"/>
    </row>
    <row r="141">
      <c r="D141" s="4"/>
      <c r="E141" s="4"/>
    </row>
    <row r="142">
      <c r="D142" s="4"/>
      <c r="E142" s="4"/>
    </row>
    <row r="143">
      <c r="D143" s="4"/>
      <c r="E143" s="4"/>
    </row>
    <row r="144">
      <c r="D144" s="4"/>
      <c r="E144" s="4"/>
    </row>
    <row r="145">
      <c r="D145" s="4"/>
      <c r="E145" s="4"/>
    </row>
    <row r="146">
      <c r="D146" s="4"/>
      <c r="E146" s="4"/>
    </row>
    <row r="147">
      <c r="D147" s="4"/>
      <c r="E147" s="4"/>
    </row>
    <row r="148">
      <c r="D148" s="4"/>
      <c r="E148" s="4"/>
    </row>
    <row r="149">
      <c r="D149" s="4"/>
      <c r="E149" s="4"/>
    </row>
    <row r="150">
      <c r="D150" s="4"/>
      <c r="E150" s="4"/>
    </row>
    <row r="151">
      <c r="D151" s="4"/>
      <c r="E151" s="4"/>
    </row>
    <row r="152">
      <c r="D152" s="4"/>
      <c r="E152" s="4"/>
    </row>
    <row r="153">
      <c r="D153" s="4"/>
      <c r="E153" s="4"/>
    </row>
    <row r="154">
      <c r="D154" s="4"/>
      <c r="E154" s="4"/>
    </row>
    <row r="155">
      <c r="D155" s="4"/>
      <c r="E155" s="4"/>
    </row>
    <row r="156">
      <c r="D156" s="4"/>
      <c r="E156" s="4"/>
    </row>
    <row r="157">
      <c r="D157" s="4"/>
      <c r="E157" s="4"/>
    </row>
    <row r="158">
      <c r="D158" s="4"/>
      <c r="E158" s="4"/>
    </row>
    <row r="159">
      <c r="D159" s="4"/>
      <c r="E159" s="4"/>
    </row>
    <row r="160">
      <c r="D160" s="4"/>
      <c r="E160" s="4"/>
    </row>
    <row r="161">
      <c r="D161" s="4"/>
      <c r="E161" s="4"/>
    </row>
    <row r="162">
      <c r="D162" s="4"/>
      <c r="E162" s="4"/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>
        <v>1.8430856012E10</v>
      </c>
      <c r="B1" s="1" t="str">
        <f t="shared" ref="B1:B10" si="1">VLOOKUP(A1,D:E,2,false)</f>
        <v>#N/A</v>
      </c>
      <c r="D1" s="7" t="s">
        <v>28</v>
      </c>
      <c r="E1" s="7" t="s">
        <v>116</v>
      </c>
    </row>
    <row r="2">
      <c r="A2" s="4">
        <v>1.8430856012E10</v>
      </c>
      <c r="B2" s="1" t="str">
        <f t="shared" si="1"/>
        <v>#N/A</v>
      </c>
      <c r="D2" s="7">
        <v>1.5086080012E10</v>
      </c>
      <c r="E2" s="6">
        <v>45658.0</v>
      </c>
    </row>
    <row r="3">
      <c r="A3" s="4">
        <v>1.7819868012E10</v>
      </c>
      <c r="B3" s="8">
        <f t="shared" si="1"/>
        <v>45870</v>
      </c>
      <c r="D3" s="7">
        <v>1.5197110012E10</v>
      </c>
      <c r="E3" s="6">
        <v>45658.0</v>
      </c>
    </row>
    <row r="4">
      <c r="A4" s="4">
        <v>1.6772915012E10</v>
      </c>
      <c r="B4" s="8">
        <f t="shared" si="1"/>
        <v>45658</v>
      </c>
      <c r="D4" s="7">
        <v>1.5555979012E10</v>
      </c>
      <c r="E4" s="6">
        <v>45658.0</v>
      </c>
    </row>
    <row r="5">
      <c r="A5" s="4">
        <v>1.7122387012E10</v>
      </c>
      <c r="B5" s="8">
        <f t="shared" si="1"/>
        <v>45689</v>
      </c>
      <c r="D5" s="7">
        <v>1.5841435012E10</v>
      </c>
      <c r="E5" s="6">
        <v>46054.0</v>
      </c>
    </row>
    <row r="6">
      <c r="A6" s="4">
        <v>1.7421864012E10</v>
      </c>
      <c r="B6" s="8">
        <f t="shared" si="1"/>
        <v>45658</v>
      </c>
      <c r="D6" s="7">
        <v>1.6772915012E10</v>
      </c>
      <c r="E6" s="6">
        <v>45658.0</v>
      </c>
    </row>
    <row r="7">
      <c r="A7" s="4">
        <v>1.8421921012E10</v>
      </c>
      <c r="B7" s="8">
        <f t="shared" si="1"/>
        <v>46054</v>
      </c>
      <c r="D7" s="7">
        <v>1.7122387012E10</v>
      </c>
      <c r="E7" s="6">
        <v>45689.0</v>
      </c>
    </row>
    <row r="8">
      <c r="A8" s="4">
        <v>1.8324803012E10</v>
      </c>
      <c r="B8" s="8">
        <f t="shared" si="1"/>
        <v>45992</v>
      </c>
      <c r="D8" s="7">
        <v>1.7204048012E10</v>
      </c>
      <c r="E8" s="6">
        <v>45658.0</v>
      </c>
    </row>
    <row r="9">
      <c r="A9" s="4">
        <v>1.5197110012E10</v>
      </c>
      <c r="B9" s="8">
        <f t="shared" si="1"/>
        <v>45658</v>
      </c>
      <c r="D9" s="7">
        <v>1.7220643012E10</v>
      </c>
      <c r="E9" s="6">
        <v>45658.0</v>
      </c>
    </row>
    <row r="10">
      <c r="A10" s="4">
        <v>1.5841435012E10</v>
      </c>
      <c r="B10" s="8">
        <f t="shared" si="1"/>
        <v>46054</v>
      </c>
      <c r="D10" s="7">
        <v>1.7247841012E10</v>
      </c>
      <c r="E10" s="6">
        <v>45658.0</v>
      </c>
    </row>
    <row r="11">
      <c r="A11" s="4">
        <v>1.5086080012E10</v>
      </c>
      <c r="B11" s="8">
        <f>VLOOKUP(A11,D:E,2,true)</f>
        <v>45658</v>
      </c>
      <c r="D11" s="7">
        <v>1.7421864012E10</v>
      </c>
      <c r="E11" s="6">
        <v>45658.0</v>
      </c>
    </row>
    <row r="12">
      <c r="A12" s="4">
        <v>1.7247841012E10</v>
      </c>
      <c r="B12" s="8">
        <f t="shared" ref="B12:B18" si="2">VLOOKUP(A12,D:E,2,false)</f>
        <v>45658</v>
      </c>
      <c r="D12" s="7">
        <v>1.7433683012E10</v>
      </c>
      <c r="E12" s="6">
        <v>45962.0</v>
      </c>
    </row>
    <row r="13">
      <c r="A13" s="4">
        <v>1.7769987012E10</v>
      </c>
      <c r="B13" s="8">
        <f t="shared" si="2"/>
        <v>45658</v>
      </c>
      <c r="D13" s="7">
        <v>1.7769987012E10</v>
      </c>
      <c r="E13" s="6">
        <v>45658.0</v>
      </c>
    </row>
    <row r="14">
      <c r="A14" s="4">
        <v>1.8156829012E10</v>
      </c>
      <c r="B14" s="8">
        <f t="shared" si="2"/>
        <v>45658</v>
      </c>
      <c r="D14" s="7">
        <v>1.7819868012E10</v>
      </c>
      <c r="E14" s="6">
        <v>45870.0</v>
      </c>
    </row>
    <row r="15">
      <c r="A15" s="4">
        <v>1.7204048012E10</v>
      </c>
      <c r="B15" s="8">
        <f t="shared" si="2"/>
        <v>45658</v>
      </c>
      <c r="D15" s="7">
        <v>1.8156829012E10</v>
      </c>
      <c r="E15" s="6">
        <v>45658.0</v>
      </c>
    </row>
    <row r="16">
      <c r="A16" s="4">
        <v>1.7433683012E10</v>
      </c>
      <c r="B16" s="8">
        <f t="shared" si="2"/>
        <v>45962</v>
      </c>
      <c r="D16" s="7">
        <v>1.8421921012E10</v>
      </c>
      <c r="E16" s="6">
        <v>46054.0</v>
      </c>
    </row>
    <row r="17">
      <c r="A17" s="4">
        <v>1.7220643012E10</v>
      </c>
      <c r="B17" s="8">
        <f t="shared" si="2"/>
        <v>45658</v>
      </c>
      <c r="D17" s="7">
        <v>1.8324803012E10</v>
      </c>
      <c r="E17" s="6">
        <v>45992.0</v>
      </c>
    </row>
    <row r="18">
      <c r="A18" s="4">
        <v>1.5555979012E10</v>
      </c>
      <c r="B18" s="8">
        <f t="shared" si="2"/>
        <v>45658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2026-04-28T08:54:05Z</dcterms:created>
  <dc:creator>Apache POI</dc:creator>
</cp:coreProperties>
</file>