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nq1xGISPcQc6PbSOm6SMPAO+vQL7G1gwLBjijaKGEU="/>
    </ext>
  </extLst>
</workbook>
</file>

<file path=xl/sharedStrings.xml><?xml version="1.0" encoding="utf-8"?>
<sst xmlns="http://schemas.openxmlformats.org/spreadsheetml/2006/main" count="118" uniqueCount="45">
  <si>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</si>
  <si>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</si>
  <si>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</si>
  <si>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</si>
  <si>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</si>
  <si>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</si>
  <si>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</si>
  <si>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</si>
  <si>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</si>
  <si>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</si>
  <si>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</si>
  <si>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</si>
  <si>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</si>
  <si>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</si>
  <si>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</si>
  <si>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</si>
  <si>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</si>
  <si>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</si>
  <si>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</si>
  <si>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</si>
  <si>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Tigue</t>
  </si>
  <si>
    <t>Kirk</t>
  </si>
  <si>
    <t>Integrity Health, LLC</t>
  </si>
  <si>
    <t>IANG10216796040001TX016</t>
  </si>
  <si>
    <t>MELLEN, HAZEL</t>
  </si>
  <si>
    <t>TX</t>
  </si>
  <si>
    <t>2025 TX $25 PMPM Medical (Cap 5 applied)</t>
  </si>
  <si>
    <t>Y</t>
  </si>
  <si>
    <t>Aetna</t>
  </si>
  <si>
    <t>Caltagirone</t>
  </si>
  <si>
    <t>Ryan</t>
  </si>
  <si>
    <t>232 E KING ST ,, MALVERN, PA, 19355,</t>
  </si>
  <si>
    <t>IANG10182908260001FL016</t>
  </si>
  <si>
    <t>WOODWARD, THOMAS</t>
  </si>
  <si>
    <t>FL</t>
  </si>
  <si>
    <t>2025 FL $20 PMPM Medical Renewal (Cap 5 applied)</t>
  </si>
  <si>
    <t>Tatro</t>
  </si>
  <si>
    <t>Melissa</t>
  </si>
  <si>
    <t>232 E KING ST, , , MALVERN, PA, 19355</t>
  </si>
  <si>
    <t>IANG10214743290001IL016</t>
  </si>
  <si>
    <t>ROBERTS, PIPPIN</t>
  </si>
  <si>
    <t>AL</t>
  </si>
  <si>
    <t>2025 IL $20 PMPM Medical (Cap 5 applied)</t>
  </si>
  <si>
    <t>!L</t>
  </si>
  <si>
    <t>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</si>
</sst>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i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14" xfId="0" applyFont="1" applyNumberFormat="1"/>
    <xf borderId="0" fillId="0" fontId="3" numFmtId="17" xfId="0" applyFont="1" applyNumberFormat="1"/>
    <xf borderId="0" fillId="0" fontId="3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5.14"/>
    <col customWidth="1" min="8" max="8" width="21.71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47.43"/>
    <col customWidth="1" min="17" max="17" width="14.29"/>
    <col customWidth="1" min="18" max="19" width="12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>
      <c r="A2" s="1" t="s">
        <v>20</v>
      </c>
      <c r="B2" s="1" t="s">
        <v>21</v>
      </c>
      <c r="C2" s="1">
        <v>2.1421111E7</v>
      </c>
      <c r="E2" s="1">
        <v>1.0</v>
      </c>
      <c r="F2" s="1" t="s">
        <v>22</v>
      </c>
      <c r="G2" s="1" t="s">
        <v>23</v>
      </c>
      <c r="H2" s="1" t="s">
        <v>24</v>
      </c>
      <c r="I2" s="4">
        <v>45778.0</v>
      </c>
      <c r="J2" s="1" t="s">
        <v>25</v>
      </c>
      <c r="K2" s="5">
        <v>45992.0</v>
      </c>
      <c r="L2" s="1">
        <v>-1.0</v>
      </c>
      <c r="M2" s="1">
        <v>-25.0</v>
      </c>
      <c r="N2" s="1">
        <v>0.0</v>
      </c>
      <c r="O2" s="1">
        <v>-25.0</v>
      </c>
      <c r="P2" s="1" t="s">
        <v>26</v>
      </c>
      <c r="Q2" s="4">
        <v>46073.0</v>
      </c>
      <c r="R2" s="1" t="s">
        <v>27</v>
      </c>
      <c r="S2" s="1" t="s">
        <v>28</v>
      </c>
      <c r="T2" s="3">
        <v>1.0</v>
      </c>
    </row>
    <row r="3">
      <c r="A3" s="1" t="s">
        <v>29</v>
      </c>
      <c r="B3" s="1" t="s">
        <v>30</v>
      </c>
      <c r="C3" s="1">
        <v>8977234.0</v>
      </c>
      <c r="D3" s="3" t="s">
        <v>31</v>
      </c>
      <c r="E3" s="1">
        <v>1.0</v>
      </c>
      <c r="F3" s="1" t="s">
        <v>22</v>
      </c>
      <c r="G3" s="1" t="s">
        <v>32</v>
      </c>
      <c r="H3" s="1" t="s">
        <v>33</v>
      </c>
      <c r="I3" s="6">
        <v>46104.0</v>
      </c>
      <c r="J3" s="1" t="s">
        <v>34</v>
      </c>
      <c r="K3" s="5">
        <v>45992.0</v>
      </c>
      <c r="L3" s="1">
        <v>1.0</v>
      </c>
      <c r="M3" s="1">
        <v>20.0</v>
      </c>
      <c r="N3" s="1">
        <v>0.0</v>
      </c>
      <c r="O3" s="1">
        <v>20.0</v>
      </c>
      <c r="P3" s="1" t="s">
        <v>35</v>
      </c>
      <c r="Q3" s="4">
        <v>46073.0</v>
      </c>
      <c r="R3" s="1" t="s">
        <v>27</v>
      </c>
      <c r="S3" s="1" t="s">
        <v>28</v>
      </c>
      <c r="T3" s="3">
        <v>1.0</v>
      </c>
    </row>
    <row r="4">
      <c r="A4" s="1" t="s">
        <v>36</v>
      </c>
      <c r="B4" s="1" t="s">
        <v>37</v>
      </c>
      <c r="C4" s="1">
        <v>1.4177521E7</v>
      </c>
      <c r="D4" s="1" t="s">
        <v>38</v>
      </c>
      <c r="E4" s="1">
        <v>1.0</v>
      </c>
      <c r="F4" s="1" t="s">
        <v>22</v>
      </c>
      <c r="G4" s="1" t="s">
        <v>39</v>
      </c>
      <c r="H4" s="1" t="s">
        <v>40</v>
      </c>
      <c r="I4" s="4">
        <v>45658.0</v>
      </c>
      <c r="J4" s="3" t="s">
        <v>41</v>
      </c>
      <c r="K4" s="5">
        <v>45689.0</v>
      </c>
      <c r="L4" s="1">
        <v>1.0</v>
      </c>
      <c r="M4" s="1">
        <v>20.0</v>
      </c>
      <c r="N4" s="1">
        <v>0.0</v>
      </c>
      <c r="O4" s="1">
        <v>20.0</v>
      </c>
      <c r="P4" s="1" t="s">
        <v>42</v>
      </c>
      <c r="Q4" s="4">
        <v>46052.0</v>
      </c>
      <c r="R4" s="1" t="s">
        <v>27</v>
      </c>
      <c r="S4" s="1" t="s">
        <v>28</v>
      </c>
      <c r="T4" s="3">
        <v>1.0</v>
      </c>
    </row>
    <row r="5">
      <c r="A5" s="1" t="s">
        <v>36</v>
      </c>
      <c r="B5" s="1" t="s">
        <v>37</v>
      </c>
      <c r="C5" s="1">
        <v>1.4177521E7</v>
      </c>
      <c r="D5" s="1" t="s">
        <v>38</v>
      </c>
      <c r="E5" s="1">
        <v>1.0</v>
      </c>
      <c r="F5" s="1" t="s">
        <v>22</v>
      </c>
      <c r="G5" s="1" t="s">
        <v>39</v>
      </c>
      <c r="H5" s="1" t="s">
        <v>40</v>
      </c>
      <c r="I5" s="4">
        <v>45658.0</v>
      </c>
      <c r="J5" s="3" t="s">
        <v>43</v>
      </c>
      <c r="K5" s="5">
        <v>45717.0</v>
      </c>
      <c r="L5" s="1">
        <v>1.0</v>
      </c>
      <c r="M5" s="1">
        <v>20.0</v>
      </c>
      <c r="N5" s="1">
        <v>0.0</v>
      </c>
      <c r="O5" s="1">
        <v>20.0</v>
      </c>
      <c r="P5" s="1" t="s">
        <v>42</v>
      </c>
      <c r="Q5" s="4">
        <v>46052.0</v>
      </c>
      <c r="R5" s="1" t="s">
        <v>27</v>
      </c>
      <c r="S5" s="1" t="s">
        <v>28</v>
      </c>
      <c r="T5" s="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22.29"/>
    <col customWidth="1" min="4" max="4" width="17.0"/>
    <col customWidth="1" min="5" max="5" width="34.71"/>
    <col customWidth="1" min="6" max="6" width="21.71"/>
    <col customWidth="1" min="7" max="7" width="20.29"/>
    <col customWidth="1" min="8" max="9" width="25.71"/>
    <col customWidth="1" min="10" max="10" width="21.71"/>
    <col customWidth="1" min="11" max="11" width="22.86"/>
    <col customWidth="1" min="12" max="12" width="22.43"/>
    <col customWidth="1" min="13" max="13" width="16.71"/>
    <col customWidth="1" min="14" max="14" width="15.14"/>
    <col customWidth="1" min="15" max="15" width="19.14"/>
    <col customWidth="1" min="16" max="16" width="15.29"/>
    <col customWidth="1" min="17" max="17" width="17.57"/>
    <col customWidth="1" min="18" max="18" width="47.43"/>
    <col customWidth="1" min="19" max="19" width="14.29"/>
    <col customWidth="1" min="20" max="21" width="12.43"/>
    <col customWidth="1" min="22" max="28" width="8.71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>
      <c r="A2" s="1" t="s">
        <v>20</v>
      </c>
      <c r="B2" s="1" t="s">
        <v>21</v>
      </c>
      <c r="C2" s="1" t="str">
        <f t="shared" ref="C2:C5" si="1">CONCATENATE(B2," ",A2)</f>
        <v>Kirk Tigue</v>
      </c>
      <c r="D2" s="1">
        <v>2.1421111E7</v>
      </c>
      <c r="E2" s="1" t="s">
        <v>38</v>
      </c>
      <c r="F2" s="1">
        <v>1.0</v>
      </c>
      <c r="G2" s="1" t="s">
        <v>22</v>
      </c>
      <c r="H2" s="1" t="s">
        <v>23</v>
      </c>
      <c r="I2" s="1" t="str">
        <f t="shared" ref="I2:I5" si="2">concat(2,H2)</f>
        <v>2IANG10216796040001TX016</v>
      </c>
      <c r="J2" s="1" t="s">
        <v>24</v>
      </c>
      <c r="K2" s="4">
        <v>45778.0</v>
      </c>
      <c r="L2" s="1" t="s">
        <v>25</v>
      </c>
      <c r="M2" s="5">
        <v>45992.0</v>
      </c>
      <c r="N2" s="1">
        <v>-1.0</v>
      </c>
      <c r="O2" s="1">
        <v>-25.0</v>
      </c>
      <c r="P2" s="1">
        <v>0.0</v>
      </c>
      <c r="Q2" s="1">
        <v>-25.0</v>
      </c>
      <c r="R2" s="1" t="s">
        <v>26</v>
      </c>
      <c r="S2" s="4">
        <v>46073.0</v>
      </c>
      <c r="T2" s="1" t="s">
        <v>27</v>
      </c>
      <c r="U2" s="1" t="s">
        <v>28</v>
      </c>
    </row>
    <row r="3">
      <c r="A3" s="1" t="s">
        <v>29</v>
      </c>
      <c r="B3" s="1" t="s">
        <v>30</v>
      </c>
      <c r="C3" s="1" t="str">
        <f t="shared" si="1"/>
        <v>Ryan Caltagirone</v>
      </c>
      <c r="D3" s="1">
        <v>8977234.0</v>
      </c>
      <c r="E3" s="1" t="s">
        <v>38</v>
      </c>
      <c r="F3" s="1">
        <v>1.0</v>
      </c>
      <c r="G3" s="1" t="s">
        <v>22</v>
      </c>
      <c r="H3" s="1" t="s">
        <v>32</v>
      </c>
      <c r="I3" s="1" t="str">
        <f t="shared" si="2"/>
        <v>2IANG10182908260001FL016</v>
      </c>
      <c r="J3" s="1" t="s">
        <v>33</v>
      </c>
      <c r="K3" s="4">
        <v>45292.0</v>
      </c>
      <c r="L3" s="1" t="s">
        <v>34</v>
      </c>
      <c r="M3" s="5">
        <v>45992.0</v>
      </c>
      <c r="N3" s="1">
        <v>1.0</v>
      </c>
      <c r="O3" s="1">
        <v>20.0</v>
      </c>
      <c r="P3" s="1">
        <v>0.0</v>
      </c>
      <c r="Q3" s="1">
        <v>20.0</v>
      </c>
      <c r="R3" s="1" t="s">
        <v>35</v>
      </c>
      <c r="S3" s="4">
        <v>46073.0</v>
      </c>
      <c r="T3" s="1" t="s">
        <v>27</v>
      </c>
      <c r="U3" s="1" t="s">
        <v>28</v>
      </c>
    </row>
    <row r="4">
      <c r="A4" s="1" t="s">
        <v>36</v>
      </c>
      <c r="B4" s="1" t="s">
        <v>37</v>
      </c>
      <c r="C4" s="1" t="str">
        <f t="shared" si="1"/>
        <v>Melissa Tatro</v>
      </c>
      <c r="D4" s="1">
        <v>1.4177521E7</v>
      </c>
      <c r="E4" s="1" t="s">
        <v>38</v>
      </c>
      <c r="F4" s="1">
        <v>1.0</v>
      </c>
      <c r="G4" s="1" t="s">
        <v>22</v>
      </c>
      <c r="H4" s="1" t="s">
        <v>39</v>
      </c>
      <c r="I4" s="1" t="str">
        <f t="shared" si="2"/>
        <v>2IANG10214743290001IL016</v>
      </c>
      <c r="J4" s="1" t="s">
        <v>40</v>
      </c>
      <c r="K4" s="4">
        <v>45658.0</v>
      </c>
      <c r="L4" s="1" t="s">
        <v>44</v>
      </c>
      <c r="M4" s="5">
        <v>45689.0</v>
      </c>
      <c r="N4" s="1">
        <v>1.0</v>
      </c>
      <c r="O4" s="1">
        <v>20.0</v>
      </c>
      <c r="P4" s="1">
        <v>0.0</v>
      </c>
      <c r="Q4" s="1">
        <v>20.0</v>
      </c>
      <c r="R4" s="1" t="s">
        <v>42</v>
      </c>
      <c r="S4" s="4">
        <v>46052.0</v>
      </c>
      <c r="T4" s="1" t="s">
        <v>27</v>
      </c>
      <c r="U4" s="1" t="s">
        <v>28</v>
      </c>
    </row>
    <row r="5">
      <c r="A5" s="1" t="s">
        <v>36</v>
      </c>
      <c r="B5" s="1" t="s">
        <v>37</v>
      </c>
      <c r="C5" s="1" t="str">
        <f t="shared" si="1"/>
        <v>Melissa Tatro</v>
      </c>
      <c r="D5" s="1">
        <v>1.4177521E7</v>
      </c>
      <c r="E5" s="1" t="s">
        <v>38</v>
      </c>
      <c r="F5" s="1">
        <v>1.0</v>
      </c>
      <c r="G5" s="1" t="s">
        <v>22</v>
      </c>
      <c r="H5" s="1" t="s">
        <v>39</v>
      </c>
      <c r="I5" s="1" t="str">
        <f t="shared" si="2"/>
        <v>2IANG10214743290001IL016</v>
      </c>
      <c r="J5" s="1" t="s">
        <v>40</v>
      </c>
      <c r="K5" s="4">
        <v>45658.0</v>
      </c>
      <c r="L5" s="1" t="s">
        <v>44</v>
      </c>
      <c r="M5" s="5">
        <v>45717.0</v>
      </c>
      <c r="N5" s="1">
        <v>1.0</v>
      </c>
      <c r="O5" s="1">
        <v>20.0</v>
      </c>
      <c r="P5" s="1">
        <v>0.0</v>
      </c>
      <c r="Q5" s="1">
        <v>20.0</v>
      </c>
      <c r="R5" s="1" t="s">
        <v>42</v>
      </c>
      <c r="S5" s="4">
        <v>46052.0</v>
      </c>
      <c r="T5" s="1" t="s">
        <v>27</v>
      </c>
      <c r="U5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2026-02-26T09:55:18Z</dcterms:created>
  <dc:creator>Jb Infotech 95</dc:creator>
</cp:coreProperties>
</file>