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"/>
    </mc:Choice>
  </mc:AlternateContent>
  <xr:revisionPtr revIDLastSave="10" documentId="8_{E555EA5A-F79F-40AB-9A66-F94268897613}" xr6:coauthVersionLast="47" xr6:coauthVersionMax="47" xr10:uidLastSave="{BD097843-2DB5-4E87-982C-135BE6577631}"/>
  <bookViews>
    <workbookView minimized="1" xWindow="17829" yWindow="0" windowWidth="16431" windowHeight="8511" xr2:uid="{00000000-000D-0000-FFFF-FFFF00000000}"/>
  </bookViews>
  <sheets>
    <sheet name="Main Line Benefits LLC_ifp_com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C59" i="1"/>
  <c r="C11" i="1"/>
  <c r="C94" i="1"/>
  <c r="C35" i="1"/>
  <c r="C36" i="1"/>
  <c r="C69" i="1"/>
  <c r="C81" i="1"/>
  <c r="C37" i="1"/>
  <c r="C60" i="1"/>
  <c r="C2" i="1"/>
  <c r="C56" i="1"/>
  <c r="C12" i="1"/>
  <c r="C38" i="1"/>
  <c r="C61" i="1"/>
  <c r="C13" i="1"/>
  <c r="C82" i="1"/>
  <c r="C39" i="1"/>
  <c r="C40" i="1"/>
  <c r="C41" i="1"/>
  <c r="C62" i="1"/>
  <c r="C68" i="1"/>
  <c r="C32" i="1"/>
  <c r="C53" i="1"/>
  <c r="C14" i="1"/>
  <c r="C78" i="1"/>
  <c r="C15" i="1"/>
  <c r="C3" i="1"/>
  <c r="C33" i="1"/>
  <c r="C72" i="1"/>
  <c r="C16" i="1"/>
  <c r="C91" i="1"/>
  <c r="C17" i="1"/>
  <c r="C28" i="1"/>
  <c r="C95" i="1"/>
  <c r="C63" i="1"/>
  <c r="C42" i="1"/>
  <c r="C96" i="1"/>
  <c r="C64" i="1"/>
  <c r="C65" i="1"/>
  <c r="C4" i="1"/>
  <c r="C43" i="1"/>
  <c r="C25" i="1"/>
  <c r="C73" i="1"/>
  <c r="C74" i="1"/>
  <c r="C5" i="1"/>
  <c r="C6" i="1"/>
  <c r="C83" i="1"/>
  <c r="C97" i="1"/>
  <c r="C84" i="1"/>
  <c r="C29" i="1"/>
  <c r="C7" i="1"/>
  <c r="C92" i="1"/>
  <c r="C93" i="1"/>
  <c r="C54" i="1"/>
  <c r="C8" i="1"/>
  <c r="C44" i="1"/>
  <c r="C66" i="1"/>
  <c r="C45" i="1"/>
  <c r="C46" i="1"/>
  <c r="C18" i="1"/>
  <c r="C26" i="1"/>
  <c r="C85" i="1"/>
  <c r="C86" i="1"/>
  <c r="C34" i="1"/>
  <c r="C47" i="1"/>
  <c r="C48" i="1"/>
  <c r="C49" i="1"/>
  <c r="C87" i="1"/>
  <c r="C55" i="1"/>
  <c r="C19" i="1"/>
  <c r="C20" i="1"/>
  <c r="C98" i="1"/>
  <c r="C30" i="1"/>
  <c r="C50" i="1"/>
  <c r="C21" i="1"/>
  <c r="C89" i="1"/>
  <c r="C79" i="1"/>
  <c r="C70" i="1"/>
  <c r="C99" i="1"/>
  <c r="C31" i="1"/>
  <c r="C9" i="1"/>
  <c r="C71" i="1"/>
  <c r="C27" i="1"/>
  <c r="C75" i="1"/>
  <c r="C22" i="1"/>
  <c r="C88" i="1"/>
  <c r="C67" i="1"/>
  <c r="C80" i="1"/>
  <c r="C10" i="1"/>
  <c r="C51" i="1"/>
  <c r="C90" i="1"/>
  <c r="C76" i="1"/>
  <c r="C23" i="1"/>
  <c r="C24" i="1"/>
  <c r="C77" i="1"/>
  <c r="C52" i="1"/>
  <c r="C57" i="1"/>
</calcChain>
</file>

<file path=xl/sharedStrings.xml><?xml version="1.0" encoding="utf-8"?>
<sst xmlns="http://schemas.openxmlformats.org/spreadsheetml/2006/main" count="1098" uniqueCount="265">
  <si>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</si>
  <si>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</si>
  <si>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</si>
  <si>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</si>
  <si>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</si>
  <si>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</si>
  <si>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</si>
  <si>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</si>
  <si>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</si>
  <si>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</si>
  <si>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</si>
  <si>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</si>
  <si>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</si>
  <si>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</si>
  <si>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</si>
  <si>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</si>
  <si>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</si>
  <si>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</si>
  <si>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</si>
  <si>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</si>
  <si>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</si>
  <si>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</si>
  <si>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001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</si>
  <si>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</si>
  <si>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</si>
  <si>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</si>
  <si>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</si>
  <si>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</si>
  <si>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</si>
  <si>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</si>
  <si>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IANG10199183360002MD016</t>
  </si>
  <si>
    <t>ARGUETA-PORTILLO, GEIDY Noelia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</si>
  <si>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</si>
  <si>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</si>
  <si>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</si>
  <si>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</si>
  <si>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</si>
  <si>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</si>
  <si>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</si>
  <si>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</si>
  <si>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IANG10189387840002VA016</t>
  </si>
  <si>
    <t>BAKER, CALVIN</t>
  </si>
  <si>
    <t>VA</t>
  </si>
  <si>
    <t>2024 VA $20 PMPM Medical (Cap 5 applied)</t>
  </si>
  <si>
    <t>Teipel</t>
  </si>
  <si>
    <t>Gregory</t>
  </si>
  <si>
    <t>IANG10165751930001IL016</t>
  </si>
  <si>
    <t>BEHLING, KARL</t>
  </si>
  <si>
    <t>IL</t>
  </si>
  <si>
    <t>2024 IL $20 PMPM Renewal Medical (Cap 5 applied)</t>
  </si>
  <si>
    <t>IANG10182910810001IL016</t>
  </si>
  <si>
    <t>BOUZOUBAA, ABDERRAHMAN</t>
  </si>
  <si>
    <t>2024 IL $20 PMPM Medical (Cap 5 applied)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</si>
  <si>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</si>
  <si>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</si>
  <si>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</si>
  <si>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</si>
  <si>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</si>
  <si>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</si>
  <si>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</si>
  <si>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</si>
  <si>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</si>
  <si>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</si>
  <si>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</si>
  <si>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</si>
  <si>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IANG10169693140001AZ018</t>
  </si>
  <si>
    <t>CHRIST, TANNER</t>
  </si>
  <si>
    <t>AZ</t>
  </si>
  <si>
    <t>2024 AZ Banner $20 PMPM Renewal Medical (Cap 5 applied)</t>
  </si>
  <si>
    <t>Banner | Aetna</t>
  </si>
  <si>
    <t>KUCAN</t>
  </si>
  <si>
    <t>THOMAS</t>
  </si>
  <si>
    <t>IANG10193392830002MD016</t>
  </si>
  <si>
    <t>CLARKSON, DENISE J</t>
  </si>
  <si>
    <t>IANG10171680530001FL016</t>
  </si>
  <si>
    <t>CURA, JON</t>
  </si>
  <si>
    <t>IANG10192280510001IL016</t>
  </si>
  <si>
    <t>DAVIS, PAULA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</si>
  <si>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</si>
  <si>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</si>
  <si>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</si>
  <si>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</si>
  <si>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</si>
  <si>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</si>
  <si>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</si>
  <si>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</si>
  <si>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IANG10183763710001IL016</t>
  </si>
  <si>
    <t>FUHRHOP, BRYN</t>
  </si>
  <si>
    <t>IANG10183763500001IL016</t>
  </si>
  <si>
    <t>FUHRHOP, TODD</t>
  </si>
  <si>
    <t>IANG10190155910002MD016</t>
  </si>
  <si>
    <t>GANESHAN, LINDA</t>
  </si>
  <si>
    <t>WHITE</t>
  </si>
  <si>
    <t>LANEECE</t>
  </si>
  <si>
    <t>IANG10188078710002MD016</t>
  </si>
  <si>
    <t>GITTENS, CHANTAL</t>
  </si>
  <si>
    <t>IANG10184604780001IL016</t>
  </si>
  <si>
    <t>GOLD, JULIE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</si>
  <si>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</si>
  <si>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</si>
  <si>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</si>
  <si>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</si>
  <si>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</si>
  <si>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</si>
  <si>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2024 FL $25 PMPM Medical (Cap 5 applied)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</si>
  <si>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</si>
  <si>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</si>
  <si>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</si>
  <si>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</si>
  <si>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</si>
  <si>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</si>
  <si>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</si>
  <si>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</si>
  <si>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</si>
  <si>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IANG10190643640001IL016</t>
  </si>
  <si>
    <t>HIERTZ, JOSEPH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</si>
  <si>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</si>
  <si>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</si>
  <si>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</si>
  <si>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</si>
  <si>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</si>
  <si>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</si>
  <si>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</si>
  <si>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</si>
  <si>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TX</t>
  </si>
  <si>
    <t>2024 TX $25 PMPM Medical (Cap 5 applied)</t>
  </si>
  <si>
    <t>IANG10174755120001FL016</t>
  </si>
  <si>
    <t>IRWIN, KELLY</t>
  </si>
  <si>
    <t>IANG10160432890001FL016</t>
  </si>
  <si>
    <t>JANSSEN, MORGAN leigh</t>
  </si>
  <si>
    <t>IANG10174949530002VA017</t>
  </si>
  <si>
    <t>JOHNSON, MADELENA</t>
  </si>
  <si>
    <t>2024 VA IH $20 PMPM Renewal Medical (Cap 5 applied)</t>
  </si>
  <si>
    <t>Innovation Health</t>
  </si>
  <si>
    <t>IANG10196650590002MD016</t>
  </si>
  <si>
    <t>JONES, JORDAN</t>
  </si>
  <si>
    <t>IANG10189374880001IL016</t>
  </si>
  <si>
    <t>JUNG, RICHARD John</t>
  </si>
  <si>
    <t>IANG10189765360002VA017</t>
  </si>
  <si>
    <t>KAMERMAN, CAITLIN Rose</t>
  </si>
  <si>
    <t>2024 VA IH $20 PMPM Medical (Cap 5 applied)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</si>
  <si>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</si>
  <si>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</si>
  <si>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</si>
  <si>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</si>
  <si>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</si>
  <si>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</si>
  <si>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IANG10157714850001FL016</t>
  </si>
  <si>
    <t>LARSON, ALEXANDRIA</t>
  </si>
  <si>
    <t>IANG10190054720001NC016</t>
  </si>
  <si>
    <t>LUMFORD, BRANDY</t>
  </si>
  <si>
    <t>IANG10190240260001NC016</t>
  </si>
  <si>
    <t>LUMFORD, JUDY</t>
  </si>
  <si>
    <t>IANG10172011290001AZ018</t>
  </si>
  <si>
    <t>LUNA, RAYMUNDO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</si>
  <si>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</si>
  <si>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</si>
  <si>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</si>
  <si>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</si>
  <si>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</si>
  <si>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IANG10166169030002VA017</t>
  </si>
  <si>
    <t>MARTINEZ, GABRIEL</t>
  </si>
  <si>
    <t>IANG10165673930001NC016</t>
  </si>
  <si>
    <t>MASSENGILL, KEVIN</t>
  </si>
  <si>
    <t>IANG10179120920001FL016</t>
  </si>
  <si>
    <t>MATASEK, MARY KAY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</si>
  <si>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</si>
  <si>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</si>
  <si>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</si>
  <si>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</si>
  <si>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</si>
  <si>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IANG10185878420001TX016</t>
  </si>
  <si>
    <t>MCGAHEE, VINCENT</t>
  </si>
  <si>
    <t>IANG10191109090001KS016</t>
  </si>
  <si>
    <t>MCPHERSON, MATT daniel</t>
  </si>
  <si>
    <t>IANG10196470740001AZ018</t>
  </si>
  <si>
    <t>MILLER, JEFFREY</t>
  </si>
  <si>
    <t>IANG10186146990001IL016</t>
  </si>
  <si>
    <t>MILLER, LAURA</t>
  </si>
  <si>
    <t>IANG10191498360002MD016</t>
  </si>
  <si>
    <t>MIXSON, MILES</t>
  </si>
  <si>
    <t>IANG10192669330001IL016</t>
  </si>
  <si>
    <t>MOORE, GEORGE</t>
  </si>
  <si>
    <t>IANG10185292240001IL016</t>
  </si>
  <si>
    <t>MORAN JR, WAYNE E</t>
  </si>
  <si>
    <t>IANG10183284320001FL016</t>
  </si>
  <si>
    <t>MURPHY, SHAWN</t>
  </si>
  <si>
    <t>IANG10161438690001FL016</t>
  </si>
  <si>
    <t>NGUYEN, THAY</t>
  </si>
  <si>
    <t>IANG10162325110001NC016</t>
  </si>
  <si>
    <t>PARKER, PHYLLIS Burleson</t>
  </si>
  <si>
    <t>IANG10159521080001NC016</t>
  </si>
  <si>
    <t>PARROTT, JACK A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</si>
  <si>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</si>
  <si>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</si>
  <si>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</si>
  <si>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</si>
  <si>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</si>
  <si>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</si>
  <si>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</si>
  <si>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</si>
  <si>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IANG10156980540001NC016</t>
  </si>
  <si>
    <t>PINCHEON, LINDA</t>
  </si>
  <si>
    <t>Barber</t>
  </si>
  <si>
    <t>Aidan</t>
  </si>
  <si>
    <t>IANG10191880520002MD016</t>
  </si>
  <si>
    <t>PORTILLO HERNANDEZ, JORGE Luis</t>
  </si>
  <si>
    <t>IANG10159026340001FL016</t>
  </si>
  <si>
    <t>PRICE, PENNY</t>
  </si>
  <si>
    <t>IANG10193875470001FL016</t>
  </si>
  <si>
    <t>PURMORT, THOMAS</t>
  </si>
  <si>
    <t>IANG10196001960002VA017</t>
  </si>
  <si>
    <t>QUARTANA, MATTHEW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</si>
  <si>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</si>
  <si>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</si>
  <si>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</si>
  <si>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</si>
  <si>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</si>
  <si>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</si>
  <si>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IANG10169067490002NJ016</t>
  </si>
  <si>
    <t>ROBERTS, CORDELLA</t>
  </si>
  <si>
    <t>NJ</t>
  </si>
  <si>
    <t>2024 NJ $20 PMPM Renewal Medical (Cap 5 applied)</t>
  </si>
  <si>
    <t>IANG10178256730001NC016</t>
  </si>
  <si>
    <t>RUSSELL, PAULA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</si>
  <si>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</si>
  <si>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</si>
  <si>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</si>
  <si>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</si>
  <si>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</si>
  <si>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</si>
  <si>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</si>
  <si>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IANG10171561310001AZ018</t>
  </si>
  <si>
    <t>SHELLEY, TRACY</t>
  </si>
  <si>
    <t>IANG10158771240001MO016</t>
  </si>
  <si>
    <t>STANTON, CHASE</t>
  </si>
  <si>
    <t>IANG10166172710001FL016</t>
  </si>
  <si>
    <t>STEPHENSON, ROBERT BENJAMIN</t>
  </si>
  <si>
    <t>IANG10182808210001NC016</t>
  </si>
  <si>
    <t>STEWART, LORRAINE</t>
  </si>
  <si>
    <t>IANG10183475490001FL016</t>
  </si>
  <si>
    <t>SWARTZ, RICHARD</t>
  </si>
  <si>
    <t>Hoffmann</t>
  </si>
  <si>
    <t>Jason</t>
  </si>
  <si>
    <t>IANG10164929470002NJ016</t>
  </si>
  <si>
    <t>TATE, ALEXANDER M</t>
  </si>
  <si>
    <t>IANG10191567800002MD016</t>
  </si>
  <si>
    <t>THOMAS, GEORGE</t>
  </si>
  <si>
    <t>IANG10165938960001NC016</t>
  </si>
  <si>
    <t>TOWNSEND, KAITLYN</t>
  </si>
  <si>
    <t>IANG10192725890001AZ018</t>
  </si>
  <si>
    <t>WEBB, THOMAS</t>
  </si>
  <si>
    <t>IANG10165132300001IL016</t>
  </si>
  <si>
    <t>WEGER, CHRISTINE</t>
  </si>
  <si>
    <t>IANG10165660240001TX016</t>
  </si>
  <si>
    <t>WOMACK, RUSSELL</t>
  </si>
  <si>
    <t>IANG10176226850001NC016</t>
  </si>
  <si>
    <t>WOODARD, VANESSA</t>
  </si>
  <si>
    <t>IANG10182908260001FL016</t>
  </si>
  <si>
    <t>WOODWARD, THOMAS</t>
  </si>
  <si>
    <t>IANG10188016990001NC016</t>
  </si>
  <si>
    <t>ZACCONE, JAMES</t>
  </si>
  <si>
    <t>IANG10167831560001IL016</t>
  </si>
  <si>
    <t>ZACH, ELIZABETH</t>
  </si>
  <si>
    <t xml:space="preserve">AGENT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</si>
</sst>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A86" workbookViewId="0">
      <selection activeCell="A2" sqref="A2:XFD99"/>
    </sheetView>
  </sheetViews>
  <sheetFormatPr defaultRowHeight="14.4" x14ac:dyDescent="0.3"/>
  <cols>
    <col min="1" max="1" width="19.33203125" bestFit="1" customWidth="1"/>
    <col min="2" max="2" width="19.5546875" bestFit="1" customWidth="1"/>
    <col min="3" max="3" width="19.5546875" customWidth="1"/>
    <col min="4" max="4" width="15.21875" bestFit="1" customWidth="1"/>
    <col min="5" max="5" width="32.21875" bestFit="1" customWidth="1"/>
    <col min="6" max="6" width="19.77734375" bestFit="1" customWidth="1"/>
    <col min="7" max="7" width="18.5546875" bestFit="1" customWidth="1"/>
    <col min="8" max="8" width="25.44140625" bestFit="1" customWidth="1"/>
    <col min="9" max="9" width="30.109375" bestFit="1" customWidth="1"/>
    <col min="10" max="10" width="20.21875" bestFit="1" customWidth="1"/>
    <col min="11" max="11" width="20.5546875" bestFit="1" customWidth="1"/>
    <col min="12" max="12" width="15.21875" style="2" bestFit="1" customWidth="1"/>
    <col min="13" max="13" width="13.88671875" bestFit="1" customWidth="1"/>
    <col min="14" max="14" width="17.77734375" bestFit="1" customWidth="1"/>
    <col min="15" max="15" width="13.21875" bestFit="1" customWidth="1"/>
    <col min="16" max="16" width="15.77734375" bestFit="1" customWidth="1"/>
    <col min="17" max="17" width="49.33203125" bestFit="1" customWidth="1"/>
    <col min="18" max="18" width="13.109375" bestFit="1" customWidth="1"/>
    <col min="19" max="19" width="11.33203125" bestFit="1" customWidth="1"/>
    <col min="20" max="20" width="15" bestFit="1" customWidth="1"/>
  </cols>
  <sheetData>
    <row r="1" spans="1:20" x14ac:dyDescent="0.3">
      <c r="A1" t="s">
        <v>0</v>
      </c>
      <c r="B1" t="s">
        <v>1</v>
      </c>
      <c r="C1" t="s">
        <v>264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34</v>
      </c>
      <c r="B2" t="s">
        <v>35</v>
      </c>
      <c r="C2" t="str">
        <f>CONCATENATE(A2, " ",B2)</f>
        <v>Caltagirone Ryan</v>
      </c>
      <c r="D2">
        <v>8977234</v>
      </c>
      <c r="E2" t="s">
        <v>21</v>
      </c>
      <c r="F2" s="1" t="s">
        <v>22</v>
      </c>
      <c r="G2" t="s">
        <v>23</v>
      </c>
      <c r="H2" t="s">
        <v>65</v>
      </c>
      <c r="I2" t="s">
        <v>66</v>
      </c>
      <c r="J2" s="2">
        <v>44986</v>
      </c>
      <c r="K2" t="s">
        <v>67</v>
      </c>
      <c r="L2" s="2">
        <v>45383</v>
      </c>
      <c r="M2">
        <v>1</v>
      </c>
      <c r="N2">
        <v>20</v>
      </c>
      <c r="O2">
        <v>0</v>
      </c>
      <c r="P2">
        <v>20</v>
      </c>
      <c r="Q2" t="s">
        <v>68</v>
      </c>
      <c r="R2" s="2">
        <v>45429</v>
      </c>
      <c r="S2" t="s">
        <v>28</v>
      </c>
      <c r="T2" t="s">
        <v>69</v>
      </c>
    </row>
    <row r="3" spans="1:20" x14ac:dyDescent="0.3">
      <c r="A3" t="s">
        <v>34</v>
      </c>
      <c r="B3" t="s">
        <v>35</v>
      </c>
      <c r="C3" t="str">
        <f>CONCATENATE(A3, " ",B3)</f>
        <v>Caltagirone Ryan</v>
      </c>
      <c r="D3">
        <v>8977234</v>
      </c>
      <c r="E3" t="s">
        <v>21</v>
      </c>
      <c r="F3" s="1" t="s">
        <v>22</v>
      </c>
      <c r="G3" t="s">
        <v>23</v>
      </c>
      <c r="H3" t="s">
        <v>111</v>
      </c>
      <c r="I3" t="s">
        <v>112</v>
      </c>
      <c r="J3" s="2">
        <v>45292</v>
      </c>
      <c r="K3" t="s">
        <v>67</v>
      </c>
      <c r="L3" s="2">
        <v>45383</v>
      </c>
      <c r="M3">
        <v>2</v>
      </c>
      <c r="N3">
        <v>40</v>
      </c>
      <c r="O3">
        <v>0</v>
      </c>
      <c r="P3">
        <v>40</v>
      </c>
      <c r="Q3" t="s">
        <v>113</v>
      </c>
      <c r="R3" s="2">
        <v>45429</v>
      </c>
      <c r="S3" t="s">
        <v>28</v>
      </c>
      <c r="T3" t="s">
        <v>69</v>
      </c>
    </row>
    <row r="4" spans="1:20" x14ac:dyDescent="0.3">
      <c r="A4" t="s">
        <v>34</v>
      </c>
      <c r="B4" t="s">
        <v>35</v>
      </c>
      <c r="C4" t="str">
        <f>CONCATENATE(A4, " ",B4)</f>
        <v>Caltagirone Ryan</v>
      </c>
      <c r="D4">
        <v>8977234</v>
      </c>
      <c r="E4" t="s">
        <v>21</v>
      </c>
      <c r="F4" s="1" t="s">
        <v>22</v>
      </c>
      <c r="G4" t="s">
        <v>23</v>
      </c>
      <c r="H4" t="s">
        <v>143</v>
      </c>
      <c r="I4" t="s">
        <v>144</v>
      </c>
      <c r="J4" s="2">
        <v>44927</v>
      </c>
      <c r="K4" t="s">
        <v>67</v>
      </c>
      <c r="L4" s="2">
        <v>45383</v>
      </c>
      <c r="M4">
        <v>2</v>
      </c>
      <c r="N4">
        <v>40</v>
      </c>
      <c r="O4">
        <v>0</v>
      </c>
      <c r="P4">
        <v>40</v>
      </c>
      <c r="Q4" t="s">
        <v>68</v>
      </c>
      <c r="R4" s="2">
        <v>45429</v>
      </c>
      <c r="S4" t="s">
        <v>28</v>
      </c>
      <c r="T4" t="s">
        <v>69</v>
      </c>
    </row>
    <row r="5" spans="1:20" x14ac:dyDescent="0.3">
      <c r="A5" t="s">
        <v>34</v>
      </c>
      <c r="B5" t="s">
        <v>35</v>
      </c>
      <c r="C5" t="str">
        <f>CONCATENATE(A5, " ",B5)</f>
        <v>Caltagirone Ryan</v>
      </c>
      <c r="D5">
        <v>8977234</v>
      </c>
      <c r="E5" t="s">
        <v>21</v>
      </c>
      <c r="F5" s="1" t="s">
        <v>22</v>
      </c>
      <c r="G5" t="s">
        <v>23</v>
      </c>
      <c r="H5" t="s">
        <v>153</v>
      </c>
      <c r="I5" t="s">
        <v>154</v>
      </c>
      <c r="J5" s="2">
        <v>45047</v>
      </c>
      <c r="K5" t="s">
        <v>67</v>
      </c>
      <c r="L5" s="2">
        <v>45383</v>
      </c>
      <c r="M5">
        <v>1</v>
      </c>
      <c r="N5">
        <v>20</v>
      </c>
      <c r="O5">
        <v>0</v>
      </c>
      <c r="P5">
        <v>20</v>
      </c>
      <c r="Q5" t="s">
        <v>68</v>
      </c>
      <c r="R5" s="2">
        <v>45429</v>
      </c>
      <c r="S5" t="s">
        <v>28</v>
      </c>
      <c r="T5" t="s">
        <v>69</v>
      </c>
    </row>
    <row r="6" spans="1:20" x14ac:dyDescent="0.3">
      <c r="A6" t="s">
        <v>34</v>
      </c>
      <c r="B6" t="s">
        <v>35</v>
      </c>
      <c r="C6" t="str">
        <f>CONCATENATE(A6, " ",B6)</f>
        <v>Caltagirone Ryan</v>
      </c>
      <c r="D6">
        <v>8977234</v>
      </c>
      <c r="E6" t="s">
        <v>21</v>
      </c>
      <c r="F6" s="1" t="s">
        <v>22</v>
      </c>
      <c r="G6" t="s">
        <v>23</v>
      </c>
      <c r="H6" t="s">
        <v>155</v>
      </c>
      <c r="I6" t="s">
        <v>156</v>
      </c>
      <c r="J6" s="2">
        <v>45261</v>
      </c>
      <c r="K6" t="s">
        <v>67</v>
      </c>
      <c r="L6" s="2">
        <v>45383</v>
      </c>
      <c r="M6">
        <v>1</v>
      </c>
      <c r="N6">
        <v>20</v>
      </c>
      <c r="O6">
        <v>0</v>
      </c>
      <c r="P6">
        <v>20</v>
      </c>
      <c r="Q6" t="s">
        <v>68</v>
      </c>
      <c r="R6" s="2">
        <v>45429</v>
      </c>
      <c r="S6" t="s">
        <v>28</v>
      </c>
      <c r="T6" t="s">
        <v>69</v>
      </c>
    </row>
    <row r="7" spans="1:20" x14ac:dyDescent="0.3">
      <c r="A7" t="s">
        <v>34</v>
      </c>
      <c r="B7" t="s">
        <v>35</v>
      </c>
      <c r="C7" t="str">
        <f>CONCATENATE(A7, " ",B7)</f>
        <v>Caltagirone Ryan</v>
      </c>
      <c r="D7">
        <v>8977234</v>
      </c>
      <c r="E7" t="s">
        <v>21</v>
      </c>
      <c r="F7" s="1" t="s">
        <v>22</v>
      </c>
      <c r="G7" t="s">
        <v>23</v>
      </c>
      <c r="H7" t="s">
        <v>166</v>
      </c>
      <c r="I7" t="s">
        <v>167</v>
      </c>
      <c r="J7" s="2">
        <v>44927</v>
      </c>
      <c r="K7" t="s">
        <v>67</v>
      </c>
      <c r="L7" s="2">
        <v>45383</v>
      </c>
      <c r="M7">
        <v>1</v>
      </c>
      <c r="N7">
        <v>20</v>
      </c>
      <c r="O7">
        <v>0</v>
      </c>
      <c r="P7">
        <v>20</v>
      </c>
      <c r="Q7" t="s">
        <v>68</v>
      </c>
      <c r="R7" s="2">
        <v>45429</v>
      </c>
      <c r="S7" t="s">
        <v>28</v>
      </c>
      <c r="T7" t="s">
        <v>69</v>
      </c>
    </row>
    <row r="8" spans="1:20" x14ac:dyDescent="0.3">
      <c r="A8" t="s">
        <v>34</v>
      </c>
      <c r="B8" t="s">
        <v>35</v>
      </c>
      <c r="C8" t="str">
        <f>CONCATENATE(A8, " ",B8)</f>
        <v>Caltagirone Ryan</v>
      </c>
      <c r="D8">
        <v>8977234</v>
      </c>
      <c r="E8" t="s">
        <v>21</v>
      </c>
      <c r="F8" s="1" t="s">
        <v>22</v>
      </c>
      <c r="G8" t="s">
        <v>23</v>
      </c>
      <c r="H8" t="s">
        <v>175</v>
      </c>
      <c r="I8" t="s">
        <v>176</v>
      </c>
      <c r="J8" s="2">
        <v>45383</v>
      </c>
      <c r="K8" t="s">
        <v>67</v>
      </c>
      <c r="L8" s="2">
        <v>45383</v>
      </c>
      <c r="M8">
        <v>4</v>
      </c>
      <c r="N8">
        <v>80</v>
      </c>
      <c r="O8">
        <v>0</v>
      </c>
      <c r="P8">
        <v>80</v>
      </c>
      <c r="Q8" t="s">
        <v>113</v>
      </c>
      <c r="R8" s="2">
        <v>45429</v>
      </c>
      <c r="S8" t="s">
        <v>28</v>
      </c>
      <c r="T8" t="s">
        <v>69</v>
      </c>
    </row>
    <row r="9" spans="1:20" x14ac:dyDescent="0.3">
      <c r="A9" t="s">
        <v>34</v>
      </c>
      <c r="B9" t="s">
        <v>35</v>
      </c>
      <c r="C9" t="str">
        <f>CONCATENATE(A9, " ",B9)</f>
        <v>Caltagirone Ryan</v>
      </c>
      <c r="D9">
        <v>8977234</v>
      </c>
      <c r="E9" t="s">
        <v>21</v>
      </c>
      <c r="F9" s="1" t="s">
        <v>22</v>
      </c>
      <c r="G9" t="s">
        <v>23</v>
      </c>
      <c r="H9" t="s">
        <v>232</v>
      </c>
      <c r="I9" t="s">
        <v>233</v>
      </c>
      <c r="J9" s="2">
        <v>45047</v>
      </c>
      <c r="K9" t="s">
        <v>67</v>
      </c>
      <c r="L9" s="2">
        <v>45383</v>
      </c>
      <c r="M9">
        <v>2</v>
      </c>
      <c r="N9">
        <v>40</v>
      </c>
      <c r="O9">
        <v>0</v>
      </c>
      <c r="P9">
        <v>40</v>
      </c>
      <c r="Q9" t="s">
        <v>68</v>
      </c>
      <c r="R9" s="2">
        <v>45429</v>
      </c>
      <c r="S9" t="s">
        <v>28</v>
      </c>
      <c r="T9" t="s">
        <v>69</v>
      </c>
    </row>
    <row r="10" spans="1:20" x14ac:dyDescent="0.3">
      <c r="A10" t="s">
        <v>34</v>
      </c>
      <c r="B10" t="s">
        <v>35</v>
      </c>
      <c r="C10" t="str">
        <f>CONCATENATE(A10, " ",B10)</f>
        <v>Caltagirone Ryan</v>
      </c>
      <c r="D10">
        <v>8977234</v>
      </c>
      <c r="E10" t="s">
        <v>21</v>
      </c>
      <c r="F10" s="1" t="s">
        <v>22</v>
      </c>
      <c r="G10" t="s">
        <v>23</v>
      </c>
      <c r="H10" t="s">
        <v>250</v>
      </c>
      <c r="I10" t="s">
        <v>251</v>
      </c>
      <c r="J10" s="2">
        <v>45352</v>
      </c>
      <c r="K10" t="s">
        <v>67</v>
      </c>
      <c r="L10" s="2">
        <v>45383</v>
      </c>
      <c r="M10">
        <v>2</v>
      </c>
      <c r="N10">
        <v>40</v>
      </c>
      <c r="O10">
        <v>0</v>
      </c>
      <c r="P10">
        <v>40</v>
      </c>
      <c r="Q10" t="s">
        <v>113</v>
      </c>
      <c r="R10" s="2">
        <v>45429</v>
      </c>
      <c r="S10" t="s">
        <v>28</v>
      </c>
      <c r="T10" t="s">
        <v>69</v>
      </c>
    </row>
    <row r="11" spans="1:20" x14ac:dyDescent="0.3">
      <c r="A11" t="s">
        <v>34</v>
      </c>
      <c r="B11" t="s">
        <v>35</v>
      </c>
      <c r="C11" t="str">
        <f>CONCATENATE(A11, " ",B11)</f>
        <v>Caltagirone Ryan</v>
      </c>
      <c r="D11">
        <v>8977234</v>
      </c>
      <c r="E11" t="s">
        <v>21</v>
      </c>
      <c r="F11" s="1" t="s">
        <v>22</v>
      </c>
      <c r="G11" t="s">
        <v>23</v>
      </c>
      <c r="H11" t="s">
        <v>36</v>
      </c>
      <c r="I11" t="s">
        <v>37</v>
      </c>
      <c r="J11" s="2">
        <v>44927</v>
      </c>
      <c r="K11" t="s">
        <v>38</v>
      </c>
      <c r="L11" s="2">
        <v>45383</v>
      </c>
      <c r="M11">
        <v>1</v>
      </c>
      <c r="N11">
        <v>25</v>
      </c>
      <c r="O11">
        <v>0</v>
      </c>
      <c r="P11">
        <v>25</v>
      </c>
      <c r="Q11" t="s">
        <v>39</v>
      </c>
      <c r="R11" s="2">
        <v>45429</v>
      </c>
      <c r="S11" t="s">
        <v>28</v>
      </c>
      <c r="T11" t="s">
        <v>29</v>
      </c>
    </row>
    <row r="12" spans="1:20" x14ac:dyDescent="0.3">
      <c r="A12" t="s">
        <v>34</v>
      </c>
      <c r="B12" t="s">
        <v>35</v>
      </c>
      <c r="C12" t="str">
        <f>CONCATENATE(A12, " ",B12)</f>
        <v>Caltagirone Ryan</v>
      </c>
      <c r="D12">
        <v>8977234</v>
      </c>
      <c r="E12" t="s">
        <v>21</v>
      </c>
      <c r="F12" s="1" t="s">
        <v>22</v>
      </c>
      <c r="G12" t="s">
        <v>23</v>
      </c>
      <c r="H12" t="s">
        <v>74</v>
      </c>
      <c r="I12" t="s">
        <v>75</v>
      </c>
      <c r="J12" s="2">
        <v>45047</v>
      </c>
      <c r="K12" t="s">
        <v>38</v>
      </c>
      <c r="L12" s="2">
        <v>45383</v>
      </c>
      <c r="M12">
        <v>1</v>
      </c>
      <c r="N12">
        <v>25</v>
      </c>
      <c r="O12">
        <v>0</v>
      </c>
      <c r="P12">
        <v>25</v>
      </c>
      <c r="Q12" t="s">
        <v>39</v>
      </c>
      <c r="R12" s="2">
        <v>45429</v>
      </c>
      <c r="S12" t="s">
        <v>28</v>
      </c>
      <c r="T12" t="s">
        <v>29</v>
      </c>
    </row>
    <row r="13" spans="1:20" x14ac:dyDescent="0.3">
      <c r="A13" t="s">
        <v>34</v>
      </c>
      <c r="B13" t="s">
        <v>35</v>
      </c>
      <c r="C13" t="str">
        <f>CONCATENATE(A13, " ",B13)</f>
        <v>Caltagirone Ryan</v>
      </c>
      <c r="D13">
        <v>8977234</v>
      </c>
      <c r="E13" t="s">
        <v>21</v>
      </c>
      <c r="F13" s="1" t="s">
        <v>22</v>
      </c>
      <c r="G13" t="s">
        <v>23</v>
      </c>
      <c r="H13" t="s">
        <v>80</v>
      </c>
      <c r="I13" t="s">
        <v>81</v>
      </c>
      <c r="J13" s="2">
        <v>45200</v>
      </c>
      <c r="K13" t="s">
        <v>38</v>
      </c>
      <c r="L13" s="2">
        <v>45383</v>
      </c>
      <c r="M13">
        <v>1</v>
      </c>
      <c r="N13">
        <v>25</v>
      </c>
      <c r="O13">
        <v>0</v>
      </c>
      <c r="P13">
        <v>25</v>
      </c>
      <c r="Q13" t="s">
        <v>39</v>
      </c>
      <c r="R13" s="2">
        <v>45429</v>
      </c>
      <c r="S13" t="s">
        <v>28</v>
      </c>
      <c r="T13" t="s">
        <v>29</v>
      </c>
    </row>
    <row r="14" spans="1:20" x14ac:dyDescent="0.3">
      <c r="A14" t="s">
        <v>34</v>
      </c>
      <c r="B14" t="s">
        <v>35</v>
      </c>
      <c r="C14" t="str">
        <f>CONCATENATE(A14, " ",B14)</f>
        <v>Caltagirone Ryan</v>
      </c>
      <c r="D14">
        <v>8977234</v>
      </c>
      <c r="E14" t="s">
        <v>21</v>
      </c>
      <c r="F14" s="1" t="s">
        <v>22</v>
      </c>
      <c r="G14" t="s">
        <v>23</v>
      </c>
      <c r="H14" t="s">
        <v>102</v>
      </c>
      <c r="I14" t="s">
        <v>103</v>
      </c>
      <c r="J14" s="2">
        <v>45292</v>
      </c>
      <c r="K14" t="s">
        <v>38</v>
      </c>
      <c r="L14" s="2">
        <v>45383</v>
      </c>
      <c r="M14">
        <v>1</v>
      </c>
      <c r="N14">
        <v>25</v>
      </c>
      <c r="O14">
        <v>0</v>
      </c>
      <c r="P14">
        <v>25</v>
      </c>
      <c r="Q14" t="s">
        <v>104</v>
      </c>
      <c r="R14" s="2">
        <v>45429</v>
      </c>
      <c r="S14" t="s">
        <v>28</v>
      </c>
      <c r="T14" t="s">
        <v>29</v>
      </c>
    </row>
    <row r="15" spans="1:20" x14ac:dyDescent="0.3">
      <c r="A15" t="s">
        <v>34</v>
      </c>
      <c r="B15" t="s">
        <v>35</v>
      </c>
      <c r="C15" t="str">
        <f>CONCATENATE(A15, " ",B15)</f>
        <v>Caltagirone Ryan</v>
      </c>
      <c r="D15">
        <v>8977234</v>
      </c>
      <c r="E15" t="s">
        <v>21</v>
      </c>
      <c r="F15" s="1" t="s">
        <v>22</v>
      </c>
      <c r="G15" t="s">
        <v>23</v>
      </c>
      <c r="H15" t="s">
        <v>109</v>
      </c>
      <c r="I15" t="s">
        <v>110</v>
      </c>
      <c r="J15" s="2">
        <v>45292</v>
      </c>
      <c r="K15" t="s">
        <v>38</v>
      </c>
      <c r="L15" s="2">
        <v>45383</v>
      </c>
      <c r="M15">
        <v>4</v>
      </c>
      <c r="N15">
        <v>100</v>
      </c>
      <c r="O15">
        <v>0</v>
      </c>
      <c r="P15">
        <v>100</v>
      </c>
      <c r="Q15" t="s">
        <v>104</v>
      </c>
      <c r="R15" s="2">
        <v>45429</v>
      </c>
      <c r="S15" t="s">
        <v>28</v>
      </c>
      <c r="T15" t="s">
        <v>29</v>
      </c>
    </row>
    <row r="16" spans="1:20" x14ac:dyDescent="0.3">
      <c r="A16" t="s">
        <v>34</v>
      </c>
      <c r="B16" t="s">
        <v>35</v>
      </c>
      <c r="C16" t="str">
        <f>CONCATENATE(A16, " ",B16)</f>
        <v>Caltagirone Ryan</v>
      </c>
      <c r="D16">
        <v>8977234</v>
      </c>
      <c r="E16" t="s">
        <v>21</v>
      </c>
      <c r="F16" s="1" t="s">
        <v>22</v>
      </c>
      <c r="G16" t="s">
        <v>23</v>
      </c>
      <c r="H16" t="s">
        <v>120</v>
      </c>
      <c r="I16" t="s">
        <v>121</v>
      </c>
      <c r="J16" s="2">
        <v>45292</v>
      </c>
      <c r="K16" t="s">
        <v>38</v>
      </c>
      <c r="L16" s="2">
        <v>45383</v>
      </c>
      <c r="M16">
        <v>1</v>
      </c>
      <c r="N16">
        <v>25</v>
      </c>
      <c r="O16">
        <v>0</v>
      </c>
      <c r="P16">
        <v>25</v>
      </c>
      <c r="Q16" t="s">
        <v>104</v>
      </c>
      <c r="R16" s="2">
        <v>45429</v>
      </c>
      <c r="S16" t="s">
        <v>28</v>
      </c>
      <c r="T16" t="s">
        <v>29</v>
      </c>
    </row>
    <row r="17" spans="1:20" x14ac:dyDescent="0.3">
      <c r="A17" t="s">
        <v>34</v>
      </c>
      <c r="B17" t="s">
        <v>35</v>
      </c>
      <c r="C17" t="str">
        <f>CONCATENATE(A17, " ",B17)</f>
        <v>Caltagirone Ryan</v>
      </c>
      <c r="D17">
        <v>8977234</v>
      </c>
      <c r="E17" t="s">
        <v>21</v>
      </c>
      <c r="F17" s="1" t="s">
        <v>22</v>
      </c>
      <c r="G17" t="s">
        <v>23</v>
      </c>
      <c r="H17" t="s">
        <v>126</v>
      </c>
      <c r="I17" t="s">
        <v>127</v>
      </c>
      <c r="J17" s="2">
        <v>45170</v>
      </c>
      <c r="K17" t="s">
        <v>38</v>
      </c>
      <c r="L17" s="2">
        <v>45383</v>
      </c>
      <c r="M17">
        <v>1</v>
      </c>
      <c r="N17">
        <v>25</v>
      </c>
      <c r="O17">
        <v>0</v>
      </c>
      <c r="P17">
        <v>25</v>
      </c>
      <c r="Q17" t="s">
        <v>39</v>
      </c>
      <c r="R17" s="2">
        <v>45429</v>
      </c>
      <c r="S17" t="s">
        <v>28</v>
      </c>
      <c r="T17" t="s">
        <v>29</v>
      </c>
    </row>
    <row r="18" spans="1:20" x14ac:dyDescent="0.3">
      <c r="A18" t="s">
        <v>34</v>
      </c>
      <c r="B18" t="s">
        <v>35</v>
      </c>
      <c r="C18" t="str">
        <f>CONCATENATE(A18, " ",B18)</f>
        <v>Caltagirone Ryan</v>
      </c>
      <c r="D18">
        <v>8977234</v>
      </c>
      <c r="E18" t="s">
        <v>21</v>
      </c>
      <c r="F18" s="1" t="s">
        <v>22</v>
      </c>
      <c r="G18" t="s">
        <v>23</v>
      </c>
      <c r="H18" t="s">
        <v>185</v>
      </c>
      <c r="I18" t="s">
        <v>186</v>
      </c>
      <c r="J18" s="2">
        <v>45292</v>
      </c>
      <c r="K18" t="s">
        <v>38</v>
      </c>
      <c r="L18" s="2">
        <v>45383</v>
      </c>
      <c r="M18">
        <v>2</v>
      </c>
      <c r="N18">
        <v>50</v>
      </c>
      <c r="O18">
        <v>0</v>
      </c>
      <c r="P18">
        <v>50</v>
      </c>
      <c r="Q18" t="s">
        <v>104</v>
      </c>
      <c r="R18" s="2">
        <v>45429</v>
      </c>
      <c r="S18" t="s">
        <v>28</v>
      </c>
      <c r="T18" t="s">
        <v>29</v>
      </c>
    </row>
    <row r="19" spans="1:20" x14ac:dyDescent="0.3">
      <c r="A19" t="s">
        <v>34</v>
      </c>
      <c r="B19" t="s">
        <v>35</v>
      </c>
      <c r="C19" t="str">
        <f>CONCATENATE(A19, " ",B19)</f>
        <v>Caltagirone Ryan</v>
      </c>
      <c r="D19">
        <v>8977234</v>
      </c>
      <c r="E19" t="s">
        <v>21</v>
      </c>
      <c r="F19" s="1" t="s">
        <v>22</v>
      </c>
      <c r="G19" t="s">
        <v>23</v>
      </c>
      <c r="H19" t="s">
        <v>207</v>
      </c>
      <c r="I19" t="s">
        <v>208</v>
      </c>
      <c r="J19" s="2">
        <v>44927</v>
      </c>
      <c r="K19" t="s">
        <v>38</v>
      </c>
      <c r="L19" s="2">
        <v>45383</v>
      </c>
      <c r="M19">
        <v>1</v>
      </c>
      <c r="N19">
        <v>25</v>
      </c>
      <c r="O19">
        <v>0</v>
      </c>
      <c r="P19">
        <v>25</v>
      </c>
      <c r="Q19" t="s">
        <v>39</v>
      </c>
      <c r="R19" s="2">
        <v>45429</v>
      </c>
      <c r="S19" t="s">
        <v>28</v>
      </c>
      <c r="T19" t="s">
        <v>29</v>
      </c>
    </row>
    <row r="20" spans="1:20" x14ac:dyDescent="0.3">
      <c r="A20" t="s">
        <v>34</v>
      </c>
      <c r="B20" t="s">
        <v>35</v>
      </c>
      <c r="C20" t="str">
        <f>CONCATENATE(A20, " ",B20)</f>
        <v>Caltagirone Ryan</v>
      </c>
      <c r="D20">
        <v>8977234</v>
      </c>
      <c r="E20" t="s">
        <v>21</v>
      </c>
      <c r="F20" s="1" t="s">
        <v>22</v>
      </c>
      <c r="G20" t="s">
        <v>23</v>
      </c>
      <c r="H20" t="s">
        <v>209</v>
      </c>
      <c r="I20" t="s">
        <v>210</v>
      </c>
      <c r="J20" s="2">
        <v>45323</v>
      </c>
      <c r="K20" t="s">
        <v>38</v>
      </c>
      <c r="L20" s="2">
        <v>45383</v>
      </c>
      <c r="M20">
        <v>1</v>
      </c>
      <c r="N20">
        <v>25</v>
      </c>
      <c r="O20">
        <v>0</v>
      </c>
      <c r="P20">
        <v>25</v>
      </c>
      <c r="Q20" t="s">
        <v>104</v>
      </c>
      <c r="R20" s="2">
        <v>45429</v>
      </c>
      <c r="S20" t="s">
        <v>28</v>
      </c>
      <c r="T20" t="s">
        <v>29</v>
      </c>
    </row>
    <row r="21" spans="1:20" x14ac:dyDescent="0.3">
      <c r="A21" t="s">
        <v>34</v>
      </c>
      <c r="B21" t="s">
        <v>35</v>
      </c>
      <c r="C21" t="str">
        <f>CONCATENATE(A21, " ",B21)</f>
        <v>Caltagirone Ryan</v>
      </c>
      <c r="D21">
        <v>8977234</v>
      </c>
      <c r="E21" t="s">
        <v>21</v>
      </c>
      <c r="F21" s="1" t="s">
        <v>22</v>
      </c>
      <c r="G21" t="s">
        <v>23</v>
      </c>
      <c r="H21" t="s">
        <v>217</v>
      </c>
      <c r="I21" t="s">
        <v>218</v>
      </c>
      <c r="J21" s="2">
        <v>45292</v>
      </c>
      <c r="K21" t="s">
        <v>38</v>
      </c>
      <c r="L21" s="2">
        <v>45383</v>
      </c>
      <c r="M21">
        <v>1</v>
      </c>
      <c r="N21">
        <v>25</v>
      </c>
      <c r="O21">
        <v>0</v>
      </c>
      <c r="P21">
        <v>25</v>
      </c>
      <c r="Q21" t="s">
        <v>104</v>
      </c>
      <c r="R21" s="2">
        <v>45429</v>
      </c>
      <c r="S21" t="s">
        <v>28</v>
      </c>
      <c r="T21" t="s">
        <v>29</v>
      </c>
    </row>
    <row r="22" spans="1:20" x14ac:dyDescent="0.3">
      <c r="A22" t="s">
        <v>34</v>
      </c>
      <c r="B22" t="s">
        <v>35</v>
      </c>
      <c r="C22" t="str">
        <f>CONCATENATE(A22, " ",B22)</f>
        <v>Caltagirone Ryan</v>
      </c>
      <c r="D22">
        <v>8977234</v>
      </c>
      <c r="E22" t="s">
        <v>21</v>
      </c>
      <c r="F22" s="1" t="s">
        <v>22</v>
      </c>
      <c r="G22" t="s">
        <v>23</v>
      </c>
      <c r="H22" t="s">
        <v>240</v>
      </c>
      <c r="I22" t="s">
        <v>241</v>
      </c>
      <c r="J22" s="2">
        <v>45292</v>
      </c>
      <c r="K22" t="s">
        <v>38</v>
      </c>
      <c r="L22" s="2">
        <v>45383</v>
      </c>
      <c r="M22">
        <v>1</v>
      </c>
      <c r="N22">
        <v>25</v>
      </c>
      <c r="O22">
        <v>0</v>
      </c>
      <c r="P22">
        <v>25</v>
      </c>
      <c r="Q22" t="s">
        <v>104</v>
      </c>
      <c r="R22" s="2">
        <v>45429</v>
      </c>
      <c r="S22" t="s">
        <v>28</v>
      </c>
      <c r="T22" t="s">
        <v>29</v>
      </c>
    </row>
    <row r="23" spans="1:20" x14ac:dyDescent="0.3">
      <c r="A23" t="s">
        <v>34</v>
      </c>
      <c r="B23" t="s">
        <v>35</v>
      </c>
      <c r="C23" t="str">
        <f>CONCATENATE(A23, " ",B23)</f>
        <v>Caltagirone Ryan</v>
      </c>
      <c r="D23">
        <v>8977234</v>
      </c>
      <c r="E23" t="s">
        <v>21</v>
      </c>
      <c r="F23" s="1" t="s">
        <v>22</v>
      </c>
      <c r="G23" t="s">
        <v>23</v>
      </c>
      <c r="H23" t="s">
        <v>258</v>
      </c>
      <c r="I23" t="s">
        <v>259</v>
      </c>
      <c r="J23" s="2">
        <v>45292</v>
      </c>
      <c r="K23" t="s">
        <v>38</v>
      </c>
      <c r="L23" s="2">
        <v>45352</v>
      </c>
      <c r="M23">
        <v>1</v>
      </c>
      <c r="N23">
        <v>25</v>
      </c>
      <c r="O23">
        <v>0</v>
      </c>
      <c r="P23">
        <v>25</v>
      </c>
      <c r="Q23" t="s">
        <v>104</v>
      </c>
      <c r="R23" s="2">
        <v>45429</v>
      </c>
      <c r="S23" t="s">
        <v>28</v>
      </c>
      <c r="T23" t="s">
        <v>29</v>
      </c>
    </row>
    <row r="24" spans="1:20" x14ac:dyDescent="0.3">
      <c r="A24" t="s">
        <v>34</v>
      </c>
      <c r="B24" t="s">
        <v>35</v>
      </c>
      <c r="C24" t="str">
        <f>CONCATENATE(A24, " ",B24)</f>
        <v>Caltagirone Ryan</v>
      </c>
      <c r="D24">
        <v>8977234</v>
      </c>
      <c r="E24" t="s">
        <v>21</v>
      </c>
      <c r="F24" s="1" t="s">
        <v>22</v>
      </c>
      <c r="G24" t="s">
        <v>23</v>
      </c>
      <c r="H24" t="s">
        <v>258</v>
      </c>
      <c r="I24" t="s">
        <v>259</v>
      </c>
      <c r="J24" s="2">
        <v>45292</v>
      </c>
      <c r="K24" t="s">
        <v>38</v>
      </c>
      <c r="L24" s="2">
        <v>45383</v>
      </c>
      <c r="M24">
        <v>1</v>
      </c>
      <c r="N24">
        <v>25</v>
      </c>
      <c r="O24">
        <v>0</v>
      </c>
      <c r="P24">
        <v>25</v>
      </c>
      <c r="Q24" t="s">
        <v>104</v>
      </c>
      <c r="R24" s="2">
        <v>45429</v>
      </c>
      <c r="S24" t="s">
        <v>28</v>
      </c>
      <c r="T24" t="s">
        <v>29</v>
      </c>
    </row>
    <row r="25" spans="1:20" x14ac:dyDescent="0.3">
      <c r="A25" t="s">
        <v>105</v>
      </c>
      <c r="B25" t="s">
        <v>106</v>
      </c>
      <c r="C25" t="str">
        <f>CONCATENATE(A25, " ",B25)</f>
        <v>FOLEY CAROL</v>
      </c>
      <c r="D25">
        <v>17425766</v>
      </c>
      <c r="E25" t="s">
        <v>21</v>
      </c>
      <c r="F25" s="1" t="s">
        <v>22</v>
      </c>
      <c r="G25" t="s">
        <v>23</v>
      </c>
      <c r="H25" t="s">
        <v>147</v>
      </c>
      <c r="I25" t="s">
        <v>148</v>
      </c>
      <c r="J25" s="2">
        <v>44927</v>
      </c>
      <c r="K25" t="s">
        <v>38</v>
      </c>
      <c r="L25" s="2">
        <v>45383</v>
      </c>
      <c r="M25">
        <v>1</v>
      </c>
      <c r="N25">
        <v>25</v>
      </c>
      <c r="O25">
        <v>0</v>
      </c>
      <c r="P25">
        <v>25</v>
      </c>
      <c r="Q25" t="s">
        <v>39</v>
      </c>
      <c r="R25" s="2">
        <v>45429</v>
      </c>
      <c r="S25" t="s">
        <v>28</v>
      </c>
      <c r="T25" t="s">
        <v>29</v>
      </c>
    </row>
    <row r="26" spans="1:20" x14ac:dyDescent="0.3">
      <c r="A26" t="s">
        <v>19</v>
      </c>
      <c r="B26" t="s">
        <v>20</v>
      </c>
      <c r="C26" t="str">
        <f>CONCATENATE(A26, " ",B26)</f>
        <v>Richter Adam</v>
      </c>
      <c r="D26">
        <v>9079571</v>
      </c>
      <c r="E26" t="s">
        <v>21</v>
      </c>
      <c r="F26" s="1" t="s">
        <v>22</v>
      </c>
      <c r="G26" t="s">
        <v>23</v>
      </c>
      <c r="H26" t="s">
        <v>187</v>
      </c>
      <c r="I26" t="s">
        <v>188</v>
      </c>
      <c r="J26" s="2">
        <v>44927</v>
      </c>
      <c r="K26" t="s">
        <v>38</v>
      </c>
      <c r="L26" s="2">
        <v>45383</v>
      </c>
      <c r="M26">
        <v>1</v>
      </c>
      <c r="N26">
        <v>25</v>
      </c>
      <c r="O26">
        <v>0</v>
      </c>
      <c r="P26">
        <v>25</v>
      </c>
      <c r="Q26" t="s">
        <v>39</v>
      </c>
      <c r="R26" s="2">
        <v>45429</v>
      </c>
      <c r="S26" t="s">
        <v>28</v>
      </c>
      <c r="T26" t="s">
        <v>29</v>
      </c>
    </row>
    <row r="27" spans="1:20" x14ac:dyDescent="0.3">
      <c r="A27" t="s">
        <v>19</v>
      </c>
      <c r="B27" t="s">
        <v>20</v>
      </c>
      <c r="C27" t="str">
        <f>CONCATENATE(A27, " ",B27)</f>
        <v>Richter Adam</v>
      </c>
      <c r="D27">
        <v>9079571</v>
      </c>
      <c r="E27" t="s">
        <v>21</v>
      </c>
      <c r="F27" s="1" t="s">
        <v>22</v>
      </c>
      <c r="G27" t="s">
        <v>23</v>
      </c>
      <c r="H27" t="s">
        <v>236</v>
      </c>
      <c r="I27" t="s">
        <v>237</v>
      </c>
      <c r="J27" s="2">
        <v>44927</v>
      </c>
      <c r="K27" t="s">
        <v>38</v>
      </c>
      <c r="L27" s="2">
        <v>45383</v>
      </c>
      <c r="M27">
        <v>1</v>
      </c>
      <c r="N27">
        <v>25</v>
      </c>
      <c r="O27">
        <v>0</v>
      </c>
      <c r="P27">
        <v>25</v>
      </c>
      <c r="Q27" t="s">
        <v>39</v>
      </c>
      <c r="R27" s="2">
        <v>45429</v>
      </c>
      <c r="S27" t="s">
        <v>28</v>
      </c>
      <c r="T27" t="s">
        <v>29</v>
      </c>
    </row>
    <row r="28" spans="1:20" x14ac:dyDescent="0.3">
      <c r="A28" t="s">
        <v>44</v>
      </c>
      <c r="B28" t="s">
        <v>45</v>
      </c>
      <c r="C28" t="str">
        <f>CONCATENATE(A28, " ",B28)</f>
        <v>Teipel Gregory</v>
      </c>
      <c r="D28">
        <v>8307933</v>
      </c>
      <c r="E28" t="s">
        <v>21</v>
      </c>
      <c r="F28" s="1" t="s">
        <v>22</v>
      </c>
      <c r="G28" t="s">
        <v>23</v>
      </c>
      <c r="H28" t="s">
        <v>128</v>
      </c>
      <c r="I28" t="s">
        <v>129</v>
      </c>
      <c r="J28" s="2">
        <v>44927</v>
      </c>
      <c r="K28" t="s">
        <v>38</v>
      </c>
      <c r="L28" s="2">
        <v>45383</v>
      </c>
      <c r="M28">
        <v>1</v>
      </c>
      <c r="N28">
        <v>25</v>
      </c>
      <c r="O28">
        <v>0</v>
      </c>
      <c r="P28">
        <v>25</v>
      </c>
      <c r="Q28" t="s">
        <v>39</v>
      </c>
      <c r="R28" s="2">
        <v>45429</v>
      </c>
      <c r="S28" t="s">
        <v>28</v>
      </c>
      <c r="T28" t="s">
        <v>29</v>
      </c>
    </row>
    <row r="29" spans="1:20" x14ac:dyDescent="0.3">
      <c r="A29" t="s">
        <v>44</v>
      </c>
      <c r="B29" t="s">
        <v>45</v>
      </c>
      <c r="C29" t="str">
        <f>CONCATENATE(A29, " ",B29)</f>
        <v>Teipel Gregory</v>
      </c>
      <c r="D29">
        <v>8307933</v>
      </c>
      <c r="E29" t="s">
        <v>21</v>
      </c>
      <c r="F29" s="1" t="s">
        <v>22</v>
      </c>
      <c r="G29" t="s">
        <v>23</v>
      </c>
      <c r="H29" t="s">
        <v>164</v>
      </c>
      <c r="I29" t="s">
        <v>165</v>
      </c>
      <c r="J29" s="2">
        <v>45231</v>
      </c>
      <c r="K29" t="s">
        <v>38</v>
      </c>
      <c r="L29" s="2">
        <v>45383</v>
      </c>
      <c r="M29">
        <v>2</v>
      </c>
      <c r="N29">
        <v>50</v>
      </c>
      <c r="O29">
        <v>0</v>
      </c>
      <c r="P29">
        <v>50</v>
      </c>
      <c r="Q29" t="s">
        <v>39</v>
      </c>
      <c r="R29" s="2">
        <v>45429</v>
      </c>
      <c r="S29" t="s">
        <v>28</v>
      </c>
      <c r="T29" t="s">
        <v>29</v>
      </c>
    </row>
    <row r="30" spans="1:20" x14ac:dyDescent="0.3">
      <c r="A30" t="s">
        <v>44</v>
      </c>
      <c r="B30" t="s">
        <v>45</v>
      </c>
      <c r="C30" t="str">
        <f>CONCATENATE(A30, " ",B30)</f>
        <v>Teipel Gregory</v>
      </c>
      <c r="D30">
        <v>8307933</v>
      </c>
      <c r="E30" t="s">
        <v>21</v>
      </c>
      <c r="F30" s="1" t="s">
        <v>22</v>
      </c>
      <c r="G30" t="s">
        <v>23</v>
      </c>
      <c r="H30" t="s">
        <v>213</v>
      </c>
      <c r="I30" t="s">
        <v>214</v>
      </c>
      <c r="J30" s="2">
        <v>44927</v>
      </c>
      <c r="K30" t="s">
        <v>38</v>
      </c>
      <c r="L30" s="2">
        <v>45383</v>
      </c>
      <c r="M30">
        <v>1</v>
      </c>
      <c r="N30">
        <v>25</v>
      </c>
      <c r="O30">
        <v>0</v>
      </c>
      <c r="P30">
        <v>25</v>
      </c>
      <c r="Q30" t="s">
        <v>39</v>
      </c>
      <c r="R30" s="2">
        <v>45429</v>
      </c>
      <c r="S30" t="s">
        <v>28</v>
      </c>
      <c r="T30" t="s">
        <v>29</v>
      </c>
    </row>
    <row r="31" spans="1:20" x14ac:dyDescent="0.3">
      <c r="A31" t="s">
        <v>44</v>
      </c>
      <c r="B31" t="s">
        <v>45</v>
      </c>
      <c r="C31" t="str">
        <f>CONCATENATE(A31, " ",B31)</f>
        <v>Teipel Gregory</v>
      </c>
      <c r="D31">
        <v>8307933</v>
      </c>
      <c r="E31" t="s">
        <v>21</v>
      </c>
      <c r="F31" s="1" t="s">
        <v>22</v>
      </c>
      <c r="G31" t="s">
        <v>23</v>
      </c>
      <c r="H31" t="s">
        <v>230</v>
      </c>
      <c r="I31" t="s">
        <v>231</v>
      </c>
      <c r="J31" s="2">
        <v>45292</v>
      </c>
      <c r="K31" t="s">
        <v>38</v>
      </c>
      <c r="L31" s="2">
        <v>45383</v>
      </c>
      <c r="M31">
        <v>1</v>
      </c>
      <c r="N31">
        <v>25</v>
      </c>
      <c r="O31">
        <v>0</v>
      </c>
      <c r="P31">
        <v>25</v>
      </c>
      <c r="Q31" t="s">
        <v>104</v>
      </c>
      <c r="R31" s="2">
        <v>45429</v>
      </c>
      <c r="S31" t="s">
        <v>28</v>
      </c>
      <c r="T31" t="s">
        <v>29</v>
      </c>
    </row>
    <row r="32" spans="1:20" x14ac:dyDescent="0.3">
      <c r="A32" t="s">
        <v>34</v>
      </c>
      <c r="B32" t="s">
        <v>35</v>
      </c>
      <c r="C32" t="str">
        <f>CONCATENATE(A32, " ",B32)</f>
        <v>Caltagirone Ryan</v>
      </c>
      <c r="D32">
        <v>8977234</v>
      </c>
      <c r="E32" t="s">
        <v>21</v>
      </c>
      <c r="F32" s="1" t="s">
        <v>22</v>
      </c>
      <c r="G32" t="s">
        <v>23</v>
      </c>
      <c r="H32" t="s">
        <v>96</v>
      </c>
      <c r="I32" t="s">
        <v>97</v>
      </c>
      <c r="J32" s="2">
        <v>45292</v>
      </c>
      <c r="K32" t="s">
        <v>48</v>
      </c>
      <c r="L32" s="2">
        <v>45383</v>
      </c>
      <c r="M32">
        <v>1</v>
      </c>
      <c r="N32">
        <v>20</v>
      </c>
      <c r="O32">
        <v>0</v>
      </c>
      <c r="P32">
        <v>20</v>
      </c>
      <c r="Q32" t="s">
        <v>52</v>
      </c>
      <c r="R32" s="2">
        <v>45429</v>
      </c>
      <c r="S32" t="s">
        <v>28</v>
      </c>
      <c r="T32" t="s">
        <v>29</v>
      </c>
    </row>
    <row r="33" spans="1:20" x14ac:dyDescent="0.3">
      <c r="A33" t="s">
        <v>34</v>
      </c>
      <c r="B33" t="s">
        <v>35</v>
      </c>
      <c r="C33" t="str">
        <f>CONCATENATE(A33, " ",B33)</f>
        <v>Caltagirone Ryan</v>
      </c>
      <c r="D33">
        <v>8977234</v>
      </c>
      <c r="E33" t="s">
        <v>21</v>
      </c>
      <c r="F33" s="1" t="s">
        <v>22</v>
      </c>
      <c r="G33" t="s">
        <v>23</v>
      </c>
      <c r="H33" t="s">
        <v>114</v>
      </c>
      <c r="I33" t="s">
        <v>115</v>
      </c>
      <c r="J33" s="2">
        <v>45292</v>
      </c>
      <c r="K33" t="s">
        <v>48</v>
      </c>
      <c r="L33" s="2">
        <v>45383</v>
      </c>
      <c r="M33">
        <v>1</v>
      </c>
      <c r="N33">
        <v>20</v>
      </c>
      <c r="O33">
        <v>0</v>
      </c>
      <c r="P33">
        <v>20</v>
      </c>
      <c r="Q33" t="s">
        <v>52</v>
      </c>
      <c r="R33" s="2">
        <v>45429</v>
      </c>
      <c r="S33" t="s">
        <v>28</v>
      </c>
      <c r="T33" t="s">
        <v>29</v>
      </c>
    </row>
    <row r="34" spans="1:20" x14ac:dyDescent="0.3">
      <c r="A34" t="s">
        <v>116</v>
      </c>
      <c r="B34" t="s">
        <v>117</v>
      </c>
      <c r="C34" t="str">
        <f>CONCATENATE(A34, " ",B34)</f>
        <v>Finnigan Colleen</v>
      </c>
      <c r="D34">
        <v>17437820</v>
      </c>
      <c r="E34" t="s">
        <v>21</v>
      </c>
      <c r="F34" s="1" t="s">
        <v>22</v>
      </c>
      <c r="G34" t="s">
        <v>23</v>
      </c>
      <c r="H34" t="s">
        <v>193</v>
      </c>
      <c r="I34" t="s">
        <v>194</v>
      </c>
      <c r="J34" s="2">
        <v>45292</v>
      </c>
      <c r="K34" t="s">
        <v>48</v>
      </c>
      <c r="L34" s="2">
        <v>45383</v>
      </c>
      <c r="M34">
        <v>4</v>
      </c>
      <c r="N34">
        <v>80</v>
      </c>
      <c r="O34">
        <v>0</v>
      </c>
      <c r="P34">
        <v>80</v>
      </c>
      <c r="Q34" t="s">
        <v>52</v>
      </c>
      <c r="R34" s="2">
        <v>45429</v>
      </c>
      <c r="S34" t="s">
        <v>28</v>
      </c>
      <c r="T34" t="s">
        <v>29</v>
      </c>
    </row>
    <row r="35" spans="1:20" x14ac:dyDescent="0.3">
      <c r="A35" t="s">
        <v>44</v>
      </c>
      <c r="B35" t="s">
        <v>45</v>
      </c>
      <c r="C35" t="str">
        <f>CONCATENATE(A35, " ",B35)</f>
        <v>Teipel Gregory</v>
      </c>
      <c r="D35">
        <v>8307933</v>
      </c>
      <c r="E35" t="s">
        <v>21</v>
      </c>
      <c r="F35" s="1" t="s">
        <v>22</v>
      </c>
      <c r="G35" t="s">
        <v>23</v>
      </c>
      <c r="H35" t="s">
        <v>46</v>
      </c>
      <c r="I35" t="s">
        <v>47</v>
      </c>
      <c r="J35" s="2">
        <v>44927</v>
      </c>
      <c r="K35" t="s">
        <v>48</v>
      </c>
      <c r="L35" s="2">
        <v>45383</v>
      </c>
      <c r="M35">
        <v>1</v>
      </c>
      <c r="N35">
        <v>20</v>
      </c>
      <c r="O35">
        <v>0</v>
      </c>
      <c r="P35">
        <v>20</v>
      </c>
      <c r="Q35" t="s">
        <v>49</v>
      </c>
      <c r="R35" s="2">
        <v>45429</v>
      </c>
      <c r="S35" t="s">
        <v>28</v>
      </c>
      <c r="T35" t="s">
        <v>29</v>
      </c>
    </row>
    <row r="36" spans="1:20" x14ac:dyDescent="0.3">
      <c r="A36" t="s">
        <v>44</v>
      </c>
      <c r="B36" t="s">
        <v>45</v>
      </c>
      <c r="C36" t="str">
        <f>CONCATENATE(A36, " ",B36)</f>
        <v>Teipel Gregory</v>
      </c>
      <c r="D36">
        <v>8307933</v>
      </c>
      <c r="E36" t="s">
        <v>21</v>
      </c>
      <c r="F36" s="1" t="s">
        <v>22</v>
      </c>
      <c r="G36" t="s">
        <v>23</v>
      </c>
      <c r="H36" t="s">
        <v>50</v>
      </c>
      <c r="I36" t="s">
        <v>51</v>
      </c>
      <c r="J36" s="2">
        <v>45292</v>
      </c>
      <c r="K36" t="s">
        <v>48</v>
      </c>
      <c r="L36" s="2">
        <v>45383</v>
      </c>
      <c r="M36">
        <v>1</v>
      </c>
      <c r="N36">
        <v>20</v>
      </c>
      <c r="O36">
        <v>0</v>
      </c>
      <c r="P36">
        <v>20</v>
      </c>
      <c r="Q36" t="s">
        <v>52</v>
      </c>
      <c r="R36" s="2">
        <v>45429</v>
      </c>
      <c r="S36" t="s">
        <v>28</v>
      </c>
      <c r="T36" t="s">
        <v>29</v>
      </c>
    </row>
    <row r="37" spans="1:20" x14ac:dyDescent="0.3">
      <c r="A37" t="s">
        <v>44</v>
      </c>
      <c r="B37" t="s">
        <v>45</v>
      </c>
      <c r="C37" t="str">
        <f>CONCATENATE(A37, " ",B37)</f>
        <v>Teipel Gregory</v>
      </c>
      <c r="D37">
        <v>8307933</v>
      </c>
      <c r="E37" t="s">
        <v>21</v>
      </c>
      <c r="F37" s="1" t="s">
        <v>22</v>
      </c>
      <c r="G37" t="s">
        <v>23</v>
      </c>
      <c r="H37" t="s">
        <v>61</v>
      </c>
      <c r="I37" t="s">
        <v>62</v>
      </c>
      <c r="J37" s="2">
        <v>45292</v>
      </c>
      <c r="K37" t="s">
        <v>48</v>
      </c>
      <c r="L37" s="2">
        <v>45383</v>
      </c>
      <c r="M37">
        <v>2</v>
      </c>
      <c r="N37">
        <v>40</v>
      </c>
      <c r="O37">
        <v>0</v>
      </c>
      <c r="P37">
        <v>40</v>
      </c>
      <c r="Q37" t="s">
        <v>52</v>
      </c>
      <c r="R37" s="2">
        <v>45429</v>
      </c>
      <c r="S37" t="s">
        <v>28</v>
      </c>
      <c r="T37" t="s">
        <v>29</v>
      </c>
    </row>
    <row r="38" spans="1:20" x14ac:dyDescent="0.3">
      <c r="A38" t="s">
        <v>44</v>
      </c>
      <c r="B38" t="s">
        <v>45</v>
      </c>
      <c r="C38" t="str">
        <f>CONCATENATE(A38, " ",B38)</f>
        <v>Teipel Gregory</v>
      </c>
      <c r="D38">
        <v>8307933</v>
      </c>
      <c r="E38" t="s">
        <v>21</v>
      </c>
      <c r="F38" s="1" t="s">
        <v>22</v>
      </c>
      <c r="G38" t="s">
        <v>23</v>
      </c>
      <c r="H38" t="s">
        <v>76</v>
      </c>
      <c r="I38" t="s">
        <v>77</v>
      </c>
      <c r="J38" s="2">
        <v>45292</v>
      </c>
      <c r="K38" t="s">
        <v>48</v>
      </c>
      <c r="L38" s="2">
        <v>45383</v>
      </c>
      <c r="M38">
        <v>1</v>
      </c>
      <c r="N38">
        <v>20</v>
      </c>
      <c r="O38">
        <v>0</v>
      </c>
      <c r="P38">
        <v>20</v>
      </c>
      <c r="Q38" t="s">
        <v>52</v>
      </c>
      <c r="R38" s="2">
        <v>45429</v>
      </c>
      <c r="S38" t="s">
        <v>28</v>
      </c>
      <c r="T38" t="s">
        <v>29</v>
      </c>
    </row>
    <row r="39" spans="1:20" x14ac:dyDescent="0.3">
      <c r="A39" t="s">
        <v>44</v>
      </c>
      <c r="B39" t="s">
        <v>45</v>
      </c>
      <c r="C39" t="str">
        <f>CONCATENATE(A39, " ",B39)</f>
        <v>Teipel Gregory</v>
      </c>
      <c r="D39">
        <v>8307933</v>
      </c>
      <c r="E39" t="s">
        <v>21</v>
      </c>
      <c r="F39" s="1" t="s">
        <v>22</v>
      </c>
      <c r="G39" t="s">
        <v>23</v>
      </c>
      <c r="H39" t="s">
        <v>84</v>
      </c>
      <c r="I39" t="s">
        <v>85</v>
      </c>
      <c r="J39" s="2">
        <v>45292</v>
      </c>
      <c r="K39" t="s">
        <v>48</v>
      </c>
      <c r="L39" s="2">
        <v>45383</v>
      </c>
      <c r="M39">
        <v>1</v>
      </c>
      <c r="N39">
        <v>20</v>
      </c>
      <c r="O39">
        <v>0</v>
      </c>
      <c r="P39">
        <v>20</v>
      </c>
      <c r="Q39" t="s">
        <v>52</v>
      </c>
      <c r="R39" s="2">
        <v>45429</v>
      </c>
      <c r="S39" t="s">
        <v>28</v>
      </c>
      <c r="T39" t="s">
        <v>29</v>
      </c>
    </row>
    <row r="40" spans="1:20" x14ac:dyDescent="0.3">
      <c r="A40" t="s">
        <v>44</v>
      </c>
      <c r="B40" t="s">
        <v>45</v>
      </c>
      <c r="C40" t="str">
        <f>CONCATENATE(A40, " ",B40)</f>
        <v>Teipel Gregory</v>
      </c>
      <c r="D40">
        <v>8307933</v>
      </c>
      <c r="E40" t="s">
        <v>21</v>
      </c>
      <c r="F40" s="1" t="s">
        <v>22</v>
      </c>
      <c r="G40" t="s">
        <v>23</v>
      </c>
      <c r="H40" t="s">
        <v>86</v>
      </c>
      <c r="I40" t="s">
        <v>87</v>
      </c>
      <c r="J40" s="2">
        <v>45292</v>
      </c>
      <c r="K40" t="s">
        <v>48</v>
      </c>
      <c r="L40" s="2">
        <v>45383</v>
      </c>
      <c r="M40">
        <v>1</v>
      </c>
      <c r="N40">
        <v>20</v>
      </c>
      <c r="O40">
        <v>0</v>
      </c>
      <c r="P40">
        <v>20</v>
      </c>
      <c r="Q40" t="s">
        <v>52</v>
      </c>
      <c r="R40" s="2">
        <v>45429</v>
      </c>
      <c r="S40" t="s">
        <v>28</v>
      </c>
      <c r="T40" t="s">
        <v>29</v>
      </c>
    </row>
    <row r="41" spans="1:20" x14ac:dyDescent="0.3">
      <c r="A41" t="s">
        <v>44</v>
      </c>
      <c r="B41" t="s">
        <v>45</v>
      </c>
      <c r="C41" t="str">
        <f>CONCATENATE(A41, " ",B41)</f>
        <v>Teipel Gregory</v>
      </c>
      <c r="D41">
        <v>8307933</v>
      </c>
      <c r="E41" t="s">
        <v>21</v>
      </c>
      <c r="F41" s="1" t="s">
        <v>22</v>
      </c>
      <c r="G41" t="s">
        <v>23</v>
      </c>
      <c r="H41" t="s">
        <v>88</v>
      </c>
      <c r="I41" t="s">
        <v>89</v>
      </c>
      <c r="J41" s="2">
        <v>45292</v>
      </c>
      <c r="K41" t="s">
        <v>48</v>
      </c>
      <c r="L41" s="2">
        <v>45383</v>
      </c>
      <c r="M41">
        <v>3</v>
      </c>
      <c r="N41">
        <v>60</v>
      </c>
      <c r="O41">
        <v>0</v>
      </c>
      <c r="P41">
        <v>60</v>
      </c>
      <c r="Q41" t="s">
        <v>52</v>
      </c>
      <c r="R41" s="2">
        <v>45429</v>
      </c>
      <c r="S41" t="s">
        <v>28</v>
      </c>
      <c r="T41" t="s">
        <v>29</v>
      </c>
    </row>
    <row r="42" spans="1:20" x14ac:dyDescent="0.3">
      <c r="A42" t="s">
        <v>44</v>
      </c>
      <c r="B42" t="s">
        <v>45</v>
      </c>
      <c r="C42" t="str">
        <f>CONCATENATE(A42, " ",B42)</f>
        <v>Teipel Gregory</v>
      </c>
      <c r="D42">
        <v>8307933</v>
      </c>
      <c r="E42" t="s">
        <v>21</v>
      </c>
      <c r="F42" s="1" t="s">
        <v>22</v>
      </c>
      <c r="G42" t="s">
        <v>23</v>
      </c>
      <c r="H42" t="s">
        <v>136</v>
      </c>
      <c r="I42" t="s">
        <v>137</v>
      </c>
      <c r="J42" s="2">
        <v>45292</v>
      </c>
      <c r="K42" t="s">
        <v>48</v>
      </c>
      <c r="L42" s="2">
        <v>45383</v>
      </c>
      <c r="M42">
        <v>1</v>
      </c>
      <c r="N42">
        <v>20</v>
      </c>
      <c r="O42">
        <v>0</v>
      </c>
      <c r="P42">
        <v>20</v>
      </c>
      <c r="Q42" t="s">
        <v>52</v>
      </c>
      <c r="R42" s="2">
        <v>45429</v>
      </c>
      <c r="S42" t="s">
        <v>28</v>
      </c>
      <c r="T42" t="s">
        <v>29</v>
      </c>
    </row>
    <row r="43" spans="1:20" x14ac:dyDescent="0.3">
      <c r="A43" t="s">
        <v>44</v>
      </c>
      <c r="B43" t="s">
        <v>45</v>
      </c>
      <c r="C43" t="str">
        <f>CONCATENATE(A43, " ",B43)</f>
        <v>Teipel Gregory</v>
      </c>
      <c r="D43">
        <v>8307933</v>
      </c>
      <c r="E43" t="s">
        <v>21</v>
      </c>
      <c r="F43" s="1" t="s">
        <v>22</v>
      </c>
      <c r="G43" t="s">
        <v>23</v>
      </c>
      <c r="H43" t="s">
        <v>145</v>
      </c>
      <c r="I43" t="s">
        <v>146</v>
      </c>
      <c r="J43" s="2">
        <v>45292</v>
      </c>
      <c r="K43" t="s">
        <v>48</v>
      </c>
      <c r="L43" s="2">
        <v>45383</v>
      </c>
      <c r="M43">
        <v>1</v>
      </c>
      <c r="N43">
        <v>20</v>
      </c>
      <c r="O43">
        <v>0</v>
      </c>
      <c r="P43">
        <v>20</v>
      </c>
      <c r="Q43" t="s">
        <v>52</v>
      </c>
      <c r="R43" s="2">
        <v>45429</v>
      </c>
      <c r="S43" t="s">
        <v>28</v>
      </c>
      <c r="T43" t="s">
        <v>29</v>
      </c>
    </row>
    <row r="44" spans="1:20" x14ac:dyDescent="0.3">
      <c r="A44" t="s">
        <v>44</v>
      </c>
      <c r="B44" t="s">
        <v>45</v>
      </c>
      <c r="C44" t="str">
        <f>CONCATENATE(A44, " ",B44)</f>
        <v>Teipel Gregory</v>
      </c>
      <c r="D44">
        <v>8307933</v>
      </c>
      <c r="E44" t="s">
        <v>21</v>
      </c>
      <c r="F44" s="1" t="s">
        <v>22</v>
      </c>
      <c r="G44" t="s">
        <v>23</v>
      </c>
      <c r="H44" t="s">
        <v>177</v>
      </c>
      <c r="I44" t="s">
        <v>178</v>
      </c>
      <c r="J44" s="2">
        <v>45292</v>
      </c>
      <c r="K44" t="s">
        <v>48</v>
      </c>
      <c r="L44" s="2">
        <v>45383</v>
      </c>
      <c r="M44">
        <v>1</v>
      </c>
      <c r="N44">
        <v>20</v>
      </c>
      <c r="O44">
        <v>0</v>
      </c>
      <c r="P44">
        <v>20</v>
      </c>
      <c r="Q44" t="s">
        <v>52</v>
      </c>
      <c r="R44" s="2">
        <v>45429</v>
      </c>
      <c r="S44" t="s">
        <v>28</v>
      </c>
      <c r="T44" t="s">
        <v>29</v>
      </c>
    </row>
    <row r="45" spans="1:20" x14ac:dyDescent="0.3">
      <c r="A45" t="s">
        <v>44</v>
      </c>
      <c r="B45" t="s">
        <v>45</v>
      </c>
      <c r="C45" t="str">
        <f>CONCATENATE(A45, " ",B45)</f>
        <v>Teipel Gregory</v>
      </c>
      <c r="D45">
        <v>8307933</v>
      </c>
      <c r="E45" t="s">
        <v>21</v>
      </c>
      <c r="F45" s="1" t="s">
        <v>22</v>
      </c>
      <c r="G45" t="s">
        <v>23</v>
      </c>
      <c r="H45" t="s">
        <v>181</v>
      </c>
      <c r="I45" t="s">
        <v>182</v>
      </c>
      <c r="J45" s="2">
        <v>45323</v>
      </c>
      <c r="K45" t="s">
        <v>48</v>
      </c>
      <c r="L45" s="2">
        <v>45383</v>
      </c>
      <c r="M45">
        <v>2</v>
      </c>
      <c r="N45">
        <v>40</v>
      </c>
      <c r="O45">
        <v>0</v>
      </c>
      <c r="P45">
        <v>40</v>
      </c>
      <c r="Q45" t="s">
        <v>52</v>
      </c>
      <c r="R45" s="2">
        <v>45429</v>
      </c>
      <c r="S45" t="s">
        <v>28</v>
      </c>
      <c r="T45" t="s">
        <v>29</v>
      </c>
    </row>
    <row r="46" spans="1:20" x14ac:dyDescent="0.3">
      <c r="A46" t="s">
        <v>44</v>
      </c>
      <c r="B46" t="s">
        <v>45</v>
      </c>
      <c r="C46" t="str">
        <f>CONCATENATE(A46, " ",B46)</f>
        <v>Teipel Gregory</v>
      </c>
      <c r="D46">
        <v>8307933</v>
      </c>
      <c r="E46" t="s">
        <v>21</v>
      </c>
      <c r="F46" s="1" t="s">
        <v>22</v>
      </c>
      <c r="G46" t="s">
        <v>23</v>
      </c>
      <c r="H46" t="s">
        <v>183</v>
      </c>
      <c r="I46" t="s">
        <v>184</v>
      </c>
      <c r="J46" s="2">
        <v>45292</v>
      </c>
      <c r="K46" t="s">
        <v>48</v>
      </c>
      <c r="L46" s="2">
        <v>45383</v>
      </c>
      <c r="M46">
        <v>2</v>
      </c>
      <c r="N46">
        <v>40</v>
      </c>
      <c r="O46">
        <v>0</v>
      </c>
      <c r="P46">
        <v>40</v>
      </c>
      <c r="Q46" t="s">
        <v>52</v>
      </c>
      <c r="R46" s="2">
        <v>45429</v>
      </c>
      <c r="S46" t="s">
        <v>28</v>
      </c>
      <c r="T46" t="s">
        <v>29</v>
      </c>
    </row>
    <row r="47" spans="1:20" x14ac:dyDescent="0.3">
      <c r="A47" t="s">
        <v>44</v>
      </c>
      <c r="B47" t="s">
        <v>45</v>
      </c>
      <c r="C47" t="str">
        <f>CONCATENATE(A47, " ",B47)</f>
        <v>Teipel Gregory</v>
      </c>
      <c r="D47">
        <v>8307933</v>
      </c>
      <c r="E47" t="s">
        <v>21</v>
      </c>
      <c r="F47" s="1" t="s">
        <v>22</v>
      </c>
      <c r="G47" t="s">
        <v>23</v>
      </c>
      <c r="H47" t="s">
        <v>195</v>
      </c>
      <c r="I47" t="s">
        <v>196</v>
      </c>
      <c r="J47" s="2">
        <v>45292</v>
      </c>
      <c r="K47" t="s">
        <v>48</v>
      </c>
      <c r="L47" s="2">
        <v>45383</v>
      </c>
      <c r="M47">
        <v>1</v>
      </c>
      <c r="N47">
        <v>20</v>
      </c>
      <c r="O47">
        <v>0</v>
      </c>
      <c r="P47">
        <v>20</v>
      </c>
      <c r="Q47" t="s">
        <v>52</v>
      </c>
      <c r="R47" s="2">
        <v>45429</v>
      </c>
      <c r="S47" t="s">
        <v>28</v>
      </c>
      <c r="T47" t="s">
        <v>29</v>
      </c>
    </row>
    <row r="48" spans="1:20" x14ac:dyDescent="0.3">
      <c r="A48" t="s">
        <v>44</v>
      </c>
      <c r="B48" t="s">
        <v>45</v>
      </c>
      <c r="C48" t="str">
        <f>CONCATENATE(A48, " ",B48)</f>
        <v>Teipel Gregory</v>
      </c>
      <c r="D48">
        <v>8307933</v>
      </c>
      <c r="E48" t="s">
        <v>21</v>
      </c>
      <c r="F48" s="1" t="s">
        <v>22</v>
      </c>
      <c r="G48" t="s">
        <v>23</v>
      </c>
      <c r="H48" t="s">
        <v>197</v>
      </c>
      <c r="I48" t="s">
        <v>198</v>
      </c>
      <c r="J48" s="2">
        <v>45292</v>
      </c>
      <c r="K48" t="s">
        <v>48</v>
      </c>
      <c r="L48" s="2">
        <v>45383</v>
      </c>
      <c r="M48">
        <v>1</v>
      </c>
      <c r="N48">
        <v>20</v>
      </c>
      <c r="O48">
        <v>0</v>
      </c>
      <c r="P48">
        <v>20</v>
      </c>
      <c r="Q48" t="s">
        <v>52</v>
      </c>
      <c r="R48" s="2">
        <v>45429</v>
      </c>
      <c r="S48" t="s">
        <v>28</v>
      </c>
      <c r="T48" t="s">
        <v>29</v>
      </c>
    </row>
    <row r="49" spans="1:20" x14ac:dyDescent="0.3">
      <c r="A49" t="s">
        <v>44</v>
      </c>
      <c r="B49" t="s">
        <v>45</v>
      </c>
      <c r="C49" t="str">
        <f>CONCATENATE(A49, " ",B49)</f>
        <v>Teipel Gregory</v>
      </c>
      <c r="D49">
        <v>8307933</v>
      </c>
      <c r="E49" t="s">
        <v>21</v>
      </c>
      <c r="F49" s="1" t="s">
        <v>22</v>
      </c>
      <c r="G49" t="s">
        <v>23</v>
      </c>
      <c r="H49" t="s">
        <v>199</v>
      </c>
      <c r="I49" t="s">
        <v>200</v>
      </c>
      <c r="J49" s="2">
        <v>45292</v>
      </c>
      <c r="K49" t="s">
        <v>48</v>
      </c>
      <c r="L49" s="2">
        <v>45383</v>
      </c>
      <c r="M49">
        <v>2</v>
      </c>
      <c r="N49">
        <v>40</v>
      </c>
      <c r="O49">
        <v>0</v>
      </c>
      <c r="P49">
        <v>40</v>
      </c>
      <c r="Q49" t="s">
        <v>52</v>
      </c>
      <c r="R49" s="2">
        <v>45429</v>
      </c>
      <c r="S49" t="s">
        <v>28</v>
      </c>
      <c r="T49" t="s">
        <v>29</v>
      </c>
    </row>
    <row r="50" spans="1:20" x14ac:dyDescent="0.3">
      <c r="A50" t="s">
        <v>44</v>
      </c>
      <c r="B50" t="s">
        <v>45</v>
      </c>
      <c r="C50" t="str">
        <f>CONCATENATE(A50, " ",B50)</f>
        <v>Teipel Gregory</v>
      </c>
      <c r="D50">
        <v>8307933</v>
      </c>
      <c r="E50" t="s">
        <v>21</v>
      </c>
      <c r="F50" s="1" t="s">
        <v>22</v>
      </c>
      <c r="G50" t="s">
        <v>23</v>
      </c>
      <c r="H50" t="s">
        <v>215</v>
      </c>
      <c r="I50" t="s">
        <v>216</v>
      </c>
      <c r="J50" s="2">
        <v>44927</v>
      </c>
      <c r="K50" t="s">
        <v>48</v>
      </c>
      <c r="L50" s="2">
        <v>45383</v>
      </c>
      <c r="M50">
        <v>1</v>
      </c>
      <c r="N50">
        <v>20</v>
      </c>
      <c r="O50">
        <v>0</v>
      </c>
      <c r="P50">
        <v>20</v>
      </c>
      <c r="Q50" t="s">
        <v>49</v>
      </c>
      <c r="R50" s="2">
        <v>45429</v>
      </c>
      <c r="S50" t="s">
        <v>28</v>
      </c>
      <c r="T50" t="s">
        <v>29</v>
      </c>
    </row>
    <row r="51" spans="1:20" x14ac:dyDescent="0.3">
      <c r="A51" t="s">
        <v>44</v>
      </c>
      <c r="B51" t="s">
        <v>45</v>
      </c>
      <c r="C51" t="str">
        <f>CONCATENATE(A51, " ",B51)</f>
        <v>Teipel Gregory</v>
      </c>
      <c r="D51">
        <v>8307933</v>
      </c>
      <c r="E51" t="s">
        <v>21</v>
      </c>
      <c r="F51" s="1" t="s">
        <v>22</v>
      </c>
      <c r="G51" t="s">
        <v>23</v>
      </c>
      <c r="H51" t="s">
        <v>252</v>
      </c>
      <c r="I51" t="s">
        <v>253</v>
      </c>
      <c r="J51" s="2">
        <v>44927</v>
      </c>
      <c r="K51" t="s">
        <v>48</v>
      </c>
      <c r="L51" s="2">
        <v>45383</v>
      </c>
      <c r="M51">
        <v>1</v>
      </c>
      <c r="N51">
        <v>20</v>
      </c>
      <c r="O51">
        <v>0</v>
      </c>
      <c r="P51">
        <v>20</v>
      </c>
      <c r="Q51" t="s">
        <v>49</v>
      </c>
      <c r="R51" s="2">
        <v>45429</v>
      </c>
      <c r="S51" t="s">
        <v>28</v>
      </c>
      <c r="T51" t="s">
        <v>29</v>
      </c>
    </row>
    <row r="52" spans="1:20" x14ac:dyDescent="0.3">
      <c r="A52" t="s">
        <v>44</v>
      </c>
      <c r="B52" t="s">
        <v>45</v>
      </c>
      <c r="C52" t="str">
        <f>CONCATENATE(A52, " ",B52)</f>
        <v>Teipel Gregory</v>
      </c>
      <c r="D52">
        <v>8307933</v>
      </c>
      <c r="E52" t="s">
        <v>21</v>
      </c>
      <c r="F52" s="1" t="s">
        <v>22</v>
      </c>
      <c r="G52" t="s">
        <v>23</v>
      </c>
      <c r="H52" t="s">
        <v>262</v>
      </c>
      <c r="I52" t="s">
        <v>263</v>
      </c>
      <c r="J52" s="2">
        <v>44927</v>
      </c>
      <c r="K52" t="s">
        <v>48</v>
      </c>
      <c r="L52" s="2">
        <v>45383</v>
      </c>
      <c r="M52">
        <v>2</v>
      </c>
      <c r="N52">
        <v>40</v>
      </c>
      <c r="O52">
        <v>0</v>
      </c>
      <c r="P52">
        <v>40</v>
      </c>
      <c r="Q52" t="s">
        <v>49</v>
      </c>
      <c r="R52" s="2">
        <v>45429</v>
      </c>
      <c r="S52" t="s">
        <v>28</v>
      </c>
      <c r="T52" t="s">
        <v>29</v>
      </c>
    </row>
    <row r="53" spans="1:20" x14ac:dyDescent="0.3">
      <c r="A53" t="s">
        <v>44</v>
      </c>
      <c r="B53" t="s">
        <v>45</v>
      </c>
      <c r="C53" t="str">
        <f>CONCATENATE(A53, " ",B53)</f>
        <v>Teipel Gregory</v>
      </c>
      <c r="D53">
        <v>8307933</v>
      </c>
      <c r="E53" t="s">
        <v>21</v>
      </c>
      <c r="F53" s="1" t="s">
        <v>22</v>
      </c>
      <c r="G53" t="s">
        <v>23</v>
      </c>
      <c r="H53" t="s">
        <v>98</v>
      </c>
      <c r="I53" t="s">
        <v>99</v>
      </c>
      <c r="J53" s="2">
        <v>45292</v>
      </c>
      <c r="K53" t="s">
        <v>100</v>
      </c>
      <c r="L53" s="2">
        <v>45383</v>
      </c>
      <c r="M53">
        <v>1</v>
      </c>
      <c r="N53">
        <v>20</v>
      </c>
      <c r="O53">
        <v>0</v>
      </c>
      <c r="P53">
        <v>20</v>
      </c>
      <c r="Q53" t="s">
        <v>101</v>
      </c>
      <c r="R53" s="2">
        <v>45429</v>
      </c>
      <c r="S53" t="s">
        <v>28</v>
      </c>
      <c r="T53" t="s">
        <v>29</v>
      </c>
    </row>
    <row r="54" spans="1:20" x14ac:dyDescent="0.3">
      <c r="A54" t="s">
        <v>44</v>
      </c>
      <c r="B54" t="s">
        <v>45</v>
      </c>
      <c r="C54" t="str">
        <f>CONCATENATE(A54, " ",B54)</f>
        <v>Teipel Gregory</v>
      </c>
      <c r="D54">
        <v>8307933</v>
      </c>
      <c r="E54" t="s">
        <v>21</v>
      </c>
      <c r="F54" s="1" t="s">
        <v>22</v>
      </c>
      <c r="G54" t="s">
        <v>23</v>
      </c>
      <c r="H54" t="s">
        <v>173</v>
      </c>
      <c r="I54" t="s">
        <v>174</v>
      </c>
      <c r="J54" s="2">
        <v>45292</v>
      </c>
      <c r="K54" t="s">
        <v>100</v>
      </c>
      <c r="L54" s="2">
        <v>45383</v>
      </c>
      <c r="M54">
        <v>3</v>
      </c>
      <c r="N54">
        <v>60</v>
      </c>
      <c r="O54">
        <v>0</v>
      </c>
      <c r="P54">
        <v>60</v>
      </c>
      <c r="Q54" t="s">
        <v>101</v>
      </c>
      <c r="R54" s="2">
        <v>45429</v>
      </c>
      <c r="S54" t="s">
        <v>28</v>
      </c>
      <c r="T54" t="s">
        <v>29</v>
      </c>
    </row>
    <row r="55" spans="1:20" x14ac:dyDescent="0.3">
      <c r="A55" t="s">
        <v>203</v>
      </c>
      <c r="B55" t="s">
        <v>204</v>
      </c>
      <c r="C55" t="str">
        <f>CONCATENATE(A55, " ",B55)</f>
        <v>Barber Aidan</v>
      </c>
      <c r="D55">
        <v>20769090</v>
      </c>
      <c r="E55" t="s">
        <v>21</v>
      </c>
      <c r="F55" s="1" t="s">
        <v>22</v>
      </c>
      <c r="G55" t="s">
        <v>23</v>
      </c>
      <c r="H55" t="s">
        <v>205</v>
      </c>
      <c r="I55" t="s">
        <v>206</v>
      </c>
      <c r="J55" s="2">
        <v>45292</v>
      </c>
      <c r="K55" t="s">
        <v>26</v>
      </c>
      <c r="L55" s="2">
        <v>45383</v>
      </c>
      <c r="M55">
        <v>1</v>
      </c>
      <c r="N55">
        <v>20</v>
      </c>
      <c r="O55">
        <v>0</v>
      </c>
      <c r="P55">
        <v>20</v>
      </c>
      <c r="Q55" t="s">
        <v>27</v>
      </c>
      <c r="R55" s="2">
        <v>45429</v>
      </c>
      <c r="S55" t="s">
        <v>28</v>
      </c>
      <c r="T55" t="s">
        <v>29</v>
      </c>
    </row>
    <row r="56" spans="1:20" x14ac:dyDescent="0.3">
      <c r="A56" t="s">
        <v>70</v>
      </c>
      <c r="B56" t="s">
        <v>71</v>
      </c>
      <c r="C56" t="str">
        <f>CONCATENATE(A56, " ",B56)</f>
        <v>KUCAN THOMAS</v>
      </c>
      <c r="D56">
        <v>16202925</v>
      </c>
      <c r="E56" t="s">
        <v>21</v>
      </c>
      <c r="F56" s="1" t="s">
        <v>22</v>
      </c>
      <c r="G56" t="s">
        <v>23</v>
      </c>
      <c r="H56" t="s">
        <v>72</v>
      </c>
      <c r="I56" t="s">
        <v>73</v>
      </c>
      <c r="J56" s="2">
        <v>45292</v>
      </c>
      <c r="K56" t="s">
        <v>26</v>
      </c>
      <c r="L56" s="2">
        <v>45383</v>
      </c>
      <c r="M56">
        <v>3</v>
      </c>
      <c r="N56">
        <v>60</v>
      </c>
      <c r="O56">
        <v>0</v>
      </c>
      <c r="P56">
        <v>60</v>
      </c>
      <c r="Q56" t="s">
        <v>27</v>
      </c>
      <c r="R56" s="2">
        <v>45429</v>
      </c>
      <c r="S56" t="s">
        <v>28</v>
      </c>
      <c r="T56" t="s">
        <v>29</v>
      </c>
    </row>
    <row r="57" spans="1:20" x14ac:dyDescent="0.3">
      <c r="A57" t="s">
        <v>19</v>
      </c>
      <c r="B57" t="s">
        <v>20</v>
      </c>
      <c r="C57" t="str">
        <f>CONCATENATE(A57, " ",B57)</f>
        <v>Richter Adam</v>
      </c>
      <c r="D57">
        <v>9079571</v>
      </c>
      <c r="E57" t="s">
        <v>21</v>
      </c>
      <c r="F57" s="1" t="s">
        <v>22</v>
      </c>
      <c r="G57" t="s">
        <v>23</v>
      </c>
      <c r="H57" t="s">
        <v>24</v>
      </c>
      <c r="I57" t="s">
        <v>25</v>
      </c>
      <c r="J57" s="2">
        <v>45323</v>
      </c>
      <c r="K57" t="s">
        <v>26</v>
      </c>
      <c r="L57" s="2">
        <v>45383</v>
      </c>
      <c r="M57">
        <v>1</v>
      </c>
      <c r="N57">
        <v>20</v>
      </c>
      <c r="O57">
        <v>0</v>
      </c>
      <c r="P57">
        <v>20</v>
      </c>
      <c r="Q57" t="s">
        <v>27</v>
      </c>
      <c r="R57" s="2">
        <v>45429</v>
      </c>
      <c r="S57" t="s">
        <v>28</v>
      </c>
      <c r="T57" t="s">
        <v>29</v>
      </c>
    </row>
    <row r="58" spans="1:20" x14ac:dyDescent="0.3">
      <c r="A58" t="s">
        <v>19</v>
      </c>
      <c r="B58" t="s">
        <v>20</v>
      </c>
      <c r="C58" t="str">
        <f>CONCATENATE(A58, " ",B58)</f>
        <v>Richter Adam</v>
      </c>
      <c r="D58">
        <v>9079571</v>
      </c>
      <c r="E58" t="s">
        <v>21</v>
      </c>
      <c r="F58" s="1" t="s">
        <v>22</v>
      </c>
      <c r="G58" t="s">
        <v>23</v>
      </c>
      <c r="H58" t="s">
        <v>30</v>
      </c>
      <c r="I58" t="s">
        <v>31</v>
      </c>
      <c r="J58" s="2">
        <v>45383</v>
      </c>
      <c r="K58" t="s">
        <v>26</v>
      </c>
      <c r="L58" s="2">
        <v>45383</v>
      </c>
      <c r="M58">
        <v>1</v>
      </c>
      <c r="N58">
        <v>20</v>
      </c>
      <c r="O58">
        <v>0</v>
      </c>
      <c r="P58">
        <v>20</v>
      </c>
      <c r="Q58" t="s">
        <v>27</v>
      </c>
      <c r="R58" s="2">
        <v>45429</v>
      </c>
      <c r="S58" t="s">
        <v>28</v>
      </c>
      <c r="T58" t="s">
        <v>29</v>
      </c>
    </row>
    <row r="59" spans="1:20" x14ac:dyDescent="0.3">
      <c r="A59" t="s">
        <v>19</v>
      </c>
      <c r="B59" t="s">
        <v>20</v>
      </c>
      <c r="C59" t="str">
        <f>CONCATENATE(A59, " ",B59)</f>
        <v>Richter Adam</v>
      </c>
      <c r="D59">
        <v>9079571</v>
      </c>
      <c r="E59" t="s">
        <v>21</v>
      </c>
      <c r="F59" s="1" t="s">
        <v>22</v>
      </c>
      <c r="G59" t="s">
        <v>23</v>
      </c>
      <c r="H59" t="s">
        <v>32</v>
      </c>
      <c r="I59" t="s">
        <v>33</v>
      </c>
      <c r="J59" s="2">
        <v>45383</v>
      </c>
      <c r="K59" t="s">
        <v>26</v>
      </c>
      <c r="L59" s="2">
        <v>45383</v>
      </c>
      <c r="M59">
        <v>1</v>
      </c>
      <c r="N59">
        <v>20</v>
      </c>
      <c r="O59">
        <v>0</v>
      </c>
      <c r="P59">
        <v>20</v>
      </c>
      <c r="Q59" t="s">
        <v>27</v>
      </c>
      <c r="R59" s="2">
        <v>45429</v>
      </c>
      <c r="S59" t="s">
        <v>28</v>
      </c>
      <c r="T59" t="s">
        <v>29</v>
      </c>
    </row>
    <row r="60" spans="1:20" x14ac:dyDescent="0.3">
      <c r="A60" t="s">
        <v>19</v>
      </c>
      <c r="B60" t="s">
        <v>20</v>
      </c>
      <c r="C60" t="str">
        <f>CONCATENATE(A60, " ",B60)</f>
        <v>Richter Adam</v>
      </c>
      <c r="D60">
        <v>9079571</v>
      </c>
      <c r="E60" t="s">
        <v>21</v>
      </c>
      <c r="F60" s="1" t="s">
        <v>22</v>
      </c>
      <c r="G60" t="s">
        <v>23</v>
      </c>
      <c r="H60" t="s">
        <v>63</v>
      </c>
      <c r="I60" t="s">
        <v>64</v>
      </c>
      <c r="J60" s="2">
        <v>45383</v>
      </c>
      <c r="K60" t="s">
        <v>26</v>
      </c>
      <c r="L60" s="2">
        <v>45383</v>
      </c>
      <c r="M60">
        <v>1</v>
      </c>
      <c r="N60">
        <v>20</v>
      </c>
      <c r="O60">
        <v>0</v>
      </c>
      <c r="P60">
        <v>20</v>
      </c>
      <c r="Q60" t="s">
        <v>27</v>
      </c>
      <c r="R60" s="2">
        <v>45429</v>
      </c>
      <c r="S60" t="s">
        <v>28</v>
      </c>
      <c r="T60" t="s">
        <v>29</v>
      </c>
    </row>
    <row r="61" spans="1:20" x14ac:dyDescent="0.3">
      <c r="A61" t="s">
        <v>19</v>
      </c>
      <c r="B61" t="s">
        <v>20</v>
      </c>
      <c r="C61" t="str">
        <f>CONCATENATE(A61, " ",B61)</f>
        <v>Richter Adam</v>
      </c>
      <c r="D61">
        <v>9079571</v>
      </c>
      <c r="E61" t="s">
        <v>21</v>
      </c>
      <c r="F61" s="1" t="s">
        <v>22</v>
      </c>
      <c r="G61" t="s">
        <v>23</v>
      </c>
      <c r="H61" t="s">
        <v>78</v>
      </c>
      <c r="I61" t="s">
        <v>79</v>
      </c>
      <c r="J61" s="2">
        <v>45413</v>
      </c>
      <c r="K61" t="s">
        <v>26</v>
      </c>
      <c r="L61" s="2">
        <v>45413</v>
      </c>
      <c r="M61">
        <v>1</v>
      </c>
      <c r="N61">
        <v>20</v>
      </c>
      <c r="O61">
        <v>0</v>
      </c>
      <c r="P61">
        <v>20</v>
      </c>
      <c r="Q61" t="s">
        <v>27</v>
      </c>
      <c r="R61" s="2">
        <v>45429</v>
      </c>
      <c r="S61" t="s">
        <v>28</v>
      </c>
      <c r="T61" t="s">
        <v>29</v>
      </c>
    </row>
    <row r="62" spans="1:20" x14ac:dyDescent="0.3">
      <c r="A62" t="s">
        <v>19</v>
      </c>
      <c r="B62" t="s">
        <v>20</v>
      </c>
      <c r="C62" t="str">
        <f>CONCATENATE(A62, " ",B62)</f>
        <v>Richter Adam</v>
      </c>
      <c r="D62">
        <v>9079571</v>
      </c>
      <c r="E62" t="s">
        <v>21</v>
      </c>
      <c r="F62" s="1" t="s">
        <v>22</v>
      </c>
      <c r="G62" t="s">
        <v>23</v>
      </c>
      <c r="H62" t="s">
        <v>90</v>
      </c>
      <c r="I62" t="s">
        <v>91</v>
      </c>
      <c r="J62" s="2">
        <v>45323</v>
      </c>
      <c r="K62" t="s">
        <v>26</v>
      </c>
      <c r="L62" s="2">
        <v>45383</v>
      </c>
      <c r="M62">
        <v>1</v>
      </c>
      <c r="N62">
        <v>20</v>
      </c>
      <c r="O62">
        <v>0</v>
      </c>
      <c r="P62">
        <v>20</v>
      </c>
      <c r="Q62" t="s">
        <v>27</v>
      </c>
      <c r="R62" s="2">
        <v>45429</v>
      </c>
      <c r="S62" t="s">
        <v>28</v>
      </c>
      <c r="T62" t="s">
        <v>29</v>
      </c>
    </row>
    <row r="63" spans="1:20" x14ac:dyDescent="0.3">
      <c r="A63" t="s">
        <v>19</v>
      </c>
      <c r="B63" t="s">
        <v>20</v>
      </c>
      <c r="C63" t="str">
        <f>CONCATENATE(A63, " ",B63)</f>
        <v>Richter Adam</v>
      </c>
      <c r="D63">
        <v>9079571</v>
      </c>
      <c r="E63" t="s">
        <v>21</v>
      </c>
      <c r="F63" s="1" t="s">
        <v>22</v>
      </c>
      <c r="G63" t="s">
        <v>23</v>
      </c>
      <c r="H63" t="s">
        <v>134</v>
      </c>
      <c r="I63" t="s">
        <v>135</v>
      </c>
      <c r="J63" s="2">
        <v>45383</v>
      </c>
      <c r="K63" t="s">
        <v>26</v>
      </c>
      <c r="L63" s="2">
        <v>45383</v>
      </c>
      <c r="M63">
        <v>1</v>
      </c>
      <c r="N63">
        <v>20</v>
      </c>
      <c r="O63">
        <v>0</v>
      </c>
      <c r="P63">
        <v>20</v>
      </c>
      <c r="Q63" t="s">
        <v>27</v>
      </c>
      <c r="R63" s="2">
        <v>45429</v>
      </c>
      <c r="S63" t="s">
        <v>28</v>
      </c>
      <c r="T63" t="s">
        <v>29</v>
      </c>
    </row>
    <row r="64" spans="1:20" x14ac:dyDescent="0.3">
      <c r="A64" t="s">
        <v>19</v>
      </c>
      <c r="B64" t="s">
        <v>20</v>
      </c>
      <c r="C64" t="str">
        <f>CONCATENATE(A64, " ",B64)</f>
        <v>Richter Adam</v>
      </c>
      <c r="D64">
        <v>9079571</v>
      </c>
      <c r="E64" t="s">
        <v>21</v>
      </c>
      <c r="F64" s="1" t="s">
        <v>22</v>
      </c>
      <c r="G64" t="s">
        <v>23</v>
      </c>
      <c r="H64" t="s">
        <v>141</v>
      </c>
      <c r="I64" t="s">
        <v>142</v>
      </c>
      <c r="J64" s="2">
        <v>45352</v>
      </c>
      <c r="K64" t="s">
        <v>26</v>
      </c>
      <c r="L64" s="2">
        <v>45383</v>
      </c>
      <c r="M64">
        <v>1</v>
      </c>
      <c r="N64">
        <v>20</v>
      </c>
      <c r="O64">
        <v>0</v>
      </c>
      <c r="P64">
        <v>20</v>
      </c>
      <c r="Q64" t="s">
        <v>27</v>
      </c>
      <c r="R64" s="2">
        <v>45429</v>
      </c>
      <c r="S64" t="s">
        <v>28</v>
      </c>
      <c r="T64" t="s">
        <v>29</v>
      </c>
    </row>
    <row r="65" spans="1:20" x14ac:dyDescent="0.3">
      <c r="A65" t="s">
        <v>19</v>
      </c>
      <c r="B65" t="s">
        <v>20</v>
      </c>
      <c r="C65" t="str">
        <f>CONCATENATE(A65, " ",B65)</f>
        <v>Richter Adam</v>
      </c>
      <c r="D65">
        <v>9079571</v>
      </c>
      <c r="E65" t="s">
        <v>21</v>
      </c>
      <c r="F65" s="1" t="s">
        <v>22</v>
      </c>
      <c r="G65" t="s">
        <v>23</v>
      </c>
      <c r="H65" t="s">
        <v>141</v>
      </c>
      <c r="I65" t="s">
        <v>142</v>
      </c>
      <c r="J65" s="2">
        <v>45352</v>
      </c>
      <c r="K65" t="s">
        <v>26</v>
      </c>
      <c r="L65" s="2">
        <v>45352</v>
      </c>
      <c r="M65">
        <v>1</v>
      </c>
      <c r="N65">
        <v>20</v>
      </c>
      <c r="O65">
        <v>0</v>
      </c>
      <c r="P65">
        <v>20</v>
      </c>
      <c r="Q65" t="s">
        <v>27</v>
      </c>
      <c r="R65" s="2">
        <v>45429</v>
      </c>
      <c r="S65" t="s">
        <v>28</v>
      </c>
      <c r="T65" t="s">
        <v>29</v>
      </c>
    </row>
    <row r="66" spans="1:20" x14ac:dyDescent="0.3">
      <c r="A66" t="s">
        <v>19</v>
      </c>
      <c r="B66" t="s">
        <v>20</v>
      </c>
      <c r="C66" t="str">
        <f>CONCATENATE(A66, " ",B66)</f>
        <v>Richter Adam</v>
      </c>
      <c r="D66">
        <v>9079571</v>
      </c>
      <c r="E66" t="s">
        <v>21</v>
      </c>
      <c r="F66" s="1" t="s">
        <v>22</v>
      </c>
      <c r="G66" t="s">
        <v>23</v>
      </c>
      <c r="H66" t="s">
        <v>179</v>
      </c>
      <c r="I66" t="s">
        <v>180</v>
      </c>
      <c r="J66" s="2">
        <v>45292</v>
      </c>
      <c r="K66" t="s">
        <v>26</v>
      </c>
      <c r="L66" s="2">
        <v>45383</v>
      </c>
      <c r="M66">
        <v>1</v>
      </c>
      <c r="N66">
        <v>20</v>
      </c>
      <c r="O66">
        <v>0</v>
      </c>
      <c r="P66">
        <v>20</v>
      </c>
      <c r="Q66" t="s">
        <v>27</v>
      </c>
      <c r="R66" s="2">
        <v>45429</v>
      </c>
      <c r="S66" t="s">
        <v>28</v>
      </c>
      <c r="T66" t="s">
        <v>29</v>
      </c>
    </row>
    <row r="67" spans="1:20" x14ac:dyDescent="0.3">
      <c r="A67" t="s">
        <v>19</v>
      </c>
      <c r="B67" t="s">
        <v>20</v>
      </c>
      <c r="C67" t="str">
        <f>CONCATENATE(A67, " ",B67)</f>
        <v>Richter Adam</v>
      </c>
      <c r="D67">
        <v>9079571</v>
      </c>
      <c r="E67" t="s">
        <v>21</v>
      </c>
      <c r="F67" s="1" t="s">
        <v>22</v>
      </c>
      <c r="G67" t="s">
        <v>23</v>
      </c>
      <c r="H67" t="s">
        <v>246</v>
      </c>
      <c r="I67" t="s">
        <v>247</v>
      </c>
      <c r="J67" s="2">
        <v>45292</v>
      </c>
      <c r="K67" t="s">
        <v>26</v>
      </c>
      <c r="L67" s="2">
        <v>45383</v>
      </c>
      <c r="M67">
        <v>1</v>
      </c>
      <c r="N67">
        <v>20</v>
      </c>
      <c r="O67">
        <v>0</v>
      </c>
      <c r="P67">
        <v>20</v>
      </c>
      <c r="Q67" t="s">
        <v>27</v>
      </c>
      <c r="R67" s="2">
        <v>45429</v>
      </c>
      <c r="S67" t="s">
        <v>28</v>
      </c>
      <c r="T67" t="s">
        <v>29</v>
      </c>
    </row>
    <row r="68" spans="1:20" x14ac:dyDescent="0.3">
      <c r="A68" t="s">
        <v>92</v>
      </c>
      <c r="B68" t="s">
        <v>93</v>
      </c>
      <c r="C68" t="str">
        <f>CONCATENATE(A68, " ",B68)</f>
        <v>WHITE LANEECE</v>
      </c>
      <c r="D68">
        <v>13496370</v>
      </c>
      <c r="E68" t="s">
        <v>21</v>
      </c>
      <c r="F68" s="1" t="s">
        <v>22</v>
      </c>
      <c r="G68" t="s">
        <v>23</v>
      </c>
      <c r="H68" t="s">
        <v>94</v>
      </c>
      <c r="I68" t="s">
        <v>95</v>
      </c>
      <c r="J68" s="2">
        <v>45292</v>
      </c>
      <c r="K68" t="s">
        <v>26</v>
      </c>
      <c r="L68" s="2">
        <v>45383</v>
      </c>
      <c r="M68">
        <v>1</v>
      </c>
      <c r="N68">
        <v>20</v>
      </c>
      <c r="O68">
        <v>0</v>
      </c>
      <c r="P68">
        <v>20</v>
      </c>
      <c r="Q68" t="s">
        <v>27</v>
      </c>
      <c r="R68" s="2">
        <v>45429</v>
      </c>
      <c r="S68" t="s">
        <v>28</v>
      </c>
      <c r="T68" t="s">
        <v>29</v>
      </c>
    </row>
    <row r="69" spans="1:20" x14ac:dyDescent="0.3">
      <c r="A69" t="s">
        <v>44</v>
      </c>
      <c r="B69" t="s">
        <v>45</v>
      </c>
      <c r="C69" t="str">
        <f>CONCATENATE(A69, " ",B69)</f>
        <v>Teipel Gregory</v>
      </c>
      <c r="D69">
        <v>8307933</v>
      </c>
      <c r="E69" t="s">
        <v>21</v>
      </c>
      <c r="F69" s="1" t="s">
        <v>22</v>
      </c>
      <c r="G69" t="s">
        <v>23</v>
      </c>
      <c r="H69" t="s">
        <v>53</v>
      </c>
      <c r="I69" t="s">
        <v>54</v>
      </c>
      <c r="J69" s="2">
        <v>45292</v>
      </c>
      <c r="K69" t="s">
        <v>55</v>
      </c>
      <c r="L69" s="2">
        <v>45383</v>
      </c>
      <c r="M69">
        <v>1</v>
      </c>
      <c r="N69">
        <v>20</v>
      </c>
      <c r="O69">
        <v>0</v>
      </c>
      <c r="P69">
        <v>20</v>
      </c>
      <c r="Q69" t="s">
        <v>56</v>
      </c>
      <c r="R69" s="2">
        <v>45429</v>
      </c>
      <c r="S69" t="s">
        <v>28</v>
      </c>
      <c r="T69" t="s">
        <v>29</v>
      </c>
    </row>
    <row r="70" spans="1:20" x14ac:dyDescent="0.3">
      <c r="A70" t="s">
        <v>44</v>
      </c>
      <c r="B70" t="s">
        <v>45</v>
      </c>
      <c r="C70" t="str">
        <f>CONCATENATE(A70, " ",B70)</f>
        <v>Teipel Gregory</v>
      </c>
      <c r="D70">
        <v>8307933</v>
      </c>
      <c r="E70" t="s">
        <v>21</v>
      </c>
      <c r="F70" s="1" t="s">
        <v>22</v>
      </c>
      <c r="G70" t="s">
        <v>23</v>
      </c>
      <c r="H70" t="s">
        <v>225</v>
      </c>
      <c r="I70" t="s">
        <v>226</v>
      </c>
      <c r="J70" s="2">
        <v>44927</v>
      </c>
      <c r="K70" t="s">
        <v>55</v>
      </c>
      <c r="L70" s="2">
        <v>45383</v>
      </c>
      <c r="M70">
        <v>2</v>
      </c>
      <c r="N70">
        <v>40</v>
      </c>
      <c r="O70">
        <v>0</v>
      </c>
      <c r="P70">
        <v>40</v>
      </c>
      <c r="Q70" t="s">
        <v>227</v>
      </c>
      <c r="R70" s="2">
        <v>45429</v>
      </c>
      <c r="S70" t="s">
        <v>28</v>
      </c>
      <c r="T70" t="s">
        <v>29</v>
      </c>
    </row>
    <row r="71" spans="1:20" x14ac:dyDescent="0.3">
      <c r="A71" t="s">
        <v>44</v>
      </c>
      <c r="B71" t="s">
        <v>45</v>
      </c>
      <c r="C71" t="str">
        <f>CONCATENATE(A71, " ",B71)</f>
        <v>Teipel Gregory</v>
      </c>
      <c r="D71">
        <v>8307933</v>
      </c>
      <c r="E71" t="s">
        <v>21</v>
      </c>
      <c r="F71" s="1" t="s">
        <v>22</v>
      </c>
      <c r="G71" t="s">
        <v>23</v>
      </c>
      <c r="H71" t="s">
        <v>234</v>
      </c>
      <c r="I71" t="s">
        <v>235</v>
      </c>
      <c r="J71" s="2">
        <v>44927</v>
      </c>
      <c r="K71" t="s">
        <v>55</v>
      </c>
      <c r="L71" s="2">
        <v>45383</v>
      </c>
      <c r="M71">
        <v>1</v>
      </c>
      <c r="N71">
        <v>20</v>
      </c>
      <c r="O71">
        <v>0</v>
      </c>
      <c r="P71">
        <v>20</v>
      </c>
      <c r="Q71" t="s">
        <v>227</v>
      </c>
      <c r="R71" s="2">
        <v>45429</v>
      </c>
      <c r="S71" t="s">
        <v>28</v>
      </c>
      <c r="T71" t="s">
        <v>29</v>
      </c>
    </row>
    <row r="72" spans="1:20" x14ac:dyDescent="0.3">
      <c r="A72" t="s">
        <v>116</v>
      </c>
      <c r="B72" t="s">
        <v>117</v>
      </c>
      <c r="C72" t="str">
        <f>CONCATENATE(A72, " ",B72)</f>
        <v>Finnigan Colleen</v>
      </c>
      <c r="D72">
        <v>17437820</v>
      </c>
      <c r="E72" t="s">
        <v>21</v>
      </c>
      <c r="F72" s="1" t="s">
        <v>22</v>
      </c>
      <c r="G72" t="s">
        <v>23</v>
      </c>
      <c r="H72" t="s">
        <v>118</v>
      </c>
      <c r="I72" t="s">
        <v>119</v>
      </c>
      <c r="J72" s="2">
        <v>45292</v>
      </c>
      <c r="K72" t="s">
        <v>59</v>
      </c>
      <c r="L72" s="2">
        <v>45383</v>
      </c>
      <c r="M72">
        <v>1</v>
      </c>
      <c r="N72">
        <v>25</v>
      </c>
      <c r="O72">
        <v>0</v>
      </c>
      <c r="P72">
        <v>25</v>
      </c>
      <c r="Q72" t="s">
        <v>60</v>
      </c>
      <c r="R72" s="2">
        <v>45429</v>
      </c>
      <c r="S72" t="s">
        <v>28</v>
      </c>
      <c r="T72" t="s">
        <v>29</v>
      </c>
    </row>
    <row r="73" spans="1:20" x14ac:dyDescent="0.3">
      <c r="A73" t="s">
        <v>116</v>
      </c>
      <c r="B73" t="s">
        <v>117</v>
      </c>
      <c r="C73" t="str">
        <f>CONCATENATE(A73, " ",B73)</f>
        <v>Finnigan Colleen</v>
      </c>
      <c r="D73">
        <v>17437820</v>
      </c>
      <c r="E73" t="s">
        <v>21</v>
      </c>
      <c r="F73" s="1" t="s">
        <v>22</v>
      </c>
      <c r="G73" t="s">
        <v>23</v>
      </c>
      <c r="H73" t="s">
        <v>149</v>
      </c>
      <c r="I73" t="s">
        <v>150</v>
      </c>
      <c r="J73" s="2">
        <v>45292</v>
      </c>
      <c r="K73" t="s">
        <v>59</v>
      </c>
      <c r="L73" s="2">
        <v>45383</v>
      </c>
      <c r="M73">
        <v>1</v>
      </c>
      <c r="N73">
        <v>25</v>
      </c>
      <c r="O73">
        <v>0</v>
      </c>
      <c r="P73">
        <v>25</v>
      </c>
      <c r="Q73" t="s">
        <v>60</v>
      </c>
      <c r="R73" s="2">
        <v>45429</v>
      </c>
      <c r="S73" t="s">
        <v>28</v>
      </c>
      <c r="T73" t="s">
        <v>29</v>
      </c>
    </row>
    <row r="74" spans="1:20" x14ac:dyDescent="0.3">
      <c r="A74" t="s">
        <v>116</v>
      </c>
      <c r="B74" t="s">
        <v>117</v>
      </c>
      <c r="C74" t="str">
        <f>CONCATENATE(A74, " ",B74)</f>
        <v>Finnigan Colleen</v>
      </c>
      <c r="D74">
        <v>17437820</v>
      </c>
      <c r="E74" t="s">
        <v>21</v>
      </c>
      <c r="F74" s="1" t="s">
        <v>22</v>
      </c>
      <c r="G74" t="s">
        <v>23</v>
      </c>
      <c r="H74" t="s">
        <v>151</v>
      </c>
      <c r="I74" t="s">
        <v>152</v>
      </c>
      <c r="J74" s="2">
        <v>45292</v>
      </c>
      <c r="K74" t="s">
        <v>59</v>
      </c>
      <c r="L74" s="2">
        <v>45383</v>
      </c>
      <c r="M74">
        <v>1</v>
      </c>
      <c r="N74">
        <v>25</v>
      </c>
      <c r="O74">
        <v>0</v>
      </c>
      <c r="P74">
        <v>25</v>
      </c>
      <c r="Q74" t="s">
        <v>60</v>
      </c>
      <c r="R74" s="2">
        <v>45429</v>
      </c>
      <c r="S74" t="s">
        <v>28</v>
      </c>
      <c r="T74" t="s">
        <v>29</v>
      </c>
    </row>
    <row r="75" spans="1:20" x14ac:dyDescent="0.3">
      <c r="A75" t="s">
        <v>116</v>
      </c>
      <c r="B75" t="s">
        <v>117</v>
      </c>
      <c r="C75" t="str">
        <f>CONCATENATE(A75, " ",B75)</f>
        <v>Finnigan Colleen</v>
      </c>
      <c r="D75">
        <v>17437820</v>
      </c>
      <c r="E75" t="s">
        <v>21</v>
      </c>
      <c r="F75" s="1" t="s">
        <v>22</v>
      </c>
      <c r="G75" t="s">
        <v>23</v>
      </c>
      <c r="H75" t="s">
        <v>238</v>
      </c>
      <c r="I75" t="s">
        <v>239</v>
      </c>
      <c r="J75" s="2">
        <v>45292</v>
      </c>
      <c r="K75" t="s">
        <v>59</v>
      </c>
      <c r="L75" s="2">
        <v>45383</v>
      </c>
      <c r="M75">
        <v>1</v>
      </c>
      <c r="N75">
        <v>25</v>
      </c>
      <c r="O75">
        <v>0</v>
      </c>
      <c r="P75">
        <v>25</v>
      </c>
      <c r="Q75" t="s">
        <v>60</v>
      </c>
      <c r="R75" s="2">
        <v>45429</v>
      </c>
      <c r="S75" t="s">
        <v>28</v>
      </c>
      <c r="T75" t="s">
        <v>29</v>
      </c>
    </row>
    <row r="76" spans="1:20" x14ac:dyDescent="0.3">
      <c r="A76" t="s">
        <v>116</v>
      </c>
      <c r="B76" t="s">
        <v>117</v>
      </c>
      <c r="C76" t="str">
        <f>CONCATENATE(A76, " ",B76)</f>
        <v>Finnigan Colleen</v>
      </c>
      <c r="D76">
        <v>17437820</v>
      </c>
      <c r="E76" t="s">
        <v>21</v>
      </c>
      <c r="F76" s="1" t="s">
        <v>22</v>
      </c>
      <c r="G76" t="s">
        <v>23</v>
      </c>
      <c r="H76" t="s">
        <v>256</v>
      </c>
      <c r="I76" t="s">
        <v>257</v>
      </c>
      <c r="J76" s="2">
        <v>45170</v>
      </c>
      <c r="K76" t="s">
        <v>59</v>
      </c>
      <c r="L76" s="2">
        <v>45383</v>
      </c>
      <c r="M76">
        <v>1</v>
      </c>
      <c r="N76">
        <v>25</v>
      </c>
      <c r="O76">
        <v>0</v>
      </c>
      <c r="P76">
        <v>25</v>
      </c>
      <c r="Q76" t="s">
        <v>159</v>
      </c>
      <c r="R76" s="2">
        <v>45429</v>
      </c>
      <c r="S76" t="s">
        <v>28</v>
      </c>
      <c r="T76" t="s">
        <v>29</v>
      </c>
    </row>
    <row r="77" spans="1:20" x14ac:dyDescent="0.3">
      <c r="A77" t="s">
        <v>116</v>
      </c>
      <c r="B77" t="s">
        <v>117</v>
      </c>
      <c r="C77" t="str">
        <f>CONCATENATE(A77, " ",B77)</f>
        <v>Finnigan Colleen</v>
      </c>
      <c r="D77">
        <v>17437820</v>
      </c>
      <c r="E77" t="s">
        <v>21</v>
      </c>
      <c r="F77" s="1" t="s">
        <v>22</v>
      </c>
      <c r="G77" t="s">
        <v>23</v>
      </c>
      <c r="H77" t="s">
        <v>260</v>
      </c>
      <c r="I77" t="s">
        <v>261</v>
      </c>
      <c r="J77" s="2">
        <v>45292</v>
      </c>
      <c r="K77" t="s">
        <v>59</v>
      </c>
      <c r="L77" s="2">
        <v>45383</v>
      </c>
      <c r="M77">
        <v>3</v>
      </c>
      <c r="N77">
        <v>75</v>
      </c>
      <c r="O77">
        <v>0</v>
      </c>
      <c r="P77">
        <v>75</v>
      </c>
      <c r="Q77" t="s">
        <v>60</v>
      </c>
      <c r="R77" s="2">
        <v>45429</v>
      </c>
      <c r="S77" t="s">
        <v>28</v>
      </c>
      <c r="T77" t="s">
        <v>29</v>
      </c>
    </row>
    <row r="78" spans="1:20" x14ac:dyDescent="0.3">
      <c r="A78" t="s">
        <v>105</v>
      </c>
      <c r="B78" t="s">
        <v>106</v>
      </c>
      <c r="C78" t="str">
        <f>CONCATENATE(A78, " ",B78)</f>
        <v>FOLEY CAROL</v>
      </c>
      <c r="D78">
        <v>17425766</v>
      </c>
      <c r="E78" t="s">
        <v>21</v>
      </c>
      <c r="F78" s="1" t="s">
        <v>22</v>
      </c>
      <c r="G78" t="s">
        <v>23</v>
      </c>
      <c r="H78" t="s">
        <v>107</v>
      </c>
      <c r="I78" t="s">
        <v>108</v>
      </c>
      <c r="J78" s="2">
        <v>45352</v>
      </c>
      <c r="K78" t="s">
        <v>59</v>
      </c>
      <c r="L78" s="2">
        <v>45383</v>
      </c>
      <c r="M78">
        <v>1</v>
      </c>
      <c r="N78">
        <v>25</v>
      </c>
      <c r="O78">
        <v>0</v>
      </c>
      <c r="P78">
        <v>25</v>
      </c>
      <c r="Q78" t="s">
        <v>60</v>
      </c>
      <c r="R78" s="2">
        <v>45429</v>
      </c>
      <c r="S78" t="s">
        <v>28</v>
      </c>
      <c r="T78" t="s">
        <v>29</v>
      </c>
    </row>
    <row r="79" spans="1:20" x14ac:dyDescent="0.3">
      <c r="A79" t="s">
        <v>19</v>
      </c>
      <c r="B79" t="s">
        <v>20</v>
      </c>
      <c r="C79" t="str">
        <f>CONCATENATE(A79, " ",B79)</f>
        <v>Richter Adam</v>
      </c>
      <c r="D79">
        <v>9079571</v>
      </c>
      <c r="E79" t="s">
        <v>21</v>
      </c>
      <c r="F79" s="1" t="s">
        <v>22</v>
      </c>
      <c r="G79" t="s">
        <v>23</v>
      </c>
      <c r="H79" t="s">
        <v>223</v>
      </c>
      <c r="I79" t="s">
        <v>224</v>
      </c>
      <c r="J79" s="2">
        <v>45261</v>
      </c>
      <c r="K79" t="s">
        <v>59</v>
      </c>
      <c r="L79" s="2">
        <v>45383</v>
      </c>
      <c r="M79">
        <v>1</v>
      </c>
      <c r="N79">
        <v>25</v>
      </c>
      <c r="O79">
        <v>0</v>
      </c>
      <c r="P79">
        <v>25</v>
      </c>
      <c r="Q79" t="s">
        <v>159</v>
      </c>
      <c r="R79" s="2">
        <v>45429</v>
      </c>
      <c r="S79" t="s">
        <v>28</v>
      </c>
      <c r="T79" t="s">
        <v>29</v>
      </c>
    </row>
    <row r="80" spans="1:20" x14ac:dyDescent="0.3">
      <c r="A80" t="s">
        <v>19</v>
      </c>
      <c r="B80" t="s">
        <v>20</v>
      </c>
      <c r="C80" t="str">
        <f>CONCATENATE(A80, " ",B80)</f>
        <v>Richter Adam</v>
      </c>
      <c r="D80">
        <v>9079571</v>
      </c>
      <c r="E80" t="s">
        <v>21</v>
      </c>
      <c r="F80" s="1" t="s">
        <v>22</v>
      </c>
      <c r="G80" t="s">
        <v>23</v>
      </c>
      <c r="H80" t="s">
        <v>248</v>
      </c>
      <c r="I80" t="s">
        <v>249</v>
      </c>
      <c r="J80" s="2">
        <v>44927</v>
      </c>
      <c r="K80" t="s">
        <v>59</v>
      </c>
      <c r="L80" s="2">
        <v>45383</v>
      </c>
      <c r="M80">
        <v>1</v>
      </c>
      <c r="N80">
        <v>25</v>
      </c>
      <c r="O80">
        <v>0</v>
      </c>
      <c r="P80">
        <v>25</v>
      </c>
      <c r="Q80" t="s">
        <v>159</v>
      </c>
      <c r="R80" s="2">
        <v>45429</v>
      </c>
      <c r="S80" t="s">
        <v>28</v>
      </c>
      <c r="T80" t="s">
        <v>29</v>
      </c>
    </row>
    <row r="81" spans="1:20" x14ac:dyDescent="0.3">
      <c r="A81" t="s">
        <v>44</v>
      </c>
      <c r="B81" t="s">
        <v>45</v>
      </c>
      <c r="C81" t="str">
        <f>CONCATENATE(A81, " ",B81)</f>
        <v>Teipel Gregory</v>
      </c>
      <c r="D81">
        <v>8307933</v>
      </c>
      <c r="E81" t="s">
        <v>21</v>
      </c>
      <c r="F81" s="1" t="s">
        <v>22</v>
      </c>
      <c r="G81" t="s">
        <v>23</v>
      </c>
      <c r="H81" t="s">
        <v>57</v>
      </c>
      <c r="I81" t="s">
        <v>58</v>
      </c>
      <c r="J81" s="2">
        <v>45292</v>
      </c>
      <c r="K81" t="s">
        <v>59</v>
      </c>
      <c r="L81" s="2">
        <v>45383</v>
      </c>
      <c r="M81">
        <v>3</v>
      </c>
      <c r="N81">
        <v>75</v>
      </c>
      <c r="O81">
        <v>0</v>
      </c>
      <c r="P81">
        <v>75</v>
      </c>
      <c r="Q81" t="s">
        <v>60</v>
      </c>
      <c r="R81" s="2">
        <v>45429</v>
      </c>
      <c r="S81" t="s">
        <v>28</v>
      </c>
      <c r="T81" t="s">
        <v>29</v>
      </c>
    </row>
    <row r="82" spans="1:20" x14ac:dyDescent="0.3">
      <c r="A82" t="s">
        <v>44</v>
      </c>
      <c r="B82" t="s">
        <v>45</v>
      </c>
      <c r="C82" t="str">
        <f>CONCATENATE(A82, " ",B82)</f>
        <v>Teipel Gregory</v>
      </c>
      <c r="D82">
        <v>8307933</v>
      </c>
      <c r="E82" t="s">
        <v>21</v>
      </c>
      <c r="F82" s="1" t="s">
        <v>22</v>
      </c>
      <c r="G82" t="s">
        <v>23</v>
      </c>
      <c r="H82" t="s">
        <v>82</v>
      </c>
      <c r="I82" t="s">
        <v>83</v>
      </c>
      <c r="J82" s="2">
        <v>45292</v>
      </c>
      <c r="K82" t="s">
        <v>59</v>
      </c>
      <c r="L82" s="2">
        <v>45383</v>
      </c>
      <c r="M82">
        <v>1</v>
      </c>
      <c r="N82">
        <v>25</v>
      </c>
      <c r="O82">
        <v>0</v>
      </c>
      <c r="P82">
        <v>25</v>
      </c>
      <c r="Q82" t="s">
        <v>60</v>
      </c>
      <c r="R82" s="2">
        <v>45429</v>
      </c>
      <c r="S82" t="s">
        <v>28</v>
      </c>
      <c r="T82" t="s">
        <v>29</v>
      </c>
    </row>
    <row r="83" spans="1:20" x14ac:dyDescent="0.3">
      <c r="A83" t="s">
        <v>44</v>
      </c>
      <c r="B83" t="s">
        <v>45</v>
      </c>
      <c r="C83" t="str">
        <f>CONCATENATE(A83, " ",B83)</f>
        <v>Teipel Gregory</v>
      </c>
      <c r="D83">
        <v>8307933</v>
      </c>
      <c r="E83" t="s">
        <v>21</v>
      </c>
      <c r="F83" s="1" t="s">
        <v>22</v>
      </c>
      <c r="G83" t="s">
        <v>23</v>
      </c>
      <c r="H83" t="s">
        <v>157</v>
      </c>
      <c r="I83" t="s">
        <v>158</v>
      </c>
      <c r="J83" s="2">
        <v>45261</v>
      </c>
      <c r="K83" t="s">
        <v>59</v>
      </c>
      <c r="L83" s="2">
        <v>45383</v>
      </c>
      <c r="M83">
        <v>1</v>
      </c>
      <c r="N83">
        <v>25</v>
      </c>
      <c r="O83">
        <v>0</v>
      </c>
      <c r="P83">
        <v>25</v>
      </c>
      <c r="Q83" t="s">
        <v>159</v>
      </c>
      <c r="R83" s="2">
        <v>45429</v>
      </c>
      <c r="S83" t="s">
        <v>28</v>
      </c>
      <c r="T83" t="s">
        <v>29</v>
      </c>
    </row>
    <row r="84" spans="1:20" x14ac:dyDescent="0.3">
      <c r="A84" t="s">
        <v>44</v>
      </c>
      <c r="B84" t="s">
        <v>45</v>
      </c>
      <c r="C84" t="str">
        <f>CONCATENATE(A84, " ",B84)</f>
        <v>Teipel Gregory</v>
      </c>
      <c r="D84">
        <v>8307933</v>
      </c>
      <c r="E84" t="s">
        <v>21</v>
      </c>
      <c r="F84" s="1" t="s">
        <v>22</v>
      </c>
      <c r="G84" t="s">
        <v>23</v>
      </c>
      <c r="H84" t="s">
        <v>162</v>
      </c>
      <c r="I84" t="s">
        <v>163</v>
      </c>
      <c r="J84" s="2">
        <v>44927</v>
      </c>
      <c r="K84" t="s">
        <v>59</v>
      </c>
      <c r="L84" s="2">
        <v>45383</v>
      </c>
      <c r="M84">
        <v>4</v>
      </c>
      <c r="N84">
        <v>100</v>
      </c>
      <c r="O84">
        <v>0</v>
      </c>
      <c r="P84">
        <v>100</v>
      </c>
      <c r="Q84" t="s">
        <v>159</v>
      </c>
      <c r="R84" s="2">
        <v>45429</v>
      </c>
      <c r="S84" t="s">
        <v>28</v>
      </c>
      <c r="T84" t="s">
        <v>29</v>
      </c>
    </row>
    <row r="85" spans="1:20" x14ac:dyDescent="0.3">
      <c r="A85" t="s">
        <v>44</v>
      </c>
      <c r="B85" t="s">
        <v>45</v>
      </c>
      <c r="C85" t="str">
        <f>CONCATENATE(A85, " ",B85)</f>
        <v>Teipel Gregory</v>
      </c>
      <c r="D85">
        <v>8307933</v>
      </c>
      <c r="E85" t="s">
        <v>21</v>
      </c>
      <c r="F85" s="1" t="s">
        <v>22</v>
      </c>
      <c r="G85" t="s">
        <v>23</v>
      </c>
      <c r="H85" t="s">
        <v>189</v>
      </c>
      <c r="I85" t="s">
        <v>190</v>
      </c>
      <c r="J85" s="2">
        <v>44927</v>
      </c>
      <c r="K85" t="s">
        <v>59</v>
      </c>
      <c r="L85" s="2">
        <v>45383</v>
      </c>
      <c r="M85">
        <v>1</v>
      </c>
      <c r="N85">
        <v>25</v>
      </c>
      <c r="O85">
        <v>0</v>
      </c>
      <c r="P85">
        <v>25</v>
      </c>
      <c r="Q85" t="s">
        <v>159</v>
      </c>
      <c r="R85" s="2">
        <v>45429</v>
      </c>
      <c r="S85" t="s">
        <v>28</v>
      </c>
      <c r="T85" t="s">
        <v>29</v>
      </c>
    </row>
    <row r="86" spans="1:20" x14ac:dyDescent="0.3">
      <c r="A86" t="s">
        <v>44</v>
      </c>
      <c r="B86" t="s">
        <v>45</v>
      </c>
      <c r="C86" t="str">
        <f>CONCATENATE(A86, " ",B86)</f>
        <v>Teipel Gregory</v>
      </c>
      <c r="D86">
        <v>8307933</v>
      </c>
      <c r="E86" t="s">
        <v>21</v>
      </c>
      <c r="F86" s="1" t="s">
        <v>22</v>
      </c>
      <c r="G86" t="s">
        <v>23</v>
      </c>
      <c r="H86" t="s">
        <v>191</v>
      </c>
      <c r="I86" t="s">
        <v>192</v>
      </c>
      <c r="J86" s="2">
        <v>44927</v>
      </c>
      <c r="K86" t="s">
        <v>59</v>
      </c>
      <c r="L86" s="2">
        <v>45383</v>
      </c>
      <c r="M86">
        <v>2</v>
      </c>
      <c r="N86">
        <v>50</v>
      </c>
      <c r="O86">
        <v>0</v>
      </c>
      <c r="P86">
        <v>50</v>
      </c>
      <c r="Q86" t="s">
        <v>159</v>
      </c>
      <c r="R86" s="2">
        <v>45429</v>
      </c>
      <c r="S86" t="s">
        <v>28</v>
      </c>
      <c r="T86" t="s">
        <v>29</v>
      </c>
    </row>
    <row r="87" spans="1:20" x14ac:dyDescent="0.3">
      <c r="A87" t="s">
        <v>44</v>
      </c>
      <c r="B87" t="s">
        <v>45</v>
      </c>
      <c r="C87" t="str">
        <f>CONCATENATE(A87, " ",B87)</f>
        <v>Teipel Gregory</v>
      </c>
      <c r="D87">
        <v>8307933</v>
      </c>
      <c r="E87" t="s">
        <v>21</v>
      </c>
      <c r="F87" s="1" t="s">
        <v>22</v>
      </c>
      <c r="G87" t="s">
        <v>23</v>
      </c>
      <c r="H87" t="s">
        <v>201</v>
      </c>
      <c r="I87" t="s">
        <v>202</v>
      </c>
      <c r="J87" s="2">
        <v>44927</v>
      </c>
      <c r="K87" t="s">
        <v>59</v>
      </c>
      <c r="L87" s="2">
        <v>45383</v>
      </c>
      <c r="M87">
        <v>1</v>
      </c>
      <c r="N87">
        <v>25</v>
      </c>
      <c r="O87">
        <v>0</v>
      </c>
      <c r="P87">
        <v>25</v>
      </c>
      <c r="Q87" t="s">
        <v>159</v>
      </c>
      <c r="R87" s="2">
        <v>45429</v>
      </c>
      <c r="S87" t="s">
        <v>28</v>
      </c>
      <c r="T87" t="s">
        <v>29</v>
      </c>
    </row>
    <row r="88" spans="1:20" x14ac:dyDescent="0.3">
      <c r="A88" t="s">
        <v>242</v>
      </c>
      <c r="B88" t="s">
        <v>243</v>
      </c>
      <c r="C88" t="str">
        <f>CONCATENATE(A88, " ",B88)</f>
        <v>Hoffmann Jason</v>
      </c>
      <c r="D88">
        <v>15278437</v>
      </c>
      <c r="E88" t="s">
        <v>21</v>
      </c>
      <c r="F88" s="1" t="s">
        <v>22</v>
      </c>
      <c r="G88" t="s">
        <v>23</v>
      </c>
      <c r="H88" t="s">
        <v>244</v>
      </c>
      <c r="I88" t="s">
        <v>245</v>
      </c>
      <c r="J88" s="2">
        <v>44927</v>
      </c>
      <c r="K88" t="s">
        <v>221</v>
      </c>
      <c r="L88" s="2">
        <v>45383</v>
      </c>
      <c r="M88">
        <v>1</v>
      </c>
      <c r="N88">
        <v>20</v>
      </c>
      <c r="O88">
        <v>0</v>
      </c>
      <c r="P88">
        <v>20</v>
      </c>
      <c r="Q88" t="s">
        <v>222</v>
      </c>
      <c r="R88" s="2">
        <v>45429</v>
      </c>
      <c r="S88" t="s">
        <v>28</v>
      </c>
      <c r="T88" t="s">
        <v>29</v>
      </c>
    </row>
    <row r="89" spans="1:20" x14ac:dyDescent="0.3">
      <c r="A89" t="s">
        <v>19</v>
      </c>
      <c r="B89" t="s">
        <v>20</v>
      </c>
      <c r="C89" t="str">
        <f>CONCATENATE(A89, " ",B89)</f>
        <v>Richter Adam</v>
      </c>
      <c r="D89">
        <v>9079571</v>
      </c>
      <c r="E89" t="s">
        <v>21</v>
      </c>
      <c r="F89" s="1" t="s">
        <v>22</v>
      </c>
      <c r="G89" t="s">
        <v>23</v>
      </c>
      <c r="H89" t="s">
        <v>219</v>
      </c>
      <c r="I89" t="s">
        <v>220</v>
      </c>
      <c r="J89" s="2">
        <v>44958</v>
      </c>
      <c r="K89" t="s">
        <v>221</v>
      </c>
      <c r="L89" s="2">
        <v>45383</v>
      </c>
      <c r="M89">
        <v>1</v>
      </c>
      <c r="N89">
        <v>20</v>
      </c>
      <c r="O89">
        <v>0</v>
      </c>
      <c r="P89">
        <v>20</v>
      </c>
      <c r="Q89" t="s">
        <v>222</v>
      </c>
      <c r="R89" s="2">
        <v>45429</v>
      </c>
      <c r="S89" t="s">
        <v>28</v>
      </c>
      <c r="T89" t="s">
        <v>29</v>
      </c>
    </row>
    <row r="90" spans="1:20" x14ac:dyDescent="0.3">
      <c r="A90" t="s">
        <v>34</v>
      </c>
      <c r="B90" t="s">
        <v>35</v>
      </c>
      <c r="C90" t="str">
        <f>CONCATENATE(A90, " ",B90)</f>
        <v>Caltagirone Ryan</v>
      </c>
      <c r="D90">
        <v>8977234</v>
      </c>
      <c r="E90" t="s">
        <v>21</v>
      </c>
      <c r="F90" s="1" t="s">
        <v>22</v>
      </c>
      <c r="G90" t="s">
        <v>23</v>
      </c>
      <c r="H90" t="s">
        <v>254</v>
      </c>
      <c r="I90" t="s">
        <v>255</v>
      </c>
      <c r="J90" s="2">
        <v>44927</v>
      </c>
      <c r="K90" t="s">
        <v>124</v>
      </c>
      <c r="L90" s="2">
        <v>45352</v>
      </c>
      <c r="M90">
        <v>1</v>
      </c>
      <c r="N90">
        <v>25</v>
      </c>
      <c r="O90">
        <v>0</v>
      </c>
      <c r="P90">
        <v>25</v>
      </c>
      <c r="Q90" t="s">
        <v>170</v>
      </c>
      <c r="R90" s="2">
        <v>45429</v>
      </c>
      <c r="S90" t="s">
        <v>28</v>
      </c>
      <c r="T90" t="s">
        <v>29</v>
      </c>
    </row>
    <row r="91" spans="1:20" x14ac:dyDescent="0.3">
      <c r="A91" t="s">
        <v>44</v>
      </c>
      <c r="B91" t="s">
        <v>45</v>
      </c>
      <c r="C91" t="str">
        <f>CONCATENATE(A91, " ",B91)</f>
        <v>Teipel Gregory</v>
      </c>
      <c r="D91">
        <v>8307933</v>
      </c>
      <c r="E91" t="s">
        <v>21</v>
      </c>
      <c r="F91" s="1" t="s">
        <v>22</v>
      </c>
      <c r="G91" t="s">
        <v>23</v>
      </c>
      <c r="H91" t="s">
        <v>122</v>
      </c>
      <c r="I91" t="s">
        <v>123</v>
      </c>
      <c r="J91" s="2">
        <v>45383</v>
      </c>
      <c r="K91" t="s">
        <v>124</v>
      </c>
      <c r="L91" s="2">
        <v>45383</v>
      </c>
      <c r="M91">
        <v>1</v>
      </c>
      <c r="N91">
        <v>25</v>
      </c>
      <c r="O91">
        <v>0</v>
      </c>
      <c r="P91">
        <v>25</v>
      </c>
      <c r="Q91" t="s">
        <v>125</v>
      </c>
      <c r="R91" s="2">
        <v>45429</v>
      </c>
      <c r="S91" t="s">
        <v>28</v>
      </c>
      <c r="T91" t="s">
        <v>29</v>
      </c>
    </row>
    <row r="92" spans="1:20" x14ac:dyDescent="0.3">
      <c r="A92" t="s">
        <v>44</v>
      </c>
      <c r="B92" t="s">
        <v>45</v>
      </c>
      <c r="C92" t="str">
        <f>CONCATENATE(A92, " ",B92)</f>
        <v>Teipel Gregory</v>
      </c>
      <c r="D92">
        <v>8307933</v>
      </c>
      <c r="E92" t="s">
        <v>21</v>
      </c>
      <c r="F92" s="1" t="s">
        <v>22</v>
      </c>
      <c r="G92" t="s">
        <v>23</v>
      </c>
      <c r="H92" t="s">
        <v>168</v>
      </c>
      <c r="I92" t="s">
        <v>169</v>
      </c>
      <c r="J92" s="2">
        <v>45261</v>
      </c>
      <c r="K92" t="s">
        <v>124</v>
      </c>
      <c r="L92" s="2">
        <v>45383</v>
      </c>
      <c r="M92">
        <v>3</v>
      </c>
      <c r="N92">
        <v>75</v>
      </c>
      <c r="O92">
        <v>0</v>
      </c>
      <c r="P92">
        <v>75</v>
      </c>
      <c r="Q92" t="s">
        <v>170</v>
      </c>
      <c r="R92" s="2">
        <v>45429</v>
      </c>
      <c r="S92" t="s">
        <v>28</v>
      </c>
      <c r="T92" t="s">
        <v>29</v>
      </c>
    </row>
    <row r="93" spans="1:20" x14ac:dyDescent="0.3">
      <c r="A93" t="s">
        <v>44</v>
      </c>
      <c r="B93" t="s">
        <v>45</v>
      </c>
      <c r="C93" t="str">
        <f>CONCATENATE(A93, " ",B93)</f>
        <v>Teipel Gregory</v>
      </c>
      <c r="D93">
        <v>8307933</v>
      </c>
      <c r="E93" t="s">
        <v>21</v>
      </c>
      <c r="F93" s="1" t="s">
        <v>22</v>
      </c>
      <c r="G93" t="s">
        <v>23</v>
      </c>
      <c r="H93" t="s">
        <v>171</v>
      </c>
      <c r="I93" t="s">
        <v>172</v>
      </c>
      <c r="J93" s="2">
        <v>45292</v>
      </c>
      <c r="K93" t="s">
        <v>124</v>
      </c>
      <c r="L93" s="2">
        <v>45383</v>
      </c>
      <c r="M93">
        <v>2</v>
      </c>
      <c r="N93">
        <v>50</v>
      </c>
      <c r="O93">
        <v>0</v>
      </c>
      <c r="P93">
        <v>50</v>
      </c>
      <c r="Q93" t="s">
        <v>125</v>
      </c>
      <c r="R93" s="2">
        <v>45429</v>
      </c>
      <c r="S93" t="s">
        <v>28</v>
      </c>
      <c r="T93" t="s">
        <v>29</v>
      </c>
    </row>
    <row r="94" spans="1:20" x14ac:dyDescent="0.3">
      <c r="A94" t="s">
        <v>19</v>
      </c>
      <c r="B94" t="s">
        <v>20</v>
      </c>
      <c r="C94" t="str">
        <f>CONCATENATE(A94, " ",B94)</f>
        <v>Richter Adam</v>
      </c>
      <c r="D94">
        <v>9079571</v>
      </c>
      <c r="E94" t="s">
        <v>21</v>
      </c>
      <c r="F94" s="1" t="s">
        <v>22</v>
      </c>
      <c r="G94" t="s">
        <v>23</v>
      </c>
      <c r="H94" t="s">
        <v>40</v>
      </c>
      <c r="I94" t="s">
        <v>41</v>
      </c>
      <c r="J94" s="2">
        <v>45292</v>
      </c>
      <c r="K94" t="s">
        <v>42</v>
      </c>
      <c r="L94" s="2">
        <v>45383</v>
      </c>
      <c r="M94">
        <v>2</v>
      </c>
      <c r="N94">
        <v>40</v>
      </c>
      <c r="O94">
        <v>0</v>
      </c>
      <c r="P94">
        <v>40</v>
      </c>
      <c r="Q94" t="s">
        <v>43</v>
      </c>
      <c r="R94" s="2">
        <v>45429</v>
      </c>
      <c r="S94" t="s">
        <v>28</v>
      </c>
      <c r="T94" t="s">
        <v>29</v>
      </c>
    </row>
    <row r="95" spans="1:20" x14ac:dyDescent="0.3">
      <c r="A95" t="s">
        <v>19</v>
      </c>
      <c r="B95" t="s">
        <v>20</v>
      </c>
      <c r="C95" t="str">
        <f>CONCATENATE(A95, " ",B95)</f>
        <v>Richter Adam</v>
      </c>
      <c r="D95">
        <v>9079571</v>
      </c>
      <c r="E95" t="s">
        <v>21</v>
      </c>
      <c r="F95" s="1" t="s">
        <v>22</v>
      </c>
      <c r="G95" t="s">
        <v>23</v>
      </c>
      <c r="H95" t="s">
        <v>130</v>
      </c>
      <c r="I95" t="s">
        <v>131</v>
      </c>
      <c r="J95" s="2">
        <v>45139</v>
      </c>
      <c r="K95" t="s">
        <v>42</v>
      </c>
      <c r="L95" s="2">
        <v>45383</v>
      </c>
      <c r="M95">
        <v>1</v>
      </c>
      <c r="N95">
        <v>20</v>
      </c>
      <c r="O95">
        <v>0</v>
      </c>
      <c r="P95">
        <v>20</v>
      </c>
      <c r="Q95" t="s">
        <v>132</v>
      </c>
      <c r="R95" s="2">
        <v>45429</v>
      </c>
      <c r="S95" t="s">
        <v>28</v>
      </c>
      <c r="T95" t="s">
        <v>133</v>
      </c>
    </row>
    <row r="96" spans="1:20" x14ac:dyDescent="0.3">
      <c r="A96" t="s">
        <v>19</v>
      </c>
      <c r="B96" t="s">
        <v>20</v>
      </c>
      <c r="C96" t="str">
        <f>CONCATENATE(A96, " ",B96)</f>
        <v>Richter Adam</v>
      </c>
      <c r="D96">
        <v>9079571</v>
      </c>
      <c r="E96" t="s">
        <v>21</v>
      </c>
      <c r="F96" s="1" t="s">
        <v>22</v>
      </c>
      <c r="G96" t="s">
        <v>23</v>
      </c>
      <c r="H96" t="s">
        <v>138</v>
      </c>
      <c r="I96" t="s">
        <v>139</v>
      </c>
      <c r="J96" s="2">
        <v>45292</v>
      </c>
      <c r="K96" t="s">
        <v>42</v>
      </c>
      <c r="L96" s="2">
        <v>45383</v>
      </c>
      <c r="M96">
        <v>1</v>
      </c>
      <c r="N96">
        <v>20</v>
      </c>
      <c r="O96">
        <v>0</v>
      </c>
      <c r="P96">
        <v>20</v>
      </c>
      <c r="Q96" t="s">
        <v>140</v>
      </c>
      <c r="R96" s="2">
        <v>45429</v>
      </c>
      <c r="S96" t="s">
        <v>28</v>
      </c>
      <c r="T96" t="s">
        <v>133</v>
      </c>
    </row>
    <row r="97" spans="1:20" x14ac:dyDescent="0.3">
      <c r="A97" t="s">
        <v>19</v>
      </c>
      <c r="B97" t="s">
        <v>20</v>
      </c>
      <c r="C97" t="str">
        <f>CONCATENATE(A97, " ",B97)</f>
        <v>Richter Adam</v>
      </c>
      <c r="D97">
        <v>9079571</v>
      </c>
      <c r="E97" t="s">
        <v>21</v>
      </c>
      <c r="F97" s="1" t="s">
        <v>22</v>
      </c>
      <c r="G97" t="s">
        <v>23</v>
      </c>
      <c r="H97" t="s">
        <v>160</v>
      </c>
      <c r="I97" t="s">
        <v>161</v>
      </c>
      <c r="J97" s="2">
        <v>44927</v>
      </c>
      <c r="K97" t="s">
        <v>42</v>
      </c>
      <c r="L97" s="2">
        <v>45383</v>
      </c>
      <c r="M97">
        <v>3</v>
      </c>
      <c r="N97">
        <v>60</v>
      </c>
      <c r="O97">
        <v>0</v>
      </c>
      <c r="P97">
        <v>60</v>
      </c>
      <c r="Q97" t="s">
        <v>132</v>
      </c>
      <c r="R97" s="2">
        <v>45429</v>
      </c>
      <c r="S97" t="s">
        <v>28</v>
      </c>
      <c r="T97" t="s">
        <v>133</v>
      </c>
    </row>
    <row r="98" spans="1:20" x14ac:dyDescent="0.3">
      <c r="A98" t="s">
        <v>19</v>
      </c>
      <c r="B98" t="s">
        <v>20</v>
      </c>
      <c r="C98" t="str">
        <f>CONCATENATE(A98, " ",B98)</f>
        <v>Richter Adam</v>
      </c>
      <c r="D98">
        <v>9079571</v>
      </c>
      <c r="E98" t="s">
        <v>21</v>
      </c>
      <c r="F98" s="1" t="s">
        <v>22</v>
      </c>
      <c r="G98" t="s">
        <v>23</v>
      </c>
      <c r="H98" t="s">
        <v>211</v>
      </c>
      <c r="I98" t="s">
        <v>212</v>
      </c>
      <c r="J98" s="2">
        <v>45352</v>
      </c>
      <c r="K98" t="s">
        <v>42</v>
      </c>
      <c r="L98" s="2">
        <v>45383</v>
      </c>
      <c r="M98">
        <v>1</v>
      </c>
      <c r="N98">
        <v>20</v>
      </c>
      <c r="O98">
        <v>0</v>
      </c>
      <c r="P98">
        <v>20</v>
      </c>
      <c r="Q98" t="s">
        <v>140</v>
      </c>
      <c r="R98" s="2">
        <v>45429</v>
      </c>
      <c r="S98" t="s">
        <v>28</v>
      </c>
      <c r="T98" t="s">
        <v>133</v>
      </c>
    </row>
    <row r="99" spans="1:20" x14ac:dyDescent="0.3">
      <c r="A99" t="s">
        <v>19</v>
      </c>
      <c r="B99" t="s">
        <v>20</v>
      </c>
      <c r="C99" t="str">
        <f>CONCATENATE(A99, " ",B99)</f>
        <v>Richter Adam</v>
      </c>
      <c r="D99">
        <v>9079571</v>
      </c>
      <c r="E99" t="s">
        <v>21</v>
      </c>
      <c r="F99" s="1" t="s">
        <v>22</v>
      </c>
      <c r="G99" t="s">
        <v>23</v>
      </c>
      <c r="H99" t="s">
        <v>228</v>
      </c>
      <c r="I99" t="s">
        <v>229</v>
      </c>
      <c r="J99" s="2">
        <v>44927</v>
      </c>
      <c r="K99" t="s">
        <v>42</v>
      </c>
      <c r="L99" s="2">
        <v>45383</v>
      </c>
      <c r="M99">
        <v>1</v>
      </c>
      <c r="N99">
        <v>20</v>
      </c>
      <c r="O99">
        <v>0</v>
      </c>
      <c r="P99">
        <v>20</v>
      </c>
      <c r="Q99" t="s">
        <v>132</v>
      </c>
      <c r="R99" s="2">
        <v>45429</v>
      </c>
      <c r="S99" t="s">
        <v>28</v>
      </c>
      <c r="T99" t="s">
        <v>133</v>
      </c>
    </row>
  </sheetData>
  <sortState xmlns:xlrd2="http://schemas.microsoft.com/office/spreadsheetml/2017/richdata2" ref="A2:T99">
    <sortCondition ref="K2:K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2024-05-21T16:41:24Z</dcterms:created>
  <dcterms:modified xsi:type="dcterms:W3CDTF">2024-05-23T14:34:26Z</dcterms:modified>
</cp:coreProperties>
</file>