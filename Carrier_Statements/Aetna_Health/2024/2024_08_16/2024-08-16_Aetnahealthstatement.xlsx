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Aetna 8-16-24\"/>
    </mc:Choice>
  </mc:AlternateContent>
  <xr:revisionPtr revIDLastSave="0" documentId="13_ncr:1_{1A41A6BC-315D-4EA3-AB3A-C8079D9472DE}" xr6:coauthVersionLast="47" xr6:coauthVersionMax="47" xr10:uidLastSave="{00000000-0000-0000-0000-000000000000}"/>
  <bookViews>
    <workbookView xWindow="-57720" yWindow="-120" windowWidth="29040" windowHeight="15720" xr2:uid="{AB63FA4C-315B-4BC5-95A6-79F9AE441B3A}"/>
  </bookViews>
  <sheets>
    <sheet name="Main Line Benefits LLC_ifp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5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2" i="1"/>
</calcChain>
</file>

<file path=xl/sharedStrings.xml><?xml version="1.0" encoding="utf-8"?>
<sst xmlns="http://schemas.openxmlformats.org/spreadsheetml/2006/main" count="1840" uniqueCount="396">
  <si>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</si>
  <si>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</si>
  <si>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</si>
  <si>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</si>
  <si>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</si>
  <si>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</si>
  <si>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</si>
  <si>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</si>
  <si>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</si>
  <si>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</si>
  <si>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</si>
  <si>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</si>
  <si>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</si>
  <si>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</si>
  <si>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</si>
  <si>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</si>
  <si>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</si>
  <si>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</si>
  <si>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</si>
  <si>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</si>
  <si>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</si>
  <si>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</si>
  <si>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Agent Pipeline, LLC</t>
  </si>
  <si>
    <t>IANG10194338970002MD016</t>
  </si>
  <si>
    <t>ARAUJO, SEAN Anthony</t>
  </si>
  <si>
    <t>MD</t>
  </si>
  <si>
    <t>2024 MD $20 PMPM Medical (Cap 5 applied)</t>
  </si>
  <si>
    <t>Y</t>
  </si>
  <si>
    <t>Aetna</t>
  </si>
  <si>
    <t>PORTUGAL</t>
  </si>
  <si>
    <t>GARY</t>
  </si>
  <si>
    <t>IANG10185592290001IL016</t>
  </si>
  <si>
    <t>ARROYO, MARIA</t>
  </si>
  <si>
    <t>IL</t>
  </si>
  <si>
    <t>2024 IL $20 PMPM Renewal Medical (Cap 5 applied)</t>
  </si>
  <si>
    <t>IANG10197476920002MD016</t>
  </si>
  <si>
    <t>ASQUITH, JOSEPH</t>
  </si>
  <si>
    <t>Caltagirone</t>
  </si>
  <si>
    <t>Ryan</t>
  </si>
  <si>
    <t>IANG10166062160001FL016</t>
  </si>
  <si>
    <t>AUDRAIN, SUSANA</t>
  </si>
  <si>
    <t>FL</t>
  </si>
  <si>
    <t>2024 FL $25 PMPM Renewal Medical (Cap 5 applied)</t>
  </si>
  <si>
    <t>IANG10189387840002VA016</t>
  </si>
  <si>
    <t>BAKER, CALVIN</t>
  </si>
  <si>
    <t>VA</t>
  </si>
  <si>
    <t>2024 VA $20 PMPM Medical (Cap 5 applied)</t>
  </si>
  <si>
    <t>Zana</t>
  </si>
  <si>
    <t>Nasandelger</t>
  </si>
  <si>
    <t>IANG10189208990001IL016</t>
  </si>
  <si>
    <t>BATBOLD, NANDINERDENE</t>
  </si>
  <si>
    <t>2024 IL $20 PMPM Medical (Cap 5 applied)</t>
  </si>
  <si>
    <t>IANG10189284860001IL016</t>
  </si>
  <si>
    <t>BATZAYA, BULGANTUUL</t>
  </si>
  <si>
    <t>Teipel</t>
  </si>
  <si>
    <t>Gregory</t>
  </si>
  <si>
    <t>IANG10165751930001IL016</t>
  </si>
  <si>
    <t>BEHLING, KARL</t>
  </si>
  <si>
    <t>IANG10201071510001IL016</t>
  </si>
  <si>
    <t>BEVERLEY, AMANDA L</t>
  </si>
  <si>
    <t>SCHUMANN</t>
  </si>
  <si>
    <t>BARRY</t>
  </si>
  <si>
    <t>IANG10198673260001IL016</t>
  </si>
  <si>
    <t>BOFFA, MARTINO</t>
  </si>
  <si>
    <t>IANG10192475650001IL016</t>
  </si>
  <si>
    <t>BOLDBAATAR, TAMIR</t>
  </si>
  <si>
    <t>IANG10182910810001IL016</t>
  </si>
  <si>
    <t>BOUZOUBAA, ABDERRAHMAN</t>
  </si>
  <si>
    <t>IANG10186976740001MO016</t>
  </si>
  <si>
    <t>BOWMAN, SCOTT</t>
  </si>
  <si>
    <t>MO</t>
  </si>
  <si>
    <t>2024 MO $20 PMPM Medical (Cap 5 applied)</t>
  </si>
  <si>
    <t>IANG10190333040001NC016</t>
  </si>
  <si>
    <t>BUCHANAN, STEPHEN</t>
  </si>
  <si>
    <t>NC</t>
  </si>
  <si>
    <t>2024 NC $25 PMPM Medical (Cap 5 applied)</t>
  </si>
  <si>
    <t>IANG10189717020001IL016</t>
  </si>
  <si>
    <t>BURNES, RICHARD</t>
  </si>
  <si>
    <t>IANG10198307400002MD016</t>
  </si>
  <si>
    <t>CARMEAN, KATHLEEN</t>
  </si>
  <si>
    <t>IANG10200048470002MD016</t>
  </si>
  <si>
    <t>CARRILLO RIOS, MABY Herendira</t>
  </si>
  <si>
    <t>IANG10199904090002VA017</t>
  </si>
  <si>
    <t>CARROLL, ANTHONY</t>
  </si>
  <si>
    <t>2024 VA IH $20 PMPM Medical (Cap 5 applied)</t>
  </si>
  <si>
    <t>Innovation Health</t>
  </si>
  <si>
    <t>IANG10169693140001AZ018</t>
  </si>
  <si>
    <t>CHRIST, TANNER</t>
  </si>
  <si>
    <t>AZ</t>
  </si>
  <si>
    <t>2024 AZ Banner $20 PMPM Renewal Medical (Cap 5 applied)</t>
  </si>
  <si>
    <t>Banner | Aetna</t>
  </si>
  <si>
    <t>IANG10195794070001IL016</t>
  </si>
  <si>
    <t>CHULTEM, BATBAATAR</t>
  </si>
  <si>
    <t>KUCAN</t>
  </si>
  <si>
    <t>THOMAS</t>
  </si>
  <si>
    <t>IANG10193392830002MD016</t>
  </si>
  <si>
    <t>CLARKSON, DENISE J</t>
  </si>
  <si>
    <t>DRAPAC</t>
  </si>
  <si>
    <t>STEPHANIE</t>
  </si>
  <si>
    <t>IANG10202059620001IL016</t>
  </si>
  <si>
    <t>COLON, ARNOLDO</t>
  </si>
  <si>
    <t>IANG10202880150002MD016</t>
  </si>
  <si>
    <t>CONSTANTINE, BARRY</t>
  </si>
  <si>
    <t>IANG10172506430001AZ018</t>
  </si>
  <si>
    <t>CORTEZ MERCADO, ENEIDA</t>
  </si>
  <si>
    <t>IANG10202355830002MD016</t>
  </si>
  <si>
    <t>CUCINA, STEPHANIE</t>
  </si>
  <si>
    <t>IANG10197546640001IL016</t>
  </si>
  <si>
    <t>DASHDORJ, ERDENECHIMEG</t>
  </si>
  <si>
    <t>TAPPER</t>
  </si>
  <si>
    <t>RANDY</t>
  </si>
  <si>
    <t>IANG10199827880001IL016</t>
  </si>
  <si>
    <t>DAVIS, CANDIE</t>
  </si>
  <si>
    <t>IANG10192280510001IL016</t>
  </si>
  <si>
    <t>DAVIS, PAULA</t>
  </si>
  <si>
    <t>IANG10201464700002MD016</t>
  </si>
  <si>
    <t>DE LOS SANTOS MORA, CLARA MAXIMINA</t>
  </si>
  <si>
    <t>IANG10197479610002MD016</t>
  </si>
  <si>
    <t>DEMPSEY, JANET</t>
  </si>
  <si>
    <t>IANG10175799500001FL016</t>
  </si>
  <si>
    <t>DEVILLO, PENNY</t>
  </si>
  <si>
    <t>IANG10182434580001NC016</t>
  </si>
  <si>
    <t>DICKEY, TAYLOR</t>
  </si>
  <si>
    <t>IANG10191074070001IL016</t>
  </si>
  <si>
    <t>DIMOPOULOS, VOULA</t>
  </si>
  <si>
    <t>IANG10202896310002MD016</t>
  </si>
  <si>
    <t>DONALD, GLEN</t>
  </si>
  <si>
    <t>IANG10202265230001IL016</t>
  </si>
  <si>
    <t>DORJKHAND, TSENGELMAA</t>
  </si>
  <si>
    <t>IANG10201482810002MD016</t>
  </si>
  <si>
    <t>DOTSON, RODNEY</t>
  </si>
  <si>
    <t>IANG10183763710001IL016</t>
  </si>
  <si>
    <t>FUHRHOP, BRYN</t>
  </si>
  <si>
    <t>IANG10183763500001IL016</t>
  </si>
  <si>
    <t>FUHRHOP, TODD</t>
  </si>
  <si>
    <t>IANG10190155910002MD016</t>
  </si>
  <si>
    <t>GANESHAN, LINDA</t>
  </si>
  <si>
    <t>WHITE</t>
  </si>
  <si>
    <t>LANEECE</t>
  </si>
  <si>
    <t>IANG10188078710002MD016</t>
  </si>
  <si>
    <t>GITTENS, CHANTAL</t>
  </si>
  <si>
    <t>IANG10198737020002MD016</t>
  </si>
  <si>
    <t>GLOAD, ROBERT</t>
  </si>
  <si>
    <t>IANG10184604780001IL016</t>
  </si>
  <si>
    <t>GOLD, JULIE</t>
  </si>
  <si>
    <t>IANG10202448560002MD016</t>
  </si>
  <si>
    <t>GOLI, MAHNAZ</t>
  </si>
  <si>
    <t>IANG10188072440001KS016</t>
  </si>
  <si>
    <t>GRAFE, SHARON</t>
  </si>
  <si>
    <t>KS</t>
  </si>
  <si>
    <t>2024 KS $20 PMPM Medical (Cap 5 applied)</t>
  </si>
  <si>
    <t>IANG10193997650001FL016</t>
  </si>
  <si>
    <t>GRAHAM, KAREN</t>
  </si>
  <si>
    <t>2024 FL $25 PMPM Medical (Cap 5 applied)</t>
  </si>
  <si>
    <t>FOLEY</t>
  </si>
  <si>
    <t>CAROL</t>
  </si>
  <si>
    <t>IANG10196128640001NC016</t>
  </si>
  <si>
    <t>GRIFFIN, WINIFRED</t>
  </si>
  <si>
    <t>IANG10189633210001FL016</t>
  </si>
  <si>
    <t>GRUEN, NICHOLAS</t>
  </si>
  <si>
    <t>IANG10184600190001AZ018</t>
  </si>
  <si>
    <t>HANAFI, COLEEN</t>
  </si>
  <si>
    <t>2024 AZ Banner $20 PMPM Medical (Cap 5 applied)</t>
  </si>
  <si>
    <t>IANG10201579060002MD016</t>
  </si>
  <si>
    <t>HAWKINS, HARVEY</t>
  </si>
  <si>
    <t>LISKOVEC</t>
  </si>
  <si>
    <t>FRANK</t>
  </si>
  <si>
    <t>IANG10201061080001IL016</t>
  </si>
  <si>
    <t>HERGOTT, JOSHUA</t>
  </si>
  <si>
    <t>YALE</t>
  </si>
  <si>
    <t>RICHARD</t>
  </si>
  <si>
    <t>IANG10168630150001FL016</t>
  </si>
  <si>
    <t>HERMAN, JENI</t>
  </si>
  <si>
    <t>IANG10190643640001IL016</t>
  </si>
  <si>
    <t>HIERTZ, JOSEPH</t>
  </si>
  <si>
    <t>Finnigan</t>
  </si>
  <si>
    <t>Colleen</t>
  </si>
  <si>
    <t>IANG10188576080001NC016</t>
  </si>
  <si>
    <t>HINES, BARRY</t>
  </si>
  <si>
    <t>IANG10182186200001FL016</t>
  </si>
  <si>
    <t>HINTON, RICHARD M</t>
  </si>
  <si>
    <t>IANG10202880200002MD016</t>
  </si>
  <si>
    <t>HOFFMAN, DANIEL</t>
  </si>
  <si>
    <t>IANG10198846580001TX016</t>
  </si>
  <si>
    <t>HUMPHRIES, EVELYN</t>
  </si>
  <si>
    <t>TX</t>
  </si>
  <si>
    <t>2024 TX $25 PMPM Medical (Cap 5 applied)</t>
  </si>
  <si>
    <t>IANG10174755120001FL016</t>
  </si>
  <si>
    <t>IRWIN, KELLY</t>
  </si>
  <si>
    <t>IANG10200385590002MD016</t>
  </si>
  <si>
    <t>JACOBS, GLORIA</t>
  </si>
  <si>
    <t>IANG10174949530002VA017</t>
  </si>
  <si>
    <t>JOHNSON, MADELENA</t>
  </si>
  <si>
    <t>2024 VA IH $20 PMPM Renewal Medical (Cap 5 applied)</t>
  </si>
  <si>
    <t>IANG10196650590002MD016</t>
  </si>
  <si>
    <t>JONES, JORDAN</t>
  </si>
  <si>
    <t>IANG10202781330001IL016</t>
  </si>
  <si>
    <t>JONES, SUSAN</t>
  </si>
  <si>
    <t>IANG10201041670001IL016</t>
  </si>
  <si>
    <t>JUMDAA, OYUN</t>
  </si>
  <si>
    <t>IANG10189374880001IL016</t>
  </si>
  <si>
    <t>JUNG, RICHARD John</t>
  </si>
  <si>
    <t>IANG10189765360002VA017</t>
  </si>
  <si>
    <t>KAMERMAN, CAITLIN Rose</t>
  </si>
  <si>
    <t>IANG10196504730002MD016</t>
  </si>
  <si>
    <t>KELLUM, KEONDRA</t>
  </si>
  <si>
    <t>IANG10162134860001AZ018</t>
  </si>
  <si>
    <t>KENNEDY, RICHARD</t>
  </si>
  <si>
    <t>IANG10189540330001IL016</t>
  </si>
  <si>
    <t>KIEMEL, LAUREEN Sartin</t>
  </si>
  <si>
    <t>IANG10202139900002MD016</t>
  </si>
  <si>
    <t>KNICKMEYER, LISA Ann</t>
  </si>
  <si>
    <t>HODGMAN</t>
  </si>
  <si>
    <t>TIMOTHY</t>
  </si>
  <si>
    <t>IANG10199092140001FL016</t>
  </si>
  <si>
    <t>KOSUT, JANET</t>
  </si>
  <si>
    <t>IANG10157714850001FL016</t>
  </si>
  <si>
    <t>LARSON, ALEXANDRIA</t>
  </si>
  <si>
    <t>IANG10202449920002MD016</t>
  </si>
  <si>
    <t>LINK, ROBERT</t>
  </si>
  <si>
    <t>IANG10190054720001NC016</t>
  </si>
  <si>
    <t>LUMFORD, BRANDY</t>
  </si>
  <si>
    <t>IANG10190240260001NC016</t>
  </si>
  <si>
    <t>LUMFORD, JUDY</t>
  </si>
  <si>
    <t>IANG10172011290001AZ018</t>
  </si>
  <si>
    <t>LUNA, RAYMUNDO</t>
  </si>
  <si>
    <t>IANG10183966270001AZ018</t>
  </si>
  <si>
    <t>LUTHER, VIOLETA</t>
  </si>
  <si>
    <t>IANG10183737780001NC016</t>
  </si>
  <si>
    <t>LYNCH, SHELDON</t>
  </si>
  <si>
    <t>2024 NC $25 PMPM Renewal Medical (Cap 5 applied)</t>
  </si>
  <si>
    <t>IANG10165673930001NC016</t>
  </si>
  <si>
    <t>MASSENGILL, KEVIN</t>
  </si>
  <si>
    <t>IANG10179120920001FL016</t>
  </si>
  <si>
    <t>MATASEK, MARY KAY</t>
  </si>
  <si>
    <t>IANG10160074860001AZ018</t>
  </si>
  <si>
    <t>MAYER, BEVERLY</t>
  </si>
  <si>
    <t>IANG10185634410001TX016</t>
  </si>
  <si>
    <t>MCCALLON, JODY</t>
  </si>
  <si>
    <t>2024 TX $25 PMPM Renewal Medical (Cap 5 applied)</t>
  </si>
  <si>
    <t>IANG10185878420001TX016</t>
  </si>
  <si>
    <t>MCGAHEE, VINCENT</t>
  </si>
  <si>
    <t>Portugal</t>
  </si>
  <si>
    <t>Stacey</t>
  </si>
  <si>
    <t>IANG10201040520001IL016</t>
  </si>
  <si>
    <t>MCKAY, ALEXANDRA</t>
  </si>
  <si>
    <t>IANG10191109090001KS016</t>
  </si>
  <si>
    <t>MCPHERSON, MATT daniel</t>
  </si>
  <si>
    <t>IANG10196470740001AZ018</t>
  </si>
  <si>
    <t>MILLER, JEFFREY</t>
  </si>
  <si>
    <t>IANG10191498360002MD016</t>
  </si>
  <si>
    <t>MIXSON, MILES</t>
  </si>
  <si>
    <t>IANG10192669330001IL016</t>
  </si>
  <si>
    <t>MOORE, GEORGE</t>
  </si>
  <si>
    <t>IANG10185292240001IL016</t>
  </si>
  <si>
    <t>MORAN JR, WAYNE E</t>
  </si>
  <si>
    <t>IANG10183284320001FL016</t>
  </si>
  <si>
    <t>MURPHY, SHAWN</t>
  </si>
  <si>
    <t>IANG10202182200001IL016</t>
  </si>
  <si>
    <t>MYAGMARJAV, TSERENCHIMEG</t>
  </si>
  <si>
    <t>IANG10192969020002MD016</t>
  </si>
  <si>
    <t>NAHAR, SHIRIN</t>
  </si>
  <si>
    <t>IANG10201366300001IL016</t>
  </si>
  <si>
    <t>NASANBAT, TUSHINJARGAL</t>
  </si>
  <si>
    <t>IANG10161438690001FL016</t>
  </si>
  <si>
    <t>NGUYEN, THAY</t>
  </si>
  <si>
    <t>IANG10201935820002MD016</t>
  </si>
  <si>
    <t>NIMIETZ, EDEN Ori</t>
  </si>
  <si>
    <t>IANG10195994540001IL016</t>
  </si>
  <si>
    <t>ODONJAVKHLAN, JAVKHLANBAYAR</t>
  </si>
  <si>
    <t>IANG10162325110001NC016</t>
  </si>
  <si>
    <t>PARKER, PHYLLIS Burleson</t>
  </si>
  <si>
    <t>IANG10189498610001IL016</t>
  </si>
  <si>
    <t>PATEL, MIRAL</t>
  </si>
  <si>
    <t>IANG10188584480001IL016</t>
  </si>
  <si>
    <t>PATEL, SUNIL</t>
  </si>
  <si>
    <t>IANG10200901270002MD016</t>
  </si>
  <si>
    <t>PAYNE, AJA</t>
  </si>
  <si>
    <t>IANG10189520260001IL016</t>
  </si>
  <si>
    <t>PERMINAS, KESTAS</t>
  </si>
  <si>
    <t>IANG10156980540001NC016</t>
  </si>
  <si>
    <t>PINCHEON, LINDA</t>
  </si>
  <si>
    <t>IANG10196001960002VA017</t>
  </si>
  <si>
    <t>QUARTANA, MATTHEW</t>
  </si>
  <si>
    <t>HANSFORD</t>
  </si>
  <si>
    <t>GREGORY</t>
  </si>
  <si>
    <t>IANG10191010090001IL016</t>
  </si>
  <si>
    <t>RANDLE, MARLON</t>
  </si>
  <si>
    <t>IANG10158441000001FL016</t>
  </si>
  <si>
    <t>RATHGEB JR, THEROLD</t>
  </si>
  <si>
    <t>IANG10166197940001IL016</t>
  </si>
  <si>
    <t>RESS, VACILIKI</t>
  </si>
  <si>
    <t>IANG10184126030001FL016</t>
  </si>
  <si>
    <t>RHEE, KYU</t>
  </si>
  <si>
    <t>Pardue</t>
  </si>
  <si>
    <t>Thomas</t>
  </si>
  <si>
    <t>IANG10174742330001FL016</t>
  </si>
  <si>
    <t>RITCHIE, CHRISSY</t>
  </si>
  <si>
    <t>IANG10169067490002NJ016</t>
  </si>
  <si>
    <t>ROBERTS, CORDELLA</t>
  </si>
  <si>
    <t>NJ</t>
  </si>
  <si>
    <t>2024 NJ $20 PMPM Renewal Medical (Cap 5 applied)</t>
  </si>
  <si>
    <t>IANG10178256730001NC016</t>
  </si>
  <si>
    <t>RUSSELL, PAULA</t>
  </si>
  <si>
    <t>IANG10189846680001IL016</t>
  </si>
  <si>
    <t>SAMBUU, KHISHIGSUREN</t>
  </si>
  <si>
    <t>IANG10158336790001MO016</t>
  </si>
  <si>
    <t>SCHMITZ, LUANNA Joyce</t>
  </si>
  <si>
    <t>2024 MO $20 PMPM Renewal Medical (Cap 5 applied)</t>
  </si>
  <si>
    <t>IANG10160438050002VA017</t>
  </si>
  <si>
    <t>SCHNEIDERMAN, CAITLIN Rebecca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</si>
  <si>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</si>
  <si>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</si>
  <si>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</si>
  <si>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</si>
  <si>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</si>
  <si>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</si>
  <si>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</si>
  <si>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</si>
  <si>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IANG10202271270001IL016</t>
  </si>
  <si>
    <t>SERGELEN, TEMUULEN</t>
  </si>
  <si>
    <t>IANG10171561310001AZ018</t>
  </si>
  <si>
    <t>SHELLEY, TRACY</t>
  </si>
  <si>
    <t>IANG10202078230002MD016</t>
  </si>
  <si>
    <t>SMITH, FRANCIS Carroll</t>
  </si>
  <si>
    <t>IANG10166172710001FL016</t>
  </si>
  <si>
    <t>STEPHENSON, ROBERT BENJAMIN</t>
  </si>
  <si>
    <t>IANG10182808210001NC016</t>
  </si>
  <si>
    <t>STEWART, LORRAINE</t>
  </si>
  <si>
    <t>TAUGNER</t>
  </si>
  <si>
    <t>CHRISTIAN</t>
  </si>
  <si>
    <t>IANG10200714520001IL016</t>
  </si>
  <si>
    <t>SULLIVAN, DUSTIN</t>
  </si>
  <si>
    <t>IANG10183475490001FL016</t>
  </si>
  <si>
    <t>SWARTZ, RICHARD</t>
  </si>
  <si>
    <t>Hoffmann</t>
  </si>
  <si>
    <t>Jason</t>
  </si>
  <si>
    <t>IANG10164929470002NJ016</t>
  </si>
  <si>
    <t>TATE, ALEXANDER M</t>
  </si>
  <si>
    <t>IANG10201576670002MD016</t>
  </si>
  <si>
    <t>TEKLEYESUS, BIRIKTI</t>
  </si>
  <si>
    <t>IANG10165938960001NC016</t>
  </si>
  <si>
    <t>TOWNSEND, KAITLYN</t>
  </si>
  <si>
    <t>IANG10201859300001TX016</t>
  </si>
  <si>
    <t>VAUGHAN, SUSAN</t>
  </si>
  <si>
    <t>IANG10195273500001FL016</t>
  </si>
  <si>
    <t>VAUGHN, MICHELLE</t>
  </si>
  <si>
    <t>IANG10199943210002MD016</t>
  </si>
  <si>
    <t>VELASCO, DANIELA</t>
  </si>
  <si>
    <t>IANG10174587130001FL016</t>
  </si>
  <si>
    <t>WEAVER, CASSANDRA</t>
  </si>
  <si>
    <t>IANG10192725890001AZ018</t>
  </si>
  <si>
    <t>WEBB, THOMAS</t>
  </si>
  <si>
    <t>IANG10165132300001IL016</t>
  </si>
  <si>
    <t>WEGER, CHRISTINE</t>
  </si>
  <si>
    <t>SANTOS</t>
  </si>
  <si>
    <t>RICARDO</t>
  </si>
  <si>
    <t>IANG10202668690001IL016</t>
  </si>
  <si>
    <t>WEILER, JESSE</t>
  </si>
  <si>
    <t>IANG10195843150002MD016</t>
  </si>
  <si>
    <t>WIESE, JAMES</t>
  </si>
  <si>
    <t>IANG10202140410002MD016</t>
  </si>
  <si>
    <t>WILKE, WAYNE Charles</t>
  </si>
  <si>
    <t>IANG10176226850001NC016</t>
  </si>
  <si>
    <t>WOODARD, VANESSA</t>
  </si>
  <si>
    <t>IANG10182908260001FL016</t>
  </si>
  <si>
    <t>WOODWARD, THOMAS</t>
  </si>
  <si>
    <t>IANG10202315580001FL016</t>
  </si>
  <si>
    <t>ZABA, TIFFANY</t>
  </si>
  <si>
    <t>IANG10188016990001NC016</t>
  </si>
  <si>
    <t>ZACCONE, JAMES</t>
  </si>
  <si>
    <t>IANG10167831560001IL016</t>
  </si>
  <si>
    <t>ZACH, ELIZABETH</t>
  </si>
  <si>
    <t>Enkhtur</t>
  </si>
  <si>
    <t>Odmaa</t>
  </si>
  <si>
    <t>IANG10201929120001IL016</t>
  </si>
  <si>
    <t>ZORIGT, TUVSHINZUL</t>
  </si>
  <si>
    <t>IANG10199379270001IL016</t>
  </si>
  <si>
    <t>ZURAITIS, JOHN</t>
  </si>
  <si>
    <t>2024 Individual Net Growth Broker Incentive Risk</t>
  </si>
  <si>
    <t>IANG10161704230001TX016</t>
  </si>
  <si>
    <t>HUMPHRIES, RAYMOND</t>
  </si>
  <si>
    <t>2024 Individual Texas New Business Broker Incentive Risk</t>
  </si>
  <si>
    <t>IANG10160432890001FL016</t>
  </si>
  <si>
    <t>JANSSEN, MORGAN leigh</t>
  </si>
  <si>
    <t>IANG10186146990001IL016</t>
  </si>
  <si>
    <t>MILLER, LAURA</t>
  </si>
  <si>
    <t>IANG10159521080001NC016</t>
  </si>
  <si>
    <t>PARROTT, JACK A</t>
  </si>
  <si>
    <t>IANG10188582250001IL016</t>
  </si>
  <si>
    <t>PATEL, SALONI</t>
  </si>
  <si>
    <t>IANG10188583710001IL016</t>
  </si>
  <si>
    <t>PATEL, SHIL</t>
  </si>
  <si>
    <t>IANG10158771240001MO016</t>
  </si>
  <si>
    <t>STANTON, CHASE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</si>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</sst>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82BB-FE08-49F3-8B79-253A28D9B875}">
  <dimension ref="A1:U185"/>
  <sheetViews>
    <sheetView tabSelected="1" topLeftCell="I181" workbookViewId="0">
      <selection activeCell="O186" sqref="O186"/>
    </sheetView>
  </sheetViews>
  <sheetFormatPr defaultRowHeight="15" x14ac:dyDescent="0.25"/>
  <cols>
    <col min="1" max="1" width="21.7109375" bestFit="1" customWidth="1"/>
    <col min="2" max="2" width="21.85546875" bestFit="1" customWidth="1"/>
    <col min="3" max="3" width="19.7109375" bestFit="1" customWidth="1"/>
    <col min="4" max="4" width="16.7109375" bestFit="1" customWidth="1"/>
    <col min="5" max="5" width="34.140625" bestFit="1" customWidth="1"/>
    <col min="6" max="6" width="21.85546875" bestFit="1" customWidth="1"/>
    <col min="7" max="7" width="20.140625" bestFit="1" customWidth="1"/>
    <col min="8" max="8" width="26" bestFit="1" customWidth="1"/>
    <col min="9" max="9" width="37" bestFit="1" customWidth="1"/>
    <col min="10" max="10" width="21.7109375" bestFit="1" customWidth="1"/>
    <col min="11" max="11" width="22.28515625" bestFit="1" customWidth="1"/>
    <col min="12" max="12" width="16.7109375" bestFit="1" customWidth="1"/>
    <col min="13" max="13" width="7.28515625" bestFit="1" customWidth="1"/>
    <col min="14" max="14" width="15.42578125" bestFit="1" customWidth="1"/>
    <col min="15" max="15" width="19.5703125" bestFit="1" customWidth="1"/>
    <col min="16" max="16" width="15" bestFit="1" customWidth="1"/>
    <col min="17" max="17" width="17.42578125" bestFit="1" customWidth="1"/>
    <col min="18" max="18" width="54.140625" bestFit="1" customWidth="1"/>
    <col min="19" max="19" width="14.140625" bestFit="1" customWidth="1"/>
    <col min="20" max="20" width="12.28515625" bestFit="1" customWidth="1"/>
    <col min="21" max="21" width="16.7109375" bestFit="1" customWidth="1"/>
  </cols>
  <sheetData>
    <row r="1" spans="1:21" x14ac:dyDescent="0.25">
      <c r="A1" t="s">
        <v>0</v>
      </c>
      <c r="B1" t="s">
        <v>1</v>
      </c>
      <c r="C1" t="s">
        <v>395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37</v>
      </c>
      <c r="B2" t="s">
        <v>38</v>
      </c>
      <c r="C2" t="str">
        <f>CONCATENATE(B2, " ", A2)</f>
        <v>Ryan Caltagirone</v>
      </c>
      <c r="D2">
        <v>8977234</v>
      </c>
      <c r="E2" t="s">
        <v>21</v>
      </c>
      <c r="F2">
        <v>1</v>
      </c>
      <c r="G2" t="s">
        <v>22</v>
      </c>
      <c r="H2" t="s">
        <v>86</v>
      </c>
      <c r="I2" t="s">
        <v>87</v>
      </c>
      <c r="J2" s="1">
        <v>44986</v>
      </c>
      <c r="K2" t="s">
        <v>88</v>
      </c>
      <c r="L2" s="2">
        <v>45474</v>
      </c>
      <c r="M2" s="2">
        <v>45474</v>
      </c>
      <c r="N2">
        <v>1</v>
      </c>
      <c r="O2">
        <v>20</v>
      </c>
      <c r="P2">
        <v>0</v>
      </c>
      <c r="Q2">
        <v>20</v>
      </c>
      <c r="R2" t="s">
        <v>89</v>
      </c>
      <c r="S2" s="1">
        <v>45520</v>
      </c>
      <c r="T2" t="s">
        <v>27</v>
      </c>
      <c r="U2" t="s">
        <v>90</v>
      </c>
    </row>
    <row r="3" spans="1:21" x14ac:dyDescent="0.25">
      <c r="A3" t="s">
        <v>29</v>
      </c>
      <c r="B3" t="s">
        <v>30</v>
      </c>
      <c r="C3" t="str">
        <f t="shared" ref="C3:C66" si="0">CONCATENATE(B3, " ", A3)</f>
        <v>GARY PORTUGAL</v>
      </c>
      <c r="D3">
        <v>9213293</v>
      </c>
      <c r="E3" t="s">
        <v>21</v>
      </c>
      <c r="F3">
        <v>1</v>
      </c>
      <c r="G3" t="s">
        <v>22</v>
      </c>
      <c r="H3" t="s">
        <v>103</v>
      </c>
      <c r="I3" t="s">
        <v>104</v>
      </c>
      <c r="J3" s="1">
        <v>45078</v>
      </c>
      <c r="K3" t="s">
        <v>88</v>
      </c>
      <c r="L3" s="2">
        <v>45474</v>
      </c>
      <c r="M3" s="2">
        <v>45474</v>
      </c>
      <c r="N3">
        <v>1</v>
      </c>
      <c r="O3">
        <v>20</v>
      </c>
      <c r="P3">
        <v>0</v>
      </c>
      <c r="Q3">
        <v>20</v>
      </c>
      <c r="R3" t="s">
        <v>89</v>
      </c>
      <c r="S3" s="1">
        <v>45520</v>
      </c>
      <c r="T3" t="s">
        <v>27</v>
      </c>
      <c r="U3" t="s">
        <v>90</v>
      </c>
    </row>
    <row r="4" spans="1:21" x14ac:dyDescent="0.25">
      <c r="A4" t="s">
        <v>37</v>
      </c>
      <c r="B4" t="s">
        <v>38</v>
      </c>
      <c r="C4" t="str">
        <f t="shared" si="0"/>
        <v>Ryan Caltagirone</v>
      </c>
      <c r="D4">
        <v>8977234</v>
      </c>
      <c r="E4" t="s">
        <v>21</v>
      </c>
      <c r="F4">
        <v>1</v>
      </c>
      <c r="G4" t="s">
        <v>22</v>
      </c>
      <c r="H4" t="s">
        <v>160</v>
      </c>
      <c r="I4" t="s">
        <v>161</v>
      </c>
      <c r="J4" s="1">
        <v>45292</v>
      </c>
      <c r="K4" t="s">
        <v>88</v>
      </c>
      <c r="L4" s="2">
        <v>45474</v>
      </c>
      <c r="M4" s="2">
        <v>45474</v>
      </c>
      <c r="N4">
        <v>2</v>
      </c>
      <c r="O4">
        <v>40</v>
      </c>
      <c r="P4">
        <v>0</v>
      </c>
      <c r="Q4">
        <v>40</v>
      </c>
      <c r="R4" t="s">
        <v>162</v>
      </c>
      <c r="S4" s="1">
        <v>45520</v>
      </c>
      <c r="T4" t="s">
        <v>27</v>
      </c>
      <c r="U4" t="s">
        <v>90</v>
      </c>
    </row>
    <row r="5" spans="1:21" x14ac:dyDescent="0.25">
      <c r="A5" t="s">
        <v>37</v>
      </c>
      <c r="B5" t="s">
        <v>38</v>
      </c>
      <c r="C5" t="str">
        <f t="shared" si="0"/>
        <v>Ryan Caltagirone</v>
      </c>
      <c r="D5">
        <v>8977234</v>
      </c>
      <c r="E5" t="s">
        <v>21</v>
      </c>
      <c r="F5">
        <v>1</v>
      </c>
      <c r="G5" t="s">
        <v>22</v>
      </c>
      <c r="H5" t="s">
        <v>206</v>
      </c>
      <c r="I5" t="s">
        <v>207</v>
      </c>
      <c r="J5" s="1">
        <v>44927</v>
      </c>
      <c r="K5" t="s">
        <v>88</v>
      </c>
      <c r="L5" s="2">
        <v>45474</v>
      </c>
      <c r="M5" s="2">
        <v>45474</v>
      </c>
      <c r="N5">
        <v>2</v>
      </c>
      <c r="O5">
        <v>40</v>
      </c>
      <c r="P5">
        <v>0</v>
      </c>
      <c r="Q5">
        <v>40</v>
      </c>
      <c r="R5" t="s">
        <v>89</v>
      </c>
      <c r="S5" s="1">
        <v>45520</v>
      </c>
      <c r="T5" t="s">
        <v>27</v>
      </c>
      <c r="U5" t="s">
        <v>90</v>
      </c>
    </row>
    <row r="6" spans="1:21" x14ac:dyDescent="0.25">
      <c r="A6" t="s">
        <v>37</v>
      </c>
      <c r="B6" t="s">
        <v>38</v>
      </c>
      <c r="C6" t="str">
        <f t="shared" si="0"/>
        <v>Ryan Caltagirone</v>
      </c>
      <c r="D6">
        <v>8977234</v>
      </c>
      <c r="E6" t="s">
        <v>21</v>
      </c>
      <c r="F6">
        <v>1</v>
      </c>
      <c r="G6" t="s">
        <v>22</v>
      </c>
      <c r="H6" t="s">
        <v>224</v>
      </c>
      <c r="I6" t="s">
        <v>225</v>
      </c>
      <c r="J6" s="1">
        <v>45047</v>
      </c>
      <c r="K6" t="s">
        <v>88</v>
      </c>
      <c r="L6" s="2">
        <v>45474</v>
      </c>
      <c r="M6" s="2">
        <v>45474</v>
      </c>
      <c r="N6">
        <v>1</v>
      </c>
      <c r="O6">
        <v>20</v>
      </c>
      <c r="P6">
        <v>0</v>
      </c>
      <c r="Q6">
        <v>20</v>
      </c>
      <c r="R6" t="s">
        <v>89</v>
      </c>
      <c r="S6" s="1">
        <v>45520</v>
      </c>
      <c r="T6" t="s">
        <v>27</v>
      </c>
      <c r="U6" t="s">
        <v>90</v>
      </c>
    </row>
    <row r="7" spans="1:21" x14ac:dyDescent="0.25">
      <c r="A7" t="s">
        <v>37</v>
      </c>
      <c r="B7" t="s">
        <v>38</v>
      </c>
      <c r="C7" t="str">
        <f t="shared" si="0"/>
        <v>Ryan Caltagirone</v>
      </c>
      <c r="D7">
        <v>8977234</v>
      </c>
      <c r="E7" t="s">
        <v>21</v>
      </c>
      <c r="F7">
        <v>1</v>
      </c>
      <c r="G7" t="s">
        <v>22</v>
      </c>
      <c r="H7" t="s">
        <v>226</v>
      </c>
      <c r="I7" t="s">
        <v>227</v>
      </c>
      <c r="J7" s="1">
        <v>45261</v>
      </c>
      <c r="K7" t="s">
        <v>88</v>
      </c>
      <c r="L7" s="2">
        <v>45474</v>
      </c>
      <c r="M7" s="2">
        <v>45474</v>
      </c>
      <c r="N7">
        <v>1</v>
      </c>
      <c r="O7">
        <v>20</v>
      </c>
      <c r="P7">
        <v>0</v>
      </c>
      <c r="Q7">
        <v>20</v>
      </c>
      <c r="R7" t="s">
        <v>89</v>
      </c>
      <c r="S7" s="1">
        <v>45520</v>
      </c>
      <c r="T7" t="s">
        <v>27</v>
      </c>
      <c r="U7" t="s">
        <v>90</v>
      </c>
    </row>
    <row r="8" spans="1:21" x14ac:dyDescent="0.25">
      <c r="A8" t="s">
        <v>37</v>
      </c>
      <c r="B8" t="s">
        <v>38</v>
      </c>
      <c r="C8" t="str">
        <f t="shared" si="0"/>
        <v>Ryan Caltagirone</v>
      </c>
      <c r="D8">
        <v>8977234</v>
      </c>
      <c r="E8" t="s">
        <v>21</v>
      </c>
      <c r="F8">
        <v>1</v>
      </c>
      <c r="G8" t="s">
        <v>22</v>
      </c>
      <c r="H8" t="s">
        <v>235</v>
      </c>
      <c r="I8" t="s">
        <v>236</v>
      </c>
      <c r="J8" s="1">
        <v>44927</v>
      </c>
      <c r="K8" t="s">
        <v>88</v>
      </c>
      <c r="L8" s="2">
        <v>45474</v>
      </c>
      <c r="M8" s="2">
        <v>45474</v>
      </c>
      <c r="N8">
        <v>1</v>
      </c>
      <c r="O8">
        <v>20</v>
      </c>
      <c r="P8">
        <v>0</v>
      </c>
      <c r="Q8">
        <v>20</v>
      </c>
      <c r="R8" t="s">
        <v>89</v>
      </c>
      <c r="S8" s="1">
        <v>45520</v>
      </c>
      <c r="T8" t="s">
        <v>27</v>
      </c>
      <c r="U8" t="s">
        <v>90</v>
      </c>
    </row>
    <row r="9" spans="1:21" x14ac:dyDescent="0.25">
      <c r="A9" t="s">
        <v>37</v>
      </c>
      <c r="B9" t="s">
        <v>38</v>
      </c>
      <c r="C9" t="str">
        <f t="shared" si="0"/>
        <v>Ryan Caltagirone</v>
      </c>
      <c r="D9">
        <v>8977234</v>
      </c>
      <c r="E9" t="s">
        <v>21</v>
      </c>
      <c r="F9">
        <v>1</v>
      </c>
      <c r="G9" t="s">
        <v>22</v>
      </c>
      <c r="H9" t="s">
        <v>248</v>
      </c>
      <c r="I9" t="s">
        <v>249</v>
      </c>
      <c r="J9" s="1">
        <v>45383</v>
      </c>
      <c r="K9" t="s">
        <v>88</v>
      </c>
      <c r="L9" s="2">
        <v>45474</v>
      </c>
      <c r="M9" s="2">
        <v>45474</v>
      </c>
      <c r="N9">
        <v>4</v>
      </c>
      <c r="O9">
        <v>80</v>
      </c>
      <c r="P9">
        <v>0</v>
      </c>
      <c r="Q9">
        <v>80</v>
      </c>
      <c r="R9" t="s">
        <v>162</v>
      </c>
      <c r="S9" s="1">
        <v>45520</v>
      </c>
      <c r="T9" t="s">
        <v>27</v>
      </c>
      <c r="U9" t="s">
        <v>90</v>
      </c>
    </row>
    <row r="10" spans="1:21" x14ac:dyDescent="0.25">
      <c r="A10" t="s">
        <v>37</v>
      </c>
      <c r="B10" t="s">
        <v>38</v>
      </c>
      <c r="C10" t="str">
        <f t="shared" si="0"/>
        <v>Ryan Caltagirone</v>
      </c>
      <c r="D10">
        <v>8977234</v>
      </c>
      <c r="E10" t="s">
        <v>21</v>
      </c>
      <c r="F10">
        <v>1</v>
      </c>
      <c r="G10" t="s">
        <v>22</v>
      </c>
      <c r="H10" t="s">
        <v>321</v>
      </c>
      <c r="I10" t="s">
        <v>322</v>
      </c>
      <c r="J10" s="1">
        <v>45047</v>
      </c>
      <c r="K10" t="s">
        <v>88</v>
      </c>
      <c r="L10" s="2">
        <v>45474</v>
      </c>
      <c r="M10" s="2">
        <v>45474</v>
      </c>
      <c r="N10">
        <v>2</v>
      </c>
      <c r="O10">
        <v>40</v>
      </c>
      <c r="P10">
        <v>0</v>
      </c>
      <c r="Q10">
        <v>40</v>
      </c>
      <c r="R10" t="s">
        <v>89</v>
      </c>
      <c r="S10" s="1">
        <v>45520</v>
      </c>
      <c r="T10" t="s">
        <v>27</v>
      </c>
      <c r="U10" t="s">
        <v>90</v>
      </c>
    </row>
    <row r="11" spans="1:21" x14ac:dyDescent="0.25">
      <c r="A11" t="s">
        <v>37</v>
      </c>
      <c r="B11" t="s">
        <v>38</v>
      </c>
      <c r="C11" t="str">
        <f t="shared" si="0"/>
        <v>Ryan Caltagirone</v>
      </c>
      <c r="D11">
        <v>8977234</v>
      </c>
      <c r="E11" t="s">
        <v>21</v>
      </c>
      <c r="F11">
        <v>1</v>
      </c>
      <c r="G11" t="s">
        <v>22</v>
      </c>
      <c r="H11" t="s">
        <v>351</v>
      </c>
      <c r="I11" t="s">
        <v>352</v>
      </c>
      <c r="J11" s="1">
        <v>45352</v>
      </c>
      <c r="K11" t="s">
        <v>88</v>
      </c>
      <c r="L11" s="2">
        <v>45474</v>
      </c>
      <c r="M11" s="2">
        <v>45474</v>
      </c>
      <c r="N11">
        <v>2</v>
      </c>
      <c r="O11">
        <v>40</v>
      </c>
      <c r="P11">
        <v>0</v>
      </c>
      <c r="Q11">
        <v>40</v>
      </c>
      <c r="R11" t="s">
        <v>162</v>
      </c>
      <c r="S11" s="1">
        <v>45520</v>
      </c>
      <c r="T11" t="s">
        <v>27</v>
      </c>
      <c r="U11" t="s">
        <v>90</v>
      </c>
    </row>
    <row r="12" spans="1:21" x14ac:dyDescent="0.25">
      <c r="A12" t="s">
        <v>37</v>
      </c>
      <c r="B12" t="s">
        <v>38</v>
      </c>
      <c r="C12" t="str">
        <f t="shared" si="0"/>
        <v>Ryan Caltagirone</v>
      </c>
      <c r="D12">
        <v>8977234</v>
      </c>
      <c r="E12" t="s">
        <v>21</v>
      </c>
      <c r="F12">
        <v>1</v>
      </c>
      <c r="G12" t="s">
        <v>22</v>
      </c>
      <c r="H12" t="s">
        <v>39</v>
      </c>
      <c r="I12" t="s">
        <v>40</v>
      </c>
      <c r="J12" s="1">
        <v>44927</v>
      </c>
      <c r="K12" t="s">
        <v>41</v>
      </c>
      <c r="L12" s="2">
        <v>45474</v>
      </c>
      <c r="M12" s="2">
        <v>45474</v>
      </c>
      <c r="N12">
        <v>1</v>
      </c>
      <c r="O12">
        <v>25</v>
      </c>
      <c r="P12">
        <v>0</v>
      </c>
      <c r="Q12">
        <v>25</v>
      </c>
      <c r="R12" t="s">
        <v>42</v>
      </c>
      <c r="S12" s="1">
        <v>45520</v>
      </c>
      <c r="T12" t="s">
        <v>27</v>
      </c>
      <c r="U12" t="s">
        <v>28</v>
      </c>
    </row>
    <row r="13" spans="1:21" x14ac:dyDescent="0.25">
      <c r="A13" t="s">
        <v>37</v>
      </c>
      <c r="B13" t="s">
        <v>38</v>
      </c>
      <c r="C13" t="str">
        <f t="shared" si="0"/>
        <v>Ryan Caltagirone</v>
      </c>
      <c r="D13">
        <v>8977234</v>
      </c>
      <c r="E13" t="s">
        <v>21</v>
      </c>
      <c r="F13">
        <v>1</v>
      </c>
      <c r="G13" t="s">
        <v>22</v>
      </c>
      <c r="H13" t="s">
        <v>119</v>
      </c>
      <c r="I13" t="s">
        <v>120</v>
      </c>
      <c r="J13" s="1">
        <v>45200</v>
      </c>
      <c r="K13" t="s">
        <v>41</v>
      </c>
      <c r="L13" s="2">
        <v>45474</v>
      </c>
      <c r="M13" s="2">
        <v>45474</v>
      </c>
      <c r="N13">
        <v>1</v>
      </c>
      <c r="O13">
        <v>25</v>
      </c>
      <c r="P13">
        <v>0</v>
      </c>
      <c r="Q13">
        <v>25</v>
      </c>
      <c r="R13" t="s">
        <v>42</v>
      </c>
      <c r="S13" s="1">
        <v>45520</v>
      </c>
      <c r="T13" t="s">
        <v>27</v>
      </c>
      <c r="U13" t="s">
        <v>28</v>
      </c>
    </row>
    <row r="14" spans="1:21" x14ac:dyDescent="0.25">
      <c r="A14" t="s">
        <v>37</v>
      </c>
      <c r="B14" t="s">
        <v>38</v>
      </c>
      <c r="C14" t="str">
        <f t="shared" si="0"/>
        <v>Ryan Caltagirone</v>
      </c>
      <c r="D14">
        <v>8977234</v>
      </c>
      <c r="E14" t="s">
        <v>21</v>
      </c>
      <c r="F14">
        <v>1</v>
      </c>
      <c r="G14" t="s">
        <v>22</v>
      </c>
      <c r="H14" t="s">
        <v>151</v>
      </c>
      <c r="I14" t="s">
        <v>152</v>
      </c>
      <c r="J14" s="1">
        <v>45292</v>
      </c>
      <c r="K14" t="s">
        <v>41</v>
      </c>
      <c r="L14" s="2">
        <v>45474</v>
      </c>
      <c r="M14" s="2">
        <v>45474</v>
      </c>
      <c r="N14">
        <v>1</v>
      </c>
      <c r="O14">
        <v>25</v>
      </c>
      <c r="P14">
        <v>0</v>
      </c>
      <c r="Q14">
        <v>25</v>
      </c>
      <c r="R14" t="s">
        <v>153</v>
      </c>
      <c r="S14" s="1">
        <v>45520</v>
      </c>
      <c r="T14" t="s">
        <v>27</v>
      </c>
      <c r="U14" t="s">
        <v>28</v>
      </c>
    </row>
    <row r="15" spans="1:21" x14ac:dyDescent="0.25">
      <c r="A15" t="s">
        <v>37</v>
      </c>
      <c r="B15" t="s">
        <v>38</v>
      </c>
      <c r="C15" t="str">
        <f t="shared" si="0"/>
        <v>Ryan Caltagirone</v>
      </c>
      <c r="D15">
        <v>8977234</v>
      </c>
      <c r="E15" t="s">
        <v>21</v>
      </c>
      <c r="F15">
        <v>1</v>
      </c>
      <c r="G15" t="s">
        <v>22</v>
      </c>
      <c r="H15" t="s">
        <v>158</v>
      </c>
      <c r="I15" t="s">
        <v>159</v>
      </c>
      <c r="J15" s="1">
        <v>45292</v>
      </c>
      <c r="K15" t="s">
        <v>41</v>
      </c>
      <c r="L15" s="2">
        <v>45474</v>
      </c>
      <c r="M15" s="2">
        <v>45474</v>
      </c>
      <c r="N15">
        <v>4</v>
      </c>
      <c r="O15">
        <v>100</v>
      </c>
      <c r="P15">
        <v>0</v>
      </c>
      <c r="Q15">
        <v>100</v>
      </c>
      <c r="R15" t="s">
        <v>153</v>
      </c>
      <c r="S15" s="1">
        <v>45520</v>
      </c>
      <c r="T15" t="s">
        <v>27</v>
      </c>
      <c r="U15" t="s">
        <v>28</v>
      </c>
    </row>
    <row r="16" spans="1:21" x14ac:dyDescent="0.25">
      <c r="A16" t="s">
        <v>169</v>
      </c>
      <c r="B16" t="s">
        <v>170</v>
      </c>
      <c r="C16" t="str">
        <f t="shared" si="0"/>
        <v>RICHARD YALE</v>
      </c>
      <c r="D16">
        <v>16633294</v>
      </c>
      <c r="E16" t="s">
        <v>21</v>
      </c>
      <c r="F16">
        <v>1</v>
      </c>
      <c r="G16" t="s">
        <v>22</v>
      </c>
      <c r="H16" t="s">
        <v>171</v>
      </c>
      <c r="I16" t="s">
        <v>172</v>
      </c>
      <c r="J16" s="1">
        <v>44958</v>
      </c>
      <c r="K16" t="s">
        <v>41</v>
      </c>
      <c r="L16" s="2">
        <v>45474</v>
      </c>
      <c r="M16" s="2">
        <v>45474</v>
      </c>
      <c r="N16">
        <v>1</v>
      </c>
      <c r="O16">
        <v>25</v>
      </c>
      <c r="P16">
        <v>0</v>
      </c>
      <c r="Q16">
        <v>25</v>
      </c>
      <c r="R16" t="s">
        <v>42</v>
      </c>
      <c r="S16" s="1">
        <v>45520</v>
      </c>
      <c r="T16" t="s">
        <v>27</v>
      </c>
      <c r="U16" t="s">
        <v>28</v>
      </c>
    </row>
    <row r="17" spans="1:21" x14ac:dyDescent="0.25">
      <c r="A17" t="s">
        <v>37</v>
      </c>
      <c r="B17" t="s">
        <v>38</v>
      </c>
      <c r="C17" t="str">
        <f t="shared" si="0"/>
        <v>Ryan Caltagirone</v>
      </c>
      <c r="D17">
        <v>8977234</v>
      </c>
      <c r="E17" t="s">
        <v>21</v>
      </c>
      <c r="F17">
        <v>1</v>
      </c>
      <c r="G17" t="s">
        <v>22</v>
      </c>
      <c r="H17" t="s">
        <v>179</v>
      </c>
      <c r="I17" t="s">
        <v>180</v>
      </c>
      <c r="J17" s="1">
        <v>45292</v>
      </c>
      <c r="K17" t="s">
        <v>41</v>
      </c>
      <c r="L17" s="2">
        <v>45474</v>
      </c>
      <c r="M17" s="2">
        <v>45474</v>
      </c>
      <c r="N17">
        <v>1</v>
      </c>
      <c r="O17">
        <v>25</v>
      </c>
      <c r="P17">
        <v>0</v>
      </c>
      <c r="Q17">
        <v>25</v>
      </c>
      <c r="R17" t="s">
        <v>153</v>
      </c>
      <c r="S17" s="1">
        <v>45520</v>
      </c>
      <c r="T17" t="s">
        <v>27</v>
      </c>
      <c r="U17" t="s">
        <v>28</v>
      </c>
    </row>
    <row r="18" spans="1:21" x14ac:dyDescent="0.25">
      <c r="A18" t="s">
        <v>37</v>
      </c>
      <c r="B18" t="s">
        <v>38</v>
      </c>
      <c r="C18" t="str">
        <f t="shared" si="0"/>
        <v>Ryan Caltagirone</v>
      </c>
      <c r="D18">
        <v>8977234</v>
      </c>
      <c r="E18" t="s">
        <v>21</v>
      </c>
      <c r="F18">
        <v>1</v>
      </c>
      <c r="G18" t="s">
        <v>22</v>
      </c>
      <c r="H18" t="s">
        <v>187</v>
      </c>
      <c r="I18" t="s">
        <v>188</v>
      </c>
      <c r="J18" s="1">
        <v>45170</v>
      </c>
      <c r="K18" t="s">
        <v>41</v>
      </c>
      <c r="L18" s="2">
        <v>45474</v>
      </c>
      <c r="M18" s="2">
        <v>45474</v>
      </c>
      <c r="N18">
        <v>1</v>
      </c>
      <c r="O18">
        <v>25</v>
      </c>
      <c r="P18">
        <v>0</v>
      </c>
      <c r="Q18">
        <v>25</v>
      </c>
      <c r="R18" t="s">
        <v>42</v>
      </c>
      <c r="S18" s="1">
        <v>45520</v>
      </c>
      <c r="T18" t="s">
        <v>27</v>
      </c>
      <c r="U18" t="s">
        <v>28</v>
      </c>
    </row>
    <row r="19" spans="1:21" x14ac:dyDescent="0.25">
      <c r="A19" t="s">
        <v>54</v>
      </c>
      <c r="B19" t="s">
        <v>55</v>
      </c>
      <c r="C19" t="str">
        <f t="shared" si="0"/>
        <v>Gregory Teipel</v>
      </c>
      <c r="D19">
        <v>8307933</v>
      </c>
      <c r="E19" t="s">
        <v>21</v>
      </c>
      <c r="F19">
        <v>1</v>
      </c>
      <c r="G19" t="s">
        <v>22</v>
      </c>
      <c r="H19" t="s">
        <v>383</v>
      </c>
      <c r="I19" t="s">
        <v>384</v>
      </c>
      <c r="J19" s="1">
        <v>44927</v>
      </c>
      <c r="K19" t="s">
        <v>41</v>
      </c>
      <c r="L19" s="2">
        <v>45505</v>
      </c>
      <c r="M19" s="2">
        <v>45505</v>
      </c>
      <c r="N19">
        <v>0</v>
      </c>
      <c r="O19">
        <v>60</v>
      </c>
      <c r="P19">
        <v>0</v>
      </c>
      <c r="Q19">
        <v>60</v>
      </c>
      <c r="R19" t="s">
        <v>379</v>
      </c>
      <c r="S19" s="1">
        <v>45513</v>
      </c>
      <c r="T19" t="s">
        <v>27</v>
      </c>
      <c r="U19" t="s">
        <v>28</v>
      </c>
    </row>
    <row r="20" spans="1:21" x14ac:dyDescent="0.25">
      <c r="A20" t="s">
        <v>212</v>
      </c>
      <c r="B20" t="s">
        <v>213</v>
      </c>
      <c r="C20" t="str">
        <f t="shared" si="0"/>
        <v>TIMOTHY HODGMAN</v>
      </c>
      <c r="D20">
        <v>18581063</v>
      </c>
      <c r="E20" t="s">
        <v>21</v>
      </c>
      <c r="F20">
        <v>1</v>
      </c>
      <c r="G20" t="s">
        <v>22</v>
      </c>
      <c r="H20" t="s">
        <v>214</v>
      </c>
      <c r="I20" t="s">
        <v>215</v>
      </c>
      <c r="J20" s="1">
        <v>45413</v>
      </c>
      <c r="K20" t="s">
        <v>41</v>
      </c>
      <c r="L20" s="2">
        <v>45474</v>
      </c>
      <c r="M20" s="2">
        <v>45474</v>
      </c>
      <c r="N20">
        <v>1</v>
      </c>
      <c r="O20">
        <v>25</v>
      </c>
      <c r="P20">
        <v>0</v>
      </c>
      <c r="Q20">
        <v>25</v>
      </c>
      <c r="R20" t="s">
        <v>153</v>
      </c>
      <c r="S20" s="1">
        <v>45520</v>
      </c>
      <c r="T20" t="s">
        <v>27</v>
      </c>
      <c r="U20" t="s">
        <v>28</v>
      </c>
    </row>
    <row r="21" spans="1:21" x14ac:dyDescent="0.25">
      <c r="A21" t="s">
        <v>154</v>
      </c>
      <c r="B21" t="s">
        <v>155</v>
      </c>
      <c r="C21" t="str">
        <f t="shared" si="0"/>
        <v>CAROL FOLEY</v>
      </c>
      <c r="D21">
        <v>17425766</v>
      </c>
      <c r="E21" t="s">
        <v>21</v>
      </c>
      <c r="F21">
        <v>1</v>
      </c>
      <c r="G21" t="s">
        <v>22</v>
      </c>
      <c r="H21" t="s">
        <v>216</v>
      </c>
      <c r="I21" t="s">
        <v>217</v>
      </c>
      <c r="J21" s="1">
        <v>44927</v>
      </c>
      <c r="K21" t="s">
        <v>41</v>
      </c>
      <c r="L21" s="2">
        <v>45474</v>
      </c>
      <c r="M21" s="2">
        <v>45474</v>
      </c>
      <c r="N21">
        <v>1</v>
      </c>
      <c r="O21">
        <v>25</v>
      </c>
      <c r="P21">
        <v>0</v>
      </c>
      <c r="Q21">
        <v>25</v>
      </c>
      <c r="R21" t="s">
        <v>42</v>
      </c>
      <c r="S21" s="1">
        <v>45520</v>
      </c>
      <c r="T21" t="s">
        <v>27</v>
      </c>
      <c r="U21" t="s">
        <v>28</v>
      </c>
    </row>
    <row r="22" spans="1:21" x14ac:dyDescent="0.25">
      <c r="A22" t="s">
        <v>54</v>
      </c>
      <c r="B22" t="s">
        <v>55</v>
      </c>
      <c r="C22" t="str">
        <f t="shared" si="0"/>
        <v>Gregory Teipel</v>
      </c>
      <c r="D22">
        <v>8307933</v>
      </c>
      <c r="E22" t="s">
        <v>21</v>
      </c>
      <c r="F22">
        <v>1</v>
      </c>
      <c r="G22" t="s">
        <v>22</v>
      </c>
      <c r="H22" t="s">
        <v>233</v>
      </c>
      <c r="I22" t="s">
        <v>234</v>
      </c>
      <c r="J22" s="1">
        <v>45231</v>
      </c>
      <c r="K22" t="s">
        <v>41</v>
      </c>
      <c r="L22" s="2">
        <v>45474</v>
      </c>
      <c r="M22" s="2">
        <v>45474</v>
      </c>
      <c r="N22">
        <v>2</v>
      </c>
      <c r="O22">
        <v>50</v>
      </c>
      <c r="P22">
        <v>0</v>
      </c>
      <c r="Q22">
        <v>50</v>
      </c>
      <c r="R22" t="s">
        <v>42</v>
      </c>
      <c r="S22" s="1">
        <v>45520</v>
      </c>
      <c r="T22" t="s">
        <v>27</v>
      </c>
      <c r="U22" t="s">
        <v>28</v>
      </c>
    </row>
    <row r="23" spans="1:21" x14ac:dyDescent="0.25">
      <c r="A23" t="s">
        <v>54</v>
      </c>
      <c r="B23" t="s">
        <v>55</v>
      </c>
      <c r="C23" t="str">
        <f t="shared" si="0"/>
        <v>Gregory Teipel</v>
      </c>
      <c r="D23">
        <v>8307933</v>
      </c>
      <c r="E23" t="s">
        <v>21</v>
      </c>
      <c r="F23">
        <v>1</v>
      </c>
      <c r="G23" t="s">
        <v>22</v>
      </c>
      <c r="H23" t="s">
        <v>233</v>
      </c>
      <c r="I23" t="s">
        <v>234</v>
      </c>
      <c r="J23" s="1">
        <v>45231</v>
      </c>
      <c r="K23" t="s">
        <v>41</v>
      </c>
      <c r="L23" s="2">
        <v>45505</v>
      </c>
      <c r="M23" s="2">
        <v>45505</v>
      </c>
      <c r="N23">
        <v>0</v>
      </c>
      <c r="O23">
        <v>300</v>
      </c>
      <c r="P23">
        <v>0</v>
      </c>
      <c r="Q23">
        <v>300</v>
      </c>
      <c r="R23" t="s">
        <v>379</v>
      </c>
      <c r="S23" s="1">
        <v>45513</v>
      </c>
      <c r="T23" t="s">
        <v>27</v>
      </c>
      <c r="U23" t="s">
        <v>28</v>
      </c>
    </row>
    <row r="24" spans="1:21" x14ac:dyDescent="0.25">
      <c r="A24" t="s">
        <v>37</v>
      </c>
      <c r="B24" t="s">
        <v>38</v>
      </c>
      <c r="C24" t="str">
        <f t="shared" si="0"/>
        <v>Ryan Caltagirone</v>
      </c>
      <c r="D24">
        <v>8977234</v>
      </c>
      <c r="E24" t="s">
        <v>21</v>
      </c>
      <c r="F24">
        <v>1</v>
      </c>
      <c r="G24" t="s">
        <v>22</v>
      </c>
      <c r="H24" t="s">
        <v>256</v>
      </c>
      <c r="I24" t="s">
        <v>257</v>
      </c>
      <c r="J24" s="1">
        <v>45292</v>
      </c>
      <c r="K24" t="s">
        <v>41</v>
      </c>
      <c r="L24" s="2">
        <v>45474</v>
      </c>
      <c r="M24" s="2">
        <v>45474</v>
      </c>
      <c r="N24">
        <v>2</v>
      </c>
      <c r="O24">
        <v>50</v>
      </c>
      <c r="P24">
        <v>0</v>
      </c>
      <c r="Q24">
        <v>50</v>
      </c>
      <c r="R24" t="s">
        <v>153</v>
      </c>
      <c r="S24" s="1">
        <v>45520</v>
      </c>
      <c r="T24" t="s">
        <v>27</v>
      </c>
      <c r="U24" t="s">
        <v>28</v>
      </c>
    </row>
    <row r="25" spans="1:21" x14ac:dyDescent="0.25">
      <c r="A25" t="s">
        <v>19</v>
      </c>
      <c r="B25" t="s">
        <v>20</v>
      </c>
      <c r="C25" t="str">
        <f t="shared" si="0"/>
        <v>Adam Richter</v>
      </c>
      <c r="D25">
        <v>9079571</v>
      </c>
      <c r="E25" t="s">
        <v>21</v>
      </c>
      <c r="F25">
        <v>1</v>
      </c>
      <c r="G25" t="s">
        <v>22</v>
      </c>
      <c r="H25" t="s">
        <v>264</v>
      </c>
      <c r="I25" t="s">
        <v>265</v>
      </c>
      <c r="J25" s="1">
        <v>44927</v>
      </c>
      <c r="K25" t="s">
        <v>41</v>
      </c>
      <c r="L25" s="2">
        <v>45474</v>
      </c>
      <c r="M25" s="2">
        <v>45474</v>
      </c>
      <c r="N25">
        <v>1</v>
      </c>
      <c r="O25">
        <v>25</v>
      </c>
      <c r="P25">
        <v>0</v>
      </c>
      <c r="Q25">
        <v>25</v>
      </c>
      <c r="R25" t="s">
        <v>42</v>
      </c>
      <c r="S25" s="1">
        <v>45520</v>
      </c>
      <c r="T25" t="s">
        <v>27</v>
      </c>
      <c r="U25" t="s">
        <v>28</v>
      </c>
    </row>
    <row r="26" spans="1:21" x14ac:dyDescent="0.25">
      <c r="A26" t="s">
        <v>54</v>
      </c>
      <c r="B26" t="s">
        <v>55</v>
      </c>
      <c r="C26" t="str">
        <f t="shared" si="0"/>
        <v>Gregory Teipel</v>
      </c>
      <c r="D26">
        <v>8307933</v>
      </c>
      <c r="E26" t="s">
        <v>21</v>
      </c>
      <c r="F26">
        <v>1</v>
      </c>
      <c r="G26" t="s">
        <v>22</v>
      </c>
      <c r="H26" t="s">
        <v>288</v>
      </c>
      <c r="I26" t="s">
        <v>289</v>
      </c>
      <c r="J26" s="1">
        <v>44927</v>
      </c>
      <c r="K26" t="s">
        <v>41</v>
      </c>
      <c r="L26" s="2">
        <v>45474</v>
      </c>
      <c r="M26" s="2">
        <v>45474</v>
      </c>
      <c r="N26">
        <v>1</v>
      </c>
      <c r="O26">
        <v>25</v>
      </c>
      <c r="P26">
        <v>0</v>
      </c>
      <c r="Q26">
        <v>25</v>
      </c>
      <c r="R26" t="s">
        <v>42</v>
      </c>
      <c r="S26" s="1">
        <v>45520</v>
      </c>
      <c r="T26" t="s">
        <v>27</v>
      </c>
      <c r="U26" t="s">
        <v>28</v>
      </c>
    </row>
    <row r="27" spans="1:21" x14ac:dyDescent="0.25">
      <c r="A27" t="s">
        <v>54</v>
      </c>
      <c r="B27" t="s">
        <v>55</v>
      </c>
      <c r="C27" t="str">
        <f t="shared" si="0"/>
        <v>Gregory Teipel</v>
      </c>
      <c r="D27">
        <v>8307933</v>
      </c>
      <c r="E27" t="s">
        <v>21</v>
      </c>
      <c r="F27">
        <v>1</v>
      </c>
      <c r="G27" t="s">
        <v>22</v>
      </c>
      <c r="H27" t="s">
        <v>288</v>
      </c>
      <c r="I27" t="s">
        <v>289</v>
      </c>
      <c r="J27" s="1">
        <v>44927</v>
      </c>
      <c r="K27" t="s">
        <v>41</v>
      </c>
      <c r="L27" s="2">
        <v>45505</v>
      </c>
      <c r="M27" s="2">
        <v>45505</v>
      </c>
      <c r="N27">
        <v>0</v>
      </c>
      <c r="O27">
        <v>100</v>
      </c>
      <c r="P27">
        <v>0</v>
      </c>
      <c r="Q27">
        <v>100</v>
      </c>
      <c r="R27" t="s">
        <v>379</v>
      </c>
      <c r="S27" s="1">
        <v>45513</v>
      </c>
      <c r="T27" t="s">
        <v>27</v>
      </c>
      <c r="U27" t="s">
        <v>28</v>
      </c>
    </row>
    <row r="28" spans="1:21" x14ac:dyDescent="0.25">
      <c r="A28" t="s">
        <v>37</v>
      </c>
      <c r="B28" t="s">
        <v>38</v>
      </c>
      <c r="C28" t="str">
        <f t="shared" si="0"/>
        <v>Ryan Caltagirone</v>
      </c>
      <c r="D28">
        <v>8977234</v>
      </c>
      <c r="E28" t="s">
        <v>21</v>
      </c>
      <c r="F28">
        <v>1</v>
      </c>
      <c r="G28" t="s">
        <v>22</v>
      </c>
      <c r="H28" t="s">
        <v>292</v>
      </c>
      <c r="I28" t="s">
        <v>293</v>
      </c>
      <c r="J28" s="1">
        <v>45292</v>
      </c>
      <c r="K28" t="s">
        <v>41</v>
      </c>
      <c r="L28" s="2">
        <v>45474</v>
      </c>
      <c r="M28" s="2">
        <v>45474</v>
      </c>
      <c r="N28">
        <v>1</v>
      </c>
      <c r="O28">
        <v>25</v>
      </c>
      <c r="P28">
        <v>0</v>
      </c>
      <c r="Q28">
        <v>25</v>
      </c>
      <c r="R28" t="s">
        <v>153</v>
      </c>
      <c r="S28" s="1">
        <v>45520</v>
      </c>
      <c r="T28" t="s">
        <v>27</v>
      </c>
      <c r="U28" t="s">
        <v>28</v>
      </c>
    </row>
    <row r="29" spans="1:21" x14ac:dyDescent="0.25">
      <c r="A29" t="s">
        <v>294</v>
      </c>
      <c r="B29" t="s">
        <v>295</v>
      </c>
      <c r="C29" t="str">
        <f t="shared" si="0"/>
        <v>Thomas Pardue</v>
      </c>
      <c r="D29">
        <v>371819</v>
      </c>
      <c r="E29" t="s">
        <v>21</v>
      </c>
      <c r="F29">
        <v>1</v>
      </c>
      <c r="G29" t="s">
        <v>22</v>
      </c>
      <c r="H29" t="s">
        <v>296</v>
      </c>
      <c r="I29" t="s">
        <v>297</v>
      </c>
      <c r="J29" s="1">
        <v>45139</v>
      </c>
      <c r="K29" t="s">
        <v>41</v>
      </c>
      <c r="L29" s="2">
        <v>45444</v>
      </c>
      <c r="M29" s="2">
        <v>45444</v>
      </c>
      <c r="N29">
        <v>1</v>
      </c>
      <c r="O29">
        <v>25</v>
      </c>
      <c r="P29">
        <v>0</v>
      </c>
      <c r="Q29">
        <v>25</v>
      </c>
      <c r="R29" t="s">
        <v>153</v>
      </c>
      <c r="S29" s="1">
        <v>45520</v>
      </c>
      <c r="T29" t="s">
        <v>27</v>
      </c>
      <c r="U29" t="s">
        <v>28</v>
      </c>
    </row>
    <row r="30" spans="1:21" x14ac:dyDescent="0.25">
      <c r="A30" t="s">
        <v>294</v>
      </c>
      <c r="B30" t="s">
        <v>295</v>
      </c>
      <c r="C30" t="str">
        <f t="shared" si="0"/>
        <v>Thomas Pardue</v>
      </c>
      <c r="D30">
        <v>371819</v>
      </c>
      <c r="E30" t="s">
        <v>21</v>
      </c>
      <c r="F30">
        <v>1</v>
      </c>
      <c r="G30" t="s">
        <v>22</v>
      </c>
      <c r="H30" t="s">
        <v>296</v>
      </c>
      <c r="I30" t="s">
        <v>297</v>
      </c>
      <c r="J30" s="1">
        <v>45139</v>
      </c>
      <c r="K30" t="s">
        <v>41</v>
      </c>
      <c r="L30" s="2">
        <v>45474</v>
      </c>
      <c r="M30" s="2">
        <v>45474</v>
      </c>
      <c r="N30">
        <v>1</v>
      </c>
      <c r="O30">
        <v>25</v>
      </c>
      <c r="P30">
        <v>0</v>
      </c>
      <c r="Q30">
        <v>25</v>
      </c>
      <c r="R30" t="s">
        <v>153</v>
      </c>
      <c r="S30" s="1">
        <v>45520</v>
      </c>
      <c r="T30" t="s">
        <v>27</v>
      </c>
      <c r="U30" t="s">
        <v>28</v>
      </c>
    </row>
    <row r="31" spans="1:21" x14ac:dyDescent="0.25">
      <c r="A31" t="s">
        <v>54</v>
      </c>
      <c r="B31" t="s">
        <v>55</v>
      </c>
      <c r="C31" t="str">
        <f t="shared" si="0"/>
        <v>Gregory Teipel</v>
      </c>
      <c r="D31">
        <v>8307933</v>
      </c>
      <c r="E31" t="s">
        <v>21</v>
      </c>
      <c r="F31">
        <v>1</v>
      </c>
      <c r="G31" t="s">
        <v>22</v>
      </c>
      <c r="H31" t="s">
        <v>311</v>
      </c>
      <c r="I31" t="s">
        <v>312</v>
      </c>
      <c r="J31" s="1">
        <v>45292</v>
      </c>
      <c r="K31" t="s">
        <v>41</v>
      </c>
      <c r="L31" s="2">
        <v>45474</v>
      </c>
      <c r="M31" s="2">
        <v>45474</v>
      </c>
      <c r="N31">
        <v>1</v>
      </c>
      <c r="O31">
        <v>25</v>
      </c>
      <c r="P31">
        <v>0</v>
      </c>
      <c r="Q31">
        <v>25</v>
      </c>
      <c r="R31" t="s">
        <v>153</v>
      </c>
      <c r="S31" s="1">
        <v>45520</v>
      </c>
      <c r="T31" t="s">
        <v>27</v>
      </c>
      <c r="U31" t="s">
        <v>28</v>
      </c>
    </row>
    <row r="32" spans="1:21" x14ac:dyDescent="0.25">
      <c r="A32" t="s">
        <v>54</v>
      </c>
      <c r="B32" t="s">
        <v>55</v>
      </c>
      <c r="C32" t="str">
        <f t="shared" si="0"/>
        <v>Gregory Teipel</v>
      </c>
      <c r="D32">
        <v>8307933</v>
      </c>
      <c r="E32" t="s">
        <v>21</v>
      </c>
      <c r="F32">
        <v>1</v>
      </c>
      <c r="G32" t="s">
        <v>22</v>
      </c>
      <c r="H32" t="s">
        <v>311</v>
      </c>
      <c r="I32" t="s">
        <v>312</v>
      </c>
      <c r="J32" s="1">
        <v>45292</v>
      </c>
      <c r="K32" t="s">
        <v>41</v>
      </c>
      <c r="L32" s="2">
        <v>45505</v>
      </c>
      <c r="M32" s="2">
        <v>45505</v>
      </c>
      <c r="N32">
        <v>0</v>
      </c>
      <c r="O32">
        <v>60</v>
      </c>
      <c r="P32">
        <v>0</v>
      </c>
      <c r="Q32">
        <v>60</v>
      </c>
      <c r="R32" t="s">
        <v>379</v>
      </c>
      <c r="S32" s="1">
        <v>45513</v>
      </c>
      <c r="T32" t="s">
        <v>27</v>
      </c>
      <c r="U32" t="s">
        <v>28</v>
      </c>
    </row>
    <row r="33" spans="1:21" x14ac:dyDescent="0.25">
      <c r="A33" t="s">
        <v>19</v>
      </c>
      <c r="B33" t="s">
        <v>20</v>
      </c>
      <c r="C33" t="str">
        <f t="shared" si="0"/>
        <v>Adam Richter</v>
      </c>
      <c r="D33">
        <v>9079571</v>
      </c>
      <c r="E33" t="s">
        <v>21</v>
      </c>
      <c r="F33">
        <v>1</v>
      </c>
      <c r="G33" t="s">
        <v>22</v>
      </c>
      <c r="H33" t="s">
        <v>325</v>
      </c>
      <c r="I33" t="s">
        <v>326</v>
      </c>
      <c r="J33" s="1">
        <v>44927</v>
      </c>
      <c r="K33" t="s">
        <v>41</v>
      </c>
      <c r="L33" s="2">
        <v>45474</v>
      </c>
      <c r="M33" s="2">
        <v>45474</v>
      </c>
      <c r="N33">
        <v>1</v>
      </c>
      <c r="O33">
        <v>25</v>
      </c>
      <c r="P33">
        <v>0</v>
      </c>
      <c r="Q33">
        <v>25</v>
      </c>
      <c r="R33" t="s">
        <v>42</v>
      </c>
      <c r="S33" s="1">
        <v>45520</v>
      </c>
      <c r="T33" t="s">
        <v>27</v>
      </c>
      <c r="U33" t="s">
        <v>28</v>
      </c>
    </row>
    <row r="34" spans="1:21" x14ac:dyDescent="0.25">
      <c r="A34" t="s">
        <v>37</v>
      </c>
      <c r="B34" t="s">
        <v>38</v>
      </c>
      <c r="C34" t="str">
        <f t="shared" si="0"/>
        <v>Ryan Caltagirone</v>
      </c>
      <c r="D34">
        <v>8977234</v>
      </c>
      <c r="E34" t="s">
        <v>21</v>
      </c>
      <c r="F34">
        <v>1</v>
      </c>
      <c r="G34" t="s">
        <v>22</v>
      </c>
      <c r="H34" t="s">
        <v>333</v>
      </c>
      <c r="I34" t="s">
        <v>334</v>
      </c>
      <c r="J34" s="1">
        <v>45292</v>
      </c>
      <c r="K34" t="s">
        <v>41</v>
      </c>
      <c r="L34" s="2">
        <v>45474</v>
      </c>
      <c r="M34" s="2">
        <v>45474</v>
      </c>
      <c r="N34">
        <v>1</v>
      </c>
      <c r="O34">
        <v>25</v>
      </c>
      <c r="P34">
        <v>0</v>
      </c>
      <c r="Q34">
        <v>25</v>
      </c>
      <c r="R34" t="s">
        <v>153</v>
      </c>
      <c r="S34" s="1">
        <v>45520</v>
      </c>
      <c r="T34" t="s">
        <v>27</v>
      </c>
      <c r="U34" t="s">
        <v>28</v>
      </c>
    </row>
    <row r="35" spans="1:21" x14ac:dyDescent="0.25">
      <c r="A35" t="s">
        <v>242</v>
      </c>
      <c r="B35" t="s">
        <v>243</v>
      </c>
      <c r="C35" t="str">
        <f t="shared" si="0"/>
        <v>Stacey Portugal</v>
      </c>
      <c r="D35">
        <v>19645587</v>
      </c>
      <c r="E35" t="s">
        <v>21</v>
      </c>
      <c r="F35">
        <v>1</v>
      </c>
      <c r="G35" t="s">
        <v>22</v>
      </c>
      <c r="H35" t="s">
        <v>345</v>
      </c>
      <c r="I35" t="s">
        <v>346</v>
      </c>
      <c r="J35" s="1">
        <v>45352</v>
      </c>
      <c r="K35" t="s">
        <v>41</v>
      </c>
      <c r="L35" s="2">
        <v>45474</v>
      </c>
      <c r="M35" s="2">
        <v>45474</v>
      </c>
      <c r="N35">
        <v>3</v>
      </c>
      <c r="O35">
        <v>75</v>
      </c>
      <c r="P35">
        <v>0</v>
      </c>
      <c r="Q35">
        <v>75</v>
      </c>
      <c r="R35" t="s">
        <v>153</v>
      </c>
      <c r="S35" s="1">
        <v>45520</v>
      </c>
      <c r="T35" t="s">
        <v>27</v>
      </c>
      <c r="U35" t="s">
        <v>28</v>
      </c>
    </row>
    <row r="36" spans="1:21" x14ac:dyDescent="0.25">
      <c r="A36" t="s">
        <v>294</v>
      </c>
      <c r="B36" t="s">
        <v>295</v>
      </c>
      <c r="C36" t="str">
        <f t="shared" si="0"/>
        <v>Thomas Pardue</v>
      </c>
      <c r="D36">
        <v>371819</v>
      </c>
      <c r="E36" t="s">
        <v>21</v>
      </c>
      <c r="F36">
        <v>1</v>
      </c>
      <c r="G36" t="s">
        <v>22</v>
      </c>
      <c r="H36" t="s">
        <v>349</v>
      </c>
      <c r="I36" t="s">
        <v>350</v>
      </c>
      <c r="J36" s="1">
        <v>45139</v>
      </c>
      <c r="K36" t="s">
        <v>41</v>
      </c>
      <c r="L36" s="2">
        <v>45474</v>
      </c>
      <c r="M36" s="2">
        <v>45474</v>
      </c>
      <c r="N36">
        <v>1</v>
      </c>
      <c r="O36">
        <v>25</v>
      </c>
      <c r="P36">
        <v>0</v>
      </c>
      <c r="Q36">
        <v>25</v>
      </c>
      <c r="R36" t="s">
        <v>153</v>
      </c>
      <c r="S36" s="1">
        <v>45520</v>
      </c>
      <c r="T36" t="s">
        <v>27</v>
      </c>
      <c r="U36" t="s">
        <v>28</v>
      </c>
    </row>
    <row r="37" spans="1:21" x14ac:dyDescent="0.25">
      <c r="A37" t="s">
        <v>37</v>
      </c>
      <c r="B37" t="s">
        <v>38</v>
      </c>
      <c r="C37" t="str">
        <f t="shared" si="0"/>
        <v>Ryan Caltagirone</v>
      </c>
      <c r="D37">
        <v>8977234</v>
      </c>
      <c r="E37" t="s">
        <v>21</v>
      </c>
      <c r="F37">
        <v>1</v>
      </c>
      <c r="G37" t="s">
        <v>22</v>
      </c>
      <c r="H37" t="s">
        <v>365</v>
      </c>
      <c r="I37" t="s">
        <v>366</v>
      </c>
      <c r="J37" s="1">
        <v>45292</v>
      </c>
      <c r="K37" t="s">
        <v>41</v>
      </c>
      <c r="L37" s="2">
        <v>45474</v>
      </c>
      <c r="M37" s="2">
        <v>45474</v>
      </c>
      <c r="N37">
        <v>1</v>
      </c>
      <c r="O37">
        <v>25</v>
      </c>
      <c r="P37">
        <v>0</v>
      </c>
      <c r="Q37">
        <v>25</v>
      </c>
      <c r="R37" t="s">
        <v>153</v>
      </c>
      <c r="S37" s="1">
        <v>45520</v>
      </c>
      <c r="T37" t="s">
        <v>27</v>
      </c>
      <c r="U37" t="s">
        <v>28</v>
      </c>
    </row>
    <row r="38" spans="1:21" x14ac:dyDescent="0.25">
      <c r="A38" t="s">
        <v>169</v>
      </c>
      <c r="B38" t="s">
        <v>170</v>
      </c>
      <c r="C38" t="str">
        <f t="shared" si="0"/>
        <v>RICHARD YALE</v>
      </c>
      <c r="D38">
        <v>16633294</v>
      </c>
      <c r="E38" t="s">
        <v>21</v>
      </c>
      <c r="F38">
        <v>1</v>
      </c>
      <c r="G38" t="s">
        <v>22</v>
      </c>
      <c r="H38" t="s">
        <v>367</v>
      </c>
      <c r="I38" t="s">
        <v>368</v>
      </c>
      <c r="J38" s="1">
        <v>45474</v>
      </c>
      <c r="K38" t="s">
        <v>41</v>
      </c>
      <c r="L38" s="2">
        <v>45474</v>
      </c>
      <c r="M38" s="2">
        <v>45474</v>
      </c>
      <c r="N38">
        <v>1</v>
      </c>
      <c r="O38">
        <v>25</v>
      </c>
      <c r="P38">
        <v>0</v>
      </c>
      <c r="Q38">
        <v>25</v>
      </c>
      <c r="R38" t="s">
        <v>153</v>
      </c>
      <c r="S38" s="1">
        <v>45520</v>
      </c>
      <c r="T38" t="s">
        <v>27</v>
      </c>
      <c r="U38" t="s">
        <v>28</v>
      </c>
    </row>
    <row r="39" spans="1:21" x14ac:dyDescent="0.25">
      <c r="A39" t="s">
        <v>29</v>
      </c>
      <c r="B39" t="s">
        <v>30</v>
      </c>
      <c r="C39" t="str">
        <f t="shared" si="0"/>
        <v>GARY PORTUGAL</v>
      </c>
      <c r="D39">
        <v>9213293</v>
      </c>
      <c r="E39" t="s">
        <v>21</v>
      </c>
      <c r="F39">
        <v>1</v>
      </c>
      <c r="G39" t="s">
        <v>22</v>
      </c>
      <c r="H39" t="s">
        <v>31</v>
      </c>
      <c r="I39" t="s">
        <v>32</v>
      </c>
      <c r="J39" s="1">
        <v>45261</v>
      </c>
      <c r="K39" t="s">
        <v>33</v>
      </c>
      <c r="L39" s="2">
        <v>45474</v>
      </c>
      <c r="M39" s="2">
        <v>45474</v>
      </c>
      <c r="N39">
        <v>1</v>
      </c>
      <c r="O39">
        <v>20</v>
      </c>
      <c r="P39">
        <v>0</v>
      </c>
      <c r="Q39">
        <v>20</v>
      </c>
      <c r="R39" t="s">
        <v>34</v>
      </c>
      <c r="S39" s="1">
        <v>45520</v>
      </c>
      <c r="T39" t="s">
        <v>27</v>
      </c>
      <c r="U39" t="s">
        <v>28</v>
      </c>
    </row>
    <row r="40" spans="1:21" x14ac:dyDescent="0.25">
      <c r="A40" t="s">
        <v>47</v>
      </c>
      <c r="B40" t="s">
        <v>48</v>
      </c>
      <c r="C40" t="str">
        <f t="shared" si="0"/>
        <v>Nasandelger Zana</v>
      </c>
      <c r="D40">
        <v>20220688</v>
      </c>
      <c r="E40" t="s">
        <v>21</v>
      </c>
      <c r="F40">
        <v>1</v>
      </c>
      <c r="G40" t="s">
        <v>22</v>
      </c>
      <c r="H40" t="s">
        <v>49</v>
      </c>
      <c r="I40" t="s">
        <v>50</v>
      </c>
      <c r="J40" s="1">
        <v>45292</v>
      </c>
      <c r="K40" t="s">
        <v>33</v>
      </c>
      <c r="L40" s="2">
        <v>45474</v>
      </c>
      <c r="M40" s="2">
        <v>45474</v>
      </c>
      <c r="N40">
        <v>1</v>
      </c>
      <c r="O40">
        <v>20</v>
      </c>
      <c r="P40">
        <v>0</v>
      </c>
      <c r="Q40">
        <v>20</v>
      </c>
      <c r="R40" t="s">
        <v>51</v>
      </c>
      <c r="S40" s="1">
        <v>45520</v>
      </c>
      <c r="T40" t="s">
        <v>27</v>
      </c>
      <c r="U40" t="s">
        <v>28</v>
      </c>
    </row>
    <row r="41" spans="1:21" x14ac:dyDescent="0.25">
      <c r="A41" t="s">
        <v>47</v>
      </c>
      <c r="B41" t="s">
        <v>48</v>
      </c>
      <c r="C41" t="str">
        <f t="shared" si="0"/>
        <v>Nasandelger Zana</v>
      </c>
      <c r="D41">
        <v>20220688</v>
      </c>
      <c r="E41" t="s">
        <v>21</v>
      </c>
      <c r="F41">
        <v>1</v>
      </c>
      <c r="G41" t="s">
        <v>22</v>
      </c>
      <c r="H41" t="s">
        <v>52</v>
      </c>
      <c r="I41" t="s">
        <v>53</v>
      </c>
      <c r="J41" s="1">
        <v>45292</v>
      </c>
      <c r="K41" t="s">
        <v>33</v>
      </c>
      <c r="L41" s="2">
        <v>45474</v>
      </c>
      <c r="M41" s="2">
        <v>45474</v>
      </c>
      <c r="N41">
        <v>1</v>
      </c>
      <c r="O41">
        <v>20</v>
      </c>
      <c r="P41">
        <v>0</v>
      </c>
      <c r="Q41">
        <v>20</v>
      </c>
      <c r="R41" t="s">
        <v>51</v>
      </c>
      <c r="S41" s="1">
        <v>45520</v>
      </c>
      <c r="T41" t="s">
        <v>27</v>
      </c>
      <c r="U41" t="s">
        <v>28</v>
      </c>
    </row>
    <row r="42" spans="1:21" x14ac:dyDescent="0.25">
      <c r="A42" t="s">
        <v>54</v>
      </c>
      <c r="B42" t="s">
        <v>55</v>
      </c>
      <c r="C42" t="str">
        <f t="shared" si="0"/>
        <v>Gregory Teipel</v>
      </c>
      <c r="D42">
        <v>8307933</v>
      </c>
      <c r="E42" t="s">
        <v>21</v>
      </c>
      <c r="F42">
        <v>1</v>
      </c>
      <c r="G42" t="s">
        <v>22</v>
      </c>
      <c r="H42" t="s">
        <v>56</v>
      </c>
      <c r="I42" t="s">
        <v>57</v>
      </c>
      <c r="J42" s="1">
        <v>44927</v>
      </c>
      <c r="K42" t="s">
        <v>33</v>
      </c>
      <c r="L42" s="2">
        <v>45474</v>
      </c>
      <c r="M42" s="2">
        <v>45474</v>
      </c>
      <c r="N42">
        <v>1</v>
      </c>
      <c r="O42">
        <v>20</v>
      </c>
      <c r="P42">
        <v>0</v>
      </c>
      <c r="Q42">
        <v>20</v>
      </c>
      <c r="R42" t="s">
        <v>34</v>
      </c>
      <c r="S42" s="1">
        <v>45520</v>
      </c>
      <c r="T42" t="s">
        <v>27</v>
      </c>
      <c r="U42" t="s">
        <v>28</v>
      </c>
    </row>
    <row r="43" spans="1:21" x14ac:dyDescent="0.25">
      <c r="A43" t="s">
        <v>54</v>
      </c>
      <c r="B43" t="s">
        <v>55</v>
      </c>
      <c r="C43" t="str">
        <f t="shared" si="0"/>
        <v>Gregory Teipel</v>
      </c>
      <c r="D43">
        <v>8307933</v>
      </c>
      <c r="E43" t="s">
        <v>21</v>
      </c>
      <c r="F43">
        <v>1</v>
      </c>
      <c r="G43" t="s">
        <v>22</v>
      </c>
      <c r="H43" t="s">
        <v>56</v>
      </c>
      <c r="I43" t="s">
        <v>57</v>
      </c>
      <c r="J43" s="1">
        <v>44927</v>
      </c>
      <c r="K43" t="s">
        <v>33</v>
      </c>
      <c r="L43" s="2">
        <v>45505</v>
      </c>
      <c r="M43" s="2">
        <v>45505</v>
      </c>
      <c r="N43">
        <v>0</v>
      </c>
      <c r="O43">
        <v>60</v>
      </c>
      <c r="P43">
        <v>0</v>
      </c>
      <c r="Q43">
        <v>60</v>
      </c>
      <c r="R43" t="s">
        <v>379</v>
      </c>
      <c r="S43" s="1">
        <v>45513</v>
      </c>
      <c r="T43" t="s">
        <v>27</v>
      </c>
      <c r="U43" t="s">
        <v>28</v>
      </c>
    </row>
    <row r="44" spans="1:21" x14ac:dyDescent="0.25">
      <c r="A44" t="s">
        <v>29</v>
      </c>
      <c r="B44" t="s">
        <v>30</v>
      </c>
      <c r="C44" t="str">
        <f t="shared" si="0"/>
        <v>GARY PORTUGAL</v>
      </c>
      <c r="D44">
        <v>9213293</v>
      </c>
      <c r="E44" t="s">
        <v>21</v>
      </c>
      <c r="F44">
        <v>1</v>
      </c>
      <c r="G44" t="s">
        <v>22</v>
      </c>
      <c r="H44" t="s">
        <v>58</v>
      </c>
      <c r="I44" t="s">
        <v>59</v>
      </c>
      <c r="J44" s="1">
        <v>45444</v>
      </c>
      <c r="K44" t="s">
        <v>33</v>
      </c>
      <c r="L44" s="2">
        <v>45474</v>
      </c>
      <c r="M44" s="2">
        <v>45474</v>
      </c>
      <c r="N44">
        <v>2</v>
      </c>
      <c r="O44">
        <v>40</v>
      </c>
      <c r="P44">
        <v>0</v>
      </c>
      <c r="Q44">
        <v>40</v>
      </c>
      <c r="R44" t="s">
        <v>51</v>
      </c>
      <c r="S44" s="1">
        <v>45520</v>
      </c>
      <c r="T44" t="s">
        <v>27</v>
      </c>
      <c r="U44" t="s">
        <v>28</v>
      </c>
    </row>
    <row r="45" spans="1:21" x14ac:dyDescent="0.25">
      <c r="A45" t="s">
        <v>60</v>
      </c>
      <c r="B45" t="s">
        <v>61</v>
      </c>
      <c r="C45" t="str">
        <f t="shared" si="0"/>
        <v>BARRY SCHUMANN</v>
      </c>
      <c r="D45">
        <v>19586992</v>
      </c>
      <c r="E45" t="s">
        <v>21</v>
      </c>
      <c r="F45">
        <v>1</v>
      </c>
      <c r="G45" t="s">
        <v>22</v>
      </c>
      <c r="H45" t="s">
        <v>62</v>
      </c>
      <c r="I45" t="s">
        <v>63</v>
      </c>
      <c r="J45" s="1">
        <v>45413</v>
      </c>
      <c r="K45" t="s">
        <v>33</v>
      </c>
      <c r="L45" s="2">
        <v>45474</v>
      </c>
      <c r="M45" s="2">
        <v>45474</v>
      </c>
      <c r="N45">
        <v>1</v>
      </c>
      <c r="O45">
        <v>20</v>
      </c>
      <c r="P45">
        <v>0</v>
      </c>
      <c r="Q45">
        <v>20</v>
      </c>
      <c r="R45" t="s">
        <v>51</v>
      </c>
      <c r="S45" s="1">
        <v>45520</v>
      </c>
      <c r="T45" t="s">
        <v>27</v>
      </c>
      <c r="U45" t="s">
        <v>28</v>
      </c>
    </row>
    <row r="46" spans="1:21" x14ac:dyDescent="0.25">
      <c r="A46" t="s">
        <v>60</v>
      </c>
      <c r="B46" t="s">
        <v>61</v>
      </c>
      <c r="C46" t="str">
        <f t="shared" si="0"/>
        <v>BARRY SCHUMANN</v>
      </c>
      <c r="D46">
        <v>19586992</v>
      </c>
      <c r="E46" t="s">
        <v>21</v>
      </c>
      <c r="F46">
        <v>1</v>
      </c>
      <c r="G46" t="s">
        <v>22</v>
      </c>
      <c r="H46" t="s">
        <v>62</v>
      </c>
      <c r="I46" t="s">
        <v>63</v>
      </c>
      <c r="J46" s="1">
        <v>45413</v>
      </c>
      <c r="K46" t="s">
        <v>33</v>
      </c>
      <c r="L46" s="2">
        <v>45444</v>
      </c>
      <c r="M46" s="2">
        <v>45444</v>
      </c>
      <c r="N46">
        <v>1</v>
      </c>
      <c r="O46">
        <v>20</v>
      </c>
      <c r="P46">
        <v>0</v>
      </c>
      <c r="Q46">
        <v>20</v>
      </c>
      <c r="R46" t="s">
        <v>51</v>
      </c>
      <c r="S46" s="1">
        <v>45520</v>
      </c>
      <c r="T46" t="s">
        <v>27</v>
      </c>
      <c r="U46" t="s">
        <v>28</v>
      </c>
    </row>
    <row r="47" spans="1:21" x14ac:dyDescent="0.25">
      <c r="A47" t="s">
        <v>47</v>
      </c>
      <c r="B47" t="s">
        <v>48</v>
      </c>
      <c r="C47" t="str">
        <f t="shared" si="0"/>
        <v>Nasandelger Zana</v>
      </c>
      <c r="D47">
        <v>20220688</v>
      </c>
      <c r="E47" t="s">
        <v>21</v>
      </c>
      <c r="F47">
        <v>1</v>
      </c>
      <c r="G47" t="s">
        <v>22</v>
      </c>
      <c r="H47" t="s">
        <v>64</v>
      </c>
      <c r="I47" t="s">
        <v>65</v>
      </c>
      <c r="J47" s="1">
        <v>45323</v>
      </c>
      <c r="K47" t="s">
        <v>33</v>
      </c>
      <c r="L47" s="2">
        <v>45474</v>
      </c>
      <c r="M47" s="2">
        <v>45474</v>
      </c>
      <c r="N47">
        <v>1</v>
      </c>
      <c r="O47">
        <v>20</v>
      </c>
      <c r="P47">
        <v>0</v>
      </c>
      <c r="Q47">
        <v>20</v>
      </c>
      <c r="R47" t="s">
        <v>51</v>
      </c>
      <c r="S47" s="1">
        <v>45520</v>
      </c>
      <c r="T47" t="s">
        <v>27</v>
      </c>
      <c r="U47" t="s">
        <v>28</v>
      </c>
    </row>
    <row r="48" spans="1:21" x14ac:dyDescent="0.25">
      <c r="A48" t="s">
        <v>54</v>
      </c>
      <c r="B48" t="s">
        <v>55</v>
      </c>
      <c r="C48" t="str">
        <f t="shared" si="0"/>
        <v>Gregory Teipel</v>
      </c>
      <c r="D48">
        <v>8307933</v>
      </c>
      <c r="E48" t="s">
        <v>21</v>
      </c>
      <c r="F48">
        <v>1</v>
      </c>
      <c r="G48" t="s">
        <v>22</v>
      </c>
      <c r="H48" t="s">
        <v>66</v>
      </c>
      <c r="I48" t="s">
        <v>67</v>
      </c>
      <c r="J48" s="1">
        <v>45292</v>
      </c>
      <c r="K48" t="s">
        <v>33</v>
      </c>
      <c r="L48" s="2">
        <v>45474</v>
      </c>
      <c r="M48" s="2">
        <v>45474</v>
      </c>
      <c r="N48">
        <v>1</v>
      </c>
      <c r="O48">
        <v>20</v>
      </c>
      <c r="P48">
        <v>0</v>
      </c>
      <c r="Q48">
        <v>20</v>
      </c>
      <c r="R48" t="s">
        <v>51</v>
      </c>
      <c r="S48" s="1">
        <v>45520</v>
      </c>
      <c r="T48" t="s">
        <v>27</v>
      </c>
      <c r="U48" t="s">
        <v>28</v>
      </c>
    </row>
    <row r="49" spans="1:21" x14ac:dyDescent="0.25">
      <c r="A49" t="s">
        <v>54</v>
      </c>
      <c r="B49" t="s">
        <v>55</v>
      </c>
      <c r="C49" t="str">
        <f t="shared" si="0"/>
        <v>Gregory Teipel</v>
      </c>
      <c r="D49">
        <v>8307933</v>
      </c>
      <c r="E49" t="s">
        <v>21</v>
      </c>
      <c r="F49">
        <v>1</v>
      </c>
      <c r="G49" t="s">
        <v>22</v>
      </c>
      <c r="H49" t="s">
        <v>66</v>
      </c>
      <c r="I49" t="s">
        <v>67</v>
      </c>
      <c r="J49" s="1">
        <v>45292</v>
      </c>
      <c r="K49" t="s">
        <v>33</v>
      </c>
      <c r="L49" s="2">
        <v>45505</v>
      </c>
      <c r="M49" s="2">
        <v>45505</v>
      </c>
      <c r="N49">
        <v>0</v>
      </c>
      <c r="O49">
        <v>125</v>
      </c>
      <c r="P49">
        <v>0</v>
      </c>
      <c r="Q49">
        <v>125</v>
      </c>
      <c r="R49" t="s">
        <v>379</v>
      </c>
      <c r="S49" s="1">
        <v>45513</v>
      </c>
      <c r="T49" t="s">
        <v>27</v>
      </c>
      <c r="U49" t="s">
        <v>28</v>
      </c>
    </row>
    <row r="50" spans="1:21" x14ac:dyDescent="0.25">
      <c r="A50" t="s">
        <v>54</v>
      </c>
      <c r="B50" t="s">
        <v>55</v>
      </c>
      <c r="C50" t="str">
        <f t="shared" si="0"/>
        <v>Gregory Teipel</v>
      </c>
      <c r="D50">
        <v>8307933</v>
      </c>
      <c r="E50" t="s">
        <v>21</v>
      </c>
      <c r="F50">
        <v>1</v>
      </c>
      <c r="G50" t="s">
        <v>22</v>
      </c>
      <c r="H50" t="s">
        <v>76</v>
      </c>
      <c r="I50" t="s">
        <v>77</v>
      </c>
      <c r="J50" s="1">
        <v>45292</v>
      </c>
      <c r="K50" t="s">
        <v>33</v>
      </c>
      <c r="L50" s="2">
        <v>45474</v>
      </c>
      <c r="M50" s="2">
        <v>45474</v>
      </c>
      <c r="N50">
        <v>2</v>
      </c>
      <c r="O50">
        <v>40</v>
      </c>
      <c r="P50">
        <v>0</v>
      </c>
      <c r="Q50">
        <v>40</v>
      </c>
      <c r="R50" t="s">
        <v>51</v>
      </c>
      <c r="S50" s="1">
        <v>45520</v>
      </c>
      <c r="T50" t="s">
        <v>27</v>
      </c>
      <c r="U50" t="s">
        <v>28</v>
      </c>
    </row>
    <row r="51" spans="1:21" x14ac:dyDescent="0.25">
      <c r="A51" t="s">
        <v>54</v>
      </c>
      <c r="B51" t="s">
        <v>55</v>
      </c>
      <c r="C51" t="str">
        <f t="shared" si="0"/>
        <v>Gregory Teipel</v>
      </c>
      <c r="D51">
        <v>8307933</v>
      </c>
      <c r="E51" t="s">
        <v>21</v>
      </c>
      <c r="F51">
        <v>1</v>
      </c>
      <c r="G51" t="s">
        <v>22</v>
      </c>
      <c r="H51" t="s">
        <v>76</v>
      </c>
      <c r="I51" t="s">
        <v>77</v>
      </c>
      <c r="J51" s="1">
        <v>45292</v>
      </c>
      <c r="K51" t="s">
        <v>33</v>
      </c>
      <c r="L51" s="2">
        <v>45505</v>
      </c>
      <c r="M51" s="2">
        <v>45505</v>
      </c>
      <c r="N51">
        <v>0</v>
      </c>
      <c r="O51">
        <v>250</v>
      </c>
      <c r="P51">
        <v>0</v>
      </c>
      <c r="Q51">
        <v>250</v>
      </c>
      <c r="R51" t="s">
        <v>379</v>
      </c>
      <c r="S51" s="1">
        <v>45513</v>
      </c>
      <c r="T51" t="s">
        <v>27</v>
      </c>
      <c r="U51" t="s">
        <v>28</v>
      </c>
    </row>
    <row r="52" spans="1:21" x14ac:dyDescent="0.25">
      <c r="A52" t="s">
        <v>47</v>
      </c>
      <c r="B52" t="s">
        <v>48</v>
      </c>
      <c r="C52" t="str">
        <f t="shared" si="0"/>
        <v>Nasandelger Zana</v>
      </c>
      <c r="D52">
        <v>20220688</v>
      </c>
      <c r="E52" t="s">
        <v>21</v>
      </c>
      <c r="F52">
        <v>1</v>
      </c>
      <c r="G52" t="s">
        <v>22</v>
      </c>
      <c r="H52" t="s">
        <v>91</v>
      </c>
      <c r="I52" t="s">
        <v>92</v>
      </c>
      <c r="J52" s="1">
        <v>45352</v>
      </c>
      <c r="K52" t="s">
        <v>33</v>
      </c>
      <c r="L52" s="2">
        <v>45474</v>
      </c>
      <c r="M52" s="2">
        <v>45474</v>
      </c>
      <c r="N52">
        <v>3</v>
      </c>
      <c r="O52">
        <v>60</v>
      </c>
      <c r="P52">
        <v>0</v>
      </c>
      <c r="Q52">
        <v>60</v>
      </c>
      <c r="R52" t="s">
        <v>51</v>
      </c>
      <c r="S52" s="1">
        <v>45520</v>
      </c>
      <c r="T52" t="s">
        <v>27</v>
      </c>
      <c r="U52" t="s">
        <v>28</v>
      </c>
    </row>
    <row r="53" spans="1:21" x14ac:dyDescent="0.25">
      <c r="A53" t="s">
        <v>97</v>
      </c>
      <c r="B53" t="s">
        <v>98</v>
      </c>
      <c r="C53" t="str">
        <f t="shared" si="0"/>
        <v>STEPHANIE DRAPAC</v>
      </c>
      <c r="D53">
        <v>17126004</v>
      </c>
      <c r="E53" t="s">
        <v>21</v>
      </c>
      <c r="F53">
        <v>1</v>
      </c>
      <c r="G53" t="s">
        <v>22</v>
      </c>
      <c r="H53" t="s">
        <v>99</v>
      </c>
      <c r="I53" t="s">
        <v>100</v>
      </c>
      <c r="J53" s="1">
        <v>45474</v>
      </c>
      <c r="K53" t="s">
        <v>33</v>
      </c>
      <c r="L53" s="2">
        <v>45474</v>
      </c>
      <c r="M53" s="2">
        <v>45474</v>
      </c>
      <c r="N53">
        <v>1</v>
      </c>
      <c r="O53">
        <v>20</v>
      </c>
      <c r="P53">
        <v>0</v>
      </c>
      <c r="Q53">
        <v>20</v>
      </c>
      <c r="R53" t="s">
        <v>51</v>
      </c>
      <c r="S53" s="1">
        <v>45520</v>
      </c>
      <c r="T53" t="s">
        <v>27</v>
      </c>
      <c r="U53" t="s">
        <v>28</v>
      </c>
    </row>
    <row r="54" spans="1:21" x14ac:dyDescent="0.25">
      <c r="A54" t="s">
        <v>47</v>
      </c>
      <c r="B54" t="s">
        <v>48</v>
      </c>
      <c r="C54" t="str">
        <f t="shared" si="0"/>
        <v>Nasandelger Zana</v>
      </c>
      <c r="D54">
        <v>20220688</v>
      </c>
      <c r="E54" t="s">
        <v>21</v>
      </c>
      <c r="F54">
        <v>1</v>
      </c>
      <c r="G54" t="s">
        <v>22</v>
      </c>
      <c r="H54" t="s">
        <v>107</v>
      </c>
      <c r="I54" t="s">
        <v>108</v>
      </c>
      <c r="J54" s="1">
        <v>45383</v>
      </c>
      <c r="K54" t="s">
        <v>33</v>
      </c>
      <c r="L54" s="2">
        <v>45474</v>
      </c>
      <c r="M54" s="2">
        <v>45474</v>
      </c>
      <c r="N54">
        <v>3</v>
      </c>
      <c r="O54">
        <v>60</v>
      </c>
      <c r="P54">
        <v>0</v>
      </c>
      <c r="Q54">
        <v>60</v>
      </c>
      <c r="R54" t="s">
        <v>51</v>
      </c>
      <c r="S54" s="1">
        <v>45520</v>
      </c>
      <c r="T54" t="s">
        <v>27</v>
      </c>
      <c r="U54" t="s">
        <v>28</v>
      </c>
    </row>
    <row r="55" spans="1:21" x14ac:dyDescent="0.25">
      <c r="A55" t="s">
        <v>109</v>
      </c>
      <c r="B55" t="s">
        <v>110</v>
      </c>
      <c r="C55" t="str">
        <f t="shared" si="0"/>
        <v>RANDY TAPPER</v>
      </c>
      <c r="D55">
        <v>18935660</v>
      </c>
      <c r="E55" t="s">
        <v>21</v>
      </c>
      <c r="F55">
        <v>1</v>
      </c>
      <c r="G55" t="s">
        <v>22</v>
      </c>
      <c r="H55" t="s">
        <v>111</v>
      </c>
      <c r="I55" t="s">
        <v>112</v>
      </c>
      <c r="J55" s="1">
        <v>45413</v>
      </c>
      <c r="K55" t="s">
        <v>33</v>
      </c>
      <c r="L55" s="2">
        <v>45474</v>
      </c>
      <c r="M55" s="2">
        <v>45474</v>
      </c>
      <c r="N55">
        <v>3</v>
      </c>
      <c r="O55">
        <v>60</v>
      </c>
      <c r="P55">
        <v>0</v>
      </c>
      <c r="Q55">
        <v>60</v>
      </c>
      <c r="R55" t="s">
        <v>51</v>
      </c>
      <c r="S55" s="1">
        <v>45520</v>
      </c>
      <c r="T55" t="s">
        <v>27</v>
      </c>
      <c r="U55" t="s">
        <v>28</v>
      </c>
    </row>
    <row r="56" spans="1:21" x14ac:dyDescent="0.25">
      <c r="A56" t="s">
        <v>54</v>
      </c>
      <c r="B56" t="s">
        <v>55</v>
      </c>
      <c r="C56" t="str">
        <f t="shared" si="0"/>
        <v>Gregory Teipel</v>
      </c>
      <c r="D56">
        <v>8307933</v>
      </c>
      <c r="E56" t="s">
        <v>21</v>
      </c>
      <c r="F56">
        <v>1</v>
      </c>
      <c r="G56" t="s">
        <v>22</v>
      </c>
      <c r="H56" t="s">
        <v>113</v>
      </c>
      <c r="I56" t="s">
        <v>114</v>
      </c>
      <c r="J56" s="1">
        <v>45292</v>
      </c>
      <c r="K56" t="s">
        <v>33</v>
      </c>
      <c r="L56" s="2">
        <v>45474</v>
      </c>
      <c r="M56" s="2">
        <v>45474</v>
      </c>
      <c r="N56">
        <v>1</v>
      </c>
      <c r="O56">
        <v>20</v>
      </c>
      <c r="P56">
        <v>0</v>
      </c>
      <c r="Q56">
        <v>20</v>
      </c>
      <c r="R56" t="s">
        <v>51</v>
      </c>
      <c r="S56" s="1">
        <v>45520</v>
      </c>
      <c r="T56" t="s">
        <v>27</v>
      </c>
      <c r="U56" t="s">
        <v>28</v>
      </c>
    </row>
    <row r="57" spans="1:21" x14ac:dyDescent="0.25">
      <c r="A57" t="s">
        <v>54</v>
      </c>
      <c r="B57" t="s">
        <v>55</v>
      </c>
      <c r="C57" t="str">
        <f t="shared" si="0"/>
        <v>Gregory Teipel</v>
      </c>
      <c r="D57">
        <v>8307933</v>
      </c>
      <c r="E57" t="s">
        <v>21</v>
      </c>
      <c r="F57">
        <v>1</v>
      </c>
      <c r="G57" t="s">
        <v>22</v>
      </c>
      <c r="H57" t="s">
        <v>113</v>
      </c>
      <c r="I57" t="s">
        <v>114</v>
      </c>
      <c r="J57" s="1">
        <v>45292</v>
      </c>
      <c r="K57" t="s">
        <v>33</v>
      </c>
      <c r="L57" s="2">
        <v>45505</v>
      </c>
      <c r="M57" s="2">
        <v>45505</v>
      </c>
      <c r="N57">
        <v>0</v>
      </c>
      <c r="O57">
        <v>125</v>
      </c>
      <c r="P57">
        <v>0</v>
      </c>
      <c r="Q57">
        <v>125</v>
      </c>
      <c r="R57" t="s">
        <v>379</v>
      </c>
      <c r="S57" s="1">
        <v>45513</v>
      </c>
      <c r="T57" t="s">
        <v>27</v>
      </c>
      <c r="U57" t="s">
        <v>28</v>
      </c>
    </row>
    <row r="58" spans="1:21" x14ac:dyDescent="0.25">
      <c r="A58" t="s">
        <v>54</v>
      </c>
      <c r="B58" t="s">
        <v>55</v>
      </c>
      <c r="C58" t="str">
        <f t="shared" si="0"/>
        <v>Gregory Teipel</v>
      </c>
      <c r="D58">
        <v>8307933</v>
      </c>
      <c r="E58" t="s">
        <v>21</v>
      </c>
      <c r="F58">
        <v>1</v>
      </c>
      <c r="G58" t="s">
        <v>22</v>
      </c>
      <c r="H58" t="s">
        <v>123</v>
      </c>
      <c r="I58" t="s">
        <v>124</v>
      </c>
      <c r="J58" s="1">
        <v>45292</v>
      </c>
      <c r="K58" t="s">
        <v>33</v>
      </c>
      <c r="L58" s="2">
        <v>45474</v>
      </c>
      <c r="M58" s="2">
        <v>45474</v>
      </c>
      <c r="N58">
        <v>1</v>
      </c>
      <c r="O58">
        <v>20</v>
      </c>
      <c r="P58">
        <v>0</v>
      </c>
      <c r="Q58">
        <v>20</v>
      </c>
      <c r="R58" t="s">
        <v>51</v>
      </c>
      <c r="S58" s="1">
        <v>45520</v>
      </c>
      <c r="T58" t="s">
        <v>27</v>
      </c>
      <c r="U58" t="s">
        <v>28</v>
      </c>
    </row>
    <row r="59" spans="1:21" x14ac:dyDescent="0.25">
      <c r="A59" t="s">
        <v>54</v>
      </c>
      <c r="B59" t="s">
        <v>55</v>
      </c>
      <c r="C59" t="str">
        <f t="shared" si="0"/>
        <v>Gregory Teipel</v>
      </c>
      <c r="D59">
        <v>8307933</v>
      </c>
      <c r="E59" t="s">
        <v>21</v>
      </c>
      <c r="F59">
        <v>1</v>
      </c>
      <c r="G59" t="s">
        <v>22</v>
      </c>
      <c r="H59" t="s">
        <v>123</v>
      </c>
      <c r="I59" t="s">
        <v>124</v>
      </c>
      <c r="J59" s="1">
        <v>45292</v>
      </c>
      <c r="K59" t="s">
        <v>33</v>
      </c>
      <c r="L59" s="2">
        <v>45505</v>
      </c>
      <c r="M59" s="2">
        <v>45505</v>
      </c>
      <c r="N59">
        <v>0</v>
      </c>
      <c r="O59">
        <v>60</v>
      </c>
      <c r="P59">
        <v>0</v>
      </c>
      <c r="Q59">
        <v>60</v>
      </c>
      <c r="R59" t="s">
        <v>379</v>
      </c>
      <c r="S59" s="1">
        <v>45513</v>
      </c>
      <c r="T59" t="s">
        <v>27</v>
      </c>
      <c r="U59" t="s">
        <v>28</v>
      </c>
    </row>
    <row r="60" spans="1:21" x14ac:dyDescent="0.25">
      <c r="A60" t="s">
        <v>47</v>
      </c>
      <c r="B60" t="s">
        <v>48</v>
      </c>
      <c r="C60" t="str">
        <f t="shared" si="0"/>
        <v>Nasandelger Zana</v>
      </c>
      <c r="D60">
        <v>20220688</v>
      </c>
      <c r="E60" t="s">
        <v>21</v>
      </c>
      <c r="F60">
        <v>1</v>
      </c>
      <c r="G60" t="s">
        <v>22</v>
      </c>
      <c r="H60" t="s">
        <v>127</v>
      </c>
      <c r="I60" t="s">
        <v>128</v>
      </c>
      <c r="J60" s="1">
        <v>45474</v>
      </c>
      <c r="K60" t="s">
        <v>33</v>
      </c>
      <c r="L60" s="2">
        <v>45474</v>
      </c>
      <c r="M60" s="2">
        <v>45474</v>
      </c>
      <c r="N60">
        <v>1</v>
      </c>
      <c r="O60">
        <v>20</v>
      </c>
      <c r="P60">
        <v>0</v>
      </c>
      <c r="Q60">
        <v>20</v>
      </c>
      <c r="R60" t="s">
        <v>51</v>
      </c>
      <c r="S60" s="1">
        <v>45520</v>
      </c>
      <c r="T60" t="s">
        <v>27</v>
      </c>
      <c r="U60" t="s">
        <v>28</v>
      </c>
    </row>
    <row r="61" spans="1:21" x14ac:dyDescent="0.25">
      <c r="A61" t="s">
        <v>54</v>
      </c>
      <c r="B61" t="s">
        <v>55</v>
      </c>
      <c r="C61" t="str">
        <f t="shared" si="0"/>
        <v>Gregory Teipel</v>
      </c>
      <c r="D61">
        <v>8307933</v>
      </c>
      <c r="E61" t="s">
        <v>21</v>
      </c>
      <c r="F61">
        <v>1</v>
      </c>
      <c r="G61" t="s">
        <v>22</v>
      </c>
      <c r="H61" t="s">
        <v>131</v>
      </c>
      <c r="I61" t="s">
        <v>132</v>
      </c>
      <c r="J61" s="1">
        <v>45292</v>
      </c>
      <c r="K61" t="s">
        <v>33</v>
      </c>
      <c r="L61" s="2">
        <v>45474</v>
      </c>
      <c r="M61" s="2">
        <v>45474</v>
      </c>
      <c r="N61">
        <v>1</v>
      </c>
      <c r="O61">
        <v>20</v>
      </c>
      <c r="P61">
        <v>0</v>
      </c>
      <c r="Q61">
        <v>20</v>
      </c>
      <c r="R61" t="s">
        <v>51</v>
      </c>
      <c r="S61" s="1">
        <v>45520</v>
      </c>
      <c r="T61" t="s">
        <v>27</v>
      </c>
      <c r="U61" t="s">
        <v>28</v>
      </c>
    </row>
    <row r="62" spans="1:21" x14ac:dyDescent="0.25">
      <c r="A62" t="s">
        <v>54</v>
      </c>
      <c r="B62" t="s">
        <v>55</v>
      </c>
      <c r="C62" t="str">
        <f t="shared" si="0"/>
        <v>Gregory Teipel</v>
      </c>
      <c r="D62">
        <v>8307933</v>
      </c>
      <c r="E62" t="s">
        <v>21</v>
      </c>
      <c r="F62">
        <v>1</v>
      </c>
      <c r="G62" t="s">
        <v>22</v>
      </c>
      <c r="H62" t="s">
        <v>131</v>
      </c>
      <c r="I62" t="s">
        <v>132</v>
      </c>
      <c r="J62" s="1">
        <v>45292</v>
      </c>
      <c r="K62" t="s">
        <v>33</v>
      </c>
      <c r="L62" s="2">
        <v>45505</v>
      </c>
      <c r="M62" s="2">
        <v>45505</v>
      </c>
      <c r="N62">
        <v>0</v>
      </c>
      <c r="O62">
        <v>125</v>
      </c>
      <c r="P62">
        <v>0</v>
      </c>
      <c r="Q62">
        <v>125</v>
      </c>
      <c r="R62" t="s">
        <v>379</v>
      </c>
      <c r="S62" s="1">
        <v>45513</v>
      </c>
      <c r="T62" t="s">
        <v>27</v>
      </c>
      <c r="U62" t="s">
        <v>28</v>
      </c>
    </row>
    <row r="63" spans="1:21" x14ac:dyDescent="0.25">
      <c r="A63" t="s">
        <v>54</v>
      </c>
      <c r="B63" t="s">
        <v>55</v>
      </c>
      <c r="C63" t="str">
        <f t="shared" si="0"/>
        <v>Gregory Teipel</v>
      </c>
      <c r="D63">
        <v>8307933</v>
      </c>
      <c r="E63" t="s">
        <v>21</v>
      </c>
      <c r="F63">
        <v>1</v>
      </c>
      <c r="G63" t="s">
        <v>22</v>
      </c>
      <c r="H63" t="s">
        <v>133</v>
      </c>
      <c r="I63" t="s">
        <v>134</v>
      </c>
      <c r="J63" s="1">
        <v>45292</v>
      </c>
      <c r="K63" t="s">
        <v>33</v>
      </c>
      <c r="L63" s="2">
        <v>45474</v>
      </c>
      <c r="M63" s="2">
        <v>45474</v>
      </c>
      <c r="N63">
        <v>3</v>
      </c>
      <c r="O63">
        <v>60</v>
      </c>
      <c r="P63">
        <v>0</v>
      </c>
      <c r="Q63">
        <v>60</v>
      </c>
      <c r="R63" t="s">
        <v>51</v>
      </c>
      <c r="S63" s="1">
        <v>45520</v>
      </c>
      <c r="T63" t="s">
        <v>27</v>
      </c>
      <c r="U63" t="s">
        <v>28</v>
      </c>
    </row>
    <row r="64" spans="1:21" x14ac:dyDescent="0.25">
      <c r="A64" t="s">
        <v>54</v>
      </c>
      <c r="B64" t="s">
        <v>55</v>
      </c>
      <c r="C64" t="str">
        <f t="shared" si="0"/>
        <v>Gregory Teipel</v>
      </c>
      <c r="D64">
        <v>8307933</v>
      </c>
      <c r="E64" t="s">
        <v>21</v>
      </c>
      <c r="F64">
        <v>1</v>
      </c>
      <c r="G64" t="s">
        <v>22</v>
      </c>
      <c r="H64" t="s">
        <v>133</v>
      </c>
      <c r="I64" t="s">
        <v>134</v>
      </c>
      <c r="J64" s="1">
        <v>45292</v>
      </c>
      <c r="K64" t="s">
        <v>33</v>
      </c>
      <c r="L64" s="2">
        <v>45505</v>
      </c>
      <c r="M64" s="2">
        <v>45505</v>
      </c>
      <c r="N64">
        <v>0</v>
      </c>
      <c r="O64">
        <v>375</v>
      </c>
      <c r="P64">
        <v>0</v>
      </c>
      <c r="Q64">
        <v>375</v>
      </c>
      <c r="R64" t="s">
        <v>379</v>
      </c>
      <c r="S64" s="1">
        <v>45513</v>
      </c>
      <c r="T64" t="s">
        <v>27</v>
      </c>
      <c r="U64" t="s">
        <v>28</v>
      </c>
    </row>
    <row r="65" spans="1:21" x14ac:dyDescent="0.25">
      <c r="A65" t="s">
        <v>37</v>
      </c>
      <c r="B65" t="s">
        <v>38</v>
      </c>
      <c r="C65" t="str">
        <f t="shared" si="0"/>
        <v>Ryan Caltagirone</v>
      </c>
      <c r="D65">
        <v>8977234</v>
      </c>
      <c r="E65" t="s">
        <v>21</v>
      </c>
      <c r="F65">
        <v>1</v>
      </c>
      <c r="G65" t="s">
        <v>22</v>
      </c>
      <c r="H65" t="s">
        <v>143</v>
      </c>
      <c r="I65" t="s">
        <v>144</v>
      </c>
      <c r="J65" s="1">
        <v>45292</v>
      </c>
      <c r="K65" t="s">
        <v>33</v>
      </c>
      <c r="L65" s="2">
        <v>45474</v>
      </c>
      <c r="M65" s="2">
        <v>45474</v>
      </c>
      <c r="N65">
        <v>1</v>
      </c>
      <c r="O65">
        <v>20</v>
      </c>
      <c r="P65">
        <v>0</v>
      </c>
      <c r="Q65">
        <v>20</v>
      </c>
      <c r="R65" t="s">
        <v>51</v>
      </c>
      <c r="S65" s="1">
        <v>45520</v>
      </c>
      <c r="T65" t="s">
        <v>27</v>
      </c>
      <c r="U65" t="s">
        <v>28</v>
      </c>
    </row>
    <row r="66" spans="1:21" x14ac:dyDescent="0.25">
      <c r="A66" t="s">
        <v>165</v>
      </c>
      <c r="B66" t="s">
        <v>166</v>
      </c>
      <c r="C66" t="str">
        <f t="shared" si="0"/>
        <v>FRANK LISKOVEC</v>
      </c>
      <c r="D66">
        <v>8814784</v>
      </c>
      <c r="E66" t="s">
        <v>21</v>
      </c>
      <c r="F66">
        <v>1</v>
      </c>
      <c r="G66" t="s">
        <v>22</v>
      </c>
      <c r="H66" t="s">
        <v>167</v>
      </c>
      <c r="I66" t="s">
        <v>168</v>
      </c>
      <c r="J66" s="1">
        <v>45444</v>
      </c>
      <c r="K66" t="s">
        <v>33</v>
      </c>
      <c r="L66" s="2">
        <v>45474</v>
      </c>
      <c r="M66" s="2">
        <v>45474</v>
      </c>
      <c r="N66">
        <v>2</v>
      </c>
      <c r="O66">
        <v>40</v>
      </c>
      <c r="P66">
        <v>0</v>
      </c>
      <c r="Q66">
        <v>40</v>
      </c>
      <c r="R66" t="s">
        <v>51</v>
      </c>
      <c r="S66" s="1">
        <v>45520</v>
      </c>
      <c r="T66" t="s">
        <v>27</v>
      </c>
      <c r="U66" t="s">
        <v>28</v>
      </c>
    </row>
    <row r="67" spans="1:21" x14ac:dyDescent="0.25">
      <c r="A67" t="s">
        <v>37</v>
      </c>
      <c r="B67" t="s">
        <v>38</v>
      </c>
      <c r="C67" t="str">
        <f t="shared" ref="C67:C130" si="1">CONCATENATE(B67, " ", A67)</f>
        <v>Ryan Caltagirone</v>
      </c>
      <c r="D67">
        <v>8977234</v>
      </c>
      <c r="E67" t="s">
        <v>21</v>
      </c>
      <c r="F67">
        <v>1</v>
      </c>
      <c r="G67" t="s">
        <v>22</v>
      </c>
      <c r="H67" t="s">
        <v>173</v>
      </c>
      <c r="I67" t="s">
        <v>174</v>
      </c>
      <c r="J67" s="1">
        <v>45292</v>
      </c>
      <c r="K67" t="s">
        <v>33</v>
      </c>
      <c r="L67" s="2">
        <v>45474</v>
      </c>
      <c r="M67" s="2">
        <v>45474</v>
      </c>
      <c r="N67">
        <v>1</v>
      </c>
      <c r="O67">
        <v>20</v>
      </c>
      <c r="P67">
        <v>0</v>
      </c>
      <c r="Q67">
        <v>20</v>
      </c>
      <c r="R67" t="s">
        <v>51</v>
      </c>
      <c r="S67" s="1">
        <v>45520</v>
      </c>
      <c r="T67" t="s">
        <v>27</v>
      </c>
      <c r="U67" t="s">
        <v>28</v>
      </c>
    </row>
    <row r="68" spans="1:21" x14ac:dyDescent="0.25">
      <c r="A68" t="s">
        <v>169</v>
      </c>
      <c r="B68" t="s">
        <v>170</v>
      </c>
      <c r="C68" t="str">
        <f t="shared" si="1"/>
        <v>RICHARD YALE</v>
      </c>
      <c r="D68">
        <v>16633294</v>
      </c>
      <c r="E68" t="s">
        <v>21</v>
      </c>
      <c r="F68">
        <v>1</v>
      </c>
      <c r="G68" t="s">
        <v>22</v>
      </c>
      <c r="H68" t="s">
        <v>196</v>
      </c>
      <c r="I68" t="s">
        <v>197</v>
      </c>
      <c r="J68" s="1">
        <v>45474</v>
      </c>
      <c r="K68" t="s">
        <v>33</v>
      </c>
      <c r="L68" s="2">
        <v>45474</v>
      </c>
      <c r="M68" s="2">
        <v>45474</v>
      </c>
      <c r="N68">
        <v>1</v>
      </c>
      <c r="O68">
        <v>20</v>
      </c>
      <c r="P68">
        <v>0</v>
      </c>
      <c r="Q68">
        <v>20</v>
      </c>
      <c r="R68" t="s">
        <v>51</v>
      </c>
      <c r="S68" s="1">
        <v>45520</v>
      </c>
      <c r="T68" t="s">
        <v>27</v>
      </c>
      <c r="U68" t="s">
        <v>28</v>
      </c>
    </row>
    <row r="69" spans="1:21" x14ac:dyDescent="0.25">
      <c r="A69" t="s">
        <v>47</v>
      </c>
      <c r="B69" t="s">
        <v>48</v>
      </c>
      <c r="C69" t="str">
        <f t="shared" si="1"/>
        <v>Nasandelger Zana</v>
      </c>
      <c r="D69">
        <v>20220688</v>
      </c>
      <c r="E69" t="s">
        <v>21</v>
      </c>
      <c r="F69">
        <v>1</v>
      </c>
      <c r="G69" t="s">
        <v>22</v>
      </c>
      <c r="H69" t="s">
        <v>198</v>
      </c>
      <c r="I69" t="s">
        <v>199</v>
      </c>
      <c r="J69" s="1">
        <v>45444</v>
      </c>
      <c r="K69" t="s">
        <v>33</v>
      </c>
      <c r="L69" s="2">
        <v>45474</v>
      </c>
      <c r="M69" s="2">
        <v>45474</v>
      </c>
      <c r="N69">
        <v>1</v>
      </c>
      <c r="O69">
        <v>20</v>
      </c>
      <c r="P69">
        <v>0</v>
      </c>
      <c r="Q69">
        <v>20</v>
      </c>
      <c r="R69" t="s">
        <v>51</v>
      </c>
      <c r="S69" s="1">
        <v>45520</v>
      </c>
      <c r="T69" t="s">
        <v>27</v>
      </c>
      <c r="U69" t="s">
        <v>28</v>
      </c>
    </row>
    <row r="70" spans="1:21" x14ac:dyDescent="0.25">
      <c r="A70" t="s">
        <v>54</v>
      </c>
      <c r="B70" t="s">
        <v>55</v>
      </c>
      <c r="C70" t="str">
        <f t="shared" si="1"/>
        <v>Gregory Teipel</v>
      </c>
      <c r="D70">
        <v>8307933</v>
      </c>
      <c r="E70" t="s">
        <v>21</v>
      </c>
      <c r="F70">
        <v>1</v>
      </c>
      <c r="G70" t="s">
        <v>22</v>
      </c>
      <c r="H70" t="s">
        <v>200</v>
      </c>
      <c r="I70" t="s">
        <v>201</v>
      </c>
      <c r="J70" s="1">
        <v>45292</v>
      </c>
      <c r="K70" t="s">
        <v>33</v>
      </c>
      <c r="L70" s="2">
        <v>45474</v>
      </c>
      <c r="M70" s="2">
        <v>45474</v>
      </c>
      <c r="N70">
        <v>1</v>
      </c>
      <c r="O70">
        <v>20</v>
      </c>
      <c r="P70">
        <v>0</v>
      </c>
      <c r="Q70">
        <v>20</v>
      </c>
      <c r="R70" t="s">
        <v>51</v>
      </c>
      <c r="S70" s="1">
        <v>45520</v>
      </c>
      <c r="T70" t="s">
        <v>27</v>
      </c>
      <c r="U70" t="s">
        <v>28</v>
      </c>
    </row>
    <row r="71" spans="1:21" x14ac:dyDescent="0.25">
      <c r="A71" t="s">
        <v>54</v>
      </c>
      <c r="B71" t="s">
        <v>55</v>
      </c>
      <c r="C71" t="str">
        <f t="shared" si="1"/>
        <v>Gregory Teipel</v>
      </c>
      <c r="D71">
        <v>8307933</v>
      </c>
      <c r="E71" t="s">
        <v>21</v>
      </c>
      <c r="F71">
        <v>1</v>
      </c>
      <c r="G71" t="s">
        <v>22</v>
      </c>
      <c r="H71" t="s">
        <v>200</v>
      </c>
      <c r="I71" t="s">
        <v>201</v>
      </c>
      <c r="J71" s="1">
        <v>45292</v>
      </c>
      <c r="K71" t="s">
        <v>33</v>
      </c>
      <c r="L71" s="2">
        <v>45505</v>
      </c>
      <c r="M71" s="2">
        <v>45505</v>
      </c>
      <c r="N71">
        <v>0</v>
      </c>
      <c r="O71">
        <v>125</v>
      </c>
      <c r="P71">
        <v>0</v>
      </c>
      <c r="Q71">
        <v>125</v>
      </c>
      <c r="R71" t="s">
        <v>379</v>
      </c>
      <c r="S71" s="1">
        <v>45513</v>
      </c>
      <c r="T71" t="s">
        <v>27</v>
      </c>
      <c r="U71" t="s">
        <v>28</v>
      </c>
    </row>
    <row r="72" spans="1:21" x14ac:dyDescent="0.25">
      <c r="A72" t="s">
        <v>54</v>
      </c>
      <c r="B72" t="s">
        <v>55</v>
      </c>
      <c r="C72" t="str">
        <f t="shared" si="1"/>
        <v>Gregory Teipel</v>
      </c>
      <c r="D72">
        <v>8307933</v>
      </c>
      <c r="E72" t="s">
        <v>21</v>
      </c>
      <c r="F72">
        <v>1</v>
      </c>
      <c r="G72" t="s">
        <v>22</v>
      </c>
      <c r="H72" t="s">
        <v>208</v>
      </c>
      <c r="I72" t="s">
        <v>209</v>
      </c>
      <c r="J72" s="1">
        <v>45292</v>
      </c>
      <c r="K72" t="s">
        <v>33</v>
      </c>
      <c r="L72" s="2">
        <v>45474</v>
      </c>
      <c r="M72" s="2">
        <v>45474</v>
      </c>
      <c r="N72">
        <v>1</v>
      </c>
      <c r="O72">
        <v>20</v>
      </c>
      <c r="P72">
        <v>0</v>
      </c>
      <c r="Q72">
        <v>20</v>
      </c>
      <c r="R72" t="s">
        <v>51</v>
      </c>
      <c r="S72" s="1">
        <v>45520</v>
      </c>
      <c r="T72" t="s">
        <v>27</v>
      </c>
      <c r="U72" t="s">
        <v>28</v>
      </c>
    </row>
    <row r="73" spans="1:21" x14ac:dyDescent="0.25">
      <c r="A73" t="s">
        <v>54</v>
      </c>
      <c r="B73" t="s">
        <v>55</v>
      </c>
      <c r="C73" t="str">
        <f t="shared" si="1"/>
        <v>Gregory Teipel</v>
      </c>
      <c r="D73">
        <v>8307933</v>
      </c>
      <c r="E73" t="s">
        <v>21</v>
      </c>
      <c r="F73">
        <v>1</v>
      </c>
      <c r="G73" t="s">
        <v>22</v>
      </c>
      <c r="H73" t="s">
        <v>208</v>
      </c>
      <c r="I73" t="s">
        <v>209</v>
      </c>
      <c r="J73" s="1">
        <v>45292</v>
      </c>
      <c r="K73" t="s">
        <v>33</v>
      </c>
      <c r="L73" s="2">
        <v>45505</v>
      </c>
      <c r="M73" s="2">
        <v>45505</v>
      </c>
      <c r="N73">
        <v>0</v>
      </c>
      <c r="O73">
        <v>60</v>
      </c>
      <c r="P73">
        <v>0</v>
      </c>
      <c r="Q73">
        <v>60</v>
      </c>
      <c r="R73" t="s">
        <v>379</v>
      </c>
      <c r="S73" s="1">
        <v>45513</v>
      </c>
      <c r="T73" t="s">
        <v>27</v>
      </c>
      <c r="U73" t="s">
        <v>28</v>
      </c>
    </row>
    <row r="74" spans="1:21" x14ac:dyDescent="0.25">
      <c r="A74" t="s">
        <v>242</v>
      </c>
      <c r="B74" t="s">
        <v>243</v>
      </c>
      <c r="C74" t="str">
        <f t="shared" si="1"/>
        <v>Stacey Portugal</v>
      </c>
      <c r="D74">
        <v>19645587</v>
      </c>
      <c r="E74" t="s">
        <v>21</v>
      </c>
      <c r="F74">
        <v>1</v>
      </c>
      <c r="G74" t="s">
        <v>22</v>
      </c>
      <c r="H74" t="s">
        <v>244</v>
      </c>
      <c r="I74" t="s">
        <v>245</v>
      </c>
      <c r="J74" s="1">
        <v>45444</v>
      </c>
      <c r="K74" t="s">
        <v>33</v>
      </c>
      <c r="L74" s="2">
        <v>45474</v>
      </c>
      <c r="M74" s="2">
        <v>45474</v>
      </c>
      <c r="N74">
        <v>1</v>
      </c>
      <c r="O74">
        <v>20</v>
      </c>
      <c r="P74">
        <v>0</v>
      </c>
      <c r="Q74">
        <v>20</v>
      </c>
      <c r="R74" t="s">
        <v>51</v>
      </c>
      <c r="S74" s="1">
        <v>45520</v>
      </c>
      <c r="T74" t="s">
        <v>27</v>
      </c>
      <c r="U74" t="s">
        <v>28</v>
      </c>
    </row>
    <row r="75" spans="1:21" x14ac:dyDescent="0.25">
      <c r="A75" t="s">
        <v>54</v>
      </c>
      <c r="B75" t="s">
        <v>55</v>
      </c>
      <c r="C75" t="str">
        <f t="shared" si="1"/>
        <v>Gregory Teipel</v>
      </c>
      <c r="D75">
        <v>8307933</v>
      </c>
      <c r="E75" t="s">
        <v>21</v>
      </c>
      <c r="F75">
        <v>1</v>
      </c>
      <c r="G75" t="s">
        <v>22</v>
      </c>
      <c r="H75" t="s">
        <v>385</v>
      </c>
      <c r="I75" t="s">
        <v>386</v>
      </c>
      <c r="J75" s="1">
        <v>45292</v>
      </c>
      <c r="K75" t="s">
        <v>33</v>
      </c>
      <c r="L75" s="2">
        <v>45505</v>
      </c>
      <c r="M75" s="2">
        <v>45505</v>
      </c>
      <c r="N75">
        <v>0</v>
      </c>
      <c r="O75">
        <v>125</v>
      </c>
      <c r="P75">
        <v>0</v>
      </c>
      <c r="Q75">
        <v>125</v>
      </c>
      <c r="R75" t="s">
        <v>379</v>
      </c>
      <c r="S75" s="1">
        <v>45513</v>
      </c>
      <c r="T75" t="s">
        <v>27</v>
      </c>
      <c r="U75" t="s">
        <v>28</v>
      </c>
    </row>
    <row r="76" spans="1:21" x14ac:dyDescent="0.25">
      <c r="A76" t="s">
        <v>54</v>
      </c>
      <c r="B76" t="s">
        <v>55</v>
      </c>
      <c r="C76" t="str">
        <f t="shared" si="1"/>
        <v>Gregory Teipel</v>
      </c>
      <c r="D76">
        <v>8307933</v>
      </c>
      <c r="E76" t="s">
        <v>21</v>
      </c>
      <c r="F76">
        <v>1</v>
      </c>
      <c r="G76" t="s">
        <v>22</v>
      </c>
      <c r="H76" t="s">
        <v>252</v>
      </c>
      <c r="I76" t="s">
        <v>253</v>
      </c>
      <c r="J76" s="1">
        <v>45323</v>
      </c>
      <c r="K76" t="s">
        <v>33</v>
      </c>
      <c r="L76" s="2">
        <v>45413</v>
      </c>
      <c r="M76" s="2">
        <v>45413</v>
      </c>
      <c r="N76">
        <v>2</v>
      </c>
      <c r="O76">
        <v>40</v>
      </c>
      <c r="P76">
        <v>0</v>
      </c>
      <c r="Q76">
        <v>40</v>
      </c>
      <c r="R76" t="s">
        <v>51</v>
      </c>
      <c r="S76" s="1">
        <v>45520</v>
      </c>
      <c r="T76" t="s">
        <v>27</v>
      </c>
      <c r="U76" t="s">
        <v>28</v>
      </c>
    </row>
    <row r="77" spans="1:21" x14ac:dyDescent="0.25">
      <c r="A77" t="s">
        <v>54</v>
      </c>
      <c r="B77" t="s">
        <v>55</v>
      </c>
      <c r="C77" t="str">
        <f t="shared" si="1"/>
        <v>Gregory Teipel</v>
      </c>
      <c r="D77">
        <v>8307933</v>
      </c>
      <c r="E77" t="s">
        <v>21</v>
      </c>
      <c r="F77">
        <v>1</v>
      </c>
      <c r="G77" t="s">
        <v>22</v>
      </c>
      <c r="H77" t="s">
        <v>252</v>
      </c>
      <c r="I77" t="s">
        <v>253</v>
      </c>
      <c r="J77" s="1">
        <v>45323</v>
      </c>
      <c r="K77" t="s">
        <v>33</v>
      </c>
      <c r="L77" s="2">
        <v>45444</v>
      </c>
      <c r="M77" s="2">
        <v>45444</v>
      </c>
      <c r="N77">
        <v>2</v>
      </c>
      <c r="O77">
        <v>40</v>
      </c>
      <c r="P77">
        <v>0</v>
      </c>
      <c r="Q77">
        <v>40</v>
      </c>
      <c r="R77" t="s">
        <v>51</v>
      </c>
      <c r="S77" s="1">
        <v>45520</v>
      </c>
      <c r="T77" t="s">
        <v>27</v>
      </c>
      <c r="U77" t="s">
        <v>28</v>
      </c>
    </row>
    <row r="78" spans="1:21" x14ac:dyDescent="0.25">
      <c r="A78" t="s">
        <v>54</v>
      </c>
      <c r="B78" t="s">
        <v>55</v>
      </c>
      <c r="C78" t="str">
        <f t="shared" si="1"/>
        <v>Gregory Teipel</v>
      </c>
      <c r="D78">
        <v>8307933</v>
      </c>
      <c r="E78" t="s">
        <v>21</v>
      </c>
      <c r="F78">
        <v>1</v>
      </c>
      <c r="G78" t="s">
        <v>22</v>
      </c>
      <c r="H78" t="s">
        <v>252</v>
      </c>
      <c r="I78" t="s">
        <v>253</v>
      </c>
      <c r="J78" s="1">
        <v>45323</v>
      </c>
      <c r="K78" t="s">
        <v>33</v>
      </c>
      <c r="L78" s="2">
        <v>45474</v>
      </c>
      <c r="M78" s="2">
        <v>45474</v>
      </c>
      <c r="N78">
        <v>2</v>
      </c>
      <c r="O78">
        <v>40</v>
      </c>
      <c r="P78">
        <v>0</v>
      </c>
      <c r="Q78">
        <v>40</v>
      </c>
      <c r="R78" t="s">
        <v>51</v>
      </c>
      <c r="S78" s="1">
        <v>45520</v>
      </c>
      <c r="T78" t="s">
        <v>27</v>
      </c>
      <c r="U78" t="s">
        <v>28</v>
      </c>
    </row>
    <row r="79" spans="1:21" x14ac:dyDescent="0.25">
      <c r="A79" t="s">
        <v>54</v>
      </c>
      <c r="B79" t="s">
        <v>55</v>
      </c>
      <c r="C79" t="str">
        <f t="shared" si="1"/>
        <v>Gregory Teipel</v>
      </c>
      <c r="D79">
        <v>8307933</v>
      </c>
      <c r="E79" t="s">
        <v>21</v>
      </c>
      <c r="F79">
        <v>1</v>
      </c>
      <c r="G79" t="s">
        <v>22</v>
      </c>
      <c r="H79" t="s">
        <v>254</v>
      </c>
      <c r="I79" t="s">
        <v>255</v>
      </c>
      <c r="J79" s="1">
        <v>45292</v>
      </c>
      <c r="K79" t="s">
        <v>33</v>
      </c>
      <c r="L79" s="2">
        <v>45474</v>
      </c>
      <c r="M79" s="2">
        <v>45474</v>
      </c>
      <c r="N79">
        <v>2</v>
      </c>
      <c r="O79">
        <v>40</v>
      </c>
      <c r="P79">
        <v>0</v>
      </c>
      <c r="Q79">
        <v>40</v>
      </c>
      <c r="R79" t="s">
        <v>51</v>
      </c>
      <c r="S79" s="1">
        <v>45520</v>
      </c>
      <c r="T79" t="s">
        <v>27</v>
      </c>
      <c r="U79" t="s">
        <v>28</v>
      </c>
    </row>
    <row r="80" spans="1:21" x14ac:dyDescent="0.25">
      <c r="A80" t="s">
        <v>54</v>
      </c>
      <c r="B80" t="s">
        <v>55</v>
      </c>
      <c r="C80" t="str">
        <f t="shared" si="1"/>
        <v>Gregory Teipel</v>
      </c>
      <c r="D80">
        <v>8307933</v>
      </c>
      <c r="E80" t="s">
        <v>21</v>
      </c>
      <c r="F80">
        <v>1</v>
      </c>
      <c r="G80" t="s">
        <v>22</v>
      </c>
      <c r="H80" t="s">
        <v>254</v>
      </c>
      <c r="I80" t="s">
        <v>255</v>
      </c>
      <c r="J80" s="1">
        <v>45292</v>
      </c>
      <c r="K80" t="s">
        <v>33</v>
      </c>
      <c r="L80" s="2">
        <v>45505</v>
      </c>
      <c r="M80" s="2">
        <v>45505</v>
      </c>
      <c r="N80">
        <v>0</v>
      </c>
      <c r="O80">
        <v>250</v>
      </c>
      <c r="P80">
        <v>0</v>
      </c>
      <c r="Q80">
        <v>250</v>
      </c>
      <c r="R80" t="s">
        <v>379</v>
      </c>
      <c r="S80" s="1">
        <v>45513</v>
      </c>
      <c r="T80" t="s">
        <v>27</v>
      </c>
      <c r="U80" t="s">
        <v>28</v>
      </c>
    </row>
    <row r="81" spans="1:21" x14ac:dyDescent="0.25">
      <c r="A81" t="s">
        <v>47</v>
      </c>
      <c r="B81" t="s">
        <v>48</v>
      </c>
      <c r="C81" t="str">
        <f t="shared" si="1"/>
        <v>Nasandelger Zana</v>
      </c>
      <c r="D81">
        <v>20220688</v>
      </c>
      <c r="E81" t="s">
        <v>21</v>
      </c>
      <c r="F81">
        <v>1</v>
      </c>
      <c r="G81" t="s">
        <v>22</v>
      </c>
      <c r="H81" t="s">
        <v>258</v>
      </c>
      <c r="I81" t="s">
        <v>259</v>
      </c>
      <c r="J81" s="1">
        <v>45383</v>
      </c>
      <c r="K81" t="s">
        <v>33</v>
      </c>
      <c r="L81" s="2">
        <v>45474</v>
      </c>
      <c r="M81" s="2">
        <v>45474</v>
      </c>
      <c r="N81">
        <v>1</v>
      </c>
      <c r="O81">
        <v>20</v>
      </c>
      <c r="P81">
        <v>0</v>
      </c>
      <c r="Q81">
        <v>20</v>
      </c>
      <c r="R81" t="s">
        <v>51</v>
      </c>
      <c r="S81" s="1">
        <v>45520</v>
      </c>
      <c r="T81" t="s">
        <v>27</v>
      </c>
      <c r="U81" t="s">
        <v>28</v>
      </c>
    </row>
    <row r="82" spans="1:21" x14ac:dyDescent="0.25">
      <c r="A82" t="s">
        <v>47</v>
      </c>
      <c r="B82" t="s">
        <v>48</v>
      </c>
      <c r="C82" t="str">
        <f t="shared" si="1"/>
        <v>Nasandelger Zana</v>
      </c>
      <c r="D82">
        <v>20220688</v>
      </c>
      <c r="E82" t="s">
        <v>21</v>
      </c>
      <c r="F82">
        <v>1</v>
      </c>
      <c r="G82" t="s">
        <v>22</v>
      </c>
      <c r="H82" t="s">
        <v>262</v>
      </c>
      <c r="I82" t="s">
        <v>263</v>
      </c>
      <c r="J82" s="1">
        <v>45444</v>
      </c>
      <c r="K82" t="s">
        <v>33</v>
      </c>
      <c r="L82" s="2">
        <v>45474</v>
      </c>
      <c r="M82" s="2">
        <v>45474</v>
      </c>
      <c r="N82">
        <v>1</v>
      </c>
      <c r="O82">
        <v>20</v>
      </c>
      <c r="P82">
        <v>0</v>
      </c>
      <c r="Q82">
        <v>20</v>
      </c>
      <c r="R82" t="s">
        <v>51</v>
      </c>
      <c r="S82" s="1">
        <v>45520</v>
      </c>
      <c r="T82" t="s">
        <v>27</v>
      </c>
      <c r="U82" t="s">
        <v>28</v>
      </c>
    </row>
    <row r="83" spans="1:21" x14ac:dyDescent="0.25">
      <c r="A83" t="s">
        <v>47</v>
      </c>
      <c r="B83" t="s">
        <v>48</v>
      </c>
      <c r="C83" t="str">
        <f t="shared" si="1"/>
        <v>Nasandelger Zana</v>
      </c>
      <c r="D83">
        <v>20220688</v>
      </c>
      <c r="E83" t="s">
        <v>21</v>
      </c>
      <c r="F83">
        <v>1</v>
      </c>
      <c r="G83" t="s">
        <v>22</v>
      </c>
      <c r="H83" t="s">
        <v>268</v>
      </c>
      <c r="I83" t="s">
        <v>269</v>
      </c>
      <c r="J83" s="1">
        <v>45352</v>
      </c>
      <c r="K83" t="s">
        <v>33</v>
      </c>
      <c r="L83" s="2">
        <v>45474</v>
      </c>
      <c r="M83" s="2">
        <v>45474</v>
      </c>
      <c r="N83">
        <v>1</v>
      </c>
      <c r="O83">
        <v>20</v>
      </c>
      <c r="P83">
        <v>0</v>
      </c>
      <c r="Q83">
        <v>20</v>
      </c>
      <c r="R83" t="s">
        <v>51</v>
      </c>
      <c r="S83" s="1">
        <v>45520</v>
      </c>
      <c r="T83" t="s">
        <v>27</v>
      </c>
      <c r="U83" t="s">
        <v>28</v>
      </c>
    </row>
    <row r="84" spans="1:21" x14ac:dyDescent="0.25">
      <c r="A84" t="s">
        <v>175</v>
      </c>
      <c r="B84" t="s">
        <v>176</v>
      </c>
      <c r="C84" t="str">
        <f t="shared" si="1"/>
        <v>Colleen Finnigan</v>
      </c>
      <c r="D84">
        <v>17437820</v>
      </c>
      <c r="E84" t="s">
        <v>21</v>
      </c>
      <c r="F84">
        <v>1</v>
      </c>
      <c r="G84" t="s">
        <v>22</v>
      </c>
      <c r="H84" t="s">
        <v>272</v>
      </c>
      <c r="I84" t="s">
        <v>273</v>
      </c>
      <c r="J84" s="1">
        <v>45292</v>
      </c>
      <c r="K84" t="s">
        <v>33</v>
      </c>
      <c r="L84" s="2">
        <v>45474</v>
      </c>
      <c r="M84" s="2">
        <v>45474</v>
      </c>
      <c r="N84">
        <v>4</v>
      </c>
      <c r="O84">
        <v>80</v>
      </c>
      <c r="P84">
        <v>0</v>
      </c>
      <c r="Q84">
        <v>80</v>
      </c>
      <c r="R84" t="s">
        <v>51</v>
      </c>
      <c r="S84" s="1">
        <v>45520</v>
      </c>
      <c r="T84" t="s">
        <v>27</v>
      </c>
      <c r="U84" t="s">
        <v>28</v>
      </c>
    </row>
    <row r="85" spans="1:21" x14ac:dyDescent="0.25">
      <c r="A85" t="s">
        <v>54</v>
      </c>
      <c r="B85" t="s">
        <v>55</v>
      </c>
      <c r="C85" t="str">
        <f t="shared" si="1"/>
        <v>Gregory Teipel</v>
      </c>
      <c r="D85">
        <v>8307933</v>
      </c>
      <c r="E85" t="s">
        <v>21</v>
      </c>
      <c r="F85">
        <v>1</v>
      </c>
      <c r="G85" t="s">
        <v>22</v>
      </c>
      <c r="H85" t="s">
        <v>389</v>
      </c>
      <c r="I85" t="s">
        <v>390</v>
      </c>
      <c r="J85" s="1">
        <v>45292</v>
      </c>
      <c r="K85" t="s">
        <v>33</v>
      </c>
      <c r="L85" s="2">
        <v>45505</v>
      </c>
      <c r="M85" s="2">
        <v>45505</v>
      </c>
      <c r="N85">
        <v>0</v>
      </c>
      <c r="O85">
        <v>125</v>
      </c>
      <c r="P85">
        <v>0</v>
      </c>
      <c r="Q85">
        <v>125</v>
      </c>
      <c r="R85" t="s">
        <v>379</v>
      </c>
      <c r="S85" s="1">
        <v>45513</v>
      </c>
      <c r="T85" t="s">
        <v>27</v>
      </c>
      <c r="U85" t="s">
        <v>28</v>
      </c>
    </row>
    <row r="86" spans="1:21" x14ac:dyDescent="0.25">
      <c r="A86" t="s">
        <v>54</v>
      </c>
      <c r="B86" t="s">
        <v>55</v>
      </c>
      <c r="C86" t="str">
        <f t="shared" si="1"/>
        <v>Gregory Teipel</v>
      </c>
      <c r="D86">
        <v>8307933</v>
      </c>
      <c r="E86" t="s">
        <v>21</v>
      </c>
      <c r="F86">
        <v>1</v>
      </c>
      <c r="G86" t="s">
        <v>22</v>
      </c>
      <c r="H86" t="s">
        <v>391</v>
      </c>
      <c r="I86" t="s">
        <v>392</v>
      </c>
      <c r="J86" s="1">
        <v>45292</v>
      </c>
      <c r="K86" t="s">
        <v>33</v>
      </c>
      <c r="L86" s="2">
        <v>45505</v>
      </c>
      <c r="M86" s="2">
        <v>45505</v>
      </c>
      <c r="N86">
        <v>0</v>
      </c>
      <c r="O86">
        <v>125</v>
      </c>
      <c r="P86">
        <v>0</v>
      </c>
      <c r="Q86">
        <v>125</v>
      </c>
      <c r="R86" t="s">
        <v>379</v>
      </c>
      <c r="S86" s="1">
        <v>45513</v>
      </c>
      <c r="T86" t="s">
        <v>27</v>
      </c>
      <c r="U86" t="s">
        <v>28</v>
      </c>
    </row>
    <row r="87" spans="1:21" x14ac:dyDescent="0.25">
      <c r="A87" t="s">
        <v>54</v>
      </c>
      <c r="B87" t="s">
        <v>55</v>
      </c>
      <c r="C87" t="str">
        <f t="shared" si="1"/>
        <v>Gregory Teipel</v>
      </c>
      <c r="D87">
        <v>8307933</v>
      </c>
      <c r="E87" t="s">
        <v>21</v>
      </c>
      <c r="F87">
        <v>1</v>
      </c>
      <c r="G87" t="s">
        <v>22</v>
      </c>
      <c r="H87" t="s">
        <v>274</v>
      </c>
      <c r="I87" t="s">
        <v>275</v>
      </c>
      <c r="J87" s="1">
        <v>45292</v>
      </c>
      <c r="K87" t="s">
        <v>33</v>
      </c>
      <c r="L87" s="2">
        <v>45474</v>
      </c>
      <c r="M87" s="2">
        <v>45474</v>
      </c>
      <c r="N87">
        <v>2</v>
      </c>
      <c r="O87">
        <v>40</v>
      </c>
      <c r="P87">
        <v>0</v>
      </c>
      <c r="Q87">
        <v>40</v>
      </c>
      <c r="R87" t="s">
        <v>51</v>
      </c>
      <c r="S87" s="1">
        <v>45520</v>
      </c>
      <c r="T87" t="s">
        <v>27</v>
      </c>
      <c r="U87" t="s">
        <v>28</v>
      </c>
    </row>
    <row r="88" spans="1:21" x14ac:dyDescent="0.25">
      <c r="A88" t="s">
        <v>54</v>
      </c>
      <c r="B88" t="s">
        <v>55</v>
      </c>
      <c r="C88" t="str">
        <f t="shared" si="1"/>
        <v>Gregory Teipel</v>
      </c>
      <c r="D88">
        <v>8307933</v>
      </c>
      <c r="E88" t="s">
        <v>21</v>
      </c>
      <c r="F88">
        <v>1</v>
      </c>
      <c r="G88" t="s">
        <v>22</v>
      </c>
      <c r="H88" t="s">
        <v>274</v>
      </c>
      <c r="I88" t="s">
        <v>275</v>
      </c>
      <c r="J88" s="1">
        <v>45292</v>
      </c>
      <c r="K88" t="s">
        <v>33</v>
      </c>
      <c r="L88" s="2">
        <v>45505</v>
      </c>
      <c r="M88" s="2">
        <v>45505</v>
      </c>
      <c r="N88">
        <v>0</v>
      </c>
      <c r="O88">
        <v>250</v>
      </c>
      <c r="P88">
        <v>0</v>
      </c>
      <c r="Q88">
        <v>250</v>
      </c>
      <c r="R88" t="s">
        <v>379</v>
      </c>
      <c r="S88" s="1">
        <v>45513</v>
      </c>
      <c r="T88" t="s">
        <v>27</v>
      </c>
      <c r="U88" t="s">
        <v>28</v>
      </c>
    </row>
    <row r="89" spans="1:21" x14ac:dyDescent="0.25">
      <c r="A89" t="s">
        <v>47</v>
      </c>
      <c r="B89" t="s">
        <v>48</v>
      </c>
      <c r="C89" t="str">
        <f t="shared" si="1"/>
        <v>Nasandelger Zana</v>
      </c>
      <c r="D89">
        <v>20220688</v>
      </c>
      <c r="E89" t="s">
        <v>21</v>
      </c>
      <c r="F89">
        <v>1</v>
      </c>
      <c r="G89" t="s">
        <v>22</v>
      </c>
      <c r="H89" t="s">
        <v>278</v>
      </c>
      <c r="I89" t="s">
        <v>279</v>
      </c>
      <c r="J89" s="1">
        <v>45292</v>
      </c>
      <c r="K89" t="s">
        <v>33</v>
      </c>
      <c r="L89" s="2">
        <v>45474</v>
      </c>
      <c r="M89" s="2">
        <v>45474</v>
      </c>
      <c r="N89">
        <v>2</v>
      </c>
      <c r="O89">
        <v>40</v>
      </c>
      <c r="P89">
        <v>0</v>
      </c>
      <c r="Q89">
        <v>40</v>
      </c>
      <c r="R89" t="s">
        <v>51</v>
      </c>
      <c r="S89" s="1">
        <v>45520</v>
      </c>
      <c r="T89" t="s">
        <v>27</v>
      </c>
      <c r="U89" t="s">
        <v>28</v>
      </c>
    </row>
    <row r="90" spans="1:21" x14ac:dyDescent="0.25">
      <c r="A90" t="s">
        <v>284</v>
      </c>
      <c r="B90" t="s">
        <v>285</v>
      </c>
      <c r="C90" t="str">
        <f t="shared" si="1"/>
        <v>GREGORY HANSFORD</v>
      </c>
      <c r="D90">
        <v>17094718</v>
      </c>
      <c r="E90" t="s">
        <v>21</v>
      </c>
      <c r="F90">
        <v>1</v>
      </c>
      <c r="G90" t="s">
        <v>22</v>
      </c>
      <c r="H90" t="s">
        <v>286</v>
      </c>
      <c r="I90" t="s">
        <v>287</v>
      </c>
      <c r="J90" s="1">
        <v>45292</v>
      </c>
      <c r="K90" t="s">
        <v>33</v>
      </c>
      <c r="L90" s="2">
        <v>45474</v>
      </c>
      <c r="M90" s="2">
        <v>45474</v>
      </c>
      <c r="N90">
        <v>2</v>
      </c>
      <c r="O90">
        <v>40</v>
      </c>
      <c r="P90">
        <v>0</v>
      </c>
      <c r="Q90">
        <v>40</v>
      </c>
      <c r="R90" t="s">
        <v>51</v>
      </c>
      <c r="S90" s="1">
        <v>45520</v>
      </c>
      <c r="T90" t="s">
        <v>27</v>
      </c>
      <c r="U90" t="s">
        <v>28</v>
      </c>
    </row>
    <row r="91" spans="1:21" x14ac:dyDescent="0.25">
      <c r="A91" t="s">
        <v>54</v>
      </c>
      <c r="B91" t="s">
        <v>55</v>
      </c>
      <c r="C91" t="str">
        <f t="shared" si="1"/>
        <v>Gregory Teipel</v>
      </c>
      <c r="D91">
        <v>8307933</v>
      </c>
      <c r="E91" t="s">
        <v>21</v>
      </c>
      <c r="F91">
        <v>1</v>
      </c>
      <c r="G91" t="s">
        <v>22</v>
      </c>
      <c r="H91" t="s">
        <v>290</v>
      </c>
      <c r="I91" t="s">
        <v>291</v>
      </c>
      <c r="J91" s="1">
        <v>44927</v>
      </c>
      <c r="K91" t="s">
        <v>33</v>
      </c>
      <c r="L91" s="2">
        <v>45474</v>
      </c>
      <c r="M91" s="2">
        <v>45474</v>
      </c>
      <c r="N91">
        <v>1</v>
      </c>
      <c r="O91">
        <v>20</v>
      </c>
      <c r="P91">
        <v>0</v>
      </c>
      <c r="Q91">
        <v>20</v>
      </c>
      <c r="R91" t="s">
        <v>34</v>
      </c>
      <c r="S91" s="1">
        <v>45520</v>
      </c>
      <c r="T91" t="s">
        <v>27</v>
      </c>
      <c r="U91" t="s">
        <v>28</v>
      </c>
    </row>
    <row r="92" spans="1:21" x14ac:dyDescent="0.25">
      <c r="A92" t="s">
        <v>54</v>
      </c>
      <c r="B92" t="s">
        <v>55</v>
      </c>
      <c r="C92" t="str">
        <f t="shared" si="1"/>
        <v>Gregory Teipel</v>
      </c>
      <c r="D92">
        <v>8307933</v>
      </c>
      <c r="E92" t="s">
        <v>21</v>
      </c>
      <c r="F92">
        <v>1</v>
      </c>
      <c r="G92" t="s">
        <v>22</v>
      </c>
      <c r="H92" t="s">
        <v>290</v>
      </c>
      <c r="I92" t="s">
        <v>291</v>
      </c>
      <c r="J92" s="1">
        <v>44927</v>
      </c>
      <c r="K92" t="s">
        <v>33</v>
      </c>
      <c r="L92" s="2">
        <v>45505</v>
      </c>
      <c r="M92" s="2">
        <v>45505</v>
      </c>
      <c r="N92">
        <v>0</v>
      </c>
      <c r="O92">
        <v>125</v>
      </c>
      <c r="P92">
        <v>0</v>
      </c>
      <c r="Q92">
        <v>125</v>
      </c>
      <c r="R92" t="s">
        <v>379</v>
      </c>
      <c r="S92" s="1">
        <v>45513</v>
      </c>
      <c r="T92" t="s">
        <v>27</v>
      </c>
      <c r="U92" t="s">
        <v>28</v>
      </c>
    </row>
    <row r="93" spans="1:21" x14ac:dyDescent="0.25">
      <c r="A93" t="s">
        <v>47</v>
      </c>
      <c r="B93" t="s">
        <v>48</v>
      </c>
      <c r="C93" t="str">
        <f t="shared" si="1"/>
        <v>Nasandelger Zana</v>
      </c>
      <c r="D93">
        <v>20220688</v>
      </c>
      <c r="E93" t="s">
        <v>21</v>
      </c>
      <c r="F93">
        <v>1</v>
      </c>
      <c r="G93" t="s">
        <v>22</v>
      </c>
      <c r="H93" t="s">
        <v>304</v>
      </c>
      <c r="I93" t="s">
        <v>305</v>
      </c>
      <c r="J93" s="1">
        <v>45292</v>
      </c>
      <c r="K93" t="s">
        <v>33</v>
      </c>
      <c r="L93" s="2">
        <v>45474</v>
      </c>
      <c r="M93" s="2">
        <v>45474</v>
      </c>
      <c r="N93">
        <v>1</v>
      </c>
      <c r="O93">
        <v>20</v>
      </c>
      <c r="P93">
        <v>0</v>
      </c>
      <c r="Q93">
        <v>20</v>
      </c>
      <c r="R93" t="s">
        <v>51</v>
      </c>
      <c r="S93" s="1">
        <v>45520</v>
      </c>
      <c r="T93" t="s">
        <v>27</v>
      </c>
      <c r="U93" t="s">
        <v>28</v>
      </c>
    </row>
    <row r="94" spans="1:21" x14ac:dyDescent="0.25">
      <c r="A94" t="s">
        <v>47</v>
      </c>
      <c r="B94" t="s">
        <v>48</v>
      </c>
      <c r="C94" t="str">
        <f t="shared" si="1"/>
        <v>Nasandelger Zana</v>
      </c>
      <c r="D94">
        <v>20220688</v>
      </c>
      <c r="E94" t="s">
        <v>21</v>
      </c>
      <c r="F94">
        <v>1</v>
      </c>
      <c r="G94" t="s">
        <v>22</v>
      </c>
      <c r="H94" t="s">
        <v>319</v>
      </c>
      <c r="I94" t="s">
        <v>320</v>
      </c>
      <c r="J94" s="1">
        <v>45474</v>
      </c>
      <c r="K94" t="s">
        <v>33</v>
      </c>
      <c r="L94" s="2">
        <v>45474</v>
      </c>
      <c r="M94" s="2">
        <v>45474</v>
      </c>
      <c r="N94">
        <v>1</v>
      </c>
      <c r="O94">
        <v>20</v>
      </c>
      <c r="P94">
        <v>0</v>
      </c>
      <c r="Q94">
        <v>20</v>
      </c>
      <c r="R94" t="s">
        <v>51</v>
      </c>
      <c r="S94" s="1">
        <v>45520</v>
      </c>
      <c r="T94" t="s">
        <v>27</v>
      </c>
      <c r="U94" t="s">
        <v>28</v>
      </c>
    </row>
    <row r="95" spans="1:21" x14ac:dyDescent="0.25">
      <c r="A95" t="s">
        <v>329</v>
      </c>
      <c r="B95" t="s">
        <v>330</v>
      </c>
      <c r="C95" t="str">
        <f t="shared" si="1"/>
        <v>CHRISTIAN TAUGNER</v>
      </c>
      <c r="D95">
        <v>19681796</v>
      </c>
      <c r="E95" t="s">
        <v>21</v>
      </c>
      <c r="F95">
        <v>1</v>
      </c>
      <c r="G95" t="s">
        <v>22</v>
      </c>
      <c r="H95" t="s">
        <v>331</v>
      </c>
      <c r="I95" t="s">
        <v>332</v>
      </c>
      <c r="J95" s="1">
        <v>45444</v>
      </c>
      <c r="K95" t="s">
        <v>33</v>
      </c>
      <c r="L95" s="2">
        <v>45474</v>
      </c>
      <c r="M95" s="2">
        <v>45474</v>
      </c>
      <c r="N95">
        <v>1</v>
      </c>
      <c r="O95">
        <v>20</v>
      </c>
      <c r="P95">
        <v>0</v>
      </c>
      <c r="Q95">
        <v>20</v>
      </c>
      <c r="R95" t="s">
        <v>51</v>
      </c>
      <c r="S95" s="1">
        <v>45520</v>
      </c>
      <c r="T95" t="s">
        <v>27</v>
      </c>
      <c r="U95" t="s">
        <v>28</v>
      </c>
    </row>
    <row r="96" spans="1:21" x14ac:dyDescent="0.25">
      <c r="A96" t="s">
        <v>54</v>
      </c>
      <c r="B96" t="s">
        <v>55</v>
      </c>
      <c r="C96" t="str">
        <f t="shared" si="1"/>
        <v>Gregory Teipel</v>
      </c>
      <c r="D96">
        <v>8307933</v>
      </c>
      <c r="E96" t="s">
        <v>21</v>
      </c>
      <c r="F96">
        <v>1</v>
      </c>
      <c r="G96" t="s">
        <v>22</v>
      </c>
      <c r="H96" t="s">
        <v>353</v>
      </c>
      <c r="I96" t="s">
        <v>354</v>
      </c>
      <c r="J96" s="1">
        <v>44927</v>
      </c>
      <c r="K96" t="s">
        <v>33</v>
      </c>
      <c r="L96" s="2">
        <v>45474</v>
      </c>
      <c r="M96" s="2">
        <v>45474</v>
      </c>
      <c r="N96">
        <v>1</v>
      </c>
      <c r="O96">
        <v>20</v>
      </c>
      <c r="P96">
        <v>0</v>
      </c>
      <c r="Q96">
        <v>20</v>
      </c>
      <c r="R96" t="s">
        <v>34</v>
      </c>
      <c r="S96" s="1">
        <v>45520</v>
      </c>
      <c r="T96" t="s">
        <v>27</v>
      </c>
      <c r="U96" t="s">
        <v>28</v>
      </c>
    </row>
    <row r="97" spans="1:21" x14ac:dyDescent="0.25">
      <c r="A97" t="s">
        <v>54</v>
      </c>
      <c r="B97" t="s">
        <v>55</v>
      </c>
      <c r="C97" t="str">
        <f t="shared" si="1"/>
        <v>Gregory Teipel</v>
      </c>
      <c r="D97">
        <v>8307933</v>
      </c>
      <c r="E97" t="s">
        <v>21</v>
      </c>
      <c r="F97">
        <v>1</v>
      </c>
      <c r="G97" t="s">
        <v>22</v>
      </c>
      <c r="H97" t="s">
        <v>353</v>
      </c>
      <c r="I97" t="s">
        <v>354</v>
      </c>
      <c r="J97" s="1">
        <v>44927</v>
      </c>
      <c r="K97" t="s">
        <v>33</v>
      </c>
      <c r="L97" s="2">
        <v>45505</v>
      </c>
      <c r="M97" s="2">
        <v>45505</v>
      </c>
      <c r="N97">
        <v>0</v>
      </c>
      <c r="O97">
        <v>125</v>
      </c>
      <c r="P97">
        <v>0</v>
      </c>
      <c r="Q97">
        <v>125</v>
      </c>
      <c r="R97" t="s">
        <v>379</v>
      </c>
      <c r="S97" s="1">
        <v>45513</v>
      </c>
      <c r="T97" t="s">
        <v>27</v>
      </c>
      <c r="U97" t="s">
        <v>28</v>
      </c>
    </row>
    <row r="98" spans="1:21" x14ac:dyDescent="0.25">
      <c r="A98" t="s">
        <v>355</v>
      </c>
      <c r="B98" t="s">
        <v>356</v>
      </c>
      <c r="C98" t="str">
        <f t="shared" si="1"/>
        <v>RICARDO SANTOS</v>
      </c>
      <c r="D98">
        <v>19200754</v>
      </c>
      <c r="E98" t="s">
        <v>21</v>
      </c>
      <c r="F98">
        <v>1</v>
      </c>
      <c r="G98" t="s">
        <v>22</v>
      </c>
      <c r="H98" t="s">
        <v>357</v>
      </c>
      <c r="I98" t="s">
        <v>358</v>
      </c>
      <c r="J98" s="1">
        <v>45474</v>
      </c>
      <c r="K98" t="s">
        <v>33</v>
      </c>
      <c r="L98" s="2">
        <v>45474</v>
      </c>
      <c r="M98" s="2">
        <v>45474</v>
      </c>
      <c r="N98">
        <v>1</v>
      </c>
      <c r="O98">
        <v>20</v>
      </c>
      <c r="P98">
        <v>0</v>
      </c>
      <c r="Q98">
        <v>20</v>
      </c>
      <c r="R98" t="s">
        <v>51</v>
      </c>
      <c r="S98" s="1">
        <v>45520</v>
      </c>
      <c r="T98" t="s">
        <v>27</v>
      </c>
      <c r="U98" t="s">
        <v>28</v>
      </c>
    </row>
    <row r="99" spans="1:21" x14ac:dyDescent="0.25">
      <c r="A99" t="s">
        <v>54</v>
      </c>
      <c r="B99" t="s">
        <v>55</v>
      </c>
      <c r="C99" t="str">
        <f t="shared" si="1"/>
        <v>Gregory Teipel</v>
      </c>
      <c r="D99">
        <v>8307933</v>
      </c>
      <c r="E99" t="s">
        <v>21</v>
      </c>
      <c r="F99">
        <v>1</v>
      </c>
      <c r="G99" t="s">
        <v>22</v>
      </c>
      <c r="H99" t="s">
        <v>371</v>
      </c>
      <c r="I99" t="s">
        <v>372</v>
      </c>
      <c r="J99" s="1">
        <v>44927</v>
      </c>
      <c r="K99" t="s">
        <v>33</v>
      </c>
      <c r="L99" s="2">
        <v>45474</v>
      </c>
      <c r="M99" s="2">
        <v>45474</v>
      </c>
      <c r="N99">
        <v>2</v>
      </c>
      <c r="O99">
        <v>40</v>
      </c>
      <c r="P99">
        <v>0</v>
      </c>
      <c r="Q99">
        <v>40</v>
      </c>
      <c r="R99" t="s">
        <v>34</v>
      </c>
      <c r="S99" s="1">
        <v>45520</v>
      </c>
      <c r="T99" t="s">
        <v>27</v>
      </c>
      <c r="U99" t="s">
        <v>28</v>
      </c>
    </row>
    <row r="100" spans="1:21" x14ac:dyDescent="0.25">
      <c r="A100" t="s">
        <v>54</v>
      </c>
      <c r="B100" t="s">
        <v>55</v>
      </c>
      <c r="C100" t="str">
        <f t="shared" si="1"/>
        <v>Gregory Teipel</v>
      </c>
      <c r="D100">
        <v>8307933</v>
      </c>
      <c r="E100" t="s">
        <v>21</v>
      </c>
      <c r="F100">
        <v>1</v>
      </c>
      <c r="G100" t="s">
        <v>22</v>
      </c>
      <c r="H100" t="s">
        <v>371</v>
      </c>
      <c r="I100" t="s">
        <v>372</v>
      </c>
      <c r="J100" s="1">
        <v>44927</v>
      </c>
      <c r="K100" t="s">
        <v>33</v>
      </c>
      <c r="L100" s="2">
        <v>45505</v>
      </c>
      <c r="M100" s="2">
        <v>45505</v>
      </c>
      <c r="N100">
        <v>0</v>
      </c>
      <c r="O100">
        <v>120</v>
      </c>
      <c r="P100">
        <v>0</v>
      </c>
      <c r="Q100">
        <v>120</v>
      </c>
      <c r="R100" t="s">
        <v>379</v>
      </c>
      <c r="S100" s="1">
        <v>45513</v>
      </c>
      <c r="T100" t="s">
        <v>27</v>
      </c>
      <c r="U100" t="s">
        <v>28</v>
      </c>
    </row>
    <row r="101" spans="1:21" x14ac:dyDescent="0.25">
      <c r="A101" t="s">
        <v>373</v>
      </c>
      <c r="B101" t="s">
        <v>374</v>
      </c>
      <c r="C101" t="str">
        <f t="shared" si="1"/>
        <v>Odmaa Enkhtur</v>
      </c>
      <c r="D101">
        <v>20999157</v>
      </c>
      <c r="E101" t="s">
        <v>21</v>
      </c>
      <c r="F101">
        <v>1</v>
      </c>
      <c r="G101" t="s">
        <v>22</v>
      </c>
      <c r="H101" t="s">
        <v>375</v>
      </c>
      <c r="I101" t="s">
        <v>376</v>
      </c>
      <c r="J101" s="1">
        <v>45323</v>
      </c>
      <c r="K101" t="s">
        <v>33</v>
      </c>
      <c r="L101" s="2">
        <v>45444</v>
      </c>
      <c r="M101" s="2">
        <v>45444</v>
      </c>
      <c r="N101">
        <v>1</v>
      </c>
      <c r="O101">
        <v>20</v>
      </c>
      <c r="P101">
        <v>0</v>
      </c>
      <c r="Q101">
        <v>20</v>
      </c>
      <c r="R101" t="s">
        <v>51</v>
      </c>
      <c r="S101" s="1">
        <v>45520</v>
      </c>
      <c r="T101" t="s">
        <v>27</v>
      </c>
      <c r="U101" t="s">
        <v>28</v>
      </c>
    </row>
    <row r="102" spans="1:21" x14ac:dyDescent="0.25">
      <c r="A102" t="s">
        <v>373</v>
      </c>
      <c r="B102" t="s">
        <v>374</v>
      </c>
      <c r="C102" t="str">
        <f t="shared" si="1"/>
        <v>Odmaa Enkhtur</v>
      </c>
      <c r="D102">
        <v>20999157</v>
      </c>
      <c r="E102" t="s">
        <v>21</v>
      </c>
      <c r="F102">
        <v>1</v>
      </c>
      <c r="G102" t="s">
        <v>22</v>
      </c>
      <c r="H102" t="s">
        <v>375</v>
      </c>
      <c r="I102" t="s">
        <v>376</v>
      </c>
      <c r="J102" s="1">
        <v>45323</v>
      </c>
      <c r="K102" t="s">
        <v>33</v>
      </c>
      <c r="L102" s="2">
        <v>45474</v>
      </c>
      <c r="M102" s="2">
        <v>45474</v>
      </c>
      <c r="N102">
        <v>1</v>
      </c>
      <c r="O102">
        <v>20</v>
      </c>
      <c r="P102">
        <v>0</v>
      </c>
      <c r="Q102">
        <v>20</v>
      </c>
      <c r="R102" t="s">
        <v>51</v>
      </c>
      <c r="S102" s="1">
        <v>45520</v>
      </c>
      <c r="T102" t="s">
        <v>27</v>
      </c>
      <c r="U102" t="s">
        <v>28</v>
      </c>
    </row>
    <row r="103" spans="1:21" x14ac:dyDescent="0.25">
      <c r="A103" t="s">
        <v>54</v>
      </c>
      <c r="B103" t="s">
        <v>55</v>
      </c>
      <c r="C103" t="str">
        <f t="shared" si="1"/>
        <v>Gregory Teipel</v>
      </c>
      <c r="D103">
        <v>8307933</v>
      </c>
      <c r="E103" t="s">
        <v>21</v>
      </c>
      <c r="F103">
        <v>1</v>
      </c>
      <c r="G103" t="s">
        <v>22</v>
      </c>
      <c r="H103" t="s">
        <v>377</v>
      </c>
      <c r="I103" t="s">
        <v>378</v>
      </c>
      <c r="J103" s="1">
        <v>45413</v>
      </c>
      <c r="K103" t="s">
        <v>33</v>
      </c>
      <c r="L103" s="2">
        <v>45474</v>
      </c>
      <c r="M103" s="2">
        <v>45474</v>
      </c>
      <c r="N103">
        <v>2</v>
      </c>
      <c r="O103">
        <v>40</v>
      </c>
      <c r="P103">
        <v>0</v>
      </c>
      <c r="Q103">
        <v>40</v>
      </c>
      <c r="R103" t="s">
        <v>51</v>
      </c>
      <c r="S103" s="1">
        <v>45520</v>
      </c>
      <c r="T103" t="s">
        <v>27</v>
      </c>
      <c r="U103" t="s">
        <v>28</v>
      </c>
    </row>
    <row r="104" spans="1:21" x14ac:dyDescent="0.25">
      <c r="A104" t="s">
        <v>54</v>
      </c>
      <c r="B104" t="s">
        <v>55</v>
      </c>
      <c r="C104" t="str">
        <f t="shared" si="1"/>
        <v>Gregory Teipel</v>
      </c>
      <c r="D104">
        <v>8307933</v>
      </c>
      <c r="E104" t="s">
        <v>21</v>
      </c>
      <c r="F104">
        <v>1</v>
      </c>
      <c r="G104" t="s">
        <v>22</v>
      </c>
      <c r="H104" t="s">
        <v>147</v>
      </c>
      <c r="I104" t="s">
        <v>148</v>
      </c>
      <c r="J104" s="1">
        <v>45292</v>
      </c>
      <c r="K104" t="s">
        <v>149</v>
      </c>
      <c r="L104" s="2">
        <v>45474</v>
      </c>
      <c r="M104" s="2">
        <v>45474</v>
      </c>
      <c r="N104">
        <v>1</v>
      </c>
      <c r="O104">
        <v>20</v>
      </c>
      <c r="P104">
        <v>0</v>
      </c>
      <c r="Q104">
        <v>20</v>
      </c>
      <c r="R104" t="s">
        <v>150</v>
      </c>
      <c r="S104" s="1">
        <v>45520</v>
      </c>
      <c r="T104" t="s">
        <v>27</v>
      </c>
      <c r="U104" t="s">
        <v>28</v>
      </c>
    </row>
    <row r="105" spans="1:21" x14ac:dyDescent="0.25">
      <c r="A105" t="s">
        <v>54</v>
      </c>
      <c r="B105" t="s">
        <v>55</v>
      </c>
      <c r="C105" t="str">
        <f t="shared" si="1"/>
        <v>Gregory Teipel</v>
      </c>
      <c r="D105">
        <v>8307933</v>
      </c>
      <c r="E105" t="s">
        <v>21</v>
      </c>
      <c r="F105">
        <v>1</v>
      </c>
      <c r="G105" t="s">
        <v>22</v>
      </c>
      <c r="H105" t="s">
        <v>147</v>
      </c>
      <c r="I105" t="s">
        <v>148</v>
      </c>
      <c r="J105" s="1">
        <v>45292</v>
      </c>
      <c r="K105" t="s">
        <v>149</v>
      </c>
      <c r="L105" s="2">
        <v>45505</v>
      </c>
      <c r="M105" s="2">
        <v>45505</v>
      </c>
      <c r="N105">
        <v>0</v>
      </c>
      <c r="O105">
        <v>100</v>
      </c>
      <c r="P105">
        <v>0</v>
      </c>
      <c r="Q105">
        <v>100</v>
      </c>
      <c r="R105" t="s">
        <v>379</v>
      </c>
      <c r="S105" s="1">
        <v>45513</v>
      </c>
      <c r="T105" t="s">
        <v>27</v>
      </c>
      <c r="U105" t="s">
        <v>28</v>
      </c>
    </row>
    <row r="106" spans="1:21" x14ac:dyDescent="0.25">
      <c r="A106" t="s">
        <v>54</v>
      </c>
      <c r="B106" t="s">
        <v>55</v>
      </c>
      <c r="C106" t="str">
        <f t="shared" si="1"/>
        <v>Gregory Teipel</v>
      </c>
      <c r="D106">
        <v>8307933</v>
      </c>
      <c r="E106" t="s">
        <v>21</v>
      </c>
      <c r="F106">
        <v>1</v>
      </c>
      <c r="G106" t="s">
        <v>22</v>
      </c>
      <c r="H106" t="s">
        <v>246</v>
      </c>
      <c r="I106" t="s">
        <v>247</v>
      </c>
      <c r="J106" s="1">
        <v>45292</v>
      </c>
      <c r="K106" t="s">
        <v>149</v>
      </c>
      <c r="L106" s="2">
        <v>45474</v>
      </c>
      <c r="M106" s="2">
        <v>45474</v>
      </c>
      <c r="N106">
        <v>3</v>
      </c>
      <c r="O106">
        <v>60</v>
      </c>
      <c r="P106">
        <v>0</v>
      </c>
      <c r="Q106">
        <v>60</v>
      </c>
      <c r="R106" t="s">
        <v>150</v>
      </c>
      <c r="S106" s="1">
        <v>45520</v>
      </c>
      <c r="T106" t="s">
        <v>27</v>
      </c>
      <c r="U106" t="s">
        <v>28</v>
      </c>
    </row>
    <row r="107" spans="1:21" x14ac:dyDescent="0.25">
      <c r="A107" t="s">
        <v>19</v>
      </c>
      <c r="B107" t="s">
        <v>20</v>
      </c>
      <c r="C107" t="str">
        <f t="shared" si="1"/>
        <v>Adam Richter</v>
      </c>
      <c r="D107">
        <v>9079571</v>
      </c>
      <c r="E107" t="s">
        <v>21</v>
      </c>
      <c r="F107">
        <v>1</v>
      </c>
      <c r="G107" t="s">
        <v>22</v>
      </c>
      <c r="H107" t="s">
        <v>23</v>
      </c>
      <c r="I107" t="s">
        <v>24</v>
      </c>
      <c r="J107" s="1">
        <v>45323</v>
      </c>
      <c r="K107" t="s">
        <v>25</v>
      </c>
      <c r="L107" s="2">
        <v>45474</v>
      </c>
      <c r="M107" s="2">
        <v>45474</v>
      </c>
      <c r="N107">
        <v>1</v>
      </c>
      <c r="O107">
        <v>20</v>
      </c>
      <c r="P107">
        <v>0</v>
      </c>
      <c r="Q107">
        <v>20</v>
      </c>
      <c r="R107" t="s">
        <v>26</v>
      </c>
      <c r="S107" s="1">
        <v>45520</v>
      </c>
      <c r="T107" t="s">
        <v>27</v>
      </c>
      <c r="U107" t="s">
        <v>28</v>
      </c>
    </row>
    <row r="108" spans="1:21" x14ac:dyDescent="0.25">
      <c r="A108" t="s">
        <v>19</v>
      </c>
      <c r="B108" t="s">
        <v>20</v>
      </c>
      <c r="C108" t="str">
        <f t="shared" si="1"/>
        <v>Adam Richter</v>
      </c>
      <c r="D108">
        <v>9079571</v>
      </c>
      <c r="E108" t="s">
        <v>21</v>
      </c>
      <c r="F108">
        <v>1</v>
      </c>
      <c r="G108" t="s">
        <v>22</v>
      </c>
      <c r="H108" t="s">
        <v>35</v>
      </c>
      <c r="I108" t="s">
        <v>36</v>
      </c>
      <c r="J108" s="1">
        <v>45383</v>
      </c>
      <c r="K108" t="s">
        <v>25</v>
      </c>
      <c r="L108" s="2">
        <v>45474</v>
      </c>
      <c r="M108" s="2">
        <v>45474</v>
      </c>
      <c r="N108">
        <v>1</v>
      </c>
      <c r="O108">
        <v>20</v>
      </c>
      <c r="P108">
        <v>0</v>
      </c>
      <c r="Q108">
        <v>20</v>
      </c>
      <c r="R108" t="s">
        <v>26</v>
      </c>
      <c r="S108" s="1">
        <v>45520</v>
      </c>
      <c r="T108" t="s">
        <v>27</v>
      </c>
      <c r="U108" t="s">
        <v>28</v>
      </c>
    </row>
    <row r="109" spans="1:21" x14ac:dyDescent="0.25">
      <c r="A109" t="s">
        <v>19</v>
      </c>
      <c r="B109" t="s">
        <v>20</v>
      </c>
      <c r="C109" t="str">
        <f t="shared" si="1"/>
        <v>Adam Richter</v>
      </c>
      <c r="D109">
        <v>9079571</v>
      </c>
      <c r="E109" t="s">
        <v>21</v>
      </c>
      <c r="F109">
        <v>1</v>
      </c>
      <c r="G109" t="s">
        <v>22</v>
      </c>
      <c r="H109" t="s">
        <v>78</v>
      </c>
      <c r="I109" t="s">
        <v>79</v>
      </c>
      <c r="J109" s="1">
        <v>45383</v>
      </c>
      <c r="K109" t="s">
        <v>25</v>
      </c>
      <c r="L109" s="2">
        <v>45474</v>
      </c>
      <c r="M109" s="2">
        <v>45474</v>
      </c>
      <c r="N109">
        <v>1</v>
      </c>
      <c r="O109">
        <v>20</v>
      </c>
      <c r="P109">
        <v>0</v>
      </c>
      <c r="Q109">
        <v>20</v>
      </c>
      <c r="R109" t="s">
        <v>26</v>
      </c>
      <c r="S109" s="1">
        <v>45520</v>
      </c>
      <c r="T109" t="s">
        <v>27</v>
      </c>
      <c r="U109" t="s">
        <v>28</v>
      </c>
    </row>
    <row r="110" spans="1:21" x14ac:dyDescent="0.25">
      <c r="A110" t="s">
        <v>19</v>
      </c>
      <c r="B110" t="s">
        <v>20</v>
      </c>
      <c r="C110" t="str">
        <f t="shared" si="1"/>
        <v>Adam Richter</v>
      </c>
      <c r="D110">
        <v>9079571</v>
      </c>
      <c r="E110" t="s">
        <v>21</v>
      </c>
      <c r="F110">
        <v>1</v>
      </c>
      <c r="G110" t="s">
        <v>22</v>
      </c>
      <c r="H110" t="s">
        <v>80</v>
      </c>
      <c r="I110" t="s">
        <v>81</v>
      </c>
      <c r="J110" s="1">
        <v>45413</v>
      </c>
      <c r="K110" t="s">
        <v>25</v>
      </c>
      <c r="L110" s="2">
        <v>45474</v>
      </c>
      <c r="M110" s="2">
        <v>45474</v>
      </c>
      <c r="N110">
        <v>1</v>
      </c>
      <c r="O110">
        <v>20</v>
      </c>
      <c r="P110">
        <v>0</v>
      </c>
      <c r="Q110">
        <v>20</v>
      </c>
      <c r="R110" t="s">
        <v>26</v>
      </c>
      <c r="S110" s="1">
        <v>45520</v>
      </c>
      <c r="T110" t="s">
        <v>27</v>
      </c>
      <c r="U110" t="s">
        <v>28</v>
      </c>
    </row>
    <row r="111" spans="1:21" x14ac:dyDescent="0.25">
      <c r="A111" t="s">
        <v>93</v>
      </c>
      <c r="B111" t="s">
        <v>94</v>
      </c>
      <c r="C111" t="str">
        <f t="shared" si="1"/>
        <v>THOMAS KUCAN</v>
      </c>
      <c r="D111">
        <v>16202925</v>
      </c>
      <c r="E111" t="s">
        <v>21</v>
      </c>
      <c r="F111">
        <v>1</v>
      </c>
      <c r="G111" t="s">
        <v>22</v>
      </c>
      <c r="H111" t="s">
        <v>95</v>
      </c>
      <c r="I111" t="s">
        <v>96</v>
      </c>
      <c r="J111" s="1">
        <v>45292</v>
      </c>
      <c r="K111" t="s">
        <v>25</v>
      </c>
      <c r="L111" s="2">
        <v>45474</v>
      </c>
      <c r="M111" s="2">
        <v>45474</v>
      </c>
      <c r="N111">
        <v>3</v>
      </c>
      <c r="O111">
        <v>60</v>
      </c>
      <c r="P111">
        <v>0</v>
      </c>
      <c r="Q111">
        <v>60</v>
      </c>
      <c r="R111" t="s">
        <v>26</v>
      </c>
      <c r="S111" s="1">
        <v>45520</v>
      </c>
      <c r="T111" t="s">
        <v>27</v>
      </c>
      <c r="U111" t="s">
        <v>28</v>
      </c>
    </row>
    <row r="112" spans="1:21" x14ac:dyDescent="0.25">
      <c r="A112" t="s">
        <v>19</v>
      </c>
      <c r="B112" t="s">
        <v>20</v>
      </c>
      <c r="C112" t="str">
        <f t="shared" si="1"/>
        <v>Adam Richter</v>
      </c>
      <c r="D112">
        <v>9079571</v>
      </c>
      <c r="E112" t="s">
        <v>21</v>
      </c>
      <c r="F112">
        <v>1</v>
      </c>
      <c r="G112" t="s">
        <v>22</v>
      </c>
      <c r="H112" t="s">
        <v>101</v>
      </c>
      <c r="I112" t="s">
        <v>102</v>
      </c>
      <c r="J112" s="1">
        <v>45474</v>
      </c>
      <c r="K112" t="s">
        <v>25</v>
      </c>
      <c r="L112" s="2">
        <v>45474</v>
      </c>
      <c r="M112" s="2">
        <v>45474</v>
      </c>
      <c r="N112">
        <v>2</v>
      </c>
      <c r="O112">
        <v>40</v>
      </c>
      <c r="P112">
        <v>0</v>
      </c>
      <c r="Q112">
        <v>40</v>
      </c>
      <c r="R112" t="s">
        <v>26</v>
      </c>
      <c r="S112" s="1">
        <v>45520</v>
      </c>
      <c r="T112" t="s">
        <v>27</v>
      </c>
      <c r="U112" t="s">
        <v>28</v>
      </c>
    </row>
    <row r="113" spans="1:21" x14ac:dyDescent="0.25">
      <c r="A113" t="s">
        <v>19</v>
      </c>
      <c r="B113" t="s">
        <v>20</v>
      </c>
      <c r="C113" t="str">
        <f t="shared" si="1"/>
        <v>Adam Richter</v>
      </c>
      <c r="D113">
        <v>9079571</v>
      </c>
      <c r="E113" t="s">
        <v>21</v>
      </c>
      <c r="F113">
        <v>1</v>
      </c>
      <c r="G113" t="s">
        <v>22</v>
      </c>
      <c r="H113" t="s">
        <v>105</v>
      </c>
      <c r="I113" t="s">
        <v>106</v>
      </c>
      <c r="J113" s="1">
        <v>45474</v>
      </c>
      <c r="K113" t="s">
        <v>25</v>
      </c>
      <c r="L113" s="2">
        <v>45474</v>
      </c>
      <c r="M113" s="2">
        <v>45474</v>
      </c>
      <c r="N113">
        <v>1</v>
      </c>
      <c r="O113">
        <v>20</v>
      </c>
      <c r="P113">
        <v>0</v>
      </c>
      <c r="Q113">
        <v>20</v>
      </c>
      <c r="R113" t="s">
        <v>26</v>
      </c>
      <c r="S113" s="1">
        <v>45520</v>
      </c>
      <c r="T113" t="s">
        <v>27</v>
      </c>
      <c r="U113" t="s">
        <v>28</v>
      </c>
    </row>
    <row r="114" spans="1:21" x14ac:dyDescent="0.25">
      <c r="A114" t="s">
        <v>19</v>
      </c>
      <c r="B114" t="s">
        <v>20</v>
      </c>
      <c r="C114" t="str">
        <f t="shared" si="1"/>
        <v>Adam Richter</v>
      </c>
      <c r="D114">
        <v>9079571</v>
      </c>
      <c r="E114" t="s">
        <v>21</v>
      </c>
      <c r="F114">
        <v>1</v>
      </c>
      <c r="G114" t="s">
        <v>22</v>
      </c>
      <c r="H114" t="s">
        <v>115</v>
      </c>
      <c r="I114" t="s">
        <v>116</v>
      </c>
      <c r="J114" s="1">
        <v>45444</v>
      </c>
      <c r="K114" t="s">
        <v>25</v>
      </c>
      <c r="L114" s="2">
        <v>45474</v>
      </c>
      <c r="M114" s="2">
        <v>45474</v>
      </c>
      <c r="N114">
        <v>1</v>
      </c>
      <c r="O114">
        <v>20</v>
      </c>
      <c r="P114">
        <v>0</v>
      </c>
      <c r="Q114">
        <v>20</v>
      </c>
      <c r="R114" t="s">
        <v>26</v>
      </c>
      <c r="S114" s="1">
        <v>45520</v>
      </c>
      <c r="T114" t="s">
        <v>27</v>
      </c>
      <c r="U114" t="s">
        <v>28</v>
      </c>
    </row>
    <row r="115" spans="1:21" x14ac:dyDescent="0.25">
      <c r="A115" t="s">
        <v>19</v>
      </c>
      <c r="B115" t="s">
        <v>20</v>
      </c>
      <c r="C115" t="str">
        <f t="shared" si="1"/>
        <v>Adam Richter</v>
      </c>
      <c r="D115">
        <v>9079571</v>
      </c>
      <c r="E115" t="s">
        <v>21</v>
      </c>
      <c r="F115">
        <v>1</v>
      </c>
      <c r="G115" t="s">
        <v>22</v>
      </c>
      <c r="H115" t="s">
        <v>117</v>
      </c>
      <c r="I115" t="s">
        <v>118</v>
      </c>
      <c r="J115" s="1">
        <v>45413</v>
      </c>
      <c r="K115" t="s">
        <v>25</v>
      </c>
      <c r="L115" s="2">
        <v>45474</v>
      </c>
      <c r="M115" s="2">
        <v>45474</v>
      </c>
      <c r="N115">
        <v>1</v>
      </c>
      <c r="O115">
        <v>20</v>
      </c>
      <c r="P115">
        <v>0</v>
      </c>
      <c r="Q115">
        <v>20</v>
      </c>
      <c r="R115" t="s">
        <v>26</v>
      </c>
      <c r="S115" s="1">
        <v>45520</v>
      </c>
      <c r="T115" t="s">
        <v>27</v>
      </c>
      <c r="U115" t="s">
        <v>28</v>
      </c>
    </row>
    <row r="116" spans="1:21" x14ac:dyDescent="0.25">
      <c r="A116" t="s">
        <v>19</v>
      </c>
      <c r="B116" t="s">
        <v>20</v>
      </c>
      <c r="C116" t="str">
        <f t="shared" si="1"/>
        <v>Adam Richter</v>
      </c>
      <c r="D116">
        <v>9079571</v>
      </c>
      <c r="E116" t="s">
        <v>21</v>
      </c>
      <c r="F116">
        <v>1</v>
      </c>
      <c r="G116" t="s">
        <v>22</v>
      </c>
      <c r="H116" t="s">
        <v>125</v>
      </c>
      <c r="I116" t="s">
        <v>126</v>
      </c>
      <c r="J116" s="1">
        <v>45474</v>
      </c>
      <c r="K116" t="s">
        <v>25</v>
      </c>
      <c r="L116" s="2">
        <v>45474</v>
      </c>
      <c r="M116" s="2">
        <v>45474</v>
      </c>
      <c r="N116">
        <v>1</v>
      </c>
      <c r="O116">
        <v>20</v>
      </c>
      <c r="P116">
        <v>0</v>
      </c>
      <c r="Q116">
        <v>20</v>
      </c>
      <c r="R116" t="s">
        <v>26</v>
      </c>
      <c r="S116" s="1">
        <v>45520</v>
      </c>
      <c r="T116" t="s">
        <v>27</v>
      </c>
      <c r="U116" t="s">
        <v>28</v>
      </c>
    </row>
    <row r="117" spans="1:21" x14ac:dyDescent="0.25">
      <c r="A117" t="s">
        <v>19</v>
      </c>
      <c r="B117" t="s">
        <v>20</v>
      </c>
      <c r="C117" t="str">
        <f t="shared" si="1"/>
        <v>Adam Richter</v>
      </c>
      <c r="D117">
        <v>9079571</v>
      </c>
      <c r="E117" t="s">
        <v>21</v>
      </c>
      <c r="F117">
        <v>1</v>
      </c>
      <c r="G117" t="s">
        <v>22</v>
      </c>
      <c r="H117" t="s">
        <v>129</v>
      </c>
      <c r="I117" t="s">
        <v>130</v>
      </c>
      <c r="J117" s="1">
        <v>45444</v>
      </c>
      <c r="K117" t="s">
        <v>25</v>
      </c>
      <c r="L117" s="2">
        <v>45474</v>
      </c>
      <c r="M117" s="2">
        <v>45474</v>
      </c>
      <c r="N117">
        <v>2</v>
      </c>
      <c r="O117">
        <v>40</v>
      </c>
      <c r="P117">
        <v>0</v>
      </c>
      <c r="Q117">
        <v>40</v>
      </c>
      <c r="R117" t="s">
        <v>26</v>
      </c>
      <c r="S117" s="1">
        <v>45520</v>
      </c>
      <c r="T117" t="s">
        <v>27</v>
      </c>
      <c r="U117" t="s">
        <v>28</v>
      </c>
    </row>
    <row r="118" spans="1:21" x14ac:dyDescent="0.25">
      <c r="A118" t="s">
        <v>19</v>
      </c>
      <c r="B118" t="s">
        <v>20</v>
      </c>
      <c r="C118" t="str">
        <f t="shared" si="1"/>
        <v>Adam Richter</v>
      </c>
      <c r="D118">
        <v>9079571</v>
      </c>
      <c r="E118" t="s">
        <v>21</v>
      </c>
      <c r="F118">
        <v>1</v>
      </c>
      <c r="G118" t="s">
        <v>22</v>
      </c>
      <c r="H118" t="s">
        <v>135</v>
      </c>
      <c r="I118" t="s">
        <v>136</v>
      </c>
      <c r="J118" s="1">
        <v>45323</v>
      </c>
      <c r="K118" t="s">
        <v>25</v>
      </c>
      <c r="L118" s="2">
        <v>45474</v>
      </c>
      <c r="M118" s="2">
        <v>45474</v>
      </c>
      <c r="N118">
        <v>1</v>
      </c>
      <c r="O118">
        <v>20</v>
      </c>
      <c r="P118">
        <v>0</v>
      </c>
      <c r="Q118">
        <v>20</v>
      </c>
      <c r="R118" t="s">
        <v>26</v>
      </c>
      <c r="S118" s="1">
        <v>45520</v>
      </c>
      <c r="T118" t="s">
        <v>27</v>
      </c>
      <c r="U118" t="s">
        <v>28</v>
      </c>
    </row>
    <row r="119" spans="1:21" x14ac:dyDescent="0.25">
      <c r="A119" t="s">
        <v>137</v>
      </c>
      <c r="B119" t="s">
        <v>138</v>
      </c>
      <c r="C119" t="str">
        <f t="shared" si="1"/>
        <v>LANEECE WHITE</v>
      </c>
      <c r="D119">
        <v>13496370</v>
      </c>
      <c r="E119" t="s">
        <v>21</v>
      </c>
      <c r="F119">
        <v>1</v>
      </c>
      <c r="G119" t="s">
        <v>22</v>
      </c>
      <c r="H119" t="s">
        <v>139</v>
      </c>
      <c r="I119" t="s">
        <v>140</v>
      </c>
      <c r="J119" s="1">
        <v>45292</v>
      </c>
      <c r="K119" t="s">
        <v>25</v>
      </c>
      <c r="L119" s="2">
        <v>45474</v>
      </c>
      <c r="M119" s="2">
        <v>45474</v>
      </c>
      <c r="N119">
        <v>1</v>
      </c>
      <c r="O119">
        <v>20</v>
      </c>
      <c r="P119">
        <v>0</v>
      </c>
      <c r="Q119">
        <v>20</v>
      </c>
      <c r="R119" t="s">
        <v>26</v>
      </c>
      <c r="S119" s="1">
        <v>45520</v>
      </c>
      <c r="T119" t="s">
        <v>27</v>
      </c>
      <c r="U119" t="s">
        <v>28</v>
      </c>
    </row>
    <row r="120" spans="1:21" x14ac:dyDescent="0.25">
      <c r="A120" t="s">
        <v>19</v>
      </c>
      <c r="B120" t="s">
        <v>20</v>
      </c>
      <c r="C120" t="str">
        <f t="shared" si="1"/>
        <v>Adam Richter</v>
      </c>
      <c r="D120">
        <v>9079571</v>
      </c>
      <c r="E120" t="s">
        <v>21</v>
      </c>
      <c r="F120">
        <v>1</v>
      </c>
      <c r="G120" t="s">
        <v>22</v>
      </c>
      <c r="H120" t="s">
        <v>141</v>
      </c>
      <c r="I120" t="s">
        <v>142</v>
      </c>
      <c r="J120" s="1">
        <v>45383</v>
      </c>
      <c r="K120" t="s">
        <v>25</v>
      </c>
      <c r="L120" s="2">
        <v>45474</v>
      </c>
      <c r="M120" s="2">
        <v>45474</v>
      </c>
      <c r="N120">
        <v>2</v>
      </c>
      <c r="O120">
        <v>40</v>
      </c>
      <c r="P120">
        <v>0</v>
      </c>
      <c r="Q120">
        <v>40</v>
      </c>
      <c r="R120" t="s">
        <v>26</v>
      </c>
      <c r="S120" s="1">
        <v>45520</v>
      </c>
      <c r="T120" t="s">
        <v>27</v>
      </c>
      <c r="U120" t="s">
        <v>28</v>
      </c>
    </row>
    <row r="121" spans="1:21" x14ac:dyDescent="0.25">
      <c r="A121" t="s">
        <v>19</v>
      </c>
      <c r="B121" t="s">
        <v>20</v>
      </c>
      <c r="C121" t="str">
        <f t="shared" si="1"/>
        <v>Adam Richter</v>
      </c>
      <c r="D121">
        <v>9079571</v>
      </c>
      <c r="E121" t="s">
        <v>21</v>
      </c>
      <c r="F121">
        <v>1</v>
      </c>
      <c r="G121" t="s">
        <v>22</v>
      </c>
      <c r="H121" t="s">
        <v>145</v>
      </c>
      <c r="I121" t="s">
        <v>146</v>
      </c>
      <c r="J121" s="1">
        <v>45444</v>
      </c>
      <c r="K121" t="s">
        <v>25</v>
      </c>
      <c r="L121" s="2">
        <v>45444</v>
      </c>
      <c r="M121" s="2">
        <v>45444</v>
      </c>
      <c r="N121">
        <v>1</v>
      </c>
      <c r="O121">
        <v>20</v>
      </c>
      <c r="P121">
        <v>0</v>
      </c>
      <c r="Q121">
        <v>20</v>
      </c>
      <c r="R121" t="s">
        <v>26</v>
      </c>
      <c r="S121" s="1">
        <v>45520</v>
      </c>
      <c r="T121" t="s">
        <v>27</v>
      </c>
      <c r="U121" t="s">
        <v>28</v>
      </c>
    </row>
    <row r="122" spans="1:21" x14ac:dyDescent="0.25">
      <c r="A122" t="s">
        <v>19</v>
      </c>
      <c r="B122" t="s">
        <v>20</v>
      </c>
      <c r="C122" t="str">
        <f t="shared" si="1"/>
        <v>Adam Richter</v>
      </c>
      <c r="D122">
        <v>9079571</v>
      </c>
      <c r="E122" t="s">
        <v>21</v>
      </c>
      <c r="F122">
        <v>1</v>
      </c>
      <c r="G122" t="s">
        <v>22</v>
      </c>
      <c r="H122" t="s">
        <v>145</v>
      </c>
      <c r="I122" t="s">
        <v>146</v>
      </c>
      <c r="J122" s="1">
        <v>45444</v>
      </c>
      <c r="K122" t="s">
        <v>25</v>
      </c>
      <c r="L122" s="2">
        <v>45474</v>
      </c>
      <c r="M122" s="2">
        <v>45474</v>
      </c>
      <c r="N122">
        <v>1</v>
      </c>
      <c r="O122">
        <v>20</v>
      </c>
      <c r="P122">
        <v>0</v>
      </c>
      <c r="Q122">
        <v>20</v>
      </c>
      <c r="R122" t="s">
        <v>26</v>
      </c>
      <c r="S122" s="1">
        <v>45520</v>
      </c>
      <c r="T122" t="s">
        <v>27</v>
      </c>
      <c r="U122" t="s">
        <v>28</v>
      </c>
    </row>
    <row r="123" spans="1:21" x14ac:dyDescent="0.25">
      <c r="A123" t="s">
        <v>19</v>
      </c>
      <c r="B123" t="s">
        <v>20</v>
      </c>
      <c r="C123" t="str">
        <f t="shared" si="1"/>
        <v>Adam Richter</v>
      </c>
      <c r="D123">
        <v>9079571</v>
      </c>
      <c r="E123" t="s">
        <v>21</v>
      </c>
      <c r="F123">
        <v>1</v>
      </c>
      <c r="G123" t="s">
        <v>22</v>
      </c>
      <c r="H123" t="s">
        <v>163</v>
      </c>
      <c r="I123" t="s">
        <v>164</v>
      </c>
      <c r="J123" s="1">
        <v>45444</v>
      </c>
      <c r="K123" t="s">
        <v>25</v>
      </c>
      <c r="L123" s="2">
        <v>45474</v>
      </c>
      <c r="M123" s="2">
        <v>45474</v>
      </c>
      <c r="N123">
        <v>1</v>
      </c>
      <c r="O123">
        <v>20</v>
      </c>
      <c r="P123">
        <v>0</v>
      </c>
      <c r="Q123">
        <v>20</v>
      </c>
      <c r="R123" t="s">
        <v>26</v>
      </c>
      <c r="S123" s="1">
        <v>45520</v>
      </c>
      <c r="T123" t="s">
        <v>27</v>
      </c>
      <c r="U123" t="s">
        <v>28</v>
      </c>
    </row>
    <row r="124" spans="1:21" x14ac:dyDescent="0.25">
      <c r="A124" t="s">
        <v>19</v>
      </c>
      <c r="B124" t="s">
        <v>20</v>
      </c>
      <c r="C124" t="str">
        <f t="shared" si="1"/>
        <v>Adam Richter</v>
      </c>
      <c r="D124">
        <v>9079571</v>
      </c>
      <c r="E124" t="s">
        <v>21</v>
      </c>
      <c r="F124">
        <v>1</v>
      </c>
      <c r="G124" t="s">
        <v>22</v>
      </c>
      <c r="H124" t="s">
        <v>181</v>
      </c>
      <c r="I124" t="s">
        <v>182</v>
      </c>
      <c r="J124" s="1">
        <v>45505</v>
      </c>
      <c r="K124" t="s">
        <v>25</v>
      </c>
      <c r="L124" s="2">
        <v>45505</v>
      </c>
      <c r="M124" s="2">
        <v>45505</v>
      </c>
      <c r="N124">
        <v>1</v>
      </c>
      <c r="O124">
        <v>20</v>
      </c>
      <c r="P124">
        <v>0</v>
      </c>
      <c r="Q124">
        <v>20</v>
      </c>
      <c r="R124" t="s">
        <v>26</v>
      </c>
      <c r="S124" s="1">
        <v>45520</v>
      </c>
      <c r="T124" t="s">
        <v>27</v>
      </c>
      <c r="U124" t="s">
        <v>28</v>
      </c>
    </row>
    <row r="125" spans="1:21" x14ac:dyDescent="0.25">
      <c r="A125" t="s">
        <v>93</v>
      </c>
      <c r="B125" t="s">
        <v>94</v>
      </c>
      <c r="C125" t="str">
        <f t="shared" si="1"/>
        <v>THOMAS KUCAN</v>
      </c>
      <c r="D125">
        <v>16202925</v>
      </c>
      <c r="E125" t="s">
        <v>21</v>
      </c>
      <c r="F125">
        <v>1</v>
      </c>
      <c r="G125" t="s">
        <v>22</v>
      </c>
      <c r="H125" t="s">
        <v>189</v>
      </c>
      <c r="I125" t="s">
        <v>190</v>
      </c>
      <c r="J125" s="1">
        <v>45444</v>
      </c>
      <c r="K125" t="s">
        <v>25</v>
      </c>
      <c r="L125" s="2">
        <v>45474</v>
      </c>
      <c r="M125" s="2">
        <v>45474</v>
      </c>
      <c r="N125">
        <v>1</v>
      </c>
      <c r="O125">
        <v>20</v>
      </c>
      <c r="P125">
        <v>0</v>
      </c>
      <c r="Q125">
        <v>20</v>
      </c>
      <c r="R125" t="s">
        <v>26</v>
      </c>
      <c r="S125" s="1">
        <v>45520</v>
      </c>
      <c r="T125" t="s">
        <v>27</v>
      </c>
      <c r="U125" t="s">
        <v>28</v>
      </c>
    </row>
    <row r="126" spans="1:21" x14ac:dyDescent="0.25">
      <c r="A126" t="s">
        <v>19</v>
      </c>
      <c r="B126" t="s">
        <v>20</v>
      </c>
      <c r="C126" t="str">
        <f t="shared" si="1"/>
        <v>Adam Richter</v>
      </c>
      <c r="D126">
        <v>9079571</v>
      </c>
      <c r="E126" t="s">
        <v>21</v>
      </c>
      <c r="F126">
        <v>1</v>
      </c>
      <c r="G126" t="s">
        <v>22</v>
      </c>
      <c r="H126" t="s">
        <v>194</v>
      </c>
      <c r="I126" t="s">
        <v>195</v>
      </c>
      <c r="J126" s="1">
        <v>45383</v>
      </c>
      <c r="K126" t="s">
        <v>25</v>
      </c>
      <c r="L126" s="2">
        <v>45474</v>
      </c>
      <c r="M126" s="2">
        <v>45474</v>
      </c>
      <c r="N126">
        <v>1</v>
      </c>
      <c r="O126">
        <v>20</v>
      </c>
      <c r="P126">
        <v>0</v>
      </c>
      <c r="Q126">
        <v>20</v>
      </c>
      <c r="R126" t="s">
        <v>26</v>
      </c>
      <c r="S126" s="1">
        <v>45520</v>
      </c>
      <c r="T126" t="s">
        <v>27</v>
      </c>
      <c r="U126" t="s">
        <v>28</v>
      </c>
    </row>
    <row r="127" spans="1:21" x14ac:dyDescent="0.25">
      <c r="A127" t="s">
        <v>19</v>
      </c>
      <c r="B127" t="s">
        <v>20</v>
      </c>
      <c r="C127" t="str">
        <f t="shared" si="1"/>
        <v>Adam Richter</v>
      </c>
      <c r="D127">
        <v>9079571</v>
      </c>
      <c r="E127" t="s">
        <v>21</v>
      </c>
      <c r="F127">
        <v>1</v>
      </c>
      <c r="G127" t="s">
        <v>22</v>
      </c>
      <c r="H127" t="s">
        <v>204</v>
      </c>
      <c r="I127" t="s">
        <v>205</v>
      </c>
      <c r="J127" s="1">
        <v>45352</v>
      </c>
      <c r="K127" t="s">
        <v>25</v>
      </c>
      <c r="L127" s="2">
        <v>45474</v>
      </c>
      <c r="M127" s="2">
        <v>45474</v>
      </c>
      <c r="N127">
        <v>1</v>
      </c>
      <c r="O127">
        <v>20</v>
      </c>
      <c r="P127">
        <v>0</v>
      </c>
      <c r="Q127">
        <v>20</v>
      </c>
      <c r="R127" t="s">
        <v>26</v>
      </c>
      <c r="S127" s="1">
        <v>45520</v>
      </c>
      <c r="T127" t="s">
        <v>27</v>
      </c>
      <c r="U127" t="s">
        <v>28</v>
      </c>
    </row>
    <row r="128" spans="1:21" x14ac:dyDescent="0.25">
      <c r="A128" t="s">
        <v>19</v>
      </c>
      <c r="B128" t="s">
        <v>20</v>
      </c>
      <c r="C128" t="str">
        <f t="shared" si="1"/>
        <v>Adam Richter</v>
      </c>
      <c r="D128">
        <v>9079571</v>
      </c>
      <c r="E128" t="s">
        <v>21</v>
      </c>
      <c r="F128">
        <v>1</v>
      </c>
      <c r="G128" t="s">
        <v>22</v>
      </c>
      <c r="H128" t="s">
        <v>210</v>
      </c>
      <c r="I128" t="s">
        <v>211</v>
      </c>
      <c r="J128" s="1">
        <v>45474</v>
      </c>
      <c r="K128" t="s">
        <v>25</v>
      </c>
      <c r="L128" s="2">
        <v>45474</v>
      </c>
      <c r="M128" s="2">
        <v>45474</v>
      </c>
      <c r="N128">
        <v>1</v>
      </c>
      <c r="O128">
        <v>20</v>
      </c>
      <c r="P128">
        <v>0</v>
      </c>
      <c r="Q128">
        <v>20</v>
      </c>
      <c r="R128" t="s">
        <v>26</v>
      </c>
      <c r="S128" s="1">
        <v>45520</v>
      </c>
      <c r="T128" t="s">
        <v>27</v>
      </c>
      <c r="U128" t="s">
        <v>28</v>
      </c>
    </row>
    <row r="129" spans="1:21" x14ac:dyDescent="0.25">
      <c r="A129" t="s">
        <v>19</v>
      </c>
      <c r="B129" t="s">
        <v>20</v>
      </c>
      <c r="C129" t="str">
        <f t="shared" si="1"/>
        <v>Adam Richter</v>
      </c>
      <c r="D129">
        <v>9079571</v>
      </c>
      <c r="E129" t="s">
        <v>21</v>
      </c>
      <c r="F129">
        <v>1</v>
      </c>
      <c r="G129" t="s">
        <v>22</v>
      </c>
      <c r="H129" t="s">
        <v>218</v>
      </c>
      <c r="I129" t="s">
        <v>219</v>
      </c>
      <c r="J129" s="1">
        <v>45444</v>
      </c>
      <c r="K129" t="s">
        <v>25</v>
      </c>
      <c r="L129" s="2">
        <v>45474</v>
      </c>
      <c r="M129" s="2">
        <v>45474</v>
      </c>
      <c r="N129">
        <v>1</v>
      </c>
      <c r="O129">
        <v>20</v>
      </c>
      <c r="P129">
        <v>0</v>
      </c>
      <c r="Q129">
        <v>20</v>
      </c>
      <c r="R129" t="s">
        <v>26</v>
      </c>
      <c r="S129" s="1">
        <v>45520</v>
      </c>
      <c r="T129" t="s">
        <v>27</v>
      </c>
      <c r="U129" t="s">
        <v>28</v>
      </c>
    </row>
    <row r="130" spans="1:21" x14ac:dyDescent="0.25">
      <c r="A130" t="s">
        <v>19</v>
      </c>
      <c r="B130" t="s">
        <v>20</v>
      </c>
      <c r="C130" t="str">
        <f t="shared" si="1"/>
        <v>Adam Richter</v>
      </c>
      <c r="D130">
        <v>9079571</v>
      </c>
      <c r="E130" t="s">
        <v>21</v>
      </c>
      <c r="F130">
        <v>1</v>
      </c>
      <c r="G130" t="s">
        <v>22</v>
      </c>
      <c r="H130" t="s">
        <v>250</v>
      </c>
      <c r="I130" t="s">
        <v>251</v>
      </c>
      <c r="J130" s="1">
        <v>45292</v>
      </c>
      <c r="K130" t="s">
        <v>25</v>
      </c>
      <c r="L130" s="2">
        <v>45474</v>
      </c>
      <c r="M130" s="2">
        <v>45474</v>
      </c>
      <c r="N130">
        <v>1</v>
      </c>
      <c r="O130">
        <v>20</v>
      </c>
      <c r="P130">
        <v>0</v>
      </c>
      <c r="Q130">
        <v>20</v>
      </c>
      <c r="R130" t="s">
        <v>26</v>
      </c>
      <c r="S130" s="1">
        <v>45520</v>
      </c>
      <c r="T130" t="s">
        <v>27</v>
      </c>
      <c r="U130" t="s">
        <v>28</v>
      </c>
    </row>
    <row r="131" spans="1:21" x14ac:dyDescent="0.25">
      <c r="A131" t="s">
        <v>19</v>
      </c>
      <c r="B131" t="s">
        <v>20</v>
      </c>
      <c r="C131" t="str">
        <f t="shared" ref="C131:C183" si="2">CONCATENATE(B131, " ", A131)</f>
        <v>Adam Richter</v>
      </c>
      <c r="D131">
        <v>9079571</v>
      </c>
      <c r="E131" t="s">
        <v>21</v>
      </c>
      <c r="F131">
        <v>1</v>
      </c>
      <c r="G131" t="s">
        <v>22</v>
      </c>
      <c r="H131" t="s">
        <v>260</v>
      </c>
      <c r="I131" t="s">
        <v>261</v>
      </c>
      <c r="J131" s="1">
        <v>45323</v>
      </c>
      <c r="K131" t="s">
        <v>25</v>
      </c>
      <c r="L131" s="2">
        <v>45474</v>
      </c>
      <c r="M131" s="2">
        <v>45474</v>
      </c>
      <c r="N131">
        <v>2</v>
      </c>
      <c r="O131">
        <v>40</v>
      </c>
      <c r="P131">
        <v>0</v>
      </c>
      <c r="Q131">
        <v>40</v>
      </c>
      <c r="R131" t="s">
        <v>26</v>
      </c>
      <c r="S131" s="1">
        <v>45520</v>
      </c>
      <c r="T131" t="s">
        <v>27</v>
      </c>
      <c r="U131" t="s">
        <v>28</v>
      </c>
    </row>
    <row r="132" spans="1:21" x14ac:dyDescent="0.25">
      <c r="A132" t="s">
        <v>19</v>
      </c>
      <c r="B132" t="s">
        <v>20</v>
      </c>
      <c r="C132" t="str">
        <f t="shared" si="2"/>
        <v>Adam Richter</v>
      </c>
      <c r="D132">
        <v>9079571</v>
      </c>
      <c r="E132" t="s">
        <v>21</v>
      </c>
      <c r="F132">
        <v>1</v>
      </c>
      <c r="G132" t="s">
        <v>22</v>
      </c>
      <c r="H132" t="s">
        <v>266</v>
      </c>
      <c r="I132" t="s">
        <v>267</v>
      </c>
      <c r="J132" s="1">
        <v>45474</v>
      </c>
      <c r="K132" t="s">
        <v>25</v>
      </c>
      <c r="L132" s="2">
        <v>45474</v>
      </c>
      <c r="M132" s="2">
        <v>45474</v>
      </c>
      <c r="N132">
        <v>1</v>
      </c>
      <c r="O132">
        <v>20</v>
      </c>
      <c r="P132">
        <v>0</v>
      </c>
      <c r="Q132">
        <v>20</v>
      </c>
      <c r="R132" t="s">
        <v>26</v>
      </c>
      <c r="S132" s="1">
        <v>45520</v>
      </c>
      <c r="T132" t="s">
        <v>27</v>
      </c>
      <c r="U132" t="s">
        <v>28</v>
      </c>
    </row>
    <row r="133" spans="1:21" x14ac:dyDescent="0.25">
      <c r="A133" t="s">
        <v>19</v>
      </c>
      <c r="B133" t="s">
        <v>20</v>
      </c>
      <c r="C133" t="str">
        <f t="shared" si="2"/>
        <v>Adam Richter</v>
      </c>
      <c r="D133">
        <v>9079571</v>
      </c>
      <c r="E133" t="s">
        <v>21</v>
      </c>
      <c r="F133">
        <v>1</v>
      </c>
      <c r="G133" t="s">
        <v>22</v>
      </c>
      <c r="H133" t="s">
        <v>276</v>
      </c>
      <c r="I133" t="s">
        <v>277</v>
      </c>
      <c r="J133" s="1">
        <v>45444</v>
      </c>
      <c r="K133" t="s">
        <v>25</v>
      </c>
      <c r="L133" s="2">
        <v>45474</v>
      </c>
      <c r="M133" s="2">
        <v>45474</v>
      </c>
      <c r="N133">
        <v>3</v>
      </c>
      <c r="O133">
        <v>60</v>
      </c>
      <c r="P133">
        <v>0</v>
      </c>
      <c r="Q133">
        <v>60</v>
      </c>
      <c r="R133" t="s">
        <v>26</v>
      </c>
      <c r="S133" s="1">
        <v>45520</v>
      </c>
      <c r="T133" t="s">
        <v>27</v>
      </c>
      <c r="U133" t="s">
        <v>28</v>
      </c>
    </row>
    <row r="134" spans="1:21" x14ac:dyDescent="0.25">
      <c r="A134" t="s">
        <v>19</v>
      </c>
      <c r="B134" t="s">
        <v>20</v>
      </c>
      <c r="C134" t="str">
        <f t="shared" si="2"/>
        <v>Adam Richter</v>
      </c>
      <c r="D134">
        <v>9079571</v>
      </c>
      <c r="E134" t="s">
        <v>21</v>
      </c>
      <c r="F134">
        <v>1</v>
      </c>
      <c r="G134" t="s">
        <v>22</v>
      </c>
      <c r="H134" t="s">
        <v>313</v>
      </c>
      <c r="I134" t="s">
        <v>314</v>
      </c>
      <c r="J134" s="1">
        <v>45413</v>
      </c>
      <c r="K134" t="s">
        <v>25</v>
      </c>
      <c r="L134" s="2">
        <v>45474</v>
      </c>
      <c r="M134" s="2">
        <v>45474</v>
      </c>
      <c r="N134">
        <v>1</v>
      </c>
      <c r="O134">
        <v>20</v>
      </c>
      <c r="P134">
        <v>0</v>
      </c>
      <c r="Q134">
        <v>20</v>
      </c>
      <c r="R134" t="s">
        <v>26</v>
      </c>
      <c r="S134" s="1">
        <v>45520</v>
      </c>
      <c r="T134" t="s">
        <v>27</v>
      </c>
      <c r="U134" t="s">
        <v>28</v>
      </c>
    </row>
    <row r="135" spans="1:21" x14ac:dyDescent="0.25">
      <c r="A135" t="s">
        <v>19</v>
      </c>
      <c r="B135" t="s">
        <v>20</v>
      </c>
      <c r="C135" t="str">
        <f t="shared" si="2"/>
        <v>Adam Richter</v>
      </c>
      <c r="D135">
        <v>9079571</v>
      </c>
      <c r="E135" t="s">
        <v>21</v>
      </c>
      <c r="F135">
        <v>1</v>
      </c>
      <c r="G135" t="s">
        <v>22</v>
      </c>
      <c r="H135" t="s">
        <v>315</v>
      </c>
      <c r="I135" t="s">
        <v>316</v>
      </c>
      <c r="J135" s="1">
        <v>45413</v>
      </c>
      <c r="K135" t="s">
        <v>25</v>
      </c>
      <c r="L135" s="2">
        <v>45474</v>
      </c>
      <c r="M135" s="2">
        <v>45474</v>
      </c>
      <c r="N135">
        <v>2</v>
      </c>
      <c r="O135">
        <v>40</v>
      </c>
      <c r="P135">
        <v>0</v>
      </c>
      <c r="Q135">
        <v>40</v>
      </c>
      <c r="R135" t="s">
        <v>26</v>
      </c>
      <c r="S135" s="1">
        <v>45520</v>
      </c>
      <c r="T135" t="s">
        <v>27</v>
      </c>
      <c r="U135" t="s">
        <v>28</v>
      </c>
    </row>
    <row r="136" spans="1:21" x14ac:dyDescent="0.25">
      <c r="A136" t="s">
        <v>19</v>
      </c>
      <c r="B136" t="s">
        <v>20</v>
      </c>
      <c r="C136" t="str">
        <f t="shared" si="2"/>
        <v>Adam Richter</v>
      </c>
      <c r="D136">
        <v>9079571</v>
      </c>
      <c r="E136" t="s">
        <v>21</v>
      </c>
      <c r="F136">
        <v>1</v>
      </c>
      <c r="G136" t="s">
        <v>22</v>
      </c>
      <c r="H136" t="s">
        <v>317</v>
      </c>
      <c r="I136" t="s">
        <v>318</v>
      </c>
      <c r="J136" s="1">
        <v>45444</v>
      </c>
      <c r="K136" t="s">
        <v>25</v>
      </c>
      <c r="L136" s="2">
        <v>45474</v>
      </c>
      <c r="M136" s="2">
        <v>45474</v>
      </c>
      <c r="N136">
        <v>1</v>
      </c>
      <c r="O136">
        <v>20</v>
      </c>
      <c r="P136">
        <v>0</v>
      </c>
      <c r="Q136">
        <v>20</v>
      </c>
      <c r="R136" t="s">
        <v>26</v>
      </c>
      <c r="S136" s="1">
        <v>45520</v>
      </c>
      <c r="T136" t="s">
        <v>27</v>
      </c>
      <c r="U136" t="s">
        <v>28</v>
      </c>
    </row>
    <row r="137" spans="1:21" x14ac:dyDescent="0.25">
      <c r="A137" t="s">
        <v>19</v>
      </c>
      <c r="B137" t="s">
        <v>20</v>
      </c>
      <c r="C137" t="str">
        <f t="shared" si="2"/>
        <v>Adam Richter</v>
      </c>
      <c r="D137">
        <v>9079571</v>
      </c>
      <c r="E137" t="s">
        <v>21</v>
      </c>
      <c r="F137">
        <v>1</v>
      </c>
      <c r="G137" t="s">
        <v>22</v>
      </c>
      <c r="H137" t="s">
        <v>323</v>
      </c>
      <c r="I137" t="s">
        <v>324</v>
      </c>
      <c r="J137" s="1">
        <v>45474</v>
      </c>
      <c r="K137" t="s">
        <v>25</v>
      </c>
      <c r="L137" s="2">
        <v>45474</v>
      </c>
      <c r="M137" s="2">
        <v>45474</v>
      </c>
      <c r="N137">
        <v>1</v>
      </c>
      <c r="O137">
        <v>20</v>
      </c>
      <c r="P137">
        <v>0</v>
      </c>
      <c r="Q137">
        <v>20</v>
      </c>
      <c r="R137" t="s">
        <v>26</v>
      </c>
      <c r="S137" s="1">
        <v>45520</v>
      </c>
      <c r="T137" t="s">
        <v>27</v>
      </c>
      <c r="U137" t="s">
        <v>28</v>
      </c>
    </row>
    <row r="138" spans="1:21" x14ac:dyDescent="0.25">
      <c r="A138" t="s">
        <v>19</v>
      </c>
      <c r="B138" t="s">
        <v>20</v>
      </c>
      <c r="C138" t="str">
        <f t="shared" si="2"/>
        <v>Adam Richter</v>
      </c>
      <c r="D138">
        <v>9079571</v>
      </c>
      <c r="E138" t="s">
        <v>21</v>
      </c>
      <c r="F138">
        <v>1</v>
      </c>
      <c r="G138" t="s">
        <v>22</v>
      </c>
      <c r="H138" t="s">
        <v>339</v>
      </c>
      <c r="I138" t="s">
        <v>340</v>
      </c>
      <c r="J138" s="1">
        <v>45444</v>
      </c>
      <c r="K138" t="s">
        <v>25</v>
      </c>
      <c r="L138" s="2">
        <v>45474</v>
      </c>
      <c r="M138" s="2">
        <v>45474</v>
      </c>
      <c r="N138">
        <v>1</v>
      </c>
      <c r="O138">
        <v>20</v>
      </c>
      <c r="P138">
        <v>0</v>
      </c>
      <c r="Q138">
        <v>20</v>
      </c>
      <c r="R138" t="s">
        <v>26</v>
      </c>
      <c r="S138" s="1">
        <v>45520</v>
      </c>
      <c r="T138" t="s">
        <v>27</v>
      </c>
      <c r="U138" t="s">
        <v>28</v>
      </c>
    </row>
    <row r="139" spans="1:21" x14ac:dyDescent="0.25">
      <c r="A139" t="s">
        <v>19</v>
      </c>
      <c r="B139" t="s">
        <v>20</v>
      </c>
      <c r="C139" t="str">
        <f t="shared" si="2"/>
        <v>Adam Richter</v>
      </c>
      <c r="D139">
        <v>9079571</v>
      </c>
      <c r="E139" t="s">
        <v>21</v>
      </c>
      <c r="F139">
        <v>1</v>
      </c>
      <c r="G139" t="s">
        <v>22</v>
      </c>
      <c r="H139" t="s">
        <v>347</v>
      </c>
      <c r="I139" t="s">
        <v>348</v>
      </c>
      <c r="J139" s="1">
        <v>45413</v>
      </c>
      <c r="K139" t="s">
        <v>25</v>
      </c>
      <c r="L139" s="2">
        <v>45474</v>
      </c>
      <c r="M139" s="2">
        <v>45474</v>
      </c>
      <c r="N139">
        <v>1</v>
      </c>
      <c r="O139">
        <v>20</v>
      </c>
      <c r="P139">
        <v>0</v>
      </c>
      <c r="Q139">
        <v>20</v>
      </c>
      <c r="R139" t="s">
        <v>26</v>
      </c>
      <c r="S139" s="1">
        <v>45520</v>
      </c>
      <c r="T139" t="s">
        <v>27</v>
      </c>
      <c r="U139" t="s">
        <v>28</v>
      </c>
    </row>
    <row r="140" spans="1:21" x14ac:dyDescent="0.25">
      <c r="A140" t="s">
        <v>19</v>
      </c>
      <c r="B140" t="s">
        <v>20</v>
      </c>
      <c r="C140" t="str">
        <f t="shared" si="2"/>
        <v>Adam Richter</v>
      </c>
      <c r="D140">
        <v>9079571</v>
      </c>
      <c r="E140" t="s">
        <v>21</v>
      </c>
      <c r="F140">
        <v>1</v>
      </c>
      <c r="G140" t="s">
        <v>22</v>
      </c>
      <c r="H140" t="s">
        <v>359</v>
      </c>
      <c r="I140" t="s">
        <v>360</v>
      </c>
      <c r="J140" s="1">
        <v>45383</v>
      </c>
      <c r="K140" t="s">
        <v>25</v>
      </c>
      <c r="L140" s="2">
        <v>45474</v>
      </c>
      <c r="M140" s="2">
        <v>45474</v>
      </c>
      <c r="N140">
        <v>1</v>
      </c>
      <c r="O140">
        <v>20</v>
      </c>
      <c r="P140">
        <v>0</v>
      </c>
      <c r="Q140">
        <v>20</v>
      </c>
      <c r="R140" t="s">
        <v>26</v>
      </c>
      <c r="S140" s="1">
        <v>45520</v>
      </c>
      <c r="T140" t="s">
        <v>27</v>
      </c>
      <c r="U140" t="s">
        <v>28</v>
      </c>
    </row>
    <row r="141" spans="1:21" x14ac:dyDescent="0.25">
      <c r="A141" t="s">
        <v>19</v>
      </c>
      <c r="B141" t="s">
        <v>20</v>
      </c>
      <c r="C141" t="str">
        <f t="shared" si="2"/>
        <v>Adam Richter</v>
      </c>
      <c r="D141">
        <v>9079571</v>
      </c>
      <c r="E141" t="s">
        <v>21</v>
      </c>
      <c r="F141">
        <v>1</v>
      </c>
      <c r="G141" t="s">
        <v>22</v>
      </c>
      <c r="H141" t="s">
        <v>361</v>
      </c>
      <c r="I141" t="s">
        <v>362</v>
      </c>
      <c r="J141" s="1">
        <v>45474</v>
      </c>
      <c r="K141" t="s">
        <v>25</v>
      </c>
      <c r="L141" s="2">
        <v>45474</v>
      </c>
      <c r="M141" s="2">
        <v>45474</v>
      </c>
      <c r="N141">
        <v>1</v>
      </c>
      <c r="O141">
        <v>20</v>
      </c>
      <c r="P141">
        <v>0</v>
      </c>
      <c r="Q141">
        <v>20</v>
      </c>
      <c r="R141" t="s">
        <v>26</v>
      </c>
      <c r="S141" s="1">
        <v>45520</v>
      </c>
      <c r="T141" t="s">
        <v>27</v>
      </c>
      <c r="U141" t="s">
        <v>28</v>
      </c>
    </row>
    <row r="142" spans="1:21" x14ac:dyDescent="0.25">
      <c r="A142" t="s">
        <v>54</v>
      </c>
      <c r="B142" t="s">
        <v>55</v>
      </c>
      <c r="C142" t="str">
        <f t="shared" si="2"/>
        <v>Gregory Teipel</v>
      </c>
      <c r="D142">
        <v>8307933</v>
      </c>
      <c r="E142" t="s">
        <v>21</v>
      </c>
      <c r="F142">
        <v>1</v>
      </c>
      <c r="G142" t="s">
        <v>22</v>
      </c>
      <c r="H142" t="s">
        <v>68</v>
      </c>
      <c r="I142" t="s">
        <v>69</v>
      </c>
      <c r="J142" s="1">
        <v>45292</v>
      </c>
      <c r="K142" t="s">
        <v>70</v>
      </c>
      <c r="L142" s="2">
        <v>45474</v>
      </c>
      <c r="M142" s="2">
        <v>45474</v>
      </c>
      <c r="N142">
        <v>1</v>
      </c>
      <c r="O142">
        <v>20</v>
      </c>
      <c r="P142">
        <v>0</v>
      </c>
      <c r="Q142">
        <v>20</v>
      </c>
      <c r="R142" t="s">
        <v>71</v>
      </c>
      <c r="S142" s="1">
        <v>45520</v>
      </c>
      <c r="T142" t="s">
        <v>27</v>
      </c>
      <c r="U142" t="s">
        <v>28</v>
      </c>
    </row>
    <row r="143" spans="1:21" x14ac:dyDescent="0.25">
      <c r="A143" t="s">
        <v>54</v>
      </c>
      <c r="B143" t="s">
        <v>55</v>
      </c>
      <c r="C143" t="str">
        <f t="shared" si="2"/>
        <v>Gregory Teipel</v>
      </c>
      <c r="D143">
        <v>8307933</v>
      </c>
      <c r="E143" t="s">
        <v>21</v>
      </c>
      <c r="F143">
        <v>1</v>
      </c>
      <c r="G143" t="s">
        <v>22</v>
      </c>
      <c r="H143" t="s">
        <v>68</v>
      </c>
      <c r="I143" t="s">
        <v>69</v>
      </c>
      <c r="J143" s="1">
        <v>45292</v>
      </c>
      <c r="K143" t="s">
        <v>70</v>
      </c>
      <c r="L143" s="2">
        <v>45505</v>
      </c>
      <c r="M143" s="2">
        <v>45505</v>
      </c>
      <c r="N143">
        <v>0</v>
      </c>
      <c r="O143">
        <v>100</v>
      </c>
      <c r="P143">
        <v>0</v>
      </c>
      <c r="Q143">
        <v>100</v>
      </c>
      <c r="R143" t="s">
        <v>379</v>
      </c>
      <c r="S143" s="1">
        <v>45513</v>
      </c>
      <c r="T143" t="s">
        <v>27</v>
      </c>
      <c r="U143" t="s">
        <v>28</v>
      </c>
    </row>
    <row r="144" spans="1:21" x14ac:dyDescent="0.25">
      <c r="A144" t="s">
        <v>54</v>
      </c>
      <c r="B144" t="s">
        <v>55</v>
      </c>
      <c r="C144" t="str">
        <f t="shared" si="2"/>
        <v>Gregory Teipel</v>
      </c>
      <c r="D144">
        <v>8307933</v>
      </c>
      <c r="E144" t="s">
        <v>21</v>
      </c>
      <c r="F144">
        <v>1</v>
      </c>
      <c r="G144" t="s">
        <v>22</v>
      </c>
      <c r="H144" t="s">
        <v>306</v>
      </c>
      <c r="I144" t="s">
        <v>307</v>
      </c>
      <c r="J144" s="1">
        <v>44927</v>
      </c>
      <c r="K144" t="s">
        <v>70</v>
      </c>
      <c r="L144" s="2">
        <v>45474</v>
      </c>
      <c r="M144" s="2">
        <v>45474</v>
      </c>
      <c r="N144">
        <v>2</v>
      </c>
      <c r="O144">
        <v>40</v>
      </c>
      <c r="P144">
        <v>0</v>
      </c>
      <c r="Q144">
        <v>40</v>
      </c>
      <c r="R144" t="s">
        <v>308</v>
      </c>
      <c r="S144" s="1">
        <v>45520</v>
      </c>
      <c r="T144" t="s">
        <v>27</v>
      </c>
      <c r="U144" t="s">
        <v>28</v>
      </c>
    </row>
    <row r="145" spans="1:21" x14ac:dyDescent="0.25">
      <c r="A145" t="s">
        <v>54</v>
      </c>
      <c r="B145" t="s">
        <v>55</v>
      </c>
      <c r="C145" t="str">
        <f t="shared" si="2"/>
        <v>Gregory Teipel</v>
      </c>
      <c r="D145">
        <v>8307933</v>
      </c>
      <c r="E145" t="s">
        <v>21</v>
      </c>
      <c r="F145">
        <v>1</v>
      </c>
      <c r="G145" t="s">
        <v>22</v>
      </c>
      <c r="H145" t="s">
        <v>306</v>
      </c>
      <c r="I145" t="s">
        <v>307</v>
      </c>
      <c r="J145" s="1">
        <v>44927</v>
      </c>
      <c r="K145" t="s">
        <v>70</v>
      </c>
      <c r="L145" s="2">
        <v>45505</v>
      </c>
      <c r="M145" s="2">
        <v>45505</v>
      </c>
      <c r="N145">
        <v>0</v>
      </c>
      <c r="O145">
        <v>120</v>
      </c>
      <c r="P145">
        <v>0</v>
      </c>
      <c r="Q145">
        <v>120</v>
      </c>
      <c r="R145" t="s">
        <v>379</v>
      </c>
      <c r="S145" s="1">
        <v>45513</v>
      </c>
      <c r="T145" t="s">
        <v>27</v>
      </c>
      <c r="U145" t="s">
        <v>28</v>
      </c>
    </row>
    <row r="146" spans="1:21" x14ac:dyDescent="0.25">
      <c r="A146" t="s">
        <v>54</v>
      </c>
      <c r="B146" t="s">
        <v>55</v>
      </c>
      <c r="C146" t="str">
        <f t="shared" si="2"/>
        <v>Gregory Teipel</v>
      </c>
      <c r="D146">
        <v>8307933</v>
      </c>
      <c r="E146" t="s">
        <v>21</v>
      </c>
      <c r="F146">
        <v>1</v>
      </c>
      <c r="G146" t="s">
        <v>22</v>
      </c>
      <c r="H146" t="s">
        <v>393</v>
      </c>
      <c r="I146" t="s">
        <v>394</v>
      </c>
      <c r="J146" s="1">
        <v>44927</v>
      </c>
      <c r="K146" t="s">
        <v>70</v>
      </c>
      <c r="L146" s="2">
        <v>45505</v>
      </c>
      <c r="M146" s="2">
        <v>45505</v>
      </c>
      <c r="N146">
        <v>0</v>
      </c>
      <c r="O146">
        <v>100</v>
      </c>
      <c r="P146">
        <v>0</v>
      </c>
      <c r="Q146">
        <v>100</v>
      </c>
      <c r="R146" t="s">
        <v>379</v>
      </c>
      <c r="S146" s="1">
        <v>45513</v>
      </c>
      <c r="T146" t="s">
        <v>27</v>
      </c>
      <c r="U146" t="s">
        <v>28</v>
      </c>
    </row>
    <row r="147" spans="1:21" x14ac:dyDescent="0.25">
      <c r="A147" t="s">
        <v>54</v>
      </c>
      <c r="B147" t="s">
        <v>55</v>
      </c>
      <c r="C147" t="str">
        <f t="shared" si="2"/>
        <v>Gregory Teipel</v>
      </c>
      <c r="D147">
        <v>8307933</v>
      </c>
      <c r="E147" t="s">
        <v>21</v>
      </c>
      <c r="F147">
        <v>1</v>
      </c>
      <c r="G147" t="s">
        <v>22</v>
      </c>
      <c r="H147" t="s">
        <v>72</v>
      </c>
      <c r="I147" t="s">
        <v>73</v>
      </c>
      <c r="J147" s="1">
        <v>45292</v>
      </c>
      <c r="K147" t="s">
        <v>74</v>
      </c>
      <c r="L147" s="2">
        <v>45474</v>
      </c>
      <c r="M147" s="2">
        <v>45474</v>
      </c>
      <c r="N147">
        <v>3</v>
      </c>
      <c r="O147">
        <v>75</v>
      </c>
      <c r="P147">
        <v>0</v>
      </c>
      <c r="Q147">
        <v>75</v>
      </c>
      <c r="R147" t="s">
        <v>75</v>
      </c>
      <c r="S147" s="1">
        <v>45520</v>
      </c>
      <c r="T147" t="s">
        <v>27</v>
      </c>
      <c r="U147" t="s">
        <v>28</v>
      </c>
    </row>
    <row r="148" spans="1:21" x14ac:dyDescent="0.25">
      <c r="A148" t="s">
        <v>54</v>
      </c>
      <c r="B148" t="s">
        <v>55</v>
      </c>
      <c r="C148" t="str">
        <f t="shared" si="2"/>
        <v>Gregory Teipel</v>
      </c>
      <c r="D148">
        <v>8307933</v>
      </c>
      <c r="E148" t="s">
        <v>21</v>
      </c>
      <c r="F148">
        <v>1</v>
      </c>
      <c r="G148" t="s">
        <v>22</v>
      </c>
      <c r="H148" t="s">
        <v>121</v>
      </c>
      <c r="I148" t="s">
        <v>122</v>
      </c>
      <c r="J148" s="1">
        <v>45292</v>
      </c>
      <c r="K148" t="s">
        <v>74</v>
      </c>
      <c r="L148" s="2">
        <v>45474</v>
      </c>
      <c r="M148" s="2">
        <v>45474</v>
      </c>
      <c r="N148">
        <v>1</v>
      </c>
      <c r="O148">
        <v>25</v>
      </c>
      <c r="P148">
        <v>0</v>
      </c>
      <c r="Q148">
        <v>25</v>
      </c>
      <c r="R148" t="s">
        <v>75</v>
      </c>
      <c r="S148" s="1">
        <v>45520</v>
      </c>
      <c r="T148" t="s">
        <v>27</v>
      </c>
      <c r="U148" t="s">
        <v>28</v>
      </c>
    </row>
    <row r="149" spans="1:21" x14ac:dyDescent="0.25">
      <c r="A149" t="s">
        <v>54</v>
      </c>
      <c r="B149" t="s">
        <v>55</v>
      </c>
      <c r="C149" t="str">
        <f t="shared" si="2"/>
        <v>Gregory Teipel</v>
      </c>
      <c r="D149">
        <v>8307933</v>
      </c>
      <c r="E149" t="s">
        <v>21</v>
      </c>
      <c r="F149">
        <v>1</v>
      </c>
      <c r="G149" t="s">
        <v>22</v>
      </c>
      <c r="H149" t="s">
        <v>121</v>
      </c>
      <c r="I149" t="s">
        <v>122</v>
      </c>
      <c r="J149" s="1">
        <v>45292</v>
      </c>
      <c r="K149" t="s">
        <v>74</v>
      </c>
      <c r="L149" s="2">
        <v>45505</v>
      </c>
      <c r="M149" s="2">
        <v>45505</v>
      </c>
      <c r="N149">
        <v>0</v>
      </c>
      <c r="O149">
        <v>100</v>
      </c>
      <c r="P149">
        <v>0</v>
      </c>
      <c r="Q149">
        <v>100</v>
      </c>
      <c r="R149" t="s">
        <v>379</v>
      </c>
      <c r="S149" s="1">
        <v>45513</v>
      </c>
      <c r="T149" t="s">
        <v>27</v>
      </c>
      <c r="U149" t="s">
        <v>28</v>
      </c>
    </row>
    <row r="150" spans="1:21" x14ac:dyDescent="0.25">
      <c r="A150" t="s">
        <v>154</v>
      </c>
      <c r="B150" t="s">
        <v>155</v>
      </c>
      <c r="C150" t="str">
        <f t="shared" si="2"/>
        <v>CAROL FOLEY</v>
      </c>
      <c r="D150">
        <v>17425766</v>
      </c>
      <c r="E150" t="s">
        <v>21</v>
      </c>
      <c r="F150">
        <v>1</v>
      </c>
      <c r="G150" t="s">
        <v>22</v>
      </c>
      <c r="H150" t="s">
        <v>156</v>
      </c>
      <c r="I150" t="s">
        <v>157</v>
      </c>
      <c r="J150" s="1">
        <v>45352</v>
      </c>
      <c r="K150" t="s">
        <v>74</v>
      </c>
      <c r="L150" s="2">
        <v>45474</v>
      </c>
      <c r="M150" s="2">
        <v>45474</v>
      </c>
      <c r="N150">
        <v>1</v>
      </c>
      <c r="O150">
        <v>25</v>
      </c>
      <c r="P150">
        <v>0</v>
      </c>
      <c r="Q150">
        <v>25</v>
      </c>
      <c r="R150" t="s">
        <v>75</v>
      </c>
      <c r="S150" s="1">
        <v>45520</v>
      </c>
      <c r="T150" t="s">
        <v>27</v>
      </c>
      <c r="U150" t="s">
        <v>28</v>
      </c>
    </row>
    <row r="151" spans="1:21" x14ac:dyDescent="0.25">
      <c r="A151" t="s">
        <v>175</v>
      </c>
      <c r="B151" t="s">
        <v>176</v>
      </c>
      <c r="C151" t="str">
        <f t="shared" si="2"/>
        <v>Colleen Finnigan</v>
      </c>
      <c r="D151">
        <v>17437820</v>
      </c>
      <c r="E151" t="s">
        <v>21</v>
      </c>
      <c r="F151">
        <v>1</v>
      </c>
      <c r="G151" t="s">
        <v>22</v>
      </c>
      <c r="H151" t="s">
        <v>177</v>
      </c>
      <c r="I151" t="s">
        <v>178</v>
      </c>
      <c r="J151" s="1">
        <v>45292</v>
      </c>
      <c r="K151" t="s">
        <v>74</v>
      </c>
      <c r="L151" s="2">
        <v>45474</v>
      </c>
      <c r="M151" s="2">
        <v>45474</v>
      </c>
      <c r="N151">
        <v>1</v>
      </c>
      <c r="O151">
        <v>25</v>
      </c>
      <c r="P151">
        <v>0</v>
      </c>
      <c r="Q151">
        <v>25</v>
      </c>
      <c r="R151" t="s">
        <v>75</v>
      </c>
      <c r="S151" s="1">
        <v>45520</v>
      </c>
      <c r="T151" t="s">
        <v>27</v>
      </c>
      <c r="U151" t="s">
        <v>28</v>
      </c>
    </row>
    <row r="152" spans="1:21" x14ac:dyDescent="0.25">
      <c r="A152" t="s">
        <v>175</v>
      </c>
      <c r="B152" t="s">
        <v>176</v>
      </c>
      <c r="C152" t="str">
        <f t="shared" si="2"/>
        <v>Colleen Finnigan</v>
      </c>
      <c r="D152">
        <v>17437820</v>
      </c>
      <c r="E152" t="s">
        <v>21</v>
      </c>
      <c r="F152">
        <v>1</v>
      </c>
      <c r="G152" t="s">
        <v>22</v>
      </c>
      <c r="H152" t="s">
        <v>220</v>
      </c>
      <c r="I152" t="s">
        <v>221</v>
      </c>
      <c r="J152" s="1">
        <v>45292</v>
      </c>
      <c r="K152" t="s">
        <v>74</v>
      </c>
      <c r="L152" s="2">
        <v>45474</v>
      </c>
      <c r="M152" s="2">
        <v>45474</v>
      </c>
      <c r="N152">
        <v>1</v>
      </c>
      <c r="O152">
        <v>25</v>
      </c>
      <c r="P152">
        <v>0</v>
      </c>
      <c r="Q152">
        <v>25</v>
      </c>
      <c r="R152" t="s">
        <v>75</v>
      </c>
      <c r="S152" s="1">
        <v>45520</v>
      </c>
      <c r="T152" t="s">
        <v>27</v>
      </c>
      <c r="U152" t="s">
        <v>28</v>
      </c>
    </row>
    <row r="153" spans="1:21" x14ac:dyDescent="0.25">
      <c r="A153" t="s">
        <v>175</v>
      </c>
      <c r="B153" t="s">
        <v>176</v>
      </c>
      <c r="C153" t="str">
        <f t="shared" si="2"/>
        <v>Colleen Finnigan</v>
      </c>
      <c r="D153">
        <v>17437820</v>
      </c>
      <c r="E153" t="s">
        <v>21</v>
      </c>
      <c r="F153">
        <v>1</v>
      </c>
      <c r="G153" t="s">
        <v>22</v>
      </c>
      <c r="H153" t="s">
        <v>222</v>
      </c>
      <c r="I153" t="s">
        <v>223</v>
      </c>
      <c r="J153" s="1">
        <v>45292</v>
      </c>
      <c r="K153" t="s">
        <v>74</v>
      </c>
      <c r="L153" s="2">
        <v>45474</v>
      </c>
      <c r="M153" s="2">
        <v>45474</v>
      </c>
      <c r="N153">
        <v>1</v>
      </c>
      <c r="O153">
        <v>25</v>
      </c>
      <c r="P153">
        <v>0</v>
      </c>
      <c r="Q153">
        <v>25</v>
      </c>
      <c r="R153" t="s">
        <v>75</v>
      </c>
      <c r="S153" s="1">
        <v>45520</v>
      </c>
      <c r="T153" t="s">
        <v>27</v>
      </c>
      <c r="U153" t="s">
        <v>28</v>
      </c>
    </row>
    <row r="154" spans="1:21" x14ac:dyDescent="0.25">
      <c r="A154" t="s">
        <v>54</v>
      </c>
      <c r="B154" t="s">
        <v>55</v>
      </c>
      <c r="C154" t="str">
        <f t="shared" si="2"/>
        <v>Gregory Teipel</v>
      </c>
      <c r="D154">
        <v>8307933</v>
      </c>
      <c r="E154" t="s">
        <v>21</v>
      </c>
      <c r="F154">
        <v>1</v>
      </c>
      <c r="G154" t="s">
        <v>22</v>
      </c>
      <c r="H154" t="s">
        <v>228</v>
      </c>
      <c r="I154" t="s">
        <v>229</v>
      </c>
      <c r="J154" s="1">
        <v>45261</v>
      </c>
      <c r="K154" t="s">
        <v>74</v>
      </c>
      <c r="L154" s="2">
        <v>45474</v>
      </c>
      <c r="M154" s="2">
        <v>45474</v>
      </c>
      <c r="N154">
        <v>1</v>
      </c>
      <c r="O154">
        <v>25</v>
      </c>
      <c r="P154">
        <v>0</v>
      </c>
      <c r="Q154">
        <v>25</v>
      </c>
      <c r="R154" t="s">
        <v>230</v>
      </c>
      <c r="S154" s="1">
        <v>45520</v>
      </c>
      <c r="T154" t="s">
        <v>27</v>
      </c>
      <c r="U154" t="s">
        <v>28</v>
      </c>
    </row>
    <row r="155" spans="1:21" x14ac:dyDescent="0.25">
      <c r="A155" t="s">
        <v>54</v>
      </c>
      <c r="B155" t="s">
        <v>55</v>
      </c>
      <c r="C155" t="str">
        <f t="shared" si="2"/>
        <v>Gregory Teipel</v>
      </c>
      <c r="D155">
        <v>8307933</v>
      </c>
      <c r="E155" t="s">
        <v>21</v>
      </c>
      <c r="F155">
        <v>1</v>
      </c>
      <c r="G155" t="s">
        <v>22</v>
      </c>
      <c r="H155" t="s">
        <v>228</v>
      </c>
      <c r="I155" t="s">
        <v>229</v>
      </c>
      <c r="J155" s="1">
        <v>45261</v>
      </c>
      <c r="K155" t="s">
        <v>74</v>
      </c>
      <c r="L155" s="2">
        <v>45505</v>
      </c>
      <c r="M155" s="2">
        <v>45505</v>
      </c>
      <c r="N155">
        <v>0</v>
      </c>
      <c r="O155">
        <v>60</v>
      </c>
      <c r="P155">
        <v>0</v>
      </c>
      <c r="Q155">
        <v>60</v>
      </c>
      <c r="R155" t="s">
        <v>379</v>
      </c>
      <c r="S155" s="1">
        <v>45513</v>
      </c>
      <c r="T155" t="s">
        <v>27</v>
      </c>
      <c r="U155" t="s">
        <v>28</v>
      </c>
    </row>
    <row r="156" spans="1:21" x14ac:dyDescent="0.25">
      <c r="A156" t="s">
        <v>54</v>
      </c>
      <c r="B156" t="s">
        <v>55</v>
      </c>
      <c r="C156" t="str">
        <f t="shared" si="2"/>
        <v>Gregory Teipel</v>
      </c>
      <c r="D156">
        <v>8307933</v>
      </c>
      <c r="E156" t="s">
        <v>21</v>
      </c>
      <c r="F156">
        <v>1</v>
      </c>
      <c r="G156" t="s">
        <v>22</v>
      </c>
      <c r="H156" t="s">
        <v>231</v>
      </c>
      <c r="I156" t="s">
        <v>232</v>
      </c>
      <c r="J156" s="1">
        <v>44927</v>
      </c>
      <c r="K156" t="s">
        <v>74</v>
      </c>
      <c r="L156" s="2">
        <v>45474</v>
      </c>
      <c r="M156" s="2">
        <v>45474</v>
      </c>
      <c r="N156">
        <v>4</v>
      </c>
      <c r="O156">
        <v>100</v>
      </c>
      <c r="P156">
        <v>0</v>
      </c>
      <c r="Q156">
        <v>100</v>
      </c>
      <c r="R156" t="s">
        <v>230</v>
      </c>
      <c r="S156" s="1">
        <v>45520</v>
      </c>
      <c r="T156" t="s">
        <v>27</v>
      </c>
      <c r="U156" t="s">
        <v>28</v>
      </c>
    </row>
    <row r="157" spans="1:21" x14ac:dyDescent="0.25">
      <c r="A157" t="s">
        <v>54</v>
      </c>
      <c r="B157" t="s">
        <v>55</v>
      </c>
      <c r="C157" t="str">
        <f t="shared" si="2"/>
        <v>Gregory Teipel</v>
      </c>
      <c r="D157">
        <v>8307933</v>
      </c>
      <c r="E157" t="s">
        <v>21</v>
      </c>
      <c r="F157">
        <v>1</v>
      </c>
      <c r="G157" t="s">
        <v>22</v>
      </c>
      <c r="H157" t="s">
        <v>231</v>
      </c>
      <c r="I157" t="s">
        <v>232</v>
      </c>
      <c r="J157" s="1">
        <v>44927</v>
      </c>
      <c r="K157" t="s">
        <v>74</v>
      </c>
      <c r="L157" s="2">
        <v>45505</v>
      </c>
      <c r="M157" s="2">
        <v>45505</v>
      </c>
      <c r="N157">
        <v>0</v>
      </c>
      <c r="O157">
        <v>400</v>
      </c>
      <c r="P157">
        <v>0</v>
      </c>
      <c r="Q157">
        <v>400</v>
      </c>
      <c r="R157" t="s">
        <v>379</v>
      </c>
      <c r="S157" s="1">
        <v>45513</v>
      </c>
      <c r="T157" t="s">
        <v>27</v>
      </c>
      <c r="U157" t="s">
        <v>28</v>
      </c>
    </row>
    <row r="158" spans="1:21" x14ac:dyDescent="0.25">
      <c r="A158" t="s">
        <v>54</v>
      </c>
      <c r="B158" t="s">
        <v>55</v>
      </c>
      <c r="C158" t="str">
        <f t="shared" si="2"/>
        <v>Gregory Teipel</v>
      </c>
      <c r="D158">
        <v>8307933</v>
      </c>
      <c r="E158" t="s">
        <v>21</v>
      </c>
      <c r="F158">
        <v>1</v>
      </c>
      <c r="G158" t="s">
        <v>22</v>
      </c>
      <c r="H158" t="s">
        <v>270</v>
      </c>
      <c r="I158" t="s">
        <v>271</v>
      </c>
      <c r="J158" s="1">
        <v>44927</v>
      </c>
      <c r="K158" t="s">
        <v>74</v>
      </c>
      <c r="L158" s="2">
        <v>45474</v>
      </c>
      <c r="M158" s="2">
        <v>45474</v>
      </c>
      <c r="N158">
        <v>1</v>
      </c>
      <c r="O158">
        <v>25</v>
      </c>
      <c r="P158">
        <v>0</v>
      </c>
      <c r="Q158">
        <v>25</v>
      </c>
      <c r="R158" t="s">
        <v>230</v>
      </c>
      <c r="S158" s="1">
        <v>45520</v>
      </c>
      <c r="T158" t="s">
        <v>27</v>
      </c>
      <c r="U158" t="s">
        <v>28</v>
      </c>
    </row>
    <row r="159" spans="1:21" x14ac:dyDescent="0.25">
      <c r="A159" t="s">
        <v>54</v>
      </c>
      <c r="B159" t="s">
        <v>55</v>
      </c>
      <c r="C159" t="str">
        <f t="shared" si="2"/>
        <v>Gregory Teipel</v>
      </c>
      <c r="D159">
        <v>8307933</v>
      </c>
      <c r="E159" t="s">
        <v>21</v>
      </c>
      <c r="F159">
        <v>1</v>
      </c>
      <c r="G159" t="s">
        <v>22</v>
      </c>
      <c r="H159" t="s">
        <v>270</v>
      </c>
      <c r="I159" t="s">
        <v>271</v>
      </c>
      <c r="J159" s="1">
        <v>44927</v>
      </c>
      <c r="K159" t="s">
        <v>74</v>
      </c>
      <c r="L159" s="2">
        <v>45505</v>
      </c>
      <c r="M159" s="2">
        <v>45505</v>
      </c>
      <c r="N159">
        <v>0</v>
      </c>
      <c r="O159">
        <v>100</v>
      </c>
      <c r="P159">
        <v>0</v>
      </c>
      <c r="Q159">
        <v>100</v>
      </c>
      <c r="R159" t="s">
        <v>379</v>
      </c>
      <c r="S159" s="1">
        <v>45513</v>
      </c>
      <c r="T159" t="s">
        <v>27</v>
      </c>
      <c r="U159" t="s">
        <v>28</v>
      </c>
    </row>
    <row r="160" spans="1:21" x14ac:dyDescent="0.25">
      <c r="A160" t="s">
        <v>54</v>
      </c>
      <c r="B160" t="s">
        <v>55</v>
      </c>
      <c r="C160" t="str">
        <f t="shared" si="2"/>
        <v>Gregory Teipel</v>
      </c>
      <c r="D160">
        <v>8307933</v>
      </c>
      <c r="E160" t="s">
        <v>21</v>
      </c>
      <c r="F160">
        <v>1</v>
      </c>
      <c r="G160" t="s">
        <v>22</v>
      </c>
      <c r="H160" t="s">
        <v>387</v>
      </c>
      <c r="I160" t="s">
        <v>388</v>
      </c>
      <c r="J160" s="1">
        <v>44927</v>
      </c>
      <c r="K160" t="s">
        <v>74</v>
      </c>
      <c r="L160" s="2">
        <v>45505</v>
      </c>
      <c r="M160" s="2">
        <v>45505</v>
      </c>
      <c r="N160">
        <v>0</v>
      </c>
      <c r="O160">
        <v>200</v>
      </c>
      <c r="P160">
        <v>0</v>
      </c>
      <c r="Q160">
        <v>200</v>
      </c>
      <c r="R160" t="s">
        <v>379</v>
      </c>
      <c r="S160" s="1">
        <v>45513</v>
      </c>
      <c r="T160" t="s">
        <v>27</v>
      </c>
      <c r="U160" t="s">
        <v>28</v>
      </c>
    </row>
    <row r="161" spans="1:21" x14ac:dyDescent="0.25">
      <c r="A161" t="s">
        <v>54</v>
      </c>
      <c r="B161" t="s">
        <v>55</v>
      </c>
      <c r="C161" t="str">
        <f t="shared" si="2"/>
        <v>Gregory Teipel</v>
      </c>
      <c r="D161">
        <v>8307933</v>
      </c>
      <c r="E161" t="s">
        <v>21</v>
      </c>
      <c r="F161">
        <v>1</v>
      </c>
      <c r="G161" t="s">
        <v>22</v>
      </c>
      <c r="H161" t="s">
        <v>280</v>
      </c>
      <c r="I161" t="s">
        <v>281</v>
      </c>
      <c r="J161" s="1">
        <v>44927</v>
      </c>
      <c r="K161" t="s">
        <v>74</v>
      </c>
      <c r="L161" s="2">
        <v>45474</v>
      </c>
      <c r="M161" s="2">
        <v>45474</v>
      </c>
      <c r="N161">
        <v>1</v>
      </c>
      <c r="O161">
        <v>25</v>
      </c>
      <c r="P161">
        <v>0</v>
      </c>
      <c r="Q161">
        <v>25</v>
      </c>
      <c r="R161" t="s">
        <v>230</v>
      </c>
      <c r="S161" s="1">
        <v>45520</v>
      </c>
      <c r="T161" t="s">
        <v>27</v>
      </c>
      <c r="U161" t="s">
        <v>28</v>
      </c>
    </row>
    <row r="162" spans="1:21" x14ac:dyDescent="0.25">
      <c r="A162" t="s">
        <v>54</v>
      </c>
      <c r="B162" t="s">
        <v>55</v>
      </c>
      <c r="C162" t="str">
        <f t="shared" si="2"/>
        <v>Gregory Teipel</v>
      </c>
      <c r="D162">
        <v>8307933</v>
      </c>
      <c r="E162" t="s">
        <v>21</v>
      </c>
      <c r="F162">
        <v>1</v>
      </c>
      <c r="G162" t="s">
        <v>22</v>
      </c>
      <c r="H162" t="s">
        <v>280</v>
      </c>
      <c r="I162" t="s">
        <v>281</v>
      </c>
      <c r="J162" s="1">
        <v>44927</v>
      </c>
      <c r="K162" t="s">
        <v>74</v>
      </c>
      <c r="L162" s="2">
        <v>45505</v>
      </c>
      <c r="M162" s="2">
        <v>45505</v>
      </c>
      <c r="N162">
        <v>0</v>
      </c>
      <c r="O162">
        <v>60</v>
      </c>
      <c r="P162">
        <v>0</v>
      </c>
      <c r="Q162">
        <v>60</v>
      </c>
      <c r="R162" t="s">
        <v>379</v>
      </c>
      <c r="S162" s="1">
        <v>45513</v>
      </c>
      <c r="T162" t="s">
        <v>27</v>
      </c>
      <c r="U162" t="s">
        <v>28</v>
      </c>
    </row>
    <row r="163" spans="1:21" x14ac:dyDescent="0.25">
      <c r="A163" t="s">
        <v>19</v>
      </c>
      <c r="B163" t="s">
        <v>20</v>
      </c>
      <c r="C163" t="str">
        <f t="shared" si="2"/>
        <v>Adam Richter</v>
      </c>
      <c r="D163">
        <v>9079571</v>
      </c>
      <c r="E163" t="s">
        <v>21</v>
      </c>
      <c r="F163">
        <v>1</v>
      </c>
      <c r="G163" t="s">
        <v>22</v>
      </c>
      <c r="H163" t="s">
        <v>302</v>
      </c>
      <c r="I163" t="s">
        <v>303</v>
      </c>
      <c r="J163" s="1">
        <v>45261</v>
      </c>
      <c r="K163" t="s">
        <v>74</v>
      </c>
      <c r="L163" s="2">
        <v>45474</v>
      </c>
      <c r="M163" s="2">
        <v>45474</v>
      </c>
      <c r="N163">
        <v>1</v>
      </c>
      <c r="O163">
        <v>25</v>
      </c>
      <c r="P163">
        <v>0</v>
      </c>
      <c r="Q163">
        <v>25</v>
      </c>
      <c r="R163" t="s">
        <v>230</v>
      </c>
      <c r="S163" s="1">
        <v>45520</v>
      </c>
      <c r="T163" t="s">
        <v>27</v>
      </c>
      <c r="U163" t="s">
        <v>28</v>
      </c>
    </row>
    <row r="164" spans="1:21" x14ac:dyDescent="0.25">
      <c r="A164" t="s">
        <v>175</v>
      </c>
      <c r="B164" t="s">
        <v>176</v>
      </c>
      <c r="C164" t="str">
        <f t="shared" si="2"/>
        <v>Colleen Finnigan</v>
      </c>
      <c r="D164">
        <v>17437820</v>
      </c>
      <c r="E164" t="s">
        <v>21</v>
      </c>
      <c r="F164">
        <v>1</v>
      </c>
      <c r="G164" t="s">
        <v>22</v>
      </c>
      <c r="H164" t="s">
        <v>327</v>
      </c>
      <c r="I164" t="s">
        <v>328</v>
      </c>
      <c r="J164" s="1">
        <v>45292</v>
      </c>
      <c r="K164" t="s">
        <v>74</v>
      </c>
      <c r="L164" s="2">
        <v>45474</v>
      </c>
      <c r="M164" s="2">
        <v>45474</v>
      </c>
      <c r="N164">
        <v>1</v>
      </c>
      <c r="O164">
        <v>25</v>
      </c>
      <c r="P164">
        <v>0</v>
      </c>
      <c r="Q164">
        <v>25</v>
      </c>
      <c r="R164" t="s">
        <v>75</v>
      </c>
      <c r="S164" s="1">
        <v>45520</v>
      </c>
      <c r="T164" t="s">
        <v>27</v>
      </c>
      <c r="U164" t="s">
        <v>28</v>
      </c>
    </row>
    <row r="165" spans="1:21" x14ac:dyDescent="0.25">
      <c r="A165" t="s">
        <v>19</v>
      </c>
      <c r="B165" t="s">
        <v>20</v>
      </c>
      <c r="C165" t="str">
        <f t="shared" si="2"/>
        <v>Adam Richter</v>
      </c>
      <c r="D165">
        <v>9079571</v>
      </c>
      <c r="E165" t="s">
        <v>21</v>
      </c>
      <c r="F165">
        <v>1</v>
      </c>
      <c r="G165" t="s">
        <v>22</v>
      </c>
      <c r="H165" t="s">
        <v>341</v>
      </c>
      <c r="I165" t="s">
        <v>342</v>
      </c>
      <c r="J165" s="1">
        <v>44927</v>
      </c>
      <c r="K165" t="s">
        <v>74</v>
      </c>
      <c r="L165" s="2">
        <v>45474</v>
      </c>
      <c r="M165" s="2">
        <v>45474</v>
      </c>
      <c r="N165">
        <v>1</v>
      </c>
      <c r="O165">
        <v>25</v>
      </c>
      <c r="P165">
        <v>0</v>
      </c>
      <c r="Q165">
        <v>25</v>
      </c>
      <c r="R165" t="s">
        <v>230</v>
      </c>
      <c r="S165" s="1">
        <v>45520</v>
      </c>
      <c r="T165" t="s">
        <v>27</v>
      </c>
      <c r="U165" t="s">
        <v>28</v>
      </c>
    </row>
    <row r="166" spans="1:21" x14ac:dyDescent="0.25">
      <c r="A166" t="s">
        <v>175</v>
      </c>
      <c r="B166" t="s">
        <v>176</v>
      </c>
      <c r="C166" t="str">
        <f t="shared" si="2"/>
        <v>Colleen Finnigan</v>
      </c>
      <c r="D166">
        <v>17437820</v>
      </c>
      <c r="E166" t="s">
        <v>21</v>
      </c>
      <c r="F166">
        <v>1</v>
      </c>
      <c r="G166" t="s">
        <v>22</v>
      </c>
      <c r="H166" t="s">
        <v>363</v>
      </c>
      <c r="I166" t="s">
        <v>364</v>
      </c>
      <c r="J166" s="1">
        <v>45170</v>
      </c>
      <c r="K166" t="s">
        <v>74</v>
      </c>
      <c r="L166" s="2">
        <v>45474</v>
      </c>
      <c r="M166" s="2">
        <v>45474</v>
      </c>
      <c r="N166">
        <v>1</v>
      </c>
      <c r="O166">
        <v>25</v>
      </c>
      <c r="P166">
        <v>0</v>
      </c>
      <c r="Q166">
        <v>25</v>
      </c>
      <c r="R166" t="s">
        <v>230</v>
      </c>
      <c r="S166" s="1">
        <v>45520</v>
      </c>
      <c r="T166" t="s">
        <v>27</v>
      </c>
      <c r="U166" t="s">
        <v>28</v>
      </c>
    </row>
    <row r="167" spans="1:21" x14ac:dyDescent="0.25">
      <c r="A167" t="s">
        <v>175</v>
      </c>
      <c r="B167" t="s">
        <v>176</v>
      </c>
      <c r="C167" t="str">
        <f t="shared" si="2"/>
        <v>Colleen Finnigan</v>
      </c>
      <c r="D167">
        <v>17437820</v>
      </c>
      <c r="E167" t="s">
        <v>21</v>
      </c>
      <c r="F167">
        <v>1</v>
      </c>
      <c r="G167" t="s">
        <v>22</v>
      </c>
      <c r="H167" t="s">
        <v>369</v>
      </c>
      <c r="I167" t="s">
        <v>370</v>
      </c>
      <c r="J167" s="1">
        <v>45292</v>
      </c>
      <c r="K167" t="s">
        <v>74</v>
      </c>
      <c r="L167" s="2">
        <v>45474</v>
      </c>
      <c r="M167" s="2">
        <v>45474</v>
      </c>
      <c r="N167">
        <v>3</v>
      </c>
      <c r="O167">
        <v>75</v>
      </c>
      <c r="P167">
        <v>0</v>
      </c>
      <c r="Q167">
        <v>75</v>
      </c>
      <c r="R167" t="s">
        <v>75</v>
      </c>
      <c r="S167" s="1">
        <v>45520</v>
      </c>
      <c r="T167" t="s">
        <v>27</v>
      </c>
      <c r="U167" t="s">
        <v>28</v>
      </c>
    </row>
    <row r="168" spans="1:21" x14ac:dyDescent="0.25">
      <c r="A168" t="s">
        <v>19</v>
      </c>
      <c r="B168" t="s">
        <v>20</v>
      </c>
      <c r="C168" t="str">
        <f t="shared" si="2"/>
        <v>Adam Richter</v>
      </c>
      <c r="D168">
        <v>9079571</v>
      </c>
      <c r="E168" t="s">
        <v>21</v>
      </c>
      <c r="F168">
        <v>1</v>
      </c>
      <c r="G168" t="s">
        <v>22</v>
      </c>
      <c r="H168" t="s">
        <v>298</v>
      </c>
      <c r="I168" t="s">
        <v>299</v>
      </c>
      <c r="J168" s="1">
        <v>44958</v>
      </c>
      <c r="K168" t="s">
        <v>300</v>
      </c>
      <c r="L168" s="2">
        <v>45474</v>
      </c>
      <c r="M168" s="2">
        <v>45474</v>
      </c>
      <c r="N168">
        <v>1</v>
      </c>
      <c r="O168">
        <v>20</v>
      </c>
      <c r="P168">
        <v>0</v>
      </c>
      <c r="Q168">
        <v>20</v>
      </c>
      <c r="R168" t="s">
        <v>301</v>
      </c>
      <c r="S168" s="1">
        <v>45520</v>
      </c>
      <c r="T168" t="s">
        <v>27</v>
      </c>
      <c r="U168" t="s">
        <v>28</v>
      </c>
    </row>
    <row r="169" spans="1:21" x14ac:dyDescent="0.25">
      <c r="A169" t="s">
        <v>335</v>
      </c>
      <c r="B169" t="s">
        <v>336</v>
      </c>
      <c r="C169" t="str">
        <f t="shared" si="2"/>
        <v>Jason Hoffmann</v>
      </c>
      <c r="D169">
        <v>15278437</v>
      </c>
      <c r="E169" t="s">
        <v>21</v>
      </c>
      <c r="F169">
        <v>1</v>
      </c>
      <c r="G169" t="s">
        <v>22</v>
      </c>
      <c r="H169" t="s">
        <v>337</v>
      </c>
      <c r="I169" t="s">
        <v>338</v>
      </c>
      <c r="J169" s="1">
        <v>44927</v>
      </c>
      <c r="K169" t="s">
        <v>300</v>
      </c>
      <c r="L169" s="2">
        <v>45474</v>
      </c>
      <c r="M169" s="2">
        <v>45474</v>
      </c>
      <c r="N169">
        <v>1</v>
      </c>
      <c r="O169">
        <v>20</v>
      </c>
      <c r="P169">
        <v>0</v>
      </c>
      <c r="Q169">
        <v>20</v>
      </c>
      <c r="R169" t="s">
        <v>301</v>
      </c>
      <c r="S169" s="1">
        <v>45520</v>
      </c>
      <c r="T169" t="s">
        <v>27</v>
      </c>
      <c r="U169" t="s">
        <v>28</v>
      </c>
    </row>
    <row r="170" spans="1:21" x14ac:dyDescent="0.25">
      <c r="A170" t="s">
        <v>54</v>
      </c>
      <c r="B170" t="s">
        <v>55</v>
      </c>
      <c r="C170" t="str">
        <f t="shared" si="2"/>
        <v>Gregory Teipel</v>
      </c>
      <c r="D170">
        <v>8307933</v>
      </c>
      <c r="E170" t="s">
        <v>21</v>
      </c>
      <c r="F170">
        <v>1</v>
      </c>
      <c r="G170" t="s">
        <v>22</v>
      </c>
      <c r="H170" t="s">
        <v>183</v>
      </c>
      <c r="I170" t="s">
        <v>184</v>
      </c>
      <c r="J170" s="1">
        <v>45383</v>
      </c>
      <c r="K170" t="s">
        <v>185</v>
      </c>
      <c r="L170" s="2">
        <v>45474</v>
      </c>
      <c r="M170" s="2">
        <v>45474</v>
      </c>
      <c r="N170">
        <v>1</v>
      </c>
      <c r="O170">
        <v>25</v>
      </c>
      <c r="P170">
        <v>0</v>
      </c>
      <c r="Q170">
        <v>25</v>
      </c>
      <c r="R170" t="s">
        <v>186</v>
      </c>
      <c r="S170" s="1">
        <v>45520</v>
      </c>
      <c r="T170" t="s">
        <v>27</v>
      </c>
      <c r="U170" t="s">
        <v>28</v>
      </c>
    </row>
    <row r="171" spans="1:21" x14ac:dyDescent="0.25">
      <c r="A171" t="s">
        <v>54</v>
      </c>
      <c r="B171" t="s">
        <v>55</v>
      </c>
      <c r="C171" t="str">
        <f t="shared" si="2"/>
        <v>Gregory Teipel</v>
      </c>
      <c r="D171">
        <v>8307933</v>
      </c>
      <c r="E171" t="s">
        <v>21</v>
      </c>
      <c r="F171">
        <v>1</v>
      </c>
      <c r="G171" t="s">
        <v>22</v>
      </c>
      <c r="H171" t="s">
        <v>380</v>
      </c>
      <c r="I171" t="s">
        <v>381</v>
      </c>
      <c r="J171" s="1">
        <v>44927</v>
      </c>
      <c r="K171" t="s">
        <v>185</v>
      </c>
      <c r="L171" s="2">
        <v>45505</v>
      </c>
      <c r="M171" s="2">
        <v>45505</v>
      </c>
      <c r="N171">
        <v>0</v>
      </c>
      <c r="O171">
        <v>250</v>
      </c>
      <c r="P171">
        <v>0</v>
      </c>
      <c r="Q171">
        <v>250</v>
      </c>
      <c r="R171" t="s">
        <v>379</v>
      </c>
      <c r="S171" s="1">
        <v>45513</v>
      </c>
      <c r="T171" t="s">
        <v>27</v>
      </c>
      <c r="U171" t="s">
        <v>28</v>
      </c>
    </row>
    <row r="172" spans="1:21" x14ac:dyDescent="0.25">
      <c r="A172" t="s">
        <v>54</v>
      </c>
      <c r="B172" t="s">
        <v>55</v>
      </c>
      <c r="C172" t="str">
        <f t="shared" si="2"/>
        <v>Gregory Teipel</v>
      </c>
      <c r="D172">
        <v>8307933</v>
      </c>
      <c r="E172" t="s">
        <v>21</v>
      </c>
      <c r="F172">
        <v>1</v>
      </c>
      <c r="G172" t="s">
        <v>22</v>
      </c>
      <c r="H172" t="s">
        <v>380</v>
      </c>
      <c r="I172" t="s">
        <v>381</v>
      </c>
      <c r="J172" s="1">
        <v>44927</v>
      </c>
      <c r="K172" t="s">
        <v>185</v>
      </c>
      <c r="L172" s="2">
        <v>45505</v>
      </c>
      <c r="M172" s="2">
        <v>45505</v>
      </c>
      <c r="N172">
        <v>0</v>
      </c>
      <c r="O172">
        <v>150</v>
      </c>
      <c r="P172">
        <v>0</v>
      </c>
      <c r="Q172">
        <v>150</v>
      </c>
      <c r="R172" t="s">
        <v>382</v>
      </c>
      <c r="S172" s="1">
        <v>45513</v>
      </c>
      <c r="T172" t="s">
        <v>27</v>
      </c>
      <c r="U172" t="s">
        <v>28</v>
      </c>
    </row>
    <row r="173" spans="1:21" x14ac:dyDescent="0.25">
      <c r="A173" t="s">
        <v>54</v>
      </c>
      <c r="B173" t="s">
        <v>55</v>
      </c>
      <c r="C173" t="str">
        <f t="shared" si="2"/>
        <v>Gregory Teipel</v>
      </c>
      <c r="D173">
        <v>8307933</v>
      </c>
      <c r="E173" t="s">
        <v>21</v>
      </c>
      <c r="F173">
        <v>1</v>
      </c>
      <c r="G173" t="s">
        <v>22</v>
      </c>
      <c r="H173" t="s">
        <v>237</v>
      </c>
      <c r="I173" t="s">
        <v>238</v>
      </c>
      <c r="J173" s="1">
        <v>45261</v>
      </c>
      <c r="K173" t="s">
        <v>185</v>
      </c>
      <c r="L173" s="2">
        <v>45474</v>
      </c>
      <c r="M173" s="2">
        <v>45474</v>
      </c>
      <c r="N173">
        <v>3</v>
      </c>
      <c r="O173">
        <v>75</v>
      </c>
      <c r="P173">
        <v>0</v>
      </c>
      <c r="Q173">
        <v>75</v>
      </c>
      <c r="R173" t="s">
        <v>239</v>
      </c>
      <c r="S173" s="1">
        <v>45520</v>
      </c>
      <c r="T173" t="s">
        <v>27</v>
      </c>
      <c r="U173" t="s">
        <v>28</v>
      </c>
    </row>
    <row r="174" spans="1:21" x14ac:dyDescent="0.25">
      <c r="A174" t="s">
        <v>54</v>
      </c>
      <c r="B174" t="s">
        <v>55</v>
      </c>
      <c r="C174" t="str">
        <f t="shared" si="2"/>
        <v>Gregory Teipel</v>
      </c>
      <c r="D174">
        <v>8307933</v>
      </c>
      <c r="E174" t="s">
        <v>21</v>
      </c>
      <c r="F174">
        <v>1</v>
      </c>
      <c r="G174" t="s">
        <v>22</v>
      </c>
      <c r="H174" t="s">
        <v>237</v>
      </c>
      <c r="I174" t="s">
        <v>238</v>
      </c>
      <c r="J174" s="1">
        <v>45261</v>
      </c>
      <c r="K174" t="s">
        <v>185</v>
      </c>
      <c r="L174" s="2">
        <v>45505</v>
      </c>
      <c r="M174" s="2">
        <v>45505</v>
      </c>
      <c r="N174">
        <v>0</v>
      </c>
      <c r="O174">
        <v>450</v>
      </c>
      <c r="P174">
        <v>0</v>
      </c>
      <c r="Q174">
        <v>450</v>
      </c>
      <c r="R174" t="s">
        <v>379</v>
      </c>
      <c r="S174" s="1">
        <v>45513</v>
      </c>
      <c r="T174" t="s">
        <v>27</v>
      </c>
      <c r="U174" t="s">
        <v>28</v>
      </c>
    </row>
    <row r="175" spans="1:21" x14ac:dyDescent="0.25">
      <c r="A175" t="s">
        <v>54</v>
      </c>
      <c r="B175" t="s">
        <v>55</v>
      </c>
      <c r="C175" t="str">
        <f t="shared" si="2"/>
        <v>Gregory Teipel</v>
      </c>
      <c r="D175">
        <v>8307933</v>
      </c>
      <c r="E175" t="s">
        <v>21</v>
      </c>
      <c r="F175">
        <v>1</v>
      </c>
      <c r="G175" t="s">
        <v>22</v>
      </c>
      <c r="H175" t="s">
        <v>240</v>
      </c>
      <c r="I175" t="s">
        <v>241</v>
      </c>
      <c r="J175" s="1">
        <v>45292</v>
      </c>
      <c r="K175" t="s">
        <v>185</v>
      </c>
      <c r="L175" s="2">
        <v>45474</v>
      </c>
      <c r="M175" s="2">
        <v>45474</v>
      </c>
      <c r="N175">
        <v>2</v>
      </c>
      <c r="O175">
        <v>50</v>
      </c>
      <c r="P175">
        <v>0</v>
      </c>
      <c r="Q175">
        <v>50</v>
      </c>
      <c r="R175" t="s">
        <v>186</v>
      </c>
      <c r="S175" s="1">
        <v>45520</v>
      </c>
      <c r="T175" t="s">
        <v>27</v>
      </c>
      <c r="U175" t="s">
        <v>28</v>
      </c>
    </row>
    <row r="176" spans="1:21" x14ac:dyDescent="0.25">
      <c r="A176" t="s">
        <v>54</v>
      </c>
      <c r="B176" t="s">
        <v>55</v>
      </c>
      <c r="C176" t="str">
        <f t="shared" si="2"/>
        <v>Gregory Teipel</v>
      </c>
      <c r="D176">
        <v>8307933</v>
      </c>
      <c r="E176" t="s">
        <v>21</v>
      </c>
      <c r="F176">
        <v>1</v>
      </c>
      <c r="G176" t="s">
        <v>22</v>
      </c>
      <c r="H176" t="s">
        <v>240</v>
      </c>
      <c r="I176" t="s">
        <v>241</v>
      </c>
      <c r="J176" s="1">
        <v>45292</v>
      </c>
      <c r="K176" t="s">
        <v>185</v>
      </c>
      <c r="L176" s="2">
        <v>45505</v>
      </c>
      <c r="M176" s="2">
        <v>45505</v>
      </c>
      <c r="N176">
        <v>0</v>
      </c>
      <c r="O176">
        <v>300</v>
      </c>
      <c r="P176">
        <v>0</v>
      </c>
      <c r="Q176">
        <v>300</v>
      </c>
      <c r="R176" t="s">
        <v>379</v>
      </c>
      <c r="S176" s="1">
        <v>45513</v>
      </c>
      <c r="T176" t="s">
        <v>27</v>
      </c>
      <c r="U176" t="s">
        <v>28</v>
      </c>
    </row>
    <row r="177" spans="1:21" x14ac:dyDescent="0.25">
      <c r="A177" t="s">
        <v>54</v>
      </c>
      <c r="B177" t="s">
        <v>55</v>
      </c>
      <c r="C177" t="str">
        <f t="shared" si="2"/>
        <v>Gregory Teipel</v>
      </c>
      <c r="D177">
        <v>8307933</v>
      </c>
      <c r="E177" t="s">
        <v>21</v>
      </c>
      <c r="F177">
        <v>1</v>
      </c>
      <c r="G177" t="s">
        <v>22</v>
      </c>
      <c r="H177" t="s">
        <v>343</v>
      </c>
      <c r="I177" t="s">
        <v>344</v>
      </c>
      <c r="J177" s="1">
        <v>45474</v>
      </c>
      <c r="K177" t="s">
        <v>185</v>
      </c>
      <c r="L177" s="2">
        <v>45474</v>
      </c>
      <c r="M177" s="2">
        <v>45474</v>
      </c>
      <c r="N177">
        <v>1</v>
      </c>
      <c r="O177">
        <v>25</v>
      </c>
      <c r="P177">
        <v>0</v>
      </c>
      <c r="Q177">
        <v>25</v>
      </c>
      <c r="R177" t="s">
        <v>186</v>
      </c>
      <c r="S177" s="1">
        <v>45520</v>
      </c>
      <c r="T177" t="s">
        <v>27</v>
      </c>
      <c r="U177" t="s">
        <v>28</v>
      </c>
    </row>
    <row r="178" spans="1:21" x14ac:dyDescent="0.25">
      <c r="A178" t="s">
        <v>19</v>
      </c>
      <c r="B178" t="s">
        <v>20</v>
      </c>
      <c r="C178" t="str">
        <f t="shared" si="2"/>
        <v>Adam Richter</v>
      </c>
      <c r="D178">
        <v>9079571</v>
      </c>
      <c r="E178" t="s">
        <v>21</v>
      </c>
      <c r="F178">
        <v>1</v>
      </c>
      <c r="G178" t="s">
        <v>22</v>
      </c>
      <c r="H178" t="s">
        <v>43</v>
      </c>
      <c r="I178" t="s">
        <v>44</v>
      </c>
      <c r="J178" s="1">
        <v>45292</v>
      </c>
      <c r="K178" t="s">
        <v>45</v>
      </c>
      <c r="L178" s="2">
        <v>45474</v>
      </c>
      <c r="M178" s="2">
        <v>45474</v>
      </c>
      <c r="N178">
        <v>2</v>
      </c>
      <c r="O178">
        <v>40</v>
      </c>
      <c r="P178">
        <v>0</v>
      </c>
      <c r="Q178">
        <v>40</v>
      </c>
      <c r="R178" t="s">
        <v>46</v>
      </c>
      <c r="S178" s="1">
        <v>45520</v>
      </c>
      <c r="T178" t="s">
        <v>27</v>
      </c>
      <c r="U178" t="s">
        <v>28</v>
      </c>
    </row>
    <row r="179" spans="1:21" x14ac:dyDescent="0.25">
      <c r="A179" t="s">
        <v>19</v>
      </c>
      <c r="B179" t="s">
        <v>20</v>
      </c>
      <c r="C179" t="str">
        <f t="shared" si="2"/>
        <v>Adam Richter</v>
      </c>
      <c r="D179">
        <v>9079571</v>
      </c>
      <c r="E179" t="s">
        <v>21</v>
      </c>
      <c r="F179">
        <v>1</v>
      </c>
      <c r="G179" t="s">
        <v>22</v>
      </c>
      <c r="H179" t="s">
        <v>82</v>
      </c>
      <c r="I179" t="s">
        <v>83</v>
      </c>
      <c r="J179" s="1">
        <v>45413</v>
      </c>
      <c r="K179" t="s">
        <v>45</v>
      </c>
      <c r="L179" s="2">
        <v>45474</v>
      </c>
      <c r="M179" s="2">
        <v>45474</v>
      </c>
      <c r="N179">
        <v>2</v>
      </c>
      <c r="O179">
        <v>40</v>
      </c>
      <c r="P179">
        <v>0</v>
      </c>
      <c r="Q179">
        <v>40</v>
      </c>
      <c r="R179" t="s">
        <v>84</v>
      </c>
      <c r="S179" s="1">
        <v>45520</v>
      </c>
      <c r="T179" t="s">
        <v>27</v>
      </c>
      <c r="U179" t="s">
        <v>85</v>
      </c>
    </row>
    <row r="180" spans="1:21" x14ac:dyDescent="0.25">
      <c r="A180" t="s">
        <v>19</v>
      </c>
      <c r="B180" t="s">
        <v>20</v>
      </c>
      <c r="C180" t="str">
        <f t="shared" si="2"/>
        <v>Adam Richter</v>
      </c>
      <c r="D180">
        <v>9079571</v>
      </c>
      <c r="E180" t="s">
        <v>21</v>
      </c>
      <c r="F180">
        <v>1</v>
      </c>
      <c r="G180" t="s">
        <v>22</v>
      </c>
      <c r="H180" t="s">
        <v>191</v>
      </c>
      <c r="I180" t="s">
        <v>192</v>
      </c>
      <c r="J180" s="1">
        <v>45139</v>
      </c>
      <c r="K180" t="s">
        <v>45</v>
      </c>
      <c r="L180" s="2">
        <v>45474</v>
      </c>
      <c r="M180" s="2">
        <v>45474</v>
      </c>
      <c r="N180">
        <v>1</v>
      </c>
      <c r="O180">
        <v>20</v>
      </c>
      <c r="P180">
        <v>0</v>
      </c>
      <c r="Q180">
        <v>20</v>
      </c>
      <c r="R180" t="s">
        <v>193</v>
      </c>
      <c r="S180" s="1">
        <v>45520</v>
      </c>
      <c r="T180" t="s">
        <v>27</v>
      </c>
      <c r="U180" t="s">
        <v>85</v>
      </c>
    </row>
    <row r="181" spans="1:21" x14ac:dyDescent="0.25">
      <c r="A181" t="s">
        <v>19</v>
      </c>
      <c r="B181" t="s">
        <v>20</v>
      </c>
      <c r="C181" t="str">
        <f t="shared" si="2"/>
        <v>Adam Richter</v>
      </c>
      <c r="D181">
        <v>9079571</v>
      </c>
      <c r="E181" t="s">
        <v>21</v>
      </c>
      <c r="F181">
        <v>1</v>
      </c>
      <c r="G181" t="s">
        <v>22</v>
      </c>
      <c r="H181" t="s">
        <v>202</v>
      </c>
      <c r="I181" t="s">
        <v>203</v>
      </c>
      <c r="J181" s="1">
        <v>45292</v>
      </c>
      <c r="K181" t="s">
        <v>45</v>
      </c>
      <c r="L181" s="2">
        <v>45474</v>
      </c>
      <c r="M181" s="2">
        <v>45474</v>
      </c>
      <c r="N181">
        <v>1</v>
      </c>
      <c r="O181">
        <v>20</v>
      </c>
      <c r="P181">
        <v>0</v>
      </c>
      <c r="Q181">
        <v>20</v>
      </c>
      <c r="R181" t="s">
        <v>84</v>
      </c>
      <c r="S181" s="1">
        <v>45520</v>
      </c>
      <c r="T181" t="s">
        <v>27</v>
      </c>
      <c r="U181" t="s">
        <v>85</v>
      </c>
    </row>
    <row r="182" spans="1:21" x14ac:dyDescent="0.25">
      <c r="A182" t="s">
        <v>19</v>
      </c>
      <c r="B182" t="s">
        <v>20</v>
      </c>
      <c r="C182" t="str">
        <f t="shared" si="2"/>
        <v>Adam Richter</v>
      </c>
      <c r="D182">
        <v>9079571</v>
      </c>
      <c r="E182" t="s">
        <v>21</v>
      </c>
      <c r="F182">
        <v>1</v>
      </c>
      <c r="G182" t="s">
        <v>22</v>
      </c>
      <c r="H182" t="s">
        <v>282</v>
      </c>
      <c r="I182" t="s">
        <v>283</v>
      </c>
      <c r="J182" s="1">
        <v>45352</v>
      </c>
      <c r="K182" t="s">
        <v>45</v>
      </c>
      <c r="L182" s="2">
        <v>45474</v>
      </c>
      <c r="M182" s="2">
        <v>45474</v>
      </c>
      <c r="N182">
        <v>1</v>
      </c>
      <c r="O182">
        <v>20</v>
      </c>
      <c r="P182">
        <v>0</v>
      </c>
      <c r="Q182">
        <v>20</v>
      </c>
      <c r="R182" t="s">
        <v>84</v>
      </c>
      <c r="S182" s="1">
        <v>45520</v>
      </c>
      <c r="T182" t="s">
        <v>27</v>
      </c>
      <c r="U182" t="s">
        <v>85</v>
      </c>
    </row>
    <row r="183" spans="1:21" x14ac:dyDescent="0.25">
      <c r="A183" t="s">
        <v>19</v>
      </c>
      <c r="B183" t="s">
        <v>20</v>
      </c>
      <c r="C183" t="str">
        <f t="shared" si="2"/>
        <v>Adam Richter</v>
      </c>
      <c r="D183">
        <v>9079571</v>
      </c>
      <c r="E183" t="s">
        <v>21</v>
      </c>
      <c r="F183">
        <v>1</v>
      </c>
      <c r="G183" t="s">
        <v>22</v>
      </c>
      <c r="H183" t="s">
        <v>309</v>
      </c>
      <c r="I183" t="s">
        <v>310</v>
      </c>
      <c r="J183" s="1">
        <v>44927</v>
      </c>
      <c r="K183" t="s">
        <v>45</v>
      </c>
      <c r="L183" s="2">
        <v>45474</v>
      </c>
      <c r="M183" s="2">
        <v>45474</v>
      </c>
      <c r="N183">
        <v>1</v>
      </c>
      <c r="O183">
        <v>20</v>
      </c>
      <c r="P183">
        <v>0</v>
      </c>
      <c r="Q183">
        <v>20</v>
      </c>
      <c r="R183" t="s">
        <v>193</v>
      </c>
      <c r="S183" s="1">
        <v>45520</v>
      </c>
      <c r="T183" t="s">
        <v>27</v>
      </c>
      <c r="U183" t="s">
        <v>85</v>
      </c>
    </row>
    <row r="185" spans="1:21" x14ac:dyDescent="0.25">
      <c r="O185">
        <f>SUM(O2:O183)</f>
        <v>10015</v>
      </c>
    </row>
  </sheetData>
  <sortState xmlns:xlrd2="http://schemas.microsoft.com/office/spreadsheetml/2017/richdata2" ref="A2:U183">
    <sortCondition ref="K2:K1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B74E-4F4B-4AEC-847A-B4C9437E609D}">
  <dimension ref="A1:D182"/>
  <sheetViews>
    <sheetView workbookViewId="0">
      <selection activeCell="D1" sqref="D1:D182"/>
    </sheetView>
  </sheetViews>
  <sheetFormatPr defaultRowHeight="15" x14ac:dyDescent="0.25"/>
  <cols>
    <col min="1" max="1" width="9.140625" style="1"/>
  </cols>
  <sheetData>
    <row r="1" spans="1:4" x14ac:dyDescent="0.25">
      <c r="A1" s="1">
        <v>45474</v>
      </c>
      <c r="D1" s="1">
        <v>45474</v>
      </c>
    </row>
    <row r="2" spans="1:4" x14ac:dyDescent="0.25">
      <c r="A2" s="1">
        <v>45474</v>
      </c>
      <c r="D2" s="1">
        <v>45474</v>
      </c>
    </row>
    <row r="3" spans="1:4" x14ac:dyDescent="0.25">
      <c r="A3" s="1">
        <v>45474</v>
      </c>
      <c r="D3" s="1">
        <v>45474</v>
      </c>
    </row>
    <row r="4" spans="1:4" x14ac:dyDescent="0.25">
      <c r="A4" s="1">
        <v>45474</v>
      </c>
      <c r="D4" s="1">
        <v>45474</v>
      </c>
    </row>
    <row r="5" spans="1:4" x14ac:dyDescent="0.25">
      <c r="A5" s="1">
        <v>45474</v>
      </c>
      <c r="D5" s="1">
        <v>45474</v>
      </c>
    </row>
    <row r="6" spans="1:4" x14ac:dyDescent="0.25">
      <c r="A6" s="1">
        <v>45474</v>
      </c>
      <c r="D6" s="1">
        <v>45474</v>
      </c>
    </row>
    <row r="7" spans="1:4" x14ac:dyDescent="0.25">
      <c r="A7" s="1">
        <v>45474</v>
      </c>
      <c r="D7" s="1">
        <v>45474</v>
      </c>
    </row>
    <row r="8" spans="1:4" x14ac:dyDescent="0.25">
      <c r="A8" s="1">
        <v>45474</v>
      </c>
      <c r="D8" s="1">
        <v>45474</v>
      </c>
    </row>
    <row r="9" spans="1:4" x14ac:dyDescent="0.25">
      <c r="A9" s="1">
        <v>45474</v>
      </c>
      <c r="D9" s="1">
        <v>45474</v>
      </c>
    </row>
    <row r="10" spans="1:4" x14ac:dyDescent="0.25">
      <c r="A10" s="1">
        <v>45474</v>
      </c>
      <c r="D10" s="1">
        <v>45474</v>
      </c>
    </row>
    <row r="11" spans="1:4" x14ac:dyDescent="0.25">
      <c r="A11" s="1">
        <v>45474</v>
      </c>
      <c r="D11" s="1">
        <v>45474</v>
      </c>
    </row>
    <row r="12" spans="1:4" x14ac:dyDescent="0.25">
      <c r="A12" s="1">
        <v>45474</v>
      </c>
      <c r="D12" s="1">
        <v>45474</v>
      </c>
    </row>
    <row r="13" spans="1:4" x14ac:dyDescent="0.25">
      <c r="A13" s="1">
        <v>45474</v>
      </c>
      <c r="D13" s="1">
        <v>45474</v>
      </c>
    </row>
    <row r="14" spans="1:4" x14ac:dyDescent="0.25">
      <c r="A14" s="1">
        <v>45474</v>
      </c>
      <c r="D14" s="1">
        <v>45474</v>
      </c>
    </row>
    <row r="15" spans="1:4" x14ac:dyDescent="0.25">
      <c r="A15" s="1">
        <v>45474</v>
      </c>
      <c r="D15" s="1">
        <v>45474</v>
      </c>
    </row>
    <row r="16" spans="1:4" x14ac:dyDescent="0.25">
      <c r="A16" s="1">
        <v>45474</v>
      </c>
      <c r="D16" s="1">
        <v>45474</v>
      </c>
    </row>
    <row r="17" spans="1:4" x14ac:dyDescent="0.25">
      <c r="A17" s="1">
        <v>45474</v>
      </c>
      <c r="D17" s="1">
        <v>45474</v>
      </c>
    </row>
    <row r="18" spans="1:4" x14ac:dyDescent="0.25">
      <c r="A18" s="1">
        <v>45505</v>
      </c>
      <c r="D18" s="1">
        <v>45505</v>
      </c>
    </row>
    <row r="19" spans="1:4" x14ac:dyDescent="0.25">
      <c r="A19" s="1">
        <v>45474</v>
      </c>
      <c r="D19" s="1">
        <v>45474</v>
      </c>
    </row>
    <row r="20" spans="1:4" x14ac:dyDescent="0.25">
      <c r="A20" s="1">
        <v>45474</v>
      </c>
      <c r="D20" s="1">
        <v>45474</v>
      </c>
    </row>
    <row r="21" spans="1:4" x14ac:dyDescent="0.25">
      <c r="A21" s="1">
        <v>45474</v>
      </c>
      <c r="D21" s="1">
        <v>45474</v>
      </c>
    </row>
    <row r="22" spans="1:4" x14ac:dyDescent="0.25">
      <c r="A22" s="1">
        <v>45505</v>
      </c>
      <c r="D22" s="1">
        <v>45505</v>
      </c>
    </row>
    <row r="23" spans="1:4" x14ac:dyDescent="0.25">
      <c r="A23" s="1">
        <v>45474</v>
      </c>
      <c r="D23" s="1">
        <v>45474</v>
      </c>
    </row>
    <row r="24" spans="1:4" x14ac:dyDescent="0.25">
      <c r="A24" s="1">
        <v>45474</v>
      </c>
      <c r="D24" s="1">
        <v>45474</v>
      </c>
    </row>
    <row r="25" spans="1:4" x14ac:dyDescent="0.25">
      <c r="A25" s="1">
        <v>45474</v>
      </c>
      <c r="D25" s="1">
        <v>45474</v>
      </c>
    </row>
    <row r="26" spans="1:4" x14ac:dyDescent="0.25">
      <c r="A26" s="1">
        <v>45505</v>
      </c>
      <c r="D26" s="1">
        <v>45505</v>
      </c>
    </row>
    <row r="27" spans="1:4" x14ac:dyDescent="0.25">
      <c r="A27" s="1">
        <v>45474</v>
      </c>
      <c r="D27" s="1">
        <v>45474</v>
      </c>
    </row>
    <row r="28" spans="1:4" x14ac:dyDescent="0.25">
      <c r="A28" s="1">
        <v>45444</v>
      </c>
      <c r="D28" s="1">
        <v>45444</v>
      </c>
    </row>
    <row r="29" spans="1:4" x14ac:dyDescent="0.25">
      <c r="A29" s="1">
        <v>45474</v>
      </c>
      <c r="D29" s="1">
        <v>45474</v>
      </c>
    </row>
    <row r="30" spans="1:4" x14ac:dyDescent="0.25">
      <c r="A30" s="1">
        <v>45474</v>
      </c>
      <c r="D30" s="1">
        <v>45474</v>
      </c>
    </row>
    <row r="31" spans="1:4" x14ac:dyDescent="0.25">
      <c r="A31" s="1">
        <v>45505</v>
      </c>
      <c r="D31" s="1">
        <v>45505</v>
      </c>
    </row>
    <row r="32" spans="1:4" x14ac:dyDescent="0.25">
      <c r="A32" s="1">
        <v>45474</v>
      </c>
      <c r="D32" s="1">
        <v>45474</v>
      </c>
    </row>
    <row r="33" spans="1:4" x14ac:dyDescent="0.25">
      <c r="A33" s="1">
        <v>45474</v>
      </c>
      <c r="D33" s="1">
        <v>45474</v>
      </c>
    </row>
    <row r="34" spans="1:4" x14ac:dyDescent="0.25">
      <c r="A34" s="1">
        <v>45474</v>
      </c>
      <c r="D34" s="1">
        <v>45474</v>
      </c>
    </row>
    <row r="35" spans="1:4" x14ac:dyDescent="0.25">
      <c r="A35" s="1">
        <v>45474</v>
      </c>
      <c r="D35" s="1">
        <v>45474</v>
      </c>
    </row>
    <row r="36" spans="1:4" x14ac:dyDescent="0.25">
      <c r="A36" s="1">
        <v>45474</v>
      </c>
      <c r="D36" s="1">
        <v>45474</v>
      </c>
    </row>
    <row r="37" spans="1:4" x14ac:dyDescent="0.25">
      <c r="A37" s="1">
        <v>45474</v>
      </c>
      <c r="D37" s="1">
        <v>45474</v>
      </c>
    </row>
    <row r="38" spans="1:4" x14ac:dyDescent="0.25">
      <c r="A38" s="1">
        <v>45474</v>
      </c>
      <c r="D38" s="1">
        <v>45474</v>
      </c>
    </row>
    <row r="39" spans="1:4" x14ac:dyDescent="0.25">
      <c r="A39" s="1">
        <v>45474</v>
      </c>
      <c r="D39" s="1">
        <v>45474</v>
      </c>
    </row>
    <row r="40" spans="1:4" x14ac:dyDescent="0.25">
      <c r="A40" s="1">
        <v>45474</v>
      </c>
      <c r="D40" s="1">
        <v>45474</v>
      </c>
    </row>
    <row r="41" spans="1:4" x14ac:dyDescent="0.25">
      <c r="A41" s="1">
        <v>45474</v>
      </c>
      <c r="D41" s="1">
        <v>45474</v>
      </c>
    </row>
    <row r="42" spans="1:4" x14ac:dyDescent="0.25">
      <c r="A42" s="1">
        <v>45505</v>
      </c>
      <c r="D42" s="1">
        <v>45505</v>
      </c>
    </row>
    <row r="43" spans="1:4" x14ac:dyDescent="0.25">
      <c r="A43" s="1">
        <v>45474</v>
      </c>
      <c r="D43" s="1">
        <v>45474</v>
      </c>
    </row>
    <row r="44" spans="1:4" x14ac:dyDescent="0.25">
      <c r="A44" s="1">
        <v>45474</v>
      </c>
      <c r="D44" s="1">
        <v>45474</v>
      </c>
    </row>
    <row r="45" spans="1:4" x14ac:dyDescent="0.25">
      <c r="A45" s="1">
        <v>45444</v>
      </c>
      <c r="D45" s="1">
        <v>45444</v>
      </c>
    </row>
    <row r="46" spans="1:4" x14ac:dyDescent="0.25">
      <c r="A46" s="1">
        <v>45474</v>
      </c>
      <c r="D46" s="1">
        <v>45474</v>
      </c>
    </row>
    <row r="47" spans="1:4" x14ac:dyDescent="0.25">
      <c r="A47" s="1">
        <v>45474</v>
      </c>
      <c r="D47" s="1">
        <v>45474</v>
      </c>
    </row>
    <row r="48" spans="1:4" x14ac:dyDescent="0.25">
      <c r="A48" s="1">
        <v>45505</v>
      </c>
      <c r="D48" s="1">
        <v>45505</v>
      </c>
    </row>
    <row r="49" spans="1:4" x14ac:dyDescent="0.25">
      <c r="A49" s="1">
        <v>45474</v>
      </c>
      <c r="D49" s="1">
        <v>45474</v>
      </c>
    </row>
    <row r="50" spans="1:4" x14ac:dyDescent="0.25">
      <c r="A50" s="1">
        <v>45505</v>
      </c>
      <c r="D50" s="1">
        <v>45505</v>
      </c>
    </row>
    <row r="51" spans="1:4" x14ac:dyDescent="0.25">
      <c r="A51" s="1">
        <v>45474</v>
      </c>
      <c r="D51" s="1">
        <v>45474</v>
      </c>
    </row>
    <row r="52" spans="1:4" x14ac:dyDescent="0.25">
      <c r="A52" s="1">
        <v>45474</v>
      </c>
      <c r="D52" s="1">
        <v>45474</v>
      </c>
    </row>
    <row r="53" spans="1:4" x14ac:dyDescent="0.25">
      <c r="A53" s="1">
        <v>45474</v>
      </c>
      <c r="D53" s="1">
        <v>45474</v>
      </c>
    </row>
    <row r="54" spans="1:4" x14ac:dyDescent="0.25">
      <c r="A54" s="1">
        <v>45474</v>
      </c>
      <c r="D54" s="1">
        <v>45474</v>
      </c>
    </row>
    <row r="55" spans="1:4" x14ac:dyDescent="0.25">
      <c r="A55" s="1">
        <v>45474</v>
      </c>
      <c r="D55" s="1">
        <v>45474</v>
      </c>
    </row>
    <row r="56" spans="1:4" x14ac:dyDescent="0.25">
      <c r="A56" s="1">
        <v>45505</v>
      </c>
      <c r="D56" s="1">
        <v>45505</v>
      </c>
    </row>
    <row r="57" spans="1:4" x14ac:dyDescent="0.25">
      <c r="A57" s="1">
        <v>45474</v>
      </c>
      <c r="D57" s="1">
        <v>45474</v>
      </c>
    </row>
    <row r="58" spans="1:4" x14ac:dyDescent="0.25">
      <c r="A58" s="1">
        <v>45505</v>
      </c>
      <c r="D58" s="1">
        <v>45505</v>
      </c>
    </row>
    <row r="59" spans="1:4" x14ac:dyDescent="0.25">
      <c r="A59" s="1">
        <v>45474</v>
      </c>
      <c r="D59" s="1">
        <v>45474</v>
      </c>
    </row>
    <row r="60" spans="1:4" x14ac:dyDescent="0.25">
      <c r="A60" s="1">
        <v>45474</v>
      </c>
      <c r="D60" s="1">
        <v>45474</v>
      </c>
    </row>
    <row r="61" spans="1:4" x14ac:dyDescent="0.25">
      <c r="A61" s="1">
        <v>45505</v>
      </c>
      <c r="D61" s="1">
        <v>45505</v>
      </c>
    </row>
    <row r="62" spans="1:4" x14ac:dyDescent="0.25">
      <c r="A62" s="1">
        <v>45474</v>
      </c>
      <c r="D62" s="1">
        <v>45474</v>
      </c>
    </row>
    <row r="63" spans="1:4" x14ac:dyDescent="0.25">
      <c r="A63" s="1">
        <v>45505</v>
      </c>
      <c r="D63" s="1">
        <v>45505</v>
      </c>
    </row>
    <row r="64" spans="1:4" x14ac:dyDescent="0.25">
      <c r="A64" s="1">
        <v>45474</v>
      </c>
      <c r="D64" s="1">
        <v>45474</v>
      </c>
    </row>
    <row r="65" spans="1:4" x14ac:dyDescent="0.25">
      <c r="A65" s="1">
        <v>45474</v>
      </c>
      <c r="D65" s="1">
        <v>45474</v>
      </c>
    </row>
    <row r="66" spans="1:4" x14ac:dyDescent="0.25">
      <c r="A66" s="1">
        <v>45474</v>
      </c>
      <c r="D66" s="1">
        <v>45474</v>
      </c>
    </row>
    <row r="67" spans="1:4" x14ac:dyDescent="0.25">
      <c r="A67" s="1">
        <v>45474</v>
      </c>
      <c r="D67" s="1">
        <v>45474</v>
      </c>
    </row>
    <row r="68" spans="1:4" x14ac:dyDescent="0.25">
      <c r="A68" s="1">
        <v>45474</v>
      </c>
      <c r="D68" s="1">
        <v>45474</v>
      </c>
    </row>
    <row r="69" spans="1:4" x14ac:dyDescent="0.25">
      <c r="A69" s="1">
        <v>45474</v>
      </c>
      <c r="D69" s="1">
        <v>45474</v>
      </c>
    </row>
    <row r="70" spans="1:4" x14ac:dyDescent="0.25">
      <c r="A70" s="1">
        <v>45505</v>
      </c>
      <c r="D70" s="1">
        <v>45505</v>
      </c>
    </row>
    <row r="71" spans="1:4" x14ac:dyDescent="0.25">
      <c r="A71" s="1">
        <v>45474</v>
      </c>
      <c r="D71" s="1">
        <v>45474</v>
      </c>
    </row>
    <row r="72" spans="1:4" x14ac:dyDescent="0.25">
      <c r="A72" s="1">
        <v>45505</v>
      </c>
      <c r="D72" s="1">
        <v>45505</v>
      </c>
    </row>
    <row r="73" spans="1:4" x14ac:dyDescent="0.25">
      <c r="A73" s="1">
        <v>45474</v>
      </c>
      <c r="D73" s="1">
        <v>45474</v>
      </c>
    </row>
    <row r="74" spans="1:4" x14ac:dyDescent="0.25">
      <c r="A74" s="1">
        <v>45505</v>
      </c>
      <c r="D74" s="1">
        <v>45505</v>
      </c>
    </row>
    <row r="75" spans="1:4" x14ac:dyDescent="0.25">
      <c r="A75" s="1">
        <v>45413</v>
      </c>
      <c r="D75" s="1">
        <v>45413</v>
      </c>
    </row>
    <row r="76" spans="1:4" x14ac:dyDescent="0.25">
      <c r="A76" s="1">
        <v>45444</v>
      </c>
      <c r="D76" s="1">
        <v>45444</v>
      </c>
    </row>
    <row r="77" spans="1:4" x14ac:dyDescent="0.25">
      <c r="A77" s="1">
        <v>45474</v>
      </c>
      <c r="D77" s="1">
        <v>45474</v>
      </c>
    </row>
    <row r="78" spans="1:4" x14ac:dyDescent="0.25">
      <c r="A78" s="1">
        <v>45474</v>
      </c>
      <c r="D78" s="1">
        <v>45474</v>
      </c>
    </row>
    <row r="79" spans="1:4" x14ac:dyDescent="0.25">
      <c r="A79" s="1">
        <v>45505</v>
      </c>
      <c r="D79" s="1">
        <v>45505</v>
      </c>
    </row>
    <row r="80" spans="1:4" x14ac:dyDescent="0.25">
      <c r="A80" s="1">
        <v>45474</v>
      </c>
      <c r="D80" s="1">
        <v>45474</v>
      </c>
    </row>
    <row r="81" spans="1:4" x14ac:dyDescent="0.25">
      <c r="A81" s="1">
        <v>45474</v>
      </c>
      <c r="D81" s="1">
        <v>45474</v>
      </c>
    </row>
    <row r="82" spans="1:4" x14ac:dyDescent="0.25">
      <c r="A82" s="1">
        <v>45474</v>
      </c>
      <c r="D82" s="1">
        <v>45474</v>
      </c>
    </row>
    <row r="83" spans="1:4" x14ac:dyDescent="0.25">
      <c r="A83" s="1">
        <v>45474</v>
      </c>
      <c r="D83" s="1">
        <v>45474</v>
      </c>
    </row>
    <row r="84" spans="1:4" x14ac:dyDescent="0.25">
      <c r="A84" s="1">
        <v>45505</v>
      </c>
      <c r="D84" s="1">
        <v>45505</v>
      </c>
    </row>
    <row r="85" spans="1:4" x14ac:dyDescent="0.25">
      <c r="A85" s="1">
        <v>45505</v>
      </c>
      <c r="D85" s="1">
        <v>45505</v>
      </c>
    </row>
    <row r="86" spans="1:4" x14ac:dyDescent="0.25">
      <c r="A86" s="1">
        <v>45474</v>
      </c>
      <c r="D86" s="1">
        <v>45474</v>
      </c>
    </row>
    <row r="87" spans="1:4" x14ac:dyDescent="0.25">
      <c r="A87" s="1">
        <v>45505</v>
      </c>
      <c r="D87" s="1">
        <v>45505</v>
      </c>
    </row>
    <row r="88" spans="1:4" x14ac:dyDescent="0.25">
      <c r="A88" s="1">
        <v>45474</v>
      </c>
      <c r="D88" s="1">
        <v>45474</v>
      </c>
    </row>
    <row r="89" spans="1:4" x14ac:dyDescent="0.25">
      <c r="A89" s="1">
        <v>45474</v>
      </c>
      <c r="D89" s="1">
        <v>45474</v>
      </c>
    </row>
    <row r="90" spans="1:4" x14ac:dyDescent="0.25">
      <c r="A90" s="1">
        <v>45474</v>
      </c>
      <c r="D90" s="1">
        <v>45474</v>
      </c>
    </row>
    <row r="91" spans="1:4" x14ac:dyDescent="0.25">
      <c r="A91" s="1">
        <v>45505</v>
      </c>
      <c r="D91" s="1">
        <v>45505</v>
      </c>
    </row>
    <row r="92" spans="1:4" x14ac:dyDescent="0.25">
      <c r="A92" s="1">
        <v>45474</v>
      </c>
      <c r="D92" s="1">
        <v>45474</v>
      </c>
    </row>
    <row r="93" spans="1:4" x14ac:dyDescent="0.25">
      <c r="A93" s="1">
        <v>45474</v>
      </c>
      <c r="D93" s="1">
        <v>45474</v>
      </c>
    </row>
    <row r="94" spans="1:4" x14ac:dyDescent="0.25">
      <c r="A94" s="1">
        <v>45474</v>
      </c>
      <c r="D94" s="1">
        <v>45474</v>
      </c>
    </row>
    <row r="95" spans="1:4" x14ac:dyDescent="0.25">
      <c r="A95" s="1">
        <v>45474</v>
      </c>
      <c r="D95" s="1">
        <v>45474</v>
      </c>
    </row>
    <row r="96" spans="1:4" x14ac:dyDescent="0.25">
      <c r="A96" s="1">
        <v>45505</v>
      </c>
      <c r="D96" s="1">
        <v>45505</v>
      </c>
    </row>
    <row r="97" spans="1:4" x14ac:dyDescent="0.25">
      <c r="A97" s="1">
        <v>45474</v>
      </c>
      <c r="D97" s="1">
        <v>45474</v>
      </c>
    </row>
    <row r="98" spans="1:4" x14ac:dyDescent="0.25">
      <c r="A98" s="1">
        <v>45474</v>
      </c>
      <c r="D98" s="1">
        <v>45474</v>
      </c>
    </row>
    <row r="99" spans="1:4" x14ac:dyDescent="0.25">
      <c r="A99" s="1">
        <v>45505</v>
      </c>
      <c r="D99" s="1">
        <v>45505</v>
      </c>
    </row>
    <row r="100" spans="1:4" x14ac:dyDescent="0.25">
      <c r="A100" s="1">
        <v>45444</v>
      </c>
      <c r="D100" s="1">
        <v>45444</v>
      </c>
    </row>
    <row r="101" spans="1:4" x14ac:dyDescent="0.25">
      <c r="A101" s="1">
        <v>45474</v>
      </c>
      <c r="D101" s="1">
        <v>45474</v>
      </c>
    </row>
    <row r="102" spans="1:4" x14ac:dyDescent="0.25">
      <c r="A102" s="1">
        <v>45474</v>
      </c>
      <c r="D102" s="1">
        <v>45474</v>
      </c>
    </row>
    <row r="103" spans="1:4" x14ac:dyDescent="0.25">
      <c r="A103" s="1">
        <v>45474</v>
      </c>
      <c r="D103" s="1">
        <v>45474</v>
      </c>
    </row>
    <row r="104" spans="1:4" x14ac:dyDescent="0.25">
      <c r="A104" s="1">
        <v>45505</v>
      </c>
      <c r="D104" s="1">
        <v>45505</v>
      </c>
    </row>
    <row r="105" spans="1:4" x14ac:dyDescent="0.25">
      <c r="A105" s="1">
        <v>45474</v>
      </c>
      <c r="D105" s="1">
        <v>45474</v>
      </c>
    </row>
    <row r="106" spans="1:4" x14ac:dyDescent="0.25">
      <c r="A106" s="1">
        <v>45474</v>
      </c>
      <c r="D106" s="1">
        <v>45474</v>
      </c>
    </row>
    <row r="107" spans="1:4" x14ac:dyDescent="0.25">
      <c r="A107" s="1">
        <v>45474</v>
      </c>
      <c r="D107" s="1">
        <v>45474</v>
      </c>
    </row>
    <row r="108" spans="1:4" x14ac:dyDescent="0.25">
      <c r="A108" s="1">
        <v>45474</v>
      </c>
      <c r="D108" s="1">
        <v>45474</v>
      </c>
    </row>
    <row r="109" spans="1:4" x14ac:dyDescent="0.25">
      <c r="A109" s="1">
        <v>45474</v>
      </c>
      <c r="D109" s="1">
        <v>45474</v>
      </c>
    </row>
    <row r="110" spans="1:4" x14ac:dyDescent="0.25">
      <c r="A110" s="1">
        <v>45474</v>
      </c>
      <c r="D110" s="1">
        <v>45474</v>
      </c>
    </row>
    <row r="111" spans="1:4" x14ac:dyDescent="0.25">
      <c r="A111" s="1">
        <v>45474</v>
      </c>
      <c r="D111" s="1">
        <v>45474</v>
      </c>
    </row>
    <row r="112" spans="1:4" x14ac:dyDescent="0.25">
      <c r="A112" s="1">
        <v>45474</v>
      </c>
      <c r="D112" s="1">
        <v>45474</v>
      </c>
    </row>
    <row r="113" spans="1:4" x14ac:dyDescent="0.25">
      <c r="A113" s="1">
        <v>45474</v>
      </c>
      <c r="D113" s="1">
        <v>45474</v>
      </c>
    </row>
    <row r="114" spans="1:4" x14ac:dyDescent="0.25">
      <c r="A114" s="1">
        <v>45474</v>
      </c>
      <c r="D114" s="1">
        <v>45474</v>
      </c>
    </row>
    <row r="115" spans="1:4" x14ac:dyDescent="0.25">
      <c r="A115" s="1">
        <v>45474</v>
      </c>
      <c r="D115" s="1">
        <v>45474</v>
      </c>
    </row>
    <row r="116" spans="1:4" x14ac:dyDescent="0.25">
      <c r="A116" s="1">
        <v>45474</v>
      </c>
      <c r="D116" s="1">
        <v>45474</v>
      </c>
    </row>
    <row r="117" spans="1:4" x14ac:dyDescent="0.25">
      <c r="A117" s="1">
        <v>45474</v>
      </c>
      <c r="D117" s="1">
        <v>45474</v>
      </c>
    </row>
    <row r="118" spans="1:4" x14ac:dyDescent="0.25">
      <c r="A118" s="1">
        <v>45474</v>
      </c>
      <c r="D118" s="1">
        <v>45474</v>
      </c>
    </row>
    <row r="119" spans="1:4" x14ac:dyDescent="0.25">
      <c r="A119" s="1">
        <v>45474</v>
      </c>
      <c r="D119" s="1">
        <v>45474</v>
      </c>
    </row>
    <row r="120" spans="1:4" x14ac:dyDescent="0.25">
      <c r="A120" s="1">
        <v>45444</v>
      </c>
      <c r="D120" s="1">
        <v>45444</v>
      </c>
    </row>
    <row r="121" spans="1:4" x14ac:dyDescent="0.25">
      <c r="A121" s="1">
        <v>45474</v>
      </c>
      <c r="D121" s="1">
        <v>45474</v>
      </c>
    </row>
    <row r="122" spans="1:4" x14ac:dyDescent="0.25">
      <c r="A122" s="1">
        <v>45474</v>
      </c>
      <c r="D122" s="1">
        <v>45474</v>
      </c>
    </row>
    <row r="123" spans="1:4" x14ac:dyDescent="0.25">
      <c r="A123" s="1">
        <v>45505</v>
      </c>
      <c r="D123" s="1">
        <v>45505</v>
      </c>
    </row>
    <row r="124" spans="1:4" x14ac:dyDescent="0.25">
      <c r="A124" s="1">
        <v>45474</v>
      </c>
      <c r="D124" s="1">
        <v>45474</v>
      </c>
    </row>
    <row r="125" spans="1:4" x14ac:dyDescent="0.25">
      <c r="A125" s="1">
        <v>45474</v>
      </c>
      <c r="D125" s="1">
        <v>45474</v>
      </c>
    </row>
    <row r="126" spans="1:4" x14ac:dyDescent="0.25">
      <c r="A126" s="1">
        <v>45474</v>
      </c>
      <c r="D126" s="1">
        <v>45474</v>
      </c>
    </row>
    <row r="127" spans="1:4" x14ac:dyDescent="0.25">
      <c r="A127" s="1">
        <v>45474</v>
      </c>
      <c r="D127" s="1">
        <v>45474</v>
      </c>
    </row>
    <row r="128" spans="1:4" x14ac:dyDescent="0.25">
      <c r="A128" s="1">
        <v>45474</v>
      </c>
      <c r="D128" s="1">
        <v>45474</v>
      </c>
    </row>
    <row r="129" spans="1:4" x14ac:dyDescent="0.25">
      <c r="A129" s="1">
        <v>45474</v>
      </c>
      <c r="D129" s="1">
        <v>45474</v>
      </c>
    </row>
    <row r="130" spans="1:4" x14ac:dyDescent="0.25">
      <c r="A130" s="1">
        <v>45474</v>
      </c>
      <c r="D130" s="1">
        <v>45474</v>
      </c>
    </row>
    <row r="131" spans="1:4" x14ac:dyDescent="0.25">
      <c r="A131" s="1">
        <v>45474</v>
      </c>
      <c r="D131" s="1">
        <v>45474</v>
      </c>
    </row>
    <row r="132" spans="1:4" x14ac:dyDescent="0.25">
      <c r="A132" s="1">
        <v>45474</v>
      </c>
      <c r="D132" s="1">
        <v>45474</v>
      </c>
    </row>
    <row r="133" spans="1:4" x14ac:dyDescent="0.25">
      <c r="A133" s="1">
        <v>45474</v>
      </c>
      <c r="D133" s="1">
        <v>45474</v>
      </c>
    </row>
    <row r="134" spans="1:4" x14ac:dyDescent="0.25">
      <c r="A134" s="1">
        <v>45474</v>
      </c>
      <c r="D134" s="1">
        <v>45474</v>
      </c>
    </row>
    <row r="135" spans="1:4" x14ac:dyDescent="0.25">
      <c r="A135" s="1">
        <v>45474</v>
      </c>
      <c r="D135" s="1">
        <v>45474</v>
      </c>
    </row>
    <row r="136" spans="1:4" x14ac:dyDescent="0.25">
      <c r="A136" s="1">
        <v>45474</v>
      </c>
      <c r="D136" s="1">
        <v>45474</v>
      </c>
    </row>
    <row r="137" spans="1:4" x14ac:dyDescent="0.25">
      <c r="A137" s="1">
        <v>45474</v>
      </c>
      <c r="D137" s="1">
        <v>45474</v>
      </c>
    </row>
    <row r="138" spans="1:4" x14ac:dyDescent="0.25">
      <c r="A138" s="1">
        <v>45474</v>
      </c>
      <c r="D138" s="1">
        <v>45474</v>
      </c>
    </row>
    <row r="139" spans="1:4" x14ac:dyDescent="0.25">
      <c r="A139" s="1">
        <v>45474</v>
      </c>
      <c r="D139" s="1">
        <v>45474</v>
      </c>
    </row>
    <row r="140" spans="1:4" x14ac:dyDescent="0.25">
      <c r="A140" s="1">
        <v>45474</v>
      </c>
      <c r="D140" s="1">
        <v>45474</v>
      </c>
    </row>
    <row r="141" spans="1:4" x14ac:dyDescent="0.25">
      <c r="A141" s="1">
        <v>45474</v>
      </c>
      <c r="D141" s="1">
        <v>45474</v>
      </c>
    </row>
    <row r="142" spans="1:4" x14ac:dyDescent="0.25">
      <c r="A142" s="1">
        <v>45505</v>
      </c>
      <c r="D142" s="1">
        <v>45505</v>
      </c>
    </row>
    <row r="143" spans="1:4" x14ac:dyDescent="0.25">
      <c r="A143" s="1">
        <v>45474</v>
      </c>
      <c r="D143" s="1">
        <v>45474</v>
      </c>
    </row>
    <row r="144" spans="1:4" x14ac:dyDescent="0.25">
      <c r="A144" s="1">
        <v>45505</v>
      </c>
      <c r="D144" s="1">
        <v>45505</v>
      </c>
    </row>
    <row r="145" spans="1:4" x14ac:dyDescent="0.25">
      <c r="A145" s="1">
        <v>45505</v>
      </c>
      <c r="D145" s="1">
        <v>45505</v>
      </c>
    </row>
    <row r="146" spans="1:4" x14ac:dyDescent="0.25">
      <c r="A146" s="1">
        <v>45474</v>
      </c>
      <c r="D146" s="1">
        <v>45474</v>
      </c>
    </row>
    <row r="147" spans="1:4" x14ac:dyDescent="0.25">
      <c r="A147" s="1">
        <v>45474</v>
      </c>
      <c r="D147" s="1">
        <v>45474</v>
      </c>
    </row>
    <row r="148" spans="1:4" x14ac:dyDescent="0.25">
      <c r="A148" s="1">
        <v>45505</v>
      </c>
      <c r="D148" s="1">
        <v>45505</v>
      </c>
    </row>
    <row r="149" spans="1:4" x14ac:dyDescent="0.25">
      <c r="A149" s="1">
        <v>45474</v>
      </c>
      <c r="D149" s="1">
        <v>45474</v>
      </c>
    </row>
    <row r="150" spans="1:4" x14ac:dyDescent="0.25">
      <c r="A150" s="1">
        <v>45474</v>
      </c>
      <c r="D150" s="1">
        <v>45474</v>
      </c>
    </row>
    <row r="151" spans="1:4" x14ac:dyDescent="0.25">
      <c r="A151" s="1">
        <v>45474</v>
      </c>
      <c r="D151" s="1">
        <v>45474</v>
      </c>
    </row>
    <row r="152" spans="1:4" x14ac:dyDescent="0.25">
      <c r="A152" s="1">
        <v>45474</v>
      </c>
      <c r="D152" s="1">
        <v>45474</v>
      </c>
    </row>
    <row r="153" spans="1:4" x14ac:dyDescent="0.25">
      <c r="A153" s="1">
        <v>45474</v>
      </c>
      <c r="D153" s="1">
        <v>45474</v>
      </c>
    </row>
    <row r="154" spans="1:4" x14ac:dyDescent="0.25">
      <c r="A154" s="1">
        <v>45505</v>
      </c>
      <c r="D154" s="1">
        <v>45505</v>
      </c>
    </row>
    <row r="155" spans="1:4" x14ac:dyDescent="0.25">
      <c r="A155" s="1">
        <v>45474</v>
      </c>
      <c r="D155" s="1">
        <v>45474</v>
      </c>
    </row>
    <row r="156" spans="1:4" x14ac:dyDescent="0.25">
      <c r="A156" s="1">
        <v>45505</v>
      </c>
      <c r="D156" s="1">
        <v>45505</v>
      </c>
    </row>
    <row r="157" spans="1:4" x14ac:dyDescent="0.25">
      <c r="A157" s="1">
        <v>45474</v>
      </c>
      <c r="D157" s="1">
        <v>45474</v>
      </c>
    </row>
    <row r="158" spans="1:4" x14ac:dyDescent="0.25">
      <c r="A158" s="1">
        <v>45505</v>
      </c>
      <c r="D158" s="1">
        <v>45505</v>
      </c>
    </row>
    <row r="159" spans="1:4" x14ac:dyDescent="0.25">
      <c r="A159" s="1">
        <v>45505</v>
      </c>
      <c r="D159" s="1">
        <v>45505</v>
      </c>
    </row>
    <row r="160" spans="1:4" x14ac:dyDescent="0.25">
      <c r="A160" s="1">
        <v>45474</v>
      </c>
      <c r="D160" s="1">
        <v>45474</v>
      </c>
    </row>
    <row r="161" spans="1:4" x14ac:dyDescent="0.25">
      <c r="A161" s="1">
        <v>45505</v>
      </c>
      <c r="D161" s="1">
        <v>45505</v>
      </c>
    </row>
    <row r="162" spans="1:4" x14ac:dyDescent="0.25">
      <c r="A162" s="1">
        <v>45474</v>
      </c>
      <c r="D162" s="1">
        <v>45474</v>
      </c>
    </row>
    <row r="163" spans="1:4" x14ac:dyDescent="0.25">
      <c r="A163" s="1">
        <v>45474</v>
      </c>
      <c r="D163" s="1">
        <v>45474</v>
      </c>
    </row>
    <row r="164" spans="1:4" x14ac:dyDescent="0.25">
      <c r="A164" s="1">
        <v>45474</v>
      </c>
      <c r="D164" s="1">
        <v>45474</v>
      </c>
    </row>
    <row r="165" spans="1:4" x14ac:dyDescent="0.25">
      <c r="A165" s="1">
        <v>45474</v>
      </c>
      <c r="D165" s="1">
        <v>45474</v>
      </c>
    </row>
    <row r="166" spans="1:4" x14ac:dyDescent="0.25">
      <c r="A166" s="1">
        <v>45474</v>
      </c>
      <c r="D166" s="1">
        <v>45474</v>
      </c>
    </row>
    <row r="167" spans="1:4" x14ac:dyDescent="0.25">
      <c r="A167" s="1">
        <v>45474</v>
      </c>
      <c r="D167" s="1">
        <v>45474</v>
      </c>
    </row>
    <row r="168" spans="1:4" x14ac:dyDescent="0.25">
      <c r="A168" s="1">
        <v>45474</v>
      </c>
      <c r="D168" s="1">
        <v>45474</v>
      </c>
    </row>
    <row r="169" spans="1:4" x14ac:dyDescent="0.25">
      <c r="A169" s="1">
        <v>45474</v>
      </c>
      <c r="D169" s="1">
        <v>45474</v>
      </c>
    </row>
    <row r="170" spans="1:4" x14ac:dyDescent="0.25">
      <c r="A170" s="1">
        <v>45505</v>
      </c>
      <c r="D170" s="1">
        <v>45505</v>
      </c>
    </row>
    <row r="171" spans="1:4" x14ac:dyDescent="0.25">
      <c r="A171" s="1">
        <v>45505</v>
      </c>
      <c r="D171" s="1">
        <v>45505</v>
      </c>
    </row>
    <row r="172" spans="1:4" x14ac:dyDescent="0.25">
      <c r="A172" s="1">
        <v>45474</v>
      </c>
      <c r="D172" s="1">
        <v>45474</v>
      </c>
    </row>
    <row r="173" spans="1:4" x14ac:dyDescent="0.25">
      <c r="A173" s="1">
        <v>45505</v>
      </c>
      <c r="D173" s="1">
        <v>45505</v>
      </c>
    </row>
    <row r="174" spans="1:4" x14ac:dyDescent="0.25">
      <c r="A174" s="1">
        <v>45474</v>
      </c>
      <c r="D174" s="1">
        <v>45474</v>
      </c>
    </row>
    <row r="175" spans="1:4" x14ac:dyDescent="0.25">
      <c r="A175" s="1">
        <v>45505</v>
      </c>
      <c r="D175" s="1">
        <v>45505</v>
      </c>
    </row>
    <row r="176" spans="1:4" x14ac:dyDescent="0.25">
      <c r="A176" s="1">
        <v>45474</v>
      </c>
      <c r="D176" s="1">
        <v>45474</v>
      </c>
    </row>
    <row r="177" spans="1:4" x14ac:dyDescent="0.25">
      <c r="A177" s="1">
        <v>45474</v>
      </c>
      <c r="D177" s="1">
        <v>45474</v>
      </c>
    </row>
    <row r="178" spans="1:4" x14ac:dyDescent="0.25">
      <c r="A178" s="1">
        <v>45474</v>
      </c>
      <c r="D178" s="1">
        <v>45474</v>
      </c>
    </row>
    <row r="179" spans="1:4" x14ac:dyDescent="0.25">
      <c r="A179" s="1">
        <v>45474</v>
      </c>
      <c r="D179" s="1">
        <v>45474</v>
      </c>
    </row>
    <row r="180" spans="1:4" x14ac:dyDescent="0.25">
      <c r="A180" s="1">
        <v>45474</v>
      </c>
      <c r="D180" s="1">
        <v>45474</v>
      </c>
    </row>
    <row r="181" spans="1:4" x14ac:dyDescent="0.25">
      <c r="A181" s="1">
        <v>45474</v>
      </c>
      <c r="D181" s="1">
        <v>45474</v>
      </c>
    </row>
    <row r="182" spans="1:4" x14ac:dyDescent="0.25">
      <c r="A182" s="1">
        <v>45474</v>
      </c>
      <c r="D182" s="1">
        <v>45474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LLC_ifp_comm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2024-08-22T18:04:40Z</dcterms:created>
  <dcterms:modified xsi:type="dcterms:W3CDTF">2024-08-28T19:57:10Z</dcterms:modified>
</cp:coreProperties>
</file>