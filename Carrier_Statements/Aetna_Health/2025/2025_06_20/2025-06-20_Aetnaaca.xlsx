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health\2025\06-20-25\"/>
    </mc:Choice>
  </mc:AlternateContent>
  <xr:revisionPtr revIDLastSave="0" documentId="13_ncr:1_{374D0485-6335-42F4-A179-F6F48FA54872}" xr6:coauthVersionLast="47" xr6:coauthVersionMax="47" xr10:uidLastSave="{00000000-0000-0000-0000-000000000000}"/>
  <bookViews>
    <workbookView xWindow="28680" yWindow="-120" windowWidth="29040" windowHeight="16440" activeTab="2" xr2:uid="{F1F54541-D019-4F03-872C-3F4F38856427}"/>
  </bookViews>
  <sheets>
    <sheet name="Main Line Benefits LLC_ifp_comm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F6" i="3" l="1"/>
  <c r="K6" i="3"/>
  <c r="C6" i="3"/>
  <c r="K15" i="3"/>
  <c r="F15" i="3"/>
  <c r="C15" i="3"/>
  <c r="K5" i="3"/>
  <c r="F5" i="3"/>
  <c r="C5" i="3"/>
  <c r="K4" i="3"/>
  <c r="F4" i="3"/>
  <c r="C4" i="3"/>
  <c r="K11" i="3"/>
  <c r="F11" i="3"/>
  <c r="C11" i="3"/>
  <c r="K10" i="3"/>
  <c r="F10" i="3"/>
  <c r="C10" i="3"/>
  <c r="K9" i="3"/>
  <c r="F9" i="3"/>
  <c r="C9" i="3"/>
  <c r="K3" i="3"/>
  <c r="F3" i="3"/>
  <c r="C3" i="3"/>
  <c r="K2" i="3"/>
  <c r="F2" i="3"/>
  <c r="C2" i="3"/>
  <c r="K14" i="3"/>
  <c r="F14" i="3"/>
  <c r="C14" i="3"/>
  <c r="K13" i="3"/>
  <c r="F13" i="3"/>
  <c r="C13" i="3"/>
  <c r="K8" i="3"/>
  <c r="F8" i="3"/>
  <c r="C8" i="3"/>
  <c r="K7" i="3"/>
  <c r="F7" i="3"/>
  <c r="C7" i="3"/>
  <c r="K12" i="3"/>
  <c r="F12" i="3"/>
  <c r="C12" i="3"/>
  <c r="K1" i="3"/>
  <c r="F1" i="3"/>
  <c r="C1" i="3"/>
  <c r="K302" i="2"/>
  <c r="K342" i="2"/>
  <c r="K4" i="2"/>
  <c r="K6" i="2"/>
  <c r="K10" i="2"/>
  <c r="K35" i="2"/>
  <c r="K40" i="2"/>
  <c r="K42" i="2"/>
  <c r="K45" i="2"/>
  <c r="K48" i="2"/>
  <c r="K49" i="2"/>
  <c r="K52" i="2"/>
  <c r="K72" i="2"/>
  <c r="K74" i="2"/>
  <c r="K75" i="2"/>
  <c r="K85" i="2"/>
  <c r="K89" i="2"/>
  <c r="K114" i="2"/>
  <c r="K117" i="2"/>
  <c r="K120" i="2"/>
  <c r="K140" i="2"/>
  <c r="K155" i="2"/>
  <c r="K165" i="2"/>
  <c r="K166" i="2"/>
  <c r="K167" i="2"/>
  <c r="K178" i="2"/>
  <c r="K194" i="2"/>
  <c r="K207" i="2"/>
  <c r="K219" i="2"/>
  <c r="K220" i="2"/>
  <c r="K226" i="2"/>
  <c r="K228" i="2"/>
  <c r="K229" i="2"/>
  <c r="K236" i="2"/>
  <c r="K237" i="2"/>
  <c r="K278" i="2"/>
  <c r="K279" i="2"/>
  <c r="K280" i="2"/>
  <c r="K293" i="2"/>
  <c r="K314" i="2"/>
  <c r="K334" i="2"/>
  <c r="K339" i="2"/>
  <c r="K340" i="2"/>
  <c r="K341" i="2"/>
  <c r="K348" i="2"/>
  <c r="K349" i="2"/>
  <c r="K321" i="2"/>
  <c r="K97" i="2"/>
  <c r="K266" i="2"/>
  <c r="K16" i="2"/>
  <c r="K51" i="2"/>
  <c r="K152" i="2"/>
  <c r="K153" i="2"/>
  <c r="K161" i="2"/>
  <c r="K256" i="2"/>
  <c r="K275" i="2"/>
  <c r="K263" i="2"/>
  <c r="K322" i="2"/>
  <c r="K30" i="2"/>
  <c r="K289" i="2"/>
  <c r="K218" i="2"/>
  <c r="K23" i="2"/>
  <c r="K34" i="2"/>
  <c r="K98" i="2"/>
  <c r="K151" i="2"/>
  <c r="K172" i="2"/>
  <c r="K173" i="2"/>
  <c r="K174" i="2"/>
  <c r="K205" i="2"/>
  <c r="K338" i="2"/>
  <c r="K200" i="2"/>
  <c r="K96" i="2"/>
  <c r="K43" i="2"/>
  <c r="K94" i="2"/>
  <c r="K182" i="2"/>
  <c r="K268" i="2"/>
  <c r="K315" i="2"/>
  <c r="K99" i="2"/>
  <c r="K100" i="2"/>
  <c r="K139" i="2"/>
  <c r="K154" i="2"/>
  <c r="K231" i="2"/>
  <c r="K252" i="2"/>
  <c r="K265" i="2"/>
  <c r="K318" i="2"/>
  <c r="K346" i="2"/>
  <c r="K323" i="2"/>
  <c r="K324" i="2"/>
  <c r="K288" i="2"/>
  <c r="K68" i="2"/>
  <c r="K294" i="2"/>
  <c r="K66" i="2"/>
  <c r="K95" i="2"/>
  <c r="K122" i="2"/>
  <c r="K2" i="2"/>
  <c r="K58" i="2"/>
  <c r="K28" i="2"/>
  <c r="K47" i="2"/>
  <c r="K71" i="2"/>
  <c r="K90" i="2"/>
  <c r="K112" i="2"/>
  <c r="K115" i="2"/>
  <c r="K116" i="2"/>
  <c r="K126" i="2"/>
  <c r="K131" i="2"/>
  <c r="K143" i="2"/>
  <c r="K163" i="2"/>
  <c r="K183" i="2"/>
  <c r="K186" i="2"/>
  <c r="K259" i="2"/>
  <c r="K307" i="2"/>
  <c r="K320" i="2"/>
  <c r="K5" i="2"/>
  <c r="K261" i="2"/>
  <c r="K235" i="2"/>
  <c r="K244" i="2"/>
  <c r="K248" i="2"/>
  <c r="K249" i="2"/>
  <c r="K201" i="2"/>
  <c r="K202" i="2"/>
  <c r="K353" i="2"/>
  <c r="K86" i="2"/>
  <c r="K88" i="2"/>
  <c r="K124" i="2"/>
  <c r="K146" i="2"/>
  <c r="K176" i="2"/>
  <c r="K180" i="2"/>
  <c r="K188" i="2"/>
  <c r="K199" i="2"/>
  <c r="K204" i="2"/>
  <c r="K242" i="2"/>
  <c r="K255" i="2"/>
  <c r="K282" i="2"/>
  <c r="K283" i="2"/>
  <c r="K284" i="2"/>
  <c r="K285" i="2"/>
  <c r="K286" i="2"/>
  <c r="K84" i="2"/>
  <c r="K46" i="2"/>
  <c r="K93" i="2"/>
  <c r="K121" i="2"/>
  <c r="K136" i="2"/>
  <c r="K168" i="2"/>
  <c r="K238" i="2"/>
  <c r="K245" i="2"/>
  <c r="K287" i="2"/>
  <c r="K308" i="2"/>
  <c r="K357" i="2"/>
  <c r="K12" i="2"/>
  <c r="K185" i="2"/>
  <c r="K7" i="2"/>
  <c r="K54" i="2"/>
  <c r="K107" i="2"/>
  <c r="K108" i="2"/>
  <c r="K109" i="2"/>
  <c r="K160" i="2"/>
  <c r="K187" i="2"/>
  <c r="K246" i="2"/>
  <c r="K276" i="2"/>
  <c r="K291" i="2"/>
  <c r="K298" i="2"/>
  <c r="K331" i="2"/>
  <c r="K332" i="2"/>
  <c r="K102" i="2"/>
  <c r="K258" i="2"/>
  <c r="K210" i="2"/>
  <c r="K277" i="2"/>
  <c r="K22" i="2"/>
  <c r="K25" i="2"/>
  <c r="K83" i="2"/>
  <c r="K87" i="2"/>
  <c r="K101" i="2"/>
  <c r="K105" i="2"/>
  <c r="K106" i="2"/>
  <c r="K133" i="2"/>
  <c r="K171" i="2"/>
  <c r="K221" i="2"/>
  <c r="K224" i="2"/>
  <c r="K335" i="2"/>
  <c r="K354" i="2"/>
  <c r="K356" i="2"/>
  <c r="K359" i="2"/>
  <c r="K215" i="2"/>
  <c r="K39" i="2"/>
  <c r="K274" i="2"/>
  <c r="K209" i="2"/>
  <c r="K73" i="2"/>
  <c r="K147" i="2"/>
  <c r="K179" i="2"/>
  <c r="K213" i="2"/>
  <c r="K328" i="2"/>
  <c r="K33" i="2"/>
  <c r="K20" i="2"/>
  <c r="K31" i="2"/>
  <c r="K36" i="2"/>
  <c r="K103" i="2"/>
  <c r="K190" i="2"/>
  <c r="K197" i="2"/>
  <c r="K223" i="2"/>
  <c r="K251" i="2"/>
  <c r="K281" i="2"/>
  <c r="K299" i="2"/>
  <c r="K316" i="2"/>
  <c r="K326" i="2"/>
  <c r="K327" i="2"/>
  <c r="K355" i="2"/>
  <c r="K208" i="2"/>
  <c r="K273" i="2"/>
  <c r="K290" i="2"/>
  <c r="K119" i="2"/>
  <c r="K297" i="2"/>
  <c r="K162" i="2"/>
  <c r="K211" i="2"/>
  <c r="K243" i="2"/>
  <c r="K305" i="2"/>
  <c r="K344" i="2"/>
  <c r="K345" i="2"/>
  <c r="K216" i="2"/>
  <c r="K196" i="2"/>
  <c r="K175" i="2"/>
  <c r="K138" i="2"/>
  <c r="K44" i="2"/>
  <c r="K217" i="2"/>
  <c r="K11" i="2"/>
  <c r="K15" i="2"/>
  <c r="K59" i="2"/>
  <c r="K65" i="2"/>
  <c r="K91" i="2"/>
  <c r="K92" i="2"/>
  <c r="K104" i="2"/>
  <c r="K135" i="2"/>
  <c r="K150" i="2"/>
  <c r="K169" i="2"/>
  <c r="K181" i="2"/>
  <c r="K212" i="2"/>
  <c r="K227" i="2"/>
  <c r="K230" i="2"/>
  <c r="K292" i="2"/>
  <c r="K296" i="2"/>
  <c r="K306" i="2"/>
  <c r="K310" i="2"/>
  <c r="K317" i="2"/>
  <c r="K352" i="2"/>
  <c r="K69" i="2"/>
  <c r="K222" i="2"/>
  <c r="K343" i="2"/>
  <c r="K347" i="2"/>
  <c r="K21" i="2"/>
  <c r="K206" i="2"/>
  <c r="K29" i="2"/>
  <c r="K53" i="2"/>
  <c r="K82" i="2"/>
  <c r="K123" i="2"/>
  <c r="K193" i="2"/>
  <c r="K239" i="2"/>
  <c r="K247" i="2"/>
  <c r="K300" i="2"/>
  <c r="K336" i="2"/>
  <c r="K38" i="2"/>
  <c r="K13" i="2"/>
  <c r="K14" i="2"/>
  <c r="K137" i="2"/>
  <c r="K148" i="2"/>
  <c r="K41" i="2"/>
  <c r="K50" i="2"/>
  <c r="K62" i="2"/>
  <c r="K63" i="2"/>
  <c r="K76" i="2"/>
  <c r="K128" i="2"/>
  <c r="K177" i="2"/>
  <c r="K184" i="2"/>
  <c r="K189" i="2"/>
  <c r="K192" i="2"/>
  <c r="K214" i="2"/>
  <c r="K232" i="2"/>
  <c r="K240" i="2"/>
  <c r="K270" i="2"/>
  <c r="K304" i="2"/>
  <c r="K8" i="2"/>
  <c r="K18" i="2"/>
  <c r="K110" i="2"/>
  <c r="K264" i="2"/>
  <c r="K325" i="2"/>
  <c r="K32" i="2"/>
  <c r="K60" i="2"/>
  <c r="K61" i="2"/>
  <c r="K132" i="2"/>
  <c r="K195" i="2"/>
  <c r="K203" i="2"/>
  <c r="K9" i="2"/>
  <c r="K77" i="2"/>
  <c r="K78" i="2"/>
  <c r="K79" i="2"/>
  <c r="K80" i="2"/>
  <c r="K81" i="2"/>
  <c r="K125" i="2"/>
  <c r="K141" i="2"/>
  <c r="K164" i="2"/>
  <c r="K241" i="2"/>
  <c r="K309" i="2"/>
  <c r="K350" i="2"/>
  <c r="K37" i="2"/>
  <c r="K118" i="2"/>
  <c r="K254" i="2"/>
  <c r="K257" i="2"/>
  <c r="K301" i="2"/>
  <c r="K113" i="2"/>
  <c r="K170" i="2"/>
  <c r="K70" i="2"/>
  <c r="K225" i="2"/>
  <c r="K303" i="2"/>
  <c r="K19" i="2"/>
  <c r="K24" i="2"/>
  <c r="K129" i="2"/>
  <c r="K134" i="2"/>
  <c r="K250" i="2"/>
  <c r="K311" i="2"/>
  <c r="K312" i="2"/>
  <c r="K313" i="2"/>
  <c r="K329" i="2"/>
  <c r="K358" i="2"/>
  <c r="K26" i="2"/>
  <c r="K145" i="2"/>
  <c r="K233" i="2"/>
  <c r="K253" i="2"/>
  <c r="K267" i="2"/>
  <c r="K67" i="2"/>
  <c r="K272" i="2"/>
  <c r="K3" i="2"/>
  <c r="K64" i="2"/>
  <c r="K149" i="2"/>
  <c r="K198" i="2"/>
  <c r="K271" i="2"/>
  <c r="K319" i="2"/>
  <c r="K56" i="2"/>
  <c r="K57" i="2"/>
  <c r="K260" i="2"/>
  <c r="K295" i="2"/>
  <c r="K330" i="2"/>
  <c r="K111" i="2"/>
  <c r="K144" i="2"/>
  <c r="K27" i="2"/>
  <c r="K127" i="2"/>
  <c r="K337" i="2"/>
  <c r="K55" i="2"/>
  <c r="K269" i="2"/>
  <c r="K191" i="2"/>
  <c r="K156" i="2"/>
  <c r="K157" i="2"/>
  <c r="K158" i="2"/>
  <c r="K159" i="2"/>
  <c r="K130" i="2"/>
  <c r="K262" i="2"/>
  <c r="K142" i="2"/>
  <c r="K351" i="2"/>
  <c r="K17" i="2"/>
  <c r="K333" i="2"/>
  <c r="K234" i="2"/>
  <c r="C43" i="2"/>
  <c r="C44" i="2"/>
  <c r="C60" i="2"/>
  <c r="C61" i="2"/>
  <c r="C94" i="2"/>
  <c r="C132" i="2"/>
  <c r="C195" i="2"/>
  <c r="C203" i="2"/>
  <c r="C295" i="2"/>
  <c r="C2" i="2"/>
  <c r="C9" i="2"/>
  <c r="C12" i="2"/>
  <c r="C13" i="2"/>
  <c r="C14" i="2"/>
  <c r="C27" i="2"/>
  <c r="C58" i="2"/>
  <c r="C77" i="2"/>
  <c r="C78" i="2"/>
  <c r="C79" i="2"/>
  <c r="C80" i="2"/>
  <c r="C81" i="2"/>
  <c r="C84" i="2"/>
  <c r="C111" i="2"/>
  <c r="C125" i="2"/>
  <c r="C130" i="2"/>
  <c r="C137" i="2"/>
  <c r="C141" i="2"/>
  <c r="C142" i="2"/>
  <c r="C144" i="2"/>
  <c r="C148" i="2"/>
  <c r="C164" i="2"/>
  <c r="C185" i="2"/>
  <c r="C191" i="2"/>
  <c r="C210" i="2"/>
  <c r="C218" i="2"/>
  <c r="C234" i="2"/>
  <c r="C241" i="2"/>
  <c r="C260" i="2"/>
  <c r="C272" i="2"/>
  <c r="C277" i="2"/>
  <c r="C302" i="2"/>
  <c r="C309" i="2"/>
  <c r="C319" i="2"/>
  <c r="C329" i="2"/>
  <c r="C337" i="2"/>
  <c r="C342" i="2"/>
  <c r="C350" i="2"/>
  <c r="C358" i="2"/>
  <c r="C7" i="2"/>
  <c r="C11" i="2"/>
  <c r="C15" i="2"/>
  <c r="C17" i="2"/>
  <c r="C19" i="2"/>
  <c r="C20" i="2"/>
  <c r="C21" i="2"/>
  <c r="C22" i="2"/>
  <c r="C23" i="2"/>
  <c r="C24" i="2"/>
  <c r="C25" i="2"/>
  <c r="C26" i="2"/>
  <c r="C28" i="2"/>
  <c r="C29" i="2"/>
  <c r="C30" i="2"/>
  <c r="C31" i="2"/>
  <c r="C34" i="2"/>
  <c r="C36" i="2"/>
  <c r="C37" i="2"/>
  <c r="C38" i="2"/>
  <c r="C41" i="2"/>
  <c r="C46" i="2"/>
  <c r="C47" i="2"/>
  <c r="C50" i="2"/>
  <c r="C53" i="2"/>
  <c r="C54" i="2"/>
  <c r="C59" i="2"/>
  <c r="C62" i="2"/>
  <c r="C63" i="2"/>
  <c r="C65" i="2"/>
  <c r="C66" i="2"/>
  <c r="C67" i="2"/>
  <c r="C69" i="2"/>
  <c r="C71" i="2"/>
  <c r="C76" i="2"/>
  <c r="C82" i="2"/>
  <c r="C83" i="2"/>
  <c r="C86" i="2"/>
  <c r="C87" i="2"/>
  <c r="C88" i="2"/>
  <c r="C90" i="2"/>
  <c r="C91" i="2"/>
  <c r="C92" i="2"/>
  <c r="C93" i="2"/>
  <c r="C95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2" i="2"/>
  <c r="C115" i="2"/>
  <c r="C116" i="2"/>
  <c r="C118" i="2"/>
  <c r="C121" i="2"/>
  <c r="C122" i="2"/>
  <c r="C123" i="2"/>
  <c r="C124" i="2"/>
  <c r="C126" i="2"/>
  <c r="C128" i="2"/>
  <c r="C129" i="2"/>
  <c r="C131" i="2"/>
  <c r="C133" i="2"/>
  <c r="C134" i="2"/>
  <c r="C135" i="2"/>
  <c r="C136" i="2"/>
  <c r="C138" i="2"/>
  <c r="C139" i="2"/>
  <c r="C143" i="2"/>
  <c r="C145" i="2"/>
  <c r="C146" i="2"/>
  <c r="C150" i="2"/>
  <c r="C151" i="2"/>
  <c r="C154" i="2"/>
  <c r="C160" i="2"/>
  <c r="C162" i="2"/>
  <c r="C163" i="2"/>
  <c r="C168" i="2"/>
  <c r="C169" i="2"/>
  <c r="C171" i="2"/>
  <c r="C172" i="2"/>
  <c r="C173" i="2"/>
  <c r="C174" i="2"/>
  <c r="C175" i="2"/>
  <c r="C176" i="2"/>
  <c r="C177" i="2"/>
  <c r="C180" i="2"/>
  <c r="C181" i="2"/>
  <c r="C182" i="2"/>
  <c r="C183" i="2"/>
  <c r="C184" i="2"/>
  <c r="C186" i="2"/>
  <c r="C187" i="2"/>
  <c r="C188" i="2"/>
  <c r="C189" i="2"/>
  <c r="C190" i="2"/>
  <c r="C192" i="2"/>
  <c r="C193" i="2"/>
  <c r="C197" i="2"/>
  <c r="C199" i="2"/>
  <c r="C200" i="2"/>
  <c r="C204" i="2"/>
  <c r="C205" i="2"/>
  <c r="C206" i="2"/>
  <c r="C208" i="2"/>
  <c r="C211" i="2"/>
  <c r="C212" i="2"/>
  <c r="C214" i="2"/>
  <c r="C221" i="2"/>
  <c r="C222" i="2"/>
  <c r="C223" i="2"/>
  <c r="C224" i="2"/>
  <c r="C227" i="2"/>
  <c r="C230" i="2"/>
  <c r="C231" i="2"/>
  <c r="C232" i="2"/>
  <c r="C233" i="2"/>
  <c r="C235" i="2"/>
  <c r="C238" i="2"/>
  <c r="C239" i="2"/>
  <c r="C240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7" i="2"/>
  <c r="C258" i="2"/>
  <c r="C259" i="2"/>
  <c r="C263" i="2"/>
  <c r="C265" i="2"/>
  <c r="C268" i="2"/>
  <c r="C270" i="2"/>
  <c r="C273" i="2"/>
  <c r="C276" i="2"/>
  <c r="C281" i="2"/>
  <c r="C282" i="2"/>
  <c r="C283" i="2"/>
  <c r="C284" i="2"/>
  <c r="C285" i="2"/>
  <c r="C286" i="2"/>
  <c r="C287" i="2"/>
  <c r="C289" i="2"/>
  <c r="C290" i="2"/>
  <c r="C291" i="2"/>
  <c r="C292" i="2"/>
  <c r="C296" i="2"/>
  <c r="C298" i="2"/>
  <c r="C299" i="2"/>
  <c r="C300" i="2"/>
  <c r="C301" i="2"/>
  <c r="C304" i="2"/>
  <c r="C305" i="2"/>
  <c r="C306" i="2"/>
  <c r="C307" i="2"/>
  <c r="C308" i="2"/>
  <c r="C310" i="2"/>
  <c r="C311" i="2"/>
  <c r="C312" i="2"/>
  <c r="C313" i="2"/>
  <c r="C315" i="2"/>
  <c r="C316" i="2"/>
  <c r="C317" i="2"/>
  <c r="C318" i="2"/>
  <c r="C320" i="2"/>
  <c r="C322" i="2"/>
  <c r="C326" i="2"/>
  <c r="C327" i="2"/>
  <c r="C331" i="2"/>
  <c r="C332" i="2"/>
  <c r="C333" i="2"/>
  <c r="C335" i="2"/>
  <c r="C336" i="2"/>
  <c r="C338" i="2"/>
  <c r="C343" i="2"/>
  <c r="C344" i="2"/>
  <c r="C345" i="2"/>
  <c r="C346" i="2"/>
  <c r="C347" i="2"/>
  <c r="C352" i="2"/>
  <c r="C354" i="2"/>
  <c r="C355" i="2"/>
  <c r="C356" i="2"/>
  <c r="C357" i="2"/>
  <c r="C359" i="2"/>
  <c r="C215" i="2"/>
  <c r="C3" i="2"/>
  <c r="C4" i="2"/>
  <c r="C6" i="2"/>
  <c r="C8" i="2"/>
  <c r="C10" i="2"/>
  <c r="C18" i="2"/>
  <c r="C35" i="2"/>
  <c r="C40" i="2"/>
  <c r="C42" i="2"/>
  <c r="C45" i="2"/>
  <c r="C48" i="2"/>
  <c r="C49" i="2"/>
  <c r="C52" i="2"/>
  <c r="C64" i="2"/>
  <c r="C68" i="2"/>
  <c r="C72" i="2"/>
  <c r="C74" i="2"/>
  <c r="C75" i="2"/>
  <c r="C85" i="2"/>
  <c r="C89" i="2"/>
  <c r="C110" i="2"/>
  <c r="C114" i="2"/>
  <c r="C117" i="2"/>
  <c r="C119" i="2"/>
  <c r="C120" i="2"/>
  <c r="C140" i="2"/>
  <c r="C149" i="2"/>
  <c r="C155" i="2"/>
  <c r="C165" i="2"/>
  <c r="C166" i="2"/>
  <c r="C167" i="2"/>
  <c r="C178" i="2"/>
  <c r="C194" i="2"/>
  <c r="C196" i="2"/>
  <c r="C198" i="2"/>
  <c r="C207" i="2"/>
  <c r="C216" i="2"/>
  <c r="C219" i="2"/>
  <c r="C220" i="2"/>
  <c r="C226" i="2"/>
  <c r="C228" i="2"/>
  <c r="C229" i="2"/>
  <c r="C236" i="2"/>
  <c r="C237" i="2"/>
  <c r="C264" i="2"/>
  <c r="C271" i="2"/>
  <c r="C278" i="2"/>
  <c r="C279" i="2"/>
  <c r="C280" i="2"/>
  <c r="C293" i="2"/>
  <c r="C294" i="2"/>
  <c r="C297" i="2"/>
  <c r="C314" i="2"/>
  <c r="C334" i="2"/>
  <c r="C339" i="2"/>
  <c r="C340" i="2"/>
  <c r="C341" i="2"/>
  <c r="C348" i="2"/>
  <c r="C349" i="2"/>
  <c r="C39" i="2"/>
  <c r="C274" i="2"/>
  <c r="C113" i="2"/>
  <c r="C127" i="2"/>
  <c r="C201" i="2"/>
  <c r="C202" i="2"/>
  <c r="C209" i="2"/>
  <c r="C321" i="2"/>
  <c r="C323" i="2"/>
  <c r="C324" i="2"/>
  <c r="C325" i="2"/>
  <c r="C353" i="2"/>
  <c r="C97" i="2"/>
  <c r="C266" i="2"/>
  <c r="C170" i="2"/>
  <c r="C5" i="2"/>
  <c r="C73" i="2"/>
  <c r="C96" i="2"/>
  <c r="C147" i="2"/>
  <c r="C156" i="2"/>
  <c r="C157" i="2"/>
  <c r="C158" i="2"/>
  <c r="C159" i="2"/>
  <c r="C179" i="2"/>
  <c r="C213" i="2"/>
  <c r="C217" i="2"/>
  <c r="C261" i="2"/>
  <c r="C262" i="2"/>
  <c r="C267" i="2"/>
  <c r="C288" i="2"/>
  <c r="C328" i="2"/>
  <c r="C351" i="2"/>
  <c r="C33" i="2"/>
  <c r="C55" i="2"/>
  <c r="C56" i="2"/>
  <c r="C57" i="2"/>
  <c r="C70" i="2"/>
  <c r="C225" i="2"/>
  <c r="C303" i="2"/>
  <c r="C330" i="2"/>
  <c r="C16" i="2"/>
  <c r="C51" i="2"/>
  <c r="C152" i="2"/>
  <c r="C153" i="2"/>
  <c r="C161" i="2"/>
  <c r="C256" i="2"/>
  <c r="C269" i="2"/>
  <c r="C275" i="2"/>
  <c r="C32" i="2"/>
  <c r="F43" i="2"/>
  <c r="F44" i="2"/>
  <c r="F60" i="2"/>
  <c r="F61" i="2"/>
  <c r="F94" i="2"/>
  <c r="F132" i="2"/>
  <c r="F195" i="2"/>
  <c r="F203" i="2"/>
  <c r="F295" i="2"/>
  <c r="F2" i="2"/>
  <c r="F9" i="2"/>
  <c r="F12" i="2"/>
  <c r="F13" i="2"/>
  <c r="F14" i="2"/>
  <c r="F27" i="2"/>
  <c r="F58" i="2"/>
  <c r="F77" i="2"/>
  <c r="F78" i="2"/>
  <c r="F79" i="2"/>
  <c r="F80" i="2"/>
  <c r="F81" i="2"/>
  <c r="F84" i="2"/>
  <c r="F111" i="2"/>
  <c r="F125" i="2"/>
  <c r="F130" i="2"/>
  <c r="F137" i="2"/>
  <c r="F141" i="2"/>
  <c r="F142" i="2"/>
  <c r="F144" i="2"/>
  <c r="F148" i="2"/>
  <c r="F164" i="2"/>
  <c r="F185" i="2"/>
  <c r="F191" i="2"/>
  <c r="F210" i="2"/>
  <c r="F218" i="2"/>
  <c r="F234" i="2"/>
  <c r="F241" i="2"/>
  <c r="F260" i="2"/>
  <c r="F272" i="2"/>
  <c r="F277" i="2"/>
  <c r="F302" i="2"/>
  <c r="F309" i="2"/>
  <c r="F319" i="2"/>
  <c r="F329" i="2"/>
  <c r="F337" i="2"/>
  <c r="F342" i="2"/>
  <c r="F350" i="2"/>
  <c r="F358" i="2"/>
  <c r="F7" i="2"/>
  <c r="F11" i="2"/>
  <c r="F15" i="2"/>
  <c r="F17" i="2"/>
  <c r="F19" i="2"/>
  <c r="F20" i="2"/>
  <c r="F21" i="2"/>
  <c r="F22" i="2"/>
  <c r="F23" i="2"/>
  <c r="F24" i="2"/>
  <c r="F25" i="2"/>
  <c r="F26" i="2"/>
  <c r="F28" i="2"/>
  <c r="F29" i="2"/>
  <c r="F30" i="2"/>
  <c r="F31" i="2"/>
  <c r="F34" i="2"/>
  <c r="F36" i="2"/>
  <c r="F37" i="2"/>
  <c r="F38" i="2"/>
  <c r="F41" i="2"/>
  <c r="F46" i="2"/>
  <c r="F47" i="2"/>
  <c r="F50" i="2"/>
  <c r="F53" i="2"/>
  <c r="F54" i="2"/>
  <c r="F59" i="2"/>
  <c r="F62" i="2"/>
  <c r="F63" i="2"/>
  <c r="F65" i="2"/>
  <c r="F66" i="2"/>
  <c r="F67" i="2"/>
  <c r="F69" i="2"/>
  <c r="F71" i="2"/>
  <c r="F76" i="2"/>
  <c r="F82" i="2"/>
  <c r="F83" i="2"/>
  <c r="F86" i="2"/>
  <c r="F87" i="2"/>
  <c r="F88" i="2"/>
  <c r="F90" i="2"/>
  <c r="F91" i="2"/>
  <c r="F92" i="2"/>
  <c r="F93" i="2"/>
  <c r="F95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2" i="2"/>
  <c r="F115" i="2"/>
  <c r="F116" i="2"/>
  <c r="F118" i="2"/>
  <c r="F121" i="2"/>
  <c r="F122" i="2"/>
  <c r="F123" i="2"/>
  <c r="F124" i="2"/>
  <c r="F126" i="2"/>
  <c r="F128" i="2"/>
  <c r="F129" i="2"/>
  <c r="F131" i="2"/>
  <c r="F133" i="2"/>
  <c r="F134" i="2"/>
  <c r="F135" i="2"/>
  <c r="F136" i="2"/>
  <c r="F138" i="2"/>
  <c r="F139" i="2"/>
  <c r="F143" i="2"/>
  <c r="F145" i="2"/>
  <c r="F146" i="2"/>
  <c r="F150" i="2"/>
  <c r="F151" i="2"/>
  <c r="F154" i="2"/>
  <c r="F160" i="2"/>
  <c r="F162" i="2"/>
  <c r="F163" i="2"/>
  <c r="F168" i="2"/>
  <c r="F169" i="2"/>
  <c r="F171" i="2"/>
  <c r="F172" i="2"/>
  <c r="F173" i="2"/>
  <c r="F174" i="2"/>
  <c r="F175" i="2"/>
  <c r="F176" i="2"/>
  <c r="F177" i="2"/>
  <c r="F180" i="2"/>
  <c r="F181" i="2"/>
  <c r="F182" i="2"/>
  <c r="F183" i="2"/>
  <c r="F184" i="2"/>
  <c r="F186" i="2"/>
  <c r="F187" i="2"/>
  <c r="F188" i="2"/>
  <c r="F189" i="2"/>
  <c r="F190" i="2"/>
  <c r="F192" i="2"/>
  <c r="F193" i="2"/>
  <c r="F197" i="2"/>
  <c r="F199" i="2"/>
  <c r="F200" i="2"/>
  <c r="F204" i="2"/>
  <c r="F205" i="2"/>
  <c r="F206" i="2"/>
  <c r="F208" i="2"/>
  <c r="F211" i="2"/>
  <c r="F212" i="2"/>
  <c r="F214" i="2"/>
  <c r="F221" i="2"/>
  <c r="F222" i="2"/>
  <c r="F223" i="2"/>
  <c r="F224" i="2"/>
  <c r="F227" i="2"/>
  <c r="F230" i="2"/>
  <c r="F231" i="2"/>
  <c r="F232" i="2"/>
  <c r="F233" i="2"/>
  <c r="F235" i="2"/>
  <c r="F238" i="2"/>
  <c r="F239" i="2"/>
  <c r="F240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7" i="2"/>
  <c r="F258" i="2"/>
  <c r="F259" i="2"/>
  <c r="F263" i="2"/>
  <c r="F265" i="2"/>
  <c r="F268" i="2"/>
  <c r="F270" i="2"/>
  <c r="F273" i="2"/>
  <c r="F276" i="2"/>
  <c r="F281" i="2"/>
  <c r="F282" i="2"/>
  <c r="F283" i="2"/>
  <c r="F284" i="2"/>
  <c r="F285" i="2"/>
  <c r="F286" i="2"/>
  <c r="F287" i="2"/>
  <c r="F289" i="2"/>
  <c r="F290" i="2"/>
  <c r="F291" i="2"/>
  <c r="F292" i="2"/>
  <c r="F296" i="2"/>
  <c r="F298" i="2"/>
  <c r="F299" i="2"/>
  <c r="F300" i="2"/>
  <c r="F301" i="2"/>
  <c r="F304" i="2"/>
  <c r="F305" i="2"/>
  <c r="F306" i="2"/>
  <c r="F307" i="2"/>
  <c r="F308" i="2"/>
  <c r="F310" i="2"/>
  <c r="F311" i="2"/>
  <c r="F312" i="2"/>
  <c r="F313" i="2"/>
  <c r="F315" i="2"/>
  <c r="F316" i="2"/>
  <c r="F317" i="2"/>
  <c r="F318" i="2"/>
  <c r="F320" i="2"/>
  <c r="F322" i="2"/>
  <c r="F326" i="2"/>
  <c r="F327" i="2"/>
  <c r="F331" i="2"/>
  <c r="F332" i="2"/>
  <c r="F333" i="2"/>
  <c r="F335" i="2"/>
  <c r="F336" i="2"/>
  <c r="F338" i="2"/>
  <c r="F343" i="2"/>
  <c r="F344" i="2"/>
  <c r="F345" i="2"/>
  <c r="F346" i="2"/>
  <c r="F347" i="2"/>
  <c r="F352" i="2"/>
  <c r="F354" i="2"/>
  <c r="F355" i="2"/>
  <c r="F356" i="2"/>
  <c r="F357" i="2"/>
  <c r="F359" i="2"/>
  <c r="F215" i="2"/>
  <c r="F3" i="2"/>
  <c r="F4" i="2"/>
  <c r="F6" i="2"/>
  <c r="F8" i="2"/>
  <c r="F10" i="2"/>
  <c r="F18" i="2"/>
  <c r="F35" i="2"/>
  <c r="F40" i="2"/>
  <c r="F42" i="2"/>
  <c r="F45" i="2"/>
  <c r="F48" i="2"/>
  <c r="F49" i="2"/>
  <c r="F52" i="2"/>
  <c r="F64" i="2"/>
  <c r="F68" i="2"/>
  <c r="F72" i="2"/>
  <c r="F74" i="2"/>
  <c r="F75" i="2"/>
  <c r="F85" i="2"/>
  <c r="F89" i="2"/>
  <c r="F110" i="2"/>
  <c r="F114" i="2"/>
  <c r="F117" i="2"/>
  <c r="F119" i="2"/>
  <c r="F120" i="2"/>
  <c r="F140" i="2"/>
  <c r="F149" i="2"/>
  <c r="F155" i="2"/>
  <c r="F165" i="2"/>
  <c r="F166" i="2"/>
  <c r="F167" i="2"/>
  <c r="F178" i="2"/>
  <c r="F194" i="2"/>
  <c r="F196" i="2"/>
  <c r="F198" i="2"/>
  <c r="F207" i="2"/>
  <c r="F216" i="2"/>
  <c r="F219" i="2"/>
  <c r="F220" i="2"/>
  <c r="F226" i="2"/>
  <c r="F228" i="2"/>
  <c r="F229" i="2"/>
  <c r="F236" i="2"/>
  <c r="F237" i="2"/>
  <c r="F264" i="2"/>
  <c r="F271" i="2"/>
  <c r="F278" i="2"/>
  <c r="F279" i="2"/>
  <c r="F280" i="2"/>
  <c r="F293" i="2"/>
  <c r="F294" i="2"/>
  <c r="F297" i="2"/>
  <c r="F314" i="2"/>
  <c r="F334" i="2"/>
  <c r="F339" i="2"/>
  <c r="F340" i="2"/>
  <c r="F341" i="2"/>
  <c r="F348" i="2"/>
  <c r="F349" i="2"/>
  <c r="F39" i="2"/>
  <c r="F274" i="2"/>
  <c r="F113" i="2"/>
  <c r="F127" i="2"/>
  <c r="F201" i="2"/>
  <c r="F202" i="2"/>
  <c r="F209" i="2"/>
  <c r="F321" i="2"/>
  <c r="F323" i="2"/>
  <c r="F324" i="2"/>
  <c r="F325" i="2"/>
  <c r="F353" i="2"/>
  <c r="F97" i="2"/>
  <c r="F266" i="2"/>
  <c r="F170" i="2"/>
  <c r="F5" i="2"/>
  <c r="F73" i="2"/>
  <c r="F96" i="2"/>
  <c r="F147" i="2"/>
  <c r="F156" i="2"/>
  <c r="F157" i="2"/>
  <c r="F158" i="2"/>
  <c r="F159" i="2"/>
  <c r="F179" i="2"/>
  <c r="F213" i="2"/>
  <c r="F217" i="2"/>
  <c r="F261" i="2"/>
  <c r="F262" i="2"/>
  <c r="F267" i="2"/>
  <c r="F288" i="2"/>
  <c r="F328" i="2"/>
  <c r="F351" i="2"/>
  <c r="F33" i="2"/>
  <c r="F55" i="2"/>
  <c r="F56" i="2"/>
  <c r="F57" i="2"/>
  <c r="F70" i="2"/>
  <c r="F225" i="2"/>
  <c r="F303" i="2"/>
  <c r="F330" i="2"/>
  <c r="F16" i="2"/>
  <c r="F51" i="2"/>
  <c r="F152" i="2"/>
  <c r="F153" i="2"/>
  <c r="F161" i="2"/>
  <c r="F256" i="2"/>
  <c r="F269" i="2"/>
  <c r="F275" i="2"/>
  <c r="F32" i="2"/>
</calcChain>
</file>

<file path=xl/sharedStrings.xml><?xml version="1.0" encoding="utf-8"?>
<sst xmlns="http://schemas.openxmlformats.org/spreadsheetml/2006/main" count="6335" uniqueCount="818">
  <si>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</si>
  <si>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</si>
  <si>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</si>
  <si>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</si>
  <si>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</si>
  <si>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</si>
  <si>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</si>
  <si>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</si>
  <si>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</si>
  <si>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</si>
  <si>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</si>
  <si>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</si>
  <si>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</si>
  <si>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</si>
  <si>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</si>
  <si>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</si>
  <si>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</si>
  <si>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</si>
  <si>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</si>
  <si>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TAUGNER</t>
  </si>
  <si>
    <t>CHRISTIAN</t>
  </si>
  <si>
    <t>232 E KING ST, , , MALVERN, PA, 19355</t>
  </si>
  <si>
    <t>Integrity Health, LLC</t>
  </si>
  <si>
    <t>IANG10178961060001FL016</t>
  </si>
  <si>
    <t>AGUAYO, SOPHIE</t>
  </si>
  <si>
    <t>FL</t>
  </si>
  <si>
    <t>2025 FL $20 PMPM Medical Renewal (Cap 5 applied)</t>
  </si>
  <si>
    <t>Y</t>
  </si>
  <si>
    <t>Aetna</t>
  </si>
  <si>
    <t>KUCAN</t>
  </si>
  <si>
    <t>THOMAS</t>
  </si>
  <si>
    <t>IANG10204353330002MD016</t>
  </si>
  <si>
    <t>ALLISON, WILLIAM Keith</t>
  </si>
  <si>
    <t>MD</t>
  </si>
  <si>
    <t>2025 MD $10 PMPM Medical Renewal(Cap 5 applied)</t>
  </si>
  <si>
    <t>Richter</t>
  </si>
  <si>
    <t>Adam</t>
  </si>
  <si>
    <t>IANG10214323280002MD016</t>
  </si>
  <si>
    <t>ANDERSON, KAPREYA Ladawn</t>
  </si>
  <si>
    <t>Brousseau</t>
  </si>
  <si>
    <t>Christopher</t>
  </si>
  <si>
    <t>IANG10217013120001TX016</t>
  </si>
  <si>
    <t>APRECIADO, LISA</t>
  </si>
  <si>
    <t>TX</t>
  </si>
  <si>
    <t>2025 TX $25 PMPM Medical (Cap 5 applied)</t>
  </si>
  <si>
    <t>IANG10194338970002MD016</t>
  </si>
  <si>
    <t>ARAUJO, SEAN Anthony</t>
  </si>
  <si>
    <t>PORTUGAL</t>
  </si>
  <si>
    <t>GARY</t>
  </si>
  <si>
    <t>IANG10185592290001IL016</t>
  </si>
  <si>
    <t>ARROYO, MARIA</t>
  </si>
  <si>
    <t>IL</t>
  </si>
  <si>
    <t>2025 IL $20 PMPM Medical Renewal(Cap 5 applied)</t>
  </si>
  <si>
    <t>Max</t>
  </si>
  <si>
    <t>Ronald</t>
  </si>
  <si>
    <t>IANG10202972340002MD016</t>
  </si>
  <si>
    <t>ARSHAD, MOHAMMAD</t>
  </si>
  <si>
    <t>Caltagirone</t>
  </si>
  <si>
    <t>Ryan</t>
  </si>
  <si>
    <t>IANG10166062160001FL016</t>
  </si>
  <si>
    <t>AUDRAIN, SUSANA</t>
  </si>
  <si>
    <t>IANG10203793040002MD016</t>
  </si>
  <si>
    <t>BAEZ HERNAIZ, IRMA</t>
  </si>
  <si>
    <t>Tatro</t>
  </si>
  <si>
    <t>Melissa</t>
  </si>
  <si>
    <t>IANG10213436880001IL016</t>
  </si>
  <si>
    <t>BAGLIVO, JOHN</t>
  </si>
  <si>
    <t>2025 IL $20 PMPM Medical (Cap 5 applied)</t>
  </si>
  <si>
    <t>IANG10155593000001FL016</t>
  </si>
  <si>
    <t>BAILEY, DIANE M</t>
  </si>
  <si>
    <t>YALE</t>
  </si>
  <si>
    <t>RICHARD</t>
  </si>
  <si>
    <t>IANG10202315580001FL016</t>
  </si>
  <si>
    <t>BAITMAN, TIFFANY</t>
  </si>
  <si>
    <t>2025 FL $20 PMPM Medical (Cap 5 applied)</t>
  </si>
  <si>
    <t>IANG10198247850000IL016</t>
  </si>
  <si>
    <t>BAKER, ANN P</t>
  </si>
  <si>
    <t>N</t>
  </si>
  <si>
    <t>IANG10189387840002VA016</t>
  </si>
  <si>
    <t>BAKER, CALVIN</t>
  </si>
  <si>
    <t>VA</t>
  </si>
  <si>
    <t>2025 VA $20 PMPM Medical Renewal(Cap 5 applied)</t>
  </si>
  <si>
    <t>Serio</t>
  </si>
  <si>
    <t>Tom</t>
  </si>
  <si>
    <t>IANG10214305060001IL016</t>
  </si>
  <si>
    <t>BALDWIN, JEFFERY</t>
  </si>
  <si>
    <t>IANG10216108130002MD016</t>
  </si>
  <si>
    <t>BARRETT, JOSHUA</t>
  </si>
  <si>
    <t>2025 MD $10 PMPM Medical (Cap 5 applied)</t>
  </si>
  <si>
    <t>ABDUL</t>
  </si>
  <si>
    <t>SAADIA</t>
  </si>
  <si>
    <t>IANG10217041200001IL016</t>
  </si>
  <si>
    <t>BATCHELLER, LISA</t>
  </si>
  <si>
    <t>Yale</t>
  </si>
  <si>
    <t>Jacob</t>
  </si>
  <si>
    <t>IANG10194989610001IL016</t>
  </si>
  <si>
    <t>BATIO, ZACHARY</t>
  </si>
  <si>
    <t>Zana</t>
  </si>
  <si>
    <t>Nasandelger</t>
  </si>
  <si>
    <t>IANG10190670480001IL016</t>
  </si>
  <si>
    <t>BAYARSAIKHAN, TSETSEGMAA</t>
  </si>
  <si>
    <t>Teipel</t>
  </si>
  <si>
    <t>Gregory</t>
  </si>
  <si>
    <t>IANG10212669940001IL016</t>
  </si>
  <si>
    <t>BEATOVIC SZAPIELAK, MICHELE</t>
  </si>
  <si>
    <t>HUNSBERGER</t>
  </si>
  <si>
    <t>ANTHONY</t>
  </si>
  <si>
    <t>IANG10189333070001IL016</t>
  </si>
  <si>
    <t>BECKER, DINA</t>
  </si>
  <si>
    <t>IANG10174961110001IL016</t>
  </si>
  <si>
    <t>BEGUM, AMEERUNNISA</t>
  </si>
  <si>
    <t>IANG10165751930001IL016</t>
  </si>
  <si>
    <t>BEHLING, KARL</t>
  </si>
  <si>
    <t>Portugal</t>
  </si>
  <si>
    <t>Stacey</t>
  </si>
  <si>
    <t>IANG10212738270001IL016</t>
  </si>
  <si>
    <t>BEHM, JULIE</t>
  </si>
  <si>
    <t>Pardue</t>
  </si>
  <si>
    <t>Thomas</t>
  </si>
  <si>
    <t>IANG10204939350001FL016</t>
  </si>
  <si>
    <t>BERARDI, ADRIANA</t>
  </si>
  <si>
    <t>IANG10213397350001IL016</t>
  </si>
  <si>
    <t>BERG, CONNIE</t>
  </si>
  <si>
    <t>SANTOS</t>
  </si>
  <si>
    <t>RICARDO</t>
  </si>
  <si>
    <t>IANG10205742970001IL016</t>
  </si>
  <si>
    <t>BERKOWITZ, MICHAEL</t>
  </si>
  <si>
    <t>CHOI</t>
  </si>
  <si>
    <t>ANDREW</t>
  </si>
  <si>
    <t>IANG10204541900001IL016</t>
  </si>
  <si>
    <t>BERLIN, BRIAN</t>
  </si>
  <si>
    <t>IANG10191178280001IL016</t>
  </si>
  <si>
    <t>BERNSTEIN, MICHAEL</t>
  </si>
  <si>
    <t>IANG10168882670001AZ018</t>
  </si>
  <si>
    <t>BISCHOFFER, CHESTER</t>
  </si>
  <si>
    <t>AZ</t>
  </si>
  <si>
    <t>2025 AZ Banner $20 PMPM Medical Renewal(Cap 5 applied)</t>
  </si>
  <si>
    <t>Banner | Aetna</t>
  </si>
  <si>
    <t>IANG10211842470001UT016</t>
  </si>
  <si>
    <t>BLAKE, RILEY</t>
  </si>
  <si>
    <t>UT</t>
  </si>
  <si>
    <t>2025 UT $21 PMPM Medical (Cap 5 applied)</t>
  </si>
  <si>
    <t>IANG10212924450001IL016</t>
  </si>
  <si>
    <t>BOER, KEITH D</t>
  </si>
  <si>
    <t>IANG10203415750002MD016</t>
  </si>
  <si>
    <t>BOHN, JAY</t>
  </si>
  <si>
    <t>IANG10212622830001IL016</t>
  </si>
  <si>
    <t>BOJAN, LORI</t>
  </si>
  <si>
    <t>IANG10214047200001IL016</t>
  </si>
  <si>
    <t>BOOTH, JOLEEN</t>
  </si>
  <si>
    <t>WUENSCH</t>
  </si>
  <si>
    <t>IANG10212754120001IL016</t>
  </si>
  <si>
    <t>BOWDEN, MELANIE</t>
  </si>
  <si>
    <t>IANG10186976740001MO016</t>
  </si>
  <si>
    <t>BOWMAN, SCOTT</t>
  </si>
  <si>
    <t>MO</t>
  </si>
  <si>
    <t>2025 MO $20 PMPM Medical Renewal (Cap 5 applied)</t>
  </si>
  <si>
    <t>IANG10208095270002MD016</t>
  </si>
  <si>
    <t>BOYER, MICHAEL Allan</t>
  </si>
  <si>
    <t>IANG10209167890001IL016</t>
  </si>
  <si>
    <t>BRADLEY, STUART</t>
  </si>
  <si>
    <t>IANG10212798830002MD016</t>
  </si>
  <si>
    <t>BREDEN, CIANA</t>
  </si>
  <si>
    <t>SCHUMANN</t>
  </si>
  <si>
    <t>BARRY</t>
  </si>
  <si>
    <t>IANG10216292700001AZ018</t>
  </si>
  <si>
    <t>BROMLEY, MONIKA</t>
  </si>
  <si>
    <t>2025 AZ Banner $20 PMPM Medical (Cap 5 applied)</t>
  </si>
  <si>
    <t>Tigue</t>
  </si>
  <si>
    <t>Kirk</t>
  </si>
  <si>
    <t>IANG10216374400001AZ018</t>
  </si>
  <si>
    <t>BROWN, RYAN</t>
  </si>
  <si>
    <t>IANG10214172240002MD016</t>
  </si>
  <si>
    <t>BYERS, NIKIA</t>
  </si>
  <si>
    <t>LISKOVEC</t>
  </si>
  <si>
    <t>FRANK</t>
  </si>
  <si>
    <t>IANG10213261650001IL016</t>
  </si>
  <si>
    <t>CABANBAN, CHRIS</t>
  </si>
  <si>
    <t>IANG10212634020001IL016</t>
  </si>
  <si>
    <t>CARMICHAEL, SHYRLDEN</t>
  </si>
  <si>
    <t>IANG10211253550002MD016</t>
  </si>
  <si>
    <t>CARPIO, CEDRIC JAN Tirona</t>
  </si>
  <si>
    <t>IANG10200048470002MD016</t>
  </si>
  <si>
    <t>CARRILLO RIOS, MABY Herendira</t>
  </si>
  <si>
    <t>IANG10166957560001IL016</t>
  </si>
  <si>
    <t>CARROLL, ADAM</t>
  </si>
  <si>
    <t>IANG10199904090002VA017</t>
  </si>
  <si>
    <t>CARROLL, ANTHONY</t>
  </si>
  <si>
    <t>2025 VA IH $20 PMPM Medical Renewal(Cap 5 applied)</t>
  </si>
  <si>
    <t>Innovation Health</t>
  </si>
  <si>
    <t>IANG10205680780002MD016</t>
  </si>
  <si>
    <t>CARTISANO, MARY MARGARET</t>
  </si>
  <si>
    <t>IANG10167384580001IL016</t>
  </si>
  <si>
    <t>CASELLA, ALLISON</t>
  </si>
  <si>
    <t>IANG10212554380001IL016</t>
  </si>
  <si>
    <t>CASTILLO, PERLITA Gutierrez</t>
  </si>
  <si>
    <t>IANG10183295570001UT016</t>
  </si>
  <si>
    <t>CHARBONEAU, JASON</t>
  </si>
  <si>
    <t>IANG10213987110001UT016</t>
  </si>
  <si>
    <t>CHARBONEAU, LORENZO</t>
  </si>
  <si>
    <t>IANG10213986890001UT016</t>
  </si>
  <si>
    <t>CHARBONEAU, MILA</t>
  </si>
  <si>
    <t>IANG10212619690001FL016</t>
  </si>
  <si>
    <t>CHARLESON, CARL Richard</t>
  </si>
  <si>
    <t>IANG10215403080001IL016</t>
  </si>
  <si>
    <t>CHEN, JAMESON S</t>
  </si>
  <si>
    <t>IANG10167692260001AZ018</t>
  </si>
  <si>
    <t>CHRIST, MELISSA</t>
  </si>
  <si>
    <t>IANG10169693140001AZ018</t>
  </si>
  <si>
    <t>CHRIST, TANNER</t>
  </si>
  <si>
    <t>IANG10210709640001IL016</t>
  </si>
  <si>
    <t>CISNEROS, MARIA</t>
  </si>
  <si>
    <t>IANG10212413080001IL016</t>
  </si>
  <si>
    <t>CLARK, LA TOYA</t>
  </si>
  <si>
    <t>IANG10193392830002MD016</t>
  </si>
  <si>
    <t>CLARKSON, DENISE J</t>
  </si>
  <si>
    <t>IANG10186928100001IL016</t>
  </si>
  <si>
    <t>COLLINS, CHRISTINA Rae</t>
  </si>
  <si>
    <t>Chad</t>
  </si>
  <si>
    <t>IANG10214512670001IL016</t>
  </si>
  <si>
    <t>COLLINS, GRAYLING</t>
  </si>
  <si>
    <t>DRAPAC</t>
  </si>
  <si>
    <t>STEPHANIE</t>
  </si>
  <si>
    <t>IANG10202059620001IL016</t>
  </si>
  <si>
    <t>COLON, ARNOLDO</t>
  </si>
  <si>
    <t>WILSON-SMITH</t>
  </si>
  <si>
    <t>CAROLYN</t>
  </si>
  <si>
    <t>IANG10208292020002MD016</t>
  </si>
  <si>
    <t>CONDEZ, MARIA</t>
  </si>
  <si>
    <t>DUNAVANT</t>
  </si>
  <si>
    <t>MICHAEL</t>
  </si>
  <si>
    <t>IANG10216265140001IL016</t>
  </si>
  <si>
    <t>CONNOR, EDWARD</t>
  </si>
  <si>
    <t>IANG10211062390001UT016</t>
  </si>
  <si>
    <t>CORTES, MARCO A</t>
  </si>
  <si>
    <t>IANG10210718730001IL016</t>
  </si>
  <si>
    <t>CROWTHER, NANCY</t>
  </si>
  <si>
    <t>IANG10202355830002MD016</t>
  </si>
  <si>
    <t>CUCINA, STEPHANIE</t>
  </si>
  <si>
    <t>IANG10204313170001TX016</t>
  </si>
  <si>
    <t>CULLEN, DANIEL</t>
  </si>
  <si>
    <t>2025 TX $25 PMPM Medical Renewal(Cap 5 applied)</t>
  </si>
  <si>
    <t>IANG10204353610002MD016</t>
  </si>
  <si>
    <t>DAVIDS, STEVEN</t>
  </si>
  <si>
    <t>IANG10201464700002MD016</t>
  </si>
  <si>
    <t>DE LOS SANTOS MORA, CLARA MAXIMINA</t>
  </si>
  <si>
    <t>IANG10190668190001IL016</t>
  </si>
  <si>
    <t>DELLAPOLLA, LAURA</t>
  </si>
  <si>
    <t>IANG10175799500001FL016</t>
  </si>
  <si>
    <t>DEVILLO, PENNY</t>
  </si>
  <si>
    <t>IANG10212562950001IL016</t>
  </si>
  <si>
    <t>DI PIETRO, MICHAEL</t>
  </si>
  <si>
    <t>IANG10191074070001IL016</t>
  </si>
  <si>
    <t>DIMOPOULOS, VOULA</t>
  </si>
  <si>
    <t>IANG10206059550001FL016</t>
  </si>
  <si>
    <t>DOEREN, NATHANIEL</t>
  </si>
  <si>
    <t>IANG10202896310002MD016</t>
  </si>
  <si>
    <t>DONALD, GLEN</t>
  </si>
  <si>
    <t>WALENGA</t>
  </si>
  <si>
    <t>DALE</t>
  </si>
  <si>
    <t>IANG10213351330001IL016</t>
  </si>
  <si>
    <t>DROST, EDWARD R</t>
  </si>
  <si>
    <t>IANG10217185730001IL016</t>
  </si>
  <si>
    <t>DUGOSH, SUZANNE</t>
  </si>
  <si>
    <t>IANG10171208340001IL016</t>
  </si>
  <si>
    <t>DUMAS, JEFFREY</t>
  </si>
  <si>
    <t>IANG10213162960002MD016</t>
  </si>
  <si>
    <t>DUNCAN, FALON</t>
  </si>
  <si>
    <t>IANG10213425470001IL016</t>
  </si>
  <si>
    <t>DZEKUNSKAS, JILL F</t>
  </si>
  <si>
    <t>IANG10212431620001IL016</t>
  </si>
  <si>
    <t>EISNER, A GAIL</t>
  </si>
  <si>
    <t>IANG10188667060001IL016</t>
  </si>
  <si>
    <t>EISNER, JENNIFER</t>
  </si>
  <si>
    <t>IANG10191055840001IL016</t>
  </si>
  <si>
    <t>EVENS, JEFFREY</t>
  </si>
  <si>
    <t>IANG10213330860001AZ018</t>
  </si>
  <si>
    <t>FALAGARIO, ELIZABETH</t>
  </si>
  <si>
    <t>IANG10213327800001IL016</t>
  </si>
  <si>
    <t>FARLEY, PAUL</t>
  </si>
  <si>
    <t>Brenner</t>
  </si>
  <si>
    <t>Barry</t>
  </si>
  <si>
    <t>IANG10215945360001TX016</t>
  </si>
  <si>
    <t>FAUST, AUDREY</t>
  </si>
  <si>
    <t>IANG10194389410002NJ016</t>
  </si>
  <si>
    <t>FERA, MELISSA Christine</t>
  </si>
  <si>
    <t>NJ</t>
  </si>
  <si>
    <t>2025 NJ $20 PMPM Medical Renewal(Cap 5 applied)</t>
  </si>
  <si>
    <t>IANG10210936860001IL016</t>
  </si>
  <si>
    <t>FINLEY, MARK L</t>
  </si>
  <si>
    <t>Strohman</t>
  </si>
  <si>
    <t>Brian</t>
  </si>
  <si>
    <t>IANG10215361500001IL016</t>
  </si>
  <si>
    <t>FISHER, ROSEMARY</t>
  </si>
  <si>
    <t>IANG10211235060001IL016</t>
  </si>
  <si>
    <t>FITZGERALD, LUKE</t>
  </si>
  <si>
    <t>IANG10203565250001IL016</t>
  </si>
  <si>
    <t>FOSTER, BRADEN</t>
  </si>
  <si>
    <t>HANSFORD</t>
  </si>
  <si>
    <t>GREGORY</t>
  </si>
  <si>
    <t>IANG10213468310001IL016</t>
  </si>
  <si>
    <t>FRANKLIN, ROGER</t>
  </si>
  <si>
    <t>IANG10209181720001IL016</t>
  </si>
  <si>
    <t>FRAZIER, HAYLEY</t>
  </si>
  <si>
    <t>IANG10183111850001IL016</t>
  </si>
  <si>
    <t>FRUGE, JULIE</t>
  </si>
  <si>
    <t>IANG10183763710001IL016</t>
  </si>
  <si>
    <t>FUHRHOP, BRYN</t>
  </si>
  <si>
    <t>IANG10183763500001IL016</t>
  </si>
  <si>
    <t>FUHRHOP, TODD</t>
  </si>
  <si>
    <t>IANG10213528010001IL016</t>
  </si>
  <si>
    <t>GALLIMORE, NIKEITA A</t>
  </si>
  <si>
    <t>IANG10207499410001IL016</t>
  </si>
  <si>
    <t>GANNON, JAIME Elaine Raglow</t>
  </si>
  <si>
    <t>IANG10210710340002MD016</t>
  </si>
  <si>
    <t>GASKILL, BENJAMIN Joseph</t>
  </si>
  <si>
    <t>IANG10203613260001FL016</t>
  </si>
  <si>
    <t>GERVASIO, LUKAS</t>
  </si>
  <si>
    <t>IANG10207699100001IL016</t>
  </si>
  <si>
    <t>GIANNETTI, ADRIANO</t>
  </si>
  <si>
    <t>IANG10172837680001NC016</t>
  </si>
  <si>
    <t>GILBERT, KELLEE</t>
  </si>
  <si>
    <t>NC</t>
  </si>
  <si>
    <t>2025 NC $25 PMPM Medical Renewal(Cap 5 applied)</t>
  </si>
  <si>
    <t>IANG10203985970002MD016</t>
  </si>
  <si>
    <t>GIORGIO, CHRYSTINA</t>
  </si>
  <si>
    <t>IANG10209298710001IL016</t>
  </si>
  <si>
    <t>GIVENS, CLARK</t>
  </si>
  <si>
    <t>IANG10198737020002MD016</t>
  </si>
  <si>
    <t>GLOAD, ROBERT</t>
  </si>
  <si>
    <t>IANG10184604780001IL016</t>
  </si>
  <si>
    <t>GOLD, JULIE</t>
  </si>
  <si>
    <t>Kinyua</t>
  </si>
  <si>
    <t>Jared</t>
  </si>
  <si>
    <t>IANG10207602700002MD016</t>
  </si>
  <si>
    <t>GOLDEN, RYAN William</t>
  </si>
  <si>
    <t>IANG10202448560002MD016</t>
  </si>
  <si>
    <t>GOLI, MAHNAZ</t>
  </si>
  <si>
    <t>IANG10212423680001IL016</t>
  </si>
  <si>
    <t>GOODMAN, KENNETH Dean</t>
  </si>
  <si>
    <t>IANG10188516330001IL016</t>
  </si>
  <si>
    <t>GORGES, WILLIAM</t>
  </si>
  <si>
    <t>IANG10216450680001IL016</t>
  </si>
  <si>
    <t>GRABBE, MICHAELLE L</t>
  </si>
  <si>
    <t>IANG10215988430001IL016</t>
  </si>
  <si>
    <t>GRABINSKI, DANIEL</t>
  </si>
  <si>
    <t>IANG10193997650001FL016</t>
  </si>
  <si>
    <t>GRAHAM, KAREN</t>
  </si>
  <si>
    <t>IANG10212673470001IL016</t>
  </si>
  <si>
    <t>GRAY, DANIEL P</t>
  </si>
  <si>
    <t>IANG10199816840001NC016</t>
  </si>
  <si>
    <t>GRIFFITH, FRANKIE</t>
  </si>
  <si>
    <t>IANG10211051040001IL016</t>
  </si>
  <si>
    <t>GRUBER, MARY</t>
  </si>
  <si>
    <t>IANG10213943940001IL016</t>
  </si>
  <si>
    <t>GUZMAN, GIOVANNI</t>
  </si>
  <si>
    <t>IANG10168034770001FL016</t>
  </si>
  <si>
    <t>HAIG, STEVEN</t>
  </si>
  <si>
    <t>IANG10217016860001IL016</t>
  </si>
  <si>
    <t>HALL, GRETCHEN</t>
  </si>
  <si>
    <t>IANG10184600190001AZ018</t>
  </si>
  <si>
    <t>HANAFI, COLEEN</t>
  </si>
  <si>
    <t>IANG10210173630001IL016</t>
  </si>
  <si>
    <t>HARRIS, GWENDOLYN Y</t>
  </si>
  <si>
    <t>IANG10187589100001IL016</t>
  </si>
  <si>
    <t>HASSAN, SALMAN S</t>
  </si>
  <si>
    <t>IANG10189541740001IL016</t>
  </si>
  <si>
    <t>HEIMS, MEGAN</t>
  </si>
  <si>
    <t>IANG10201061080001IL016</t>
  </si>
  <si>
    <t>HERGOTT, JOSHUA</t>
  </si>
  <si>
    <t>IANG10168630150001FL016</t>
  </si>
  <si>
    <t>HERMAN, JENI</t>
  </si>
  <si>
    <t>Torres</t>
  </si>
  <si>
    <t>Jose</t>
  </si>
  <si>
    <t>IANG10206106600001IL016</t>
  </si>
  <si>
    <t>HERNANDEZ, EDWIN</t>
  </si>
  <si>
    <t>IANG10213226340001IL016</t>
  </si>
  <si>
    <t>HERNANDEZ, JOSE</t>
  </si>
  <si>
    <t>IANG10207846400002MD016</t>
  </si>
  <si>
    <t>HILL, CHRISTINE</t>
  </si>
  <si>
    <t>IANG10182186200001FL016</t>
  </si>
  <si>
    <t>HINTON, RICHARD M</t>
  </si>
  <si>
    <t>HODGMAN</t>
  </si>
  <si>
    <t>TIMOTHY</t>
  </si>
  <si>
    <t>IANG10211485880001FL016</t>
  </si>
  <si>
    <t>HOHMAN, KAREN</t>
  </si>
  <si>
    <t>IANG10211893740001IL016</t>
  </si>
  <si>
    <t>HOPKINS, CAITLYN</t>
  </si>
  <si>
    <t>IANG10204276120001FL016</t>
  </si>
  <si>
    <t>HORVATH, ROBERT</t>
  </si>
  <si>
    <t>IANG10213042220001IL016</t>
  </si>
  <si>
    <t>HRYCAJ, BETH</t>
  </si>
  <si>
    <t>IANG10213959420001IL016</t>
  </si>
  <si>
    <t>HUANG, YING</t>
  </si>
  <si>
    <t>IANG10198846580001TX016</t>
  </si>
  <si>
    <t>HUMPHRIES, EVELYN</t>
  </si>
  <si>
    <t>IANG10162733140001FL016</t>
  </si>
  <si>
    <t>ISIROV, NASTE</t>
  </si>
  <si>
    <t>IANG10200385590002MD016</t>
  </si>
  <si>
    <t>JACOBS, GLORIA</t>
  </si>
  <si>
    <t>IANG10188607670001IL016</t>
  </si>
  <si>
    <t>JHANGIANI, NARESH Ram</t>
  </si>
  <si>
    <t>IANG10213133700001IL016</t>
  </si>
  <si>
    <t>JOHNSON, BRITTANY</t>
  </si>
  <si>
    <t>IANG10174949530002VA017</t>
  </si>
  <si>
    <t>JOHNSON, MADELENA</t>
  </si>
  <si>
    <t>IANG10159847090002VA017</t>
  </si>
  <si>
    <t>JOHNSON, SPENCER</t>
  </si>
  <si>
    <t>IANG10213022960001IL016</t>
  </si>
  <si>
    <t>JONES, DOUGLAS</t>
  </si>
  <si>
    <t>IANG10196650590002MD016</t>
  </si>
  <si>
    <t>JONES, JORDAN</t>
  </si>
  <si>
    <t>IANG10176845880001TX016</t>
  </si>
  <si>
    <t>JONES, LEANNA Brooke</t>
  </si>
  <si>
    <t>IANG10182029680001IL016</t>
  </si>
  <si>
    <t>JONES, MARK J</t>
  </si>
  <si>
    <t>IANG10189765360002VA017</t>
  </si>
  <si>
    <t>KAMERMAN, CAITLIN Rose</t>
  </si>
  <si>
    <t>Hoffmann</t>
  </si>
  <si>
    <t>Jason</t>
  </si>
  <si>
    <t>IANG10204892010001IL016</t>
  </si>
  <si>
    <t>KEETON-STASKY, JASON</t>
  </si>
  <si>
    <t>IANG10213245110001IL016</t>
  </si>
  <si>
    <t>KEIVAN, LAURA</t>
  </si>
  <si>
    <t>IANG10214115060001FL016</t>
  </si>
  <si>
    <t>KELLOGG, SCOTT</t>
  </si>
  <si>
    <t>IANG10196504730002MD016</t>
  </si>
  <si>
    <t>KELLUM, KEONDRA</t>
  </si>
  <si>
    <t>IANG10209618640001IL016</t>
  </si>
  <si>
    <t>KENNEDY, JUSTYNA</t>
  </si>
  <si>
    <t>IANG10214016140000IL016</t>
  </si>
  <si>
    <t>KENNEDY, KARIN W</t>
  </si>
  <si>
    <t>IANG10209618350001OH016</t>
  </si>
  <si>
    <t>KHOURY, MONIQUE</t>
  </si>
  <si>
    <t>OH</t>
  </si>
  <si>
    <t>2025 OH $20 PMPM Medical (Cap 5 applied)</t>
  </si>
  <si>
    <t>IANG10189540330001IL016</t>
  </si>
  <si>
    <t>KIEMEL, LAUREEN Sartin</t>
  </si>
  <si>
    <t>IANG10193263900001IL016</t>
  </si>
  <si>
    <t>KIERES, JULIE</t>
  </si>
  <si>
    <t>ALOFF</t>
  </si>
  <si>
    <t>JONATHAN</t>
  </si>
  <si>
    <t>IANG10183962980001IL016</t>
  </si>
  <si>
    <t>KING, PATRICK</t>
  </si>
  <si>
    <t>IANG10194157550001IL016</t>
  </si>
  <si>
    <t>KLOUD, JASON</t>
  </si>
  <si>
    <t>IANG10213040020001IL016</t>
  </si>
  <si>
    <t>KNEPPER, AMY</t>
  </si>
  <si>
    <t>IANG10202139900002MD016</t>
  </si>
  <si>
    <t>KNICKMEYER, LISA Ann</t>
  </si>
  <si>
    <t>IANG10202953130001TX016</t>
  </si>
  <si>
    <t>KOLVA, PETER</t>
  </si>
  <si>
    <t>IANG10193862250001IL016</t>
  </si>
  <si>
    <t>KOSIAK, CARRIE Anne</t>
  </si>
  <si>
    <t>IANG10182202730001IL016</t>
  </si>
  <si>
    <t>KOWALSKA, AGNIESZKA</t>
  </si>
  <si>
    <t>IANG10215990890001IL016</t>
  </si>
  <si>
    <t>KRATZ, RYAN</t>
  </si>
  <si>
    <t>IANG10206754060001IL016</t>
  </si>
  <si>
    <t>KULAGA, DYLAN</t>
  </si>
  <si>
    <t>IANG10165601520001IL016</t>
  </si>
  <si>
    <t>KUNNY, JOY</t>
  </si>
  <si>
    <t>IANG10212631220001FL016</t>
  </si>
  <si>
    <t>KUZMANKO, DAVID</t>
  </si>
  <si>
    <t>IANG10212416070001IL016</t>
  </si>
  <si>
    <t>LANGER, VICTORIA</t>
  </si>
  <si>
    <t>IANG10208697390001IL016</t>
  </si>
  <si>
    <t>LARSEN, NICHOLAS</t>
  </si>
  <si>
    <t>IANG10209619090001IL016</t>
  </si>
  <si>
    <t>LARSEN, STEVEN</t>
  </si>
  <si>
    <t>IANG10204842010001IL016</t>
  </si>
  <si>
    <t>LASKY, DALE</t>
  </si>
  <si>
    <t>IANG10176032350001IL016</t>
  </si>
  <si>
    <t>LAZZARETTI, AMY</t>
  </si>
  <si>
    <t>IANG10178200860001FL016</t>
  </si>
  <si>
    <t>LAZZARIN, ROXANNE</t>
  </si>
  <si>
    <t>IANG10173983960001IL016</t>
  </si>
  <si>
    <t>LEVIN, STEVEN</t>
  </si>
  <si>
    <t>IANG10189541710001IL016</t>
  </si>
  <si>
    <t>LINDO-JONES, RUTH</t>
  </si>
  <si>
    <t>IANG10202449920002MD016</t>
  </si>
  <si>
    <t>LINK, ROBERT</t>
  </si>
  <si>
    <t>IANG10208610960001AZ018</t>
  </si>
  <si>
    <t>LINMAN, DONNA S</t>
  </si>
  <si>
    <t>Sandifer</t>
  </si>
  <si>
    <t>Jessica</t>
  </si>
  <si>
    <t>IANG10214294940002MD016</t>
  </si>
  <si>
    <t>LOPEZ, MICHELLE</t>
  </si>
  <si>
    <t>IANG10178367620001IL016</t>
  </si>
  <si>
    <t>LOPEZ, TRACY</t>
  </si>
  <si>
    <t>IANG10205156820002MD016</t>
  </si>
  <si>
    <t>LOWING, MATTHEW</t>
  </si>
  <si>
    <t>IANG10205420570001IL016</t>
  </si>
  <si>
    <t>LUIS, DAVID</t>
  </si>
  <si>
    <t>IANG10216053440001IL016</t>
  </si>
  <si>
    <t>LUKEN, PATRICIA</t>
  </si>
  <si>
    <t>Finnigan</t>
  </si>
  <si>
    <t>Colleen</t>
  </si>
  <si>
    <t>IANG10190054720001NC016</t>
  </si>
  <si>
    <t>LUMFORD, BRANDY</t>
  </si>
  <si>
    <t>IANG10190240260001NC016</t>
  </si>
  <si>
    <t>LUMFORD, JUDY</t>
  </si>
  <si>
    <t>IANG10183966270001AZ018</t>
  </si>
  <si>
    <t>LUTHER, VIOLETA</t>
  </si>
  <si>
    <t>IANG10215476690001IL016</t>
  </si>
  <si>
    <t>MACFARLANE, JULIA</t>
  </si>
  <si>
    <t>IANG10208613870001IL016</t>
  </si>
  <si>
    <t>MAESTRO, FAITH</t>
  </si>
  <si>
    <t>Enkhtur</t>
  </si>
  <si>
    <t>Odmaa</t>
  </si>
  <si>
    <t>IANG10199644280001IL016</t>
  </si>
  <si>
    <t>MAJIGSUREN, NYAMJARGAL</t>
  </si>
  <si>
    <t>IANG10208707490002MD016</t>
  </si>
  <si>
    <t>MARIA DASS, TRESA JOYCE</t>
  </si>
  <si>
    <t>Shulman</t>
  </si>
  <si>
    <t>Jake</t>
  </si>
  <si>
    <t>IANG10216087070001IL016</t>
  </si>
  <si>
    <t>MARVIN, STEVEN J</t>
  </si>
  <si>
    <t>IANG10165673930001NC016</t>
  </si>
  <si>
    <t>MASSENGILL, KEVIN</t>
  </si>
  <si>
    <t>IANG10179120920001FL016</t>
  </si>
  <si>
    <t>MATASEK, MARY KAY</t>
  </si>
  <si>
    <t>IANG10203896900001IL016</t>
  </si>
  <si>
    <t>MAY, ELIZABETH</t>
  </si>
  <si>
    <t>IANG10211485270001IL016</t>
  </si>
  <si>
    <t>MCCUTCHEON, HEATHER</t>
  </si>
  <si>
    <t>IANG10185878420001TX016</t>
  </si>
  <si>
    <t>MCGAHEE, VINCENT</t>
  </si>
  <si>
    <t>IANG10205135450001IL016</t>
  </si>
  <si>
    <t>MCNEELEY, KENNETH</t>
  </si>
  <si>
    <t>IANG10191109090001KS016</t>
  </si>
  <si>
    <t>MCPHERSON, MATT Daniel</t>
  </si>
  <si>
    <t>KS</t>
  </si>
  <si>
    <t>2025 KS $20 PMPM Medical Renewal(Cap 5 applied)</t>
  </si>
  <si>
    <t>IANG10205664110002MD016</t>
  </si>
  <si>
    <t>MEAD-BREWER, EVAN</t>
  </si>
  <si>
    <t>IANG10216796040001TX016</t>
  </si>
  <si>
    <t>MELLEN, HAZEL</t>
  </si>
  <si>
    <t>IANG10203907610001FL016</t>
  </si>
  <si>
    <t>METZLER, KAREN</t>
  </si>
  <si>
    <t>IANG10212719450002MD016</t>
  </si>
  <si>
    <t>MICHALOSKI, CASEY</t>
  </si>
  <si>
    <t>IANG10191498360002MD016</t>
  </si>
  <si>
    <t>MIXSON, MILES</t>
  </si>
  <si>
    <t>IANG10192669330001IL016</t>
  </si>
  <si>
    <t>MOORE, GEORGE</t>
  </si>
  <si>
    <t>IANG10214952470001IL016</t>
  </si>
  <si>
    <t>MOOTREY, DARYL</t>
  </si>
  <si>
    <t>IANG10205229050001IL016</t>
  </si>
  <si>
    <t>MORALES, JOCELYN</t>
  </si>
  <si>
    <t>IANG10185292240001IL016</t>
  </si>
  <si>
    <t>MORAN JR, WAYNE E</t>
  </si>
  <si>
    <t>IANG10206040720001UT016</t>
  </si>
  <si>
    <t>MORTON, MARIEL</t>
  </si>
  <si>
    <t>2025 UT $21 PMPM Medical Renewal(Cap 5 applied)</t>
  </si>
  <si>
    <t>IANG10213682950002MD016</t>
  </si>
  <si>
    <t>MOSBY, JASMIN</t>
  </si>
  <si>
    <t>IANG10182226260001IL016</t>
  </si>
  <si>
    <t>MURPHY, THERESE</t>
  </si>
  <si>
    <t>IANG10217094040002MD016</t>
  </si>
  <si>
    <t>MYERS, KIMBERLY</t>
  </si>
  <si>
    <t>IANG10192969020002MD016</t>
  </si>
  <si>
    <t>NAHAR, SHIRIN</t>
  </si>
  <si>
    <t>IANG10187095490001IL016</t>
  </si>
  <si>
    <t>NELSON, LAUREN Marie</t>
  </si>
  <si>
    <t>IANG10213151170001IL016</t>
  </si>
  <si>
    <t>NELSON, RENEE</t>
  </si>
  <si>
    <t>IANG10159284080001IL016</t>
  </si>
  <si>
    <t>NEMEROFF, EILEEN</t>
  </si>
  <si>
    <t>IANG10210489780001IL016</t>
  </si>
  <si>
    <t>NEWTON, WHITNEY</t>
  </si>
  <si>
    <t>IANG10161438690001FL016</t>
  </si>
  <si>
    <t>NGUYEN, THAY</t>
  </si>
  <si>
    <t>IANG10215490660001IL016</t>
  </si>
  <si>
    <t>NORTON, ANTHONY Michael</t>
  </si>
  <si>
    <t>IANG10201167770002MD016</t>
  </si>
  <si>
    <t>NUR, ISAQ Ali</t>
  </si>
  <si>
    <t>IANG10216883970001IL016</t>
  </si>
  <si>
    <t>PAGAKIS, DEMITRIOS</t>
  </si>
  <si>
    <t>IANG10193813660001IL016</t>
  </si>
  <si>
    <t>PALMAR, LUKE Noel</t>
  </si>
  <si>
    <t>IANG10162237530001IL016</t>
  </si>
  <si>
    <t>PALMER, HANNAH</t>
  </si>
  <si>
    <t>IANG10204641840001FL016</t>
  </si>
  <si>
    <t>PALMERO PANZA, JACQUELINE</t>
  </si>
  <si>
    <t>IANG10211495940001IL016</t>
  </si>
  <si>
    <t>PAPP, JOSEPH</t>
  </si>
  <si>
    <t>IANG10211871290001IL016</t>
  </si>
  <si>
    <t>PARKMAN, LAWANA</t>
  </si>
  <si>
    <t>IANG10189498610001IL016</t>
  </si>
  <si>
    <t>PATEL, MIRAL</t>
  </si>
  <si>
    <t>IANG10185957370001IL016</t>
  </si>
  <si>
    <t>PAVLATOS, GLORIA</t>
  </si>
  <si>
    <t>IANG10214642020001IL016</t>
  </si>
  <si>
    <t>PEERA, KATHLEEN F</t>
  </si>
  <si>
    <t>IANG10216965720001IL016</t>
  </si>
  <si>
    <t>PETERS, LEE A</t>
  </si>
  <si>
    <t>IANG10215487060001IL016</t>
  </si>
  <si>
    <t>PILLADO, LESLY</t>
  </si>
  <si>
    <t>IANG10174781650001IL016</t>
  </si>
  <si>
    <t>PITZAFERRO, NICOLE</t>
  </si>
  <si>
    <t>IANG10165778860001IL016</t>
  </si>
  <si>
    <t>PONTON, MARIO</t>
  </si>
  <si>
    <t>IANG10214906980001IL016</t>
  </si>
  <si>
    <t>POPEJOY, HOLLY</t>
  </si>
  <si>
    <t>IANG10212755370001IL016</t>
  </si>
  <si>
    <t>PORTUGAL, STACEY</t>
  </si>
  <si>
    <t>IANG10217016690001IL016</t>
  </si>
  <si>
    <t>POSITANO, JAIME</t>
  </si>
  <si>
    <t>IANG10202537020001IL016</t>
  </si>
  <si>
    <t>POWERS, THOMAS</t>
  </si>
  <si>
    <t>IANG10196001960002VA017</t>
  </si>
  <si>
    <t>QUARTANA, MATTHEW</t>
  </si>
  <si>
    <t>IANG10206740610001IL016</t>
  </si>
  <si>
    <t>QUEST, MICHAEL</t>
  </si>
  <si>
    <t>IANG10191010090001IL016</t>
  </si>
  <si>
    <t>RANDLE, MARLON</t>
  </si>
  <si>
    <t>IANG10212652320001IL016</t>
  </si>
  <si>
    <t>RAULSTON, SKY</t>
  </si>
  <si>
    <t>IANG10213292880001FL016</t>
  </si>
  <si>
    <t>RAVER, ERICA</t>
  </si>
  <si>
    <t>IANG10216623710001TX016</t>
  </si>
  <si>
    <t>REGAN, MARY</t>
  </si>
  <si>
    <t>IANG10168720890001TX016</t>
  </si>
  <si>
    <t>REYNOLDS, CAMILLE</t>
  </si>
  <si>
    <t>PETRUNGARO</t>
  </si>
  <si>
    <t>ANDREA</t>
  </si>
  <si>
    <t>IANG10193418810001IL016</t>
  </si>
  <si>
    <t>RIFE, TINA</t>
  </si>
  <si>
    <t>IANG10212841680002MD016</t>
  </si>
  <si>
    <t>RIPLEY, BRENDA</t>
  </si>
  <si>
    <t>IANG10212990250001IL016</t>
  </si>
  <si>
    <t>ROBB, MARTIN</t>
  </si>
  <si>
    <t>IANG10169067490002NJ016</t>
  </si>
  <si>
    <t>ROBERTS, CORDELLA</t>
  </si>
  <si>
    <t>IANG10206131470001TX016</t>
  </si>
  <si>
    <t>ROUSSARIE, RODNEY</t>
  </si>
  <si>
    <t>IANG10216835110001IL016</t>
  </si>
  <si>
    <t>RUIZ-MONTERO, SCARLET</t>
  </si>
  <si>
    <t>IANG10189763540002VA016</t>
  </si>
  <si>
    <t>SADLER, CARRIE</t>
  </si>
  <si>
    <t>IANG10212553680001IL016</t>
  </si>
  <si>
    <t>SARAF, SHAI</t>
  </si>
  <si>
    <t>IANG10205558960002MD016</t>
  </si>
  <si>
    <t>SAUER, ALEXIS</t>
  </si>
  <si>
    <t>IANG10216836720001FL016</t>
  </si>
  <si>
    <t>SCARPULLA, TANYA</t>
  </si>
  <si>
    <t>IANG10216295330001IL016</t>
  </si>
  <si>
    <t>SCHLESS, ROBERT</t>
  </si>
  <si>
    <t>IANG10158336790001MO016</t>
  </si>
  <si>
    <t>SCHMITZ, LUANNA Joyce</t>
  </si>
  <si>
    <t>IANG10160438050002VA017</t>
  </si>
  <si>
    <t>SCHNEIDERMAN, CAITLIN Rebecca</t>
  </si>
  <si>
    <t>IANG10213098260001IL016</t>
  </si>
  <si>
    <t>SCHRADER, DIANE L</t>
  </si>
  <si>
    <t>IANG10190637520001FL016</t>
  </si>
  <si>
    <t>SCHWARZE, DORIS</t>
  </si>
  <si>
    <t>IANG10198491070002MD016</t>
  </si>
  <si>
    <t>SCHWARZMAN, CHRISTIAN THOMAS</t>
  </si>
  <si>
    <t>IANG10200048080002MD016</t>
  </si>
  <si>
    <t>SCHWARZMAN, DAWN</t>
  </si>
  <si>
    <t>IANG10200991390002MD016</t>
  </si>
  <si>
    <t>SCOTT, JEREMY</t>
  </si>
  <si>
    <t>IANG10188033090001IL016</t>
  </si>
  <si>
    <t>SEMETOVS, IGORS</t>
  </si>
  <si>
    <t>IANG10214518850001IL016</t>
  </si>
  <si>
    <t>SEPSIS, BESSIE</t>
  </si>
  <si>
    <t>IANG10205994700001IL016</t>
  </si>
  <si>
    <t>SEPSIS, DEMETRI</t>
  </si>
  <si>
    <t>IANG10205000130001IL016</t>
  </si>
  <si>
    <t>SHAH, SAMIR</t>
  </si>
  <si>
    <t>FOLEY</t>
  </si>
  <si>
    <t>CAROL</t>
  </si>
  <si>
    <t>IANG10166575430001TX016</t>
  </si>
  <si>
    <t>SHARIF, MOHAMMAD Aomar</t>
  </si>
  <si>
    <t>IANG10210037530001IL016</t>
  </si>
  <si>
    <t>SHAVER, NICOLE</t>
  </si>
  <si>
    <t>IANG10188042710001IL016</t>
  </si>
  <si>
    <t>SHEEHAN, TIMOTHY</t>
  </si>
  <si>
    <t>IANG10216900660001IL016</t>
  </si>
  <si>
    <t>SHERMAN, NICHOLAS G</t>
  </si>
  <si>
    <t>IANG10180804940001IL016</t>
  </si>
  <si>
    <t>SIEGEL, SUSANNE L</t>
  </si>
  <si>
    <t>IANG10193761030002MD016</t>
  </si>
  <si>
    <t>SKALKA, ROBERT</t>
  </si>
  <si>
    <t>IANG10206238650002MD016</t>
  </si>
  <si>
    <t>SMITH, LAMONT</t>
  </si>
  <si>
    <t>IANG10205416270001AZ018</t>
  </si>
  <si>
    <t>SMITH, MATTHEW</t>
  </si>
  <si>
    <t>IANG10212501110001IL016</t>
  </si>
  <si>
    <t>SMITH, MATTHEW Logan</t>
  </si>
  <si>
    <t>IANG10205893560002MD016</t>
  </si>
  <si>
    <t>SNYDER, ANGELIA faith</t>
  </si>
  <si>
    <t>IANG10198071040001IL016</t>
  </si>
  <si>
    <t>SPISAK, BRIAN C</t>
  </si>
  <si>
    <t>IANG10210266080001IL016</t>
  </si>
  <si>
    <t>SREJMA, WILLIAM</t>
  </si>
  <si>
    <t>IANG10190361340001IL016</t>
  </si>
  <si>
    <t>STECK, SARAH Lauren</t>
  </si>
  <si>
    <t>IANG10204565120001IL016</t>
  </si>
  <si>
    <t>STEFFEN, BENJAMIN Neil</t>
  </si>
  <si>
    <t>IANG10166172710001FL016</t>
  </si>
  <si>
    <t>STEPHENSON, ROBERT BENJAMIN</t>
  </si>
  <si>
    <t>IANG10216655160001UT016</t>
  </si>
  <si>
    <t>STOKES, ROBYN</t>
  </si>
  <si>
    <t>IANG10165165070001IL016</t>
  </si>
  <si>
    <t>STOTTER, THOMAS Reid</t>
  </si>
  <si>
    <t>IANG10212571250001IL016</t>
  </si>
  <si>
    <t>SU, KUAN</t>
  </si>
  <si>
    <t>IANG10188577400001IL016</t>
  </si>
  <si>
    <t>SUIHKONEN, JOSEPH</t>
  </si>
  <si>
    <t>IANG10200714520001IL016</t>
  </si>
  <si>
    <t>SULLIVAN, DUSTIN</t>
  </si>
  <si>
    <t>IANG10190579040001IL016</t>
  </si>
  <si>
    <t>SWANSON, PAUL</t>
  </si>
  <si>
    <t>IANG10183475490001FL016</t>
  </si>
  <si>
    <t>SWARTZ, RICHARD</t>
  </si>
  <si>
    <t>IANG10210983720001IL016</t>
  </si>
  <si>
    <t>TABACHNICK, LAURA</t>
  </si>
  <si>
    <t>IANG10214153980001IL016</t>
  </si>
  <si>
    <t>TANUZ, MIGUEL</t>
  </si>
  <si>
    <t>IANG10201576670002MD016</t>
  </si>
  <si>
    <t>TEKLEYESUS, BIRIKTI</t>
  </si>
  <si>
    <t>IANG10212552170001IL016</t>
  </si>
  <si>
    <t>TENGELSEN, JENNIFER</t>
  </si>
  <si>
    <t>IANG10214116180001IL016</t>
  </si>
  <si>
    <t>TESSITORE, VINCENT</t>
  </si>
  <si>
    <t>IANG10213284110001IL016</t>
  </si>
  <si>
    <t>THOM, MARITA</t>
  </si>
  <si>
    <t>IANG10212978150001IL016</t>
  </si>
  <si>
    <t>THOMPSON, LORI</t>
  </si>
  <si>
    <t>IANG10215991450001FL016</t>
  </si>
  <si>
    <t>TOKAS, ASHLEY</t>
  </si>
  <si>
    <t>IANG10213023510001IL016</t>
  </si>
  <si>
    <t>TOPEL, IVY rose</t>
  </si>
  <si>
    <t>IANG10165938960001NC016</t>
  </si>
  <si>
    <t>TOWNSEND, KAITLYN</t>
  </si>
  <si>
    <t>IANG10199941430001IL016</t>
  </si>
  <si>
    <t>TRAN, BINH</t>
  </si>
  <si>
    <t>IANG10206125860001NC016</t>
  </si>
  <si>
    <t>TRIMMER, JENNIFER</t>
  </si>
  <si>
    <t>IANG10206240650001NC016</t>
  </si>
  <si>
    <t>TUBAUGH, HANNAH</t>
  </si>
  <si>
    <t>IANG10212760700001NC016</t>
  </si>
  <si>
    <t>TUBBY, LAYNE Virginia</t>
  </si>
  <si>
    <t>2025 NC $25 PMPM Medical (Cap 5 applied)</t>
  </si>
  <si>
    <t>IANG10212425420001IL016</t>
  </si>
  <si>
    <t>VAN DORN, DIANE</t>
  </si>
  <si>
    <t>IANG10169019300001IL016</t>
  </si>
  <si>
    <t>VASLOW, DAWN</t>
  </si>
  <si>
    <t>IANG10201859300001TX016</t>
  </si>
  <si>
    <t>VAUGHAN, SUSAN</t>
  </si>
  <si>
    <t>IANG10195273500001FL016</t>
  </si>
  <si>
    <t>VAUGHN, MICHELLE</t>
  </si>
  <si>
    <t>IANG10205294130001UT016</t>
  </si>
  <si>
    <t>VIELMA, ADRIANGELIS</t>
  </si>
  <si>
    <t>IANG10216481530001IL016</t>
  </si>
  <si>
    <t>WAGNER, ERIC M</t>
  </si>
  <si>
    <t>IANG10216481660001IL016</t>
  </si>
  <si>
    <t>WAGNER, MARK M</t>
  </si>
  <si>
    <t>IANG10214724250001IL016</t>
  </si>
  <si>
    <t>WARGO, KASEY R</t>
  </si>
  <si>
    <t>IANG10209167560002MD016</t>
  </si>
  <si>
    <t>WEEMS, LOUIS</t>
  </si>
  <si>
    <t>IANG10165132300001IL016</t>
  </si>
  <si>
    <t>WEGER, CHRISTINE</t>
  </si>
  <si>
    <t>IANG10202668690001IL016</t>
  </si>
  <si>
    <t>WEILER, JESSE</t>
  </si>
  <si>
    <t>IANG10194980340001FL016</t>
  </si>
  <si>
    <t>WEITH, KIMBERLY</t>
  </si>
  <si>
    <t>IANG10209398780001IL016</t>
  </si>
  <si>
    <t>WESCOTT, DAVID</t>
  </si>
  <si>
    <t>IANG10195843150002MD016</t>
  </si>
  <si>
    <t>WIESE, JAMES</t>
  </si>
  <si>
    <t>IANG10216262410001FL016</t>
  </si>
  <si>
    <t>WILLARD, FLORICA</t>
  </si>
  <si>
    <t>IANG10214459840001IL016</t>
  </si>
  <si>
    <t>WILLIAMS, DOUGLAS</t>
  </si>
  <si>
    <t>IANG10206119160001IL016</t>
  </si>
  <si>
    <t>WILLIAMS, JILL</t>
  </si>
  <si>
    <t>IANG10213028470001IL016</t>
  </si>
  <si>
    <t>WILLIAMSON, BEVERLY</t>
  </si>
  <si>
    <t>IANG10212882000001IL016</t>
  </si>
  <si>
    <t>WITHROW, DAVID</t>
  </si>
  <si>
    <t>IANG10203686110002MD016</t>
  </si>
  <si>
    <t>WONG, JAMES</t>
  </si>
  <si>
    <t>Agent Pipeline, LLC</t>
  </si>
  <si>
    <t>2024 MD $20 PMPM Medical (Cap 5 applied)</t>
  </si>
  <si>
    <t>IANG10182908260001FL016</t>
  </si>
  <si>
    <t>WOODWARD, THOMAS</t>
  </si>
  <si>
    <t>IANG10210382180001TX016</t>
  </si>
  <si>
    <t>WOOSLEY, TYLER</t>
  </si>
  <si>
    <t>IANG10210271570001IL016</t>
  </si>
  <si>
    <t>YAGER, TESSA P</t>
  </si>
  <si>
    <t>IANG10188016990001NC016</t>
  </si>
  <si>
    <t>ZACCONE, JAMES</t>
  </si>
  <si>
    <t>IANG10167831560001IL016</t>
  </si>
  <si>
    <t>ZACH, ELIZABETH</t>
  </si>
  <si>
    <t>IANG10212361910001IL016</t>
  </si>
  <si>
    <t>ZAWACKI, GAVIN</t>
  </si>
  <si>
    <t>IANG10216604960001IL016</t>
  </si>
  <si>
    <t>ZAWADZKI, DANIEL</t>
  </si>
  <si>
    <t>IANG10211851510001IL016</t>
  </si>
  <si>
    <t>ZIEGLER, PAULA</t>
  </si>
  <si>
    <t>IANG10214711980001FL016</t>
  </si>
  <si>
    <t>ZIHLMANN, CHRISTA Andrea</t>
  </si>
  <si>
    <t>IANG10199379270001IL016</t>
  </si>
  <si>
    <t>ZURAITIS, JOHN</t>
  </si>
  <si>
    <t>[PMPM=2]</t>
  </si>
  <si>
    <t>[PMPM=3]</t>
  </si>
  <si>
    <t>[PMPM=4]</t>
  </si>
  <si>
    <t>[PMPM=5]</t>
  </si>
  <si>
    <t>Aetna 2025 AZ, MS, VA, IL, NJ, KS, MO, FL,OH</t>
  </si>
  <si>
    <t>Aetna 2025 MD</t>
  </si>
  <si>
    <t>Aetna NC and TX</t>
  </si>
  <si>
    <t>Aetna 2025 UT</t>
  </si>
  <si>
    <t>17425766old</t>
  </si>
  <si>
    <t>371819street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</si>
</sst>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7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E311-76CA-4FE1-AC1F-8F65306749B1}">
  <dimension ref="A1:S359"/>
  <sheetViews>
    <sheetView workbookViewId="0">
      <selection sqref="A1:XFD1048576"/>
    </sheetView>
  </sheetViews>
  <sheetFormatPr defaultRowHeight="15" x14ac:dyDescent="0.25"/>
  <cols>
    <col min="17" max="17" width="12.855468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>
        <v>19681796</v>
      </c>
      <c r="D2" t="s">
        <v>21</v>
      </c>
      <c r="E2">
        <v>1</v>
      </c>
      <c r="F2" t="s">
        <v>22</v>
      </c>
      <c r="G2" t="s">
        <v>23</v>
      </c>
      <c r="H2" t="s">
        <v>24</v>
      </c>
      <c r="I2" s="1">
        <v>45231</v>
      </c>
      <c r="J2" t="s">
        <v>25</v>
      </c>
      <c r="K2" s="2">
        <v>45778</v>
      </c>
      <c r="L2">
        <v>1</v>
      </c>
      <c r="M2">
        <v>20</v>
      </c>
      <c r="N2">
        <v>0</v>
      </c>
      <c r="O2">
        <v>20</v>
      </c>
      <c r="P2" t="s">
        <v>26</v>
      </c>
      <c r="Q2" s="1">
        <v>45828</v>
      </c>
      <c r="R2" t="s">
        <v>27</v>
      </c>
      <c r="S2" t="s">
        <v>28</v>
      </c>
    </row>
    <row r="3" spans="1:19" x14ac:dyDescent="0.25">
      <c r="A3" t="s">
        <v>29</v>
      </c>
      <c r="B3" t="s">
        <v>30</v>
      </c>
      <c r="C3">
        <v>16202925</v>
      </c>
      <c r="D3" t="s">
        <v>21</v>
      </c>
      <c r="E3">
        <v>1</v>
      </c>
      <c r="F3" t="s">
        <v>22</v>
      </c>
      <c r="G3" t="s">
        <v>31</v>
      </c>
      <c r="H3" t="s">
        <v>32</v>
      </c>
      <c r="I3" s="1">
        <v>45505</v>
      </c>
      <c r="J3" t="s">
        <v>33</v>
      </c>
      <c r="K3" s="2">
        <v>45778</v>
      </c>
      <c r="L3">
        <v>1</v>
      </c>
      <c r="M3">
        <v>10</v>
      </c>
      <c r="N3">
        <v>0</v>
      </c>
      <c r="O3">
        <v>10</v>
      </c>
      <c r="P3" t="s">
        <v>34</v>
      </c>
      <c r="Q3" s="1">
        <v>45828</v>
      </c>
      <c r="R3" t="s">
        <v>27</v>
      </c>
      <c r="S3" t="s">
        <v>28</v>
      </c>
    </row>
    <row r="4" spans="1:19" x14ac:dyDescent="0.25">
      <c r="A4" t="s">
        <v>35</v>
      </c>
      <c r="B4" t="s">
        <v>36</v>
      </c>
      <c r="C4">
        <v>9079571</v>
      </c>
      <c r="D4" t="s">
        <v>21</v>
      </c>
      <c r="E4">
        <v>1</v>
      </c>
      <c r="F4" t="s">
        <v>22</v>
      </c>
      <c r="G4" t="s">
        <v>37</v>
      </c>
      <c r="H4" t="s">
        <v>38</v>
      </c>
      <c r="I4" s="1">
        <v>45597</v>
      </c>
      <c r="J4" t="s">
        <v>33</v>
      </c>
      <c r="K4" s="2">
        <v>45778</v>
      </c>
      <c r="L4">
        <v>1</v>
      </c>
      <c r="M4">
        <v>10</v>
      </c>
      <c r="N4">
        <v>0</v>
      </c>
      <c r="O4">
        <v>10</v>
      </c>
      <c r="P4" t="s">
        <v>34</v>
      </c>
      <c r="Q4" s="1">
        <v>45828</v>
      </c>
      <c r="R4" t="s">
        <v>27</v>
      </c>
      <c r="S4" t="s">
        <v>28</v>
      </c>
    </row>
    <row r="5" spans="1:19" x14ac:dyDescent="0.25">
      <c r="A5" t="s">
        <v>39</v>
      </c>
      <c r="B5" t="s">
        <v>40</v>
      </c>
      <c r="C5">
        <v>21435997</v>
      </c>
      <c r="D5" t="s">
        <v>21</v>
      </c>
      <c r="E5">
        <v>1</v>
      </c>
      <c r="F5" t="s">
        <v>22</v>
      </c>
      <c r="G5" t="s">
        <v>41</v>
      </c>
      <c r="H5" t="s">
        <v>42</v>
      </c>
      <c r="I5" s="1">
        <v>45778</v>
      </c>
      <c r="J5" t="s">
        <v>43</v>
      </c>
      <c r="K5" s="2">
        <v>45778</v>
      </c>
      <c r="L5">
        <v>1</v>
      </c>
      <c r="M5">
        <v>25</v>
      </c>
      <c r="N5">
        <v>0</v>
      </c>
      <c r="O5">
        <v>25</v>
      </c>
      <c r="P5" t="s">
        <v>44</v>
      </c>
      <c r="Q5" s="1">
        <v>45828</v>
      </c>
      <c r="R5" t="s">
        <v>27</v>
      </c>
      <c r="S5" t="s">
        <v>28</v>
      </c>
    </row>
    <row r="6" spans="1:19" x14ac:dyDescent="0.25">
      <c r="A6" t="s">
        <v>35</v>
      </c>
      <c r="B6" t="s">
        <v>36</v>
      </c>
      <c r="C6">
        <v>9079571</v>
      </c>
      <c r="D6" t="s">
        <v>21</v>
      </c>
      <c r="E6">
        <v>1</v>
      </c>
      <c r="F6" t="s">
        <v>22</v>
      </c>
      <c r="G6" t="s">
        <v>45</v>
      </c>
      <c r="H6" t="s">
        <v>46</v>
      </c>
      <c r="I6" s="1">
        <v>45323</v>
      </c>
      <c r="J6" t="s">
        <v>33</v>
      </c>
      <c r="K6" s="2">
        <v>45778</v>
      </c>
      <c r="L6">
        <v>1</v>
      </c>
      <c r="M6">
        <v>10</v>
      </c>
      <c r="N6">
        <v>0</v>
      </c>
      <c r="O6">
        <v>10</v>
      </c>
      <c r="P6" t="s">
        <v>34</v>
      </c>
      <c r="Q6" s="1">
        <v>45828</v>
      </c>
      <c r="R6" t="s">
        <v>27</v>
      </c>
      <c r="S6" t="s">
        <v>28</v>
      </c>
    </row>
    <row r="7" spans="1:19" x14ac:dyDescent="0.25">
      <c r="A7" t="s">
        <v>47</v>
      </c>
      <c r="B7" t="s">
        <v>48</v>
      </c>
      <c r="C7">
        <v>9213293</v>
      </c>
      <c r="D7" t="s">
        <v>21</v>
      </c>
      <c r="E7">
        <v>1</v>
      </c>
      <c r="F7" t="s">
        <v>22</v>
      </c>
      <c r="G7" t="s">
        <v>49</v>
      </c>
      <c r="H7" t="s">
        <v>50</v>
      </c>
      <c r="I7" s="1">
        <v>45261</v>
      </c>
      <c r="J7" t="s">
        <v>51</v>
      </c>
      <c r="K7" s="2">
        <v>45778</v>
      </c>
      <c r="L7">
        <v>1</v>
      </c>
      <c r="M7">
        <v>20</v>
      </c>
      <c r="N7">
        <v>0</v>
      </c>
      <c r="O7">
        <v>20</v>
      </c>
      <c r="P7" t="s">
        <v>52</v>
      </c>
      <c r="Q7" s="1">
        <v>45828</v>
      </c>
      <c r="R7" t="s">
        <v>27</v>
      </c>
      <c r="S7" t="s">
        <v>28</v>
      </c>
    </row>
    <row r="8" spans="1:19" x14ac:dyDescent="0.25">
      <c r="A8" t="s">
        <v>53</v>
      </c>
      <c r="B8" t="s">
        <v>54</v>
      </c>
      <c r="C8">
        <v>5442438</v>
      </c>
      <c r="D8" t="s">
        <v>21</v>
      </c>
      <c r="E8">
        <v>1</v>
      </c>
      <c r="F8" t="s">
        <v>22</v>
      </c>
      <c r="G8" t="s">
        <v>55</v>
      </c>
      <c r="H8" t="s">
        <v>56</v>
      </c>
      <c r="I8" s="1">
        <v>45474</v>
      </c>
      <c r="J8" t="s">
        <v>33</v>
      </c>
      <c r="K8" s="2">
        <v>45778</v>
      </c>
      <c r="L8">
        <v>4</v>
      </c>
      <c r="M8">
        <v>40</v>
      </c>
      <c r="N8">
        <v>0</v>
      </c>
      <c r="O8">
        <v>40</v>
      </c>
      <c r="P8" t="s">
        <v>34</v>
      </c>
      <c r="Q8" s="1">
        <v>45828</v>
      </c>
      <c r="R8" t="s">
        <v>27</v>
      </c>
      <c r="S8" t="s">
        <v>28</v>
      </c>
    </row>
    <row r="9" spans="1:19" x14ac:dyDescent="0.25">
      <c r="A9" t="s">
        <v>57</v>
      </c>
      <c r="B9" t="s">
        <v>58</v>
      </c>
      <c r="C9">
        <v>8977234</v>
      </c>
      <c r="D9" t="s">
        <v>21</v>
      </c>
      <c r="E9">
        <v>1</v>
      </c>
      <c r="F9" t="s">
        <v>22</v>
      </c>
      <c r="G9" t="s">
        <v>59</v>
      </c>
      <c r="H9" t="s">
        <v>60</v>
      </c>
      <c r="I9" s="1">
        <v>44927</v>
      </c>
      <c r="J9" t="s">
        <v>25</v>
      </c>
      <c r="K9" s="2">
        <v>45778</v>
      </c>
      <c r="L9">
        <v>1</v>
      </c>
      <c r="M9">
        <v>20</v>
      </c>
      <c r="N9">
        <v>0</v>
      </c>
      <c r="O9">
        <v>20</v>
      </c>
      <c r="P9" t="s">
        <v>26</v>
      </c>
      <c r="Q9" s="1">
        <v>45828</v>
      </c>
      <c r="R9" t="s">
        <v>27</v>
      </c>
      <c r="S9" t="s">
        <v>28</v>
      </c>
    </row>
    <row r="10" spans="1:19" x14ac:dyDescent="0.25">
      <c r="A10" t="s">
        <v>35</v>
      </c>
      <c r="B10" t="s">
        <v>36</v>
      </c>
      <c r="C10">
        <v>9079571</v>
      </c>
      <c r="D10" t="s">
        <v>21</v>
      </c>
      <c r="E10">
        <v>1</v>
      </c>
      <c r="F10" t="s">
        <v>22</v>
      </c>
      <c r="G10" t="s">
        <v>61</v>
      </c>
      <c r="H10" t="s">
        <v>62</v>
      </c>
      <c r="I10" s="1">
        <v>45505</v>
      </c>
      <c r="J10" t="s">
        <v>33</v>
      </c>
      <c r="K10" s="2">
        <v>45778</v>
      </c>
      <c r="L10">
        <v>1</v>
      </c>
      <c r="M10">
        <v>10</v>
      </c>
      <c r="N10">
        <v>0</v>
      </c>
      <c r="O10">
        <v>10</v>
      </c>
      <c r="P10" t="s">
        <v>34</v>
      </c>
      <c r="Q10" s="1">
        <v>45828</v>
      </c>
      <c r="R10" t="s">
        <v>27</v>
      </c>
      <c r="S10" t="s">
        <v>28</v>
      </c>
    </row>
    <row r="11" spans="1:19" x14ac:dyDescent="0.25">
      <c r="A11" t="s">
        <v>63</v>
      </c>
      <c r="B11" t="s">
        <v>64</v>
      </c>
      <c r="C11">
        <v>14177521</v>
      </c>
      <c r="D11" t="s">
        <v>21</v>
      </c>
      <c r="E11">
        <v>1</v>
      </c>
      <c r="F11" t="s">
        <v>22</v>
      </c>
      <c r="G11" t="s">
        <v>65</v>
      </c>
      <c r="H11" t="s">
        <v>66</v>
      </c>
      <c r="I11" s="1">
        <v>45658</v>
      </c>
      <c r="J11" t="s">
        <v>51</v>
      </c>
      <c r="K11" s="2">
        <v>45778</v>
      </c>
      <c r="L11">
        <v>1</v>
      </c>
      <c r="M11">
        <v>20</v>
      </c>
      <c r="N11">
        <v>0</v>
      </c>
      <c r="O11">
        <v>20</v>
      </c>
      <c r="P11" t="s">
        <v>67</v>
      </c>
      <c r="Q11" s="1">
        <v>45828</v>
      </c>
      <c r="R11" t="s">
        <v>27</v>
      </c>
      <c r="S11" t="s">
        <v>28</v>
      </c>
    </row>
    <row r="12" spans="1:19" x14ac:dyDescent="0.25">
      <c r="A12" t="s">
        <v>47</v>
      </c>
      <c r="B12" t="s">
        <v>48</v>
      </c>
      <c r="C12">
        <v>9213293</v>
      </c>
      <c r="D12" t="s">
        <v>21</v>
      </c>
      <c r="E12">
        <v>1</v>
      </c>
      <c r="F12" t="s">
        <v>22</v>
      </c>
      <c r="G12" t="s">
        <v>68</v>
      </c>
      <c r="H12" t="s">
        <v>69</v>
      </c>
      <c r="I12" s="1">
        <v>44805</v>
      </c>
      <c r="J12" t="s">
        <v>25</v>
      </c>
      <c r="K12" s="2">
        <v>45778</v>
      </c>
      <c r="L12">
        <v>1</v>
      </c>
      <c r="M12">
        <v>20</v>
      </c>
      <c r="N12">
        <v>0</v>
      </c>
      <c r="O12">
        <v>20</v>
      </c>
      <c r="P12" t="s">
        <v>26</v>
      </c>
      <c r="Q12" s="1">
        <v>45828</v>
      </c>
      <c r="R12" t="s">
        <v>27</v>
      </c>
      <c r="S12" t="s">
        <v>28</v>
      </c>
    </row>
    <row r="13" spans="1:19" x14ac:dyDescent="0.25">
      <c r="A13" t="s">
        <v>70</v>
      </c>
      <c r="B13" t="s">
        <v>71</v>
      </c>
      <c r="C13">
        <v>16633294</v>
      </c>
      <c r="D13" t="s">
        <v>21</v>
      </c>
      <c r="E13">
        <v>1</v>
      </c>
      <c r="F13" t="s">
        <v>22</v>
      </c>
      <c r="G13" t="s">
        <v>72</v>
      </c>
      <c r="H13" t="s">
        <v>73</v>
      </c>
      <c r="I13" s="1">
        <v>45474</v>
      </c>
      <c r="J13" t="s">
        <v>25</v>
      </c>
      <c r="K13" s="2">
        <v>45748</v>
      </c>
      <c r="L13">
        <v>1</v>
      </c>
      <c r="M13">
        <v>20</v>
      </c>
      <c r="N13">
        <v>0</v>
      </c>
      <c r="O13">
        <v>20</v>
      </c>
      <c r="P13" t="s">
        <v>74</v>
      </c>
      <c r="Q13" s="1">
        <v>45828</v>
      </c>
      <c r="R13" t="s">
        <v>27</v>
      </c>
      <c r="S13" t="s">
        <v>28</v>
      </c>
    </row>
    <row r="14" spans="1:19" x14ac:dyDescent="0.25">
      <c r="A14" t="s">
        <v>70</v>
      </c>
      <c r="B14" t="s">
        <v>71</v>
      </c>
      <c r="C14">
        <v>16633294</v>
      </c>
      <c r="D14" t="s">
        <v>21</v>
      </c>
      <c r="E14">
        <v>1</v>
      </c>
      <c r="F14" t="s">
        <v>22</v>
      </c>
      <c r="G14" t="s">
        <v>72</v>
      </c>
      <c r="H14" t="s">
        <v>73</v>
      </c>
      <c r="I14" s="1">
        <v>45474</v>
      </c>
      <c r="J14" t="s">
        <v>25</v>
      </c>
      <c r="K14" s="2">
        <v>45778</v>
      </c>
      <c r="L14">
        <v>1</v>
      </c>
      <c r="M14">
        <v>20</v>
      </c>
      <c r="N14">
        <v>0</v>
      </c>
      <c r="O14">
        <v>20</v>
      </c>
      <c r="P14" t="s">
        <v>74</v>
      </c>
      <c r="Q14" s="1">
        <v>45828</v>
      </c>
      <c r="R14" t="s">
        <v>27</v>
      </c>
      <c r="S14" t="s">
        <v>28</v>
      </c>
    </row>
    <row r="15" spans="1:19" x14ac:dyDescent="0.25">
      <c r="A15" t="s">
        <v>63</v>
      </c>
      <c r="B15" t="s">
        <v>64</v>
      </c>
      <c r="C15">
        <v>14177521</v>
      </c>
      <c r="D15" t="s">
        <v>21</v>
      </c>
      <c r="E15">
        <v>1</v>
      </c>
      <c r="F15" t="s">
        <v>22</v>
      </c>
      <c r="G15" t="s">
        <v>75</v>
      </c>
      <c r="H15" t="s">
        <v>76</v>
      </c>
      <c r="I15" s="1">
        <v>45383</v>
      </c>
      <c r="J15" t="s">
        <v>51</v>
      </c>
      <c r="K15" s="2">
        <v>45778</v>
      </c>
      <c r="L15">
        <v>1</v>
      </c>
      <c r="M15">
        <v>20</v>
      </c>
      <c r="N15">
        <v>0</v>
      </c>
      <c r="O15">
        <v>20</v>
      </c>
      <c r="P15" t="s">
        <v>52</v>
      </c>
      <c r="Q15" s="1">
        <v>45828</v>
      </c>
      <c r="R15" t="s">
        <v>77</v>
      </c>
      <c r="S15" t="s">
        <v>28</v>
      </c>
    </row>
    <row r="16" spans="1:19" x14ac:dyDescent="0.25">
      <c r="A16" t="s">
        <v>35</v>
      </c>
      <c r="B16" t="s">
        <v>36</v>
      </c>
      <c r="C16">
        <v>9079571</v>
      </c>
      <c r="D16" t="s">
        <v>21</v>
      </c>
      <c r="E16">
        <v>1</v>
      </c>
      <c r="F16" t="s">
        <v>22</v>
      </c>
      <c r="G16" t="s">
        <v>78</v>
      </c>
      <c r="H16" t="s">
        <v>79</v>
      </c>
      <c r="I16" s="1">
        <v>45292</v>
      </c>
      <c r="J16" t="s">
        <v>80</v>
      </c>
      <c r="K16" s="2">
        <v>45778</v>
      </c>
      <c r="L16">
        <v>2</v>
      </c>
      <c r="M16">
        <v>40</v>
      </c>
      <c r="N16">
        <v>0</v>
      </c>
      <c r="O16">
        <v>40</v>
      </c>
      <c r="P16" t="s">
        <v>81</v>
      </c>
      <c r="Q16" s="1">
        <v>45828</v>
      </c>
      <c r="R16" t="s">
        <v>27</v>
      </c>
      <c r="S16" t="s">
        <v>28</v>
      </c>
    </row>
    <row r="17" spans="1:19" x14ac:dyDescent="0.25">
      <c r="A17" t="s">
        <v>82</v>
      </c>
      <c r="B17" t="s">
        <v>83</v>
      </c>
      <c r="C17">
        <v>20490188</v>
      </c>
      <c r="D17" t="s">
        <v>21</v>
      </c>
      <c r="E17">
        <v>1</v>
      </c>
      <c r="F17" t="s">
        <v>22</v>
      </c>
      <c r="G17" t="s">
        <v>84</v>
      </c>
      <c r="H17" t="s">
        <v>85</v>
      </c>
      <c r="I17" s="1">
        <v>45689</v>
      </c>
      <c r="J17" t="s">
        <v>51</v>
      </c>
      <c r="K17" s="2">
        <v>45778</v>
      </c>
      <c r="L17">
        <v>1</v>
      </c>
      <c r="M17">
        <v>20</v>
      </c>
      <c r="N17">
        <v>0</v>
      </c>
      <c r="O17">
        <v>20</v>
      </c>
      <c r="P17" t="s">
        <v>67</v>
      </c>
      <c r="Q17" s="1">
        <v>45828</v>
      </c>
      <c r="R17" t="s">
        <v>27</v>
      </c>
      <c r="S17" t="s">
        <v>28</v>
      </c>
    </row>
    <row r="18" spans="1:19" x14ac:dyDescent="0.25">
      <c r="A18" t="s">
        <v>53</v>
      </c>
      <c r="B18" t="s">
        <v>54</v>
      </c>
      <c r="C18">
        <v>5442438</v>
      </c>
      <c r="D18" t="s">
        <v>21</v>
      </c>
      <c r="E18">
        <v>1</v>
      </c>
      <c r="F18" t="s">
        <v>22</v>
      </c>
      <c r="G18" t="s">
        <v>86</v>
      </c>
      <c r="H18" t="s">
        <v>87</v>
      </c>
      <c r="I18" s="1">
        <v>45748</v>
      </c>
      <c r="J18" t="s">
        <v>33</v>
      </c>
      <c r="K18" s="2">
        <v>45778</v>
      </c>
      <c r="L18">
        <v>1</v>
      </c>
      <c r="M18">
        <v>10</v>
      </c>
      <c r="N18">
        <v>0</v>
      </c>
      <c r="O18">
        <v>10</v>
      </c>
      <c r="P18" t="s">
        <v>88</v>
      </c>
      <c r="Q18" s="1">
        <v>45828</v>
      </c>
      <c r="R18" t="s">
        <v>27</v>
      </c>
      <c r="S18" t="s">
        <v>28</v>
      </c>
    </row>
    <row r="19" spans="1:19" x14ac:dyDescent="0.25">
      <c r="A19" t="s">
        <v>89</v>
      </c>
      <c r="B19" t="s">
        <v>90</v>
      </c>
      <c r="C19">
        <v>19396223</v>
      </c>
      <c r="D19" t="s">
        <v>21</v>
      </c>
      <c r="E19">
        <v>1</v>
      </c>
      <c r="F19" t="s">
        <v>22</v>
      </c>
      <c r="G19" t="s">
        <v>91</v>
      </c>
      <c r="H19" t="s">
        <v>92</v>
      </c>
      <c r="I19" s="1">
        <v>45748</v>
      </c>
      <c r="J19" t="s">
        <v>51</v>
      </c>
      <c r="K19" s="2">
        <v>45778</v>
      </c>
      <c r="L19">
        <v>1</v>
      </c>
      <c r="M19">
        <v>20</v>
      </c>
      <c r="N19">
        <v>0</v>
      </c>
      <c r="O19">
        <v>20</v>
      </c>
      <c r="P19" t="s">
        <v>67</v>
      </c>
      <c r="Q19" s="1">
        <v>45828</v>
      </c>
      <c r="R19" t="s">
        <v>27</v>
      </c>
      <c r="S19" t="s">
        <v>28</v>
      </c>
    </row>
    <row r="20" spans="1:19" x14ac:dyDescent="0.25">
      <c r="A20" t="s">
        <v>93</v>
      </c>
      <c r="B20" t="s">
        <v>94</v>
      </c>
      <c r="C20">
        <v>18754354</v>
      </c>
      <c r="D20" t="s">
        <v>21</v>
      </c>
      <c r="E20">
        <v>1</v>
      </c>
      <c r="F20" t="s">
        <v>22</v>
      </c>
      <c r="G20" t="s">
        <v>95</v>
      </c>
      <c r="H20" t="s">
        <v>96</v>
      </c>
      <c r="I20" s="1">
        <v>45383</v>
      </c>
      <c r="J20" t="s">
        <v>51</v>
      </c>
      <c r="K20" s="2">
        <v>45778</v>
      </c>
      <c r="L20">
        <v>1</v>
      </c>
      <c r="M20">
        <v>20</v>
      </c>
      <c r="N20">
        <v>0</v>
      </c>
      <c r="O20">
        <v>20</v>
      </c>
      <c r="P20" t="s">
        <v>52</v>
      </c>
      <c r="Q20" s="1">
        <v>45828</v>
      </c>
      <c r="R20" t="s">
        <v>27</v>
      </c>
      <c r="S20" t="s">
        <v>28</v>
      </c>
    </row>
    <row r="21" spans="1:19" x14ac:dyDescent="0.25">
      <c r="A21" t="s">
        <v>97</v>
      </c>
      <c r="B21" t="s">
        <v>98</v>
      </c>
      <c r="C21">
        <v>20220688</v>
      </c>
      <c r="D21" t="s">
        <v>21</v>
      </c>
      <c r="E21">
        <v>1</v>
      </c>
      <c r="F21" t="s">
        <v>22</v>
      </c>
      <c r="G21" t="s">
        <v>99</v>
      </c>
      <c r="H21" t="s">
        <v>100</v>
      </c>
      <c r="I21" s="1">
        <v>45292</v>
      </c>
      <c r="J21" t="s">
        <v>51</v>
      </c>
      <c r="K21" s="2">
        <v>45778</v>
      </c>
      <c r="L21">
        <v>1</v>
      </c>
      <c r="M21">
        <v>20</v>
      </c>
      <c r="N21">
        <v>0</v>
      </c>
      <c r="O21">
        <v>20</v>
      </c>
      <c r="P21" t="s">
        <v>52</v>
      </c>
      <c r="Q21" s="1">
        <v>45828</v>
      </c>
      <c r="R21" t="s">
        <v>27</v>
      </c>
      <c r="S21" t="s">
        <v>28</v>
      </c>
    </row>
    <row r="22" spans="1:19" x14ac:dyDescent="0.25">
      <c r="A22" t="s">
        <v>101</v>
      </c>
      <c r="B22" t="s">
        <v>102</v>
      </c>
      <c r="C22">
        <v>8307933</v>
      </c>
      <c r="D22" t="s">
        <v>21</v>
      </c>
      <c r="E22">
        <v>1</v>
      </c>
      <c r="F22" t="s">
        <v>22</v>
      </c>
      <c r="G22" t="s">
        <v>103</v>
      </c>
      <c r="H22" t="s">
        <v>104</v>
      </c>
      <c r="I22" s="1">
        <v>45658</v>
      </c>
      <c r="J22" t="s">
        <v>51</v>
      </c>
      <c r="K22" s="2">
        <v>45778</v>
      </c>
      <c r="L22">
        <v>1</v>
      </c>
      <c r="M22">
        <v>20</v>
      </c>
      <c r="N22">
        <v>0</v>
      </c>
      <c r="O22">
        <v>20</v>
      </c>
      <c r="P22" t="s">
        <v>67</v>
      </c>
      <c r="Q22" s="1">
        <v>45828</v>
      </c>
      <c r="R22" t="s">
        <v>27</v>
      </c>
      <c r="S22" t="s">
        <v>28</v>
      </c>
    </row>
    <row r="23" spans="1:19" x14ac:dyDescent="0.25">
      <c r="A23" t="s">
        <v>105</v>
      </c>
      <c r="B23" t="s">
        <v>106</v>
      </c>
      <c r="C23">
        <v>7146581</v>
      </c>
      <c r="D23" t="s">
        <v>21</v>
      </c>
      <c r="E23">
        <v>1</v>
      </c>
      <c r="F23" t="s">
        <v>22</v>
      </c>
      <c r="G23" t="s">
        <v>107</v>
      </c>
      <c r="H23" t="s">
        <v>108</v>
      </c>
      <c r="I23" s="1">
        <v>45292</v>
      </c>
      <c r="J23" t="s">
        <v>51</v>
      </c>
      <c r="K23" s="2">
        <v>45778</v>
      </c>
      <c r="L23">
        <v>1</v>
      </c>
      <c r="M23">
        <v>20</v>
      </c>
      <c r="N23">
        <v>0</v>
      </c>
      <c r="O23">
        <v>20</v>
      </c>
      <c r="P23" t="s">
        <v>52</v>
      </c>
      <c r="Q23" s="1">
        <v>45828</v>
      </c>
      <c r="R23" t="s">
        <v>27</v>
      </c>
      <c r="S23" t="s">
        <v>28</v>
      </c>
    </row>
    <row r="24" spans="1:19" x14ac:dyDescent="0.25">
      <c r="A24" t="s">
        <v>89</v>
      </c>
      <c r="B24" t="s">
        <v>90</v>
      </c>
      <c r="C24">
        <v>19396223</v>
      </c>
      <c r="D24" t="s">
        <v>21</v>
      </c>
      <c r="E24">
        <v>1</v>
      </c>
      <c r="F24" t="s">
        <v>22</v>
      </c>
      <c r="G24" t="s">
        <v>109</v>
      </c>
      <c r="H24" t="s">
        <v>110</v>
      </c>
      <c r="I24" s="1">
        <v>45139</v>
      </c>
      <c r="J24" t="s">
        <v>51</v>
      </c>
      <c r="K24" s="2">
        <v>45778</v>
      </c>
      <c r="L24">
        <v>3</v>
      </c>
      <c r="M24">
        <v>60</v>
      </c>
      <c r="N24">
        <v>0</v>
      </c>
      <c r="O24">
        <v>60</v>
      </c>
      <c r="P24" t="s">
        <v>52</v>
      </c>
      <c r="Q24" s="1">
        <v>45828</v>
      </c>
      <c r="R24" t="s">
        <v>27</v>
      </c>
      <c r="S24" t="s">
        <v>28</v>
      </c>
    </row>
    <row r="25" spans="1:19" x14ac:dyDescent="0.25">
      <c r="A25" t="s">
        <v>101</v>
      </c>
      <c r="B25" t="s">
        <v>102</v>
      </c>
      <c r="C25">
        <v>8307933</v>
      </c>
      <c r="D25" t="s">
        <v>21</v>
      </c>
      <c r="E25">
        <v>1</v>
      </c>
      <c r="F25" t="s">
        <v>22</v>
      </c>
      <c r="G25" t="s">
        <v>111</v>
      </c>
      <c r="H25" t="s">
        <v>112</v>
      </c>
      <c r="I25" s="1">
        <v>44927</v>
      </c>
      <c r="J25" t="s">
        <v>51</v>
      </c>
      <c r="K25" s="2">
        <v>45778</v>
      </c>
      <c r="L25">
        <v>1</v>
      </c>
      <c r="M25">
        <v>20</v>
      </c>
      <c r="N25">
        <v>0</v>
      </c>
      <c r="O25">
        <v>20</v>
      </c>
      <c r="P25" t="s">
        <v>52</v>
      </c>
      <c r="Q25" s="1">
        <v>45828</v>
      </c>
      <c r="R25" t="s">
        <v>27</v>
      </c>
      <c r="S25" t="s">
        <v>28</v>
      </c>
    </row>
    <row r="26" spans="1:19" x14ac:dyDescent="0.25">
      <c r="A26" t="s">
        <v>113</v>
      </c>
      <c r="B26" t="s">
        <v>114</v>
      </c>
      <c r="C26">
        <v>19645587</v>
      </c>
      <c r="D26" t="s">
        <v>21</v>
      </c>
      <c r="E26">
        <v>1</v>
      </c>
      <c r="F26" t="s">
        <v>22</v>
      </c>
      <c r="G26" t="s">
        <v>115</v>
      </c>
      <c r="H26" t="s">
        <v>116</v>
      </c>
      <c r="I26" s="1">
        <v>45658</v>
      </c>
      <c r="J26" t="s">
        <v>51</v>
      </c>
      <c r="K26" s="2">
        <v>45778</v>
      </c>
      <c r="L26">
        <v>1</v>
      </c>
      <c r="M26">
        <v>20</v>
      </c>
      <c r="N26">
        <v>0</v>
      </c>
      <c r="O26">
        <v>20</v>
      </c>
      <c r="P26" t="s">
        <v>67</v>
      </c>
      <c r="Q26" s="1">
        <v>45828</v>
      </c>
      <c r="R26" t="s">
        <v>27</v>
      </c>
      <c r="S26" t="s">
        <v>28</v>
      </c>
    </row>
    <row r="27" spans="1:19" x14ac:dyDescent="0.25">
      <c r="A27" t="s">
        <v>117</v>
      </c>
      <c r="B27" t="s">
        <v>118</v>
      </c>
      <c r="C27">
        <v>371819</v>
      </c>
      <c r="D27" t="s">
        <v>21</v>
      </c>
      <c r="E27">
        <v>1</v>
      </c>
      <c r="F27" t="s">
        <v>22</v>
      </c>
      <c r="G27" t="s">
        <v>119</v>
      </c>
      <c r="H27" t="s">
        <v>120</v>
      </c>
      <c r="I27" s="1">
        <v>45504</v>
      </c>
      <c r="J27" t="s">
        <v>25</v>
      </c>
      <c r="K27" s="2">
        <v>45778</v>
      </c>
      <c r="L27">
        <v>2</v>
      </c>
      <c r="M27">
        <v>40</v>
      </c>
      <c r="N27">
        <v>0</v>
      </c>
      <c r="O27">
        <v>40</v>
      </c>
      <c r="P27" t="s">
        <v>26</v>
      </c>
      <c r="Q27" s="1">
        <v>45828</v>
      </c>
      <c r="R27" t="s">
        <v>27</v>
      </c>
      <c r="S27" t="s">
        <v>28</v>
      </c>
    </row>
    <row r="28" spans="1:19" x14ac:dyDescent="0.25">
      <c r="A28" t="s">
        <v>19</v>
      </c>
      <c r="B28" t="s">
        <v>20</v>
      </c>
      <c r="C28">
        <v>19681796</v>
      </c>
      <c r="D28" t="s">
        <v>21</v>
      </c>
      <c r="E28">
        <v>1</v>
      </c>
      <c r="F28" t="s">
        <v>22</v>
      </c>
      <c r="G28" t="s">
        <v>121</v>
      </c>
      <c r="H28" t="s">
        <v>122</v>
      </c>
      <c r="I28" s="1">
        <v>45658</v>
      </c>
      <c r="J28" t="s">
        <v>51</v>
      </c>
      <c r="K28" s="2">
        <v>45778</v>
      </c>
      <c r="L28">
        <v>1</v>
      </c>
      <c r="M28">
        <v>20</v>
      </c>
      <c r="N28">
        <v>0</v>
      </c>
      <c r="O28">
        <v>20</v>
      </c>
      <c r="P28" t="s">
        <v>67</v>
      </c>
      <c r="Q28" s="1">
        <v>45828</v>
      </c>
      <c r="R28" t="s">
        <v>27</v>
      </c>
      <c r="S28" t="s">
        <v>28</v>
      </c>
    </row>
    <row r="29" spans="1:19" x14ac:dyDescent="0.25">
      <c r="A29" t="s">
        <v>123</v>
      </c>
      <c r="B29" t="s">
        <v>124</v>
      </c>
      <c r="C29">
        <v>19200754</v>
      </c>
      <c r="D29" t="s">
        <v>21</v>
      </c>
      <c r="E29">
        <v>1</v>
      </c>
      <c r="F29" t="s">
        <v>22</v>
      </c>
      <c r="G29" t="s">
        <v>125</v>
      </c>
      <c r="H29" t="s">
        <v>126</v>
      </c>
      <c r="I29" s="1">
        <v>45566</v>
      </c>
      <c r="J29" t="s">
        <v>51</v>
      </c>
      <c r="K29" s="2">
        <v>45778</v>
      </c>
      <c r="L29">
        <v>2</v>
      </c>
      <c r="M29">
        <v>40</v>
      </c>
      <c r="N29">
        <v>0</v>
      </c>
      <c r="O29">
        <v>40</v>
      </c>
      <c r="P29" t="s">
        <v>52</v>
      </c>
      <c r="Q29" s="1">
        <v>45828</v>
      </c>
      <c r="R29" t="s">
        <v>27</v>
      </c>
      <c r="S29" t="s">
        <v>28</v>
      </c>
    </row>
    <row r="30" spans="1:19" x14ac:dyDescent="0.25">
      <c r="A30" t="s">
        <v>127</v>
      </c>
      <c r="B30" t="s">
        <v>128</v>
      </c>
      <c r="C30">
        <v>7470776</v>
      </c>
      <c r="D30" t="s">
        <v>21</v>
      </c>
      <c r="E30">
        <v>1</v>
      </c>
      <c r="F30" t="s">
        <v>22</v>
      </c>
      <c r="G30" t="s">
        <v>129</v>
      </c>
      <c r="H30" t="s">
        <v>130</v>
      </c>
      <c r="I30" s="1">
        <v>45536</v>
      </c>
      <c r="J30" t="s">
        <v>51</v>
      </c>
      <c r="K30" s="2">
        <v>45778</v>
      </c>
      <c r="L30">
        <v>2</v>
      </c>
      <c r="M30">
        <v>40</v>
      </c>
      <c r="N30">
        <v>0</v>
      </c>
      <c r="O30">
        <v>40</v>
      </c>
      <c r="P30" t="s">
        <v>52</v>
      </c>
      <c r="Q30" s="1">
        <v>45828</v>
      </c>
      <c r="R30" t="s">
        <v>27</v>
      </c>
      <c r="S30" t="s">
        <v>28</v>
      </c>
    </row>
    <row r="31" spans="1:19" x14ac:dyDescent="0.25">
      <c r="A31" t="s">
        <v>93</v>
      </c>
      <c r="B31" t="s">
        <v>94</v>
      </c>
      <c r="C31">
        <v>18754354</v>
      </c>
      <c r="D31" t="s">
        <v>21</v>
      </c>
      <c r="E31">
        <v>1</v>
      </c>
      <c r="F31" t="s">
        <v>22</v>
      </c>
      <c r="G31" t="s">
        <v>131</v>
      </c>
      <c r="H31" t="s">
        <v>132</v>
      </c>
      <c r="I31" s="1">
        <v>45292</v>
      </c>
      <c r="J31" t="s">
        <v>51</v>
      </c>
      <c r="K31" s="2">
        <v>45778</v>
      </c>
      <c r="L31">
        <v>2</v>
      </c>
      <c r="M31">
        <v>40</v>
      </c>
      <c r="N31">
        <v>0</v>
      </c>
      <c r="O31">
        <v>40</v>
      </c>
      <c r="P31" t="s">
        <v>52</v>
      </c>
      <c r="Q31" s="1">
        <v>45828</v>
      </c>
      <c r="R31" t="s">
        <v>27</v>
      </c>
      <c r="S31" t="s">
        <v>28</v>
      </c>
    </row>
    <row r="32" spans="1:19" x14ac:dyDescent="0.25">
      <c r="A32" t="s">
        <v>57</v>
      </c>
      <c r="B32" t="s">
        <v>58</v>
      </c>
      <c r="C32">
        <v>8977234</v>
      </c>
      <c r="D32" t="s">
        <v>21</v>
      </c>
      <c r="E32">
        <v>1</v>
      </c>
      <c r="F32" t="s">
        <v>22</v>
      </c>
      <c r="G32" t="s">
        <v>133</v>
      </c>
      <c r="H32" t="s">
        <v>134</v>
      </c>
      <c r="I32" s="1">
        <v>44958</v>
      </c>
      <c r="J32" t="s">
        <v>135</v>
      </c>
      <c r="K32" s="2">
        <v>45778</v>
      </c>
      <c r="L32">
        <v>1</v>
      </c>
      <c r="M32">
        <v>20</v>
      </c>
      <c r="N32">
        <v>0</v>
      </c>
      <c r="O32">
        <v>20</v>
      </c>
      <c r="P32" t="s">
        <v>136</v>
      </c>
      <c r="Q32" s="1">
        <v>45828</v>
      </c>
      <c r="R32" t="s">
        <v>27</v>
      </c>
      <c r="S32" t="s">
        <v>137</v>
      </c>
    </row>
    <row r="33" spans="1:19" x14ac:dyDescent="0.25">
      <c r="A33" t="s">
        <v>101</v>
      </c>
      <c r="B33" t="s">
        <v>102</v>
      </c>
      <c r="C33">
        <v>8307933</v>
      </c>
      <c r="D33" t="s">
        <v>21</v>
      </c>
      <c r="E33">
        <v>1</v>
      </c>
      <c r="F33" t="s">
        <v>22</v>
      </c>
      <c r="G33" t="s">
        <v>138</v>
      </c>
      <c r="H33" t="s">
        <v>139</v>
      </c>
      <c r="I33" s="1">
        <v>45658</v>
      </c>
      <c r="J33" t="s">
        <v>140</v>
      </c>
      <c r="K33" s="2">
        <v>45778</v>
      </c>
      <c r="L33">
        <v>1</v>
      </c>
      <c r="M33">
        <v>21</v>
      </c>
      <c r="N33">
        <v>0</v>
      </c>
      <c r="O33">
        <v>21</v>
      </c>
      <c r="P33" t="s">
        <v>141</v>
      </c>
      <c r="Q33" s="1">
        <v>45828</v>
      </c>
      <c r="R33" t="s">
        <v>27</v>
      </c>
      <c r="S33" t="s">
        <v>28</v>
      </c>
    </row>
    <row r="34" spans="1:19" x14ac:dyDescent="0.25">
      <c r="A34" t="s">
        <v>105</v>
      </c>
      <c r="B34" t="s">
        <v>106</v>
      </c>
      <c r="C34">
        <v>7146581</v>
      </c>
      <c r="D34" t="s">
        <v>21</v>
      </c>
      <c r="E34">
        <v>1</v>
      </c>
      <c r="F34" t="s">
        <v>22</v>
      </c>
      <c r="G34" t="s">
        <v>142</v>
      </c>
      <c r="H34" t="s">
        <v>143</v>
      </c>
      <c r="I34" s="1">
        <v>45658</v>
      </c>
      <c r="J34" t="s">
        <v>51</v>
      </c>
      <c r="K34" s="2">
        <v>45778</v>
      </c>
      <c r="L34">
        <v>1</v>
      </c>
      <c r="M34">
        <v>20</v>
      </c>
      <c r="N34">
        <v>0</v>
      </c>
      <c r="O34">
        <v>20</v>
      </c>
      <c r="P34" t="s">
        <v>67</v>
      </c>
      <c r="Q34" s="1">
        <v>45828</v>
      </c>
      <c r="R34" t="s">
        <v>27</v>
      </c>
      <c r="S34" t="s">
        <v>28</v>
      </c>
    </row>
    <row r="35" spans="1:19" x14ac:dyDescent="0.25">
      <c r="A35" t="s">
        <v>35</v>
      </c>
      <c r="B35" t="s">
        <v>36</v>
      </c>
      <c r="C35">
        <v>9079571</v>
      </c>
      <c r="D35" t="s">
        <v>21</v>
      </c>
      <c r="E35">
        <v>1</v>
      </c>
      <c r="F35" t="s">
        <v>22</v>
      </c>
      <c r="G35" t="s">
        <v>144</v>
      </c>
      <c r="H35" t="s">
        <v>145</v>
      </c>
      <c r="I35" s="1">
        <v>45505</v>
      </c>
      <c r="J35" t="s">
        <v>33</v>
      </c>
      <c r="K35" s="2">
        <v>45778</v>
      </c>
      <c r="L35">
        <v>2</v>
      </c>
      <c r="M35">
        <v>20</v>
      </c>
      <c r="N35">
        <v>0</v>
      </c>
      <c r="O35">
        <v>20</v>
      </c>
      <c r="P35" t="s">
        <v>34</v>
      </c>
      <c r="Q35" s="1">
        <v>45828</v>
      </c>
      <c r="R35" t="s">
        <v>27</v>
      </c>
      <c r="S35" t="s">
        <v>28</v>
      </c>
    </row>
    <row r="36" spans="1:19" x14ac:dyDescent="0.25">
      <c r="A36" t="s">
        <v>93</v>
      </c>
      <c r="B36" t="s">
        <v>94</v>
      </c>
      <c r="C36">
        <v>18754354</v>
      </c>
      <c r="D36" t="s">
        <v>21</v>
      </c>
      <c r="E36">
        <v>1</v>
      </c>
      <c r="F36" t="s">
        <v>22</v>
      </c>
      <c r="G36" t="s">
        <v>146</v>
      </c>
      <c r="H36" t="s">
        <v>147</v>
      </c>
      <c r="I36" s="1">
        <v>45658</v>
      </c>
      <c r="J36" t="s">
        <v>51</v>
      </c>
      <c r="K36" s="2">
        <v>45778</v>
      </c>
      <c r="L36">
        <v>2</v>
      </c>
      <c r="M36">
        <v>40</v>
      </c>
      <c r="N36">
        <v>0</v>
      </c>
      <c r="O36">
        <v>40</v>
      </c>
      <c r="P36" t="s">
        <v>67</v>
      </c>
      <c r="Q36" s="1">
        <v>45828</v>
      </c>
      <c r="R36" t="s">
        <v>27</v>
      </c>
      <c r="S36" t="s">
        <v>28</v>
      </c>
    </row>
    <row r="37" spans="1:19" x14ac:dyDescent="0.25">
      <c r="A37" t="s">
        <v>57</v>
      </c>
      <c r="B37" t="s">
        <v>58</v>
      </c>
      <c r="C37">
        <v>8977234</v>
      </c>
      <c r="D37" t="s">
        <v>21</v>
      </c>
      <c r="E37">
        <v>1</v>
      </c>
      <c r="F37" t="s">
        <v>22</v>
      </c>
      <c r="G37" t="s">
        <v>148</v>
      </c>
      <c r="H37" t="s">
        <v>149</v>
      </c>
      <c r="I37" s="1">
        <v>45689</v>
      </c>
      <c r="J37" t="s">
        <v>51</v>
      </c>
      <c r="K37" s="2">
        <v>45778</v>
      </c>
      <c r="L37">
        <v>1</v>
      </c>
      <c r="M37">
        <v>20</v>
      </c>
      <c r="N37">
        <v>0</v>
      </c>
      <c r="O37">
        <v>20</v>
      </c>
      <c r="P37" t="s">
        <v>67</v>
      </c>
      <c r="Q37" s="1">
        <v>45828</v>
      </c>
      <c r="R37" t="s">
        <v>27</v>
      </c>
      <c r="S37" t="s">
        <v>28</v>
      </c>
    </row>
    <row r="38" spans="1:19" x14ac:dyDescent="0.25">
      <c r="A38" t="s">
        <v>150</v>
      </c>
      <c r="B38" t="s">
        <v>71</v>
      </c>
      <c r="C38">
        <v>19615078</v>
      </c>
      <c r="D38" t="s">
        <v>21</v>
      </c>
      <c r="E38">
        <v>1</v>
      </c>
      <c r="F38" t="s">
        <v>22</v>
      </c>
      <c r="G38" t="s">
        <v>151</v>
      </c>
      <c r="H38" t="s">
        <v>152</v>
      </c>
      <c r="I38" s="1">
        <v>45658</v>
      </c>
      <c r="J38" t="s">
        <v>51</v>
      </c>
      <c r="K38" s="2">
        <v>45778</v>
      </c>
      <c r="L38">
        <v>1</v>
      </c>
      <c r="M38">
        <v>20</v>
      </c>
      <c r="N38">
        <v>0</v>
      </c>
      <c r="O38">
        <v>20</v>
      </c>
      <c r="P38" t="s">
        <v>67</v>
      </c>
      <c r="Q38" s="1">
        <v>45828</v>
      </c>
      <c r="R38" t="s">
        <v>27</v>
      </c>
      <c r="S38" t="s">
        <v>28</v>
      </c>
    </row>
    <row r="39" spans="1:19" x14ac:dyDescent="0.25">
      <c r="A39" t="s">
        <v>101</v>
      </c>
      <c r="B39" t="s">
        <v>102</v>
      </c>
      <c r="C39">
        <v>8307933</v>
      </c>
      <c r="D39" t="s">
        <v>21</v>
      </c>
      <c r="E39">
        <v>1</v>
      </c>
      <c r="F39" t="s">
        <v>22</v>
      </c>
      <c r="G39" t="s">
        <v>153</v>
      </c>
      <c r="H39" t="s">
        <v>154</v>
      </c>
      <c r="I39" s="1">
        <v>45292</v>
      </c>
      <c r="J39" t="s">
        <v>155</v>
      </c>
      <c r="K39" s="2">
        <v>45778</v>
      </c>
      <c r="L39">
        <v>1</v>
      </c>
      <c r="M39">
        <v>20</v>
      </c>
      <c r="N39">
        <v>0</v>
      </c>
      <c r="O39">
        <v>20</v>
      </c>
      <c r="P39" t="s">
        <v>156</v>
      </c>
      <c r="Q39" s="1">
        <v>45828</v>
      </c>
      <c r="R39" t="s">
        <v>27</v>
      </c>
      <c r="S39" t="s">
        <v>28</v>
      </c>
    </row>
    <row r="40" spans="1:19" x14ac:dyDescent="0.25">
      <c r="A40" t="s">
        <v>35</v>
      </c>
      <c r="B40" t="s">
        <v>36</v>
      </c>
      <c r="C40">
        <v>9079571</v>
      </c>
      <c r="D40" t="s">
        <v>21</v>
      </c>
      <c r="E40">
        <v>1</v>
      </c>
      <c r="F40" t="s">
        <v>22</v>
      </c>
      <c r="G40" t="s">
        <v>157</v>
      </c>
      <c r="H40" t="s">
        <v>158</v>
      </c>
      <c r="I40" s="1">
        <v>45597</v>
      </c>
      <c r="J40" t="s">
        <v>33</v>
      </c>
      <c r="K40" s="2">
        <v>45778</v>
      </c>
      <c r="L40">
        <v>1</v>
      </c>
      <c r="M40">
        <v>10</v>
      </c>
      <c r="N40">
        <v>0</v>
      </c>
      <c r="O40">
        <v>10</v>
      </c>
      <c r="P40" t="s">
        <v>34</v>
      </c>
      <c r="Q40" s="1">
        <v>45828</v>
      </c>
      <c r="R40" t="s">
        <v>27</v>
      </c>
      <c r="S40" t="s">
        <v>28</v>
      </c>
    </row>
    <row r="41" spans="1:19" x14ac:dyDescent="0.25">
      <c r="A41" t="s">
        <v>70</v>
      </c>
      <c r="B41" t="s">
        <v>71</v>
      </c>
      <c r="C41">
        <v>16633294</v>
      </c>
      <c r="D41" t="s">
        <v>21</v>
      </c>
      <c r="E41">
        <v>1</v>
      </c>
      <c r="F41" t="s">
        <v>22</v>
      </c>
      <c r="G41" t="s">
        <v>159</v>
      </c>
      <c r="H41" t="s">
        <v>160</v>
      </c>
      <c r="I41" s="1">
        <v>45597</v>
      </c>
      <c r="J41" t="s">
        <v>51</v>
      </c>
      <c r="K41" s="2">
        <v>45778</v>
      </c>
      <c r="L41">
        <v>1</v>
      </c>
      <c r="M41">
        <v>20</v>
      </c>
      <c r="N41">
        <v>0</v>
      </c>
      <c r="O41">
        <v>20</v>
      </c>
      <c r="P41" t="s">
        <v>52</v>
      </c>
      <c r="Q41" s="1">
        <v>45828</v>
      </c>
      <c r="R41" t="s">
        <v>27</v>
      </c>
      <c r="S41" t="s">
        <v>28</v>
      </c>
    </row>
    <row r="42" spans="1:19" x14ac:dyDescent="0.25">
      <c r="A42" t="s">
        <v>35</v>
      </c>
      <c r="B42" t="s">
        <v>36</v>
      </c>
      <c r="C42">
        <v>9079571</v>
      </c>
      <c r="D42" t="s">
        <v>21</v>
      </c>
      <c r="E42">
        <v>1</v>
      </c>
      <c r="F42" t="s">
        <v>22</v>
      </c>
      <c r="G42" t="s">
        <v>161</v>
      </c>
      <c r="H42" t="s">
        <v>162</v>
      </c>
      <c r="I42" s="1">
        <v>45658</v>
      </c>
      <c r="J42" t="s">
        <v>33</v>
      </c>
      <c r="K42" s="2">
        <v>45778</v>
      </c>
      <c r="L42">
        <v>1</v>
      </c>
      <c r="M42">
        <v>10</v>
      </c>
      <c r="N42">
        <v>0</v>
      </c>
      <c r="O42">
        <v>10</v>
      </c>
      <c r="P42" t="s">
        <v>88</v>
      </c>
      <c r="Q42" s="1">
        <v>45828</v>
      </c>
      <c r="R42" t="s">
        <v>27</v>
      </c>
      <c r="S42" t="s">
        <v>28</v>
      </c>
    </row>
    <row r="43" spans="1:19" x14ac:dyDescent="0.25">
      <c r="A43" t="s">
        <v>163</v>
      </c>
      <c r="B43" t="s">
        <v>164</v>
      </c>
      <c r="C43">
        <v>19586992</v>
      </c>
      <c r="D43" t="s">
        <v>21</v>
      </c>
      <c r="E43">
        <v>1</v>
      </c>
      <c r="F43" t="s">
        <v>22</v>
      </c>
      <c r="G43" t="s">
        <v>165</v>
      </c>
      <c r="H43" t="s">
        <v>166</v>
      </c>
      <c r="I43" s="1">
        <v>45748</v>
      </c>
      <c r="J43" t="s">
        <v>135</v>
      </c>
      <c r="K43" s="2">
        <v>45778</v>
      </c>
      <c r="L43">
        <v>1</v>
      </c>
      <c r="M43">
        <v>20</v>
      </c>
      <c r="N43">
        <v>0</v>
      </c>
      <c r="O43">
        <v>20</v>
      </c>
      <c r="P43" t="s">
        <v>167</v>
      </c>
      <c r="Q43" s="1">
        <v>45828</v>
      </c>
      <c r="R43" t="s">
        <v>27</v>
      </c>
      <c r="S43" t="s">
        <v>137</v>
      </c>
    </row>
    <row r="44" spans="1:19" x14ac:dyDescent="0.25">
      <c r="A44" t="s">
        <v>168</v>
      </c>
      <c r="B44" t="s">
        <v>169</v>
      </c>
      <c r="C44">
        <v>21421111</v>
      </c>
      <c r="D44" t="s">
        <v>21</v>
      </c>
      <c r="E44">
        <v>1</v>
      </c>
      <c r="F44" t="s">
        <v>22</v>
      </c>
      <c r="G44" t="s">
        <v>170</v>
      </c>
      <c r="H44" t="s">
        <v>171</v>
      </c>
      <c r="I44" s="1">
        <v>45748</v>
      </c>
      <c r="J44" t="s">
        <v>135</v>
      </c>
      <c r="K44" s="2">
        <v>45778</v>
      </c>
      <c r="L44">
        <v>5</v>
      </c>
      <c r="M44">
        <v>100</v>
      </c>
      <c r="N44">
        <v>0</v>
      </c>
      <c r="O44">
        <v>100</v>
      </c>
      <c r="P44" t="s">
        <v>167</v>
      </c>
      <c r="Q44" s="1">
        <v>45828</v>
      </c>
      <c r="R44" t="s">
        <v>27</v>
      </c>
      <c r="S44" t="s">
        <v>137</v>
      </c>
    </row>
    <row r="45" spans="1:19" x14ac:dyDescent="0.25">
      <c r="A45" t="s">
        <v>35</v>
      </c>
      <c r="B45" t="s">
        <v>36</v>
      </c>
      <c r="C45">
        <v>9079571</v>
      </c>
      <c r="D45" t="s">
        <v>21</v>
      </c>
      <c r="E45">
        <v>1</v>
      </c>
      <c r="F45" t="s">
        <v>22</v>
      </c>
      <c r="G45" t="s">
        <v>172</v>
      </c>
      <c r="H45" t="s">
        <v>173</v>
      </c>
      <c r="I45" s="1">
        <v>45474</v>
      </c>
      <c r="J45" t="s">
        <v>33</v>
      </c>
      <c r="K45" s="2">
        <v>45778</v>
      </c>
      <c r="L45">
        <v>1</v>
      </c>
      <c r="M45">
        <v>10</v>
      </c>
      <c r="N45">
        <v>0</v>
      </c>
      <c r="O45">
        <v>10</v>
      </c>
      <c r="P45" t="s">
        <v>88</v>
      </c>
      <c r="Q45" s="1">
        <v>45828</v>
      </c>
      <c r="R45" t="s">
        <v>27</v>
      </c>
      <c r="S45" t="s">
        <v>28</v>
      </c>
    </row>
    <row r="46" spans="1:19" x14ac:dyDescent="0.25">
      <c r="A46" t="s">
        <v>174</v>
      </c>
      <c r="B46" t="s">
        <v>175</v>
      </c>
      <c r="C46">
        <v>8814784</v>
      </c>
      <c r="D46" t="s">
        <v>21</v>
      </c>
      <c r="E46">
        <v>1</v>
      </c>
      <c r="F46" t="s">
        <v>22</v>
      </c>
      <c r="G46" t="s">
        <v>176</v>
      </c>
      <c r="H46" t="s">
        <v>177</v>
      </c>
      <c r="I46" s="1">
        <v>45658</v>
      </c>
      <c r="J46" t="s">
        <v>51</v>
      </c>
      <c r="K46" s="2">
        <v>45778</v>
      </c>
      <c r="L46">
        <v>1</v>
      </c>
      <c r="M46">
        <v>20</v>
      </c>
      <c r="N46">
        <v>0</v>
      </c>
      <c r="O46">
        <v>20</v>
      </c>
      <c r="P46" t="s">
        <v>67</v>
      </c>
      <c r="Q46" s="1">
        <v>45828</v>
      </c>
      <c r="R46" t="s">
        <v>27</v>
      </c>
      <c r="S46" t="s">
        <v>28</v>
      </c>
    </row>
    <row r="47" spans="1:19" x14ac:dyDescent="0.25">
      <c r="A47" t="s">
        <v>19</v>
      </c>
      <c r="B47" t="s">
        <v>20</v>
      </c>
      <c r="C47">
        <v>19681796</v>
      </c>
      <c r="D47" t="s">
        <v>21</v>
      </c>
      <c r="E47">
        <v>1</v>
      </c>
      <c r="F47" t="s">
        <v>22</v>
      </c>
      <c r="G47" t="s">
        <v>178</v>
      </c>
      <c r="H47" t="s">
        <v>179</v>
      </c>
      <c r="I47" s="1">
        <v>45658</v>
      </c>
      <c r="J47" t="s">
        <v>51</v>
      </c>
      <c r="K47" s="2">
        <v>45778</v>
      </c>
      <c r="L47">
        <v>3</v>
      </c>
      <c r="M47">
        <v>60</v>
      </c>
      <c r="N47">
        <v>0</v>
      </c>
      <c r="O47">
        <v>60</v>
      </c>
      <c r="P47" t="s">
        <v>67</v>
      </c>
      <c r="Q47" s="1">
        <v>45828</v>
      </c>
      <c r="R47" t="s">
        <v>27</v>
      </c>
      <c r="S47" t="s">
        <v>28</v>
      </c>
    </row>
    <row r="48" spans="1:19" x14ac:dyDescent="0.25">
      <c r="A48" t="s">
        <v>35</v>
      </c>
      <c r="B48" t="s">
        <v>36</v>
      </c>
      <c r="C48">
        <v>9079571</v>
      </c>
      <c r="D48" t="s">
        <v>21</v>
      </c>
      <c r="E48">
        <v>1</v>
      </c>
      <c r="F48" t="s">
        <v>22</v>
      </c>
      <c r="G48" t="s">
        <v>180</v>
      </c>
      <c r="H48" t="s">
        <v>181</v>
      </c>
      <c r="I48" s="1">
        <v>45627</v>
      </c>
      <c r="J48" t="s">
        <v>33</v>
      </c>
      <c r="K48" s="2">
        <v>45778</v>
      </c>
      <c r="L48">
        <v>2</v>
      </c>
      <c r="M48">
        <v>20</v>
      </c>
      <c r="N48">
        <v>0</v>
      </c>
      <c r="O48">
        <v>20</v>
      </c>
      <c r="P48" t="s">
        <v>34</v>
      </c>
      <c r="Q48" s="1">
        <v>45828</v>
      </c>
      <c r="R48" t="s">
        <v>27</v>
      </c>
      <c r="S48" t="s">
        <v>28</v>
      </c>
    </row>
    <row r="49" spans="1:19" x14ac:dyDescent="0.25">
      <c r="A49" t="s">
        <v>35</v>
      </c>
      <c r="B49" t="s">
        <v>36</v>
      </c>
      <c r="C49">
        <v>9079571</v>
      </c>
      <c r="D49" t="s">
        <v>21</v>
      </c>
      <c r="E49">
        <v>1</v>
      </c>
      <c r="F49" t="s">
        <v>22</v>
      </c>
      <c r="G49" t="s">
        <v>182</v>
      </c>
      <c r="H49" t="s">
        <v>183</v>
      </c>
      <c r="I49" s="1">
        <v>45413</v>
      </c>
      <c r="J49" t="s">
        <v>33</v>
      </c>
      <c r="K49" s="2">
        <v>45778</v>
      </c>
      <c r="L49">
        <v>1</v>
      </c>
      <c r="M49">
        <v>10</v>
      </c>
      <c r="N49">
        <v>0</v>
      </c>
      <c r="O49">
        <v>10</v>
      </c>
      <c r="P49" t="s">
        <v>34</v>
      </c>
      <c r="Q49" s="1">
        <v>45828</v>
      </c>
      <c r="R49" t="s">
        <v>27</v>
      </c>
      <c r="S49" t="s">
        <v>28</v>
      </c>
    </row>
    <row r="50" spans="1:19" x14ac:dyDescent="0.25">
      <c r="A50" t="s">
        <v>70</v>
      </c>
      <c r="B50" t="s">
        <v>71</v>
      </c>
      <c r="C50">
        <v>16633294</v>
      </c>
      <c r="D50" t="s">
        <v>21</v>
      </c>
      <c r="E50">
        <v>1</v>
      </c>
      <c r="F50" t="s">
        <v>22</v>
      </c>
      <c r="G50" t="s">
        <v>184</v>
      </c>
      <c r="H50" t="s">
        <v>185</v>
      </c>
      <c r="I50" s="1">
        <v>44927</v>
      </c>
      <c r="J50" t="s">
        <v>51</v>
      </c>
      <c r="K50" s="2">
        <v>45778</v>
      </c>
      <c r="L50">
        <v>1</v>
      </c>
      <c r="M50">
        <v>20</v>
      </c>
      <c r="N50">
        <v>0</v>
      </c>
      <c r="O50">
        <v>20</v>
      </c>
      <c r="P50" t="s">
        <v>52</v>
      </c>
      <c r="Q50" s="1">
        <v>45828</v>
      </c>
      <c r="R50" t="s">
        <v>27</v>
      </c>
      <c r="S50" t="s">
        <v>28</v>
      </c>
    </row>
    <row r="51" spans="1:19" x14ac:dyDescent="0.25">
      <c r="A51" t="s">
        <v>35</v>
      </c>
      <c r="B51" t="s">
        <v>36</v>
      </c>
      <c r="C51">
        <v>9079571</v>
      </c>
      <c r="D51" t="s">
        <v>21</v>
      </c>
      <c r="E51">
        <v>1</v>
      </c>
      <c r="F51" t="s">
        <v>22</v>
      </c>
      <c r="G51" t="s">
        <v>186</v>
      </c>
      <c r="H51" t="s">
        <v>187</v>
      </c>
      <c r="I51" s="1">
        <v>45413</v>
      </c>
      <c r="J51" t="s">
        <v>80</v>
      </c>
      <c r="K51" s="2">
        <v>45778</v>
      </c>
      <c r="L51">
        <v>2</v>
      </c>
      <c r="M51">
        <v>40</v>
      </c>
      <c r="N51">
        <v>0</v>
      </c>
      <c r="O51">
        <v>40</v>
      </c>
      <c r="P51" t="s">
        <v>188</v>
      </c>
      <c r="Q51" s="1">
        <v>45828</v>
      </c>
      <c r="R51" t="s">
        <v>27</v>
      </c>
      <c r="S51" t="s">
        <v>189</v>
      </c>
    </row>
    <row r="52" spans="1:19" x14ac:dyDescent="0.25">
      <c r="A52" t="s">
        <v>35</v>
      </c>
      <c r="B52" t="s">
        <v>36</v>
      </c>
      <c r="C52">
        <v>9079571</v>
      </c>
      <c r="D52" t="s">
        <v>21</v>
      </c>
      <c r="E52">
        <v>1</v>
      </c>
      <c r="F52" t="s">
        <v>22</v>
      </c>
      <c r="G52" t="s">
        <v>190</v>
      </c>
      <c r="H52" t="s">
        <v>191</v>
      </c>
      <c r="I52" s="1">
        <v>45536</v>
      </c>
      <c r="J52" t="s">
        <v>33</v>
      </c>
      <c r="K52" s="2">
        <v>45778</v>
      </c>
      <c r="L52">
        <v>2</v>
      </c>
      <c r="M52">
        <v>20</v>
      </c>
      <c r="N52">
        <v>0</v>
      </c>
      <c r="O52">
        <v>20</v>
      </c>
      <c r="P52" t="s">
        <v>34</v>
      </c>
      <c r="Q52" s="1">
        <v>45828</v>
      </c>
      <c r="R52" t="s">
        <v>27</v>
      </c>
      <c r="S52" t="s">
        <v>28</v>
      </c>
    </row>
    <row r="53" spans="1:19" x14ac:dyDescent="0.25">
      <c r="A53" t="s">
        <v>123</v>
      </c>
      <c r="B53" t="s">
        <v>124</v>
      </c>
      <c r="C53">
        <v>19200754</v>
      </c>
      <c r="D53" t="s">
        <v>21</v>
      </c>
      <c r="E53">
        <v>1</v>
      </c>
      <c r="F53" t="s">
        <v>22</v>
      </c>
      <c r="G53" t="s">
        <v>192</v>
      </c>
      <c r="H53" t="s">
        <v>193</v>
      </c>
      <c r="I53" s="1">
        <v>44927</v>
      </c>
      <c r="J53" t="s">
        <v>51</v>
      </c>
      <c r="K53" s="2">
        <v>45778</v>
      </c>
      <c r="L53">
        <v>1</v>
      </c>
      <c r="M53">
        <v>20</v>
      </c>
      <c r="N53">
        <v>0</v>
      </c>
      <c r="O53">
        <v>20</v>
      </c>
      <c r="P53" t="s">
        <v>52</v>
      </c>
      <c r="Q53" s="1">
        <v>45828</v>
      </c>
      <c r="R53" t="s">
        <v>27</v>
      </c>
      <c r="S53" t="s">
        <v>28</v>
      </c>
    </row>
    <row r="54" spans="1:19" x14ac:dyDescent="0.25">
      <c r="A54" t="s">
        <v>47</v>
      </c>
      <c r="B54" t="s">
        <v>48</v>
      </c>
      <c r="C54">
        <v>9213293</v>
      </c>
      <c r="D54" t="s">
        <v>21</v>
      </c>
      <c r="E54">
        <v>1</v>
      </c>
      <c r="F54" t="s">
        <v>22</v>
      </c>
      <c r="G54" t="s">
        <v>194</v>
      </c>
      <c r="H54" t="s">
        <v>195</v>
      </c>
      <c r="I54" s="1">
        <v>45658</v>
      </c>
      <c r="J54" t="s">
        <v>51</v>
      </c>
      <c r="K54" s="2">
        <v>45778</v>
      </c>
      <c r="L54">
        <v>2</v>
      </c>
      <c r="M54">
        <v>40</v>
      </c>
      <c r="N54">
        <v>0</v>
      </c>
      <c r="O54">
        <v>40</v>
      </c>
      <c r="P54" t="s">
        <v>67</v>
      </c>
      <c r="Q54" s="1">
        <v>45828</v>
      </c>
      <c r="R54" t="s">
        <v>27</v>
      </c>
      <c r="S54" t="s">
        <v>28</v>
      </c>
    </row>
    <row r="55" spans="1:19" x14ac:dyDescent="0.25">
      <c r="A55" t="s">
        <v>117</v>
      </c>
      <c r="B55" t="s">
        <v>118</v>
      </c>
      <c r="C55">
        <v>371819</v>
      </c>
      <c r="D55" t="s">
        <v>21</v>
      </c>
      <c r="E55">
        <v>1</v>
      </c>
      <c r="F55" t="s">
        <v>22</v>
      </c>
      <c r="G55" t="s">
        <v>196</v>
      </c>
      <c r="H55" t="s">
        <v>197</v>
      </c>
      <c r="I55" s="1">
        <v>45292</v>
      </c>
      <c r="J55" t="s">
        <v>140</v>
      </c>
      <c r="K55" s="2">
        <v>45778</v>
      </c>
      <c r="L55">
        <v>1</v>
      </c>
      <c r="M55">
        <v>21</v>
      </c>
      <c r="N55">
        <v>0</v>
      </c>
      <c r="O55">
        <v>21</v>
      </c>
      <c r="P55" t="s">
        <v>141</v>
      </c>
      <c r="Q55" s="1">
        <v>45828</v>
      </c>
      <c r="R55" t="s">
        <v>27</v>
      </c>
      <c r="S55" t="s">
        <v>28</v>
      </c>
    </row>
    <row r="56" spans="1:19" x14ac:dyDescent="0.25">
      <c r="A56" t="s">
        <v>117</v>
      </c>
      <c r="B56" t="s">
        <v>118</v>
      </c>
      <c r="C56">
        <v>371819</v>
      </c>
      <c r="D56" t="s">
        <v>21</v>
      </c>
      <c r="E56">
        <v>1</v>
      </c>
      <c r="F56" t="s">
        <v>22</v>
      </c>
      <c r="G56" t="s">
        <v>198</v>
      </c>
      <c r="H56" t="s">
        <v>199</v>
      </c>
      <c r="I56" s="1">
        <v>45689</v>
      </c>
      <c r="J56" t="s">
        <v>140</v>
      </c>
      <c r="K56" s="2">
        <v>45778</v>
      </c>
      <c r="L56">
        <v>1</v>
      </c>
      <c r="M56">
        <v>21</v>
      </c>
      <c r="N56">
        <v>0</v>
      </c>
      <c r="O56">
        <v>21</v>
      </c>
      <c r="P56" t="s">
        <v>141</v>
      </c>
      <c r="Q56" s="1">
        <v>45828</v>
      </c>
      <c r="R56" t="s">
        <v>27</v>
      </c>
      <c r="S56" t="s">
        <v>28</v>
      </c>
    </row>
    <row r="57" spans="1:19" x14ac:dyDescent="0.25">
      <c r="A57" t="s">
        <v>117</v>
      </c>
      <c r="B57" t="s">
        <v>118</v>
      </c>
      <c r="C57">
        <v>371819</v>
      </c>
      <c r="D57" t="s">
        <v>21</v>
      </c>
      <c r="E57">
        <v>1</v>
      </c>
      <c r="F57" t="s">
        <v>22</v>
      </c>
      <c r="G57" t="s">
        <v>200</v>
      </c>
      <c r="H57" t="s">
        <v>201</v>
      </c>
      <c r="I57" s="1">
        <v>45689</v>
      </c>
      <c r="J57" t="s">
        <v>140</v>
      </c>
      <c r="K57" s="2">
        <v>45778</v>
      </c>
      <c r="L57">
        <v>1</v>
      </c>
      <c r="M57">
        <v>21</v>
      </c>
      <c r="N57">
        <v>0</v>
      </c>
      <c r="O57">
        <v>21</v>
      </c>
      <c r="P57" t="s">
        <v>141</v>
      </c>
      <c r="Q57" s="1">
        <v>45828</v>
      </c>
      <c r="R57" t="s">
        <v>27</v>
      </c>
      <c r="S57" t="s">
        <v>28</v>
      </c>
    </row>
    <row r="58" spans="1:19" x14ac:dyDescent="0.25">
      <c r="A58" t="s">
        <v>19</v>
      </c>
      <c r="B58" t="s">
        <v>20</v>
      </c>
      <c r="C58">
        <v>19681796</v>
      </c>
      <c r="D58" t="s">
        <v>21</v>
      </c>
      <c r="E58">
        <v>1</v>
      </c>
      <c r="F58" t="s">
        <v>22</v>
      </c>
      <c r="G58" t="s">
        <v>202</v>
      </c>
      <c r="H58" t="s">
        <v>203</v>
      </c>
      <c r="I58" s="1">
        <v>45658</v>
      </c>
      <c r="J58" t="s">
        <v>25</v>
      </c>
      <c r="K58" s="2">
        <v>45778</v>
      </c>
      <c r="L58">
        <v>2</v>
      </c>
      <c r="M58">
        <v>40</v>
      </c>
      <c r="N58">
        <v>0</v>
      </c>
      <c r="O58">
        <v>40</v>
      </c>
      <c r="P58" t="s">
        <v>74</v>
      </c>
      <c r="Q58" s="1">
        <v>45828</v>
      </c>
      <c r="R58" t="s">
        <v>27</v>
      </c>
      <c r="S58" t="s">
        <v>28</v>
      </c>
    </row>
    <row r="59" spans="1:19" x14ac:dyDescent="0.25">
      <c r="A59" t="s">
        <v>63</v>
      </c>
      <c r="B59" t="s">
        <v>64</v>
      </c>
      <c r="C59">
        <v>14177521</v>
      </c>
      <c r="D59" t="s">
        <v>21</v>
      </c>
      <c r="E59">
        <v>1</v>
      </c>
      <c r="F59" t="s">
        <v>22</v>
      </c>
      <c r="G59" t="s">
        <v>204</v>
      </c>
      <c r="H59" t="s">
        <v>205</v>
      </c>
      <c r="I59" s="1">
        <v>45717</v>
      </c>
      <c r="J59" t="s">
        <v>51</v>
      </c>
      <c r="K59" s="2">
        <v>45778</v>
      </c>
      <c r="L59">
        <v>1</v>
      </c>
      <c r="M59">
        <v>20</v>
      </c>
      <c r="N59">
        <v>0</v>
      </c>
      <c r="O59">
        <v>20</v>
      </c>
      <c r="P59" t="s">
        <v>67</v>
      </c>
      <c r="Q59" s="1">
        <v>45828</v>
      </c>
      <c r="R59" t="s">
        <v>27</v>
      </c>
      <c r="S59" t="s">
        <v>28</v>
      </c>
    </row>
    <row r="60" spans="1:19" x14ac:dyDescent="0.25">
      <c r="A60" t="s">
        <v>57</v>
      </c>
      <c r="B60" t="s">
        <v>58</v>
      </c>
      <c r="C60">
        <v>8977234</v>
      </c>
      <c r="D60" t="s">
        <v>21</v>
      </c>
      <c r="E60">
        <v>1</v>
      </c>
      <c r="F60" t="s">
        <v>22</v>
      </c>
      <c r="G60" t="s">
        <v>206</v>
      </c>
      <c r="H60" t="s">
        <v>207</v>
      </c>
      <c r="I60" s="1">
        <v>44927</v>
      </c>
      <c r="J60" t="s">
        <v>135</v>
      </c>
      <c r="K60" s="2">
        <v>45778</v>
      </c>
      <c r="L60">
        <v>2</v>
      </c>
      <c r="M60">
        <v>40</v>
      </c>
      <c r="N60">
        <v>0</v>
      </c>
      <c r="O60">
        <v>40</v>
      </c>
      <c r="P60" t="s">
        <v>136</v>
      </c>
      <c r="Q60" s="1">
        <v>45828</v>
      </c>
      <c r="R60" t="s">
        <v>27</v>
      </c>
      <c r="S60" t="s">
        <v>137</v>
      </c>
    </row>
    <row r="61" spans="1:19" x14ac:dyDescent="0.25">
      <c r="A61" t="s">
        <v>57</v>
      </c>
      <c r="B61" t="s">
        <v>58</v>
      </c>
      <c r="C61">
        <v>8977234</v>
      </c>
      <c r="D61" t="s">
        <v>21</v>
      </c>
      <c r="E61">
        <v>1</v>
      </c>
      <c r="F61" t="s">
        <v>22</v>
      </c>
      <c r="G61" t="s">
        <v>208</v>
      </c>
      <c r="H61" t="s">
        <v>209</v>
      </c>
      <c r="I61" s="1">
        <v>44986</v>
      </c>
      <c r="J61" t="s">
        <v>135</v>
      </c>
      <c r="K61" s="2">
        <v>45778</v>
      </c>
      <c r="L61">
        <v>1</v>
      </c>
      <c r="M61">
        <v>20</v>
      </c>
      <c r="N61">
        <v>0</v>
      </c>
      <c r="O61">
        <v>20</v>
      </c>
      <c r="P61" t="s">
        <v>136</v>
      </c>
      <c r="Q61" s="1">
        <v>45828</v>
      </c>
      <c r="R61" t="s">
        <v>27</v>
      </c>
      <c r="S61" t="s">
        <v>137</v>
      </c>
    </row>
    <row r="62" spans="1:19" x14ac:dyDescent="0.25">
      <c r="A62" t="s">
        <v>70</v>
      </c>
      <c r="B62" t="s">
        <v>71</v>
      </c>
      <c r="C62">
        <v>16633294</v>
      </c>
      <c r="D62" t="s">
        <v>21</v>
      </c>
      <c r="E62">
        <v>1</v>
      </c>
      <c r="F62" t="s">
        <v>22</v>
      </c>
      <c r="G62" t="s">
        <v>210</v>
      </c>
      <c r="H62" t="s">
        <v>211</v>
      </c>
      <c r="I62" s="1">
        <v>45658</v>
      </c>
      <c r="J62" t="s">
        <v>51</v>
      </c>
      <c r="K62" s="2">
        <v>45778</v>
      </c>
      <c r="L62">
        <v>1</v>
      </c>
      <c r="M62">
        <v>20</v>
      </c>
      <c r="N62">
        <v>0</v>
      </c>
      <c r="O62">
        <v>20</v>
      </c>
      <c r="P62" t="s">
        <v>67</v>
      </c>
      <c r="Q62" s="1">
        <v>45828</v>
      </c>
      <c r="R62" t="s">
        <v>27</v>
      </c>
      <c r="S62" t="s">
        <v>28</v>
      </c>
    </row>
    <row r="63" spans="1:19" x14ac:dyDescent="0.25">
      <c r="A63" t="s">
        <v>70</v>
      </c>
      <c r="B63" t="s">
        <v>71</v>
      </c>
      <c r="C63">
        <v>16633294</v>
      </c>
      <c r="D63" t="s">
        <v>21</v>
      </c>
      <c r="E63">
        <v>1</v>
      </c>
      <c r="F63" t="s">
        <v>22</v>
      </c>
      <c r="G63" t="s">
        <v>212</v>
      </c>
      <c r="H63" t="s">
        <v>213</v>
      </c>
      <c r="I63" s="1">
        <v>45658</v>
      </c>
      <c r="J63" t="s">
        <v>51</v>
      </c>
      <c r="K63" s="2">
        <v>45778</v>
      </c>
      <c r="L63">
        <v>2</v>
      </c>
      <c r="M63">
        <v>40</v>
      </c>
      <c r="N63">
        <v>0</v>
      </c>
      <c r="O63">
        <v>40</v>
      </c>
      <c r="P63" t="s">
        <v>67</v>
      </c>
      <c r="Q63" s="1">
        <v>45828</v>
      </c>
      <c r="R63" t="s">
        <v>27</v>
      </c>
      <c r="S63" t="s">
        <v>28</v>
      </c>
    </row>
    <row r="64" spans="1:19" x14ac:dyDescent="0.25">
      <c r="A64" t="s">
        <v>29</v>
      </c>
      <c r="B64" t="s">
        <v>30</v>
      </c>
      <c r="C64">
        <v>16202925</v>
      </c>
      <c r="D64" t="s">
        <v>21</v>
      </c>
      <c r="E64">
        <v>1</v>
      </c>
      <c r="F64" t="s">
        <v>22</v>
      </c>
      <c r="G64" t="s">
        <v>214</v>
      </c>
      <c r="H64" t="s">
        <v>215</v>
      </c>
      <c r="I64" s="1">
        <v>45292</v>
      </c>
      <c r="J64" t="s">
        <v>33</v>
      </c>
      <c r="K64" s="2">
        <v>45778</v>
      </c>
      <c r="L64">
        <v>2</v>
      </c>
      <c r="M64">
        <v>20</v>
      </c>
      <c r="N64">
        <v>0</v>
      </c>
      <c r="O64">
        <v>20</v>
      </c>
      <c r="P64" t="s">
        <v>34</v>
      </c>
      <c r="Q64" s="1">
        <v>45828</v>
      </c>
      <c r="R64" t="s">
        <v>27</v>
      </c>
      <c r="S64" t="s">
        <v>28</v>
      </c>
    </row>
    <row r="65" spans="1:19" x14ac:dyDescent="0.25">
      <c r="A65" t="s">
        <v>63</v>
      </c>
      <c r="B65" t="s">
        <v>64</v>
      </c>
      <c r="C65">
        <v>14177521</v>
      </c>
      <c r="D65" t="s">
        <v>21</v>
      </c>
      <c r="E65">
        <v>1</v>
      </c>
      <c r="F65" t="s">
        <v>22</v>
      </c>
      <c r="G65" t="s">
        <v>216</v>
      </c>
      <c r="H65" t="s">
        <v>217</v>
      </c>
      <c r="I65" s="1">
        <v>45292</v>
      </c>
      <c r="J65" t="s">
        <v>51</v>
      </c>
      <c r="K65" s="2">
        <v>45778</v>
      </c>
      <c r="L65">
        <v>1</v>
      </c>
      <c r="M65">
        <v>20</v>
      </c>
      <c r="N65">
        <v>0</v>
      </c>
      <c r="O65">
        <v>20</v>
      </c>
      <c r="P65" t="s">
        <v>52</v>
      </c>
      <c r="Q65" s="1">
        <v>45828</v>
      </c>
      <c r="R65" t="s">
        <v>27</v>
      </c>
      <c r="S65" t="s">
        <v>28</v>
      </c>
    </row>
    <row r="66" spans="1:19" x14ac:dyDescent="0.25">
      <c r="A66" t="s">
        <v>93</v>
      </c>
      <c r="B66" t="s">
        <v>218</v>
      </c>
      <c r="C66">
        <v>20003537</v>
      </c>
      <c r="D66" t="s">
        <v>21</v>
      </c>
      <c r="E66">
        <v>1</v>
      </c>
      <c r="F66" t="s">
        <v>22</v>
      </c>
      <c r="G66" t="s">
        <v>219</v>
      </c>
      <c r="H66" t="s">
        <v>220</v>
      </c>
      <c r="I66" s="1">
        <v>45689</v>
      </c>
      <c r="J66" t="s">
        <v>51</v>
      </c>
      <c r="K66" s="2">
        <v>45778</v>
      </c>
      <c r="L66">
        <v>1</v>
      </c>
      <c r="M66">
        <v>20</v>
      </c>
      <c r="N66">
        <v>0</v>
      </c>
      <c r="O66">
        <v>20</v>
      </c>
      <c r="P66" t="s">
        <v>67</v>
      </c>
      <c r="Q66" s="1">
        <v>45828</v>
      </c>
      <c r="R66" t="s">
        <v>27</v>
      </c>
      <c r="S66" t="s">
        <v>28</v>
      </c>
    </row>
    <row r="67" spans="1:19" x14ac:dyDescent="0.25">
      <c r="A67" t="s">
        <v>221</v>
      </c>
      <c r="B67" t="s">
        <v>222</v>
      </c>
      <c r="C67">
        <v>17126004</v>
      </c>
      <c r="D67" t="s">
        <v>21</v>
      </c>
      <c r="E67">
        <v>1</v>
      </c>
      <c r="F67" t="s">
        <v>22</v>
      </c>
      <c r="G67" t="s">
        <v>223</v>
      </c>
      <c r="H67" t="s">
        <v>224</v>
      </c>
      <c r="I67" s="1">
        <v>45474</v>
      </c>
      <c r="J67" t="s">
        <v>51</v>
      </c>
      <c r="K67" s="2">
        <v>45778</v>
      </c>
      <c r="L67">
        <v>1</v>
      </c>
      <c r="M67">
        <v>20</v>
      </c>
      <c r="N67">
        <v>0</v>
      </c>
      <c r="O67">
        <v>20</v>
      </c>
      <c r="P67" t="s">
        <v>52</v>
      </c>
      <c r="Q67" s="1">
        <v>45828</v>
      </c>
      <c r="R67" t="s">
        <v>27</v>
      </c>
      <c r="S67" t="s">
        <v>28</v>
      </c>
    </row>
    <row r="68" spans="1:19" x14ac:dyDescent="0.25">
      <c r="A68" t="s">
        <v>225</v>
      </c>
      <c r="B68" t="s">
        <v>226</v>
      </c>
      <c r="C68">
        <v>7387433</v>
      </c>
      <c r="D68" t="s">
        <v>21</v>
      </c>
      <c r="E68">
        <v>1</v>
      </c>
      <c r="F68" t="s">
        <v>22</v>
      </c>
      <c r="G68" t="s">
        <v>227</v>
      </c>
      <c r="H68" t="s">
        <v>228</v>
      </c>
      <c r="I68" s="1">
        <v>45597</v>
      </c>
      <c r="J68" t="s">
        <v>33</v>
      </c>
      <c r="K68" s="2">
        <v>45778</v>
      </c>
      <c r="L68">
        <v>1</v>
      </c>
      <c r="M68">
        <v>10</v>
      </c>
      <c r="N68">
        <v>0</v>
      </c>
      <c r="O68">
        <v>10</v>
      </c>
      <c r="P68" t="s">
        <v>34</v>
      </c>
      <c r="Q68" s="1">
        <v>45828</v>
      </c>
      <c r="R68" t="s">
        <v>27</v>
      </c>
      <c r="S68" t="s">
        <v>28</v>
      </c>
    </row>
    <row r="69" spans="1:19" x14ac:dyDescent="0.25">
      <c r="A69" t="s">
        <v>229</v>
      </c>
      <c r="B69" t="s">
        <v>230</v>
      </c>
      <c r="C69">
        <v>18828278</v>
      </c>
      <c r="D69" t="s">
        <v>21</v>
      </c>
      <c r="E69">
        <v>1</v>
      </c>
      <c r="F69" t="s">
        <v>22</v>
      </c>
      <c r="G69" t="s">
        <v>231</v>
      </c>
      <c r="H69" t="s">
        <v>232</v>
      </c>
      <c r="I69" s="1">
        <v>45658</v>
      </c>
      <c r="J69" t="s">
        <v>51</v>
      </c>
      <c r="K69" s="2">
        <v>45778</v>
      </c>
      <c r="L69">
        <v>1</v>
      </c>
      <c r="M69">
        <v>20</v>
      </c>
      <c r="N69">
        <v>0</v>
      </c>
      <c r="O69">
        <v>20</v>
      </c>
      <c r="P69" t="s">
        <v>67</v>
      </c>
      <c r="Q69" s="1">
        <v>45828</v>
      </c>
      <c r="R69" t="s">
        <v>27</v>
      </c>
      <c r="S69" t="s">
        <v>28</v>
      </c>
    </row>
    <row r="70" spans="1:19" x14ac:dyDescent="0.25">
      <c r="A70" t="s">
        <v>57</v>
      </c>
      <c r="B70" t="s">
        <v>58</v>
      </c>
      <c r="C70">
        <v>8977234</v>
      </c>
      <c r="D70" t="s">
        <v>21</v>
      </c>
      <c r="E70">
        <v>1</v>
      </c>
      <c r="F70" t="s">
        <v>22</v>
      </c>
      <c r="G70" t="s">
        <v>233</v>
      </c>
      <c r="H70" t="s">
        <v>234</v>
      </c>
      <c r="I70" s="1">
        <v>45658</v>
      </c>
      <c r="J70" t="s">
        <v>140</v>
      </c>
      <c r="K70" s="2">
        <v>45778</v>
      </c>
      <c r="L70">
        <v>2</v>
      </c>
      <c r="M70">
        <v>42</v>
      </c>
      <c r="N70">
        <v>0</v>
      </c>
      <c r="O70">
        <v>42</v>
      </c>
      <c r="P70" t="s">
        <v>141</v>
      </c>
      <c r="Q70" s="1">
        <v>45828</v>
      </c>
      <c r="R70" t="s">
        <v>27</v>
      </c>
      <c r="S70" t="s">
        <v>28</v>
      </c>
    </row>
    <row r="71" spans="1:19" x14ac:dyDescent="0.25">
      <c r="A71" t="s">
        <v>19</v>
      </c>
      <c r="B71" t="s">
        <v>20</v>
      </c>
      <c r="C71">
        <v>19681796</v>
      </c>
      <c r="D71" t="s">
        <v>21</v>
      </c>
      <c r="E71">
        <v>1</v>
      </c>
      <c r="F71" t="s">
        <v>22</v>
      </c>
      <c r="G71" t="s">
        <v>235</v>
      </c>
      <c r="H71" t="s">
        <v>236</v>
      </c>
      <c r="I71" s="1">
        <v>45658</v>
      </c>
      <c r="J71" t="s">
        <v>51</v>
      </c>
      <c r="K71" s="2">
        <v>45778</v>
      </c>
      <c r="L71">
        <v>1</v>
      </c>
      <c r="M71">
        <v>20</v>
      </c>
      <c r="N71">
        <v>0</v>
      </c>
      <c r="O71">
        <v>20</v>
      </c>
      <c r="P71" t="s">
        <v>67</v>
      </c>
      <c r="Q71" s="1">
        <v>45828</v>
      </c>
      <c r="R71" t="s">
        <v>27</v>
      </c>
      <c r="S71" t="s">
        <v>28</v>
      </c>
    </row>
    <row r="72" spans="1:19" x14ac:dyDescent="0.25">
      <c r="A72" t="s">
        <v>35</v>
      </c>
      <c r="B72" t="s">
        <v>36</v>
      </c>
      <c r="C72">
        <v>9079571</v>
      </c>
      <c r="D72" t="s">
        <v>21</v>
      </c>
      <c r="E72">
        <v>1</v>
      </c>
      <c r="F72" t="s">
        <v>22</v>
      </c>
      <c r="G72" t="s">
        <v>237</v>
      </c>
      <c r="H72" t="s">
        <v>238</v>
      </c>
      <c r="I72" s="1">
        <v>45474</v>
      </c>
      <c r="J72" t="s">
        <v>33</v>
      </c>
      <c r="K72" s="2">
        <v>45778</v>
      </c>
      <c r="L72">
        <v>1</v>
      </c>
      <c r="M72">
        <v>10</v>
      </c>
      <c r="N72">
        <v>0</v>
      </c>
      <c r="O72">
        <v>10</v>
      </c>
      <c r="P72" t="s">
        <v>34</v>
      </c>
      <c r="Q72" s="1">
        <v>45828</v>
      </c>
      <c r="R72" t="s">
        <v>27</v>
      </c>
      <c r="S72" t="s">
        <v>28</v>
      </c>
    </row>
    <row r="73" spans="1:19" x14ac:dyDescent="0.25">
      <c r="A73" t="s">
        <v>101</v>
      </c>
      <c r="B73" t="s">
        <v>102</v>
      </c>
      <c r="C73">
        <v>8307933</v>
      </c>
      <c r="D73" t="s">
        <v>21</v>
      </c>
      <c r="E73">
        <v>1</v>
      </c>
      <c r="F73" t="s">
        <v>22</v>
      </c>
      <c r="G73" t="s">
        <v>239</v>
      </c>
      <c r="H73" t="s">
        <v>240</v>
      </c>
      <c r="I73" s="1">
        <v>45536</v>
      </c>
      <c r="J73" t="s">
        <v>43</v>
      </c>
      <c r="K73" s="2">
        <v>45778</v>
      </c>
      <c r="L73">
        <v>1</v>
      </c>
      <c r="M73">
        <v>25</v>
      </c>
      <c r="N73">
        <v>0</v>
      </c>
      <c r="O73">
        <v>25</v>
      </c>
      <c r="P73" t="s">
        <v>241</v>
      </c>
      <c r="Q73" s="1">
        <v>45828</v>
      </c>
      <c r="R73" t="s">
        <v>27</v>
      </c>
      <c r="S73" t="s">
        <v>28</v>
      </c>
    </row>
    <row r="74" spans="1:19" x14ac:dyDescent="0.25">
      <c r="A74" t="s">
        <v>35</v>
      </c>
      <c r="B74" t="s">
        <v>36</v>
      </c>
      <c r="C74">
        <v>9079571</v>
      </c>
      <c r="D74" t="s">
        <v>21</v>
      </c>
      <c r="E74">
        <v>1</v>
      </c>
      <c r="F74" t="s">
        <v>22</v>
      </c>
      <c r="G74" t="s">
        <v>242</v>
      </c>
      <c r="H74" t="s">
        <v>243</v>
      </c>
      <c r="I74" s="1">
        <v>45505</v>
      </c>
      <c r="J74" t="s">
        <v>33</v>
      </c>
      <c r="K74" s="2">
        <v>45778</v>
      </c>
      <c r="L74">
        <v>2</v>
      </c>
      <c r="M74">
        <v>20</v>
      </c>
      <c r="N74">
        <v>0</v>
      </c>
      <c r="O74">
        <v>20</v>
      </c>
      <c r="P74" t="s">
        <v>34</v>
      </c>
      <c r="Q74" s="1">
        <v>45828</v>
      </c>
      <c r="R74" t="s">
        <v>27</v>
      </c>
      <c r="S74" t="s">
        <v>28</v>
      </c>
    </row>
    <row r="75" spans="1:19" x14ac:dyDescent="0.25">
      <c r="A75" t="s">
        <v>35</v>
      </c>
      <c r="B75" t="s">
        <v>36</v>
      </c>
      <c r="C75">
        <v>9079571</v>
      </c>
      <c r="D75" t="s">
        <v>21</v>
      </c>
      <c r="E75">
        <v>1</v>
      </c>
      <c r="F75" t="s">
        <v>22</v>
      </c>
      <c r="G75" t="s">
        <v>244</v>
      </c>
      <c r="H75" t="s">
        <v>245</v>
      </c>
      <c r="I75" s="1">
        <v>45444</v>
      </c>
      <c r="J75" t="s">
        <v>33</v>
      </c>
      <c r="K75" s="2">
        <v>45778</v>
      </c>
      <c r="L75">
        <v>1</v>
      </c>
      <c r="M75">
        <v>10</v>
      </c>
      <c r="N75">
        <v>0</v>
      </c>
      <c r="O75">
        <v>10</v>
      </c>
      <c r="P75" t="s">
        <v>34</v>
      </c>
      <c r="Q75" s="1">
        <v>45828</v>
      </c>
      <c r="R75" t="s">
        <v>27</v>
      </c>
      <c r="S75" t="s">
        <v>28</v>
      </c>
    </row>
    <row r="76" spans="1:19" x14ac:dyDescent="0.25">
      <c r="A76" t="s">
        <v>70</v>
      </c>
      <c r="B76" t="s">
        <v>71</v>
      </c>
      <c r="C76">
        <v>16633294</v>
      </c>
      <c r="D76" t="s">
        <v>21</v>
      </c>
      <c r="E76">
        <v>1</v>
      </c>
      <c r="F76" t="s">
        <v>22</v>
      </c>
      <c r="G76" t="s">
        <v>246</v>
      </c>
      <c r="H76" t="s">
        <v>247</v>
      </c>
      <c r="I76" s="1">
        <v>45292</v>
      </c>
      <c r="J76" t="s">
        <v>51</v>
      </c>
      <c r="K76" s="2">
        <v>45778</v>
      </c>
      <c r="L76">
        <v>1</v>
      </c>
      <c r="M76">
        <v>20</v>
      </c>
      <c r="N76">
        <v>0</v>
      </c>
      <c r="O76">
        <v>20</v>
      </c>
      <c r="P76" t="s">
        <v>52</v>
      </c>
      <c r="Q76" s="1">
        <v>45828</v>
      </c>
      <c r="R76" t="s">
        <v>27</v>
      </c>
      <c r="S76" t="s">
        <v>28</v>
      </c>
    </row>
    <row r="77" spans="1:19" x14ac:dyDescent="0.25">
      <c r="A77" t="s">
        <v>57</v>
      </c>
      <c r="B77" t="s">
        <v>58</v>
      </c>
      <c r="C77">
        <v>8977234</v>
      </c>
      <c r="D77" t="s">
        <v>21</v>
      </c>
      <c r="E77">
        <v>1</v>
      </c>
      <c r="F77" t="s">
        <v>22</v>
      </c>
      <c r="G77" t="s">
        <v>248</v>
      </c>
      <c r="H77" t="s">
        <v>249</v>
      </c>
      <c r="I77" s="1">
        <v>45200</v>
      </c>
      <c r="J77" t="s">
        <v>25</v>
      </c>
      <c r="K77" s="2">
        <v>45658</v>
      </c>
      <c r="L77">
        <v>1</v>
      </c>
      <c r="M77">
        <v>20</v>
      </c>
      <c r="N77">
        <v>0</v>
      </c>
      <c r="O77">
        <v>20</v>
      </c>
      <c r="P77" t="s">
        <v>26</v>
      </c>
      <c r="Q77" s="1">
        <v>45828</v>
      </c>
      <c r="R77" t="s">
        <v>27</v>
      </c>
      <c r="S77" t="s">
        <v>28</v>
      </c>
    </row>
    <row r="78" spans="1:19" x14ac:dyDescent="0.25">
      <c r="A78" t="s">
        <v>57</v>
      </c>
      <c r="B78" t="s">
        <v>58</v>
      </c>
      <c r="C78">
        <v>8977234</v>
      </c>
      <c r="D78" t="s">
        <v>21</v>
      </c>
      <c r="E78">
        <v>1</v>
      </c>
      <c r="F78" t="s">
        <v>22</v>
      </c>
      <c r="G78" t="s">
        <v>248</v>
      </c>
      <c r="H78" t="s">
        <v>249</v>
      </c>
      <c r="I78" s="1">
        <v>45200</v>
      </c>
      <c r="J78" t="s">
        <v>25</v>
      </c>
      <c r="K78" s="2">
        <v>45689</v>
      </c>
      <c r="L78">
        <v>1</v>
      </c>
      <c r="M78">
        <v>20</v>
      </c>
      <c r="N78">
        <v>0</v>
      </c>
      <c r="O78">
        <v>20</v>
      </c>
      <c r="P78" t="s">
        <v>26</v>
      </c>
      <c r="Q78" s="1">
        <v>45828</v>
      </c>
      <c r="R78" t="s">
        <v>27</v>
      </c>
      <c r="S78" t="s">
        <v>28</v>
      </c>
    </row>
    <row r="79" spans="1:19" x14ac:dyDescent="0.25">
      <c r="A79" t="s">
        <v>57</v>
      </c>
      <c r="B79" t="s">
        <v>58</v>
      </c>
      <c r="C79">
        <v>8977234</v>
      </c>
      <c r="D79" t="s">
        <v>21</v>
      </c>
      <c r="E79">
        <v>1</v>
      </c>
      <c r="F79" t="s">
        <v>22</v>
      </c>
      <c r="G79" t="s">
        <v>248</v>
      </c>
      <c r="H79" t="s">
        <v>249</v>
      </c>
      <c r="I79" s="1">
        <v>45200</v>
      </c>
      <c r="J79" t="s">
        <v>25</v>
      </c>
      <c r="K79" s="2">
        <v>45717</v>
      </c>
      <c r="L79">
        <v>1</v>
      </c>
      <c r="M79">
        <v>20</v>
      </c>
      <c r="N79">
        <v>0</v>
      </c>
      <c r="O79">
        <v>20</v>
      </c>
      <c r="P79" t="s">
        <v>26</v>
      </c>
      <c r="Q79" s="1">
        <v>45828</v>
      </c>
      <c r="R79" t="s">
        <v>27</v>
      </c>
      <c r="S79" t="s">
        <v>28</v>
      </c>
    </row>
    <row r="80" spans="1:19" x14ac:dyDescent="0.25">
      <c r="A80" t="s">
        <v>57</v>
      </c>
      <c r="B80" t="s">
        <v>58</v>
      </c>
      <c r="C80">
        <v>8977234</v>
      </c>
      <c r="D80" t="s">
        <v>21</v>
      </c>
      <c r="E80">
        <v>1</v>
      </c>
      <c r="F80" t="s">
        <v>22</v>
      </c>
      <c r="G80" t="s">
        <v>248</v>
      </c>
      <c r="H80" t="s">
        <v>249</v>
      </c>
      <c r="I80" s="1">
        <v>45200</v>
      </c>
      <c r="J80" t="s">
        <v>25</v>
      </c>
      <c r="K80" s="2">
        <v>45748</v>
      </c>
      <c r="L80">
        <v>1</v>
      </c>
      <c r="M80">
        <v>20</v>
      </c>
      <c r="N80">
        <v>0</v>
      </c>
      <c r="O80">
        <v>20</v>
      </c>
      <c r="P80" t="s">
        <v>26</v>
      </c>
      <c r="Q80" s="1">
        <v>45828</v>
      </c>
      <c r="R80" t="s">
        <v>27</v>
      </c>
      <c r="S80" t="s">
        <v>28</v>
      </c>
    </row>
    <row r="81" spans="1:19" x14ac:dyDescent="0.25">
      <c r="A81" t="s">
        <v>57</v>
      </c>
      <c r="B81" t="s">
        <v>58</v>
      </c>
      <c r="C81">
        <v>8977234</v>
      </c>
      <c r="D81" t="s">
        <v>21</v>
      </c>
      <c r="E81">
        <v>1</v>
      </c>
      <c r="F81" t="s">
        <v>22</v>
      </c>
      <c r="G81" t="s">
        <v>248</v>
      </c>
      <c r="H81" t="s">
        <v>249</v>
      </c>
      <c r="I81" s="1">
        <v>45200</v>
      </c>
      <c r="J81" t="s">
        <v>25</v>
      </c>
      <c r="K81" s="2">
        <v>45778</v>
      </c>
      <c r="L81">
        <v>1</v>
      </c>
      <c r="M81">
        <v>20</v>
      </c>
      <c r="N81">
        <v>0</v>
      </c>
      <c r="O81">
        <v>20</v>
      </c>
      <c r="P81" t="s">
        <v>26</v>
      </c>
      <c r="Q81" s="1">
        <v>45828</v>
      </c>
      <c r="R81" t="s">
        <v>27</v>
      </c>
      <c r="S81" t="s">
        <v>28</v>
      </c>
    </row>
    <row r="82" spans="1:19" x14ac:dyDescent="0.25">
      <c r="A82" t="s">
        <v>123</v>
      </c>
      <c r="B82" t="s">
        <v>124</v>
      </c>
      <c r="C82">
        <v>19200754</v>
      </c>
      <c r="D82" t="s">
        <v>21</v>
      </c>
      <c r="E82">
        <v>1</v>
      </c>
      <c r="F82" t="s">
        <v>22</v>
      </c>
      <c r="G82" t="s">
        <v>250</v>
      </c>
      <c r="H82" t="s">
        <v>251</v>
      </c>
      <c r="I82" s="1">
        <v>45658</v>
      </c>
      <c r="J82" t="s">
        <v>51</v>
      </c>
      <c r="K82" s="2">
        <v>45778</v>
      </c>
      <c r="L82">
        <v>1</v>
      </c>
      <c r="M82">
        <v>20</v>
      </c>
      <c r="N82">
        <v>0</v>
      </c>
      <c r="O82">
        <v>20</v>
      </c>
      <c r="P82" t="s">
        <v>67</v>
      </c>
      <c r="Q82" s="1">
        <v>45828</v>
      </c>
      <c r="R82" t="s">
        <v>27</v>
      </c>
      <c r="S82" t="s">
        <v>28</v>
      </c>
    </row>
    <row r="83" spans="1:19" x14ac:dyDescent="0.25">
      <c r="A83" t="s">
        <v>101</v>
      </c>
      <c r="B83" t="s">
        <v>102</v>
      </c>
      <c r="C83">
        <v>8307933</v>
      </c>
      <c r="D83" t="s">
        <v>21</v>
      </c>
      <c r="E83">
        <v>1</v>
      </c>
      <c r="F83" t="s">
        <v>22</v>
      </c>
      <c r="G83" t="s">
        <v>252</v>
      </c>
      <c r="H83" t="s">
        <v>253</v>
      </c>
      <c r="I83" s="1">
        <v>45292</v>
      </c>
      <c r="J83" t="s">
        <v>51</v>
      </c>
      <c r="K83" s="2">
        <v>45778</v>
      </c>
      <c r="L83">
        <v>1</v>
      </c>
      <c r="M83">
        <v>20</v>
      </c>
      <c r="N83">
        <v>0</v>
      </c>
      <c r="O83">
        <v>20</v>
      </c>
      <c r="P83" t="s">
        <v>52</v>
      </c>
      <c r="Q83" s="1">
        <v>45828</v>
      </c>
      <c r="R83" t="s">
        <v>27</v>
      </c>
      <c r="S83" t="s">
        <v>28</v>
      </c>
    </row>
    <row r="84" spans="1:19" x14ac:dyDescent="0.25">
      <c r="A84" t="s">
        <v>174</v>
      </c>
      <c r="B84" t="s">
        <v>175</v>
      </c>
      <c r="C84">
        <v>8814784</v>
      </c>
      <c r="D84" t="s">
        <v>21</v>
      </c>
      <c r="E84">
        <v>1</v>
      </c>
      <c r="F84" t="s">
        <v>22</v>
      </c>
      <c r="G84" t="s">
        <v>254</v>
      </c>
      <c r="H84" t="s">
        <v>255</v>
      </c>
      <c r="I84" s="1">
        <v>45566</v>
      </c>
      <c r="J84" t="s">
        <v>25</v>
      </c>
      <c r="K84" s="2">
        <v>45778</v>
      </c>
      <c r="L84">
        <v>1</v>
      </c>
      <c r="M84">
        <v>20</v>
      </c>
      <c r="N84">
        <v>0</v>
      </c>
      <c r="O84">
        <v>20</v>
      </c>
      <c r="P84" t="s">
        <v>26</v>
      </c>
      <c r="Q84" s="1">
        <v>45828</v>
      </c>
      <c r="R84" t="s">
        <v>27</v>
      </c>
      <c r="S84" t="s">
        <v>28</v>
      </c>
    </row>
    <row r="85" spans="1:19" x14ac:dyDescent="0.25">
      <c r="A85" t="s">
        <v>35</v>
      </c>
      <c r="B85" t="s">
        <v>36</v>
      </c>
      <c r="C85">
        <v>9079571</v>
      </c>
      <c r="D85" t="s">
        <v>21</v>
      </c>
      <c r="E85">
        <v>1</v>
      </c>
      <c r="F85" t="s">
        <v>22</v>
      </c>
      <c r="G85" t="s">
        <v>256</v>
      </c>
      <c r="H85" t="s">
        <v>257</v>
      </c>
      <c r="I85" s="1">
        <v>45474</v>
      </c>
      <c r="J85" t="s">
        <v>33</v>
      </c>
      <c r="K85" s="2">
        <v>45778</v>
      </c>
      <c r="L85">
        <v>1</v>
      </c>
      <c r="M85">
        <v>10</v>
      </c>
      <c r="N85">
        <v>0</v>
      </c>
      <c r="O85">
        <v>10</v>
      </c>
      <c r="P85" t="s">
        <v>34</v>
      </c>
      <c r="Q85" s="1">
        <v>45828</v>
      </c>
      <c r="R85" t="s">
        <v>27</v>
      </c>
      <c r="S85" t="s">
        <v>28</v>
      </c>
    </row>
    <row r="86" spans="1:19" x14ac:dyDescent="0.25">
      <c r="A86" t="s">
        <v>258</v>
      </c>
      <c r="B86" t="s">
        <v>259</v>
      </c>
      <c r="C86">
        <v>8325282</v>
      </c>
      <c r="D86" t="s">
        <v>21</v>
      </c>
      <c r="E86">
        <v>1</v>
      </c>
      <c r="F86" t="s">
        <v>22</v>
      </c>
      <c r="G86" t="s">
        <v>260</v>
      </c>
      <c r="H86" t="s">
        <v>261</v>
      </c>
      <c r="I86" s="1">
        <v>45658</v>
      </c>
      <c r="J86" t="s">
        <v>51</v>
      </c>
      <c r="K86" s="2">
        <v>45778</v>
      </c>
      <c r="L86">
        <v>2</v>
      </c>
      <c r="M86">
        <v>40</v>
      </c>
      <c r="N86">
        <v>0</v>
      </c>
      <c r="O86">
        <v>40</v>
      </c>
      <c r="P86" t="s">
        <v>67</v>
      </c>
      <c r="Q86" s="1">
        <v>45828</v>
      </c>
      <c r="R86" t="s">
        <v>27</v>
      </c>
      <c r="S86" t="s">
        <v>28</v>
      </c>
    </row>
    <row r="87" spans="1:19" x14ac:dyDescent="0.25">
      <c r="A87" t="s">
        <v>101</v>
      </c>
      <c r="B87" t="s">
        <v>102</v>
      </c>
      <c r="C87">
        <v>8307933</v>
      </c>
      <c r="D87" t="s">
        <v>21</v>
      </c>
      <c r="E87">
        <v>1</v>
      </c>
      <c r="F87" t="s">
        <v>22</v>
      </c>
      <c r="G87" t="s">
        <v>262</v>
      </c>
      <c r="H87" t="s">
        <v>263</v>
      </c>
      <c r="I87" s="1">
        <v>45778</v>
      </c>
      <c r="J87" t="s">
        <v>51</v>
      </c>
      <c r="K87" s="2">
        <v>45778</v>
      </c>
      <c r="L87">
        <v>4</v>
      </c>
      <c r="M87">
        <v>80</v>
      </c>
      <c r="N87">
        <v>0</v>
      </c>
      <c r="O87">
        <v>80</v>
      </c>
      <c r="P87" t="s">
        <v>67</v>
      </c>
      <c r="Q87" s="1">
        <v>45828</v>
      </c>
      <c r="R87" t="s">
        <v>27</v>
      </c>
      <c r="S87" t="s">
        <v>28</v>
      </c>
    </row>
    <row r="88" spans="1:19" x14ac:dyDescent="0.25">
      <c r="A88" t="s">
        <v>258</v>
      </c>
      <c r="B88" t="s">
        <v>259</v>
      </c>
      <c r="C88">
        <v>8325282</v>
      </c>
      <c r="D88" t="s">
        <v>21</v>
      </c>
      <c r="E88">
        <v>1</v>
      </c>
      <c r="F88" t="s">
        <v>22</v>
      </c>
      <c r="G88" t="s">
        <v>264</v>
      </c>
      <c r="H88" t="s">
        <v>265</v>
      </c>
      <c r="I88" s="1">
        <v>45017</v>
      </c>
      <c r="J88" t="s">
        <v>51</v>
      </c>
      <c r="K88" s="2">
        <v>45778</v>
      </c>
      <c r="L88">
        <v>3</v>
      </c>
      <c r="M88">
        <v>60</v>
      </c>
      <c r="N88">
        <v>0</v>
      </c>
      <c r="O88">
        <v>60</v>
      </c>
      <c r="P88" t="s">
        <v>52</v>
      </c>
      <c r="Q88" s="1">
        <v>45828</v>
      </c>
      <c r="R88" t="s">
        <v>27</v>
      </c>
      <c r="S88" t="s">
        <v>28</v>
      </c>
    </row>
    <row r="89" spans="1:19" x14ac:dyDescent="0.25">
      <c r="A89" t="s">
        <v>35</v>
      </c>
      <c r="B89" t="s">
        <v>36</v>
      </c>
      <c r="C89">
        <v>9079571</v>
      </c>
      <c r="D89" t="s">
        <v>21</v>
      </c>
      <c r="E89">
        <v>1</v>
      </c>
      <c r="F89" t="s">
        <v>22</v>
      </c>
      <c r="G89" t="s">
        <v>266</v>
      </c>
      <c r="H89" t="s">
        <v>267</v>
      </c>
      <c r="I89" s="1">
        <v>45597</v>
      </c>
      <c r="J89" t="s">
        <v>33</v>
      </c>
      <c r="K89" s="2">
        <v>45778</v>
      </c>
      <c r="L89">
        <v>1</v>
      </c>
      <c r="M89">
        <v>10</v>
      </c>
      <c r="N89">
        <v>0</v>
      </c>
      <c r="O89">
        <v>10</v>
      </c>
      <c r="P89" t="s">
        <v>34</v>
      </c>
      <c r="Q89" s="1">
        <v>45828</v>
      </c>
      <c r="R89" t="s">
        <v>27</v>
      </c>
      <c r="S89" t="s">
        <v>28</v>
      </c>
    </row>
    <row r="90" spans="1:19" x14ac:dyDescent="0.25">
      <c r="A90" t="s">
        <v>19</v>
      </c>
      <c r="B90" t="s">
        <v>20</v>
      </c>
      <c r="C90">
        <v>19681796</v>
      </c>
      <c r="D90" t="s">
        <v>21</v>
      </c>
      <c r="E90">
        <v>1</v>
      </c>
      <c r="F90" t="s">
        <v>22</v>
      </c>
      <c r="G90" t="s">
        <v>268</v>
      </c>
      <c r="H90" t="s">
        <v>269</v>
      </c>
      <c r="I90" s="1">
        <v>45658</v>
      </c>
      <c r="J90" t="s">
        <v>51</v>
      </c>
      <c r="K90" s="2">
        <v>45778</v>
      </c>
      <c r="L90">
        <v>1</v>
      </c>
      <c r="M90">
        <v>20</v>
      </c>
      <c r="N90">
        <v>0</v>
      </c>
      <c r="O90">
        <v>20</v>
      </c>
      <c r="P90" t="s">
        <v>67</v>
      </c>
      <c r="Q90" s="1">
        <v>45828</v>
      </c>
      <c r="R90" t="s">
        <v>27</v>
      </c>
      <c r="S90" t="s">
        <v>28</v>
      </c>
    </row>
    <row r="91" spans="1:19" x14ac:dyDescent="0.25">
      <c r="A91" t="s">
        <v>63</v>
      </c>
      <c r="B91" t="s">
        <v>64</v>
      </c>
      <c r="C91">
        <v>14177521</v>
      </c>
      <c r="D91" t="s">
        <v>21</v>
      </c>
      <c r="E91">
        <v>1</v>
      </c>
      <c r="F91" t="s">
        <v>22</v>
      </c>
      <c r="G91" t="s">
        <v>270</v>
      </c>
      <c r="H91" t="s">
        <v>271</v>
      </c>
      <c r="I91" s="1">
        <v>45658</v>
      </c>
      <c r="J91" t="s">
        <v>51</v>
      </c>
      <c r="K91" s="2">
        <v>45778</v>
      </c>
      <c r="L91">
        <v>2</v>
      </c>
      <c r="M91">
        <v>40</v>
      </c>
      <c r="N91">
        <v>0</v>
      </c>
      <c r="O91">
        <v>40</v>
      </c>
      <c r="P91" t="s">
        <v>67</v>
      </c>
      <c r="Q91" s="1">
        <v>45828</v>
      </c>
      <c r="R91" t="s">
        <v>27</v>
      </c>
      <c r="S91" t="s">
        <v>28</v>
      </c>
    </row>
    <row r="92" spans="1:19" x14ac:dyDescent="0.25">
      <c r="A92" t="s">
        <v>63</v>
      </c>
      <c r="B92" t="s">
        <v>64</v>
      </c>
      <c r="C92">
        <v>14177521</v>
      </c>
      <c r="D92" t="s">
        <v>21</v>
      </c>
      <c r="E92">
        <v>1</v>
      </c>
      <c r="F92" t="s">
        <v>22</v>
      </c>
      <c r="G92" t="s">
        <v>272</v>
      </c>
      <c r="H92" t="s">
        <v>273</v>
      </c>
      <c r="I92" s="1">
        <v>45292</v>
      </c>
      <c r="J92" t="s">
        <v>51</v>
      </c>
      <c r="K92" s="2">
        <v>45778</v>
      </c>
      <c r="L92">
        <v>1</v>
      </c>
      <c r="M92">
        <v>20</v>
      </c>
      <c r="N92">
        <v>0</v>
      </c>
      <c r="O92">
        <v>20</v>
      </c>
      <c r="P92" t="s">
        <v>52</v>
      </c>
      <c r="Q92" s="1">
        <v>45828</v>
      </c>
      <c r="R92" t="s">
        <v>27</v>
      </c>
      <c r="S92" t="s">
        <v>28</v>
      </c>
    </row>
    <row r="93" spans="1:19" x14ac:dyDescent="0.25">
      <c r="A93" t="s">
        <v>174</v>
      </c>
      <c r="B93" t="s">
        <v>175</v>
      </c>
      <c r="C93">
        <v>8814784</v>
      </c>
      <c r="D93" t="s">
        <v>21</v>
      </c>
      <c r="E93">
        <v>1</v>
      </c>
      <c r="F93" t="s">
        <v>22</v>
      </c>
      <c r="G93" t="s">
        <v>274</v>
      </c>
      <c r="H93" t="s">
        <v>275</v>
      </c>
      <c r="I93" s="1">
        <v>45292</v>
      </c>
      <c r="J93" t="s">
        <v>51</v>
      </c>
      <c r="K93" s="2">
        <v>45778</v>
      </c>
      <c r="L93">
        <v>4</v>
      </c>
      <c r="M93">
        <v>80</v>
      </c>
      <c r="N93">
        <v>0</v>
      </c>
      <c r="O93">
        <v>80</v>
      </c>
      <c r="P93" t="s">
        <v>52</v>
      </c>
      <c r="Q93" s="1">
        <v>45828</v>
      </c>
      <c r="R93" t="s">
        <v>27</v>
      </c>
      <c r="S93" t="s">
        <v>28</v>
      </c>
    </row>
    <row r="94" spans="1:19" x14ac:dyDescent="0.25">
      <c r="A94" t="s">
        <v>163</v>
      </c>
      <c r="B94" t="s">
        <v>164</v>
      </c>
      <c r="C94">
        <v>19586992</v>
      </c>
      <c r="D94" t="s">
        <v>21</v>
      </c>
      <c r="E94">
        <v>1</v>
      </c>
      <c r="F94" t="s">
        <v>22</v>
      </c>
      <c r="G94" t="s">
        <v>276</v>
      </c>
      <c r="H94" t="s">
        <v>277</v>
      </c>
      <c r="I94" s="1">
        <v>45658</v>
      </c>
      <c r="J94" t="s">
        <v>135</v>
      </c>
      <c r="K94" s="2">
        <v>45778</v>
      </c>
      <c r="L94">
        <v>1</v>
      </c>
      <c r="M94">
        <v>20</v>
      </c>
      <c r="N94">
        <v>0</v>
      </c>
      <c r="O94">
        <v>20</v>
      </c>
      <c r="P94" t="s">
        <v>167</v>
      </c>
      <c r="Q94" s="1">
        <v>45828</v>
      </c>
      <c r="R94" t="s">
        <v>27</v>
      </c>
      <c r="S94" t="s">
        <v>137</v>
      </c>
    </row>
    <row r="95" spans="1:19" x14ac:dyDescent="0.25">
      <c r="A95" t="s">
        <v>93</v>
      </c>
      <c r="B95" t="s">
        <v>218</v>
      </c>
      <c r="C95">
        <v>20003537</v>
      </c>
      <c r="D95" t="s">
        <v>21</v>
      </c>
      <c r="E95">
        <v>1</v>
      </c>
      <c r="F95" t="s">
        <v>22</v>
      </c>
      <c r="G95" t="s">
        <v>278</v>
      </c>
      <c r="H95" t="s">
        <v>279</v>
      </c>
      <c r="I95" s="1">
        <v>45658</v>
      </c>
      <c r="J95" t="s">
        <v>51</v>
      </c>
      <c r="K95" s="2">
        <v>45778</v>
      </c>
      <c r="L95">
        <v>2</v>
      </c>
      <c r="M95">
        <v>40</v>
      </c>
      <c r="N95">
        <v>0</v>
      </c>
      <c r="O95">
        <v>40</v>
      </c>
      <c r="P95" t="s">
        <v>67</v>
      </c>
      <c r="Q95" s="1">
        <v>45828</v>
      </c>
      <c r="R95" t="s">
        <v>27</v>
      </c>
      <c r="S95" t="s">
        <v>28</v>
      </c>
    </row>
    <row r="96" spans="1:19" x14ac:dyDescent="0.25">
      <c r="A96" t="s">
        <v>280</v>
      </c>
      <c r="B96" t="s">
        <v>281</v>
      </c>
      <c r="C96">
        <v>21348299</v>
      </c>
      <c r="D96" t="s">
        <v>21</v>
      </c>
      <c r="E96">
        <v>1</v>
      </c>
      <c r="F96" t="s">
        <v>22</v>
      </c>
      <c r="G96" t="s">
        <v>282</v>
      </c>
      <c r="H96" t="s">
        <v>283</v>
      </c>
      <c r="I96" s="1">
        <v>45748</v>
      </c>
      <c r="J96" t="s">
        <v>43</v>
      </c>
      <c r="K96" s="2">
        <v>45778</v>
      </c>
      <c r="L96">
        <v>1</v>
      </c>
      <c r="M96">
        <v>25</v>
      </c>
      <c r="N96">
        <v>0</v>
      </c>
      <c r="O96">
        <v>25</v>
      </c>
      <c r="P96" t="s">
        <v>44</v>
      </c>
      <c r="Q96" s="1">
        <v>45828</v>
      </c>
      <c r="R96" t="s">
        <v>27</v>
      </c>
      <c r="S96" t="s">
        <v>28</v>
      </c>
    </row>
    <row r="97" spans="1:19" x14ac:dyDescent="0.25">
      <c r="A97" t="s">
        <v>35</v>
      </c>
      <c r="B97" t="s">
        <v>36</v>
      </c>
      <c r="C97">
        <v>9079571</v>
      </c>
      <c r="D97" t="s">
        <v>21</v>
      </c>
      <c r="E97">
        <v>1</v>
      </c>
      <c r="F97" t="s">
        <v>22</v>
      </c>
      <c r="G97" t="s">
        <v>284</v>
      </c>
      <c r="H97" t="s">
        <v>285</v>
      </c>
      <c r="I97" s="1">
        <v>45323</v>
      </c>
      <c r="J97" t="s">
        <v>286</v>
      </c>
      <c r="K97" s="2">
        <v>45778</v>
      </c>
      <c r="L97">
        <v>1</v>
      </c>
      <c r="M97">
        <v>20</v>
      </c>
      <c r="N97">
        <v>0</v>
      </c>
      <c r="O97">
        <v>20</v>
      </c>
      <c r="P97" t="s">
        <v>287</v>
      </c>
      <c r="Q97" s="1">
        <v>45828</v>
      </c>
      <c r="R97" t="s">
        <v>27</v>
      </c>
      <c r="S97" t="s">
        <v>28</v>
      </c>
    </row>
    <row r="98" spans="1:19" x14ac:dyDescent="0.25">
      <c r="A98" t="s">
        <v>105</v>
      </c>
      <c r="B98" t="s">
        <v>106</v>
      </c>
      <c r="C98">
        <v>7146581</v>
      </c>
      <c r="D98" t="s">
        <v>21</v>
      </c>
      <c r="E98">
        <v>1</v>
      </c>
      <c r="F98" t="s">
        <v>22</v>
      </c>
      <c r="G98" t="s">
        <v>288</v>
      </c>
      <c r="H98" t="s">
        <v>289</v>
      </c>
      <c r="I98" s="1">
        <v>45658</v>
      </c>
      <c r="J98" t="s">
        <v>51</v>
      </c>
      <c r="K98" s="2">
        <v>45778</v>
      </c>
      <c r="L98">
        <v>1</v>
      </c>
      <c r="M98">
        <v>20</v>
      </c>
      <c r="N98">
        <v>0</v>
      </c>
      <c r="O98">
        <v>20</v>
      </c>
      <c r="P98" t="s">
        <v>67</v>
      </c>
      <c r="Q98" s="1">
        <v>45828</v>
      </c>
      <c r="R98" t="s">
        <v>27</v>
      </c>
      <c r="S98" t="s">
        <v>28</v>
      </c>
    </row>
    <row r="99" spans="1:19" x14ac:dyDescent="0.25">
      <c r="A99" t="s">
        <v>290</v>
      </c>
      <c r="B99" t="s">
        <v>291</v>
      </c>
      <c r="C99">
        <v>21104854</v>
      </c>
      <c r="D99" t="s">
        <v>21</v>
      </c>
      <c r="E99">
        <v>1</v>
      </c>
      <c r="F99" t="s">
        <v>22</v>
      </c>
      <c r="G99" t="s">
        <v>292</v>
      </c>
      <c r="H99" t="s">
        <v>293</v>
      </c>
      <c r="I99" s="1">
        <v>45717</v>
      </c>
      <c r="J99" t="s">
        <v>51</v>
      </c>
      <c r="K99" s="2">
        <v>45778</v>
      </c>
      <c r="L99">
        <v>1</v>
      </c>
      <c r="M99">
        <v>20</v>
      </c>
      <c r="N99">
        <v>0</v>
      </c>
      <c r="O99">
        <v>20</v>
      </c>
      <c r="P99" t="s">
        <v>67</v>
      </c>
      <c r="Q99" s="1">
        <v>45828</v>
      </c>
      <c r="R99" t="s">
        <v>27</v>
      </c>
      <c r="S99" t="s">
        <v>28</v>
      </c>
    </row>
    <row r="100" spans="1:19" x14ac:dyDescent="0.25">
      <c r="A100" t="s">
        <v>290</v>
      </c>
      <c r="B100" t="s">
        <v>291</v>
      </c>
      <c r="C100">
        <v>21104854</v>
      </c>
      <c r="D100" t="s">
        <v>21</v>
      </c>
      <c r="E100">
        <v>1</v>
      </c>
      <c r="F100" t="s">
        <v>22</v>
      </c>
      <c r="G100" t="s">
        <v>294</v>
      </c>
      <c r="H100" t="s">
        <v>295</v>
      </c>
      <c r="I100" s="1">
        <v>45658</v>
      </c>
      <c r="J100" t="s">
        <v>51</v>
      </c>
      <c r="K100" s="2">
        <v>45778</v>
      </c>
      <c r="L100">
        <v>1</v>
      </c>
      <c r="M100">
        <v>20</v>
      </c>
      <c r="N100">
        <v>0</v>
      </c>
      <c r="O100">
        <v>20</v>
      </c>
      <c r="P100" t="s">
        <v>67</v>
      </c>
      <c r="Q100" s="1">
        <v>45828</v>
      </c>
      <c r="R100" t="s">
        <v>27</v>
      </c>
      <c r="S100" t="s">
        <v>28</v>
      </c>
    </row>
    <row r="101" spans="1:19" x14ac:dyDescent="0.25">
      <c r="A101" t="s">
        <v>101</v>
      </c>
      <c r="B101" t="s">
        <v>102</v>
      </c>
      <c r="C101">
        <v>8307933</v>
      </c>
      <c r="D101" t="s">
        <v>21</v>
      </c>
      <c r="E101">
        <v>1</v>
      </c>
      <c r="F101" t="s">
        <v>22</v>
      </c>
      <c r="G101" t="s">
        <v>296</v>
      </c>
      <c r="H101" t="s">
        <v>297</v>
      </c>
      <c r="I101" s="1">
        <v>45505</v>
      </c>
      <c r="J101" t="s">
        <v>51</v>
      </c>
      <c r="K101" s="2">
        <v>45778</v>
      </c>
      <c r="L101">
        <v>1</v>
      </c>
      <c r="M101">
        <v>20</v>
      </c>
      <c r="N101">
        <v>0</v>
      </c>
      <c r="O101">
        <v>20</v>
      </c>
      <c r="P101" t="s">
        <v>52</v>
      </c>
      <c r="Q101" s="1">
        <v>45828</v>
      </c>
      <c r="R101" t="s">
        <v>27</v>
      </c>
      <c r="S101" t="s">
        <v>28</v>
      </c>
    </row>
    <row r="102" spans="1:19" x14ac:dyDescent="0.25">
      <c r="A102" t="s">
        <v>298</v>
      </c>
      <c r="B102" t="s">
        <v>299</v>
      </c>
      <c r="C102">
        <v>17094718</v>
      </c>
      <c r="D102" t="s">
        <v>21</v>
      </c>
      <c r="E102">
        <v>1</v>
      </c>
      <c r="F102" t="s">
        <v>22</v>
      </c>
      <c r="G102" t="s">
        <v>300</v>
      </c>
      <c r="H102" t="s">
        <v>301</v>
      </c>
      <c r="I102" s="1">
        <v>45658</v>
      </c>
      <c r="J102" t="s">
        <v>51</v>
      </c>
      <c r="K102" s="2">
        <v>45778</v>
      </c>
      <c r="L102">
        <v>1</v>
      </c>
      <c r="M102">
        <v>20</v>
      </c>
      <c r="N102">
        <v>0</v>
      </c>
      <c r="O102">
        <v>20</v>
      </c>
      <c r="P102" t="s">
        <v>67</v>
      </c>
      <c r="Q102" s="1">
        <v>45828</v>
      </c>
      <c r="R102" t="s">
        <v>27</v>
      </c>
      <c r="S102" t="s">
        <v>28</v>
      </c>
    </row>
    <row r="103" spans="1:19" x14ac:dyDescent="0.25">
      <c r="A103" t="s">
        <v>93</v>
      </c>
      <c r="B103" t="s">
        <v>94</v>
      </c>
      <c r="C103">
        <v>18754354</v>
      </c>
      <c r="D103" t="s">
        <v>21</v>
      </c>
      <c r="E103">
        <v>1</v>
      </c>
      <c r="F103" t="s">
        <v>22</v>
      </c>
      <c r="G103" t="s">
        <v>302</v>
      </c>
      <c r="H103" t="s">
        <v>303</v>
      </c>
      <c r="I103" s="1">
        <v>45658</v>
      </c>
      <c r="J103" t="s">
        <v>51</v>
      </c>
      <c r="K103" s="2">
        <v>45778</v>
      </c>
      <c r="L103">
        <v>1</v>
      </c>
      <c r="M103">
        <v>20</v>
      </c>
      <c r="N103">
        <v>0</v>
      </c>
      <c r="O103">
        <v>20</v>
      </c>
      <c r="P103" t="s">
        <v>67</v>
      </c>
      <c r="Q103" s="1">
        <v>45828</v>
      </c>
      <c r="R103" t="s">
        <v>27</v>
      </c>
      <c r="S103" t="s">
        <v>28</v>
      </c>
    </row>
    <row r="104" spans="1:19" x14ac:dyDescent="0.25">
      <c r="A104" t="s">
        <v>63</v>
      </c>
      <c r="B104" t="s">
        <v>64</v>
      </c>
      <c r="C104">
        <v>14177521</v>
      </c>
      <c r="D104" t="s">
        <v>21</v>
      </c>
      <c r="E104">
        <v>1</v>
      </c>
      <c r="F104" t="s">
        <v>22</v>
      </c>
      <c r="G104" t="s">
        <v>304</v>
      </c>
      <c r="H104" t="s">
        <v>305</v>
      </c>
      <c r="I104" s="1">
        <v>45292</v>
      </c>
      <c r="J104" t="s">
        <v>51</v>
      </c>
      <c r="K104" s="2">
        <v>45778</v>
      </c>
      <c r="L104">
        <v>1</v>
      </c>
      <c r="M104">
        <v>20</v>
      </c>
      <c r="N104">
        <v>0</v>
      </c>
      <c r="O104">
        <v>20</v>
      </c>
      <c r="P104" t="s">
        <v>52</v>
      </c>
      <c r="Q104" s="1">
        <v>45828</v>
      </c>
      <c r="R104" t="s">
        <v>27</v>
      </c>
      <c r="S104" t="s">
        <v>28</v>
      </c>
    </row>
    <row r="105" spans="1:19" x14ac:dyDescent="0.25">
      <c r="A105" t="s">
        <v>101</v>
      </c>
      <c r="B105" t="s">
        <v>102</v>
      </c>
      <c r="C105">
        <v>8307933</v>
      </c>
      <c r="D105" t="s">
        <v>21</v>
      </c>
      <c r="E105">
        <v>1</v>
      </c>
      <c r="F105" t="s">
        <v>22</v>
      </c>
      <c r="G105" t="s">
        <v>306</v>
      </c>
      <c r="H105" t="s">
        <v>307</v>
      </c>
      <c r="I105" s="1">
        <v>45292</v>
      </c>
      <c r="J105" t="s">
        <v>51</v>
      </c>
      <c r="K105" s="2">
        <v>45778</v>
      </c>
      <c r="L105">
        <v>1</v>
      </c>
      <c r="M105">
        <v>20</v>
      </c>
      <c r="N105">
        <v>0</v>
      </c>
      <c r="O105">
        <v>20</v>
      </c>
      <c r="P105" t="s">
        <v>67</v>
      </c>
      <c r="Q105" s="1">
        <v>45828</v>
      </c>
      <c r="R105" t="s">
        <v>27</v>
      </c>
      <c r="S105" t="s">
        <v>28</v>
      </c>
    </row>
    <row r="106" spans="1:19" x14ac:dyDescent="0.25">
      <c r="A106" t="s">
        <v>101</v>
      </c>
      <c r="B106" t="s">
        <v>102</v>
      </c>
      <c r="C106">
        <v>8307933</v>
      </c>
      <c r="D106" t="s">
        <v>21</v>
      </c>
      <c r="E106">
        <v>1</v>
      </c>
      <c r="F106" t="s">
        <v>22</v>
      </c>
      <c r="G106" t="s">
        <v>308</v>
      </c>
      <c r="H106" t="s">
        <v>309</v>
      </c>
      <c r="I106" s="1">
        <v>45292</v>
      </c>
      <c r="J106" t="s">
        <v>51</v>
      </c>
      <c r="K106" s="2">
        <v>45778</v>
      </c>
      <c r="L106">
        <v>2</v>
      </c>
      <c r="M106">
        <v>40</v>
      </c>
      <c r="N106">
        <v>0</v>
      </c>
      <c r="O106">
        <v>40</v>
      </c>
      <c r="P106" t="s">
        <v>52</v>
      </c>
      <c r="Q106" s="1">
        <v>45828</v>
      </c>
      <c r="R106" t="s">
        <v>27</v>
      </c>
      <c r="S106" t="s">
        <v>28</v>
      </c>
    </row>
    <row r="107" spans="1:19" x14ac:dyDescent="0.25">
      <c r="A107" t="s">
        <v>47</v>
      </c>
      <c r="B107" t="s">
        <v>48</v>
      </c>
      <c r="C107">
        <v>9213293</v>
      </c>
      <c r="D107" t="s">
        <v>21</v>
      </c>
      <c r="E107">
        <v>1</v>
      </c>
      <c r="F107" t="s">
        <v>22</v>
      </c>
      <c r="G107" t="s">
        <v>310</v>
      </c>
      <c r="H107" t="s">
        <v>311</v>
      </c>
      <c r="I107" s="1">
        <v>45658</v>
      </c>
      <c r="J107" t="s">
        <v>51</v>
      </c>
      <c r="K107" s="2">
        <v>45748</v>
      </c>
      <c r="L107">
        <v>1</v>
      </c>
      <c r="M107">
        <v>20</v>
      </c>
      <c r="N107">
        <v>0</v>
      </c>
      <c r="O107">
        <v>20</v>
      </c>
      <c r="P107" t="s">
        <v>67</v>
      </c>
      <c r="Q107" s="1">
        <v>45828</v>
      </c>
      <c r="R107" t="s">
        <v>27</v>
      </c>
      <c r="S107" t="s">
        <v>28</v>
      </c>
    </row>
    <row r="108" spans="1:19" x14ac:dyDescent="0.25">
      <c r="A108" t="s">
        <v>47</v>
      </c>
      <c r="B108" t="s">
        <v>48</v>
      </c>
      <c r="C108">
        <v>9213293</v>
      </c>
      <c r="D108" t="s">
        <v>21</v>
      </c>
      <c r="E108">
        <v>1</v>
      </c>
      <c r="F108" t="s">
        <v>22</v>
      </c>
      <c r="G108" t="s">
        <v>312</v>
      </c>
      <c r="H108" t="s">
        <v>313</v>
      </c>
      <c r="I108" s="1">
        <v>45597</v>
      </c>
      <c r="J108" t="s">
        <v>51</v>
      </c>
      <c r="K108" s="2">
        <v>45748</v>
      </c>
      <c r="L108">
        <v>2</v>
      </c>
      <c r="M108">
        <v>40</v>
      </c>
      <c r="N108">
        <v>0</v>
      </c>
      <c r="O108">
        <v>40</v>
      </c>
      <c r="P108" t="s">
        <v>52</v>
      </c>
      <c r="Q108" s="1">
        <v>45828</v>
      </c>
      <c r="R108" t="s">
        <v>27</v>
      </c>
      <c r="S108" t="s">
        <v>28</v>
      </c>
    </row>
    <row r="109" spans="1:19" x14ac:dyDescent="0.25">
      <c r="A109" t="s">
        <v>47</v>
      </c>
      <c r="B109" t="s">
        <v>48</v>
      </c>
      <c r="C109">
        <v>9213293</v>
      </c>
      <c r="D109" t="s">
        <v>21</v>
      </c>
      <c r="E109">
        <v>1</v>
      </c>
      <c r="F109" t="s">
        <v>22</v>
      </c>
      <c r="G109" t="s">
        <v>312</v>
      </c>
      <c r="H109" t="s">
        <v>313</v>
      </c>
      <c r="I109" s="1">
        <v>45597</v>
      </c>
      <c r="J109" t="s">
        <v>51</v>
      </c>
      <c r="K109" s="2">
        <v>45778</v>
      </c>
      <c r="L109">
        <v>2</v>
      </c>
      <c r="M109">
        <v>40</v>
      </c>
      <c r="N109">
        <v>0</v>
      </c>
      <c r="O109">
        <v>40</v>
      </c>
      <c r="P109" t="s">
        <v>52</v>
      </c>
      <c r="Q109" s="1">
        <v>45828</v>
      </c>
      <c r="R109" t="s">
        <v>27</v>
      </c>
      <c r="S109" t="s">
        <v>28</v>
      </c>
    </row>
    <row r="110" spans="1:19" x14ac:dyDescent="0.25">
      <c r="A110" t="s">
        <v>53</v>
      </c>
      <c r="B110" t="s">
        <v>54</v>
      </c>
      <c r="C110">
        <v>5442438</v>
      </c>
      <c r="D110" t="s">
        <v>21</v>
      </c>
      <c r="E110">
        <v>1</v>
      </c>
      <c r="F110" t="s">
        <v>22</v>
      </c>
      <c r="G110" t="s">
        <v>314</v>
      </c>
      <c r="H110" t="s">
        <v>315</v>
      </c>
      <c r="I110" s="1">
        <v>45597</v>
      </c>
      <c r="J110" t="s">
        <v>33</v>
      </c>
      <c r="K110" s="2">
        <v>45748</v>
      </c>
      <c r="L110">
        <v>1</v>
      </c>
      <c r="M110">
        <v>10</v>
      </c>
      <c r="N110">
        <v>0</v>
      </c>
      <c r="O110">
        <v>10</v>
      </c>
      <c r="P110" t="s">
        <v>34</v>
      </c>
      <c r="Q110" s="1">
        <v>45828</v>
      </c>
      <c r="R110" t="s">
        <v>27</v>
      </c>
      <c r="S110" t="s">
        <v>28</v>
      </c>
    </row>
    <row r="111" spans="1:19" x14ac:dyDescent="0.25">
      <c r="A111" t="s">
        <v>117</v>
      </c>
      <c r="B111" t="s">
        <v>118</v>
      </c>
      <c r="C111">
        <v>371819</v>
      </c>
      <c r="D111" t="s">
        <v>21</v>
      </c>
      <c r="E111">
        <v>1</v>
      </c>
      <c r="F111" t="s">
        <v>22</v>
      </c>
      <c r="G111" t="s">
        <v>316</v>
      </c>
      <c r="H111" t="s">
        <v>317</v>
      </c>
      <c r="I111" s="1">
        <v>45505</v>
      </c>
      <c r="J111" t="s">
        <v>25</v>
      </c>
      <c r="K111" s="2">
        <v>45778</v>
      </c>
      <c r="L111">
        <v>1</v>
      </c>
      <c r="M111">
        <v>20</v>
      </c>
      <c r="N111">
        <v>0</v>
      </c>
      <c r="O111">
        <v>20</v>
      </c>
      <c r="P111" t="s">
        <v>26</v>
      </c>
      <c r="Q111" s="1">
        <v>45828</v>
      </c>
      <c r="R111" t="s">
        <v>27</v>
      </c>
      <c r="S111" t="s">
        <v>28</v>
      </c>
    </row>
    <row r="112" spans="1:19" x14ac:dyDescent="0.25">
      <c r="A112" t="s">
        <v>19</v>
      </c>
      <c r="B112" t="s">
        <v>20</v>
      </c>
      <c r="C112">
        <v>19681796</v>
      </c>
      <c r="D112" t="s">
        <v>21</v>
      </c>
      <c r="E112">
        <v>1</v>
      </c>
      <c r="F112" t="s">
        <v>22</v>
      </c>
      <c r="G112" t="s">
        <v>318</v>
      </c>
      <c r="H112" t="s">
        <v>319</v>
      </c>
      <c r="I112" s="1">
        <v>45597</v>
      </c>
      <c r="J112" t="s">
        <v>51</v>
      </c>
      <c r="K112" s="2">
        <v>45778</v>
      </c>
      <c r="L112">
        <v>1</v>
      </c>
      <c r="M112">
        <v>20</v>
      </c>
      <c r="N112">
        <v>0</v>
      </c>
      <c r="O112">
        <v>20</v>
      </c>
      <c r="P112" t="s">
        <v>52</v>
      </c>
      <c r="Q112" s="1">
        <v>45828</v>
      </c>
      <c r="R112" t="s">
        <v>27</v>
      </c>
      <c r="S112" t="s">
        <v>28</v>
      </c>
    </row>
    <row r="113" spans="1:19" x14ac:dyDescent="0.25">
      <c r="A113" t="s">
        <v>57</v>
      </c>
      <c r="B113" t="s">
        <v>58</v>
      </c>
      <c r="C113">
        <v>8977234</v>
      </c>
      <c r="D113" t="s">
        <v>21</v>
      </c>
      <c r="E113">
        <v>1</v>
      </c>
      <c r="F113" t="s">
        <v>22</v>
      </c>
      <c r="G113" t="s">
        <v>320</v>
      </c>
      <c r="H113" t="s">
        <v>321</v>
      </c>
      <c r="I113" s="1">
        <v>45078</v>
      </c>
      <c r="J113" t="s">
        <v>322</v>
      </c>
      <c r="K113" s="2">
        <v>45778</v>
      </c>
      <c r="L113">
        <v>2</v>
      </c>
      <c r="M113">
        <v>50</v>
      </c>
      <c r="N113">
        <v>0</v>
      </c>
      <c r="O113">
        <v>50</v>
      </c>
      <c r="P113" t="s">
        <v>323</v>
      </c>
      <c r="Q113" s="1">
        <v>45828</v>
      </c>
      <c r="R113" t="s">
        <v>27</v>
      </c>
      <c r="S113" t="s">
        <v>28</v>
      </c>
    </row>
    <row r="114" spans="1:19" x14ac:dyDescent="0.25">
      <c r="A114" t="s">
        <v>35</v>
      </c>
      <c r="B114" t="s">
        <v>36</v>
      </c>
      <c r="C114">
        <v>9079571</v>
      </c>
      <c r="D114" t="s">
        <v>21</v>
      </c>
      <c r="E114">
        <v>1</v>
      </c>
      <c r="F114" t="s">
        <v>22</v>
      </c>
      <c r="G114" t="s">
        <v>324</v>
      </c>
      <c r="H114" t="s">
        <v>325</v>
      </c>
      <c r="I114" s="1">
        <v>45505</v>
      </c>
      <c r="J114" t="s">
        <v>33</v>
      </c>
      <c r="K114" s="2">
        <v>45778</v>
      </c>
      <c r="L114">
        <v>1</v>
      </c>
      <c r="M114">
        <v>10</v>
      </c>
      <c r="N114">
        <v>0</v>
      </c>
      <c r="O114">
        <v>10</v>
      </c>
      <c r="P114" t="s">
        <v>34</v>
      </c>
      <c r="Q114" s="1">
        <v>45828</v>
      </c>
      <c r="R114" t="s">
        <v>27</v>
      </c>
      <c r="S114" t="s">
        <v>28</v>
      </c>
    </row>
    <row r="115" spans="1:19" x14ac:dyDescent="0.25">
      <c r="A115" t="s">
        <v>19</v>
      </c>
      <c r="B115" t="s">
        <v>20</v>
      </c>
      <c r="C115">
        <v>19681796</v>
      </c>
      <c r="D115" t="s">
        <v>21</v>
      </c>
      <c r="E115">
        <v>1</v>
      </c>
      <c r="F115" t="s">
        <v>22</v>
      </c>
      <c r="G115" t="s">
        <v>326</v>
      </c>
      <c r="H115" t="s">
        <v>327</v>
      </c>
      <c r="I115" s="1">
        <v>45627</v>
      </c>
      <c r="J115" t="s">
        <v>51</v>
      </c>
      <c r="K115" s="2">
        <v>45748</v>
      </c>
      <c r="L115">
        <v>1</v>
      </c>
      <c r="M115">
        <v>20</v>
      </c>
      <c r="N115">
        <v>0</v>
      </c>
      <c r="O115">
        <v>20</v>
      </c>
      <c r="P115" t="s">
        <v>52</v>
      </c>
      <c r="Q115" s="1">
        <v>45828</v>
      </c>
      <c r="R115" t="s">
        <v>27</v>
      </c>
      <c r="S115" t="s">
        <v>28</v>
      </c>
    </row>
    <row r="116" spans="1:19" x14ac:dyDescent="0.25">
      <c r="A116" t="s">
        <v>19</v>
      </c>
      <c r="B116" t="s">
        <v>20</v>
      </c>
      <c r="C116">
        <v>19681796</v>
      </c>
      <c r="D116" t="s">
        <v>21</v>
      </c>
      <c r="E116">
        <v>1</v>
      </c>
      <c r="F116" t="s">
        <v>22</v>
      </c>
      <c r="G116" t="s">
        <v>326</v>
      </c>
      <c r="H116" t="s">
        <v>327</v>
      </c>
      <c r="I116" s="1">
        <v>45627</v>
      </c>
      <c r="J116" t="s">
        <v>51</v>
      </c>
      <c r="K116" s="2">
        <v>45778</v>
      </c>
      <c r="L116">
        <v>1</v>
      </c>
      <c r="M116">
        <v>20</v>
      </c>
      <c r="N116">
        <v>0</v>
      </c>
      <c r="O116">
        <v>20</v>
      </c>
      <c r="P116" t="s">
        <v>52</v>
      </c>
      <c r="Q116" s="1">
        <v>45828</v>
      </c>
      <c r="R116" t="s">
        <v>27</v>
      </c>
      <c r="S116" t="s">
        <v>28</v>
      </c>
    </row>
    <row r="117" spans="1:19" x14ac:dyDescent="0.25">
      <c r="A117" t="s">
        <v>35</v>
      </c>
      <c r="B117" t="s">
        <v>36</v>
      </c>
      <c r="C117">
        <v>9079571</v>
      </c>
      <c r="D117" t="s">
        <v>21</v>
      </c>
      <c r="E117">
        <v>1</v>
      </c>
      <c r="F117" t="s">
        <v>22</v>
      </c>
      <c r="G117" t="s">
        <v>328</v>
      </c>
      <c r="H117" t="s">
        <v>329</v>
      </c>
      <c r="I117" s="1">
        <v>45383</v>
      </c>
      <c r="J117" t="s">
        <v>33</v>
      </c>
      <c r="K117" s="2">
        <v>45778</v>
      </c>
      <c r="L117">
        <v>2</v>
      </c>
      <c r="M117">
        <v>20</v>
      </c>
      <c r="N117">
        <v>0</v>
      </c>
      <c r="O117">
        <v>20</v>
      </c>
      <c r="P117" t="s">
        <v>34</v>
      </c>
      <c r="Q117" s="1">
        <v>45828</v>
      </c>
      <c r="R117" t="s">
        <v>27</v>
      </c>
      <c r="S117" t="s">
        <v>28</v>
      </c>
    </row>
    <row r="118" spans="1:19" x14ac:dyDescent="0.25">
      <c r="A118" t="s">
        <v>57</v>
      </c>
      <c r="B118" t="s">
        <v>58</v>
      </c>
      <c r="C118">
        <v>8977234</v>
      </c>
      <c r="D118" t="s">
        <v>21</v>
      </c>
      <c r="E118">
        <v>1</v>
      </c>
      <c r="F118" t="s">
        <v>22</v>
      </c>
      <c r="G118" t="s">
        <v>330</v>
      </c>
      <c r="H118" t="s">
        <v>331</v>
      </c>
      <c r="I118" s="1">
        <v>45292</v>
      </c>
      <c r="J118" t="s">
        <v>51</v>
      </c>
      <c r="K118" s="2">
        <v>45778</v>
      </c>
      <c r="L118">
        <v>1</v>
      </c>
      <c r="M118">
        <v>20</v>
      </c>
      <c r="N118">
        <v>0</v>
      </c>
      <c r="O118">
        <v>20</v>
      </c>
      <c r="P118" t="s">
        <v>52</v>
      </c>
      <c r="Q118" s="1">
        <v>45828</v>
      </c>
      <c r="R118" t="s">
        <v>27</v>
      </c>
      <c r="S118" t="s">
        <v>28</v>
      </c>
    </row>
    <row r="119" spans="1:19" x14ac:dyDescent="0.25">
      <c r="A119" t="s">
        <v>332</v>
      </c>
      <c r="B119" t="s">
        <v>333</v>
      </c>
      <c r="C119">
        <v>19279958</v>
      </c>
      <c r="D119" t="s">
        <v>21</v>
      </c>
      <c r="E119">
        <v>1</v>
      </c>
      <c r="F119" t="s">
        <v>22</v>
      </c>
      <c r="G119" t="s">
        <v>334</v>
      </c>
      <c r="H119" t="s">
        <v>335</v>
      </c>
      <c r="I119" s="1">
        <v>45597</v>
      </c>
      <c r="J119" t="s">
        <v>33</v>
      </c>
      <c r="K119" s="2">
        <v>45778</v>
      </c>
      <c r="L119">
        <v>1</v>
      </c>
      <c r="M119">
        <v>10</v>
      </c>
      <c r="N119">
        <v>0</v>
      </c>
      <c r="O119">
        <v>10</v>
      </c>
      <c r="P119" t="s">
        <v>34</v>
      </c>
      <c r="Q119" s="1">
        <v>45828</v>
      </c>
      <c r="R119" t="s">
        <v>27</v>
      </c>
      <c r="S119" t="s">
        <v>28</v>
      </c>
    </row>
    <row r="120" spans="1:19" x14ac:dyDescent="0.25">
      <c r="A120" t="s">
        <v>35</v>
      </c>
      <c r="B120" t="s">
        <v>36</v>
      </c>
      <c r="C120">
        <v>9079571</v>
      </c>
      <c r="D120" t="s">
        <v>21</v>
      </c>
      <c r="E120">
        <v>1</v>
      </c>
      <c r="F120" t="s">
        <v>22</v>
      </c>
      <c r="G120" t="s">
        <v>336</v>
      </c>
      <c r="H120" t="s">
        <v>337</v>
      </c>
      <c r="I120" s="1">
        <v>45444</v>
      </c>
      <c r="J120" t="s">
        <v>33</v>
      </c>
      <c r="K120" s="2">
        <v>45778</v>
      </c>
      <c r="L120">
        <v>1</v>
      </c>
      <c r="M120">
        <v>10</v>
      </c>
      <c r="N120">
        <v>0</v>
      </c>
      <c r="O120">
        <v>10</v>
      </c>
      <c r="P120" t="s">
        <v>34</v>
      </c>
      <c r="Q120" s="1">
        <v>45828</v>
      </c>
      <c r="R120" t="s">
        <v>27</v>
      </c>
      <c r="S120" t="s">
        <v>28</v>
      </c>
    </row>
    <row r="121" spans="1:19" x14ac:dyDescent="0.25">
      <c r="A121" t="s">
        <v>174</v>
      </c>
      <c r="B121" t="s">
        <v>175</v>
      </c>
      <c r="C121">
        <v>8814784</v>
      </c>
      <c r="D121" t="s">
        <v>21</v>
      </c>
      <c r="E121">
        <v>1</v>
      </c>
      <c r="F121" t="s">
        <v>22</v>
      </c>
      <c r="G121" t="s">
        <v>338</v>
      </c>
      <c r="H121" t="s">
        <v>339</v>
      </c>
      <c r="I121" s="1">
        <v>45658</v>
      </c>
      <c r="J121" t="s">
        <v>51</v>
      </c>
      <c r="K121" s="2">
        <v>45778</v>
      </c>
      <c r="L121">
        <v>1</v>
      </c>
      <c r="M121">
        <v>20</v>
      </c>
      <c r="N121">
        <v>0</v>
      </c>
      <c r="O121">
        <v>20</v>
      </c>
      <c r="P121" t="s">
        <v>67</v>
      </c>
      <c r="Q121" s="1">
        <v>45828</v>
      </c>
      <c r="R121" t="s">
        <v>27</v>
      </c>
      <c r="S121" t="s">
        <v>28</v>
      </c>
    </row>
    <row r="122" spans="1:19" x14ac:dyDescent="0.25">
      <c r="A122" t="s">
        <v>93</v>
      </c>
      <c r="B122" t="s">
        <v>218</v>
      </c>
      <c r="C122">
        <v>20003537</v>
      </c>
      <c r="D122" t="s">
        <v>21</v>
      </c>
      <c r="E122">
        <v>1</v>
      </c>
      <c r="F122" t="s">
        <v>22</v>
      </c>
      <c r="G122" t="s">
        <v>340</v>
      </c>
      <c r="H122" t="s">
        <v>341</v>
      </c>
      <c r="I122" s="1">
        <v>45292</v>
      </c>
      <c r="J122" t="s">
        <v>51</v>
      </c>
      <c r="K122" s="2">
        <v>45778</v>
      </c>
      <c r="L122">
        <v>1</v>
      </c>
      <c r="M122">
        <v>20</v>
      </c>
      <c r="N122">
        <v>0</v>
      </c>
      <c r="O122">
        <v>20</v>
      </c>
      <c r="P122" t="s">
        <v>52</v>
      </c>
      <c r="Q122" s="1">
        <v>45828</v>
      </c>
      <c r="R122" t="s">
        <v>27</v>
      </c>
      <c r="S122" t="s">
        <v>28</v>
      </c>
    </row>
    <row r="123" spans="1:19" x14ac:dyDescent="0.25">
      <c r="A123" t="s">
        <v>123</v>
      </c>
      <c r="B123" t="s">
        <v>124</v>
      </c>
      <c r="C123">
        <v>19200754</v>
      </c>
      <c r="D123" t="s">
        <v>21</v>
      </c>
      <c r="E123">
        <v>1</v>
      </c>
      <c r="F123" t="s">
        <v>22</v>
      </c>
      <c r="G123" t="s">
        <v>342</v>
      </c>
      <c r="H123" t="s">
        <v>343</v>
      </c>
      <c r="I123" s="1">
        <v>45658</v>
      </c>
      <c r="J123" t="s">
        <v>51</v>
      </c>
      <c r="K123" s="2">
        <v>45778</v>
      </c>
      <c r="L123">
        <v>1</v>
      </c>
      <c r="M123">
        <v>20</v>
      </c>
      <c r="N123">
        <v>0</v>
      </c>
      <c r="O123">
        <v>20</v>
      </c>
      <c r="P123" t="s">
        <v>67</v>
      </c>
      <c r="Q123" s="1">
        <v>45828</v>
      </c>
      <c r="R123" t="s">
        <v>27</v>
      </c>
      <c r="S123" t="s">
        <v>28</v>
      </c>
    </row>
    <row r="124" spans="1:19" x14ac:dyDescent="0.25">
      <c r="A124" t="s">
        <v>258</v>
      </c>
      <c r="B124" t="s">
        <v>259</v>
      </c>
      <c r="C124">
        <v>8325282</v>
      </c>
      <c r="D124" t="s">
        <v>21</v>
      </c>
      <c r="E124">
        <v>1</v>
      </c>
      <c r="F124" t="s">
        <v>22</v>
      </c>
      <c r="G124" t="s">
        <v>344</v>
      </c>
      <c r="H124" t="s">
        <v>345</v>
      </c>
      <c r="I124" s="1">
        <v>45748</v>
      </c>
      <c r="J124" t="s">
        <v>51</v>
      </c>
      <c r="K124" s="2">
        <v>45778</v>
      </c>
      <c r="L124">
        <v>1</v>
      </c>
      <c r="M124">
        <v>20</v>
      </c>
      <c r="N124">
        <v>0</v>
      </c>
      <c r="O124">
        <v>20</v>
      </c>
      <c r="P124" t="s">
        <v>67</v>
      </c>
      <c r="Q124" s="1">
        <v>45828</v>
      </c>
      <c r="R124" t="s">
        <v>27</v>
      </c>
      <c r="S124" t="s">
        <v>28</v>
      </c>
    </row>
    <row r="125" spans="1:19" x14ac:dyDescent="0.25">
      <c r="A125" t="s">
        <v>57</v>
      </c>
      <c r="B125" t="s">
        <v>58</v>
      </c>
      <c r="C125">
        <v>8977234</v>
      </c>
      <c r="D125" t="s">
        <v>21</v>
      </c>
      <c r="E125">
        <v>1</v>
      </c>
      <c r="F125" t="s">
        <v>22</v>
      </c>
      <c r="G125" t="s">
        <v>346</v>
      </c>
      <c r="H125" t="s">
        <v>347</v>
      </c>
      <c r="I125" s="1">
        <v>45292</v>
      </c>
      <c r="J125" t="s">
        <v>25</v>
      </c>
      <c r="K125" s="2">
        <v>45778</v>
      </c>
      <c r="L125">
        <v>1</v>
      </c>
      <c r="M125">
        <v>20</v>
      </c>
      <c r="N125">
        <v>0</v>
      </c>
      <c r="O125">
        <v>20</v>
      </c>
      <c r="P125" t="s">
        <v>26</v>
      </c>
      <c r="Q125" s="1">
        <v>45828</v>
      </c>
      <c r="R125" t="s">
        <v>27</v>
      </c>
      <c r="S125" t="s">
        <v>28</v>
      </c>
    </row>
    <row r="126" spans="1:19" x14ac:dyDescent="0.25">
      <c r="A126" t="s">
        <v>19</v>
      </c>
      <c r="B126" t="s">
        <v>20</v>
      </c>
      <c r="C126">
        <v>19681796</v>
      </c>
      <c r="D126" t="s">
        <v>21</v>
      </c>
      <c r="E126">
        <v>1</v>
      </c>
      <c r="F126" t="s">
        <v>22</v>
      </c>
      <c r="G126" t="s">
        <v>348</v>
      </c>
      <c r="H126" t="s">
        <v>349</v>
      </c>
      <c r="I126" s="1">
        <v>45658</v>
      </c>
      <c r="J126" t="s">
        <v>51</v>
      </c>
      <c r="K126" s="2">
        <v>45778</v>
      </c>
      <c r="L126">
        <v>3</v>
      </c>
      <c r="M126">
        <v>60</v>
      </c>
      <c r="N126">
        <v>0</v>
      </c>
      <c r="O126">
        <v>60</v>
      </c>
      <c r="P126" t="s">
        <v>67</v>
      </c>
      <c r="Q126" s="1">
        <v>45828</v>
      </c>
      <c r="R126" t="s">
        <v>27</v>
      </c>
      <c r="S126" t="s">
        <v>28</v>
      </c>
    </row>
    <row r="127" spans="1:19" x14ac:dyDescent="0.25">
      <c r="A127" t="s">
        <v>117</v>
      </c>
      <c r="B127" t="s">
        <v>118</v>
      </c>
      <c r="C127">
        <v>371819</v>
      </c>
      <c r="D127" t="s">
        <v>21</v>
      </c>
      <c r="E127">
        <v>1</v>
      </c>
      <c r="F127" t="s">
        <v>22</v>
      </c>
      <c r="G127" t="s">
        <v>350</v>
      </c>
      <c r="H127" t="s">
        <v>351</v>
      </c>
      <c r="I127" s="1">
        <v>45413</v>
      </c>
      <c r="J127" t="s">
        <v>322</v>
      </c>
      <c r="K127" s="2">
        <v>45778</v>
      </c>
      <c r="L127">
        <v>2</v>
      </c>
      <c r="M127">
        <v>50</v>
      </c>
      <c r="N127">
        <v>0</v>
      </c>
      <c r="O127">
        <v>50</v>
      </c>
      <c r="P127" t="s">
        <v>323</v>
      </c>
      <c r="Q127" s="1">
        <v>45828</v>
      </c>
      <c r="R127" t="s">
        <v>27</v>
      </c>
      <c r="S127" t="s">
        <v>28</v>
      </c>
    </row>
    <row r="128" spans="1:19" x14ac:dyDescent="0.25">
      <c r="A128" t="s">
        <v>70</v>
      </c>
      <c r="B128" t="s">
        <v>71</v>
      </c>
      <c r="C128">
        <v>16633294</v>
      </c>
      <c r="D128" t="s">
        <v>21</v>
      </c>
      <c r="E128">
        <v>1</v>
      </c>
      <c r="F128" t="s">
        <v>22</v>
      </c>
      <c r="G128" t="s">
        <v>352</v>
      </c>
      <c r="H128" t="s">
        <v>353</v>
      </c>
      <c r="I128" s="1">
        <v>45658</v>
      </c>
      <c r="J128" t="s">
        <v>51</v>
      </c>
      <c r="K128" s="2">
        <v>45778</v>
      </c>
      <c r="L128">
        <v>1</v>
      </c>
      <c r="M128">
        <v>20</v>
      </c>
      <c r="N128">
        <v>0</v>
      </c>
      <c r="O128">
        <v>20</v>
      </c>
      <c r="P128" t="s">
        <v>67</v>
      </c>
      <c r="Q128" s="1">
        <v>45828</v>
      </c>
      <c r="R128" t="s">
        <v>27</v>
      </c>
      <c r="S128" t="s">
        <v>28</v>
      </c>
    </row>
    <row r="129" spans="1:19" x14ac:dyDescent="0.25">
      <c r="A129" t="s">
        <v>89</v>
      </c>
      <c r="B129" t="s">
        <v>90</v>
      </c>
      <c r="C129">
        <v>19396223</v>
      </c>
      <c r="D129" t="s">
        <v>21</v>
      </c>
      <c r="E129">
        <v>1</v>
      </c>
      <c r="F129" t="s">
        <v>22</v>
      </c>
      <c r="G129" t="s">
        <v>354</v>
      </c>
      <c r="H129" t="s">
        <v>355</v>
      </c>
      <c r="I129" s="1">
        <v>45689</v>
      </c>
      <c r="J129" t="s">
        <v>51</v>
      </c>
      <c r="K129" s="2">
        <v>45778</v>
      </c>
      <c r="L129">
        <v>1</v>
      </c>
      <c r="M129">
        <v>20</v>
      </c>
      <c r="N129">
        <v>0</v>
      </c>
      <c r="O129">
        <v>20</v>
      </c>
      <c r="P129" t="s">
        <v>67</v>
      </c>
      <c r="Q129" s="1">
        <v>45828</v>
      </c>
      <c r="R129" t="s">
        <v>27</v>
      </c>
      <c r="S129" t="s">
        <v>28</v>
      </c>
    </row>
    <row r="130" spans="1:19" x14ac:dyDescent="0.25">
      <c r="A130" t="s">
        <v>117</v>
      </c>
      <c r="B130" t="s">
        <v>118</v>
      </c>
      <c r="C130">
        <v>371819</v>
      </c>
      <c r="D130" t="s">
        <v>21</v>
      </c>
      <c r="E130">
        <v>1</v>
      </c>
      <c r="F130" t="s">
        <v>22</v>
      </c>
      <c r="G130" t="s">
        <v>356</v>
      </c>
      <c r="H130" t="s">
        <v>357</v>
      </c>
      <c r="I130" s="1">
        <v>44958</v>
      </c>
      <c r="J130" t="s">
        <v>25</v>
      </c>
      <c r="K130" s="2">
        <v>45778</v>
      </c>
      <c r="L130">
        <v>3</v>
      </c>
      <c r="M130">
        <v>60</v>
      </c>
      <c r="N130">
        <v>0</v>
      </c>
      <c r="O130">
        <v>60</v>
      </c>
      <c r="P130" t="s">
        <v>26</v>
      </c>
      <c r="Q130" s="1">
        <v>45828</v>
      </c>
      <c r="R130" t="s">
        <v>27</v>
      </c>
      <c r="S130" t="s">
        <v>28</v>
      </c>
    </row>
    <row r="131" spans="1:19" x14ac:dyDescent="0.25">
      <c r="A131" t="s">
        <v>19</v>
      </c>
      <c r="B131" t="s">
        <v>20</v>
      </c>
      <c r="C131">
        <v>19681796</v>
      </c>
      <c r="D131" t="s">
        <v>21</v>
      </c>
      <c r="E131">
        <v>1</v>
      </c>
      <c r="F131" t="s">
        <v>22</v>
      </c>
      <c r="G131" t="s">
        <v>358</v>
      </c>
      <c r="H131" t="s">
        <v>359</v>
      </c>
      <c r="I131" s="1">
        <v>45778</v>
      </c>
      <c r="J131" t="s">
        <v>51</v>
      </c>
      <c r="K131" s="2">
        <v>45778</v>
      </c>
      <c r="L131">
        <v>1</v>
      </c>
      <c r="M131">
        <v>20</v>
      </c>
      <c r="N131">
        <v>0</v>
      </c>
      <c r="O131">
        <v>20</v>
      </c>
      <c r="P131" t="s">
        <v>67</v>
      </c>
      <c r="Q131" s="1">
        <v>45828</v>
      </c>
      <c r="R131" t="s">
        <v>27</v>
      </c>
      <c r="S131" t="s">
        <v>28</v>
      </c>
    </row>
    <row r="132" spans="1:19" x14ac:dyDescent="0.25">
      <c r="A132" t="s">
        <v>57</v>
      </c>
      <c r="B132" t="s">
        <v>58</v>
      </c>
      <c r="C132">
        <v>8977234</v>
      </c>
      <c r="D132" t="s">
        <v>21</v>
      </c>
      <c r="E132">
        <v>1</v>
      </c>
      <c r="F132" t="s">
        <v>22</v>
      </c>
      <c r="G132" t="s">
        <v>360</v>
      </c>
      <c r="H132" t="s">
        <v>361</v>
      </c>
      <c r="I132" s="1">
        <v>45292</v>
      </c>
      <c r="J132" t="s">
        <v>135</v>
      </c>
      <c r="K132" s="2">
        <v>45778</v>
      </c>
      <c r="L132">
        <v>2</v>
      </c>
      <c r="M132">
        <v>40</v>
      </c>
      <c r="N132">
        <v>0</v>
      </c>
      <c r="O132">
        <v>40</v>
      </c>
      <c r="P132" t="s">
        <v>136</v>
      </c>
      <c r="Q132" s="1">
        <v>45828</v>
      </c>
      <c r="R132" t="s">
        <v>27</v>
      </c>
      <c r="S132" t="s">
        <v>137</v>
      </c>
    </row>
    <row r="133" spans="1:19" x14ac:dyDescent="0.25">
      <c r="A133" t="s">
        <v>101</v>
      </c>
      <c r="B133" t="s">
        <v>102</v>
      </c>
      <c r="C133">
        <v>8307933</v>
      </c>
      <c r="D133" t="s">
        <v>21</v>
      </c>
      <c r="E133">
        <v>1</v>
      </c>
      <c r="F133" t="s">
        <v>22</v>
      </c>
      <c r="G133" t="s">
        <v>362</v>
      </c>
      <c r="H133" t="s">
        <v>363</v>
      </c>
      <c r="I133" s="1">
        <v>45658</v>
      </c>
      <c r="J133" t="s">
        <v>51</v>
      </c>
      <c r="K133" s="2">
        <v>45778</v>
      </c>
      <c r="L133">
        <v>1</v>
      </c>
      <c r="M133">
        <v>20</v>
      </c>
      <c r="N133">
        <v>0</v>
      </c>
      <c r="O133">
        <v>20</v>
      </c>
      <c r="P133" t="s">
        <v>67</v>
      </c>
      <c r="Q133" s="1">
        <v>45828</v>
      </c>
      <c r="R133" t="s">
        <v>27</v>
      </c>
      <c r="S133" t="s">
        <v>28</v>
      </c>
    </row>
    <row r="134" spans="1:19" x14ac:dyDescent="0.25">
      <c r="A134" t="s">
        <v>89</v>
      </c>
      <c r="B134" t="s">
        <v>90</v>
      </c>
      <c r="C134">
        <v>19396223</v>
      </c>
      <c r="D134" t="s">
        <v>21</v>
      </c>
      <c r="E134">
        <v>1</v>
      </c>
      <c r="F134" t="s">
        <v>22</v>
      </c>
      <c r="G134" t="s">
        <v>364</v>
      </c>
      <c r="H134" t="s">
        <v>365</v>
      </c>
      <c r="I134" s="1">
        <v>45292</v>
      </c>
      <c r="J134" t="s">
        <v>51</v>
      </c>
      <c r="K134" s="2">
        <v>45778</v>
      </c>
      <c r="L134">
        <v>1</v>
      </c>
      <c r="M134">
        <v>20</v>
      </c>
      <c r="N134">
        <v>0</v>
      </c>
      <c r="O134">
        <v>20</v>
      </c>
      <c r="P134" t="s">
        <v>52</v>
      </c>
      <c r="Q134" s="1">
        <v>45828</v>
      </c>
      <c r="R134" t="s">
        <v>27</v>
      </c>
      <c r="S134" t="s">
        <v>28</v>
      </c>
    </row>
    <row r="135" spans="1:19" x14ac:dyDescent="0.25">
      <c r="A135" t="s">
        <v>63</v>
      </c>
      <c r="B135" t="s">
        <v>64</v>
      </c>
      <c r="C135">
        <v>14177521</v>
      </c>
      <c r="D135" t="s">
        <v>21</v>
      </c>
      <c r="E135">
        <v>1</v>
      </c>
      <c r="F135" t="s">
        <v>22</v>
      </c>
      <c r="G135" t="s">
        <v>366</v>
      </c>
      <c r="H135" t="s">
        <v>367</v>
      </c>
      <c r="I135" s="1">
        <v>45292</v>
      </c>
      <c r="J135" t="s">
        <v>51</v>
      </c>
      <c r="K135" s="2">
        <v>45778</v>
      </c>
      <c r="L135">
        <v>2</v>
      </c>
      <c r="M135">
        <v>40</v>
      </c>
      <c r="N135">
        <v>0</v>
      </c>
      <c r="O135">
        <v>40</v>
      </c>
      <c r="P135" t="s">
        <v>52</v>
      </c>
      <c r="Q135" s="1">
        <v>45828</v>
      </c>
      <c r="R135" t="s">
        <v>27</v>
      </c>
      <c r="S135" t="s">
        <v>28</v>
      </c>
    </row>
    <row r="136" spans="1:19" x14ac:dyDescent="0.25">
      <c r="A136" t="s">
        <v>174</v>
      </c>
      <c r="B136" t="s">
        <v>175</v>
      </c>
      <c r="C136">
        <v>8814784</v>
      </c>
      <c r="D136" t="s">
        <v>21</v>
      </c>
      <c r="E136">
        <v>1</v>
      </c>
      <c r="F136" t="s">
        <v>22</v>
      </c>
      <c r="G136" t="s">
        <v>368</v>
      </c>
      <c r="H136" t="s">
        <v>369</v>
      </c>
      <c r="I136" s="1">
        <v>45444</v>
      </c>
      <c r="J136" t="s">
        <v>51</v>
      </c>
      <c r="K136" s="2">
        <v>45778</v>
      </c>
      <c r="L136">
        <v>2</v>
      </c>
      <c r="M136">
        <v>40</v>
      </c>
      <c r="N136">
        <v>0</v>
      </c>
      <c r="O136">
        <v>40</v>
      </c>
      <c r="P136" t="s">
        <v>52</v>
      </c>
      <c r="Q136" s="1">
        <v>45828</v>
      </c>
      <c r="R136" t="s">
        <v>27</v>
      </c>
      <c r="S136" t="s">
        <v>28</v>
      </c>
    </row>
    <row r="137" spans="1:19" x14ac:dyDescent="0.25">
      <c r="A137" t="s">
        <v>70</v>
      </c>
      <c r="B137" t="s">
        <v>71</v>
      </c>
      <c r="C137">
        <v>16633294</v>
      </c>
      <c r="D137" t="s">
        <v>21</v>
      </c>
      <c r="E137">
        <v>1</v>
      </c>
      <c r="F137" t="s">
        <v>22</v>
      </c>
      <c r="G137" t="s">
        <v>370</v>
      </c>
      <c r="H137" t="s">
        <v>371</v>
      </c>
      <c r="I137" s="1">
        <v>44958</v>
      </c>
      <c r="J137" t="s">
        <v>25</v>
      </c>
      <c r="K137" s="2">
        <v>45778</v>
      </c>
      <c r="L137">
        <v>1</v>
      </c>
      <c r="M137">
        <v>20</v>
      </c>
      <c r="N137">
        <v>0</v>
      </c>
      <c r="O137">
        <v>20</v>
      </c>
      <c r="P137" t="s">
        <v>26</v>
      </c>
      <c r="Q137" s="1">
        <v>45828</v>
      </c>
      <c r="R137" t="s">
        <v>27</v>
      </c>
      <c r="S137" t="s">
        <v>28</v>
      </c>
    </row>
    <row r="138" spans="1:19" x14ac:dyDescent="0.25">
      <c r="A138" t="s">
        <v>372</v>
      </c>
      <c r="B138" t="s">
        <v>373</v>
      </c>
      <c r="C138">
        <v>20212926</v>
      </c>
      <c r="D138" t="s">
        <v>21</v>
      </c>
      <c r="E138">
        <v>1</v>
      </c>
      <c r="F138" t="s">
        <v>22</v>
      </c>
      <c r="G138" t="s">
        <v>374</v>
      </c>
      <c r="H138" t="s">
        <v>375</v>
      </c>
      <c r="I138" s="1">
        <v>45566</v>
      </c>
      <c r="J138" t="s">
        <v>51</v>
      </c>
      <c r="K138" s="2">
        <v>45778</v>
      </c>
      <c r="L138">
        <v>2</v>
      </c>
      <c r="M138">
        <v>40</v>
      </c>
      <c r="N138">
        <v>0</v>
      </c>
      <c r="O138">
        <v>40</v>
      </c>
      <c r="P138" t="s">
        <v>52</v>
      </c>
      <c r="Q138" s="1">
        <v>45828</v>
      </c>
      <c r="R138" t="s">
        <v>27</v>
      </c>
      <c r="S138" t="s">
        <v>28</v>
      </c>
    </row>
    <row r="139" spans="1:19" x14ac:dyDescent="0.25">
      <c r="A139" t="s">
        <v>290</v>
      </c>
      <c r="B139" t="s">
        <v>291</v>
      </c>
      <c r="C139">
        <v>21104854</v>
      </c>
      <c r="D139" t="s">
        <v>21</v>
      </c>
      <c r="E139">
        <v>1</v>
      </c>
      <c r="F139" t="s">
        <v>22</v>
      </c>
      <c r="G139" t="s">
        <v>376</v>
      </c>
      <c r="H139" t="s">
        <v>377</v>
      </c>
      <c r="I139" s="1">
        <v>45658</v>
      </c>
      <c r="J139" t="s">
        <v>51</v>
      </c>
      <c r="K139" s="2">
        <v>45778</v>
      </c>
      <c r="L139">
        <v>1</v>
      </c>
      <c r="M139">
        <v>20</v>
      </c>
      <c r="N139">
        <v>0</v>
      </c>
      <c r="O139">
        <v>20</v>
      </c>
      <c r="P139" t="s">
        <v>67</v>
      </c>
      <c r="Q139" s="1">
        <v>45828</v>
      </c>
      <c r="R139" t="s">
        <v>27</v>
      </c>
      <c r="S139" t="s">
        <v>28</v>
      </c>
    </row>
    <row r="140" spans="1:19" x14ac:dyDescent="0.25">
      <c r="A140" t="s">
        <v>35</v>
      </c>
      <c r="B140" t="s">
        <v>36</v>
      </c>
      <c r="C140">
        <v>9079571</v>
      </c>
      <c r="D140" t="s">
        <v>21</v>
      </c>
      <c r="E140">
        <v>1</v>
      </c>
      <c r="F140" t="s">
        <v>22</v>
      </c>
      <c r="G140" t="s">
        <v>378</v>
      </c>
      <c r="H140" t="s">
        <v>379</v>
      </c>
      <c r="I140" s="1">
        <v>45597</v>
      </c>
      <c r="J140" t="s">
        <v>33</v>
      </c>
      <c r="K140" s="2">
        <v>45778</v>
      </c>
      <c r="L140">
        <v>1</v>
      </c>
      <c r="M140">
        <v>10</v>
      </c>
      <c r="N140">
        <v>0</v>
      </c>
      <c r="O140">
        <v>10</v>
      </c>
      <c r="P140" t="s">
        <v>34</v>
      </c>
      <c r="Q140" s="1">
        <v>45828</v>
      </c>
      <c r="R140" t="s">
        <v>27</v>
      </c>
      <c r="S140" t="s">
        <v>28</v>
      </c>
    </row>
    <row r="141" spans="1:19" x14ac:dyDescent="0.25">
      <c r="A141" t="s">
        <v>57</v>
      </c>
      <c r="B141" t="s">
        <v>58</v>
      </c>
      <c r="C141">
        <v>8977234</v>
      </c>
      <c r="D141" t="s">
        <v>21</v>
      </c>
      <c r="E141">
        <v>1</v>
      </c>
      <c r="F141" t="s">
        <v>22</v>
      </c>
      <c r="G141" t="s">
        <v>380</v>
      </c>
      <c r="H141" t="s">
        <v>381</v>
      </c>
      <c r="I141" s="1">
        <v>45292</v>
      </c>
      <c r="J141" t="s">
        <v>25</v>
      </c>
      <c r="K141" s="2">
        <v>45778</v>
      </c>
      <c r="L141">
        <v>1</v>
      </c>
      <c r="M141">
        <v>20</v>
      </c>
      <c r="N141">
        <v>0</v>
      </c>
      <c r="O141">
        <v>20</v>
      </c>
      <c r="P141" t="s">
        <v>26</v>
      </c>
      <c r="Q141" s="1">
        <v>45828</v>
      </c>
      <c r="R141" t="s">
        <v>27</v>
      </c>
      <c r="S141" t="s">
        <v>28</v>
      </c>
    </row>
    <row r="142" spans="1:19" x14ac:dyDescent="0.25">
      <c r="A142" t="s">
        <v>382</v>
      </c>
      <c r="B142" t="s">
        <v>383</v>
      </c>
      <c r="C142">
        <v>18581063</v>
      </c>
      <c r="D142" t="s">
        <v>21</v>
      </c>
      <c r="E142">
        <v>1</v>
      </c>
      <c r="F142" t="s">
        <v>22</v>
      </c>
      <c r="G142" t="s">
        <v>384</v>
      </c>
      <c r="H142" t="s">
        <v>385</v>
      </c>
      <c r="I142" s="1">
        <v>45658</v>
      </c>
      <c r="J142" t="s">
        <v>25</v>
      </c>
      <c r="K142" s="2">
        <v>45778</v>
      </c>
      <c r="L142">
        <v>2</v>
      </c>
      <c r="M142">
        <v>40</v>
      </c>
      <c r="N142">
        <v>0</v>
      </c>
      <c r="O142">
        <v>40</v>
      </c>
      <c r="P142" t="s">
        <v>74</v>
      </c>
      <c r="Q142" s="1">
        <v>45828</v>
      </c>
      <c r="R142" t="s">
        <v>27</v>
      </c>
      <c r="S142" t="s">
        <v>28</v>
      </c>
    </row>
    <row r="143" spans="1:19" x14ac:dyDescent="0.25">
      <c r="A143" t="s">
        <v>19</v>
      </c>
      <c r="B143" t="s">
        <v>20</v>
      </c>
      <c r="C143">
        <v>19681796</v>
      </c>
      <c r="D143" t="s">
        <v>21</v>
      </c>
      <c r="E143">
        <v>1</v>
      </c>
      <c r="F143" t="s">
        <v>22</v>
      </c>
      <c r="G143" t="s">
        <v>386</v>
      </c>
      <c r="H143" t="s">
        <v>387</v>
      </c>
      <c r="I143" s="1">
        <v>45658</v>
      </c>
      <c r="J143" t="s">
        <v>51</v>
      </c>
      <c r="K143" s="2">
        <v>45778</v>
      </c>
      <c r="L143">
        <v>2</v>
      </c>
      <c r="M143">
        <v>40</v>
      </c>
      <c r="N143">
        <v>0</v>
      </c>
      <c r="O143">
        <v>40</v>
      </c>
      <c r="P143" t="s">
        <v>67</v>
      </c>
      <c r="Q143" s="1">
        <v>45828</v>
      </c>
      <c r="R143" t="s">
        <v>27</v>
      </c>
      <c r="S143" t="s">
        <v>28</v>
      </c>
    </row>
    <row r="144" spans="1:19" x14ac:dyDescent="0.25">
      <c r="A144" t="s">
        <v>117</v>
      </c>
      <c r="B144" t="s">
        <v>118</v>
      </c>
      <c r="C144">
        <v>371819</v>
      </c>
      <c r="D144" t="s">
        <v>21</v>
      </c>
      <c r="E144">
        <v>1</v>
      </c>
      <c r="F144" t="s">
        <v>22</v>
      </c>
      <c r="G144" t="s">
        <v>388</v>
      </c>
      <c r="H144" t="s">
        <v>389</v>
      </c>
      <c r="I144" s="1">
        <v>45505</v>
      </c>
      <c r="J144" t="s">
        <v>25</v>
      </c>
      <c r="K144" s="2">
        <v>45778</v>
      </c>
      <c r="L144">
        <v>1</v>
      </c>
      <c r="M144">
        <v>20</v>
      </c>
      <c r="N144">
        <v>0</v>
      </c>
      <c r="O144">
        <v>20</v>
      </c>
      <c r="P144" t="s">
        <v>74</v>
      </c>
      <c r="Q144" s="1">
        <v>45828</v>
      </c>
      <c r="R144" t="s">
        <v>27</v>
      </c>
      <c r="S144" t="s">
        <v>28</v>
      </c>
    </row>
    <row r="145" spans="1:19" x14ac:dyDescent="0.25">
      <c r="A145" t="s">
        <v>113</v>
      </c>
      <c r="B145" t="s">
        <v>114</v>
      </c>
      <c r="C145">
        <v>19645587</v>
      </c>
      <c r="D145" t="s">
        <v>21</v>
      </c>
      <c r="E145">
        <v>1</v>
      </c>
      <c r="F145" t="s">
        <v>22</v>
      </c>
      <c r="G145" t="s">
        <v>390</v>
      </c>
      <c r="H145" t="s">
        <v>391</v>
      </c>
      <c r="I145" s="1">
        <v>45658</v>
      </c>
      <c r="J145" t="s">
        <v>51</v>
      </c>
      <c r="K145" s="2">
        <v>45778</v>
      </c>
      <c r="L145">
        <v>1</v>
      </c>
      <c r="M145">
        <v>20</v>
      </c>
      <c r="N145">
        <v>0</v>
      </c>
      <c r="O145">
        <v>20</v>
      </c>
      <c r="P145" t="s">
        <v>67</v>
      </c>
      <c r="Q145" s="1">
        <v>45828</v>
      </c>
      <c r="R145" t="s">
        <v>27</v>
      </c>
      <c r="S145" t="s">
        <v>28</v>
      </c>
    </row>
    <row r="146" spans="1:19" x14ac:dyDescent="0.25">
      <c r="A146" t="s">
        <v>258</v>
      </c>
      <c r="B146" t="s">
        <v>259</v>
      </c>
      <c r="C146">
        <v>8325282</v>
      </c>
      <c r="D146" t="s">
        <v>21</v>
      </c>
      <c r="E146">
        <v>1</v>
      </c>
      <c r="F146" t="s">
        <v>22</v>
      </c>
      <c r="G146" t="s">
        <v>392</v>
      </c>
      <c r="H146" t="s">
        <v>393</v>
      </c>
      <c r="I146" s="1">
        <v>45689</v>
      </c>
      <c r="J146" t="s">
        <v>51</v>
      </c>
      <c r="K146" s="2">
        <v>45778</v>
      </c>
      <c r="L146">
        <v>1</v>
      </c>
      <c r="M146">
        <v>20</v>
      </c>
      <c r="N146">
        <v>0</v>
      </c>
      <c r="O146">
        <v>20</v>
      </c>
      <c r="P146" t="s">
        <v>67</v>
      </c>
      <c r="Q146" s="1">
        <v>45828</v>
      </c>
      <c r="R146" t="s">
        <v>27</v>
      </c>
      <c r="S146" t="s">
        <v>28</v>
      </c>
    </row>
    <row r="147" spans="1:19" x14ac:dyDescent="0.25">
      <c r="A147" t="s">
        <v>101</v>
      </c>
      <c r="B147" t="s">
        <v>102</v>
      </c>
      <c r="C147">
        <v>8307933</v>
      </c>
      <c r="D147" t="s">
        <v>21</v>
      </c>
      <c r="E147">
        <v>1</v>
      </c>
      <c r="F147" t="s">
        <v>22</v>
      </c>
      <c r="G147" t="s">
        <v>394</v>
      </c>
      <c r="H147" t="s">
        <v>395</v>
      </c>
      <c r="I147" s="1">
        <v>45383</v>
      </c>
      <c r="J147" t="s">
        <v>43</v>
      </c>
      <c r="K147" s="2">
        <v>45778</v>
      </c>
      <c r="L147">
        <v>1</v>
      </c>
      <c r="M147">
        <v>25</v>
      </c>
      <c r="N147">
        <v>0</v>
      </c>
      <c r="O147">
        <v>25</v>
      </c>
      <c r="P147" t="s">
        <v>241</v>
      </c>
      <c r="Q147" s="1">
        <v>45828</v>
      </c>
      <c r="R147" t="s">
        <v>27</v>
      </c>
      <c r="S147" t="s">
        <v>28</v>
      </c>
    </row>
    <row r="148" spans="1:19" x14ac:dyDescent="0.25">
      <c r="A148" t="s">
        <v>70</v>
      </c>
      <c r="B148" t="s">
        <v>71</v>
      </c>
      <c r="C148">
        <v>16633294</v>
      </c>
      <c r="D148" t="s">
        <v>21</v>
      </c>
      <c r="E148">
        <v>1</v>
      </c>
      <c r="F148" t="s">
        <v>22</v>
      </c>
      <c r="G148" t="s">
        <v>396</v>
      </c>
      <c r="H148" t="s">
        <v>397</v>
      </c>
      <c r="I148" s="1">
        <v>44927</v>
      </c>
      <c r="J148" t="s">
        <v>25</v>
      </c>
      <c r="K148" s="2">
        <v>45778</v>
      </c>
      <c r="L148">
        <v>1</v>
      </c>
      <c r="M148">
        <v>20</v>
      </c>
      <c r="N148">
        <v>0</v>
      </c>
      <c r="O148">
        <v>20</v>
      </c>
      <c r="P148" t="s">
        <v>26</v>
      </c>
      <c r="Q148" s="1">
        <v>45828</v>
      </c>
      <c r="R148" t="s">
        <v>27</v>
      </c>
      <c r="S148" t="s">
        <v>28</v>
      </c>
    </row>
    <row r="149" spans="1:19" x14ac:dyDescent="0.25">
      <c r="A149" t="s">
        <v>29</v>
      </c>
      <c r="B149" t="s">
        <v>30</v>
      </c>
      <c r="C149">
        <v>16202925</v>
      </c>
      <c r="D149" t="s">
        <v>21</v>
      </c>
      <c r="E149">
        <v>1</v>
      </c>
      <c r="F149" t="s">
        <v>22</v>
      </c>
      <c r="G149" t="s">
        <v>398</v>
      </c>
      <c r="H149" t="s">
        <v>399</v>
      </c>
      <c r="I149" s="1">
        <v>45444</v>
      </c>
      <c r="J149" t="s">
        <v>33</v>
      </c>
      <c r="K149" s="2">
        <v>45778</v>
      </c>
      <c r="L149">
        <v>1</v>
      </c>
      <c r="M149">
        <v>10</v>
      </c>
      <c r="N149">
        <v>0</v>
      </c>
      <c r="O149">
        <v>10</v>
      </c>
      <c r="P149" t="s">
        <v>34</v>
      </c>
      <c r="Q149" s="1">
        <v>45828</v>
      </c>
      <c r="R149" t="s">
        <v>27</v>
      </c>
      <c r="S149" t="s">
        <v>28</v>
      </c>
    </row>
    <row r="150" spans="1:19" x14ac:dyDescent="0.25">
      <c r="A150" t="s">
        <v>63</v>
      </c>
      <c r="B150" t="s">
        <v>64</v>
      </c>
      <c r="C150">
        <v>14177521</v>
      </c>
      <c r="D150" t="s">
        <v>21</v>
      </c>
      <c r="E150">
        <v>1</v>
      </c>
      <c r="F150" t="s">
        <v>22</v>
      </c>
      <c r="G150" t="s">
        <v>400</v>
      </c>
      <c r="H150" t="s">
        <v>401</v>
      </c>
      <c r="I150" s="1">
        <v>45292</v>
      </c>
      <c r="J150" t="s">
        <v>51</v>
      </c>
      <c r="K150" s="2">
        <v>45778</v>
      </c>
      <c r="L150">
        <v>2</v>
      </c>
      <c r="M150">
        <v>40</v>
      </c>
      <c r="N150">
        <v>0</v>
      </c>
      <c r="O150">
        <v>40</v>
      </c>
      <c r="P150" t="s">
        <v>52</v>
      </c>
      <c r="Q150" s="1">
        <v>45828</v>
      </c>
      <c r="R150" t="s">
        <v>27</v>
      </c>
      <c r="S150" t="s">
        <v>28</v>
      </c>
    </row>
    <row r="151" spans="1:19" x14ac:dyDescent="0.25">
      <c r="A151" t="s">
        <v>105</v>
      </c>
      <c r="B151" t="s">
        <v>106</v>
      </c>
      <c r="C151">
        <v>7146581</v>
      </c>
      <c r="D151" t="s">
        <v>21</v>
      </c>
      <c r="E151">
        <v>1</v>
      </c>
      <c r="F151" t="s">
        <v>22</v>
      </c>
      <c r="G151" t="s">
        <v>402</v>
      </c>
      <c r="H151" t="s">
        <v>403</v>
      </c>
      <c r="I151" s="1">
        <v>45658</v>
      </c>
      <c r="J151" t="s">
        <v>51</v>
      </c>
      <c r="K151" s="2">
        <v>45778</v>
      </c>
      <c r="L151">
        <v>4</v>
      </c>
      <c r="M151">
        <v>80</v>
      </c>
      <c r="N151">
        <v>0</v>
      </c>
      <c r="O151">
        <v>80</v>
      </c>
      <c r="P151" t="s">
        <v>67</v>
      </c>
      <c r="Q151" s="1">
        <v>45828</v>
      </c>
      <c r="R151" t="s">
        <v>27</v>
      </c>
      <c r="S151" t="s">
        <v>28</v>
      </c>
    </row>
    <row r="152" spans="1:19" x14ac:dyDescent="0.25">
      <c r="A152" t="s">
        <v>35</v>
      </c>
      <c r="B152" t="s">
        <v>36</v>
      </c>
      <c r="C152">
        <v>9079571</v>
      </c>
      <c r="D152" t="s">
        <v>21</v>
      </c>
      <c r="E152">
        <v>1</v>
      </c>
      <c r="F152" t="s">
        <v>22</v>
      </c>
      <c r="G152" t="s">
        <v>404</v>
      </c>
      <c r="H152" t="s">
        <v>405</v>
      </c>
      <c r="I152" s="1">
        <v>45139</v>
      </c>
      <c r="J152" t="s">
        <v>80</v>
      </c>
      <c r="K152" s="2">
        <v>45778</v>
      </c>
      <c r="L152">
        <v>1</v>
      </c>
      <c r="M152">
        <v>20</v>
      </c>
      <c r="N152">
        <v>0</v>
      </c>
      <c r="O152">
        <v>20</v>
      </c>
      <c r="P152" t="s">
        <v>188</v>
      </c>
      <c r="Q152" s="1">
        <v>45828</v>
      </c>
      <c r="R152" t="s">
        <v>27</v>
      </c>
      <c r="S152" t="s">
        <v>189</v>
      </c>
    </row>
    <row r="153" spans="1:19" x14ac:dyDescent="0.25">
      <c r="A153" t="s">
        <v>35</v>
      </c>
      <c r="B153" t="s">
        <v>36</v>
      </c>
      <c r="C153">
        <v>9079571</v>
      </c>
      <c r="D153" t="s">
        <v>21</v>
      </c>
      <c r="E153">
        <v>1</v>
      </c>
      <c r="F153" t="s">
        <v>22</v>
      </c>
      <c r="G153" t="s">
        <v>406</v>
      </c>
      <c r="H153" t="s">
        <v>407</v>
      </c>
      <c r="I153" s="1">
        <v>44927</v>
      </c>
      <c r="J153" t="s">
        <v>80</v>
      </c>
      <c r="K153" s="2">
        <v>45778</v>
      </c>
      <c r="L153">
        <v>1</v>
      </c>
      <c r="M153">
        <v>20</v>
      </c>
      <c r="N153">
        <v>0</v>
      </c>
      <c r="O153">
        <v>20</v>
      </c>
      <c r="P153" t="s">
        <v>188</v>
      </c>
      <c r="Q153" s="1">
        <v>45828</v>
      </c>
      <c r="R153" t="s">
        <v>27</v>
      </c>
      <c r="S153" t="s">
        <v>189</v>
      </c>
    </row>
    <row r="154" spans="1:19" x14ac:dyDescent="0.25">
      <c r="A154" t="s">
        <v>290</v>
      </c>
      <c r="B154" t="s">
        <v>291</v>
      </c>
      <c r="C154">
        <v>21104854</v>
      </c>
      <c r="D154" t="s">
        <v>21</v>
      </c>
      <c r="E154">
        <v>1</v>
      </c>
      <c r="F154" t="s">
        <v>22</v>
      </c>
      <c r="G154" t="s">
        <v>408</v>
      </c>
      <c r="H154" t="s">
        <v>409</v>
      </c>
      <c r="I154" s="1">
        <v>45658</v>
      </c>
      <c r="J154" t="s">
        <v>51</v>
      </c>
      <c r="K154" s="2">
        <v>45778</v>
      </c>
      <c r="L154">
        <v>2</v>
      </c>
      <c r="M154">
        <v>40</v>
      </c>
      <c r="N154">
        <v>0</v>
      </c>
      <c r="O154">
        <v>40</v>
      </c>
      <c r="P154" t="s">
        <v>67</v>
      </c>
      <c r="Q154" s="1">
        <v>45828</v>
      </c>
      <c r="R154" t="s">
        <v>27</v>
      </c>
      <c r="S154" t="s">
        <v>28</v>
      </c>
    </row>
    <row r="155" spans="1:19" x14ac:dyDescent="0.25">
      <c r="A155" t="s">
        <v>35</v>
      </c>
      <c r="B155" t="s">
        <v>36</v>
      </c>
      <c r="C155">
        <v>9079571</v>
      </c>
      <c r="D155" t="s">
        <v>21</v>
      </c>
      <c r="E155">
        <v>1</v>
      </c>
      <c r="F155" t="s">
        <v>22</v>
      </c>
      <c r="G155" t="s">
        <v>410</v>
      </c>
      <c r="H155" t="s">
        <v>411</v>
      </c>
      <c r="I155" s="1">
        <v>45383</v>
      </c>
      <c r="J155" t="s">
        <v>33</v>
      </c>
      <c r="K155" s="2">
        <v>45778</v>
      </c>
      <c r="L155">
        <v>1</v>
      </c>
      <c r="M155">
        <v>10</v>
      </c>
      <c r="N155">
        <v>0</v>
      </c>
      <c r="O155">
        <v>10</v>
      </c>
      <c r="P155" t="s">
        <v>34</v>
      </c>
      <c r="Q155" s="1">
        <v>45828</v>
      </c>
      <c r="R155" t="s">
        <v>27</v>
      </c>
      <c r="S155" t="s">
        <v>28</v>
      </c>
    </row>
    <row r="156" spans="1:19" x14ac:dyDescent="0.25">
      <c r="A156" t="s">
        <v>117</v>
      </c>
      <c r="B156" t="s">
        <v>118</v>
      </c>
      <c r="C156">
        <v>371819</v>
      </c>
      <c r="D156" t="s">
        <v>21</v>
      </c>
      <c r="E156">
        <v>1</v>
      </c>
      <c r="F156" t="s">
        <v>22</v>
      </c>
      <c r="G156" t="s">
        <v>412</v>
      </c>
      <c r="H156" t="s">
        <v>413</v>
      </c>
      <c r="I156" s="1">
        <v>45200</v>
      </c>
      <c r="J156" t="s">
        <v>43</v>
      </c>
      <c r="K156" s="2">
        <v>45689</v>
      </c>
      <c r="L156">
        <v>-1</v>
      </c>
      <c r="M156">
        <v>-25</v>
      </c>
      <c r="N156">
        <v>0</v>
      </c>
      <c r="O156">
        <v>-25</v>
      </c>
      <c r="P156" t="s">
        <v>241</v>
      </c>
      <c r="Q156" s="1">
        <v>45828</v>
      </c>
      <c r="R156" t="s">
        <v>27</v>
      </c>
      <c r="S156" t="s">
        <v>28</v>
      </c>
    </row>
    <row r="157" spans="1:19" x14ac:dyDescent="0.25">
      <c r="A157" t="s">
        <v>117</v>
      </c>
      <c r="B157" t="s">
        <v>118</v>
      </c>
      <c r="C157">
        <v>371819</v>
      </c>
      <c r="D157" t="s">
        <v>21</v>
      </c>
      <c r="E157">
        <v>1</v>
      </c>
      <c r="F157" t="s">
        <v>22</v>
      </c>
      <c r="G157" t="s">
        <v>412</v>
      </c>
      <c r="H157" t="s">
        <v>413</v>
      </c>
      <c r="I157" s="1">
        <v>45200</v>
      </c>
      <c r="J157" t="s">
        <v>43</v>
      </c>
      <c r="K157" s="2">
        <v>45717</v>
      </c>
      <c r="L157">
        <v>-1</v>
      </c>
      <c r="M157">
        <v>-25</v>
      </c>
      <c r="N157">
        <v>0</v>
      </c>
      <c r="O157">
        <v>-25</v>
      </c>
      <c r="P157" t="s">
        <v>241</v>
      </c>
      <c r="Q157" s="1">
        <v>45828</v>
      </c>
      <c r="R157" t="s">
        <v>27</v>
      </c>
      <c r="S157" t="s">
        <v>28</v>
      </c>
    </row>
    <row r="158" spans="1:19" x14ac:dyDescent="0.25">
      <c r="A158" t="s">
        <v>117</v>
      </c>
      <c r="B158" t="s">
        <v>118</v>
      </c>
      <c r="C158">
        <v>371819</v>
      </c>
      <c r="D158" t="s">
        <v>21</v>
      </c>
      <c r="E158">
        <v>1</v>
      </c>
      <c r="F158" t="s">
        <v>22</v>
      </c>
      <c r="G158" t="s">
        <v>412</v>
      </c>
      <c r="H158" t="s">
        <v>413</v>
      </c>
      <c r="I158" s="1">
        <v>45200</v>
      </c>
      <c r="J158" t="s">
        <v>43</v>
      </c>
      <c r="K158" s="2">
        <v>45748</v>
      </c>
      <c r="L158">
        <v>-1</v>
      </c>
      <c r="M158">
        <v>-25</v>
      </c>
      <c r="N158">
        <v>0</v>
      </c>
      <c r="O158">
        <v>-25</v>
      </c>
      <c r="P158" t="s">
        <v>241</v>
      </c>
      <c r="Q158" s="1">
        <v>45828</v>
      </c>
      <c r="R158" t="s">
        <v>27</v>
      </c>
      <c r="S158" t="s">
        <v>28</v>
      </c>
    </row>
    <row r="159" spans="1:19" x14ac:dyDescent="0.25">
      <c r="A159" t="s">
        <v>117</v>
      </c>
      <c r="B159" t="s">
        <v>118</v>
      </c>
      <c r="C159">
        <v>371819</v>
      </c>
      <c r="D159" t="s">
        <v>21</v>
      </c>
      <c r="E159">
        <v>1</v>
      </c>
      <c r="F159" t="s">
        <v>22</v>
      </c>
      <c r="G159" t="s">
        <v>412</v>
      </c>
      <c r="H159" t="s">
        <v>413</v>
      </c>
      <c r="I159" s="1">
        <v>45200</v>
      </c>
      <c r="J159" t="s">
        <v>43</v>
      </c>
      <c r="K159" s="2">
        <v>45778</v>
      </c>
      <c r="L159">
        <v>1</v>
      </c>
      <c r="M159">
        <v>25</v>
      </c>
      <c r="N159">
        <v>0</v>
      </c>
      <c r="O159">
        <v>25</v>
      </c>
      <c r="P159" t="s">
        <v>241</v>
      </c>
      <c r="Q159" s="1">
        <v>45828</v>
      </c>
      <c r="R159" t="s">
        <v>27</v>
      </c>
      <c r="S159" t="s">
        <v>28</v>
      </c>
    </row>
    <row r="160" spans="1:19" x14ac:dyDescent="0.25">
      <c r="A160" t="s">
        <v>47</v>
      </c>
      <c r="B160" t="s">
        <v>48</v>
      </c>
      <c r="C160">
        <v>9213293</v>
      </c>
      <c r="D160" t="s">
        <v>21</v>
      </c>
      <c r="E160">
        <v>1</v>
      </c>
      <c r="F160" t="s">
        <v>22</v>
      </c>
      <c r="G160" t="s">
        <v>414</v>
      </c>
      <c r="H160" t="s">
        <v>415</v>
      </c>
      <c r="I160" s="1">
        <v>45292</v>
      </c>
      <c r="J160" t="s">
        <v>51</v>
      </c>
      <c r="K160" s="2">
        <v>45778</v>
      </c>
      <c r="L160">
        <v>2</v>
      </c>
      <c r="M160">
        <v>40</v>
      </c>
      <c r="N160">
        <v>0</v>
      </c>
      <c r="O160">
        <v>40</v>
      </c>
      <c r="P160" t="s">
        <v>52</v>
      </c>
      <c r="Q160" s="1">
        <v>45828</v>
      </c>
      <c r="R160" t="s">
        <v>27</v>
      </c>
      <c r="S160" t="s">
        <v>28</v>
      </c>
    </row>
    <row r="161" spans="1:19" x14ac:dyDescent="0.25">
      <c r="A161" t="s">
        <v>35</v>
      </c>
      <c r="B161" t="s">
        <v>36</v>
      </c>
      <c r="C161">
        <v>9079571</v>
      </c>
      <c r="D161" t="s">
        <v>21</v>
      </c>
      <c r="E161">
        <v>1</v>
      </c>
      <c r="F161" t="s">
        <v>22</v>
      </c>
      <c r="G161" t="s">
        <v>416</v>
      </c>
      <c r="H161" t="s">
        <v>417</v>
      </c>
      <c r="I161" s="1">
        <v>45292</v>
      </c>
      <c r="J161" t="s">
        <v>80</v>
      </c>
      <c r="K161" s="2">
        <v>45778</v>
      </c>
      <c r="L161">
        <v>1</v>
      </c>
      <c r="M161">
        <v>20</v>
      </c>
      <c r="N161">
        <v>0</v>
      </c>
      <c r="O161">
        <v>20</v>
      </c>
      <c r="P161" t="s">
        <v>188</v>
      </c>
      <c r="Q161" s="1">
        <v>45828</v>
      </c>
      <c r="R161" t="s">
        <v>27</v>
      </c>
      <c r="S161" t="s">
        <v>189</v>
      </c>
    </row>
    <row r="162" spans="1:19" x14ac:dyDescent="0.25">
      <c r="A162" t="s">
        <v>418</v>
      </c>
      <c r="B162" t="s">
        <v>419</v>
      </c>
      <c r="C162">
        <v>15278437</v>
      </c>
      <c r="D162" t="s">
        <v>21</v>
      </c>
      <c r="E162">
        <v>1</v>
      </c>
      <c r="F162" t="s">
        <v>22</v>
      </c>
      <c r="G162" t="s">
        <v>420</v>
      </c>
      <c r="H162" t="s">
        <v>421</v>
      </c>
      <c r="I162" s="1">
        <v>45536</v>
      </c>
      <c r="J162" t="s">
        <v>51</v>
      </c>
      <c r="K162" s="2">
        <v>45778</v>
      </c>
      <c r="L162">
        <v>1</v>
      </c>
      <c r="M162">
        <v>20</v>
      </c>
      <c r="N162">
        <v>0</v>
      </c>
      <c r="O162">
        <v>20</v>
      </c>
      <c r="P162" t="s">
        <v>52</v>
      </c>
      <c r="Q162" s="1">
        <v>45828</v>
      </c>
      <c r="R162" t="s">
        <v>27</v>
      </c>
      <c r="S162" t="s">
        <v>28</v>
      </c>
    </row>
    <row r="163" spans="1:19" x14ac:dyDescent="0.25">
      <c r="A163" t="s">
        <v>19</v>
      </c>
      <c r="B163" t="s">
        <v>20</v>
      </c>
      <c r="C163">
        <v>19681796</v>
      </c>
      <c r="D163" t="s">
        <v>21</v>
      </c>
      <c r="E163">
        <v>1</v>
      </c>
      <c r="F163" t="s">
        <v>22</v>
      </c>
      <c r="G163" t="s">
        <v>422</v>
      </c>
      <c r="H163" t="s">
        <v>423</v>
      </c>
      <c r="I163" s="1">
        <v>45658</v>
      </c>
      <c r="J163" t="s">
        <v>51</v>
      </c>
      <c r="K163" s="2">
        <v>45778</v>
      </c>
      <c r="L163">
        <v>2</v>
      </c>
      <c r="M163">
        <v>40</v>
      </c>
      <c r="N163">
        <v>0</v>
      </c>
      <c r="O163">
        <v>40</v>
      </c>
      <c r="P163" t="s">
        <v>67</v>
      </c>
      <c r="Q163" s="1">
        <v>45828</v>
      </c>
      <c r="R163" t="s">
        <v>27</v>
      </c>
      <c r="S163" t="s">
        <v>28</v>
      </c>
    </row>
    <row r="164" spans="1:19" x14ac:dyDescent="0.25">
      <c r="A164" t="s">
        <v>57</v>
      </c>
      <c r="B164" t="s">
        <v>58</v>
      </c>
      <c r="C164">
        <v>8977234</v>
      </c>
      <c r="D164" t="s">
        <v>21</v>
      </c>
      <c r="E164">
        <v>1</v>
      </c>
      <c r="F164" t="s">
        <v>22</v>
      </c>
      <c r="G164" t="s">
        <v>424</v>
      </c>
      <c r="H164" t="s">
        <v>425</v>
      </c>
      <c r="I164" s="1">
        <v>45689</v>
      </c>
      <c r="J164" t="s">
        <v>25</v>
      </c>
      <c r="K164" s="2">
        <v>45778</v>
      </c>
      <c r="L164">
        <v>2</v>
      </c>
      <c r="M164">
        <v>40</v>
      </c>
      <c r="N164">
        <v>0</v>
      </c>
      <c r="O164">
        <v>40</v>
      </c>
      <c r="P164" t="s">
        <v>74</v>
      </c>
      <c r="Q164" s="1">
        <v>45828</v>
      </c>
      <c r="R164" t="s">
        <v>27</v>
      </c>
      <c r="S164" t="s">
        <v>28</v>
      </c>
    </row>
    <row r="165" spans="1:19" x14ac:dyDescent="0.25">
      <c r="A165" t="s">
        <v>35</v>
      </c>
      <c r="B165" t="s">
        <v>36</v>
      </c>
      <c r="C165">
        <v>9079571</v>
      </c>
      <c r="D165" t="s">
        <v>21</v>
      </c>
      <c r="E165">
        <v>1</v>
      </c>
      <c r="F165" t="s">
        <v>22</v>
      </c>
      <c r="G165" t="s">
        <v>426</v>
      </c>
      <c r="H165" t="s">
        <v>427</v>
      </c>
      <c r="I165" s="1">
        <v>45352</v>
      </c>
      <c r="J165" t="s">
        <v>33</v>
      </c>
      <c r="K165" s="2">
        <v>45717</v>
      </c>
      <c r="L165">
        <v>1</v>
      </c>
      <c r="M165">
        <v>10</v>
      </c>
      <c r="N165">
        <v>0</v>
      </c>
      <c r="O165">
        <v>10</v>
      </c>
      <c r="P165" t="s">
        <v>34</v>
      </c>
      <c r="Q165" s="1">
        <v>45828</v>
      </c>
      <c r="R165" t="s">
        <v>27</v>
      </c>
      <c r="S165" t="s">
        <v>28</v>
      </c>
    </row>
    <row r="166" spans="1:19" x14ac:dyDescent="0.25">
      <c r="A166" t="s">
        <v>35</v>
      </c>
      <c r="B166" t="s">
        <v>36</v>
      </c>
      <c r="C166">
        <v>9079571</v>
      </c>
      <c r="D166" t="s">
        <v>21</v>
      </c>
      <c r="E166">
        <v>1</v>
      </c>
      <c r="F166" t="s">
        <v>22</v>
      </c>
      <c r="G166" t="s">
        <v>426</v>
      </c>
      <c r="H166" t="s">
        <v>427</v>
      </c>
      <c r="I166" s="1">
        <v>45352</v>
      </c>
      <c r="J166" t="s">
        <v>33</v>
      </c>
      <c r="K166" s="2">
        <v>45748</v>
      </c>
      <c r="L166">
        <v>1</v>
      </c>
      <c r="M166">
        <v>10</v>
      </c>
      <c r="N166">
        <v>0</v>
      </c>
      <c r="O166">
        <v>10</v>
      </c>
      <c r="P166" t="s">
        <v>34</v>
      </c>
      <c r="Q166" s="1">
        <v>45828</v>
      </c>
      <c r="R166" t="s">
        <v>27</v>
      </c>
      <c r="S166" t="s">
        <v>28</v>
      </c>
    </row>
    <row r="167" spans="1:19" x14ac:dyDescent="0.25">
      <c r="A167" t="s">
        <v>35</v>
      </c>
      <c r="B167" t="s">
        <v>36</v>
      </c>
      <c r="C167">
        <v>9079571</v>
      </c>
      <c r="D167" t="s">
        <v>21</v>
      </c>
      <c r="E167">
        <v>1</v>
      </c>
      <c r="F167" t="s">
        <v>22</v>
      </c>
      <c r="G167" t="s">
        <v>426</v>
      </c>
      <c r="H167" t="s">
        <v>427</v>
      </c>
      <c r="I167" s="1">
        <v>45352</v>
      </c>
      <c r="J167" t="s">
        <v>33</v>
      </c>
      <c r="K167" s="2">
        <v>45778</v>
      </c>
      <c r="L167">
        <v>1</v>
      </c>
      <c r="M167">
        <v>10</v>
      </c>
      <c r="N167">
        <v>0</v>
      </c>
      <c r="O167">
        <v>10</v>
      </c>
      <c r="P167" t="s">
        <v>34</v>
      </c>
      <c r="Q167" s="1">
        <v>45828</v>
      </c>
      <c r="R167" t="s">
        <v>27</v>
      </c>
      <c r="S167" t="s">
        <v>28</v>
      </c>
    </row>
    <row r="168" spans="1:19" x14ac:dyDescent="0.25">
      <c r="A168" t="s">
        <v>174</v>
      </c>
      <c r="B168" t="s">
        <v>175</v>
      </c>
      <c r="C168">
        <v>8814784</v>
      </c>
      <c r="D168" t="s">
        <v>21</v>
      </c>
      <c r="E168">
        <v>1</v>
      </c>
      <c r="F168" t="s">
        <v>22</v>
      </c>
      <c r="G168" t="s">
        <v>428</v>
      </c>
      <c r="H168" t="s">
        <v>429</v>
      </c>
      <c r="I168" s="1">
        <v>45658</v>
      </c>
      <c r="J168" t="s">
        <v>51</v>
      </c>
      <c r="K168" s="2">
        <v>45778</v>
      </c>
      <c r="L168">
        <v>3</v>
      </c>
      <c r="M168">
        <v>60</v>
      </c>
      <c r="N168">
        <v>0</v>
      </c>
      <c r="O168">
        <v>60</v>
      </c>
      <c r="P168" t="s">
        <v>67</v>
      </c>
      <c r="Q168" s="1">
        <v>45828</v>
      </c>
      <c r="R168" t="s">
        <v>27</v>
      </c>
      <c r="S168" t="s">
        <v>28</v>
      </c>
    </row>
    <row r="169" spans="1:19" x14ac:dyDescent="0.25">
      <c r="A169" t="s">
        <v>63</v>
      </c>
      <c r="B169" t="s">
        <v>64</v>
      </c>
      <c r="C169">
        <v>14177521</v>
      </c>
      <c r="D169" t="s">
        <v>21</v>
      </c>
      <c r="E169">
        <v>1</v>
      </c>
      <c r="F169" t="s">
        <v>22</v>
      </c>
      <c r="G169" t="s">
        <v>430</v>
      </c>
      <c r="H169" t="s">
        <v>431</v>
      </c>
      <c r="I169" s="1">
        <v>45689</v>
      </c>
      <c r="J169" t="s">
        <v>51</v>
      </c>
      <c r="K169" s="2">
        <v>45778</v>
      </c>
      <c r="L169">
        <v>1</v>
      </c>
      <c r="M169">
        <v>20</v>
      </c>
      <c r="N169">
        <v>0</v>
      </c>
      <c r="O169">
        <v>20</v>
      </c>
      <c r="P169" t="s">
        <v>67</v>
      </c>
      <c r="Q169" s="1">
        <v>45828</v>
      </c>
      <c r="R169" t="s">
        <v>77</v>
      </c>
      <c r="S169" t="s">
        <v>28</v>
      </c>
    </row>
    <row r="170" spans="1:19" x14ac:dyDescent="0.25">
      <c r="A170" t="s">
        <v>57</v>
      </c>
      <c r="B170" t="s">
        <v>58</v>
      </c>
      <c r="C170">
        <v>8977234</v>
      </c>
      <c r="D170" t="s">
        <v>21</v>
      </c>
      <c r="E170">
        <v>1</v>
      </c>
      <c r="F170" t="s">
        <v>22</v>
      </c>
      <c r="G170" t="s">
        <v>432</v>
      </c>
      <c r="H170" t="s">
        <v>433</v>
      </c>
      <c r="I170" s="1">
        <v>45658</v>
      </c>
      <c r="J170" t="s">
        <v>434</v>
      </c>
      <c r="K170" s="2">
        <v>45778</v>
      </c>
      <c r="L170">
        <v>1</v>
      </c>
      <c r="M170">
        <v>20</v>
      </c>
      <c r="N170">
        <v>0</v>
      </c>
      <c r="O170">
        <v>20</v>
      </c>
      <c r="P170" t="s">
        <v>435</v>
      </c>
      <c r="Q170" s="1">
        <v>45828</v>
      </c>
      <c r="R170" t="s">
        <v>27</v>
      </c>
      <c r="S170" t="s">
        <v>28</v>
      </c>
    </row>
    <row r="171" spans="1:19" x14ac:dyDescent="0.25">
      <c r="A171" t="s">
        <v>101</v>
      </c>
      <c r="B171" t="s">
        <v>102</v>
      </c>
      <c r="C171">
        <v>8307933</v>
      </c>
      <c r="D171" t="s">
        <v>21</v>
      </c>
      <c r="E171">
        <v>1</v>
      </c>
      <c r="F171" t="s">
        <v>22</v>
      </c>
      <c r="G171" t="s">
        <v>436</v>
      </c>
      <c r="H171" t="s">
        <v>437</v>
      </c>
      <c r="I171" s="1">
        <v>45292</v>
      </c>
      <c r="J171" t="s">
        <v>51</v>
      </c>
      <c r="K171" s="2">
        <v>45778</v>
      </c>
      <c r="L171">
        <v>1</v>
      </c>
      <c r="M171">
        <v>20</v>
      </c>
      <c r="N171">
        <v>0</v>
      </c>
      <c r="O171">
        <v>20</v>
      </c>
      <c r="P171" t="s">
        <v>52</v>
      </c>
      <c r="Q171" s="1">
        <v>45828</v>
      </c>
      <c r="R171" t="s">
        <v>27</v>
      </c>
      <c r="S171" t="s">
        <v>28</v>
      </c>
    </row>
    <row r="172" spans="1:19" x14ac:dyDescent="0.25">
      <c r="A172" t="s">
        <v>105</v>
      </c>
      <c r="B172" t="s">
        <v>106</v>
      </c>
      <c r="C172">
        <v>7146581</v>
      </c>
      <c r="D172" t="s">
        <v>21</v>
      </c>
      <c r="E172">
        <v>1</v>
      </c>
      <c r="F172" t="s">
        <v>22</v>
      </c>
      <c r="G172" t="s">
        <v>438</v>
      </c>
      <c r="H172" t="s">
        <v>439</v>
      </c>
      <c r="I172" s="1">
        <v>45323</v>
      </c>
      <c r="J172" t="s">
        <v>51</v>
      </c>
      <c r="K172" s="2">
        <v>45778</v>
      </c>
      <c r="L172">
        <v>4</v>
      </c>
      <c r="M172">
        <v>80</v>
      </c>
      <c r="N172">
        <v>0</v>
      </c>
      <c r="O172">
        <v>80</v>
      </c>
      <c r="P172" t="s">
        <v>52</v>
      </c>
      <c r="Q172" s="1">
        <v>45828</v>
      </c>
      <c r="R172" t="s">
        <v>27</v>
      </c>
      <c r="S172" t="s">
        <v>28</v>
      </c>
    </row>
    <row r="173" spans="1:19" x14ac:dyDescent="0.25">
      <c r="A173" t="s">
        <v>105</v>
      </c>
      <c r="B173" t="s">
        <v>106</v>
      </c>
      <c r="C173">
        <v>7146581</v>
      </c>
      <c r="D173" t="s">
        <v>21</v>
      </c>
      <c r="E173">
        <v>1</v>
      </c>
      <c r="F173" t="s">
        <v>22</v>
      </c>
      <c r="G173" t="s">
        <v>438</v>
      </c>
      <c r="H173" t="s">
        <v>439</v>
      </c>
      <c r="I173" s="1">
        <v>45323</v>
      </c>
      <c r="J173" t="s">
        <v>51</v>
      </c>
      <c r="K173" s="2">
        <v>45748</v>
      </c>
      <c r="L173">
        <v>1</v>
      </c>
      <c r="M173">
        <v>20</v>
      </c>
      <c r="N173">
        <v>0</v>
      </c>
      <c r="O173">
        <v>20</v>
      </c>
      <c r="P173" t="s">
        <v>52</v>
      </c>
      <c r="Q173" s="1">
        <v>45828</v>
      </c>
      <c r="R173" t="s">
        <v>27</v>
      </c>
      <c r="S173" t="s">
        <v>28</v>
      </c>
    </row>
    <row r="174" spans="1:19" x14ac:dyDescent="0.25">
      <c r="A174" t="s">
        <v>105</v>
      </c>
      <c r="B174" t="s">
        <v>106</v>
      </c>
      <c r="C174">
        <v>7146581</v>
      </c>
      <c r="D174" t="s">
        <v>21</v>
      </c>
      <c r="E174">
        <v>1</v>
      </c>
      <c r="F174" t="s">
        <v>22</v>
      </c>
      <c r="G174" t="s">
        <v>438</v>
      </c>
      <c r="H174" t="s">
        <v>439</v>
      </c>
      <c r="I174" s="1">
        <v>45323</v>
      </c>
      <c r="J174" t="s">
        <v>51</v>
      </c>
      <c r="K174" s="2">
        <v>45717</v>
      </c>
      <c r="L174">
        <v>7</v>
      </c>
      <c r="M174">
        <v>140</v>
      </c>
      <c r="N174">
        <v>0</v>
      </c>
      <c r="O174">
        <v>140</v>
      </c>
      <c r="P174" t="s">
        <v>52</v>
      </c>
      <c r="Q174" s="1">
        <v>45828</v>
      </c>
      <c r="R174" t="s">
        <v>27</v>
      </c>
      <c r="S174" t="s">
        <v>28</v>
      </c>
    </row>
    <row r="175" spans="1:19" x14ac:dyDescent="0.25">
      <c r="A175" t="s">
        <v>440</v>
      </c>
      <c r="B175" t="s">
        <v>441</v>
      </c>
      <c r="C175">
        <v>16683808</v>
      </c>
      <c r="D175" t="s">
        <v>21</v>
      </c>
      <c r="E175">
        <v>1</v>
      </c>
      <c r="F175" t="s">
        <v>22</v>
      </c>
      <c r="G175" t="s">
        <v>442</v>
      </c>
      <c r="H175" t="s">
        <v>443</v>
      </c>
      <c r="I175" s="1">
        <v>45292</v>
      </c>
      <c r="J175" t="s">
        <v>51</v>
      </c>
      <c r="K175" s="2">
        <v>45778</v>
      </c>
      <c r="L175">
        <v>2</v>
      </c>
      <c r="M175">
        <v>40</v>
      </c>
      <c r="N175">
        <v>0</v>
      </c>
      <c r="O175">
        <v>40</v>
      </c>
      <c r="P175" t="s">
        <v>52</v>
      </c>
      <c r="Q175" s="1">
        <v>45828</v>
      </c>
      <c r="R175" t="s">
        <v>27</v>
      </c>
      <c r="S175" t="s">
        <v>28</v>
      </c>
    </row>
    <row r="176" spans="1:19" x14ac:dyDescent="0.25">
      <c r="A176" t="s">
        <v>258</v>
      </c>
      <c r="B176" t="s">
        <v>259</v>
      </c>
      <c r="C176">
        <v>8325282</v>
      </c>
      <c r="D176" t="s">
        <v>21</v>
      </c>
      <c r="E176">
        <v>1</v>
      </c>
      <c r="F176" t="s">
        <v>22</v>
      </c>
      <c r="G176" t="s">
        <v>444</v>
      </c>
      <c r="H176" t="s">
        <v>445</v>
      </c>
      <c r="I176" s="1">
        <v>45323</v>
      </c>
      <c r="J176" t="s">
        <v>51</v>
      </c>
      <c r="K176" s="2">
        <v>45778</v>
      </c>
      <c r="L176">
        <v>1</v>
      </c>
      <c r="M176">
        <v>20</v>
      </c>
      <c r="N176">
        <v>0</v>
      </c>
      <c r="O176">
        <v>20</v>
      </c>
      <c r="P176" t="s">
        <v>52</v>
      </c>
      <c r="Q176" s="1">
        <v>45828</v>
      </c>
      <c r="R176" t="s">
        <v>27</v>
      </c>
      <c r="S176" t="s">
        <v>28</v>
      </c>
    </row>
    <row r="177" spans="1:19" x14ac:dyDescent="0.25">
      <c r="A177" t="s">
        <v>70</v>
      </c>
      <c r="B177" t="s">
        <v>71</v>
      </c>
      <c r="C177">
        <v>16633294</v>
      </c>
      <c r="D177" t="s">
        <v>21</v>
      </c>
      <c r="E177">
        <v>1</v>
      </c>
      <c r="F177" t="s">
        <v>22</v>
      </c>
      <c r="G177" t="s">
        <v>446</v>
      </c>
      <c r="H177" t="s">
        <v>447</v>
      </c>
      <c r="I177" s="1">
        <v>45658</v>
      </c>
      <c r="J177" t="s">
        <v>51</v>
      </c>
      <c r="K177" s="2">
        <v>45778</v>
      </c>
      <c r="L177">
        <v>1</v>
      </c>
      <c r="M177">
        <v>20</v>
      </c>
      <c r="N177">
        <v>0</v>
      </c>
      <c r="O177">
        <v>20</v>
      </c>
      <c r="P177" t="s">
        <v>67</v>
      </c>
      <c r="Q177" s="1">
        <v>45828</v>
      </c>
      <c r="R177" t="s">
        <v>27</v>
      </c>
      <c r="S177" t="s">
        <v>28</v>
      </c>
    </row>
    <row r="178" spans="1:19" x14ac:dyDescent="0.25">
      <c r="A178" t="s">
        <v>35</v>
      </c>
      <c r="B178" t="s">
        <v>36</v>
      </c>
      <c r="C178">
        <v>9079571</v>
      </c>
      <c r="D178" t="s">
        <v>21</v>
      </c>
      <c r="E178">
        <v>1</v>
      </c>
      <c r="F178" t="s">
        <v>22</v>
      </c>
      <c r="G178" t="s">
        <v>448</v>
      </c>
      <c r="H178" t="s">
        <v>449</v>
      </c>
      <c r="I178" s="1">
        <v>45474</v>
      </c>
      <c r="J178" t="s">
        <v>33</v>
      </c>
      <c r="K178" s="2">
        <v>45778</v>
      </c>
      <c r="L178">
        <v>1</v>
      </c>
      <c r="M178">
        <v>10</v>
      </c>
      <c r="N178">
        <v>0</v>
      </c>
      <c r="O178">
        <v>10</v>
      </c>
      <c r="P178" t="s">
        <v>34</v>
      </c>
      <c r="Q178" s="1">
        <v>45828</v>
      </c>
      <c r="R178" t="s">
        <v>27</v>
      </c>
      <c r="S178" t="s">
        <v>28</v>
      </c>
    </row>
    <row r="179" spans="1:19" x14ac:dyDescent="0.25">
      <c r="A179" t="s">
        <v>101</v>
      </c>
      <c r="B179" t="s">
        <v>102</v>
      </c>
      <c r="C179">
        <v>8307933</v>
      </c>
      <c r="D179" t="s">
        <v>21</v>
      </c>
      <c r="E179">
        <v>1</v>
      </c>
      <c r="F179" t="s">
        <v>22</v>
      </c>
      <c r="G179" t="s">
        <v>450</v>
      </c>
      <c r="H179" t="s">
        <v>451</v>
      </c>
      <c r="I179" s="1">
        <v>45505</v>
      </c>
      <c r="J179" t="s">
        <v>43</v>
      </c>
      <c r="K179" s="2">
        <v>45778</v>
      </c>
      <c r="L179">
        <v>1</v>
      </c>
      <c r="M179">
        <v>25</v>
      </c>
      <c r="N179">
        <v>0</v>
      </c>
      <c r="O179">
        <v>25</v>
      </c>
      <c r="P179" t="s">
        <v>44</v>
      </c>
      <c r="Q179" s="1">
        <v>45828</v>
      </c>
      <c r="R179" t="s">
        <v>27</v>
      </c>
      <c r="S179" t="s">
        <v>28</v>
      </c>
    </row>
    <row r="180" spans="1:19" x14ac:dyDescent="0.25">
      <c r="A180" t="s">
        <v>258</v>
      </c>
      <c r="B180" t="s">
        <v>259</v>
      </c>
      <c r="C180">
        <v>8325282</v>
      </c>
      <c r="D180" t="s">
        <v>21</v>
      </c>
      <c r="E180">
        <v>1</v>
      </c>
      <c r="F180" t="s">
        <v>22</v>
      </c>
      <c r="G180" t="s">
        <v>452</v>
      </c>
      <c r="H180" t="s">
        <v>453</v>
      </c>
      <c r="I180" s="1">
        <v>45323</v>
      </c>
      <c r="J180" t="s">
        <v>51</v>
      </c>
      <c r="K180" s="2">
        <v>45778</v>
      </c>
      <c r="L180">
        <v>1</v>
      </c>
      <c r="M180">
        <v>20</v>
      </c>
      <c r="N180">
        <v>0</v>
      </c>
      <c r="O180">
        <v>20</v>
      </c>
      <c r="P180" t="s">
        <v>52</v>
      </c>
      <c r="Q180" s="1">
        <v>45828</v>
      </c>
      <c r="R180" t="s">
        <v>27</v>
      </c>
      <c r="S180" t="s">
        <v>28</v>
      </c>
    </row>
    <row r="181" spans="1:19" x14ac:dyDescent="0.25">
      <c r="A181" t="s">
        <v>63</v>
      </c>
      <c r="B181" t="s">
        <v>64</v>
      </c>
      <c r="C181">
        <v>14177521</v>
      </c>
      <c r="D181" t="s">
        <v>21</v>
      </c>
      <c r="E181">
        <v>1</v>
      </c>
      <c r="F181" t="s">
        <v>22</v>
      </c>
      <c r="G181" t="s">
        <v>454</v>
      </c>
      <c r="H181" t="s">
        <v>455</v>
      </c>
      <c r="I181" s="1">
        <v>45292</v>
      </c>
      <c r="J181" t="s">
        <v>51</v>
      </c>
      <c r="K181" s="2">
        <v>45778</v>
      </c>
      <c r="L181">
        <v>2</v>
      </c>
      <c r="M181">
        <v>40</v>
      </c>
      <c r="N181">
        <v>0</v>
      </c>
      <c r="O181">
        <v>40</v>
      </c>
      <c r="P181" t="s">
        <v>52</v>
      </c>
      <c r="Q181" s="1">
        <v>45828</v>
      </c>
      <c r="R181" t="s">
        <v>27</v>
      </c>
      <c r="S181" t="s">
        <v>28</v>
      </c>
    </row>
    <row r="182" spans="1:19" x14ac:dyDescent="0.25">
      <c r="A182" t="s">
        <v>163</v>
      </c>
      <c r="B182" t="s">
        <v>164</v>
      </c>
      <c r="C182">
        <v>19586992</v>
      </c>
      <c r="D182" t="s">
        <v>21</v>
      </c>
      <c r="E182">
        <v>1</v>
      </c>
      <c r="F182" t="s">
        <v>22</v>
      </c>
      <c r="G182" t="s">
        <v>456</v>
      </c>
      <c r="H182" t="s">
        <v>457</v>
      </c>
      <c r="I182" s="1">
        <v>45748</v>
      </c>
      <c r="J182" t="s">
        <v>51</v>
      </c>
      <c r="K182" s="2">
        <v>45778</v>
      </c>
      <c r="L182">
        <v>4</v>
      </c>
      <c r="M182">
        <v>80</v>
      </c>
      <c r="N182">
        <v>0</v>
      </c>
      <c r="O182">
        <v>80</v>
      </c>
      <c r="P182" t="s">
        <v>67</v>
      </c>
      <c r="Q182" s="1">
        <v>45828</v>
      </c>
      <c r="R182" t="s">
        <v>27</v>
      </c>
      <c r="S182" t="s">
        <v>28</v>
      </c>
    </row>
    <row r="183" spans="1:19" x14ac:dyDescent="0.25">
      <c r="A183" t="s">
        <v>19</v>
      </c>
      <c r="B183" t="s">
        <v>20</v>
      </c>
      <c r="C183">
        <v>19681796</v>
      </c>
      <c r="D183" t="s">
        <v>21</v>
      </c>
      <c r="E183">
        <v>1</v>
      </c>
      <c r="F183" t="s">
        <v>22</v>
      </c>
      <c r="G183" t="s">
        <v>458</v>
      </c>
      <c r="H183" t="s">
        <v>459</v>
      </c>
      <c r="I183" s="1">
        <v>45597</v>
      </c>
      <c r="J183" t="s">
        <v>51</v>
      </c>
      <c r="K183" s="2">
        <v>45778</v>
      </c>
      <c r="L183">
        <v>1</v>
      </c>
      <c r="M183">
        <v>20</v>
      </c>
      <c r="N183">
        <v>0</v>
      </c>
      <c r="O183">
        <v>20</v>
      </c>
      <c r="P183" t="s">
        <v>52</v>
      </c>
      <c r="Q183" s="1">
        <v>45828</v>
      </c>
      <c r="R183" t="s">
        <v>27</v>
      </c>
      <c r="S183" t="s">
        <v>28</v>
      </c>
    </row>
    <row r="184" spans="1:19" x14ac:dyDescent="0.25">
      <c r="A184" t="s">
        <v>70</v>
      </c>
      <c r="B184" t="s">
        <v>71</v>
      </c>
      <c r="C184">
        <v>16633294</v>
      </c>
      <c r="D184" t="s">
        <v>21</v>
      </c>
      <c r="E184">
        <v>1</v>
      </c>
      <c r="F184" t="s">
        <v>22</v>
      </c>
      <c r="G184" t="s">
        <v>460</v>
      </c>
      <c r="H184" t="s">
        <v>461</v>
      </c>
      <c r="I184" s="1">
        <v>44927</v>
      </c>
      <c r="J184" t="s">
        <v>51</v>
      </c>
      <c r="K184" s="2">
        <v>45778</v>
      </c>
      <c r="L184">
        <v>2</v>
      </c>
      <c r="M184">
        <v>40</v>
      </c>
      <c r="N184">
        <v>0</v>
      </c>
      <c r="O184">
        <v>40</v>
      </c>
      <c r="P184" t="s">
        <v>52</v>
      </c>
      <c r="Q184" s="1">
        <v>45828</v>
      </c>
      <c r="R184" t="s">
        <v>27</v>
      </c>
      <c r="S184" t="s">
        <v>28</v>
      </c>
    </row>
    <row r="185" spans="1:19" x14ac:dyDescent="0.25">
      <c r="A185" t="s">
        <v>47</v>
      </c>
      <c r="B185" t="s">
        <v>48</v>
      </c>
      <c r="C185">
        <v>9213293</v>
      </c>
      <c r="D185" t="s">
        <v>21</v>
      </c>
      <c r="E185">
        <v>1</v>
      </c>
      <c r="F185" t="s">
        <v>22</v>
      </c>
      <c r="G185" t="s">
        <v>462</v>
      </c>
      <c r="H185" t="s">
        <v>463</v>
      </c>
      <c r="I185" s="1">
        <v>45658</v>
      </c>
      <c r="J185" t="s">
        <v>25</v>
      </c>
      <c r="K185" s="2">
        <v>45778</v>
      </c>
      <c r="L185">
        <v>1</v>
      </c>
      <c r="M185">
        <v>20</v>
      </c>
      <c r="N185">
        <v>0</v>
      </c>
      <c r="O185">
        <v>20</v>
      </c>
      <c r="P185" t="s">
        <v>74</v>
      </c>
      <c r="Q185" s="1">
        <v>45828</v>
      </c>
      <c r="R185" t="s">
        <v>27</v>
      </c>
      <c r="S185" t="s">
        <v>28</v>
      </c>
    </row>
    <row r="186" spans="1:19" x14ac:dyDescent="0.25">
      <c r="A186" t="s">
        <v>19</v>
      </c>
      <c r="B186" t="s">
        <v>20</v>
      </c>
      <c r="C186">
        <v>19681796</v>
      </c>
      <c r="D186" t="s">
        <v>21</v>
      </c>
      <c r="E186">
        <v>1</v>
      </c>
      <c r="F186" t="s">
        <v>22</v>
      </c>
      <c r="G186" t="s">
        <v>464</v>
      </c>
      <c r="H186" t="s">
        <v>465</v>
      </c>
      <c r="I186" s="1">
        <v>45658</v>
      </c>
      <c r="J186" t="s">
        <v>51</v>
      </c>
      <c r="K186" s="2">
        <v>45778</v>
      </c>
      <c r="L186">
        <v>1</v>
      </c>
      <c r="M186">
        <v>20</v>
      </c>
      <c r="N186">
        <v>0</v>
      </c>
      <c r="O186">
        <v>20</v>
      </c>
      <c r="P186" t="s">
        <v>67</v>
      </c>
      <c r="Q186" s="1">
        <v>45828</v>
      </c>
      <c r="R186" t="s">
        <v>27</v>
      </c>
      <c r="S186" t="s">
        <v>28</v>
      </c>
    </row>
    <row r="187" spans="1:19" x14ac:dyDescent="0.25">
      <c r="A187" t="s">
        <v>47</v>
      </c>
      <c r="B187" t="s">
        <v>48</v>
      </c>
      <c r="C187">
        <v>9213293</v>
      </c>
      <c r="D187" t="s">
        <v>21</v>
      </c>
      <c r="E187">
        <v>1</v>
      </c>
      <c r="F187" t="s">
        <v>22</v>
      </c>
      <c r="G187" t="s">
        <v>466</v>
      </c>
      <c r="H187" t="s">
        <v>467</v>
      </c>
      <c r="I187" s="1">
        <v>45658</v>
      </c>
      <c r="J187" t="s">
        <v>51</v>
      </c>
      <c r="K187" s="2">
        <v>45778</v>
      </c>
      <c r="L187">
        <v>1</v>
      </c>
      <c r="M187">
        <v>20</v>
      </c>
      <c r="N187">
        <v>0</v>
      </c>
      <c r="O187">
        <v>20</v>
      </c>
      <c r="P187" t="s">
        <v>67</v>
      </c>
      <c r="Q187" s="1">
        <v>45828</v>
      </c>
      <c r="R187" t="s">
        <v>27</v>
      </c>
      <c r="S187" t="s">
        <v>28</v>
      </c>
    </row>
    <row r="188" spans="1:19" x14ac:dyDescent="0.25">
      <c r="A188" t="s">
        <v>258</v>
      </c>
      <c r="B188" t="s">
        <v>259</v>
      </c>
      <c r="C188">
        <v>8325282</v>
      </c>
      <c r="D188" t="s">
        <v>21</v>
      </c>
      <c r="E188">
        <v>1</v>
      </c>
      <c r="F188" t="s">
        <v>22</v>
      </c>
      <c r="G188" t="s">
        <v>468</v>
      </c>
      <c r="H188" t="s">
        <v>469</v>
      </c>
      <c r="I188" s="1">
        <v>45658</v>
      </c>
      <c r="J188" t="s">
        <v>51</v>
      </c>
      <c r="K188" s="2">
        <v>45778</v>
      </c>
      <c r="L188">
        <v>1</v>
      </c>
      <c r="M188">
        <v>20</v>
      </c>
      <c r="N188">
        <v>0</v>
      </c>
      <c r="O188">
        <v>20</v>
      </c>
      <c r="P188" t="s">
        <v>67</v>
      </c>
      <c r="Q188" s="1">
        <v>45828</v>
      </c>
      <c r="R188" t="s">
        <v>27</v>
      </c>
      <c r="S188" t="s">
        <v>28</v>
      </c>
    </row>
    <row r="189" spans="1:19" x14ac:dyDescent="0.25">
      <c r="A189" t="s">
        <v>70</v>
      </c>
      <c r="B189" t="s">
        <v>71</v>
      </c>
      <c r="C189">
        <v>16633294</v>
      </c>
      <c r="D189" t="s">
        <v>21</v>
      </c>
      <c r="E189">
        <v>1</v>
      </c>
      <c r="F189" t="s">
        <v>22</v>
      </c>
      <c r="G189" t="s">
        <v>470</v>
      </c>
      <c r="H189" t="s">
        <v>471</v>
      </c>
      <c r="I189" s="1">
        <v>45536</v>
      </c>
      <c r="J189" t="s">
        <v>51</v>
      </c>
      <c r="K189" s="2">
        <v>45778</v>
      </c>
      <c r="L189">
        <v>2</v>
      </c>
      <c r="M189">
        <v>40</v>
      </c>
      <c r="N189">
        <v>0</v>
      </c>
      <c r="O189">
        <v>40</v>
      </c>
      <c r="P189" t="s">
        <v>52</v>
      </c>
      <c r="Q189" s="1">
        <v>45828</v>
      </c>
      <c r="R189" t="s">
        <v>27</v>
      </c>
      <c r="S189" t="s">
        <v>28</v>
      </c>
    </row>
    <row r="190" spans="1:19" x14ac:dyDescent="0.25">
      <c r="A190" t="s">
        <v>93</v>
      </c>
      <c r="B190" t="s">
        <v>94</v>
      </c>
      <c r="C190">
        <v>18754354</v>
      </c>
      <c r="D190" t="s">
        <v>21</v>
      </c>
      <c r="E190">
        <v>1</v>
      </c>
      <c r="F190" t="s">
        <v>22</v>
      </c>
      <c r="G190" t="s">
        <v>472</v>
      </c>
      <c r="H190" t="s">
        <v>473</v>
      </c>
      <c r="I190" s="1">
        <v>45170</v>
      </c>
      <c r="J190" t="s">
        <v>51</v>
      </c>
      <c r="K190" s="2">
        <v>45778</v>
      </c>
      <c r="L190">
        <v>1</v>
      </c>
      <c r="M190">
        <v>20</v>
      </c>
      <c r="N190">
        <v>0</v>
      </c>
      <c r="O190">
        <v>20</v>
      </c>
      <c r="P190" t="s">
        <v>52</v>
      </c>
      <c r="Q190" s="1">
        <v>45828</v>
      </c>
      <c r="R190" t="s">
        <v>27</v>
      </c>
      <c r="S190" t="s">
        <v>28</v>
      </c>
    </row>
    <row r="191" spans="1:19" x14ac:dyDescent="0.25">
      <c r="A191" t="s">
        <v>117</v>
      </c>
      <c r="B191" t="s">
        <v>118</v>
      </c>
      <c r="C191">
        <v>371819</v>
      </c>
      <c r="D191" t="s">
        <v>21</v>
      </c>
      <c r="E191">
        <v>1</v>
      </c>
      <c r="F191" t="s">
        <v>22</v>
      </c>
      <c r="G191" t="s">
        <v>474</v>
      </c>
      <c r="H191" t="s">
        <v>475</v>
      </c>
      <c r="I191" s="1">
        <v>45231</v>
      </c>
      <c r="J191" t="s">
        <v>25</v>
      </c>
      <c r="K191" s="2">
        <v>45778</v>
      </c>
      <c r="L191">
        <v>1</v>
      </c>
      <c r="M191">
        <v>20</v>
      </c>
      <c r="N191">
        <v>0</v>
      </c>
      <c r="O191">
        <v>20</v>
      </c>
      <c r="P191" t="s">
        <v>26</v>
      </c>
      <c r="Q191" s="1">
        <v>45828</v>
      </c>
      <c r="R191" t="s">
        <v>27</v>
      </c>
      <c r="S191" t="s">
        <v>28</v>
      </c>
    </row>
    <row r="192" spans="1:19" x14ac:dyDescent="0.25">
      <c r="A192" t="s">
        <v>70</v>
      </c>
      <c r="B192" t="s">
        <v>71</v>
      </c>
      <c r="C192">
        <v>16633294</v>
      </c>
      <c r="D192" t="s">
        <v>21</v>
      </c>
      <c r="E192">
        <v>1</v>
      </c>
      <c r="F192" t="s">
        <v>22</v>
      </c>
      <c r="G192" t="s">
        <v>476</v>
      </c>
      <c r="H192" t="s">
        <v>477</v>
      </c>
      <c r="I192" s="1">
        <v>45108</v>
      </c>
      <c r="J192" t="s">
        <v>51</v>
      </c>
      <c r="K192" s="2">
        <v>45778</v>
      </c>
      <c r="L192">
        <v>1</v>
      </c>
      <c r="M192">
        <v>20</v>
      </c>
      <c r="N192">
        <v>0</v>
      </c>
      <c r="O192">
        <v>20</v>
      </c>
      <c r="P192" t="s">
        <v>52</v>
      </c>
      <c r="Q192" s="1">
        <v>45828</v>
      </c>
      <c r="R192" t="s">
        <v>27</v>
      </c>
      <c r="S192" t="s">
        <v>28</v>
      </c>
    </row>
    <row r="193" spans="1:19" x14ac:dyDescent="0.25">
      <c r="A193" t="s">
        <v>123</v>
      </c>
      <c r="B193" t="s">
        <v>124</v>
      </c>
      <c r="C193">
        <v>19200754</v>
      </c>
      <c r="D193" t="s">
        <v>21</v>
      </c>
      <c r="E193">
        <v>1</v>
      </c>
      <c r="F193" t="s">
        <v>22</v>
      </c>
      <c r="G193" t="s">
        <v>478</v>
      </c>
      <c r="H193" t="s">
        <v>479</v>
      </c>
      <c r="I193" s="1">
        <v>45292</v>
      </c>
      <c r="J193" t="s">
        <v>51</v>
      </c>
      <c r="K193" s="2">
        <v>45778</v>
      </c>
      <c r="L193">
        <v>2</v>
      </c>
      <c r="M193">
        <v>40</v>
      </c>
      <c r="N193">
        <v>0</v>
      </c>
      <c r="O193">
        <v>40</v>
      </c>
      <c r="P193" t="s">
        <v>52</v>
      </c>
      <c r="Q193" s="1">
        <v>45828</v>
      </c>
      <c r="R193" t="s">
        <v>27</v>
      </c>
      <c r="S193" t="s">
        <v>28</v>
      </c>
    </row>
    <row r="194" spans="1:19" x14ac:dyDescent="0.25">
      <c r="A194" t="s">
        <v>35</v>
      </c>
      <c r="B194" t="s">
        <v>36</v>
      </c>
      <c r="C194">
        <v>9079571</v>
      </c>
      <c r="D194" t="s">
        <v>21</v>
      </c>
      <c r="E194">
        <v>1</v>
      </c>
      <c r="F194" t="s">
        <v>22</v>
      </c>
      <c r="G194" t="s">
        <v>480</v>
      </c>
      <c r="H194" t="s">
        <v>481</v>
      </c>
      <c r="I194" s="1">
        <v>45444</v>
      </c>
      <c r="J194" t="s">
        <v>33</v>
      </c>
      <c r="K194" s="2">
        <v>45778</v>
      </c>
      <c r="L194">
        <v>1</v>
      </c>
      <c r="M194">
        <v>10</v>
      </c>
      <c r="N194">
        <v>0</v>
      </c>
      <c r="O194">
        <v>10</v>
      </c>
      <c r="P194" t="s">
        <v>34</v>
      </c>
      <c r="Q194" s="1">
        <v>45828</v>
      </c>
      <c r="R194" t="s">
        <v>27</v>
      </c>
      <c r="S194" t="s">
        <v>28</v>
      </c>
    </row>
    <row r="195" spans="1:19" x14ac:dyDescent="0.25">
      <c r="A195" t="s">
        <v>57</v>
      </c>
      <c r="B195" t="s">
        <v>58</v>
      </c>
      <c r="C195">
        <v>8977234</v>
      </c>
      <c r="D195" t="s">
        <v>21</v>
      </c>
      <c r="E195">
        <v>1</v>
      </c>
      <c r="F195" t="s">
        <v>22</v>
      </c>
      <c r="G195" t="s">
        <v>482</v>
      </c>
      <c r="H195" t="s">
        <v>483</v>
      </c>
      <c r="I195" s="1">
        <v>45658</v>
      </c>
      <c r="J195" t="s">
        <v>135</v>
      </c>
      <c r="K195" s="2">
        <v>45778</v>
      </c>
      <c r="L195">
        <v>1</v>
      </c>
      <c r="M195">
        <v>20</v>
      </c>
      <c r="N195">
        <v>0</v>
      </c>
      <c r="O195">
        <v>20</v>
      </c>
      <c r="P195" t="s">
        <v>167</v>
      </c>
      <c r="Q195" s="1">
        <v>45828</v>
      </c>
      <c r="R195" t="s">
        <v>27</v>
      </c>
      <c r="S195" t="s">
        <v>137</v>
      </c>
    </row>
    <row r="196" spans="1:19" x14ac:dyDescent="0.25">
      <c r="A196" t="s">
        <v>484</v>
      </c>
      <c r="B196" t="s">
        <v>485</v>
      </c>
      <c r="C196">
        <v>6115727</v>
      </c>
      <c r="D196" t="s">
        <v>21</v>
      </c>
      <c r="E196">
        <v>1</v>
      </c>
      <c r="F196" t="s">
        <v>22</v>
      </c>
      <c r="G196" t="s">
        <v>486</v>
      </c>
      <c r="H196" t="s">
        <v>487</v>
      </c>
      <c r="I196" s="1">
        <v>45658</v>
      </c>
      <c r="J196" t="s">
        <v>33</v>
      </c>
      <c r="K196" s="2">
        <v>45778</v>
      </c>
      <c r="L196">
        <v>1</v>
      </c>
      <c r="M196">
        <v>10</v>
      </c>
      <c r="N196">
        <v>0</v>
      </c>
      <c r="O196">
        <v>10</v>
      </c>
      <c r="P196" t="s">
        <v>88</v>
      </c>
      <c r="Q196" s="1">
        <v>45828</v>
      </c>
      <c r="R196" t="s">
        <v>27</v>
      </c>
      <c r="S196" t="s">
        <v>28</v>
      </c>
    </row>
    <row r="197" spans="1:19" x14ac:dyDescent="0.25">
      <c r="A197" t="s">
        <v>93</v>
      </c>
      <c r="B197" t="s">
        <v>94</v>
      </c>
      <c r="C197">
        <v>18754354</v>
      </c>
      <c r="D197" t="s">
        <v>21</v>
      </c>
      <c r="E197">
        <v>1</v>
      </c>
      <c r="F197" t="s">
        <v>22</v>
      </c>
      <c r="G197" t="s">
        <v>488</v>
      </c>
      <c r="H197" t="s">
        <v>489</v>
      </c>
      <c r="I197" s="1">
        <v>45231</v>
      </c>
      <c r="J197" t="s">
        <v>51</v>
      </c>
      <c r="K197" s="2">
        <v>45778</v>
      </c>
      <c r="L197">
        <v>3</v>
      </c>
      <c r="M197">
        <v>60</v>
      </c>
      <c r="N197">
        <v>0</v>
      </c>
      <c r="O197">
        <v>60</v>
      </c>
      <c r="P197" t="s">
        <v>67</v>
      </c>
      <c r="Q197" s="1">
        <v>45828</v>
      </c>
      <c r="R197" t="s">
        <v>27</v>
      </c>
      <c r="S197" t="s">
        <v>28</v>
      </c>
    </row>
    <row r="198" spans="1:19" x14ac:dyDescent="0.25">
      <c r="A198" t="s">
        <v>29</v>
      </c>
      <c r="B198" t="s">
        <v>30</v>
      </c>
      <c r="C198">
        <v>16202925</v>
      </c>
      <c r="D198" t="s">
        <v>21</v>
      </c>
      <c r="E198">
        <v>1</v>
      </c>
      <c r="F198" t="s">
        <v>22</v>
      </c>
      <c r="G198" t="s">
        <v>490</v>
      </c>
      <c r="H198" t="s">
        <v>491</v>
      </c>
      <c r="I198" s="1">
        <v>45566</v>
      </c>
      <c r="J198" t="s">
        <v>33</v>
      </c>
      <c r="K198" s="2">
        <v>45778</v>
      </c>
      <c r="L198">
        <v>1</v>
      </c>
      <c r="M198">
        <v>10</v>
      </c>
      <c r="N198">
        <v>0</v>
      </c>
      <c r="O198">
        <v>10</v>
      </c>
      <c r="P198" t="s">
        <v>34</v>
      </c>
      <c r="Q198" s="1">
        <v>45828</v>
      </c>
      <c r="R198" t="s">
        <v>27</v>
      </c>
      <c r="S198" t="s">
        <v>28</v>
      </c>
    </row>
    <row r="199" spans="1:19" x14ac:dyDescent="0.25">
      <c r="A199" t="s">
        <v>258</v>
      </c>
      <c r="B199" t="s">
        <v>259</v>
      </c>
      <c r="C199">
        <v>8325282</v>
      </c>
      <c r="D199" t="s">
        <v>21</v>
      </c>
      <c r="E199">
        <v>1</v>
      </c>
      <c r="F199" t="s">
        <v>22</v>
      </c>
      <c r="G199" t="s">
        <v>492</v>
      </c>
      <c r="H199" t="s">
        <v>493</v>
      </c>
      <c r="I199" s="1">
        <v>45536</v>
      </c>
      <c r="J199" t="s">
        <v>51</v>
      </c>
      <c r="K199" s="2">
        <v>45778</v>
      </c>
      <c r="L199">
        <v>1</v>
      </c>
      <c r="M199">
        <v>20</v>
      </c>
      <c r="N199">
        <v>0</v>
      </c>
      <c r="O199">
        <v>20</v>
      </c>
      <c r="P199" t="s">
        <v>52</v>
      </c>
      <c r="Q199" s="1">
        <v>45828</v>
      </c>
      <c r="R199" t="s">
        <v>27</v>
      </c>
      <c r="S199" t="s">
        <v>28</v>
      </c>
    </row>
    <row r="200" spans="1:19" x14ac:dyDescent="0.25">
      <c r="A200" t="s">
        <v>280</v>
      </c>
      <c r="B200" t="s">
        <v>281</v>
      </c>
      <c r="C200">
        <v>21348299</v>
      </c>
      <c r="D200" t="s">
        <v>21</v>
      </c>
      <c r="E200">
        <v>1</v>
      </c>
      <c r="F200" t="s">
        <v>22</v>
      </c>
      <c r="G200" t="s">
        <v>494</v>
      </c>
      <c r="H200" t="s">
        <v>495</v>
      </c>
      <c r="I200" s="1">
        <v>45748</v>
      </c>
      <c r="J200" t="s">
        <v>51</v>
      </c>
      <c r="K200" s="2">
        <v>45778</v>
      </c>
      <c r="L200">
        <v>1</v>
      </c>
      <c r="M200">
        <v>20</v>
      </c>
      <c r="N200">
        <v>0</v>
      </c>
      <c r="O200">
        <v>20</v>
      </c>
      <c r="P200" t="s">
        <v>67</v>
      </c>
      <c r="Q200" s="1">
        <v>45828</v>
      </c>
      <c r="R200" t="s">
        <v>27</v>
      </c>
      <c r="S200" t="s">
        <v>28</v>
      </c>
    </row>
    <row r="201" spans="1:19" x14ac:dyDescent="0.25">
      <c r="A201" t="s">
        <v>496</v>
      </c>
      <c r="B201" t="s">
        <v>497</v>
      </c>
      <c r="C201">
        <v>17437820</v>
      </c>
      <c r="D201" t="s">
        <v>21</v>
      </c>
      <c r="E201">
        <v>1</v>
      </c>
      <c r="F201" t="s">
        <v>22</v>
      </c>
      <c r="G201" t="s">
        <v>498</v>
      </c>
      <c r="H201" t="s">
        <v>499</v>
      </c>
      <c r="I201" s="1">
        <v>45292</v>
      </c>
      <c r="J201" t="s">
        <v>322</v>
      </c>
      <c r="K201" s="2">
        <v>45778</v>
      </c>
      <c r="L201">
        <v>1</v>
      </c>
      <c r="M201">
        <v>25</v>
      </c>
      <c r="N201">
        <v>0</v>
      </c>
      <c r="O201">
        <v>25</v>
      </c>
      <c r="P201" t="s">
        <v>323</v>
      </c>
      <c r="Q201" s="1">
        <v>45828</v>
      </c>
      <c r="R201" t="s">
        <v>27</v>
      </c>
      <c r="S201" t="s">
        <v>28</v>
      </c>
    </row>
    <row r="202" spans="1:19" x14ac:dyDescent="0.25">
      <c r="A202" t="s">
        <v>496</v>
      </c>
      <c r="B202" t="s">
        <v>497</v>
      </c>
      <c r="C202">
        <v>17437820</v>
      </c>
      <c r="D202" t="s">
        <v>21</v>
      </c>
      <c r="E202">
        <v>1</v>
      </c>
      <c r="F202" t="s">
        <v>22</v>
      </c>
      <c r="G202" t="s">
        <v>500</v>
      </c>
      <c r="H202" t="s">
        <v>501</v>
      </c>
      <c r="I202" s="1">
        <v>45292</v>
      </c>
      <c r="J202" t="s">
        <v>322</v>
      </c>
      <c r="K202" s="2">
        <v>45778</v>
      </c>
      <c r="L202">
        <v>1</v>
      </c>
      <c r="M202">
        <v>25</v>
      </c>
      <c r="N202">
        <v>0</v>
      </c>
      <c r="O202">
        <v>25</v>
      </c>
      <c r="P202" t="s">
        <v>323</v>
      </c>
      <c r="Q202" s="1">
        <v>45828</v>
      </c>
      <c r="R202" t="s">
        <v>27</v>
      </c>
      <c r="S202" t="s">
        <v>28</v>
      </c>
    </row>
    <row r="203" spans="1:19" x14ac:dyDescent="0.25">
      <c r="A203" t="s">
        <v>57</v>
      </c>
      <c r="B203" t="s">
        <v>58</v>
      </c>
      <c r="C203">
        <v>8977234</v>
      </c>
      <c r="D203" t="s">
        <v>21</v>
      </c>
      <c r="E203">
        <v>1</v>
      </c>
      <c r="F203" t="s">
        <v>22</v>
      </c>
      <c r="G203" t="s">
        <v>502</v>
      </c>
      <c r="H203" t="s">
        <v>503</v>
      </c>
      <c r="I203" s="1">
        <v>45261</v>
      </c>
      <c r="J203" t="s">
        <v>135</v>
      </c>
      <c r="K203" s="2">
        <v>45778</v>
      </c>
      <c r="L203">
        <v>1</v>
      </c>
      <c r="M203">
        <v>20</v>
      </c>
      <c r="N203">
        <v>0</v>
      </c>
      <c r="O203">
        <v>20</v>
      </c>
      <c r="P203" t="s">
        <v>136</v>
      </c>
      <c r="Q203" s="1">
        <v>45828</v>
      </c>
      <c r="R203" t="s">
        <v>27</v>
      </c>
      <c r="S203" t="s">
        <v>137</v>
      </c>
    </row>
    <row r="204" spans="1:19" x14ac:dyDescent="0.25">
      <c r="A204" t="s">
        <v>258</v>
      </c>
      <c r="B204" t="s">
        <v>259</v>
      </c>
      <c r="C204">
        <v>8325282</v>
      </c>
      <c r="D204" t="s">
        <v>21</v>
      </c>
      <c r="E204">
        <v>1</v>
      </c>
      <c r="F204" t="s">
        <v>22</v>
      </c>
      <c r="G204" t="s">
        <v>504</v>
      </c>
      <c r="H204" t="s">
        <v>505</v>
      </c>
      <c r="I204" s="1">
        <v>45717</v>
      </c>
      <c r="J204" t="s">
        <v>51</v>
      </c>
      <c r="K204" s="2">
        <v>45778</v>
      </c>
      <c r="L204">
        <v>1</v>
      </c>
      <c r="M204">
        <v>20</v>
      </c>
      <c r="N204">
        <v>0</v>
      </c>
      <c r="O204">
        <v>20</v>
      </c>
      <c r="P204" t="s">
        <v>67</v>
      </c>
      <c r="Q204" s="1">
        <v>45828</v>
      </c>
      <c r="R204" t="s">
        <v>27</v>
      </c>
      <c r="S204" t="s">
        <v>28</v>
      </c>
    </row>
    <row r="205" spans="1:19" x14ac:dyDescent="0.25">
      <c r="A205" t="s">
        <v>105</v>
      </c>
      <c r="B205" t="s">
        <v>106</v>
      </c>
      <c r="C205">
        <v>7146581</v>
      </c>
      <c r="D205" t="s">
        <v>21</v>
      </c>
      <c r="E205">
        <v>1</v>
      </c>
      <c r="F205" t="s">
        <v>22</v>
      </c>
      <c r="G205" t="s">
        <v>506</v>
      </c>
      <c r="H205" t="s">
        <v>507</v>
      </c>
      <c r="I205" s="1">
        <v>45658</v>
      </c>
      <c r="J205" t="s">
        <v>51</v>
      </c>
      <c r="K205" s="2">
        <v>45778</v>
      </c>
      <c r="L205">
        <v>1</v>
      </c>
      <c r="M205">
        <v>20</v>
      </c>
      <c r="N205">
        <v>0</v>
      </c>
      <c r="O205">
        <v>20</v>
      </c>
      <c r="P205" t="s">
        <v>67</v>
      </c>
      <c r="Q205" s="1">
        <v>45828</v>
      </c>
      <c r="R205" t="s">
        <v>27</v>
      </c>
      <c r="S205" t="s">
        <v>28</v>
      </c>
    </row>
    <row r="206" spans="1:19" x14ac:dyDescent="0.25">
      <c r="A206" t="s">
        <v>508</v>
      </c>
      <c r="B206" t="s">
        <v>509</v>
      </c>
      <c r="C206">
        <v>20999157</v>
      </c>
      <c r="D206" t="s">
        <v>21</v>
      </c>
      <c r="E206">
        <v>1</v>
      </c>
      <c r="F206" t="s">
        <v>22</v>
      </c>
      <c r="G206" t="s">
        <v>510</v>
      </c>
      <c r="H206" t="s">
        <v>511</v>
      </c>
      <c r="I206" s="1">
        <v>45413</v>
      </c>
      <c r="J206" t="s">
        <v>51</v>
      </c>
      <c r="K206" s="2">
        <v>45778</v>
      </c>
      <c r="L206">
        <v>1</v>
      </c>
      <c r="M206">
        <v>20</v>
      </c>
      <c r="N206">
        <v>0</v>
      </c>
      <c r="O206">
        <v>20</v>
      </c>
      <c r="P206" t="s">
        <v>52</v>
      </c>
      <c r="Q206" s="1">
        <v>45828</v>
      </c>
      <c r="R206" t="s">
        <v>27</v>
      </c>
      <c r="S206" t="s">
        <v>28</v>
      </c>
    </row>
    <row r="207" spans="1:19" x14ac:dyDescent="0.25">
      <c r="A207" t="s">
        <v>35</v>
      </c>
      <c r="B207" t="s">
        <v>36</v>
      </c>
      <c r="C207">
        <v>9079571</v>
      </c>
      <c r="D207" t="s">
        <v>21</v>
      </c>
      <c r="E207">
        <v>1</v>
      </c>
      <c r="F207" t="s">
        <v>22</v>
      </c>
      <c r="G207" t="s">
        <v>512</v>
      </c>
      <c r="H207" t="s">
        <v>513</v>
      </c>
      <c r="I207" s="1">
        <v>45597</v>
      </c>
      <c r="J207" t="s">
        <v>33</v>
      </c>
      <c r="K207" s="2">
        <v>45778</v>
      </c>
      <c r="L207">
        <v>1</v>
      </c>
      <c r="M207">
        <v>10</v>
      </c>
      <c r="N207">
        <v>0</v>
      </c>
      <c r="O207">
        <v>10</v>
      </c>
      <c r="P207" t="s">
        <v>34</v>
      </c>
      <c r="Q207" s="1">
        <v>45828</v>
      </c>
      <c r="R207" t="s">
        <v>27</v>
      </c>
      <c r="S207" t="s">
        <v>28</v>
      </c>
    </row>
    <row r="208" spans="1:19" x14ac:dyDescent="0.25">
      <c r="A208" t="s">
        <v>514</v>
      </c>
      <c r="B208" t="s">
        <v>515</v>
      </c>
      <c r="C208">
        <v>18201929</v>
      </c>
      <c r="D208" t="s">
        <v>21</v>
      </c>
      <c r="E208">
        <v>1</v>
      </c>
      <c r="F208" t="s">
        <v>22</v>
      </c>
      <c r="G208" t="s">
        <v>516</v>
      </c>
      <c r="H208" t="s">
        <v>517</v>
      </c>
      <c r="I208" s="1">
        <v>45748</v>
      </c>
      <c r="J208" t="s">
        <v>51</v>
      </c>
      <c r="K208" s="2">
        <v>45778</v>
      </c>
      <c r="L208">
        <v>1</v>
      </c>
      <c r="M208">
        <v>20</v>
      </c>
      <c r="N208">
        <v>0</v>
      </c>
      <c r="O208">
        <v>20</v>
      </c>
      <c r="P208" t="s">
        <v>67</v>
      </c>
      <c r="Q208" s="1">
        <v>45828</v>
      </c>
      <c r="R208" t="s">
        <v>27</v>
      </c>
      <c r="S208" t="s">
        <v>28</v>
      </c>
    </row>
    <row r="209" spans="1:19" x14ac:dyDescent="0.25">
      <c r="A209" t="s">
        <v>101</v>
      </c>
      <c r="B209" t="s">
        <v>102</v>
      </c>
      <c r="C209">
        <v>8307933</v>
      </c>
      <c r="D209" t="s">
        <v>21</v>
      </c>
      <c r="E209">
        <v>1</v>
      </c>
      <c r="F209" t="s">
        <v>22</v>
      </c>
      <c r="G209" t="s">
        <v>518</v>
      </c>
      <c r="H209" t="s">
        <v>519</v>
      </c>
      <c r="I209" s="1">
        <v>44927</v>
      </c>
      <c r="J209" t="s">
        <v>322</v>
      </c>
      <c r="K209" s="2">
        <v>45778</v>
      </c>
      <c r="L209">
        <v>4</v>
      </c>
      <c r="M209">
        <v>100</v>
      </c>
      <c r="N209">
        <v>0</v>
      </c>
      <c r="O209">
        <v>100</v>
      </c>
      <c r="P209" t="s">
        <v>323</v>
      </c>
      <c r="Q209" s="1">
        <v>45828</v>
      </c>
      <c r="R209" t="s">
        <v>27</v>
      </c>
      <c r="S209" t="s">
        <v>28</v>
      </c>
    </row>
    <row r="210" spans="1:19" x14ac:dyDescent="0.25">
      <c r="A210" t="s">
        <v>101</v>
      </c>
      <c r="B210" t="s">
        <v>102</v>
      </c>
      <c r="C210">
        <v>8307933</v>
      </c>
      <c r="D210" t="s">
        <v>21</v>
      </c>
      <c r="E210">
        <v>1</v>
      </c>
      <c r="F210" t="s">
        <v>22</v>
      </c>
      <c r="G210" t="s">
        <v>520</v>
      </c>
      <c r="H210" t="s">
        <v>521</v>
      </c>
      <c r="I210" s="1">
        <v>45231</v>
      </c>
      <c r="J210" t="s">
        <v>25</v>
      </c>
      <c r="K210" s="2">
        <v>45778</v>
      </c>
      <c r="L210">
        <v>2</v>
      </c>
      <c r="M210">
        <v>40</v>
      </c>
      <c r="N210">
        <v>0</v>
      </c>
      <c r="O210">
        <v>40</v>
      </c>
      <c r="P210" t="s">
        <v>26</v>
      </c>
      <c r="Q210" s="1">
        <v>45828</v>
      </c>
      <c r="R210" t="s">
        <v>27</v>
      </c>
      <c r="S210" t="s">
        <v>28</v>
      </c>
    </row>
    <row r="211" spans="1:19" x14ac:dyDescent="0.25">
      <c r="A211" t="s">
        <v>418</v>
      </c>
      <c r="B211" t="s">
        <v>419</v>
      </c>
      <c r="C211">
        <v>15278437</v>
      </c>
      <c r="D211" t="s">
        <v>21</v>
      </c>
      <c r="E211">
        <v>1</v>
      </c>
      <c r="F211" t="s">
        <v>22</v>
      </c>
      <c r="G211" t="s">
        <v>522</v>
      </c>
      <c r="H211" t="s">
        <v>523</v>
      </c>
      <c r="I211" s="1">
        <v>45505</v>
      </c>
      <c r="J211" t="s">
        <v>51</v>
      </c>
      <c r="K211" s="2">
        <v>45778</v>
      </c>
      <c r="L211">
        <v>2</v>
      </c>
      <c r="M211">
        <v>40</v>
      </c>
      <c r="N211">
        <v>0</v>
      </c>
      <c r="O211">
        <v>40</v>
      </c>
      <c r="P211" t="s">
        <v>52</v>
      </c>
      <c r="Q211" s="1">
        <v>45828</v>
      </c>
      <c r="R211" t="s">
        <v>27</v>
      </c>
      <c r="S211" t="s">
        <v>28</v>
      </c>
    </row>
    <row r="212" spans="1:19" x14ac:dyDescent="0.25">
      <c r="A212" t="s">
        <v>63</v>
      </c>
      <c r="B212" t="s">
        <v>64</v>
      </c>
      <c r="C212">
        <v>14177521</v>
      </c>
      <c r="D212" t="s">
        <v>21</v>
      </c>
      <c r="E212">
        <v>1</v>
      </c>
      <c r="F212" t="s">
        <v>22</v>
      </c>
      <c r="G212" t="s">
        <v>524</v>
      </c>
      <c r="H212" t="s">
        <v>525</v>
      </c>
      <c r="I212" s="1">
        <v>45658</v>
      </c>
      <c r="J212" t="s">
        <v>51</v>
      </c>
      <c r="K212" s="2">
        <v>45778</v>
      </c>
      <c r="L212">
        <v>1</v>
      </c>
      <c r="M212">
        <v>20</v>
      </c>
      <c r="N212">
        <v>0</v>
      </c>
      <c r="O212">
        <v>20</v>
      </c>
      <c r="P212" t="s">
        <v>67</v>
      </c>
      <c r="Q212" s="1">
        <v>45828</v>
      </c>
      <c r="R212" t="s">
        <v>27</v>
      </c>
      <c r="S212" t="s">
        <v>28</v>
      </c>
    </row>
    <row r="213" spans="1:19" x14ac:dyDescent="0.25">
      <c r="A213" t="s">
        <v>101</v>
      </c>
      <c r="B213" t="s">
        <v>102</v>
      </c>
      <c r="C213">
        <v>8307933</v>
      </c>
      <c r="D213" t="s">
        <v>21</v>
      </c>
      <c r="E213">
        <v>1</v>
      </c>
      <c r="F213" t="s">
        <v>22</v>
      </c>
      <c r="G213" t="s">
        <v>526</v>
      </c>
      <c r="H213" t="s">
        <v>527</v>
      </c>
      <c r="I213" s="1">
        <v>45292</v>
      </c>
      <c r="J213" t="s">
        <v>43</v>
      </c>
      <c r="K213" s="2">
        <v>45778</v>
      </c>
      <c r="L213">
        <v>2</v>
      </c>
      <c r="M213">
        <v>50</v>
      </c>
      <c r="N213">
        <v>0</v>
      </c>
      <c r="O213">
        <v>50</v>
      </c>
      <c r="P213" t="s">
        <v>241</v>
      </c>
      <c r="Q213" s="1">
        <v>45828</v>
      </c>
      <c r="R213" t="s">
        <v>27</v>
      </c>
      <c r="S213" t="s">
        <v>28</v>
      </c>
    </row>
    <row r="214" spans="1:19" x14ac:dyDescent="0.25">
      <c r="A214" t="s">
        <v>70</v>
      </c>
      <c r="B214" t="s">
        <v>71</v>
      </c>
      <c r="C214">
        <v>16633294</v>
      </c>
      <c r="D214" t="s">
        <v>21</v>
      </c>
      <c r="E214">
        <v>1</v>
      </c>
      <c r="F214" t="s">
        <v>22</v>
      </c>
      <c r="G214" t="s">
        <v>528</v>
      </c>
      <c r="H214" t="s">
        <v>529</v>
      </c>
      <c r="I214" s="1">
        <v>45536</v>
      </c>
      <c r="J214" t="s">
        <v>51</v>
      </c>
      <c r="K214" s="2">
        <v>45778</v>
      </c>
      <c r="L214">
        <v>2</v>
      </c>
      <c r="M214">
        <v>40</v>
      </c>
      <c r="N214">
        <v>0</v>
      </c>
      <c r="O214">
        <v>40</v>
      </c>
      <c r="P214" t="s">
        <v>52</v>
      </c>
      <c r="Q214" s="1">
        <v>45828</v>
      </c>
      <c r="R214" t="s">
        <v>27</v>
      </c>
      <c r="S214" t="s">
        <v>28</v>
      </c>
    </row>
    <row r="215" spans="1:19" x14ac:dyDescent="0.25">
      <c r="A215" t="s">
        <v>101</v>
      </c>
      <c r="B215" t="s">
        <v>102</v>
      </c>
      <c r="C215">
        <v>8307933</v>
      </c>
      <c r="D215" t="s">
        <v>21</v>
      </c>
      <c r="E215">
        <v>1</v>
      </c>
      <c r="F215" t="s">
        <v>22</v>
      </c>
      <c r="G215" t="s">
        <v>530</v>
      </c>
      <c r="H215" t="s">
        <v>531</v>
      </c>
      <c r="I215" s="1">
        <v>45292</v>
      </c>
      <c r="J215" t="s">
        <v>532</v>
      </c>
      <c r="K215" s="2">
        <v>45778</v>
      </c>
      <c r="L215">
        <v>2</v>
      </c>
      <c r="M215">
        <v>40</v>
      </c>
      <c r="N215">
        <v>0</v>
      </c>
      <c r="O215">
        <v>40</v>
      </c>
      <c r="P215" t="s">
        <v>533</v>
      </c>
      <c r="Q215" s="1">
        <v>45828</v>
      </c>
      <c r="R215" t="s">
        <v>27</v>
      </c>
      <c r="S215" t="s">
        <v>28</v>
      </c>
    </row>
    <row r="216" spans="1:19" x14ac:dyDescent="0.25">
      <c r="A216" t="s">
        <v>418</v>
      </c>
      <c r="B216" t="s">
        <v>419</v>
      </c>
      <c r="C216">
        <v>15278437</v>
      </c>
      <c r="D216" t="s">
        <v>21</v>
      </c>
      <c r="E216">
        <v>1</v>
      </c>
      <c r="F216" t="s">
        <v>22</v>
      </c>
      <c r="G216" t="s">
        <v>534</v>
      </c>
      <c r="H216" t="s">
        <v>535</v>
      </c>
      <c r="I216" s="1">
        <v>45566</v>
      </c>
      <c r="J216" t="s">
        <v>33</v>
      </c>
      <c r="K216" s="2">
        <v>45778</v>
      </c>
      <c r="L216">
        <v>2</v>
      </c>
      <c r="M216">
        <v>20</v>
      </c>
      <c r="N216">
        <v>0</v>
      </c>
      <c r="O216">
        <v>20</v>
      </c>
      <c r="P216" t="s">
        <v>88</v>
      </c>
      <c r="Q216" s="1">
        <v>45828</v>
      </c>
      <c r="R216" t="s">
        <v>27</v>
      </c>
      <c r="S216" t="s">
        <v>28</v>
      </c>
    </row>
    <row r="217" spans="1:19" x14ac:dyDescent="0.25">
      <c r="A217" t="s">
        <v>168</v>
      </c>
      <c r="B217" t="s">
        <v>169</v>
      </c>
      <c r="C217">
        <v>21421111</v>
      </c>
      <c r="D217" t="s">
        <v>21</v>
      </c>
      <c r="E217">
        <v>1</v>
      </c>
      <c r="F217" t="s">
        <v>22</v>
      </c>
      <c r="G217" t="s">
        <v>536</v>
      </c>
      <c r="H217" t="s">
        <v>537</v>
      </c>
      <c r="I217" s="1">
        <v>45778</v>
      </c>
      <c r="J217" t="s">
        <v>43</v>
      </c>
      <c r="K217" s="2">
        <v>45778</v>
      </c>
      <c r="L217">
        <v>1</v>
      </c>
      <c r="M217">
        <v>25</v>
      </c>
      <c r="N217">
        <v>0</v>
      </c>
      <c r="O217">
        <v>25</v>
      </c>
      <c r="P217" t="s">
        <v>44</v>
      </c>
      <c r="Q217" s="1">
        <v>45828</v>
      </c>
      <c r="R217" t="s">
        <v>27</v>
      </c>
      <c r="S217" t="s">
        <v>28</v>
      </c>
    </row>
    <row r="218" spans="1:19" x14ac:dyDescent="0.25">
      <c r="A218" t="s">
        <v>105</v>
      </c>
      <c r="B218" t="s">
        <v>106</v>
      </c>
      <c r="C218">
        <v>7146581</v>
      </c>
      <c r="D218" t="s">
        <v>21</v>
      </c>
      <c r="E218">
        <v>1</v>
      </c>
      <c r="F218" t="s">
        <v>22</v>
      </c>
      <c r="G218" t="s">
        <v>538</v>
      </c>
      <c r="H218" t="s">
        <v>539</v>
      </c>
      <c r="I218" s="1">
        <v>45505</v>
      </c>
      <c r="J218" t="s">
        <v>25</v>
      </c>
      <c r="K218" s="2">
        <v>45778</v>
      </c>
      <c r="L218">
        <v>-1</v>
      </c>
      <c r="M218">
        <v>-20</v>
      </c>
      <c r="N218">
        <v>0</v>
      </c>
      <c r="O218">
        <v>-20</v>
      </c>
      <c r="P218" t="s">
        <v>26</v>
      </c>
      <c r="Q218" s="1">
        <v>45828</v>
      </c>
      <c r="R218" t="s">
        <v>27</v>
      </c>
      <c r="S218" t="s">
        <v>28</v>
      </c>
    </row>
    <row r="219" spans="1:19" x14ac:dyDescent="0.25">
      <c r="A219" t="s">
        <v>35</v>
      </c>
      <c r="B219" t="s">
        <v>36</v>
      </c>
      <c r="C219">
        <v>9079571</v>
      </c>
      <c r="D219" t="s">
        <v>21</v>
      </c>
      <c r="E219">
        <v>1</v>
      </c>
      <c r="F219" t="s">
        <v>22</v>
      </c>
      <c r="G219" t="s">
        <v>540</v>
      </c>
      <c r="H219" t="s">
        <v>541</v>
      </c>
      <c r="I219" s="1">
        <v>45658</v>
      </c>
      <c r="J219" t="s">
        <v>33</v>
      </c>
      <c r="K219" s="2">
        <v>45778</v>
      </c>
      <c r="L219">
        <v>1</v>
      </c>
      <c r="M219">
        <v>10</v>
      </c>
      <c r="N219">
        <v>0</v>
      </c>
      <c r="O219">
        <v>10</v>
      </c>
      <c r="P219" t="s">
        <v>88</v>
      </c>
      <c r="Q219" s="1">
        <v>45828</v>
      </c>
      <c r="R219" t="s">
        <v>27</v>
      </c>
      <c r="S219" t="s">
        <v>28</v>
      </c>
    </row>
    <row r="220" spans="1:19" x14ac:dyDescent="0.25">
      <c r="A220" t="s">
        <v>35</v>
      </c>
      <c r="B220" t="s">
        <v>36</v>
      </c>
      <c r="C220">
        <v>9079571</v>
      </c>
      <c r="D220" t="s">
        <v>21</v>
      </c>
      <c r="E220">
        <v>1</v>
      </c>
      <c r="F220" t="s">
        <v>22</v>
      </c>
      <c r="G220" t="s">
        <v>542</v>
      </c>
      <c r="H220" t="s">
        <v>543</v>
      </c>
      <c r="I220" s="1">
        <v>45292</v>
      </c>
      <c r="J220" t="s">
        <v>33</v>
      </c>
      <c r="K220" s="2">
        <v>45778</v>
      </c>
      <c r="L220">
        <v>1</v>
      </c>
      <c r="M220">
        <v>10</v>
      </c>
      <c r="N220">
        <v>0</v>
      </c>
      <c r="O220">
        <v>10</v>
      </c>
      <c r="P220" t="s">
        <v>34</v>
      </c>
      <c r="Q220" s="1">
        <v>45828</v>
      </c>
      <c r="R220" t="s">
        <v>27</v>
      </c>
      <c r="S220" t="s">
        <v>28</v>
      </c>
    </row>
    <row r="221" spans="1:19" x14ac:dyDescent="0.25">
      <c r="A221" t="s">
        <v>101</v>
      </c>
      <c r="B221" t="s">
        <v>102</v>
      </c>
      <c r="C221">
        <v>8307933</v>
      </c>
      <c r="D221" t="s">
        <v>21</v>
      </c>
      <c r="E221">
        <v>1</v>
      </c>
      <c r="F221" t="s">
        <v>22</v>
      </c>
      <c r="G221" t="s">
        <v>544</v>
      </c>
      <c r="H221" t="s">
        <v>545</v>
      </c>
      <c r="I221" s="1">
        <v>45323</v>
      </c>
      <c r="J221" t="s">
        <v>51</v>
      </c>
      <c r="K221" s="2">
        <v>45778</v>
      </c>
      <c r="L221">
        <v>2</v>
      </c>
      <c r="M221">
        <v>40</v>
      </c>
      <c r="N221">
        <v>0</v>
      </c>
      <c r="O221">
        <v>40</v>
      </c>
      <c r="P221" t="s">
        <v>67</v>
      </c>
      <c r="Q221" s="1">
        <v>45828</v>
      </c>
      <c r="R221" t="s">
        <v>27</v>
      </c>
      <c r="S221" t="s">
        <v>28</v>
      </c>
    </row>
    <row r="222" spans="1:19" x14ac:dyDescent="0.25">
      <c r="A222" t="s">
        <v>229</v>
      </c>
      <c r="B222" t="s">
        <v>230</v>
      </c>
      <c r="C222">
        <v>18828278</v>
      </c>
      <c r="D222" t="s">
        <v>21</v>
      </c>
      <c r="E222">
        <v>1</v>
      </c>
      <c r="F222" t="s">
        <v>22</v>
      </c>
      <c r="G222" t="s">
        <v>546</v>
      </c>
      <c r="H222" t="s">
        <v>547</v>
      </c>
      <c r="I222" s="1">
        <v>45717</v>
      </c>
      <c r="J222" t="s">
        <v>51</v>
      </c>
      <c r="K222" s="2">
        <v>45778</v>
      </c>
      <c r="L222">
        <v>1</v>
      </c>
      <c r="M222">
        <v>20</v>
      </c>
      <c r="N222">
        <v>0</v>
      </c>
      <c r="O222">
        <v>20</v>
      </c>
      <c r="P222" t="s">
        <v>67</v>
      </c>
      <c r="Q222" s="1">
        <v>45828</v>
      </c>
      <c r="R222" t="s">
        <v>27</v>
      </c>
      <c r="S222" t="s">
        <v>28</v>
      </c>
    </row>
    <row r="223" spans="1:19" x14ac:dyDescent="0.25">
      <c r="A223" t="s">
        <v>93</v>
      </c>
      <c r="B223" t="s">
        <v>94</v>
      </c>
      <c r="C223">
        <v>18754354</v>
      </c>
      <c r="D223" t="s">
        <v>21</v>
      </c>
      <c r="E223">
        <v>1</v>
      </c>
      <c r="F223" t="s">
        <v>22</v>
      </c>
      <c r="G223" t="s">
        <v>548</v>
      </c>
      <c r="H223" t="s">
        <v>549</v>
      </c>
      <c r="I223" s="1">
        <v>45566</v>
      </c>
      <c r="J223" t="s">
        <v>51</v>
      </c>
      <c r="K223" s="2">
        <v>45778</v>
      </c>
      <c r="L223">
        <v>1</v>
      </c>
      <c r="M223">
        <v>20</v>
      </c>
      <c r="N223">
        <v>0</v>
      </c>
      <c r="O223">
        <v>20</v>
      </c>
      <c r="P223" t="s">
        <v>52</v>
      </c>
      <c r="Q223" s="1">
        <v>45828</v>
      </c>
      <c r="R223" t="s">
        <v>27</v>
      </c>
      <c r="S223" t="s">
        <v>28</v>
      </c>
    </row>
    <row r="224" spans="1:19" x14ac:dyDescent="0.25">
      <c r="A224" t="s">
        <v>101</v>
      </c>
      <c r="B224" t="s">
        <v>102</v>
      </c>
      <c r="C224">
        <v>8307933</v>
      </c>
      <c r="D224" t="s">
        <v>21</v>
      </c>
      <c r="E224">
        <v>1</v>
      </c>
      <c r="F224" t="s">
        <v>22</v>
      </c>
      <c r="G224" t="s">
        <v>550</v>
      </c>
      <c r="H224" t="s">
        <v>551</v>
      </c>
      <c r="I224" s="1">
        <v>45292</v>
      </c>
      <c r="J224" t="s">
        <v>51</v>
      </c>
      <c r="K224" s="2">
        <v>45778</v>
      </c>
      <c r="L224">
        <v>2</v>
      </c>
      <c r="M224">
        <v>40</v>
      </c>
      <c r="N224">
        <v>0</v>
      </c>
      <c r="O224">
        <v>40</v>
      </c>
      <c r="P224" t="s">
        <v>52</v>
      </c>
      <c r="Q224" s="1">
        <v>45828</v>
      </c>
      <c r="R224" t="s">
        <v>27</v>
      </c>
      <c r="S224" t="s">
        <v>28</v>
      </c>
    </row>
    <row r="225" spans="1:19" x14ac:dyDescent="0.25">
      <c r="A225" t="s">
        <v>57</v>
      </c>
      <c r="B225" t="s">
        <v>58</v>
      </c>
      <c r="C225">
        <v>8977234</v>
      </c>
      <c r="D225" t="s">
        <v>21</v>
      </c>
      <c r="E225">
        <v>1</v>
      </c>
      <c r="F225" t="s">
        <v>22</v>
      </c>
      <c r="G225" t="s">
        <v>552</v>
      </c>
      <c r="H225" t="s">
        <v>553</v>
      </c>
      <c r="I225" s="1">
        <v>45566</v>
      </c>
      <c r="J225" t="s">
        <v>140</v>
      </c>
      <c r="K225" s="2">
        <v>45778</v>
      </c>
      <c r="L225">
        <v>1</v>
      </c>
      <c r="M225">
        <v>21</v>
      </c>
      <c r="N225">
        <v>0</v>
      </c>
      <c r="O225">
        <v>21</v>
      </c>
      <c r="P225" t="s">
        <v>554</v>
      </c>
      <c r="Q225" s="1">
        <v>45828</v>
      </c>
      <c r="R225" t="s">
        <v>27</v>
      </c>
      <c r="S225" t="s">
        <v>28</v>
      </c>
    </row>
    <row r="226" spans="1:19" x14ac:dyDescent="0.25">
      <c r="A226" t="s">
        <v>35</v>
      </c>
      <c r="B226" t="s">
        <v>36</v>
      </c>
      <c r="C226">
        <v>9079571</v>
      </c>
      <c r="D226" t="s">
        <v>21</v>
      </c>
      <c r="E226">
        <v>1</v>
      </c>
      <c r="F226" t="s">
        <v>22</v>
      </c>
      <c r="G226" t="s">
        <v>555</v>
      </c>
      <c r="H226" t="s">
        <v>556</v>
      </c>
      <c r="I226" s="1">
        <v>45658</v>
      </c>
      <c r="J226" t="s">
        <v>33</v>
      </c>
      <c r="K226" s="2">
        <v>45778</v>
      </c>
      <c r="L226">
        <v>4</v>
      </c>
      <c r="M226">
        <v>40</v>
      </c>
      <c r="N226">
        <v>0</v>
      </c>
      <c r="O226">
        <v>40</v>
      </c>
      <c r="P226" t="s">
        <v>88</v>
      </c>
      <c r="Q226" s="1">
        <v>45828</v>
      </c>
      <c r="R226" t="s">
        <v>27</v>
      </c>
      <c r="S226" t="s">
        <v>28</v>
      </c>
    </row>
    <row r="227" spans="1:19" x14ac:dyDescent="0.25">
      <c r="A227" t="s">
        <v>63</v>
      </c>
      <c r="B227" t="s">
        <v>64</v>
      </c>
      <c r="C227">
        <v>14177521</v>
      </c>
      <c r="D227" t="s">
        <v>21</v>
      </c>
      <c r="E227">
        <v>1</v>
      </c>
      <c r="F227" t="s">
        <v>22</v>
      </c>
      <c r="G227" t="s">
        <v>557</v>
      </c>
      <c r="H227" t="s">
        <v>558</v>
      </c>
      <c r="I227" s="1">
        <v>45292</v>
      </c>
      <c r="J227" t="s">
        <v>51</v>
      </c>
      <c r="K227" s="2">
        <v>45778</v>
      </c>
      <c r="L227">
        <v>1</v>
      </c>
      <c r="M227">
        <v>20</v>
      </c>
      <c r="N227">
        <v>0</v>
      </c>
      <c r="O227">
        <v>20</v>
      </c>
      <c r="P227" t="s">
        <v>52</v>
      </c>
      <c r="Q227" s="1">
        <v>45828</v>
      </c>
      <c r="R227" t="s">
        <v>27</v>
      </c>
      <c r="S227" t="s">
        <v>28</v>
      </c>
    </row>
    <row r="228" spans="1:19" x14ac:dyDescent="0.25">
      <c r="A228" t="s">
        <v>35</v>
      </c>
      <c r="B228" t="s">
        <v>36</v>
      </c>
      <c r="C228">
        <v>9079571</v>
      </c>
      <c r="D228" t="s">
        <v>21</v>
      </c>
      <c r="E228">
        <v>1</v>
      </c>
      <c r="F228" t="s">
        <v>22</v>
      </c>
      <c r="G228" t="s">
        <v>559</v>
      </c>
      <c r="H228" t="s">
        <v>560</v>
      </c>
      <c r="I228" s="1">
        <v>45778</v>
      </c>
      <c r="J228" t="s">
        <v>33</v>
      </c>
      <c r="K228" s="2">
        <v>45778</v>
      </c>
      <c r="L228">
        <v>3</v>
      </c>
      <c r="M228">
        <v>30</v>
      </c>
      <c r="N228">
        <v>0</v>
      </c>
      <c r="O228">
        <v>30</v>
      </c>
      <c r="P228" t="s">
        <v>88</v>
      </c>
      <c r="Q228" s="1">
        <v>45828</v>
      </c>
      <c r="R228" t="s">
        <v>27</v>
      </c>
      <c r="S228" t="s">
        <v>28</v>
      </c>
    </row>
    <row r="229" spans="1:19" x14ac:dyDescent="0.25">
      <c r="A229" t="s">
        <v>35</v>
      </c>
      <c r="B229" t="s">
        <v>36</v>
      </c>
      <c r="C229">
        <v>9079571</v>
      </c>
      <c r="D229" t="s">
        <v>21</v>
      </c>
      <c r="E229">
        <v>1</v>
      </c>
      <c r="F229" t="s">
        <v>22</v>
      </c>
      <c r="G229" t="s">
        <v>561</v>
      </c>
      <c r="H229" t="s">
        <v>562</v>
      </c>
      <c r="I229" s="1">
        <v>45323</v>
      </c>
      <c r="J229" t="s">
        <v>33</v>
      </c>
      <c r="K229" s="2">
        <v>45778</v>
      </c>
      <c r="L229">
        <v>2</v>
      </c>
      <c r="M229">
        <v>20</v>
      </c>
      <c r="N229">
        <v>0</v>
      </c>
      <c r="O229">
        <v>20</v>
      </c>
      <c r="P229" t="s">
        <v>34</v>
      </c>
      <c r="Q229" s="1">
        <v>45828</v>
      </c>
      <c r="R229" t="s">
        <v>27</v>
      </c>
      <c r="S229" t="s">
        <v>28</v>
      </c>
    </row>
    <row r="230" spans="1:19" x14ac:dyDescent="0.25">
      <c r="A230" t="s">
        <v>63</v>
      </c>
      <c r="B230" t="s">
        <v>64</v>
      </c>
      <c r="C230">
        <v>14177521</v>
      </c>
      <c r="D230" t="s">
        <v>21</v>
      </c>
      <c r="E230">
        <v>1</v>
      </c>
      <c r="F230" t="s">
        <v>22</v>
      </c>
      <c r="G230" t="s">
        <v>563</v>
      </c>
      <c r="H230" t="s">
        <v>564</v>
      </c>
      <c r="I230" s="1">
        <v>45292</v>
      </c>
      <c r="J230" t="s">
        <v>51</v>
      </c>
      <c r="K230" s="2">
        <v>45778</v>
      </c>
      <c r="L230">
        <v>1</v>
      </c>
      <c r="M230">
        <v>20</v>
      </c>
      <c r="N230">
        <v>0</v>
      </c>
      <c r="O230">
        <v>20</v>
      </c>
      <c r="P230" t="s">
        <v>52</v>
      </c>
      <c r="Q230" s="1">
        <v>45828</v>
      </c>
      <c r="R230" t="s">
        <v>27</v>
      </c>
      <c r="S230" t="s">
        <v>28</v>
      </c>
    </row>
    <row r="231" spans="1:19" x14ac:dyDescent="0.25">
      <c r="A231" t="s">
        <v>290</v>
      </c>
      <c r="B231" t="s">
        <v>291</v>
      </c>
      <c r="C231">
        <v>21104854</v>
      </c>
      <c r="D231" t="s">
        <v>21</v>
      </c>
      <c r="E231">
        <v>1</v>
      </c>
      <c r="F231" t="s">
        <v>22</v>
      </c>
      <c r="G231" t="s">
        <v>565</v>
      </c>
      <c r="H231" t="s">
        <v>566</v>
      </c>
      <c r="I231" s="1">
        <v>45658</v>
      </c>
      <c r="J231" t="s">
        <v>51</v>
      </c>
      <c r="K231" s="2">
        <v>45778</v>
      </c>
      <c r="L231">
        <v>3</v>
      </c>
      <c r="M231">
        <v>60</v>
      </c>
      <c r="N231">
        <v>0</v>
      </c>
      <c r="O231">
        <v>60</v>
      </c>
      <c r="P231" t="s">
        <v>67</v>
      </c>
      <c r="Q231" s="1">
        <v>45828</v>
      </c>
      <c r="R231" t="s">
        <v>27</v>
      </c>
      <c r="S231" t="s">
        <v>28</v>
      </c>
    </row>
    <row r="232" spans="1:19" x14ac:dyDescent="0.25">
      <c r="A232" t="s">
        <v>70</v>
      </c>
      <c r="B232" t="s">
        <v>71</v>
      </c>
      <c r="C232">
        <v>16633294</v>
      </c>
      <c r="D232" t="s">
        <v>21</v>
      </c>
      <c r="E232">
        <v>1</v>
      </c>
      <c r="F232" t="s">
        <v>22</v>
      </c>
      <c r="G232" t="s">
        <v>567</v>
      </c>
      <c r="H232" t="s">
        <v>568</v>
      </c>
      <c r="I232" s="1">
        <v>44927</v>
      </c>
      <c r="J232" t="s">
        <v>51</v>
      </c>
      <c r="K232" s="2">
        <v>45778</v>
      </c>
      <c r="L232">
        <v>1</v>
      </c>
      <c r="M232">
        <v>20</v>
      </c>
      <c r="N232">
        <v>0</v>
      </c>
      <c r="O232">
        <v>20</v>
      </c>
      <c r="P232" t="s">
        <v>52</v>
      </c>
      <c r="Q232" s="1">
        <v>45828</v>
      </c>
      <c r="R232" t="s">
        <v>27</v>
      </c>
      <c r="S232" t="s">
        <v>28</v>
      </c>
    </row>
    <row r="233" spans="1:19" x14ac:dyDescent="0.25">
      <c r="A233" t="s">
        <v>113</v>
      </c>
      <c r="B233" t="s">
        <v>114</v>
      </c>
      <c r="C233">
        <v>19645587</v>
      </c>
      <c r="D233" t="s">
        <v>21</v>
      </c>
      <c r="E233">
        <v>1</v>
      </c>
      <c r="F233" t="s">
        <v>22</v>
      </c>
      <c r="G233" t="s">
        <v>569</v>
      </c>
      <c r="H233" t="s">
        <v>570</v>
      </c>
      <c r="I233" s="1">
        <v>45658</v>
      </c>
      <c r="J233" t="s">
        <v>51</v>
      </c>
      <c r="K233" s="2">
        <v>45778</v>
      </c>
      <c r="L233">
        <v>1</v>
      </c>
      <c r="M233">
        <v>20</v>
      </c>
      <c r="N233">
        <v>0</v>
      </c>
      <c r="O233">
        <v>20</v>
      </c>
      <c r="P233" t="s">
        <v>67</v>
      </c>
      <c r="Q233" s="1">
        <v>45828</v>
      </c>
      <c r="R233" t="s">
        <v>27</v>
      </c>
      <c r="S233" t="s">
        <v>28</v>
      </c>
    </row>
    <row r="234" spans="1:19" x14ac:dyDescent="0.25">
      <c r="A234" t="s">
        <v>35</v>
      </c>
      <c r="B234" t="s">
        <v>36</v>
      </c>
      <c r="C234">
        <v>9079571</v>
      </c>
      <c r="D234" t="s">
        <v>21</v>
      </c>
      <c r="E234">
        <v>1</v>
      </c>
      <c r="F234" t="s">
        <v>22</v>
      </c>
      <c r="G234" t="s">
        <v>571</v>
      </c>
      <c r="H234" t="s">
        <v>572</v>
      </c>
      <c r="I234" s="1">
        <v>44927</v>
      </c>
      <c r="J234" t="s">
        <v>25</v>
      </c>
      <c r="K234" s="2">
        <v>45778</v>
      </c>
      <c r="L234">
        <v>1</v>
      </c>
      <c r="M234">
        <v>20</v>
      </c>
      <c r="N234">
        <v>0</v>
      </c>
      <c r="O234">
        <v>20</v>
      </c>
      <c r="P234" t="s">
        <v>26</v>
      </c>
      <c r="Q234" s="1">
        <v>45828</v>
      </c>
      <c r="R234" t="s">
        <v>27</v>
      </c>
      <c r="S234" t="s">
        <v>28</v>
      </c>
    </row>
    <row r="235" spans="1:19" x14ac:dyDescent="0.25">
      <c r="A235" t="s">
        <v>496</v>
      </c>
      <c r="B235" t="s">
        <v>497</v>
      </c>
      <c r="C235">
        <v>17437820</v>
      </c>
      <c r="D235" t="s">
        <v>21</v>
      </c>
      <c r="E235">
        <v>1</v>
      </c>
      <c r="F235" t="s">
        <v>22</v>
      </c>
      <c r="G235" t="s">
        <v>573</v>
      </c>
      <c r="H235" t="s">
        <v>574</v>
      </c>
      <c r="I235" s="1">
        <v>45717</v>
      </c>
      <c r="J235" t="s">
        <v>51</v>
      </c>
      <c r="K235" s="2">
        <v>45778</v>
      </c>
      <c r="L235">
        <v>1</v>
      </c>
      <c r="M235">
        <v>20</v>
      </c>
      <c r="N235">
        <v>0</v>
      </c>
      <c r="O235">
        <v>20</v>
      </c>
      <c r="P235" t="s">
        <v>67</v>
      </c>
      <c r="Q235" s="1">
        <v>45828</v>
      </c>
      <c r="R235" t="s">
        <v>27</v>
      </c>
      <c r="S235" t="s">
        <v>28</v>
      </c>
    </row>
    <row r="236" spans="1:19" x14ac:dyDescent="0.25">
      <c r="A236" t="s">
        <v>35</v>
      </c>
      <c r="B236" t="s">
        <v>36</v>
      </c>
      <c r="C236">
        <v>9079571</v>
      </c>
      <c r="D236" t="s">
        <v>21</v>
      </c>
      <c r="E236">
        <v>1</v>
      </c>
      <c r="F236" t="s">
        <v>22</v>
      </c>
      <c r="G236" t="s">
        <v>575</v>
      </c>
      <c r="H236" t="s">
        <v>576</v>
      </c>
      <c r="I236" s="1">
        <v>45444</v>
      </c>
      <c r="J236" t="s">
        <v>33</v>
      </c>
      <c r="K236" s="2">
        <v>45748</v>
      </c>
      <c r="L236">
        <v>1</v>
      </c>
      <c r="M236">
        <v>10</v>
      </c>
      <c r="N236">
        <v>0</v>
      </c>
      <c r="O236">
        <v>10</v>
      </c>
      <c r="P236" t="s">
        <v>34</v>
      </c>
      <c r="Q236" s="1">
        <v>45828</v>
      </c>
      <c r="R236" t="s">
        <v>27</v>
      </c>
      <c r="S236" t="s">
        <v>28</v>
      </c>
    </row>
    <row r="237" spans="1:19" x14ac:dyDescent="0.25">
      <c r="A237" t="s">
        <v>35</v>
      </c>
      <c r="B237" t="s">
        <v>36</v>
      </c>
      <c r="C237">
        <v>9079571</v>
      </c>
      <c r="D237" t="s">
        <v>21</v>
      </c>
      <c r="E237">
        <v>1</v>
      </c>
      <c r="F237" t="s">
        <v>22</v>
      </c>
      <c r="G237" t="s">
        <v>575</v>
      </c>
      <c r="H237" t="s">
        <v>576</v>
      </c>
      <c r="I237" s="1">
        <v>45444</v>
      </c>
      <c r="J237" t="s">
        <v>33</v>
      </c>
      <c r="K237" s="2">
        <v>45778</v>
      </c>
      <c r="L237">
        <v>1</v>
      </c>
      <c r="M237">
        <v>10</v>
      </c>
      <c r="N237">
        <v>0</v>
      </c>
      <c r="O237">
        <v>10</v>
      </c>
      <c r="P237" t="s">
        <v>34</v>
      </c>
      <c r="Q237" s="1">
        <v>45828</v>
      </c>
      <c r="R237" t="s">
        <v>27</v>
      </c>
      <c r="S237" t="s">
        <v>28</v>
      </c>
    </row>
    <row r="238" spans="1:19" x14ac:dyDescent="0.25">
      <c r="A238" t="s">
        <v>174</v>
      </c>
      <c r="B238" t="s">
        <v>175</v>
      </c>
      <c r="C238">
        <v>8814784</v>
      </c>
      <c r="D238" t="s">
        <v>21</v>
      </c>
      <c r="E238">
        <v>1</v>
      </c>
      <c r="F238" t="s">
        <v>22</v>
      </c>
      <c r="G238" t="s">
        <v>577</v>
      </c>
      <c r="H238" t="s">
        <v>578</v>
      </c>
      <c r="I238" s="1">
        <v>45809</v>
      </c>
      <c r="J238" t="s">
        <v>51</v>
      </c>
      <c r="K238" s="2">
        <v>45809</v>
      </c>
      <c r="L238">
        <v>4</v>
      </c>
      <c r="M238">
        <v>80</v>
      </c>
      <c r="N238">
        <v>0</v>
      </c>
      <c r="O238">
        <v>80</v>
      </c>
      <c r="P238" t="s">
        <v>67</v>
      </c>
      <c r="Q238" s="1">
        <v>45828</v>
      </c>
      <c r="R238" t="s">
        <v>27</v>
      </c>
      <c r="S238" t="s">
        <v>28</v>
      </c>
    </row>
    <row r="239" spans="1:19" x14ac:dyDescent="0.25">
      <c r="A239" t="s">
        <v>123</v>
      </c>
      <c r="B239" t="s">
        <v>124</v>
      </c>
      <c r="C239">
        <v>19200754</v>
      </c>
      <c r="D239" t="s">
        <v>21</v>
      </c>
      <c r="E239">
        <v>1</v>
      </c>
      <c r="F239" t="s">
        <v>22</v>
      </c>
      <c r="G239" t="s">
        <v>579</v>
      </c>
      <c r="H239" t="s">
        <v>580</v>
      </c>
      <c r="I239" s="1">
        <v>45323</v>
      </c>
      <c r="J239" t="s">
        <v>51</v>
      </c>
      <c r="K239" s="2">
        <v>45778</v>
      </c>
      <c r="L239">
        <v>1</v>
      </c>
      <c r="M239">
        <v>20</v>
      </c>
      <c r="N239">
        <v>0</v>
      </c>
      <c r="O239">
        <v>20</v>
      </c>
      <c r="P239" t="s">
        <v>67</v>
      </c>
      <c r="Q239" s="1">
        <v>45828</v>
      </c>
      <c r="R239" t="s">
        <v>27</v>
      </c>
      <c r="S239" t="s">
        <v>28</v>
      </c>
    </row>
    <row r="240" spans="1:19" x14ac:dyDescent="0.25">
      <c r="A240" t="s">
        <v>70</v>
      </c>
      <c r="B240" t="s">
        <v>71</v>
      </c>
      <c r="C240">
        <v>16633294</v>
      </c>
      <c r="D240" t="s">
        <v>21</v>
      </c>
      <c r="E240">
        <v>1</v>
      </c>
      <c r="F240" t="s">
        <v>22</v>
      </c>
      <c r="G240" t="s">
        <v>581</v>
      </c>
      <c r="H240" t="s">
        <v>582</v>
      </c>
      <c r="I240" s="1">
        <v>44927</v>
      </c>
      <c r="J240" t="s">
        <v>51</v>
      </c>
      <c r="K240" s="2">
        <v>45778</v>
      </c>
      <c r="L240">
        <v>1</v>
      </c>
      <c r="M240">
        <v>20</v>
      </c>
      <c r="N240">
        <v>0</v>
      </c>
      <c r="O240">
        <v>20</v>
      </c>
      <c r="P240" t="s">
        <v>52</v>
      </c>
      <c r="Q240" s="1">
        <v>45828</v>
      </c>
      <c r="R240" t="s">
        <v>27</v>
      </c>
      <c r="S240" t="s">
        <v>28</v>
      </c>
    </row>
    <row r="241" spans="1:19" x14ac:dyDescent="0.25">
      <c r="A241" t="s">
        <v>57</v>
      </c>
      <c r="B241" t="s">
        <v>58</v>
      </c>
      <c r="C241">
        <v>8977234</v>
      </c>
      <c r="D241" t="s">
        <v>21</v>
      </c>
      <c r="E241">
        <v>1</v>
      </c>
      <c r="F241" t="s">
        <v>22</v>
      </c>
      <c r="G241" t="s">
        <v>583</v>
      </c>
      <c r="H241" t="s">
        <v>584</v>
      </c>
      <c r="I241" s="1">
        <v>45536</v>
      </c>
      <c r="J241" t="s">
        <v>25</v>
      </c>
      <c r="K241" s="2">
        <v>45778</v>
      </c>
      <c r="L241">
        <v>1</v>
      </c>
      <c r="M241">
        <v>20</v>
      </c>
      <c r="N241">
        <v>0</v>
      </c>
      <c r="O241">
        <v>20</v>
      </c>
      <c r="P241" t="s">
        <v>26</v>
      </c>
      <c r="Q241" s="1">
        <v>45828</v>
      </c>
      <c r="R241" t="s">
        <v>27</v>
      </c>
      <c r="S241" t="s">
        <v>28</v>
      </c>
    </row>
    <row r="242" spans="1:19" x14ac:dyDescent="0.25">
      <c r="A242" t="s">
        <v>258</v>
      </c>
      <c r="B242" t="s">
        <v>259</v>
      </c>
      <c r="C242">
        <v>8325282</v>
      </c>
      <c r="D242" t="s">
        <v>21</v>
      </c>
      <c r="E242">
        <v>1</v>
      </c>
      <c r="F242" t="s">
        <v>22</v>
      </c>
      <c r="G242" t="s">
        <v>585</v>
      </c>
      <c r="H242" t="s">
        <v>586</v>
      </c>
      <c r="I242" s="1">
        <v>45658</v>
      </c>
      <c r="J242" t="s">
        <v>51</v>
      </c>
      <c r="K242" s="2">
        <v>45778</v>
      </c>
      <c r="L242">
        <v>1</v>
      </c>
      <c r="M242">
        <v>20</v>
      </c>
      <c r="N242">
        <v>0</v>
      </c>
      <c r="O242">
        <v>20</v>
      </c>
      <c r="P242" t="s">
        <v>67</v>
      </c>
      <c r="Q242" s="1">
        <v>45828</v>
      </c>
      <c r="R242" t="s">
        <v>27</v>
      </c>
      <c r="S242" t="s">
        <v>28</v>
      </c>
    </row>
    <row r="243" spans="1:19" x14ac:dyDescent="0.25">
      <c r="A243" t="s">
        <v>418</v>
      </c>
      <c r="B243" t="s">
        <v>419</v>
      </c>
      <c r="C243">
        <v>15278437</v>
      </c>
      <c r="D243" t="s">
        <v>21</v>
      </c>
      <c r="E243">
        <v>1</v>
      </c>
      <c r="F243" t="s">
        <v>22</v>
      </c>
      <c r="G243" t="s">
        <v>587</v>
      </c>
      <c r="H243" t="s">
        <v>588</v>
      </c>
      <c r="I243" s="1">
        <v>45658</v>
      </c>
      <c r="J243" t="s">
        <v>51</v>
      </c>
      <c r="K243" s="2">
        <v>45778</v>
      </c>
      <c r="L243">
        <v>1</v>
      </c>
      <c r="M243">
        <v>20</v>
      </c>
      <c r="N243">
        <v>0</v>
      </c>
      <c r="O243">
        <v>20</v>
      </c>
      <c r="P243" t="s">
        <v>67</v>
      </c>
      <c r="Q243" s="1">
        <v>45828</v>
      </c>
      <c r="R243" t="s">
        <v>27</v>
      </c>
      <c r="S243" t="s">
        <v>28</v>
      </c>
    </row>
    <row r="244" spans="1:19" x14ac:dyDescent="0.25">
      <c r="A244" t="s">
        <v>496</v>
      </c>
      <c r="B244" t="s">
        <v>497</v>
      </c>
      <c r="C244">
        <v>17437820</v>
      </c>
      <c r="D244" t="s">
        <v>21</v>
      </c>
      <c r="E244">
        <v>1</v>
      </c>
      <c r="F244" t="s">
        <v>22</v>
      </c>
      <c r="G244" t="s">
        <v>589</v>
      </c>
      <c r="H244" t="s">
        <v>590</v>
      </c>
      <c r="I244" s="1">
        <v>45292</v>
      </c>
      <c r="J244" t="s">
        <v>51</v>
      </c>
      <c r="K244" s="2">
        <v>45778</v>
      </c>
      <c r="L244">
        <v>4</v>
      </c>
      <c r="M244">
        <v>80</v>
      </c>
      <c r="N244">
        <v>0</v>
      </c>
      <c r="O244">
        <v>80</v>
      </c>
      <c r="P244" t="s">
        <v>52</v>
      </c>
      <c r="Q244" s="1">
        <v>45828</v>
      </c>
      <c r="R244" t="s">
        <v>27</v>
      </c>
      <c r="S244" t="s">
        <v>28</v>
      </c>
    </row>
    <row r="245" spans="1:19" x14ac:dyDescent="0.25">
      <c r="A245" t="s">
        <v>174</v>
      </c>
      <c r="B245" t="s">
        <v>175</v>
      </c>
      <c r="C245">
        <v>8814784</v>
      </c>
      <c r="D245" t="s">
        <v>21</v>
      </c>
      <c r="E245">
        <v>1</v>
      </c>
      <c r="F245" t="s">
        <v>22</v>
      </c>
      <c r="G245" t="s">
        <v>591</v>
      </c>
      <c r="H245" t="s">
        <v>592</v>
      </c>
      <c r="I245" s="1">
        <v>45292</v>
      </c>
      <c r="J245" t="s">
        <v>51</v>
      </c>
      <c r="K245" s="2">
        <v>45778</v>
      </c>
      <c r="L245">
        <v>1</v>
      </c>
      <c r="M245">
        <v>20</v>
      </c>
      <c r="N245">
        <v>0</v>
      </c>
      <c r="O245">
        <v>20</v>
      </c>
      <c r="P245" t="s">
        <v>52</v>
      </c>
      <c r="Q245" s="1">
        <v>45828</v>
      </c>
      <c r="R245" t="s">
        <v>27</v>
      </c>
      <c r="S245" t="s">
        <v>28</v>
      </c>
    </row>
    <row r="246" spans="1:19" x14ac:dyDescent="0.25">
      <c r="A246" t="s">
        <v>47</v>
      </c>
      <c r="B246" t="s">
        <v>48</v>
      </c>
      <c r="C246">
        <v>9213293</v>
      </c>
      <c r="D246" t="s">
        <v>21</v>
      </c>
      <c r="E246">
        <v>1</v>
      </c>
      <c r="F246" t="s">
        <v>22</v>
      </c>
      <c r="G246" t="s">
        <v>593</v>
      </c>
      <c r="H246" t="s">
        <v>594</v>
      </c>
      <c r="I246" s="1">
        <v>45689</v>
      </c>
      <c r="J246" t="s">
        <v>51</v>
      </c>
      <c r="K246" s="2">
        <v>45778</v>
      </c>
      <c r="L246">
        <v>1</v>
      </c>
      <c r="M246">
        <v>20</v>
      </c>
      <c r="N246">
        <v>0</v>
      </c>
      <c r="O246">
        <v>20</v>
      </c>
      <c r="P246" t="s">
        <v>67</v>
      </c>
      <c r="Q246" s="1">
        <v>45828</v>
      </c>
      <c r="R246" t="s">
        <v>27</v>
      </c>
      <c r="S246" t="s">
        <v>28</v>
      </c>
    </row>
    <row r="247" spans="1:19" x14ac:dyDescent="0.25">
      <c r="A247" t="s">
        <v>123</v>
      </c>
      <c r="B247" t="s">
        <v>124</v>
      </c>
      <c r="C247">
        <v>19200754</v>
      </c>
      <c r="D247" t="s">
        <v>21</v>
      </c>
      <c r="E247">
        <v>1</v>
      </c>
      <c r="F247" t="s">
        <v>22</v>
      </c>
      <c r="G247" t="s">
        <v>595</v>
      </c>
      <c r="H247" t="s">
        <v>596</v>
      </c>
      <c r="I247" s="1">
        <v>45778</v>
      </c>
      <c r="J247" t="s">
        <v>51</v>
      </c>
      <c r="K247" s="2">
        <v>45778</v>
      </c>
      <c r="L247">
        <v>1</v>
      </c>
      <c r="M247">
        <v>20</v>
      </c>
      <c r="N247">
        <v>0</v>
      </c>
      <c r="O247">
        <v>20</v>
      </c>
      <c r="P247" t="s">
        <v>67</v>
      </c>
      <c r="Q247" s="1">
        <v>45828</v>
      </c>
      <c r="R247" t="s">
        <v>27</v>
      </c>
      <c r="S247" t="s">
        <v>28</v>
      </c>
    </row>
    <row r="248" spans="1:19" x14ac:dyDescent="0.25">
      <c r="A248" t="s">
        <v>496</v>
      </c>
      <c r="B248" t="s">
        <v>497</v>
      </c>
      <c r="C248">
        <v>17437820</v>
      </c>
      <c r="D248" t="s">
        <v>21</v>
      </c>
      <c r="E248">
        <v>1</v>
      </c>
      <c r="F248" t="s">
        <v>22</v>
      </c>
      <c r="G248" t="s">
        <v>597</v>
      </c>
      <c r="H248" t="s">
        <v>598</v>
      </c>
      <c r="I248" s="1">
        <v>45717</v>
      </c>
      <c r="J248" t="s">
        <v>51</v>
      </c>
      <c r="K248" s="2">
        <v>45748</v>
      </c>
      <c r="L248">
        <v>1</v>
      </c>
      <c r="M248">
        <v>20</v>
      </c>
      <c r="N248">
        <v>0</v>
      </c>
      <c r="O248">
        <v>20</v>
      </c>
      <c r="P248" t="s">
        <v>67</v>
      </c>
      <c r="Q248" s="1">
        <v>45828</v>
      </c>
      <c r="R248" t="s">
        <v>27</v>
      </c>
      <c r="S248" t="s">
        <v>28</v>
      </c>
    </row>
    <row r="249" spans="1:19" x14ac:dyDescent="0.25">
      <c r="A249" t="s">
        <v>496</v>
      </c>
      <c r="B249" t="s">
        <v>497</v>
      </c>
      <c r="C249">
        <v>17437820</v>
      </c>
      <c r="D249" t="s">
        <v>21</v>
      </c>
      <c r="E249">
        <v>1</v>
      </c>
      <c r="F249" t="s">
        <v>22</v>
      </c>
      <c r="G249" t="s">
        <v>597</v>
      </c>
      <c r="H249" t="s">
        <v>598</v>
      </c>
      <c r="I249" s="1">
        <v>45717</v>
      </c>
      <c r="J249" t="s">
        <v>51</v>
      </c>
      <c r="K249" s="2">
        <v>45778</v>
      </c>
      <c r="L249">
        <v>1</v>
      </c>
      <c r="M249">
        <v>20</v>
      </c>
      <c r="N249">
        <v>0</v>
      </c>
      <c r="O249">
        <v>20</v>
      </c>
      <c r="P249" t="s">
        <v>67</v>
      </c>
      <c r="Q249" s="1">
        <v>45828</v>
      </c>
      <c r="R249" t="s">
        <v>27</v>
      </c>
      <c r="S249" t="s">
        <v>28</v>
      </c>
    </row>
    <row r="250" spans="1:19" x14ac:dyDescent="0.25">
      <c r="A250" t="s">
        <v>89</v>
      </c>
      <c r="B250" t="s">
        <v>90</v>
      </c>
      <c r="C250">
        <v>19396223</v>
      </c>
      <c r="D250" t="s">
        <v>21</v>
      </c>
      <c r="E250">
        <v>1</v>
      </c>
      <c r="F250" t="s">
        <v>22</v>
      </c>
      <c r="G250" t="s">
        <v>599</v>
      </c>
      <c r="H250" t="s">
        <v>600</v>
      </c>
      <c r="I250" s="1">
        <v>45139</v>
      </c>
      <c r="J250" t="s">
        <v>51</v>
      </c>
      <c r="K250" s="2">
        <v>45778</v>
      </c>
      <c r="L250">
        <v>1</v>
      </c>
      <c r="M250">
        <v>20</v>
      </c>
      <c r="N250">
        <v>0</v>
      </c>
      <c r="O250">
        <v>20</v>
      </c>
      <c r="P250" t="s">
        <v>52</v>
      </c>
      <c r="Q250" s="1">
        <v>45828</v>
      </c>
      <c r="R250" t="s">
        <v>27</v>
      </c>
      <c r="S250" t="s">
        <v>28</v>
      </c>
    </row>
    <row r="251" spans="1:19" x14ac:dyDescent="0.25">
      <c r="A251" t="s">
        <v>93</v>
      </c>
      <c r="B251" t="s">
        <v>94</v>
      </c>
      <c r="C251">
        <v>18754354</v>
      </c>
      <c r="D251" t="s">
        <v>21</v>
      </c>
      <c r="E251">
        <v>1</v>
      </c>
      <c r="F251" t="s">
        <v>22</v>
      </c>
      <c r="G251" t="s">
        <v>601</v>
      </c>
      <c r="H251" t="s">
        <v>602</v>
      </c>
      <c r="I251" s="1">
        <v>44927</v>
      </c>
      <c r="J251" t="s">
        <v>51</v>
      </c>
      <c r="K251" s="2">
        <v>45778</v>
      </c>
      <c r="L251">
        <v>1</v>
      </c>
      <c r="M251">
        <v>20</v>
      </c>
      <c r="N251">
        <v>0</v>
      </c>
      <c r="O251">
        <v>20</v>
      </c>
      <c r="P251" t="s">
        <v>52</v>
      </c>
      <c r="Q251" s="1">
        <v>45828</v>
      </c>
      <c r="R251" t="s">
        <v>27</v>
      </c>
      <c r="S251" t="s">
        <v>28</v>
      </c>
    </row>
    <row r="252" spans="1:19" x14ac:dyDescent="0.25">
      <c r="A252" t="s">
        <v>290</v>
      </c>
      <c r="B252" t="s">
        <v>291</v>
      </c>
      <c r="C252">
        <v>21104854</v>
      </c>
      <c r="D252" t="s">
        <v>21</v>
      </c>
      <c r="E252">
        <v>1</v>
      </c>
      <c r="F252" t="s">
        <v>22</v>
      </c>
      <c r="G252" t="s">
        <v>603</v>
      </c>
      <c r="H252" t="s">
        <v>604</v>
      </c>
      <c r="I252" s="1">
        <v>45717</v>
      </c>
      <c r="J252" t="s">
        <v>51</v>
      </c>
      <c r="K252" s="2">
        <v>45778</v>
      </c>
      <c r="L252">
        <v>3</v>
      </c>
      <c r="M252">
        <v>60</v>
      </c>
      <c r="N252">
        <v>0</v>
      </c>
      <c r="O252">
        <v>60</v>
      </c>
      <c r="P252" t="s">
        <v>67</v>
      </c>
      <c r="Q252" s="1">
        <v>45828</v>
      </c>
      <c r="R252" t="s">
        <v>27</v>
      </c>
      <c r="S252" t="s">
        <v>28</v>
      </c>
    </row>
    <row r="253" spans="1:19" x14ac:dyDescent="0.25">
      <c r="A253" t="s">
        <v>113</v>
      </c>
      <c r="B253" t="s">
        <v>114</v>
      </c>
      <c r="C253">
        <v>19645587</v>
      </c>
      <c r="D253" t="s">
        <v>21</v>
      </c>
      <c r="E253">
        <v>1</v>
      </c>
      <c r="F253" t="s">
        <v>22</v>
      </c>
      <c r="G253" t="s">
        <v>605</v>
      </c>
      <c r="H253" t="s">
        <v>606</v>
      </c>
      <c r="I253" s="1">
        <v>45658</v>
      </c>
      <c r="J253" t="s">
        <v>51</v>
      </c>
      <c r="K253" s="2">
        <v>45778</v>
      </c>
      <c r="L253">
        <v>1</v>
      </c>
      <c r="M253">
        <v>20</v>
      </c>
      <c r="N253">
        <v>0</v>
      </c>
      <c r="O253">
        <v>20</v>
      </c>
      <c r="P253" t="s">
        <v>67</v>
      </c>
      <c r="Q253" s="1">
        <v>45828</v>
      </c>
      <c r="R253" t="s">
        <v>27</v>
      </c>
      <c r="S253" t="s">
        <v>28</v>
      </c>
    </row>
    <row r="254" spans="1:19" x14ac:dyDescent="0.25">
      <c r="A254" t="s">
        <v>57</v>
      </c>
      <c r="B254" t="s">
        <v>58</v>
      </c>
      <c r="C254">
        <v>8977234</v>
      </c>
      <c r="D254" t="s">
        <v>21</v>
      </c>
      <c r="E254">
        <v>1</v>
      </c>
      <c r="F254" t="s">
        <v>22</v>
      </c>
      <c r="G254" t="s">
        <v>607</v>
      </c>
      <c r="H254" t="s">
        <v>608</v>
      </c>
      <c r="I254" s="1">
        <v>45778</v>
      </c>
      <c r="J254" t="s">
        <v>51</v>
      </c>
      <c r="K254" s="2">
        <v>45778</v>
      </c>
      <c r="L254">
        <v>5</v>
      </c>
      <c r="M254">
        <v>100</v>
      </c>
      <c r="N254">
        <v>0</v>
      </c>
      <c r="O254">
        <v>100</v>
      </c>
      <c r="P254" t="s">
        <v>67</v>
      </c>
      <c r="Q254" s="1">
        <v>45828</v>
      </c>
      <c r="R254" t="s">
        <v>27</v>
      </c>
      <c r="S254" t="s">
        <v>28</v>
      </c>
    </row>
    <row r="255" spans="1:19" x14ac:dyDescent="0.25">
      <c r="A255" t="s">
        <v>258</v>
      </c>
      <c r="B255" t="s">
        <v>259</v>
      </c>
      <c r="C255">
        <v>8325282</v>
      </c>
      <c r="D255" t="s">
        <v>21</v>
      </c>
      <c r="E255">
        <v>1</v>
      </c>
      <c r="F255" t="s">
        <v>22</v>
      </c>
      <c r="G255" t="s">
        <v>609</v>
      </c>
      <c r="H255" t="s">
        <v>610</v>
      </c>
      <c r="I255" s="1">
        <v>45413</v>
      </c>
      <c r="J255" t="s">
        <v>51</v>
      </c>
      <c r="K255" s="2">
        <v>45778</v>
      </c>
      <c r="L255">
        <v>1</v>
      </c>
      <c r="M255">
        <v>20</v>
      </c>
      <c r="N255">
        <v>0</v>
      </c>
      <c r="O255">
        <v>20</v>
      </c>
      <c r="P255" t="s">
        <v>52</v>
      </c>
      <c r="Q255" s="1">
        <v>45828</v>
      </c>
      <c r="R255" t="s">
        <v>27</v>
      </c>
      <c r="S255" t="s">
        <v>28</v>
      </c>
    </row>
    <row r="256" spans="1:19" x14ac:dyDescent="0.25">
      <c r="A256" t="s">
        <v>35</v>
      </c>
      <c r="B256" t="s">
        <v>36</v>
      </c>
      <c r="C256">
        <v>9079571</v>
      </c>
      <c r="D256" t="s">
        <v>21</v>
      </c>
      <c r="E256">
        <v>1</v>
      </c>
      <c r="F256" t="s">
        <v>22</v>
      </c>
      <c r="G256" t="s">
        <v>611</v>
      </c>
      <c r="H256" t="s">
        <v>612</v>
      </c>
      <c r="I256" s="1">
        <v>45352</v>
      </c>
      <c r="J256" t="s">
        <v>80</v>
      </c>
      <c r="K256" s="2">
        <v>45778</v>
      </c>
      <c r="L256">
        <v>1</v>
      </c>
      <c r="M256">
        <v>20</v>
      </c>
      <c r="N256">
        <v>0</v>
      </c>
      <c r="O256">
        <v>20</v>
      </c>
      <c r="P256" t="s">
        <v>188</v>
      </c>
      <c r="Q256" s="1">
        <v>45828</v>
      </c>
      <c r="R256" t="s">
        <v>27</v>
      </c>
      <c r="S256" t="s">
        <v>189</v>
      </c>
    </row>
    <row r="257" spans="1:19" x14ac:dyDescent="0.25">
      <c r="A257" t="s">
        <v>57</v>
      </c>
      <c r="B257" t="s">
        <v>58</v>
      </c>
      <c r="C257">
        <v>8977234</v>
      </c>
      <c r="D257" t="s">
        <v>21</v>
      </c>
      <c r="E257">
        <v>1</v>
      </c>
      <c r="F257" t="s">
        <v>22</v>
      </c>
      <c r="G257" t="s">
        <v>613</v>
      </c>
      <c r="H257" t="s">
        <v>614</v>
      </c>
      <c r="I257" s="1">
        <v>45597</v>
      </c>
      <c r="J257" t="s">
        <v>51</v>
      </c>
      <c r="K257" s="2">
        <v>45778</v>
      </c>
      <c r="L257">
        <v>1</v>
      </c>
      <c r="M257">
        <v>20</v>
      </c>
      <c r="N257">
        <v>0</v>
      </c>
      <c r="O257">
        <v>20</v>
      </c>
      <c r="P257" t="s">
        <v>52</v>
      </c>
      <c r="Q257" s="1">
        <v>45828</v>
      </c>
      <c r="R257" t="s">
        <v>27</v>
      </c>
      <c r="S257" t="s">
        <v>28</v>
      </c>
    </row>
    <row r="258" spans="1:19" x14ac:dyDescent="0.25">
      <c r="A258" t="s">
        <v>298</v>
      </c>
      <c r="B258" t="s">
        <v>299</v>
      </c>
      <c r="C258">
        <v>17094718</v>
      </c>
      <c r="D258" t="s">
        <v>21</v>
      </c>
      <c r="E258">
        <v>1</v>
      </c>
      <c r="F258" t="s">
        <v>22</v>
      </c>
      <c r="G258" t="s">
        <v>615</v>
      </c>
      <c r="H258" t="s">
        <v>616</v>
      </c>
      <c r="I258" s="1">
        <v>45292</v>
      </c>
      <c r="J258" t="s">
        <v>51</v>
      </c>
      <c r="K258" s="2">
        <v>45778</v>
      </c>
      <c r="L258">
        <v>1</v>
      </c>
      <c r="M258">
        <v>20</v>
      </c>
      <c r="N258">
        <v>0</v>
      </c>
      <c r="O258">
        <v>20</v>
      </c>
      <c r="P258" t="s">
        <v>67</v>
      </c>
      <c r="Q258" s="1">
        <v>45828</v>
      </c>
      <c r="R258" t="s">
        <v>27</v>
      </c>
      <c r="S258" t="s">
        <v>28</v>
      </c>
    </row>
    <row r="259" spans="1:19" x14ac:dyDescent="0.25">
      <c r="A259" t="s">
        <v>19</v>
      </c>
      <c r="B259" t="s">
        <v>20</v>
      </c>
      <c r="C259">
        <v>19681796</v>
      </c>
      <c r="D259" t="s">
        <v>21</v>
      </c>
      <c r="E259">
        <v>1</v>
      </c>
      <c r="F259" t="s">
        <v>22</v>
      </c>
      <c r="G259" t="s">
        <v>617</v>
      </c>
      <c r="H259" t="s">
        <v>618</v>
      </c>
      <c r="I259" s="1">
        <v>45658</v>
      </c>
      <c r="J259" t="s">
        <v>51</v>
      </c>
      <c r="K259" s="2">
        <v>45778</v>
      </c>
      <c r="L259">
        <v>1</v>
      </c>
      <c r="M259">
        <v>20</v>
      </c>
      <c r="N259">
        <v>0</v>
      </c>
      <c r="O259">
        <v>20</v>
      </c>
      <c r="P259" t="s">
        <v>67</v>
      </c>
      <c r="Q259" s="1">
        <v>45828</v>
      </c>
      <c r="R259" t="s">
        <v>27</v>
      </c>
      <c r="S259" t="s">
        <v>28</v>
      </c>
    </row>
    <row r="260" spans="1:19" x14ac:dyDescent="0.25">
      <c r="A260" t="s">
        <v>117</v>
      </c>
      <c r="B260" t="s">
        <v>118</v>
      </c>
      <c r="C260">
        <v>371819</v>
      </c>
      <c r="D260" t="s">
        <v>21</v>
      </c>
      <c r="E260">
        <v>1</v>
      </c>
      <c r="F260" t="s">
        <v>22</v>
      </c>
      <c r="G260" t="s">
        <v>619</v>
      </c>
      <c r="H260" t="s">
        <v>620</v>
      </c>
      <c r="I260" s="1">
        <v>45658</v>
      </c>
      <c r="J260" t="s">
        <v>25</v>
      </c>
      <c r="K260" s="2">
        <v>45778</v>
      </c>
      <c r="L260">
        <v>1</v>
      </c>
      <c r="M260">
        <v>20</v>
      </c>
      <c r="N260">
        <v>0</v>
      </c>
      <c r="O260">
        <v>20</v>
      </c>
      <c r="P260" t="s">
        <v>74</v>
      </c>
      <c r="Q260" s="1">
        <v>45828</v>
      </c>
      <c r="R260" t="s">
        <v>27</v>
      </c>
      <c r="S260" t="s">
        <v>28</v>
      </c>
    </row>
    <row r="261" spans="1:19" x14ac:dyDescent="0.25">
      <c r="A261" t="s">
        <v>39</v>
      </c>
      <c r="B261" t="s">
        <v>40</v>
      </c>
      <c r="C261">
        <v>21435997</v>
      </c>
      <c r="D261" t="s">
        <v>21</v>
      </c>
      <c r="E261">
        <v>1</v>
      </c>
      <c r="F261" t="s">
        <v>22</v>
      </c>
      <c r="G261" t="s">
        <v>621</v>
      </c>
      <c r="H261" t="s">
        <v>622</v>
      </c>
      <c r="I261" s="1">
        <v>45778</v>
      </c>
      <c r="J261" t="s">
        <v>43</v>
      </c>
      <c r="K261" s="2">
        <v>45778</v>
      </c>
      <c r="L261">
        <v>3</v>
      </c>
      <c r="M261">
        <v>75</v>
      </c>
      <c r="N261">
        <v>0</v>
      </c>
      <c r="O261">
        <v>75</v>
      </c>
      <c r="P261" t="s">
        <v>44</v>
      </c>
      <c r="Q261" s="1">
        <v>45828</v>
      </c>
      <c r="R261" t="s">
        <v>27</v>
      </c>
      <c r="S261" t="s">
        <v>28</v>
      </c>
    </row>
    <row r="262" spans="1:19" x14ac:dyDescent="0.25">
      <c r="A262" t="s">
        <v>117</v>
      </c>
      <c r="B262" t="s">
        <v>118</v>
      </c>
      <c r="C262">
        <v>371819</v>
      </c>
      <c r="D262" t="s">
        <v>21</v>
      </c>
      <c r="E262">
        <v>1</v>
      </c>
      <c r="F262" t="s">
        <v>22</v>
      </c>
      <c r="G262" t="s">
        <v>623</v>
      </c>
      <c r="H262" t="s">
        <v>624</v>
      </c>
      <c r="I262" s="1">
        <v>44958</v>
      </c>
      <c r="J262" t="s">
        <v>43</v>
      </c>
      <c r="K262" s="2">
        <v>45778</v>
      </c>
      <c r="L262">
        <v>3</v>
      </c>
      <c r="M262">
        <v>75</v>
      </c>
      <c r="N262">
        <v>0</v>
      </c>
      <c r="O262">
        <v>75</v>
      </c>
      <c r="P262" t="s">
        <v>241</v>
      </c>
      <c r="Q262" s="1">
        <v>45828</v>
      </c>
      <c r="R262" t="s">
        <v>27</v>
      </c>
      <c r="S262" t="s">
        <v>28</v>
      </c>
    </row>
    <row r="263" spans="1:19" x14ac:dyDescent="0.25">
      <c r="A263" t="s">
        <v>625</v>
      </c>
      <c r="B263" t="s">
        <v>626</v>
      </c>
      <c r="C263">
        <v>16912722</v>
      </c>
      <c r="D263" t="s">
        <v>21</v>
      </c>
      <c r="E263">
        <v>1</v>
      </c>
      <c r="F263" t="s">
        <v>22</v>
      </c>
      <c r="G263" t="s">
        <v>627</v>
      </c>
      <c r="H263" t="s">
        <v>628</v>
      </c>
      <c r="I263" s="1">
        <v>45323</v>
      </c>
      <c r="J263" t="s">
        <v>51</v>
      </c>
      <c r="K263" s="2">
        <v>45778</v>
      </c>
      <c r="L263">
        <v>1</v>
      </c>
      <c r="M263">
        <v>20</v>
      </c>
      <c r="N263">
        <v>0</v>
      </c>
      <c r="O263">
        <v>20</v>
      </c>
      <c r="P263" t="s">
        <v>52</v>
      </c>
      <c r="Q263" s="1">
        <v>45828</v>
      </c>
      <c r="R263" t="s">
        <v>27</v>
      </c>
      <c r="S263" t="s">
        <v>28</v>
      </c>
    </row>
    <row r="264" spans="1:19" x14ac:dyDescent="0.25">
      <c r="A264" t="s">
        <v>53</v>
      </c>
      <c r="B264" t="s">
        <v>54</v>
      </c>
      <c r="C264">
        <v>5442438</v>
      </c>
      <c r="D264" t="s">
        <v>21</v>
      </c>
      <c r="E264">
        <v>1</v>
      </c>
      <c r="F264" t="s">
        <v>22</v>
      </c>
      <c r="G264" t="s">
        <v>629</v>
      </c>
      <c r="H264" t="s">
        <v>630</v>
      </c>
      <c r="I264" s="1">
        <v>45627</v>
      </c>
      <c r="J264" t="s">
        <v>33</v>
      </c>
      <c r="K264" s="2">
        <v>45778</v>
      </c>
      <c r="L264">
        <v>2</v>
      </c>
      <c r="M264">
        <v>20</v>
      </c>
      <c r="N264">
        <v>0</v>
      </c>
      <c r="O264">
        <v>20</v>
      </c>
      <c r="P264" t="s">
        <v>34</v>
      </c>
      <c r="Q264" s="1">
        <v>45828</v>
      </c>
      <c r="R264" t="s">
        <v>27</v>
      </c>
      <c r="S264" t="s">
        <v>28</v>
      </c>
    </row>
    <row r="265" spans="1:19" x14ac:dyDescent="0.25">
      <c r="A265" t="s">
        <v>290</v>
      </c>
      <c r="B265" t="s">
        <v>291</v>
      </c>
      <c r="C265">
        <v>21104854</v>
      </c>
      <c r="D265" t="s">
        <v>21</v>
      </c>
      <c r="E265">
        <v>1</v>
      </c>
      <c r="F265" t="s">
        <v>22</v>
      </c>
      <c r="G265" t="s">
        <v>631</v>
      </c>
      <c r="H265" t="s">
        <v>632</v>
      </c>
      <c r="I265" s="1">
        <v>45658</v>
      </c>
      <c r="J265" t="s">
        <v>51</v>
      </c>
      <c r="K265" s="2">
        <v>45778</v>
      </c>
      <c r="L265">
        <v>3</v>
      </c>
      <c r="M265">
        <v>60</v>
      </c>
      <c r="N265">
        <v>0</v>
      </c>
      <c r="O265">
        <v>60</v>
      </c>
      <c r="P265" t="s">
        <v>67</v>
      </c>
      <c r="Q265" s="1">
        <v>45828</v>
      </c>
      <c r="R265" t="s">
        <v>27</v>
      </c>
      <c r="S265" t="s">
        <v>28</v>
      </c>
    </row>
    <row r="266" spans="1:19" x14ac:dyDescent="0.25">
      <c r="A266" t="s">
        <v>35</v>
      </c>
      <c r="B266" t="s">
        <v>36</v>
      </c>
      <c r="C266">
        <v>9079571</v>
      </c>
      <c r="D266" t="s">
        <v>21</v>
      </c>
      <c r="E266">
        <v>1</v>
      </c>
      <c r="F266" t="s">
        <v>22</v>
      </c>
      <c r="G266" t="s">
        <v>633</v>
      </c>
      <c r="H266" t="s">
        <v>634</v>
      </c>
      <c r="I266" s="1">
        <v>44958</v>
      </c>
      <c r="J266" t="s">
        <v>286</v>
      </c>
      <c r="K266" s="2">
        <v>45778</v>
      </c>
      <c r="L266">
        <v>1</v>
      </c>
      <c r="M266">
        <v>20</v>
      </c>
      <c r="N266">
        <v>0</v>
      </c>
      <c r="O266">
        <v>20</v>
      </c>
      <c r="P266" t="s">
        <v>287</v>
      </c>
      <c r="Q266" s="1">
        <v>45828</v>
      </c>
      <c r="R266" t="s">
        <v>27</v>
      </c>
      <c r="S266" t="s">
        <v>28</v>
      </c>
    </row>
    <row r="267" spans="1:19" x14ac:dyDescent="0.25">
      <c r="A267" t="s">
        <v>113</v>
      </c>
      <c r="B267" t="s">
        <v>114</v>
      </c>
      <c r="C267">
        <v>19645587</v>
      </c>
      <c r="D267" t="s">
        <v>21</v>
      </c>
      <c r="E267">
        <v>1</v>
      </c>
      <c r="F267" t="s">
        <v>22</v>
      </c>
      <c r="G267" t="s">
        <v>635</v>
      </c>
      <c r="H267" t="s">
        <v>636</v>
      </c>
      <c r="I267" s="1">
        <v>45536</v>
      </c>
      <c r="J267" t="s">
        <v>43</v>
      </c>
      <c r="K267" s="2">
        <v>45778</v>
      </c>
      <c r="L267">
        <v>1</v>
      </c>
      <c r="M267">
        <v>25</v>
      </c>
      <c r="N267">
        <v>0</v>
      </c>
      <c r="O267">
        <v>25</v>
      </c>
      <c r="P267" t="s">
        <v>241</v>
      </c>
      <c r="Q267" s="1">
        <v>45828</v>
      </c>
      <c r="R267" t="s">
        <v>27</v>
      </c>
      <c r="S267" t="s">
        <v>28</v>
      </c>
    </row>
    <row r="268" spans="1:19" x14ac:dyDescent="0.25">
      <c r="A268" t="s">
        <v>163</v>
      </c>
      <c r="B268" t="s">
        <v>164</v>
      </c>
      <c r="C268">
        <v>19586992</v>
      </c>
      <c r="D268" t="s">
        <v>21</v>
      </c>
      <c r="E268">
        <v>1</v>
      </c>
      <c r="F268" t="s">
        <v>22</v>
      </c>
      <c r="G268" t="s">
        <v>637</v>
      </c>
      <c r="H268" t="s">
        <v>638</v>
      </c>
      <c r="I268" s="1">
        <v>45778</v>
      </c>
      <c r="J268" t="s">
        <v>51</v>
      </c>
      <c r="K268" s="2">
        <v>45778</v>
      </c>
      <c r="L268">
        <v>1</v>
      </c>
      <c r="M268">
        <v>20</v>
      </c>
      <c r="N268">
        <v>0</v>
      </c>
      <c r="O268">
        <v>20</v>
      </c>
      <c r="P268" t="s">
        <v>67</v>
      </c>
      <c r="Q268" s="1">
        <v>45828</v>
      </c>
      <c r="R268" t="s">
        <v>27</v>
      </c>
      <c r="S268" t="s">
        <v>28</v>
      </c>
    </row>
    <row r="269" spans="1:19" x14ac:dyDescent="0.25">
      <c r="A269" t="s">
        <v>117</v>
      </c>
      <c r="B269" t="s">
        <v>118</v>
      </c>
      <c r="C269">
        <v>371819</v>
      </c>
      <c r="D269" t="s">
        <v>21</v>
      </c>
      <c r="E269">
        <v>1</v>
      </c>
      <c r="F269" t="s">
        <v>22</v>
      </c>
      <c r="G269" t="s">
        <v>639</v>
      </c>
      <c r="H269" t="s">
        <v>640</v>
      </c>
      <c r="I269" s="1">
        <v>45292</v>
      </c>
      <c r="J269" t="s">
        <v>80</v>
      </c>
      <c r="K269" s="2">
        <v>45778</v>
      </c>
      <c r="L269">
        <v>1</v>
      </c>
      <c r="M269">
        <v>20</v>
      </c>
      <c r="N269">
        <v>0</v>
      </c>
      <c r="O269">
        <v>20</v>
      </c>
      <c r="P269" t="s">
        <v>81</v>
      </c>
      <c r="Q269" s="1">
        <v>45828</v>
      </c>
      <c r="R269" t="s">
        <v>27</v>
      </c>
      <c r="S269" t="s">
        <v>28</v>
      </c>
    </row>
    <row r="270" spans="1:19" x14ac:dyDescent="0.25">
      <c r="A270" t="s">
        <v>70</v>
      </c>
      <c r="B270" t="s">
        <v>71</v>
      </c>
      <c r="C270">
        <v>16633294</v>
      </c>
      <c r="D270" t="s">
        <v>21</v>
      </c>
      <c r="E270">
        <v>1</v>
      </c>
      <c r="F270" t="s">
        <v>22</v>
      </c>
      <c r="G270" t="s">
        <v>641</v>
      </c>
      <c r="H270" t="s">
        <v>642</v>
      </c>
      <c r="I270" s="1">
        <v>45658</v>
      </c>
      <c r="J270" t="s">
        <v>51</v>
      </c>
      <c r="K270" s="2">
        <v>45778</v>
      </c>
      <c r="L270">
        <v>1</v>
      </c>
      <c r="M270">
        <v>20</v>
      </c>
      <c r="N270">
        <v>0</v>
      </c>
      <c r="O270">
        <v>20</v>
      </c>
      <c r="P270" t="s">
        <v>67</v>
      </c>
      <c r="Q270" s="1">
        <v>45828</v>
      </c>
      <c r="R270" t="s">
        <v>27</v>
      </c>
      <c r="S270" t="s">
        <v>28</v>
      </c>
    </row>
    <row r="271" spans="1:19" x14ac:dyDescent="0.25">
      <c r="A271" t="s">
        <v>29</v>
      </c>
      <c r="B271" t="s">
        <v>30</v>
      </c>
      <c r="C271">
        <v>16202925</v>
      </c>
      <c r="D271" t="s">
        <v>21</v>
      </c>
      <c r="E271">
        <v>1</v>
      </c>
      <c r="F271" t="s">
        <v>22</v>
      </c>
      <c r="G271" t="s">
        <v>643</v>
      </c>
      <c r="H271" t="s">
        <v>644</v>
      </c>
      <c r="I271" s="1">
        <v>45536</v>
      </c>
      <c r="J271" t="s">
        <v>33</v>
      </c>
      <c r="K271" s="2">
        <v>45778</v>
      </c>
      <c r="L271">
        <v>1</v>
      </c>
      <c r="M271">
        <v>10</v>
      </c>
      <c r="N271">
        <v>0</v>
      </c>
      <c r="O271">
        <v>10</v>
      </c>
      <c r="P271" t="s">
        <v>34</v>
      </c>
      <c r="Q271" s="1">
        <v>45828</v>
      </c>
      <c r="R271" t="s">
        <v>27</v>
      </c>
      <c r="S271" t="s">
        <v>28</v>
      </c>
    </row>
    <row r="272" spans="1:19" x14ac:dyDescent="0.25">
      <c r="A272" t="s">
        <v>29</v>
      </c>
      <c r="B272" t="s">
        <v>30</v>
      </c>
      <c r="C272">
        <v>16202925</v>
      </c>
      <c r="D272" t="s">
        <v>21</v>
      </c>
      <c r="E272">
        <v>1</v>
      </c>
      <c r="F272" t="s">
        <v>22</v>
      </c>
      <c r="G272" t="s">
        <v>645</v>
      </c>
      <c r="H272" t="s">
        <v>646</v>
      </c>
      <c r="I272" s="1">
        <v>45778</v>
      </c>
      <c r="J272" t="s">
        <v>25</v>
      </c>
      <c r="K272" s="2">
        <v>45778</v>
      </c>
      <c r="L272">
        <v>1</v>
      </c>
      <c r="M272">
        <v>20</v>
      </c>
      <c r="N272">
        <v>0</v>
      </c>
      <c r="O272">
        <v>20</v>
      </c>
      <c r="P272" t="s">
        <v>74</v>
      </c>
      <c r="Q272" s="1">
        <v>45828</v>
      </c>
      <c r="R272" t="s">
        <v>27</v>
      </c>
      <c r="S272" t="s">
        <v>28</v>
      </c>
    </row>
    <row r="273" spans="1:19" x14ac:dyDescent="0.25">
      <c r="A273" t="s">
        <v>514</v>
      </c>
      <c r="B273" t="s">
        <v>515</v>
      </c>
      <c r="C273">
        <v>18201929</v>
      </c>
      <c r="D273" t="s">
        <v>21</v>
      </c>
      <c r="E273">
        <v>1</v>
      </c>
      <c r="F273" t="s">
        <v>22</v>
      </c>
      <c r="G273" t="s">
        <v>647</v>
      </c>
      <c r="H273" t="s">
        <v>648</v>
      </c>
      <c r="I273" s="1">
        <v>45748</v>
      </c>
      <c r="J273" t="s">
        <v>51</v>
      </c>
      <c r="K273" s="2">
        <v>45778</v>
      </c>
      <c r="L273">
        <v>1</v>
      </c>
      <c r="M273">
        <v>20</v>
      </c>
      <c r="N273">
        <v>0</v>
      </c>
      <c r="O273">
        <v>20</v>
      </c>
      <c r="P273" t="s">
        <v>67</v>
      </c>
      <c r="Q273" s="1">
        <v>45828</v>
      </c>
      <c r="R273" t="s">
        <v>27</v>
      </c>
      <c r="S273" t="s">
        <v>28</v>
      </c>
    </row>
    <row r="274" spans="1:19" x14ac:dyDescent="0.25">
      <c r="A274" t="s">
        <v>101</v>
      </c>
      <c r="B274" t="s">
        <v>102</v>
      </c>
      <c r="C274">
        <v>8307933</v>
      </c>
      <c r="D274" t="s">
        <v>21</v>
      </c>
      <c r="E274">
        <v>1</v>
      </c>
      <c r="F274" t="s">
        <v>22</v>
      </c>
      <c r="G274" t="s">
        <v>649</v>
      </c>
      <c r="H274" t="s">
        <v>650</v>
      </c>
      <c r="I274" s="1">
        <v>44927</v>
      </c>
      <c r="J274" t="s">
        <v>155</v>
      </c>
      <c r="K274" s="2">
        <v>45778</v>
      </c>
      <c r="L274">
        <v>1</v>
      </c>
      <c r="M274">
        <v>20</v>
      </c>
      <c r="N274">
        <v>0</v>
      </c>
      <c r="O274">
        <v>20</v>
      </c>
      <c r="P274" t="s">
        <v>156</v>
      </c>
      <c r="Q274" s="1">
        <v>45828</v>
      </c>
      <c r="R274" t="s">
        <v>27</v>
      </c>
      <c r="S274" t="s">
        <v>28</v>
      </c>
    </row>
    <row r="275" spans="1:19" x14ac:dyDescent="0.25">
      <c r="A275" t="s">
        <v>35</v>
      </c>
      <c r="B275" t="s">
        <v>36</v>
      </c>
      <c r="C275">
        <v>9079571</v>
      </c>
      <c r="D275" t="s">
        <v>21</v>
      </c>
      <c r="E275">
        <v>1</v>
      </c>
      <c r="F275" t="s">
        <v>22</v>
      </c>
      <c r="G275" t="s">
        <v>651</v>
      </c>
      <c r="H275" t="s">
        <v>652</v>
      </c>
      <c r="I275" s="1">
        <v>44927</v>
      </c>
      <c r="J275" t="s">
        <v>80</v>
      </c>
      <c r="K275" s="2">
        <v>45778</v>
      </c>
      <c r="L275">
        <v>1</v>
      </c>
      <c r="M275">
        <v>20</v>
      </c>
      <c r="N275">
        <v>0</v>
      </c>
      <c r="O275">
        <v>20</v>
      </c>
      <c r="P275" t="s">
        <v>188</v>
      </c>
      <c r="Q275" s="1">
        <v>45828</v>
      </c>
      <c r="R275" t="s">
        <v>27</v>
      </c>
      <c r="S275" t="s">
        <v>189</v>
      </c>
    </row>
    <row r="276" spans="1:19" x14ac:dyDescent="0.25">
      <c r="A276" t="s">
        <v>47</v>
      </c>
      <c r="B276" t="s">
        <v>48</v>
      </c>
      <c r="C276">
        <v>9213293</v>
      </c>
      <c r="D276" t="s">
        <v>21</v>
      </c>
      <c r="E276">
        <v>1</v>
      </c>
      <c r="F276" t="s">
        <v>22</v>
      </c>
      <c r="G276" t="s">
        <v>653</v>
      </c>
      <c r="H276" t="s">
        <v>654</v>
      </c>
      <c r="I276" s="1">
        <v>45658</v>
      </c>
      <c r="J276" t="s">
        <v>51</v>
      </c>
      <c r="K276" s="2">
        <v>45778</v>
      </c>
      <c r="L276">
        <v>1</v>
      </c>
      <c r="M276">
        <v>20</v>
      </c>
      <c r="N276">
        <v>0</v>
      </c>
      <c r="O276">
        <v>20</v>
      </c>
      <c r="P276" t="s">
        <v>67</v>
      </c>
      <c r="Q276" s="1">
        <v>45828</v>
      </c>
      <c r="R276" t="s">
        <v>27</v>
      </c>
      <c r="S276" t="s">
        <v>28</v>
      </c>
    </row>
    <row r="277" spans="1:19" x14ac:dyDescent="0.25">
      <c r="A277" t="s">
        <v>101</v>
      </c>
      <c r="B277" t="s">
        <v>102</v>
      </c>
      <c r="C277">
        <v>8307933</v>
      </c>
      <c r="D277" t="s">
        <v>21</v>
      </c>
      <c r="E277">
        <v>1</v>
      </c>
      <c r="F277" t="s">
        <v>22</v>
      </c>
      <c r="G277" t="s">
        <v>655</v>
      </c>
      <c r="H277" t="s">
        <v>656</v>
      </c>
      <c r="I277" s="1">
        <v>45292</v>
      </c>
      <c r="J277" t="s">
        <v>25</v>
      </c>
      <c r="K277" s="2">
        <v>45778</v>
      </c>
      <c r="L277">
        <v>1</v>
      </c>
      <c r="M277">
        <v>20</v>
      </c>
      <c r="N277">
        <v>0</v>
      </c>
      <c r="O277">
        <v>20</v>
      </c>
      <c r="P277" t="s">
        <v>26</v>
      </c>
      <c r="Q277" s="1">
        <v>45828</v>
      </c>
      <c r="R277" t="s">
        <v>27</v>
      </c>
      <c r="S277" t="s">
        <v>28</v>
      </c>
    </row>
    <row r="278" spans="1:19" x14ac:dyDescent="0.25">
      <c r="A278" t="s">
        <v>35</v>
      </c>
      <c r="B278" t="s">
        <v>36</v>
      </c>
      <c r="C278">
        <v>9079571</v>
      </c>
      <c r="D278" t="s">
        <v>21</v>
      </c>
      <c r="E278">
        <v>1</v>
      </c>
      <c r="F278" t="s">
        <v>22</v>
      </c>
      <c r="G278" t="s">
        <v>657</v>
      </c>
      <c r="H278" t="s">
        <v>658</v>
      </c>
      <c r="I278" s="1">
        <v>45413</v>
      </c>
      <c r="J278" t="s">
        <v>33</v>
      </c>
      <c r="K278" s="2">
        <v>45778</v>
      </c>
      <c r="L278">
        <v>1</v>
      </c>
      <c r="M278">
        <v>10</v>
      </c>
      <c r="N278">
        <v>0</v>
      </c>
      <c r="O278">
        <v>10</v>
      </c>
      <c r="P278" t="s">
        <v>34</v>
      </c>
      <c r="Q278" s="1">
        <v>45828</v>
      </c>
      <c r="R278" t="s">
        <v>27</v>
      </c>
      <c r="S278" t="s">
        <v>28</v>
      </c>
    </row>
    <row r="279" spans="1:19" x14ac:dyDescent="0.25">
      <c r="A279" t="s">
        <v>35</v>
      </c>
      <c r="B279" t="s">
        <v>36</v>
      </c>
      <c r="C279">
        <v>9079571</v>
      </c>
      <c r="D279" t="s">
        <v>21</v>
      </c>
      <c r="E279">
        <v>1</v>
      </c>
      <c r="F279" t="s">
        <v>22</v>
      </c>
      <c r="G279" t="s">
        <v>659</v>
      </c>
      <c r="H279" t="s">
        <v>660</v>
      </c>
      <c r="I279" s="1">
        <v>45413</v>
      </c>
      <c r="J279" t="s">
        <v>33</v>
      </c>
      <c r="K279" s="2">
        <v>45778</v>
      </c>
      <c r="L279">
        <v>2</v>
      </c>
      <c r="M279">
        <v>20</v>
      </c>
      <c r="N279">
        <v>0</v>
      </c>
      <c r="O279">
        <v>20</v>
      </c>
      <c r="P279" t="s">
        <v>34</v>
      </c>
      <c r="Q279" s="1">
        <v>45828</v>
      </c>
      <c r="R279" t="s">
        <v>27</v>
      </c>
      <c r="S279" t="s">
        <v>28</v>
      </c>
    </row>
    <row r="280" spans="1:19" x14ac:dyDescent="0.25">
      <c r="A280" t="s">
        <v>35</v>
      </c>
      <c r="B280" t="s">
        <v>36</v>
      </c>
      <c r="C280">
        <v>9079571</v>
      </c>
      <c r="D280" t="s">
        <v>21</v>
      </c>
      <c r="E280">
        <v>1</v>
      </c>
      <c r="F280" t="s">
        <v>22</v>
      </c>
      <c r="G280" t="s">
        <v>661</v>
      </c>
      <c r="H280" t="s">
        <v>662</v>
      </c>
      <c r="I280" s="1">
        <v>45444</v>
      </c>
      <c r="J280" t="s">
        <v>33</v>
      </c>
      <c r="K280" s="2">
        <v>45778</v>
      </c>
      <c r="L280">
        <v>1</v>
      </c>
      <c r="M280">
        <v>10</v>
      </c>
      <c r="N280">
        <v>0</v>
      </c>
      <c r="O280">
        <v>10</v>
      </c>
      <c r="P280" t="s">
        <v>34</v>
      </c>
      <c r="Q280" s="1">
        <v>45828</v>
      </c>
      <c r="R280" t="s">
        <v>27</v>
      </c>
      <c r="S280" t="s">
        <v>28</v>
      </c>
    </row>
    <row r="281" spans="1:19" x14ac:dyDescent="0.25">
      <c r="A281" t="s">
        <v>93</v>
      </c>
      <c r="B281" t="s">
        <v>94</v>
      </c>
      <c r="C281">
        <v>18754354</v>
      </c>
      <c r="D281" t="s">
        <v>21</v>
      </c>
      <c r="E281">
        <v>1</v>
      </c>
      <c r="F281" t="s">
        <v>22</v>
      </c>
      <c r="G281" t="s">
        <v>663</v>
      </c>
      <c r="H281" t="s">
        <v>664</v>
      </c>
      <c r="I281" s="1">
        <v>45292</v>
      </c>
      <c r="J281" t="s">
        <v>51</v>
      </c>
      <c r="K281" s="2">
        <v>45778</v>
      </c>
      <c r="L281">
        <v>1</v>
      </c>
      <c r="M281">
        <v>20</v>
      </c>
      <c r="N281">
        <v>0</v>
      </c>
      <c r="O281">
        <v>20</v>
      </c>
      <c r="P281" t="s">
        <v>52</v>
      </c>
      <c r="Q281" s="1">
        <v>45828</v>
      </c>
      <c r="R281" t="s">
        <v>27</v>
      </c>
      <c r="S281" t="s">
        <v>28</v>
      </c>
    </row>
    <row r="282" spans="1:19" x14ac:dyDescent="0.25">
      <c r="A282" t="s">
        <v>258</v>
      </c>
      <c r="B282" t="s">
        <v>259</v>
      </c>
      <c r="C282">
        <v>8325282</v>
      </c>
      <c r="D282" t="s">
        <v>21</v>
      </c>
      <c r="E282">
        <v>1</v>
      </c>
      <c r="F282" t="s">
        <v>22</v>
      </c>
      <c r="G282" t="s">
        <v>665</v>
      </c>
      <c r="H282" t="s">
        <v>666</v>
      </c>
      <c r="I282" s="1">
        <v>45689</v>
      </c>
      <c r="J282" t="s">
        <v>51</v>
      </c>
      <c r="K282" s="2">
        <v>45778</v>
      </c>
      <c r="L282">
        <v>1</v>
      </c>
      <c r="M282">
        <v>20</v>
      </c>
      <c r="N282">
        <v>0</v>
      </c>
      <c r="O282">
        <v>20</v>
      </c>
      <c r="P282" t="s">
        <v>67</v>
      </c>
      <c r="Q282" s="1">
        <v>45828</v>
      </c>
      <c r="R282" t="s">
        <v>27</v>
      </c>
      <c r="S282" t="s">
        <v>28</v>
      </c>
    </row>
    <row r="283" spans="1:19" x14ac:dyDescent="0.25">
      <c r="A283" t="s">
        <v>258</v>
      </c>
      <c r="B283" t="s">
        <v>259</v>
      </c>
      <c r="C283">
        <v>8325282</v>
      </c>
      <c r="D283" t="s">
        <v>21</v>
      </c>
      <c r="E283">
        <v>1</v>
      </c>
      <c r="F283" t="s">
        <v>22</v>
      </c>
      <c r="G283" t="s">
        <v>667</v>
      </c>
      <c r="H283" t="s">
        <v>668</v>
      </c>
      <c r="I283" s="1">
        <v>45566</v>
      </c>
      <c r="J283" t="s">
        <v>51</v>
      </c>
      <c r="K283" s="2">
        <v>45689</v>
      </c>
      <c r="L283">
        <v>1</v>
      </c>
      <c r="M283">
        <v>20</v>
      </c>
      <c r="N283">
        <v>0</v>
      </c>
      <c r="O283">
        <v>20</v>
      </c>
      <c r="P283" t="s">
        <v>67</v>
      </c>
      <c r="Q283" s="1">
        <v>45828</v>
      </c>
      <c r="R283" t="s">
        <v>27</v>
      </c>
      <c r="S283" t="s">
        <v>28</v>
      </c>
    </row>
    <row r="284" spans="1:19" x14ac:dyDescent="0.25">
      <c r="A284" t="s">
        <v>258</v>
      </c>
      <c r="B284" t="s">
        <v>259</v>
      </c>
      <c r="C284">
        <v>8325282</v>
      </c>
      <c r="D284" t="s">
        <v>21</v>
      </c>
      <c r="E284">
        <v>1</v>
      </c>
      <c r="F284" t="s">
        <v>22</v>
      </c>
      <c r="G284" t="s">
        <v>667</v>
      </c>
      <c r="H284" t="s">
        <v>668</v>
      </c>
      <c r="I284" s="1">
        <v>45566</v>
      </c>
      <c r="J284" t="s">
        <v>51</v>
      </c>
      <c r="K284" s="2">
        <v>45717</v>
      </c>
      <c r="L284">
        <v>1</v>
      </c>
      <c r="M284">
        <v>20</v>
      </c>
      <c r="N284">
        <v>0</v>
      </c>
      <c r="O284">
        <v>20</v>
      </c>
      <c r="P284" t="s">
        <v>67</v>
      </c>
      <c r="Q284" s="1">
        <v>45828</v>
      </c>
      <c r="R284" t="s">
        <v>27</v>
      </c>
      <c r="S284" t="s">
        <v>28</v>
      </c>
    </row>
    <row r="285" spans="1:19" x14ac:dyDescent="0.25">
      <c r="A285" t="s">
        <v>258</v>
      </c>
      <c r="B285" t="s">
        <v>259</v>
      </c>
      <c r="C285">
        <v>8325282</v>
      </c>
      <c r="D285" t="s">
        <v>21</v>
      </c>
      <c r="E285">
        <v>1</v>
      </c>
      <c r="F285" t="s">
        <v>22</v>
      </c>
      <c r="G285" t="s">
        <v>667</v>
      </c>
      <c r="H285" t="s">
        <v>668</v>
      </c>
      <c r="I285" s="1">
        <v>45566</v>
      </c>
      <c r="J285" t="s">
        <v>51</v>
      </c>
      <c r="K285" s="2">
        <v>45748</v>
      </c>
      <c r="L285">
        <v>1</v>
      </c>
      <c r="M285">
        <v>20</v>
      </c>
      <c r="N285">
        <v>0</v>
      </c>
      <c r="O285">
        <v>20</v>
      </c>
      <c r="P285" t="s">
        <v>67</v>
      </c>
      <c r="Q285" s="1">
        <v>45828</v>
      </c>
      <c r="R285" t="s">
        <v>27</v>
      </c>
      <c r="S285" t="s">
        <v>28</v>
      </c>
    </row>
    <row r="286" spans="1:19" x14ac:dyDescent="0.25">
      <c r="A286" t="s">
        <v>258</v>
      </c>
      <c r="B286" t="s">
        <v>259</v>
      </c>
      <c r="C286">
        <v>8325282</v>
      </c>
      <c r="D286" t="s">
        <v>21</v>
      </c>
      <c r="E286">
        <v>1</v>
      </c>
      <c r="F286" t="s">
        <v>22</v>
      </c>
      <c r="G286" t="s">
        <v>667</v>
      </c>
      <c r="H286" t="s">
        <v>668</v>
      </c>
      <c r="I286" s="1">
        <v>45566</v>
      </c>
      <c r="J286" t="s">
        <v>51</v>
      </c>
      <c r="K286" s="2">
        <v>45778</v>
      </c>
      <c r="L286">
        <v>1</v>
      </c>
      <c r="M286">
        <v>20</v>
      </c>
      <c r="N286">
        <v>0</v>
      </c>
      <c r="O286">
        <v>20</v>
      </c>
      <c r="P286" t="s">
        <v>67</v>
      </c>
      <c r="Q286" s="1">
        <v>45828</v>
      </c>
      <c r="R286" t="s">
        <v>27</v>
      </c>
      <c r="S286" t="s">
        <v>28</v>
      </c>
    </row>
    <row r="287" spans="1:19" x14ac:dyDescent="0.25">
      <c r="A287" t="s">
        <v>174</v>
      </c>
      <c r="B287" t="s">
        <v>175</v>
      </c>
      <c r="C287">
        <v>8814784</v>
      </c>
      <c r="D287" t="s">
        <v>21</v>
      </c>
      <c r="E287">
        <v>1</v>
      </c>
      <c r="F287" t="s">
        <v>22</v>
      </c>
      <c r="G287" t="s">
        <v>669</v>
      </c>
      <c r="H287" t="s">
        <v>670</v>
      </c>
      <c r="I287" s="1">
        <v>45536</v>
      </c>
      <c r="J287" t="s">
        <v>51</v>
      </c>
      <c r="K287" s="2">
        <v>45778</v>
      </c>
      <c r="L287">
        <v>5</v>
      </c>
      <c r="M287">
        <v>100</v>
      </c>
      <c r="N287">
        <v>0</v>
      </c>
      <c r="O287">
        <v>100</v>
      </c>
      <c r="P287" t="s">
        <v>52</v>
      </c>
      <c r="Q287" s="1">
        <v>45828</v>
      </c>
      <c r="R287" t="s">
        <v>27</v>
      </c>
      <c r="S287" t="s">
        <v>28</v>
      </c>
    </row>
    <row r="288" spans="1:19" x14ac:dyDescent="0.25">
      <c r="A288" t="s">
        <v>671</v>
      </c>
      <c r="B288" t="s">
        <v>672</v>
      </c>
      <c r="C288">
        <v>17425766</v>
      </c>
      <c r="D288" t="s">
        <v>21</v>
      </c>
      <c r="E288">
        <v>1</v>
      </c>
      <c r="F288" t="s">
        <v>22</v>
      </c>
      <c r="G288" t="s">
        <v>673</v>
      </c>
      <c r="H288" t="s">
        <v>674</v>
      </c>
      <c r="I288" s="1">
        <v>44927</v>
      </c>
      <c r="J288" t="s">
        <v>43</v>
      </c>
      <c r="K288" s="2">
        <v>45778</v>
      </c>
      <c r="L288">
        <v>2</v>
      </c>
      <c r="M288">
        <v>50</v>
      </c>
      <c r="N288">
        <v>0</v>
      </c>
      <c r="O288">
        <v>50</v>
      </c>
      <c r="P288" t="s">
        <v>44</v>
      </c>
      <c r="Q288" s="1">
        <v>45828</v>
      </c>
      <c r="R288" t="s">
        <v>27</v>
      </c>
      <c r="S288" t="s">
        <v>28</v>
      </c>
    </row>
    <row r="289" spans="1:19" x14ac:dyDescent="0.25">
      <c r="A289" t="s">
        <v>127</v>
      </c>
      <c r="B289" t="s">
        <v>128</v>
      </c>
      <c r="C289">
        <v>7470776</v>
      </c>
      <c r="D289" t="s">
        <v>21</v>
      </c>
      <c r="E289">
        <v>1</v>
      </c>
      <c r="F289" t="s">
        <v>22</v>
      </c>
      <c r="G289" t="s">
        <v>675</v>
      </c>
      <c r="H289" t="s">
        <v>676</v>
      </c>
      <c r="I289" s="1">
        <v>45627</v>
      </c>
      <c r="J289" t="s">
        <v>51</v>
      </c>
      <c r="K289" s="2">
        <v>45778</v>
      </c>
      <c r="L289">
        <v>4</v>
      </c>
      <c r="M289">
        <v>80</v>
      </c>
      <c r="N289">
        <v>0</v>
      </c>
      <c r="O289">
        <v>80</v>
      </c>
      <c r="P289" t="s">
        <v>52</v>
      </c>
      <c r="Q289" s="1">
        <v>45828</v>
      </c>
      <c r="R289" t="s">
        <v>27</v>
      </c>
      <c r="S289" t="s">
        <v>28</v>
      </c>
    </row>
    <row r="290" spans="1:19" x14ac:dyDescent="0.25">
      <c r="A290" t="s">
        <v>514</v>
      </c>
      <c r="B290" t="s">
        <v>515</v>
      </c>
      <c r="C290">
        <v>18201929</v>
      </c>
      <c r="D290" t="s">
        <v>21</v>
      </c>
      <c r="E290">
        <v>1</v>
      </c>
      <c r="F290" t="s">
        <v>22</v>
      </c>
      <c r="G290" t="s">
        <v>677</v>
      </c>
      <c r="H290" t="s">
        <v>678</v>
      </c>
      <c r="I290" s="1">
        <v>45292</v>
      </c>
      <c r="J290" t="s">
        <v>51</v>
      </c>
      <c r="K290" s="2">
        <v>45778</v>
      </c>
      <c r="L290">
        <v>1</v>
      </c>
      <c r="M290">
        <v>20</v>
      </c>
      <c r="N290">
        <v>0</v>
      </c>
      <c r="O290">
        <v>20</v>
      </c>
      <c r="P290" t="s">
        <v>52</v>
      </c>
      <c r="Q290" s="1">
        <v>45828</v>
      </c>
      <c r="R290" t="s">
        <v>27</v>
      </c>
      <c r="S290" t="s">
        <v>28</v>
      </c>
    </row>
    <row r="291" spans="1:19" x14ac:dyDescent="0.25">
      <c r="A291" t="s">
        <v>47</v>
      </c>
      <c r="B291" t="s">
        <v>48</v>
      </c>
      <c r="C291">
        <v>9213293</v>
      </c>
      <c r="D291" t="s">
        <v>21</v>
      </c>
      <c r="E291">
        <v>1</v>
      </c>
      <c r="F291" t="s">
        <v>22</v>
      </c>
      <c r="G291" t="s">
        <v>679</v>
      </c>
      <c r="H291" t="s">
        <v>680</v>
      </c>
      <c r="I291" s="1">
        <v>45778</v>
      </c>
      <c r="J291" t="s">
        <v>51</v>
      </c>
      <c r="K291" s="2">
        <v>45778</v>
      </c>
      <c r="L291">
        <v>1</v>
      </c>
      <c r="M291">
        <v>20</v>
      </c>
      <c r="N291">
        <v>0</v>
      </c>
      <c r="O291">
        <v>20</v>
      </c>
      <c r="P291" t="s">
        <v>67</v>
      </c>
      <c r="Q291" s="1">
        <v>45828</v>
      </c>
      <c r="R291" t="s">
        <v>27</v>
      </c>
      <c r="S291" t="s">
        <v>28</v>
      </c>
    </row>
    <row r="292" spans="1:19" x14ac:dyDescent="0.25">
      <c r="A292" t="s">
        <v>63</v>
      </c>
      <c r="B292" t="s">
        <v>64</v>
      </c>
      <c r="C292">
        <v>14177521</v>
      </c>
      <c r="D292" t="s">
        <v>21</v>
      </c>
      <c r="E292">
        <v>1</v>
      </c>
      <c r="F292" t="s">
        <v>22</v>
      </c>
      <c r="G292" t="s">
        <v>681</v>
      </c>
      <c r="H292" t="s">
        <v>682</v>
      </c>
      <c r="I292" s="1">
        <v>45292</v>
      </c>
      <c r="J292" t="s">
        <v>51</v>
      </c>
      <c r="K292" s="2">
        <v>45778</v>
      </c>
      <c r="L292">
        <v>1</v>
      </c>
      <c r="M292">
        <v>20</v>
      </c>
      <c r="N292">
        <v>0</v>
      </c>
      <c r="O292">
        <v>20</v>
      </c>
      <c r="P292" t="s">
        <v>52</v>
      </c>
      <c r="Q292" s="1">
        <v>45828</v>
      </c>
      <c r="R292" t="s">
        <v>27</v>
      </c>
      <c r="S292" t="s">
        <v>28</v>
      </c>
    </row>
    <row r="293" spans="1:19" x14ac:dyDescent="0.25">
      <c r="A293" t="s">
        <v>35</v>
      </c>
      <c r="B293" t="s">
        <v>36</v>
      </c>
      <c r="C293">
        <v>9079571</v>
      </c>
      <c r="D293" t="s">
        <v>21</v>
      </c>
      <c r="E293">
        <v>1</v>
      </c>
      <c r="F293" t="s">
        <v>22</v>
      </c>
      <c r="G293" t="s">
        <v>683</v>
      </c>
      <c r="H293" t="s">
        <v>684</v>
      </c>
      <c r="I293" s="1">
        <v>45323</v>
      </c>
      <c r="J293" t="s">
        <v>33</v>
      </c>
      <c r="K293" s="2">
        <v>45778</v>
      </c>
      <c r="L293">
        <v>1</v>
      </c>
      <c r="M293">
        <v>10</v>
      </c>
      <c r="N293">
        <v>0</v>
      </c>
      <c r="O293">
        <v>10</v>
      </c>
      <c r="P293" t="s">
        <v>34</v>
      </c>
      <c r="Q293" s="1">
        <v>45828</v>
      </c>
      <c r="R293" t="s">
        <v>27</v>
      </c>
      <c r="S293" t="s">
        <v>28</v>
      </c>
    </row>
    <row r="294" spans="1:19" x14ac:dyDescent="0.25">
      <c r="A294" t="s">
        <v>225</v>
      </c>
      <c r="B294" t="s">
        <v>226</v>
      </c>
      <c r="C294">
        <v>7387433</v>
      </c>
      <c r="D294" t="s">
        <v>21</v>
      </c>
      <c r="E294">
        <v>1</v>
      </c>
      <c r="F294" t="s">
        <v>22</v>
      </c>
      <c r="G294" t="s">
        <v>685</v>
      </c>
      <c r="H294" t="s">
        <v>686</v>
      </c>
      <c r="I294" s="1">
        <v>45566</v>
      </c>
      <c r="J294" t="s">
        <v>33</v>
      </c>
      <c r="K294" s="2">
        <v>45778</v>
      </c>
      <c r="L294">
        <v>2</v>
      </c>
      <c r="M294">
        <v>20</v>
      </c>
      <c r="N294">
        <v>0</v>
      </c>
      <c r="O294">
        <v>20</v>
      </c>
      <c r="P294" t="s">
        <v>34</v>
      </c>
      <c r="Q294" s="1">
        <v>45828</v>
      </c>
      <c r="R294" t="s">
        <v>27</v>
      </c>
      <c r="S294" t="s">
        <v>28</v>
      </c>
    </row>
    <row r="295" spans="1:19" x14ac:dyDescent="0.25">
      <c r="A295" t="s">
        <v>117</v>
      </c>
      <c r="B295" t="s">
        <v>118</v>
      </c>
      <c r="C295">
        <v>371819</v>
      </c>
      <c r="D295" t="s">
        <v>21</v>
      </c>
      <c r="E295">
        <v>1</v>
      </c>
      <c r="F295" t="s">
        <v>22</v>
      </c>
      <c r="G295" t="s">
        <v>687</v>
      </c>
      <c r="H295" t="s">
        <v>688</v>
      </c>
      <c r="I295" s="1">
        <v>45536</v>
      </c>
      <c r="J295" t="s">
        <v>135</v>
      </c>
      <c r="K295" s="2">
        <v>45778</v>
      </c>
      <c r="L295">
        <v>2</v>
      </c>
      <c r="M295">
        <v>40</v>
      </c>
      <c r="N295">
        <v>0</v>
      </c>
      <c r="O295">
        <v>40</v>
      </c>
      <c r="P295" t="s">
        <v>136</v>
      </c>
      <c r="Q295" s="1">
        <v>45828</v>
      </c>
      <c r="R295" t="s">
        <v>27</v>
      </c>
      <c r="S295" t="s">
        <v>137</v>
      </c>
    </row>
    <row r="296" spans="1:19" x14ac:dyDescent="0.25">
      <c r="A296" t="s">
        <v>63</v>
      </c>
      <c r="B296" t="s">
        <v>64</v>
      </c>
      <c r="C296">
        <v>14177521</v>
      </c>
      <c r="D296" t="s">
        <v>21</v>
      </c>
      <c r="E296">
        <v>1</v>
      </c>
      <c r="F296" t="s">
        <v>22</v>
      </c>
      <c r="G296" t="s">
        <v>689</v>
      </c>
      <c r="H296" t="s">
        <v>690</v>
      </c>
      <c r="I296" s="1">
        <v>45658</v>
      </c>
      <c r="J296" t="s">
        <v>51</v>
      </c>
      <c r="K296" s="2">
        <v>45778</v>
      </c>
      <c r="L296">
        <v>1</v>
      </c>
      <c r="M296">
        <v>20</v>
      </c>
      <c r="N296">
        <v>0</v>
      </c>
      <c r="O296">
        <v>20</v>
      </c>
      <c r="P296" t="s">
        <v>67</v>
      </c>
      <c r="Q296" s="1">
        <v>45828</v>
      </c>
      <c r="R296" t="s">
        <v>27</v>
      </c>
      <c r="S296" t="s">
        <v>28</v>
      </c>
    </row>
    <row r="297" spans="1:19" x14ac:dyDescent="0.25">
      <c r="A297" t="s">
        <v>332</v>
      </c>
      <c r="B297" t="s">
        <v>333</v>
      </c>
      <c r="C297">
        <v>19279958</v>
      </c>
      <c r="D297" t="s">
        <v>21</v>
      </c>
      <c r="E297">
        <v>1</v>
      </c>
      <c r="F297" t="s">
        <v>22</v>
      </c>
      <c r="G297" t="s">
        <v>691</v>
      </c>
      <c r="H297" t="s">
        <v>692</v>
      </c>
      <c r="I297" s="1">
        <v>45566</v>
      </c>
      <c r="J297" t="s">
        <v>33</v>
      </c>
      <c r="K297" s="2">
        <v>45778</v>
      </c>
      <c r="L297">
        <v>1</v>
      </c>
      <c r="M297">
        <v>10</v>
      </c>
      <c r="N297">
        <v>0</v>
      </c>
      <c r="O297">
        <v>10</v>
      </c>
      <c r="P297" t="s">
        <v>34</v>
      </c>
      <c r="Q297" s="1">
        <v>45828</v>
      </c>
      <c r="R297" t="s">
        <v>27</v>
      </c>
      <c r="S297" t="s">
        <v>28</v>
      </c>
    </row>
    <row r="298" spans="1:19" x14ac:dyDescent="0.25">
      <c r="A298" t="s">
        <v>47</v>
      </c>
      <c r="B298" t="s">
        <v>48</v>
      </c>
      <c r="C298">
        <v>9213293</v>
      </c>
      <c r="D298" t="s">
        <v>21</v>
      </c>
      <c r="E298">
        <v>1</v>
      </c>
      <c r="F298" t="s">
        <v>22</v>
      </c>
      <c r="G298" t="s">
        <v>693</v>
      </c>
      <c r="H298" t="s">
        <v>694</v>
      </c>
      <c r="I298" s="1">
        <v>45413</v>
      </c>
      <c r="J298" t="s">
        <v>51</v>
      </c>
      <c r="K298" s="2">
        <v>45778</v>
      </c>
      <c r="L298">
        <v>1</v>
      </c>
      <c r="M298">
        <v>20</v>
      </c>
      <c r="N298">
        <v>0</v>
      </c>
      <c r="O298">
        <v>20</v>
      </c>
      <c r="P298" t="s">
        <v>52</v>
      </c>
      <c r="Q298" s="1">
        <v>45828</v>
      </c>
      <c r="R298" t="s">
        <v>27</v>
      </c>
      <c r="S298" t="s">
        <v>28</v>
      </c>
    </row>
    <row r="299" spans="1:19" x14ac:dyDescent="0.25">
      <c r="A299" t="s">
        <v>93</v>
      </c>
      <c r="B299" t="s">
        <v>94</v>
      </c>
      <c r="C299">
        <v>18754354</v>
      </c>
      <c r="D299" t="s">
        <v>21</v>
      </c>
      <c r="E299">
        <v>1</v>
      </c>
      <c r="F299" t="s">
        <v>22</v>
      </c>
      <c r="G299" t="s">
        <v>695</v>
      </c>
      <c r="H299" t="s">
        <v>696</v>
      </c>
      <c r="I299" s="1">
        <v>45658</v>
      </c>
      <c r="J299" t="s">
        <v>51</v>
      </c>
      <c r="K299" s="2">
        <v>45778</v>
      </c>
      <c r="L299">
        <v>2</v>
      </c>
      <c r="M299">
        <v>40</v>
      </c>
      <c r="N299">
        <v>0</v>
      </c>
      <c r="O299">
        <v>40</v>
      </c>
      <c r="P299" t="s">
        <v>67</v>
      </c>
      <c r="Q299" s="1">
        <v>45828</v>
      </c>
      <c r="R299" t="s">
        <v>27</v>
      </c>
      <c r="S299" t="s">
        <v>28</v>
      </c>
    </row>
    <row r="300" spans="1:19" x14ac:dyDescent="0.25">
      <c r="A300" t="s">
        <v>123</v>
      </c>
      <c r="B300" t="s">
        <v>124</v>
      </c>
      <c r="C300">
        <v>19200754</v>
      </c>
      <c r="D300" t="s">
        <v>21</v>
      </c>
      <c r="E300">
        <v>1</v>
      </c>
      <c r="F300" t="s">
        <v>22</v>
      </c>
      <c r="G300" t="s">
        <v>697</v>
      </c>
      <c r="H300" t="s">
        <v>698</v>
      </c>
      <c r="I300" s="1">
        <v>45292</v>
      </c>
      <c r="J300" t="s">
        <v>51</v>
      </c>
      <c r="K300" s="2">
        <v>45778</v>
      </c>
      <c r="L300">
        <v>1</v>
      </c>
      <c r="M300">
        <v>20</v>
      </c>
      <c r="N300">
        <v>0</v>
      </c>
      <c r="O300">
        <v>20</v>
      </c>
      <c r="P300" t="s">
        <v>52</v>
      </c>
      <c r="Q300" s="1">
        <v>45828</v>
      </c>
      <c r="R300" t="s">
        <v>27</v>
      </c>
      <c r="S300" t="s">
        <v>28</v>
      </c>
    </row>
    <row r="301" spans="1:19" x14ac:dyDescent="0.25">
      <c r="A301" t="s">
        <v>57</v>
      </c>
      <c r="B301" t="s">
        <v>58</v>
      </c>
      <c r="C301">
        <v>8977234</v>
      </c>
      <c r="D301" t="s">
        <v>21</v>
      </c>
      <c r="E301">
        <v>1</v>
      </c>
      <c r="F301" t="s">
        <v>22</v>
      </c>
      <c r="G301" t="s">
        <v>699</v>
      </c>
      <c r="H301" t="s">
        <v>700</v>
      </c>
      <c r="I301" s="1">
        <v>45536</v>
      </c>
      <c r="J301" t="s">
        <v>51</v>
      </c>
      <c r="K301" s="2">
        <v>45778</v>
      </c>
      <c r="L301">
        <v>1</v>
      </c>
      <c r="M301">
        <v>20</v>
      </c>
      <c r="N301">
        <v>0</v>
      </c>
      <c r="O301">
        <v>20</v>
      </c>
      <c r="P301" t="s">
        <v>52</v>
      </c>
      <c r="Q301" s="1">
        <v>45828</v>
      </c>
      <c r="R301" t="s">
        <v>27</v>
      </c>
      <c r="S301" t="s">
        <v>28</v>
      </c>
    </row>
    <row r="302" spans="1:19" x14ac:dyDescent="0.25">
      <c r="A302" t="s">
        <v>35</v>
      </c>
      <c r="B302" t="s">
        <v>36</v>
      </c>
      <c r="C302">
        <v>9079571</v>
      </c>
      <c r="D302" t="s">
        <v>21</v>
      </c>
      <c r="E302">
        <v>1</v>
      </c>
      <c r="F302" t="s">
        <v>22</v>
      </c>
      <c r="G302" t="s">
        <v>701</v>
      </c>
      <c r="H302" t="s">
        <v>702</v>
      </c>
      <c r="I302" s="1">
        <v>44927</v>
      </c>
      <c r="J302" t="s">
        <v>25</v>
      </c>
      <c r="K302" s="2">
        <v>45778</v>
      </c>
      <c r="L302">
        <v>1</v>
      </c>
      <c r="M302">
        <v>20</v>
      </c>
      <c r="N302">
        <v>0</v>
      </c>
      <c r="O302">
        <v>20</v>
      </c>
      <c r="P302" t="s">
        <v>26</v>
      </c>
      <c r="Q302" s="1">
        <v>45828</v>
      </c>
      <c r="R302" t="s">
        <v>27</v>
      </c>
      <c r="S302" t="s">
        <v>28</v>
      </c>
    </row>
    <row r="303" spans="1:19" x14ac:dyDescent="0.25">
      <c r="A303" t="s">
        <v>57</v>
      </c>
      <c r="B303" t="s">
        <v>58</v>
      </c>
      <c r="C303">
        <v>8977234</v>
      </c>
      <c r="D303" t="s">
        <v>21</v>
      </c>
      <c r="E303">
        <v>1</v>
      </c>
      <c r="F303" t="s">
        <v>22</v>
      </c>
      <c r="G303" t="s">
        <v>703</v>
      </c>
      <c r="H303" t="s">
        <v>704</v>
      </c>
      <c r="I303" s="1">
        <v>45778</v>
      </c>
      <c r="J303" t="s">
        <v>140</v>
      </c>
      <c r="K303" s="2">
        <v>45778</v>
      </c>
      <c r="L303">
        <v>1</v>
      </c>
      <c r="M303">
        <v>21</v>
      </c>
      <c r="N303">
        <v>0</v>
      </c>
      <c r="O303">
        <v>21</v>
      </c>
      <c r="P303" t="s">
        <v>141</v>
      </c>
      <c r="Q303" s="1">
        <v>45828</v>
      </c>
      <c r="R303" t="s">
        <v>27</v>
      </c>
      <c r="S303" t="s">
        <v>28</v>
      </c>
    </row>
    <row r="304" spans="1:19" x14ac:dyDescent="0.25">
      <c r="A304" t="s">
        <v>70</v>
      </c>
      <c r="B304" t="s">
        <v>71</v>
      </c>
      <c r="C304">
        <v>16633294</v>
      </c>
      <c r="D304" t="s">
        <v>21</v>
      </c>
      <c r="E304">
        <v>1</v>
      </c>
      <c r="F304" t="s">
        <v>22</v>
      </c>
      <c r="G304" t="s">
        <v>705</v>
      </c>
      <c r="H304" t="s">
        <v>706</v>
      </c>
      <c r="I304" s="1">
        <v>44927</v>
      </c>
      <c r="J304" t="s">
        <v>51</v>
      </c>
      <c r="K304" s="2">
        <v>45778</v>
      </c>
      <c r="L304">
        <v>1</v>
      </c>
      <c r="M304">
        <v>20</v>
      </c>
      <c r="N304">
        <v>0</v>
      </c>
      <c r="O304">
        <v>20</v>
      </c>
      <c r="P304" t="s">
        <v>52</v>
      </c>
      <c r="Q304" s="1">
        <v>45828</v>
      </c>
      <c r="R304" t="s">
        <v>27</v>
      </c>
      <c r="S304" t="s">
        <v>28</v>
      </c>
    </row>
    <row r="305" spans="1:19" x14ac:dyDescent="0.25">
      <c r="A305" t="s">
        <v>418</v>
      </c>
      <c r="B305" t="s">
        <v>419</v>
      </c>
      <c r="C305">
        <v>15278437</v>
      </c>
      <c r="D305" t="s">
        <v>21</v>
      </c>
      <c r="E305">
        <v>1</v>
      </c>
      <c r="F305" t="s">
        <v>22</v>
      </c>
      <c r="G305" t="s">
        <v>707</v>
      </c>
      <c r="H305" t="s">
        <v>708</v>
      </c>
      <c r="I305" s="1">
        <v>45658</v>
      </c>
      <c r="J305" t="s">
        <v>51</v>
      </c>
      <c r="K305" s="2">
        <v>45778</v>
      </c>
      <c r="L305">
        <v>1</v>
      </c>
      <c r="M305">
        <v>20</v>
      </c>
      <c r="N305">
        <v>0</v>
      </c>
      <c r="O305">
        <v>20</v>
      </c>
      <c r="P305" t="s">
        <v>67</v>
      </c>
      <c r="Q305" s="1">
        <v>45828</v>
      </c>
      <c r="R305" t="s">
        <v>27</v>
      </c>
      <c r="S305" t="s">
        <v>28</v>
      </c>
    </row>
    <row r="306" spans="1:19" x14ac:dyDescent="0.25">
      <c r="A306" t="s">
        <v>63</v>
      </c>
      <c r="B306" t="s">
        <v>64</v>
      </c>
      <c r="C306">
        <v>14177521</v>
      </c>
      <c r="D306" t="s">
        <v>21</v>
      </c>
      <c r="E306">
        <v>1</v>
      </c>
      <c r="F306" t="s">
        <v>22</v>
      </c>
      <c r="G306" t="s">
        <v>709</v>
      </c>
      <c r="H306" t="s">
        <v>710</v>
      </c>
      <c r="I306" s="1">
        <v>45292</v>
      </c>
      <c r="J306" t="s">
        <v>51</v>
      </c>
      <c r="K306" s="2">
        <v>45778</v>
      </c>
      <c r="L306">
        <v>1</v>
      </c>
      <c r="M306">
        <v>20</v>
      </c>
      <c r="N306">
        <v>0</v>
      </c>
      <c r="O306">
        <v>20</v>
      </c>
      <c r="P306" t="s">
        <v>52</v>
      </c>
      <c r="Q306" s="1">
        <v>45828</v>
      </c>
      <c r="R306" t="s">
        <v>27</v>
      </c>
      <c r="S306" t="s">
        <v>28</v>
      </c>
    </row>
    <row r="307" spans="1:19" x14ac:dyDescent="0.25">
      <c r="A307" t="s">
        <v>19</v>
      </c>
      <c r="B307" t="s">
        <v>20</v>
      </c>
      <c r="C307">
        <v>19681796</v>
      </c>
      <c r="D307" t="s">
        <v>21</v>
      </c>
      <c r="E307">
        <v>1</v>
      </c>
      <c r="F307" t="s">
        <v>22</v>
      </c>
      <c r="G307" t="s">
        <v>711</v>
      </c>
      <c r="H307" t="s">
        <v>712</v>
      </c>
      <c r="I307" s="1">
        <v>45444</v>
      </c>
      <c r="J307" t="s">
        <v>51</v>
      </c>
      <c r="K307" s="2">
        <v>45778</v>
      </c>
      <c r="L307">
        <v>1</v>
      </c>
      <c r="M307">
        <v>20</v>
      </c>
      <c r="N307">
        <v>0</v>
      </c>
      <c r="O307">
        <v>20</v>
      </c>
      <c r="P307" t="s">
        <v>52</v>
      </c>
      <c r="Q307" s="1">
        <v>45828</v>
      </c>
      <c r="R307" t="s">
        <v>27</v>
      </c>
      <c r="S307" t="s">
        <v>28</v>
      </c>
    </row>
    <row r="308" spans="1:19" x14ac:dyDescent="0.25">
      <c r="A308" t="s">
        <v>174</v>
      </c>
      <c r="B308" t="s">
        <v>175</v>
      </c>
      <c r="C308">
        <v>8814784</v>
      </c>
      <c r="D308" t="s">
        <v>21</v>
      </c>
      <c r="E308">
        <v>1</v>
      </c>
      <c r="F308" t="s">
        <v>22</v>
      </c>
      <c r="G308" t="s">
        <v>713</v>
      </c>
      <c r="H308" t="s">
        <v>714</v>
      </c>
      <c r="I308" s="1">
        <v>45292</v>
      </c>
      <c r="J308" t="s">
        <v>51</v>
      </c>
      <c r="K308" s="2">
        <v>45778</v>
      </c>
      <c r="L308">
        <v>2</v>
      </c>
      <c r="M308">
        <v>40</v>
      </c>
      <c r="N308">
        <v>0</v>
      </c>
      <c r="O308">
        <v>40</v>
      </c>
      <c r="P308" t="s">
        <v>52</v>
      </c>
      <c r="Q308" s="1">
        <v>45828</v>
      </c>
      <c r="R308" t="s">
        <v>27</v>
      </c>
      <c r="S308" t="s">
        <v>28</v>
      </c>
    </row>
    <row r="309" spans="1:19" x14ac:dyDescent="0.25">
      <c r="A309" t="s">
        <v>57</v>
      </c>
      <c r="B309" t="s">
        <v>58</v>
      </c>
      <c r="C309">
        <v>8977234</v>
      </c>
      <c r="D309" t="s">
        <v>21</v>
      </c>
      <c r="E309">
        <v>1</v>
      </c>
      <c r="F309" t="s">
        <v>22</v>
      </c>
      <c r="G309" t="s">
        <v>715</v>
      </c>
      <c r="H309" t="s">
        <v>716</v>
      </c>
      <c r="I309" s="1">
        <v>45292</v>
      </c>
      <c r="J309" t="s">
        <v>25</v>
      </c>
      <c r="K309" s="2">
        <v>45778</v>
      </c>
      <c r="L309">
        <v>1</v>
      </c>
      <c r="M309">
        <v>20</v>
      </c>
      <c r="N309">
        <v>0</v>
      </c>
      <c r="O309">
        <v>20</v>
      </c>
      <c r="P309" t="s">
        <v>26</v>
      </c>
      <c r="Q309" s="1">
        <v>45828</v>
      </c>
      <c r="R309" t="s">
        <v>27</v>
      </c>
      <c r="S309" t="s">
        <v>28</v>
      </c>
    </row>
    <row r="310" spans="1:19" x14ac:dyDescent="0.25">
      <c r="A310" t="s">
        <v>63</v>
      </c>
      <c r="B310" t="s">
        <v>64</v>
      </c>
      <c r="C310">
        <v>14177521</v>
      </c>
      <c r="D310" t="s">
        <v>21</v>
      </c>
      <c r="E310">
        <v>1</v>
      </c>
      <c r="F310" t="s">
        <v>22</v>
      </c>
      <c r="G310" t="s">
        <v>717</v>
      </c>
      <c r="H310" t="s">
        <v>718</v>
      </c>
      <c r="I310" s="1">
        <v>45323</v>
      </c>
      <c r="J310" t="s">
        <v>51</v>
      </c>
      <c r="K310" s="2">
        <v>45778</v>
      </c>
      <c r="L310">
        <v>1</v>
      </c>
      <c r="M310">
        <v>20</v>
      </c>
      <c r="N310">
        <v>0</v>
      </c>
      <c r="O310">
        <v>20</v>
      </c>
      <c r="P310" t="s">
        <v>67</v>
      </c>
      <c r="Q310" s="1">
        <v>45828</v>
      </c>
      <c r="R310" t="s">
        <v>27</v>
      </c>
      <c r="S310" t="s">
        <v>28</v>
      </c>
    </row>
    <row r="311" spans="1:19" x14ac:dyDescent="0.25">
      <c r="A311" t="s">
        <v>89</v>
      </c>
      <c r="B311" t="s">
        <v>90</v>
      </c>
      <c r="C311">
        <v>19396223</v>
      </c>
      <c r="D311" t="s">
        <v>21</v>
      </c>
      <c r="E311">
        <v>1</v>
      </c>
      <c r="F311" t="s">
        <v>22</v>
      </c>
      <c r="G311" t="s">
        <v>719</v>
      </c>
      <c r="H311" t="s">
        <v>720</v>
      </c>
      <c r="I311" s="1">
        <v>45689</v>
      </c>
      <c r="J311" t="s">
        <v>51</v>
      </c>
      <c r="K311" s="2">
        <v>45778</v>
      </c>
      <c r="L311">
        <v>1</v>
      </c>
      <c r="M311">
        <v>20</v>
      </c>
      <c r="N311">
        <v>0</v>
      </c>
      <c r="O311">
        <v>20</v>
      </c>
      <c r="P311" t="s">
        <v>67</v>
      </c>
      <c r="Q311" s="1">
        <v>45828</v>
      </c>
      <c r="R311" t="s">
        <v>27</v>
      </c>
      <c r="S311" t="s">
        <v>28</v>
      </c>
    </row>
    <row r="312" spans="1:19" x14ac:dyDescent="0.25">
      <c r="A312" t="s">
        <v>89</v>
      </c>
      <c r="B312" t="s">
        <v>90</v>
      </c>
      <c r="C312">
        <v>19396223</v>
      </c>
      <c r="D312" t="s">
        <v>21</v>
      </c>
      <c r="E312">
        <v>1</v>
      </c>
      <c r="F312" t="s">
        <v>22</v>
      </c>
      <c r="G312" t="s">
        <v>719</v>
      </c>
      <c r="H312" t="s">
        <v>720</v>
      </c>
      <c r="I312" s="1">
        <v>45689</v>
      </c>
      <c r="J312" t="s">
        <v>51</v>
      </c>
      <c r="K312" s="2">
        <v>45748</v>
      </c>
      <c r="L312">
        <v>1</v>
      </c>
      <c r="M312">
        <v>20</v>
      </c>
      <c r="N312">
        <v>0</v>
      </c>
      <c r="O312">
        <v>20</v>
      </c>
      <c r="P312" t="s">
        <v>67</v>
      </c>
      <c r="Q312" s="1">
        <v>45828</v>
      </c>
      <c r="R312" t="s">
        <v>27</v>
      </c>
      <c r="S312" t="s">
        <v>28</v>
      </c>
    </row>
    <row r="313" spans="1:19" x14ac:dyDescent="0.25">
      <c r="A313" t="s">
        <v>89</v>
      </c>
      <c r="B313" t="s">
        <v>90</v>
      </c>
      <c r="C313">
        <v>19396223</v>
      </c>
      <c r="D313" t="s">
        <v>21</v>
      </c>
      <c r="E313">
        <v>1</v>
      </c>
      <c r="F313" t="s">
        <v>22</v>
      </c>
      <c r="G313" t="s">
        <v>719</v>
      </c>
      <c r="H313" t="s">
        <v>720</v>
      </c>
      <c r="I313" s="1">
        <v>45689</v>
      </c>
      <c r="J313" t="s">
        <v>51</v>
      </c>
      <c r="K313" s="2">
        <v>45717</v>
      </c>
      <c r="L313">
        <v>1</v>
      </c>
      <c r="M313">
        <v>20</v>
      </c>
      <c r="N313">
        <v>0</v>
      </c>
      <c r="O313">
        <v>20</v>
      </c>
      <c r="P313" t="s">
        <v>67</v>
      </c>
      <c r="Q313" s="1">
        <v>45828</v>
      </c>
      <c r="R313" t="s">
        <v>27</v>
      </c>
      <c r="S313" t="s">
        <v>28</v>
      </c>
    </row>
    <row r="314" spans="1:19" x14ac:dyDescent="0.25">
      <c r="A314" t="s">
        <v>35</v>
      </c>
      <c r="B314" t="s">
        <v>36</v>
      </c>
      <c r="C314">
        <v>9079571</v>
      </c>
      <c r="D314" t="s">
        <v>21</v>
      </c>
      <c r="E314">
        <v>1</v>
      </c>
      <c r="F314" t="s">
        <v>22</v>
      </c>
      <c r="G314" t="s">
        <v>721</v>
      </c>
      <c r="H314" t="s">
        <v>722</v>
      </c>
      <c r="I314" s="1">
        <v>45444</v>
      </c>
      <c r="J314" t="s">
        <v>33</v>
      </c>
      <c r="K314" s="2">
        <v>45778</v>
      </c>
      <c r="L314">
        <v>1</v>
      </c>
      <c r="M314">
        <v>10</v>
      </c>
      <c r="N314">
        <v>0</v>
      </c>
      <c r="O314">
        <v>10</v>
      </c>
      <c r="P314" t="s">
        <v>34</v>
      </c>
      <c r="Q314" s="1">
        <v>45828</v>
      </c>
      <c r="R314" t="s">
        <v>27</v>
      </c>
      <c r="S314" t="s">
        <v>28</v>
      </c>
    </row>
    <row r="315" spans="1:19" x14ac:dyDescent="0.25">
      <c r="A315" t="s">
        <v>163</v>
      </c>
      <c r="B315" t="s">
        <v>164</v>
      </c>
      <c r="C315">
        <v>19586992</v>
      </c>
      <c r="D315" t="s">
        <v>21</v>
      </c>
      <c r="E315">
        <v>1</v>
      </c>
      <c r="F315" t="s">
        <v>22</v>
      </c>
      <c r="G315" t="s">
        <v>723</v>
      </c>
      <c r="H315" t="s">
        <v>724</v>
      </c>
      <c r="I315" s="1">
        <v>45658</v>
      </c>
      <c r="J315" t="s">
        <v>51</v>
      </c>
      <c r="K315" s="2">
        <v>45778</v>
      </c>
      <c r="L315">
        <v>1</v>
      </c>
      <c r="M315">
        <v>20</v>
      </c>
      <c r="N315">
        <v>0</v>
      </c>
      <c r="O315">
        <v>20</v>
      </c>
      <c r="P315" t="s">
        <v>67</v>
      </c>
      <c r="Q315" s="1">
        <v>45828</v>
      </c>
      <c r="R315" t="s">
        <v>27</v>
      </c>
      <c r="S315" t="s">
        <v>28</v>
      </c>
    </row>
    <row r="316" spans="1:19" x14ac:dyDescent="0.25">
      <c r="A316" t="s">
        <v>93</v>
      </c>
      <c r="B316" t="s">
        <v>94</v>
      </c>
      <c r="C316">
        <v>18754354</v>
      </c>
      <c r="D316" t="s">
        <v>21</v>
      </c>
      <c r="E316">
        <v>1</v>
      </c>
      <c r="F316" t="s">
        <v>22</v>
      </c>
      <c r="G316" t="s">
        <v>725</v>
      </c>
      <c r="H316" t="s">
        <v>726</v>
      </c>
      <c r="I316" s="1">
        <v>45689</v>
      </c>
      <c r="J316" t="s">
        <v>51</v>
      </c>
      <c r="K316" s="2">
        <v>45778</v>
      </c>
      <c r="L316">
        <v>1</v>
      </c>
      <c r="M316">
        <v>20</v>
      </c>
      <c r="N316">
        <v>0</v>
      </c>
      <c r="O316">
        <v>20</v>
      </c>
      <c r="P316" t="s">
        <v>67</v>
      </c>
      <c r="Q316" s="1">
        <v>45828</v>
      </c>
      <c r="R316" t="s">
        <v>27</v>
      </c>
      <c r="S316" t="s">
        <v>28</v>
      </c>
    </row>
    <row r="317" spans="1:19" x14ac:dyDescent="0.25">
      <c r="A317" t="s">
        <v>63</v>
      </c>
      <c r="B317" t="s">
        <v>64</v>
      </c>
      <c r="C317">
        <v>14177521</v>
      </c>
      <c r="D317" t="s">
        <v>21</v>
      </c>
      <c r="E317">
        <v>1</v>
      </c>
      <c r="F317" t="s">
        <v>22</v>
      </c>
      <c r="G317" t="s">
        <v>727</v>
      </c>
      <c r="H317" t="s">
        <v>728</v>
      </c>
      <c r="I317" s="1">
        <v>45658</v>
      </c>
      <c r="J317" t="s">
        <v>51</v>
      </c>
      <c r="K317" s="2">
        <v>45778</v>
      </c>
      <c r="L317">
        <v>1</v>
      </c>
      <c r="M317">
        <v>20</v>
      </c>
      <c r="N317">
        <v>0</v>
      </c>
      <c r="O317">
        <v>20</v>
      </c>
      <c r="P317" t="s">
        <v>67</v>
      </c>
      <c r="Q317" s="1">
        <v>45828</v>
      </c>
      <c r="R317" t="s">
        <v>27</v>
      </c>
      <c r="S317" t="s">
        <v>28</v>
      </c>
    </row>
    <row r="318" spans="1:19" x14ac:dyDescent="0.25">
      <c r="A318" t="s">
        <v>290</v>
      </c>
      <c r="B318" t="s">
        <v>291</v>
      </c>
      <c r="C318">
        <v>21104854</v>
      </c>
      <c r="D318" t="s">
        <v>21</v>
      </c>
      <c r="E318">
        <v>1</v>
      </c>
      <c r="F318" t="s">
        <v>22</v>
      </c>
      <c r="G318" t="s">
        <v>729</v>
      </c>
      <c r="H318" t="s">
        <v>730</v>
      </c>
      <c r="I318" s="1">
        <v>45658</v>
      </c>
      <c r="J318" t="s">
        <v>51</v>
      </c>
      <c r="K318" s="2">
        <v>45778</v>
      </c>
      <c r="L318">
        <v>1</v>
      </c>
      <c r="M318">
        <v>20</v>
      </c>
      <c r="N318">
        <v>0</v>
      </c>
      <c r="O318">
        <v>20</v>
      </c>
      <c r="P318" t="s">
        <v>67</v>
      </c>
      <c r="Q318" s="1">
        <v>45828</v>
      </c>
      <c r="R318" t="s">
        <v>27</v>
      </c>
      <c r="S318" t="s">
        <v>28</v>
      </c>
    </row>
    <row r="319" spans="1:19" x14ac:dyDescent="0.25">
      <c r="A319" t="s">
        <v>117</v>
      </c>
      <c r="B319" t="s">
        <v>118</v>
      </c>
      <c r="C319">
        <v>371819</v>
      </c>
      <c r="D319" t="s">
        <v>21</v>
      </c>
      <c r="E319">
        <v>1</v>
      </c>
      <c r="F319" t="s">
        <v>22</v>
      </c>
      <c r="G319" t="s">
        <v>731</v>
      </c>
      <c r="H319" t="s">
        <v>732</v>
      </c>
      <c r="I319" s="1">
        <v>45748</v>
      </c>
      <c r="J319" t="s">
        <v>25</v>
      </c>
      <c r="K319" s="2">
        <v>45778</v>
      </c>
      <c r="L319">
        <v>4</v>
      </c>
      <c r="M319">
        <v>80</v>
      </c>
      <c r="N319">
        <v>0</v>
      </c>
      <c r="O319">
        <v>80</v>
      </c>
      <c r="P319" t="s">
        <v>74</v>
      </c>
      <c r="Q319" s="1">
        <v>45828</v>
      </c>
      <c r="R319" t="s">
        <v>27</v>
      </c>
      <c r="S319" t="s">
        <v>28</v>
      </c>
    </row>
    <row r="320" spans="1:19" x14ac:dyDescent="0.25">
      <c r="A320" t="s">
        <v>19</v>
      </c>
      <c r="B320" t="s">
        <v>20</v>
      </c>
      <c r="C320">
        <v>19681796</v>
      </c>
      <c r="D320" t="s">
        <v>21</v>
      </c>
      <c r="E320">
        <v>1</v>
      </c>
      <c r="F320" t="s">
        <v>22</v>
      </c>
      <c r="G320" t="s">
        <v>733</v>
      </c>
      <c r="H320" t="s">
        <v>734</v>
      </c>
      <c r="I320" s="1">
        <v>45658</v>
      </c>
      <c r="J320" t="s">
        <v>51</v>
      </c>
      <c r="K320" s="2">
        <v>45778</v>
      </c>
      <c r="L320">
        <v>1</v>
      </c>
      <c r="M320">
        <v>20</v>
      </c>
      <c r="N320">
        <v>0</v>
      </c>
      <c r="O320">
        <v>20</v>
      </c>
      <c r="P320" t="s">
        <v>67</v>
      </c>
      <c r="Q320" s="1">
        <v>45828</v>
      </c>
      <c r="R320" t="s">
        <v>27</v>
      </c>
      <c r="S320" t="s">
        <v>28</v>
      </c>
    </row>
    <row r="321" spans="1:19" x14ac:dyDescent="0.25">
      <c r="A321" t="s">
        <v>35</v>
      </c>
      <c r="B321" t="s">
        <v>36</v>
      </c>
      <c r="C321">
        <v>9079571</v>
      </c>
      <c r="D321" t="s">
        <v>21</v>
      </c>
      <c r="E321">
        <v>1</v>
      </c>
      <c r="F321" t="s">
        <v>22</v>
      </c>
      <c r="G321" t="s">
        <v>735</v>
      </c>
      <c r="H321" t="s">
        <v>736</v>
      </c>
      <c r="I321" s="1">
        <v>44927</v>
      </c>
      <c r="J321" t="s">
        <v>322</v>
      </c>
      <c r="K321" s="2">
        <v>45778</v>
      </c>
      <c r="L321">
        <v>1</v>
      </c>
      <c r="M321">
        <v>25</v>
      </c>
      <c r="N321">
        <v>0</v>
      </c>
      <c r="O321">
        <v>25</v>
      </c>
      <c r="P321" t="s">
        <v>323</v>
      </c>
      <c r="Q321" s="1">
        <v>45828</v>
      </c>
      <c r="R321" t="s">
        <v>27</v>
      </c>
      <c r="S321" t="s">
        <v>28</v>
      </c>
    </row>
    <row r="322" spans="1:19" x14ac:dyDescent="0.25">
      <c r="A322" t="s">
        <v>625</v>
      </c>
      <c r="B322" t="s">
        <v>626</v>
      </c>
      <c r="C322">
        <v>16912722</v>
      </c>
      <c r="D322" t="s">
        <v>21</v>
      </c>
      <c r="E322">
        <v>1</v>
      </c>
      <c r="F322" t="s">
        <v>22</v>
      </c>
      <c r="G322" t="s">
        <v>737</v>
      </c>
      <c r="H322" t="s">
        <v>738</v>
      </c>
      <c r="I322" s="1">
        <v>45413</v>
      </c>
      <c r="J322" t="s">
        <v>51</v>
      </c>
      <c r="K322" s="2">
        <v>45778</v>
      </c>
      <c r="L322">
        <v>1</v>
      </c>
      <c r="M322">
        <v>20</v>
      </c>
      <c r="N322">
        <v>0</v>
      </c>
      <c r="O322">
        <v>20</v>
      </c>
      <c r="P322" t="s">
        <v>52</v>
      </c>
      <c r="Q322" s="1">
        <v>45828</v>
      </c>
      <c r="R322" t="s">
        <v>27</v>
      </c>
      <c r="S322" t="s">
        <v>28</v>
      </c>
    </row>
    <row r="323" spans="1:19" x14ac:dyDescent="0.25">
      <c r="A323" t="s">
        <v>671</v>
      </c>
      <c r="B323" t="s">
        <v>672</v>
      </c>
      <c r="C323">
        <v>17425766</v>
      </c>
      <c r="D323" t="s">
        <v>21</v>
      </c>
      <c r="E323">
        <v>1</v>
      </c>
      <c r="F323" t="s">
        <v>22</v>
      </c>
      <c r="G323" t="s">
        <v>739</v>
      </c>
      <c r="H323" t="s">
        <v>740</v>
      </c>
      <c r="I323" s="1">
        <v>45566</v>
      </c>
      <c r="J323" t="s">
        <v>322</v>
      </c>
      <c r="K323" s="2">
        <v>45778</v>
      </c>
      <c r="L323">
        <v>1</v>
      </c>
      <c r="M323">
        <v>25</v>
      </c>
      <c r="N323">
        <v>0</v>
      </c>
      <c r="O323">
        <v>25</v>
      </c>
      <c r="P323" t="s">
        <v>323</v>
      </c>
      <c r="Q323" s="1">
        <v>45828</v>
      </c>
      <c r="R323" t="s">
        <v>27</v>
      </c>
      <c r="S323" t="s">
        <v>28</v>
      </c>
    </row>
    <row r="324" spans="1:19" x14ac:dyDescent="0.25">
      <c r="A324" t="s">
        <v>671</v>
      </c>
      <c r="B324" t="s">
        <v>672</v>
      </c>
      <c r="C324">
        <v>17425766</v>
      </c>
      <c r="D324" t="s">
        <v>21</v>
      </c>
      <c r="E324">
        <v>1</v>
      </c>
      <c r="F324" t="s">
        <v>22</v>
      </c>
      <c r="G324" t="s">
        <v>741</v>
      </c>
      <c r="H324" t="s">
        <v>742</v>
      </c>
      <c r="I324" s="1">
        <v>45566</v>
      </c>
      <c r="J324" t="s">
        <v>322</v>
      </c>
      <c r="K324" s="2">
        <v>45778</v>
      </c>
      <c r="L324">
        <v>1</v>
      </c>
      <c r="M324">
        <v>25</v>
      </c>
      <c r="N324">
        <v>0</v>
      </c>
      <c r="O324">
        <v>25</v>
      </c>
      <c r="P324" t="s">
        <v>323</v>
      </c>
      <c r="Q324" s="1">
        <v>45828</v>
      </c>
      <c r="R324" t="s">
        <v>27</v>
      </c>
      <c r="S324" t="s">
        <v>28</v>
      </c>
    </row>
    <row r="325" spans="1:19" x14ac:dyDescent="0.25">
      <c r="A325" t="s">
        <v>53</v>
      </c>
      <c r="B325" t="s">
        <v>54</v>
      </c>
      <c r="C325">
        <v>5442438</v>
      </c>
      <c r="D325" t="s">
        <v>21</v>
      </c>
      <c r="E325">
        <v>1</v>
      </c>
      <c r="F325" t="s">
        <v>22</v>
      </c>
      <c r="G325" t="s">
        <v>743</v>
      </c>
      <c r="H325" t="s">
        <v>744</v>
      </c>
      <c r="I325" s="1">
        <v>45658</v>
      </c>
      <c r="J325" t="s">
        <v>322</v>
      </c>
      <c r="K325" s="2">
        <v>45778</v>
      </c>
      <c r="L325">
        <v>1</v>
      </c>
      <c r="M325">
        <v>25</v>
      </c>
      <c r="N325">
        <v>0</v>
      </c>
      <c r="O325">
        <v>25</v>
      </c>
      <c r="P325" t="s">
        <v>745</v>
      </c>
      <c r="Q325" s="1">
        <v>45828</v>
      </c>
      <c r="R325" t="s">
        <v>27</v>
      </c>
      <c r="S325" t="s">
        <v>28</v>
      </c>
    </row>
    <row r="326" spans="1:19" x14ac:dyDescent="0.25">
      <c r="A326" t="s">
        <v>93</v>
      </c>
      <c r="B326" t="s">
        <v>94</v>
      </c>
      <c r="C326">
        <v>18754354</v>
      </c>
      <c r="D326" t="s">
        <v>21</v>
      </c>
      <c r="E326">
        <v>1</v>
      </c>
      <c r="F326" t="s">
        <v>22</v>
      </c>
      <c r="G326" t="s">
        <v>746</v>
      </c>
      <c r="H326" t="s">
        <v>747</v>
      </c>
      <c r="I326" s="1">
        <v>45658</v>
      </c>
      <c r="J326" t="s">
        <v>51</v>
      </c>
      <c r="K326" s="2">
        <v>45778</v>
      </c>
      <c r="L326">
        <v>1</v>
      </c>
      <c r="M326">
        <v>20</v>
      </c>
      <c r="N326">
        <v>0</v>
      </c>
      <c r="O326">
        <v>20</v>
      </c>
      <c r="P326" t="s">
        <v>67</v>
      </c>
      <c r="Q326" s="1">
        <v>45828</v>
      </c>
      <c r="R326" t="s">
        <v>27</v>
      </c>
      <c r="S326" t="s">
        <v>28</v>
      </c>
    </row>
    <row r="327" spans="1:19" x14ac:dyDescent="0.25">
      <c r="A327" t="s">
        <v>93</v>
      </c>
      <c r="B327" t="s">
        <v>94</v>
      </c>
      <c r="C327">
        <v>18754354</v>
      </c>
      <c r="D327" t="s">
        <v>21</v>
      </c>
      <c r="E327">
        <v>1</v>
      </c>
      <c r="F327" t="s">
        <v>22</v>
      </c>
      <c r="G327" t="s">
        <v>748</v>
      </c>
      <c r="H327" t="s">
        <v>749</v>
      </c>
      <c r="I327" s="1">
        <v>44958</v>
      </c>
      <c r="J327" t="s">
        <v>51</v>
      </c>
      <c r="K327" s="2">
        <v>45778</v>
      </c>
      <c r="L327">
        <v>1</v>
      </c>
      <c r="M327">
        <v>20</v>
      </c>
      <c r="N327">
        <v>0</v>
      </c>
      <c r="O327">
        <v>20</v>
      </c>
      <c r="P327" t="s">
        <v>52</v>
      </c>
      <c r="Q327" s="1">
        <v>45828</v>
      </c>
      <c r="R327" t="s">
        <v>27</v>
      </c>
      <c r="S327" t="s">
        <v>28</v>
      </c>
    </row>
    <row r="328" spans="1:19" x14ac:dyDescent="0.25">
      <c r="A328" t="s">
        <v>101</v>
      </c>
      <c r="B328" t="s">
        <v>102</v>
      </c>
      <c r="C328">
        <v>8307933</v>
      </c>
      <c r="D328" t="s">
        <v>21</v>
      </c>
      <c r="E328">
        <v>1</v>
      </c>
      <c r="F328" t="s">
        <v>22</v>
      </c>
      <c r="G328" t="s">
        <v>750</v>
      </c>
      <c r="H328" t="s">
        <v>751</v>
      </c>
      <c r="I328" s="1">
        <v>45474</v>
      </c>
      <c r="J328" t="s">
        <v>43</v>
      </c>
      <c r="K328" s="2">
        <v>45778</v>
      </c>
      <c r="L328">
        <v>1</v>
      </c>
      <c r="M328">
        <v>25</v>
      </c>
      <c r="N328">
        <v>0</v>
      </c>
      <c r="O328">
        <v>25</v>
      </c>
      <c r="P328" t="s">
        <v>241</v>
      </c>
      <c r="Q328" s="1">
        <v>45828</v>
      </c>
      <c r="R328" t="s">
        <v>27</v>
      </c>
      <c r="S328" t="s">
        <v>28</v>
      </c>
    </row>
    <row r="329" spans="1:19" x14ac:dyDescent="0.25">
      <c r="A329" t="s">
        <v>113</v>
      </c>
      <c r="B329" t="s">
        <v>114</v>
      </c>
      <c r="C329">
        <v>19645587</v>
      </c>
      <c r="D329" t="s">
        <v>21</v>
      </c>
      <c r="E329">
        <v>1</v>
      </c>
      <c r="F329" t="s">
        <v>22</v>
      </c>
      <c r="G329" t="s">
        <v>752</v>
      </c>
      <c r="H329" t="s">
        <v>753</v>
      </c>
      <c r="I329" s="1">
        <v>45352</v>
      </c>
      <c r="J329" t="s">
        <v>25</v>
      </c>
      <c r="K329" s="2">
        <v>45778</v>
      </c>
      <c r="L329">
        <v>3</v>
      </c>
      <c r="M329">
        <v>60</v>
      </c>
      <c r="N329">
        <v>0</v>
      </c>
      <c r="O329">
        <v>60</v>
      </c>
      <c r="P329" t="s">
        <v>26</v>
      </c>
      <c r="Q329" s="1">
        <v>45828</v>
      </c>
      <c r="R329" t="s">
        <v>27</v>
      </c>
      <c r="S329" t="s">
        <v>28</v>
      </c>
    </row>
    <row r="330" spans="1:19" x14ac:dyDescent="0.25">
      <c r="A330" t="s">
        <v>117</v>
      </c>
      <c r="B330" t="s">
        <v>118</v>
      </c>
      <c r="C330">
        <v>371819</v>
      </c>
      <c r="D330" t="s">
        <v>21</v>
      </c>
      <c r="E330">
        <v>1</v>
      </c>
      <c r="F330" t="s">
        <v>22</v>
      </c>
      <c r="G330" t="s">
        <v>754</v>
      </c>
      <c r="H330" t="s">
        <v>755</v>
      </c>
      <c r="I330" s="1">
        <v>45536</v>
      </c>
      <c r="J330" t="s">
        <v>140</v>
      </c>
      <c r="K330" s="2">
        <v>45778</v>
      </c>
      <c r="L330">
        <v>3</v>
      </c>
      <c r="M330">
        <v>63</v>
      </c>
      <c r="N330">
        <v>0</v>
      </c>
      <c r="O330">
        <v>63</v>
      </c>
      <c r="P330" t="s">
        <v>554</v>
      </c>
      <c r="Q330" s="1">
        <v>45828</v>
      </c>
      <c r="R330" t="s">
        <v>27</v>
      </c>
      <c r="S330" t="s">
        <v>28</v>
      </c>
    </row>
    <row r="331" spans="1:19" x14ac:dyDescent="0.25">
      <c r="A331" t="s">
        <v>47</v>
      </c>
      <c r="B331" t="s">
        <v>48</v>
      </c>
      <c r="C331">
        <v>9213293</v>
      </c>
      <c r="D331" t="s">
        <v>21</v>
      </c>
      <c r="E331">
        <v>1</v>
      </c>
      <c r="F331" t="s">
        <v>22</v>
      </c>
      <c r="G331" t="s">
        <v>756</v>
      </c>
      <c r="H331" t="s">
        <v>757</v>
      </c>
      <c r="I331" s="1">
        <v>45778</v>
      </c>
      <c r="J331" t="s">
        <v>51</v>
      </c>
      <c r="K331" s="2">
        <v>45778</v>
      </c>
      <c r="L331">
        <v>1</v>
      </c>
      <c r="M331">
        <v>20</v>
      </c>
      <c r="N331">
        <v>0</v>
      </c>
      <c r="O331">
        <v>20</v>
      </c>
      <c r="P331" t="s">
        <v>67</v>
      </c>
      <c r="Q331" s="1">
        <v>45828</v>
      </c>
      <c r="R331" t="s">
        <v>27</v>
      </c>
      <c r="S331" t="s">
        <v>28</v>
      </c>
    </row>
    <row r="332" spans="1:19" x14ac:dyDescent="0.25">
      <c r="A332" t="s">
        <v>47</v>
      </c>
      <c r="B332" t="s">
        <v>48</v>
      </c>
      <c r="C332">
        <v>9213293</v>
      </c>
      <c r="D332" t="s">
        <v>21</v>
      </c>
      <c r="E332">
        <v>1</v>
      </c>
      <c r="F332" t="s">
        <v>22</v>
      </c>
      <c r="G332" t="s">
        <v>758</v>
      </c>
      <c r="H332" t="s">
        <v>759</v>
      </c>
      <c r="I332" s="1">
        <v>45778</v>
      </c>
      <c r="J332" t="s">
        <v>51</v>
      </c>
      <c r="K332" s="2">
        <v>45778</v>
      </c>
      <c r="L332">
        <v>3</v>
      </c>
      <c r="M332">
        <v>60</v>
      </c>
      <c r="N332">
        <v>0</v>
      </c>
      <c r="O332">
        <v>60</v>
      </c>
      <c r="P332" t="s">
        <v>67</v>
      </c>
      <c r="Q332" s="1">
        <v>45828</v>
      </c>
      <c r="R332" t="s">
        <v>27</v>
      </c>
      <c r="S332" t="s">
        <v>28</v>
      </c>
    </row>
    <row r="333" spans="1:19" x14ac:dyDescent="0.25">
      <c r="A333" t="s">
        <v>82</v>
      </c>
      <c r="B333" t="s">
        <v>83</v>
      </c>
      <c r="C333">
        <v>20490188</v>
      </c>
      <c r="D333" t="s">
        <v>21</v>
      </c>
      <c r="E333">
        <v>1</v>
      </c>
      <c r="F333" t="s">
        <v>22</v>
      </c>
      <c r="G333" t="s">
        <v>760</v>
      </c>
      <c r="H333" t="s">
        <v>761</v>
      </c>
      <c r="I333" s="1">
        <v>45689</v>
      </c>
      <c r="J333" t="s">
        <v>51</v>
      </c>
      <c r="K333" s="2">
        <v>45778</v>
      </c>
      <c r="L333">
        <v>1</v>
      </c>
      <c r="M333">
        <v>20</v>
      </c>
      <c r="N333">
        <v>0</v>
      </c>
      <c r="O333">
        <v>20</v>
      </c>
      <c r="P333" t="s">
        <v>67</v>
      </c>
      <c r="Q333" s="1">
        <v>45828</v>
      </c>
      <c r="R333" t="s">
        <v>27</v>
      </c>
      <c r="S333" t="s">
        <v>28</v>
      </c>
    </row>
    <row r="334" spans="1:19" x14ac:dyDescent="0.25">
      <c r="A334" t="s">
        <v>35</v>
      </c>
      <c r="B334" t="s">
        <v>36</v>
      </c>
      <c r="C334">
        <v>9079571</v>
      </c>
      <c r="D334" t="s">
        <v>21</v>
      </c>
      <c r="E334">
        <v>1</v>
      </c>
      <c r="F334" t="s">
        <v>22</v>
      </c>
      <c r="G334" t="s">
        <v>762</v>
      </c>
      <c r="H334" t="s">
        <v>763</v>
      </c>
      <c r="I334" s="1">
        <v>45597</v>
      </c>
      <c r="J334" t="s">
        <v>33</v>
      </c>
      <c r="K334" s="2">
        <v>45778</v>
      </c>
      <c r="L334">
        <v>1</v>
      </c>
      <c r="M334">
        <v>10</v>
      </c>
      <c r="N334">
        <v>0</v>
      </c>
      <c r="O334">
        <v>10</v>
      </c>
      <c r="P334" t="s">
        <v>34</v>
      </c>
      <c r="Q334" s="1">
        <v>45828</v>
      </c>
      <c r="R334" t="s">
        <v>27</v>
      </c>
      <c r="S334" t="s">
        <v>28</v>
      </c>
    </row>
    <row r="335" spans="1:19" x14ac:dyDescent="0.25">
      <c r="A335" t="s">
        <v>101</v>
      </c>
      <c r="B335" t="s">
        <v>102</v>
      </c>
      <c r="C335">
        <v>8307933</v>
      </c>
      <c r="D335" t="s">
        <v>21</v>
      </c>
      <c r="E335">
        <v>1</v>
      </c>
      <c r="F335" t="s">
        <v>22</v>
      </c>
      <c r="G335" t="s">
        <v>764</v>
      </c>
      <c r="H335" t="s">
        <v>765</v>
      </c>
      <c r="I335" s="1">
        <v>44927</v>
      </c>
      <c r="J335" t="s">
        <v>51</v>
      </c>
      <c r="K335" s="2">
        <v>45778</v>
      </c>
      <c r="L335">
        <v>1</v>
      </c>
      <c r="M335">
        <v>20</v>
      </c>
      <c r="N335">
        <v>0</v>
      </c>
      <c r="O335">
        <v>20</v>
      </c>
      <c r="P335" t="s">
        <v>52</v>
      </c>
      <c r="Q335" s="1">
        <v>45828</v>
      </c>
      <c r="R335" t="s">
        <v>27</v>
      </c>
      <c r="S335" t="s">
        <v>28</v>
      </c>
    </row>
    <row r="336" spans="1:19" x14ac:dyDescent="0.25">
      <c r="A336" t="s">
        <v>123</v>
      </c>
      <c r="B336" t="s">
        <v>124</v>
      </c>
      <c r="C336">
        <v>19200754</v>
      </c>
      <c r="D336" t="s">
        <v>21</v>
      </c>
      <c r="E336">
        <v>1</v>
      </c>
      <c r="F336" t="s">
        <v>22</v>
      </c>
      <c r="G336" t="s">
        <v>766</v>
      </c>
      <c r="H336" t="s">
        <v>767</v>
      </c>
      <c r="I336" s="1">
        <v>45474</v>
      </c>
      <c r="J336" t="s">
        <v>51</v>
      </c>
      <c r="K336" s="2">
        <v>45778</v>
      </c>
      <c r="L336">
        <v>2</v>
      </c>
      <c r="M336">
        <v>40</v>
      </c>
      <c r="N336">
        <v>0</v>
      </c>
      <c r="O336">
        <v>40</v>
      </c>
      <c r="P336" t="s">
        <v>52</v>
      </c>
      <c r="Q336" s="1">
        <v>45828</v>
      </c>
      <c r="R336" t="s">
        <v>27</v>
      </c>
      <c r="S336" t="s">
        <v>28</v>
      </c>
    </row>
    <row r="337" spans="1:19" x14ac:dyDescent="0.25">
      <c r="A337" t="s">
        <v>117</v>
      </c>
      <c r="B337" t="s">
        <v>118</v>
      </c>
      <c r="C337">
        <v>371819</v>
      </c>
      <c r="D337" t="s">
        <v>21</v>
      </c>
      <c r="E337">
        <v>1</v>
      </c>
      <c r="F337" t="s">
        <v>22</v>
      </c>
      <c r="G337" t="s">
        <v>768</v>
      </c>
      <c r="H337" t="s">
        <v>769</v>
      </c>
      <c r="I337" s="1">
        <v>45352</v>
      </c>
      <c r="J337" t="s">
        <v>25</v>
      </c>
      <c r="K337" s="2">
        <v>45778</v>
      </c>
      <c r="L337">
        <v>1</v>
      </c>
      <c r="M337">
        <v>20</v>
      </c>
      <c r="N337">
        <v>0</v>
      </c>
      <c r="O337">
        <v>20</v>
      </c>
      <c r="P337" t="s">
        <v>26</v>
      </c>
      <c r="Q337" s="1">
        <v>45828</v>
      </c>
      <c r="R337" t="s">
        <v>27</v>
      </c>
      <c r="S337" t="s">
        <v>28</v>
      </c>
    </row>
    <row r="338" spans="1:19" x14ac:dyDescent="0.25">
      <c r="A338" t="s">
        <v>105</v>
      </c>
      <c r="B338" t="s">
        <v>106</v>
      </c>
      <c r="C338">
        <v>7146581</v>
      </c>
      <c r="D338" t="s">
        <v>21</v>
      </c>
      <c r="E338">
        <v>1</v>
      </c>
      <c r="F338" t="s">
        <v>22</v>
      </c>
      <c r="G338" t="s">
        <v>770</v>
      </c>
      <c r="H338" t="s">
        <v>771</v>
      </c>
      <c r="I338" s="1">
        <v>45658</v>
      </c>
      <c r="J338" t="s">
        <v>51</v>
      </c>
      <c r="K338" s="2">
        <v>45778</v>
      </c>
      <c r="L338">
        <v>2</v>
      </c>
      <c r="M338">
        <v>40</v>
      </c>
      <c r="N338">
        <v>0</v>
      </c>
      <c r="O338">
        <v>40</v>
      </c>
      <c r="P338" t="s">
        <v>67</v>
      </c>
      <c r="Q338" s="1">
        <v>45828</v>
      </c>
      <c r="R338" t="s">
        <v>27</v>
      </c>
      <c r="S338" t="s">
        <v>28</v>
      </c>
    </row>
    <row r="339" spans="1:19" x14ac:dyDescent="0.25">
      <c r="A339" t="s">
        <v>35</v>
      </c>
      <c r="B339" t="s">
        <v>36</v>
      </c>
      <c r="C339">
        <v>9079571</v>
      </c>
      <c r="D339" t="s">
        <v>21</v>
      </c>
      <c r="E339">
        <v>1</v>
      </c>
      <c r="F339" t="s">
        <v>22</v>
      </c>
      <c r="G339" t="s">
        <v>772</v>
      </c>
      <c r="H339" t="s">
        <v>773</v>
      </c>
      <c r="I339" s="1">
        <v>45383</v>
      </c>
      <c r="J339" t="s">
        <v>33</v>
      </c>
      <c r="K339" s="2">
        <v>45778</v>
      </c>
      <c r="L339">
        <v>1</v>
      </c>
      <c r="M339">
        <v>10</v>
      </c>
      <c r="N339">
        <v>0</v>
      </c>
      <c r="O339">
        <v>10</v>
      </c>
      <c r="P339" t="s">
        <v>34</v>
      </c>
      <c r="Q339" s="1">
        <v>45828</v>
      </c>
      <c r="R339" t="s">
        <v>27</v>
      </c>
      <c r="S339" t="s">
        <v>28</v>
      </c>
    </row>
    <row r="340" spans="1:19" x14ac:dyDescent="0.25">
      <c r="A340" t="s">
        <v>35</v>
      </c>
      <c r="B340" t="s">
        <v>36</v>
      </c>
      <c r="C340">
        <v>9079571</v>
      </c>
      <c r="D340" t="s">
        <v>21</v>
      </c>
      <c r="E340">
        <v>1</v>
      </c>
      <c r="F340" t="s">
        <v>22</v>
      </c>
      <c r="G340" t="s">
        <v>772</v>
      </c>
      <c r="H340" t="s">
        <v>773</v>
      </c>
      <c r="I340" s="1">
        <v>45383</v>
      </c>
      <c r="J340" t="s">
        <v>33</v>
      </c>
      <c r="K340" s="2">
        <v>45748</v>
      </c>
      <c r="L340">
        <v>1</v>
      </c>
      <c r="M340">
        <v>10</v>
      </c>
      <c r="N340">
        <v>0</v>
      </c>
      <c r="O340">
        <v>10</v>
      </c>
      <c r="P340" t="s">
        <v>34</v>
      </c>
      <c r="Q340" s="1">
        <v>45828</v>
      </c>
      <c r="R340" t="s">
        <v>27</v>
      </c>
      <c r="S340" t="s">
        <v>28</v>
      </c>
    </row>
    <row r="341" spans="1:19" x14ac:dyDescent="0.25">
      <c r="A341" t="s">
        <v>35</v>
      </c>
      <c r="B341" t="s">
        <v>36</v>
      </c>
      <c r="C341">
        <v>9079571</v>
      </c>
      <c r="D341" t="s">
        <v>21</v>
      </c>
      <c r="E341">
        <v>1</v>
      </c>
      <c r="F341" t="s">
        <v>22</v>
      </c>
      <c r="G341" t="s">
        <v>772</v>
      </c>
      <c r="H341" t="s">
        <v>773</v>
      </c>
      <c r="I341" s="1">
        <v>45383</v>
      </c>
      <c r="J341" t="s">
        <v>33</v>
      </c>
      <c r="K341" s="2">
        <v>45717</v>
      </c>
      <c r="L341">
        <v>1</v>
      </c>
      <c r="M341">
        <v>10</v>
      </c>
      <c r="N341">
        <v>0</v>
      </c>
      <c r="O341">
        <v>10</v>
      </c>
      <c r="P341" t="s">
        <v>34</v>
      </c>
      <c r="Q341" s="1">
        <v>45828</v>
      </c>
      <c r="R341" t="s">
        <v>27</v>
      </c>
      <c r="S341" t="s">
        <v>28</v>
      </c>
    </row>
    <row r="342" spans="1:19" x14ac:dyDescent="0.25">
      <c r="A342" t="s">
        <v>35</v>
      </c>
      <c r="B342" t="s">
        <v>36</v>
      </c>
      <c r="C342">
        <v>9079571</v>
      </c>
      <c r="D342" t="s">
        <v>21</v>
      </c>
      <c r="E342">
        <v>1</v>
      </c>
      <c r="F342" t="s">
        <v>22</v>
      </c>
      <c r="G342" t="s">
        <v>774</v>
      </c>
      <c r="H342" t="s">
        <v>775</v>
      </c>
      <c r="I342" s="1">
        <v>45748</v>
      </c>
      <c r="J342" t="s">
        <v>25</v>
      </c>
      <c r="K342" s="2">
        <v>45778</v>
      </c>
      <c r="L342">
        <v>1</v>
      </c>
      <c r="M342">
        <v>20</v>
      </c>
      <c r="N342">
        <v>0</v>
      </c>
      <c r="O342">
        <v>20</v>
      </c>
      <c r="P342" t="s">
        <v>74</v>
      </c>
      <c r="Q342" s="1">
        <v>45828</v>
      </c>
      <c r="R342" t="s">
        <v>27</v>
      </c>
      <c r="S342" t="s">
        <v>28</v>
      </c>
    </row>
    <row r="343" spans="1:19" x14ac:dyDescent="0.25">
      <c r="A343" t="s">
        <v>229</v>
      </c>
      <c r="B343" t="s">
        <v>230</v>
      </c>
      <c r="C343">
        <v>18828278</v>
      </c>
      <c r="D343" t="s">
        <v>21</v>
      </c>
      <c r="E343">
        <v>1</v>
      </c>
      <c r="F343" t="s">
        <v>22</v>
      </c>
      <c r="G343" t="s">
        <v>776</v>
      </c>
      <c r="H343" t="s">
        <v>777</v>
      </c>
      <c r="I343" s="1">
        <v>45689</v>
      </c>
      <c r="J343" t="s">
        <v>51</v>
      </c>
      <c r="K343" s="2">
        <v>45778</v>
      </c>
      <c r="L343">
        <v>1</v>
      </c>
      <c r="M343">
        <v>20</v>
      </c>
      <c r="N343">
        <v>0</v>
      </c>
      <c r="O343">
        <v>20</v>
      </c>
      <c r="P343" t="s">
        <v>67</v>
      </c>
      <c r="Q343" s="1">
        <v>45828</v>
      </c>
      <c r="R343" t="s">
        <v>27</v>
      </c>
      <c r="S343" t="s">
        <v>28</v>
      </c>
    </row>
    <row r="344" spans="1:19" x14ac:dyDescent="0.25">
      <c r="A344" t="s">
        <v>418</v>
      </c>
      <c r="B344" t="s">
        <v>419</v>
      </c>
      <c r="C344">
        <v>15278437</v>
      </c>
      <c r="D344" t="s">
        <v>21</v>
      </c>
      <c r="E344">
        <v>1</v>
      </c>
      <c r="F344" t="s">
        <v>22</v>
      </c>
      <c r="G344" t="s">
        <v>778</v>
      </c>
      <c r="H344" t="s">
        <v>779</v>
      </c>
      <c r="I344" s="1">
        <v>45566</v>
      </c>
      <c r="J344" t="s">
        <v>51</v>
      </c>
      <c r="K344" s="2">
        <v>45778</v>
      </c>
      <c r="L344">
        <v>-2</v>
      </c>
      <c r="M344">
        <v>-40</v>
      </c>
      <c r="N344">
        <v>0</v>
      </c>
      <c r="O344">
        <v>-40</v>
      </c>
      <c r="P344" t="s">
        <v>52</v>
      </c>
      <c r="Q344" s="1">
        <v>45828</v>
      </c>
      <c r="R344" t="s">
        <v>27</v>
      </c>
      <c r="S344" t="s">
        <v>28</v>
      </c>
    </row>
    <row r="345" spans="1:19" x14ac:dyDescent="0.25">
      <c r="A345" t="s">
        <v>418</v>
      </c>
      <c r="B345" t="s">
        <v>419</v>
      </c>
      <c r="C345">
        <v>15278437</v>
      </c>
      <c r="D345" t="s">
        <v>21</v>
      </c>
      <c r="E345">
        <v>1</v>
      </c>
      <c r="F345" t="s">
        <v>22</v>
      </c>
      <c r="G345" t="s">
        <v>778</v>
      </c>
      <c r="H345" t="s">
        <v>779</v>
      </c>
      <c r="I345" s="1">
        <v>45566</v>
      </c>
      <c r="J345" t="s">
        <v>51</v>
      </c>
      <c r="K345" s="2">
        <v>45748</v>
      </c>
      <c r="L345">
        <v>-2</v>
      </c>
      <c r="M345">
        <v>-40</v>
      </c>
      <c r="N345">
        <v>0</v>
      </c>
      <c r="O345">
        <v>-40</v>
      </c>
      <c r="P345" t="s">
        <v>52</v>
      </c>
      <c r="Q345" s="1">
        <v>45828</v>
      </c>
      <c r="R345" t="s">
        <v>27</v>
      </c>
      <c r="S345" t="s">
        <v>28</v>
      </c>
    </row>
    <row r="346" spans="1:19" x14ac:dyDescent="0.25">
      <c r="A346" t="s">
        <v>290</v>
      </c>
      <c r="B346" t="s">
        <v>291</v>
      </c>
      <c r="C346">
        <v>21104854</v>
      </c>
      <c r="D346" t="s">
        <v>21</v>
      </c>
      <c r="E346">
        <v>1</v>
      </c>
      <c r="F346" t="s">
        <v>22</v>
      </c>
      <c r="G346" t="s">
        <v>780</v>
      </c>
      <c r="H346" t="s">
        <v>781</v>
      </c>
      <c r="I346" s="1">
        <v>45658</v>
      </c>
      <c r="J346" t="s">
        <v>51</v>
      </c>
      <c r="K346" s="2">
        <v>45778</v>
      </c>
      <c r="L346">
        <v>1</v>
      </c>
      <c r="M346">
        <v>20</v>
      </c>
      <c r="N346">
        <v>0</v>
      </c>
      <c r="O346">
        <v>20</v>
      </c>
      <c r="P346" t="s">
        <v>67</v>
      </c>
      <c r="Q346" s="1">
        <v>45828</v>
      </c>
      <c r="R346" t="s">
        <v>27</v>
      </c>
      <c r="S346" t="s">
        <v>28</v>
      </c>
    </row>
    <row r="347" spans="1:19" x14ac:dyDescent="0.25">
      <c r="A347" t="s">
        <v>229</v>
      </c>
      <c r="B347" t="s">
        <v>230</v>
      </c>
      <c r="C347">
        <v>18828278</v>
      </c>
      <c r="D347" t="s">
        <v>21</v>
      </c>
      <c r="E347">
        <v>1</v>
      </c>
      <c r="F347" t="s">
        <v>22</v>
      </c>
      <c r="G347" t="s">
        <v>782</v>
      </c>
      <c r="H347" t="s">
        <v>783</v>
      </c>
      <c r="I347" s="1">
        <v>45658</v>
      </c>
      <c r="J347" t="s">
        <v>51</v>
      </c>
      <c r="K347" s="2">
        <v>45778</v>
      </c>
      <c r="L347">
        <v>1</v>
      </c>
      <c r="M347">
        <v>20</v>
      </c>
      <c r="N347">
        <v>0</v>
      </c>
      <c r="O347">
        <v>20</v>
      </c>
      <c r="P347" t="s">
        <v>67</v>
      </c>
      <c r="Q347" s="1">
        <v>45828</v>
      </c>
      <c r="R347" t="s">
        <v>27</v>
      </c>
      <c r="S347" t="s">
        <v>28</v>
      </c>
    </row>
    <row r="348" spans="1:19" x14ac:dyDescent="0.25">
      <c r="A348" t="s">
        <v>35</v>
      </c>
      <c r="B348" t="s">
        <v>36</v>
      </c>
      <c r="C348">
        <v>9079571</v>
      </c>
      <c r="D348" t="s">
        <v>21</v>
      </c>
      <c r="E348">
        <v>1</v>
      </c>
      <c r="F348" t="s">
        <v>22</v>
      </c>
      <c r="G348" t="s">
        <v>784</v>
      </c>
      <c r="H348" t="s">
        <v>785</v>
      </c>
      <c r="I348" s="1">
        <v>45505</v>
      </c>
      <c r="J348" t="s">
        <v>33</v>
      </c>
      <c r="K348" s="2">
        <v>45778</v>
      </c>
      <c r="L348">
        <v>1</v>
      </c>
      <c r="M348">
        <v>10</v>
      </c>
      <c r="N348">
        <v>0</v>
      </c>
      <c r="O348">
        <v>10</v>
      </c>
      <c r="P348" t="s">
        <v>88</v>
      </c>
      <c r="Q348" s="1">
        <v>45828</v>
      </c>
      <c r="R348" t="s">
        <v>27</v>
      </c>
      <c r="S348" t="s">
        <v>28</v>
      </c>
    </row>
    <row r="349" spans="1:19" x14ac:dyDescent="0.25">
      <c r="A349" t="s">
        <v>35</v>
      </c>
      <c r="B349" t="s">
        <v>36</v>
      </c>
      <c r="C349">
        <v>9079571</v>
      </c>
      <c r="D349" t="s">
        <v>21</v>
      </c>
      <c r="E349">
        <v>1</v>
      </c>
      <c r="F349" t="s">
        <v>786</v>
      </c>
      <c r="G349" t="s">
        <v>784</v>
      </c>
      <c r="H349" t="s">
        <v>785</v>
      </c>
      <c r="I349" s="1">
        <v>45505</v>
      </c>
      <c r="J349" t="s">
        <v>33</v>
      </c>
      <c r="K349" s="2">
        <v>45627</v>
      </c>
      <c r="L349">
        <v>1</v>
      </c>
      <c r="M349">
        <v>20</v>
      </c>
      <c r="N349">
        <v>0</v>
      </c>
      <c r="O349">
        <v>20</v>
      </c>
      <c r="P349" t="s">
        <v>787</v>
      </c>
      <c r="Q349" s="1">
        <v>45828</v>
      </c>
      <c r="R349" t="s">
        <v>27</v>
      </c>
      <c r="S349" t="s">
        <v>28</v>
      </c>
    </row>
    <row r="350" spans="1:19" x14ac:dyDescent="0.25">
      <c r="A350" t="s">
        <v>57</v>
      </c>
      <c r="B350" t="s">
        <v>58</v>
      </c>
      <c r="C350">
        <v>8977234</v>
      </c>
      <c r="D350" t="s">
        <v>21</v>
      </c>
      <c r="E350">
        <v>1</v>
      </c>
      <c r="F350" t="s">
        <v>22</v>
      </c>
      <c r="G350" t="s">
        <v>788</v>
      </c>
      <c r="H350" t="s">
        <v>789</v>
      </c>
      <c r="I350" s="1">
        <v>45292</v>
      </c>
      <c r="J350" t="s">
        <v>25</v>
      </c>
      <c r="K350" s="2">
        <v>45778</v>
      </c>
      <c r="L350">
        <v>1</v>
      </c>
      <c r="M350">
        <v>20</v>
      </c>
      <c r="N350">
        <v>0</v>
      </c>
      <c r="O350">
        <v>20</v>
      </c>
      <c r="P350" t="s">
        <v>26</v>
      </c>
      <c r="Q350" s="1">
        <v>45828</v>
      </c>
      <c r="R350" t="s">
        <v>27</v>
      </c>
      <c r="S350" t="s">
        <v>28</v>
      </c>
    </row>
    <row r="351" spans="1:19" x14ac:dyDescent="0.25">
      <c r="A351" t="s">
        <v>382</v>
      </c>
      <c r="B351" t="s">
        <v>383</v>
      </c>
      <c r="C351">
        <v>18581063</v>
      </c>
      <c r="D351" t="s">
        <v>21</v>
      </c>
      <c r="E351">
        <v>1</v>
      </c>
      <c r="F351" t="s">
        <v>22</v>
      </c>
      <c r="G351" t="s">
        <v>790</v>
      </c>
      <c r="H351" t="s">
        <v>791</v>
      </c>
      <c r="I351" s="1">
        <v>45658</v>
      </c>
      <c r="J351" t="s">
        <v>43</v>
      </c>
      <c r="K351" s="2">
        <v>45778</v>
      </c>
      <c r="L351">
        <v>2</v>
      </c>
      <c r="M351">
        <v>50</v>
      </c>
      <c r="N351">
        <v>0</v>
      </c>
      <c r="O351">
        <v>50</v>
      </c>
      <c r="P351" t="s">
        <v>44</v>
      </c>
      <c r="Q351" s="1">
        <v>45828</v>
      </c>
      <c r="R351" t="s">
        <v>27</v>
      </c>
      <c r="S351" t="s">
        <v>28</v>
      </c>
    </row>
    <row r="352" spans="1:19" x14ac:dyDescent="0.25">
      <c r="A352" t="s">
        <v>63</v>
      </c>
      <c r="B352" t="s">
        <v>64</v>
      </c>
      <c r="C352">
        <v>14177521</v>
      </c>
      <c r="D352" t="s">
        <v>21</v>
      </c>
      <c r="E352">
        <v>1</v>
      </c>
      <c r="F352" t="s">
        <v>22</v>
      </c>
      <c r="G352" t="s">
        <v>792</v>
      </c>
      <c r="H352" t="s">
        <v>793</v>
      </c>
      <c r="I352" s="1">
        <v>45627</v>
      </c>
      <c r="J352" t="s">
        <v>51</v>
      </c>
      <c r="K352" s="2">
        <v>45778</v>
      </c>
      <c r="L352">
        <v>1</v>
      </c>
      <c r="M352">
        <v>20</v>
      </c>
      <c r="N352">
        <v>0</v>
      </c>
      <c r="O352">
        <v>20</v>
      </c>
      <c r="P352" t="s">
        <v>52</v>
      </c>
      <c r="Q352" s="1">
        <v>45828</v>
      </c>
      <c r="R352" t="s">
        <v>27</v>
      </c>
      <c r="S352" t="s">
        <v>28</v>
      </c>
    </row>
    <row r="353" spans="1:19" x14ac:dyDescent="0.25">
      <c r="A353" t="s">
        <v>496</v>
      </c>
      <c r="B353" t="s">
        <v>497</v>
      </c>
      <c r="C353">
        <v>17437820</v>
      </c>
      <c r="D353" t="s">
        <v>21</v>
      </c>
      <c r="E353">
        <v>1</v>
      </c>
      <c r="F353" t="s">
        <v>22</v>
      </c>
      <c r="G353" t="s">
        <v>794</v>
      </c>
      <c r="H353" t="s">
        <v>795</v>
      </c>
      <c r="I353" s="1">
        <v>45292</v>
      </c>
      <c r="J353" t="s">
        <v>322</v>
      </c>
      <c r="K353" s="2">
        <v>45778</v>
      </c>
      <c r="L353">
        <v>3</v>
      </c>
      <c r="M353">
        <v>75</v>
      </c>
      <c r="N353">
        <v>0</v>
      </c>
      <c r="O353">
        <v>75</v>
      </c>
      <c r="P353" t="s">
        <v>323</v>
      </c>
      <c r="Q353" s="1">
        <v>45828</v>
      </c>
      <c r="R353" t="s">
        <v>27</v>
      </c>
      <c r="S353" t="s">
        <v>28</v>
      </c>
    </row>
    <row r="354" spans="1:19" x14ac:dyDescent="0.25">
      <c r="A354" t="s">
        <v>101</v>
      </c>
      <c r="B354" t="s">
        <v>102</v>
      </c>
      <c r="C354">
        <v>8307933</v>
      </c>
      <c r="D354" t="s">
        <v>21</v>
      </c>
      <c r="E354">
        <v>1</v>
      </c>
      <c r="F354" t="s">
        <v>22</v>
      </c>
      <c r="G354" t="s">
        <v>796</v>
      </c>
      <c r="H354" t="s">
        <v>797</v>
      </c>
      <c r="I354" s="1">
        <v>44927</v>
      </c>
      <c r="J354" t="s">
        <v>51</v>
      </c>
      <c r="K354" s="2">
        <v>45778</v>
      </c>
      <c r="L354">
        <v>2</v>
      </c>
      <c r="M354">
        <v>40</v>
      </c>
      <c r="N354">
        <v>0</v>
      </c>
      <c r="O354">
        <v>40</v>
      </c>
      <c r="P354" t="s">
        <v>52</v>
      </c>
      <c r="Q354" s="1">
        <v>45828</v>
      </c>
      <c r="R354" t="s">
        <v>27</v>
      </c>
      <c r="S354" t="s">
        <v>28</v>
      </c>
    </row>
    <row r="355" spans="1:19" x14ac:dyDescent="0.25">
      <c r="A355" t="s">
        <v>93</v>
      </c>
      <c r="B355" t="s">
        <v>94</v>
      </c>
      <c r="C355">
        <v>18754354</v>
      </c>
      <c r="D355" t="s">
        <v>21</v>
      </c>
      <c r="E355">
        <v>1</v>
      </c>
      <c r="F355" t="s">
        <v>22</v>
      </c>
      <c r="G355" t="s">
        <v>798</v>
      </c>
      <c r="H355" t="s">
        <v>799</v>
      </c>
      <c r="I355" s="1">
        <v>45658</v>
      </c>
      <c r="J355" t="s">
        <v>51</v>
      </c>
      <c r="K355" s="2">
        <v>45778</v>
      </c>
      <c r="L355">
        <v>1</v>
      </c>
      <c r="M355">
        <v>20</v>
      </c>
      <c r="N355">
        <v>0</v>
      </c>
      <c r="O355">
        <v>20</v>
      </c>
      <c r="P355" t="s">
        <v>67</v>
      </c>
      <c r="Q355" s="1">
        <v>45828</v>
      </c>
      <c r="R355" t="s">
        <v>27</v>
      </c>
      <c r="S355" t="s">
        <v>28</v>
      </c>
    </row>
    <row r="356" spans="1:19" x14ac:dyDescent="0.25">
      <c r="A356" t="s">
        <v>101</v>
      </c>
      <c r="B356" t="s">
        <v>102</v>
      </c>
      <c r="C356">
        <v>8307933</v>
      </c>
      <c r="D356" t="s">
        <v>21</v>
      </c>
      <c r="E356">
        <v>1</v>
      </c>
      <c r="F356" t="s">
        <v>22</v>
      </c>
      <c r="G356" t="s">
        <v>800</v>
      </c>
      <c r="H356" t="s">
        <v>801</v>
      </c>
      <c r="I356" s="1">
        <v>45778</v>
      </c>
      <c r="J356" t="s">
        <v>51</v>
      </c>
      <c r="K356" s="2">
        <v>45778</v>
      </c>
      <c r="L356">
        <v>1</v>
      </c>
      <c r="M356">
        <v>20</v>
      </c>
      <c r="N356">
        <v>0</v>
      </c>
      <c r="O356">
        <v>20</v>
      </c>
      <c r="P356" t="s">
        <v>67</v>
      </c>
      <c r="Q356" s="1">
        <v>45828</v>
      </c>
      <c r="R356" t="s">
        <v>27</v>
      </c>
      <c r="S356" t="s">
        <v>28</v>
      </c>
    </row>
    <row r="357" spans="1:19" x14ac:dyDescent="0.25">
      <c r="A357" t="s">
        <v>174</v>
      </c>
      <c r="B357" t="s">
        <v>175</v>
      </c>
      <c r="C357">
        <v>8814784</v>
      </c>
      <c r="D357" t="s">
        <v>21</v>
      </c>
      <c r="E357">
        <v>1</v>
      </c>
      <c r="F357" t="s">
        <v>22</v>
      </c>
      <c r="G357" t="s">
        <v>802</v>
      </c>
      <c r="H357" t="s">
        <v>803</v>
      </c>
      <c r="I357" s="1">
        <v>45658</v>
      </c>
      <c r="J357" t="s">
        <v>51</v>
      </c>
      <c r="K357" s="2">
        <v>45778</v>
      </c>
      <c r="L357">
        <v>1</v>
      </c>
      <c r="M357">
        <v>20</v>
      </c>
      <c r="N357">
        <v>0</v>
      </c>
      <c r="O357">
        <v>20</v>
      </c>
      <c r="P357" t="s">
        <v>67</v>
      </c>
      <c r="Q357" s="1">
        <v>45828</v>
      </c>
      <c r="R357" t="s">
        <v>27</v>
      </c>
      <c r="S357" t="s">
        <v>28</v>
      </c>
    </row>
    <row r="358" spans="1:19" x14ac:dyDescent="0.25">
      <c r="A358" t="s">
        <v>113</v>
      </c>
      <c r="B358" t="s">
        <v>114</v>
      </c>
      <c r="C358">
        <v>19645587</v>
      </c>
      <c r="D358" t="s">
        <v>21</v>
      </c>
      <c r="E358">
        <v>1</v>
      </c>
      <c r="F358" t="s">
        <v>22</v>
      </c>
      <c r="G358" t="s">
        <v>804</v>
      </c>
      <c r="H358" t="s">
        <v>805</v>
      </c>
      <c r="I358" s="1">
        <v>45689</v>
      </c>
      <c r="J358" t="s">
        <v>25</v>
      </c>
      <c r="K358" s="2">
        <v>45778</v>
      </c>
      <c r="L358">
        <v>1</v>
      </c>
      <c r="M358">
        <v>20</v>
      </c>
      <c r="N358">
        <v>0</v>
      </c>
      <c r="O358">
        <v>20</v>
      </c>
      <c r="P358" t="s">
        <v>74</v>
      </c>
      <c r="Q358" s="1">
        <v>45828</v>
      </c>
      <c r="R358" t="s">
        <v>27</v>
      </c>
      <c r="S358" t="s">
        <v>28</v>
      </c>
    </row>
    <row r="359" spans="1:19" x14ac:dyDescent="0.25">
      <c r="A359" t="s">
        <v>101</v>
      </c>
      <c r="B359" t="s">
        <v>102</v>
      </c>
      <c r="C359">
        <v>8307933</v>
      </c>
      <c r="D359" t="s">
        <v>21</v>
      </c>
      <c r="E359">
        <v>1</v>
      </c>
      <c r="F359" t="s">
        <v>22</v>
      </c>
      <c r="G359" t="s">
        <v>806</v>
      </c>
      <c r="H359" t="s">
        <v>807</v>
      </c>
      <c r="I359" s="1">
        <v>45413</v>
      </c>
      <c r="J359" t="s">
        <v>51</v>
      </c>
      <c r="K359" s="2">
        <v>45778</v>
      </c>
      <c r="L359">
        <v>2</v>
      </c>
      <c r="M359">
        <v>40</v>
      </c>
      <c r="N359">
        <v>0</v>
      </c>
      <c r="O359">
        <v>40</v>
      </c>
      <c r="P359" t="s">
        <v>52</v>
      </c>
      <c r="Q359" s="1">
        <v>45828</v>
      </c>
      <c r="R359" t="s">
        <v>27</v>
      </c>
      <c r="S359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ECD14-7342-4E12-AF22-BC761A0554A3}">
  <dimension ref="A1:V359"/>
  <sheetViews>
    <sheetView workbookViewId="0">
      <selection activeCell="F162" sqref="F162"/>
    </sheetView>
  </sheetViews>
  <sheetFormatPr defaultRowHeight="15" x14ac:dyDescent="0.25"/>
  <cols>
    <col min="1" max="1" width="12.5703125" customWidth="1"/>
    <col min="2" max="2" width="7.42578125" customWidth="1"/>
    <col min="3" max="3" width="22.28515625" customWidth="1"/>
    <col min="5" max="5" width="26.28515625" bestFit="1" customWidth="1"/>
    <col min="6" max="6" width="26.28515625" customWidth="1"/>
    <col min="7" max="7" width="22.140625" customWidth="1"/>
    <col min="8" max="8" width="14.5703125" customWidth="1"/>
    <col min="10" max="10" width="9.7109375" style="1" bestFit="1" customWidth="1"/>
    <col min="11" max="11" width="9.7109375" style="1" customWidth="1"/>
    <col min="12" max="12" width="15.140625" bestFit="1" customWidth="1"/>
    <col min="15" max="15" width="54.28515625" bestFit="1" customWidth="1"/>
    <col min="16" max="16" width="40.7109375" bestFit="1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6</v>
      </c>
      <c r="G1" t="s">
        <v>7</v>
      </c>
      <c r="H1" t="s">
        <v>8</v>
      </c>
      <c r="I1" t="s">
        <v>9</v>
      </c>
      <c r="J1" s="1" t="s">
        <v>10</v>
      </c>
      <c r="L1" t="s">
        <v>11</v>
      </c>
      <c r="M1" t="s">
        <v>12</v>
      </c>
      <c r="N1" t="s">
        <v>14</v>
      </c>
      <c r="O1" t="s">
        <v>15</v>
      </c>
    </row>
    <row r="2" spans="1:22" x14ac:dyDescent="0.25">
      <c r="A2" t="s">
        <v>19</v>
      </c>
      <c r="B2" t="s">
        <v>20</v>
      </c>
      <c r="C2" t="str">
        <f>CONCATENATE(B2, " ",A2)</f>
        <v>CHRISTIAN TAUGNER</v>
      </c>
      <c r="D2">
        <v>19681796</v>
      </c>
      <c r="E2" t="s">
        <v>23</v>
      </c>
      <c r="F2" t="str">
        <f>CONCATENATE(2,E2)</f>
        <v>2IANG10178961060001FL016</v>
      </c>
      <c r="G2" t="s">
        <v>24</v>
      </c>
      <c r="H2" s="1">
        <v>45231</v>
      </c>
      <c r="I2" t="s">
        <v>25</v>
      </c>
      <c r="J2" s="1">
        <v>45778</v>
      </c>
      <c r="K2" s="1">
        <f>DATE(YEAR(J2), MONTH(J2) +1, DAY(J2))</f>
        <v>45809</v>
      </c>
      <c r="M2">
        <v>20</v>
      </c>
      <c r="N2">
        <v>20</v>
      </c>
      <c r="O2" t="s">
        <v>26</v>
      </c>
      <c r="P2" t="s">
        <v>812</v>
      </c>
    </row>
    <row r="3" spans="1:22" x14ac:dyDescent="0.25">
      <c r="A3" t="s">
        <v>29</v>
      </c>
      <c r="B3" t="s">
        <v>30</v>
      </c>
      <c r="C3" t="str">
        <f>CONCATENATE(B3, " ",A3)</f>
        <v>THOMAS KUCAN</v>
      </c>
      <c r="D3">
        <v>16202925</v>
      </c>
      <c r="E3" t="s">
        <v>31</v>
      </c>
      <c r="F3" t="str">
        <f>CONCATENATE(2,E3)</f>
        <v>2IANG10204353330002MD016</v>
      </c>
      <c r="G3" t="s">
        <v>32</v>
      </c>
      <c r="H3" s="1">
        <v>45505</v>
      </c>
      <c r="I3" t="s">
        <v>33</v>
      </c>
      <c r="J3" s="1">
        <v>45778</v>
      </c>
      <c r="K3" s="1">
        <f>DATE(YEAR(J3), MONTH(J3) +1, DAY(J3))</f>
        <v>45809</v>
      </c>
      <c r="M3">
        <v>10</v>
      </c>
      <c r="N3">
        <v>10</v>
      </c>
      <c r="O3" t="s">
        <v>34</v>
      </c>
      <c r="P3" t="s">
        <v>813</v>
      </c>
    </row>
    <row r="4" spans="1:22" x14ac:dyDescent="0.25">
      <c r="A4" t="s">
        <v>35</v>
      </c>
      <c r="B4" t="s">
        <v>36</v>
      </c>
      <c r="C4" t="str">
        <f>CONCATENATE(B4, " ",A4)</f>
        <v>Adam Richter</v>
      </c>
      <c r="D4">
        <v>9079571</v>
      </c>
      <c r="E4" t="s">
        <v>37</v>
      </c>
      <c r="F4" t="str">
        <f>CONCATENATE(2,E4)</f>
        <v>2IANG10214323280002MD016</v>
      </c>
      <c r="G4" t="s">
        <v>38</v>
      </c>
      <c r="H4" s="1">
        <v>45597</v>
      </c>
      <c r="I4" t="s">
        <v>33</v>
      </c>
      <c r="J4" s="1">
        <v>45778</v>
      </c>
      <c r="K4" s="1">
        <f>DATE(YEAR(J4), MONTH(J4) +1, DAY(J4))</f>
        <v>45809</v>
      </c>
      <c r="M4">
        <v>10</v>
      </c>
      <c r="N4">
        <v>10</v>
      </c>
      <c r="O4" t="s">
        <v>34</v>
      </c>
      <c r="P4" t="s">
        <v>813</v>
      </c>
    </row>
    <row r="5" spans="1:22" x14ac:dyDescent="0.25">
      <c r="A5" s="3" t="s">
        <v>39</v>
      </c>
      <c r="B5" s="3" t="s">
        <v>40</v>
      </c>
      <c r="C5" s="3" t="str">
        <f>CONCATENATE(B5, " ",A5)</f>
        <v>Christopher Brousseau</v>
      </c>
      <c r="D5" s="3">
        <v>21435997</v>
      </c>
      <c r="E5" s="3" t="s">
        <v>41</v>
      </c>
      <c r="F5" s="3" t="str">
        <f>CONCATENATE(2,E5)</f>
        <v>2IANG10217013120001TX016</v>
      </c>
      <c r="G5" s="3" t="s">
        <v>42</v>
      </c>
      <c r="H5" s="4">
        <v>45778</v>
      </c>
      <c r="I5" s="3" t="s">
        <v>43</v>
      </c>
      <c r="J5" s="4">
        <v>45778</v>
      </c>
      <c r="K5" s="1">
        <f>DATE(YEAR(J5), MONTH(J5) +1, DAY(J5))</f>
        <v>45809</v>
      </c>
      <c r="L5" s="3"/>
      <c r="M5" s="3">
        <v>25</v>
      </c>
      <c r="N5" s="3">
        <v>25</v>
      </c>
      <c r="O5" s="3" t="s">
        <v>44</v>
      </c>
      <c r="P5" s="3" t="s">
        <v>814</v>
      </c>
      <c r="Q5" s="3"/>
      <c r="R5" s="3"/>
      <c r="S5" s="3"/>
      <c r="T5" s="3"/>
      <c r="U5" s="3"/>
      <c r="V5" s="3"/>
    </row>
    <row r="6" spans="1:22" x14ac:dyDescent="0.25">
      <c r="A6" t="s">
        <v>35</v>
      </c>
      <c r="B6" t="s">
        <v>36</v>
      </c>
      <c r="C6" t="str">
        <f>CONCATENATE(B6, " ",A6)</f>
        <v>Adam Richter</v>
      </c>
      <c r="D6">
        <v>9079571</v>
      </c>
      <c r="E6" t="s">
        <v>45</v>
      </c>
      <c r="F6" t="str">
        <f>CONCATENATE(2,E6)</f>
        <v>2IANG10194338970002MD016</v>
      </c>
      <c r="G6" t="s">
        <v>46</v>
      </c>
      <c r="H6" s="1">
        <v>45323</v>
      </c>
      <c r="I6" t="s">
        <v>33</v>
      </c>
      <c r="J6" s="1">
        <v>45778</v>
      </c>
      <c r="K6" s="1">
        <f>DATE(YEAR(J6), MONTH(J6) +1, DAY(J6))</f>
        <v>45809</v>
      </c>
      <c r="M6">
        <v>10</v>
      </c>
      <c r="N6">
        <v>10</v>
      </c>
      <c r="O6" t="s">
        <v>34</v>
      </c>
      <c r="P6" t="s">
        <v>813</v>
      </c>
    </row>
    <row r="7" spans="1:22" x14ac:dyDescent="0.25">
      <c r="A7" t="s">
        <v>47</v>
      </c>
      <c r="B7" t="s">
        <v>48</v>
      </c>
      <c r="C7" t="str">
        <f>CONCATENATE(B7, " ",A7)</f>
        <v>GARY PORTUGAL</v>
      </c>
      <c r="D7">
        <v>9213293</v>
      </c>
      <c r="E7" t="s">
        <v>49</v>
      </c>
      <c r="F7" t="str">
        <f>CONCATENATE(2,E7)</f>
        <v>2IANG10185592290001IL016</v>
      </c>
      <c r="G7" t="s">
        <v>50</v>
      </c>
      <c r="H7" s="1">
        <v>45261</v>
      </c>
      <c r="I7" t="s">
        <v>51</v>
      </c>
      <c r="J7" s="1">
        <v>45778</v>
      </c>
      <c r="K7" s="1">
        <f>DATE(YEAR(J7), MONTH(J7) +1, DAY(J7))</f>
        <v>45809</v>
      </c>
      <c r="M7">
        <v>20</v>
      </c>
      <c r="N7">
        <v>20</v>
      </c>
      <c r="O7" t="s">
        <v>52</v>
      </c>
      <c r="P7" t="s">
        <v>812</v>
      </c>
    </row>
    <row r="8" spans="1:22" x14ac:dyDescent="0.25">
      <c r="A8" t="s">
        <v>53</v>
      </c>
      <c r="B8" t="s">
        <v>54</v>
      </c>
      <c r="C8" t="str">
        <f>CONCATENATE(B8, " ",A8)</f>
        <v>Ronald Max</v>
      </c>
      <c r="D8">
        <v>5442438</v>
      </c>
      <c r="E8" t="s">
        <v>55</v>
      </c>
      <c r="F8" t="str">
        <f>CONCATENATE(2,E8)</f>
        <v>2IANG10202972340002MD016</v>
      </c>
      <c r="G8" t="s">
        <v>56</v>
      </c>
      <c r="H8" s="1">
        <v>45474</v>
      </c>
      <c r="I8" t="s">
        <v>33</v>
      </c>
      <c r="J8" s="1">
        <v>45778</v>
      </c>
      <c r="K8" s="1">
        <f>DATE(YEAR(J8), MONTH(J8) +1, DAY(J8))</f>
        <v>45809</v>
      </c>
      <c r="L8" t="s">
        <v>810</v>
      </c>
      <c r="M8">
        <v>40</v>
      </c>
      <c r="N8">
        <v>40</v>
      </c>
      <c r="O8" t="s">
        <v>34</v>
      </c>
      <c r="P8" t="s">
        <v>813</v>
      </c>
    </row>
    <row r="9" spans="1:22" x14ac:dyDescent="0.25">
      <c r="A9" t="s">
        <v>57</v>
      </c>
      <c r="B9" t="s">
        <v>58</v>
      </c>
      <c r="C9" t="str">
        <f>CONCATENATE(B9, " ",A9)</f>
        <v>Ryan Caltagirone</v>
      </c>
      <c r="D9">
        <v>8977234</v>
      </c>
      <c r="E9" t="s">
        <v>59</v>
      </c>
      <c r="F9" t="str">
        <f>CONCATENATE(2,E9)</f>
        <v>2IANG10166062160001FL016</v>
      </c>
      <c r="G9" t="s">
        <v>60</v>
      </c>
      <c r="H9" s="1">
        <v>44927</v>
      </c>
      <c r="I9" t="s">
        <v>25</v>
      </c>
      <c r="J9" s="1">
        <v>45778</v>
      </c>
      <c r="K9" s="1">
        <f>DATE(YEAR(J9), MONTH(J9) +1, DAY(J9))</f>
        <v>45809</v>
      </c>
      <c r="M9">
        <v>20</v>
      </c>
      <c r="N9">
        <v>20</v>
      </c>
      <c r="O9" t="s">
        <v>26</v>
      </c>
      <c r="P9" t="s">
        <v>812</v>
      </c>
    </row>
    <row r="10" spans="1:22" x14ac:dyDescent="0.25">
      <c r="A10" t="s">
        <v>35</v>
      </c>
      <c r="B10" t="s">
        <v>36</v>
      </c>
      <c r="C10" t="str">
        <f>CONCATENATE(B10, " ",A10)</f>
        <v>Adam Richter</v>
      </c>
      <c r="D10">
        <v>9079571</v>
      </c>
      <c r="E10" t="s">
        <v>61</v>
      </c>
      <c r="F10" t="str">
        <f>CONCATENATE(2,E10)</f>
        <v>2IANG10203793040002MD016</v>
      </c>
      <c r="G10" t="s">
        <v>62</v>
      </c>
      <c r="H10" s="1">
        <v>45505</v>
      </c>
      <c r="I10" t="s">
        <v>33</v>
      </c>
      <c r="J10" s="1">
        <v>45778</v>
      </c>
      <c r="K10" s="1">
        <f>DATE(YEAR(J10), MONTH(J10) +1, DAY(J10))</f>
        <v>45809</v>
      </c>
      <c r="M10">
        <v>10</v>
      </c>
      <c r="N10">
        <v>10</v>
      </c>
      <c r="O10" t="s">
        <v>34</v>
      </c>
      <c r="P10" t="s">
        <v>813</v>
      </c>
    </row>
    <row r="11" spans="1:22" x14ac:dyDescent="0.25">
      <c r="A11" t="s">
        <v>63</v>
      </c>
      <c r="B11" t="s">
        <v>64</v>
      </c>
      <c r="C11" t="str">
        <f>CONCATENATE(B11, " ",A11)</f>
        <v>Melissa Tatro</v>
      </c>
      <c r="D11">
        <v>14177521</v>
      </c>
      <c r="E11" t="s">
        <v>65</v>
      </c>
      <c r="F11" t="str">
        <f>CONCATENATE(2,E11)</f>
        <v>2IANG10213436880001IL016</v>
      </c>
      <c r="G11" t="s">
        <v>66</v>
      </c>
      <c r="H11" s="1">
        <v>45658</v>
      </c>
      <c r="I11" t="s">
        <v>51</v>
      </c>
      <c r="J11" s="1">
        <v>45778</v>
      </c>
      <c r="K11" s="1">
        <f>DATE(YEAR(J11), MONTH(J11) +1, DAY(J11))</f>
        <v>45809</v>
      </c>
      <c r="M11">
        <v>20</v>
      </c>
      <c r="N11">
        <v>20</v>
      </c>
      <c r="O11" t="s">
        <v>67</v>
      </c>
      <c r="P11" t="s">
        <v>812</v>
      </c>
    </row>
    <row r="12" spans="1:22" x14ac:dyDescent="0.25">
      <c r="A12" t="s">
        <v>47</v>
      </c>
      <c r="B12" t="s">
        <v>48</v>
      </c>
      <c r="C12" t="str">
        <f>CONCATENATE(B12, " ",A12)</f>
        <v>GARY PORTUGAL</v>
      </c>
      <c r="D12">
        <v>9213293</v>
      </c>
      <c r="E12" t="s">
        <v>68</v>
      </c>
      <c r="F12" t="str">
        <f>CONCATENATE(2,E12)</f>
        <v>2IANG10155593000001FL016</v>
      </c>
      <c r="G12" t="s">
        <v>69</v>
      </c>
      <c r="H12" s="1">
        <v>44805</v>
      </c>
      <c r="I12" t="s">
        <v>25</v>
      </c>
      <c r="J12" s="1">
        <v>45778</v>
      </c>
      <c r="K12" s="1">
        <f>DATE(YEAR(J12), MONTH(J12) +1, DAY(J12))</f>
        <v>45809</v>
      </c>
      <c r="M12">
        <v>20</v>
      </c>
      <c r="N12">
        <v>20</v>
      </c>
      <c r="O12" t="s">
        <v>26</v>
      </c>
      <c r="P12" t="s">
        <v>812</v>
      </c>
    </row>
    <row r="13" spans="1:22" x14ac:dyDescent="0.25">
      <c r="A13" t="s">
        <v>70</v>
      </c>
      <c r="B13" t="s">
        <v>71</v>
      </c>
      <c r="C13" t="str">
        <f>CONCATENATE(B13, " ",A13)</f>
        <v>RICHARD YALE</v>
      </c>
      <c r="D13">
        <v>16633294</v>
      </c>
      <c r="E13" t="s">
        <v>72</v>
      </c>
      <c r="F13" t="str">
        <f>CONCATENATE(2,E13)</f>
        <v>2IANG10202315580001FL016</v>
      </c>
      <c r="G13" t="s">
        <v>73</v>
      </c>
      <c r="H13" s="1">
        <v>45474</v>
      </c>
      <c r="I13" t="s">
        <v>25</v>
      </c>
      <c r="J13" s="1">
        <v>45748</v>
      </c>
      <c r="K13" s="1">
        <f>DATE(YEAR(J13), MONTH(J13) +1, DAY(J13))</f>
        <v>45778</v>
      </c>
      <c r="M13">
        <v>20</v>
      </c>
      <c r="N13">
        <v>20</v>
      </c>
      <c r="O13" t="s">
        <v>74</v>
      </c>
      <c r="P13" t="s">
        <v>812</v>
      </c>
    </row>
    <row r="14" spans="1:22" x14ac:dyDescent="0.25">
      <c r="A14" t="s">
        <v>70</v>
      </c>
      <c r="B14" t="s">
        <v>71</v>
      </c>
      <c r="C14" t="str">
        <f>CONCATENATE(B14, " ",A14)</f>
        <v>RICHARD YALE</v>
      </c>
      <c r="D14">
        <v>16633294</v>
      </c>
      <c r="E14" t="s">
        <v>72</v>
      </c>
      <c r="F14" t="str">
        <f>CONCATENATE(2,E14)</f>
        <v>2IANG10202315580001FL016</v>
      </c>
      <c r="G14" t="s">
        <v>73</v>
      </c>
      <c r="H14" s="1">
        <v>45474</v>
      </c>
      <c r="I14" t="s">
        <v>25</v>
      </c>
      <c r="J14" s="1">
        <v>45778</v>
      </c>
      <c r="K14" s="1">
        <f>DATE(YEAR(J14), MONTH(J14) +1, DAY(J14))</f>
        <v>45809</v>
      </c>
      <c r="M14">
        <v>20</v>
      </c>
      <c r="N14">
        <v>20</v>
      </c>
      <c r="O14" t="s">
        <v>74</v>
      </c>
      <c r="P14" t="s">
        <v>812</v>
      </c>
    </row>
    <row r="15" spans="1:22" x14ac:dyDescent="0.25">
      <c r="A15" t="s">
        <v>63</v>
      </c>
      <c r="B15" t="s">
        <v>64</v>
      </c>
      <c r="C15" t="str">
        <f>CONCATENATE(B15, " ",A15)</f>
        <v>Melissa Tatro</v>
      </c>
      <c r="D15">
        <v>14177521</v>
      </c>
      <c r="E15" t="s">
        <v>75</v>
      </c>
      <c r="F15" t="str">
        <f>CONCATENATE(2,E15)</f>
        <v>2IANG10198247850000IL016</v>
      </c>
      <c r="G15" t="s">
        <v>76</v>
      </c>
      <c r="H15" s="1">
        <v>45383</v>
      </c>
      <c r="I15" t="s">
        <v>51</v>
      </c>
      <c r="J15" s="1">
        <v>45778</v>
      </c>
      <c r="K15" s="1">
        <f>DATE(YEAR(J15), MONTH(J15) +1, DAY(J15))</f>
        <v>45809</v>
      </c>
      <c r="M15">
        <v>20</v>
      </c>
      <c r="N15">
        <v>20</v>
      </c>
      <c r="O15" t="s">
        <v>52</v>
      </c>
      <c r="P15" t="s">
        <v>812</v>
      </c>
    </row>
    <row r="16" spans="1:22" x14ac:dyDescent="0.25">
      <c r="A16" t="s">
        <v>35</v>
      </c>
      <c r="B16" t="s">
        <v>36</v>
      </c>
      <c r="C16" t="str">
        <f>CONCATENATE(B16, " ",A16)</f>
        <v>Adam Richter</v>
      </c>
      <c r="D16">
        <v>9079571</v>
      </c>
      <c r="E16" t="s">
        <v>78</v>
      </c>
      <c r="F16" t="str">
        <f>CONCATENATE(2,E16)</f>
        <v>2IANG10189387840002VA016</v>
      </c>
      <c r="G16" t="s">
        <v>79</v>
      </c>
      <c r="H16" s="1">
        <v>45292</v>
      </c>
      <c r="I16" t="s">
        <v>80</v>
      </c>
      <c r="J16" s="1">
        <v>45778</v>
      </c>
      <c r="K16" s="1">
        <f>DATE(YEAR(J16), MONTH(J16) +1, DAY(J16))</f>
        <v>45809</v>
      </c>
      <c r="L16" t="s">
        <v>808</v>
      </c>
      <c r="M16">
        <v>40</v>
      </c>
      <c r="N16">
        <v>40</v>
      </c>
      <c r="O16" t="s">
        <v>81</v>
      </c>
      <c r="P16" t="s">
        <v>812</v>
      </c>
    </row>
    <row r="17" spans="1:16" x14ac:dyDescent="0.25">
      <c r="A17" t="s">
        <v>82</v>
      </c>
      <c r="B17" t="s">
        <v>83</v>
      </c>
      <c r="C17" t="str">
        <f>CONCATENATE(B17, " ",A17)</f>
        <v>Tom Serio</v>
      </c>
      <c r="D17">
        <v>20490188</v>
      </c>
      <c r="E17" t="s">
        <v>84</v>
      </c>
      <c r="F17" t="str">
        <f>CONCATENATE(2,E17)</f>
        <v>2IANG10214305060001IL016</v>
      </c>
      <c r="G17" t="s">
        <v>85</v>
      </c>
      <c r="H17" s="1">
        <v>45689</v>
      </c>
      <c r="I17" t="s">
        <v>51</v>
      </c>
      <c r="J17" s="1">
        <v>45778</v>
      </c>
      <c r="K17" s="1">
        <f>DATE(YEAR(J17), MONTH(J17) +1, DAY(J17))</f>
        <v>45809</v>
      </c>
      <c r="M17">
        <v>20</v>
      </c>
      <c r="N17">
        <v>20</v>
      </c>
      <c r="O17" t="s">
        <v>67</v>
      </c>
      <c r="P17" t="s">
        <v>812</v>
      </c>
    </row>
    <row r="18" spans="1:16" x14ac:dyDescent="0.25">
      <c r="A18" t="s">
        <v>53</v>
      </c>
      <c r="B18" t="s">
        <v>54</v>
      </c>
      <c r="C18" t="str">
        <f>CONCATENATE(B18, " ",A18)</f>
        <v>Ronald Max</v>
      </c>
      <c r="D18">
        <v>5442438</v>
      </c>
      <c r="E18" t="s">
        <v>86</v>
      </c>
      <c r="F18" t="str">
        <f>CONCATENATE(2,E18)</f>
        <v>2IANG10216108130002MD016</v>
      </c>
      <c r="G18" t="s">
        <v>87</v>
      </c>
      <c r="H18" s="1">
        <v>45748</v>
      </c>
      <c r="I18" t="s">
        <v>33</v>
      </c>
      <c r="J18" s="1">
        <v>45778</v>
      </c>
      <c r="K18" s="1">
        <f>DATE(YEAR(J18), MONTH(J18) +1, DAY(J18))</f>
        <v>45809</v>
      </c>
      <c r="M18">
        <v>10</v>
      </c>
      <c r="N18">
        <v>10</v>
      </c>
      <c r="O18" t="s">
        <v>88</v>
      </c>
      <c r="P18" t="s">
        <v>813</v>
      </c>
    </row>
    <row r="19" spans="1:16" x14ac:dyDescent="0.25">
      <c r="A19" t="s">
        <v>89</v>
      </c>
      <c r="B19" t="s">
        <v>90</v>
      </c>
      <c r="C19" t="str">
        <f>CONCATENATE(B19, " ",A19)</f>
        <v>SAADIA ABDUL</v>
      </c>
      <c r="D19">
        <v>19396223</v>
      </c>
      <c r="E19" t="s">
        <v>91</v>
      </c>
      <c r="F19" t="str">
        <f>CONCATENATE(2,E19)</f>
        <v>2IANG10217041200001IL016</v>
      </c>
      <c r="G19" t="s">
        <v>92</v>
      </c>
      <c r="H19" s="1">
        <v>45748</v>
      </c>
      <c r="I19" t="s">
        <v>51</v>
      </c>
      <c r="J19" s="1">
        <v>45778</v>
      </c>
      <c r="K19" s="1">
        <f>DATE(YEAR(J19), MONTH(J19) +1, DAY(J19))</f>
        <v>45809</v>
      </c>
      <c r="M19">
        <v>20</v>
      </c>
      <c r="N19">
        <v>20</v>
      </c>
      <c r="O19" t="s">
        <v>67</v>
      </c>
      <c r="P19" t="s">
        <v>812</v>
      </c>
    </row>
    <row r="20" spans="1:16" x14ac:dyDescent="0.25">
      <c r="A20" t="s">
        <v>93</v>
      </c>
      <c r="B20" t="s">
        <v>94</v>
      </c>
      <c r="C20" t="str">
        <f>CONCATENATE(B20, " ",A20)</f>
        <v>Jacob Yale</v>
      </c>
      <c r="D20">
        <v>18754354</v>
      </c>
      <c r="E20" t="s">
        <v>95</v>
      </c>
      <c r="F20" t="str">
        <f>CONCATENATE(2,E20)</f>
        <v>2IANG10194989610001IL016</v>
      </c>
      <c r="G20" t="s">
        <v>96</v>
      </c>
      <c r="H20" s="1">
        <v>45383</v>
      </c>
      <c r="I20" t="s">
        <v>51</v>
      </c>
      <c r="J20" s="1">
        <v>45778</v>
      </c>
      <c r="K20" s="1">
        <f>DATE(YEAR(J20), MONTH(J20) +1, DAY(J20))</f>
        <v>45809</v>
      </c>
      <c r="M20">
        <v>20</v>
      </c>
      <c r="N20">
        <v>20</v>
      </c>
      <c r="O20" t="s">
        <v>52</v>
      </c>
      <c r="P20" t="s">
        <v>812</v>
      </c>
    </row>
    <row r="21" spans="1:16" x14ac:dyDescent="0.25">
      <c r="A21" t="s">
        <v>97</v>
      </c>
      <c r="B21" t="s">
        <v>98</v>
      </c>
      <c r="C21" t="str">
        <f>CONCATENATE(B21, " ",A21)</f>
        <v>Nasandelger Zana</v>
      </c>
      <c r="D21">
        <v>20220688</v>
      </c>
      <c r="E21" t="s">
        <v>99</v>
      </c>
      <c r="F21" t="str">
        <f>CONCATENATE(2,E21)</f>
        <v>2IANG10190670480001IL016</v>
      </c>
      <c r="G21" t="s">
        <v>100</v>
      </c>
      <c r="H21" s="1">
        <v>45292</v>
      </c>
      <c r="I21" t="s">
        <v>51</v>
      </c>
      <c r="J21" s="1">
        <v>45778</v>
      </c>
      <c r="K21" s="1">
        <f>DATE(YEAR(J21), MONTH(J21) +1, DAY(J21))</f>
        <v>45809</v>
      </c>
      <c r="M21">
        <v>20</v>
      </c>
      <c r="N21">
        <v>20</v>
      </c>
      <c r="O21" t="s">
        <v>52</v>
      </c>
      <c r="P21" t="s">
        <v>812</v>
      </c>
    </row>
    <row r="22" spans="1:16" x14ac:dyDescent="0.25">
      <c r="A22" t="s">
        <v>101</v>
      </c>
      <c r="B22" t="s">
        <v>102</v>
      </c>
      <c r="C22" t="str">
        <f>CONCATENATE(B22, " ",A22)</f>
        <v>Gregory Teipel</v>
      </c>
      <c r="D22">
        <v>8307933</v>
      </c>
      <c r="E22" t="s">
        <v>103</v>
      </c>
      <c r="F22" t="str">
        <f>CONCATENATE(2,E22)</f>
        <v>2IANG10212669940001IL016</v>
      </c>
      <c r="G22" t="s">
        <v>104</v>
      </c>
      <c r="H22" s="1">
        <v>45658</v>
      </c>
      <c r="I22" t="s">
        <v>51</v>
      </c>
      <c r="J22" s="1">
        <v>45778</v>
      </c>
      <c r="K22" s="1">
        <f>DATE(YEAR(J22), MONTH(J22) +1, DAY(J22))</f>
        <v>45809</v>
      </c>
      <c r="M22">
        <v>20</v>
      </c>
      <c r="N22">
        <v>20</v>
      </c>
      <c r="O22" t="s">
        <v>67</v>
      </c>
      <c r="P22" t="s">
        <v>812</v>
      </c>
    </row>
    <row r="23" spans="1:16" x14ac:dyDescent="0.25">
      <c r="A23" t="s">
        <v>105</v>
      </c>
      <c r="B23" t="s">
        <v>106</v>
      </c>
      <c r="C23" t="str">
        <f>CONCATENATE(B23, " ",A23)</f>
        <v>ANTHONY HUNSBERGER</v>
      </c>
      <c r="D23">
        <v>7146581</v>
      </c>
      <c r="E23" t="s">
        <v>107</v>
      </c>
      <c r="F23" t="str">
        <f>CONCATENATE(2,E23)</f>
        <v>2IANG10189333070001IL016</v>
      </c>
      <c r="G23" t="s">
        <v>108</v>
      </c>
      <c r="H23" s="1">
        <v>45292</v>
      </c>
      <c r="I23" t="s">
        <v>51</v>
      </c>
      <c r="J23" s="1">
        <v>45778</v>
      </c>
      <c r="K23" s="1">
        <f>DATE(YEAR(J23), MONTH(J23) +1, DAY(J23))</f>
        <v>45809</v>
      </c>
      <c r="M23">
        <v>20</v>
      </c>
      <c r="N23">
        <v>20</v>
      </c>
      <c r="O23" t="s">
        <v>52</v>
      </c>
      <c r="P23" t="s">
        <v>812</v>
      </c>
    </row>
    <row r="24" spans="1:16" x14ac:dyDescent="0.25">
      <c r="A24" t="s">
        <v>89</v>
      </c>
      <c r="B24" t="s">
        <v>90</v>
      </c>
      <c r="C24" t="str">
        <f>CONCATENATE(B24, " ",A24)</f>
        <v>SAADIA ABDUL</v>
      </c>
      <c r="D24">
        <v>19396223</v>
      </c>
      <c r="E24" t="s">
        <v>109</v>
      </c>
      <c r="F24" t="str">
        <f>CONCATENATE(2,E24)</f>
        <v>2IANG10174961110001IL016</v>
      </c>
      <c r="G24" t="s">
        <v>110</v>
      </c>
      <c r="H24" s="1">
        <v>45139</v>
      </c>
      <c r="I24" t="s">
        <v>51</v>
      </c>
      <c r="J24" s="1">
        <v>45778</v>
      </c>
      <c r="K24" s="1">
        <f>DATE(YEAR(J24), MONTH(J24) +1, DAY(J24))</f>
        <v>45809</v>
      </c>
      <c r="L24" t="s">
        <v>809</v>
      </c>
      <c r="M24">
        <v>60</v>
      </c>
      <c r="N24">
        <v>60</v>
      </c>
      <c r="O24" t="s">
        <v>52</v>
      </c>
      <c r="P24" t="s">
        <v>812</v>
      </c>
    </row>
    <row r="25" spans="1:16" x14ac:dyDescent="0.25">
      <c r="A25" t="s">
        <v>101</v>
      </c>
      <c r="B25" t="s">
        <v>102</v>
      </c>
      <c r="C25" t="str">
        <f>CONCATENATE(B25, " ",A25)</f>
        <v>Gregory Teipel</v>
      </c>
      <c r="D25">
        <v>8307933</v>
      </c>
      <c r="E25" t="s">
        <v>111</v>
      </c>
      <c r="F25" t="str">
        <f>CONCATENATE(2,E25)</f>
        <v>2IANG10165751930001IL016</v>
      </c>
      <c r="G25" t="s">
        <v>112</v>
      </c>
      <c r="H25" s="1">
        <v>44927</v>
      </c>
      <c r="I25" t="s">
        <v>51</v>
      </c>
      <c r="J25" s="1">
        <v>45778</v>
      </c>
      <c r="K25" s="1">
        <f>DATE(YEAR(J25), MONTH(J25) +1, DAY(J25))</f>
        <v>45809</v>
      </c>
      <c r="M25">
        <v>20</v>
      </c>
      <c r="N25">
        <v>20</v>
      </c>
      <c r="O25" t="s">
        <v>52</v>
      </c>
      <c r="P25" t="s">
        <v>812</v>
      </c>
    </row>
    <row r="26" spans="1:16" x14ac:dyDescent="0.25">
      <c r="A26" t="s">
        <v>113</v>
      </c>
      <c r="B26" t="s">
        <v>114</v>
      </c>
      <c r="C26" t="str">
        <f>CONCATENATE(B26, " ",A26)</f>
        <v>Stacey Portugal</v>
      </c>
      <c r="D26">
        <v>19645587</v>
      </c>
      <c r="E26" t="s">
        <v>115</v>
      </c>
      <c r="F26" t="str">
        <f>CONCATENATE(2,E26)</f>
        <v>2IANG10212738270001IL016</v>
      </c>
      <c r="G26" t="s">
        <v>116</v>
      </c>
      <c r="H26" s="1">
        <v>45658</v>
      </c>
      <c r="I26" t="s">
        <v>51</v>
      </c>
      <c r="J26" s="1">
        <v>45778</v>
      </c>
      <c r="K26" s="1">
        <f>DATE(YEAR(J26), MONTH(J26) +1, DAY(J26))</f>
        <v>45809</v>
      </c>
      <c r="M26">
        <v>20</v>
      </c>
      <c r="N26">
        <v>20</v>
      </c>
      <c r="O26" t="s">
        <v>67</v>
      </c>
      <c r="P26" t="s">
        <v>812</v>
      </c>
    </row>
    <row r="27" spans="1:16" x14ac:dyDescent="0.25">
      <c r="A27" t="s">
        <v>117</v>
      </c>
      <c r="B27" t="s">
        <v>118</v>
      </c>
      <c r="C27" t="str">
        <f>CONCATENATE(B27, " ",A27)</f>
        <v>Thomas Pardue</v>
      </c>
      <c r="D27">
        <v>371819</v>
      </c>
      <c r="E27" t="s">
        <v>119</v>
      </c>
      <c r="F27" t="str">
        <f>CONCATENATE(2,E27)</f>
        <v>2IANG10204939350001FL016</v>
      </c>
      <c r="G27" t="s">
        <v>120</v>
      </c>
      <c r="H27" s="1">
        <v>45504</v>
      </c>
      <c r="I27" t="s">
        <v>25</v>
      </c>
      <c r="J27" s="1">
        <v>45778</v>
      </c>
      <c r="K27" s="1">
        <f>DATE(YEAR(J27), MONTH(J27) +1, DAY(J27))</f>
        <v>45809</v>
      </c>
      <c r="L27" t="s">
        <v>808</v>
      </c>
      <c r="M27">
        <v>40</v>
      </c>
      <c r="N27">
        <v>40</v>
      </c>
      <c r="O27" t="s">
        <v>26</v>
      </c>
      <c r="P27" t="s">
        <v>812</v>
      </c>
    </row>
    <row r="28" spans="1:16" x14ac:dyDescent="0.25">
      <c r="A28" t="s">
        <v>19</v>
      </c>
      <c r="B28" t="s">
        <v>20</v>
      </c>
      <c r="C28" t="str">
        <f>CONCATENATE(B28, " ",A28)</f>
        <v>CHRISTIAN TAUGNER</v>
      </c>
      <c r="D28">
        <v>19681796</v>
      </c>
      <c r="E28" t="s">
        <v>121</v>
      </c>
      <c r="F28" t="str">
        <f>CONCATENATE(2,E28)</f>
        <v>2IANG10213397350001IL016</v>
      </c>
      <c r="G28" t="s">
        <v>122</v>
      </c>
      <c r="H28" s="1">
        <v>45658</v>
      </c>
      <c r="I28" t="s">
        <v>51</v>
      </c>
      <c r="J28" s="1">
        <v>45778</v>
      </c>
      <c r="K28" s="1">
        <f>DATE(YEAR(J28), MONTH(J28) +1, DAY(J28))</f>
        <v>45809</v>
      </c>
      <c r="M28">
        <v>20</v>
      </c>
      <c r="N28">
        <v>20</v>
      </c>
      <c r="O28" t="s">
        <v>67</v>
      </c>
      <c r="P28" t="s">
        <v>812</v>
      </c>
    </row>
    <row r="29" spans="1:16" x14ac:dyDescent="0.25">
      <c r="A29" t="s">
        <v>123</v>
      </c>
      <c r="B29" t="s">
        <v>124</v>
      </c>
      <c r="C29" t="str">
        <f>CONCATENATE(B29, " ",A29)</f>
        <v>RICARDO SANTOS</v>
      </c>
      <c r="D29">
        <v>19200754</v>
      </c>
      <c r="E29" t="s">
        <v>125</v>
      </c>
      <c r="F29" t="str">
        <f>CONCATENATE(2,E29)</f>
        <v>2IANG10205742970001IL016</v>
      </c>
      <c r="G29" t="s">
        <v>126</v>
      </c>
      <c r="H29" s="1">
        <v>45566</v>
      </c>
      <c r="I29" t="s">
        <v>51</v>
      </c>
      <c r="J29" s="1">
        <v>45778</v>
      </c>
      <c r="K29" s="1">
        <f>DATE(YEAR(J29), MONTH(J29) +1, DAY(J29))</f>
        <v>45809</v>
      </c>
      <c r="L29" t="s">
        <v>808</v>
      </c>
      <c r="M29">
        <v>40</v>
      </c>
      <c r="N29">
        <v>40</v>
      </c>
      <c r="O29" t="s">
        <v>52</v>
      </c>
      <c r="P29" t="s">
        <v>812</v>
      </c>
    </row>
    <row r="30" spans="1:16" x14ac:dyDescent="0.25">
      <c r="A30" t="s">
        <v>127</v>
      </c>
      <c r="B30" t="s">
        <v>128</v>
      </c>
      <c r="C30" t="str">
        <f>CONCATENATE(B30, " ",A30)</f>
        <v>ANDREW CHOI</v>
      </c>
      <c r="D30">
        <v>7470776</v>
      </c>
      <c r="E30" t="s">
        <v>129</v>
      </c>
      <c r="F30" t="str">
        <f>CONCATENATE(2,E30)</f>
        <v>2IANG10204541900001IL016</v>
      </c>
      <c r="G30" t="s">
        <v>130</v>
      </c>
      <c r="H30" s="1">
        <v>45536</v>
      </c>
      <c r="I30" t="s">
        <v>51</v>
      </c>
      <c r="J30" s="1">
        <v>45778</v>
      </c>
      <c r="K30" s="1">
        <f>DATE(YEAR(J30), MONTH(J30) +1, DAY(J30))</f>
        <v>45809</v>
      </c>
      <c r="L30" t="s">
        <v>808</v>
      </c>
      <c r="M30">
        <v>40</v>
      </c>
      <c r="N30">
        <v>40</v>
      </c>
      <c r="O30" t="s">
        <v>52</v>
      </c>
      <c r="P30" t="s">
        <v>812</v>
      </c>
    </row>
    <row r="31" spans="1:16" x14ac:dyDescent="0.25">
      <c r="A31" t="s">
        <v>93</v>
      </c>
      <c r="B31" t="s">
        <v>94</v>
      </c>
      <c r="C31" t="str">
        <f>CONCATENATE(B31, " ",A31)</f>
        <v>Jacob Yale</v>
      </c>
      <c r="D31">
        <v>18754354</v>
      </c>
      <c r="E31" t="s">
        <v>131</v>
      </c>
      <c r="F31" t="str">
        <f>CONCATENATE(2,E31)</f>
        <v>2IANG10191178280001IL016</v>
      </c>
      <c r="G31" t="s">
        <v>132</v>
      </c>
      <c r="H31" s="1">
        <v>45292</v>
      </c>
      <c r="I31" t="s">
        <v>51</v>
      </c>
      <c r="J31" s="1">
        <v>45778</v>
      </c>
      <c r="K31" s="1">
        <f>DATE(YEAR(J31), MONTH(J31) +1, DAY(J31))</f>
        <v>45809</v>
      </c>
      <c r="L31" t="s">
        <v>808</v>
      </c>
      <c r="M31">
        <v>40</v>
      </c>
      <c r="N31">
        <v>40</v>
      </c>
      <c r="O31" t="s">
        <v>52</v>
      </c>
      <c r="P31" t="s">
        <v>812</v>
      </c>
    </row>
    <row r="32" spans="1:16" x14ac:dyDescent="0.25">
      <c r="A32" t="s">
        <v>57</v>
      </c>
      <c r="B32" t="s">
        <v>58</v>
      </c>
      <c r="C32" t="str">
        <f>CONCATENATE(B32, " ",A32)</f>
        <v>Ryan Caltagirone</v>
      </c>
      <c r="D32">
        <v>8977234</v>
      </c>
      <c r="E32" t="s">
        <v>133</v>
      </c>
      <c r="F32" t="str">
        <f>CONCATENATE(2,E32)</f>
        <v>2IANG10168882670001AZ018</v>
      </c>
      <c r="G32" t="s">
        <v>134</v>
      </c>
      <c r="H32" s="1">
        <v>44958</v>
      </c>
      <c r="I32" t="s">
        <v>135</v>
      </c>
      <c r="J32" s="1">
        <v>45778</v>
      </c>
      <c r="K32" s="1">
        <f>DATE(YEAR(J32), MONTH(J32) +1, DAY(J32))</f>
        <v>45809</v>
      </c>
      <c r="M32">
        <v>20</v>
      </c>
      <c r="N32">
        <v>20</v>
      </c>
      <c r="O32" t="s">
        <v>136</v>
      </c>
      <c r="P32" t="s">
        <v>812</v>
      </c>
    </row>
    <row r="33" spans="1:22" x14ac:dyDescent="0.25">
      <c r="A33" t="s">
        <v>101</v>
      </c>
      <c r="B33" t="s">
        <v>102</v>
      </c>
      <c r="C33" t="str">
        <f>CONCATENATE(B33, " ",A33)</f>
        <v>Gregory Teipel</v>
      </c>
      <c r="D33">
        <v>8307933</v>
      </c>
      <c r="E33" t="s">
        <v>138</v>
      </c>
      <c r="F33" t="str">
        <f>CONCATENATE(2,E33)</f>
        <v>2IANG10211842470001UT016</v>
      </c>
      <c r="G33" t="s">
        <v>139</v>
      </c>
      <c r="H33" s="1">
        <v>45658</v>
      </c>
      <c r="I33" t="s">
        <v>140</v>
      </c>
      <c r="J33" s="1">
        <v>45778</v>
      </c>
      <c r="K33" s="1">
        <f>DATE(YEAR(J33), MONTH(J33) +1, DAY(J33))</f>
        <v>45809</v>
      </c>
      <c r="M33">
        <v>21</v>
      </c>
      <c r="N33">
        <v>21</v>
      </c>
      <c r="O33" t="s">
        <v>141</v>
      </c>
      <c r="P33" t="s">
        <v>815</v>
      </c>
    </row>
    <row r="34" spans="1:22" x14ac:dyDescent="0.25">
      <c r="A34" t="s">
        <v>105</v>
      </c>
      <c r="B34" t="s">
        <v>106</v>
      </c>
      <c r="C34" t="str">
        <f>CONCATENATE(B34, " ",A34)</f>
        <v>ANTHONY HUNSBERGER</v>
      </c>
      <c r="D34">
        <v>7146581</v>
      </c>
      <c r="E34" t="s">
        <v>142</v>
      </c>
      <c r="F34" t="str">
        <f>CONCATENATE(2,E34)</f>
        <v>2IANG10212924450001IL016</v>
      </c>
      <c r="G34" t="s">
        <v>143</v>
      </c>
      <c r="H34" s="1">
        <v>45658</v>
      </c>
      <c r="I34" t="s">
        <v>51</v>
      </c>
      <c r="J34" s="1">
        <v>45778</v>
      </c>
      <c r="K34" s="1">
        <f>DATE(YEAR(J34), MONTH(J34) +1, DAY(J34))</f>
        <v>45809</v>
      </c>
      <c r="M34">
        <v>20</v>
      </c>
      <c r="N34">
        <v>20</v>
      </c>
      <c r="O34" t="s">
        <v>67</v>
      </c>
      <c r="P34" t="s">
        <v>812</v>
      </c>
    </row>
    <row r="35" spans="1:22" x14ac:dyDescent="0.25">
      <c r="A35" t="s">
        <v>35</v>
      </c>
      <c r="B35" t="s">
        <v>36</v>
      </c>
      <c r="C35" t="str">
        <f>CONCATENATE(B35, " ",A35)</f>
        <v>Adam Richter</v>
      </c>
      <c r="D35">
        <v>9079571</v>
      </c>
      <c r="E35" t="s">
        <v>144</v>
      </c>
      <c r="F35" t="str">
        <f>CONCATENATE(2,E35)</f>
        <v>2IANG10203415750002MD016</v>
      </c>
      <c r="G35" t="s">
        <v>145</v>
      </c>
      <c r="H35" s="1">
        <v>45505</v>
      </c>
      <c r="I35" t="s">
        <v>33</v>
      </c>
      <c r="J35" s="1">
        <v>45778</v>
      </c>
      <c r="K35" s="1">
        <f>DATE(YEAR(J35), MONTH(J35) +1, DAY(J35))</f>
        <v>45809</v>
      </c>
      <c r="L35" t="s">
        <v>808</v>
      </c>
      <c r="M35">
        <v>20</v>
      </c>
      <c r="N35">
        <v>20</v>
      </c>
      <c r="O35" t="s">
        <v>34</v>
      </c>
      <c r="P35" t="s">
        <v>813</v>
      </c>
    </row>
    <row r="36" spans="1:22" x14ac:dyDescent="0.25">
      <c r="A36" t="s">
        <v>93</v>
      </c>
      <c r="B36" t="s">
        <v>94</v>
      </c>
      <c r="C36" t="str">
        <f>CONCATENATE(B36, " ",A36)</f>
        <v>Jacob Yale</v>
      </c>
      <c r="D36">
        <v>18754354</v>
      </c>
      <c r="E36" t="s">
        <v>146</v>
      </c>
      <c r="F36" t="str">
        <f>CONCATENATE(2,E36)</f>
        <v>2IANG10212622830001IL016</v>
      </c>
      <c r="G36" t="s">
        <v>147</v>
      </c>
      <c r="H36" s="1">
        <v>45658</v>
      </c>
      <c r="I36" t="s">
        <v>51</v>
      </c>
      <c r="J36" s="1">
        <v>45778</v>
      </c>
      <c r="K36" s="1">
        <f>DATE(YEAR(J36), MONTH(J36) +1, DAY(J36))</f>
        <v>45809</v>
      </c>
      <c r="L36" t="s">
        <v>808</v>
      </c>
      <c r="M36">
        <v>40</v>
      </c>
      <c r="N36">
        <v>40</v>
      </c>
      <c r="O36" t="s">
        <v>67</v>
      </c>
      <c r="P36" t="s">
        <v>812</v>
      </c>
    </row>
    <row r="37" spans="1:22" x14ac:dyDescent="0.25">
      <c r="A37" t="s">
        <v>57</v>
      </c>
      <c r="B37" t="s">
        <v>58</v>
      </c>
      <c r="C37" t="str">
        <f>CONCATENATE(B37, " ",A37)</f>
        <v>Ryan Caltagirone</v>
      </c>
      <c r="D37">
        <v>8977234</v>
      </c>
      <c r="E37" t="s">
        <v>148</v>
      </c>
      <c r="F37" t="str">
        <f>CONCATENATE(2,E37)</f>
        <v>2IANG10214047200001IL016</v>
      </c>
      <c r="G37" t="s">
        <v>149</v>
      </c>
      <c r="H37" s="1">
        <v>45689</v>
      </c>
      <c r="I37" t="s">
        <v>51</v>
      </c>
      <c r="J37" s="1">
        <v>45778</v>
      </c>
      <c r="K37" s="1">
        <f>DATE(YEAR(J37), MONTH(J37) +1, DAY(J37))</f>
        <v>45809</v>
      </c>
      <c r="M37">
        <v>20</v>
      </c>
      <c r="N37">
        <v>20</v>
      </c>
      <c r="O37" t="s">
        <v>67</v>
      </c>
      <c r="P37" t="s">
        <v>812</v>
      </c>
    </row>
    <row r="38" spans="1:22" x14ac:dyDescent="0.25">
      <c r="A38" t="s">
        <v>150</v>
      </c>
      <c r="B38" t="s">
        <v>71</v>
      </c>
      <c r="C38" t="str">
        <f>CONCATENATE(B38, " ",A38)</f>
        <v>RICHARD WUENSCH</v>
      </c>
      <c r="D38">
        <v>19615078</v>
      </c>
      <c r="E38" t="s">
        <v>151</v>
      </c>
      <c r="F38" t="str">
        <f>CONCATENATE(2,E38)</f>
        <v>2IANG10212754120001IL016</v>
      </c>
      <c r="G38" t="s">
        <v>152</v>
      </c>
      <c r="H38" s="1">
        <v>45658</v>
      </c>
      <c r="I38" t="s">
        <v>51</v>
      </c>
      <c r="J38" s="1">
        <v>45778</v>
      </c>
      <c r="K38" s="1">
        <f>DATE(YEAR(J38), MONTH(J38) +1, DAY(J38))</f>
        <v>45809</v>
      </c>
      <c r="M38">
        <v>20</v>
      </c>
      <c r="N38">
        <v>20</v>
      </c>
      <c r="O38" t="s">
        <v>67</v>
      </c>
      <c r="P38" t="s">
        <v>812</v>
      </c>
    </row>
    <row r="39" spans="1:22" x14ac:dyDescent="0.25">
      <c r="A39" t="s">
        <v>101</v>
      </c>
      <c r="B39" t="s">
        <v>102</v>
      </c>
      <c r="C39" t="str">
        <f>CONCATENATE(B39, " ",A39)</f>
        <v>Gregory Teipel</v>
      </c>
      <c r="D39">
        <v>8307933</v>
      </c>
      <c r="E39" t="s">
        <v>153</v>
      </c>
      <c r="F39" t="str">
        <f>CONCATENATE(2,E39)</f>
        <v>2IANG10186976740001MO016</v>
      </c>
      <c r="G39" t="s">
        <v>154</v>
      </c>
      <c r="H39" s="1">
        <v>45292</v>
      </c>
      <c r="I39" t="s">
        <v>155</v>
      </c>
      <c r="J39" s="1">
        <v>45778</v>
      </c>
      <c r="K39" s="1">
        <f>DATE(YEAR(J39), MONTH(J39) +1, DAY(J39))</f>
        <v>45809</v>
      </c>
      <c r="M39">
        <v>20</v>
      </c>
      <c r="N39">
        <v>20</v>
      </c>
      <c r="O39" t="s">
        <v>156</v>
      </c>
      <c r="P39" t="s">
        <v>812</v>
      </c>
    </row>
    <row r="40" spans="1:22" x14ac:dyDescent="0.25">
      <c r="A40" t="s">
        <v>35</v>
      </c>
      <c r="B40" t="s">
        <v>36</v>
      </c>
      <c r="C40" t="str">
        <f>CONCATENATE(B40, " ",A40)</f>
        <v>Adam Richter</v>
      </c>
      <c r="D40">
        <v>9079571</v>
      </c>
      <c r="E40" t="s">
        <v>157</v>
      </c>
      <c r="F40" t="str">
        <f>CONCATENATE(2,E40)</f>
        <v>2IANG10208095270002MD016</v>
      </c>
      <c r="G40" t="s">
        <v>158</v>
      </c>
      <c r="H40" s="1">
        <v>45597</v>
      </c>
      <c r="I40" t="s">
        <v>33</v>
      </c>
      <c r="J40" s="1">
        <v>45778</v>
      </c>
      <c r="K40" s="1">
        <f>DATE(YEAR(J40), MONTH(J40) +1, DAY(J40))</f>
        <v>45809</v>
      </c>
      <c r="M40">
        <v>10</v>
      </c>
      <c r="N40">
        <v>10</v>
      </c>
      <c r="O40" t="s">
        <v>34</v>
      </c>
      <c r="P40" t="s">
        <v>813</v>
      </c>
    </row>
    <row r="41" spans="1:22" x14ac:dyDescent="0.25">
      <c r="A41" t="s">
        <v>70</v>
      </c>
      <c r="B41" t="s">
        <v>71</v>
      </c>
      <c r="C41" t="str">
        <f>CONCATENATE(B41, " ",A41)</f>
        <v>RICHARD YALE</v>
      </c>
      <c r="D41">
        <v>16633294</v>
      </c>
      <c r="E41" t="s">
        <v>159</v>
      </c>
      <c r="F41" t="str">
        <f>CONCATENATE(2,E41)</f>
        <v>2IANG10209167890001IL016</v>
      </c>
      <c r="G41" t="s">
        <v>160</v>
      </c>
      <c r="H41" s="1">
        <v>45597</v>
      </c>
      <c r="I41" t="s">
        <v>51</v>
      </c>
      <c r="J41" s="1">
        <v>45778</v>
      </c>
      <c r="K41" s="1">
        <f>DATE(YEAR(J41), MONTH(J41) +1, DAY(J41))</f>
        <v>45809</v>
      </c>
      <c r="M41">
        <v>20</v>
      </c>
      <c r="N41">
        <v>20</v>
      </c>
      <c r="O41" t="s">
        <v>52</v>
      </c>
      <c r="P41" t="s">
        <v>812</v>
      </c>
    </row>
    <row r="42" spans="1:22" x14ac:dyDescent="0.25">
      <c r="A42" t="s">
        <v>35</v>
      </c>
      <c r="B42" t="s">
        <v>36</v>
      </c>
      <c r="C42" t="str">
        <f>CONCATENATE(B42, " ",A42)</f>
        <v>Adam Richter</v>
      </c>
      <c r="D42">
        <v>9079571</v>
      </c>
      <c r="E42" t="s">
        <v>161</v>
      </c>
      <c r="F42" t="str">
        <f>CONCATENATE(2,E42)</f>
        <v>2IANG10212798830002MD016</v>
      </c>
      <c r="G42" t="s">
        <v>162</v>
      </c>
      <c r="H42" s="1">
        <v>45658</v>
      </c>
      <c r="I42" t="s">
        <v>33</v>
      </c>
      <c r="J42" s="1">
        <v>45778</v>
      </c>
      <c r="K42" s="1">
        <f>DATE(YEAR(J42), MONTH(J42) +1, DAY(J42))</f>
        <v>45809</v>
      </c>
      <c r="M42">
        <v>10</v>
      </c>
      <c r="N42">
        <v>10</v>
      </c>
      <c r="O42" t="s">
        <v>88</v>
      </c>
      <c r="P42" t="s">
        <v>813</v>
      </c>
    </row>
    <row r="43" spans="1:22" x14ac:dyDescent="0.25">
      <c r="A43" t="s">
        <v>163</v>
      </c>
      <c r="B43" t="s">
        <v>164</v>
      </c>
      <c r="C43" t="str">
        <f>CONCATENATE(B43, " ",A43)</f>
        <v>BARRY SCHUMANN</v>
      </c>
      <c r="D43">
        <v>19586992</v>
      </c>
      <c r="E43" t="s">
        <v>165</v>
      </c>
      <c r="F43" t="str">
        <f>CONCATENATE(2,E43)</f>
        <v>2IANG10216292700001AZ018</v>
      </c>
      <c r="G43" t="s">
        <v>166</v>
      </c>
      <c r="H43" s="1">
        <v>45748</v>
      </c>
      <c r="I43" t="s">
        <v>135</v>
      </c>
      <c r="J43" s="1">
        <v>45778</v>
      </c>
      <c r="K43" s="1">
        <f>DATE(YEAR(J43), MONTH(J43) +1, DAY(J43))</f>
        <v>45809</v>
      </c>
      <c r="M43">
        <v>20</v>
      </c>
      <c r="N43">
        <v>20</v>
      </c>
      <c r="O43" t="s">
        <v>167</v>
      </c>
      <c r="P43" t="s">
        <v>812</v>
      </c>
    </row>
    <row r="44" spans="1:22" x14ac:dyDescent="0.25">
      <c r="A44" s="3" t="s">
        <v>168</v>
      </c>
      <c r="B44" s="3" t="s">
        <v>169</v>
      </c>
      <c r="C44" s="3" t="str">
        <f>CONCATENATE(B44, " ",A44)</f>
        <v>Kirk Tigue</v>
      </c>
      <c r="D44" s="3">
        <v>21421111</v>
      </c>
      <c r="E44" s="3" t="s">
        <v>170</v>
      </c>
      <c r="F44" s="3" t="str">
        <f>CONCATENATE(2,E44)</f>
        <v>2IANG10216374400001AZ018</v>
      </c>
      <c r="G44" s="3" t="s">
        <v>171</v>
      </c>
      <c r="H44" s="4">
        <v>45748</v>
      </c>
      <c r="I44" s="3" t="s">
        <v>135</v>
      </c>
      <c r="J44" s="4">
        <v>45778</v>
      </c>
      <c r="K44" s="1">
        <f>DATE(YEAR(J44), MONTH(J44) +1, DAY(J44))</f>
        <v>45809</v>
      </c>
      <c r="L44" s="3" t="s">
        <v>811</v>
      </c>
      <c r="M44" s="3">
        <v>100</v>
      </c>
      <c r="N44" s="3">
        <v>100</v>
      </c>
      <c r="O44" s="3" t="s">
        <v>167</v>
      </c>
      <c r="P44" s="3" t="s">
        <v>812</v>
      </c>
      <c r="Q44" s="3"/>
      <c r="R44" s="3"/>
      <c r="S44" s="3"/>
      <c r="T44" s="3"/>
      <c r="U44" s="3"/>
      <c r="V44" s="3"/>
    </row>
    <row r="45" spans="1:22" x14ac:dyDescent="0.25">
      <c r="A45" t="s">
        <v>35</v>
      </c>
      <c r="B45" t="s">
        <v>36</v>
      </c>
      <c r="C45" t="str">
        <f>CONCATENATE(B45, " ",A45)</f>
        <v>Adam Richter</v>
      </c>
      <c r="D45">
        <v>9079571</v>
      </c>
      <c r="E45" t="s">
        <v>172</v>
      </c>
      <c r="F45" t="str">
        <f>CONCATENATE(2,E45)</f>
        <v>2IANG10214172240002MD016</v>
      </c>
      <c r="G45" t="s">
        <v>173</v>
      </c>
      <c r="H45" s="1">
        <v>45474</v>
      </c>
      <c r="I45" t="s">
        <v>33</v>
      </c>
      <c r="J45" s="1">
        <v>45778</v>
      </c>
      <c r="K45" s="1">
        <f>DATE(YEAR(J45), MONTH(J45) +1, DAY(J45))</f>
        <v>45809</v>
      </c>
      <c r="M45">
        <v>10</v>
      </c>
      <c r="N45">
        <v>10</v>
      </c>
      <c r="O45" t="s">
        <v>88</v>
      </c>
      <c r="P45" t="s">
        <v>813</v>
      </c>
    </row>
    <row r="46" spans="1:22" x14ac:dyDescent="0.25">
      <c r="A46" t="s">
        <v>174</v>
      </c>
      <c r="B46" t="s">
        <v>175</v>
      </c>
      <c r="C46" t="str">
        <f>CONCATENATE(B46, " ",A46)</f>
        <v>FRANK LISKOVEC</v>
      </c>
      <c r="D46">
        <v>8814784</v>
      </c>
      <c r="E46" t="s">
        <v>176</v>
      </c>
      <c r="F46" t="str">
        <f>CONCATENATE(2,E46)</f>
        <v>2IANG10213261650001IL016</v>
      </c>
      <c r="G46" t="s">
        <v>177</v>
      </c>
      <c r="H46" s="1">
        <v>45658</v>
      </c>
      <c r="I46" t="s">
        <v>51</v>
      </c>
      <c r="J46" s="1">
        <v>45778</v>
      </c>
      <c r="K46" s="1">
        <f>DATE(YEAR(J46), MONTH(J46) +1, DAY(J46))</f>
        <v>45809</v>
      </c>
      <c r="M46">
        <v>20</v>
      </c>
      <c r="N46">
        <v>20</v>
      </c>
      <c r="O46" t="s">
        <v>67</v>
      </c>
      <c r="P46" t="s">
        <v>812</v>
      </c>
    </row>
    <row r="47" spans="1:22" x14ac:dyDescent="0.25">
      <c r="A47" t="s">
        <v>19</v>
      </c>
      <c r="B47" t="s">
        <v>20</v>
      </c>
      <c r="C47" t="str">
        <f>CONCATENATE(B47, " ",A47)</f>
        <v>CHRISTIAN TAUGNER</v>
      </c>
      <c r="D47">
        <v>19681796</v>
      </c>
      <c r="E47" t="s">
        <v>178</v>
      </c>
      <c r="F47" t="str">
        <f>CONCATENATE(2,E47)</f>
        <v>2IANG10212634020001IL016</v>
      </c>
      <c r="G47" t="s">
        <v>179</v>
      </c>
      <c r="H47" s="1">
        <v>45658</v>
      </c>
      <c r="I47" t="s">
        <v>51</v>
      </c>
      <c r="J47" s="1">
        <v>45778</v>
      </c>
      <c r="K47" s="1">
        <f>DATE(YEAR(J47), MONTH(J47) +1, DAY(J47))</f>
        <v>45809</v>
      </c>
      <c r="L47" t="s">
        <v>809</v>
      </c>
      <c r="M47">
        <v>60</v>
      </c>
      <c r="N47">
        <v>60</v>
      </c>
      <c r="O47" t="s">
        <v>67</v>
      </c>
      <c r="P47" t="s">
        <v>812</v>
      </c>
    </row>
    <row r="48" spans="1:22" x14ac:dyDescent="0.25">
      <c r="A48" t="s">
        <v>35</v>
      </c>
      <c r="B48" t="s">
        <v>36</v>
      </c>
      <c r="C48" t="str">
        <f>CONCATENATE(B48, " ",A48)</f>
        <v>Adam Richter</v>
      </c>
      <c r="D48">
        <v>9079571</v>
      </c>
      <c r="E48" t="s">
        <v>180</v>
      </c>
      <c r="F48" t="str">
        <f>CONCATENATE(2,E48)</f>
        <v>2IANG10211253550002MD016</v>
      </c>
      <c r="G48" t="s">
        <v>181</v>
      </c>
      <c r="H48" s="1">
        <v>45627</v>
      </c>
      <c r="I48" t="s">
        <v>33</v>
      </c>
      <c r="J48" s="1">
        <v>45778</v>
      </c>
      <c r="K48" s="1">
        <f>DATE(YEAR(J48), MONTH(J48) +1, DAY(J48))</f>
        <v>45809</v>
      </c>
      <c r="L48" t="s">
        <v>808</v>
      </c>
      <c r="M48">
        <v>20</v>
      </c>
      <c r="N48">
        <v>20</v>
      </c>
      <c r="O48" t="s">
        <v>34</v>
      </c>
      <c r="P48" t="s">
        <v>813</v>
      </c>
    </row>
    <row r="49" spans="1:16" x14ac:dyDescent="0.25">
      <c r="A49" t="s">
        <v>35</v>
      </c>
      <c r="B49" t="s">
        <v>36</v>
      </c>
      <c r="C49" t="str">
        <f>CONCATENATE(B49, " ",A49)</f>
        <v>Adam Richter</v>
      </c>
      <c r="D49">
        <v>9079571</v>
      </c>
      <c r="E49" t="s">
        <v>182</v>
      </c>
      <c r="F49" t="str">
        <f>CONCATENATE(2,E49)</f>
        <v>2IANG10200048470002MD016</v>
      </c>
      <c r="G49" t="s">
        <v>183</v>
      </c>
      <c r="H49" s="1">
        <v>45413</v>
      </c>
      <c r="I49" t="s">
        <v>33</v>
      </c>
      <c r="J49" s="1">
        <v>45778</v>
      </c>
      <c r="K49" s="1">
        <f>DATE(YEAR(J49), MONTH(J49) +1, DAY(J49))</f>
        <v>45809</v>
      </c>
      <c r="M49">
        <v>10</v>
      </c>
      <c r="N49">
        <v>10</v>
      </c>
      <c r="O49" t="s">
        <v>34</v>
      </c>
      <c r="P49" t="s">
        <v>813</v>
      </c>
    </row>
    <row r="50" spans="1:16" x14ac:dyDescent="0.25">
      <c r="A50" t="s">
        <v>70</v>
      </c>
      <c r="B50" t="s">
        <v>71</v>
      </c>
      <c r="C50" t="str">
        <f>CONCATENATE(B50, " ",A50)</f>
        <v>RICHARD YALE</v>
      </c>
      <c r="D50">
        <v>16633294</v>
      </c>
      <c r="E50" t="s">
        <v>184</v>
      </c>
      <c r="F50" t="str">
        <f>CONCATENATE(2,E50)</f>
        <v>2IANG10166957560001IL016</v>
      </c>
      <c r="G50" t="s">
        <v>185</v>
      </c>
      <c r="H50" s="1">
        <v>44927</v>
      </c>
      <c r="I50" t="s">
        <v>51</v>
      </c>
      <c r="J50" s="1">
        <v>45778</v>
      </c>
      <c r="K50" s="1">
        <f>DATE(YEAR(J50), MONTH(J50) +1, DAY(J50))</f>
        <v>45809</v>
      </c>
      <c r="M50">
        <v>20</v>
      </c>
      <c r="N50">
        <v>20</v>
      </c>
      <c r="O50" t="s">
        <v>52</v>
      </c>
      <c r="P50" t="s">
        <v>812</v>
      </c>
    </row>
    <row r="51" spans="1:16" x14ac:dyDescent="0.25">
      <c r="A51" t="s">
        <v>35</v>
      </c>
      <c r="B51" t="s">
        <v>36</v>
      </c>
      <c r="C51" t="str">
        <f>CONCATENATE(B51, " ",A51)</f>
        <v>Adam Richter</v>
      </c>
      <c r="D51">
        <v>9079571</v>
      </c>
      <c r="E51" t="s">
        <v>186</v>
      </c>
      <c r="F51" t="str">
        <f>CONCATENATE(2,E51)</f>
        <v>2IANG10199904090002VA017</v>
      </c>
      <c r="G51" t="s">
        <v>187</v>
      </c>
      <c r="H51" s="1">
        <v>45413</v>
      </c>
      <c r="I51" t="s">
        <v>80</v>
      </c>
      <c r="J51" s="1">
        <v>45778</v>
      </c>
      <c r="K51" s="1">
        <f>DATE(YEAR(J51), MONTH(J51) +1, DAY(J51))</f>
        <v>45809</v>
      </c>
      <c r="L51" t="s">
        <v>808</v>
      </c>
      <c r="M51">
        <v>40</v>
      </c>
      <c r="N51">
        <v>40</v>
      </c>
      <c r="O51" t="s">
        <v>188</v>
      </c>
      <c r="P51" t="s">
        <v>812</v>
      </c>
    </row>
    <row r="52" spans="1:16" x14ac:dyDescent="0.25">
      <c r="A52" t="s">
        <v>35</v>
      </c>
      <c r="B52" t="s">
        <v>36</v>
      </c>
      <c r="C52" t="str">
        <f>CONCATENATE(B52, " ",A52)</f>
        <v>Adam Richter</v>
      </c>
      <c r="D52">
        <v>9079571</v>
      </c>
      <c r="E52" t="s">
        <v>190</v>
      </c>
      <c r="F52" t="str">
        <f>CONCATENATE(2,E52)</f>
        <v>2IANG10205680780002MD016</v>
      </c>
      <c r="G52" t="s">
        <v>191</v>
      </c>
      <c r="H52" s="1">
        <v>45536</v>
      </c>
      <c r="I52" t="s">
        <v>33</v>
      </c>
      <c r="J52" s="1">
        <v>45778</v>
      </c>
      <c r="K52" s="1">
        <f>DATE(YEAR(J52), MONTH(J52) +1, DAY(J52))</f>
        <v>45809</v>
      </c>
      <c r="L52" t="s">
        <v>808</v>
      </c>
      <c r="M52">
        <v>20</v>
      </c>
      <c r="N52">
        <v>20</v>
      </c>
      <c r="O52" t="s">
        <v>34</v>
      </c>
      <c r="P52" t="s">
        <v>813</v>
      </c>
    </row>
    <row r="53" spans="1:16" x14ac:dyDescent="0.25">
      <c r="A53" t="s">
        <v>123</v>
      </c>
      <c r="B53" t="s">
        <v>124</v>
      </c>
      <c r="C53" t="str">
        <f>CONCATENATE(B53, " ",A53)</f>
        <v>RICARDO SANTOS</v>
      </c>
      <c r="D53">
        <v>19200754</v>
      </c>
      <c r="E53" t="s">
        <v>192</v>
      </c>
      <c r="F53" t="str">
        <f>CONCATENATE(2,E53)</f>
        <v>2IANG10167384580001IL016</v>
      </c>
      <c r="G53" t="s">
        <v>193</v>
      </c>
      <c r="H53" s="1">
        <v>44927</v>
      </c>
      <c r="I53" t="s">
        <v>51</v>
      </c>
      <c r="J53" s="1">
        <v>45778</v>
      </c>
      <c r="K53" s="1">
        <f>DATE(YEAR(J53), MONTH(J53) +1, DAY(J53))</f>
        <v>45809</v>
      </c>
      <c r="M53">
        <v>20</v>
      </c>
      <c r="N53">
        <v>20</v>
      </c>
      <c r="O53" t="s">
        <v>52</v>
      </c>
      <c r="P53" t="s">
        <v>812</v>
      </c>
    </row>
    <row r="54" spans="1:16" x14ac:dyDescent="0.25">
      <c r="A54" t="s">
        <v>47</v>
      </c>
      <c r="B54" t="s">
        <v>48</v>
      </c>
      <c r="C54" t="str">
        <f>CONCATENATE(B54, " ",A54)</f>
        <v>GARY PORTUGAL</v>
      </c>
      <c r="D54">
        <v>9213293</v>
      </c>
      <c r="E54" t="s">
        <v>194</v>
      </c>
      <c r="F54" t="str">
        <f>CONCATENATE(2,E54)</f>
        <v>2IANG10212554380001IL016</v>
      </c>
      <c r="G54" t="s">
        <v>195</v>
      </c>
      <c r="H54" s="1">
        <v>45658</v>
      </c>
      <c r="I54" t="s">
        <v>51</v>
      </c>
      <c r="J54" s="1">
        <v>45778</v>
      </c>
      <c r="K54" s="1">
        <f>DATE(YEAR(J54), MONTH(J54) +1, DAY(J54))</f>
        <v>45809</v>
      </c>
      <c r="L54" t="s">
        <v>808</v>
      </c>
      <c r="M54">
        <v>40</v>
      </c>
      <c r="N54">
        <v>40</v>
      </c>
      <c r="O54" t="s">
        <v>67</v>
      </c>
      <c r="P54" t="s">
        <v>812</v>
      </c>
    </row>
    <row r="55" spans="1:16" x14ac:dyDescent="0.25">
      <c r="A55" t="s">
        <v>117</v>
      </c>
      <c r="B55" t="s">
        <v>118</v>
      </c>
      <c r="C55" t="str">
        <f>CONCATENATE(B55, " ",A55)</f>
        <v>Thomas Pardue</v>
      </c>
      <c r="D55" t="s">
        <v>817</v>
      </c>
      <c r="E55" t="s">
        <v>196</v>
      </c>
      <c r="F55" t="str">
        <f>CONCATENATE(2,E55)</f>
        <v>2IANG10183295570001UT016</v>
      </c>
      <c r="G55" t="s">
        <v>197</v>
      </c>
      <c r="H55" s="1">
        <v>45292</v>
      </c>
      <c r="I55" t="s">
        <v>140</v>
      </c>
      <c r="J55" s="1">
        <v>45778</v>
      </c>
      <c r="K55" s="1">
        <f>DATE(YEAR(J55), MONTH(J55) +1, DAY(J55))</f>
        <v>45809</v>
      </c>
      <c r="M55">
        <v>21</v>
      </c>
      <c r="N55">
        <v>21</v>
      </c>
      <c r="O55" t="s">
        <v>141</v>
      </c>
      <c r="P55" t="s">
        <v>815</v>
      </c>
    </row>
    <row r="56" spans="1:16" x14ac:dyDescent="0.25">
      <c r="A56" t="s">
        <v>117</v>
      </c>
      <c r="B56" t="s">
        <v>118</v>
      </c>
      <c r="C56" t="str">
        <f>CONCATENATE(B56, " ",A56)</f>
        <v>Thomas Pardue</v>
      </c>
      <c r="D56">
        <v>371819</v>
      </c>
      <c r="E56" t="s">
        <v>198</v>
      </c>
      <c r="F56" t="str">
        <f>CONCATENATE(2,E56)</f>
        <v>2IANG10213987110001UT016</v>
      </c>
      <c r="G56" t="s">
        <v>199</v>
      </c>
      <c r="H56" s="1">
        <v>45689</v>
      </c>
      <c r="I56" t="s">
        <v>140</v>
      </c>
      <c r="J56" s="1">
        <v>45778</v>
      </c>
      <c r="K56" s="1">
        <f>DATE(YEAR(J56), MONTH(J56) +1, DAY(J56))</f>
        <v>45809</v>
      </c>
      <c r="M56">
        <v>21</v>
      </c>
      <c r="N56">
        <v>21</v>
      </c>
      <c r="O56" t="s">
        <v>141</v>
      </c>
      <c r="P56" t="s">
        <v>815</v>
      </c>
    </row>
    <row r="57" spans="1:16" x14ac:dyDescent="0.25">
      <c r="A57" t="s">
        <v>117</v>
      </c>
      <c r="B57" t="s">
        <v>118</v>
      </c>
      <c r="C57" t="str">
        <f>CONCATENATE(B57, " ",A57)</f>
        <v>Thomas Pardue</v>
      </c>
      <c r="D57">
        <v>371819</v>
      </c>
      <c r="E57" t="s">
        <v>200</v>
      </c>
      <c r="F57" t="str">
        <f>CONCATENATE(2,E57)</f>
        <v>2IANG10213986890001UT016</v>
      </c>
      <c r="G57" t="s">
        <v>201</v>
      </c>
      <c r="H57" s="1">
        <v>45689</v>
      </c>
      <c r="I57" t="s">
        <v>140</v>
      </c>
      <c r="J57" s="1">
        <v>45778</v>
      </c>
      <c r="K57" s="1">
        <f>DATE(YEAR(J57), MONTH(J57) +1, DAY(J57))</f>
        <v>45809</v>
      </c>
      <c r="M57">
        <v>21</v>
      </c>
      <c r="N57">
        <v>21</v>
      </c>
      <c r="O57" t="s">
        <v>141</v>
      </c>
      <c r="P57" t="s">
        <v>815</v>
      </c>
    </row>
    <row r="58" spans="1:16" x14ac:dyDescent="0.25">
      <c r="A58" t="s">
        <v>19</v>
      </c>
      <c r="B58" t="s">
        <v>20</v>
      </c>
      <c r="C58" t="str">
        <f>CONCATENATE(B58, " ",A58)</f>
        <v>CHRISTIAN TAUGNER</v>
      </c>
      <c r="D58">
        <v>19681796</v>
      </c>
      <c r="E58" t="s">
        <v>202</v>
      </c>
      <c r="F58" t="str">
        <f>CONCATENATE(2,E58)</f>
        <v>2IANG10212619690001FL016</v>
      </c>
      <c r="G58" t="s">
        <v>203</v>
      </c>
      <c r="H58" s="1">
        <v>45658</v>
      </c>
      <c r="I58" t="s">
        <v>25</v>
      </c>
      <c r="J58" s="1">
        <v>45778</v>
      </c>
      <c r="K58" s="1">
        <f>DATE(YEAR(J58), MONTH(J58) +1, DAY(J58))</f>
        <v>45809</v>
      </c>
      <c r="L58" t="s">
        <v>808</v>
      </c>
      <c r="M58">
        <v>40</v>
      </c>
      <c r="N58">
        <v>40</v>
      </c>
      <c r="O58" t="s">
        <v>74</v>
      </c>
      <c r="P58" t="s">
        <v>812</v>
      </c>
    </row>
    <row r="59" spans="1:16" x14ac:dyDescent="0.25">
      <c r="A59" t="s">
        <v>63</v>
      </c>
      <c r="B59" t="s">
        <v>64</v>
      </c>
      <c r="C59" t="str">
        <f>CONCATENATE(B59, " ",A59)</f>
        <v>Melissa Tatro</v>
      </c>
      <c r="D59">
        <v>14177521</v>
      </c>
      <c r="E59" t="s">
        <v>204</v>
      </c>
      <c r="F59" t="str">
        <f>CONCATENATE(2,E59)</f>
        <v>2IANG10215403080001IL016</v>
      </c>
      <c r="G59" t="s">
        <v>205</v>
      </c>
      <c r="H59" s="1">
        <v>45717</v>
      </c>
      <c r="I59" t="s">
        <v>51</v>
      </c>
      <c r="J59" s="1">
        <v>45778</v>
      </c>
      <c r="K59" s="1">
        <f>DATE(YEAR(J59), MONTH(J59) +1, DAY(J59))</f>
        <v>45809</v>
      </c>
      <c r="M59">
        <v>20</v>
      </c>
      <c r="N59">
        <v>20</v>
      </c>
      <c r="O59" t="s">
        <v>67</v>
      </c>
      <c r="P59" t="s">
        <v>812</v>
      </c>
    </row>
    <row r="60" spans="1:16" x14ac:dyDescent="0.25">
      <c r="A60" t="s">
        <v>57</v>
      </c>
      <c r="B60" t="s">
        <v>58</v>
      </c>
      <c r="C60" t="str">
        <f>CONCATENATE(B60, " ",A60)</f>
        <v>Ryan Caltagirone</v>
      </c>
      <c r="D60">
        <v>8977234</v>
      </c>
      <c r="E60" t="s">
        <v>206</v>
      </c>
      <c r="F60" t="str">
        <f>CONCATENATE(2,E60)</f>
        <v>2IANG10167692260001AZ018</v>
      </c>
      <c r="G60" t="s">
        <v>207</v>
      </c>
      <c r="H60" s="1">
        <v>44927</v>
      </c>
      <c r="I60" t="s">
        <v>135</v>
      </c>
      <c r="J60" s="1">
        <v>45778</v>
      </c>
      <c r="K60" s="1">
        <f>DATE(YEAR(J60), MONTH(J60) +1, DAY(J60))</f>
        <v>45809</v>
      </c>
      <c r="L60" t="s">
        <v>808</v>
      </c>
      <c r="M60">
        <v>40</v>
      </c>
      <c r="N60">
        <v>40</v>
      </c>
      <c r="O60" t="s">
        <v>136</v>
      </c>
      <c r="P60" t="s">
        <v>812</v>
      </c>
    </row>
    <row r="61" spans="1:16" x14ac:dyDescent="0.25">
      <c r="A61" t="s">
        <v>57</v>
      </c>
      <c r="B61" t="s">
        <v>58</v>
      </c>
      <c r="C61" t="str">
        <f>CONCATENATE(B61, " ",A61)</f>
        <v>Ryan Caltagirone</v>
      </c>
      <c r="D61">
        <v>8977234</v>
      </c>
      <c r="E61" t="s">
        <v>208</v>
      </c>
      <c r="F61" t="str">
        <f>CONCATENATE(2,E61)</f>
        <v>2IANG10169693140001AZ018</v>
      </c>
      <c r="G61" t="s">
        <v>209</v>
      </c>
      <c r="H61" s="1">
        <v>44986</v>
      </c>
      <c r="I61" t="s">
        <v>135</v>
      </c>
      <c r="J61" s="1">
        <v>45778</v>
      </c>
      <c r="K61" s="1">
        <f>DATE(YEAR(J61), MONTH(J61) +1, DAY(J61))</f>
        <v>45809</v>
      </c>
      <c r="M61">
        <v>20</v>
      </c>
      <c r="N61">
        <v>20</v>
      </c>
      <c r="O61" t="s">
        <v>136</v>
      </c>
      <c r="P61" t="s">
        <v>812</v>
      </c>
    </row>
    <row r="62" spans="1:16" x14ac:dyDescent="0.25">
      <c r="A62" t="s">
        <v>70</v>
      </c>
      <c r="B62" t="s">
        <v>71</v>
      </c>
      <c r="C62" t="str">
        <f>CONCATENATE(B62, " ",A62)</f>
        <v>RICHARD YALE</v>
      </c>
      <c r="D62">
        <v>16633294</v>
      </c>
      <c r="E62" t="s">
        <v>210</v>
      </c>
      <c r="F62" t="str">
        <f>CONCATENATE(2,E62)</f>
        <v>2IANG10210709640001IL016</v>
      </c>
      <c r="G62" t="s">
        <v>211</v>
      </c>
      <c r="H62" s="1">
        <v>45658</v>
      </c>
      <c r="I62" t="s">
        <v>51</v>
      </c>
      <c r="J62" s="1">
        <v>45778</v>
      </c>
      <c r="K62" s="1">
        <f>DATE(YEAR(J62), MONTH(J62) +1, DAY(J62))</f>
        <v>45809</v>
      </c>
      <c r="M62">
        <v>20</v>
      </c>
      <c r="N62">
        <v>20</v>
      </c>
      <c r="O62" t="s">
        <v>67</v>
      </c>
      <c r="P62" t="s">
        <v>812</v>
      </c>
    </row>
    <row r="63" spans="1:16" x14ac:dyDescent="0.25">
      <c r="A63" t="s">
        <v>70</v>
      </c>
      <c r="B63" t="s">
        <v>71</v>
      </c>
      <c r="C63" t="str">
        <f>CONCATENATE(B63, " ",A63)</f>
        <v>RICHARD YALE</v>
      </c>
      <c r="D63">
        <v>16633294</v>
      </c>
      <c r="E63" t="s">
        <v>212</v>
      </c>
      <c r="F63" t="str">
        <f>CONCATENATE(2,E63)</f>
        <v>2IANG10212413080001IL016</v>
      </c>
      <c r="G63" t="s">
        <v>213</v>
      </c>
      <c r="H63" s="1">
        <v>45658</v>
      </c>
      <c r="I63" t="s">
        <v>51</v>
      </c>
      <c r="J63" s="1">
        <v>45778</v>
      </c>
      <c r="K63" s="1">
        <f>DATE(YEAR(J63), MONTH(J63) +1, DAY(J63))</f>
        <v>45809</v>
      </c>
      <c r="L63" t="s">
        <v>808</v>
      </c>
      <c r="M63">
        <v>40</v>
      </c>
      <c r="N63">
        <v>40</v>
      </c>
      <c r="O63" t="s">
        <v>67</v>
      </c>
      <c r="P63" t="s">
        <v>812</v>
      </c>
    </row>
    <row r="64" spans="1:16" x14ac:dyDescent="0.25">
      <c r="A64" t="s">
        <v>29</v>
      </c>
      <c r="B64" t="s">
        <v>30</v>
      </c>
      <c r="C64" t="str">
        <f>CONCATENATE(B64, " ",A64)</f>
        <v>THOMAS KUCAN</v>
      </c>
      <c r="D64">
        <v>16202925</v>
      </c>
      <c r="E64" t="s">
        <v>214</v>
      </c>
      <c r="F64" t="str">
        <f>CONCATENATE(2,E64)</f>
        <v>2IANG10193392830002MD016</v>
      </c>
      <c r="G64" t="s">
        <v>215</v>
      </c>
      <c r="H64" s="1">
        <v>45292</v>
      </c>
      <c r="I64" t="s">
        <v>33</v>
      </c>
      <c r="J64" s="1">
        <v>45778</v>
      </c>
      <c r="K64" s="1">
        <f>DATE(YEAR(J64), MONTH(J64) +1, DAY(J64))</f>
        <v>45809</v>
      </c>
      <c r="L64" t="s">
        <v>808</v>
      </c>
      <c r="M64">
        <v>20</v>
      </c>
      <c r="N64">
        <v>20</v>
      </c>
      <c r="O64" t="s">
        <v>34</v>
      </c>
      <c r="P64" t="s">
        <v>813</v>
      </c>
    </row>
    <row r="65" spans="1:22" x14ac:dyDescent="0.25">
      <c r="A65" t="s">
        <v>63</v>
      </c>
      <c r="B65" t="s">
        <v>64</v>
      </c>
      <c r="C65" t="str">
        <f>CONCATENATE(B65, " ",A65)</f>
        <v>Melissa Tatro</v>
      </c>
      <c r="D65">
        <v>14177521</v>
      </c>
      <c r="E65" t="s">
        <v>216</v>
      </c>
      <c r="F65" t="str">
        <f>CONCATENATE(2,E65)</f>
        <v>2IANG10186928100001IL016</v>
      </c>
      <c r="G65" t="s">
        <v>217</v>
      </c>
      <c r="H65" s="1">
        <v>45292</v>
      </c>
      <c r="I65" t="s">
        <v>51</v>
      </c>
      <c r="J65" s="1">
        <v>45778</v>
      </c>
      <c r="K65" s="1">
        <f>DATE(YEAR(J65), MONTH(J65) +1, DAY(J65))</f>
        <v>45809</v>
      </c>
      <c r="M65">
        <v>20</v>
      </c>
      <c r="N65">
        <v>20</v>
      </c>
      <c r="O65" t="s">
        <v>52</v>
      </c>
      <c r="P65" t="s">
        <v>812</v>
      </c>
    </row>
    <row r="66" spans="1:22" x14ac:dyDescent="0.25">
      <c r="A66" t="s">
        <v>93</v>
      </c>
      <c r="B66" t="s">
        <v>218</v>
      </c>
      <c r="C66" t="str">
        <f>CONCATENATE(B66, " ",A66)</f>
        <v>Chad Yale</v>
      </c>
      <c r="D66">
        <v>20003537</v>
      </c>
      <c r="E66" t="s">
        <v>219</v>
      </c>
      <c r="F66" t="str">
        <f>CONCATENATE(2,E66)</f>
        <v>2IANG10214512670001IL016</v>
      </c>
      <c r="G66" t="s">
        <v>220</v>
      </c>
      <c r="H66" s="1">
        <v>45689</v>
      </c>
      <c r="I66" t="s">
        <v>51</v>
      </c>
      <c r="J66" s="1">
        <v>45778</v>
      </c>
      <c r="K66" s="1">
        <f>DATE(YEAR(J66), MONTH(J66) +1, DAY(J66))</f>
        <v>45809</v>
      </c>
      <c r="M66">
        <v>20</v>
      </c>
      <c r="N66">
        <v>20</v>
      </c>
      <c r="O66" t="s">
        <v>67</v>
      </c>
      <c r="P66" t="s">
        <v>812</v>
      </c>
    </row>
    <row r="67" spans="1:22" x14ac:dyDescent="0.25">
      <c r="A67" t="s">
        <v>221</v>
      </c>
      <c r="B67" t="s">
        <v>222</v>
      </c>
      <c r="C67" t="str">
        <f>CONCATENATE(B67, " ",A67)</f>
        <v>STEPHANIE DRAPAC</v>
      </c>
      <c r="D67">
        <v>17126004</v>
      </c>
      <c r="E67" t="s">
        <v>223</v>
      </c>
      <c r="F67" t="str">
        <f>CONCATENATE(2,E67)</f>
        <v>2IANG10202059620001IL016</v>
      </c>
      <c r="G67" t="s">
        <v>224</v>
      </c>
      <c r="H67" s="1">
        <v>45474</v>
      </c>
      <c r="I67" t="s">
        <v>51</v>
      </c>
      <c r="J67" s="1">
        <v>45778</v>
      </c>
      <c r="K67" s="1">
        <f>DATE(YEAR(J67), MONTH(J67) +1, DAY(J67))</f>
        <v>45809</v>
      </c>
      <c r="M67">
        <v>20</v>
      </c>
      <c r="N67">
        <v>20</v>
      </c>
      <c r="O67" t="s">
        <v>52</v>
      </c>
      <c r="P67" t="s">
        <v>812</v>
      </c>
    </row>
    <row r="68" spans="1:22" x14ac:dyDescent="0.25">
      <c r="A68" s="3" t="s">
        <v>225</v>
      </c>
      <c r="B68" s="3" t="s">
        <v>226</v>
      </c>
      <c r="C68" s="3" t="str">
        <f>CONCATENATE(B68, " ",A68)</f>
        <v>CAROLYN WILSON-SMITH</v>
      </c>
      <c r="D68" s="3">
        <v>7387433</v>
      </c>
      <c r="E68" s="3" t="s">
        <v>227</v>
      </c>
      <c r="F68" s="3" t="str">
        <f>CONCATENATE(2,E68)</f>
        <v>2IANG10208292020002MD016</v>
      </c>
      <c r="G68" s="3" t="s">
        <v>228</v>
      </c>
      <c r="H68" s="4">
        <v>45597</v>
      </c>
      <c r="I68" s="3" t="s">
        <v>33</v>
      </c>
      <c r="J68" s="4">
        <v>45778</v>
      </c>
      <c r="K68" s="1">
        <f>DATE(YEAR(J68), MONTH(J68) +1, DAY(J68))</f>
        <v>45809</v>
      </c>
      <c r="L68" s="3"/>
      <c r="M68" s="3">
        <v>10</v>
      </c>
      <c r="N68" s="3">
        <v>10</v>
      </c>
      <c r="O68" s="3" t="s">
        <v>34</v>
      </c>
      <c r="P68" s="3" t="s">
        <v>813</v>
      </c>
      <c r="Q68" s="3"/>
      <c r="R68" s="3"/>
      <c r="S68" s="3"/>
      <c r="T68" s="3"/>
      <c r="U68" s="3"/>
      <c r="V68" s="3"/>
    </row>
    <row r="69" spans="1:22" x14ac:dyDescent="0.25">
      <c r="A69" t="s">
        <v>229</v>
      </c>
      <c r="B69" t="s">
        <v>230</v>
      </c>
      <c r="C69" t="str">
        <f>CONCATENATE(B69, " ",A69)</f>
        <v>MICHAEL DUNAVANT</v>
      </c>
      <c r="D69">
        <v>18828278</v>
      </c>
      <c r="E69" t="s">
        <v>231</v>
      </c>
      <c r="F69" t="str">
        <f>CONCATENATE(2,E69)</f>
        <v>2IANG10216265140001IL016</v>
      </c>
      <c r="G69" t="s">
        <v>232</v>
      </c>
      <c r="H69" s="1">
        <v>45658</v>
      </c>
      <c r="I69" t="s">
        <v>51</v>
      </c>
      <c r="J69" s="1">
        <v>45778</v>
      </c>
      <c r="K69" s="1">
        <f>DATE(YEAR(J69), MONTH(J69) +1, DAY(J69))</f>
        <v>45809</v>
      </c>
      <c r="M69">
        <v>20</v>
      </c>
      <c r="N69">
        <v>20</v>
      </c>
      <c r="O69" t="s">
        <v>67</v>
      </c>
      <c r="P69" t="s">
        <v>812</v>
      </c>
    </row>
    <row r="70" spans="1:22" x14ac:dyDescent="0.25">
      <c r="A70" t="s">
        <v>57</v>
      </c>
      <c r="B70" t="s">
        <v>58</v>
      </c>
      <c r="C70" t="str">
        <f>CONCATENATE(B70, " ",A70)</f>
        <v>Ryan Caltagirone</v>
      </c>
      <c r="D70">
        <v>8977234</v>
      </c>
      <c r="E70" t="s">
        <v>233</v>
      </c>
      <c r="F70" t="str">
        <f>CONCATENATE(2,E70)</f>
        <v>2IANG10211062390001UT016</v>
      </c>
      <c r="G70" t="s">
        <v>234</v>
      </c>
      <c r="H70" s="1">
        <v>45658</v>
      </c>
      <c r="I70" t="s">
        <v>140</v>
      </c>
      <c r="J70" s="1">
        <v>45778</v>
      </c>
      <c r="K70" s="1">
        <f>DATE(YEAR(J70), MONTH(J70) +1, DAY(J70))</f>
        <v>45809</v>
      </c>
      <c r="L70" t="s">
        <v>808</v>
      </c>
      <c r="M70">
        <v>42</v>
      </c>
      <c r="N70">
        <v>42</v>
      </c>
      <c r="O70" t="s">
        <v>141</v>
      </c>
      <c r="P70" t="s">
        <v>815</v>
      </c>
    </row>
    <row r="71" spans="1:22" x14ac:dyDescent="0.25">
      <c r="A71" t="s">
        <v>19</v>
      </c>
      <c r="B71" t="s">
        <v>20</v>
      </c>
      <c r="C71" t="str">
        <f>CONCATENATE(B71, " ",A71)</f>
        <v>CHRISTIAN TAUGNER</v>
      </c>
      <c r="D71">
        <v>19681796</v>
      </c>
      <c r="E71" t="s">
        <v>235</v>
      </c>
      <c r="F71" t="str">
        <f>CONCATENATE(2,E71)</f>
        <v>2IANG10210718730001IL016</v>
      </c>
      <c r="G71" t="s">
        <v>236</v>
      </c>
      <c r="H71" s="1">
        <v>45658</v>
      </c>
      <c r="I71" t="s">
        <v>51</v>
      </c>
      <c r="J71" s="1">
        <v>45778</v>
      </c>
      <c r="K71" s="1">
        <f>DATE(YEAR(J71), MONTH(J71) +1, DAY(J71))</f>
        <v>45809</v>
      </c>
      <c r="M71">
        <v>20</v>
      </c>
      <c r="N71">
        <v>20</v>
      </c>
      <c r="O71" t="s">
        <v>67</v>
      </c>
      <c r="P71" t="s">
        <v>812</v>
      </c>
    </row>
    <row r="72" spans="1:22" x14ac:dyDescent="0.25">
      <c r="A72" t="s">
        <v>35</v>
      </c>
      <c r="B72" t="s">
        <v>36</v>
      </c>
      <c r="C72" t="str">
        <f>CONCATENATE(B72, " ",A72)</f>
        <v>Adam Richter</v>
      </c>
      <c r="D72">
        <v>9079571</v>
      </c>
      <c r="E72" t="s">
        <v>237</v>
      </c>
      <c r="F72" t="str">
        <f>CONCATENATE(2,E72)</f>
        <v>2IANG10202355830002MD016</v>
      </c>
      <c r="G72" t="s">
        <v>238</v>
      </c>
      <c r="H72" s="1">
        <v>45474</v>
      </c>
      <c r="I72" t="s">
        <v>33</v>
      </c>
      <c r="J72" s="1">
        <v>45778</v>
      </c>
      <c r="K72" s="1">
        <f>DATE(YEAR(J72), MONTH(J72) +1, DAY(J72))</f>
        <v>45809</v>
      </c>
      <c r="M72">
        <v>10</v>
      </c>
      <c r="N72">
        <v>10</v>
      </c>
      <c r="O72" t="s">
        <v>34</v>
      </c>
      <c r="P72" t="s">
        <v>813</v>
      </c>
    </row>
    <row r="73" spans="1:22" s="3" customFormat="1" x14ac:dyDescent="0.25">
      <c r="A73" t="s">
        <v>101</v>
      </c>
      <c r="B73" t="s">
        <v>102</v>
      </c>
      <c r="C73" t="str">
        <f>CONCATENATE(B73, " ",A73)</f>
        <v>Gregory Teipel</v>
      </c>
      <c r="D73">
        <v>8307933</v>
      </c>
      <c r="E73" t="s">
        <v>239</v>
      </c>
      <c r="F73" t="str">
        <f>CONCATENATE(2,E73)</f>
        <v>2IANG10204313170001TX016</v>
      </c>
      <c r="G73" t="s">
        <v>240</v>
      </c>
      <c r="H73" s="1">
        <v>45536</v>
      </c>
      <c r="I73" t="s">
        <v>43</v>
      </c>
      <c r="J73" s="1">
        <v>45778</v>
      </c>
      <c r="K73" s="1">
        <f>DATE(YEAR(J73), MONTH(J73) +1, DAY(J73))</f>
        <v>45809</v>
      </c>
      <c r="L73"/>
      <c r="M73">
        <v>25</v>
      </c>
      <c r="N73">
        <v>25</v>
      </c>
      <c r="O73" t="s">
        <v>241</v>
      </c>
      <c r="P73" t="s">
        <v>814</v>
      </c>
      <c r="Q73"/>
      <c r="R73"/>
      <c r="S73"/>
      <c r="T73"/>
      <c r="U73"/>
      <c r="V73"/>
    </row>
    <row r="74" spans="1:22" s="3" customFormat="1" x14ac:dyDescent="0.25">
      <c r="A74" t="s">
        <v>35</v>
      </c>
      <c r="B74" t="s">
        <v>36</v>
      </c>
      <c r="C74" t="str">
        <f>CONCATENATE(B74, " ",A74)</f>
        <v>Adam Richter</v>
      </c>
      <c r="D74">
        <v>9079571</v>
      </c>
      <c r="E74" t="s">
        <v>242</v>
      </c>
      <c r="F74" t="str">
        <f>CONCATENATE(2,E74)</f>
        <v>2IANG10204353610002MD016</v>
      </c>
      <c r="G74" t="s">
        <v>243</v>
      </c>
      <c r="H74" s="1">
        <v>45505</v>
      </c>
      <c r="I74" t="s">
        <v>33</v>
      </c>
      <c r="J74" s="1">
        <v>45778</v>
      </c>
      <c r="K74" s="1">
        <f>DATE(YEAR(J74), MONTH(J74) +1, DAY(J74))</f>
        <v>45809</v>
      </c>
      <c r="L74" t="s">
        <v>808</v>
      </c>
      <c r="M74">
        <v>20</v>
      </c>
      <c r="N74">
        <v>20</v>
      </c>
      <c r="O74" t="s">
        <v>34</v>
      </c>
      <c r="P74" t="s">
        <v>813</v>
      </c>
      <c r="Q74"/>
      <c r="R74"/>
      <c r="S74"/>
      <c r="T74"/>
      <c r="U74"/>
      <c r="V74"/>
    </row>
    <row r="75" spans="1:22" x14ac:dyDescent="0.25">
      <c r="A75" t="s">
        <v>35</v>
      </c>
      <c r="B75" t="s">
        <v>36</v>
      </c>
      <c r="C75" t="str">
        <f>CONCATENATE(B75, " ",A75)</f>
        <v>Adam Richter</v>
      </c>
      <c r="D75">
        <v>9079571</v>
      </c>
      <c r="E75" t="s">
        <v>244</v>
      </c>
      <c r="F75" t="str">
        <f>CONCATENATE(2,E75)</f>
        <v>2IANG10201464700002MD016</v>
      </c>
      <c r="G75" t="s">
        <v>245</v>
      </c>
      <c r="H75" s="1">
        <v>45444</v>
      </c>
      <c r="I75" t="s">
        <v>33</v>
      </c>
      <c r="J75" s="1">
        <v>45778</v>
      </c>
      <c r="K75" s="1">
        <f>DATE(YEAR(J75), MONTH(J75) +1, DAY(J75))</f>
        <v>45809</v>
      </c>
      <c r="M75">
        <v>10</v>
      </c>
      <c r="N75">
        <v>10</v>
      </c>
      <c r="O75" t="s">
        <v>34</v>
      </c>
      <c r="P75" t="s">
        <v>813</v>
      </c>
    </row>
    <row r="76" spans="1:22" x14ac:dyDescent="0.25">
      <c r="A76" t="s">
        <v>70</v>
      </c>
      <c r="B76" t="s">
        <v>71</v>
      </c>
      <c r="C76" t="str">
        <f>CONCATENATE(B76, " ",A76)</f>
        <v>RICHARD YALE</v>
      </c>
      <c r="D76">
        <v>16633294</v>
      </c>
      <c r="E76" t="s">
        <v>246</v>
      </c>
      <c r="F76" t="str">
        <f>CONCATENATE(2,E76)</f>
        <v>2IANG10190668190001IL016</v>
      </c>
      <c r="G76" t="s">
        <v>247</v>
      </c>
      <c r="H76" s="1">
        <v>45292</v>
      </c>
      <c r="I76" t="s">
        <v>51</v>
      </c>
      <c r="J76" s="1">
        <v>45778</v>
      </c>
      <c r="K76" s="1">
        <f>DATE(YEAR(J76), MONTH(J76) +1, DAY(J76))</f>
        <v>45809</v>
      </c>
      <c r="M76">
        <v>20</v>
      </c>
      <c r="N76">
        <v>20</v>
      </c>
      <c r="O76" t="s">
        <v>52</v>
      </c>
      <c r="P76" t="s">
        <v>812</v>
      </c>
    </row>
    <row r="77" spans="1:22" x14ac:dyDescent="0.25">
      <c r="A77" t="s">
        <v>57</v>
      </c>
      <c r="B77" t="s">
        <v>58</v>
      </c>
      <c r="C77" t="str">
        <f>CONCATENATE(B77, " ",A77)</f>
        <v>Ryan Caltagirone</v>
      </c>
      <c r="D77">
        <v>8977234</v>
      </c>
      <c r="E77" t="s">
        <v>248</v>
      </c>
      <c r="F77" t="str">
        <f>CONCATENATE(2,E77)</f>
        <v>2IANG10175799500001FL016</v>
      </c>
      <c r="G77" t="s">
        <v>249</v>
      </c>
      <c r="H77" s="1">
        <v>45200</v>
      </c>
      <c r="I77" t="s">
        <v>25</v>
      </c>
      <c r="J77" s="1">
        <v>45658</v>
      </c>
      <c r="K77" s="1">
        <f>DATE(YEAR(J77), MONTH(J77) +1, DAY(J77))</f>
        <v>45689</v>
      </c>
      <c r="M77">
        <v>20</v>
      </c>
      <c r="N77">
        <v>20</v>
      </c>
      <c r="O77" t="s">
        <v>26</v>
      </c>
      <c r="P77" t="s">
        <v>812</v>
      </c>
    </row>
    <row r="78" spans="1:22" x14ac:dyDescent="0.25">
      <c r="A78" t="s">
        <v>57</v>
      </c>
      <c r="B78" t="s">
        <v>58</v>
      </c>
      <c r="C78" t="str">
        <f>CONCATENATE(B78, " ",A78)</f>
        <v>Ryan Caltagirone</v>
      </c>
      <c r="D78">
        <v>8977234</v>
      </c>
      <c r="E78" t="s">
        <v>248</v>
      </c>
      <c r="F78" t="str">
        <f>CONCATENATE(2,E78)</f>
        <v>2IANG10175799500001FL016</v>
      </c>
      <c r="G78" t="s">
        <v>249</v>
      </c>
      <c r="H78" s="1">
        <v>45200</v>
      </c>
      <c r="I78" t="s">
        <v>25</v>
      </c>
      <c r="J78" s="1">
        <v>45689</v>
      </c>
      <c r="K78" s="1">
        <f>DATE(YEAR(J78), MONTH(J78) +1, DAY(J78))</f>
        <v>45717</v>
      </c>
      <c r="M78">
        <v>20</v>
      </c>
      <c r="N78">
        <v>20</v>
      </c>
      <c r="O78" t="s">
        <v>26</v>
      </c>
      <c r="P78" t="s">
        <v>812</v>
      </c>
    </row>
    <row r="79" spans="1:22" x14ac:dyDescent="0.25">
      <c r="A79" t="s">
        <v>57</v>
      </c>
      <c r="B79" t="s">
        <v>58</v>
      </c>
      <c r="C79" t="str">
        <f>CONCATENATE(B79, " ",A79)</f>
        <v>Ryan Caltagirone</v>
      </c>
      <c r="D79">
        <v>8977234</v>
      </c>
      <c r="E79" t="s">
        <v>248</v>
      </c>
      <c r="F79" t="str">
        <f>CONCATENATE(2,E79)</f>
        <v>2IANG10175799500001FL016</v>
      </c>
      <c r="G79" t="s">
        <v>249</v>
      </c>
      <c r="H79" s="1">
        <v>45200</v>
      </c>
      <c r="I79" t="s">
        <v>25</v>
      </c>
      <c r="J79" s="1">
        <v>45717</v>
      </c>
      <c r="K79" s="1">
        <f>DATE(YEAR(J79), MONTH(J79) +1, DAY(J79))</f>
        <v>45748</v>
      </c>
      <c r="M79">
        <v>20</v>
      </c>
      <c r="N79">
        <v>20</v>
      </c>
      <c r="O79" t="s">
        <v>26</v>
      </c>
      <c r="P79" t="s">
        <v>812</v>
      </c>
    </row>
    <row r="80" spans="1:22" x14ac:dyDescent="0.25">
      <c r="A80" t="s">
        <v>57</v>
      </c>
      <c r="B80" t="s">
        <v>58</v>
      </c>
      <c r="C80" t="str">
        <f>CONCATENATE(B80, " ",A80)</f>
        <v>Ryan Caltagirone</v>
      </c>
      <c r="D80">
        <v>8977234</v>
      </c>
      <c r="E80" t="s">
        <v>248</v>
      </c>
      <c r="F80" t="str">
        <f>CONCATENATE(2,E80)</f>
        <v>2IANG10175799500001FL016</v>
      </c>
      <c r="G80" t="s">
        <v>249</v>
      </c>
      <c r="H80" s="1">
        <v>45200</v>
      </c>
      <c r="I80" t="s">
        <v>25</v>
      </c>
      <c r="J80" s="1">
        <v>45748</v>
      </c>
      <c r="K80" s="1">
        <f>DATE(YEAR(J80), MONTH(J80) +1, DAY(J80))</f>
        <v>45778</v>
      </c>
      <c r="M80">
        <v>20</v>
      </c>
      <c r="N80">
        <v>20</v>
      </c>
      <c r="O80" t="s">
        <v>26</v>
      </c>
      <c r="P80" t="s">
        <v>812</v>
      </c>
    </row>
    <row r="81" spans="1:22" x14ac:dyDescent="0.25">
      <c r="A81" t="s">
        <v>57</v>
      </c>
      <c r="B81" t="s">
        <v>58</v>
      </c>
      <c r="C81" t="str">
        <f>CONCATENATE(B81, " ",A81)</f>
        <v>Ryan Caltagirone</v>
      </c>
      <c r="D81">
        <v>8977234</v>
      </c>
      <c r="E81" t="s">
        <v>248</v>
      </c>
      <c r="F81" t="str">
        <f>CONCATENATE(2,E81)</f>
        <v>2IANG10175799500001FL016</v>
      </c>
      <c r="G81" t="s">
        <v>249</v>
      </c>
      <c r="H81" s="1">
        <v>45200</v>
      </c>
      <c r="I81" t="s">
        <v>25</v>
      </c>
      <c r="J81" s="1">
        <v>45778</v>
      </c>
      <c r="K81" s="1">
        <f>DATE(YEAR(J81), MONTH(J81) +1, DAY(J81))</f>
        <v>45809</v>
      </c>
      <c r="M81">
        <v>20</v>
      </c>
      <c r="N81">
        <v>20</v>
      </c>
      <c r="O81" t="s">
        <v>26</v>
      </c>
      <c r="P81" t="s">
        <v>812</v>
      </c>
    </row>
    <row r="82" spans="1:22" x14ac:dyDescent="0.25">
      <c r="A82" t="s">
        <v>123</v>
      </c>
      <c r="B82" t="s">
        <v>124</v>
      </c>
      <c r="C82" t="str">
        <f>CONCATENATE(B82, " ",A82)</f>
        <v>RICARDO SANTOS</v>
      </c>
      <c r="D82">
        <v>19200754</v>
      </c>
      <c r="E82" t="s">
        <v>250</v>
      </c>
      <c r="F82" t="str">
        <f>CONCATENATE(2,E82)</f>
        <v>2IANG10212562950001IL016</v>
      </c>
      <c r="G82" t="s">
        <v>251</v>
      </c>
      <c r="H82" s="1">
        <v>45658</v>
      </c>
      <c r="I82" t="s">
        <v>51</v>
      </c>
      <c r="J82" s="1">
        <v>45778</v>
      </c>
      <c r="K82" s="1">
        <f>DATE(YEAR(J82), MONTH(J82) +1, DAY(J82))</f>
        <v>45809</v>
      </c>
      <c r="M82">
        <v>20</v>
      </c>
      <c r="N82">
        <v>20</v>
      </c>
      <c r="O82" t="s">
        <v>67</v>
      </c>
      <c r="P82" t="s">
        <v>812</v>
      </c>
    </row>
    <row r="83" spans="1:22" x14ac:dyDescent="0.25">
      <c r="A83" t="s">
        <v>101</v>
      </c>
      <c r="B83" t="s">
        <v>102</v>
      </c>
      <c r="C83" t="str">
        <f>CONCATENATE(B83, " ",A83)</f>
        <v>Gregory Teipel</v>
      </c>
      <c r="D83">
        <v>8307933</v>
      </c>
      <c r="E83" t="s">
        <v>252</v>
      </c>
      <c r="F83" t="str">
        <f>CONCATENATE(2,E83)</f>
        <v>2IANG10191074070001IL016</v>
      </c>
      <c r="G83" t="s">
        <v>253</v>
      </c>
      <c r="H83" s="1">
        <v>45292</v>
      </c>
      <c r="I83" t="s">
        <v>51</v>
      </c>
      <c r="J83" s="1">
        <v>45778</v>
      </c>
      <c r="K83" s="1">
        <f>DATE(YEAR(J83), MONTH(J83) +1, DAY(J83))</f>
        <v>45809</v>
      </c>
      <c r="M83">
        <v>20</v>
      </c>
      <c r="N83">
        <v>20</v>
      </c>
      <c r="O83" t="s">
        <v>52</v>
      </c>
      <c r="P83" t="s">
        <v>812</v>
      </c>
    </row>
    <row r="84" spans="1:22" x14ac:dyDescent="0.25">
      <c r="A84" t="s">
        <v>174</v>
      </c>
      <c r="B84" t="s">
        <v>175</v>
      </c>
      <c r="C84" t="str">
        <f>CONCATENATE(B84, " ",A84)</f>
        <v>FRANK LISKOVEC</v>
      </c>
      <c r="D84">
        <v>8814784</v>
      </c>
      <c r="E84" t="s">
        <v>254</v>
      </c>
      <c r="F84" t="str">
        <f>CONCATENATE(2,E84)</f>
        <v>2IANG10206059550001FL016</v>
      </c>
      <c r="G84" t="s">
        <v>255</v>
      </c>
      <c r="H84" s="1">
        <v>45566</v>
      </c>
      <c r="I84" t="s">
        <v>25</v>
      </c>
      <c r="J84" s="1">
        <v>45778</v>
      </c>
      <c r="K84" s="1">
        <f>DATE(YEAR(J84), MONTH(J84) +1, DAY(J84))</f>
        <v>45809</v>
      </c>
      <c r="M84">
        <v>20</v>
      </c>
      <c r="N84">
        <v>20</v>
      </c>
      <c r="O84" t="s">
        <v>26</v>
      </c>
      <c r="P84" t="s">
        <v>812</v>
      </c>
    </row>
    <row r="85" spans="1:22" x14ac:dyDescent="0.25">
      <c r="A85" t="s">
        <v>35</v>
      </c>
      <c r="B85" t="s">
        <v>36</v>
      </c>
      <c r="C85" t="str">
        <f>CONCATENATE(B85, " ",A85)</f>
        <v>Adam Richter</v>
      </c>
      <c r="D85">
        <v>9079571</v>
      </c>
      <c r="E85" t="s">
        <v>256</v>
      </c>
      <c r="F85" t="str">
        <f>CONCATENATE(2,E85)</f>
        <v>2IANG10202896310002MD016</v>
      </c>
      <c r="G85" t="s">
        <v>257</v>
      </c>
      <c r="H85" s="1">
        <v>45474</v>
      </c>
      <c r="I85" t="s">
        <v>33</v>
      </c>
      <c r="J85" s="1">
        <v>45778</v>
      </c>
      <c r="K85" s="1">
        <f>DATE(YEAR(J85), MONTH(J85) +1, DAY(J85))</f>
        <v>45809</v>
      </c>
      <c r="M85">
        <v>10</v>
      </c>
      <c r="N85">
        <v>10</v>
      </c>
      <c r="O85" t="s">
        <v>34</v>
      </c>
      <c r="P85" t="s">
        <v>813</v>
      </c>
    </row>
    <row r="86" spans="1:22" x14ac:dyDescent="0.25">
      <c r="A86" t="s">
        <v>258</v>
      </c>
      <c r="B86" t="s">
        <v>259</v>
      </c>
      <c r="C86" t="str">
        <f>CONCATENATE(B86, " ",A86)</f>
        <v>DALE WALENGA</v>
      </c>
      <c r="D86">
        <v>8325282</v>
      </c>
      <c r="E86" t="s">
        <v>260</v>
      </c>
      <c r="F86" t="str">
        <f>CONCATENATE(2,E86)</f>
        <v>2IANG10213351330001IL016</v>
      </c>
      <c r="G86" t="s">
        <v>261</v>
      </c>
      <c r="H86" s="1">
        <v>45658</v>
      </c>
      <c r="I86" t="s">
        <v>51</v>
      </c>
      <c r="J86" s="1">
        <v>45778</v>
      </c>
      <c r="K86" s="1">
        <f>DATE(YEAR(J86), MONTH(J86) +1, DAY(J86))</f>
        <v>45809</v>
      </c>
      <c r="L86" t="s">
        <v>808</v>
      </c>
      <c r="M86">
        <v>40</v>
      </c>
      <c r="N86">
        <v>40</v>
      </c>
      <c r="O86" t="s">
        <v>67</v>
      </c>
      <c r="P86" t="s">
        <v>812</v>
      </c>
    </row>
    <row r="87" spans="1:22" x14ac:dyDescent="0.25">
      <c r="A87" t="s">
        <v>101</v>
      </c>
      <c r="B87" t="s">
        <v>102</v>
      </c>
      <c r="C87" t="str">
        <f>CONCATENATE(B87, " ",A87)</f>
        <v>Gregory Teipel</v>
      </c>
      <c r="D87">
        <v>8307933</v>
      </c>
      <c r="E87" t="s">
        <v>262</v>
      </c>
      <c r="F87" t="str">
        <f>CONCATENATE(2,E87)</f>
        <v>2IANG10217185730001IL016</v>
      </c>
      <c r="G87" t="s">
        <v>263</v>
      </c>
      <c r="H87" s="1">
        <v>45778</v>
      </c>
      <c r="I87" t="s">
        <v>51</v>
      </c>
      <c r="J87" s="1">
        <v>45778</v>
      </c>
      <c r="K87" s="1">
        <f>DATE(YEAR(J87), MONTH(J87) +1, DAY(J87))</f>
        <v>45809</v>
      </c>
      <c r="L87" t="s">
        <v>810</v>
      </c>
      <c r="M87">
        <v>80</v>
      </c>
      <c r="N87">
        <v>80</v>
      </c>
      <c r="O87" t="s">
        <v>67</v>
      </c>
      <c r="P87" t="s">
        <v>812</v>
      </c>
    </row>
    <row r="88" spans="1:22" x14ac:dyDescent="0.25">
      <c r="A88" t="s">
        <v>258</v>
      </c>
      <c r="B88" t="s">
        <v>259</v>
      </c>
      <c r="C88" t="str">
        <f>CONCATENATE(B88, " ",A88)</f>
        <v>DALE WALENGA</v>
      </c>
      <c r="D88">
        <v>8325282</v>
      </c>
      <c r="E88" t="s">
        <v>264</v>
      </c>
      <c r="F88" t="str">
        <f>CONCATENATE(2,E88)</f>
        <v>2IANG10171208340001IL016</v>
      </c>
      <c r="G88" t="s">
        <v>265</v>
      </c>
      <c r="H88" s="1">
        <v>45017</v>
      </c>
      <c r="I88" t="s">
        <v>51</v>
      </c>
      <c r="J88" s="1">
        <v>45778</v>
      </c>
      <c r="K88" s="1">
        <f>DATE(YEAR(J88), MONTH(J88) +1, DAY(J88))</f>
        <v>45809</v>
      </c>
      <c r="L88" t="s">
        <v>809</v>
      </c>
      <c r="M88">
        <v>60</v>
      </c>
      <c r="N88">
        <v>60</v>
      </c>
      <c r="O88" t="s">
        <v>52</v>
      </c>
      <c r="P88" t="s">
        <v>812</v>
      </c>
    </row>
    <row r="89" spans="1:22" x14ac:dyDescent="0.25">
      <c r="A89" t="s">
        <v>35</v>
      </c>
      <c r="B89" t="s">
        <v>36</v>
      </c>
      <c r="C89" t="str">
        <f>CONCATENATE(B89, " ",A89)</f>
        <v>Adam Richter</v>
      </c>
      <c r="D89">
        <v>9079571</v>
      </c>
      <c r="E89" t="s">
        <v>266</v>
      </c>
      <c r="F89" t="str">
        <f>CONCATENATE(2,E89)</f>
        <v>2IANG10213162960002MD016</v>
      </c>
      <c r="G89" t="s">
        <v>267</v>
      </c>
      <c r="H89" s="1">
        <v>45597</v>
      </c>
      <c r="I89" t="s">
        <v>33</v>
      </c>
      <c r="J89" s="1">
        <v>45778</v>
      </c>
      <c r="K89" s="1">
        <f>DATE(YEAR(J89), MONTH(J89) +1, DAY(J89))</f>
        <v>45809</v>
      </c>
      <c r="M89">
        <v>10</v>
      </c>
      <c r="N89">
        <v>10</v>
      </c>
      <c r="O89" t="s">
        <v>34</v>
      </c>
      <c r="P89" t="s">
        <v>813</v>
      </c>
    </row>
    <row r="90" spans="1:22" x14ac:dyDescent="0.25">
      <c r="A90" t="s">
        <v>19</v>
      </c>
      <c r="B90" t="s">
        <v>20</v>
      </c>
      <c r="C90" t="str">
        <f>CONCATENATE(B90, " ",A90)</f>
        <v>CHRISTIAN TAUGNER</v>
      </c>
      <c r="D90">
        <v>19681796</v>
      </c>
      <c r="E90" t="s">
        <v>268</v>
      </c>
      <c r="F90" t="str">
        <f>CONCATENATE(2,E90)</f>
        <v>2IANG10213425470001IL016</v>
      </c>
      <c r="G90" t="s">
        <v>269</v>
      </c>
      <c r="H90" s="1">
        <v>45658</v>
      </c>
      <c r="I90" t="s">
        <v>51</v>
      </c>
      <c r="J90" s="1">
        <v>45778</v>
      </c>
      <c r="K90" s="1">
        <f>DATE(YEAR(J90), MONTH(J90) +1, DAY(J90))</f>
        <v>45809</v>
      </c>
      <c r="M90">
        <v>20</v>
      </c>
      <c r="N90">
        <v>20</v>
      </c>
      <c r="O90" t="s">
        <v>67</v>
      </c>
      <c r="P90" t="s">
        <v>812</v>
      </c>
    </row>
    <row r="91" spans="1:22" x14ac:dyDescent="0.25">
      <c r="A91" t="s">
        <v>63</v>
      </c>
      <c r="B91" t="s">
        <v>64</v>
      </c>
      <c r="C91" t="str">
        <f>CONCATENATE(B91, " ",A91)</f>
        <v>Melissa Tatro</v>
      </c>
      <c r="D91">
        <v>14177521</v>
      </c>
      <c r="E91" t="s">
        <v>270</v>
      </c>
      <c r="F91" t="str">
        <f>CONCATENATE(2,E91)</f>
        <v>2IANG10212431620001IL016</v>
      </c>
      <c r="G91" t="s">
        <v>271</v>
      </c>
      <c r="H91" s="1">
        <v>45658</v>
      </c>
      <c r="I91" t="s">
        <v>51</v>
      </c>
      <c r="J91" s="1">
        <v>45778</v>
      </c>
      <c r="K91" s="1">
        <f>DATE(YEAR(J91), MONTH(J91) +1, DAY(J91))</f>
        <v>45809</v>
      </c>
      <c r="L91" t="s">
        <v>808</v>
      </c>
      <c r="M91">
        <v>40</v>
      </c>
      <c r="N91">
        <v>40</v>
      </c>
      <c r="O91" t="s">
        <v>67</v>
      </c>
      <c r="P91" t="s">
        <v>812</v>
      </c>
    </row>
    <row r="92" spans="1:22" s="3" customFormat="1" x14ac:dyDescent="0.25">
      <c r="A92" t="s">
        <v>63</v>
      </c>
      <c r="B92" t="s">
        <v>64</v>
      </c>
      <c r="C92" t="str">
        <f>CONCATENATE(B92, " ",A92)</f>
        <v>Melissa Tatro</v>
      </c>
      <c r="D92">
        <v>14177521</v>
      </c>
      <c r="E92" t="s">
        <v>272</v>
      </c>
      <c r="F92" t="str">
        <f>CONCATENATE(2,E92)</f>
        <v>2IANG10188667060001IL016</v>
      </c>
      <c r="G92" t="s">
        <v>273</v>
      </c>
      <c r="H92" s="1">
        <v>45292</v>
      </c>
      <c r="I92" t="s">
        <v>51</v>
      </c>
      <c r="J92" s="1">
        <v>45778</v>
      </c>
      <c r="K92" s="1">
        <f>DATE(YEAR(J92), MONTH(J92) +1, DAY(J92))</f>
        <v>45809</v>
      </c>
      <c r="L92"/>
      <c r="M92">
        <v>20</v>
      </c>
      <c r="N92">
        <v>20</v>
      </c>
      <c r="O92" t="s">
        <v>52</v>
      </c>
      <c r="P92" t="s">
        <v>812</v>
      </c>
      <c r="Q92"/>
      <c r="R92"/>
      <c r="S92"/>
      <c r="T92"/>
      <c r="U92"/>
      <c r="V92"/>
    </row>
    <row r="93" spans="1:22" s="3" customFormat="1" x14ac:dyDescent="0.25">
      <c r="A93" t="s">
        <v>174</v>
      </c>
      <c r="B93" t="s">
        <v>175</v>
      </c>
      <c r="C93" t="str">
        <f>CONCATENATE(B93, " ",A93)</f>
        <v>FRANK LISKOVEC</v>
      </c>
      <c r="D93">
        <v>8814784</v>
      </c>
      <c r="E93" t="s">
        <v>274</v>
      </c>
      <c r="F93" t="str">
        <f>CONCATENATE(2,E93)</f>
        <v>2IANG10191055840001IL016</v>
      </c>
      <c r="G93" t="s">
        <v>275</v>
      </c>
      <c r="H93" s="1">
        <v>45292</v>
      </c>
      <c r="I93" t="s">
        <v>51</v>
      </c>
      <c r="J93" s="1">
        <v>45778</v>
      </c>
      <c r="K93" s="1">
        <f>DATE(YEAR(J93), MONTH(J93) +1, DAY(J93))</f>
        <v>45809</v>
      </c>
      <c r="L93" t="s">
        <v>810</v>
      </c>
      <c r="M93">
        <v>80</v>
      </c>
      <c r="N93">
        <v>80</v>
      </c>
      <c r="O93" t="s">
        <v>52</v>
      </c>
      <c r="P93" t="s">
        <v>812</v>
      </c>
      <c r="Q93"/>
      <c r="R93"/>
      <c r="S93"/>
      <c r="T93"/>
      <c r="U93"/>
      <c r="V93"/>
    </row>
    <row r="94" spans="1:22" x14ac:dyDescent="0.25">
      <c r="A94" t="s">
        <v>163</v>
      </c>
      <c r="B94" t="s">
        <v>164</v>
      </c>
      <c r="C94" t="str">
        <f>CONCATENATE(B94, " ",A94)</f>
        <v>BARRY SCHUMANN</v>
      </c>
      <c r="D94">
        <v>19586992</v>
      </c>
      <c r="E94" t="s">
        <v>276</v>
      </c>
      <c r="F94" t="str">
        <f>CONCATENATE(2,E94)</f>
        <v>2IANG10213330860001AZ018</v>
      </c>
      <c r="G94" t="s">
        <v>277</v>
      </c>
      <c r="H94" s="1">
        <v>45658</v>
      </c>
      <c r="I94" t="s">
        <v>135</v>
      </c>
      <c r="J94" s="1">
        <v>45778</v>
      </c>
      <c r="K94" s="1">
        <f>DATE(YEAR(J94), MONTH(J94) +1, DAY(J94))</f>
        <v>45809</v>
      </c>
      <c r="M94">
        <v>20</v>
      </c>
      <c r="N94">
        <v>20</v>
      </c>
      <c r="O94" t="s">
        <v>167</v>
      </c>
      <c r="P94" t="s">
        <v>812</v>
      </c>
    </row>
    <row r="95" spans="1:22" x14ac:dyDescent="0.25">
      <c r="A95" t="s">
        <v>93</v>
      </c>
      <c r="B95" t="s">
        <v>218</v>
      </c>
      <c r="C95" t="str">
        <f>CONCATENATE(B95, " ",A95)</f>
        <v>Chad Yale</v>
      </c>
      <c r="D95">
        <v>20003537</v>
      </c>
      <c r="E95" t="s">
        <v>278</v>
      </c>
      <c r="F95" t="str">
        <f>CONCATENATE(2,E95)</f>
        <v>2IANG10213327800001IL016</v>
      </c>
      <c r="G95" t="s">
        <v>279</v>
      </c>
      <c r="H95" s="1">
        <v>45658</v>
      </c>
      <c r="I95" t="s">
        <v>51</v>
      </c>
      <c r="J95" s="1">
        <v>45778</v>
      </c>
      <c r="K95" s="1">
        <f>DATE(YEAR(J95), MONTH(J95) +1, DAY(J95))</f>
        <v>45809</v>
      </c>
      <c r="L95" t="s">
        <v>808</v>
      </c>
      <c r="M95">
        <v>40</v>
      </c>
      <c r="N95">
        <v>40</v>
      </c>
      <c r="O95" t="s">
        <v>67</v>
      </c>
      <c r="P95" t="s">
        <v>812</v>
      </c>
    </row>
    <row r="96" spans="1:22" x14ac:dyDescent="0.25">
      <c r="A96" s="3" t="s">
        <v>280</v>
      </c>
      <c r="B96" s="3" t="s">
        <v>281</v>
      </c>
      <c r="C96" s="3" t="str">
        <f>CONCATENATE(B96, " ",A96)</f>
        <v>Barry Brenner</v>
      </c>
      <c r="D96" s="3">
        <v>21348299</v>
      </c>
      <c r="E96" s="3" t="s">
        <v>282</v>
      </c>
      <c r="F96" s="3" t="str">
        <f>CONCATENATE(2,E96)</f>
        <v>2IANG10215945360001TX016</v>
      </c>
      <c r="G96" s="3" t="s">
        <v>283</v>
      </c>
      <c r="H96" s="4">
        <v>45748</v>
      </c>
      <c r="I96" s="3" t="s">
        <v>43</v>
      </c>
      <c r="J96" s="4">
        <v>45778</v>
      </c>
      <c r="K96" s="1">
        <f>DATE(YEAR(J96), MONTH(J96) +1, DAY(J96))</f>
        <v>45809</v>
      </c>
      <c r="L96" s="3"/>
      <c r="M96" s="3">
        <v>25</v>
      </c>
      <c r="N96" s="3">
        <v>25</v>
      </c>
      <c r="O96" s="3" t="s">
        <v>44</v>
      </c>
      <c r="P96" s="3" t="s">
        <v>814</v>
      </c>
      <c r="Q96" s="3"/>
      <c r="R96" s="3"/>
      <c r="S96" s="3"/>
      <c r="T96" s="3"/>
      <c r="U96" s="3"/>
      <c r="V96" s="3"/>
    </row>
    <row r="97" spans="1:16" x14ac:dyDescent="0.25">
      <c r="A97" t="s">
        <v>35</v>
      </c>
      <c r="B97" t="s">
        <v>36</v>
      </c>
      <c r="C97" t="str">
        <f>CONCATENATE(B97, " ",A97)</f>
        <v>Adam Richter</v>
      </c>
      <c r="D97">
        <v>9079571</v>
      </c>
      <c r="E97" t="s">
        <v>284</v>
      </c>
      <c r="F97" t="str">
        <f>CONCATENATE(2,E97)</f>
        <v>2IANG10194389410002NJ016</v>
      </c>
      <c r="G97" t="s">
        <v>285</v>
      </c>
      <c r="H97" s="1">
        <v>45323</v>
      </c>
      <c r="I97" t="s">
        <v>286</v>
      </c>
      <c r="J97" s="1">
        <v>45778</v>
      </c>
      <c r="K97" s="1">
        <f>DATE(YEAR(J97), MONTH(J97) +1, DAY(J97))</f>
        <v>45809</v>
      </c>
      <c r="M97">
        <v>20</v>
      </c>
      <c r="N97">
        <v>20</v>
      </c>
      <c r="O97" t="s">
        <v>287</v>
      </c>
      <c r="P97" t="s">
        <v>812</v>
      </c>
    </row>
    <row r="98" spans="1:16" x14ac:dyDescent="0.25">
      <c r="A98" t="s">
        <v>105</v>
      </c>
      <c r="B98" t="s">
        <v>106</v>
      </c>
      <c r="C98" t="str">
        <f>CONCATENATE(B98, " ",A98)</f>
        <v>ANTHONY HUNSBERGER</v>
      </c>
      <c r="D98">
        <v>7146581</v>
      </c>
      <c r="E98" t="s">
        <v>288</v>
      </c>
      <c r="F98" t="str">
        <f>CONCATENATE(2,E98)</f>
        <v>2IANG10210936860001IL016</v>
      </c>
      <c r="G98" t="s">
        <v>289</v>
      </c>
      <c r="H98" s="1">
        <v>45658</v>
      </c>
      <c r="I98" t="s">
        <v>51</v>
      </c>
      <c r="J98" s="1">
        <v>45778</v>
      </c>
      <c r="K98" s="1">
        <f>DATE(YEAR(J98), MONTH(J98) +1, DAY(J98))</f>
        <v>45809</v>
      </c>
      <c r="M98">
        <v>20</v>
      </c>
      <c r="N98">
        <v>20</v>
      </c>
      <c r="O98" t="s">
        <v>67</v>
      </c>
      <c r="P98" t="s">
        <v>812</v>
      </c>
    </row>
    <row r="99" spans="1:16" x14ac:dyDescent="0.25">
      <c r="A99" t="s">
        <v>290</v>
      </c>
      <c r="B99" t="s">
        <v>291</v>
      </c>
      <c r="C99" t="str">
        <f>CONCATENATE(B99, " ",A99)</f>
        <v>Brian Strohman</v>
      </c>
      <c r="D99">
        <v>21104854</v>
      </c>
      <c r="E99" t="s">
        <v>292</v>
      </c>
      <c r="F99" t="str">
        <f>CONCATENATE(2,E99)</f>
        <v>2IANG10215361500001IL016</v>
      </c>
      <c r="G99" t="s">
        <v>293</v>
      </c>
      <c r="H99" s="1">
        <v>45717</v>
      </c>
      <c r="I99" t="s">
        <v>51</v>
      </c>
      <c r="J99" s="1">
        <v>45778</v>
      </c>
      <c r="K99" s="1">
        <f>DATE(YEAR(J99), MONTH(J99) +1, DAY(J99))</f>
        <v>45809</v>
      </c>
      <c r="M99">
        <v>20</v>
      </c>
      <c r="N99">
        <v>20</v>
      </c>
      <c r="O99" t="s">
        <v>67</v>
      </c>
      <c r="P99" t="s">
        <v>812</v>
      </c>
    </row>
    <row r="100" spans="1:16" x14ac:dyDescent="0.25">
      <c r="A100" t="s">
        <v>290</v>
      </c>
      <c r="B100" t="s">
        <v>291</v>
      </c>
      <c r="C100" t="str">
        <f>CONCATENATE(B100, " ",A100)</f>
        <v>Brian Strohman</v>
      </c>
      <c r="D100">
        <v>21104854</v>
      </c>
      <c r="E100" t="s">
        <v>294</v>
      </c>
      <c r="F100" t="str">
        <f>CONCATENATE(2,E100)</f>
        <v>2IANG10211235060001IL016</v>
      </c>
      <c r="G100" t="s">
        <v>295</v>
      </c>
      <c r="H100" s="1">
        <v>45658</v>
      </c>
      <c r="I100" t="s">
        <v>51</v>
      </c>
      <c r="J100" s="1">
        <v>45778</v>
      </c>
      <c r="K100" s="1">
        <f>DATE(YEAR(J100), MONTH(J100) +1, DAY(J100))</f>
        <v>45809</v>
      </c>
      <c r="M100">
        <v>20</v>
      </c>
      <c r="N100">
        <v>20</v>
      </c>
      <c r="O100" t="s">
        <v>67</v>
      </c>
      <c r="P100" t="s">
        <v>812</v>
      </c>
    </row>
    <row r="101" spans="1:16" x14ac:dyDescent="0.25">
      <c r="A101" t="s">
        <v>101</v>
      </c>
      <c r="B101" t="s">
        <v>102</v>
      </c>
      <c r="C101" t="str">
        <f>CONCATENATE(B101, " ",A101)</f>
        <v>Gregory Teipel</v>
      </c>
      <c r="D101">
        <v>8307933</v>
      </c>
      <c r="E101" t="s">
        <v>296</v>
      </c>
      <c r="F101" t="str">
        <f>CONCATENATE(2,E101)</f>
        <v>2IANG10203565250001IL016</v>
      </c>
      <c r="G101" t="s">
        <v>297</v>
      </c>
      <c r="H101" s="1">
        <v>45505</v>
      </c>
      <c r="I101" t="s">
        <v>51</v>
      </c>
      <c r="J101" s="1">
        <v>45778</v>
      </c>
      <c r="K101" s="1">
        <f>DATE(YEAR(J101), MONTH(J101) +1, DAY(J101))</f>
        <v>45809</v>
      </c>
      <c r="M101">
        <v>20</v>
      </c>
      <c r="N101">
        <v>20</v>
      </c>
      <c r="O101" t="s">
        <v>52</v>
      </c>
      <c r="P101" t="s">
        <v>812</v>
      </c>
    </row>
    <row r="102" spans="1:16" x14ac:dyDescent="0.25">
      <c r="A102" t="s">
        <v>298</v>
      </c>
      <c r="B102" t="s">
        <v>299</v>
      </c>
      <c r="C102" t="str">
        <f>CONCATENATE(B102, " ",A102)</f>
        <v>GREGORY HANSFORD</v>
      </c>
      <c r="D102">
        <v>17094718</v>
      </c>
      <c r="E102" t="s">
        <v>300</v>
      </c>
      <c r="F102" t="str">
        <f>CONCATENATE(2,E102)</f>
        <v>2IANG10213468310001IL016</v>
      </c>
      <c r="G102" t="s">
        <v>301</v>
      </c>
      <c r="H102" s="1">
        <v>45658</v>
      </c>
      <c r="I102" t="s">
        <v>51</v>
      </c>
      <c r="J102" s="1">
        <v>45778</v>
      </c>
      <c r="K102" s="1">
        <f>DATE(YEAR(J102), MONTH(J102) +1, DAY(J102))</f>
        <v>45809</v>
      </c>
      <c r="M102">
        <v>20</v>
      </c>
      <c r="N102">
        <v>20</v>
      </c>
      <c r="O102" t="s">
        <v>67</v>
      </c>
      <c r="P102" t="s">
        <v>812</v>
      </c>
    </row>
    <row r="103" spans="1:16" x14ac:dyDescent="0.25">
      <c r="A103" t="s">
        <v>93</v>
      </c>
      <c r="B103" t="s">
        <v>94</v>
      </c>
      <c r="C103" t="str">
        <f>CONCATENATE(B103, " ",A103)</f>
        <v>Jacob Yale</v>
      </c>
      <c r="D103">
        <v>18754354</v>
      </c>
      <c r="E103" t="s">
        <v>302</v>
      </c>
      <c r="F103" t="str">
        <f>CONCATENATE(2,E103)</f>
        <v>2IANG10209181720001IL016</v>
      </c>
      <c r="G103" t="s">
        <v>303</v>
      </c>
      <c r="H103" s="1">
        <v>45658</v>
      </c>
      <c r="I103" t="s">
        <v>51</v>
      </c>
      <c r="J103" s="1">
        <v>45778</v>
      </c>
      <c r="K103" s="1">
        <f>DATE(YEAR(J103), MONTH(J103) +1, DAY(J103))</f>
        <v>45809</v>
      </c>
      <c r="M103">
        <v>20</v>
      </c>
      <c r="N103">
        <v>20</v>
      </c>
      <c r="O103" t="s">
        <v>67</v>
      </c>
      <c r="P103" t="s">
        <v>812</v>
      </c>
    </row>
    <row r="104" spans="1:16" x14ac:dyDescent="0.25">
      <c r="A104" t="s">
        <v>63</v>
      </c>
      <c r="B104" t="s">
        <v>64</v>
      </c>
      <c r="C104" t="str">
        <f>CONCATENATE(B104, " ",A104)</f>
        <v>Melissa Tatro</v>
      </c>
      <c r="D104">
        <v>14177521</v>
      </c>
      <c r="E104" t="s">
        <v>304</v>
      </c>
      <c r="F104" t="str">
        <f>CONCATENATE(2,E104)</f>
        <v>2IANG10183111850001IL016</v>
      </c>
      <c r="G104" t="s">
        <v>305</v>
      </c>
      <c r="H104" s="1">
        <v>45292</v>
      </c>
      <c r="I104" t="s">
        <v>51</v>
      </c>
      <c r="J104" s="1">
        <v>45778</v>
      </c>
      <c r="K104" s="1">
        <f>DATE(YEAR(J104), MONTH(J104) +1, DAY(J104))</f>
        <v>45809</v>
      </c>
      <c r="M104">
        <v>20</v>
      </c>
      <c r="N104">
        <v>20</v>
      </c>
      <c r="O104" t="s">
        <v>52</v>
      </c>
      <c r="P104" t="s">
        <v>812</v>
      </c>
    </row>
    <row r="105" spans="1:16" x14ac:dyDescent="0.25">
      <c r="A105" t="s">
        <v>101</v>
      </c>
      <c r="B105" t="s">
        <v>102</v>
      </c>
      <c r="C105" t="str">
        <f>CONCATENATE(B105, " ",A105)</f>
        <v>Gregory Teipel</v>
      </c>
      <c r="D105">
        <v>8307933</v>
      </c>
      <c r="E105" t="s">
        <v>306</v>
      </c>
      <c r="F105" t="str">
        <f>CONCATENATE(2,E105)</f>
        <v>2IANG10183763710001IL016</v>
      </c>
      <c r="G105" t="s">
        <v>307</v>
      </c>
      <c r="H105" s="1">
        <v>45292</v>
      </c>
      <c r="I105" t="s">
        <v>51</v>
      </c>
      <c r="J105" s="1">
        <v>45778</v>
      </c>
      <c r="K105" s="1">
        <f>DATE(YEAR(J105), MONTH(J105) +1, DAY(J105))</f>
        <v>45809</v>
      </c>
      <c r="M105">
        <v>20</v>
      </c>
      <c r="N105">
        <v>20</v>
      </c>
      <c r="O105" t="s">
        <v>67</v>
      </c>
      <c r="P105" t="s">
        <v>812</v>
      </c>
    </row>
    <row r="106" spans="1:16" x14ac:dyDescent="0.25">
      <c r="A106" t="s">
        <v>101</v>
      </c>
      <c r="B106" t="s">
        <v>102</v>
      </c>
      <c r="C106" t="str">
        <f>CONCATENATE(B106, " ",A106)</f>
        <v>Gregory Teipel</v>
      </c>
      <c r="D106">
        <v>8307933</v>
      </c>
      <c r="E106" t="s">
        <v>308</v>
      </c>
      <c r="F106" t="str">
        <f>CONCATENATE(2,E106)</f>
        <v>2IANG10183763500001IL016</v>
      </c>
      <c r="G106" t="s">
        <v>309</v>
      </c>
      <c r="H106" s="1">
        <v>45292</v>
      </c>
      <c r="I106" t="s">
        <v>51</v>
      </c>
      <c r="J106" s="1">
        <v>45778</v>
      </c>
      <c r="K106" s="1">
        <f>DATE(YEAR(J106), MONTH(J106) +1, DAY(J106))</f>
        <v>45809</v>
      </c>
      <c r="L106" t="s">
        <v>808</v>
      </c>
      <c r="M106">
        <v>40</v>
      </c>
      <c r="N106">
        <v>40</v>
      </c>
      <c r="O106" t="s">
        <v>52</v>
      </c>
      <c r="P106" t="s">
        <v>812</v>
      </c>
    </row>
    <row r="107" spans="1:16" x14ac:dyDescent="0.25">
      <c r="A107" t="s">
        <v>47</v>
      </c>
      <c r="B107" t="s">
        <v>48</v>
      </c>
      <c r="C107" t="str">
        <f>CONCATENATE(B107, " ",A107)</f>
        <v>GARY PORTUGAL</v>
      </c>
      <c r="D107">
        <v>9213293</v>
      </c>
      <c r="E107" t="s">
        <v>310</v>
      </c>
      <c r="F107" t="str">
        <f>CONCATENATE(2,E107)</f>
        <v>2IANG10213528010001IL016</v>
      </c>
      <c r="G107" t="s">
        <v>311</v>
      </c>
      <c r="H107" s="1">
        <v>45658</v>
      </c>
      <c r="I107" t="s">
        <v>51</v>
      </c>
      <c r="J107" s="1">
        <v>45748</v>
      </c>
      <c r="K107" s="1">
        <f>DATE(YEAR(J107), MONTH(J107) +1, DAY(J107))</f>
        <v>45778</v>
      </c>
      <c r="M107">
        <v>20</v>
      </c>
      <c r="N107">
        <v>20</v>
      </c>
      <c r="O107" t="s">
        <v>67</v>
      </c>
      <c r="P107" t="s">
        <v>812</v>
      </c>
    </row>
    <row r="108" spans="1:16" x14ac:dyDescent="0.25">
      <c r="A108" t="s">
        <v>47</v>
      </c>
      <c r="B108" t="s">
        <v>48</v>
      </c>
      <c r="C108" t="str">
        <f>CONCATENATE(B108, " ",A108)</f>
        <v>GARY PORTUGAL</v>
      </c>
      <c r="D108">
        <v>9213293</v>
      </c>
      <c r="E108" t="s">
        <v>312</v>
      </c>
      <c r="F108" t="str">
        <f>CONCATENATE(2,E108)</f>
        <v>2IANG10207499410001IL016</v>
      </c>
      <c r="G108" t="s">
        <v>313</v>
      </c>
      <c r="H108" s="1">
        <v>45597</v>
      </c>
      <c r="I108" t="s">
        <v>51</v>
      </c>
      <c r="J108" s="1">
        <v>45748</v>
      </c>
      <c r="K108" s="1">
        <f>DATE(YEAR(J108), MONTH(J108) +1, DAY(J108))</f>
        <v>45778</v>
      </c>
      <c r="L108" t="s">
        <v>808</v>
      </c>
      <c r="M108">
        <v>40</v>
      </c>
      <c r="N108">
        <v>40</v>
      </c>
      <c r="O108" t="s">
        <v>52</v>
      </c>
      <c r="P108" t="s">
        <v>812</v>
      </c>
    </row>
    <row r="109" spans="1:16" x14ac:dyDescent="0.25">
      <c r="A109" t="s">
        <v>47</v>
      </c>
      <c r="B109" t="s">
        <v>48</v>
      </c>
      <c r="C109" t="str">
        <f>CONCATENATE(B109, " ",A109)</f>
        <v>GARY PORTUGAL</v>
      </c>
      <c r="D109">
        <v>9213293</v>
      </c>
      <c r="E109" t="s">
        <v>312</v>
      </c>
      <c r="F109" t="str">
        <f>CONCATENATE(2,E109)</f>
        <v>2IANG10207499410001IL016</v>
      </c>
      <c r="G109" t="s">
        <v>313</v>
      </c>
      <c r="H109" s="1">
        <v>45597</v>
      </c>
      <c r="I109" t="s">
        <v>51</v>
      </c>
      <c r="J109" s="1">
        <v>45778</v>
      </c>
      <c r="K109" s="1">
        <f>DATE(YEAR(J109), MONTH(J109) +1, DAY(J109))</f>
        <v>45809</v>
      </c>
      <c r="L109" t="s">
        <v>808</v>
      </c>
      <c r="M109">
        <v>40</v>
      </c>
      <c r="N109">
        <v>40</v>
      </c>
      <c r="O109" t="s">
        <v>52</v>
      </c>
      <c r="P109" t="s">
        <v>812</v>
      </c>
    </row>
    <row r="110" spans="1:16" x14ac:dyDescent="0.25">
      <c r="A110" t="s">
        <v>53</v>
      </c>
      <c r="B110" t="s">
        <v>54</v>
      </c>
      <c r="C110" t="str">
        <f>CONCATENATE(B110, " ",A110)</f>
        <v>Ronald Max</v>
      </c>
      <c r="D110">
        <v>5442438</v>
      </c>
      <c r="E110" t="s">
        <v>314</v>
      </c>
      <c r="F110" t="str">
        <f>CONCATENATE(2,E110)</f>
        <v>2IANG10210710340002MD016</v>
      </c>
      <c r="G110" t="s">
        <v>315</v>
      </c>
      <c r="H110" s="1">
        <v>45597</v>
      </c>
      <c r="I110" t="s">
        <v>33</v>
      </c>
      <c r="J110" s="1">
        <v>45748</v>
      </c>
      <c r="K110" s="1">
        <f>DATE(YEAR(J110), MONTH(J110) +1, DAY(J110))</f>
        <v>45778</v>
      </c>
      <c r="M110">
        <v>10</v>
      </c>
      <c r="N110">
        <v>10</v>
      </c>
      <c r="O110" t="s">
        <v>34</v>
      </c>
      <c r="P110" t="s">
        <v>813</v>
      </c>
    </row>
    <row r="111" spans="1:16" x14ac:dyDescent="0.25">
      <c r="A111" t="s">
        <v>117</v>
      </c>
      <c r="B111" t="s">
        <v>118</v>
      </c>
      <c r="C111" t="str">
        <f>CONCATENATE(B111, " ",A111)</f>
        <v>Thomas Pardue</v>
      </c>
      <c r="D111">
        <v>371819</v>
      </c>
      <c r="E111" t="s">
        <v>316</v>
      </c>
      <c r="F111" t="str">
        <f>CONCATENATE(2,E111)</f>
        <v>2IANG10203613260001FL016</v>
      </c>
      <c r="G111" t="s">
        <v>317</v>
      </c>
      <c r="H111" s="1">
        <v>45505</v>
      </c>
      <c r="I111" t="s">
        <v>25</v>
      </c>
      <c r="J111" s="1">
        <v>45778</v>
      </c>
      <c r="K111" s="1">
        <f>DATE(YEAR(J111), MONTH(J111) +1, DAY(J111))</f>
        <v>45809</v>
      </c>
      <c r="M111">
        <v>20</v>
      </c>
      <c r="N111">
        <v>20</v>
      </c>
      <c r="O111" t="s">
        <v>26</v>
      </c>
      <c r="P111" t="s">
        <v>812</v>
      </c>
    </row>
    <row r="112" spans="1:16" x14ac:dyDescent="0.25">
      <c r="A112" t="s">
        <v>19</v>
      </c>
      <c r="B112" t="s">
        <v>20</v>
      </c>
      <c r="C112" t="str">
        <f>CONCATENATE(B112, " ",A112)</f>
        <v>CHRISTIAN TAUGNER</v>
      </c>
      <c r="D112">
        <v>19681796</v>
      </c>
      <c r="E112" t="s">
        <v>318</v>
      </c>
      <c r="F112" t="str">
        <f>CONCATENATE(2,E112)</f>
        <v>2IANG10207699100001IL016</v>
      </c>
      <c r="G112" t="s">
        <v>319</v>
      </c>
      <c r="H112" s="1">
        <v>45597</v>
      </c>
      <c r="I112" t="s">
        <v>51</v>
      </c>
      <c r="J112" s="1">
        <v>45778</v>
      </c>
      <c r="K112" s="1">
        <f>DATE(YEAR(J112), MONTH(J112) +1, DAY(J112))</f>
        <v>45809</v>
      </c>
      <c r="M112">
        <v>20</v>
      </c>
      <c r="N112">
        <v>20</v>
      </c>
      <c r="O112" t="s">
        <v>52</v>
      </c>
      <c r="P112" t="s">
        <v>812</v>
      </c>
    </row>
    <row r="113" spans="1:22" x14ac:dyDescent="0.25">
      <c r="A113" t="s">
        <v>57</v>
      </c>
      <c r="B113" t="s">
        <v>58</v>
      </c>
      <c r="C113" t="str">
        <f>CONCATENATE(B113, " ",A113)</f>
        <v>Ryan Caltagirone</v>
      </c>
      <c r="D113">
        <v>8977234</v>
      </c>
      <c r="E113" t="s">
        <v>320</v>
      </c>
      <c r="F113" t="str">
        <f>CONCATENATE(2,E113)</f>
        <v>2IANG10172837680001NC016</v>
      </c>
      <c r="G113" t="s">
        <v>321</v>
      </c>
      <c r="H113" s="1">
        <v>45078</v>
      </c>
      <c r="I113" t="s">
        <v>322</v>
      </c>
      <c r="J113" s="1">
        <v>45778</v>
      </c>
      <c r="K113" s="1">
        <f>DATE(YEAR(J113), MONTH(J113) +1, DAY(J113))</f>
        <v>45809</v>
      </c>
      <c r="L113" t="s">
        <v>808</v>
      </c>
      <c r="M113">
        <v>50</v>
      </c>
      <c r="N113">
        <v>50</v>
      </c>
      <c r="O113" t="s">
        <v>323</v>
      </c>
      <c r="P113" t="s">
        <v>814</v>
      </c>
    </row>
    <row r="114" spans="1:22" x14ac:dyDescent="0.25">
      <c r="A114" t="s">
        <v>35</v>
      </c>
      <c r="B114" t="s">
        <v>36</v>
      </c>
      <c r="C114" t="str">
        <f>CONCATENATE(B114, " ",A114)</f>
        <v>Adam Richter</v>
      </c>
      <c r="D114">
        <v>9079571</v>
      </c>
      <c r="E114" t="s">
        <v>324</v>
      </c>
      <c r="F114" t="str">
        <f>CONCATENATE(2,E114)</f>
        <v>2IANG10203985970002MD016</v>
      </c>
      <c r="G114" t="s">
        <v>325</v>
      </c>
      <c r="H114" s="1">
        <v>45505</v>
      </c>
      <c r="I114" t="s">
        <v>33</v>
      </c>
      <c r="J114" s="1">
        <v>45778</v>
      </c>
      <c r="K114" s="1">
        <f>DATE(YEAR(J114), MONTH(J114) +1, DAY(J114))</f>
        <v>45809</v>
      </c>
      <c r="M114">
        <v>10</v>
      </c>
      <c r="N114">
        <v>10</v>
      </c>
      <c r="O114" t="s">
        <v>34</v>
      </c>
      <c r="P114" t="s">
        <v>813</v>
      </c>
    </row>
    <row r="115" spans="1:22" s="3" customFormat="1" x14ac:dyDescent="0.25">
      <c r="A115" t="s">
        <v>19</v>
      </c>
      <c r="B115" t="s">
        <v>20</v>
      </c>
      <c r="C115" t="str">
        <f>CONCATENATE(B115, " ",A115)</f>
        <v>CHRISTIAN TAUGNER</v>
      </c>
      <c r="D115">
        <v>19681796</v>
      </c>
      <c r="E115" t="s">
        <v>326</v>
      </c>
      <c r="F115" t="str">
        <f>CONCATENATE(2,E115)</f>
        <v>2IANG10209298710001IL016</v>
      </c>
      <c r="G115" t="s">
        <v>327</v>
      </c>
      <c r="H115" s="1">
        <v>45627</v>
      </c>
      <c r="I115" t="s">
        <v>51</v>
      </c>
      <c r="J115" s="1">
        <v>45748</v>
      </c>
      <c r="K115" s="1">
        <f>DATE(YEAR(J115), MONTH(J115) +1, DAY(J115))</f>
        <v>45778</v>
      </c>
      <c r="L115"/>
      <c r="M115">
        <v>20</v>
      </c>
      <c r="N115">
        <v>20</v>
      </c>
      <c r="O115" t="s">
        <v>52</v>
      </c>
      <c r="P115" t="s">
        <v>812</v>
      </c>
      <c r="Q115"/>
      <c r="R115"/>
      <c r="S115"/>
      <c r="T115"/>
      <c r="U115"/>
      <c r="V115"/>
    </row>
    <row r="116" spans="1:22" s="3" customFormat="1" x14ac:dyDescent="0.25">
      <c r="A116" t="s">
        <v>19</v>
      </c>
      <c r="B116" t="s">
        <v>20</v>
      </c>
      <c r="C116" t="str">
        <f>CONCATENATE(B116, " ",A116)</f>
        <v>CHRISTIAN TAUGNER</v>
      </c>
      <c r="D116">
        <v>19681796</v>
      </c>
      <c r="E116" t="s">
        <v>326</v>
      </c>
      <c r="F116" t="str">
        <f>CONCATENATE(2,E116)</f>
        <v>2IANG10209298710001IL016</v>
      </c>
      <c r="G116" t="s">
        <v>327</v>
      </c>
      <c r="H116" s="1">
        <v>45627</v>
      </c>
      <c r="I116" t="s">
        <v>51</v>
      </c>
      <c r="J116" s="1">
        <v>45778</v>
      </c>
      <c r="K116" s="1">
        <f>DATE(YEAR(J116), MONTH(J116) +1, DAY(J116))</f>
        <v>45809</v>
      </c>
      <c r="L116"/>
      <c r="M116">
        <v>20</v>
      </c>
      <c r="N116">
        <v>20</v>
      </c>
      <c r="O116" t="s">
        <v>52</v>
      </c>
      <c r="P116" t="s">
        <v>812</v>
      </c>
      <c r="Q116"/>
      <c r="R116"/>
      <c r="S116"/>
      <c r="T116"/>
      <c r="U116"/>
      <c r="V116"/>
    </row>
    <row r="117" spans="1:22" x14ac:dyDescent="0.25">
      <c r="A117" t="s">
        <v>35</v>
      </c>
      <c r="B117" t="s">
        <v>36</v>
      </c>
      <c r="C117" t="str">
        <f>CONCATENATE(B117, " ",A117)</f>
        <v>Adam Richter</v>
      </c>
      <c r="D117">
        <v>9079571</v>
      </c>
      <c r="E117" t="s">
        <v>328</v>
      </c>
      <c r="F117" t="str">
        <f>CONCATENATE(2,E117)</f>
        <v>2IANG10198737020002MD016</v>
      </c>
      <c r="G117" t="s">
        <v>329</v>
      </c>
      <c r="H117" s="1">
        <v>45383</v>
      </c>
      <c r="I117" t="s">
        <v>33</v>
      </c>
      <c r="J117" s="1">
        <v>45778</v>
      </c>
      <c r="K117" s="1">
        <f>DATE(YEAR(J117), MONTH(J117) +1, DAY(J117))</f>
        <v>45809</v>
      </c>
      <c r="L117" t="s">
        <v>808</v>
      </c>
      <c r="M117">
        <v>20</v>
      </c>
      <c r="N117">
        <v>20</v>
      </c>
      <c r="O117" t="s">
        <v>34</v>
      </c>
      <c r="P117" t="s">
        <v>813</v>
      </c>
    </row>
    <row r="118" spans="1:22" x14ac:dyDescent="0.25">
      <c r="A118" t="s">
        <v>57</v>
      </c>
      <c r="B118" t="s">
        <v>58</v>
      </c>
      <c r="C118" t="str">
        <f>CONCATENATE(B118, " ",A118)</f>
        <v>Ryan Caltagirone</v>
      </c>
      <c r="D118">
        <v>8977234</v>
      </c>
      <c r="E118" t="s">
        <v>330</v>
      </c>
      <c r="F118" t="str">
        <f>CONCATENATE(2,E118)</f>
        <v>2IANG10184604780001IL016</v>
      </c>
      <c r="G118" t="s">
        <v>331</v>
      </c>
      <c r="H118" s="1">
        <v>45292</v>
      </c>
      <c r="I118" t="s">
        <v>51</v>
      </c>
      <c r="J118" s="1">
        <v>45778</v>
      </c>
      <c r="K118" s="1">
        <f>DATE(YEAR(J118), MONTH(J118) +1, DAY(J118))</f>
        <v>45809</v>
      </c>
      <c r="M118">
        <v>20</v>
      </c>
      <c r="N118">
        <v>20</v>
      </c>
      <c r="O118" t="s">
        <v>52</v>
      </c>
      <c r="P118" t="s">
        <v>812</v>
      </c>
    </row>
    <row r="119" spans="1:22" x14ac:dyDescent="0.25">
      <c r="A119" s="3" t="s">
        <v>332</v>
      </c>
      <c r="B119" s="3" t="s">
        <v>333</v>
      </c>
      <c r="C119" s="3" t="str">
        <f>CONCATENATE(B119, " ",A119)</f>
        <v>Jared Kinyua</v>
      </c>
      <c r="D119" s="3">
        <v>19279958</v>
      </c>
      <c r="E119" s="3" t="s">
        <v>334</v>
      </c>
      <c r="F119" s="3" t="str">
        <f>CONCATENATE(2,E119)</f>
        <v>2IANG10207602700002MD016</v>
      </c>
      <c r="G119" s="3" t="s">
        <v>335</v>
      </c>
      <c r="H119" s="4">
        <v>45597</v>
      </c>
      <c r="I119" s="3" t="s">
        <v>33</v>
      </c>
      <c r="J119" s="4">
        <v>45778</v>
      </c>
      <c r="K119" s="1">
        <f>DATE(YEAR(J119), MONTH(J119) +1, DAY(J119))</f>
        <v>45809</v>
      </c>
      <c r="L119" s="3"/>
      <c r="M119" s="3">
        <v>10</v>
      </c>
      <c r="N119" s="3">
        <v>10</v>
      </c>
      <c r="O119" s="3" t="s">
        <v>34</v>
      </c>
      <c r="P119" s="3" t="s">
        <v>813</v>
      </c>
      <c r="Q119" s="3"/>
      <c r="R119" s="3"/>
      <c r="S119" s="3"/>
      <c r="T119" s="3"/>
      <c r="U119" s="3"/>
      <c r="V119" s="3"/>
    </row>
    <row r="120" spans="1:22" x14ac:dyDescent="0.25">
      <c r="A120" t="s">
        <v>35</v>
      </c>
      <c r="B120" t="s">
        <v>36</v>
      </c>
      <c r="C120" t="str">
        <f>CONCATENATE(B120, " ",A120)</f>
        <v>Adam Richter</v>
      </c>
      <c r="D120">
        <v>9079571</v>
      </c>
      <c r="E120" t="s">
        <v>336</v>
      </c>
      <c r="F120" t="str">
        <f>CONCATENATE(2,E120)</f>
        <v>2IANG10202448560002MD016</v>
      </c>
      <c r="G120" t="s">
        <v>337</v>
      </c>
      <c r="H120" s="1">
        <v>45444</v>
      </c>
      <c r="I120" t="s">
        <v>33</v>
      </c>
      <c r="J120" s="1">
        <v>45778</v>
      </c>
      <c r="K120" s="1">
        <f>DATE(YEAR(J120), MONTH(J120) +1, DAY(J120))</f>
        <v>45809</v>
      </c>
      <c r="M120">
        <v>10</v>
      </c>
      <c r="N120">
        <v>10</v>
      </c>
      <c r="O120" t="s">
        <v>34</v>
      </c>
      <c r="P120" t="s">
        <v>813</v>
      </c>
    </row>
    <row r="121" spans="1:22" x14ac:dyDescent="0.25">
      <c r="A121" t="s">
        <v>174</v>
      </c>
      <c r="B121" t="s">
        <v>175</v>
      </c>
      <c r="C121" t="str">
        <f>CONCATENATE(B121, " ",A121)</f>
        <v>FRANK LISKOVEC</v>
      </c>
      <c r="D121">
        <v>8814784</v>
      </c>
      <c r="E121" t="s">
        <v>338</v>
      </c>
      <c r="F121" t="str">
        <f>CONCATENATE(2,E121)</f>
        <v>2IANG10212423680001IL016</v>
      </c>
      <c r="G121" t="s">
        <v>339</v>
      </c>
      <c r="H121" s="1">
        <v>45658</v>
      </c>
      <c r="I121" t="s">
        <v>51</v>
      </c>
      <c r="J121" s="1">
        <v>45778</v>
      </c>
      <c r="K121" s="1">
        <f>DATE(YEAR(J121), MONTH(J121) +1, DAY(J121))</f>
        <v>45809</v>
      </c>
      <c r="M121">
        <v>20</v>
      </c>
      <c r="N121">
        <v>20</v>
      </c>
      <c r="O121" t="s">
        <v>67</v>
      </c>
      <c r="P121" t="s">
        <v>812</v>
      </c>
    </row>
    <row r="122" spans="1:22" x14ac:dyDescent="0.25">
      <c r="A122" t="s">
        <v>93</v>
      </c>
      <c r="B122" t="s">
        <v>218</v>
      </c>
      <c r="C122" t="str">
        <f>CONCATENATE(B122, " ",A122)</f>
        <v>Chad Yale</v>
      </c>
      <c r="D122">
        <v>20003537</v>
      </c>
      <c r="E122" t="s">
        <v>340</v>
      </c>
      <c r="F122" t="str">
        <f>CONCATENATE(2,E122)</f>
        <v>2IANG10188516330001IL016</v>
      </c>
      <c r="G122" t="s">
        <v>341</v>
      </c>
      <c r="H122" s="1">
        <v>45292</v>
      </c>
      <c r="I122" t="s">
        <v>51</v>
      </c>
      <c r="J122" s="1">
        <v>45778</v>
      </c>
      <c r="K122" s="1">
        <f>DATE(YEAR(J122), MONTH(J122) +1, DAY(J122))</f>
        <v>45809</v>
      </c>
      <c r="M122">
        <v>20</v>
      </c>
      <c r="N122">
        <v>20</v>
      </c>
      <c r="O122" t="s">
        <v>52</v>
      </c>
      <c r="P122" t="s">
        <v>812</v>
      </c>
    </row>
    <row r="123" spans="1:22" x14ac:dyDescent="0.25">
      <c r="A123" t="s">
        <v>123</v>
      </c>
      <c r="B123" t="s">
        <v>124</v>
      </c>
      <c r="C123" t="str">
        <f>CONCATENATE(B123, " ",A123)</f>
        <v>RICARDO SANTOS</v>
      </c>
      <c r="D123">
        <v>19200754</v>
      </c>
      <c r="E123" t="s">
        <v>342</v>
      </c>
      <c r="F123" t="str">
        <f>CONCATENATE(2,E123)</f>
        <v>2IANG10216450680001IL016</v>
      </c>
      <c r="G123" t="s">
        <v>343</v>
      </c>
      <c r="H123" s="1">
        <v>45658</v>
      </c>
      <c r="I123" t="s">
        <v>51</v>
      </c>
      <c r="J123" s="1">
        <v>45778</v>
      </c>
      <c r="K123" s="1">
        <f>DATE(YEAR(J123), MONTH(J123) +1, DAY(J123))</f>
        <v>45809</v>
      </c>
      <c r="M123">
        <v>20</v>
      </c>
      <c r="N123">
        <v>20</v>
      </c>
      <c r="O123" t="s">
        <v>67</v>
      </c>
      <c r="P123" t="s">
        <v>812</v>
      </c>
    </row>
    <row r="124" spans="1:22" x14ac:dyDescent="0.25">
      <c r="A124" t="s">
        <v>258</v>
      </c>
      <c r="B124" t="s">
        <v>259</v>
      </c>
      <c r="C124" t="str">
        <f>CONCATENATE(B124, " ",A124)</f>
        <v>DALE WALENGA</v>
      </c>
      <c r="D124">
        <v>8325282</v>
      </c>
      <c r="E124" t="s">
        <v>344</v>
      </c>
      <c r="F124" t="str">
        <f>CONCATENATE(2,E124)</f>
        <v>2IANG10215988430001IL016</v>
      </c>
      <c r="G124" t="s">
        <v>345</v>
      </c>
      <c r="H124" s="1">
        <v>45748</v>
      </c>
      <c r="I124" t="s">
        <v>51</v>
      </c>
      <c r="J124" s="1">
        <v>45778</v>
      </c>
      <c r="K124" s="1">
        <f>DATE(YEAR(J124), MONTH(J124) +1, DAY(J124))</f>
        <v>45809</v>
      </c>
      <c r="M124">
        <v>20</v>
      </c>
      <c r="N124">
        <v>20</v>
      </c>
      <c r="O124" t="s">
        <v>67</v>
      </c>
      <c r="P124" t="s">
        <v>812</v>
      </c>
    </row>
    <row r="125" spans="1:22" x14ac:dyDescent="0.25">
      <c r="A125" t="s">
        <v>57</v>
      </c>
      <c r="B125" t="s">
        <v>58</v>
      </c>
      <c r="C125" t="str">
        <f>CONCATENATE(B125, " ",A125)</f>
        <v>Ryan Caltagirone</v>
      </c>
      <c r="D125">
        <v>8977234</v>
      </c>
      <c r="E125" t="s">
        <v>346</v>
      </c>
      <c r="F125" t="str">
        <f>CONCATENATE(2,E125)</f>
        <v>2IANG10193997650001FL016</v>
      </c>
      <c r="G125" t="s">
        <v>347</v>
      </c>
      <c r="H125" s="1">
        <v>45292</v>
      </c>
      <c r="I125" t="s">
        <v>25</v>
      </c>
      <c r="J125" s="1">
        <v>45778</v>
      </c>
      <c r="K125" s="1">
        <f>DATE(YEAR(J125), MONTH(J125) +1, DAY(J125))</f>
        <v>45809</v>
      </c>
      <c r="M125">
        <v>20</v>
      </c>
      <c r="N125">
        <v>20</v>
      </c>
      <c r="O125" t="s">
        <v>26</v>
      </c>
      <c r="P125" t="s">
        <v>812</v>
      </c>
    </row>
    <row r="126" spans="1:22" x14ac:dyDescent="0.25">
      <c r="A126" t="s">
        <v>19</v>
      </c>
      <c r="B126" t="s">
        <v>20</v>
      </c>
      <c r="C126" t="str">
        <f>CONCATENATE(B126, " ",A126)</f>
        <v>CHRISTIAN TAUGNER</v>
      </c>
      <c r="D126">
        <v>19681796</v>
      </c>
      <c r="E126" t="s">
        <v>348</v>
      </c>
      <c r="F126" t="str">
        <f>CONCATENATE(2,E126)</f>
        <v>2IANG10212673470001IL016</v>
      </c>
      <c r="G126" t="s">
        <v>349</v>
      </c>
      <c r="H126" s="1">
        <v>45658</v>
      </c>
      <c r="I126" t="s">
        <v>51</v>
      </c>
      <c r="J126" s="1">
        <v>45778</v>
      </c>
      <c r="K126" s="1">
        <f>DATE(YEAR(J126), MONTH(J126) +1, DAY(J126))</f>
        <v>45809</v>
      </c>
      <c r="L126" t="s">
        <v>809</v>
      </c>
      <c r="M126">
        <v>60</v>
      </c>
      <c r="N126">
        <v>60</v>
      </c>
      <c r="O126" t="s">
        <v>67</v>
      </c>
      <c r="P126" t="s">
        <v>812</v>
      </c>
    </row>
    <row r="127" spans="1:22" x14ac:dyDescent="0.25">
      <c r="A127" t="s">
        <v>117</v>
      </c>
      <c r="B127" t="s">
        <v>118</v>
      </c>
      <c r="C127" t="str">
        <f>CONCATENATE(B127, " ",A127)</f>
        <v>Thomas Pardue</v>
      </c>
      <c r="D127" t="s">
        <v>817</v>
      </c>
      <c r="E127" t="s">
        <v>350</v>
      </c>
      <c r="F127" t="str">
        <f>CONCATENATE(2,E127)</f>
        <v>2IANG10199816840001NC016</v>
      </c>
      <c r="G127" t="s">
        <v>351</v>
      </c>
      <c r="H127" s="1">
        <v>45413</v>
      </c>
      <c r="I127" t="s">
        <v>322</v>
      </c>
      <c r="J127" s="1">
        <v>45778</v>
      </c>
      <c r="K127" s="1">
        <f>DATE(YEAR(J127), MONTH(J127) +1, DAY(J127))</f>
        <v>45809</v>
      </c>
      <c r="L127" t="s">
        <v>808</v>
      </c>
      <c r="M127">
        <v>50</v>
      </c>
      <c r="N127">
        <v>50</v>
      </c>
      <c r="O127" t="s">
        <v>323</v>
      </c>
      <c r="P127" t="s">
        <v>814</v>
      </c>
    </row>
    <row r="128" spans="1:22" x14ac:dyDescent="0.25">
      <c r="A128" t="s">
        <v>70</v>
      </c>
      <c r="B128" t="s">
        <v>71</v>
      </c>
      <c r="C128" t="str">
        <f>CONCATENATE(B128, " ",A128)</f>
        <v>RICHARD YALE</v>
      </c>
      <c r="D128">
        <v>16633294</v>
      </c>
      <c r="E128" t="s">
        <v>352</v>
      </c>
      <c r="F128" t="str">
        <f>CONCATENATE(2,E128)</f>
        <v>2IANG10211051040001IL016</v>
      </c>
      <c r="G128" t="s">
        <v>353</v>
      </c>
      <c r="H128" s="1">
        <v>45658</v>
      </c>
      <c r="I128" t="s">
        <v>51</v>
      </c>
      <c r="J128" s="1">
        <v>45778</v>
      </c>
      <c r="K128" s="1">
        <f>DATE(YEAR(J128), MONTH(J128) +1, DAY(J128))</f>
        <v>45809</v>
      </c>
      <c r="M128">
        <v>20</v>
      </c>
      <c r="N128">
        <v>20</v>
      </c>
      <c r="O128" t="s">
        <v>67</v>
      </c>
      <c r="P128" t="s">
        <v>812</v>
      </c>
    </row>
    <row r="129" spans="1:22" x14ac:dyDescent="0.25">
      <c r="A129" t="s">
        <v>89</v>
      </c>
      <c r="B129" t="s">
        <v>90</v>
      </c>
      <c r="C129" t="str">
        <f>CONCATENATE(B129, " ",A129)</f>
        <v>SAADIA ABDUL</v>
      </c>
      <c r="D129">
        <v>19396223</v>
      </c>
      <c r="E129" t="s">
        <v>354</v>
      </c>
      <c r="F129" t="str">
        <f>CONCATENATE(2,E129)</f>
        <v>2IANG10213943940001IL016</v>
      </c>
      <c r="G129" t="s">
        <v>355</v>
      </c>
      <c r="H129" s="1">
        <v>45689</v>
      </c>
      <c r="I129" t="s">
        <v>51</v>
      </c>
      <c r="J129" s="1">
        <v>45778</v>
      </c>
      <c r="K129" s="1">
        <f>DATE(YEAR(J129), MONTH(J129) +1, DAY(J129))</f>
        <v>45809</v>
      </c>
      <c r="M129">
        <v>20</v>
      </c>
      <c r="N129">
        <v>20</v>
      </c>
      <c r="O129" t="s">
        <v>67</v>
      </c>
      <c r="P129" t="s">
        <v>812</v>
      </c>
    </row>
    <row r="130" spans="1:22" x14ac:dyDescent="0.25">
      <c r="A130" t="s">
        <v>117</v>
      </c>
      <c r="B130" t="s">
        <v>118</v>
      </c>
      <c r="C130" t="str">
        <f>CONCATENATE(B130, " ",A130)</f>
        <v>Thomas Pardue</v>
      </c>
      <c r="D130" t="s">
        <v>817</v>
      </c>
      <c r="E130" t="s">
        <v>356</v>
      </c>
      <c r="F130" t="str">
        <f>CONCATENATE(2,E130)</f>
        <v>2IANG10168034770001FL016</v>
      </c>
      <c r="G130" t="s">
        <v>357</v>
      </c>
      <c r="H130" s="1">
        <v>44958</v>
      </c>
      <c r="I130" t="s">
        <v>25</v>
      </c>
      <c r="J130" s="1">
        <v>45778</v>
      </c>
      <c r="K130" s="1">
        <f>DATE(YEAR(J130), MONTH(J130) +1, DAY(J130))</f>
        <v>45809</v>
      </c>
      <c r="L130" t="s">
        <v>809</v>
      </c>
      <c r="M130">
        <v>60</v>
      </c>
      <c r="N130">
        <v>60</v>
      </c>
      <c r="O130" t="s">
        <v>26</v>
      </c>
      <c r="P130" t="s">
        <v>812</v>
      </c>
    </row>
    <row r="131" spans="1:22" x14ac:dyDescent="0.25">
      <c r="A131" t="s">
        <v>19</v>
      </c>
      <c r="B131" t="s">
        <v>20</v>
      </c>
      <c r="C131" t="str">
        <f>CONCATENATE(B131, " ",A131)</f>
        <v>CHRISTIAN TAUGNER</v>
      </c>
      <c r="D131">
        <v>19681796</v>
      </c>
      <c r="E131" t="s">
        <v>358</v>
      </c>
      <c r="F131" t="str">
        <f>CONCATENATE(2,E131)</f>
        <v>2IANG10217016860001IL016</v>
      </c>
      <c r="G131" t="s">
        <v>359</v>
      </c>
      <c r="H131" s="1">
        <v>45778</v>
      </c>
      <c r="I131" t="s">
        <v>51</v>
      </c>
      <c r="J131" s="1">
        <v>45778</v>
      </c>
      <c r="K131" s="1">
        <f>DATE(YEAR(J131), MONTH(J131) +1, DAY(J131))</f>
        <v>45809</v>
      </c>
      <c r="M131">
        <v>20</v>
      </c>
      <c r="N131">
        <v>20</v>
      </c>
      <c r="O131" t="s">
        <v>67</v>
      </c>
      <c r="P131" t="s">
        <v>812</v>
      </c>
    </row>
    <row r="132" spans="1:22" x14ac:dyDescent="0.25">
      <c r="A132" t="s">
        <v>57</v>
      </c>
      <c r="B132" t="s">
        <v>58</v>
      </c>
      <c r="C132" t="str">
        <f>CONCATENATE(B132, " ",A132)</f>
        <v>Ryan Caltagirone</v>
      </c>
      <c r="D132">
        <v>8977234</v>
      </c>
      <c r="E132" t="s">
        <v>360</v>
      </c>
      <c r="F132" t="str">
        <f>CONCATENATE(2,E132)</f>
        <v>2IANG10184600190001AZ018</v>
      </c>
      <c r="G132" t="s">
        <v>361</v>
      </c>
      <c r="H132" s="1">
        <v>45292</v>
      </c>
      <c r="I132" t="s">
        <v>135</v>
      </c>
      <c r="J132" s="1">
        <v>45778</v>
      </c>
      <c r="K132" s="1">
        <f>DATE(YEAR(J132), MONTH(J132) +1, DAY(J132))</f>
        <v>45809</v>
      </c>
      <c r="L132" t="s">
        <v>808</v>
      </c>
      <c r="M132">
        <v>40</v>
      </c>
      <c r="N132">
        <v>40</v>
      </c>
      <c r="O132" t="s">
        <v>136</v>
      </c>
      <c r="P132" t="s">
        <v>812</v>
      </c>
    </row>
    <row r="133" spans="1:22" x14ac:dyDescent="0.25">
      <c r="A133" t="s">
        <v>101</v>
      </c>
      <c r="B133" t="s">
        <v>102</v>
      </c>
      <c r="C133" t="str">
        <f>CONCATENATE(B133, " ",A133)</f>
        <v>Gregory Teipel</v>
      </c>
      <c r="D133">
        <v>8307933</v>
      </c>
      <c r="E133" t="s">
        <v>362</v>
      </c>
      <c r="F133" t="str">
        <f>CONCATENATE(2,E133)</f>
        <v>2IANG10210173630001IL016</v>
      </c>
      <c r="G133" t="s">
        <v>363</v>
      </c>
      <c r="H133" s="1">
        <v>45658</v>
      </c>
      <c r="I133" t="s">
        <v>51</v>
      </c>
      <c r="J133" s="1">
        <v>45778</v>
      </c>
      <c r="K133" s="1">
        <f>DATE(YEAR(J133), MONTH(J133) +1, DAY(J133))</f>
        <v>45809</v>
      </c>
      <c r="M133">
        <v>20</v>
      </c>
      <c r="N133">
        <v>20</v>
      </c>
      <c r="O133" t="s">
        <v>67</v>
      </c>
      <c r="P133" t="s">
        <v>812</v>
      </c>
    </row>
    <row r="134" spans="1:22" x14ac:dyDescent="0.25">
      <c r="A134" t="s">
        <v>89</v>
      </c>
      <c r="B134" t="s">
        <v>90</v>
      </c>
      <c r="C134" t="str">
        <f>CONCATENATE(B134, " ",A134)</f>
        <v>SAADIA ABDUL</v>
      </c>
      <c r="D134">
        <v>19396223</v>
      </c>
      <c r="E134" t="s">
        <v>364</v>
      </c>
      <c r="F134" t="str">
        <f>CONCATENATE(2,E134)</f>
        <v>2IANG10187589100001IL016</v>
      </c>
      <c r="G134" t="s">
        <v>365</v>
      </c>
      <c r="H134" s="1">
        <v>45292</v>
      </c>
      <c r="I134" t="s">
        <v>51</v>
      </c>
      <c r="J134" s="1">
        <v>45778</v>
      </c>
      <c r="K134" s="1">
        <f>DATE(YEAR(J134), MONTH(J134) +1, DAY(J134))</f>
        <v>45809</v>
      </c>
      <c r="M134">
        <v>20</v>
      </c>
      <c r="N134">
        <v>20</v>
      </c>
      <c r="O134" t="s">
        <v>52</v>
      </c>
      <c r="P134" t="s">
        <v>812</v>
      </c>
    </row>
    <row r="135" spans="1:22" x14ac:dyDescent="0.25">
      <c r="A135" t="s">
        <v>63</v>
      </c>
      <c r="B135" t="s">
        <v>64</v>
      </c>
      <c r="C135" t="str">
        <f>CONCATENATE(B135, " ",A135)</f>
        <v>Melissa Tatro</v>
      </c>
      <c r="D135">
        <v>14177521</v>
      </c>
      <c r="E135" t="s">
        <v>366</v>
      </c>
      <c r="F135" t="str">
        <f>CONCATENATE(2,E135)</f>
        <v>2IANG10189541740001IL016</v>
      </c>
      <c r="G135" t="s">
        <v>367</v>
      </c>
      <c r="H135" s="1">
        <v>45292</v>
      </c>
      <c r="I135" t="s">
        <v>51</v>
      </c>
      <c r="J135" s="1">
        <v>45778</v>
      </c>
      <c r="K135" s="1">
        <f>DATE(YEAR(J135), MONTH(J135) +1, DAY(J135))</f>
        <v>45809</v>
      </c>
      <c r="L135" t="s">
        <v>808</v>
      </c>
      <c r="M135">
        <v>40</v>
      </c>
      <c r="N135">
        <v>40</v>
      </c>
      <c r="O135" t="s">
        <v>52</v>
      </c>
      <c r="P135" t="s">
        <v>812</v>
      </c>
    </row>
    <row r="136" spans="1:22" x14ac:dyDescent="0.25">
      <c r="A136" t="s">
        <v>174</v>
      </c>
      <c r="B136" t="s">
        <v>175</v>
      </c>
      <c r="C136" t="str">
        <f>CONCATENATE(B136, " ",A136)</f>
        <v>FRANK LISKOVEC</v>
      </c>
      <c r="D136">
        <v>8814784</v>
      </c>
      <c r="E136" t="s">
        <v>368</v>
      </c>
      <c r="F136" t="str">
        <f>CONCATENATE(2,E136)</f>
        <v>2IANG10201061080001IL016</v>
      </c>
      <c r="G136" t="s">
        <v>369</v>
      </c>
      <c r="H136" s="1">
        <v>45444</v>
      </c>
      <c r="I136" t="s">
        <v>51</v>
      </c>
      <c r="J136" s="1">
        <v>45778</v>
      </c>
      <c r="K136" s="1">
        <f>DATE(YEAR(J136), MONTH(J136) +1, DAY(J136))</f>
        <v>45809</v>
      </c>
      <c r="L136" t="s">
        <v>808</v>
      </c>
      <c r="M136">
        <v>40</v>
      </c>
      <c r="N136">
        <v>40</v>
      </c>
      <c r="O136" t="s">
        <v>52</v>
      </c>
      <c r="P136" t="s">
        <v>812</v>
      </c>
    </row>
    <row r="137" spans="1:22" x14ac:dyDescent="0.25">
      <c r="A137" t="s">
        <v>70</v>
      </c>
      <c r="B137" t="s">
        <v>71</v>
      </c>
      <c r="C137" t="str">
        <f>CONCATENATE(B137, " ",A137)</f>
        <v>RICHARD YALE</v>
      </c>
      <c r="D137">
        <v>16633294</v>
      </c>
      <c r="E137" t="s">
        <v>370</v>
      </c>
      <c r="F137" t="str">
        <f>CONCATENATE(2,E137)</f>
        <v>2IANG10168630150001FL016</v>
      </c>
      <c r="G137" t="s">
        <v>371</v>
      </c>
      <c r="H137" s="1">
        <v>44958</v>
      </c>
      <c r="I137" t="s">
        <v>25</v>
      </c>
      <c r="J137" s="1">
        <v>45778</v>
      </c>
      <c r="K137" s="1">
        <f>DATE(YEAR(J137), MONTH(J137) +1, DAY(J137))</f>
        <v>45809</v>
      </c>
      <c r="M137">
        <v>20</v>
      </c>
      <c r="N137">
        <v>20</v>
      </c>
      <c r="O137" t="s">
        <v>26</v>
      </c>
      <c r="P137" t="s">
        <v>812</v>
      </c>
    </row>
    <row r="138" spans="1:22" x14ac:dyDescent="0.25">
      <c r="A138" s="3" t="s">
        <v>372</v>
      </c>
      <c r="B138" s="3" t="s">
        <v>373</v>
      </c>
      <c r="C138" s="3" t="str">
        <f>CONCATENATE(B138, " ",A138)</f>
        <v>Jose Torres</v>
      </c>
      <c r="D138" s="3">
        <v>20212926</v>
      </c>
      <c r="E138" s="3" t="s">
        <v>374</v>
      </c>
      <c r="F138" s="3" t="str">
        <f>CONCATENATE(2,E138)</f>
        <v>2IANG10206106600001IL016</v>
      </c>
      <c r="G138" s="3" t="s">
        <v>375</v>
      </c>
      <c r="H138" s="4">
        <v>45566</v>
      </c>
      <c r="I138" s="3" t="s">
        <v>51</v>
      </c>
      <c r="J138" s="4">
        <v>45778</v>
      </c>
      <c r="K138" s="1">
        <f>DATE(YEAR(J138), MONTH(J138) +1, DAY(J138))</f>
        <v>45809</v>
      </c>
      <c r="L138" s="3" t="s">
        <v>808</v>
      </c>
      <c r="M138" s="3">
        <v>40</v>
      </c>
      <c r="N138" s="3">
        <v>40</v>
      </c>
      <c r="O138" s="3" t="s">
        <v>52</v>
      </c>
      <c r="P138" s="3" t="s">
        <v>812</v>
      </c>
      <c r="Q138" s="3"/>
      <c r="R138" s="3"/>
      <c r="S138" s="3"/>
      <c r="T138" s="3"/>
      <c r="U138" s="3"/>
      <c r="V138" s="3"/>
    </row>
    <row r="139" spans="1:22" x14ac:dyDescent="0.25">
      <c r="A139" t="s">
        <v>290</v>
      </c>
      <c r="B139" t="s">
        <v>291</v>
      </c>
      <c r="C139" t="str">
        <f>CONCATENATE(B139, " ",A139)</f>
        <v>Brian Strohman</v>
      </c>
      <c r="D139">
        <v>21104854</v>
      </c>
      <c r="E139" t="s">
        <v>376</v>
      </c>
      <c r="F139" t="str">
        <f>CONCATENATE(2,E139)</f>
        <v>2IANG10213226340001IL016</v>
      </c>
      <c r="G139" t="s">
        <v>377</v>
      </c>
      <c r="H139" s="1">
        <v>45658</v>
      </c>
      <c r="I139" t="s">
        <v>51</v>
      </c>
      <c r="J139" s="1">
        <v>45778</v>
      </c>
      <c r="K139" s="1">
        <f>DATE(YEAR(J139), MONTH(J139) +1, DAY(J139))</f>
        <v>45809</v>
      </c>
      <c r="M139">
        <v>20</v>
      </c>
      <c r="N139">
        <v>20</v>
      </c>
      <c r="O139" t="s">
        <v>67</v>
      </c>
      <c r="P139" t="s">
        <v>812</v>
      </c>
    </row>
    <row r="140" spans="1:22" x14ac:dyDescent="0.25">
      <c r="A140" t="s">
        <v>35</v>
      </c>
      <c r="B140" t="s">
        <v>36</v>
      </c>
      <c r="C140" t="str">
        <f>CONCATENATE(B140, " ",A140)</f>
        <v>Adam Richter</v>
      </c>
      <c r="D140">
        <v>9079571</v>
      </c>
      <c r="E140" t="s">
        <v>378</v>
      </c>
      <c r="F140" t="str">
        <f>CONCATENATE(2,E140)</f>
        <v>2IANG10207846400002MD016</v>
      </c>
      <c r="G140" t="s">
        <v>379</v>
      </c>
      <c r="H140" s="1">
        <v>45597</v>
      </c>
      <c r="I140" t="s">
        <v>33</v>
      </c>
      <c r="J140" s="1">
        <v>45778</v>
      </c>
      <c r="K140" s="1">
        <f>DATE(YEAR(J140), MONTH(J140) +1, DAY(J140))</f>
        <v>45809</v>
      </c>
      <c r="M140">
        <v>10</v>
      </c>
      <c r="N140">
        <v>10</v>
      </c>
      <c r="O140" t="s">
        <v>34</v>
      </c>
      <c r="P140" t="s">
        <v>813</v>
      </c>
    </row>
    <row r="141" spans="1:22" x14ac:dyDescent="0.25">
      <c r="A141" t="s">
        <v>57</v>
      </c>
      <c r="B141" t="s">
        <v>58</v>
      </c>
      <c r="C141" t="str">
        <f>CONCATENATE(B141, " ",A141)</f>
        <v>Ryan Caltagirone</v>
      </c>
      <c r="D141">
        <v>8977234</v>
      </c>
      <c r="E141" t="s">
        <v>380</v>
      </c>
      <c r="F141" t="str">
        <f>CONCATENATE(2,E141)</f>
        <v>2IANG10182186200001FL016</v>
      </c>
      <c r="G141" t="s">
        <v>381</v>
      </c>
      <c r="H141" s="1">
        <v>45292</v>
      </c>
      <c r="I141" t="s">
        <v>25</v>
      </c>
      <c r="J141" s="1">
        <v>45778</v>
      </c>
      <c r="K141" s="1">
        <f>DATE(YEAR(J141), MONTH(J141) +1, DAY(J141))</f>
        <v>45809</v>
      </c>
      <c r="M141">
        <v>20</v>
      </c>
      <c r="N141">
        <v>20</v>
      </c>
      <c r="O141" t="s">
        <v>26</v>
      </c>
      <c r="P141" t="s">
        <v>812</v>
      </c>
    </row>
    <row r="142" spans="1:22" x14ac:dyDescent="0.25">
      <c r="A142" t="s">
        <v>382</v>
      </c>
      <c r="B142" t="s">
        <v>383</v>
      </c>
      <c r="C142" t="str">
        <f>CONCATENATE(B142, " ",A142)</f>
        <v>TIMOTHY HODGMAN</v>
      </c>
      <c r="D142">
        <v>18581063</v>
      </c>
      <c r="E142" t="s">
        <v>384</v>
      </c>
      <c r="F142" t="str">
        <f>CONCATENATE(2,E142)</f>
        <v>2IANG10211485880001FL016</v>
      </c>
      <c r="G142" t="s">
        <v>385</v>
      </c>
      <c r="H142" s="1">
        <v>45658</v>
      </c>
      <c r="I142" t="s">
        <v>25</v>
      </c>
      <c r="J142" s="1">
        <v>45778</v>
      </c>
      <c r="K142" s="1">
        <f>DATE(YEAR(J142), MONTH(J142) +1, DAY(J142))</f>
        <v>45809</v>
      </c>
      <c r="L142" t="s">
        <v>808</v>
      </c>
      <c r="M142">
        <v>40</v>
      </c>
      <c r="N142">
        <v>40</v>
      </c>
      <c r="O142" t="s">
        <v>74</v>
      </c>
      <c r="P142" t="s">
        <v>812</v>
      </c>
    </row>
    <row r="143" spans="1:22" x14ac:dyDescent="0.25">
      <c r="A143" t="s">
        <v>19</v>
      </c>
      <c r="B143" t="s">
        <v>20</v>
      </c>
      <c r="C143" t="str">
        <f>CONCATENATE(B143, " ",A143)</f>
        <v>CHRISTIAN TAUGNER</v>
      </c>
      <c r="D143">
        <v>19681796</v>
      </c>
      <c r="E143" t="s">
        <v>386</v>
      </c>
      <c r="F143" t="str">
        <f>CONCATENATE(2,E143)</f>
        <v>2IANG10211893740001IL016</v>
      </c>
      <c r="G143" t="s">
        <v>387</v>
      </c>
      <c r="H143" s="1">
        <v>45658</v>
      </c>
      <c r="I143" t="s">
        <v>51</v>
      </c>
      <c r="J143" s="1">
        <v>45778</v>
      </c>
      <c r="K143" s="1">
        <f>DATE(YEAR(J143), MONTH(J143) +1, DAY(J143))</f>
        <v>45809</v>
      </c>
      <c r="L143" t="s">
        <v>808</v>
      </c>
      <c r="M143">
        <v>40</v>
      </c>
      <c r="N143">
        <v>40</v>
      </c>
      <c r="O143" t="s">
        <v>67</v>
      </c>
      <c r="P143" t="s">
        <v>812</v>
      </c>
    </row>
    <row r="144" spans="1:22" x14ac:dyDescent="0.25">
      <c r="A144" t="s">
        <v>117</v>
      </c>
      <c r="B144" t="s">
        <v>118</v>
      </c>
      <c r="C144" t="str">
        <f>CONCATENATE(B144, " ",A144)</f>
        <v>Thomas Pardue</v>
      </c>
      <c r="D144">
        <v>371819</v>
      </c>
      <c r="E144" t="s">
        <v>388</v>
      </c>
      <c r="F144" t="str">
        <f>CONCATENATE(2,E144)</f>
        <v>2IANG10204276120001FL016</v>
      </c>
      <c r="G144" t="s">
        <v>389</v>
      </c>
      <c r="H144" s="1">
        <v>45505</v>
      </c>
      <c r="I144" t="s">
        <v>25</v>
      </c>
      <c r="J144" s="1">
        <v>45778</v>
      </c>
      <c r="K144" s="1">
        <f>DATE(YEAR(J144), MONTH(J144) +1, DAY(J144))</f>
        <v>45809</v>
      </c>
      <c r="M144">
        <v>20</v>
      </c>
      <c r="N144">
        <v>20</v>
      </c>
      <c r="O144" t="s">
        <v>74</v>
      </c>
      <c r="P144" t="s">
        <v>812</v>
      </c>
    </row>
    <row r="145" spans="1:16" x14ac:dyDescent="0.25">
      <c r="A145" t="s">
        <v>113</v>
      </c>
      <c r="B145" t="s">
        <v>114</v>
      </c>
      <c r="C145" t="str">
        <f>CONCATENATE(B145, " ",A145)</f>
        <v>Stacey Portugal</v>
      </c>
      <c r="D145">
        <v>19645587</v>
      </c>
      <c r="E145" t="s">
        <v>390</v>
      </c>
      <c r="F145" t="str">
        <f>CONCATENATE(2,E145)</f>
        <v>2IANG10213042220001IL016</v>
      </c>
      <c r="G145" t="s">
        <v>391</v>
      </c>
      <c r="H145" s="1">
        <v>45658</v>
      </c>
      <c r="I145" t="s">
        <v>51</v>
      </c>
      <c r="J145" s="1">
        <v>45778</v>
      </c>
      <c r="K145" s="1">
        <f>DATE(YEAR(J145), MONTH(J145) +1, DAY(J145))</f>
        <v>45809</v>
      </c>
      <c r="M145">
        <v>20</v>
      </c>
      <c r="N145">
        <v>20</v>
      </c>
      <c r="O145" t="s">
        <v>67</v>
      </c>
      <c r="P145" t="s">
        <v>812</v>
      </c>
    </row>
    <row r="146" spans="1:16" x14ac:dyDescent="0.25">
      <c r="A146" t="s">
        <v>258</v>
      </c>
      <c r="B146" t="s">
        <v>259</v>
      </c>
      <c r="C146" t="str">
        <f>CONCATENATE(B146, " ",A146)</f>
        <v>DALE WALENGA</v>
      </c>
      <c r="D146">
        <v>8325282</v>
      </c>
      <c r="E146" t="s">
        <v>392</v>
      </c>
      <c r="F146" t="str">
        <f>CONCATENATE(2,E146)</f>
        <v>2IANG10213959420001IL016</v>
      </c>
      <c r="G146" t="s">
        <v>393</v>
      </c>
      <c r="H146" s="1">
        <v>45689</v>
      </c>
      <c r="I146" t="s">
        <v>51</v>
      </c>
      <c r="J146" s="1">
        <v>45778</v>
      </c>
      <c r="K146" s="1">
        <f>DATE(YEAR(J146), MONTH(J146) +1, DAY(J146))</f>
        <v>45809</v>
      </c>
      <c r="M146">
        <v>20</v>
      </c>
      <c r="N146">
        <v>20</v>
      </c>
      <c r="O146" t="s">
        <v>67</v>
      </c>
      <c r="P146" t="s">
        <v>812</v>
      </c>
    </row>
    <row r="147" spans="1:16" x14ac:dyDescent="0.25">
      <c r="A147" t="s">
        <v>101</v>
      </c>
      <c r="B147" t="s">
        <v>102</v>
      </c>
      <c r="C147" t="str">
        <f>CONCATENATE(B147, " ",A147)</f>
        <v>Gregory Teipel</v>
      </c>
      <c r="D147">
        <v>8307933</v>
      </c>
      <c r="E147" t="s">
        <v>394</v>
      </c>
      <c r="F147" t="str">
        <f>CONCATENATE(2,E147)</f>
        <v>2IANG10198846580001TX016</v>
      </c>
      <c r="G147" t="s">
        <v>395</v>
      </c>
      <c r="H147" s="1">
        <v>45383</v>
      </c>
      <c r="I147" t="s">
        <v>43</v>
      </c>
      <c r="J147" s="1">
        <v>45778</v>
      </c>
      <c r="K147" s="1">
        <f>DATE(YEAR(J147), MONTH(J147) +1, DAY(J147))</f>
        <v>45809</v>
      </c>
      <c r="M147">
        <v>25</v>
      </c>
      <c r="N147">
        <v>25</v>
      </c>
      <c r="O147" t="s">
        <v>241</v>
      </c>
      <c r="P147" t="s">
        <v>814</v>
      </c>
    </row>
    <row r="148" spans="1:16" x14ac:dyDescent="0.25">
      <c r="A148" t="s">
        <v>70</v>
      </c>
      <c r="B148" t="s">
        <v>71</v>
      </c>
      <c r="C148" t="str">
        <f>CONCATENATE(B148, " ",A148)</f>
        <v>RICHARD YALE</v>
      </c>
      <c r="D148">
        <v>16633294</v>
      </c>
      <c r="E148" t="s">
        <v>396</v>
      </c>
      <c r="F148" t="str">
        <f>CONCATENATE(2,E148)</f>
        <v>2IANG10162733140001FL016</v>
      </c>
      <c r="G148" t="s">
        <v>397</v>
      </c>
      <c r="H148" s="1">
        <v>44927</v>
      </c>
      <c r="I148" t="s">
        <v>25</v>
      </c>
      <c r="J148" s="1">
        <v>45778</v>
      </c>
      <c r="K148" s="1">
        <f>DATE(YEAR(J148), MONTH(J148) +1, DAY(J148))</f>
        <v>45809</v>
      </c>
      <c r="M148">
        <v>20</v>
      </c>
      <c r="N148">
        <v>20</v>
      </c>
      <c r="O148" t="s">
        <v>26</v>
      </c>
      <c r="P148" t="s">
        <v>812</v>
      </c>
    </row>
    <row r="149" spans="1:16" x14ac:dyDescent="0.25">
      <c r="A149" t="s">
        <v>29</v>
      </c>
      <c r="B149" t="s">
        <v>30</v>
      </c>
      <c r="C149" t="str">
        <f>CONCATENATE(B149, " ",A149)</f>
        <v>THOMAS KUCAN</v>
      </c>
      <c r="D149">
        <v>16202925</v>
      </c>
      <c r="E149" t="s">
        <v>398</v>
      </c>
      <c r="F149" t="str">
        <f>CONCATENATE(2,E149)</f>
        <v>2IANG10200385590002MD016</v>
      </c>
      <c r="G149" t="s">
        <v>399</v>
      </c>
      <c r="H149" s="1">
        <v>45444</v>
      </c>
      <c r="I149" t="s">
        <v>33</v>
      </c>
      <c r="J149" s="1">
        <v>45778</v>
      </c>
      <c r="K149" s="1">
        <f>DATE(YEAR(J149), MONTH(J149) +1, DAY(J149))</f>
        <v>45809</v>
      </c>
      <c r="M149">
        <v>10</v>
      </c>
      <c r="N149">
        <v>10</v>
      </c>
      <c r="O149" t="s">
        <v>34</v>
      </c>
      <c r="P149" t="s">
        <v>813</v>
      </c>
    </row>
    <row r="150" spans="1:16" x14ac:dyDescent="0.25">
      <c r="A150" t="s">
        <v>63</v>
      </c>
      <c r="B150" t="s">
        <v>64</v>
      </c>
      <c r="C150" t="str">
        <f>CONCATENATE(B150, " ",A150)</f>
        <v>Melissa Tatro</v>
      </c>
      <c r="D150">
        <v>14177521</v>
      </c>
      <c r="E150" t="s">
        <v>400</v>
      </c>
      <c r="F150" t="str">
        <f>CONCATENATE(2,E150)</f>
        <v>2IANG10188607670001IL016</v>
      </c>
      <c r="G150" t="s">
        <v>401</v>
      </c>
      <c r="H150" s="1">
        <v>45292</v>
      </c>
      <c r="I150" t="s">
        <v>51</v>
      </c>
      <c r="J150" s="1">
        <v>45778</v>
      </c>
      <c r="K150" s="1">
        <f>DATE(YEAR(J150), MONTH(J150) +1, DAY(J150))</f>
        <v>45809</v>
      </c>
      <c r="L150" t="s">
        <v>808</v>
      </c>
      <c r="M150">
        <v>40</v>
      </c>
      <c r="N150">
        <v>40</v>
      </c>
      <c r="O150" t="s">
        <v>52</v>
      </c>
      <c r="P150" t="s">
        <v>812</v>
      </c>
    </row>
    <row r="151" spans="1:16" x14ac:dyDescent="0.25">
      <c r="A151" t="s">
        <v>105</v>
      </c>
      <c r="B151" t="s">
        <v>106</v>
      </c>
      <c r="C151" t="str">
        <f>CONCATENATE(B151, " ",A151)</f>
        <v>ANTHONY HUNSBERGER</v>
      </c>
      <c r="D151">
        <v>7146581</v>
      </c>
      <c r="E151" t="s">
        <v>402</v>
      </c>
      <c r="F151" t="str">
        <f>CONCATENATE(2,E151)</f>
        <v>2IANG10213133700001IL016</v>
      </c>
      <c r="G151" t="s">
        <v>403</v>
      </c>
      <c r="H151" s="1">
        <v>45658</v>
      </c>
      <c r="I151" t="s">
        <v>51</v>
      </c>
      <c r="J151" s="1">
        <v>45778</v>
      </c>
      <c r="K151" s="1">
        <f>DATE(YEAR(J151), MONTH(J151) +1, DAY(J151))</f>
        <v>45809</v>
      </c>
      <c r="L151" t="s">
        <v>810</v>
      </c>
      <c r="M151">
        <v>80</v>
      </c>
      <c r="N151">
        <v>80</v>
      </c>
      <c r="O151" t="s">
        <v>67</v>
      </c>
      <c r="P151" t="s">
        <v>812</v>
      </c>
    </row>
    <row r="152" spans="1:16" x14ac:dyDescent="0.25">
      <c r="A152" t="s">
        <v>35</v>
      </c>
      <c r="B152" t="s">
        <v>36</v>
      </c>
      <c r="C152" t="str">
        <f>CONCATENATE(B152, " ",A152)</f>
        <v>Adam Richter</v>
      </c>
      <c r="D152">
        <v>9079571</v>
      </c>
      <c r="E152" t="s">
        <v>404</v>
      </c>
      <c r="F152" t="str">
        <f>CONCATENATE(2,E152)</f>
        <v>2IANG10174949530002VA017</v>
      </c>
      <c r="G152" t="s">
        <v>405</v>
      </c>
      <c r="H152" s="1">
        <v>45139</v>
      </c>
      <c r="I152" t="s">
        <v>80</v>
      </c>
      <c r="J152" s="1">
        <v>45778</v>
      </c>
      <c r="K152" s="1">
        <f>DATE(YEAR(J152), MONTH(J152) +1, DAY(J152))</f>
        <v>45809</v>
      </c>
      <c r="M152">
        <v>20</v>
      </c>
      <c r="N152">
        <v>20</v>
      </c>
      <c r="O152" t="s">
        <v>188</v>
      </c>
      <c r="P152" t="s">
        <v>812</v>
      </c>
    </row>
    <row r="153" spans="1:16" x14ac:dyDescent="0.25">
      <c r="A153" t="s">
        <v>35</v>
      </c>
      <c r="B153" t="s">
        <v>36</v>
      </c>
      <c r="C153" t="str">
        <f>CONCATENATE(B153, " ",A153)</f>
        <v>Adam Richter</v>
      </c>
      <c r="D153">
        <v>9079571</v>
      </c>
      <c r="E153" t="s">
        <v>406</v>
      </c>
      <c r="F153" t="str">
        <f>CONCATENATE(2,E153)</f>
        <v>2IANG10159847090002VA017</v>
      </c>
      <c r="G153" t="s">
        <v>407</v>
      </c>
      <c r="H153" s="1">
        <v>44927</v>
      </c>
      <c r="I153" t="s">
        <v>80</v>
      </c>
      <c r="J153" s="1">
        <v>45778</v>
      </c>
      <c r="K153" s="1">
        <f>DATE(YEAR(J153), MONTH(J153) +1, DAY(J153))</f>
        <v>45809</v>
      </c>
      <c r="M153">
        <v>20</v>
      </c>
      <c r="N153">
        <v>20</v>
      </c>
      <c r="O153" t="s">
        <v>188</v>
      </c>
      <c r="P153" t="s">
        <v>812</v>
      </c>
    </row>
    <row r="154" spans="1:16" x14ac:dyDescent="0.25">
      <c r="A154" t="s">
        <v>290</v>
      </c>
      <c r="B154" t="s">
        <v>291</v>
      </c>
      <c r="C154" t="str">
        <f>CONCATENATE(B154, " ",A154)</f>
        <v>Brian Strohman</v>
      </c>
      <c r="D154">
        <v>21104854</v>
      </c>
      <c r="E154" t="s">
        <v>408</v>
      </c>
      <c r="F154" t="str">
        <f>CONCATENATE(2,E154)</f>
        <v>2IANG10213022960001IL016</v>
      </c>
      <c r="G154" t="s">
        <v>409</v>
      </c>
      <c r="H154" s="1">
        <v>45658</v>
      </c>
      <c r="I154" t="s">
        <v>51</v>
      </c>
      <c r="J154" s="1">
        <v>45778</v>
      </c>
      <c r="K154" s="1">
        <f>DATE(YEAR(J154), MONTH(J154) +1, DAY(J154))</f>
        <v>45809</v>
      </c>
      <c r="L154" t="s">
        <v>808</v>
      </c>
      <c r="M154">
        <v>40</v>
      </c>
      <c r="N154">
        <v>40</v>
      </c>
      <c r="O154" t="s">
        <v>67</v>
      </c>
      <c r="P154" t="s">
        <v>812</v>
      </c>
    </row>
    <row r="155" spans="1:16" x14ac:dyDescent="0.25">
      <c r="A155" t="s">
        <v>35</v>
      </c>
      <c r="B155" t="s">
        <v>36</v>
      </c>
      <c r="C155" t="str">
        <f>CONCATENATE(B155, " ",A155)</f>
        <v>Adam Richter</v>
      </c>
      <c r="D155">
        <v>9079571</v>
      </c>
      <c r="E155" t="s">
        <v>410</v>
      </c>
      <c r="F155" t="str">
        <f>CONCATENATE(2,E155)</f>
        <v>2IANG10196650590002MD016</v>
      </c>
      <c r="G155" t="s">
        <v>411</v>
      </c>
      <c r="H155" s="1">
        <v>45383</v>
      </c>
      <c r="I155" t="s">
        <v>33</v>
      </c>
      <c r="J155" s="1">
        <v>45778</v>
      </c>
      <c r="K155" s="1">
        <f>DATE(YEAR(J155), MONTH(J155) +1, DAY(J155))</f>
        <v>45809</v>
      </c>
      <c r="M155">
        <v>10</v>
      </c>
      <c r="N155">
        <v>10</v>
      </c>
      <c r="O155" t="s">
        <v>34</v>
      </c>
      <c r="P155" t="s">
        <v>813</v>
      </c>
    </row>
    <row r="156" spans="1:16" x14ac:dyDescent="0.25">
      <c r="A156" t="s">
        <v>117</v>
      </c>
      <c r="B156" t="s">
        <v>118</v>
      </c>
      <c r="C156" t="str">
        <f>CONCATENATE(B156, " ",A156)</f>
        <v>Thomas Pardue</v>
      </c>
      <c r="D156" t="s">
        <v>817</v>
      </c>
      <c r="E156" t="s">
        <v>412</v>
      </c>
      <c r="F156" t="str">
        <f>CONCATENATE(2,E156)</f>
        <v>2IANG10176845880001TX016</v>
      </c>
      <c r="G156" t="s">
        <v>413</v>
      </c>
      <c r="H156" s="1">
        <v>45200</v>
      </c>
      <c r="I156" t="s">
        <v>43</v>
      </c>
      <c r="J156" s="1">
        <v>45689</v>
      </c>
      <c r="K156" s="1">
        <f>DATE(YEAR(J156), MONTH(J156) +1, DAY(J156))</f>
        <v>45717</v>
      </c>
      <c r="M156">
        <v>-25</v>
      </c>
      <c r="N156">
        <v>-25</v>
      </c>
      <c r="O156" t="s">
        <v>241</v>
      </c>
      <c r="P156" t="s">
        <v>814</v>
      </c>
    </row>
    <row r="157" spans="1:16" x14ac:dyDescent="0.25">
      <c r="A157" t="s">
        <v>117</v>
      </c>
      <c r="B157" t="s">
        <v>118</v>
      </c>
      <c r="C157" t="str">
        <f>CONCATENATE(B157, " ",A157)</f>
        <v>Thomas Pardue</v>
      </c>
      <c r="D157" t="s">
        <v>817</v>
      </c>
      <c r="E157" t="s">
        <v>412</v>
      </c>
      <c r="F157" t="str">
        <f>CONCATENATE(2,E157)</f>
        <v>2IANG10176845880001TX016</v>
      </c>
      <c r="G157" t="s">
        <v>413</v>
      </c>
      <c r="H157" s="1">
        <v>45200</v>
      </c>
      <c r="I157" t="s">
        <v>43</v>
      </c>
      <c r="J157" s="1">
        <v>45717</v>
      </c>
      <c r="K157" s="1">
        <f>DATE(YEAR(J157), MONTH(J157) +1, DAY(J157))</f>
        <v>45748</v>
      </c>
      <c r="M157">
        <v>-25</v>
      </c>
      <c r="N157">
        <v>-25</v>
      </c>
      <c r="O157" t="s">
        <v>241</v>
      </c>
      <c r="P157" t="s">
        <v>814</v>
      </c>
    </row>
    <row r="158" spans="1:16" x14ac:dyDescent="0.25">
      <c r="A158" t="s">
        <v>117</v>
      </c>
      <c r="B158" t="s">
        <v>118</v>
      </c>
      <c r="C158" t="str">
        <f>CONCATENATE(B158, " ",A158)</f>
        <v>Thomas Pardue</v>
      </c>
      <c r="D158" t="s">
        <v>817</v>
      </c>
      <c r="E158" t="s">
        <v>412</v>
      </c>
      <c r="F158" t="str">
        <f>CONCATENATE(2,E158)</f>
        <v>2IANG10176845880001TX016</v>
      </c>
      <c r="G158" t="s">
        <v>413</v>
      </c>
      <c r="H158" s="1">
        <v>45200</v>
      </c>
      <c r="I158" t="s">
        <v>43</v>
      </c>
      <c r="J158" s="1">
        <v>45748</v>
      </c>
      <c r="K158" s="1">
        <f>DATE(YEAR(J158), MONTH(J158) +1, DAY(J158))</f>
        <v>45778</v>
      </c>
      <c r="M158">
        <v>-25</v>
      </c>
      <c r="N158">
        <v>-25</v>
      </c>
      <c r="O158" t="s">
        <v>241</v>
      </c>
      <c r="P158" t="s">
        <v>814</v>
      </c>
    </row>
    <row r="159" spans="1:16" x14ac:dyDescent="0.25">
      <c r="A159" t="s">
        <v>117</v>
      </c>
      <c r="B159" t="s">
        <v>118</v>
      </c>
      <c r="C159" t="str">
        <f>CONCATENATE(B159, " ",A159)</f>
        <v>Thomas Pardue</v>
      </c>
      <c r="D159" t="s">
        <v>817</v>
      </c>
      <c r="E159" t="s">
        <v>412</v>
      </c>
      <c r="F159" t="str">
        <f>CONCATENATE(2,E159)</f>
        <v>2IANG10176845880001TX016</v>
      </c>
      <c r="G159" t="s">
        <v>413</v>
      </c>
      <c r="H159" s="1">
        <v>45200</v>
      </c>
      <c r="I159" t="s">
        <v>43</v>
      </c>
      <c r="J159" s="1">
        <v>45778</v>
      </c>
      <c r="K159" s="1">
        <f>DATE(YEAR(J159), MONTH(J159) +1, DAY(J159))</f>
        <v>45809</v>
      </c>
      <c r="M159">
        <v>25</v>
      </c>
      <c r="N159">
        <v>25</v>
      </c>
      <c r="O159" t="s">
        <v>241</v>
      </c>
      <c r="P159" t="s">
        <v>814</v>
      </c>
    </row>
    <row r="160" spans="1:16" x14ac:dyDescent="0.25">
      <c r="A160" t="s">
        <v>47</v>
      </c>
      <c r="B160" t="s">
        <v>48</v>
      </c>
      <c r="C160" t="str">
        <f>CONCATENATE(B160, " ",A160)</f>
        <v>GARY PORTUGAL</v>
      </c>
      <c r="D160">
        <v>9213293</v>
      </c>
      <c r="E160" t="s">
        <v>414</v>
      </c>
      <c r="F160" t="str">
        <f>CONCATENATE(2,E160)</f>
        <v>2IANG10182029680001IL016</v>
      </c>
      <c r="G160" t="s">
        <v>415</v>
      </c>
      <c r="H160" s="1">
        <v>45292</v>
      </c>
      <c r="I160" t="s">
        <v>51</v>
      </c>
      <c r="J160" s="1">
        <v>45778</v>
      </c>
      <c r="K160" s="1">
        <f>DATE(YEAR(J160), MONTH(J160) +1, DAY(J160))</f>
        <v>45809</v>
      </c>
      <c r="L160" t="s">
        <v>808</v>
      </c>
      <c r="M160">
        <v>40</v>
      </c>
      <c r="N160">
        <v>40</v>
      </c>
      <c r="O160" t="s">
        <v>52</v>
      </c>
      <c r="P160" t="s">
        <v>812</v>
      </c>
    </row>
    <row r="161" spans="1:16" x14ac:dyDescent="0.25">
      <c r="A161" t="s">
        <v>35</v>
      </c>
      <c r="B161" t="s">
        <v>36</v>
      </c>
      <c r="C161" t="str">
        <f>CONCATENATE(B161, " ",A161)</f>
        <v>Adam Richter</v>
      </c>
      <c r="D161">
        <v>9079571</v>
      </c>
      <c r="E161" t="s">
        <v>416</v>
      </c>
      <c r="F161" t="str">
        <f>CONCATENATE(2,E161)</f>
        <v>2IANG10189765360002VA017</v>
      </c>
      <c r="G161" t="s">
        <v>417</v>
      </c>
      <c r="H161" s="1">
        <v>45292</v>
      </c>
      <c r="I161" t="s">
        <v>80</v>
      </c>
      <c r="J161" s="1">
        <v>45778</v>
      </c>
      <c r="K161" s="1">
        <f>DATE(YEAR(J161), MONTH(J161) +1, DAY(J161))</f>
        <v>45809</v>
      </c>
      <c r="M161">
        <v>20</v>
      </c>
      <c r="N161">
        <v>20</v>
      </c>
      <c r="O161" t="s">
        <v>188</v>
      </c>
      <c r="P161" t="s">
        <v>812</v>
      </c>
    </row>
    <row r="162" spans="1:16" s="5" customFormat="1" x14ac:dyDescent="0.25">
      <c r="A162" s="5" t="s">
        <v>418</v>
      </c>
      <c r="B162" s="5" t="s">
        <v>419</v>
      </c>
      <c r="C162" s="5" t="str">
        <f>CONCATENATE(B162, " ",A162)</f>
        <v>Jason Hoffmann</v>
      </c>
      <c r="D162" s="5">
        <v>15278437</v>
      </c>
      <c r="E162" s="5" t="s">
        <v>420</v>
      </c>
      <c r="F162" s="5" t="str">
        <f>CONCATENATE(2,E162)</f>
        <v>2IANG10204892010001IL016</v>
      </c>
      <c r="G162" s="5" t="s">
        <v>421</v>
      </c>
      <c r="H162" s="6">
        <v>45536</v>
      </c>
      <c r="I162" s="5" t="s">
        <v>51</v>
      </c>
      <c r="J162" s="6">
        <v>45778</v>
      </c>
      <c r="K162" s="6">
        <f>DATE(YEAR(J162), MONTH(J162) +1, DAY(J162))</f>
        <v>45809</v>
      </c>
      <c r="M162" s="5">
        <v>20</v>
      </c>
      <c r="N162" s="5">
        <v>20</v>
      </c>
      <c r="O162" s="5" t="s">
        <v>52</v>
      </c>
      <c r="P162" s="5" t="s">
        <v>812</v>
      </c>
    </row>
    <row r="163" spans="1:16" x14ac:dyDescent="0.25">
      <c r="A163" t="s">
        <v>19</v>
      </c>
      <c r="B163" t="s">
        <v>20</v>
      </c>
      <c r="C163" t="str">
        <f>CONCATENATE(B163, " ",A163)</f>
        <v>CHRISTIAN TAUGNER</v>
      </c>
      <c r="D163">
        <v>19681796</v>
      </c>
      <c r="E163" t="s">
        <v>422</v>
      </c>
      <c r="F163" t="str">
        <f>CONCATENATE(2,E163)</f>
        <v>2IANG10213245110001IL016</v>
      </c>
      <c r="G163" t="s">
        <v>423</v>
      </c>
      <c r="H163" s="1">
        <v>45658</v>
      </c>
      <c r="I163" t="s">
        <v>51</v>
      </c>
      <c r="J163" s="1">
        <v>45778</v>
      </c>
      <c r="K163" s="1">
        <f>DATE(YEAR(J163), MONTH(J163) +1, DAY(J163))</f>
        <v>45809</v>
      </c>
      <c r="L163" t="s">
        <v>808</v>
      </c>
      <c r="M163">
        <v>40</v>
      </c>
      <c r="N163">
        <v>40</v>
      </c>
      <c r="O163" t="s">
        <v>67</v>
      </c>
      <c r="P163" t="s">
        <v>812</v>
      </c>
    </row>
    <row r="164" spans="1:16" x14ac:dyDescent="0.25">
      <c r="A164" t="s">
        <v>57</v>
      </c>
      <c r="B164" t="s">
        <v>58</v>
      </c>
      <c r="C164" t="str">
        <f>CONCATENATE(B164, " ",A164)</f>
        <v>Ryan Caltagirone</v>
      </c>
      <c r="D164">
        <v>8977234</v>
      </c>
      <c r="E164" t="s">
        <v>424</v>
      </c>
      <c r="F164" t="str">
        <f>CONCATENATE(2,E164)</f>
        <v>2IANG10214115060001FL016</v>
      </c>
      <c r="G164" t="s">
        <v>425</v>
      </c>
      <c r="H164" s="1">
        <v>45689</v>
      </c>
      <c r="I164" t="s">
        <v>25</v>
      </c>
      <c r="J164" s="1">
        <v>45778</v>
      </c>
      <c r="K164" s="1">
        <f>DATE(YEAR(J164), MONTH(J164) +1, DAY(J164))</f>
        <v>45809</v>
      </c>
      <c r="L164" t="s">
        <v>808</v>
      </c>
      <c r="M164">
        <v>40</v>
      </c>
      <c r="N164">
        <v>40</v>
      </c>
      <c r="O164" t="s">
        <v>74</v>
      </c>
      <c r="P164" t="s">
        <v>812</v>
      </c>
    </row>
    <row r="165" spans="1:16" x14ac:dyDescent="0.25">
      <c r="A165" t="s">
        <v>35</v>
      </c>
      <c r="B165" t="s">
        <v>36</v>
      </c>
      <c r="C165" t="str">
        <f>CONCATENATE(B165, " ",A165)</f>
        <v>Adam Richter</v>
      </c>
      <c r="D165">
        <v>9079571</v>
      </c>
      <c r="E165" t="s">
        <v>426</v>
      </c>
      <c r="F165" t="str">
        <f>CONCATENATE(2,E165)</f>
        <v>2IANG10196504730002MD016</v>
      </c>
      <c r="G165" t="s">
        <v>427</v>
      </c>
      <c r="H165" s="1">
        <v>45352</v>
      </c>
      <c r="I165" t="s">
        <v>33</v>
      </c>
      <c r="J165" s="1">
        <v>45717</v>
      </c>
      <c r="K165" s="1">
        <f>DATE(YEAR(J165), MONTH(J165) +1, DAY(J165))</f>
        <v>45748</v>
      </c>
      <c r="M165">
        <v>10</v>
      </c>
      <c r="N165">
        <v>10</v>
      </c>
      <c r="O165" t="s">
        <v>34</v>
      </c>
      <c r="P165" t="s">
        <v>813</v>
      </c>
    </row>
    <row r="166" spans="1:16" x14ac:dyDescent="0.25">
      <c r="A166" t="s">
        <v>35</v>
      </c>
      <c r="B166" t="s">
        <v>36</v>
      </c>
      <c r="C166" t="str">
        <f>CONCATENATE(B166, " ",A166)</f>
        <v>Adam Richter</v>
      </c>
      <c r="D166">
        <v>9079571</v>
      </c>
      <c r="E166" t="s">
        <v>426</v>
      </c>
      <c r="F166" t="str">
        <f>CONCATENATE(2,E166)</f>
        <v>2IANG10196504730002MD016</v>
      </c>
      <c r="G166" t="s">
        <v>427</v>
      </c>
      <c r="H166" s="1">
        <v>45352</v>
      </c>
      <c r="I166" t="s">
        <v>33</v>
      </c>
      <c r="J166" s="1">
        <v>45748</v>
      </c>
      <c r="K166" s="1">
        <f>DATE(YEAR(J166), MONTH(J166) +1, DAY(J166))</f>
        <v>45778</v>
      </c>
      <c r="M166">
        <v>10</v>
      </c>
      <c r="N166">
        <v>10</v>
      </c>
      <c r="O166" t="s">
        <v>34</v>
      </c>
      <c r="P166" t="s">
        <v>813</v>
      </c>
    </row>
    <row r="167" spans="1:16" x14ac:dyDescent="0.25">
      <c r="A167" t="s">
        <v>35</v>
      </c>
      <c r="B167" t="s">
        <v>36</v>
      </c>
      <c r="C167" t="str">
        <f>CONCATENATE(B167, " ",A167)</f>
        <v>Adam Richter</v>
      </c>
      <c r="D167">
        <v>9079571</v>
      </c>
      <c r="E167" t="s">
        <v>426</v>
      </c>
      <c r="F167" t="str">
        <f>CONCATENATE(2,E167)</f>
        <v>2IANG10196504730002MD016</v>
      </c>
      <c r="G167" t="s">
        <v>427</v>
      </c>
      <c r="H167" s="1">
        <v>45352</v>
      </c>
      <c r="I167" t="s">
        <v>33</v>
      </c>
      <c r="J167" s="1">
        <v>45778</v>
      </c>
      <c r="K167" s="1">
        <f>DATE(YEAR(J167), MONTH(J167) +1, DAY(J167))</f>
        <v>45809</v>
      </c>
      <c r="M167">
        <v>10</v>
      </c>
      <c r="N167">
        <v>10</v>
      </c>
      <c r="O167" t="s">
        <v>34</v>
      </c>
      <c r="P167" t="s">
        <v>813</v>
      </c>
    </row>
    <row r="168" spans="1:16" x14ac:dyDescent="0.25">
      <c r="A168" t="s">
        <v>174</v>
      </c>
      <c r="B168" t="s">
        <v>175</v>
      </c>
      <c r="C168" t="str">
        <f>CONCATENATE(B168, " ",A168)</f>
        <v>FRANK LISKOVEC</v>
      </c>
      <c r="D168">
        <v>8814784</v>
      </c>
      <c r="E168" t="s">
        <v>428</v>
      </c>
      <c r="F168" t="str">
        <f>CONCATENATE(2,E168)</f>
        <v>2IANG10209618640001IL016</v>
      </c>
      <c r="G168" t="s">
        <v>429</v>
      </c>
      <c r="H168" s="1">
        <v>45658</v>
      </c>
      <c r="I168" t="s">
        <v>51</v>
      </c>
      <c r="J168" s="1">
        <v>45778</v>
      </c>
      <c r="K168" s="1">
        <f>DATE(YEAR(J168), MONTH(J168) +1, DAY(J168))</f>
        <v>45809</v>
      </c>
      <c r="L168" t="s">
        <v>809</v>
      </c>
      <c r="M168">
        <v>60</v>
      </c>
      <c r="N168">
        <v>60</v>
      </c>
      <c r="O168" t="s">
        <v>67</v>
      </c>
      <c r="P168" t="s">
        <v>812</v>
      </c>
    </row>
    <row r="169" spans="1:16" x14ac:dyDescent="0.25">
      <c r="A169" t="s">
        <v>63</v>
      </c>
      <c r="B169" t="s">
        <v>64</v>
      </c>
      <c r="C169" t="str">
        <f>CONCATENATE(B169, " ",A169)</f>
        <v>Melissa Tatro</v>
      </c>
      <c r="D169">
        <v>14177521</v>
      </c>
      <c r="E169" t="s">
        <v>430</v>
      </c>
      <c r="F169" t="str">
        <f>CONCATENATE(2,E169)</f>
        <v>2IANG10214016140000IL016</v>
      </c>
      <c r="G169" t="s">
        <v>431</v>
      </c>
      <c r="H169" s="1">
        <v>45689</v>
      </c>
      <c r="I169" t="s">
        <v>51</v>
      </c>
      <c r="J169" s="1">
        <v>45778</v>
      </c>
      <c r="K169" s="1">
        <f>DATE(YEAR(J169), MONTH(J169) +1, DAY(J169))</f>
        <v>45809</v>
      </c>
      <c r="M169">
        <v>20</v>
      </c>
      <c r="N169">
        <v>20</v>
      </c>
      <c r="O169" t="s">
        <v>67</v>
      </c>
      <c r="P169" t="s">
        <v>812</v>
      </c>
    </row>
    <row r="170" spans="1:16" x14ac:dyDescent="0.25">
      <c r="A170" t="s">
        <v>57</v>
      </c>
      <c r="B170" t="s">
        <v>58</v>
      </c>
      <c r="C170" t="str">
        <f>CONCATENATE(B170, " ",A170)</f>
        <v>Ryan Caltagirone</v>
      </c>
      <c r="D170">
        <v>8977234</v>
      </c>
      <c r="E170" t="s">
        <v>432</v>
      </c>
      <c r="F170" t="str">
        <f>CONCATENATE(2,E170)</f>
        <v>2IANG10209618350001OH016</v>
      </c>
      <c r="G170" t="s">
        <v>433</v>
      </c>
      <c r="H170" s="1">
        <v>45658</v>
      </c>
      <c r="I170" t="s">
        <v>434</v>
      </c>
      <c r="J170" s="1">
        <v>45778</v>
      </c>
      <c r="K170" s="1">
        <f>DATE(YEAR(J170), MONTH(J170) +1, DAY(J170))</f>
        <v>45809</v>
      </c>
      <c r="M170">
        <v>20</v>
      </c>
      <c r="N170">
        <v>20</v>
      </c>
      <c r="O170" t="s">
        <v>435</v>
      </c>
      <c r="P170" t="s">
        <v>812</v>
      </c>
    </row>
    <row r="171" spans="1:16" x14ac:dyDescent="0.25">
      <c r="A171" t="s">
        <v>101</v>
      </c>
      <c r="B171" t="s">
        <v>102</v>
      </c>
      <c r="C171" t="str">
        <f>CONCATENATE(B171, " ",A171)</f>
        <v>Gregory Teipel</v>
      </c>
      <c r="D171">
        <v>8307933</v>
      </c>
      <c r="E171" t="s">
        <v>436</v>
      </c>
      <c r="F171" t="str">
        <f>CONCATENATE(2,E171)</f>
        <v>2IANG10189540330001IL016</v>
      </c>
      <c r="G171" t="s">
        <v>437</v>
      </c>
      <c r="H171" s="1">
        <v>45292</v>
      </c>
      <c r="I171" t="s">
        <v>51</v>
      </c>
      <c r="J171" s="1">
        <v>45778</v>
      </c>
      <c r="K171" s="1">
        <f>DATE(YEAR(J171), MONTH(J171) +1, DAY(J171))</f>
        <v>45809</v>
      </c>
      <c r="M171">
        <v>20</v>
      </c>
      <c r="N171">
        <v>20</v>
      </c>
      <c r="O171" t="s">
        <v>52</v>
      </c>
      <c r="P171" t="s">
        <v>812</v>
      </c>
    </row>
    <row r="172" spans="1:16" x14ac:dyDescent="0.25">
      <c r="A172" t="s">
        <v>105</v>
      </c>
      <c r="B172" t="s">
        <v>106</v>
      </c>
      <c r="C172" t="str">
        <f>CONCATENATE(B172, " ",A172)</f>
        <v>ANTHONY HUNSBERGER</v>
      </c>
      <c r="D172">
        <v>7146581</v>
      </c>
      <c r="E172" t="s">
        <v>438</v>
      </c>
      <c r="F172" t="str">
        <f>CONCATENATE(2,E172)</f>
        <v>2IANG10193263900001IL016</v>
      </c>
      <c r="G172" t="s">
        <v>439</v>
      </c>
      <c r="H172" s="1">
        <v>45323</v>
      </c>
      <c r="I172" t="s">
        <v>51</v>
      </c>
      <c r="J172" s="1">
        <v>45778</v>
      </c>
      <c r="K172" s="1">
        <f>DATE(YEAR(J172), MONTH(J172) +1, DAY(J172))</f>
        <v>45809</v>
      </c>
      <c r="L172" t="s">
        <v>810</v>
      </c>
      <c r="M172">
        <v>80</v>
      </c>
      <c r="N172">
        <v>80</v>
      </c>
      <c r="O172" t="s">
        <v>52</v>
      </c>
      <c r="P172" t="s">
        <v>812</v>
      </c>
    </row>
    <row r="173" spans="1:16" x14ac:dyDescent="0.25">
      <c r="A173" t="s">
        <v>105</v>
      </c>
      <c r="B173" t="s">
        <v>106</v>
      </c>
      <c r="C173" t="str">
        <f>CONCATENATE(B173, " ",A173)</f>
        <v>ANTHONY HUNSBERGER</v>
      </c>
      <c r="D173">
        <v>7146581</v>
      </c>
      <c r="E173" t="s">
        <v>438</v>
      </c>
      <c r="F173" t="str">
        <f>CONCATENATE(2,E173)</f>
        <v>2IANG10193263900001IL016</v>
      </c>
      <c r="G173" t="s">
        <v>439</v>
      </c>
      <c r="H173" s="1">
        <v>45323</v>
      </c>
      <c r="I173" t="s">
        <v>51</v>
      </c>
      <c r="J173" s="1">
        <v>45748</v>
      </c>
      <c r="K173" s="1">
        <f>DATE(YEAR(J173), MONTH(J173) +1, DAY(J173))</f>
        <v>45778</v>
      </c>
      <c r="M173">
        <v>20</v>
      </c>
      <c r="N173">
        <v>20</v>
      </c>
      <c r="O173" t="s">
        <v>52</v>
      </c>
      <c r="P173" t="s">
        <v>812</v>
      </c>
    </row>
    <row r="174" spans="1:16" x14ac:dyDescent="0.25">
      <c r="A174" t="s">
        <v>105</v>
      </c>
      <c r="B174" t="s">
        <v>106</v>
      </c>
      <c r="C174" t="str">
        <f>CONCATENATE(B174, " ",A174)</f>
        <v>ANTHONY HUNSBERGER</v>
      </c>
      <c r="D174">
        <v>7146581</v>
      </c>
      <c r="E174" t="s">
        <v>438</v>
      </c>
      <c r="F174" t="str">
        <f>CONCATENATE(2,E174)</f>
        <v>2IANG10193263900001IL016</v>
      </c>
      <c r="G174" t="s">
        <v>439</v>
      </c>
      <c r="H174" s="1">
        <v>45323</v>
      </c>
      <c r="I174" t="s">
        <v>51</v>
      </c>
      <c r="J174" s="1">
        <v>45717</v>
      </c>
      <c r="K174" s="1">
        <f>DATE(YEAR(J174), MONTH(J174) +1, DAY(J174))</f>
        <v>45748</v>
      </c>
      <c r="L174">
        <v>7</v>
      </c>
      <c r="M174">
        <v>140</v>
      </c>
      <c r="N174">
        <v>140</v>
      </c>
      <c r="O174" t="s">
        <v>52</v>
      </c>
      <c r="P174" t="s">
        <v>812</v>
      </c>
    </row>
    <row r="175" spans="1:16" x14ac:dyDescent="0.25">
      <c r="A175" t="s">
        <v>440</v>
      </c>
      <c r="B175" t="s">
        <v>441</v>
      </c>
      <c r="C175" t="str">
        <f>CONCATENATE(B175, " ",A175)</f>
        <v>JONATHAN ALOFF</v>
      </c>
      <c r="D175">
        <v>16683808</v>
      </c>
      <c r="E175" t="s">
        <v>442</v>
      </c>
      <c r="F175" t="str">
        <f>CONCATENATE(2,E175)</f>
        <v>2IANG10183962980001IL016</v>
      </c>
      <c r="G175" t="s">
        <v>443</v>
      </c>
      <c r="H175" s="1">
        <v>45292</v>
      </c>
      <c r="I175" t="s">
        <v>51</v>
      </c>
      <c r="J175" s="1">
        <v>45778</v>
      </c>
      <c r="K175" s="1">
        <f>DATE(YEAR(J175), MONTH(J175) +1, DAY(J175))</f>
        <v>45809</v>
      </c>
      <c r="L175" t="s">
        <v>808</v>
      </c>
      <c r="M175">
        <v>40</v>
      </c>
      <c r="N175">
        <v>40</v>
      </c>
      <c r="O175" t="s">
        <v>52</v>
      </c>
      <c r="P175" t="s">
        <v>812</v>
      </c>
    </row>
    <row r="176" spans="1:16" x14ac:dyDescent="0.25">
      <c r="A176" t="s">
        <v>258</v>
      </c>
      <c r="B176" t="s">
        <v>259</v>
      </c>
      <c r="C176" t="str">
        <f>CONCATENATE(B176, " ",A176)</f>
        <v>DALE WALENGA</v>
      </c>
      <c r="D176">
        <v>8325282</v>
      </c>
      <c r="E176" t="s">
        <v>444</v>
      </c>
      <c r="F176" t="str">
        <f>CONCATENATE(2,E176)</f>
        <v>2IANG10194157550001IL016</v>
      </c>
      <c r="G176" t="s">
        <v>445</v>
      </c>
      <c r="H176" s="1">
        <v>45323</v>
      </c>
      <c r="I176" t="s">
        <v>51</v>
      </c>
      <c r="J176" s="1">
        <v>45778</v>
      </c>
      <c r="K176" s="1">
        <f>DATE(YEAR(J176), MONTH(J176) +1, DAY(J176))</f>
        <v>45809</v>
      </c>
      <c r="M176">
        <v>20</v>
      </c>
      <c r="N176">
        <v>20</v>
      </c>
      <c r="O176" t="s">
        <v>52</v>
      </c>
      <c r="P176" t="s">
        <v>812</v>
      </c>
    </row>
    <row r="177" spans="1:16" x14ac:dyDescent="0.25">
      <c r="A177" t="s">
        <v>70</v>
      </c>
      <c r="B177" t="s">
        <v>71</v>
      </c>
      <c r="C177" t="str">
        <f>CONCATENATE(B177, " ",A177)</f>
        <v>RICHARD YALE</v>
      </c>
      <c r="D177">
        <v>16633294</v>
      </c>
      <c r="E177" t="s">
        <v>446</v>
      </c>
      <c r="F177" t="str">
        <f>CONCATENATE(2,E177)</f>
        <v>2IANG10213040020001IL016</v>
      </c>
      <c r="G177" t="s">
        <v>447</v>
      </c>
      <c r="H177" s="1">
        <v>45658</v>
      </c>
      <c r="I177" t="s">
        <v>51</v>
      </c>
      <c r="J177" s="1">
        <v>45778</v>
      </c>
      <c r="K177" s="1">
        <f>DATE(YEAR(J177), MONTH(J177) +1, DAY(J177))</f>
        <v>45809</v>
      </c>
      <c r="M177">
        <v>20</v>
      </c>
      <c r="N177">
        <v>20</v>
      </c>
      <c r="O177" t="s">
        <v>67</v>
      </c>
      <c r="P177" t="s">
        <v>812</v>
      </c>
    </row>
    <row r="178" spans="1:16" x14ac:dyDescent="0.25">
      <c r="A178" t="s">
        <v>35</v>
      </c>
      <c r="B178" t="s">
        <v>36</v>
      </c>
      <c r="C178" t="str">
        <f>CONCATENATE(B178, " ",A178)</f>
        <v>Adam Richter</v>
      </c>
      <c r="D178">
        <v>9079571</v>
      </c>
      <c r="E178" t="s">
        <v>448</v>
      </c>
      <c r="F178" t="str">
        <f>CONCATENATE(2,E178)</f>
        <v>2IANG10202139900002MD016</v>
      </c>
      <c r="G178" t="s">
        <v>449</v>
      </c>
      <c r="H178" s="1">
        <v>45474</v>
      </c>
      <c r="I178" t="s">
        <v>33</v>
      </c>
      <c r="J178" s="1">
        <v>45778</v>
      </c>
      <c r="K178" s="1">
        <f>DATE(YEAR(J178), MONTH(J178) +1, DAY(J178))</f>
        <v>45809</v>
      </c>
      <c r="M178">
        <v>10</v>
      </c>
      <c r="N178">
        <v>10</v>
      </c>
      <c r="O178" t="s">
        <v>34</v>
      </c>
      <c r="P178" t="s">
        <v>813</v>
      </c>
    </row>
    <row r="179" spans="1:16" x14ac:dyDescent="0.25">
      <c r="A179" t="s">
        <v>101</v>
      </c>
      <c r="B179" t="s">
        <v>102</v>
      </c>
      <c r="C179" t="str">
        <f>CONCATENATE(B179, " ",A179)</f>
        <v>Gregory Teipel</v>
      </c>
      <c r="D179">
        <v>8307933</v>
      </c>
      <c r="E179" t="s">
        <v>450</v>
      </c>
      <c r="F179" t="str">
        <f>CONCATENATE(2,E179)</f>
        <v>2IANG10202953130001TX016</v>
      </c>
      <c r="G179" t="s">
        <v>451</v>
      </c>
      <c r="H179" s="1">
        <v>45505</v>
      </c>
      <c r="I179" t="s">
        <v>43</v>
      </c>
      <c r="J179" s="1">
        <v>45778</v>
      </c>
      <c r="K179" s="1">
        <f>DATE(YEAR(J179), MONTH(J179) +1, DAY(J179))</f>
        <v>45809</v>
      </c>
      <c r="M179">
        <v>25</v>
      </c>
      <c r="N179">
        <v>25</v>
      </c>
      <c r="O179" t="s">
        <v>44</v>
      </c>
      <c r="P179" t="s">
        <v>814</v>
      </c>
    </row>
    <row r="180" spans="1:16" x14ac:dyDescent="0.25">
      <c r="A180" t="s">
        <v>258</v>
      </c>
      <c r="B180" t="s">
        <v>259</v>
      </c>
      <c r="C180" t="str">
        <f>CONCATENATE(B180, " ",A180)</f>
        <v>DALE WALENGA</v>
      </c>
      <c r="D180">
        <v>8325282</v>
      </c>
      <c r="E180" t="s">
        <v>452</v>
      </c>
      <c r="F180" t="str">
        <f>CONCATENATE(2,E180)</f>
        <v>2IANG10193862250001IL016</v>
      </c>
      <c r="G180" t="s">
        <v>453</v>
      </c>
      <c r="H180" s="1">
        <v>45323</v>
      </c>
      <c r="I180" t="s">
        <v>51</v>
      </c>
      <c r="J180" s="1">
        <v>45778</v>
      </c>
      <c r="K180" s="1">
        <f>DATE(YEAR(J180), MONTH(J180) +1, DAY(J180))</f>
        <v>45809</v>
      </c>
      <c r="M180">
        <v>20</v>
      </c>
      <c r="N180">
        <v>20</v>
      </c>
      <c r="O180" t="s">
        <v>52</v>
      </c>
      <c r="P180" t="s">
        <v>812</v>
      </c>
    </row>
    <row r="181" spans="1:16" x14ac:dyDescent="0.25">
      <c r="A181" t="s">
        <v>63</v>
      </c>
      <c r="B181" t="s">
        <v>64</v>
      </c>
      <c r="C181" t="str">
        <f>CONCATENATE(B181, " ",A181)</f>
        <v>Melissa Tatro</v>
      </c>
      <c r="D181">
        <v>14177521</v>
      </c>
      <c r="E181" t="s">
        <v>454</v>
      </c>
      <c r="F181" t="str">
        <f>CONCATENATE(2,E181)</f>
        <v>2IANG10182202730001IL016</v>
      </c>
      <c r="G181" t="s">
        <v>455</v>
      </c>
      <c r="H181" s="1">
        <v>45292</v>
      </c>
      <c r="I181" t="s">
        <v>51</v>
      </c>
      <c r="J181" s="1">
        <v>45778</v>
      </c>
      <c r="K181" s="1">
        <f>DATE(YEAR(J181), MONTH(J181) +1, DAY(J181))</f>
        <v>45809</v>
      </c>
      <c r="L181" t="s">
        <v>808</v>
      </c>
      <c r="M181">
        <v>40</v>
      </c>
      <c r="N181">
        <v>40</v>
      </c>
      <c r="O181" t="s">
        <v>52</v>
      </c>
      <c r="P181" t="s">
        <v>812</v>
      </c>
    </row>
    <row r="182" spans="1:16" x14ac:dyDescent="0.25">
      <c r="A182" t="s">
        <v>163</v>
      </c>
      <c r="B182" t="s">
        <v>164</v>
      </c>
      <c r="C182" t="str">
        <f>CONCATENATE(B182, " ",A182)</f>
        <v>BARRY SCHUMANN</v>
      </c>
      <c r="D182">
        <v>19586992</v>
      </c>
      <c r="E182" t="s">
        <v>456</v>
      </c>
      <c r="F182" t="str">
        <f>CONCATENATE(2,E182)</f>
        <v>2IANG10215990890001IL016</v>
      </c>
      <c r="G182" t="s">
        <v>457</v>
      </c>
      <c r="H182" s="1">
        <v>45748</v>
      </c>
      <c r="I182" t="s">
        <v>51</v>
      </c>
      <c r="J182" s="1">
        <v>45778</v>
      </c>
      <c r="K182" s="1">
        <f>DATE(YEAR(J182), MONTH(J182) +1, DAY(J182))</f>
        <v>45809</v>
      </c>
      <c r="L182" t="s">
        <v>810</v>
      </c>
      <c r="M182">
        <v>80</v>
      </c>
      <c r="N182">
        <v>80</v>
      </c>
      <c r="O182" t="s">
        <v>67</v>
      </c>
      <c r="P182" t="s">
        <v>812</v>
      </c>
    </row>
    <row r="183" spans="1:16" x14ac:dyDescent="0.25">
      <c r="A183" t="s">
        <v>19</v>
      </c>
      <c r="B183" t="s">
        <v>20</v>
      </c>
      <c r="C183" t="str">
        <f>CONCATENATE(B183, " ",A183)</f>
        <v>CHRISTIAN TAUGNER</v>
      </c>
      <c r="D183">
        <v>19681796</v>
      </c>
      <c r="E183" t="s">
        <v>458</v>
      </c>
      <c r="F183" t="str">
        <f>CONCATENATE(2,E183)</f>
        <v>2IANG10206754060001IL016</v>
      </c>
      <c r="G183" t="s">
        <v>459</v>
      </c>
      <c r="H183" s="1">
        <v>45597</v>
      </c>
      <c r="I183" t="s">
        <v>51</v>
      </c>
      <c r="J183" s="1">
        <v>45778</v>
      </c>
      <c r="K183" s="1">
        <f>DATE(YEAR(J183), MONTH(J183) +1, DAY(J183))</f>
        <v>45809</v>
      </c>
      <c r="M183">
        <v>20</v>
      </c>
      <c r="N183">
        <v>20</v>
      </c>
      <c r="O183" t="s">
        <v>52</v>
      </c>
      <c r="P183" t="s">
        <v>812</v>
      </c>
    </row>
    <row r="184" spans="1:16" x14ac:dyDescent="0.25">
      <c r="A184" t="s">
        <v>70</v>
      </c>
      <c r="B184" t="s">
        <v>71</v>
      </c>
      <c r="C184" t="str">
        <f>CONCATENATE(B184, " ",A184)</f>
        <v>RICHARD YALE</v>
      </c>
      <c r="D184">
        <v>16633294</v>
      </c>
      <c r="E184" t="s">
        <v>460</v>
      </c>
      <c r="F184" t="str">
        <f>CONCATENATE(2,E184)</f>
        <v>2IANG10165601520001IL016</v>
      </c>
      <c r="G184" t="s">
        <v>461</v>
      </c>
      <c r="H184" s="1">
        <v>44927</v>
      </c>
      <c r="I184" t="s">
        <v>51</v>
      </c>
      <c r="J184" s="1">
        <v>45778</v>
      </c>
      <c r="K184" s="1">
        <f>DATE(YEAR(J184), MONTH(J184) +1, DAY(J184))</f>
        <v>45809</v>
      </c>
      <c r="L184" t="s">
        <v>808</v>
      </c>
      <c r="M184">
        <v>40</v>
      </c>
      <c r="N184">
        <v>40</v>
      </c>
      <c r="O184" t="s">
        <v>52</v>
      </c>
      <c r="P184" t="s">
        <v>812</v>
      </c>
    </row>
    <row r="185" spans="1:16" x14ac:dyDescent="0.25">
      <c r="A185" t="s">
        <v>47</v>
      </c>
      <c r="B185" t="s">
        <v>48</v>
      </c>
      <c r="C185" t="str">
        <f>CONCATENATE(B185, " ",A185)</f>
        <v>GARY PORTUGAL</v>
      </c>
      <c r="D185">
        <v>9213293</v>
      </c>
      <c r="E185" t="s">
        <v>462</v>
      </c>
      <c r="F185" t="str">
        <f>CONCATENATE(2,E185)</f>
        <v>2IANG10212631220001FL016</v>
      </c>
      <c r="G185" t="s">
        <v>463</v>
      </c>
      <c r="H185" s="1">
        <v>45658</v>
      </c>
      <c r="I185" t="s">
        <v>25</v>
      </c>
      <c r="J185" s="1">
        <v>45778</v>
      </c>
      <c r="K185" s="1">
        <f>DATE(YEAR(J185), MONTH(J185) +1, DAY(J185))</f>
        <v>45809</v>
      </c>
      <c r="M185">
        <v>20</v>
      </c>
      <c r="N185">
        <v>20</v>
      </c>
      <c r="O185" t="s">
        <v>74</v>
      </c>
      <c r="P185" t="s">
        <v>812</v>
      </c>
    </row>
    <row r="186" spans="1:16" x14ac:dyDescent="0.25">
      <c r="A186" t="s">
        <v>19</v>
      </c>
      <c r="B186" t="s">
        <v>20</v>
      </c>
      <c r="C186" t="str">
        <f>CONCATENATE(B186, " ",A186)</f>
        <v>CHRISTIAN TAUGNER</v>
      </c>
      <c r="D186">
        <v>19681796</v>
      </c>
      <c r="E186" t="s">
        <v>464</v>
      </c>
      <c r="F186" t="str">
        <f>CONCATENATE(2,E186)</f>
        <v>2IANG10212416070001IL016</v>
      </c>
      <c r="G186" t="s">
        <v>465</v>
      </c>
      <c r="H186" s="1">
        <v>45658</v>
      </c>
      <c r="I186" t="s">
        <v>51</v>
      </c>
      <c r="J186" s="1">
        <v>45778</v>
      </c>
      <c r="K186" s="1">
        <f>DATE(YEAR(J186), MONTH(J186) +1, DAY(J186))</f>
        <v>45809</v>
      </c>
      <c r="M186">
        <v>20</v>
      </c>
      <c r="N186">
        <v>20</v>
      </c>
      <c r="O186" t="s">
        <v>67</v>
      </c>
      <c r="P186" t="s">
        <v>812</v>
      </c>
    </row>
    <row r="187" spans="1:16" x14ac:dyDescent="0.25">
      <c r="A187" t="s">
        <v>47</v>
      </c>
      <c r="B187" t="s">
        <v>48</v>
      </c>
      <c r="C187" t="str">
        <f>CONCATENATE(B187, " ",A187)</f>
        <v>GARY PORTUGAL</v>
      </c>
      <c r="D187">
        <v>9213293</v>
      </c>
      <c r="E187" t="s">
        <v>466</v>
      </c>
      <c r="F187" t="str">
        <f>CONCATENATE(2,E187)</f>
        <v>2IANG10208697390001IL016</v>
      </c>
      <c r="G187" t="s">
        <v>467</v>
      </c>
      <c r="H187" s="1">
        <v>45658</v>
      </c>
      <c r="I187" t="s">
        <v>51</v>
      </c>
      <c r="J187" s="1">
        <v>45778</v>
      </c>
      <c r="K187" s="1">
        <f>DATE(YEAR(J187), MONTH(J187) +1, DAY(J187))</f>
        <v>45809</v>
      </c>
      <c r="M187">
        <v>20</v>
      </c>
      <c r="N187">
        <v>20</v>
      </c>
      <c r="O187" t="s">
        <v>67</v>
      </c>
      <c r="P187" t="s">
        <v>812</v>
      </c>
    </row>
    <row r="188" spans="1:16" x14ac:dyDescent="0.25">
      <c r="A188" t="s">
        <v>258</v>
      </c>
      <c r="B188" t="s">
        <v>259</v>
      </c>
      <c r="C188" t="str">
        <f>CONCATENATE(B188, " ",A188)</f>
        <v>DALE WALENGA</v>
      </c>
      <c r="D188">
        <v>8325282</v>
      </c>
      <c r="E188" t="s">
        <v>468</v>
      </c>
      <c r="F188" t="str">
        <f>CONCATENATE(2,E188)</f>
        <v>2IANG10209619090001IL016</v>
      </c>
      <c r="G188" t="s">
        <v>469</v>
      </c>
      <c r="H188" s="1">
        <v>45658</v>
      </c>
      <c r="I188" t="s">
        <v>51</v>
      </c>
      <c r="J188" s="1">
        <v>45778</v>
      </c>
      <c r="K188" s="1">
        <f>DATE(YEAR(J188), MONTH(J188) +1, DAY(J188))</f>
        <v>45809</v>
      </c>
      <c r="M188">
        <v>20</v>
      </c>
      <c r="N188">
        <v>20</v>
      </c>
      <c r="O188" t="s">
        <v>67</v>
      </c>
      <c r="P188" t="s">
        <v>812</v>
      </c>
    </row>
    <row r="189" spans="1:16" x14ac:dyDescent="0.25">
      <c r="A189" t="s">
        <v>70</v>
      </c>
      <c r="B189" t="s">
        <v>71</v>
      </c>
      <c r="C189" t="str">
        <f>CONCATENATE(B189, " ",A189)</f>
        <v>RICHARD YALE</v>
      </c>
      <c r="D189">
        <v>16633294</v>
      </c>
      <c r="E189" t="s">
        <v>470</v>
      </c>
      <c r="F189" t="str">
        <f>CONCATENATE(2,E189)</f>
        <v>2IANG10204842010001IL016</v>
      </c>
      <c r="G189" t="s">
        <v>471</v>
      </c>
      <c r="H189" s="1">
        <v>45536</v>
      </c>
      <c r="I189" t="s">
        <v>51</v>
      </c>
      <c r="J189" s="1">
        <v>45778</v>
      </c>
      <c r="K189" s="1">
        <f>DATE(YEAR(J189), MONTH(J189) +1, DAY(J189))</f>
        <v>45809</v>
      </c>
      <c r="L189" t="s">
        <v>808</v>
      </c>
      <c r="M189">
        <v>40</v>
      </c>
      <c r="N189">
        <v>40</v>
      </c>
      <c r="O189" t="s">
        <v>52</v>
      </c>
      <c r="P189" t="s">
        <v>812</v>
      </c>
    </row>
    <row r="190" spans="1:16" x14ac:dyDescent="0.25">
      <c r="A190" t="s">
        <v>93</v>
      </c>
      <c r="B190" t="s">
        <v>94</v>
      </c>
      <c r="C190" t="str">
        <f>CONCATENATE(B190, " ",A190)</f>
        <v>Jacob Yale</v>
      </c>
      <c r="D190">
        <v>18754354</v>
      </c>
      <c r="E190" t="s">
        <v>472</v>
      </c>
      <c r="F190" t="str">
        <f>CONCATENATE(2,E190)</f>
        <v>2IANG10176032350001IL016</v>
      </c>
      <c r="G190" t="s">
        <v>473</v>
      </c>
      <c r="H190" s="1">
        <v>45170</v>
      </c>
      <c r="I190" t="s">
        <v>51</v>
      </c>
      <c r="J190" s="1">
        <v>45778</v>
      </c>
      <c r="K190" s="1">
        <f>DATE(YEAR(J190), MONTH(J190) +1, DAY(J190))</f>
        <v>45809</v>
      </c>
      <c r="M190">
        <v>20</v>
      </c>
      <c r="N190">
        <v>20</v>
      </c>
      <c r="O190" t="s">
        <v>52</v>
      </c>
      <c r="P190" t="s">
        <v>812</v>
      </c>
    </row>
    <row r="191" spans="1:16" x14ac:dyDescent="0.25">
      <c r="A191" t="s">
        <v>117</v>
      </c>
      <c r="B191" t="s">
        <v>118</v>
      </c>
      <c r="C191" t="str">
        <f>CONCATENATE(B191, " ",A191)</f>
        <v>Thomas Pardue</v>
      </c>
      <c r="D191" t="s">
        <v>817</v>
      </c>
      <c r="E191" t="s">
        <v>474</v>
      </c>
      <c r="F191" t="str">
        <f>CONCATENATE(2,E191)</f>
        <v>2IANG10178200860001FL016</v>
      </c>
      <c r="G191" t="s">
        <v>475</v>
      </c>
      <c r="H191" s="1">
        <v>45231</v>
      </c>
      <c r="I191" t="s">
        <v>25</v>
      </c>
      <c r="J191" s="1">
        <v>45778</v>
      </c>
      <c r="K191" s="1">
        <f>DATE(YEAR(J191), MONTH(J191) +1, DAY(J191))</f>
        <v>45809</v>
      </c>
      <c r="M191">
        <v>20</v>
      </c>
      <c r="N191">
        <v>20</v>
      </c>
      <c r="O191" t="s">
        <v>26</v>
      </c>
      <c r="P191" t="s">
        <v>812</v>
      </c>
    </row>
    <row r="192" spans="1:16" x14ac:dyDescent="0.25">
      <c r="A192" t="s">
        <v>70</v>
      </c>
      <c r="B192" t="s">
        <v>71</v>
      </c>
      <c r="C192" t="str">
        <f>CONCATENATE(B192, " ",A192)</f>
        <v>RICHARD YALE</v>
      </c>
      <c r="D192">
        <v>16633294</v>
      </c>
      <c r="E192" t="s">
        <v>476</v>
      </c>
      <c r="F192" t="str">
        <f>CONCATENATE(2,E192)</f>
        <v>2IANG10173983960001IL016</v>
      </c>
      <c r="G192" t="s">
        <v>477</v>
      </c>
      <c r="H192" s="1">
        <v>45108</v>
      </c>
      <c r="I192" t="s">
        <v>51</v>
      </c>
      <c r="J192" s="1">
        <v>45778</v>
      </c>
      <c r="K192" s="1">
        <f>DATE(YEAR(J192), MONTH(J192) +1, DAY(J192))</f>
        <v>45809</v>
      </c>
      <c r="M192">
        <v>20</v>
      </c>
      <c r="N192">
        <v>20</v>
      </c>
      <c r="O192" t="s">
        <v>52</v>
      </c>
      <c r="P192" t="s">
        <v>812</v>
      </c>
    </row>
    <row r="193" spans="1:22" x14ac:dyDescent="0.25">
      <c r="A193" t="s">
        <v>123</v>
      </c>
      <c r="B193" t="s">
        <v>124</v>
      </c>
      <c r="C193" t="str">
        <f>CONCATENATE(B193, " ",A193)</f>
        <v>RICARDO SANTOS</v>
      </c>
      <c r="D193">
        <v>19200754</v>
      </c>
      <c r="E193" t="s">
        <v>478</v>
      </c>
      <c r="F193" t="str">
        <f>CONCATENATE(2,E193)</f>
        <v>2IANG10189541710001IL016</v>
      </c>
      <c r="G193" t="s">
        <v>479</v>
      </c>
      <c r="H193" s="1">
        <v>45292</v>
      </c>
      <c r="I193" t="s">
        <v>51</v>
      </c>
      <c r="J193" s="1">
        <v>45778</v>
      </c>
      <c r="K193" s="1">
        <f>DATE(YEAR(J193), MONTH(J193) +1, DAY(J193))</f>
        <v>45809</v>
      </c>
      <c r="L193" t="s">
        <v>808</v>
      </c>
      <c r="M193">
        <v>40</v>
      </c>
      <c r="N193">
        <v>40</v>
      </c>
      <c r="O193" t="s">
        <v>52</v>
      </c>
      <c r="P193" t="s">
        <v>812</v>
      </c>
    </row>
    <row r="194" spans="1:22" x14ac:dyDescent="0.25">
      <c r="A194" t="s">
        <v>35</v>
      </c>
      <c r="B194" t="s">
        <v>36</v>
      </c>
      <c r="C194" t="str">
        <f>CONCATENATE(B194, " ",A194)</f>
        <v>Adam Richter</v>
      </c>
      <c r="D194">
        <v>9079571</v>
      </c>
      <c r="E194" t="s">
        <v>480</v>
      </c>
      <c r="F194" t="str">
        <f>CONCATENATE(2,E194)</f>
        <v>2IANG10202449920002MD016</v>
      </c>
      <c r="G194" t="s">
        <v>481</v>
      </c>
      <c r="H194" s="1">
        <v>45444</v>
      </c>
      <c r="I194" t="s">
        <v>33</v>
      </c>
      <c r="J194" s="1">
        <v>45778</v>
      </c>
      <c r="K194" s="1">
        <f>DATE(YEAR(J194), MONTH(J194) +1, DAY(J194))</f>
        <v>45809</v>
      </c>
      <c r="M194">
        <v>10</v>
      </c>
      <c r="N194">
        <v>10</v>
      </c>
      <c r="O194" t="s">
        <v>34</v>
      </c>
      <c r="P194" t="s">
        <v>813</v>
      </c>
    </row>
    <row r="195" spans="1:22" x14ac:dyDescent="0.25">
      <c r="A195" t="s">
        <v>57</v>
      </c>
      <c r="B195" t="s">
        <v>58</v>
      </c>
      <c r="C195" t="str">
        <f>CONCATENATE(B195, " ",A195)</f>
        <v>Ryan Caltagirone</v>
      </c>
      <c r="D195">
        <v>8977234</v>
      </c>
      <c r="E195" t="s">
        <v>482</v>
      </c>
      <c r="F195" t="str">
        <f>CONCATENATE(2,E195)</f>
        <v>2IANG10208610960001AZ018</v>
      </c>
      <c r="G195" t="s">
        <v>483</v>
      </c>
      <c r="H195" s="1">
        <v>45658</v>
      </c>
      <c r="I195" t="s">
        <v>135</v>
      </c>
      <c r="J195" s="1">
        <v>45778</v>
      </c>
      <c r="K195" s="1">
        <f>DATE(YEAR(J195), MONTH(J195) +1, DAY(J195))</f>
        <v>45809</v>
      </c>
      <c r="M195">
        <v>20</v>
      </c>
      <c r="N195">
        <v>20</v>
      </c>
      <c r="O195" t="s">
        <v>167</v>
      </c>
      <c r="P195" t="s">
        <v>812</v>
      </c>
    </row>
    <row r="196" spans="1:22" x14ac:dyDescent="0.25">
      <c r="A196" s="3" t="s">
        <v>484</v>
      </c>
      <c r="B196" s="3" t="s">
        <v>485</v>
      </c>
      <c r="C196" s="3" t="str">
        <f>CONCATENATE(B196, " ",A196)</f>
        <v>Jessica Sandifer</v>
      </c>
      <c r="D196" s="3">
        <v>6115727</v>
      </c>
      <c r="E196" s="3" t="s">
        <v>486</v>
      </c>
      <c r="F196" s="3" t="str">
        <f>CONCATENATE(2,E196)</f>
        <v>2IANG10214294940002MD016</v>
      </c>
      <c r="G196" s="3" t="s">
        <v>487</v>
      </c>
      <c r="H196" s="4">
        <v>45658</v>
      </c>
      <c r="I196" s="3" t="s">
        <v>33</v>
      </c>
      <c r="J196" s="4">
        <v>45778</v>
      </c>
      <c r="K196" s="1">
        <f>DATE(YEAR(J196), MONTH(J196) +1, DAY(J196))</f>
        <v>45809</v>
      </c>
      <c r="L196" s="3"/>
      <c r="M196" s="3">
        <v>10</v>
      </c>
      <c r="N196" s="3">
        <v>10</v>
      </c>
      <c r="O196" s="3" t="s">
        <v>88</v>
      </c>
      <c r="P196" s="3" t="s">
        <v>813</v>
      </c>
      <c r="Q196" s="3"/>
      <c r="R196" s="3"/>
      <c r="S196" s="3"/>
      <c r="T196" s="3"/>
      <c r="U196" s="3"/>
      <c r="V196" s="3"/>
    </row>
    <row r="197" spans="1:22" x14ac:dyDescent="0.25">
      <c r="A197" t="s">
        <v>93</v>
      </c>
      <c r="B197" t="s">
        <v>94</v>
      </c>
      <c r="C197" t="str">
        <f>CONCATENATE(B197, " ",A197)</f>
        <v>Jacob Yale</v>
      </c>
      <c r="D197">
        <v>18754354</v>
      </c>
      <c r="E197" t="s">
        <v>488</v>
      </c>
      <c r="F197" t="str">
        <f>CONCATENATE(2,E197)</f>
        <v>2IANG10178367620001IL016</v>
      </c>
      <c r="G197" t="s">
        <v>489</v>
      </c>
      <c r="H197" s="1">
        <v>45231</v>
      </c>
      <c r="I197" t="s">
        <v>51</v>
      </c>
      <c r="J197" s="1">
        <v>45778</v>
      </c>
      <c r="K197" s="1">
        <f>DATE(YEAR(J197), MONTH(J197) +1, DAY(J197))</f>
        <v>45809</v>
      </c>
      <c r="L197" t="s">
        <v>809</v>
      </c>
      <c r="M197">
        <v>60</v>
      </c>
      <c r="N197">
        <v>60</v>
      </c>
      <c r="O197" t="s">
        <v>67</v>
      </c>
      <c r="P197" t="s">
        <v>812</v>
      </c>
    </row>
    <row r="198" spans="1:22" x14ac:dyDescent="0.25">
      <c r="A198" t="s">
        <v>29</v>
      </c>
      <c r="B198" t="s">
        <v>30</v>
      </c>
      <c r="C198" t="str">
        <f>CONCATENATE(B198, " ",A198)</f>
        <v>THOMAS KUCAN</v>
      </c>
      <c r="D198">
        <v>16202925</v>
      </c>
      <c r="E198" t="s">
        <v>490</v>
      </c>
      <c r="F198" t="str">
        <f>CONCATENATE(2,E198)</f>
        <v>2IANG10205156820002MD016</v>
      </c>
      <c r="G198" t="s">
        <v>491</v>
      </c>
      <c r="H198" s="1">
        <v>45566</v>
      </c>
      <c r="I198" t="s">
        <v>33</v>
      </c>
      <c r="J198" s="1">
        <v>45778</v>
      </c>
      <c r="K198" s="1">
        <f>DATE(YEAR(J198), MONTH(J198) +1, DAY(J198))</f>
        <v>45809</v>
      </c>
      <c r="M198">
        <v>10</v>
      </c>
      <c r="N198">
        <v>10</v>
      </c>
      <c r="O198" t="s">
        <v>34</v>
      </c>
      <c r="P198" t="s">
        <v>813</v>
      </c>
    </row>
    <row r="199" spans="1:22" x14ac:dyDescent="0.25">
      <c r="A199" t="s">
        <v>258</v>
      </c>
      <c r="B199" t="s">
        <v>259</v>
      </c>
      <c r="C199" t="str">
        <f>CONCATENATE(B199, " ",A199)</f>
        <v>DALE WALENGA</v>
      </c>
      <c r="D199">
        <v>8325282</v>
      </c>
      <c r="E199" t="s">
        <v>492</v>
      </c>
      <c r="F199" t="str">
        <f>CONCATENATE(2,E199)</f>
        <v>2IANG10205420570001IL016</v>
      </c>
      <c r="G199" t="s">
        <v>493</v>
      </c>
      <c r="H199" s="1">
        <v>45536</v>
      </c>
      <c r="I199" t="s">
        <v>51</v>
      </c>
      <c r="J199" s="1">
        <v>45778</v>
      </c>
      <c r="K199" s="1">
        <f>DATE(YEAR(J199), MONTH(J199) +1, DAY(J199))</f>
        <v>45809</v>
      </c>
      <c r="M199">
        <v>20</v>
      </c>
      <c r="N199">
        <v>20</v>
      </c>
      <c r="O199" t="s">
        <v>52</v>
      </c>
      <c r="P199" t="s">
        <v>812</v>
      </c>
    </row>
    <row r="200" spans="1:22" x14ac:dyDescent="0.25">
      <c r="A200" s="3" t="s">
        <v>280</v>
      </c>
      <c r="B200" s="3" t="s">
        <v>281</v>
      </c>
      <c r="C200" s="3" t="str">
        <f>CONCATENATE(B200, " ",A200)</f>
        <v>Barry Brenner</v>
      </c>
      <c r="D200" s="3">
        <v>21348299</v>
      </c>
      <c r="E200" s="3" t="s">
        <v>494</v>
      </c>
      <c r="F200" s="3" t="str">
        <f>CONCATENATE(2,E200)</f>
        <v>2IANG10216053440001IL016</v>
      </c>
      <c r="G200" s="3" t="s">
        <v>495</v>
      </c>
      <c r="H200" s="4">
        <v>45748</v>
      </c>
      <c r="I200" s="3" t="s">
        <v>51</v>
      </c>
      <c r="J200" s="4">
        <v>45778</v>
      </c>
      <c r="K200" s="1">
        <f>DATE(YEAR(J200), MONTH(J200) +1, DAY(J200))</f>
        <v>45809</v>
      </c>
      <c r="L200" s="3"/>
      <c r="M200" s="3">
        <v>20</v>
      </c>
      <c r="N200" s="3">
        <v>20</v>
      </c>
      <c r="O200" s="3" t="s">
        <v>67</v>
      </c>
      <c r="P200" s="3" t="s">
        <v>812</v>
      </c>
      <c r="Q200" s="3"/>
      <c r="R200" s="3"/>
      <c r="S200" s="3"/>
      <c r="T200" s="3"/>
      <c r="U200" s="3"/>
      <c r="V200" s="3"/>
    </row>
    <row r="201" spans="1:22" x14ac:dyDescent="0.25">
      <c r="A201" t="s">
        <v>496</v>
      </c>
      <c r="B201" t="s">
        <v>497</v>
      </c>
      <c r="C201" t="str">
        <f>CONCATENATE(B201, " ",A201)</f>
        <v>Colleen Finnigan</v>
      </c>
      <c r="D201">
        <v>17437820</v>
      </c>
      <c r="E201" t="s">
        <v>498</v>
      </c>
      <c r="F201" t="str">
        <f>CONCATENATE(2,E201)</f>
        <v>2IANG10190054720001NC016</v>
      </c>
      <c r="G201" t="s">
        <v>499</v>
      </c>
      <c r="H201" s="1">
        <v>45292</v>
      </c>
      <c r="I201" t="s">
        <v>322</v>
      </c>
      <c r="J201" s="1">
        <v>45778</v>
      </c>
      <c r="K201" s="1">
        <f>DATE(YEAR(J201), MONTH(J201) +1, DAY(J201))</f>
        <v>45809</v>
      </c>
      <c r="M201">
        <v>25</v>
      </c>
      <c r="N201">
        <v>25</v>
      </c>
      <c r="O201" t="s">
        <v>323</v>
      </c>
      <c r="P201" t="s">
        <v>814</v>
      </c>
    </row>
    <row r="202" spans="1:22" x14ac:dyDescent="0.25">
      <c r="A202" t="s">
        <v>496</v>
      </c>
      <c r="B202" t="s">
        <v>497</v>
      </c>
      <c r="C202" t="str">
        <f>CONCATENATE(B202, " ",A202)</f>
        <v>Colleen Finnigan</v>
      </c>
      <c r="D202">
        <v>17437820</v>
      </c>
      <c r="E202" t="s">
        <v>500</v>
      </c>
      <c r="F202" t="str">
        <f>CONCATENATE(2,E202)</f>
        <v>2IANG10190240260001NC016</v>
      </c>
      <c r="G202" t="s">
        <v>501</v>
      </c>
      <c r="H202" s="1">
        <v>45292</v>
      </c>
      <c r="I202" t="s">
        <v>322</v>
      </c>
      <c r="J202" s="1">
        <v>45778</v>
      </c>
      <c r="K202" s="1">
        <f>DATE(YEAR(J202), MONTH(J202) +1, DAY(J202))</f>
        <v>45809</v>
      </c>
      <c r="M202">
        <v>25</v>
      </c>
      <c r="N202">
        <v>25</v>
      </c>
      <c r="O202" t="s">
        <v>323</v>
      </c>
      <c r="P202" t="s">
        <v>814</v>
      </c>
    </row>
    <row r="203" spans="1:22" x14ac:dyDescent="0.25">
      <c r="A203" t="s">
        <v>57</v>
      </c>
      <c r="B203" t="s">
        <v>58</v>
      </c>
      <c r="C203" t="str">
        <f>CONCATENATE(B203, " ",A203)</f>
        <v>Ryan Caltagirone</v>
      </c>
      <c r="D203">
        <v>8977234</v>
      </c>
      <c r="E203" t="s">
        <v>502</v>
      </c>
      <c r="F203" t="str">
        <f>CONCATENATE(2,E203)</f>
        <v>2IANG10183966270001AZ018</v>
      </c>
      <c r="G203" t="s">
        <v>503</v>
      </c>
      <c r="H203" s="1">
        <v>45261</v>
      </c>
      <c r="I203" t="s">
        <v>135</v>
      </c>
      <c r="J203" s="1">
        <v>45778</v>
      </c>
      <c r="K203" s="1">
        <f>DATE(YEAR(J203), MONTH(J203) +1, DAY(J203))</f>
        <v>45809</v>
      </c>
      <c r="M203">
        <v>20</v>
      </c>
      <c r="N203">
        <v>20</v>
      </c>
      <c r="O203" t="s">
        <v>136</v>
      </c>
      <c r="P203" t="s">
        <v>812</v>
      </c>
    </row>
    <row r="204" spans="1:22" x14ac:dyDescent="0.25">
      <c r="A204" t="s">
        <v>258</v>
      </c>
      <c r="B204" t="s">
        <v>259</v>
      </c>
      <c r="C204" t="str">
        <f>CONCATENATE(B204, " ",A204)</f>
        <v>DALE WALENGA</v>
      </c>
      <c r="D204">
        <v>8325282</v>
      </c>
      <c r="E204" t="s">
        <v>504</v>
      </c>
      <c r="F204" t="str">
        <f>CONCATENATE(2,E204)</f>
        <v>2IANG10215476690001IL016</v>
      </c>
      <c r="G204" t="s">
        <v>505</v>
      </c>
      <c r="H204" s="1">
        <v>45717</v>
      </c>
      <c r="I204" t="s">
        <v>51</v>
      </c>
      <c r="J204" s="1">
        <v>45778</v>
      </c>
      <c r="K204" s="1">
        <f>DATE(YEAR(J204), MONTH(J204) +1, DAY(J204))</f>
        <v>45809</v>
      </c>
      <c r="M204">
        <v>20</v>
      </c>
      <c r="N204">
        <v>20</v>
      </c>
      <c r="O204" t="s">
        <v>67</v>
      </c>
      <c r="P204" t="s">
        <v>812</v>
      </c>
    </row>
    <row r="205" spans="1:22" x14ac:dyDescent="0.25">
      <c r="A205" t="s">
        <v>105</v>
      </c>
      <c r="B205" t="s">
        <v>106</v>
      </c>
      <c r="C205" t="str">
        <f>CONCATENATE(B205, " ",A205)</f>
        <v>ANTHONY HUNSBERGER</v>
      </c>
      <c r="D205">
        <v>7146581</v>
      </c>
      <c r="E205" t="s">
        <v>506</v>
      </c>
      <c r="F205" t="str">
        <f>CONCATENATE(2,E205)</f>
        <v>2IANG10208613870001IL016</v>
      </c>
      <c r="G205" t="s">
        <v>507</v>
      </c>
      <c r="H205" s="1">
        <v>45658</v>
      </c>
      <c r="I205" t="s">
        <v>51</v>
      </c>
      <c r="J205" s="1">
        <v>45778</v>
      </c>
      <c r="K205" s="1">
        <f>DATE(YEAR(J205), MONTH(J205) +1, DAY(J205))</f>
        <v>45809</v>
      </c>
      <c r="M205">
        <v>20</v>
      </c>
      <c r="N205">
        <v>20</v>
      </c>
      <c r="O205" t="s">
        <v>67</v>
      </c>
      <c r="P205" t="s">
        <v>812</v>
      </c>
    </row>
    <row r="206" spans="1:22" x14ac:dyDescent="0.25">
      <c r="A206" s="3" t="s">
        <v>508</v>
      </c>
      <c r="B206" s="3" t="s">
        <v>509</v>
      </c>
      <c r="C206" s="3" t="str">
        <f>CONCATENATE(B206, " ",A206)</f>
        <v>Odmaa Enkhtur</v>
      </c>
      <c r="D206" s="3">
        <v>20999157</v>
      </c>
      <c r="E206" s="3" t="s">
        <v>510</v>
      </c>
      <c r="F206" s="3" t="str">
        <f>CONCATENATE(2,E206)</f>
        <v>2IANG10199644280001IL016</v>
      </c>
      <c r="G206" s="3" t="s">
        <v>511</v>
      </c>
      <c r="H206" s="4">
        <v>45413</v>
      </c>
      <c r="I206" s="3" t="s">
        <v>51</v>
      </c>
      <c r="J206" s="4">
        <v>45778</v>
      </c>
      <c r="K206" s="1">
        <f>DATE(YEAR(J206), MONTH(J206) +1, DAY(J206))</f>
        <v>45809</v>
      </c>
      <c r="L206" s="3"/>
      <c r="M206" s="3">
        <v>20</v>
      </c>
      <c r="N206" s="3">
        <v>20</v>
      </c>
      <c r="O206" s="3" t="s">
        <v>52</v>
      </c>
      <c r="P206" s="3" t="s">
        <v>812</v>
      </c>
      <c r="Q206" s="3"/>
      <c r="R206" s="3"/>
      <c r="S206" s="3"/>
      <c r="T206" s="3"/>
      <c r="U206" s="3"/>
      <c r="V206" s="3"/>
    </row>
    <row r="207" spans="1:22" x14ac:dyDescent="0.25">
      <c r="A207" t="s">
        <v>35</v>
      </c>
      <c r="B207" t="s">
        <v>36</v>
      </c>
      <c r="C207" t="str">
        <f>CONCATENATE(B207, " ",A207)</f>
        <v>Adam Richter</v>
      </c>
      <c r="D207">
        <v>9079571</v>
      </c>
      <c r="E207" t="s">
        <v>512</v>
      </c>
      <c r="F207" t="str">
        <f>CONCATENATE(2,E207)</f>
        <v>2IANG10208707490002MD016</v>
      </c>
      <c r="G207" t="s">
        <v>513</v>
      </c>
      <c r="H207" s="1">
        <v>45597</v>
      </c>
      <c r="I207" t="s">
        <v>33</v>
      </c>
      <c r="J207" s="1">
        <v>45778</v>
      </c>
      <c r="K207" s="1">
        <f>DATE(YEAR(J207), MONTH(J207) +1, DAY(J207))</f>
        <v>45809</v>
      </c>
      <c r="M207">
        <v>10</v>
      </c>
      <c r="N207">
        <v>10</v>
      </c>
      <c r="O207" t="s">
        <v>34</v>
      </c>
      <c r="P207" t="s">
        <v>813</v>
      </c>
    </row>
    <row r="208" spans="1:22" x14ac:dyDescent="0.25">
      <c r="A208" s="3" t="s">
        <v>514</v>
      </c>
      <c r="B208" s="3" t="s">
        <v>515</v>
      </c>
      <c r="C208" s="3" t="str">
        <f>CONCATENATE(B208, " ",A208)</f>
        <v>Jake Shulman</v>
      </c>
      <c r="D208" s="3">
        <v>18201929</v>
      </c>
      <c r="E208" s="3" t="s">
        <v>516</v>
      </c>
      <c r="F208" s="3" t="str">
        <f>CONCATENATE(2,E208)</f>
        <v>2IANG10216087070001IL016</v>
      </c>
      <c r="G208" s="3" t="s">
        <v>517</v>
      </c>
      <c r="H208" s="4">
        <v>45748</v>
      </c>
      <c r="I208" s="3" t="s">
        <v>51</v>
      </c>
      <c r="J208" s="4">
        <v>45778</v>
      </c>
      <c r="K208" s="1">
        <f>DATE(YEAR(J208), MONTH(J208) +1, DAY(J208))</f>
        <v>45809</v>
      </c>
      <c r="L208" s="3"/>
      <c r="M208" s="3">
        <v>20</v>
      </c>
      <c r="N208" s="3">
        <v>20</v>
      </c>
      <c r="O208" s="3" t="s">
        <v>67</v>
      </c>
      <c r="P208" s="3" t="s">
        <v>812</v>
      </c>
      <c r="Q208" s="3"/>
      <c r="R208" s="3"/>
      <c r="S208" s="3"/>
      <c r="T208" s="3"/>
      <c r="U208" s="3"/>
      <c r="V208" s="3"/>
    </row>
    <row r="209" spans="1:22" s="3" customFormat="1" x14ac:dyDescent="0.25">
      <c r="A209" t="s">
        <v>101</v>
      </c>
      <c r="B209" t="s">
        <v>102</v>
      </c>
      <c r="C209" t="str">
        <f>CONCATENATE(B209, " ",A209)</f>
        <v>Gregory Teipel</v>
      </c>
      <c r="D209">
        <v>8307933</v>
      </c>
      <c r="E209" t="s">
        <v>518</v>
      </c>
      <c r="F209" t="str">
        <f>CONCATENATE(2,E209)</f>
        <v>2IANG10165673930001NC016</v>
      </c>
      <c r="G209" t="s">
        <v>519</v>
      </c>
      <c r="H209" s="1">
        <v>44927</v>
      </c>
      <c r="I209" t="s">
        <v>322</v>
      </c>
      <c r="J209" s="1">
        <v>45778</v>
      </c>
      <c r="K209" s="1">
        <f>DATE(YEAR(J209), MONTH(J209) +1, DAY(J209))</f>
        <v>45809</v>
      </c>
      <c r="L209" t="s">
        <v>810</v>
      </c>
      <c r="M209">
        <v>100</v>
      </c>
      <c r="N209">
        <v>100</v>
      </c>
      <c r="O209" t="s">
        <v>323</v>
      </c>
      <c r="P209" t="s">
        <v>814</v>
      </c>
      <c r="Q209"/>
      <c r="R209"/>
      <c r="S209"/>
      <c r="T209"/>
      <c r="U209"/>
      <c r="V209"/>
    </row>
    <row r="210" spans="1:22" s="3" customFormat="1" x14ac:dyDescent="0.25">
      <c r="A210" t="s">
        <v>101</v>
      </c>
      <c r="B210" t="s">
        <v>102</v>
      </c>
      <c r="C210" t="str">
        <f>CONCATENATE(B210, " ",A210)</f>
        <v>Gregory Teipel</v>
      </c>
      <c r="D210">
        <v>8307933</v>
      </c>
      <c r="E210" t="s">
        <v>520</v>
      </c>
      <c r="F210" t="str">
        <f>CONCATENATE(2,E210)</f>
        <v>2IANG10179120920001FL016</v>
      </c>
      <c r="G210" t="s">
        <v>521</v>
      </c>
      <c r="H210" s="1">
        <v>45231</v>
      </c>
      <c r="I210" t="s">
        <v>25</v>
      </c>
      <c r="J210" s="1">
        <v>45778</v>
      </c>
      <c r="K210" s="1">
        <f>DATE(YEAR(J210), MONTH(J210) +1, DAY(J210))</f>
        <v>45809</v>
      </c>
      <c r="L210" t="s">
        <v>808</v>
      </c>
      <c r="M210">
        <v>40</v>
      </c>
      <c r="N210">
        <v>40</v>
      </c>
      <c r="O210" t="s">
        <v>26</v>
      </c>
      <c r="P210" t="s">
        <v>812</v>
      </c>
      <c r="Q210"/>
      <c r="R210"/>
      <c r="S210"/>
      <c r="T210"/>
      <c r="U210"/>
      <c r="V210"/>
    </row>
    <row r="211" spans="1:22" s="5" customFormat="1" x14ac:dyDescent="0.25">
      <c r="A211" s="5" t="s">
        <v>418</v>
      </c>
      <c r="B211" s="5" t="s">
        <v>419</v>
      </c>
      <c r="C211" s="5" t="str">
        <f>CONCATENATE(B211, " ",A211)</f>
        <v>Jason Hoffmann</v>
      </c>
      <c r="D211" s="5">
        <v>15278437</v>
      </c>
      <c r="E211" s="5" t="s">
        <v>522</v>
      </c>
      <c r="F211" s="5" t="str">
        <f>CONCATENATE(2,E211)</f>
        <v>2IANG10203896900001IL016</v>
      </c>
      <c r="G211" s="5" t="s">
        <v>523</v>
      </c>
      <c r="H211" s="6">
        <v>45505</v>
      </c>
      <c r="I211" s="5" t="s">
        <v>51</v>
      </c>
      <c r="J211" s="6">
        <v>45778</v>
      </c>
      <c r="K211" s="6">
        <f>DATE(YEAR(J211), MONTH(J211) +1, DAY(J211))</f>
        <v>45809</v>
      </c>
      <c r="L211" s="5" t="s">
        <v>808</v>
      </c>
      <c r="M211" s="5">
        <v>40</v>
      </c>
      <c r="N211" s="5">
        <v>40</v>
      </c>
      <c r="O211" s="5" t="s">
        <v>52</v>
      </c>
      <c r="P211" s="5" t="s">
        <v>812</v>
      </c>
    </row>
    <row r="212" spans="1:22" s="3" customFormat="1" x14ac:dyDescent="0.25">
      <c r="A212" t="s">
        <v>63</v>
      </c>
      <c r="B212" t="s">
        <v>64</v>
      </c>
      <c r="C212" t="str">
        <f>CONCATENATE(B212, " ",A212)</f>
        <v>Melissa Tatro</v>
      </c>
      <c r="D212">
        <v>14177521</v>
      </c>
      <c r="E212" t="s">
        <v>524</v>
      </c>
      <c r="F212" t="str">
        <f>CONCATENATE(2,E212)</f>
        <v>2IANG10211485270001IL016</v>
      </c>
      <c r="G212" t="s">
        <v>525</v>
      </c>
      <c r="H212" s="1">
        <v>45658</v>
      </c>
      <c r="I212" t="s">
        <v>51</v>
      </c>
      <c r="J212" s="1">
        <v>45778</v>
      </c>
      <c r="K212" s="1">
        <f>DATE(YEAR(J212), MONTH(J212) +1, DAY(J212))</f>
        <v>45809</v>
      </c>
      <c r="L212"/>
      <c r="M212">
        <v>20</v>
      </c>
      <c r="N212">
        <v>20</v>
      </c>
      <c r="O212" t="s">
        <v>67</v>
      </c>
      <c r="P212" t="s">
        <v>812</v>
      </c>
      <c r="Q212"/>
      <c r="R212"/>
      <c r="S212"/>
      <c r="T212"/>
      <c r="U212"/>
      <c r="V212"/>
    </row>
    <row r="213" spans="1:22" s="3" customFormat="1" x14ac:dyDescent="0.25">
      <c r="A213" t="s">
        <v>101</v>
      </c>
      <c r="B213" t="s">
        <v>102</v>
      </c>
      <c r="C213" t="str">
        <f>CONCATENATE(B213, " ",A213)</f>
        <v>Gregory Teipel</v>
      </c>
      <c r="D213">
        <v>8307933</v>
      </c>
      <c r="E213" t="s">
        <v>526</v>
      </c>
      <c r="F213" t="str">
        <f>CONCATENATE(2,E213)</f>
        <v>2IANG10185878420001TX016</v>
      </c>
      <c r="G213" t="s">
        <v>527</v>
      </c>
      <c r="H213" s="1">
        <v>45292</v>
      </c>
      <c r="I213" t="s">
        <v>43</v>
      </c>
      <c r="J213" s="1">
        <v>45778</v>
      </c>
      <c r="K213" s="1">
        <f>DATE(YEAR(J213), MONTH(J213) +1, DAY(J213))</f>
        <v>45809</v>
      </c>
      <c r="L213" t="s">
        <v>808</v>
      </c>
      <c r="M213">
        <v>50</v>
      </c>
      <c r="N213">
        <v>50</v>
      </c>
      <c r="O213" t="s">
        <v>241</v>
      </c>
      <c r="P213" t="s">
        <v>814</v>
      </c>
      <c r="Q213"/>
      <c r="R213"/>
      <c r="S213"/>
      <c r="T213"/>
      <c r="U213"/>
      <c r="V213"/>
    </row>
    <row r="214" spans="1:22" x14ac:dyDescent="0.25">
      <c r="A214" t="s">
        <v>70</v>
      </c>
      <c r="B214" t="s">
        <v>71</v>
      </c>
      <c r="C214" t="str">
        <f>CONCATENATE(B214, " ",A214)</f>
        <v>RICHARD YALE</v>
      </c>
      <c r="D214">
        <v>16633294</v>
      </c>
      <c r="E214" t="s">
        <v>528</v>
      </c>
      <c r="F214" t="str">
        <f>CONCATENATE(2,E214)</f>
        <v>2IANG10205135450001IL016</v>
      </c>
      <c r="G214" t="s">
        <v>529</v>
      </c>
      <c r="H214" s="1">
        <v>45536</v>
      </c>
      <c r="I214" t="s">
        <v>51</v>
      </c>
      <c r="J214" s="1">
        <v>45778</v>
      </c>
      <c r="K214" s="1">
        <f>DATE(YEAR(J214), MONTH(J214) +1, DAY(J214))</f>
        <v>45809</v>
      </c>
      <c r="L214" t="s">
        <v>808</v>
      </c>
      <c r="M214">
        <v>40</v>
      </c>
      <c r="N214">
        <v>40</v>
      </c>
      <c r="O214" t="s">
        <v>52</v>
      </c>
      <c r="P214" t="s">
        <v>812</v>
      </c>
    </row>
    <row r="215" spans="1:22" x14ac:dyDescent="0.25">
      <c r="A215" t="s">
        <v>101</v>
      </c>
      <c r="B215" t="s">
        <v>102</v>
      </c>
      <c r="C215" t="str">
        <f>CONCATENATE(B215, " ",A215)</f>
        <v>Gregory Teipel</v>
      </c>
      <c r="D215">
        <v>8307933</v>
      </c>
      <c r="E215" t="s">
        <v>530</v>
      </c>
      <c r="F215" t="str">
        <f>CONCATENATE(2,E215)</f>
        <v>2IANG10191109090001KS016</v>
      </c>
      <c r="G215" t="s">
        <v>531</v>
      </c>
      <c r="H215" s="1">
        <v>45292</v>
      </c>
      <c r="I215" t="s">
        <v>532</v>
      </c>
      <c r="J215" s="1">
        <v>45778</v>
      </c>
      <c r="K215" s="1">
        <f>DATE(YEAR(J215), MONTH(J215) +1, DAY(J215))</f>
        <v>45809</v>
      </c>
      <c r="L215" t="s">
        <v>808</v>
      </c>
      <c r="M215">
        <v>40</v>
      </c>
      <c r="N215">
        <v>40</v>
      </c>
      <c r="O215" t="s">
        <v>533</v>
      </c>
      <c r="P215" t="s">
        <v>812</v>
      </c>
    </row>
    <row r="216" spans="1:22" x14ac:dyDescent="0.25">
      <c r="A216" t="s">
        <v>418</v>
      </c>
      <c r="B216" t="s">
        <v>419</v>
      </c>
      <c r="C216" t="str">
        <f>CONCATENATE(B216, " ",A216)</f>
        <v>Jason Hoffmann</v>
      </c>
      <c r="D216">
        <v>15278437</v>
      </c>
      <c r="E216" t="s">
        <v>534</v>
      </c>
      <c r="F216" t="str">
        <f>CONCATENATE(2,E216)</f>
        <v>2IANG10205664110002MD016</v>
      </c>
      <c r="G216" t="s">
        <v>535</v>
      </c>
      <c r="H216" s="1">
        <v>45566</v>
      </c>
      <c r="I216" t="s">
        <v>33</v>
      </c>
      <c r="J216" s="1">
        <v>45778</v>
      </c>
      <c r="K216" s="1">
        <f>DATE(YEAR(J216), MONTH(J216) +1, DAY(J216))</f>
        <v>45809</v>
      </c>
      <c r="L216" t="s">
        <v>808</v>
      </c>
      <c r="M216">
        <v>20</v>
      </c>
      <c r="N216">
        <v>20</v>
      </c>
      <c r="O216" t="s">
        <v>88</v>
      </c>
      <c r="P216" t="s">
        <v>813</v>
      </c>
    </row>
    <row r="217" spans="1:22" x14ac:dyDescent="0.25">
      <c r="A217" s="3" t="s">
        <v>168</v>
      </c>
      <c r="B217" s="3" t="s">
        <v>169</v>
      </c>
      <c r="C217" s="3" t="str">
        <f>CONCATENATE(B217, " ",A217)</f>
        <v>Kirk Tigue</v>
      </c>
      <c r="D217" s="3">
        <v>21421111</v>
      </c>
      <c r="E217" s="3" t="s">
        <v>536</v>
      </c>
      <c r="F217" s="3" t="str">
        <f>CONCATENATE(2,E217)</f>
        <v>2IANG10216796040001TX016</v>
      </c>
      <c r="G217" s="3" t="s">
        <v>537</v>
      </c>
      <c r="H217" s="4">
        <v>45778</v>
      </c>
      <c r="I217" s="3" t="s">
        <v>43</v>
      </c>
      <c r="J217" s="4">
        <v>45778</v>
      </c>
      <c r="K217" s="1">
        <f>DATE(YEAR(J217), MONTH(J217) +1, DAY(J217))</f>
        <v>45809</v>
      </c>
      <c r="L217" s="3"/>
      <c r="M217" s="3">
        <v>25</v>
      </c>
      <c r="N217" s="3">
        <v>25</v>
      </c>
      <c r="O217" s="3" t="s">
        <v>44</v>
      </c>
      <c r="P217" s="3" t="s">
        <v>814</v>
      </c>
      <c r="Q217" s="3"/>
      <c r="R217" s="3"/>
      <c r="S217" s="3"/>
      <c r="T217" s="3"/>
      <c r="U217" s="3"/>
      <c r="V217" s="3"/>
    </row>
    <row r="218" spans="1:22" x14ac:dyDescent="0.25">
      <c r="A218" t="s">
        <v>105</v>
      </c>
      <c r="B218" t="s">
        <v>106</v>
      </c>
      <c r="C218" t="str">
        <f>CONCATENATE(B218, " ",A218)</f>
        <v>ANTHONY HUNSBERGER</v>
      </c>
      <c r="D218">
        <v>7146581</v>
      </c>
      <c r="E218" t="s">
        <v>538</v>
      </c>
      <c r="F218" t="str">
        <f>CONCATENATE(2,E218)</f>
        <v>2IANG10203907610001FL016</v>
      </c>
      <c r="G218" t="s">
        <v>539</v>
      </c>
      <c r="H218" s="1">
        <v>45505</v>
      </c>
      <c r="I218" t="s">
        <v>25</v>
      </c>
      <c r="J218" s="1">
        <v>45778</v>
      </c>
      <c r="K218" s="1">
        <f>DATE(YEAR(J218), MONTH(J218) +1, DAY(J218))</f>
        <v>45809</v>
      </c>
      <c r="M218">
        <v>-20</v>
      </c>
      <c r="N218">
        <v>-20</v>
      </c>
      <c r="O218" t="s">
        <v>26</v>
      </c>
      <c r="P218" t="s">
        <v>812</v>
      </c>
    </row>
    <row r="219" spans="1:22" x14ac:dyDescent="0.25">
      <c r="A219" t="s">
        <v>35</v>
      </c>
      <c r="B219" t="s">
        <v>36</v>
      </c>
      <c r="C219" t="str">
        <f>CONCATENATE(B219, " ",A219)</f>
        <v>Adam Richter</v>
      </c>
      <c r="D219">
        <v>9079571</v>
      </c>
      <c r="E219" t="s">
        <v>540</v>
      </c>
      <c r="F219" t="str">
        <f>CONCATENATE(2,E219)</f>
        <v>2IANG10212719450002MD016</v>
      </c>
      <c r="G219" t="s">
        <v>541</v>
      </c>
      <c r="H219" s="1">
        <v>45658</v>
      </c>
      <c r="I219" t="s">
        <v>33</v>
      </c>
      <c r="J219" s="1">
        <v>45778</v>
      </c>
      <c r="K219" s="1">
        <f>DATE(YEAR(J219), MONTH(J219) +1, DAY(J219))</f>
        <v>45809</v>
      </c>
      <c r="M219">
        <v>10</v>
      </c>
      <c r="N219">
        <v>10</v>
      </c>
      <c r="O219" t="s">
        <v>88</v>
      </c>
      <c r="P219" t="s">
        <v>813</v>
      </c>
    </row>
    <row r="220" spans="1:22" x14ac:dyDescent="0.25">
      <c r="A220" t="s">
        <v>35</v>
      </c>
      <c r="B220" t="s">
        <v>36</v>
      </c>
      <c r="C220" t="str">
        <f>CONCATENATE(B220, " ",A220)</f>
        <v>Adam Richter</v>
      </c>
      <c r="D220">
        <v>9079571</v>
      </c>
      <c r="E220" t="s">
        <v>542</v>
      </c>
      <c r="F220" t="str">
        <f>CONCATENATE(2,E220)</f>
        <v>2IANG10191498360002MD016</v>
      </c>
      <c r="G220" t="s">
        <v>543</v>
      </c>
      <c r="H220" s="1">
        <v>45292</v>
      </c>
      <c r="I220" t="s">
        <v>33</v>
      </c>
      <c r="J220" s="1">
        <v>45778</v>
      </c>
      <c r="K220" s="1">
        <f>DATE(YEAR(J220), MONTH(J220) +1, DAY(J220))</f>
        <v>45809</v>
      </c>
      <c r="M220">
        <v>10</v>
      </c>
      <c r="N220">
        <v>10</v>
      </c>
      <c r="O220" t="s">
        <v>34</v>
      </c>
      <c r="P220" t="s">
        <v>813</v>
      </c>
    </row>
    <row r="221" spans="1:22" s="3" customFormat="1" x14ac:dyDescent="0.25">
      <c r="A221" t="s">
        <v>101</v>
      </c>
      <c r="B221" t="s">
        <v>102</v>
      </c>
      <c r="C221" t="str">
        <f>CONCATENATE(B221, " ",A221)</f>
        <v>Gregory Teipel</v>
      </c>
      <c r="D221">
        <v>8307933</v>
      </c>
      <c r="E221" t="s">
        <v>544</v>
      </c>
      <c r="F221" t="str">
        <f>CONCATENATE(2,E221)</f>
        <v>2IANG10192669330001IL016</v>
      </c>
      <c r="G221" t="s">
        <v>545</v>
      </c>
      <c r="H221" s="1">
        <v>45323</v>
      </c>
      <c r="I221" t="s">
        <v>51</v>
      </c>
      <c r="J221" s="1">
        <v>45778</v>
      </c>
      <c r="K221" s="1">
        <f>DATE(YEAR(J221), MONTH(J221) +1, DAY(J221))</f>
        <v>45809</v>
      </c>
      <c r="L221" t="s">
        <v>808</v>
      </c>
      <c r="M221">
        <v>40</v>
      </c>
      <c r="N221">
        <v>40</v>
      </c>
      <c r="O221" t="s">
        <v>67</v>
      </c>
      <c r="P221" t="s">
        <v>812</v>
      </c>
      <c r="Q221"/>
      <c r="R221"/>
      <c r="S221"/>
      <c r="T221"/>
      <c r="U221"/>
      <c r="V221"/>
    </row>
    <row r="222" spans="1:22" x14ac:dyDescent="0.25">
      <c r="A222" t="s">
        <v>229</v>
      </c>
      <c r="B222" t="s">
        <v>230</v>
      </c>
      <c r="C222" t="str">
        <f>CONCATENATE(B222, " ",A222)</f>
        <v>MICHAEL DUNAVANT</v>
      </c>
      <c r="D222">
        <v>18828278</v>
      </c>
      <c r="E222" t="s">
        <v>546</v>
      </c>
      <c r="F222" t="str">
        <f>CONCATENATE(2,E222)</f>
        <v>2IANG10214952470001IL016</v>
      </c>
      <c r="G222" t="s">
        <v>547</v>
      </c>
      <c r="H222" s="1">
        <v>45717</v>
      </c>
      <c r="I222" t="s">
        <v>51</v>
      </c>
      <c r="J222" s="1">
        <v>45778</v>
      </c>
      <c r="K222" s="1">
        <f>DATE(YEAR(J222), MONTH(J222) +1, DAY(J222))</f>
        <v>45809</v>
      </c>
      <c r="M222">
        <v>20</v>
      </c>
      <c r="N222">
        <v>20</v>
      </c>
      <c r="O222" t="s">
        <v>67</v>
      </c>
      <c r="P222" t="s">
        <v>812</v>
      </c>
    </row>
    <row r="223" spans="1:22" s="3" customFormat="1" x14ac:dyDescent="0.25">
      <c r="A223" t="s">
        <v>93</v>
      </c>
      <c r="B223" t="s">
        <v>94</v>
      </c>
      <c r="C223" t="str">
        <f>CONCATENATE(B223, " ",A223)</f>
        <v>Jacob Yale</v>
      </c>
      <c r="D223">
        <v>18754354</v>
      </c>
      <c r="E223" t="s">
        <v>548</v>
      </c>
      <c r="F223" t="str">
        <f>CONCATENATE(2,E223)</f>
        <v>2IANG10205229050001IL016</v>
      </c>
      <c r="G223" t="s">
        <v>549</v>
      </c>
      <c r="H223" s="1">
        <v>45566</v>
      </c>
      <c r="I223" t="s">
        <v>51</v>
      </c>
      <c r="J223" s="1">
        <v>45778</v>
      </c>
      <c r="K223" s="1">
        <f>DATE(YEAR(J223), MONTH(J223) +1, DAY(J223))</f>
        <v>45809</v>
      </c>
      <c r="L223"/>
      <c r="M223">
        <v>20</v>
      </c>
      <c r="N223">
        <v>20</v>
      </c>
      <c r="O223" t="s">
        <v>52</v>
      </c>
      <c r="P223" t="s">
        <v>812</v>
      </c>
      <c r="Q223"/>
      <c r="R223"/>
      <c r="S223"/>
      <c r="T223"/>
      <c r="U223"/>
      <c r="V223"/>
    </row>
    <row r="224" spans="1:22" s="3" customFormat="1" x14ac:dyDescent="0.25">
      <c r="A224" t="s">
        <v>101</v>
      </c>
      <c r="B224" t="s">
        <v>102</v>
      </c>
      <c r="C224" t="str">
        <f>CONCATENATE(B224, " ",A224)</f>
        <v>Gregory Teipel</v>
      </c>
      <c r="D224">
        <v>8307933</v>
      </c>
      <c r="E224" t="s">
        <v>550</v>
      </c>
      <c r="F224" t="str">
        <f>CONCATENATE(2,E224)</f>
        <v>2IANG10185292240001IL016</v>
      </c>
      <c r="G224" t="s">
        <v>551</v>
      </c>
      <c r="H224" s="1">
        <v>45292</v>
      </c>
      <c r="I224" t="s">
        <v>51</v>
      </c>
      <c r="J224" s="1">
        <v>45778</v>
      </c>
      <c r="K224" s="1">
        <f>DATE(YEAR(J224), MONTH(J224) +1, DAY(J224))</f>
        <v>45809</v>
      </c>
      <c r="L224" t="s">
        <v>808</v>
      </c>
      <c r="M224">
        <v>40</v>
      </c>
      <c r="N224">
        <v>40</v>
      </c>
      <c r="O224" t="s">
        <v>52</v>
      </c>
      <c r="P224" t="s">
        <v>812</v>
      </c>
      <c r="Q224"/>
      <c r="R224"/>
      <c r="S224"/>
      <c r="T224"/>
      <c r="U224"/>
      <c r="V224"/>
    </row>
    <row r="225" spans="1:22" s="3" customFormat="1" x14ac:dyDescent="0.25">
      <c r="A225" t="s">
        <v>57</v>
      </c>
      <c r="B225" t="s">
        <v>58</v>
      </c>
      <c r="C225" t="str">
        <f>CONCATENATE(B225, " ",A225)</f>
        <v>Ryan Caltagirone</v>
      </c>
      <c r="D225">
        <v>8977234</v>
      </c>
      <c r="E225" t="s">
        <v>552</v>
      </c>
      <c r="F225" t="str">
        <f>CONCATENATE(2,E225)</f>
        <v>2IANG10206040720001UT016</v>
      </c>
      <c r="G225" t="s">
        <v>553</v>
      </c>
      <c r="H225" s="1">
        <v>45566</v>
      </c>
      <c r="I225" t="s">
        <v>140</v>
      </c>
      <c r="J225" s="1">
        <v>45778</v>
      </c>
      <c r="K225" s="1">
        <f>DATE(YEAR(J225), MONTH(J225) +1, DAY(J225))</f>
        <v>45809</v>
      </c>
      <c r="L225"/>
      <c r="M225">
        <v>21</v>
      </c>
      <c r="N225">
        <v>21</v>
      </c>
      <c r="O225" t="s">
        <v>554</v>
      </c>
      <c r="P225" t="s">
        <v>815</v>
      </c>
      <c r="Q225"/>
      <c r="R225"/>
      <c r="S225"/>
      <c r="T225"/>
      <c r="U225"/>
      <c r="V225"/>
    </row>
    <row r="226" spans="1:22" x14ac:dyDescent="0.25">
      <c r="A226" t="s">
        <v>35</v>
      </c>
      <c r="B226" t="s">
        <v>36</v>
      </c>
      <c r="C226" t="str">
        <f>CONCATENATE(B226, " ",A226)</f>
        <v>Adam Richter</v>
      </c>
      <c r="D226">
        <v>9079571</v>
      </c>
      <c r="E226" t="s">
        <v>555</v>
      </c>
      <c r="F226" t="str">
        <f>CONCATENATE(2,E226)</f>
        <v>2IANG10213682950002MD016</v>
      </c>
      <c r="G226" t="s">
        <v>556</v>
      </c>
      <c r="H226" s="1">
        <v>45658</v>
      </c>
      <c r="I226" t="s">
        <v>33</v>
      </c>
      <c r="J226" s="1">
        <v>45778</v>
      </c>
      <c r="K226" s="1">
        <f>DATE(YEAR(J226), MONTH(J226) +1, DAY(J226))</f>
        <v>45809</v>
      </c>
      <c r="L226" t="s">
        <v>810</v>
      </c>
      <c r="M226">
        <v>40</v>
      </c>
      <c r="N226">
        <v>40</v>
      </c>
      <c r="O226" t="s">
        <v>88</v>
      </c>
      <c r="P226" t="s">
        <v>813</v>
      </c>
    </row>
    <row r="227" spans="1:22" x14ac:dyDescent="0.25">
      <c r="A227" t="s">
        <v>63</v>
      </c>
      <c r="B227" t="s">
        <v>64</v>
      </c>
      <c r="C227" t="str">
        <f>CONCATENATE(B227, " ",A227)</f>
        <v>Melissa Tatro</v>
      </c>
      <c r="D227">
        <v>14177521</v>
      </c>
      <c r="E227" t="s">
        <v>557</v>
      </c>
      <c r="F227" t="str">
        <f>CONCATENATE(2,E227)</f>
        <v>2IANG10182226260001IL016</v>
      </c>
      <c r="G227" t="s">
        <v>558</v>
      </c>
      <c r="H227" s="1">
        <v>45292</v>
      </c>
      <c r="I227" t="s">
        <v>51</v>
      </c>
      <c r="J227" s="1">
        <v>45778</v>
      </c>
      <c r="K227" s="1">
        <f>DATE(YEAR(J227), MONTH(J227) +1, DAY(J227))</f>
        <v>45809</v>
      </c>
      <c r="M227">
        <v>20</v>
      </c>
      <c r="N227">
        <v>20</v>
      </c>
      <c r="O227" t="s">
        <v>52</v>
      </c>
      <c r="P227" t="s">
        <v>812</v>
      </c>
    </row>
    <row r="228" spans="1:22" x14ac:dyDescent="0.25">
      <c r="A228" t="s">
        <v>35</v>
      </c>
      <c r="B228" t="s">
        <v>36</v>
      </c>
      <c r="C228" t="str">
        <f>CONCATENATE(B228, " ",A228)</f>
        <v>Adam Richter</v>
      </c>
      <c r="D228">
        <v>9079571</v>
      </c>
      <c r="E228" t="s">
        <v>559</v>
      </c>
      <c r="F228" t="str">
        <f>CONCATENATE(2,E228)</f>
        <v>2IANG10217094040002MD016</v>
      </c>
      <c r="G228" t="s">
        <v>560</v>
      </c>
      <c r="H228" s="1">
        <v>45778</v>
      </c>
      <c r="I228" t="s">
        <v>33</v>
      </c>
      <c r="J228" s="1">
        <v>45778</v>
      </c>
      <c r="K228" s="1">
        <f>DATE(YEAR(J228), MONTH(J228) +1, DAY(J228))</f>
        <v>45809</v>
      </c>
      <c r="L228" t="s">
        <v>809</v>
      </c>
      <c r="M228">
        <v>30</v>
      </c>
      <c r="N228">
        <v>30</v>
      </c>
      <c r="O228" t="s">
        <v>88</v>
      </c>
      <c r="P228" t="s">
        <v>813</v>
      </c>
    </row>
    <row r="229" spans="1:22" x14ac:dyDescent="0.25">
      <c r="A229" t="s">
        <v>35</v>
      </c>
      <c r="B229" t="s">
        <v>36</v>
      </c>
      <c r="C229" t="str">
        <f>CONCATENATE(B229, " ",A229)</f>
        <v>Adam Richter</v>
      </c>
      <c r="D229">
        <v>9079571</v>
      </c>
      <c r="E229" t="s">
        <v>561</v>
      </c>
      <c r="F229" t="str">
        <f>CONCATENATE(2,E229)</f>
        <v>2IANG10192969020002MD016</v>
      </c>
      <c r="G229" t="s">
        <v>562</v>
      </c>
      <c r="H229" s="1">
        <v>45323</v>
      </c>
      <c r="I229" t="s">
        <v>33</v>
      </c>
      <c r="J229" s="1">
        <v>45778</v>
      </c>
      <c r="K229" s="1">
        <f>DATE(YEAR(J229), MONTH(J229) +1, DAY(J229))</f>
        <v>45809</v>
      </c>
      <c r="L229" t="s">
        <v>808</v>
      </c>
      <c r="M229">
        <v>20</v>
      </c>
      <c r="N229">
        <v>20</v>
      </c>
      <c r="O229" t="s">
        <v>34</v>
      </c>
      <c r="P229" t="s">
        <v>813</v>
      </c>
    </row>
    <row r="230" spans="1:22" x14ac:dyDescent="0.25">
      <c r="A230" t="s">
        <v>63</v>
      </c>
      <c r="B230" t="s">
        <v>64</v>
      </c>
      <c r="C230" t="str">
        <f>CONCATENATE(B230, " ",A230)</f>
        <v>Melissa Tatro</v>
      </c>
      <c r="D230">
        <v>14177521</v>
      </c>
      <c r="E230" t="s">
        <v>563</v>
      </c>
      <c r="F230" t="str">
        <f>CONCATENATE(2,E230)</f>
        <v>2IANG10187095490001IL016</v>
      </c>
      <c r="G230" t="s">
        <v>564</v>
      </c>
      <c r="H230" s="1">
        <v>45292</v>
      </c>
      <c r="I230" t="s">
        <v>51</v>
      </c>
      <c r="J230" s="1">
        <v>45778</v>
      </c>
      <c r="K230" s="1">
        <f>DATE(YEAR(J230), MONTH(J230) +1, DAY(J230))</f>
        <v>45809</v>
      </c>
      <c r="M230">
        <v>20</v>
      </c>
      <c r="N230">
        <v>20</v>
      </c>
      <c r="O230" t="s">
        <v>52</v>
      </c>
      <c r="P230" t="s">
        <v>812</v>
      </c>
    </row>
    <row r="231" spans="1:22" x14ac:dyDescent="0.25">
      <c r="A231" t="s">
        <v>290</v>
      </c>
      <c r="B231" t="s">
        <v>291</v>
      </c>
      <c r="C231" t="str">
        <f>CONCATENATE(B231, " ",A231)</f>
        <v>Brian Strohman</v>
      </c>
      <c r="D231">
        <v>21104854</v>
      </c>
      <c r="E231" t="s">
        <v>565</v>
      </c>
      <c r="F231" t="str">
        <f>CONCATENATE(2,E231)</f>
        <v>2IANG10213151170001IL016</v>
      </c>
      <c r="G231" t="s">
        <v>566</v>
      </c>
      <c r="H231" s="1">
        <v>45658</v>
      </c>
      <c r="I231" t="s">
        <v>51</v>
      </c>
      <c r="J231" s="1">
        <v>45778</v>
      </c>
      <c r="K231" s="1">
        <f>DATE(YEAR(J231), MONTH(J231) +1, DAY(J231))</f>
        <v>45809</v>
      </c>
      <c r="L231" t="s">
        <v>809</v>
      </c>
      <c r="M231">
        <v>60</v>
      </c>
      <c r="N231">
        <v>60</v>
      </c>
      <c r="O231" t="s">
        <v>67</v>
      </c>
      <c r="P231" t="s">
        <v>812</v>
      </c>
    </row>
    <row r="232" spans="1:22" x14ac:dyDescent="0.25">
      <c r="A232" t="s">
        <v>70</v>
      </c>
      <c r="B232" t="s">
        <v>71</v>
      </c>
      <c r="C232" t="str">
        <f>CONCATENATE(B232, " ",A232)</f>
        <v>RICHARD YALE</v>
      </c>
      <c r="D232">
        <v>16633294</v>
      </c>
      <c r="E232" t="s">
        <v>567</v>
      </c>
      <c r="F232" t="str">
        <f>CONCATENATE(2,E232)</f>
        <v>2IANG10159284080001IL016</v>
      </c>
      <c r="G232" t="s">
        <v>568</v>
      </c>
      <c r="H232" s="1">
        <v>44927</v>
      </c>
      <c r="I232" t="s">
        <v>51</v>
      </c>
      <c r="J232" s="1">
        <v>45778</v>
      </c>
      <c r="K232" s="1">
        <f>DATE(YEAR(J232), MONTH(J232) +1, DAY(J232))</f>
        <v>45809</v>
      </c>
      <c r="M232">
        <v>20</v>
      </c>
      <c r="N232">
        <v>20</v>
      </c>
      <c r="O232" t="s">
        <v>52</v>
      </c>
      <c r="P232" t="s">
        <v>812</v>
      </c>
    </row>
    <row r="233" spans="1:22" x14ac:dyDescent="0.25">
      <c r="A233" t="s">
        <v>113</v>
      </c>
      <c r="B233" t="s">
        <v>114</v>
      </c>
      <c r="C233" t="str">
        <f>CONCATENATE(B233, " ",A233)</f>
        <v>Stacey Portugal</v>
      </c>
      <c r="D233">
        <v>19645587</v>
      </c>
      <c r="E233" t="s">
        <v>569</v>
      </c>
      <c r="F233" t="str">
        <f>CONCATENATE(2,E233)</f>
        <v>2IANG10210489780001IL016</v>
      </c>
      <c r="G233" t="s">
        <v>570</v>
      </c>
      <c r="H233" s="1">
        <v>45658</v>
      </c>
      <c r="I233" t="s">
        <v>51</v>
      </c>
      <c r="J233" s="1">
        <v>45778</v>
      </c>
      <c r="K233" s="1">
        <f>DATE(YEAR(J233), MONTH(J233) +1, DAY(J233))</f>
        <v>45809</v>
      </c>
      <c r="M233">
        <v>20</v>
      </c>
      <c r="N233">
        <v>20</v>
      </c>
      <c r="O233" t="s">
        <v>67</v>
      </c>
      <c r="P233" t="s">
        <v>812</v>
      </c>
    </row>
    <row r="234" spans="1:22" x14ac:dyDescent="0.25">
      <c r="A234" t="s">
        <v>35</v>
      </c>
      <c r="B234" t="s">
        <v>36</v>
      </c>
      <c r="C234" t="str">
        <f>CONCATENATE(B234, " ",A234)</f>
        <v>Adam Richter</v>
      </c>
      <c r="D234">
        <v>9079571</v>
      </c>
      <c r="E234" t="s">
        <v>571</v>
      </c>
      <c r="F234" t="str">
        <f>CONCATENATE(2,E234)</f>
        <v>2IANG10161438690001FL016</v>
      </c>
      <c r="G234" t="s">
        <v>572</v>
      </c>
      <c r="H234" s="1">
        <v>44927</v>
      </c>
      <c r="I234" t="s">
        <v>25</v>
      </c>
      <c r="J234" s="1">
        <v>45778</v>
      </c>
      <c r="K234" s="1">
        <f>DATE(YEAR(J234), MONTH(J234) +1, DAY(J234))</f>
        <v>45809</v>
      </c>
      <c r="M234">
        <v>20</v>
      </c>
      <c r="N234">
        <v>20</v>
      </c>
      <c r="O234" t="s">
        <v>26</v>
      </c>
      <c r="P234" t="s">
        <v>812</v>
      </c>
    </row>
    <row r="235" spans="1:22" x14ac:dyDescent="0.25">
      <c r="A235" t="s">
        <v>496</v>
      </c>
      <c r="B235" t="s">
        <v>497</v>
      </c>
      <c r="C235" t="str">
        <f>CONCATENATE(B235, " ",A235)</f>
        <v>Colleen Finnigan</v>
      </c>
      <c r="D235">
        <v>17437820</v>
      </c>
      <c r="E235" t="s">
        <v>573</v>
      </c>
      <c r="F235" t="str">
        <f>CONCATENATE(2,E235)</f>
        <v>2IANG10215490660001IL016</v>
      </c>
      <c r="G235" t="s">
        <v>574</v>
      </c>
      <c r="H235" s="1">
        <v>45717</v>
      </c>
      <c r="I235" t="s">
        <v>51</v>
      </c>
      <c r="J235" s="1">
        <v>45778</v>
      </c>
      <c r="K235" s="1">
        <f>DATE(YEAR(J235), MONTH(J235) +1, DAY(J235))</f>
        <v>45809</v>
      </c>
      <c r="M235">
        <v>20</v>
      </c>
      <c r="N235">
        <v>20</v>
      </c>
      <c r="O235" t="s">
        <v>67</v>
      </c>
      <c r="P235" t="s">
        <v>812</v>
      </c>
    </row>
    <row r="236" spans="1:22" x14ac:dyDescent="0.25">
      <c r="A236" t="s">
        <v>35</v>
      </c>
      <c r="B236" t="s">
        <v>36</v>
      </c>
      <c r="C236" t="str">
        <f>CONCATENATE(B236, " ",A236)</f>
        <v>Adam Richter</v>
      </c>
      <c r="D236">
        <v>9079571</v>
      </c>
      <c r="E236" t="s">
        <v>575</v>
      </c>
      <c r="F236" t="str">
        <f>CONCATENATE(2,E236)</f>
        <v>2IANG10201167770002MD016</v>
      </c>
      <c r="G236" t="s">
        <v>576</v>
      </c>
      <c r="H236" s="1">
        <v>45444</v>
      </c>
      <c r="I236" t="s">
        <v>33</v>
      </c>
      <c r="J236" s="1">
        <v>45748</v>
      </c>
      <c r="K236" s="1">
        <f>DATE(YEAR(J236), MONTH(J236) +1, DAY(J236))</f>
        <v>45778</v>
      </c>
      <c r="M236">
        <v>10</v>
      </c>
      <c r="N236">
        <v>10</v>
      </c>
      <c r="O236" t="s">
        <v>34</v>
      </c>
      <c r="P236" t="s">
        <v>813</v>
      </c>
    </row>
    <row r="237" spans="1:22" x14ac:dyDescent="0.25">
      <c r="A237" t="s">
        <v>35</v>
      </c>
      <c r="B237" t="s">
        <v>36</v>
      </c>
      <c r="C237" t="str">
        <f>CONCATENATE(B237, " ",A237)</f>
        <v>Adam Richter</v>
      </c>
      <c r="D237">
        <v>9079571</v>
      </c>
      <c r="E237" t="s">
        <v>575</v>
      </c>
      <c r="F237" t="str">
        <f>CONCATENATE(2,E237)</f>
        <v>2IANG10201167770002MD016</v>
      </c>
      <c r="G237" t="s">
        <v>576</v>
      </c>
      <c r="H237" s="1">
        <v>45444</v>
      </c>
      <c r="I237" t="s">
        <v>33</v>
      </c>
      <c r="J237" s="1">
        <v>45778</v>
      </c>
      <c r="K237" s="1">
        <f>DATE(YEAR(J237), MONTH(J237) +1, DAY(J237))</f>
        <v>45809</v>
      </c>
      <c r="M237">
        <v>10</v>
      </c>
      <c r="N237">
        <v>10</v>
      </c>
      <c r="O237" t="s">
        <v>34</v>
      </c>
      <c r="P237" t="s">
        <v>813</v>
      </c>
    </row>
    <row r="238" spans="1:22" x14ac:dyDescent="0.25">
      <c r="A238" t="s">
        <v>174</v>
      </c>
      <c r="B238" t="s">
        <v>175</v>
      </c>
      <c r="C238" t="str">
        <f>CONCATENATE(B238, " ",A238)</f>
        <v>FRANK LISKOVEC</v>
      </c>
      <c r="D238">
        <v>8814784</v>
      </c>
      <c r="E238" t="s">
        <v>577</v>
      </c>
      <c r="F238" t="str">
        <f>CONCATENATE(2,E238)</f>
        <v>2IANG10216883970001IL016</v>
      </c>
      <c r="G238" t="s">
        <v>578</v>
      </c>
      <c r="H238" s="1">
        <v>45809</v>
      </c>
      <c r="I238" t="s">
        <v>51</v>
      </c>
      <c r="J238" s="1">
        <v>45809</v>
      </c>
      <c r="K238" s="1">
        <f>DATE(YEAR(J238), MONTH(J238) +1, DAY(J238))</f>
        <v>45839</v>
      </c>
      <c r="L238" t="s">
        <v>810</v>
      </c>
      <c r="M238">
        <v>80</v>
      </c>
      <c r="N238">
        <v>80</v>
      </c>
      <c r="O238" t="s">
        <v>67</v>
      </c>
      <c r="P238" t="s">
        <v>812</v>
      </c>
    </row>
    <row r="239" spans="1:22" x14ac:dyDescent="0.25">
      <c r="A239" t="s">
        <v>123</v>
      </c>
      <c r="B239" t="s">
        <v>124</v>
      </c>
      <c r="C239" t="str">
        <f>CONCATENATE(B239, " ",A239)</f>
        <v>RICARDO SANTOS</v>
      </c>
      <c r="D239">
        <v>19200754</v>
      </c>
      <c r="E239" t="s">
        <v>579</v>
      </c>
      <c r="F239" t="str">
        <f>CONCATENATE(2,E239)</f>
        <v>2IANG10193813660001IL016</v>
      </c>
      <c r="G239" t="s">
        <v>580</v>
      </c>
      <c r="H239" s="1">
        <v>45323</v>
      </c>
      <c r="I239" t="s">
        <v>51</v>
      </c>
      <c r="J239" s="1">
        <v>45778</v>
      </c>
      <c r="K239" s="1">
        <f>DATE(YEAR(J239), MONTH(J239) +1, DAY(J239))</f>
        <v>45809</v>
      </c>
      <c r="M239">
        <v>20</v>
      </c>
      <c r="N239">
        <v>20</v>
      </c>
      <c r="O239" t="s">
        <v>67</v>
      </c>
      <c r="P239" t="s">
        <v>812</v>
      </c>
    </row>
    <row r="240" spans="1:22" x14ac:dyDescent="0.25">
      <c r="A240" t="s">
        <v>70</v>
      </c>
      <c r="B240" t="s">
        <v>71</v>
      </c>
      <c r="C240" t="str">
        <f>CONCATENATE(B240, " ",A240)</f>
        <v>RICHARD YALE</v>
      </c>
      <c r="D240">
        <v>16633294</v>
      </c>
      <c r="E240" t="s">
        <v>581</v>
      </c>
      <c r="F240" t="str">
        <f>CONCATENATE(2,E240)</f>
        <v>2IANG10162237530001IL016</v>
      </c>
      <c r="G240" t="s">
        <v>582</v>
      </c>
      <c r="H240" s="1">
        <v>44927</v>
      </c>
      <c r="I240" t="s">
        <v>51</v>
      </c>
      <c r="J240" s="1">
        <v>45778</v>
      </c>
      <c r="K240" s="1">
        <f>DATE(YEAR(J240), MONTH(J240) +1, DAY(J240))</f>
        <v>45809</v>
      </c>
      <c r="M240">
        <v>20</v>
      </c>
      <c r="N240">
        <v>20</v>
      </c>
      <c r="O240" t="s">
        <v>52</v>
      </c>
      <c r="P240" t="s">
        <v>812</v>
      </c>
    </row>
    <row r="241" spans="1:22" x14ac:dyDescent="0.25">
      <c r="A241" t="s">
        <v>57</v>
      </c>
      <c r="B241" t="s">
        <v>58</v>
      </c>
      <c r="C241" t="str">
        <f>CONCATENATE(B241, " ",A241)</f>
        <v>Ryan Caltagirone</v>
      </c>
      <c r="D241">
        <v>8977234</v>
      </c>
      <c r="E241" t="s">
        <v>583</v>
      </c>
      <c r="F241" t="str">
        <f>CONCATENATE(2,E241)</f>
        <v>2IANG10204641840001FL016</v>
      </c>
      <c r="G241" t="s">
        <v>584</v>
      </c>
      <c r="H241" s="1">
        <v>45536</v>
      </c>
      <c r="I241" t="s">
        <v>25</v>
      </c>
      <c r="J241" s="1">
        <v>45778</v>
      </c>
      <c r="K241" s="1">
        <f>DATE(YEAR(J241), MONTH(J241) +1, DAY(J241))</f>
        <v>45809</v>
      </c>
      <c r="M241">
        <v>20</v>
      </c>
      <c r="N241">
        <v>20</v>
      </c>
      <c r="O241" t="s">
        <v>26</v>
      </c>
      <c r="P241" t="s">
        <v>812</v>
      </c>
    </row>
    <row r="242" spans="1:22" x14ac:dyDescent="0.25">
      <c r="A242" t="s">
        <v>258</v>
      </c>
      <c r="B242" t="s">
        <v>259</v>
      </c>
      <c r="C242" t="str">
        <f>CONCATENATE(B242, " ",A242)</f>
        <v>DALE WALENGA</v>
      </c>
      <c r="D242">
        <v>8325282</v>
      </c>
      <c r="E242" t="s">
        <v>585</v>
      </c>
      <c r="F242" t="str">
        <f>CONCATENATE(2,E242)</f>
        <v>2IANG10211495940001IL016</v>
      </c>
      <c r="G242" t="s">
        <v>586</v>
      </c>
      <c r="H242" s="1">
        <v>45658</v>
      </c>
      <c r="I242" t="s">
        <v>51</v>
      </c>
      <c r="J242" s="1">
        <v>45778</v>
      </c>
      <c r="K242" s="1">
        <f>DATE(YEAR(J242), MONTH(J242) +1, DAY(J242))</f>
        <v>45809</v>
      </c>
      <c r="M242">
        <v>20</v>
      </c>
      <c r="N242">
        <v>20</v>
      </c>
      <c r="O242" t="s">
        <v>67</v>
      </c>
      <c r="P242" t="s">
        <v>812</v>
      </c>
    </row>
    <row r="243" spans="1:22" s="5" customFormat="1" x14ac:dyDescent="0.25">
      <c r="A243" s="5" t="s">
        <v>418</v>
      </c>
      <c r="B243" s="5" t="s">
        <v>419</v>
      </c>
      <c r="C243" s="5" t="str">
        <f>CONCATENATE(B243, " ",A243)</f>
        <v>Jason Hoffmann</v>
      </c>
      <c r="D243" s="5">
        <v>15278437</v>
      </c>
      <c r="E243" s="5" t="s">
        <v>587</v>
      </c>
      <c r="F243" s="5" t="str">
        <f>CONCATENATE(2,E243)</f>
        <v>2IANG10211871290001IL016</v>
      </c>
      <c r="G243" s="5" t="s">
        <v>588</v>
      </c>
      <c r="H243" s="6">
        <v>45658</v>
      </c>
      <c r="I243" s="5" t="s">
        <v>51</v>
      </c>
      <c r="J243" s="6">
        <v>45778</v>
      </c>
      <c r="K243" s="6">
        <f>DATE(YEAR(J243), MONTH(J243) +1, DAY(J243))</f>
        <v>45809</v>
      </c>
      <c r="M243" s="5">
        <v>20</v>
      </c>
      <c r="N243" s="5">
        <v>20</v>
      </c>
      <c r="O243" s="5" t="s">
        <v>67</v>
      </c>
      <c r="P243" s="5" t="s">
        <v>812</v>
      </c>
    </row>
    <row r="244" spans="1:22" x14ac:dyDescent="0.25">
      <c r="A244" t="s">
        <v>496</v>
      </c>
      <c r="B244" t="s">
        <v>497</v>
      </c>
      <c r="C244" t="str">
        <f>CONCATENATE(B244, " ",A244)</f>
        <v>Colleen Finnigan</v>
      </c>
      <c r="D244">
        <v>17437820</v>
      </c>
      <c r="E244" t="s">
        <v>589</v>
      </c>
      <c r="F244" t="str">
        <f>CONCATENATE(2,E244)</f>
        <v>2IANG10189498610001IL016</v>
      </c>
      <c r="G244" t="s">
        <v>590</v>
      </c>
      <c r="H244" s="1">
        <v>45292</v>
      </c>
      <c r="I244" t="s">
        <v>51</v>
      </c>
      <c r="J244" s="1">
        <v>45778</v>
      </c>
      <c r="K244" s="1">
        <f>DATE(YEAR(J244), MONTH(J244) +1, DAY(J244))</f>
        <v>45809</v>
      </c>
      <c r="L244" t="s">
        <v>810</v>
      </c>
      <c r="M244">
        <v>80</v>
      </c>
      <c r="N244">
        <v>80</v>
      </c>
      <c r="O244" t="s">
        <v>52</v>
      </c>
      <c r="P244" t="s">
        <v>812</v>
      </c>
    </row>
    <row r="245" spans="1:22" x14ac:dyDescent="0.25">
      <c r="A245" t="s">
        <v>174</v>
      </c>
      <c r="B245" t="s">
        <v>175</v>
      </c>
      <c r="C245" t="str">
        <f>CONCATENATE(B245, " ",A245)</f>
        <v>FRANK LISKOVEC</v>
      </c>
      <c r="D245">
        <v>8814784</v>
      </c>
      <c r="E245" t="s">
        <v>591</v>
      </c>
      <c r="F245" t="str">
        <f>CONCATENATE(2,E245)</f>
        <v>2IANG10185957370001IL016</v>
      </c>
      <c r="G245" t="s">
        <v>592</v>
      </c>
      <c r="H245" s="1">
        <v>45292</v>
      </c>
      <c r="I245" t="s">
        <v>51</v>
      </c>
      <c r="J245" s="1">
        <v>45778</v>
      </c>
      <c r="K245" s="1">
        <f>DATE(YEAR(J245), MONTH(J245) +1, DAY(J245))</f>
        <v>45809</v>
      </c>
      <c r="M245">
        <v>20</v>
      </c>
      <c r="N245">
        <v>20</v>
      </c>
      <c r="O245" t="s">
        <v>52</v>
      </c>
      <c r="P245" t="s">
        <v>812</v>
      </c>
    </row>
    <row r="246" spans="1:22" x14ac:dyDescent="0.25">
      <c r="A246" t="s">
        <v>47</v>
      </c>
      <c r="B246" t="s">
        <v>48</v>
      </c>
      <c r="C246" t="str">
        <f>CONCATENATE(B246, " ",A246)</f>
        <v>GARY PORTUGAL</v>
      </c>
      <c r="D246">
        <v>9213293</v>
      </c>
      <c r="E246" t="s">
        <v>593</v>
      </c>
      <c r="F246" t="str">
        <f>CONCATENATE(2,E246)</f>
        <v>2IANG10214642020001IL016</v>
      </c>
      <c r="G246" t="s">
        <v>594</v>
      </c>
      <c r="H246" s="1">
        <v>45689</v>
      </c>
      <c r="I246" t="s">
        <v>51</v>
      </c>
      <c r="J246" s="1">
        <v>45778</v>
      </c>
      <c r="K246" s="1">
        <f>DATE(YEAR(J246), MONTH(J246) +1, DAY(J246))</f>
        <v>45809</v>
      </c>
      <c r="M246">
        <v>20</v>
      </c>
      <c r="N246">
        <v>20</v>
      </c>
      <c r="O246" t="s">
        <v>67</v>
      </c>
      <c r="P246" t="s">
        <v>812</v>
      </c>
    </row>
    <row r="247" spans="1:22" x14ac:dyDescent="0.25">
      <c r="A247" t="s">
        <v>123</v>
      </c>
      <c r="B247" t="s">
        <v>124</v>
      </c>
      <c r="C247" t="str">
        <f>CONCATENATE(B247, " ",A247)</f>
        <v>RICARDO SANTOS</v>
      </c>
      <c r="D247">
        <v>19200754</v>
      </c>
      <c r="E247" t="s">
        <v>595</v>
      </c>
      <c r="F247" t="str">
        <f>CONCATENATE(2,E247)</f>
        <v>2IANG10216965720001IL016</v>
      </c>
      <c r="G247" t="s">
        <v>596</v>
      </c>
      <c r="H247" s="1">
        <v>45778</v>
      </c>
      <c r="I247" t="s">
        <v>51</v>
      </c>
      <c r="J247" s="1">
        <v>45778</v>
      </c>
      <c r="K247" s="1">
        <f>DATE(YEAR(J247), MONTH(J247) +1, DAY(J247))</f>
        <v>45809</v>
      </c>
      <c r="M247">
        <v>20</v>
      </c>
      <c r="N247">
        <v>20</v>
      </c>
      <c r="O247" t="s">
        <v>67</v>
      </c>
      <c r="P247" t="s">
        <v>812</v>
      </c>
    </row>
    <row r="248" spans="1:22" x14ac:dyDescent="0.25">
      <c r="A248" t="s">
        <v>496</v>
      </c>
      <c r="B248" t="s">
        <v>497</v>
      </c>
      <c r="C248" t="str">
        <f>CONCATENATE(B248, " ",A248)</f>
        <v>Colleen Finnigan</v>
      </c>
      <c r="D248">
        <v>17437820</v>
      </c>
      <c r="E248" t="s">
        <v>597</v>
      </c>
      <c r="F248" t="str">
        <f>CONCATENATE(2,E248)</f>
        <v>2IANG10215487060001IL016</v>
      </c>
      <c r="G248" t="s">
        <v>598</v>
      </c>
      <c r="H248" s="1">
        <v>45717</v>
      </c>
      <c r="I248" t="s">
        <v>51</v>
      </c>
      <c r="J248" s="1">
        <v>45748</v>
      </c>
      <c r="K248" s="1">
        <f>DATE(YEAR(J248), MONTH(J248) +1, DAY(J248))</f>
        <v>45778</v>
      </c>
      <c r="M248">
        <v>20</v>
      </c>
      <c r="N248">
        <v>20</v>
      </c>
      <c r="O248" t="s">
        <v>67</v>
      </c>
      <c r="P248" t="s">
        <v>812</v>
      </c>
    </row>
    <row r="249" spans="1:22" x14ac:dyDescent="0.25">
      <c r="A249" t="s">
        <v>496</v>
      </c>
      <c r="B249" t="s">
        <v>497</v>
      </c>
      <c r="C249" t="str">
        <f>CONCATENATE(B249, " ",A249)</f>
        <v>Colleen Finnigan</v>
      </c>
      <c r="D249">
        <v>17437820</v>
      </c>
      <c r="E249" t="s">
        <v>597</v>
      </c>
      <c r="F249" t="str">
        <f>CONCATENATE(2,E249)</f>
        <v>2IANG10215487060001IL016</v>
      </c>
      <c r="G249" t="s">
        <v>598</v>
      </c>
      <c r="H249" s="1">
        <v>45717</v>
      </c>
      <c r="I249" t="s">
        <v>51</v>
      </c>
      <c r="J249" s="1">
        <v>45778</v>
      </c>
      <c r="K249" s="1">
        <f>DATE(YEAR(J249), MONTH(J249) +1, DAY(J249))</f>
        <v>45809</v>
      </c>
      <c r="M249">
        <v>20</v>
      </c>
      <c r="N249">
        <v>20</v>
      </c>
      <c r="O249" t="s">
        <v>67</v>
      </c>
      <c r="P249" t="s">
        <v>812</v>
      </c>
    </row>
    <row r="250" spans="1:22" x14ac:dyDescent="0.25">
      <c r="A250" t="s">
        <v>89</v>
      </c>
      <c r="B250" t="s">
        <v>90</v>
      </c>
      <c r="C250" t="str">
        <f>CONCATENATE(B250, " ",A250)</f>
        <v>SAADIA ABDUL</v>
      </c>
      <c r="D250">
        <v>19396223</v>
      </c>
      <c r="E250" t="s">
        <v>599</v>
      </c>
      <c r="F250" t="str">
        <f>CONCATENATE(2,E250)</f>
        <v>2IANG10174781650001IL016</v>
      </c>
      <c r="G250" t="s">
        <v>600</v>
      </c>
      <c r="H250" s="1">
        <v>45139</v>
      </c>
      <c r="I250" t="s">
        <v>51</v>
      </c>
      <c r="J250" s="1">
        <v>45778</v>
      </c>
      <c r="K250" s="1">
        <f>DATE(YEAR(J250), MONTH(J250) +1, DAY(J250))</f>
        <v>45809</v>
      </c>
      <c r="M250">
        <v>20</v>
      </c>
      <c r="N250">
        <v>20</v>
      </c>
      <c r="O250" t="s">
        <v>52</v>
      </c>
      <c r="P250" t="s">
        <v>812</v>
      </c>
    </row>
    <row r="251" spans="1:22" s="3" customFormat="1" x14ac:dyDescent="0.25">
      <c r="A251" t="s">
        <v>93</v>
      </c>
      <c r="B251" t="s">
        <v>94</v>
      </c>
      <c r="C251" t="str">
        <f>CONCATENATE(B251, " ",A251)</f>
        <v>Jacob Yale</v>
      </c>
      <c r="D251">
        <v>18754354</v>
      </c>
      <c r="E251" t="s">
        <v>601</v>
      </c>
      <c r="F251" t="str">
        <f>CONCATENATE(2,E251)</f>
        <v>2IANG10165778860001IL016</v>
      </c>
      <c r="G251" t="s">
        <v>602</v>
      </c>
      <c r="H251" s="1">
        <v>44927</v>
      </c>
      <c r="I251" t="s">
        <v>51</v>
      </c>
      <c r="J251" s="1">
        <v>45778</v>
      </c>
      <c r="K251" s="1">
        <f>DATE(YEAR(J251), MONTH(J251) +1, DAY(J251))</f>
        <v>45809</v>
      </c>
      <c r="L251"/>
      <c r="M251">
        <v>20</v>
      </c>
      <c r="N251">
        <v>20</v>
      </c>
      <c r="O251" t="s">
        <v>52</v>
      </c>
      <c r="P251" t="s">
        <v>812</v>
      </c>
      <c r="Q251"/>
      <c r="R251"/>
      <c r="S251"/>
      <c r="T251"/>
      <c r="U251"/>
      <c r="V251"/>
    </row>
    <row r="252" spans="1:22" x14ac:dyDescent="0.25">
      <c r="A252" t="s">
        <v>290</v>
      </c>
      <c r="B252" t="s">
        <v>291</v>
      </c>
      <c r="C252" t="str">
        <f>CONCATENATE(B252, " ",A252)</f>
        <v>Brian Strohman</v>
      </c>
      <c r="D252">
        <v>21104854</v>
      </c>
      <c r="E252" t="s">
        <v>603</v>
      </c>
      <c r="F252" t="str">
        <f>CONCATENATE(2,E252)</f>
        <v>2IANG10214906980001IL016</v>
      </c>
      <c r="G252" t="s">
        <v>604</v>
      </c>
      <c r="H252" s="1">
        <v>45717</v>
      </c>
      <c r="I252" t="s">
        <v>51</v>
      </c>
      <c r="J252" s="1">
        <v>45778</v>
      </c>
      <c r="K252" s="1">
        <f>DATE(YEAR(J252), MONTH(J252) +1, DAY(J252))</f>
        <v>45809</v>
      </c>
      <c r="L252" t="s">
        <v>809</v>
      </c>
      <c r="M252">
        <v>60</v>
      </c>
      <c r="N252">
        <v>60</v>
      </c>
      <c r="O252" t="s">
        <v>67</v>
      </c>
      <c r="P252" t="s">
        <v>812</v>
      </c>
    </row>
    <row r="253" spans="1:22" x14ac:dyDescent="0.25">
      <c r="A253" t="s">
        <v>113</v>
      </c>
      <c r="B253" t="s">
        <v>114</v>
      </c>
      <c r="C253" t="str">
        <f>CONCATENATE(B253, " ",A253)</f>
        <v>Stacey Portugal</v>
      </c>
      <c r="D253">
        <v>19645587</v>
      </c>
      <c r="E253" t="s">
        <v>605</v>
      </c>
      <c r="F253" t="str">
        <f>CONCATENATE(2,E253)</f>
        <v>2IANG10212755370001IL016</v>
      </c>
      <c r="G253" t="s">
        <v>606</v>
      </c>
      <c r="H253" s="1">
        <v>45658</v>
      </c>
      <c r="I253" t="s">
        <v>51</v>
      </c>
      <c r="J253" s="1">
        <v>45778</v>
      </c>
      <c r="K253" s="1">
        <f>DATE(YEAR(J253), MONTH(J253) +1, DAY(J253))</f>
        <v>45809</v>
      </c>
      <c r="M253">
        <v>20</v>
      </c>
      <c r="N253">
        <v>20</v>
      </c>
      <c r="O253" t="s">
        <v>67</v>
      </c>
      <c r="P253" t="s">
        <v>812</v>
      </c>
    </row>
    <row r="254" spans="1:22" x14ac:dyDescent="0.25">
      <c r="A254" t="s">
        <v>57</v>
      </c>
      <c r="B254" t="s">
        <v>58</v>
      </c>
      <c r="C254" t="str">
        <f>CONCATENATE(B254, " ",A254)</f>
        <v>Ryan Caltagirone</v>
      </c>
      <c r="D254">
        <v>8977234</v>
      </c>
      <c r="E254" t="s">
        <v>607</v>
      </c>
      <c r="F254" t="str">
        <f>CONCATENATE(2,E254)</f>
        <v>2IANG10217016690001IL016</v>
      </c>
      <c r="G254" t="s">
        <v>608</v>
      </c>
      <c r="H254" s="1">
        <v>45778</v>
      </c>
      <c r="I254" t="s">
        <v>51</v>
      </c>
      <c r="J254" s="1">
        <v>45778</v>
      </c>
      <c r="K254" s="1">
        <f>DATE(YEAR(J254), MONTH(J254) +1, DAY(J254))</f>
        <v>45809</v>
      </c>
      <c r="L254" t="s">
        <v>811</v>
      </c>
      <c r="M254">
        <v>100</v>
      </c>
      <c r="N254">
        <v>100</v>
      </c>
      <c r="O254" t="s">
        <v>67</v>
      </c>
      <c r="P254" t="s">
        <v>812</v>
      </c>
    </row>
    <row r="255" spans="1:22" x14ac:dyDescent="0.25">
      <c r="A255" t="s">
        <v>258</v>
      </c>
      <c r="B255" t="s">
        <v>259</v>
      </c>
      <c r="C255" t="str">
        <f>CONCATENATE(B255, " ",A255)</f>
        <v>DALE WALENGA</v>
      </c>
      <c r="D255">
        <v>8325282</v>
      </c>
      <c r="E255" t="s">
        <v>609</v>
      </c>
      <c r="F255" t="str">
        <f>CONCATENATE(2,E255)</f>
        <v>2IANG10202537020001IL016</v>
      </c>
      <c r="G255" t="s">
        <v>610</v>
      </c>
      <c r="H255" s="1">
        <v>45413</v>
      </c>
      <c r="I255" t="s">
        <v>51</v>
      </c>
      <c r="J255" s="1">
        <v>45778</v>
      </c>
      <c r="K255" s="1">
        <f>DATE(YEAR(J255), MONTH(J255) +1, DAY(J255))</f>
        <v>45809</v>
      </c>
      <c r="M255">
        <v>20</v>
      </c>
      <c r="N255">
        <v>20</v>
      </c>
      <c r="O255" t="s">
        <v>52</v>
      </c>
      <c r="P255" t="s">
        <v>812</v>
      </c>
    </row>
    <row r="256" spans="1:22" x14ac:dyDescent="0.25">
      <c r="A256" t="s">
        <v>35</v>
      </c>
      <c r="B256" t="s">
        <v>36</v>
      </c>
      <c r="C256" t="str">
        <f>CONCATENATE(B256, " ",A256)</f>
        <v>Adam Richter</v>
      </c>
      <c r="D256">
        <v>9079571</v>
      </c>
      <c r="E256" t="s">
        <v>611</v>
      </c>
      <c r="F256" t="str">
        <f>CONCATENATE(2,E256)</f>
        <v>2IANG10196001960002VA017</v>
      </c>
      <c r="G256" t="s">
        <v>612</v>
      </c>
      <c r="H256" s="1">
        <v>45352</v>
      </c>
      <c r="I256" t="s">
        <v>80</v>
      </c>
      <c r="J256" s="1">
        <v>45778</v>
      </c>
      <c r="K256" s="1">
        <f>DATE(YEAR(J256), MONTH(J256) +1, DAY(J256))</f>
        <v>45809</v>
      </c>
      <c r="M256">
        <v>20</v>
      </c>
      <c r="N256">
        <v>20</v>
      </c>
      <c r="O256" t="s">
        <v>188</v>
      </c>
      <c r="P256" t="s">
        <v>812</v>
      </c>
    </row>
    <row r="257" spans="1:22" x14ac:dyDescent="0.25">
      <c r="A257" t="s">
        <v>57</v>
      </c>
      <c r="B257" t="s">
        <v>58</v>
      </c>
      <c r="C257" t="str">
        <f>CONCATENATE(B257, " ",A257)</f>
        <v>Ryan Caltagirone</v>
      </c>
      <c r="D257">
        <v>8977234</v>
      </c>
      <c r="E257" t="s">
        <v>613</v>
      </c>
      <c r="F257" t="str">
        <f>CONCATENATE(2,E257)</f>
        <v>2IANG10206740610001IL016</v>
      </c>
      <c r="G257" t="s">
        <v>614</v>
      </c>
      <c r="H257" s="1">
        <v>45597</v>
      </c>
      <c r="I257" t="s">
        <v>51</v>
      </c>
      <c r="J257" s="1">
        <v>45778</v>
      </c>
      <c r="K257" s="1">
        <f>DATE(YEAR(J257), MONTH(J257) +1, DAY(J257))</f>
        <v>45809</v>
      </c>
      <c r="M257">
        <v>20</v>
      </c>
      <c r="N257">
        <v>20</v>
      </c>
      <c r="O257" t="s">
        <v>52</v>
      </c>
      <c r="P257" t="s">
        <v>812</v>
      </c>
    </row>
    <row r="258" spans="1:22" x14ac:dyDescent="0.25">
      <c r="A258" t="s">
        <v>298</v>
      </c>
      <c r="B258" t="s">
        <v>299</v>
      </c>
      <c r="C258" t="str">
        <f>CONCATENATE(B258, " ",A258)</f>
        <v>GREGORY HANSFORD</v>
      </c>
      <c r="D258">
        <v>17094718</v>
      </c>
      <c r="E258" t="s">
        <v>615</v>
      </c>
      <c r="F258" t="str">
        <f>CONCATENATE(2,E258)</f>
        <v>2IANG10191010090001IL016</v>
      </c>
      <c r="G258" t="s">
        <v>616</v>
      </c>
      <c r="H258" s="1">
        <v>45292</v>
      </c>
      <c r="I258" t="s">
        <v>51</v>
      </c>
      <c r="J258" s="1">
        <v>45778</v>
      </c>
      <c r="K258" s="1">
        <f>DATE(YEAR(J258), MONTH(J258) +1, DAY(J258))</f>
        <v>45809</v>
      </c>
      <c r="M258">
        <v>20</v>
      </c>
      <c r="N258">
        <v>20</v>
      </c>
      <c r="O258" t="s">
        <v>67</v>
      </c>
      <c r="P258" t="s">
        <v>812</v>
      </c>
    </row>
    <row r="259" spans="1:22" x14ac:dyDescent="0.25">
      <c r="A259" t="s">
        <v>19</v>
      </c>
      <c r="B259" t="s">
        <v>20</v>
      </c>
      <c r="C259" t="str">
        <f>CONCATENATE(B259, " ",A259)</f>
        <v>CHRISTIAN TAUGNER</v>
      </c>
      <c r="D259">
        <v>19681796</v>
      </c>
      <c r="E259" t="s">
        <v>617</v>
      </c>
      <c r="F259" t="str">
        <f>CONCATENATE(2,E259)</f>
        <v>2IANG10212652320001IL016</v>
      </c>
      <c r="G259" t="s">
        <v>618</v>
      </c>
      <c r="H259" s="1">
        <v>45658</v>
      </c>
      <c r="I259" t="s">
        <v>51</v>
      </c>
      <c r="J259" s="1">
        <v>45778</v>
      </c>
      <c r="K259" s="1">
        <f>DATE(YEAR(J259), MONTH(J259) +1, DAY(J259))</f>
        <v>45809</v>
      </c>
      <c r="M259">
        <v>20</v>
      </c>
      <c r="N259">
        <v>20</v>
      </c>
      <c r="O259" t="s">
        <v>67</v>
      </c>
      <c r="P259" t="s">
        <v>812</v>
      </c>
    </row>
    <row r="260" spans="1:22" x14ac:dyDescent="0.25">
      <c r="A260" t="s">
        <v>117</v>
      </c>
      <c r="B260" t="s">
        <v>118</v>
      </c>
      <c r="C260" t="str">
        <f>CONCATENATE(B260, " ",A260)</f>
        <v>Thomas Pardue</v>
      </c>
      <c r="D260">
        <v>371819</v>
      </c>
      <c r="E260" t="s">
        <v>619</v>
      </c>
      <c r="F260" t="str">
        <f>CONCATENATE(2,E260)</f>
        <v>2IANG10213292880001FL016</v>
      </c>
      <c r="G260" t="s">
        <v>620</v>
      </c>
      <c r="H260" s="1">
        <v>45658</v>
      </c>
      <c r="I260" t="s">
        <v>25</v>
      </c>
      <c r="J260" s="1">
        <v>45778</v>
      </c>
      <c r="K260" s="1">
        <f>DATE(YEAR(J260), MONTH(J260) +1, DAY(J260))</f>
        <v>45809</v>
      </c>
      <c r="M260">
        <v>20</v>
      </c>
      <c r="N260">
        <v>20</v>
      </c>
      <c r="O260" t="s">
        <v>74</v>
      </c>
      <c r="P260" t="s">
        <v>812</v>
      </c>
    </row>
    <row r="261" spans="1:22" x14ac:dyDescent="0.25">
      <c r="A261" s="3" t="s">
        <v>39</v>
      </c>
      <c r="B261" s="3" t="s">
        <v>40</v>
      </c>
      <c r="C261" s="3" t="str">
        <f>CONCATENATE(B261, " ",A261)</f>
        <v>Christopher Brousseau</v>
      </c>
      <c r="D261" s="3">
        <v>21435997</v>
      </c>
      <c r="E261" s="3" t="s">
        <v>621</v>
      </c>
      <c r="F261" s="3" t="str">
        <f>CONCATENATE(2,E261)</f>
        <v>2IANG10216623710001TX016</v>
      </c>
      <c r="G261" s="3" t="s">
        <v>622</v>
      </c>
      <c r="H261" s="4">
        <v>45778</v>
      </c>
      <c r="I261" s="3" t="s">
        <v>43</v>
      </c>
      <c r="J261" s="4">
        <v>45778</v>
      </c>
      <c r="K261" s="1">
        <f>DATE(YEAR(J261), MONTH(J261) +1, DAY(J261))</f>
        <v>45809</v>
      </c>
      <c r="L261" s="3" t="s">
        <v>809</v>
      </c>
      <c r="M261" s="3">
        <v>75</v>
      </c>
      <c r="N261" s="3">
        <v>75</v>
      </c>
      <c r="O261" s="3" t="s">
        <v>44</v>
      </c>
      <c r="P261" s="3" t="s">
        <v>814</v>
      </c>
      <c r="Q261" s="3"/>
      <c r="R261" s="3"/>
      <c r="S261" s="3"/>
      <c r="T261" s="3"/>
      <c r="U261" s="3"/>
      <c r="V261" s="3"/>
    </row>
    <row r="262" spans="1:22" x14ac:dyDescent="0.25">
      <c r="A262" t="s">
        <v>117</v>
      </c>
      <c r="B262" t="s">
        <v>118</v>
      </c>
      <c r="C262" t="str">
        <f>CONCATENATE(B262, " ",A262)</f>
        <v>Thomas Pardue</v>
      </c>
      <c r="D262" t="s">
        <v>817</v>
      </c>
      <c r="E262" t="s">
        <v>623</v>
      </c>
      <c r="F262" t="str">
        <f>CONCATENATE(2,E262)</f>
        <v>2IANG10168720890001TX016</v>
      </c>
      <c r="G262" t="s">
        <v>624</v>
      </c>
      <c r="H262" s="1">
        <v>44958</v>
      </c>
      <c r="I262" t="s">
        <v>43</v>
      </c>
      <c r="J262" s="1">
        <v>45778</v>
      </c>
      <c r="K262" s="1">
        <f>DATE(YEAR(J262), MONTH(J262) +1, DAY(J262))</f>
        <v>45809</v>
      </c>
      <c r="L262" t="s">
        <v>809</v>
      </c>
      <c r="M262">
        <v>75</v>
      </c>
      <c r="N262">
        <v>75</v>
      </c>
      <c r="O262" t="s">
        <v>241</v>
      </c>
      <c r="P262" t="s">
        <v>814</v>
      </c>
    </row>
    <row r="263" spans="1:22" x14ac:dyDescent="0.25">
      <c r="A263" t="s">
        <v>625</v>
      </c>
      <c r="B263" t="s">
        <v>626</v>
      </c>
      <c r="C263" t="str">
        <f>CONCATENATE(B263, " ",A263)</f>
        <v>ANDREA PETRUNGARO</v>
      </c>
      <c r="D263">
        <v>16912722</v>
      </c>
      <c r="E263" t="s">
        <v>627</v>
      </c>
      <c r="F263" t="str">
        <f>CONCATENATE(2,E263)</f>
        <v>2IANG10193418810001IL016</v>
      </c>
      <c r="G263" t="s">
        <v>628</v>
      </c>
      <c r="H263" s="1">
        <v>45323</v>
      </c>
      <c r="I263" t="s">
        <v>51</v>
      </c>
      <c r="J263" s="1">
        <v>45778</v>
      </c>
      <c r="K263" s="1">
        <f>DATE(YEAR(J263), MONTH(J263) +1, DAY(J263))</f>
        <v>45809</v>
      </c>
      <c r="M263">
        <v>20</v>
      </c>
      <c r="N263">
        <v>20</v>
      </c>
      <c r="O263" t="s">
        <v>52</v>
      </c>
      <c r="P263" t="s">
        <v>812</v>
      </c>
    </row>
    <row r="264" spans="1:22" x14ac:dyDescent="0.25">
      <c r="A264" t="s">
        <v>53</v>
      </c>
      <c r="B264" t="s">
        <v>54</v>
      </c>
      <c r="C264" t="str">
        <f>CONCATENATE(B264, " ",A264)</f>
        <v>Ronald Max</v>
      </c>
      <c r="D264">
        <v>5442438</v>
      </c>
      <c r="E264" t="s">
        <v>629</v>
      </c>
      <c r="F264" t="str">
        <f>CONCATENATE(2,E264)</f>
        <v>2IANG10212841680002MD016</v>
      </c>
      <c r="G264" t="s">
        <v>630</v>
      </c>
      <c r="H264" s="1">
        <v>45627</v>
      </c>
      <c r="I264" t="s">
        <v>33</v>
      </c>
      <c r="J264" s="1">
        <v>45778</v>
      </c>
      <c r="K264" s="1">
        <f>DATE(YEAR(J264), MONTH(J264) +1, DAY(J264))</f>
        <v>45809</v>
      </c>
      <c r="L264" t="s">
        <v>808</v>
      </c>
      <c r="M264">
        <v>20</v>
      </c>
      <c r="N264">
        <v>20</v>
      </c>
      <c r="O264" t="s">
        <v>34</v>
      </c>
      <c r="P264" t="s">
        <v>813</v>
      </c>
    </row>
    <row r="265" spans="1:22" x14ac:dyDescent="0.25">
      <c r="A265" t="s">
        <v>290</v>
      </c>
      <c r="B265" t="s">
        <v>291</v>
      </c>
      <c r="C265" t="str">
        <f>CONCATENATE(B265, " ",A265)</f>
        <v>Brian Strohman</v>
      </c>
      <c r="D265">
        <v>21104854</v>
      </c>
      <c r="E265" t="s">
        <v>631</v>
      </c>
      <c r="F265" t="str">
        <f>CONCATENATE(2,E265)</f>
        <v>2IANG10212990250001IL016</v>
      </c>
      <c r="G265" t="s">
        <v>632</v>
      </c>
      <c r="H265" s="1">
        <v>45658</v>
      </c>
      <c r="I265" t="s">
        <v>51</v>
      </c>
      <c r="J265" s="1">
        <v>45778</v>
      </c>
      <c r="K265" s="1">
        <f>DATE(YEAR(J265), MONTH(J265) +1, DAY(J265))</f>
        <v>45809</v>
      </c>
      <c r="L265" t="s">
        <v>809</v>
      </c>
      <c r="M265">
        <v>60</v>
      </c>
      <c r="N265">
        <v>60</v>
      </c>
      <c r="O265" t="s">
        <v>67</v>
      </c>
      <c r="P265" t="s">
        <v>812</v>
      </c>
    </row>
    <row r="266" spans="1:22" x14ac:dyDescent="0.25">
      <c r="A266" t="s">
        <v>35</v>
      </c>
      <c r="B266" t="s">
        <v>36</v>
      </c>
      <c r="C266" t="str">
        <f>CONCATENATE(B266, " ",A266)</f>
        <v>Adam Richter</v>
      </c>
      <c r="D266">
        <v>9079571</v>
      </c>
      <c r="E266" t="s">
        <v>633</v>
      </c>
      <c r="F266" t="str">
        <f>CONCATENATE(2,E266)</f>
        <v>2IANG10169067490002NJ016</v>
      </c>
      <c r="G266" t="s">
        <v>634</v>
      </c>
      <c r="H266" s="1">
        <v>44958</v>
      </c>
      <c r="I266" t="s">
        <v>286</v>
      </c>
      <c r="J266" s="1">
        <v>45778</v>
      </c>
      <c r="K266" s="1">
        <f>DATE(YEAR(J266), MONTH(J266) +1, DAY(J266))</f>
        <v>45809</v>
      </c>
      <c r="M266">
        <v>20</v>
      </c>
      <c r="N266">
        <v>20</v>
      </c>
      <c r="O266" t="s">
        <v>287</v>
      </c>
      <c r="P266" t="s">
        <v>812</v>
      </c>
    </row>
    <row r="267" spans="1:22" x14ac:dyDescent="0.25">
      <c r="A267" t="s">
        <v>113</v>
      </c>
      <c r="B267" t="s">
        <v>114</v>
      </c>
      <c r="C267" t="str">
        <f>CONCATENATE(B267, " ",A267)</f>
        <v>Stacey Portugal</v>
      </c>
      <c r="D267">
        <v>19645587</v>
      </c>
      <c r="E267" t="s">
        <v>635</v>
      </c>
      <c r="F267" t="str">
        <f>CONCATENATE(2,E267)</f>
        <v>2IANG10206131470001TX016</v>
      </c>
      <c r="G267" t="s">
        <v>636</v>
      </c>
      <c r="H267" s="1">
        <v>45536</v>
      </c>
      <c r="I267" t="s">
        <v>43</v>
      </c>
      <c r="J267" s="1">
        <v>45778</v>
      </c>
      <c r="K267" s="1">
        <f>DATE(YEAR(J267), MONTH(J267) +1, DAY(J267))</f>
        <v>45809</v>
      </c>
      <c r="M267">
        <v>25</v>
      </c>
      <c r="N267">
        <v>25</v>
      </c>
      <c r="O267" t="s">
        <v>241</v>
      </c>
      <c r="P267" t="s">
        <v>814</v>
      </c>
    </row>
    <row r="268" spans="1:22" x14ac:dyDescent="0.25">
      <c r="A268" t="s">
        <v>163</v>
      </c>
      <c r="B268" t="s">
        <v>164</v>
      </c>
      <c r="C268" t="str">
        <f>CONCATENATE(B268, " ",A268)</f>
        <v>BARRY SCHUMANN</v>
      </c>
      <c r="D268">
        <v>19586992</v>
      </c>
      <c r="E268" t="s">
        <v>637</v>
      </c>
      <c r="F268" t="str">
        <f>CONCATENATE(2,E268)</f>
        <v>2IANG10216835110001IL016</v>
      </c>
      <c r="G268" t="s">
        <v>638</v>
      </c>
      <c r="H268" s="1">
        <v>45778</v>
      </c>
      <c r="I268" t="s">
        <v>51</v>
      </c>
      <c r="J268" s="1">
        <v>45778</v>
      </c>
      <c r="K268" s="1">
        <f>DATE(YEAR(J268), MONTH(J268) +1, DAY(J268))</f>
        <v>45809</v>
      </c>
      <c r="M268">
        <v>20</v>
      </c>
      <c r="N268">
        <v>20</v>
      </c>
      <c r="O268" t="s">
        <v>67</v>
      </c>
      <c r="P268" t="s">
        <v>812</v>
      </c>
    </row>
    <row r="269" spans="1:22" x14ac:dyDescent="0.25">
      <c r="A269" t="s">
        <v>117</v>
      </c>
      <c r="B269" t="s">
        <v>118</v>
      </c>
      <c r="C269" t="str">
        <f>CONCATENATE(B269, " ",A269)</f>
        <v>Thomas Pardue</v>
      </c>
      <c r="D269" t="s">
        <v>817</v>
      </c>
      <c r="E269" t="s">
        <v>639</v>
      </c>
      <c r="F269" t="str">
        <f>CONCATENATE(2,E269)</f>
        <v>2IANG10189763540002VA016</v>
      </c>
      <c r="G269" t="s">
        <v>640</v>
      </c>
      <c r="H269" s="1">
        <v>45292</v>
      </c>
      <c r="I269" t="s">
        <v>80</v>
      </c>
      <c r="J269" s="1">
        <v>45778</v>
      </c>
      <c r="K269" s="1">
        <f>DATE(YEAR(J269), MONTH(J269) +1, DAY(J269))</f>
        <v>45809</v>
      </c>
      <c r="M269">
        <v>20</v>
      </c>
      <c r="N269">
        <v>20</v>
      </c>
      <c r="O269" t="s">
        <v>81</v>
      </c>
      <c r="P269" t="s">
        <v>812</v>
      </c>
    </row>
    <row r="270" spans="1:22" x14ac:dyDescent="0.25">
      <c r="A270" t="s">
        <v>70</v>
      </c>
      <c r="B270" t="s">
        <v>71</v>
      </c>
      <c r="C270" t="str">
        <f>CONCATENATE(B270, " ",A270)</f>
        <v>RICHARD YALE</v>
      </c>
      <c r="D270">
        <v>16633294</v>
      </c>
      <c r="E270" t="s">
        <v>641</v>
      </c>
      <c r="F270" t="str">
        <f>CONCATENATE(2,E270)</f>
        <v>2IANG10212553680001IL016</v>
      </c>
      <c r="G270" t="s">
        <v>642</v>
      </c>
      <c r="H270" s="1">
        <v>45658</v>
      </c>
      <c r="I270" t="s">
        <v>51</v>
      </c>
      <c r="J270" s="1">
        <v>45778</v>
      </c>
      <c r="K270" s="1">
        <f>DATE(YEAR(J270), MONTH(J270) +1, DAY(J270))</f>
        <v>45809</v>
      </c>
      <c r="M270">
        <v>20</v>
      </c>
      <c r="N270">
        <v>20</v>
      </c>
      <c r="O270" t="s">
        <v>67</v>
      </c>
      <c r="P270" t="s">
        <v>812</v>
      </c>
    </row>
    <row r="271" spans="1:22" x14ac:dyDescent="0.25">
      <c r="A271" t="s">
        <v>29</v>
      </c>
      <c r="B271" t="s">
        <v>30</v>
      </c>
      <c r="C271" t="str">
        <f>CONCATENATE(B271, " ",A271)</f>
        <v>THOMAS KUCAN</v>
      </c>
      <c r="D271">
        <v>16202925</v>
      </c>
      <c r="E271" t="s">
        <v>643</v>
      </c>
      <c r="F271" t="str">
        <f>CONCATENATE(2,E271)</f>
        <v>2IANG10205558960002MD016</v>
      </c>
      <c r="G271" t="s">
        <v>644</v>
      </c>
      <c r="H271" s="1">
        <v>45536</v>
      </c>
      <c r="I271" t="s">
        <v>33</v>
      </c>
      <c r="J271" s="1">
        <v>45778</v>
      </c>
      <c r="K271" s="1">
        <f>DATE(YEAR(J271), MONTH(J271) +1, DAY(J271))</f>
        <v>45809</v>
      </c>
      <c r="M271">
        <v>10</v>
      </c>
      <c r="N271">
        <v>10</v>
      </c>
      <c r="O271" t="s">
        <v>34</v>
      </c>
      <c r="P271" t="s">
        <v>813</v>
      </c>
    </row>
    <row r="272" spans="1:22" x14ac:dyDescent="0.25">
      <c r="A272" t="s">
        <v>29</v>
      </c>
      <c r="B272" t="s">
        <v>30</v>
      </c>
      <c r="C272" t="str">
        <f>CONCATENATE(B272, " ",A272)</f>
        <v>THOMAS KUCAN</v>
      </c>
      <c r="D272">
        <v>16202925</v>
      </c>
      <c r="E272" t="s">
        <v>645</v>
      </c>
      <c r="F272" t="str">
        <f>CONCATENATE(2,E272)</f>
        <v>2IANG10216836720001FL016</v>
      </c>
      <c r="G272" t="s">
        <v>646</v>
      </c>
      <c r="H272" s="1">
        <v>45778</v>
      </c>
      <c r="I272" t="s">
        <v>25</v>
      </c>
      <c r="J272" s="1">
        <v>45778</v>
      </c>
      <c r="K272" s="1">
        <f>DATE(YEAR(J272), MONTH(J272) +1, DAY(J272))</f>
        <v>45809</v>
      </c>
      <c r="M272">
        <v>20</v>
      </c>
      <c r="N272">
        <v>20</v>
      </c>
      <c r="O272" t="s">
        <v>74</v>
      </c>
      <c r="P272" t="s">
        <v>812</v>
      </c>
    </row>
    <row r="273" spans="1:22" x14ac:dyDescent="0.25">
      <c r="A273" s="3" t="s">
        <v>514</v>
      </c>
      <c r="B273" s="3" t="s">
        <v>515</v>
      </c>
      <c r="C273" s="3" t="str">
        <f>CONCATENATE(B273, " ",A273)</f>
        <v>Jake Shulman</v>
      </c>
      <c r="D273" s="3">
        <v>18201929</v>
      </c>
      <c r="E273" s="3" t="s">
        <v>647</v>
      </c>
      <c r="F273" s="3" t="str">
        <f>CONCATENATE(2,E273)</f>
        <v>2IANG10216295330001IL016</v>
      </c>
      <c r="G273" s="3" t="s">
        <v>648</v>
      </c>
      <c r="H273" s="4">
        <v>45748</v>
      </c>
      <c r="I273" s="3" t="s">
        <v>51</v>
      </c>
      <c r="J273" s="4">
        <v>45778</v>
      </c>
      <c r="K273" s="1">
        <f>DATE(YEAR(J273), MONTH(J273) +1, DAY(J273))</f>
        <v>45809</v>
      </c>
      <c r="L273" s="3"/>
      <c r="M273" s="3">
        <v>20</v>
      </c>
      <c r="N273" s="3">
        <v>20</v>
      </c>
      <c r="O273" s="3" t="s">
        <v>67</v>
      </c>
      <c r="P273" s="3" t="s">
        <v>812</v>
      </c>
      <c r="Q273" s="3"/>
      <c r="R273" s="3"/>
      <c r="S273" s="3"/>
      <c r="T273" s="3"/>
      <c r="U273" s="3"/>
      <c r="V273" s="3"/>
    </row>
    <row r="274" spans="1:22" x14ac:dyDescent="0.25">
      <c r="A274" t="s">
        <v>101</v>
      </c>
      <c r="B274" t="s">
        <v>102</v>
      </c>
      <c r="C274" t="str">
        <f>CONCATENATE(B274, " ",A274)</f>
        <v>Gregory Teipel</v>
      </c>
      <c r="D274">
        <v>8307933</v>
      </c>
      <c r="E274" t="s">
        <v>649</v>
      </c>
      <c r="F274" t="str">
        <f>CONCATENATE(2,E274)</f>
        <v>2IANG10158336790001MO016</v>
      </c>
      <c r="G274" t="s">
        <v>650</v>
      </c>
      <c r="H274" s="1">
        <v>44927</v>
      </c>
      <c r="I274" t="s">
        <v>155</v>
      </c>
      <c r="J274" s="1">
        <v>45778</v>
      </c>
      <c r="K274" s="1">
        <f>DATE(YEAR(J274), MONTH(J274) +1, DAY(J274))</f>
        <v>45809</v>
      </c>
      <c r="M274">
        <v>20</v>
      </c>
      <c r="N274">
        <v>20</v>
      </c>
      <c r="O274" t="s">
        <v>156</v>
      </c>
      <c r="P274" t="s">
        <v>812</v>
      </c>
    </row>
    <row r="275" spans="1:22" x14ac:dyDescent="0.25">
      <c r="A275" t="s">
        <v>35</v>
      </c>
      <c r="B275" t="s">
        <v>36</v>
      </c>
      <c r="C275" t="str">
        <f>CONCATENATE(B275, " ",A275)</f>
        <v>Adam Richter</v>
      </c>
      <c r="D275">
        <v>9079571</v>
      </c>
      <c r="E275" t="s">
        <v>651</v>
      </c>
      <c r="F275" t="str">
        <f>CONCATENATE(2,E275)</f>
        <v>2IANG10160438050002VA017</v>
      </c>
      <c r="G275" t="s">
        <v>652</v>
      </c>
      <c r="H275" s="1">
        <v>44927</v>
      </c>
      <c r="I275" t="s">
        <v>80</v>
      </c>
      <c r="J275" s="1">
        <v>45778</v>
      </c>
      <c r="K275" s="1">
        <f>DATE(YEAR(J275), MONTH(J275) +1, DAY(J275))</f>
        <v>45809</v>
      </c>
      <c r="M275">
        <v>20</v>
      </c>
      <c r="N275">
        <v>20</v>
      </c>
      <c r="O275" t="s">
        <v>188</v>
      </c>
      <c r="P275" t="s">
        <v>812</v>
      </c>
    </row>
    <row r="276" spans="1:22" x14ac:dyDescent="0.25">
      <c r="A276" t="s">
        <v>47</v>
      </c>
      <c r="B276" t="s">
        <v>48</v>
      </c>
      <c r="C276" t="str">
        <f>CONCATENATE(B276, " ",A276)</f>
        <v>GARY PORTUGAL</v>
      </c>
      <c r="D276">
        <v>9213293</v>
      </c>
      <c r="E276" t="s">
        <v>653</v>
      </c>
      <c r="F276" t="str">
        <f>CONCATENATE(2,E276)</f>
        <v>2IANG10213098260001IL016</v>
      </c>
      <c r="G276" t="s">
        <v>654</v>
      </c>
      <c r="H276" s="1">
        <v>45658</v>
      </c>
      <c r="I276" t="s">
        <v>51</v>
      </c>
      <c r="J276" s="1">
        <v>45778</v>
      </c>
      <c r="K276" s="1">
        <f>DATE(YEAR(J276), MONTH(J276) +1, DAY(J276))</f>
        <v>45809</v>
      </c>
      <c r="M276">
        <v>20</v>
      </c>
      <c r="N276">
        <v>20</v>
      </c>
      <c r="O276" t="s">
        <v>67</v>
      </c>
      <c r="P276" t="s">
        <v>812</v>
      </c>
    </row>
    <row r="277" spans="1:22" x14ac:dyDescent="0.25">
      <c r="A277" t="s">
        <v>101</v>
      </c>
      <c r="B277" t="s">
        <v>102</v>
      </c>
      <c r="C277" t="str">
        <f>CONCATENATE(B277, " ",A277)</f>
        <v>Gregory Teipel</v>
      </c>
      <c r="D277">
        <v>8307933</v>
      </c>
      <c r="E277" t="s">
        <v>655</v>
      </c>
      <c r="F277" t="str">
        <f>CONCATENATE(2,E277)</f>
        <v>2IANG10190637520001FL016</v>
      </c>
      <c r="G277" t="s">
        <v>656</v>
      </c>
      <c r="H277" s="1">
        <v>45292</v>
      </c>
      <c r="I277" t="s">
        <v>25</v>
      </c>
      <c r="J277" s="1">
        <v>45778</v>
      </c>
      <c r="K277" s="1">
        <f>DATE(YEAR(J277), MONTH(J277) +1, DAY(J277))</f>
        <v>45809</v>
      </c>
      <c r="M277">
        <v>20</v>
      </c>
      <c r="N277">
        <v>20</v>
      </c>
      <c r="O277" t="s">
        <v>26</v>
      </c>
      <c r="P277" t="s">
        <v>812</v>
      </c>
    </row>
    <row r="278" spans="1:22" x14ac:dyDescent="0.25">
      <c r="A278" t="s">
        <v>35</v>
      </c>
      <c r="B278" t="s">
        <v>36</v>
      </c>
      <c r="C278" t="str">
        <f>CONCATENATE(B278, " ",A278)</f>
        <v>Adam Richter</v>
      </c>
      <c r="D278">
        <v>9079571</v>
      </c>
      <c r="E278" t="s">
        <v>657</v>
      </c>
      <c r="F278" t="str">
        <f>CONCATENATE(2,E278)</f>
        <v>2IANG10198491070002MD016</v>
      </c>
      <c r="G278" t="s">
        <v>658</v>
      </c>
      <c r="H278" s="1">
        <v>45413</v>
      </c>
      <c r="I278" t="s">
        <v>33</v>
      </c>
      <c r="J278" s="1">
        <v>45778</v>
      </c>
      <c r="K278" s="1">
        <f>DATE(YEAR(J278), MONTH(J278) +1, DAY(J278))</f>
        <v>45809</v>
      </c>
      <c r="M278">
        <v>10</v>
      </c>
      <c r="N278">
        <v>10</v>
      </c>
      <c r="O278" t="s">
        <v>34</v>
      </c>
      <c r="P278" t="s">
        <v>813</v>
      </c>
    </row>
    <row r="279" spans="1:22" x14ac:dyDescent="0.25">
      <c r="A279" t="s">
        <v>35</v>
      </c>
      <c r="B279" t="s">
        <v>36</v>
      </c>
      <c r="C279" t="str">
        <f>CONCATENATE(B279, " ",A279)</f>
        <v>Adam Richter</v>
      </c>
      <c r="D279">
        <v>9079571</v>
      </c>
      <c r="E279" t="s">
        <v>659</v>
      </c>
      <c r="F279" t="str">
        <f>CONCATENATE(2,E279)</f>
        <v>2IANG10200048080002MD016</v>
      </c>
      <c r="G279" t="s">
        <v>660</v>
      </c>
      <c r="H279" s="1">
        <v>45413</v>
      </c>
      <c r="I279" t="s">
        <v>33</v>
      </c>
      <c r="J279" s="1">
        <v>45778</v>
      </c>
      <c r="K279" s="1">
        <f>DATE(YEAR(J279), MONTH(J279) +1, DAY(J279))</f>
        <v>45809</v>
      </c>
      <c r="L279" t="s">
        <v>808</v>
      </c>
      <c r="M279">
        <v>20</v>
      </c>
      <c r="N279">
        <v>20</v>
      </c>
      <c r="O279" t="s">
        <v>34</v>
      </c>
      <c r="P279" t="s">
        <v>813</v>
      </c>
    </row>
    <row r="280" spans="1:22" x14ac:dyDescent="0.25">
      <c r="A280" t="s">
        <v>35</v>
      </c>
      <c r="B280" t="s">
        <v>36</v>
      </c>
      <c r="C280" t="str">
        <f>CONCATENATE(B280, " ",A280)</f>
        <v>Adam Richter</v>
      </c>
      <c r="D280">
        <v>9079571</v>
      </c>
      <c r="E280" t="s">
        <v>661</v>
      </c>
      <c r="F280" t="str">
        <f>CONCATENATE(2,E280)</f>
        <v>2IANG10200991390002MD016</v>
      </c>
      <c r="G280" t="s">
        <v>662</v>
      </c>
      <c r="H280" s="1">
        <v>45444</v>
      </c>
      <c r="I280" t="s">
        <v>33</v>
      </c>
      <c r="J280" s="1">
        <v>45778</v>
      </c>
      <c r="K280" s="1">
        <f>DATE(YEAR(J280), MONTH(J280) +1, DAY(J280))</f>
        <v>45809</v>
      </c>
      <c r="M280">
        <v>10</v>
      </c>
      <c r="N280">
        <v>10</v>
      </c>
      <c r="O280" t="s">
        <v>34</v>
      </c>
      <c r="P280" t="s">
        <v>813</v>
      </c>
    </row>
    <row r="281" spans="1:22" x14ac:dyDescent="0.25">
      <c r="A281" t="s">
        <v>93</v>
      </c>
      <c r="B281" t="s">
        <v>94</v>
      </c>
      <c r="C281" t="str">
        <f>CONCATENATE(B281, " ",A281)</f>
        <v>Jacob Yale</v>
      </c>
      <c r="D281">
        <v>18754354</v>
      </c>
      <c r="E281" t="s">
        <v>663</v>
      </c>
      <c r="F281" t="str">
        <f>CONCATENATE(2,E281)</f>
        <v>2IANG10188033090001IL016</v>
      </c>
      <c r="G281" t="s">
        <v>664</v>
      </c>
      <c r="H281" s="1">
        <v>45292</v>
      </c>
      <c r="I281" t="s">
        <v>51</v>
      </c>
      <c r="J281" s="1">
        <v>45778</v>
      </c>
      <c r="K281" s="1">
        <f>DATE(YEAR(J281), MONTH(J281) +1, DAY(J281))</f>
        <v>45809</v>
      </c>
      <c r="M281">
        <v>20</v>
      </c>
      <c r="N281">
        <v>20</v>
      </c>
      <c r="O281" t="s">
        <v>52</v>
      </c>
      <c r="P281" t="s">
        <v>812</v>
      </c>
    </row>
    <row r="282" spans="1:22" x14ac:dyDescent="0.25">
      <c r="A282" t="s">
        <v>258</v>
      </c>
      <c r="B282" t="s">
        <v>259</v>
      </c>
      <c r="C282" t="str">
        <f>CONCATENATE(B282, " ",A282)</f>
        <v>DALE WALENGA</v>
      </c>
      <c r="D282">
        <v>8325282</v>
      </c>
      <c r="E282" t="s">
        <v>665</v>
      </c>
      <c r="F282" t="str">
        <f>CONCATENATE(2,E282)</f>
        <v>2IANG10214518850001IL016</v>
      </c>
      <c r="G282" t="s">
        <v>666</v>
      </c>
      <c r="H282" s="1">
        <v>45689</v>
      </c>
      <c r="I282" t="s">
        <v>51</v>
      </c>
      <c r="J282" s="1">
        <v>45778</v>
      </c>
      <c r="K282" s="1">
        <f>DATE(YEAR(J282), MONTH(J282) +1, DAY(J282))</f>
        <v>45809</v>
      </c>
      <c r="M282">
        <v>20</v>
      </c>
      <c r="N282">
        <v>20</v>
      </c>
      <c r="O282" t="s">
        <v>67</v>
      </c>
      <c r="P282" t="s">
        <v>812</v>
      </c>
    </row>
    <row r="283" spans="1:22" x14ac:dyDescent="0.25">
      <c r="A283" t="s">
        <v>258</v>
      </c>
      <c r="B283" t="s">
        <v>259</v>
      </c>
      <c r="C283" t="str">
        <f>CONCATENATE(B283, " ",A283)</f>
        <v>DALE WALENGA</v>
      </c>
      <c r="D283">
        <v>8325282</v>
      </c>
      <c r="E283" t="s">
        <v>667</v>
      </c>
      <c r="F283" t="str">
        <f>CONCATENATE(2,E283)</f>
        <v>2IANG10205994700001IL016</v>
      </c>
      <c r="G283" t="s">
        <v>668</v>
      </c>
      <c r="H283" s="1">
        <v>45566</v>
      </c>
      <c r="I283" t="s">
        <v>51</v>
      </c>
      <c r="J283" s="1">
        <v>45689</v>
      </c>
      <c r="K283" s="1">
        <f>DATE(YEAR(J283), MONTH(J283) +1, DAY(J283))</f>
        <v>45717</v>
      </c>
      <c r="M283">
        <v>20</v>
      </c>
      <c r="N283">
        <v>20</v>
      </c>
      <c r="O283" t="s">
        <v>67</v>
      </c>
      <c r="P283" t="s">
        <v>812</v>
      </c>
    </row>
    <row r="284" spans="1:22" x14ac:dyDescent="0.25">
      <c r="A284" t="s">
        <v>258</v>
      </c>
      <c r="B284" t="s">
        <v>259</v>
      </c>
      <c r="C284" t="str">
        <f>CONCATENATE(B284, " ",A284)</f>
        <v>DALE WALENGA</v>
      </c>
      <c r="D284">
        <v>8325282</v>
      </c>
      <c r="E284" t="s">
        <v>667</v>
      </c>
      <c r="F284" t="str">
        <f>CONCATENATE(2,E284)</f>
        <v>2IANG10205994700001IL016</v>
      </c>
      <c r="G284" t="s">
        <v>668</v>
      </c>
      <c r="H284" s="1">
        <v>45566</v>
      </c>
      <c r="I284" t="s">
        <v>51</v>
      </c>
      <c r="J284" s="1">
        <v>45717</v>
      </c>
      <c r="K284" s="1">
        <f>DATE(YEAR(J284), MONTH(J284) +1, DAY(J284))</f>
        <v>45748</v>
      </c>
      <c r="M284">
        <v>20</v>
      </c>
      <c r="N284">
        <v>20</v>
      </c>
      <c r="O284" t="s">
        <v>67</v>
      </c>
      <c r="P284" t="s">
        <v>812</v>
      </c>
    </row>
    <row r="285" spans="1:22" x14ac:dyDescent="0.25">
      <c r="A285" t="s">
        <v>258</v>
      </c>
      <c r="B285" t="s">
        <v>259</v>
      </c>
      <c r="C285" t="str">
        <f>CONCATENATE(B285, " ",A285)</f>
        <v>DALE WALENGA</v>
      </c>
      <c r="D285">
        <v>8325282</v>
      </c>
      <c r="E285" t="s">
        <v>667</v>
      </c>
      <c r="F285" t="str">
        <f>CONCATENATE(2,E285)</f>
        <v>2IANG10205994700001IL016</v>
      </c>
      <c r="G285" t="s">
        <v>668</v>
      </c>
      <c r="H285" s="1">
        <v>45566</v>
      </c>
      <c r="I285" t="s">
        <v>51</v>
      </c>
      <c r="J285" s="1">
        <v>45748</v>
      </c>
      <c r="K285" s="1">
        <f>DATE(YEAR(J285), MONTH(J285) +1, DAY(J285))</f>
        <v>45778</v>
      </c>
      <c r="M285">
        <v>20</v>
      </c>
      <c r="N285">
        <v>20</v>
      </c>
      <c r="O285" t="s">
        <v>67</v>
      </c>
      <c r="P285" t="s">
        <v>812</v>
      </c>
    </row>
    <row r="286" spans="1:22" x14ac:dyDescent="0.25">
      <c r="A286" t="s">
        <v>258</v>
      </c>
      <c r="B286" t="s">
        <v>259</v>
      </c>
      <c r="C286" t="str">
        <f>CONCATENATE(B286, " ",A286)</f>
        <v>DALE WALENGA</v>
      </c>
      <c r="D286">
        <v>8325282</v>
      </c>
      <c r="E286" t="s">
        <v>667</v>
      </c>
      <c r="F286" t="str">
        <f>CONCATENATE(2,E286)</f>
        <v>2IANG10205994700001IL016</v>
      </c>
      <c r="G286" t="s">
        <v>668</v>
      </c>
      <c r="H286" s="1">
        <v>45566</v>
      </c>
      <c r="I286" t="s">
        <v>51</v>
      </c>
      <c r="J286" s="1">
        <v>45778</v>
      </c>
      <c r="K286" s="1">
        <f>DATE(YEAR(J286), MONTH(J286) +1, DAY(J286))</f>
        <v>45809</v>
      </c>
      <c r="M286">
        <v>20</v>
      </c>
      <c r="N286">
        <v>20</v>
      </c>
      <c r="O286" t="s">
        <v>67</v>
      </c>
      <c r="P286" t="s">
        <v>812</v>
      </c>
    </row>
    <row r="287" spans="1:22" x14ac:dyDescent="0.25">
      <c r="A287" t="s">
        <v>174</v>
      </c>
      <c r="B287" t="s">
        <v>175</v>
      </c>
      <c r="C287" t="str">
        <f>CONCATENATE(B287, " ",A287)</f>
        <v>FRANK LISKOVEC</v>
      </c>
      <c r="D287">
        <v>8814784</v>
      </c>
      <c r="E287" t="s">
        <v>669</v>
      </c>
      <c r="F287" t="str">
        <f>CONCATENATE(2,E287)</f>
        <v>2IANG10205000130001IL016</v>
      </c>
      <c r="G287" t="s">
        <v>670</v>
      </c>
      <c r="H287" s="1">
        <v>45536</v>
      </c>
      <c r="I287" t="s">
        <v>51</v>
      </c>
      <c r="J287" s="1">
        <v>45778</v>
      </c>
      <c r="K287" s="1">
        <f>DATE(YEAR(J287), MONTH(J287) +1, DAY(J287))</f>
        <v>45809</v>
      </c>
      <c r="L287" t="s">
        <v>811</v>
      </c>
      <c r="M287">
        <v>100</v>
      </c>
      <c r="N287">
        <v>100</v>
      </c>
      <c r="O287" t="s">
        <v>52</v>
      </c>
      <c r="P287" t="s">
        <v>812</v>
      </c>
    </row>
    <row r="288" spans="1:22" x14ac:dyDescent="0.25">
      <c r="A288" t="s">
        <v>671</v>
      </c>
      <c r="B288" t="s">
        <v>672</v>
      </c>
      <c r="C288" t="str">
        <f>CONCATENATE(B288, " ",A288)</f>
        <v>CAROL FOLEY</v>
      </c>
      <c r="D288" t="s">
        <v>816</v>
      </c>
      <c r="E288" t="s">
        <v>673</v>
      </c>
      <c r="F288" t="str">
        <f>CONCATENATE(2,E288)</f>
        <v>2IANG10166575430001TX016</v>
      </c>
      <c r="G288" t="s">
        <v>674</v>
      </c>
      <c r="H288" s="1">
        <v>44927</v>
      </c>
      <c r="I288" t="s">
        <v>43</v>
      </c>
      <c r="J288" s="1">
        <v>45778</v>
      </c>
      <c r="K288" s="1">
        <f>DATE(YEAR(J288), MONTH(J288) +1, DAY(J288))</f>
        <v>45809</v>
      </c>
      <c r="L288" t="s">
        <v>808</v>
      </c>
      <c r="M288">
        <v>50</v>
      </c>
      <c r="N288">
        <v>50</v>
      </c>
      <c r="O288" t="s">
        <v>44</v>
      </c>
      <c r="P288" t="s">
        <v>814</v>
      </c>
    </row>
    <row r="289" spans="1:22" x14ac:dyDescent="0.25">
      <c r="A289" t="s">
        <v>127</v>
      </c>
      <c r="B289" t="s">
        <v>128</v>
      </c>
      <c r="C289" t="str">
        <f>CONCATENATE(B289, " ",A289)</f>
        <v>ANDREW CHOI</v>
      </c>
      <c r="D289">
        <v>7470776</v>
      </c>
      <c r="E289" t="s">
        <v>675</v>
      </c>
      <c r="F289" t="str">
        <f>CONCATENATE(2,E289)</f>
        <v>2IANG10210037530001IL016</v>
      </c>
      <c r="G289" t="s">
        <v>676</v>
      </c>
      <c r="H289" s="1">
        <v>45627</v>
      </c>
      <c r="I289" t="s">
        <v>51</v>
      </c>
      <c r="J289" s="1">
        <v>45778</v>
      </c>
      <c r="K289" s="1">
        <f>DATE(YEAR(J289), MONTH(J289) +1, DAY(J289))</f>
        <v>45809</v>
      </c>
      <c r="L289" t="s">
        <v>810</v>
      </c>
      <c r="M289">
        <v>80</v>
      </c>
      <c r="N289">
        <v>80</v>
      </c>
      <c r="O289" t="s">
        <v>52</v>
      </c>
      <c r="P289" t="s">
        <v>812</v>
      </c>
    </row>
    <row r="290" spans="1:22" x14ac:dyDescent="0.25">
      <c r="A290" t="s">
        <v>514</v>
      </c>
      <c r="B290" t="s">
        <v>515</v>
      </c>
      <c r="C290" t="str">
        <f>CONCATENATE(B290, " ",A290)</f>
        <v>Jake Shulman</v>
      </c>
      <c r="D290">
        <v>18201929</v>
      </c>
      <c r="E290" t="s">
        <v>677</v>
      </c>
      <c r="F290" t="str">
        <f>CONCATENATE(2,E290)</f>
        <v>2IANG10188042710001IL016</v>
      </c>
      <c r="G290" t="s">
        <v>678</v>
      </c>
      <c r="H290" s="1">
        <v>45292</v>
      </c>
      <c r="I290" t="s">
        <v>51</v>
      </c>
      <c r="J290" s="1">
        <v>45778</v>
      </c>
      <c r="K290" s="1">
        <f>DATE(YEAR(J290), MONTH(J290) +1, DAY(J290))</f>
        <v>45809</v>
      </c>
      <c r="M290">
        <v>20</v>
      </c>
      <c r="N290">
        <v>20</v>
      </c>
      <c r="O290" t="s">
        <v>52</v>
      </c>
      <c r="P290" t="s">
        <v>812</v>
      </c>
    </row>
    <row r="291" spans="1:22" x14ac:dyDescent="0.25">
      <c r="A291" t="s">
        <v>47</v>
      </c>
      <c r="B291" t="s">
        <v>48</v>
      </c>
      <c r="C291" t="str">
        <f>CONCATENATE(B291, " ",A291)</f>
        <v>GARY PORTUGAL</v>
      </c>
      <c r="D291">
        <v>9213293</v>
      </c>
      <c r="E291" t="s">
        <v>679</v>
      </c>
      <c r="F291" t="str">
        <f>CONCATENATE(2,E291)</f>
        <v>2IANG10216900660001IL016</v>
      </c>
      <c r="G291" t="s">
        <v>680</v>
      </c>
      <c r="H291" s="1">
        <v>45778</v>
      </c>
      <c r="I291" t="s">
        <v>51</v>
      </c>
      <c r="J291" s="1">
        <v>45778</v>
      </c>
      <c r="K291" s="1">
        <f>DATE(YEAR(J291), MONTH(J291) +1, DAY(J291))</f>
        <v>45809</v>
      </c>
      <c r="M291">
        <v>20</v>
      </c>
      <c r="N291">
        <v>20</v>
      </c>
      <c r="O291" t="s">
        <v>67</v>
      </c>
      <c r="P291" t="s">
        <v>812</v>
      </c>
    </row>
    <row r="292" spans="1:22" x14ac:dyDescent="0.25">
      <c r="A292" t="s">
        <v>63</v>
      </c>
      <c r="B292" t="s">
        <v>64</v>
      </c>
      <c r="C292" t="str">
        <f>CONCATENATE(B292, " ",A292)</f>
        <v>Melissa Tatro</v>
      </c>
      <c r="D292">
        <v>14177521</v>
      </c>
      <c r="E292" t="s">
        <v>681</v>
      </c>
      <c r="F292" t="str">
        <f>CONCATENATE(2,E292)</f>
        <v>2IANG10180804940001IL016</v>
      </c>
      <c r="G292" t="s">
        <v>682</v>
      </c>
      <c r="H292" s="1">
        <v>45292</v>
      </c>
      <c r="I292" t="s">
        <v>51</v>
      </c>
      <c r="J292" s="1">
        <v>45778</v>
      </c>
      <c r="K292" s="1">
        <f>DATE(YEAR(J292), MONTH(J292) +1, DAY(J292))</f>
        <v>45809</v>
      </c>
      <c r="M292">
        <v>20</v>
      </c>
      <c r="N292">
        <v>20</v>
      </c>
      <c r="O292" t="s">
        <v>52</v>
      </c>
      <c r="P292" t="s">
        <v>812</v>
      </c>
    </row>
    <row r="293" spans="1:22" x14ac:dyDescent="0.25">
      <c r="A293" t="s">
        <v>35</v>
      </c>
      <c r="B293" t="s">
        <v>36</v>
      </c>
      <c r="C293" t="str">
        <f>CONCATENATE(B293, " ",A293)</f>
        <v>Adam Richter</v>
      </c>
      <c r="D293">
        <v>9079571</v>
      </c>
      <c r="E293" t="s">
        <v>683</v>
      </c>
      <c r="F293" t="str">
        <f>CONCATENATE(2,E293)</f>
        <v>2IANG10193761030002MD016</v>
      </c>
      <c r="G293" t="s">
        <v>684</v>
      </c>
      <c r="H293" s="1">
        <v>45323</v>
      </c>
      <c r="I293" t="s">
        <v>33</v>
      </c>
      <c r="J293" s="1">
        <v>45778</v>
      </c>
      <c r="K293" s="1">
        <f>DATE(YEAR(J293), MONTH(J293) +1, DAY(J293))</f>
        <v>45809</v>
      </c>
      <c r="M293">
        <v>10</v>
      </c>
      <c r="N293">
        <v>10</v>
      </c>
      <c r="O293" t="s">
        <v>34</v>
      </c>
      <c r="P293" t="s">
        <v>813</v>
      </c>
    </row>
    <row r="294" spans="1:22" x14ac:dyDescent="0.25">
      <c r="A294" s="3" t="s">
        <v>225</v>
      </c>
      <c r="B294" s="3" t="s">
        <v>226</v>
      </c>
      <c r="C294" s="3" t="str">
        <f>CONCATENATE(B294, " ",A294)</f>
        <v>CAROLYN WILSON-SMITH</v>
      </c>
      <c r="D294" s="3">
        <v>7387433</v>
      </c>
      <c r="E294" s="3" t="s">
        <v>685</v>
      </c>
      <c r="F294" s="3" t="str">
        <f>CONCATENATE(2,E294)</f>
        <v>2IANG10206238650002MD016</v>
      </c>
      <c r="G294" s="3" t="s">
        <v>686</v>
      </c>
      <c r="H294" s="4">
        <v>45566</v>
      </c>
      <c r="I294" s="3" t="s">
        <v>33</v>
      </c>
      <c r="J294" s="4">
        <v>45778</v>
      </c>
      <c r="K294" s="1">
        <f>DATE(YEAR(J294), MONTH(J294) +1, DAY(J294))</f>
        <v>45809</v>
      </c>
      <c r="L294" s="3" t="s">
        <v>808</v>
      </c>
      <c r="M294" s="3">
        <v>20</v>
      </c>
      <c r="N294" s="3">
        <v>20</v>
      </c>
      <c r="O294" s="3" t="s">
        <v>34</v>
      </c>
      <c r="P294" s="3" t="s">
        <v>813</v>
      </c>
      <c r="Q294" s="3"/>
      <c r="R294" s="3"/>
      <c r="S294" s="3"/>
      <c r="T294" s="3"/>
      <c r="U294" s="3"/>
      <c r="V294" s="3"/>
    </row>
    <row r="295" spans="1:22" x14ac:dyDescent="0.25">
      <c r="A295" t="s">
        <v>117</v>
      </c>
      <c r="B295" t="s">
        <v>118</v>
      </c>
      <c r="C295" t="str">
        <f>CONCATENATE(B295, " ",A295)</f>
        <v>Thomas Pardue</v>
      </c>
      <c r="D295">
        <v>371819</v>
      </c>
      <c r="E295" t="s">
        <v>687</v>
      </c>
      <c r="F295" t="str">
        <f>CONCATENATE(2,E295)</f>
        <v>2IANG10205416270001AZ018</v>
      </c>
      <c r="G295" t="s">
        <v>688</v>
      </c>
      <c r="H295" s="1">
        <v>45536</v>
      </c>
      <c r="I295" t="s">
        <v>135</v>
      </c>
      <c r="J295" s="1">
        <v>45778</v>
      </c>
      <c r="K295" s="1">
        <f>DATE(YEAR(J295), MONTH(J295) +1, DAY(J295))</f>
        <v>45809</v>
      </c>
      <c r="L295" t="s">
        <v>808</v>
      </c>
      <c r="M295">
        <v>40</v>
      </c>
      <c r="N295">
        <v>40</v>
      </c>
      <c r="O295" t="s">
        <v>136</v>
      </c>
      <c r="P295" t="s">
        <v>812</v>
      </c>
    </row>
    <row r="296" spans="1:22" x14ac:dyDescent="0.25">
      <c r="A296" t="s">
        <v>63</v>
      </c>
      <c r="B296" t="s">
        <v>64</v>
      </c>
      <c r="C296" t="str">
        <f>CONCATENATE(B296, " ",A296)</f>
        <v>Melissa Tatro</v>
      </c>
      <c r="D296">
        <v>14177521</v>
      </c>
      <c r="E296" t="s">
        <v>689</v>
      </c>
      <c r="F296" t="str">
        <f>CONCATENATE(2,E296)</f>
        <v>2IANG10212501110001IL016</v>
      </c>
      <c r="G296" t="s">
        <v>690</v>
      </c>
      <c r="H296" s="1">
        <v>45658</v>
      </c>
      <c r="I296" t="s">
        <v>51</v>
      </c>
      <c r="J296" s="1">
        <v>45778</v>
      </c>
      <c r="K296" s="1">
        <f>DATE(YEAR(J296), MONTH(J296) +1, DAY(J296))</f>
        <v>45809</v>
      </c>
      <c r="M296">
        <v>20</v>
      </c>
      <c r="N296">
        <v>20</v>
      </c>
      <c r="O296" t="s">
        <v>67</v>
      </c>
      <c r="P296" t="s">
        <v>812</v>
      </c>
    </row>
    <row r="297" spans="1:22" x14ac:dyDescent="0.25">
      <c r="A297" s="3" t="s">
        <v>332</v>
      </c>
      <c r="B297" s="3" t="s">
        <v>333</v>
      </c>
      <c r="C297" s="3" t="str">
        <f>CONCATENATE(B297, " ",A297)</f>
        <v>Jared Kinyua</v>
      </c>
      <c r="D297" s="3">
        <v>19279958</v>
      </c>
      <c r="E297" s="3" t="s">
        <v>691</v>
      </c>
      <c r="F297" s="3" t="str">
        <f>CONCATENATE(2,E297)</f>
        <v>2IANG10205893560002MD016</v>
      </c>
      <c r="G297" s="3" t="s">
        <v>692</v>
      </c>
      <c r="H297" s="4">
        <v>45566</v>
      </c>
      <c r="I297" s="3" t="s">
        <v>33</v>
      </c>
      <c r="J297" s="4">
        <v>45778</v>
      </c>
      <c r="K297" s="1">
        <f>DATE(YEAR(J297), MONTH(J297) +1, DAY(J297))</f>
        <v>45809</v>
      </c>
      <c r="L297" s="3"/>
      <c r="M297" s="3">
        <v>10</v>
      </c>
      <c r="N297" s="3">
        <v>10</v>
      </c>
      <c r="O297" s="3" t="s">
        <v>34</v>
      </c>
      <c r="P297" s="3" t="s">
        <v>813</v>
      </c>
      <c r="Q297" s="3"/>
      <c r="R297" s="3"/>
      <c r="S297" s="3"/>
      <c r="T297" s="3"/>
      <c r="U297" s="3"/>
      <c r="V297" s="3"/>
    </row>
    <row r="298" spans="1:22" x14ac:dyDescent="0.25">
      <c r="A298" t="s">
        <v>47</v>
      </c>
      <c r="B298" t="s">
        <v>48</v>
      </c>
      <c r="C298" t="str">
        <f>CONCATENATE(B298, " ",A298)</f>
        <v>GARY PORTUGAL</v>
      </c>
      <c r="D298">
        <v>9213293</v>
      </c>
      <c r="E298" t="s">
        <v>693</v>
      </c>
      <c r="F298" t="str">
        <f>CONCATENATE(2,E298)</f>
        <v>2IANG10198071040001IL016</v>
      </c>
      <c r="G298" t="s">
        <v>694</v>
      </c>
      <c r="H298" s="1">
        <v>45413</v>
      </c>
      <c r="I298" t="s">
        <v>51</v>
      </c>
      <c r="J298" s="1">
        <v>45778</v>
      </c>
      <c r="K298" s="1">
        <f>DATE(YEAR(J298), MONTH(J298) +1, DAY(J298))</f>
        <v>45809</v>
      </c>
      <c r="M298">
        <v>20</v>
      </c>
      <c r="N298">
        <v>20</v>
      </c>
      <c r="O298" t="s">
        <v>52</v>
      </c>
      <c r="P298" t="s">
        <v>812</v>
      </c>
    </row>
    <row r="299" spans="1:22" x14ac:dyDescent="0.25">
      <c r="A299" t="s">
        <v>93</v>
      </c>
      <c r="B299" t="s">
        <v>94</v>
      </c>
      <c r="C299" t="str">
        <f>CONCATENATE(B299, " ",A299)</f>
        <v>Jacob Yale</v>
      </c>
      <c r="D299">
        <v>18754354</v>
      </c>
      <c r="E299" t="s">
        <v>695</v>
      </c>
      <c r="F299" t="str">
        <f>CONCATENATE(2,E299)</f>
        <v>2IANG10210266080001IL016</v>
      </c>
      <c r="G299" t="s">
        <v>696</v>
      </c>
      <c r="H299" s="1">
        <v>45658</v>
      </c>
      <c r="I299" t="s">
        <v>51</v>
      </c>
      <c r="J299" s="1">
        <v>45778</v>
      </c>
      <c r="K299" s="1">
        <f>DATE(YEAR(J299), MONTH(J299) +1, DAY(J299))</f>
        <v>45809</v>
      </c>
      <c r="L299" t="s">
        <v>808</v>
      </c>
      <c r="M299">
        <v>40</v>
      </c>
      <c r="N299">
        <v>40</v>
      </c>
      <c r="O299" t="s">
        <v>67</v>
      </c>
      <c r="P299" t="s">
        <v>812</v>
      </c>
    </row>
    <row r="300" spans="1:22" x14ac:dyDescent="0.25">
      <c r="A300" t="s">
        <v>123</v>
      </c>
      <c r="B300" t="s">
        <v>124</v>
      </c>
      <c r="C300" t="str">
        <f>CONCATENATE(B300, " ",A300)</f>
        <v>RICARDO SANTOS</v>
      </c>
      <c r="D300">
        <v>19200754</v>
      </c>
      <c r="E300" t="s">
        <v>697</v>
      </c>
      <c r="F300" t="str">
        <f>CONCATENATE(2,E300)</f>
        <v>2IANG10190361340001IL016</v>
      </c>
      <c r="G300" t="s">
        <v>698</v>
      </c>
      <c r="H300" s="1">
        <v>45292</v>
      </c>
      <c r="I300" t="s">
        <v>51</v>
      </c>
      <c r="J300" s="1">
        <v>45778</v>
      </c>
      <c r="K300" s="1">
        <f>DATE(YEAR(J300), MONTH(J300) +1, DAY(J300))</f>
        <v>45809</v>
      </c>
      <c r="M300">
        <v>20</v>
      </c>
      <c r="N300">
        <v>20</v>
      </c>
      <c r="O300" t="s">
        <v>52</v>
      </c>
      <c r="P300" t="s">
        <v>812</v>
      </c>
    </row>
    <row r="301" spans="1:22" x14ac:dyDescent="0.25">
      <c r="A301" t="s">
        <v>57</v>
      </c>
      <c r="B301" t="s">
        <v>58</v>
      </c>
      <c r="C301" t="str">
        <f>CONCATENATE(B301, " ",A301)</f>
        <v>Ryan Caltagirone</v>
      </c>
      <c r="D301">
        <v>8977234</v>
      </c>
      <c r="E301" t="s">
        <v>699</v>
      </c>
      <c r="F301" t="str">
        <f>CONCATENATE(2,E301)</f>
        <v>2IANG10204565120001IL016</v>
      </c>
      <c r="G301" t="s">
        <v>700</v>
      </c>
      <c r="H301" s="1">
        <v>45536</v>
      </c>
      <c r="I301" t="s">
        <v>51</v>
      </c>
      <c r="J301" s="1">
        <v>45778</v>
      </c>
      <c r="K301" s="1">
        <f>DATE(YEAR(J301), MONTH(J301) +1, DAY(J301))</f>
        <v>45809</v>
      </c>
      <c r="M301">
        <v>20</v>
      </c>
      <c r="N301">
        <v>20</v>
      </c>
      <c r="O301" t="s">
        <v>52</v>
      </c>
      <c r="P301" t="s">
        <v>812</v>
      </c>
    </row>
    <row r="302" spans="1:22" x14ac:dyDescent="0.25">
      <c r="A302" t="s">
        <v>35</v>
      </c>
      <c r="B302" t="s">
        <v>36</v>
      </c>
      <c r="C302" t="str">
        <f>CONCATENATE(B302, " ",A302)</f>
        <v>Adam Richter</v>
      </c>
      <c r="D302">
        <v>9079571</v>
      </c>
      <c r="E302" t="s">
        <v>701</v>
      </c>
      <c r="F302" t="str">
        <f>CONCATENATE(2,E302)</f>
        <v>2IANG10166172710001FL016</v>
      </c>
      <c r="G302" t="s">
        <v>702</v>
      </c>
      <c r="H302" s="1">
        <v>44927</v>
      </c>
      <c r="I302" t="s">
        <v>25</v>
      </c>
      <c r="J302" s="1">
        <v>45778</v>
      </c>
      <c r="K302" s="1">
        <f>DATE(YEAR(J302), MONTH(J302) +1, DAY(J302))</f>
        <v>45809</v>
      </c>
      <c r="M302">
        <v>20</v>
      </c>
      <c r="N302">
        <v>20</v>
      </c>
      <c r="O302" t="s">
        <v>26</v>
      </c>
      <c r="P302" t="s">
        <v>812</v>
      </c>
    </row>
    <row r="303" spans="1:22" x14ac:dyDescent="0.25">
      <c r="A303" t="s">
        <v>57</v>
      </c>
      <c r="B303" t="s">
        <v>58</v>
      </c>
      <c r="C303" t="str">
        <f>CONCATENATE(B303, " ",A303)</f>
        <v>Ryan Caltagirone</v>
      </c>
      <c r="D303">
        <v>8977234</v>
      </c>
      <c r="E303" t="s">
        <v>703</v>
      </c>
      <c r="F303" t="str">
        <f>CONCATENATE(2,E303)</f>
        <v>2IANG10216655160001UT016</v>
      </c>
      <c r="G303" t="s">
        <v>704</v>
      </c>
      <c r="H303" s="1">
        <v>45778</v>
      </c>
      <c r="I303" t="s">
        <v>140</v>
      </c>
      <c r="J303" s="1">
        <v>45778</v>
      </c>
      <c r="K303" s="1">
        <f>DATE(YEAR(J303), MONTH(J303) +1, DAY(J303))</f>
        <v>45809</v>
      </c>
      <c r="M303">
        <v>21</v>
      </c>
      <c r="N303">
        <v>21</v>
      </c>
      <c r="O303" t="s">
        <v>141</v>
      </c>
      <c r="P303" t="s">
        <v>815</v>
      </c>
    </row>
    <row r="304" spans="1:22" x14ac:dyDescent="0.25">
      <c r="A304" t="s">
        <v>70</v>
      </c>
      <c r="B304" t="s">
        <v>71</v>
      </c>
      <c r="C304" t="str">
        <f>CONCATENATE(B304, " ",A304)</f>
        <v>RICHARD YALE</v>
      </c>
      <c r="D304">
        <v>16633294</v>
      </c>
      <c r="E304" t="s">
        <v>705</v>
      </c>
      <c r="F304" t="str">
        <f>CONCATENATE(2,E304)</f>
        <v>2IANG10165165070001IL016</v>
      </c>
      <c r="G304" t="s">
        <v>706</v>
      </c>
      <c r="H304" s="1">
        <v>44927</v>
      </c>
      <c r="I304" t="s">
        <v>51</v>
      </c>
      <c r="J304" s="1">
        <v>45778</v>
      </c>
      <c r="K304" s="1">
        <f>DATE(YEAR(J304), MONTH(J304) +1, DAY(J304))</f>
        <v>45809</v>
      </c>
      <c r="M304">
        <v>20</v>
      </c>
      <c r="N304">
        <v>20</v>
      </c>
      <c r="O304" t="s">
        <v>52</v>
      </c>
      <c r="P304" t="s">
        <v>812</v>
      </c>
    </row>
    <row r="305" spans="1:16" s="5" customFormat="1" x14ac:dyDescent="0.25">
      <c r="A305" s="5" t="s">
        <v>418</v>
      </c>
      <c r="B305" s="5" t="s">
        <v>419</v>
      </c>
      <c r="C305" s="5" t="str">
        <f>CONCATENATE(B305, " ",A305)</f>
        <v>Jason Hoffmann</v>
      </c>
      <c r="D305" s="5">
        <v>15278437</v>
      </c>
      <c r="E305" s="5" t="s">
        <v>707</v>
      </c>
      <c r="F305" s="5" t="str">
        <f>CONCATENATE(2,E305)</f>
        <v>2IANG10212571250001IL016</v>
      </c>
      <c r="G305" s="5" t="s">
        <v>708</v>
      </c>
      <c r="H305" s="6">
        <v>45658</v>
      </c>
      <c r="I305" s="5" t="s">
        <v>51</v>
      </c>
      <c r="J305" s="6">
        <v>45778</v>
      </c>
      <c r="K305" s="6">
        <f>DATE(YEAR(J305), MONTH(J305) +1, DAY(J305))</f>
        <v>45809</v>
      </c>
      <c r="M305" s="5">
        <v>20</v>
      </c>
      <c r="N305" s="5">
        <v>20</v>
      </c>
      <c r="O305" s="5" t="s">
        <v>67</v>
      </c>
      <c r="P305" s="5" t="s">
        <v>812</v>
      </c>
    </row>
    <row r="306" spans="1:16" x14ac:dyDescent="0.25">
      <c r="A306" t="s">
        <v>63</v>
      </c>
      <c r="B306" t="s">
        <v>64</v>
      </c>
      <c r="C306" t="str">
        <f>CONCATENATE(B306, " ",A306)</f>
        <v>Melissa Tatro</v>
      </c>
      <c r="D306">
        <v>14177521</v>
      </c>
      <c r="E306" t="s">
        <v>709</v>
      </c>
      <c r="F306" t="str">
        <f>CONCATENATE(2,E306)</f>
        <v>2IANG10188577400001IL016</v>
      </c>
      <c r="G306" t="s">
        <v>710</v>
      </c>
      <c r="H306" s="1">
        <v>45292</v>
      </c>
      <c r="I306" t="s">
        <v>51</v>
      </c>
      <c r="J306" s="1">
        <v>45778</v>
      </c>
      <c r="K306" s="1">
        <f>DATE(YEAR(J306), MONTH(J306) +1, DAY(J306))</f>
        <v>45809</v>
      </c>
      <c r="M306">
        <v>20</v>
      </c>
      <c r="N306">
        <v>20</v>
      </c>
      <c r="O306" t="s">
        <v>52</v>
      </c>
      <c r="P306" t="s">
        <v>812</v>
      </c>
    </row>
    <row r="307" spans="1:16" x14ac:dyDescent="0.25">
      <c r="A307" t="s">
        <v>19</v>
      </c>
      <c r="B307" t="s">
        <v>20</v>
      </c>
      <c r="C307" t="str">
        <f>CONCATENATE(B307, " ",A307)</f>
        <v>CHRISTIAN TAUGNER</v>
      </c>
      <c r="D307">
        <v>19681796</v>
      </c>
      <c r="E307" t="s">
        <v>711</v>
      </c>
      <c r="F307" t="str">
        <f>CONCATENATE(2,E307)</f>
        <v>2IANG10200714520001IL016</v>
      </c>
      <c r="G307" t="s">
        <v>712</v>
      </c>
      <c r="H307" s="1">
        <v>45444</v>
      </c>
      <c r="I307" t="s">
        <v>51</v>
      </c>
      <c r="J307" s="1">
        <v>45778</v>
      </c>
      <c r="K307" s="1">
        <f>DATE(YEAR(J307), MONTH(J307) +1, DAY(J307))</f>
        <v>45809</v>
      </c>
      <c r="M307">
        <v>20</v>
      </c>
      <c r="N307">
        <v>20</v>
      </c>
      <c r="O307" t="s">
        <v>52</v>
      </c>
      <c r="P307" t="s">
        <v>812</v>
      </c>
    </row>
    <row r="308" spans="1:16" x14ac:dyDescent="0.25">
      <c r="A308" t="s">
        <v>174</v>
      </c>
      <c r="B308" t="s">
        <v>175</v>
      </c>
      <c r="C308" t="str">
        <f>CONCATENATE(B308, " ",A308)</f>
        <v>FRANK LISKOVEC</v>
      </c>
      <c r="D308">
        <v>8814784</v>
      </c>
      <c r="E308" t="s">
        <v>713</v>
      </c>
      <c r="F308" t="str">
        <f>CONCATENATE(2,E308)</f>
        <v>2IANG10190579040001IL016</v>
      </c>
      <c r="G308" t="s">
        <v>714</v>
      </c>
      <c r="H308" s="1">
        <v>45292</v>
      </c>
      <c r="I308" t="s">
        <v>51</v>
      </c>
      <c r="J308" s="1">
        <v>45778</v>
      </c>
      <c r="K308" s="1">
        <f>DATE(YEAR(J308), MONTH(J308) +1, DAY(J308))</f>
        <v>45809</v>
      </c>
      <c r="L308" t="s">
        <v>808</v>
      </c>
      <c r="M308">
        <v>40</v>
      </c>
      <c r="N308">
        <v>40</v>
      </c>
      <c r="O308" t="s">
        <v>52</v>
      </c>
      <c r="P308" t="s">
        <v>812</v>
      </c>
    </row>
    <row r="309" spans="1:16" x14ac:dyDescent="0.25">
      <c r="A309" t="s">
        <v>57</v>
      </c>
      <c r="B309" t="s">
        <v>58</v>
      </c>
      <c r="C309" t="str">
        <f>CONCATENATE(B309, " ",A309)</f>
        <v>Ryan Caltagirone</v>
      </c>
      <c r="D309">
        <v>8977234</v>
      </c>
      <c r="E309" t="s">
        <v>715</v>
      </c>
      <c r="F309" t="str">
        <f>CONCATENATE(2,E309)</f>
        <v>2IANG10183475490001FL016</v>
      </c>
      <c r="G309" t="s">
        <v>716</v>
      </c>
      <c r="H309" s="1">
        <v>45292</v>
      </c>
      <c r="I309" t="s">
        <v>25</v>
      </c>
      <c r="J309" s="1">
        <v>45778</v>
      </c>
      <c r="K309" s="1">
        <f>DATE(YEAR(J309), MONTH(J309) +1, DAY(J309))</f>
        <v>45809</v>
      </c>
      <c r="M309">
        <v>20</v>
      </c>
      <c r="N309">
        <v>20</v>
      </c>
      <c r="O309" t="s">
        <v>26</v>
      </c>
      <c r="P309" t="s">
        <v>812</v>
      </c>
    </row>
    <row r="310" spans="1:16" x14ac:dyDescent="0.25">
      <c r="A310" t="s">
        <v>63</v>
      </c>
      <c r="B310" t="s">
        <v>64</v>
      </c>
      <c r="C310" t="str">
        <f>CONCATENATE(B310, " ",A310)</f>
        <v>Melissa Tatro</v>
      </c>
      <c r="D310">
        <v>14177521</v>
      </c>
      <c r="E310" t="s">
        <v>717</v>
      </c>
      <c r="F310" t="str">
        <f>CONCATENATE(2,E310)</f>
        <v>2IANG10210983720001IL016</v>
      </c>
      <c r="G310" t="s">
        <v>718</v>
      </c>
      <c r="H310" s="1">
        <v>45323</v>
      </c>
      <c r="I310" t="s">
        <v>51</v>
      </c>
      <c r="J310" s="1">
        <v>45778</v>
      </c>
      <c r="K310" s="1">
        <f>DATE(YEAR(J310), MONTH(J310) +1, DAY(J310))</f>
        <v>45809</v>
      </c>
      <c r="M310">
        <v>20</v>
      </c>
      <c r="N310">
        <v>20</v>
      </c>
      <c r="O310" t="s">
        <v>67</v>
      </c>
      <c r="P310" t="s">
        <v>812</v>
      </c>
    </row>
    <row r="311" spans="1:16" x14ac:dyDescent="0.25">
      <c r="A311" t="s">
        <v>89</v>
      </c>
      <c r="B311" t="s">
        <v>90</v>
      </c>
      <c r="C311" t="str">
        <f>CONCATENATE(B311, " ",A311)</f>
        <v>SAADIA ABDUL</v>
      </c>
      <c r="D311">
        <v>19396223</v>
      </c>
      <c r="E311" t="s">
        <v>719</v>
      </c>
      <c r="F311" t="str">
        <f>CONCATENATE(2,E311)</f>
        <v>2IANG10214153980001IL016</v>
      </c>
      <c r="G311" t="s">
        <v>720</v>
      </c>
      <c r="H311" s="1">
        <v>45689</v>
      </c>
      <c r="I311" t="s">
        <v>51</v>
      </c>
      <c r="J311" s="1">
        <v>45778</v>
      </c>
      <c r="K311" s="1">
        <f>DATE(YEAR(J311), MONTH(J311) +1, DAY(J311))</f>
        <v>45809</v>
      </c>
      <c r="M311">
        <v>20</v>
      </c>
      <c r="N311">
        <v>20</v>
      </c>
      <c r="O311" t="s">
        <v>67</v>
      </c>
      <c r="P311" t="s">
        <v>812</v>
      </c>
    </row>
    <row r="312" spans="1:16" x14ac:dyDescent="0.25">
      <c r="A312" t="s">
        <v>89</v>
      </c>
      <c r="B312" t="s">
        <v>90</v>
      </c>
      <c r="C312" t="str">
        <f>CONCATENATE(B312, " ",A312)</f>
        <v>SAADIA ABDUL</v>
      </c>
      <c r="D312">
        <v>19396223</v>
      </c>
      <c r="E312" t="s">
        <v>719</v>
      </c>
      <c r="F312" t="str">
        <f>CONCATENATE(2,E312)</f>
        <v>2IANG10214153980001IL016</v>
      </c>
      <c r="G312" t="s">
        <v>720</v>
      </c>
      <c r="H312" s="1">
        <v>45689</v>
      </c>
      <c r="I312" t="s">
        <v>51</v>
      </c>
      <c r="J312" s="1">
        <v>45748</v>
      </c>
      <c r="K312" s="1">
        <f>DATE(YEAR(J312), MONTH(J312) +1, DAY(J312))</f>
        <v>45778</v>
      </c>
      <c r="M312">
        <v>20</v>
      </c>
      <c r="N312">
        <v>20</v>
      </c>
      <c r="O312" t="s">
        <v>67</v>
      </c>
      <c r="P312" t="s">
        <v>812</v>
      </c>
    </row>
    <row r="313" spans="1:16" x14ac:dyDescent="0.25">
      <c r="A313" t="s">
        <v>89</v>
      </c>
      <c r="B313" t="s">
        <v>90</v>
      </c>
      <c r="C313" t="str">
        <f>CONCATENATE(B313, " ",A313)</f>
        <v>SAADIA ABDUL</v>
      </c>
      <c r="D313">
        <v>19396223</v>
      </c>
      <c r="E313" t="s">
        <v>719</v>
      </c>
      <c r="F313" t="str">
        <f>CONCATENATE(2,E313)</f>
        <v>2IANG10214153980001IL016</v>
      </c>
      <c r="G313" t="s">
        <v>720</v>
      </c>
      <c r="H313" s="1">
        <v>45689</v>
      </c>
      <c r="I313" t="s">
        <v>51</v>
      </c>
      <c r="J313" s="1">
        <v>45717</v>
      </c>
      <c r="K313" s="1">
        <f>DATE(YEAR(J313), MONTH(J313) +1, DAY(J313))</f>
        <v>45748</v>
      </c>
      <c r="M313">
        <v>20</v>
      </c>
      <c r="N313">
        <v>20</v>
      </c>
      <c r="O313" t="s">
        <v>67</v>
      </c>
      <c r="P313" t="s">
        <v>812</v>
      </c>
    </row>
    <row r="314" spans="1:16" x14ac:dyDescent="0.25">
      <c r="A314" t="s">
        <v>35</v>
      </c>
      <c r="B314" t="s">
        <v>36</v>
      </c>
      <c r="C314" t="str">
        <f>CONCATENATE(B314, " ",A314)</f>
        <v>Adam Richter</v>
      </c>
      <c r="D314">
        <v>9079571</v>
      </c>
      <c r="E314" t="s">
        <v>721</v>
      </c>
      <c r="F314" t="str">
        <f>CONCATENATE(2,E314)</f>
        <v>2IANG10201576670002MD016</v>
      </c>
      <c r="G314" t="s">
        <v>722</v>
      </c>
      <c r="H314" s="1">
        <v>45444</v>
      </c>
      <c r="I314" t="s">
        <v>33</v>
      </c>
      <c r="J314" s="1">
        <v>45778</v>
      </c>
      <c r="K314" s="1">
        <f>DATE(YEAR(J314), MONTH(J314) +1, DAY(J314))</f>
        <v>45809</v>
      </c>
      <c r="M314">
        <v>10</v>
      </c>
      <c r="N314">
        <v>10</v>
      </c>
      <c r="O314" t="s">
        <v>34</v>
      </c>
      <c r="P314" t="s">
        <v>813</v>
      </c>
    </row>
    <row r="315" spans="1:16" x14ac:dyDescent="0.25">
      <c r="A315" t="s">
        <v>163</v>
      </c>
      <c r="B315" t="s">
        <v>164</v>
      </c>
      <c r="C315" t="str">
        <f>CONCATENATE(B315, " ",A315)</f>
        <v>BARRY SCHUMANN</v>
      </c>
      <c r="D315">
        <v>19586992</v>
      </c>
      <c r="E315" t="s">
        <v>723</v>
      </c>
      <c r="F315" t="str">
        <f>CONCATENATE(2,E315)</f>
        <v>2IANG10212552170001IL016</v>
      </c>
      <c r="G315" t="s">
        <v>724</v>
      </c>
      <c r="H315" s="1">
        <v>45658</v>
      </c>
      <c r="I315" t="s">
        <v>51</v>
      </c>
      <c r="J315" s="1">
        <v>45778</v>
      </c>
      <c r="K315" s="1">
        <f>DATE(YEAR(J315), MONTH(J315) +1, DAY(J315))</f>
        <v>45809</v>
      </c>
      <c r="M315">
        <v>20</v>
      </c>
      <c r="N315">
        <v>20</v>
      </c>
      <c r="O315" t="s">
        <v>67</v>
      </c>
      <c r="P315" t="s">
        <v>812</v>
      </c>
    </row>
    <row r="316" spans="1:16" x14ac:dyDescent="0.25">
      <c r="A316" t="s">
        <v>93</v>
      </c>
      <c r="B316" t="s">
        <v>94</v>
      </c>
      <c r="C316" t="str">
        <f>CONCATENATE(B316, " ",A316)</f>
        <v>Jacob Yale</v>
      </c>
      <c r="D316">
        <v>18754354</v>
      </c>
      <c r="E316" t="s">
        <v>725</v>
      </c>
      <c r="F316" t="str">
        <f>CONCATENATE(2,E316)</f>
        <v>2IANG10214116180001IL016</v>
      </c>
      <c r="G316" t="s">
        <v>726</v>
      </c>
      <c r="H316" s="1">
        <v>45689</v>
      </c>
      <c r="I316" t="s">
        <v>51</v>
      </c>
      <c r="J316" s="1">
        <v>45778</v>
      </c>
      <c r="K316" s="1">
        <f>DATE(YEAR(J316), MONTH(J316) +1, DAY(J316))</f>
        <v>45809</v>
      </c>
      <c r="M316">
        <v>20</v>
      </c>
      <c r="N316">
        <v>20</v>
      </c>
      <c r="O316" t="s">
        <v>67</v>
      </c>
      <c r="P316" t="s">
        <v>812</v>
      </c>
    </row>
    <row r="317" spans="1:16" x14ac:dyDescent="0.25">
      <c r="A317" t="s">
        <v>63</v>
      </c>
      <c r="B317" t="s">
        <v>64</v>
      </c>
      <c r="C317" t="str">
        <f>CONCATENATE(B317, " ",A317)</f>
        <v>Melissa Tatro</v>
      </c>
      <c r="D317">
        <v>14177521</v>
      </c>
      <c r="E317" t="s">
        <v>727</v>
      </c>
      <c r="F317" t="str">
        <f>CONCATENATE(2,E317)</f>
        <v>2IANG10213284110001IL016</v>
      </c>
      <c r="G317" t="s">
        <v>728</v>
      </c>
      <c r="H317" s="1">
        <v>45658</v>
      </c>
      <c r="I317" t="s">
        <v>51</v>
      </c>
      <c r="J317" s="1">
        <v>45778</v>
      </c>
      <c r="K317" s="1">
        <f>DATE(YEAR(J317), MONTH(J317) +1, DAY(J317))</f>
        <v>45809</v>
      </c>
      <c r="M317">
        <v>20</v>
      </c>
      <c r="N317">
        <v>20</v>
      </c>
      <c r="O317" t="s">
        <v>67</v>
      </c>
      <c r="P317" t="s">
        <v>812</v>
      </c>
    </row>
    <row r="318" spans="1:16" x14ac:dyDescent="0.25">
      <c r="A318" t="s">
        <v>290</v>
      </c>
      <c r="B318" t="s">
        <v>291</v>
      </c>
      <c r="C318" t="str">
        <f>CONCATENATE(B318, " ",A318)</f>
        <v>Brian Strohman</v>
      </c>
      <c r="D318">
        <v>21104854</v>
      </c>
      <c r="E318" t="s">
        <v>729</v>
      </c>
      <c r="F318" t="str">
        <f>CONCATENATE(2,E318)</f>
        <v>2IANG10212978150001IL016</v>
      </c>
      <c r="G318" t="s">
        <v>730</v>
      </c>
      <c r="H318" s="1">
        <v>45658</v>
      </c>
      <c r="I318" t="s">
        <v>51</v>
      </c>
      <c r="J318" s="1">
        <v>45778</v>
      </c>
      <c r="K318" s="1">
        <f>DATE(YEAR(J318), MONTH(J318) +1, DAY(J318))</f>
        <v>45809</v>
      </c>
      <c r="M318">
        <v>20</v>
      </c>
      <c r="N318">
        <v>20</v>
      </c>
      <c r="O318" t="s">
        <v>67</v>
      </c>
      <c r="P318" t="s">
        <v>812</v>
      </c>
    </row>
    <row r="319" spans="1:16" x14ac:dyDescent="0.25">
      <c r="A319" t="s">
        <v>117</v>
      </c>
      <c r="B319" t="s">
        <v>118</v>
      </c>
      <c r="C319" t="str">
        <f>CONCATENATE(B319, " ",A319)</f>
        <v>Thomas Pardue</v>
      </c>
      <c r="D319">
        <v>371819</v>
      </c>
      <c r="E319" t="s">
        <v>731</v>
      </c>
      <c r="F319" t="str">
        <f>CONCATENATE(2,E319)</f>
        <v>2IANG10215991450001FL016</v>
      </c>
      <c r="G319" t="s">
        <v>732</v>
      </c>
      <c r="H319" s="1">
        <v>45748</v>
      </c>
      <c r="I319" t="s">
        <v>25</v>
      </c>
      <c r="J319" s="1">
        <v>45778</v>
      </c>
      <c r="K319" s="1">
        <f>DATE(YEAR(J319), MONTH(J319) +1, DAY(J319))</f>
        <v>45809</v>
      </c>
      <c r="L319" t="s">
        <v>810</v>
      </c>
      <c r="M319">
        <v>80</v>
      </c>
      <c r="N319">
        <v>80</v>
      </c>
      <c r="O319" t="s">
        <v>74</v>
      </c>
      <c r="P319" t="s">
        <v>812</v>
      </c>
    </row>
    <row r="320" spans="1:16" x14ac:dyDescent="0.25">
      <c r="A320" t="s">
        <v>19</v>
      </c>
      <c r="B320" t="s">
        <v>20</v>
      </c>
      <c r="C320" t="str">
        <f>CONCATENATE(B320, " ",A320)</f>
        <v>CHRISTIAN TAUGNER</v>
      </c>
      <c r="D320">
        <v>19681796</v>
      </c>
      <c r="E320" t="s">
        <v>733</v>
      </c>
      <c r="F320" t="str">
        <f>CONCATENATE(2,E320)</f>
        <v>2IANG10213023510001IL016</v>
      </c>
      <c r="G320" t="s">
        <v>734</v>
      </c>
      <c r="H320" s="1">
        <v>45658</v>
      </c>
      <c r="I320" t="s">
        <v>51</v>
      </c>
      <c r="J320" s="1">
        <v>45778</v>
      </c>
      <c r="K320" s="1">
        <f>DATE(YEAR(J320), MONTH(J320) +1, DAY(J320))</f>
        <v>45809</v>
      </c>
      <c r="M320">
        <v>20</v>
      </c>
      <c r="N320">
        <v>20</v>
      </c>
      <c r="O320" t="s">
        <v>67</v>
      </c>
      <c r="P320" t="s">
        <v>812</v>
      </c>
    </row>
    <row r="321" spans="1:16" x14ac:dyDescent="0.25">
      <c r="A321" t="s">
        <v>35</v>
      </c>
      <c r="B321" t="s">
        <v>36</v>
      </c>
      <c r="C321" t="str">
        <f>CONCATENATE(B321, " ",A321)</f>
        <v>Adam Richter</v>
      </c>
      <c r="D321">
        <v>9079571</v>
      </c>
      <c r="E321" t="s">
        <v>735</v>
      </c>
      <c r="F321" t="str">
        <f>CONCATENATE(2,E321)</f>
        <v>2IANG10165938960001NC016</v>
      </c>
      <c r="G321" t="s">
        <v>736</v>
      </c>
      <c r="H321" s="1">
        <v>44927</v>
      </c>
      <c r="I321" t="s">
        <v>322</v>
      </c>
      <c r="J321" s="1">
        <v>45778</v>
      </c>
      <c r="K321" s="1">
        <f>DATE(YEAR(J321), MONTH(J321) +1, DAY(J321))</f>
        <v>45809</v>
      </c>
      <c r="M321">
        <v>25</v>
      </c>
      <c r="N321">
        <v>25</v>
      </c>
      <c r="O321" t="s">
        <v>323</v>
      </c>
      <c r="P321" t="s">
        <v>814</v>
      </c>
    </row>
    <row r="322" spans="1:16" x14ac:dyDescent="0.25">
      <c r="A322" t="s">
        <v>625</v>
      </c>
      <c r="B322" t="s">
        <v>626</v>
      </c>
      <c r="C322" t="str">
        <f>CONCATENATE(B322, " ",A322)</f>
        <v>ANDREA PETRUNGARO</v>
      </c>
      <c r="D322">
        <v>16912722</v>
      </c>
      <c r="E322" t="s">
        <v>737</v>
      </c>
      <c r="F322" t="str">
        <f>CONCATENATE(2,E322)</f>
        <v>2IANG10199941430001IL016</v>
      </c>
      <c r="G322" t="s">
        <v>738</v>
      </c>
      <c r="H322" s="1">
        <v>45413</v>
      </c>
      <c r="I322" t="s">
        <v>51</v>
      </c>
      <c r="J322" s="1">
        <v>45778</v>
      </c>
      <c r="K322" s="1">
        <f>DATE(YEAR(J322), MONTH(J322) +1, DAY(J322))</f>
        <v>45809</v>
      </c>
      <c r="M322">
        <v>20</v>
      </c>
      <c r="N322">
        <v>20</v>
      </c>
      <c r="O322" t="s">
        <v>52</v>
      </c>
      <c r="P322" t="s">
        <v>812</v>
      </c>
    </row>
    <row r="323" spans="1:16" x14ac:dyDescent="0.25">
      <c r="A323" t="s">
        <v>671</v>
      </c>
      <c r="B323" t="s">
        <v>672</v>
      </c>
      <c r="C323" t="str">
        <f>CONCATENATE(B323, " ",A323)</f>
        <v>CAROL FOLEY</v>
      </c>
      <c r="D323">
        <v>17425766</v>
      </c>
      <c r="E323" t="s">
        <v>739</v>
      </c>
      <c r="F323" t="str">
        <f>CONCATENATE(2,E323)</f>
        <v>2IANG10206125860001NC016</v>
      </c>
      <c r="G323" t="s">
        <v>740</v>
      </c>
      <c r="H323" s="1">
        <v>45566</v>
      </c>
      <c r="I323" t="s">
        <v>322</v>
      </c>
      <c r="J323" s="1">
        <v>45778</v>
      </c>
      <c r="K323" s="1">
        <f>DATE(YEAR(J323), MONTH(J323) +1, DAY(J323))</f>
        <v>45809</v>
      </c>
      <c r="M323">
        <v>25</v>
      </c>
      <c r="N323">
        <v>25</v>
      </c>
      <c r="O323" t="s">
        <v>323</v>
      </c>
      <c r="P323" t="s">
        <v>814</v>
      </c>
    </row>
    <row r="324" spans="1:16" x14ac:dyDescent="0.25">
      <c r="A324" t="s">
        <v>671</v>
      </c>
      <c r="B324" t="s">
        <v>672</v>
      </c>
      <c r="C324" t="str">
        <f>CONCATENATE(B324, " ",A324)</f>
        <v>CAROL FOLEY</v>
      </c>
      <c r="D324">
        <v>17425766</v>
      </c>
      <c r="E324" t="s">
        <v>741</v>
      </c>
      <c r="F324" t="str">
        <f>CONCATENATE(2,E324)</f>
        <v>2IANG10206240650001NC016</v>
      </c>
      <c r="G324" t="s">
        <v>742</v>
      </c>
      <c r="H324" s="1">
        <v>45566</v>
      </c>
      <c r="I324" t="s">
        <v>322</v>
      </c>
      <c r="J324" s="1">
        <v>45778</v>
      </c>
      <c r="K324" s="1">
        <f>DATE(YEAR(J324), MONTH(J324) +1, DAY(J324))</f>
        <v>45809</v>
      </c>
      <c r="M324">
        <v>25</v>
      </c>
      <c r="N324">
        <v>25</v>
      </c>
      <c r="O324" t="s">
        <v>323</v>
      </c>
      <c r="P324" t="s">
        <v>814</v>
      </c>
    </row>
    <row r="325" spans="1:16" x14ac:dyDescent="0.25">
      <c r="A325" t="s">
        <v>53</v>
      </c>
      <c r="B325" t="s">
        <v>54</v>
      </c>
      <c r="C325" t="str">
        <f>CONCATENATE(B325, " ",A325)</f>
        <v>Ronald Max</v>
      </c>
      <c r="D325">
        <v>5442438</v>
      </c>
      <c r="E325" t="s">
        <v>743</v>
      </c>
      <c r="F325" t="str">
        <f>CONCATENATE(2,E325)</f>
        <v>2IANG10212760700001NC016</v>
      </c>
      <c r="G325" t="s">
        <v>744</v>
      </c>
      <c r="H325" s="1">
        <v>45658</v>
      </c>
      <c r="I325" t="s">
        <v>322</v>
      </c>
      <c r="J325" s="1">
        <v>45778</v>
      </c>
      <c r="K325" s="1">
        <f>DATE(YEAR(J325), MONTH(J325) +1, DAY(J325))</f>
        <v>45809</v>
      </c>
      <c r="M325">
        <v>25</v>
      </c>
      <c r="N325">
        <v>25</v>
      </c>
      <c r="O325" t="s">
        <v>745</v>
      </c>
      <c r="P325" t="s">
        <v>814</v>
      </c>
    </row>
    <row r="326" spans="1:16" x14ac:dyDescent="0.25">
      <c r="A326" t="s">
        <v>93</v>
      </c>
      <c r="B326" t="s">
        <v>94</v>
      </c>
      <c r="C326" t="str">
        <f>CONCATENATE(B326, " ",A326)</f>
        <v>Jacob Yale</v>
      </c>
      <c r="D326">
        <v>18754354</v>
      </c>
      <c r="E326" t="s">
        <v>746</v>
      </c>
      <c r="F326" t="str">
        <f>CONCATENATE(2,E326)</f>
        <v>2IANG10212425420001IL016</v>
      </c>
      <c r="G326" t="s">
        <v>747</v>
      </c>
      <c r="H326" s="1">
        <v>45658</v>
      </c>
      <c r="I326" t="s">
        <v>51</v>
      </c>
      <c r="J326" s="1">
        <v>45778</v>
      </c>
      <c r="K326" s="1">
        <f>DATE(YEAR(J326), MONTH(J326) +1, DAY(J326))</f>
        <v>45809</v>
      </c>
      <c r="M326">
        <v>20</v>
      </c>
      <c r="N326">
        <v>20</v>
      </c>
      <c r="O326" t="s">
        <v>67</v>
      </c>
      <c r="P326" t="s">
        <v>812</v>
      </c>
    </row>
    <row r="327" spans="1:16" x14ac:dyDescent="0.25">
      <c r="A327" t="s">
        <v>93</v>
      </c>
      <c r="B327" t="s">
        <v>94</v>
      </c>
      <c r="C327" t="str">
        <f>CONCATENATE(B327, " ",A327)</f>
        <v>Jacob Yale</v>
      </c>
      <c r="D327">
        <v>18754354</v>
      </c>
      <c r="E327" t="s">
        <v>748</v>
      </c>
      <c r="F327" t="str">
        <f>CONCATENATE(2,E327)</f>
        <v>2IANG10169019300001IL016</v>
      </c>
      <c r="G327" t="s">
        <v>749</v>
      </c>
      <c r="H327" s="1">
        <v>44958</v>
      </c>
      <c r="I327" t="s">
        <v>51</v>
      </c>
      <c r="J327" s="1">
        <v>45778</v>
      </c>
      <c r="K327" s="1">
        <f>DATE(YEAR(J327), MONTH(J327) +1, DAY(J327))</f>
        <v>45809</v>
      </c>
      <c r="M327">
        <v>20</v>
      </c>
      <c r="N327">
        <v>20</v>
      </c>
      <c r="O327" t="s">
        <v>52</v>
      </c>
      <c r="P327" t="s">
        <v>812</v>
      </c>
    </row>
    <row r="328" spans="1:16" x14ac:dyDescent="0.25">
      <c r="A328" t="s">
        <v>101</v>
      </c>
      <c r="B328" t="s">
        <v>102</v>
      </c>
      <c r="C328" t="str">
        <f>CONCATENATE(B328, " ",A328)</f>
        <v>Gregory Teipel</v>
      </c>
      <c r="D328">
        <v>8307933</v>
      </c>
      <c r="E328" t="s">
        <v>750</v>
      </c>
      <c r="F328" t="str">
        <f>CONCATENATE(2,E328)</f>
        <v>2IANG10201859300001TX016</v>
      </c>
      <c r="G328" t="s">
        <v>751</v>
      </c>
      <c r="H328" s="1">
        <v>45474</v>
      </c>
      <c r="I328" t="s">
        <v>43</v>
      </c>
      <c r="J328" s="1">
        <v>45778</v>
      </c>
      <c r="K328" s="1">
        <f>DATE(YEAR(J328), MONTH(J328) +1, DAY(J328))</f>
        <v>45809</v>
      </c>
      <c r="M328">
        <v>25</v>
      </c>
      <c r="N328">
        <v>25</v>
      </c>
      <c r="O328" t="s">
        <v>241</v>
      </c>
      <c r="P328" t="s">
        <v>814</v>
      </c>
    </row>
    <row r="329" spans="1:16" x14ac:dyDescent="0.25">
      <c r="A329" t="s">
        <v>113</v>
      </c>
      <c r="B329" t="s">
        <v>114</v>
      </c>
      <c r="C329" t="str">
        <f>CONCATENATE(B329, " ",A329)</f>
        <v>Stacey Portugal</v>
      </c>
      <c r="D329">
        <v>19645587</v>
      </c>
      <c r="E329" t="s">
        <v>752</v>
      </c>
      <c r="F329" t="str">
        <f>CONCATENATE(2,E329)</f>
        <v>2IANG10195273500001FL016</v>
      </c>
      <c r="G329" t="s">
        <v>753</v>
      </c>
      <c r="H329" s="1">
        <v>45352</v>
      </c>
      <c r="I329" t="s">
        <v>25</v>
      </c>
      <c r="J329" s="1">
        <v>45778</v>
      </c>
      <c r="K329" s="1">
        <f>DATE(YEAR(J329), MONTH(J329) +1, DAY(J329))</f>
        <v>45809</v>
      </c>
      <c r="L329" t="s">
        <v>809</v>
      </c>
      <c r="M329">
        <v>60</v>
      </c>
      <c r="N329">
        <v>60</v>
      </c>
      <c r="O329" t="s">
        <v>26</v>
      </c>
      <c r="P329" t="s">
        <v>812</v>
      </c>
    </row>
    <row r="330" spans="1:16" x14ac:dyDescent="0.25">
      <c r="A330" t="s">
        <v>117</v>
      </c>
      <c r="B330" t="s">
        <v>118</v>
      </c>
      <c r="C330" t="str">
        <f>CONCATENATE(B330, " ",A330)</f>
        <v>Thomas Pardue</v>
      </c>
      <c r="D330">
        <v>371819</v>
      </c>
      <c r="E330" t="s">
        <v>754</v>
      </c>
      <c r="F330" t="str">
        <f>CONCATENATE(2,E330)</f>
        <v>2IANG10205294130001UT016</v>
      </c>
      <c r="G330" t="s">
        <v>755</v>
      </c>
      <c r="H330" s="1">
        <v>45536</v>
      </c>
      <c r="I330" t="s">
        <v>140</v>
      </c>
      <c r="J330" s="1">
        <v>45778</v>
      </c>
      <c r="K330" s="1">
        <f>DATE(YEAR(J330), MONTH(J330) +1, DAY(J330))</f>
        <v>45809</v>
      </c>
      <c r="L330" t="s">
        <v>809</v>
      </c>
      <c r="M330">
        <v>63</v>
      </c>
      <c r="N330">
        <v>63</v>
      </c>
      <c r="O330" t="s">
        <v>554</v>
      </c>
      <c r="P330" t="s">
        <v>815</v>
      </c>
    </row>
    <row r="331" spans="1:16" x14ac:dyDescent="0.25">
      <c r="A331" t="s">
        <v>47</v>
      </c>
      <c r="B331" t="s">
        <v>48</v>
      </c>
      <c r="C331" t="str">
        <f>CONCATENATE(B331, " ",A331)</f>
        <v>GARY PORTUGAL</v>
      </c>
      <c r="D331">
        <v>9213293</v>
      </c>
      <c r="E331" t="s">
        <v>756</v>
      </c>
      <c r="F331" t="str">
        <f>CONCATENATE(2,E331)</f>
        <v>2IANG10216481530001IL016</v>
      </c>
      <c r="G331" t="s">
        <v>757</v>
      </c>
      <c r="H331" s="1">
        <v>45778</v>
      </c>
      <c r="I331" t="s">
        <v>51</v>
      </c>
      <c r="J331" s="1">
        <v>45778</v>
      </c>
      <c r="K331" s="1">
        <f>DATE(YEAR(J331), MONTH(J331) +1, DAY(J331))</f>
        <v>45809</v>
      </c>
      <c r="M331">
        <v>20</v>
      </c>
      <c r="N331">
        <v>20</v>
      </c>
      <c r="O331" t="s">
        <v>67</v>
      </c>
      <c r="P331" t="s">
        <v>812</v>
      </c>
    </row>
    <row r="332" spans="1:16" x14ac:dyDescent="0.25">
      <c r="A332" t="s">
        <v>47</v>
      </c>
      <c r="B332" t="s">
        <v>48</v>
      </c>
      <c r="C332" t="str">
        <f>CONCATENATE(B332, " ",A332)</f>
        <v>GARY PORTUGAL</v>
      </c>
      <c r="D332">
        <v>9213293</v>
      </c>
      <c r="E332" t="s">
        <v>758</v>
      </c>
      <c r="F332" t="str">
        <f>CONCATENATE(2,E332)</f>
        <v>2IANG10216481660001IL016</v>
      </c>
      <c r="G332" t="s">
        <v>759</v>
      </c>
      <c r="H332" s="1">
        <v>45778</v>
      </c>
      <c r="I332" t="s">
        <v>51</v>
      </c>
      <c r="J332" s="1">
        <v>45778</v>
      </c>
      <c r="K332" s="1">
        <f>DATE(YEAR(J332), MONTH(J332) +1, DAY(J332))</f>
        <v>45809</v>
      </c>
      <c r="L332" t="s">
        <v>809</v>
      </c>
      <c r="M332">
        <v>60</v>
      </c>
      <c r="N332">
        <v>60</v>
      </c>
      <c r="O332" t="s">
        <v>67</v>
      </c>
      <c r="P332" t="s">
        <v>812</v>
      </c>
    </row>
    <row r="333" spans="1:16" x14ac:dyDescent="0.25">
      <c r="A333" t="s">
        <v>82</v>
      </c>
      <c r="B333" t="s">
        <v>83</v>
      </c>
      <c r="C333" t="str">
        <f>CONCATENATE(B333, " ",A333)</f>
        <v>Tom Serio</v>
      </c>
      <c r="D333">
        <v>20490188</v>
      </c>
      <c r="E333" t="s">
        <v>760</v>
      </c>
      <c r="F333" t="str">
        <f>CONCATENATE(2,E333)</f>
        <v>2IANG10214724250001IL016</v>
      </c>
      <c r="G333" t="s">
        <v>761</v>
      </c>
      <c r="H333" s="1">
        <v>45689</v>
      </c>
      <c r="I333" t="s">
        <v>51</v>
      </c>
      <c r="J333" s="1">
        <v>45778</v>
      </c>
      <c r="K333" s="1">
        <f>DATE(YEAR(J333), MONTH(J333) +1, DAY(J333))</f>
        <v>45809</v>
      </c>
      <c r="M333">
        <v>20</v>
      </c>
      <c r="N333">
        <v>20</v>
      </c>
      <c r="O333" t="s">
        <v>67</v>
      </c>
      <c r="P333" t="s">
        <v>812</v>
      </c>
    </row>
    <row r="334" spans="1:16" x14ac:dyDescent="0.25">
      <c r="A334" t="s">
        <v>35</v>
      </c>
      <c r="B334" t="s">
        <v>36</v>
      </c>
      <c r="C334" t="str">
        <f>CONCATENATE(B334, " ",A334)</f>
        <v>Adam Richter</v>
      </c>
      <c r="D334">
        <v>9079571</v>
      </c>
      <c r="E334" t="s">
        <v>762</v>
      </c>
      <c r="F334" t="str">
        <f>CONCATENATE(2,E334)</f>
        <v>2IANG10209167560002MD016</v>
      </c>
      <c r="G334" t="s">
        <v>763</v>
      </c>
      <c r="H334" s="1">
        <v>45597</v>
      </c>
      <c r="I334" t="s">
        <v>33</v>
      </c>
      <c r="J334" s="1">
        <v>45778</v>
      </c>
      <c r="K334" s="1">
        <f>DATE(YEAR(J334), MONTH(J334) +1, DAY(J334))</f>
        <v>45809</v>
      </c>
      <c r="M334">
        <v>10</v>
      </c>
      <c r="N334">
        <v>10</v>
      </c>
      <c r="O334" t="s">
        <v>34</v>
      </c>
      <c r="P334" t="s">
        <v>813</v>
      </c>
    </row>
    <row r="335" spans="1:16" x14ac:dyDescent="0.25">
      <c r="A335" t="s">
        <v>101</v>
      </c>
      <c r="B335" t="s">
        <v>102</v>
      </c>
      <c r="C335" t="str">
        <f>CONCATENATE(B335, " ",A335)</f>
        <v>Gregory Teipel</v>
      </c>
      <c r="D335">
        <v>8307933</v>
      </c>
      <c r="E335" t="s">
        <v>764</v>
      </c>
      <c r="F335" t="str">
        <f>CONCATENATE(2,E335)</f>
        <v>2IANG10165132300001IL016</v>
      </c>
      <c r="G335" t="s">
        <v>765</v>
      </c>
      <c r="H335" s="1">
        <v>44927</v>
      </c>
      <c r="I335" t="s">
        <v>51</v>
      </c>
      <c r="J335" s="1">
        <v>45778</v>
      </c>
      <c r="K335" s="1">
        <f>DATE(YEAR(J335), MONTH(J335) +1, DAY(J335))</f>
        <v>45809</v>
      </c>
      <c r="M335">
        <v>20</v>
      </c>
      <c r="N335">
        <v>20</v>
      </c>
      <c r="O335" t="s">
        <v>52</v>
      </c>
      <c r="P335" t="s">
        <v>812</v>
      </c>
    </row>
    <row r="336" spans="1:16" x14ac:dyDescent="0.25">
      <c r="A336" t="s">
        <v>123</v>
      </c>
      <c r="B336" t="s">
        <v>124</v>
      </c>
      <c r="C336" t="str">
        <f>CONCATENATE(B336, " ",A336)</f>
        <v>RICARDO SANTOS</v>
      </c>
      <c r="D336">
        <v>19200754</v>
      </c>
      <c r="E336" t="s">
        <v>766</v>
      </c>
      <c r="F336" t="str">
        <f>CONCATENATE(2,E336)</f>
        <v>2IANG10202668690001IL016</v>
      </c>
      <c r="G336" t="s">
        <v>767</v>
      </c>
      <c r="H336" s="1">
        <v>45474</v>
      </c>
      <c r="I336" t="s">
        <v>51</v>
      </c>
      <c r="J336" s="1">
        <v>45778</v>
      </c>
      <c r="K336" s="1">
        <f>DATE(YEAR(J336), MONTH(J336) +1, DAY(J336))</f>
        <v>45809</v>
      </c>
      <c r="L336" t="s">
        <v>808</v>
      </c>
      <c r="M336">
        <v>40</v>
      </c>
      <c r="N336">
        <v>40</v>
      </c>
      <c r="O336" t="s">
        <v>52</v>
      </c>
      <c r="P336" t="s">
        <v>812</v>
      </c>
    </row>
    <row r="337" spans="1:16" x14ac:dyDescent="0.25">
      <c r="A337" t="s">
        <v>117</v>
      </c>
      <c r="B337" t="s">
        <v>118</v>
      </c>
      <c r="C337" t="str">
        <f>CONCATENATE(B337, " ",A337)</f>
        <v>Thomas Pardue</v>
      </c>
      <c r="D337" t="s">
        <v>817</v>
      </c>
      <c r="E337" t="s">
        <v>768</v>
      </c>
      <c r="F337" t="str">
        <f>CONCATENATE(2,E337)</f>
        <v>2IANG10194980340001FL016</v>
      </c>
      <c r="G337" t="s">
        <v>769</v>
      </c>
      <c r="H337" s="1">
        <v>45352</v>
      </c>
      <c r="I337" t="s">
        <v>25</v>
      </c>
      <c r="J337" s="1">
        <v>45778</v>
      </c>
      <c r="K337" s="1">
        <f>DATE(YEAR(J337), MONTH(J337) +1, DAY(J337))</f>
        <v>45809</v>
      </c>
      <c r="M337">
        <v>20</v>
      </c>
      <c r="N337">
        <v>20</v>
      </c>
      <c r="O337" t="s">
        <v>26</v>
      </c>
      <c r="P337" t="s">
        <v>812</v>
      </c>
    </row>
    <row r="338" spans="1:16" x14ac:dyDescent="0.25">
      <c r="A338" t="s">
        <v>105</v>
      </c>
      <c r="B338" t="s">
        <v>106</v>
      </c>
      <c r="C338" t="str">
        <f>CONCATENATE(B338, " ",A338)</f>
        <v>ANTHONY HUNSBERGER</v>
      </c>
      <c r="D338">
        <v>7146581</v>
      </c>
      <c r="E338" t="s">
        <v>770</v>
      </c>
      <c r="F338" t="str">
        <f>CONCATENATE(2,E338)</f>
        <v>2IANG10209398780001IL016</v>
      </c>
      <c r="G338" t="s">
        <v>771</v>
      </c>
      <c r="H338" s="1">
        <v>45658</v>
      </c>
      <c r="I338" t="s">
        <v>51</v>
      </c>
      <c r="J338" s="1">
        <v>45778</v>
      </c>
      <c r="K338" s="1">
        <f>DATE(YEAR(J338), MONTH(J338) +1, DAY(J338))</f>
        <v>45809</v>
      </c>
      <c r="L338" t="s">
        <v>808</v>
      </c>
      <c r="M338">
        <v>40</v>
      </c>
      <c r="N338">
        <v>40</v>
      </c>
      <c r="O338" t="s">
        <v>67</v>
      </c>
      <c r="P338" t="s">
        <v>812</v>
      </c>
    </row>
    <row r="339" spans="1:16" x14ac:dyDescent="0.25">
      <c r="A339" t="s">
        <v>35</v>
      </c>
      <c r="B339" t="s">
        <v>36</v>
      </c>
      <c r="C339" t="str">
        <f>CONCATENATE(B339, " ",A339)</f>
        <v>Adam Richter</v>
      </c>
      <c r="D339">
        <v>9079571</v>
      </c>
      <c r="E339" t="s">
        <v>772</v>
      </c>
      <c r="F339" t="str">
        <f>CONCATENATE(2,E339)</f>
        <v>2IANG10195843150002MD016</v>
      </c>
      <c r="G339" t="s">
        <v>773</v>
      </c>
      <c r="H339" s="1">
        <v>45383</v>
      </c>
      <c r="I339" t="s">
        <v>33</v>
      </c>
      <c r="J339" s="1">
        <v>45778</v>
      </c>
      <c r="K339" s="1">
        <f>DATE(YEAR(J339), MONTH(J339) +1, DAY(J339))</f>
        <v>45809</v>
      </c>
      <c r="M339">
        <v>10</v>
      </c>
      <c r="N339">
        <v>10</v>
      </c>
      <c r="O339" t="s">
        <v>34</v>
      </c>
      <c r="P339" t="s">
        <v>813</v>
      </c>
    </row>
    <row r="340" spans="1:16" x14ac:dyDescent="0.25">
      <c r="A340" t="s">
        <v>35</v>
      </c>
      <c r="B340" t="s">
        <v>36</v>
      </c>
      <c r="C340" t="str">
        <f>CONCATENATE(B340, " ",A340)</f>
        <v>Adam Richter</v>
      </c>
      <c r="D340">
        <v>9079571</v>
      </c>
      <c r="E340" t="s">
        <v>772</v>
      </c>
      <c r="F340" t="str">
        <f>CONCATENATE(2,E340)</f>
        <v>2IANG10195843150002MD016</v>
      </c>
      <c r="G340" t="s">
        <v>773</v>
      </c>
      <c r="H340" s="1">
        <v>45383</v>
      </c>
      <c r="I340" t="s">
        <v>33</v>
      </c>
      <c r="J340" s="1">
        <v>45748</v>
      </c>
      <c r="K340" s="1">
        <f>DATE(YEAR(J340), MONTH(J340) +1, DAY(J340))</f>
        <v>45778</v>
      </c>
      <c r="M340">
        <v>10</v>
      </c>
      <c r="N340">
        <v>10</v>
      </c>
      <c r="O340" t="s">
        <v>34</v>
      </c>
      <c r="P340" t="s">
        <v>813</v>
      </c>
    </row>
    <row r="341" spans="1:16" x14ac:dyDescent="0.25">
      <c r="A341" t="s">
        <v>35</v>
      </c>
      <c r="B341" t="s">
        <v>36</v>
      </c>
      <c r="C341" t="str">
        <f>CONCATENATE(B341, " ",A341)</f>
        <v>Adam Richter</v>
      </c>
      <c r="D341">
        <v>9079571</v>
      </c>
      <c r="E341" t="s">
        <v>772</v>
      </c>
      <c r="F341" t="str">
        <f>CONCATENATE(2,E341)</f>
        <v>2IANG10195843150002MD016</v>
      </c>
      <c r="G341" t="s">
        <v>773</v>
      </c>
      <c r="H341" s="1">
        <v>45383</v>
      </c>
      <c r="I341" t="s">
        <v>33</v>
      </c>
      <c r="J341" s="1">
        <v>45717</v>
      </c>
      <c r="K341" s="1">
        <f>DATE(YEAR(J341), MONTH(J341) +1, DAY(J341))</f>
        <v>45748</v>
      </c>
      <c r="M341">
        <v>10</v>
      </c>
      <c r="N341">
        <v>10</v>
      </c>
      <c r="O341" t="s">
        <v>34</v>
      </c>
      <c r="P341" t="s">
        <v>813</v>
      </c>
    </row>
    <row r="342" spans="1:16" x14ac:dyDescent="0.25">
      <c r="A342" t="s">
        <v>35</v>
      </c>
      <c r="B342" t="s">
        <v>36</v>
      </c>
      <c r="C342" t="str">
        <f>CONCATENATE(B342, " ",A342)</f>
        <v>Adam Richter</v>
      </c>
      <c r="D342">
        <v>9079571</v>
      </c>
      <c r="E342" t="s">
        <v>774</v>
      </c>
      <c r="F342" t="str">
        <f>CONCATENATE(2,E342)</f>
        <v>2IANG10216262410001FL016</v>
      </c>
      <c r="G342" t="s">
        <v>775</v>
      </c>
      <c r="H342" s="1">
        <v>45748</v>
      </c>
      <c r="I342" t="s">
        <v>25</v>
      </c>
      <c r="J342" s="1">
        <v>45778</v>
      </c>
      <c r="K342" s="1">
        <f>DATE(YEAR(J342), MONTH(J342) +1, DAY(J342))</f>
        <v>45809</v>
      </c>
      <c r="M342">
        <v>20</v>
      </c>
      <c r="N342">
        <v>20</v>
      </c>
      <c r="O342" t="s">
        <v>74</v>
      </c>
      <c r="P342" t="s">
        <v>812</v>
      </c>
    </row>
    <row r="343" spans="1:16" x14ac:dyDescent="0.25">
      <c r="A343" t="s">
        <v>229</v>
      </c>
      <c r="B343" t="s">
        <v>230</v>
      </c>
      <c r="C343" t="str">
        <f>CONCATENATE(B343, " ",A343)</f>
        <v>MICHAEL DUNAVANT</v>
      </c>
      <c r="D343">
        <v>18828278</v>
      </c>
      <c r="E343" t="s">
        <v>776</v>
      </c>
      <c r="F343" t="str">
        <f>CONCATENATE(2,E343)</f>
        <v>2IANG10214459840001IL016</v>
      </c>
      <c r="G343" t="s">
        <v>777</v>
      </c>
      <c r="H343" s="1">
        <v>45689</v>
      </c>
      <c r="I343" t="s">
        <v>51</v>
      </c>
      <c r="J343" s="1">
        <v>45778</v>
      </c>
      <c r="K343" s="1">
        <f>DATE(YEAR(J343), MONTH(J343) +1, DAY(J343))</f>
        <v>45809</v>
      </c>
      <c r="M343">
        <v>20</v>
      </c>
      <c r="N343">
        <v>20</v>
      </c>
      <c r="O343" t="s">
        <v>67</v>
      </c>
      <c r="P343" t="s">
        <v>812</v>
      </c>
    </row>
    <row r="344" spans="1:16" s="5" customFormat="1" x14ac:dyDescent="0.25">
      <c r="A344" s="5" t="s">
        <v>418</v>
      </c>
      <c r="B344" s="5" t="s">
        <v>419</v>
      </c>
      <c r="C344" s="5" t="str">
        <f>CONCATENATE(B344, " ",A344)</f>
        <v>Jason Hoffmann</v>
      </c>
      <c r="D344" s="5">
        <v>15278437</v>
      </c>
      <c r="E344" s="5" t="s">
        <v>778</v>
      </c>
      <c r="F344" s="5" t="str">
        <f>CONCATENATE(2,E344)</f>
        <v>2IANG10206119160001IL016</v>
      </c>
      <c r="G344" s="5" t="s">
        <v>779</v>
      </c>
      <c r="H344" s="6">
        <v>45566</v>
      </c>
      <c r="I344" s="5" t="s">
        <v>51</v>
      </c>
      <c r="J344" s="6">
        <v>45778</v>
      </c>
      <c r="K344" s="6">
        <f>DATE(YEAR(J344), MONTH(J344) +1, DAY(J344))</f>
        <v>45809</v>
      </c>
      <c r="L344" s="5" t="s">
        <v>808</v>
      </c>
      <c r="M344" s="5">
        <v>-40</v>
      </c>
      <c r="N344" s="5">
        <v>-40</v>
      </c>
      <c r="O344" s="5" t="s">
        <v>52</v>
      </c>
      <c r="P344" s="5" t="s">
        <v>812</v>
      </c>
    </row>
    <row r="345" spans="1:16" s="5" customFormat="1" x14ac:dyDescent="0.25">
      <c r="A345" s="5" t="s">
        <v>418</v>
      </c>
      <c r="B345" s="5" t="s">
        <v>419</v>
      </c>
      <c r="C345" s="5" t="str">
        <f>CONCATENATE(B345, " ",A345)</f>
        <v>Jason Hoffmann</v>
      </c>
      <c r="D345" s="5">
        <v>15278437</v>
      </c>
      <c r="E345" s="5" t="s">
        <v>778</v>
      </c>
      <c r="F345" s="5" t="str">
        <f>CONCATENATE(2,E345)</f>
        <v>2IANG10206119160001IL016</v>
      </c>
      <c r="G345" s="5" t="s">
        <v>779</v>
      </c>
      <c r="H345" s="6">
        <v>45566</v>
      </c>
      <c r="I345" s="5" t="s">
        <v>51</v>
      </c>
      <c r="J345" s="6">
        <v>45748</v>
      </c>
      <c r="K345" s="6">
        <f>DATE(YEAR(J345), MONTH(J345) +1, DAY(J345))</f>
        <v>45778</v>
      </c>
      <c r="L345" s="5" t="s">
        <v>808</v>
      </c>
      <c r="M345" s="5">
        <v>-40</v>
      </c>
      <c r="N345" s="5">
        <v>-40</v>
      </c>
      <c r="O345" s="5" t="s">
        <v>52</v>
      </c>
      <c r="P345" s="5" t="s">
        <v>812</v>
      </c>
    </row>
    <row r="346" spans="1:16" x14ac:dyDescent="0.25">
      <c r="A346" t="s">
        <v>290</v>
      </c>
      <c r="B346" t="s">
        <v>291</v>
      </c>
      <c r="C346" t="str">
        <f>CONCATENATE(B346, " ",A346)</f>
        <v>Brian Strohman</v>
      </c>
      <c r="D346">
        <v>21104854</v>
      </c>
      <c r="E346" t="s">
        <v>780</v>
      </c>
      <c r="F346" t="str">
        <f>CONCATENATE(2,E346)</f>
        <v>2IANG10213028470001IL016</v>
      </c>
      <c r="G346" t="s">
        <v>781</v>
      </c>
      <c r="H346" s="1">
        <v>45658</v>
      </c>
      <c r="I346" t="s">
        <v>51</v>
      </c>
      <c r="J346" s="1">
        <v>45778</v>
      </c>
      <c r="K346" s="1">
        <f>DATE(YEAR(J346), MONTH(J346) +1, DAY(J346))</f>
        <v>45809</v>
      </c>
      <c r="M346">
        <v>20</v>
      </c>
      <c r="N346">
        <v>20</v>
      </c>
      <c r="O346" t="s">
        <v>67</v>
      </c>
      <c r="P346" t="s">
        <v>812</v>
      </c>
    </row>
    <row r="347" spans="1:16" x14ac:dyDescent="0.25">
      <c r="A347" t="s">
        <v>229</v>
      </c>
      <c r="B347" t="s">
        <v>230</v>
      </c>
      <c r="C347" t="str">
        <f>CONCATENATE(B347, " ",A347)</f>
        <v>MICHAEL DUNAVANT</v>
      </c>
      <c r="D347">
        <v>18828278</v>
      </c>
      <c r="E347" t="s">
        <v>782</v>
      </c>
      <c r="F347" t="str">
        <f>CONCATENATE(2,E347)</f>
        <v>2IANG10212882000001IL016</v>
      </c>
      <c r="G347" t="s">
        <v>783</v>
      </c>
      <c r="H347" s="1">
        <v>45658</v>
      </c>
      <c r="I347" t="s">
        <v>51</v>
      </c>
      <c r="J347" s="1">
        <v>45778</v>
      </c>
      <c r="K347" s="1">
        <f>DATE(YEAR(J347), MONTH(J347) +1, DAY(J347))</f>
        <v>45809</v>
      </c>
      <c r="M347">
        <v>20</v>
      </c>
      <c r="N347">
        <v>20</v>
      </c>
      <c r="O347" t="s">
        <v>67</v>
      </c>
      <c r="P347" t="s">
        <v>812</v>
      </c>
    </row>
    <row r="348" spans="1:16" x14ac:dyDescent="0.25">
      <c r="A348" t="s">
        <v>35</v>
      </c>
      <c r="B348" t="s">
        <v>36</v>
      </c>
      <c r="C348" t="str">
        <f>CONCATENATE(B348, " ",A348)</f>
        <v>Adam Richter</v>
      </c>
      <c r="D348">
        <v>9079571</v>
      </c>
      <c r="E348" t="s">
        <v>784</v>
      </c>
      <c r="F348" t="str">
        <f>CONCATENATE(2,E348)</f>
        <v>2IANG10203686110002MD016</v>
      </c>
      <c r="G348" t="s">
        <v>785</v>
      </c>
      <c r="H348" s="1">
        <v>45505</v>
      </c>
      <c r="I348" t="s">
        <v>33</v>
      </c>
      <c r="J348" s="1">
        <v>45778</v>
      </c>
      <c r="K348" s="1">
        <f>DATE(YEAR(J348), MONTH(J348) +1, DAY(J348))</f>
        <v>45809</v>
      </c>
      <c r="M348">
        <v>10</v>
      </c>
      <c r="N348">
        <v>10</v>
      </c>
      <c r="O348" t="s">
        <v>88</v>
      </c>
      <c r="P348" t="s">
        <v>813</v>
      </c>
    </row>
    <row r="349" spans="1:16" x14ac:dyDescent="0.25">
      <c r="A349" t="s">
        <v>35</v>
      </c>
      <c r="B349" t="s">
        <v>36</v>
      </c>
      <c r="C349" t="str">
        <f>CONCATENATE(B349, " ",A349)</f>
        <v>Adam Richter</v>
      </c>
      <c r="D349">
        <v>9079571</v>
      </c>
      <c r="E349" t="s">
        <v>784</v>
      </c>
      <c r="F349" t="str">
        <f>CONCATENATE(2,E349)</f>
        <v>2IANG10203686110002MD016</v>
      </c>
      <c r="G349" t="s">
        <v>785</v>
      </c>
      <c r="H349" s="1">
        <v>45505</v>
      </c>
      <c r="I349" t="s">
        <v>33</v>
      </c>
      <c r="J349" s="1">
        <v>45627</v>
      </c>
      <c r="K349" s="1">
        <f>DATE(YEAR(J349), MONTH(J349) +1, DAY(J349))</f>
        <v>45658</v>
      </c>
      <c r="M349">
        <v>20</v>
      </c>
      <c r="N349">
        <v>20</v>
      </c>
      <c r="O349" t="s">
        <v>787</v>
      </c>
      <c r="P349" t="s">
        <v>813</v>
      </c>
    </row>
    <row r="350" spans="1:16" x14ac:dyDescent="0.25">
      <c r="A350" t="s">
        <v>57</v>
      </c>
      <c r="B350" t="s">
        <v>58</v>
      </c>
      <c r="C350" t="str">
        <f>CONCATENATE(B350, " ",A350)</f>
        <v>Ryan Caltagirone</v>
      </c>
      <c r="D350">
        <v>8977234</v>
      </c>
      <c r="E350" t="s">
        <v>788</v>
      </c>
      <c r="F350" t="str">
        <f>CONCATENATE(2,E350)</f>
        <v>2IANG10182908260001FL016</v>
      </c>
      <c r="G350" t="s">
        <v>789</v>
      </c>
      <c r="H350" s="1">
        <v>45292</v>
      </c>
      <c r="I350" t="s">
        <v>25</v>
      </c>
      <c r="J350" s="1">
        <v>45778</v>
      </c>
      <c r="K350" s="1">
        <f>DATE(YEAR(J350), MONTH(J350) +1, DAY(J350))</f>
        <v>45809</v>
      </c>
      <c r="M350">
        <v>20</v>
      </c>
      <c r="N350">
        <v>20</v>
      </c>
      <c r="O350" t="s">
        <v>26</v>
      </c>
      <c r="P350" t="s">
        <v>812</v>
      </c>
    </row>
    <row r="351" spans="1:16" x14ac:dyDescent="0.25">
      <c r="A351" t="s">
        <v>382</v>
      </c>
      <c r="B351" t="s">
        <v>383</v>
      </c>
      <c r="C351" t="str">
        <f>CONCATENATE(B351, " ",A351)</f>
        <v>TIMOTHY HODGMAN</v>
      </c>
      <c r="D351">
        <v>18581063</v>
      </c>
      <c r="E351" t="s">
        <v>790</v>
      </c>
      <c r="F351" t="str">
        <f>CONCATENATE(2,E351)</f>
        <v>2IANG10210382180001TX016</v>
      </c>
      <c r="G351" t="s">
        <v>791</v>
      </c>
      <c r="H351" s="1">
        <v>45658</v>
      </c>
      <c r="I351" t="s">
        <v>43</v>
      </c>
      <c r="J351" s="1">
        <v>45778</v>
      </c>
      <c r="K351" s="1">
        <f>DATE(YEAR(J351), MONTH(J351) +1, DAY(J351))</f>
        <v>45809</v>
      </c>
      <c r="L351" t="s">
        <v>808</v>
      </c>
      <c r="M351">
        <v>50</v>
      </c>
      <c r="N351">
        <v>50</v>
      </c>
      <c r="O351" t="s">
        <v>44</v>
      </c>
      <c r="P351" t="s">
        <v>814</v>
      </c>
    </row>
    <row r="352" spans="1:16" x14ac:dyDescent="0.25">
      <c r="A352" t="s">
        <v>63</v>
      </c>
      <c r="B352" t="s">
        <v>64</v>
      </c>
      <c r="C352" t="str">
        <f>CONCATENATE(B352, " ",A352)</f>
        <v>Melissa Tatro</v>
      </c>
      <c r="D352">
        <v>14177521</v>
      </c>
      <c r="E352" t="s">
        <v>792</v>
      </c>
      <c r="F352" t="str">
        <f>CONCATENATE(2,E352)</f>
        <v>2IANG10210271570001IL016</v>
      </c>
      <c r="G352" t="s">
        <v>793</v>
      </c>
      <c r="H352" s="1">
        <v>45627</v>
      </c>
      <c r="I352" t="s">
        <v>51</v>
      </c>
      <c r="J352" s="1">
        <v>45778</v>
      </c>
      <c r="K352" s="1">
        <f>DATE(YEAR(J352), MONTH(J352) +1, DAY(J352))</f>
        <v>45809</v>
      </c>
      <c r="M352">
        <v>20</v>
      </c>
      <c r="N352">
        <v>20</v>
      </c>
      <c r="O352" t="s">
        <v>52</v>
      </c>
      <c r="P352" t="s">
        <v>812</v>
      </c>
    </row>
    <row r="353" spans="1:16" x14ac:dyDescent="0.25">
      <c r="A353" t="s">
        <v>496</v>
      </c>
      <c r="B353" t="s">
        <v>497</v>
      </c>
      <c r="C353" t="str">
        <f>CONCATENATE(B353, " ",A353)</f>
        <v>Colleen Finnigan</v>
      </c>
      <c r="D353">
        <v>17437820</v>
      </c>
      <c r="E353" t="s">
        <v>794</v>
      </c>
      <c r="F353" t="str">
        <f>CONCATENATE(2,E353)</f>
        <v>2IANG10188016990001NC016</v>
      </c>
      <c r="G353" t="s">
        <v>795</v>
      </c>
      <c r="H353" s="1">
        <v>45292</v>
      </c>
      <c r="I353" t="s">
        <v>322</v>
      </c>
      <c r="J353" s="1">
        <v>45778</v>
      </c>
      <c r="K353" s="1">
        <f>DATE(YEAR(J353), MONTH(J353) +1, DAY(J353))</f>
        <v>45809</v>
      </c>
      <c r="L353" t="s">
        <v>809</v>
      </c>
      <c r="M353">
        <v>75</v>
      </c>
      <c r="N353">
        <v>75</v>
      </c>
      <c r="O353" t="s">
        <v>323</v>
      </c>
      <c r="P353" t="s">
        <v>814</v>
      </c>
    </row>
    <row r="354" spans="1:16" x14ac:dyDescent="0.25">
      <c r="A354" t="s">
        <v>101</v>
      </c>
      <c r="B354" t="s">
        <v>102</v>
      </c>
      <c r="C354" t="str">
        <f>CONCATENATE(B354, " ",A354)</f>
        <v>Gregory Teipel</v>
      </c>
      <c r="D354">
        <v>8307933</v>
      </c>
      <c r="E354" t="s">
        <v>796</v>
      </c>
      <c r="F354" t="str">
        <f>CONCATENATE(2,E354)</f>
        <v>2IANG10167831560001IL016</v>
      </c>
      <c r="G354" t="s">
        <v>797</v>
      </c>
      <c r="H354" s="1">
        <v>44927</v>
      </c>
      <c r="I354" t="s">
        <v>51</v>
      </c>
      <c r="J354" s="1">
        <v>45778</v>
      </c>
      <c r="K354" s="1">
        <f>DATE(YEAR(J354), MONTH(J354) +1, DAY(J354))</f>
        <v>45809</v>
      </c>
      <c r="L354" t="s">
        <v>808</v>
      </c>
      <c r="M354">
        <v>40</v>
      </c>
      <c r="N354">
        <v>40</v>
      </c>
      <c r="O354" t="s">
        <v>52</v>
      </c>
      <c r="P354" t="s">
        <v>812</v>
      </c>
    </row>
    <row r="355" spans="1:16" x14ac:dyDescent="0.25">
      <c r="A355" t="s">
        <v>93</v>
      </c>
      <c r="B355" t="s">
        <v>94</v>
      </c>
      <c r="C355" t="str">
        <f>CONCATENATE(B355, " ",A355)</f>
        <v>Jacob Yale</v>
      </c>
      <c r="D355">
        <v>18754354</v>
      </c>
      <c r="E355" t="s">
        <v>798</v>
      </c>
      <c r="F355" t="str">
        <f>CONCATENATE(2,E355)</f>
        <v>2IANG10212361910001IL016</v>
      </c>
      <c r="G355" t="s">
        <v>799</v>
      </c>
      <c r="H355" s="1">
        <v>45658</v>
      </c>
      <c r="I355" t="s">
        <v>51</v>
      </c>
      <c r="J355" s="1">
        <v>45778</v>
      </c>
      <c r="K355" s="1">
        <f>DATE(YEAR(J355), MONTH(J355) +1, DAY(J355))</f>
        <v>45809</v>
      </c>
      <c r="M355">
        <v>20</v>
      </c>
      <c r="N355">
        <v>20</v>
      </c>
      <c r="O355" t="s">
        <v>67</v>
      </c>
      <c r="P355" t="s">
        <v>812</v>
      </c>
    </row>
    <row r="356" spans="1:16" x14ac:dyDescent="0.25">
      <c r="A356" t="s">
        <v>101</v>
      </c>
      <c r="B356" t="s">
        <v>102</v>
      </c>
      <c r="C356" t="str">
        <f>CONCATENATE(B356, " ",A356)</f>
        <v>Gregory Teipel</v>
      </c>
      <c r="D356">
        <v>8307933</v>
      </c>
      <c r="E356" t="s">
        <v>800</v>
      </c>
      <c r="F356" t="str">
        <f>CONCATENATE(2,E356)</f>
        <v>2IANG10216604960001IL016</v>
      </c>
      <c r="G356" t="s">
        <v>801</v>
      </c>
      <c r="H356" s="1">
        <v>45778</v>
      </c>
      <c r="I356" t="s">
        <v>51</v>
      </c>
      <c r="J356" s="1">
        <v>45778</v>
      </c>
      <c r="K356" s="1">
        <f>DATE(YEAR(J356), MONTH(J356) +1, DAY(J356))</f>
        <v>45809</v>
      </c>
      <c r="M356">
        <v>20</v>
      </c>
      <c r="N356">
        <v>20</v>
      </c>
      <c r="O356" t="s">
        <v>67</v>
      </c>
      <c r="P356" t="s">
        <v>812</v>
      </c>
    </row>
    <row r="357" spans="1:16" x14ac:dyDescent="0.25">
      <c r="A357" t="s">
        <v>174</v>
      </c>
      <c r="B357" t="s">
        <v>175</v>
      </c>
      <c r="C357" t="str">
        <f>CONCATENATE(B357, " ",A357)</f>
        <v>FRANK LISKOVEC</v>
      </c>
      <c r="D357">
        <v>8814784</v>
      </c>
      <c r="E357" t="s">
        <v>802</v>
      </c>
      <c r="F357" t="str">
        <f>CONCATENATE(2,E357)</f>
        <v>2IANG10211851510001IL016</v>
      </c>
      <c r="G357" t="s">
        <v>803</v>
      </c>
      <c r="H357" s="1">
        <v>45658</v>
      </c>
      <c r="I357" t="s">
        <v>51</v>
      </c>
      <c r="J357" s="1">
        <v>45778</v>
      </c>
      <c r="K357" s="1">
        <f>DATE(YEAR(J357), MONTH(J357) +1, DAY(J357))</f>
        <v>45809</v>
      </c>
      <c r="M357">
        <v>20</v>
      </c>
      <c r="N357">
        <v>20</v>
      </c>
      <c r="O357" t="s">
        <v>67</v>
      </c>
      <c r="P357" t="s">
        <v>812</v>
      </c>
    </row>
    <row r="358" spans="1:16" x14ac:dyDescent="0.25">
      <c r="A358" t="s">
        <v>113</v>
      </c>
      <c r="B358" t="s">
        <v>114</v>
      </c>
      <c r="C358" t="str">
        <f>CONCATENATE(B358, " ",A358)</f>
        <v>Stacey Portugal</v>
      </c>
      <c r="D358">
        <v>19645587</v>
      </c>
      <c r="E358" t="s">
        <v>804</v>
      </c>
      <c r="F358" t="str">
        <f>CONCATENATE(2,E358)</f>
        <v>2IANG10214711980001FL016</v>
      </c>
      <c r="G358" t="s">
        <v>805</v>
      </c>
      <c r="H358" s="1">
        <v>45689</v>
      </c>
      <c r="I358" t="s">
        <v>25</v>
      </c>
      <c r="J358" s="1">
        <v>45778</v>
      </c>
      <c r="K358" s="1">
        <f>DATE(YEAR(J358), MONTH(J358) +1, DAY(J358))</f>
        <v>45809</v>
      </c>
      <c r="M358">
        <v>20</v>
      </c>
      <c r="N358">
        <v>20</v>
      </c>
      <c r="O358" t="s">
        <v>74</v>
      </c>
      <c r="P358" t="s">
        <v>812</v>
      </c>
    </row>
    <row r="359" spans="1:16" x14ac:dyDescent="0.25">
      <c r="A359" t="s">
        <v>101</v>
      </c>
      <c r="B359" t="s">
        <v>102</v>
      </c>
      <c r="C359" t="str">
        <f>CONCATENATE(B359, " ",A359)</f>
        <v>Gregory Teipel</v>
      </c>
      <c r="D359">
        <v>8307933</v>
      </c>
      <c r="E359" t="s">
        <v>806</v>
      </c>
      <c r="F359" t="str">
        <f>CONCATENATE(2,E359)</f>
        <v>2IANG10199379270001IL016</v>
      </c>
      <c r="G359" t="s">
        <v>807</v>
      </c>
      <c r="H359" s="1">
        <v>45413</v>
      </c>
      <c r="I359" t="s">
        <v>51</v>
      </c>
      <c r="J359" s="1">
        <v>45778</v>
      </c>
      <c r="K359" s="1">
        <f>DATE(YEAR(J359), MONTH(J359) +1, DAY(J359))</f>
        <v>45809</v>
      </c>
      <c r="L359" t="s">
        <v>808</v>
      </c>
      <c r="M359">
        <v>40</v>
      </c>
      <c r="N359">
        <v>40</v>
      </c>
      <c r="O359" t="s">
        <v>52</v>
      </c>
      <c r="P359" t="s">
        <v>812</v>
      </c>
    </row>
  </sheetData>
  <sortState xmlns:xlrd2="http://schemas.microsoft.com/office/spreadsheetml/2017/richdata2" ref="A2:V359">
    <sortCondition ref="G2:G35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52C6C-0123-40CE-9499-FDAF9A8A10BE}">
  <dimension ref="A1:P15"/>
  <sheetViews>
    <sheetView tabSelected="1" workbookViewId="0">
      <selection activeCell="F15" sqref="F15"/>
    </sheetView>
  </sheetViews>
  <sheetFormatPr defaultRowHeight="15" x14ac:dyDescent="0.25"/>
  <cols>
    <col min="8" max="8" width="9.7109375" bestFit="1" customWidth="1"/>
  </cols>
  <sheetData>
    <row r="1" spans="1:16" s="3" customFormat="1" x14ac:dyDescent="0.25">
      <c r="A1" s="3" t="s">
        <v>280</v>
      </c>
      <c r="B1" s="3" t="s">
        <v>281</v>
      </c>
      <c r="C1" s="3" t="str">
        <f>CONCATENATE(B1, " ",A1)</f>
        <v>Barry Brenner</v>
      </c>
      <c r="D1" s="3">
        <v>21348299</v>
      </c>
      <c r="E1" s="3" t="s">
        <v>494</v>
      </c>
      <c r="F1" s="3" t="str">
        <f>CONCATENATE(2,E1)</f>
        <v>2IANG10216053440001IL016</v>
      </c>
      <c r="G1" s="3" t="s">
        <v>495</v>
      </c>
      <c r="H1" s="4">
        <v>45748</v>
      </c>
      <c r="I1" s="3" t="s">
        <v>51</v>
      </c>
      <c r="J1" s="4">
        <v>45778</v>
      </c>
      <c r="K1" s="1">
        <f>DATE(YEAR(J1), MONTH(J1) +1, DAY(J1))</f>
        <v>45809</v>
      </c>
      <c r="M1" s="3">
        <v>20</v>
      </c>
      <c r="N1" s="3">
        <v>20</v>
      </c>
      <c r="O1" s="3" t="s">
        <v>67</v>
      </c>
      <c r="P1" s="3" t="s">
        <v>812</v>
      </c>
    </row>
    <row r="2" spans="1:16" s="3" customFormat="1" x14ac:dyDescent="0.25">
      <c r="A2" s="3" t="s">
        <v>514</v>
      </c>
      <c r="B2" s="3" t="s">
        <v>515</v>
      </c>
      <c r="C2" s="3" t="str">
        <f>CONCATENATE(B2, " ",A2)</f>
        <v>Jake Shulman</v>
      </c>
      <c r="D2" s="3">
        <v>18201929</v>
      </c>
      <c r="E2" s="3" t="s">
        <v>516</v>
      </c>
      <c r="F2" s="3" t="str">
        <f>CONCATENATE(2,E2)</f>
        <v>2IANG10216087070001IL016</v>
      </c>
      <c r="G2" s="3" t="s">
        <v>517</v>
      </c>
      <c r="H2" s="4">
        <v>45748</v>
      </c>
      <c r="I2" s="3" t="s">
        <v>51</v>
      </c>
      <c r="J2" s="4">
        <v>45778</v>
      </c>
      <c r="K2" s="1">
        <f>DATE(YEAR(J2), MONTH(J2) +1, DAY(J2))</f>
        <v>45809</v>
      </c>
      <c r="M2" s="3">
        <v>20</v>
      </c>
      <c r="N2" s="3">
        <v>20</v>
      </c>
      <c r="O2" s="3" t="s">
        <v>67</v>
      </c>
      <c r="P2" s="3" t="s">
        <v>812</v>
      </c>
    </row>
    <row r="3" spans="1:16" s="3" customFormat="1" x14ac:dyDescent="0.25">
      <c r="A3" s="3" t="s">
        <v>514</v>
      </c>
      <c r="B3" s="3" t="s">
        <v>515</v>
      </c>
      <c r="C3" s="3" t="str">
        <f>CONCATENATE(B3, " ",A3)</f>
        <v>Jake Shulman</v>
      </c>
      <c r="D3" s="3">
        <v>18201929</v>
      </c>
      <c r="E3" s="3" t="s">
        <v>647</v>
      </c>
      <c r="F3" s="3" t="str">
        <f>CONCATENATE(2,E3)</f>
        <v>2IANG10216295330001IL016</v>
      </c>
      <c r="G3" s="3" t="s">
        <v>648</v>
      </c>
      <c r="H3" s="4">
        <v>45748</v>
      </c>
      <c r="I3" s="3" t="s">
        <v>51</v>
      </c>
      <c r="J3" s="4">
        <v>45778</v>
      </c>
      <c r="K3" s="1">
        <f>DATE(YEAR(J3), MONTH(J3) +1, DAY(J3))</f>
        <v>45809</v>
      </c>
      <c r="M3" s="3">
        <v>20</v>
      </c>
      <c r="N3" s="3">
        <v>20</v>
      </c>
      <c r="O3" s="3" t="s">
        <v>67</v>
      </c>
      <c r="P3" s="3" t="s">
        <v>812</v>
      </c>
    </row>
    <row r="4" spans="1:16" s="3" customFormat="1" x14ac:dyDescent="0.25">
      <c r="A4" s="3" t="s">
        <v>372</v>
      </c>
      <c r="B4" s="3" t="s">
        <v>373</v>
      </c>
      <c r="C4" s="3" t="str">
        <f>CONCATENATE(B4, " ",A4)</f>
        <v>Jose Torres</v>
      </c>
      <c r="D4" s="3">
        <v>20212926</v>
      </c>
      <c r="E4" s="3" t="s">
        <v>374</v>
      </c>
      <c r="F4" s="3" t="str">
        <f>CONCATENATE(2,E4)</f>
        <v>2IANG10206106600001IL016</v>
      </c>
      <c r="G4" s="3" t="s">
        <v>375</v>
      </c>
      <c r="H4" s="4">
        <v>45566</v>
      </c>
      <c r="I4" s="3" t="s">
        <v>51</v>
      </c>
      <c r="J4" s="4">
        <v>45778</v>
      </c>
      <c r="K4" s="1">
        <f>DATE(YEAR(J4), MONTH(J4) +1, DAY(J4))</f>
        <v>45809</v>
      </c>
      <c r="L4" s="3" t="s">
        <v>808</v>
      </c>
      <c r="M4" s="3">
        <v>40</v>
      </c>
      <c r="N4" s="3">
        <v>40</v>
      </c>
      <c r="O4" s="3" t="s">
        <v>52</v>
      </c>
      <c r="P4" s="3" t="s">
        <v>812</v>
      </c>
    </row>
    <row r="5" spans="1:16" s="3" customFormat="1" x14ac:dyDescent="0.25">
      <c r="A5" s="3" t="s">
        <v>168</v>
      </c>
      <c r="B5" s="3" t="s">
        <v>169</v>
      </c>
      <c r="C5" s="3" t="str">
        <f>CONCATENATE(B5, " ",A5)</f>
        <v>Kirk Tigue</v>
      </c>
      <c r="D5" s="3">
        <v>21421111</v>
      </c>
      <c r="E5" s="3" t="s">
        <v>170</v>
      </c>
      <c r="F5" s="3" t="str">
        <f>CONCATENATE(2,E5)</f>
        <v>2IANG10216374400001AZ018</v>
      </c>
      <c r="G5" s="3" t="s">
        <v>171</v>
      </c>
      <c r="H5" s="4">
        <v>45748</v>
      </c>
      <c r="I5" s="3" t="s">
        <v>135</v>
      </c>
      <c r="J5" s="4">
        <v>45778</v>
      </c>
      <c r="K5" s="1">
        <f>DATE(YEAR(J5), MONTH(J5) +1, DAY(J5))</f>
        <v>45809</v>
      </c>
      <c r="L5" s="3" t="s">
        <v>811</v>
      </c>
      <c r="M5" s="3">
        <v>100</v>
      </c>
      <c r="N5" s="3">
        <v>100</v>
      </c>
      <c r="O5" s="3" t="s">
        <v>167</v>
      </c>
      <c r="P5" s="3" t="s">
        <v>812</v>
      </c>
    </row>
    <row r="6" spans="1:16" s="3" customFormat="1" x14ac:dyDescent="0.25">
      <c r="A6" s="3" t="s">
        <v>508</v>
      </c>
      <c r="B6" s="3" t="s">
        <v>509</v>
      </c>
      <c r="C6" s="3" t="str">
        <f>CONCATENATE(B6, " ",A6)</f>
        <v>Odmaa Enkhtur</v>
      </c>
      <c r="D6" s="3">
        <v>20999157</v>
      </c>
      <c r="E6" s="3" t="s">
        <v>510</v>
      </c>
      <c r="F6" s="3" t="str">
        <f>CONCATENATE(2,E6)</f>
        <v>2IANG10199644280001IL016</v>
      </c>
      <c r="G6" s="3" t="s">
        <v>511</v>
      </c>
      <c r="H6" s="4">
        <v>45413</v>
      </c>
      <c r="I6" s="3" t="s">
        <v>51</v>
      </c>
      <c r="J6" s="4">
        <v>45778</v>
      </c>
      <c r="K6" s="1">
        <f>DATE(YEAR(J6), MONTH(J6) +1, DAY(J6))</f>
        <v>45809</v>
      </c>
      <c r="M6" s="3">
        <v>20</v>
      </c>
      <c r="N6" s="3">
        <v>20</v>
      </c>
      <c r="O6" s="3" t="s">
        <v>52</v>
      </c>
      <c r="P6" s="3" t="s">
        <v>812</v>
      </c>
    </row>
    <row r="7" spans="1:16" s="3" customFormat="1" x14ac:dyDescent="0.25">
      <c r="A7" s="3" t="s">
        <v>225</v>
      </c>
      <c r="B7" s="3" t="s">
        <v>226</v>
      </c>
      <c r="C7" s="3" t="str">
        <f>CONCATENATE(B7, " ",A7)</f>
        <v>CAROLYN WILSON-SMITH</v>
      </c>
      <c r="D7" s="3">
        <v>7387433</v>
      </c>
      <c r="E7" s="3" t="s">
        <v>227</v>
      </c>
      <c r="F7" s="3" t="str">
        <f>CONCATENATE(2,E7)</f>
        <v>2IANG10208292020002MD016</v>
      </c>
      <c r="G7" s="3" t="s">
        <v>228</v>
      </c>
      <c r="H7" s="4">
        <v>45597</v>
      </c>
      <c r="I7" s="3" t="s">
        <v>33</v>
      </c>
      <c r="J7" s="4">
        <v>45778</v>
      </c>
      <c r="K7" s="1">
        <f>DATE(YEAR(J7), MONTH(J7) +1, DAY(J7))</f>
        <v>45809</v>
      </c>
      <c r="M7" s="3">
        <v>10</v>
      </c>
      <c r="N7" s="3">
        <v>10</v>
      </c>
      <c r="O7" s="3" t="s">
        <v>34</v>
      </c>
      <c r="P7" s="3" t="s">
        <v>813</v>
      </c>
    </row>
    <row r="8" spans="1:16" s="3" customFormat="1" x14ac:dyDescent="0.25">
      <c r="A8" s="3" t="s">
        <v>225</v>
      </c>
      <c r="B8" s="3" t="s">
        <v>226</v>
      </c>
      <c r="C8" s="3" t="str">
        <f>CONCATENATE(B8, " ",A8)</f>
        <v>CAROLYN WILSON-SMITH</v>
      </c>
      <c r="D8" s="3">
        <v>7387433</v>
      </c>
      <c r="E8" s="3" t="s">
        <v>685</v>
      </c>
      <c r="F8" s="3" t="str">
        <f>CONCATENATE(2,E8)</f>
        <v>2IANG10206238650002MD016</v>
      </c>
      <c r="G8" s="3" t="s">
        <v>686</v>
      </c>
      <c r="H8" s="4">
        <v>45566</v>
      </c>
      <c r="I8" s="3" t="s">
        <v>33</v>
      </c>
      <c r="J8" s="4">
        <v>45778</v>
      </c>
      <c r="K8" s="1">
        <f>DATE(YEAR(J8), MONTH(J8) +1, DAY(J8))</f>
        <v>45809</v>
      </c>
      <c r="L8" s="3" t="s">
        <v>808</v>
      </c>
      <c r="M8" s="3">
        <v>20</v>
      </c>
      <c r="N8" s="3">
        <v>20</v>
      </c>
      <c r="O8" s="3" t="s">
        <v>34</v>
      </c>
      <c r="P8" s="3" t="s">
        <v>813</v>
      </c>
    </row>
    <row r="9" spans="1:16" s="3" customFormat="1" x14ac:dyDescent="0.25">
      <c r="A9" s="3" t="s">
        <v>332</v>
      </c>
      <c r="B9" s="3" t="s">
        <v>333</v>
      </c>
      <c r="C9" s="3" t="str">
        <f>CONCATENATE(B9, " ",A9)</f>
        <v>Jared Kinyua</v>
      </c>
      <c r="D9" s="3">
        <v>19279958</v>
      </c>
      <c r="E9" s="3" t="s">
        <v>334</v>
      </c>
      <c r="F9" s="3" t="str">
        <f>CONCATENATE(2,E9)</f>
        <v>2IANG10207602700002MD016</v>
      </c>
      <c r="G9" s="3" t="s">
        <v>335</v>
      </c>
      <c r="H9" s="4">
        <v>45597</v>
      </c>
      <c r="I9" s="3" t="s">
        <v>33</v>
      </c>
      <c r="J9" s="4">
        <v>45778</v>
      </c>
      <c r="K9" s="1">
        <f>DATE(YEAR(J9), MONTH(J9) +1, DAY(J9))</f>
        <v>45809</v>
      </c>
      <c r="M9" s="3">
        <v>10</v>
      </c>
      <c r="N9" s="3">
        <v>10</v>
      </c>
      <c r="O9" s="3" t="s">
        <v>34</v>
      </c>
      <c r="P9" s="3" t="s">
        <v>813</v>
      </c>
    </row>
    <row r="10" spans="1:16" s="3" customFormat="1" x14ac:dyDescent="0.25">
      <c r="A10" s="3" t="s">
        <v>332</v>
      </c>
      <c r="B10" s="3" t="s">
        <v>333</v>
      </c>
      <c r="C10" s="3" t="str">
        <f>CONCATENATE(B10, " ",A10)</f>
        <v>Jared Kinyua</v>
      </c>
      <c r="D10" s="3">
        <v>19279958</v>
      </c>
      <c r="E10" s="3" t="s">
        <v>691</v>
      </c>
      <c r="F10" s="3" t="str">
        <f>CONCATENATE(2,E10)</f>
        <v>2IANG10205893560002MD016</v>
      </c>
      <c r="G10" s="3" t="s">
        <v>692</v>
      </c>
      <c r="H10" s="4">
        <v>45566</v>
      </c>
      <c r="I10" s="3" t="s">
        <v>33</v>
      </c>
      <c r="J10" s="4">
        <v>45778</v>
      </c>
      <c r="K10" s="1">
        <f>DATE(YEAR(J10), MONTH(J10) +1, DAY(J10))</f>
        <v>45809</v>
      </c>
      <c r="M10" s="3">
        <v>10</v>
      </c>
      <c r="N10" s="3">
        <v>10</v>
      </c>
      <c r="O10" s="3" t="s">
        <v>34</v>
      </c>
      <c r="P10" s="3" t="s">
        <v>813</v>
      </c>
    </row>
    <row r="11" spans="1:16" s="3" customFormat="1" x14ac:dyDescent="0.25">
      <c r="A11" s="3" t="s">
        <v>484</v>
      </c>
      <c r="B11" s="3" t="s">
        <v>485</v>
      </c>
      <c r="C11" s="3" t="str">
        <f>CONCATENATE(B11, " ",A11)</f>
        <v>Jessica Sandifer</v>
      </c>
      <c r="D11" s="3">
        <v>6115727</v>
      </c>
      <c r="E11" s="3" t="s">
        <v>486</v>
      </c>
      <c r="F11" s="3" t="str">
        <f>CONCATENATE(2,E11)</f>
        <v>2IANG10214294940002MD016</v>
      </c>
      <c r="G11" s="3" t="s">
        <v>487</v>
      </c>
      <c r="H11" s="4">
        <v>45658</v>
      </c>
      <c r="I11" s="3" t="s">
        <v>33</v>
      </c>
      <c r="J11" s="4">
        <v>45778</v>
      </c>
      <c r="K11" s="1">
        <f>DATE(YEAR(J11), MONTH(J11) +1, DAY(J11))</f>
        <v>45809</v>
      </c>
      <c r="M11" s="3">
        <v>10</v>
      </c>
      <c r="N11" s="3">
        <v>10</v>
      </c>
      <c r="O11" s="3" t="s">
        <v>88</v>
      </c>
      <c r="P11" s="3" t="s">
        <v>813</v>
      </c>
    </row>
    <row r="12" spans="1:16" s="3" customFormat="1" x14ac:dyDescent="0.25">
      <c r="A12" s="3" t="s">
        <v>280</v>
      </c>
      <c r="B12" s="3" t="s">
        <v>281</v>
      </c>
      <c r="C12" s="3" t="str">
        <f>CONCATENATE(B12, " ",A12)</f>
        <v>Barry Brenner</v>
      </c>
      <c r="D12" s="3">
        <v>21348299</v>
      </c>
      <c r="E12" s="3" t="s">
        <v>282</v>
      </c>
      <c r="F12" s="3" t="str">
        <f>CONCATENATE(2,E12)</f>
        <v>2IANG10215945360001TX016</v>
      </c>
      <c r="G12" s="3" t="s">
        <v>283</v>
      </c>
      <c r="H12" s="4">
        <v>45748</v>
      </c>
      <c r="I12" s="3" t="s">
        <v>43</v>
      </c>
      <c r="J12" s="4">
        <v>45778</v>
      </c>
      <c r="K12" s="1">
        <f>DATE(YEAR(J12), MONTH(J12) +1, DAY(J12))</f>
        <v>45809</v>
      </c>
      <c r="M12" s="3">
        <v>25</v>
      </c>
      <c r="N12" s="3">
        <v>25</v>
      </c>
      <c r="O12" s="3" t="s">
        <v>44</v>
      </c>
      <c r="P12" s="3" t="s">
        <v>814</v>
      </c>
    </row>
    <row r="13" spans="1:16" s="3" customFormat="1" x14ac:dyDescent="0.25">
      <c r="A13" s="3" t="s">
        <v>39</v>
      </c>
      <c r="B13" s="3" t="s">
        <v>40</v>
      </c>
      <c r="C13" s="3" t="str">
        <f>CONCATENATE(B13, " ",A13)</f>
        <v>Christopher Brousseau</v>
      </c>
      <c r="D13" s="3">
        <v>21435997</v>
      </c>
      <c r="E13" s="3" t="s">
        <v>41</v>
      </c>
      <c r="F13" s="3" t="str">
        <f>CONCATENATE(2,E13)</f>
        <v>2IANG10217013120001TX016</v>
      </c>
      <c r="G13" s="3" t="s">
        <v>42</v>
      </c>
      <c r="H13" s="4">
        <v>45778</v>
      </c>
      <c r="I13" s="3" t="s">
        <v>43</v>
      </c>
      <c r="J13" s="4">
        <v>45778</v>
      </c>
      <c r="K13" s="1">
        <f>DATE(YEAR(J13), MONTH(J13) +1, DAY(J13))</f>
        <v>45809</v>
      </c>
      <c r="M13" s="3">
        <v>25</v>
      </c>
      <c r="N13" s="3">
        <v>25</v>
      </c>
      <c r="O13" s="3" t="s">
        <v>44</v>
      </c>
      <c r="P13" s="3" t="s">
        <v>814</v>
      </c>
    </row>
    <row r="14" spans="1:16" s="3" customFormat="1" x14ac:dyDescent="0.25">
      <c r="A14" s="3" t="s">
        <v>39</v>
      </c>
      <c r="B14" s="3" t="s">
        <v>40</v>
      </c>
      <c r="C14" s="3" t="str">
        <f>CONCATENATE(B14, " ",A14)</f>
        <v>Christopher Brousseau</v>
      </c>
      <c r="D14" s="3">
        <v>21435997</v>
      </c>
      <c r="E14" s="3" t="s">
        <v>621</v>
      </c>
      <c r="F14" s="3" t="str">
        <f>CONCATENATE(2,E14)</f>
        <v>2IANG10216623710001TX016</v>
      </c>
      <c r="G14" s="3" t="s">
        <v>622</v>
      </c>
      <c r="H14" s="4">
        <v>45778</v>
      </c>
      <c r="I14" s="3" t="s">
        <v>43</v>
      </c>
      <c r="J14" s="4">
        <v>45778</v>
      </c>
      <c r="K14" s="1">
        <f>DATE(YEAR(J14), MONTH(J14) +1, DAY(J14))</f>
        <v>45809</v>
      </c>
      <c r="L14" s="3" t="s">
        <v>809</v>
      </c>
      <c r="M14" s="3">
        <v>75</v>
      </c>
      <c r="N14" s="3">
        <v>75</v>
      </c>
      <c r="O14" s="3" t="s">
        <v>44</v>
      </c>
      <c r="P14" s="3" t="s">
        <v>814</v>
      </c>
    </row>
    <row r="15" spans="1:16" s="3" customFormat="1" x14ac:dyDescent="0.25">
      <c r="A15" s="3" t="s">
        <v>168</v>
      </c>
      <c r="B15" s="3" t="s">
        <v>169</v>
      </c>
      <c r="C15" s="3" t="str">
        <f>CONCATENATE(B15, " ",A15)</f>
        <v>Kirk Tigue</v>
      </c>
      <c r="D15" s="3">
        <v>21421111</v>
      </c>
      <c r="E15" s="3" t="s">
        <v>536</v>
      </c>
      <c r="F15" s="3" t="str">
        <f>CONCATENATE(2,E15)</f>
        <v>2IANG10216796040001TX016</v>
      </c>
      <c r="G15" s="3" t="s">
        <v>537</v>
      </c>
      <c r="H15" s="4">
        <v>45778</v>
      </c>
      <c r="I15" s="3" t="s">
        <v>43</v>
      </c>
      <c r="J15" s="4">
        <v>45778</v>
      </c>
      <c r="K15" s="1">
        <f>DATE(YEAR(J15), MONTH(J15) +1, DAY(J15))</f>
        <v>45809</v>
      </c>
      <c r="M15" s="3">
        <v>25</v>
      </c>
      <c r="N15" s="3">
        <v>25</v>
      </c>
      <c r="O15" s="3" t="s">
        <v>44</v>
      </c>
      <c r="P15" s="3" t="s">
        <v>814</v>
      </c>
    </row>
  </sheetData>
  <sortState xmlns:xlrd2="http://schemas.microsoft.com/office/spreadsheetml/2017/richdata2" ref="A1:V15">
    <sortCondition ref="P1:P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LLC_ifp_comm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2025-06-25T17:31:38Z</dcterms:created>
  <dcterms:modified xsi:type="dcterms:W3CDTF">2025-06-30T21:44:28Z</dcterms:modified>
</cp:coreProperties>
</file>