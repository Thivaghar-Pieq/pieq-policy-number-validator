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orizon\Horizon 10-03-25 Ritter\"/>
    </mc:Choice>
  </mc:AlternateContent>
  <xr:revisionPtr revIDLastSave="0" documentId="13_ncr:1_{1C24995B-203E-4B8C-99EC-D2BCD0B72B7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3" r:id="rId2"/>
    <sheet name="Working" sheetId="2" r:id="rId3"/>
  </sheets>
  <calcPr calcId="181029"/>
  <extLst>
    <ext uri="GoogleSheetsCustomDataVersion2">
      <go:sheetsCustomData xmlns:go="http://customooxmlschemas.google.com/" r:id="rId6" roundtripDataChecksum="9pXBZXPTUNAkOOFCcFVmJBCJgJxu6Wa0Yo4+qKzRUmo=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2" i="3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<sst xmlns="http://schemas.openxmlformats.org/spreadsheetml/2006/main" count="220" uniqueCount="64">
  <si>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</si>
  <si>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</si>
  <si>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</si>
  <si>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</si>
  <si>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</si>
  <si>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</si>
  <si>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</si>
  <si>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</si>
  <si>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</si>
  <si>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</si>
  <si>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</si>
  <si>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</si>
  <si>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Hanan</t>
  </si>
  <si>
    <t>Elamin</t>
  </si>
  <si>
    <t>3HZN87712810</t>
  </si>
  <si>
    <t>Horizon U65</t>
  </si>
  <si>
    <t>Horizon U65 2023/2025 Omnia Plan (ProRata: 1) Premium Period: 8/1/2025</t>
  </si>
  <si>
    <t>John</t>
  </si>
  <si>
    <t>Libutti</t>
  </si>
  <si>
    <t>3HZN36141160</t>
  </si>
  <si>
    <t>Justin</t>
  </si>
  <si>
    <t>Lutz</t>
  </si>
  <si>
    <t>3HZN05511620</t>
  </si>
  <si>
    <t>Lisa</t>
  </si>
  <si>
    <t>Savage</t>
  </si>
  <si>
    <t>3HZN39660150</t>
  </si>
  <si>
    <t>Meredit</t>
  </si>
  <si>
    <t>Torrey</t>
  </si>
  <si>
    <t>3HZN61062050</t>
  </si>
  <si>
    <t>Patricia</t>
  </si>
  <si>
    <t>Sanders</t>
  </si>
  <si>
    <t>3HZN21337460</t>
  </si>
  <si>
    <t>Ryan</t>
  </si>
  <si>
    <t>Kappus</t>
  </si>
  <si>
    <t>3HZN30697140</t>
  </si>
  <si>
    <t>Samuel</t>
  </si>
  <si>
    <t>Petty</t>
  </si>
  <si>
    <t>3HZN68516710</t>
  </si>
  <si>
    <t>Siroun</t>
  </si>
  <si>
    <t>Agopian</t>
  </si>
  <si>
    <t>3HZN74815520</t>
  </si>
  <si>
    <t>Jason Hoffmann</t>
  </si>
  <si>
    <t>Marybeth</t>
  </si>
  <si>
    <t>Lynch</t>
  </si>
  <si>
    <t>3HZN22039950</t>
  </si>
  <si>
    <t>Policy Holder Name</t>
  </si>
  <si>
    <t>Policy Number</t>
  </si>
  <si>
    <t>Agent Name</t>
  </si>
  <si>
    <t>Agent ID</t>
  </si>
  <si>
    <t>Issue Date</t>
  </si>
  <si>
    <t>Paid to dates</t>
  </si>
  <si>
    <t>Gross Commission</t>
  </si>
  <si>
    <t>Marybeth Lynch</t>
  </si>
  <si>
    <t xml:space="preserve">16.50 </t>
  </si>
  <si>
    <t>Horizon U65 Omnia</t>
  </si>
  <si>
    <t>Justin Lutz</t>
  </si>
  <si>
    <t>Patricia Sanders</t>
  </si>
  <si>
    <t>Ryan Kappus</t>
  </si>
  <si>
    <t>John Libutti</t>
  </si>
  <si>
    <t>Lisa Savage</t>
  </si>
  <si>
    <t>Meredit Torrey</t>
  </si>
  <si>
    <t>Samuel Petty</t>
  </si>
  <si>
    <t>Siroun Agopian</t>
  </si>
  <si>
    <t>Hanan 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</si>
</sst>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sqref="A1:XFD1048576"/>
    </sheetView>
  </sheetViews>
  <sheetFormatPr defaultColWidth="14.42578125" defaultRowHeight="15" customHeight="1" x14ac:dyDescent="0.25"/>
  <cols>
    <col min="1" max="2" width="14.85546875" customWidth="1"/>
    <col min="3" max="3" width="10.42578125" customWidth="1"/>
    <col min="4" max="4" width="10.28515625" customWidth="1"/>
    <col min="5" max="5" width="10" customWidth="1"/>
    <col min="6" max="6" width="14.28515625" customWidth="1"/>
    <col min="7" max="7" width="11.5703125" customWidth="1"/>
    <col min="8" max="8" width="14.140625" customWidth="1"/>
    <col min="9" max="9" width="12.5703125" customWidth="1"/>
    <col min="10" max="10" width="65.42578125" customWidth="1"/>
    <col min="11" max="11" width="15.140625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C2" s="1">
        <v>16212649</v>
      </c>
      <c r="D2" s="1" t="s">
        <v>12</v>
      </c>
      <c r="E2" s="1" t="s">
        <v>13</v>
      </c>
      <c r="F2" s="1" t="s">
        <v>14</v>
      </c>
      <c r="G2" s="2">
        <v>45870</v>
      </c>
      <c r="H2" s="2">
        <v>45933</v>
      </c>
      <c r="I2" s="1" t="s">
        <v>15</v>
      </c>
      <c r="J2" s="1" t="s">
        <v>16</v>
      </c>
      <c r="K2" s="3">
        <v>16.5</v>
      </c>
    </row>
    <row r="3" spans="1:11" x14ac:dyDescent="0.25">
      <c r="A3" s="1" t="s">
        <v>11</v>
      </c>
      <c r="C3" s="1">
        <v>16212649</v>
      </c>
      <c r="D3" s="1" t="s">
        <v>17</v>
      </c>
      <c r="E3" s="1" t="s">
        <v>18</v>
      </c>
      <c r="F3" s="1" t="s">
        <v>19</v>
      </c>
      <c r="G3" s="2">
        <v>45870</v>
      </c>
      <c r="H3" s="2">
        <v>45933</v>
      </c>
      <c r="I3" s="1" t="s">
        <v>15</v>
      </c>
      <c r="J3" s="1" t="s">
        <v>16</v>
      </c>
      <c r="K3" s="3">
        <v>16.5</v>
      </c>
    </row>
    <row r="4" spans="1:11" x14ac:dyDescent="0.25">
      <c r="A4" s="1" t="s">
        <v>11</v>
      </c>
      <c r="C4" s="1">
        <v>16212649</v>
      </c>
      <c r="D4" s="1" t="s">
        <v>20</v>
      </c>
      <c r="E4" s="1" t="s">
        <v>21</v>
      </c>
      <c r="F4" s="1" t="s">
        <v>22</v>
      </c>
      <c r="G4" s="2">
        <v>45870</v>
      </c>
      <c r="H4" s="2">
        <v>45933</v>
      </c>
      <c r="I4" s="1" t="s">
        <v>15</v>
      </c>
      <c r="J4" s="1" t="s">
        <v>16</v>
      </c>
      <c r="K4" s="3">
        <v>16.5</v>
      </c>
    </row>
    <row r="5" spans="1:11" x14ac:dyDescent="0.25">
      <c r="A5" s="1" t="s">
        <v>11</v>
      </c>
      <c r="C5" s="1">
        <v>16212649</v>
      </c>
      <c r="D5" s="1" t="s">
        <v>23</v>
      </c>
      <c r="E5" s="1" t="s">
        <v>24</v>
      </c>
      <c r="F5" s="1" t="s">
        <v>25</v>
      </c>
      <c r="G5" s="2">
        <v>45870</v>
      </c>
      <c r="H5" s="2">
        <v>45933</v>
      </c>
      <c r="I5" s="1" t="s">
        <v>15</v>
      </c>
      <c r="J5" s="1" t="s">
        <v>16</v>
      </c>
      <c r="K5" s="3">
        <v>16.5</v>
      </c>
    </row>
    <row r="6" spans="1:11" x14ac:dyDescent="0.25">
      <c r="A6" s="1" t="s">
        <v>11</v>
      </c>
      <c r="C6" s="1">
        <v>16212649</v>
      </c>
      <c r="D6" s="1" t="s">
        <v>26</v>
      </c>
      <c r="E6" s="1" t="s">
        <v>27</v>
      </c>
      <c r="F6" s="1" t="s">
        <v>28</v>
      </c>
      <c r="G6" s="2">
        <v>45870</v>
      </c>
      <c r="H6" s="2">
        <v>45933</v>
      </c>
      <c r="I6" s="1" t="s">
        <v>15</v>
      </c>
      <c r="J6" s="1" t="s">
        <v>16</v>
      </c>
      <c r="K6" s="3">
        <v>16.5</v>
      </c>
    </row>
    <row r="7" spans="1:11" x14ac:dyDescent="0.25">
      <c r="A7" s="1" t="s">
        <v>11</v>
      </c>
      <c r="C7" s="1">
        <v>16212649</v>
      </c>
      <c r="D7" s="1" t="s">
        <v>29</v>
      </c>
      <c r="E7" s="1" t="s">
        <v>30</v>
      </c>
      <c r="F7" s="1" t="s">
        <v>31</v>
      </c>
      <c r="G7" s="2">
        <v>45870</v>
      </c>
      <c r="H7" s="2">
        <v>45933</v>
      </c>
      <c r="I7" s="1" t="s">
        <v>15</v>
      </c>
      <c r="J7" s="1" t="s">
        <v>16</v>
      </c>
      <c r="K7" s="3">
        <v>16.5</v>
      </c>
    </row>
    <row r="8" spans="1:11" x14ac:dyDescent="0.25">
      <c r="A8" s="1" t="s">
        <v>11</v>
      </c>
      <c r="C8" s="1">
        <v>16212649</v>
      </c>
      <c r="D8" s="1" t="s">
        <v>32</v>
      </c>
      <c r="E8" s="1" t="s">
        <v>33</v>
      </c>
      <c r="F8" s="1" t="s">
        <v>34</v>
      </c>
      <c r="G8" s="2">
        <v>45870</v>
      </c>
      <c r="H8" s="2">
        <v>45933</v>
      </c>
      <c r="I8" s="1" t="s">
        <v>15</v>
      </c>
      <c r="J8" s="1" t="s">
        <v>16</v>
      </c>
      <c r="K8" s="3">
        <v>16.5</v>
      </c>
    </row>
    <row r="9" spans="1:11" x14ac:dyDescent="0.25">
      <c r="A9" s="1" t="s">
        <v>11</v>
      </c>
      <c r="C9" s="1">
        <v>16212649</v>
      </c>
      <c r="D9" s="1" t="s">
        <v>35</v>
      </c>
      <c r="E9" s="1" t="s">
        <v>36</v>
      </c>
      <c r="F9" s="1" t="s">
        <v>37</v>
      </c>
      <c r="G9" s="2">
        <v>45870</v>
      </c>
      <c r="H9" s="2">
        <v>45933</v>
      </c>
      <c r="I9" s="1" t="s">
        <v>15</v>
      </c>
      <c r="J9" s="1" t="s">
        <v>16</v>
      </c>
      <c r="K9" s="3">
        <v>16.5</v>
      </c>
    </row>
    <row r="10" spans="1:11" x14ac:dyDescent="0.25">
      <c r="A10" s="1" t="s">
        <v>11</v>
      </c>
      <c r="C10" s="1">
        <v>16212649</v>
      </c>
      <c r="D10" s="1" t="s">
        <v>38</v>
      </c>
      <c r="E10" s="1" t="s">
        <v>39</v>
      </c>
      <c r="F10" s="1" t="s">
        <v>40</v>
      </c>
      <c r="G10" s="2">
        <v>45870</v>
      </c>
      <c r="H10" s="2">
        <v>45933</v>
      </c>
      <c r="I10" s="1" t="s">
        <v>15</v>
      </c>
      <c r="J10" s="1" t="s">
        <v>16</v>
      </c>
      <c r="K10" s="3">
        <v>16.5</v>
      </c>
    </row>
    <row r="11" spans="1:11" x14ac:dyDescent="0.25">
      <c r="A11" s="1" t="s">
        <v>41</v>
      </c>
      <c r="C11" s="1">
        <v>15278437</v>
      </c>
      <c r="D11" s="1" t="s">
        <v>42</v>
      </c>
      <c r="E11" s="1" t="s">
        <v>43</v>
      </c>
      <c r="F11" s="1" t="s">
        <v>44</v>
      </c>
      <c r="G11" s="2">
        <v>45870</v>
      </c>
      <c r="H11" s="2">
        <v>45933</v>
      </c>
      <c r="I11" s="1" t="s">
        <v>15</v>
      </c>
      <c r="J11" s="1" t="s">
        <v>16</v>
      </c>
      <c r="K11" s="3">
        <v>16.5</v>
      </c>
    </row>
    <row r="21" customFormat="1" ht="15.75" customHeight="1" x14ac:dyDescent="0.25"/>
    <row r="22" customFormat="1" ht="15.75" customHeight="1" x14ac:dyDescent="0.25"/>
    <row r="23" customFormat="1" ht="15.75" customHeight="1" x14ac:dyDescent="0.25"/>
    <row r="24" customFormat="1" ht="15.75" customHeight="1" x14ac:dyDescent="0.25"/>
    <row r="25" customFormat="1" ht="15.75" customHeight="1" x14ac:dyDescent="0.25"/>
    <row r="26" customFormat="1" ht="15.75" customHeight="1" x14ac:dyDescent="0.25"/>
    <row r="27" customFormat="1" ht="15.75" customHeight="1" x14ac:dyDescent="0.25"/>
    <row r="28" customFormat="1" ht="15.75" customHeight="1" x14ac:dyDescent="0.25"/>
    <row r="29" customFormat="1" ht="15.75" customHeight="1" x14ac:dyDescent="0.25"/>
    <row r="30" customFormat="1" ht="15.75" customHeight="1" x14ac:dyDescent="0.25"/>
    <row r="31" customFormat="1" ht="15.75" customHeight="1" x14ac:dyDescent="0.25"/>
    <row r="32" customFormat="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2C58-A844-43BA-A5DA-BBA03A73E368}">
  <dimension ref="A1:L1000"/>
  <sheetViews>
    <sheetView tabSelected="1" workbookViewId="0">
      <selection activeCell="K2" sqref="K2:K11"/>
    </sheetView>
  </sheetViews>
  <sheetFormatPr defaultColWidth="14.42578125" defaultRowHeight="15" x14ac:dyDescent="0.25"/>
  <cols>
    <col min="1" max="1" width="14.85546875" customWidth="1"/>
    <col min="2" max="2" width="10.42578125" customWidth="1"/>
    <col min="3" max="3" width="10.28515625" customWidth="1"/>
    <col min="4" max="4" width="10" customWidth="1"/>
    <col min="5" max="5" width="13.140625" bestFit="1" customWidth="1"/>
    <col min="6" max="6" width="14.28515625" customWidth="1"/>
    <col min="7" max="7" width="11.5703125" customWidth="1"/>
    <col min="8" max="8" width="14.140625" customWidth="1"/>
    <col min="9" max="9" width="12.5703125" customWidth="1"/>
    <col min="10" max="10" width="65.42578125" customWidth="1"/>
    <col min="11" max="11" width="15.140625" customWidth="1"/>
    <col min="12" max="26" width="8.7109375" customWidth="1"/>
  </cols>
  <sheetData>
    <row r="1" spans="1:12" x14ac:dyDescent="0.25">
      <c r="A1" s="1" t="s">
        <v>0</v>
      </c>
      <c r="B1" s="1" t="s">
        <v>2</v>
      </c>
      <c r="C1" s="1" t="s">
        <v>3</v>
      </c>
      <c r="D1" s="1" t="s">
        <v>4</v>
      </c>
      <c r="E1" s="1"/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s="1" t="s">
        <v>11</v>
      </c>
      <c r="B2" s="1">
        <v>16212649</v>
      </c>
      <c r="C2" s="1" t="s">
        <v>12</v>
      </c>
      <c r="D2" s="1" t="s">
        <v>13</v>
      </c>
      <c r="E2" s="1" t="str">
        <f>CONCATENATE(C2, " ",D2)</f>
        <v>Hanan Elamin</v>
      </c>
      <c r="F2" s="1" t="s">
        <v>14</v>
      </c>
      <c r="G2" s="2">
        <v>45870</v>
      </c>
      <c r="H2" s="2">
        <v>45933</v>
      </c>
      <c r="I2" s="1" t="s">
        <v>15</v>
      </c>
      <c r="J2" s="1" t="s">
        <v>16</v>
      </c>
      <c r="K2" s="3">
        <v>16.5</v>
      </c>
      <c r="L2" t="s">
        <v>54</v>
      </c>
    </row>
    <row r="3" spans="1:12" x14ac:dyDescent="0.25">
      <c r="A3" s="1" t="s">
        <v>11</v>
      </c>
      <c r="B3" s="1">
        <v>16212649</v>
      </c>
      <c r="C3" s="1" t="s">
        <v>17</v>
      </c>
      <c r="D3" s="1" t="s">
        <v>18</v>
      </c>
      <c r="E3" s="1" t="str">
        <f t="shared" ref="E3:E11" si="0">CONCATENATE(C3, " ",D3)</f>
        <v>John Libutti</v>
      </c>
      <c r="F3" s="1" t="s">
        <v>19</v>
      </c>
      <c r="G3" s="2">
        <v>45870</v>
      </c>
      <c r="H3" s="2">
        <v>45933</v>
      </c>
      <c r="I3" s="1" t="s">
        <v>15</v>
      </c>
      <c r="J3" s="1" t="s">
        <v>16</v>
      </c>
      <c r="K3" s="3">
        <v>16.5</v>
      </c>
      <c r="L3" t="s">
        <v>54</v>
      </c>
    </row>
    <row r="4" spans="1:12" x14ac:dyDescent="0.25">
      <c r="A4" s="1" t="s">
        <v>11</v>
      </c>
      <c r="B4" s="1">
        <v>16212649</v>
      </c>
      <c r="C4" s="1" t="s">
        <v>20</v>
      </c>
      <c r="D4" s="1" t="s">
        <v>21</v>
      </c>
      <c r="E4" s="1" t="str">
        <f t="shared" si="0"/>
        <v>Justin Lutz</v>
      </c>
      <c r="F4" s="1" t="s">
        <v>22</v>
      </c>
      <c r="G4" s="2">
        <v>45870</v>
      </c>
      <c r="H4" s="2">
        <v>45933</v>
      </c>
      <c r="I4" s="1" t="s">
        <v>15</v>
      </c>
      <c r="J4" s="1" t="s">
        <v>16</v>
      </c>
      <c r="K4" s="3">
        <v>16.5</v>
      </c>
      <c r="L4" t="s">
        <v>54</v>
      </c>
    </row>
    <row r="5" spans="1:12" x14ac:dyDescent="0.25">
      <c r="A5" s="1" t="s">
        <v>11</v>
      </c>
      <c r="B5" s="1">
        <v>16212649</v>
      </c>
      <c r="C5" s="1" t="s">
        <v>23</v>
      </c>
      <c r="D5" s="1" t="s">
        <v>24</v>
      </c>
      <c r="E5" s="1" t="str">
        <f t="shared" si="0"/>
        <v>Lisa Savage</v>
      </c>
      <c r="F5" s="1" t="s">
        <v>25</v>
      </c>
      <c r="G5" s="2">
        <v>45870</v>
      </c>
      <c r="H5" s="2">
        <v>45933</v>
      </c>
      <c r="I5" s="1" t="s">
        <v>15</v>
      </c>
      <c r="J5" s="1" t="s">
        <v>16</v>
      </c>
      <c r="K5" s="3">
        <v>16.5</v>
      </c>
      <c r="L5" t="s">
        <v>54</v>
      </c>
    </row>
    <row r="6" spans="1:12" x14ac:dyDescent="0.25">
      <c r="A6" s="1" t="s">
        <v>11</v>
      </c>
      <c r="B6" s="1">
        <v>16212649</v>
      </c>
      <c r="C6" s="1" t="s">
        <v>26</v>
      </c>
      <c r="D6" s="1" t="s">
        <v>27</v>
      </c>
      <c r="E6" s="1" t="str">
        <f t="shared" si="0"/>
        <v>Meredit Torrey</v>
      </c>
      <c r="F6" s="1" t="s">
        <v>28</v>
      </c>
      <c r="G6" s="2">
        <v>45870</v>
      </c>
      <c r="H6" s="2">
        <v>45933</v>
      </c>
      <c r="I6" s="1" t="s">
        <v>15</v>
      </c>
      <c r="J6" s="1" t="s">
        <v>16</v>
      </c>
      <c r="K6" s="3">
        <v>16.5</v>
      </c>
      <c r="L6" t="s">
        <v>54</v>
      </c>
    </row>
    <row r="7" spans="1:12" x14ac:dyDescent="0.25">
      <c r="A7" s="1" t="s">
        <v>11</v>
      </c>
      <c r="B7" s="1">
        <v>16212649</v>
      </c>
      <c r="C7" s="1" t="s">
        <v>29</v>
      </c>
      <c r="D7" s="1" t="s">
        <v>30</v>
      </c>
      <c r="E7" s="1" t="str">
        <f t="shared" si="0"/>
        <v>Patricia Sanders</v>
      </c>
      <c r="F7" s="1" t="s">
        <v>31</v>
      </c>
      <c r="G7" s="2">
        <v>45870</v>
      </c>
      <c r="H7" s="2">
        <v>45933</v>
      </c>
      <c r="I7" s="1" t="s">
        <v>15</v>
      </c>
      <c r="J7" s="1" t="s">
        <v>16</v>
      </c>
      <c r="K7" s="3">
        <v>16.5</v>
      </c>
      <c r="L7" t="s">
        <v>54</v>
      </c>
    </row>
    <row r="8" spans="1:12" x14ac:dyDescent="0.25">
      <c r="A8" s="1" t="s">
        <v>11</v>
      </c>
      <c r="B8" s="1">
        <v>16212649</v>
      </c>
      <c r="C8" s="1" t="s">
        <v>32</v>
      </c>
      <c r="D8" s="1" t="s">
        <v>33</v>
      </c>
      <c r="E8" s="1" t="str">
        <f t="shared" si="0"/>
        <v>Ryan Kappus</v>
      </c>
      <c r="F8" s="1" t="s">
        <v>34</v>
      </c>
      <c r="G8" s="2">
        <v>45870</v>
      </c>
      <c r="H8" s="2">
        <v>45933</v>
      </c>
      <c r="I8" s="1" t="s">
        <v>15</v>
      </c>
      <c r="J8" s="1" t="s">
        <v>16</v>
      </c>
      <c r="K8" s="3">
        <v>16.5</v>
      </c>
      <c r="L8" t="s">
        <v>54</v>
      </c>
    </row>
    <row r="9" spans="1:12" x14ac:dyDescent="0.25">
      <c r="A9" s="1" t="s">
        <v>11</v>
      </c>
      <c r="B9" s="1">
        <v>16212649</v>
      </c>
      <c r="C9" s="1" t="s">
        <v>35</v>
      </c>
      <c r="D9" s="1" t="s">
        <v>36</v>
      </c>
      <c r="E9" s="1" t="str">
        <f t="shared" si="0"/>
        <v>Samuel Petty</v>
      </c>
      <c r="F9" s="1" t="s">
        <v>37</v>
      </c>
      <c r="G9" s="2">
        <v>45870</v>
      </c>
      <c r="H9" s="2">
        <v>45933</v>
      </c>
      <c r="I9" s="1" t="s">
        <v>15</v>
      </c>
      <c r="J9" s="1" t="s">
        <v>16</v>
      </c>
      <c r="K9" s="3">
        <v>16.5</v>
      </c>
      <c r="L9" t="s">
        <v>54</v>
      </c>
    </row>
    <row r="10" spans="1:12" x14ac:dyDescent="0.25">
      <c r="A10" s="1" t="s">
        <v>11</v>
      </c>
      <c r="B10" s="1">
        <v>16212649</v>
      </c>
      <c r="C10" s="1" t="s">
        <v>38</v>
      </c>
      <c r="D10" s="1" t="s">
        <v>39</v>
      </c>
      <c r="E10" s="1" t="str">
        <f t="shared" si="0"/>
        <v>Siroun Agopian</v>
      </c>
      <c r="F10" s="1" t="s">
        <v>40</v>
      </c>
      <c r="G10" s="2">
        <v>45870</v>
      </c>
      <c r="H10" s="2">
        <v>45933</v>
      </c>
      <c r="I10" s="1" t="s">
        <v>15</v>
      </c>
      <c r="J10" s="1" t="s">
        <v>16</v>
      </c>
      <c r="K10" s="3">
        <v>16.5</v>
      </c>
      <c r="L10" t="s">
        <v>54</v>
      </c>
    </row>
    <row r="11" spans="1:12" x14ac:dyDescent="0.25">
      <c r="A11" s="1" t="s">
        <v>41</v>
      </c>
      <c r="B11" s="1">
        <v>15278437</v>
      </c>
      <c r="C11" s="1" t="s">
        <v>42</v>
      </c>
      <c r="D11" s="1" t="s">
        <v>43</v>
      </c>
      <c r="E11" s="1" t="str">
        <f t="shared" si="0"/>
        <v>Marybeth Lynch</v>
      </c>
      <c r="F11" s="1" t="s">
        <v>44</v>
      </c>
      <c r="G11" s="2">
        <v>45870</v>
      </c>
      <c r="H11" s="2">
        <v>45933</v>
      </c>
      <c r="I11" s="1" t="s">
        <v>15</v>
      </c>
      <c r="J11" s="1" t="s">
        <v>16</v>
      </c>
      <c r="K11" s="3">
        <v>16.5</v>
      </c>
      <c r="L11" t="s">
        <v>54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"/>
  <sheetViews>
    <sheetView workbookViewId="0">
      <selection activeCell="C14" sqref="C14"/>
    </sheetView>
  </sheetViews>
  <sheetFormatPr defaultColWidth="14.42578125" defaultRowHeight="15" customHeight="1" x14ac:dyDescent="0.25"/>
  <cols>
    <col min="3" max="3" width="65.42578125" customWidth="1"/>
  </cols>
  <sheetData>
    <row r="1" spans="1:9" x14ac:dyDescent="0.25">
      <c r="A1" s="1" t="s">
        <v>45</v>
      </c>
      <c r="B1" s="1" t="s">
        <v>46</v>
      </c>
      <c r="C1" s="1" t="s">
        <v>9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9</v>
      </c>
    </row>
    <row r="2" spans="1:9" x14ac:dyDescent="0.25">
      <c r="A2" s="1" t="s">
        <v>52</v>
      </c>
      <c r="B2" s="1" t="s">
        <v>44</v>
      </c>
      <c r="C2" s="1" t="s">
        <v>16</v>
      </c>
      <c r="D2" s="1" t="s">
        <v>41</v>
      </c>
      <c r="E2" s="1">
        <v>15278437</v>
      </c>
      <c r="F2" s="2">
        <v>45870</v>
      </c>
      <c r="G2" s="1" t="str">
        <f t="shared" ref="G2:G11" si="0">MID(C2, SEARCH("Premium Period:", C2) + LEN("Premium Period:"), 10)</f>
        <v xml:space="preserve"> 8/1/2025</v>
      </c>
      <c r="H2" s="4" t="s">
        <v>53</v>
      </c>
      <c r="I2" s="1" t="s">
        <v>54</v>
      </c>
    </row>
    <row r="3" spans="1:9" x14ac:dyDescent="0.25">
      <c r="A3" s="1" t="s">
        <v>55</v>
      </c>
      <c r="B3" s="1" t="s">
        <v>22</v>
      </c>
      <c r="C3" s="1" t="s">
        <v>16</v>
      </c>
      <c r="D3" s="1" t="s">
        <v>11</v>
      </c>
      <c r="E3" s="1">
        <v>16212649</v>
      </c>
      <c r="F3" s="2">
        <v>45870</v>
      </c>
      <c r="G3" s="1" t="str">
        <f t="shared" si="0"/>
        <v xml:space="preserve"> 8/1/2025</v>
      </c>
      <c r="H3" s="4" t="s">
        <v>53</v>
      </c>
      <c r="I3" s="1" t="s">
        <v>54</v>
      </c>
    </row>
    <row r="4" spans="1:9" x14ac:dyDescent="0.25">
      <c r="A4" s="1" t="s">
        <v>56</v>
      </c>
      <c r="B4" s="1" t="s">
        <v>31</v>
      </c>
      <c r="C4" s="1" t="s">
        <v>16</v>
      </c>
      <c r="D4" s="1" t="s">
        <v>11</v>
      </c>
      <c r="E4" s="1">
        <v>16212649</v>
      </c>
      <c r="F4" s="2">
        <v>45870</v>
      </c>
      <c r="G4" s="1" t="str">
        <f t="shared" si="0"/>
        <v xml:space="preserve"> 8/1/2025</v>
      </c>
      <c r="H4" s="4" t="s">
        <v>53</v>
      </c>
      <c r="I4" s="1" t="s">
        <v>54</v>
      </c>
    </row>
    <row r="5" spans="1:9" x14ac:dyDescent="0.25">
      <c r="A5" s="1" t="s">
        <v>57</v>
      </c>
      <c r="B5" s="1" t="s">
        <v>34</v>
      </c>
      <c r="C5" s="1" t="s">
        <v>16</v>
      </c>
      <c r="D5" s="1" t="s">
        <v>11</v>
      </c>
      <c r="E5" s="1">
        <v>16212649</v>
      </c>
      <c r="F5" s="2">
        <v>45870</v>
      </c>
      <c r="G5" s="1" t="str">
        <f t="shared" si="0"/>
        <v xml:space="preserve"> 8/1/2025</v>
      </c>
      <c r="H5" s="4" t="s">
        <v>53</v>
      </c>
      <c r="I5" s="1" t="s">
        <v>54</v>
      </c>
    </row>
    <row r="6" spans="1:9" x14ac:dyDescent="0.25">
      <c r="A6" s="1" t="s">
        <v>58</v>
      </c>
      <c r="B6" s="1" t="s">
        <v>19</v>
      </c>
      <c r="C6" s="1" t="s">
        <v>16</v>
      </c>
      <c r="D6" s="1" t="s">
        <v>11</v>
      </c>
      <c r="E6" s="1">
        <v>16212649</v>
      </c>
      <c r="F6" s="2">
        <v>45870</v>
      </c>
      <c r="G6" s="1" t="str">
        <f t="shared" si="0"/>
        <v xml:space="preserve"> 8/1/2025</v>
      </c>
      <c r="H6" s="4" t="s">
        <v>53</v>
      </c>
      <c r="I6" s="1" t="s">
        <v>54</v>
      </c>
    </row>
    <row r="7" spans="1:9" x14ac:dyDescent="0.25">
      <c r="A7" s="1" t="s">
        <v>59</v>
      </c>
      <c r="B7" s="1" t="s">
        <v>25</v>
      </c>
      <c r="C7" s="1" t="s">
        <v>16</v>
      </c>
      <c r="D7" s="1" t="s">
        <v>11</v>
      </c>
      <c r="E7" s="1">
        <v>16212649</v>
      </c>
      <c r="F7" s="2">
        <v>45870</v>
      </c>
      <c r="G7" s="1" t="str">
        <f t="shared" si="0"/>
        <v xml:space="preserve"> 8/1/2025</v>
      </c>
      <c r="H7" s="4" t="s">
        <v>53</v>
      </c>
      <c r="I7" s="1" t="s">
        <v>54</v>
      </c>
    </row>
    <row r="8" spans="1:9" x14ac:dyDescent="0.25">
      <c r="A8" s="1" t="s">
        <v>60</v>
      </c>
      <c r="B8" s="1" t="s">
        <v>28</v>
      </c>
      <c r="C8" s="1" t="s">
        <v>16</v>
      </c>
      <c r="D8" s="1" t="s">
        <v>11</v>
      </c>
      <c r="E8" s="1">
        <v>16212649</v>
      </c>
      <c r="F8" s="2">
        <v>45870</v>
      </c>
      <c r="G8" s="1" t="str">
        <f t="shared" si="0"/>
        <v xml:space="preserve"> 8/1/2025</v>
      </c>
      <c r="H8" s="4" t="s">
        <v>53</v>
      </c>
      <c r="I8" s="1" t="s">
        <v>54</v>
      </c>
    </row>
    <row r="9" spans="1:9" x14ac:dyDescent="0.25">
      <c r="A9" s="1" t="s">
        <v>61</v>
      </c>
      <c r="B9" s="1" t="s">
        <v>37</v>
      </c>
      <c r="C9" s="1" t="s">
        <v>16</v>
      </c>
      <c r="D9" s="1" t="s">
        <v>11</v>
      </c>
      <c r="E9" s="1">
        <v>16212649</v>
      </c>
      <c r="F9" s="2">
        <v>45870</v>
      </c>
      <c r="G9" s="1" t="str">
        <f t="shared" si="0"/>
        <v xml:space="preserve"> 8/1/2025</v>
      </c>
      <c r="H9" s="4" t="s">
        <v>53</v>
      </c>
      <c r="I9" s="1" t="s">
        <v>54</v>
      </c>
    </row>
    <row r="10" spans="1:9" x14ac:dyDescent="0.25">
      <c r="A10" s="1" t="s">
        <v>62</v>
      </c>
      <c r="B10" s="1" t="s">
        <v>40</v>
      </c>
      <c r="C10" s="1" t="s">
        <v>16</v>
      </c>
      <c r="D10" s="1" t="s">
        <v>11</v>
      </c>
      <c r="E10" s="1">
        <v>16212649</v>
      </c>
      <c r="F10" s="2">
        <v>45870</v>
      </c>
      <c r="G10" s="1" t="str">
        <f t="shared" si="0"/>
        <v xml:space="preserve"> 8/1/2025</v>
      </c>
      <c r="H10" s="4" t="s">
        <v>53</v>
      </c>
      <c r="I10" s="1" t="s">
        <v>54</v>
      </c>
    </row>
    <row r="11" spans="1:9" x14ac:dyDescent="0.25">
      <c r="A11" s="1" t="s">
        <v>63</v>
      </c>
      <c r="B11" s="1" t="s">
        <v>14</v>
      </c>
      <c r="C11" s="1" t="s">
        <v>16</v>
      </c>
      <c r="D11" s="1" t="s">
        <v>11</v>
      </c>
      <c r="E11" s="1">
        <v>16212649</v>
      </c>
      <c r="F11" s="2">
        <v>45870</v>
      </c>
      <c r="G11" s="1" t="str">
        <f t="shared" si="0"/>
        <v xml:space="preserve"> 8/1/2025</v>
      </c>
      <c r="H11" s="4" t="s">
        <v>53</v>
      </c>
      <c r="I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2025-10-03T18:21:19Z</dcterms:created>
  <dcterms:modified xsi:type="dcterms:W3CDTF">2025-10-05T13:59:37Z</dcterms:modified>
</cp:coreProperties>
</file>