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Sheet2!$A$1:$AA$1000</definedName>
  </definedNames>
  <calcPr/>
  <extLst>
    <ext uri="GoogleSheetsCustomDataVersion2">
      <go:sheetsCustomData xmlns:go="http://customooxmlschemas.google.com/" r:id="rId6" roundtripDataChecksum="gW2A+7tdKHQ2/bvxzI02y30BGqTpPw4I4KmRrEx9B8A="/>
    </ext>
  </extLst>
</workbook>
</file>

<file path=xl/sharedStrings.xml><?xml version="1.0" encoding="utf-8"?>
<sst xmlns="http://schemas.openxmlformats.org/spreadsheetml/2006/main" count="412" uniqueCount="94">
  <si>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</si>
  <si>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</si>
  <si>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</si>
  <si>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</si>
  <si>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</si>
  <si>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</si>
  <si>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</si>
  <si>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</si>
  <si>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</si>
  <si>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</si>
  <si>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</si>
  <si>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</si>
  <si>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Alyssa</t>
  </si>
  <si>
    <t>Lukowitsky</t>
  </si>
  <si>
    <t>3HZN32456540</t>
  </si>
  <si>
    <t>Horizon U65</t>
  </si>
  <si>
    <t>Horizon U65 2023/2026 Omnia Plan (ProRata: 1) Premium Period: 1/1/2026</t>
  </si>
  <si>
    <t>Horizon U65 2023/2026 Omnia Plan (ProRata: 1) Premium Period: 2/1/2026</t>
  </si>
  <si>
    <t>Horizon U65 2023/2026 Omnia Plan (ProRata: 1) Premium Period: 3/1/2026</t>
  </si>
  <si>
    <t>Cristina</t>
  </si>
  <si>
    <t>Moro</t>
  </si>
  <si>
    <t>3HZN06024120</t>
  </si>
  <si>
    <t>Murray Sterner</t>
  </si>
  <si>
    <t>Andrew</t>
  </si>
  <si>
    <t>Lima</t>
  </si>
  <si>
    <t>3HZN19102850</t>
  </si>
  <si>
    <t>Horizon U65 2023/2026 Dental Renewal Premium Period: 1/1/2026</t>
  </si>
  <si>
    <t>Danial</t>
  </si>
  <si>
    <t>Khan</t>
  </si>
  <si>
    <t>3HZN33973720</t>
  </si>
  <si>
    <t>Horizon U65 2023/2026 Advantage (ProRata: 1) Premium Period: 3/1/2026</t>
  </si>
  <si>
    <t>Daniel</t>
  </si>
  <si>
    <t>Washer</t>
  </si>
  <si>
    <t>3HZN59577870</t>
  </si>
  <si>
    <t>David</t>
  </si>
  <si>
    <t>Hayes</t>
  </si>
  <si>
    <t>3HZN96515820</t>
  </si>
  <si>
    <t>Eleonora</t>
  </si>
  <si>
    <t>Andretta</t>
  </si>
  <si>
    <t>3HZN90247050</t>
  </si>
  <si>
    <t>Hanan</t>
  </si>
  <si>
    <t>Elamin</t>
  </si>
  <si>
    <t>3HZN87712810</t>
  </si>
  <si>
    <t>Jacqueline</t>
  </si>
  <si>
    <t>Enfield</t>
  </si>
  <si>
    <t>3HZN48653980</t>
  </si>
  <si>
    <t>Jenna</t>
  </si>
  <si>
    <t>Pannone</t>
  </si>
  <si>
    <t>3HZN60982790</t>
  </si>
  <si>
    <t>John</t>
  </si>
  <si>
    <t>Libutti</t>
  </si>
  <si>
    <t>3HZN36141160</t>
  </si>
  <si>
    <t>Justin</t>
  </si>
  <si>
    <t>Lutz</t>
  </si>
  <si>
    <t>3HZN05511620</t>
  </si>
  <si>
    <t>Horizon U65 2023/2026 Omnia Plan (ProRata: -1) Premium Period: 2/1/2026</t>
  </si>
  <si>
    <t>Lisa</t>
  </si>
  <si>
    <t>Savage</t>
  </si>
  <si>
    <t>3HZN39660150</t>
  </si>
  <si>
    <t>Meredit</t>
  </si>
  <si>
    <t>Torrey</t>
  </si>
  <si>
    <t>3HZN61062050</t>
  </si>
  <si>
    <t>Michael</t>
  </si>
  <si>
    <t>Siana</t>
  </si>
  <si>
    <t>3HZN29268940</t>
  </si>
  <si>
    <t>Robert</t>
  </si>
  <si>
    <t>Kaniewski</t>
  </si>
  <si>
    <t>3HZN33047420</t>
  </si>
  <si>
    <t>Ryan</t>
  </si>
  <si>
    <t>Kappus</t>
  </si>
  <si>
    <t>3HZN30697140</t>
  </si>
  <si>
    <t>Samuel</t>
  </si>
  <si>
    <t>Petty</t>
  </si>
  <si>
    <t>3HZN68516710</t>
  </si>
  <si>
    <t>Sarah</t>
  </si>
  <si>
    <t>Levy</t>
  </si>
  <si>
    <t>3HZN81354090</t>
  </si>
  <si>
    <t>Siroun</t>
  </si>
  <si>
    <t>Agopian</t>
  </si>
  <si>
    <t>3HZN74815520</t>
  </si>
  <si>
    <t>Paul</t>
  </si>
  <si>
    <t>Holder</t>
  </si>
  <si>
    <t>3HZN20515660</t>
  </si>
  <si>
    <t>Horizon U65 2023/2025 Dental New Business Premium Period: 2/1/2026</t>
  </si>
  <si>
    <t>Peter</t>
  </si>
  <si>
    <t>Zimmerman</t>
  </si>
  <si>
    <t>3HZN62451770</t>
  </si>
  <si>
    <t>Horizon U65 2023/2026 Dental Renewal Premium Period: 2/1/2026</t>
  </si>
  <si>
    <t>Prashant</t>
  </si>
  <si>
    <t>Kandukuri</t>
  </si>
  <si>
    <t>3HZN93916900</t>
  </si>
  <si>
    <t>Horizon U65 Omnia</t>
  </si>
  <si>
    <t>Horizon U65 Advantage</t>
  </si>
  <si>
    <t>Horizon Dental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</si>
</sst>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43"/>
    <col customWidth="1" min="3" max="3" width="10.71"/>
    <col customWidth="1" min="4" max="4" width="10.57"/>
    <col customWidth="1" min="5" max="5" width="11.71"/>
    <col customWidth="1" min="6" max="6" width="14.29"/>
    <col customWidth="1" min="7" max="7" width="11.86"/>
    <col customWidth="1" min="8" max="8" width="14.71"/>
    <col customWidth="1" min="9" max="9" width="12.71"/>
    <col customWidth="1" min="10" max="10" width="68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46157.0</v>
      </c>
      <c r="I2" s="1" t="s">
        <v>15</v>
      </c>
      <c r="J2" s="1" t="s">
        <v>16</v>
      </c>
      <c r="K2" s="3">
        <v>16.5</v>
      </c>
    </row>
    <row r="3">
      <c r="A3" s="1" t="s">
        <v>11</v>
      </c>
      <c r="C3" s="1">
        <v>1.5278437E7</v>
      </c>
      <c r="D3" s="1" t="s">
        <v>12</v>
      </c>
      <c r="E3" s="1" t="s">
        <v>13</v>
      </c>
      <c r="F3" s="1" t="s">
        <v>14</v>
      </c>
      <c r="G3" s="2">
        <v>46054.0</v>
      </c>
      <c r="H3" s="2">
        <v>46157.0</v>
      </c>
      <c r="I3" s="1" t="s">
        <v>15</v>
      </c>
      <c r="J3" s="1" t="s">
        <v>17</v>
      </c>
      <c r="K3" s="3">
        <v>16.5</v>
      </c>
    </row>
    <row r="4">
      <c r="A4" s="1" t="s">
        <v>11</v>
      </c>
      <c r="C4" s="1">
        <v>1.5278437E7</v>
      </c>
      <c r="D4" s="1" t="s">
        <v>12</v>
      </c>
      <c r="E4" s="1" t="s">
        <v>13</v>
      </c>
      <c r="F4" s="1" t="s">
        <v>14</v>
      </c>
      <c r="G4" s="2">
        <v>46082.0</v>
      </c>
      <c r="H4" s="2">
        <v>46157.0</v>
      </c>
      <c r="I4" s="1" t="s">
        <v>15</v>
      </c>
      <c r="J4" s="1" t="s">
        <v>18</v>
      </c>
      <c r="K4" s="3">
        <v>16.5</v>
      </c>
    </row>
    <row r="5">
      <c r="A5" s="1" t="s">
        <v>11</v>
      </c>
      <c r="C5" s="1">
        <v>1.5278437E7</v>
      </c>
      <c r="D5" s="1" t="s">
        <v>19</v>
      </c>
      <c r="E5" s="1" t="s">
        <v>20</v>
      </c>
      <c r="F5" s="1" t="s">
        <v>21</v>
      </c>
      <c r="G5" s="2">
        <v>46054.0</v>
      </c>
      <c r="H5" s="2">
        <v>46157.0</v>
      </c>
      <c r="I5" s="1" t="s">
        <v>15</v>
      </c>
      <c r="J5" s="1" t="s">
        <v>17</v>
      </c>
      <c r="K5" s="3">
        <v>16.5</v>
      </c>
    </row>
    <row r="6">
      <c r="A6" s="1" t="s">
        <v>11</v>
      </c>
      <c r="C6" s="1">
        <v>1.5278437E7</v>
      </c>
      <c r="D6" s="1" t="s">
        <v>19</v>
      </c>
      <c r="E6" s="1" t="s">
        <v>20</v>
      </c>
      <c r="F6" s="1" t="s">
        <v>21</v>
      </c>
      <c r="G6" s="2">
        <v>46082.0</v>
      </c>
      <c r="H6" s="2">
        <v>46157.0</v>
      </c>
      <c r="I6" s="1" t="s">
        <v>15</v>
      </c>
      <c r="J6" s="1" t="s">
        <v>18</v>
      </c>
      <c r="K6" s="3">
        <v>16.5</v>
      </c>
    </row>
    <row r="7">
      <c r="A7" s="1" t="s">
        <v>22</v>
      </c>
      <c r="C7" s="1">
        <v>1.6212649E7</v>
      </c>
      <c r="D7" s="1" t="s">
        <v>23</v>
      </c>
      <c r="E7" s="1" t="s">
        <v>24</v>
      </c>
      <c r="F7" s="1" t="s">
        <v>25</v>
      </c>
      <c r="G7" s="2">
        <v>46023.0</v>
      </c>
      <c r="H7" s="2">
        <v>46157.0</v>
      </c>
      <c r="I7" s="1" t="s">
        <v>15</v>
      </c>
      <c r="J7" s="1" t="s">
        <v>26</v>
      </c>
      <c r="K7" s="3">
        <v>2.25</v>
      </c>
    </row>
    <row r="8">
      <c r="A8" s="1" t="s">
        <v>22</v>
      </c>
      <c r="C8" s="1">
        <v>1.6212649E7</v>
      </c>
      <c r="D8" s="1" t="s">
        <v>27</v>
      </c>
      <c r="E8" s="1" t="s">
        <v>28</v>
      </c>
      <c r="F8" s="1" t="s">
        <v>29</v>
      </c>
      <c r="G8" s="2">
        <v>46082.0</v>
      </c>
      <c r="H8" s="2">
        <v>46157.0</v>
      </c>
      <c r="I8" s="1" t="s">
        <v>15</v>
      </c>
      <c r="J8" s="1" t="s">
        <v>30</v>
      </c>
      <c r="K8" s="3">
        <v>8.5</v>
      </c>
    </row>
    <row r="9">
      <c r="A9" s="1" t="s">
        <v>22</v>
      </c>
      <c r="C9" s="1">
        <v>1.6212649E7</v>
      </c>
      <c r="D9" s="1" t="s">
        <v>31</v>
      </c>
      <c r="E9" s="1" t="s">
        <v>32</v>
      </c>
      <c r="F9" s="1" t="s">
        <v>33</v>
      </c>
      <c r="G9" s="2">
        <v>46082.0</v>
      </c>
      <c r="H9" s="2">
        <v>46157.0</v>
      </c>
      <c r="I9" s="1" t="s">
        <v>15</v>
      </c>
      <c r="J9" s="1" t="s">
        <v>18</v>
      </c>
      <c r="K9" s="3">
        <v>16.5</v>
      </c>
    </row>
    <row r="10">
      <c r="A10" s="1" t="s">
        <v>22</v>
      </c>
      <c r="C10" s="1">
        <v>1.6212649E7</v>
      </c>
      <c r="D10" s="1" t="s">
        <v>34</v>
      </c>
      <c r="E10" s="1" t="s">
        <v>35</v>
      </c>
      <c r="F10" s="1" t="s">
        <v>36</v>
      </c>
      <c r="G10" s="2">
        <v>46082.0</v>
      </c>
      <c r="H10" s="2">
        <v>46157.0</v>
      </c>
      <c r="I10" s="1" t="s">
        <v>15</v>
      </c>
      <c r="J10" s="1" t="s">
        <v>18</v>
      </c>
      <c r="K10" s="3">
        <v>16.5</v>
      </c>
    </row>
    <row r="11">
      <c r="A11" s="1" t="s">
        <v>22</v>
      </c>
      <c r="C11" s="1">
        <v>1.6212649E7</v>
      </c>
      <c r="D11" s="1" t="s">
        <v>37</v>
      </c>
      <c r="E11" s="1" t="s">
        <v>38</v>
      </c>
      <c r="F11" s="1" t="s">
        <v>39</v>
      </c>
      <c r="G11" s="2">
        <v>46082.0</v>
      </c>
      <c r="H11" s="2">
        <v>46157.0</v>
      </c>
      <c r="I11" s="1" t="s">
        <v>15</v>
      </c>
      <c r="J11" s="1" t="s">
        <v>18</v>
      </c>
      <c r="K11" s="3">
        <v>16.5</v>
      </c>
    </row>
    <row r="12">
      <c r="A12" s="1" t="s">
        <v>22</v>
      </c>
      <c r="C12" s="1">
        <v>1.6212649E7</v>
      </c>
      <c r="D12" s="1" t="s">
        <v>40</v>
      </c>
      <c r="E12" s="1" t="s">
        <v>41</v>
      </c>
      <c r="F12" s="1" t="s">
        <v>42</v>
      </c>
      <c r="G12" s="2">
        <v>46082.0</v>
      </c>
      <c r="H12" s="2">
        <v>46157.0</v>
      </c>
      <c r="I12" s="1" t="s">
        <v>15</v>
      </c>
      <c r="J12" s="1" t="s">
        <v>18</v>
      </c>
      <c r="K12" s="3">
        <v>16.5</v>
      </c>
    </row>
    <row r="13">
      <c r="A13" s="1" t="s">
        <v>22</v>
      </c>
      <c r="C13" s="1">
        <v>1.6212649E7</v>
      </c>
      <c r="D13" s="1" t="s">
        <v>43</v>
      </c>
      <c r="E13" s="1" t="s">
        <v>44</v>
      </c>
      <c r="F13" s="1" t="s">
        <v>45</v>
      </c>
      <c r="G13" s="2">
        <v>46082.0</v>
      </c>
      <c r="H13" s="2">
        <v>46157.0</v>
      </c>
      <c r="I13" s="1" t="s">
        <v>15</v>
      </c>
      <c r="J13" s="1" t="s">
        <v>18</v>
      </c>
      <c r="K13" s="3">
        <v>16.5</v>
      </c>
    </row>
    <row r="14">
      <c r="A14" s="1" t="s">
        <v>22</v>
      </c>
      <c r="C14" s="1">
        <v>1.6212649E7</v>
      </c>
      <c r="D14" s="1" t="s">
        <v>46</v>
      </c>
      <c r="E14" s="1" t="s">
        <v>47</v>
      </c>
      <c r="F14" s="1" t="s">
        <v>48</v>
      </c>
      <c r="G14" s="2">
        <v>46023.0</v>
      </c>
      <c r="H14" s="2">
        <v>46157.0</v>
      </c>
      <c r="I14" s="1" t="s">
        <v>15</v>
      </c>
      <c r="J14" s="1" t="s">
        <v>26</v>
      </c>
      <c r="K14" s="3">
        <v>2.25</v>
      </c>
    </row>
    <row r="15">
      <c r="A15" s="1" t="s">
        <v>22</v>
      </c>
      <c r="C15" s="1">
        <v>1.6212649E7</v>
      </c>
      <c r="D15" s="1" t="s">
        <v>49</v>
      </c>
      <c r="E15" s="1" t="s">
        <v>50</v>
      </c>
      <c r="F15" s="1" t="s">
        <v>51</v>
      </c>
      <c r="G15" s="2">
        <v>46082.0</v>
      </c>
      <c r="H15" s="2">
        <v>46157.0</v>
      </c>
      <c r="I15" s="1" t="s">
        <v>15</v>
      </c>
      <c r="J15" s="1" t="s">
        <v>18</v>
      </c>
      <c r="K15" s="3">
        <v>16.5</v>
      </c>
    </row>
    <row r="16">
      <c r="A16" s="1" t="s">
        <v>22</v>
      </c>
      <c r="C16" s="1">
        <v>1.6212649E7</v>
      </c>
      <c r="D16" s="1" t="s">
        <v>52</v>
      </c>
      <c r="E16" s="1" t="s">
        <v>53</v>
      </c>
      <c r="F16" s="1" t="s">
        <v>54</v>
      </c>
      <c r="G16" s="2">
        <v>46054.0</v>
      </c>
      <c r="H16" s="2">
        <v>46157.0</v>
      </c>
      <c r="I16" s="1" t="s">
        <v>15</v>
      </c>
      <c r="J16" s="1" t="s">
        <v>55</v>
      </c>
      <c r="K16" s="3">
        <v>-16.5</v>
      </c>
    </row>
    <row r="17">
      <c r="A17" s="1" t="s">
        <v>22</v>
      </c>
      <c r="C17" s="1">
        <v>1.6212649E7</v>
      </c>
      <c r="D17" s="1" t="s">
        <v>56</v>
      </c>
      <c r="E17" s="1" t="s">
        <v>57</v>
      </c>
      <c r="F17" s="1" t="s">
        <v>58</v>
      </c>
      <c r="G17" s="2">
        <v>46082.0</v>
      </c>
      <c r="H17" s="2">
        <v>46157.0</v>
      </c>
      <c r="I17" s="1" t="s">
        <v>15</v>
      </c>
      <c r="J17" s="1" t="s">
        <v>18</v>
      </c>
      <c r="K17" s="3">
        <v>16.5</v>
      </c>
    </row>
    <row r="18">
      <c r="A18" s="1" t="s">
        <v>22</v>
      </c>
      <c r="C18" s="1">
        <v>1.6212649E7</v>
      </c>
      <c r="D18" s="1" t="s">
        <v>59</v>
      </c>
      <c r="E18" s="1" t="s">
        <v>60</v>
      </c>
      <c r="F18" s="1" t="s">
        <v>61</v>
      </c>
      <c r="G18" s="2">
        <v>46082.0</v>
      </c>
      <c r="H18" s="2">
        <v>46157.0</v>
      </c>
      <c r="I18" s="1" t="s">
        <v>15</v>
      </c>
      <c r="J18" s="1" t="s">
        <v>18</v>
      </c>
      <c r="K18" s="3">
        <v>16.5</v>
      </c>
    </row>
    <row r="19">
      <c r="A19" s="1" t="s">
        <v>22</v>
      </c>
      <c r="C19" s="1">
        <v>1.6212649E7</v>
      </c>
      <c r="D19" s="1" t="s">
        <v>62</v>
      </c>
      <c r="E19" s="1" t="s">
        <v>63</v>
      </c>
      <c r="F19" s="1" t="s">
        <v>64</v>
      </c>
      <c r="G19" s="2">
        <v>46082.0</v>
      </c>
      <c r="H19" s="2">
        <v>46157.0</v>
      </c>
      <c r="I19" s="1" t="s">
        <v>15</v>
      </c>
      <c r="J19" s="1" t="s">
        <v>18</v>
      </c>
      <c r="K19" s="3">
        <v>16.5</v>
      </c>
    </row>
    <row r="20">
      <c r="A20" s="1" t="s">
        <v>22</v>
      </c>
      <c r="C20" s="1">
        <v>1.6212649E7</v>
      </c>
      <c r="D20" s="1" t="s">
        <v>65</v>
      </c>
      <c r="E20" s="1" t="s">
        <v>66</v>
      </c>
      <c r="F20" s="1" t="s">
        <v>67</v>
      </c>
      <c r="G20" s="2">
        <v>46023.0</v>
      </c>
      <c r="H20" s="2">
        <v>46157.0</v>
      </c>
      <c r="I20" s="1" t="s">
        <v>15</v>
      </c>
      <c r="J20" s="1" t="s">
        <v>26</v>
      </c>
      <c r="K20" s="3">
        <v>2.25</v>
      </c>
    </row>
    <row r="21" ht="15.75" customHeight="1">
      <c r="A21" s="1" t="s">
        <v>22</v>
      </c>
      <c r="C21" s="1">
        <v>1.6212649E7</v>
      </c>
      <c r="D21" s="1" t="s">
        <v>68</v>
      </c>
      <c r="E21" s="1" t="s">
        <v>69</v>
      </c>
      <c r="F21" s="1" t="s">
        <v>70</v>
      </c>
      <c r="G21" s="2">
        <v>46082.0</v>
      </c>
      <c r="H21" s="2">
        <v>46157.0</v>
      </c>
      <c r="I21" s="1" t="s">
        <v>15</v>
      </c>
      <c r="J21" s="1" t="s">
        <v>18</v>
      </c>
      <c r="K21" s="3">
        <v>16.5</v>
      </c>
    </row>
    <row r="22" ht="15.75" customHeight="1">
      <c r="A22" s="1" t="s">
        <v>22</v>
      </c>
      <c r="C22" s="1">
        <v>1.6212649E7</v>
      </c>
      <c r="D22" s="1" t="s">
        <v>71</v>
      </c>
      <c r="E22" s="1" t="s">
        <v>72</v>
      </c>
      <c r="F22" s="1" t="s">
        <v>73</v>
      </c>
      <c r="G22" s="2">
        <v>46054.0</v>
      </c>
      <c r="H22" s="2">
        <v>46157.0</v>
      </c>
      <c r="I22" s="1" t="s">
        <v>15</v>
      </c>
      <c r="J22" s="1" t="s">
        <v>55</v>
      </c>
      <c r="K22" s="3">
        <v>-16.5</v>
      </c>
    </row>
    <row r="23" ht="15.75" customHeight="1">
      <c r="A23" s="1" t="s">
        <v>22</v>
      </c>
      <c r="C23" s="1">
        <v>1.6212649E7</v>
      </c>
      <c r="D23" s="1" t="s">
        <v>74</v>
      </c>
      <c r="E23" s="1" t="s">
        <v>75</v>
      </c>
      <c r="F23" s="1" t="s">
        <v>76</v>
      </c>
      <c r="G23" s="2">
        <v>46082.0</v>
      </c>
      <c r="H23" s="2">
        <v>46157.0</v>
      </c>
      <c r="I23" s="1" t="s">
        <v>15</v>
      </c>
      <c r="J23" s="1" t="s">
        <v>18</v>
      </c>
      <c r="K23" s="3">
        <v>16.5</v>
      </c>
    </row>
    <row r="24" ht="15.75" customHeight="1">
      <c r="A24" s="1" t="s">
        <v>22</v>
      </c>
      <c r="C24" s="1">
        <v>1.6212649E7</v>
      </c>
      <c r="D24" s="1" t="s">
        <v>77</v>
      </c>
      <c r="E24" s="1" t="s">
        <v>78</v>
      </c>
      <c r="F24" s="1" t="s">
        <v>79</v>
      </c>
      <c r="G24" s="2">
        <v>46082.0</v>
      </c>
      <c r="H24" s="2">
        <v>46157.0</v>
      </c>
      <c r="I24" s="1" t="s">
        <v>15</v>
      </c>
      <c r="J24" s="1" t="s">
        <v>18</v>
      </c>
      <c r="K24" s="3">
        <v>16.5</v>
      </c>
    </row>
    <row r="25" ht="15.75" customHeight="1">
      <c r="A25" s="1" t="s">
        <v>22</v>
      </c>
      <c r="C25" s="1">
        <v>1.6212649E7</v>
      </c>
      <c r="D25" s="1" t="s">
        <v>80</v>
      </c>
      <c r="E25" s="1" t="s">
        <v>81</v>
      </c>
      <c r="F25" s="1" t="s">
        <v>82</v>
      </c>
      <c r="G25" s="2">
        <v>46054.0</v>
      </c>
      <c r="H25" s="2">
        <v>46157.0</v>
      </c>
      <c r="I25" s="1" t="s">
        <v>15</v>
      </c>
      <c r="J25" s="1" t="s">
        <v>83</v>
      </c>
      <c r="K25" s="3">
        <v>36.0</v>
      </c>
    </row>
    <row r="26" ht="15.75" customHeight="1">
      <c r="A26" s="1" t="s">
        <v>22</v>
      </c>
      <c r="C26" s="1">
        <v>1.6212649E7</v>
      </c>
      <c r="D26" s="1" t="s">
        <v>84</v>
      </c>
      <c r="E26" s="1" t="s">
        <v>85</v>
      </c>
      <c r="F26" s="1" t="s">
        <v>86</v>
      </c>
      <c r="G26" s="2">
        <v>46054.0</v>
      </c>
      <c r="H26" s="2">
        <v>46157.0</v>
      </c>
      <c r="I26" s="1" t="s">
        <v>15</v>
      </c>
      <c r="J26" s="1" t="s">
        <v>83</v>
      </c>
      <c r="K26" s="3">
        <v>36.0</v>
      </c>
    </row>
    <row r="27" ht="15.75" customHeight="1">
      <c r="A27" s="1" t="s">
        <v>22</v>
      </c>
      <c r="C27" s="1">
        <v>1.6212649E7</v>
      </c>
      <c r="D27" s="1" t="s">
        <v>84</v>
      </c>
      <c r="E27" s="1" t="s">
        <v>85</v>
      </c>
      <c r="F27" s="1" t="s">
        <v>86</v>
      </c>
      <c r="G27" s="2">
        <v>46054.0</v>
      </c>
      <c r="H27" s="2">
        <v>46157.0</v>
      </c>
      <c r="I27" s="1" t="s">
        <v>15</v>
      </c>
      <c r="J27" s="1" t="s">
        <v>17</v>
      </c>
      <c r="K27" s="3">
        <v>16.5</v>
      </c>
    </row>
    <row r="28" ht="15.75" customHeight="1">
      <c r="A28" s="1" t="s">
        <v>22</v>
      </c>
      <c r="C28" s="1">
        <v>1.6212649E7</v>
      </c>
      <c r="D28" s="1" t="s">
        <v>84</v>
      </c>
      <c r="E28" s="1" t="s">
        <v>85</v>
      </c>
      <c r="F28" s="1" t="s">
        <v>86</v>
      </c>
      <c r="G28" s="2">
        <v>46082.0</v>
      </c>
      <c r="H28" s="2">
        <v>46157.0</v>
      </c>
      <c r="I28" s="1" t="s">
        <v>15</v>
      </c>
      <c r="J28" s="1" t="s">
        <v>18</v>
      </c>
      <c r="K28" s="3">
        <v>16.5</v>
      </c>
    </row>
    <row r="29" ht="15.75" customHeight="1">
      <c r="A29" s="1" t="s">
        <v>22</v>
      </c>
      <c r="C29" s="1">
        <v>1.6212649E7</v>
      </c>
      <c r="D29" s="1" t="s">
        <v>84</v>
      </c>
      <c r="E29" s="1" t="s">
        <v>85</v>
      </c>
      <c r="F29" s="1" t="s">
        <v>86</v>
      </c>
      <c r="G29" s="2">
        <v>46054.0</v>
      </c>
      <c r="H29" s="2">
        <v>46157.0</v>
      </c>
      <c r="I29" s="1" t="s">
        <v>15</v>
      </c>
      <c r="J29" s="1" t="s">
        <v>87</v>
      </c>
      <c r="K29" s="3">
        <v>2.25</v>
      </c>
    </row>
    <row r="30" ht="15.75" customHeight="1">
      <c r="A30" s="1" t="s">
        <v>22</v>
      </c>
      <c r="C30" s="1">
        <v>1.6212649E7</v>
      </c>
      <c r="D30" s="1" t="s">
        <v>88</v>
      </c>
      <c r="E30" s="1" t="s">
        <v>89</v>
      </c>
      <c r="F30" s="1" t="s">
        <v>90</v>
      </c>
      <c r="G30" s="2">
        <v>46054.0</v>
      </c>
      <c r="H30" s="2">
        <v>46157.0</v>
      </c>
      <c r="I30" s="1" t="s">
        <v>15</v>
      </c>
      <c r="J30" s="1" t="s">
        <v>17</v>
      </c>
      <c r="K30" s="3">
        <v>16.5</v>
      </c>
    </row>
    <row r="31" ht="15.75" customHeight="1">
      <c r="A31" s="1" t="s">
        <v>22</v>
      </c>
      <c r="C31" s="1">
        <v>1.6212649E7</v>
      </c>
      <c r="D31" s="1" t="s">
        <v>88</v>
      </c>
      <c r="E31" s="1" t="s">
        <v>89</v>
      </c>
      <c r="F31" s="1" t="s">
        <v>90</v>
      </c>
      <c r="G31" s="2">
        <v>46082.0</v>
      </c>
      <c r="H31" s="2">
        <v>46157.0</v>
      </c>
      <c r="I31" s="1" t="s">
        <v>15</v>
      </c>
      <c r="J31" s="1" t="s">
        <v>18</v>
      </c>
      <c r="K31" s="3">
        <v>16.5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11" width="6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C2" s="1">
        <v>1.5278437E7</v>
      </c>
      <c r="D2" s="1" t="s">
        <v>12</v>
      </c>
      <c r="E2" s="1" t="str">
        <f t="shared" ref="E2:E31" si="1">concatenate(D2," ",F2)</f>
        <v>Alyssa Lukowitsky</v>
      </c>
      <c r="F2" s="1" t="s">
        <v>13</v>
      </c>
      <c r="G2" s="1" t="s">
        <v>14</v>
      </c>
      <c r="H2" s="2">
        <v>46023.0</v>
      </c>
      <c r="I2" s="2">
        <v>46157.0</v>
      </c>
      <c r="J2" s="1" t="s">
        <v>15</v>
      </c>
      <c r="K2" s="1" t="s">
        <v>16</v>
      </c>
      <c r="L2" s="4">
        <v>16.5</v>
      </c>
      <c r="M2" s="5">
        <v>1.0</v>
      </c>
      <c r="N2" s="5" t="s">
        <v>91</v>
      </c>
      <c r="O2" s="1" t="str">
        <f t="shared" ref="O2:O31" si="2">MID(K2, FIND("Premium Period: ", K2)+LEN("Premium Period: "), 10)</f>
        <v>1/1/2026</v>
      </c>
    </row>
    <row r="3">
      <c r="A3" s="1" t="s">
        <v>11</v>
      </c>
      <c r="C3" s="1">
        <v>1.5278437E7</v>
      </c>
      <c r="D3" s="1" t="s">
        <v>12</v>
      </c>
      <c r="E3" s="1" t="str">
        <f t="shared" si="1"/>
        <v>Alyssa Lukowitsky</v>
      </c>
      <c r="F3" s="1" t="s">
        <v>13</v>
      </c>
      <c r="G3" s="1" t="s">
        <v>14</v>
      </c>
      <c r="H3" s="2">
        <v>46054.0</v>
      </c>
      <c r="I3" s="2">
        <v>46157.0</v>
      </c>
      <c r="J3" s="1" t="s">
        <v>15</v>
      </c>
      <c r="K3" s="1" t="s">
        <v>17</v>
      </c>
      <c r="L3" s="4">
        <v>16.5</v>
      </c>
      <c r="M3" s="5">
        <v>1.0</v>
      </c>
      <c r="N3" s="5" t="s">
        <v>91</v>
      </c>
      <c r="O3" s="1" t="str">
        <f t="shared" si="2"/>
        <v>2/1/2026</v>
      </c>
    </row>
    <row r="4">
      <c r="A4" s="1" t="s">
        <v>11</v>
      </c>
      <c r="C4" s="1">
        <v>1.5278437E7</v>
      </c>
      <c r="D4" s="1" t="s">
        <v>12</v>
      </c>
      <c r="E4" s="1" t="str">
        <f t="shared" si="1"/>
        <v>Alyssa Lukowitsky</v>
      </c>
      <c r="F4" s="1" t="s">
        <v>13</v>
      </c>
      <c r="G4" s="1" t="s">
        <v>14</v>
      </c>
      <c r="H4" s="2">
        <v>46082.0</v>
      </c>
      <c r="I4" s="2">
        <v>46157.0</v>
      </c>
      <c r="J4" s="1" t="s">
        <v>15</v>
      </c>
      <c r="K4" s="1" t="s">
        <v>18</v>
      </c>
      <c r="L4" s="4">
        <v>16.5</v>
      </c>
      <c r="M4" s="5">
        <v>1.0</v>
      </c>
      <c r="N4" s="5" t="s">
        <v>91</v>
      </c>
      <c r="O4" s="1" t="str">
        <f t="shared" si="2"/>
        <v>3/1/2026</v>
      </c>
    </row>
    <row r="5">
      <c r="A5" s="1" t="s">
        <v>11</v>
      </c>
      <c r="C5" s="1">
        <v>1.5278437E7</v>
      </c>
      <c r="D5" s="1" t="s">
        <v>19</v>
      </c>
      <c r="E5" s="1" t="str">
        <f t="shared" si="1"/>
        <v>Cristina Moro</v>
      </c>
      <c r="F5" s="1" t="s">
        <v>20</v>
      </c>
      <c r="G5" s="1" t="s">
        <v>21</v>
      </c>
      <c r="H5" s="2">
        <v>46054.0</v>
      </c>
      <c r="I5" s="2">
        <v>46157.0</v>
      </c>
      <c r="J5" s="1" t="s">
        <v>15</v>
      </c>
      <c r="K5" s="1" t="s">
        <v>17</v>
      </c>
      <c r="L5" s="4">
        <v>16.5</v>
      </c>
      <c r="M5" s="5">
        <v>1.0</v>
      </c>
      <c r="N5" s="5" t="s">
        <v>91</v>
      </c>
      <c r="O5" s="1" t="str">
        <f t="shared" si="2"/>
        <v>2/1/2026</v>
      </c>
    </row>
    <row r="6">
      <c r="A6" s="1" t="s">
        <v>11</v>
      </c>
      <c r="C6" s="1">
        <v>1.5278437E7</v>
      </c>
      <c r="D6" s="1" t="s">
        <v>19</v>
      </c>
      <c r="E6" s="1" t="str">
        <f t="shared" si="1"/>
        <v>Cristina Moro</v>
      </c>
      <c r="F6" s="1" t="s">
        <v>20</v>
      </c>
      <c r="G6" s="1" t="s">
        <v>21</v>
      </c>
      <c r="H6" s="2">
        <v>46082.0</v>
      </c>
      <c r="I6" s="2">
        <v>46157.0</v>
      </c>
      <c r="J6" s="1" t="s">
        <v>15</v>
      </c>
      <c r="K6" s="1" t="s">
        <v>18</v>
      </c>
      <c r="L6" s="4">
        <v>16.5</v>
      </c>
      <c r="M6" s="5">
        <v>1.0</v>
      </c>
      <c r="N6" s="5" t="s">
        <v>91</v>
      </c>
      <c r="O6" s="1" t="str">
        <f t="shared" si="2"/>
        <v>3/1/2026</v>
      </c>
    </row>
    <row r="7">
      <c r="A7" s="1" t="s">
        <v>22</v>
      </c>
      <c r="C7" s="1">
        <v>1.6212649E7</v>
      </c>
      <c r="D7" s="1" t="s">
        <v>23</v>
      </c>
      <c r="E7" s="1" t="str">
        <f t="shared" si="1"/>
        <v>Andrew Lima</v>
      </c>
      <c r="F7" s="1" t="s">
        <v>24</v>
      </c>
      <c r="G7" s="1" t="s">
        <v>25</v>
      </c>
      <c r="H7" s="2">
        <v>46023.0</v>
      </c>
      <c r="I7" s="2">
        <v>46157.0</v>
      </c>
      <c r="J7" s="1" t="s">
        <v>15</v>
      </c>
      <c r="K7" s="1" t="s">
        <v>26</v>
      </c>
      <c r="L7" s="4">
        <v>2.25</v>
      </c>
      <c r="M7" s="5">
        <v>1.0</v>
      </c>
      <c r="N7" s="5" t="s">
        <v>92</v>
      </c>
      <c r="O7" s="1" t="str">
        <f t="shared" si="2"/>
        <v>1/1/2026</v>
      </c>
    </row>
    <row r="8">
      <c r="A8" s="1" t="s">
        <v>22</v>
      </c>
      <c r="C8" s="1">
        <v>1.6212649E7</v>
      </c>
      <c r="D8" s="1" t="s">
        <v>27</v>
      </c>
      <c r="E8" s="1" t="str">
        <f t="shared" si="1"/>
        <v>Danial Khan</v>
      </c>
      <c r="F8" s="1" t="s">
        <v>28</v>
      </c>
      <c r="G8" s="1" t="s">
        <v>29</v>
      </c>
      <c r="H8" s="2">
        <v>46082.0</v>
      </c>
      <c r="I8" s="2">
        <v>46157.0</v>
      </c>
      <c r="J8" s="1" t="s">
        <v>15</v>
      </c>
      <c r="K8" s="1" t="s">
        <v>30</v>
      </c>
      <c r="L8" s="4">
        <v>8.5</v>
      </c>
      <c r="M8" s="5">
        <v>1.0</v>
      </c>
      <c r="N8" s="5" t="s">
        <v>92</v>
      </c>
      <c r="O8" s="1" t="str">
        <f t="shared" si="2"/>
        <v>3/1/2026</v>
      </c>
    </row>
    <row r="9">
      <c r="A9" s="1" t="s">
        <v>22</v>
      </c>
      <c r="C9" s="1">
        <v>1.6212649E7</v>
      </c>
      <c r="D9" s="1" t="s">
        <v>31</v>
      </c>
      <c r="E9" s="1" t="str">
        <f t="shared" si="1"/>
        <v>Daniel Washer</v>
      </c>
      <c r="F9" s="1" t="s">
        <v>32</v>
      </c>
      <c r="G9" s="1" t="s">
        <v>33</v>
      </c>
      <c r="H9" s="2">
        <v>46082.0</v>
      </c>
      <c r="I9" s="2">
        <v>46157.0</v>
      </c>
      <c r="J9" s="1" t="s">
        <v>15</v>
      </c>
      <c r="K9" s="1" t="s">
        <v>18</v>
      </c>
      <c r="L9" s="4">
        <v>16.5</v>
      </c>
      <c r="M9" s="5">
        <v>1.0</v>
      </c>
      <c r="N9" s="5" t="s">
        <v>91</v>
      </c>
      <c r="O9" s="1" t="str">
        <f t="shared" si="2"/>
        <v>3/1/2026</v>
      </c>
    </row>
    <row r="10">
      <c r="A10" s="1" t="s">
        <v>22</v>
      </c>
      <c r="C10" s="1">
        <v>1.6212649E7</v>
      </c>
      <c r="D10" s="1" t="s">
        <v>34</v>
      </c>
      <c r="E10" s="1" t="str">
        <f t="shared" si="1"/>
        <v>David Hayes</v>
      </c>
      <c r="F10" s="1" t="s">
        <v>35</v>
      </c>
      <c r="G10" s="1" t="s">
        <v>36</v>
      </c>
      <c r="H10" s="2">
        <v>46082.0</v>
      </c>
      <c r="I10" s="2">
        <v>46157.0</v>
      </c>
      <c r="J10" s="1" t="s">
        <v>15</v>
      </c>
      <c r="K10" s="1" t="s">
        <v>18</v>
      </c>
      <c r="L10" s="4">
        <v>16.5</v>
      </c>
      <c r="M10" s="5">
        <v>1.0</v>
      </c>
      <c r="N10" s="5" t="s">
        <v>91</v>
      </c>
      <c r="O10" s="1" t="str">
        <f t="shared" si="2"/>
        <v>3/1/2026</v>
      </c>
    </row>
    <row r="11">
      <c r="A11" s="1" t="s">
        <v>22</v>
      </c>
      <c r="C11" s="1">
        <v>1.6212649E7</v>
      </c>
      <c r="D11" s="1" t="s">
        <v>37</v>
      </c>
      <c r="E11" s="1" t="str">
        <f t="shared" si="1"/>
        <v>Eleonora Andretta</v>
      </c>
      <c r="F11" s="1" t="s">
        <v>38</v>
      </c>
      <c r="G11" s="1" t="s">
        <v>39</v>
      </c>
      <c r="H11" s="2">
        <v>46082.0</v>
      </c>
      <c r="I11" s="2">
        <v>46157.0</v>
      </c>
      <c r="J11" s="1" t="s">
        <v>15</v>
      </c>
      <c r="K11" s="1" t="s">
        <v>18</v>
      </c>
      <c r="L11" s="4">
        <v>16.5</v>
      </c>
      <c r="M11" s="5">
        <v>1.0</v>
      </c>
      <c r="N11" s="5" t="s">
        <v>91</v>
      </c>
      <c r="O11" s="1" t="str">
        <f t="shared" si="2"/>
        <v>3/1/2026</v>
      </c>
    </row>
    <row r="12">
      <c r="A12" s="1" t="s">
        <v>22</v>
      </c>
      <c r="C12" s="1">
        <v>1.6212649E7</v>
      </c>
      <c r="D12" s="1" t="s">
        <v>40</v>
      </c>
      <c r="E12" s="1" t="str">
        <f t="shared" si="1"/>
        <v>Hanan Elamin</v>
      </c>
      <c r="F12" s="1" t="s">
        <v>41</v>
      </c>
      <c r="G12" s="1" t="s">
        <v>42</v>
      </c>
      <c r="H12" s="2">
        <v>46082.0</v>
      </c>
      <c r="I12" s="2">
        <v>46157.0</v>
      </c>
      <c r="J12" s="1" t="s">
        <v>15</v>
      </c>
      <c r="K12" s="1" t="s">
        <v>18</v>
      </c>
      <c r="L12" s="4">
        <v>16.5</v>
      </c>
      <c r="M12" s="5">
        <v>1.0</v>
      </c>
      <c r="N12" s="5" t="s">
        <v>91</v>
      </c>
      <c r="O12" s="1" t="str">
        <f t="shared" si="2"/>
        <v>3/1/2026</v>
      </c>
    </row>
    <row r="13">
      <c r="A13" s="1" t="s">
        <v>22</v>
      </c>
      <c r="C13" s="1">
        <v>1.6212649E7</v>
      </c>
      <c r="D13" s="1" t="s">
        <v>43</v>
      </c>
      <c r="E13" s="1" t="str">
        <f t="shared" si="1"/>
        <v>Jacqueline Enfield</v>
      </c>
      <c r="F13" s="1" t="s">
        <v>44</v>
      </c>
      <c r="G13" s="1" t="s">
        <v>45</v>
      </c>
      <c r="H13" s="2">
        <v>46082.0</v>
      </c>
      <c r="I13" s="2">
        <v>46157.0</v>
      </c>
      <c r="J13" s="1" t="s">
        <v>15</v>
      </c>
      <c r="K13" s="1" t="s">
        <v>18</v>
      </c>
      <c r="L13" s="4">
        <v>16.5</v>
      </c>
      <c r="M13" s="5">
        <v>1.0</v>
      </c>
      <c r="N13" s="5" t="s">
        <v>91</v>
      </c>
      <c r="O13" s="1" t="str">
        <f t="shared" si="2"/>
        <v>3/1/2026</v>
      </c>
    </row>
    <row r="14">
      <c r="A14" s="1" t="s">
        <v>22</v>
      </c>
      <c r="C14" s="1">
        <v>1.6212649E7</v>
      </c>
      <c r="D14" s="1" t="s">
        <v>46</v>
      </c>
      <c r="E14" s="1" t="str">
        <f t="shared" si="1"/>
        <v>Jenna Pannone</v>
      </c>
      <c r="F14" s="1" t="s">
        <v>47</v>
      </c>
      <c r="G14" s="1" t="s">
        <v>48</v>
      </c>
      <c r="H14" s="2">
        <v>46023.0</v>
      </c>
      <c r="I14" s="2">
        <v>46157.0</v>
      </c>
      <c r="J14" s="1" t="s">
        <v>15</v>
      </c>
      <c r="K14" s="1" t="s">
        <v>26</v>
      </c>
      <c r="L14" s="4">
        <v>2.25</v>
      </c>
      <c r="M14" s="5">
        <v>1.0</v>
      </c>
      <c r="N14" s="5" t="s">
        <v>92</v>
      </c>
      <c r="O14" s="1" t="str">
        <f t="shared" si="2"/>
        <v>1/1/2026</v>
      </c>
    </row>
    <row r="15">
      <c r="A15" s="1" t="s">
        <v>22</v>
      </c>
      <c r="C15" s="1">
        <v>1.6212649E7</v>
      </c>
      <c r="D15" s="1" t="s">
        <v>49</v>
      </c>
      <c r="E15" s="1" t="str">
        <f t="shared" si="1"/>
        <v>John Libutti</v>
      </c>
      <c r="F15" s="1" t="s">
        <v>50</v>
      </c>
      <c r="G15" s="1" t="s">
        <v>51</v>
      </c>
      <c r="H15" s="2">
        <v>46082.0</v>
      </c>
      <c r="I15" s="2">
        <v>46157.0</v>
      </c>
      <c r="J15" s="1" t="s">
        <v>15</v>
      </c>
      <c r="K15" s="1" t="s">
        <v>18</v>
      </c>
      <c r="L15" s="4">
        <v>16.5</v>
      </c>
      <c r="M15" s="5">
        <v>1.0</v>
      </c>
      <c r="N15" s="5" t="s">
        <v>91</v>
      </c>
      <c r="O15" s="1" t="str">
        <f t="shared" si="2"/>
        <v>3/1/2026</v>
      </c>
    </row>
    <row r="16">
      <c r="A16" s="1" t="s">
        <v>22</v>
      </c>
      <c r="C16" s="1">
        <v>1.6212649E7</v>
      </c>
      <c r="D16" s="1" t="s">
        <v>52</v>
      </c>
      <c r="E16" s="1" t="str">
        <f t="shared" si="1"/>
        <v>Justin Lutz</v>
      </c>
      <c r="F16" s="1" t="s">
        <v>53</v>
      </c>
      <c r="G16" s="1" t="s">
        <v>54</v>
      </c>
      <c r="H16" s="2">
        <v>46054.0</v>
      </c>
      <c r="I16" s="2">
        <v>46157.0</v>
      </c>
      <c r="J16" s="1" t="s">
        <v>15</v>
      </c>
      <c r="K16" s="1" t="s">
        <v>55</v>
      </c>
      <c r="L16" s="4">
        <v>-16.5</v>
      </c>
      <c r="M16" s="5">
        <v>-1.0</v>
      </c>
      <c r="N16" s="5" t="s">
        <v>91</v>
      </c>
      <c r="O16" s="1" t="str">
        <f t="shared" si="2"/>
        <v>2/1/2026</v>
      </c>
    </row>
    <row r="17">
      <c r="A17" s="1" t="s">
        <v>22</v>
      </c>
      <c r="C17" s="1">
        <v>1.6212649E7</v>
      </c>
      <c r="D17" s="1" t="s">
        <v>56</v>
      </c>
      <c r="E17" s="1" t="str">
        <f t="shared" si="1"/>
        <v>Lisa Savage</v>
      </c>
      <c r="F17" s="1" t="s">
        <v>57</v>
      </c>
      <c r="G17" s="1" t="s">
        <v>58</v>
      </c>
      <c r="H17" s="2">
        <v>46082.0</v>
      </c>
      <c r="I17" s="2">
        <v>46157.0</v>
      </c>
      <c r="J17" s="1" t="s">
        <v>15</v>
      </c>
      <c r="K17" s="1" t="s">
        <v>18</v>
      </c>
      <c r="L17" s="4">
        <v>16.5</v>
      </c>
      <c r="M17" s="5">
        <v>1.0</v>
      </c>
      <c r="N17" s="5" t="s">
        <v>91</v>
      </c>
      <c r="O17" s="1" t="str">
        <f t="shared" si="2"/>
        <v>3/1/2026</v>
      </c>
    </row>
    <row r="18">
      <c r="A18" s="1" t="s">
        <v>22</v>
      </c>
      <c r="C18" s="1">
        <v>1.6212649E7</v>
      </c>
      <c r="D18" s="1" t="s">
        <v>59</v>
      </c>
      <c r="E18" s="1" t="str">
        <f t="shared" si="1"/>
        <v>Meredit Torrey</v>
      </c>
      <c r="F18" s="1" t="s">
        <v>60</v>
      </c>
      <c r="G18" s="1" t="s">
        <v>61</v>
      </c>
      <c r="H18" s="2">
        <v>46082.0</v>
      </c>
      <c r="I18" s="2">
        <v>46157.0</v>
      </c>
      <c r="J18" s="1" t="s">
        <v>15</v>
      </c>
      <c r="K18" s="1" t="s">
        <v>18</v>
      </c>
      <c r="L18" s="4">
        <v>16.5</v>
      </c>
      <c r="M18" s="5">
        <v>1.0</v>
      </c>
      <c r="N18" s="5" t="s">
        <v>91</v>
      </c>
      <c r="O18" s="1" t="str">
        <f t="shared" si="2"/>
        <v>3/1/2026</v>
      </c>
    </row>
    <row r="19">
      <c r="A19" s="1" t="s">
        <v>22</v>
      </c>
      <c r="C19" s="1">
        <v>1.6212649E7</v>
      </c>
      <c r="D19" s="1" t="s">
        <v>62</v>
      </c>
      <c r="E19" s="1" t="str">
        <f t="shared" si="1"/>
        <v>Michael Siana</v>
      </c>
      <c r="F19" s="1" t="s">
        <v>63</v>
      </c>
      <c r="G19" s="1" t="s">
        <v>64</v>
      </c>
      <c r="H19" s="2">
        <v>46082.0</v>
      </c>
      <c r="I19" s="2">
        <v>46157.0</v>
      </c>
      <c r="J19" s="1" t="s">
        <v>15</v>
      </c>
      <c r="K19" s="1" t="s">
        <v>18</v>
      </c>
      <c r="L19" s="4">
        <v>16.5</v>
      </c>
      <c r="M19" s="5">
        <v>1.0</v>
      </c>
      <c r="N19" s="5" t="s">
        <v>91</v>
      </c>
      <c r="O19" s="1" t="str">
        <f t="shared" si="2"/>
        <v>3/1/2026</v>
      </c>
    </row>
    <row r="20">
      <c r="A20" s="1" t="s">
        <v>22</v>
      </c>
      <c r="C20" s="1">
        <v>1.6212649E7</v>
      </c>
      <c r="D20" s="1" t="s">
        <v>65</v>
      </c>
      <c r="E20" s="1" t="str">
        <f t="shared" si="1"/>
        <v>Robert Kaniewski</v>
      </c>
      <c r="F20" s="1" t="s">
        <v>66</v>
      </c>
      <c r="G20" s="1" t="s">
        <v>67</v>
      </c>
      <c r="H20" s="2">
        <v>46023.0</v>
      </c>
      <c r="I20" s="2">
        <v>46157.0</v>
      </c>
      <c r="J20" s="1" t="s">
        <v>15</v>
      </c>
      <c r="K20" s="1" t="s">
        <v>26</v>
      </c>
      <c r="L20" s="4">
        <v>2.25</v>
      </c>
      <c r="M20" s="5">
        <v>1.0</v>
      </c>
      <c r="N20" s="5" t="s">
        <v>92</v>
      </c>
      <c r="O20" s="1" t="str">
        <f t="shared" si="2"/>
        <v>1/1/2026</v>
      </c>
    </row>
    <row r="21">
      <c r="A21" s="1" t="s">
        <v>22</v>
      </c>
      <c r="C21" s="1">
        <v>1.6212649E7</v>
      </c>
      <c r="D21" s="1" t="s">
        <v>68</v>
      </c>
      <c r="E21" s="1" t="str">
        <f t="shared" si="1"/>
        <v>Ryan Kappus</v>
      </c>
      <c r="F21" s="1" t="s">
        <v>69</v>
      </c>
      <c r="G21" s="1" t="s">
        <v>70</v>
      </c>
      <c r="H21" s="2">
        <v>46082.0</v>
      </c>
      <c r="I21" s="2">
        <v>46157.0</v>
      </c>
      <c r="J21" s="1" t="s">
        <v>15</v>
      </c>
      <c r="K21" s="1" t="s">
        <v>18</v>
      </c>
      <c r="L21" s="4">
        <v>16.5</v>
      </c>
      <c r="M21" s="5">
        <v>1.0</v>
      </c>
      <c r="N21" s="5" t="s">
        <v>91</v>
      </c>
      <c r="O21" s="1" t="str">
        <f t="shared" si="2"/>
        <v>3/1/2026</v>
      </c>
    </row>
    <row r="22">
      <c r="A22" s="1" t="s">
        <v>22</v>
      </c>
      <c r="C22" s="1">
        <v>1.6212649E7</v>
      </c>
      <c r="D22" s="1" t="s">
        <v>71</v>
      </c>
      <c r="E22" s="1" t="str">
        <f t="shared" si="1"/>
        <v>Samuel Petty</v>
      </c>
      <c r="F22" s="1" t="s">
        <v>72</v>
      </c>
      <c r="G22" s="1" t="s">
        <v>73</v>
      </c>
      <c r="H22" s="2">
        <v>46054.0</v>
      </c>
      <c r="I22" s="2">
        <v>46157.0</v>
      </c>
      <c r="J22" s="1" t="s">
        <v>15</v>
      </c>
      <c r="K22" s="1" t="s">
        <v>55</v>
      </c>
      <c r="L22" s="4">
        <v>-16.5</v>
      </c>
      <c r="M22" s="5">
        <v>-1.0</v>
      </c>
      <c r="N22" s="5" t="s">
        <v>91</v>
      </c>
      <c r="O22" s="1" t="str">
        <f t="shared" si="2"/>
        <v>2/1/2026</v>
      </c>
    </row>
    <row r="23">
      <c r="A23" s="1" t="s">
        <v>22</v>
      </c>
      <c r="C23" s="1">
        <v>1.6212649E7</v>
      </c>
      <c r="D23" s="1" t="s">
        <v>74</v>
      </c>
      <c r="E23" s="1" t="str">
        <f t="shared" si="1"/>
        <v>Sarah Levy</v>
      </c>
      <c r="F23" s="1" t="s">
        <v>75</v>
      </c>
      <c r="G23" s="1" t="s">
        <v>76</v>
      </c>
      <c r="H23" s="2">
        <v>46082.0</v>
      </c>
      <c r="I23" s="2">
        <v>46157.0</v>
      </c>
      <c r="J23" s="1" t="s">
        <v>15</v>
      </c>
      <c r="K23" s="1" t="s">
        <v>18</v>
      </c>
      <c r="L23" s="4">
        <v>16.5</v>
      </c>
      <c r="M23" s="5">
        <v>1.0</v>
      </c>
      <c r="N23" s="5" t="s">
        <v>91</v>
      </c>
      <c r="O23" s="1" t="str">
        <f t="shared" si="2"/>
        <v>3/1/2026</v>
      </c>
    </row>
    <row r="24">
      <c r="A24" s="1" t="s">
        <v>22</v>
      </c>
      <c r="C24" s="1">
        <v>1.6212649E7</v>
      </c>
      <c r="D24" s="1" t="s">
        <v>77</v>
      </c>
      <c r="E24" s="1" t="str">
        <f t="shared" si="1"/>
        <v>Siroun Agopian</v>
      </c>
      <c r="F24" s="1" t="s">
        <v>78</v>
      </c>
      <c r="G24" s="1" t="s">
        <v>79</v>
      </c>
      <c r="H24" s="2">
        <v>46082.0</v>
      </c>
      <c r="I24" s="2">
        <v>46157.0</v>
      </c>
      <c r="J24" s="1" t="s">
        <v>15</v>
      </c>
      <c r="K24" s="1" t="s">
        <v>18</v>
      </c>
      <c r="L24" s="4">
        <v>16.5</v>
      </c>
      <c r="M24" s="5">
        <v>1.0</v>
      </c>
      <c r="N24" s="5" t="s">
        <v>91</v>
      </c>
      <c r="O24" s="1" t="str">
        <f t="shared" si="2"/>
        <v>3/1/2026</v>
      </c>
    </row>
    <row r="25">
      <c r="A25" s="1" t="s">
        <v>22</v>
      </c>
      <c r="C25" s="1">
        <v>1.6212649E7</v>
      </c>
      <c r="D25" s="1" t="s">
        <v>80</v>
      </c>
      <c r="E25" s="1" t="str">
        <f t="shared" si="1"/>
        <v>Paul Holder</v>
      </c>
      <c r="F25" s="1" t="s">
        <v>81</v>
      </c>
      <c r="G25" s="1" t="s">
        <v>82</v>
      </c>
      <c r="H25" s="2">
        <v>46054.0</v>
      </c>
      <c r="I25" s="2">
        <v>46157.0</v>
      </c>
      <c r="J25" s="1" t="s">
        <v>15</v>
      </c>
      <c r="K25" s="1" t="s">
        <v>83</v>
      </c>
      <c r="L25" s="4">
        <v>36.0</v>
      </c>
      <c r="M25" s="5">
        <v>1.0</v>
      </c>
      <c r="N25" s="5" t="s">
        <v>93</v>
      </c>
      <c r="O25" s="1" t="str">
        <f t="shared" si="2"/>
        <v>2/1/2026</v>
      </c>
    </row>
    <row r="26">
      <c r="A26" s="1" t="s">
        <v>22</v>
      </c>
      <c r="C26" s="1">
        <v>1.6212649E7</v>
      </c>
      <c r="D26" s="1" t="s">
        <v>84</v>
      </c>
      <c r="E26" s="1" t="str">
        <f t="shared" si="1"/>
        <v>Peter Zimmerman</v>
      </c>
      <c r="F26" s="1" t="s">
        <v>85</v>
      </c>
      <c r="G26" s="1" t="s">
        <v>86</v>
      </c>
      <c r="H26" s="2">
        <v>46054.0</v>
      </c>
      <c r="I26" s="2">
        <v>46157.0</v>
      </c>
      <c r="J26" s="1" t="s">
        <v>15</v>
      </c>
      <c r="K26" s="1" t="s">
        <v>83</v>
      </c>
      <c r="L26" s="4">
        <v>36.0</v>
      </c>
      <c r="M26" s="5">
        <v>1.0</v>
      </c>
      <c r="N26" s="5" t="s">
        <v>93</v>
      </c>
      <c r="O26" s="1" t="str">
        <f t="shared" si="2"/>
        <v>2/1/2026</v>
      </c>
    </row>
    <row r="27">
      <c r="A27" s="1" t="s">
        <v>22</v>
      </c>
      <c r="C27" s="1">
        <v>1.6212649E7</v>
      </c>
      <c r="D27" s="1" t="s">
        <v>84</v>
      </c>
      <c r="E27" s="1" t="str">
        <f t="shared" si="1"/>
        <v>Peter Zimmerman</v>
      </c>
      <c r="F27" s="1" t="s">
        <v>85</v>
      </c>
      <c r="G27" s="1" t="s">
        <v>86</v>
      </c>
      <c r="H27" s="2">
        <v>46054.0</v>
      </c>
      <c r="I27" s="2">
        <v>46157.0</v>
      </c>
      <c r="J27" s="1" t="s">
        <v>15</v>
      </c>
      <c r="K27" s="1" t="s">
        <v>17</v>
      </c>
      <c r="L27" s="4">
        <v>16.5</v>
      </c>
      <c r="M27" s="5">
        <v>1.0</v>
      </c>
      <c r="N27" s="5" t="s">
        <v>91</v>
      </c>
      <c r="O27" s="1" t="str">
        <f t="shared" si="2"/>
        <v>2/1/2026</v>
      </c>
    </row>
    <row r="28">
      <c r="A28" s="1" t="s">
        <v>22</v>
      </c>
      <c r="C28" s="1">
        <v>1.6212649E7</v>
      </c>
      <c r="D28" s="1" t="s">
        <v>84</v>
      </c>
      <c r="E28" s="1" t="str">
        <f t="shared" si="1"/>
        <v>Peter Zimmerman</v>
      </c>
      <c r="F28" s="1" t="s">
        <v>85</v>
      </c>
      <c r="G28" s="1" t="s">
        <v>86</v>
      </c>
      <c r="H28" s="2">
        <v>46082.0</v>
      </c>
      <c r="I28" s="2">
        <v>46157.0</v>
      </c>
      <c r="J28" s="1" t="s">
        <v>15</v>
      </c>
      <c r="K28" s="1" t="s">
        <v>18</v>
      </c>
      <c r="L28" s="4">
        <v>16.5</v>
      </c>
      <c r="M28" s="5">
        <v>1.0</v>
      </c>
      <c r="N28" s="5" t="s">
        <v>91</v>
      </c>
      <c r="O28" s="1" t="str">
        <f t="shared" si="2"/>
        <v>3/1/2026</v>
      </c>
    </row>
    <row r="29">
      <c r="A29" s="1" t="s">
        <v>22</v>
      </c>
      <c r="C29" s="1">
        <v>1.6212649E7</v>
      </c>
      <c r="D29" s="1" t="s">
        <v>84</v>
      </c>
      <c r="E29" s="1" t="str">
        <f t="shared" si="1"/>
        <v>Peter Zimmerman</v>
      </c>
      <c r="F29" s="1" t="s">
        <v>85</v>
      </c>
      <c r="G29" s="1" t="s">
        <v>86</v>
      </c>
      <c r="H29" s="2">
        <v>46054.0</v>
      </c>
      <c r="I29" s="2">
        <v>46157.0</v>
      </c>
      <c r="J29" s="1" t="s">
        <v>15</v>
      </c>
      <c r="K29" s="1" t="s">
        <v>87</v>
      </c>
      <c r="L29" s="4">
        <v>2.25</v>
      </c>
      <c r="M29" s="5">
        <v>1.0</v>
      </c>
      <c r="N29" s="5" t="s">
        <v>92</v>
      </c>
      <c r="O29" s="1" t="str">
        <f t="shared" si="2"/>
        <v>2/1/2026</v>
      </c>
    </row>
    <row r="30">
      <c r="A30" s="1" t="s">
        <v>22</v>
      </c>
      <c r="C30" s="1">
        <v>1.6212649E7</v>
      </c>
      <c r="D30" s="1" t="s">
        <v>88</v>
      </c>
      <c r="E30" s="1" t="str">
        <f t="shared" si="1"/>
        <v>Prashant Kandukuri</v>
      </c>
      <c r="F30" s="1" t="s">
        <v>89</v>
      </c>
      <c r="G30" s="1" t="s">
        <v>90</v>
      </c>
      <c r="H30" s="2">
        <v>46054.0</v>
      </c>
      <c r="I30" s="2">
        <v>46157.0</v>
      </c>
      <c r="J30" s="1" t="s">
        <v>15</v>
      </c>
      <c r="K30" s="1" t="s">
        <v>17</v>
      </c>
      <c r="L30" s="4">
        <v>16.5</v>
      </c>
      <c r="M30" s="5">
        <v>1.0</v>
      </c>
      <c r="N30" s="5" t="s">
        <v>91</v>
      </c>
      <c r="O30" s="1" t="str">
        <f t="shared" si="2"/>
        <v>2/1/2026</v>
      </c>
    </row>
    <row r="31">
      <c r="A31" s="1" t="s">
        <v>22</v>
      </c>
      <c r="C31" s="1">
        <v>1.6212649E7</v>
      </c>
      <c r="D31" s="1" t="s">
        <v>88</v>
      </c>
      <c r="E31" s="1" t="str">
        <f t="shared" si="1"/>
        <v>Prashant Kandukuri</v>
      </c>
      <c r="F31" s="1" t="s">
        <v>89</v>
      </c>
      <c r="G31" s="1" t="s">
        <v>90</v>
      </c>
      <c r="H31" s="2">
        <v>46082.0</v>
      </c>
      <c r="I31" s="2">
        <v>46157.0</v>
      </c>
      <c r="J31" s="1" t="s">
        <v>15</v>
      </c>
      <c r="K31" s="1" t="s">
        <v>18</v>
      </c>
      <c r="L31" s="4">
        <v>16.5</v>
      </c>
      <c r="M31" s="5">
        <v>1.0</v>
      </c>
      <c r="N31" s="5" t="s">
        <v>91</v>
      </c>
      <c r="O31" s="1" t="str">
        <f t="shared" si="2"/>
        <v>3/1/2026</v>
      </c>
    </row>
  </sheetData>
  <autoFilter ref="$A$1:$AA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2026-05-15T16:07:18Z</dcterms:created>
  <dc:creator>Bhushan patil</dc:creator>
</cp:coreProperties>
</file>