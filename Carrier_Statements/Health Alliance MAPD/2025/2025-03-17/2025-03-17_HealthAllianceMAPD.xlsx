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03-17-25\"/>
    </mc:Choice>
  </mc:AlternateContent>
  <xr:revisionPtr revIDLastSave="0" documentId="13_ncr:1_{47758C6F-F0F4-45D1-BC37-0049541560B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5" i="2"/>
</calcChain>
</file>

<file path=xl/sharedStrings.xml><?xml version="1.0" encoding="utf-8"?>
<sst xmlns="http://schemas.openxmlformats.org/spreadsheetml/2006/main" count="139" uniqueCount="39">
  <si>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</si>
  <si>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</si>
  <si>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</si>
  <si>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</si>
  <si>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</si>
  <si>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</si>
  <si>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</si>
  <si>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</si>
  <si>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</si>
  <si>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</si>
  <si>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</si>
  <si>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</si>
  <si>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</si>
  <si>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</si>
  <si>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</si>
  <si>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</si>
  <si>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</si>
  <si>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</si>
  <si>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</si>
  <si>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</si>
  <si>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</si>
  <si>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</si>
  <si>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18828278</t>
  </si>
  <si>
    <t>Health Alliance Medicare</t>
  </si>
  <si>
    <t>First Medicare Direct</t>
  </si>
  <si>
    <t>94111538901</t>
  </si>
  <si>
    <t>JOLY,CHARLES</t>
  </si>
  <si>
    <t>First Year</t>
  </si>
  <si>
    <t>DUNAVANT, MICHAEL</t>
  </si>
  <si>
    <t>Commission</t>
  </si>
  <si>
    <t>No</t>
  </si>
  <si>
    <t>15278437</t>
  </si>
  <si>
    <t>Override</t>
  </si>
  <si>
    <t>8244481</t>
  </si>
  <si>
    <t>DEATON, PAMELA S</t>
  </si>
  <si>
    <t>Total Amount:</t>
  </si>
  <si>
    <t>Payment Amount:</t>
  </si>
  <si>
    <t>Health Alliance MAPD 2025*</t>
  </si>
  <si>
    <t>Health Alliance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</si>
</sst>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showGridLines="0" workbookViewId="0">
      <selection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9" width="12.5703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9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45733</v>
      </c>
      <c r="C2" s="3" t="s">
        <v>21</v>
      </c>
      <c r="D2" s="5" t="s">
        <v>22</v>
      </c>
      <c r="E2" s="4">
        <v>45709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22</v>
      </c>
      <c r="O2" s="3" t="s">
        <v>29</v>
      </c>
      <c r="P2" s="3" t="s">
        <v>30</v>
      </c>
      <c r="Q2" s="3" t="s">
        <v>29</v>
      </c>
      <c r="R2" s="3"/>
      <c r="S2" s="5"/>
      <c r="T2" s="6">
        <v>313</v>
      </c>
    </row>
    <row r="3" spans="1:20" x14ac:dyDescent="0.25">
      <c r="A3" s="3" t="s">
        <v>20</v>
      </c>
      <c r="B3" s="4">
        <v>45733</v>
      </c>
      <c r="C3" s="3" t="s">
        <v>21</v>
      </c>
      <c r="D3" s="5" t="s">
        <v>31</v>
      </c>
      <c r="E3" s="4">
        <v>45709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45658</v>
      </c>
      <c r="L3" s="5" t="s">
        <v>27</v>
      </c>
      <c r="M3" s="3" t="s">
        <v>28</v>
      </c>
      <c r="N3" s="3" t="s">
        <v>22</v>
      </c>
      <c r="O3" s="3" t="s">
        <v>29</v>
      </c>
      <c r="P3" s="3" t="s">
        <v>30</v>
      </c>
      <c r="Q3" s="3" t="s">
        <v>32</v>
      </c>
      <c r="R3" s="3"/>
      <c r="S3" s="5"/>
      <c r="T3" s="6">
        <v>125</v>
      </c>
    </row>
    <row r="4" spans="1:20" x14ac:dyDescent="0.25">
      <c r="A4" s="3" t="s">
        <v>20</v>
      </c>
      <c r="B4" s="4">
        <v>45733</v>
      </c>
      <c r="C4" s="3" t="s">
        <v>21</v>
      </c>
      <c r="D4" s="5" t="s">
        <v>33</v>
      </c>
      <c r="E4" s="4">
        <v>45709</v>
      </c>
      <c r="F4" s="3" t="s">
        <v>23</v>
      </c>
      <c r="G4" s="3" t="s">
        <v>24</v>
      </c>
      <c r="H4" s="5" t="s">
        <v>25</v>
      </c>
      <c r="I4" s="3" t="s">
        <v>26</v>
      </c>
      <c r="J4" s="5"/>
      <c r="K4" s="4">
        <v>45658</v>
      </c>
      <c r="L4" s="5" t="s">
        <v>27</v>
      </c>
      <c r="M4" s="3" t="s">
        <v>34</v>
      </c>
      <c r="N4" s="3" t="s">
        <v>33</v>
      </c>
      <c r="O4" s="3" t="s">
        <v>29</v>
      </c>
      <c r="P4" s="3" t="s">
        <v>30</v>
      </c>
      <c r="Q4" s="3" t="s">
        <v>29</v>
      </c>
      <c r="R4" s="3"/>
      <c r="S4" s="5"/>
      <c r="T4" s="6">
        <v>-313</v>
      </c>
    </row>
    <row r="5" spans="1:20" x14ac:dyDescent="0.25">
      <c r="A5" s="3" t="s">
        <v>20</v>
      </c>
      <c r="B5" s="4">
        <v>45733</v>
      </c>
      <c r="C5" s="3" t="s">
        <v>21</v>
      </c>
      <c r="D5" s="5" t="s">
        <v>31</v>
      </c>
      <c r="E5" s="4">
        <v>45709</v>
      </c>
      <c r="F5" s="3" t="s">
        <v>23</v>
      </c>
      <c r="G5" s="3" t="s">
        <v>24</v>
      </c>
      <c r="H5" s="5" t="s">
        <v>25</v>
      </c>
      <c r="I5" s="3" t="s">
        <v>26</v>
      </c>
      <c r="J5" s="5"/>
      <c r="K5" s="4">
        <v>45658</v>
      </c>
      <c r="L5" s="5" t="s">
        <v>27</v>
      </c>
      <c r="M5" s="3" t="s">
        <v>34</v>
      </c>
      <c r="N5" s="3" t="s">
        <v>33</v>
      </c>
      <c r="O5" s="3" t="s">
        <v>29</v>
      </c>
      <c r="P5" s="3" t="s">
        <v>30</v>
      </c>
      <c r="Q5" s="3" t="s">
        <v>32</v>
      </c>
      <c r="R5" s="3"/>
      <c r="S5" s="5"/>
      <c r="T5" s="6">
        <v>-125</v>
      </c>
    </row>
    <row r="6" spans="1:20" ht="15" x14ac:dyDescent="0.25">
      <c r="S6" s="7" t="s">
        <v>35</v>
      </c>
      <c r="T6" s="8">
        <v>0</v>
      </c>
    </row>
    <row r="7" spans="1:20" ht="30" x14ac:dyDescent="0.25">
      <c r="S7" s="7" t="s">
        <v>36</v>
      </c>
      <c r="T7" s="8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66EF-AF0D-4C0C-92F7-F845261397CD}">
  <dimension ref="A1:U7"/>
  <sheetViews>
    <sheetView tabSelected="1" topLeftCell="F1" workbookViewId="0">
      <selection activeCell="T2" sqref="T2:T5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10" width="12.57031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19.14062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21.7109375" style="1" customWidth="1"/>
    <col min="19" max="19" width="14.28515625" style="1" customWidth="1"/>
    <col min="20" max="20" width="9.28515625" style="1" customWidth="1"/>
    <col min="21" max="21" width="25.5703125" style="1" customWidth="1"/>
    <col min="22" max="16384" width="9.140625" style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18</v>
      </c>
      <c r="T1" s="2" t="s">
        <v>19</v>
      </c>
    </row>
    <row r="2" spans="1:21" x14ac:dyDescent="0.25">
      <c r="A2" s="3" t="s">
        <v>20</v>
      </c>
      <c r="B2" s="4">
        <v>45733</v>
      </c>
      <c r="C2" s="3" t="s">
        <v>21</v>
      </c>
      <c r="D2" s="9">
        <v>18828278</v>
      </c>
      <c r="E2" s="4">
        <v>45709</v>
      </c>
      <c r="F2" s="3" t="s">
        <v>23</v>
      </c>
      <c r="G2" s="3" t="s">
        <v>24</v>
      </c>
      <c r="H2" s="9">
        <v>94111538901</v>
      </c>
      <c r="I2" s="9">
        <v>94111538901</v>
      </c>
      <c r="J2" s="3" t="s">
        <v>26</v>
      </c>
      <c r="K2" s="5"/>
      <c r="L2" s="4">
        <v>45658</v>
      </c>
      <c r="M2" s="5" t="s">
        <v>27</v>
      </c>
      <c r="N2" s="3" t="s">
        <v>28</v>
      </c>
      <c r="O2" s="10">
        <v>18828278</v>
      </c>
      <c r="P2" s="3" t="s">
        <v>29</v>
      </c>
      <c r="Q2" s="3" t="s">
        <v>30</v>
      </c>
      <c r="R2" s="3" t="s">
        <v>29</v>
      </c>
      <c r="S2" s="5"/>
      <c r="T2" s="6">
        <v>313</v>
      </c>
      <c r="U2" s="1" t="s">
        <v>37</v>
      </c>
    </row>
    <row r="3" spans="1:21" ht="27" x14ac:dyDescent="0.25">
      <c r="A3" s="3" t="s">
        <v>20</v>
      </c>
      <c r="B3" s="4">
        <v>45733</v>
      </c>
      <c r="C3" s="3" t="s">
        <v>21</v>
      </c>
      <c r="D3" s="9">
        <v>15278437</v>
      </c>
      <c r="E3" s="4">
        <v>45709</v>
      </c>
      <c r="F3" s="3" t="s">
        <v>23</v>
      </c>
      <c r="G3" s="3" t="s">
        <v>24</v>
      </c>
      <c r="H3" s="9">
        <v>94111538901</v>
      </c>
      <c r="I3" s="9" t="str">
        <f t="shared" ref="I3:I5" si="0">CONCATENATE(7,H3)</f>
        <v>794111538901</v>
      </c>
      <c r="J3" s="3" t="s">
        <v>26</v>
      </c>
      <c r="K3" s="5"/>
      <c r="L3" s="4">
        <v>45658</v>
      </c>
      <c r="M3" s="5" t="s">
        <v>27</v>
      </c>
      <c r="N3" s="3" t="s">
        <v>28</v>
      </c>
      <c r="O3" s="10">
        <v>18828278</v>
      </c>
      <c r="P3" s="3" t="s">
        <v>29</v>
      </c>
      <c r="Q3" s="3" t="s">
        <v>30</v>
      </c>
      <c r="R3" s="3" t="s">
        <v>32</v>
      </c>
      <c r="S3" s="5"/>
      <c r="T3" s="6">
        <v>125</v>
      </c>
      <c r="U3" s="1" t="s">
        <v>38</v>
      </c>
    </row>
    <row r="4" spans="1:21" x14ac:dyDescent="0.25">
      <c r="A4" s="3" t="s">
        <v>20</v>
      </c>
      <c r="B4" s="4">
        <v>45733</v>
      </c>
      <c r="C4" s="3" t="s">
        <v>21</v>
      </c>
      <c r="D4" s="9">
        <v>8244481</v>
      </c>
      <c r="E4" s="4">
        <v>45709</v>
      </c>
      <c r="F4" s="3" t="s">
        <v>23</v>
      </c>
      <c r="G4" s="3" t="s">
        <v>24</v>
      </c>
      <c r="H4" s="9">
        <v>94111538901</v>
      </c>
      <c r="I4" s="9">
        <v>94111538901</v>
      </c>
      <c r="J4" s="3" t="s">
        <v>26</v>
      </c>
      <c r="K4" s="5"/>
      <c r="L4" s="4">
        <v>45658</v>
      </c>
      <c r="M4" s="5" t="s">
        <v>27</v>
      </c>
      <c r="N4" s="3" t="s">
        <v>34</v>
      </c>
      <c r="O4" s="10">
        <v>8244481</v>
      </c>
      <c r="P4" s="3" t="s">
        <v>29</v>
      </c>
      <c r="Q4" s="3" t="s">
        <v>30</v>
      </c>
      <c r="R4" s="3" t="s">
        <v>29</v>
      </c>
      <c r="S4" s="5"/>
      <c r="T4" s="6">
        <v>-313</v>
      </c>
      <c r="U4" s="1" t="s">
        <v>37</v>
      </c>
    </row>
    <row r="5" spans="1:21" ht="27" x14ac:dyDescent="0.25">
      <c r="A5" s="3" t="s">
        <v>20</v>
      </c>
      <c r="B5" s="4">
        <v>45733</v>
      </c>
      <c r="C5" s="3" t="s">
        <v>21</v>
      </c>
      <c r="D5" s="9">
        <v>15278437</v>
      </c>
      <c r="E5" s="4">
        <v>45709</v>
      </c>
      <c r="F5" s="3" t="s">
        <v>23</v>
      </c>
      <c r="G5" s="3" t="s">
        <v>24</v>
      </c>
      <c r="H5" s="9">
        <v>94111538901</v>
      </c>
      <c r="I5" s="9" t="str">
        <f t="shared" si="0"/>
        <v>794111538901</v>
      </c>
      <c r="J5" s="3" t="s">
        <v>26</v>
      </c>
      <c r="K5" s="5"/>
      <c r="L5" s="4">
        <v>45658</v>
      </c>
      <c r="M5" s="5" t="s">
        <v>27</v>
      </c>
      <c r="N5" s="3" t="s">
        <v>34</v>
      </c>
      <c r="O5" s="10">
        <v>8244481</v>
      </c>
      <c r="P5" s="3" t="s">
        <v>29</v>
      </c>
      <c r="Q5" s="3" t="s">
        <v>30</v>
      </c>
      <c r="R5" s="3" t="s">
        <v>32</v>
      </c>
      <c r="S5" s="5"/>
      <c r="T5" s="6">
        <v>-125</v>
      </c>
      <c r="U5" s="1" t="s">
        <v>38</v>
      </c>
    </row>
    <row r="6" spans="1:21" ht="15" x14ac:dyDescent="0.25">
      <c r="S6" s="7" t="s">
        <v>35</v>
      </c>
      <c r="T6" s="8">
        <v>0</v>
      </c>
    </row>
    <row r="7" spans="1:21" ht="30" x14ac:dyDescent="0.25">
      <c r="S7" s="7" t="s">
        <v>36</v>
      </c>
      <c r="T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2025-03-14T16:18:06Z</dcterms:created>
  <dcterms:modified xsi:type="dcterms:W3CDTF">2025-03-17T13:54:29Z</dcterms:modified>
</cp:coreProperties>
</file>